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9.xml" ContentType="application/vnd.openxmlformats-officedocument.drawing+xml"/>
  <Override PartName="/xl/ctrlProps/ctrlProp3.xml" ContentType="application/vnd.ms-excel.controlproperties+xml"/>
  <Override PartName="/xl/ctrlProps/ctrlProp4.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https://netorg10453773-my.sharepoint.com/personal/nomans_globalwholesalemachinery_com/Documents/"/>
    </mc:Choice>
  </mc:AlternateContent>
  <xr:revisionPtr revIDLastSave="264" documentId="8_{115E92C1-A38F-405C-B560-226478D8FB4F}" xr6:coauthVersionLast="47" xr6:coauthVersionMax="47" xr10:uidLastSave="{762A411B-7A19-40B3-A330-4FF5C103613B}"/>
  <bookViews>
    <workbookView xWindow="14295" yWindow="0" windowWidth="14610" windowHeight="15585" firstSheet="4" activeTab="4" xr2:uid="{EAC116F2-D257-4308-B3E1-626B33CB1430}"/>
  </bookViews>
  <sheets>
    <sheet name="Instructions" sheetId="6" r:id="rId1"/>
    <sheet name="CAT 325 EXCAVATOR" sheetId="7" r:id="rId2"/>
    <sheet name="CAT D7R" sheetId="9" r:id="rId3"/>
    <sheet name="CAT 160M GRADER" sheetId="11" r:id="rId4"/>
    <sheet name="CAT 950H LOADER" sheetId="15" r:id="rId5"/>
    <sheet name="CAT 963C LOADER" sheetId="1" r:id="rId6"/>
    <sheet name="RFQ" sheetId="2" r:id="rId7"/>
    <sheet name="QUOTE" sheetId="4" r:id="rId8"/>
    <sheet name="SERVICE QUOTE" sheetId="5"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7" l="1"/>
  <c r="P129" i="15"/>
  <c r="F129" i="15"/>
  <c r="E129" i="15"/>
  <c r="O10" i="15" s="1"/>
  <c r="J128" i="15"/>
  <c r="G128" i="15"/>
  <c r="K128" i="15" s="1"/>
  <c r="J127" i="15"/>
  <c r="G127" i="15"/>
  <c r="K127" i="15" s="1"/>
  <c r="J126" i="15"/>
  <c r="G126" i="15"/>
  <c r="K126" i="15" s="1"/>
  <c r="J125" i="15"/>
  <c r="G125" i="15"/>
  <c r="K125" i="15" s="1"/>
  <c r="J124" i="15"/>
  <c r="G124" i="15"/>
  <c r="K124" i="15" s="1"/>
  <c r="J123" i="15"/>
  <c r="G123" i="15"/>
  <c r="K123" i="15" s="1"/>
  <c r="J122" i="15"/>
  <c r="G122" i="15"/>
  <c r="K122" i="15" s="1"/>
  <c r="J121" i="15"/>
  <c r="G121" i="15"/>
  <c r="K121" i="15" s="1"/>
  <c r="J120" i="15"/>
  <c r="G120" i="15"/>
  <c r="K120" i="15" s="1"/>
  <c r="J119" i="15"/>
  <c r="G119" i="15"/>
  <c r="K119" i="15" s="1"/>
  <c r="J118" i="15"/>
  <c r="G118" i="15"/>
  <c r="K118" i="15" s="1"/>
  <c r="J117" i="15"/>
  <c r="G117" i="15"/>
  <c r="K117" i="15" s="1"/>
  <c r="J116" i="15"/>
  <c r="G116" i="15"/>
  <c r="K116" i="15" s="1"/>
  <c r="J115" i="15"/>
  <c r="G115" i="15"/>
  <c r="K115" i="15" s="1"/>
  <c r="J114" i="15"/>
  <c r="G114" i="15"/>
  <c r="K114" i="15" s="1"/>
  <c r="J113" i="15"/>
  <c r="G113" i="15"/>
  <c r="K113" i="15" s="1"/>
  <c r="J112" i="15"/>
  <c r="G112" i="15"/>
  <c r="K112" i="15" s="1"/>
  <c r="J111" i="15"/>
  <c r="G111" i="15"/>
  <c r="K111" i="15" s="1"/>
  <c r="J110" i="15"/>
  <c r="G110" i="15"/>
  <c r="K110" i="15" s="1"/>
  <c r="J109" i="15"/>
  <c r="G109" i="15"/>
  <c r="K109" i="15" s="1"/>
  <c r="J108" i="15"/>
  <c r="G108" i="15"/>
  <c r="K108" i="15" s="1"/>
  <c r="J107" i="15"/>
  <c r="G107" i="15"/>
  <c r="K107" i="15" s="1"/>
  <c r="J106" i="15"/>
  <c r="G106" i="15"/>
  <c r="K106" i="15" s="1"/>
  <c r="J105" i="15"/>
  <c r="G105" i="15"/>
  <c r="K105" i="15" s="1"/>
  <c r="J104" i="15"/>
  <c r="G104" i="15"/>
  <c r="K104" i="15" s="1"/>
  <c r="J103" i="15"/>
  <c r="G103" i="15"/>
  <c r="K103" i="15" s="1"/>
  <c r="J102" i="15"/>
  <c r="G102" i="15"/>
  <c r="K102" i="15" s="1"/>
  <c r="J101" i="15"/>
  <c r="G101" i="15"/>
  <c r="K101" i="15" s="1"/>
  <c r="J100" i="15"/>
  <c r="G100" i="15"/>
  <c r="K100" i="15" s="1"/>
  <c r="J99" i="15"/>
  <c r="G99" i="15"/>
  <c r="K99" i="15" s="1"/>
  <c r="J98" i="15"/>
  <c r="G98" i="15"/>
  <c r="K98" i="15" s="1"/>
  <c r="J97" i="15"/>
  <c r="G97" i="15"/>
  <c r="K97" i="15" s="1"/>
  <c r="J96" i="15"/>
  <c r="G96" i="15"/>
  <c r="K96" i="15" s="1"/>
  <c r="J95" i="15"/>
  <c r="G95" i="15"/>
  <c r="K95" i="15" s="1"/>
  <c r="J94" i="15"/>
  <c r="G94" i="15"/>
  <c r="K94" i="15" s="1"/>
  <c r="J93" i="15"/>
  <c r="G93" i="15"/>
  <c r="K93" i="15" s="1"/>
  <c r="J92" i="15"/>
  <c r="G92" i="15"/>
  <c r="K92" i="15" s="1"/>
  <c r="J91" i="15"/>
  <c r="G91" i="15"/>
  <c r="K91" i="15" s="1"/>
  <c r="J90" i="15"/>
  <c r="G90" i="15"/>
  <c r="K90" i="15" s="1"/>
  <c r="J89" i="15"/>
  <c r="G89" i="15"/>
  <c r="K89" i="15" s="1"/>
  <c r="J88" i="15"/>
  <c r="G88" i="15"/>
  <c r="K88" i="15" s="1"/>
  <c r="J87" i="15"/>
  <c r="G87" i="15"/>
  <c r="K87" i="15" s="1"/>
  <c r="J86" i="15"/>
  <c r="G86" i="15"/>
  <c r="K86" i="15" s="1"/>
  <c r="J85" i="15"/>
  <c r="G85" i="15"/>
  <c r="K85" i="15" s="1"/>
  <c r="J84" i="15"/>
  <c r="G84" i="15"/>
  <c r="K84" i="15" s="1"/>
  <c r="J83" i="15"/>
  <c r="G83" i="15"/>
  <c r="K83" i="15" s="1"/>
  <c r="J82" i="15"/>
  <c r="G82" i="15"/>
  <c r="K82" i="15" s="1"/>
  <c r="J81" i="15"/>
  <c r="G81" i="15"/>
  <c r="K81" i="15" s="1"/>
  <c r="J80" i="15"/>
  <c r="G80" i="15"/>
  <c r="K80" i="15" s="1"/>
  <c r="J79" i="15"/>
  <c r="G79" i="15"/>
  <c r="K79" i="15" s="1"/>
  <c r="J78" i="15"/>
  <c r="G78" i="15"/>
  <c r="K78" i="15" s="1"/>
  <c r="J77" i="15"/>
  <c r="G77" i="15"/>
  <c r="K77" i="15" s="1"/>
  <c r="J76" i="15"/>
  <c r="G76" i="15"/>
  <c r="K76" i="15" s="1"/>
  <c r="J75" i="15"/>
  <c r="G75" i="15"/>
  <c r="K75" i="15" s="1"/>
  <c r="J74" i="15"/>
  <c r="G74" i="15"/>
  <c r="K74" i="15" s="1"/>
  <c r="J73" i="15"/>
  <c r="G73" i="15"/>
  <c r="K73" i="15" s="1"/>
  <c r="J72" i="15"/>
  <c r="G72" i="15"/>
  <c r="K72" i="15" s="1"/>
  <c r="J71" i="15"/>
  <c r="G71" i="15"/>
  <c r="K71" i="15" s="1"/>
  <c r="J70" i="15"/>
  <c r="G70" i="15"/>
  <c r="K70" i="15" s="1"/>
  <c r="J69" i="15"/>
  <c r="G69" i="15"/>
  <c r="K69" i="15" s="1"/>
  <c r="J68" i="15"/>
  <c r="G68" i="15"/>
  <c r="K68" i="15" s="1"/>
  <c r="J67" i="15"/>
  <c r="G67" i="15"/>
  <c r="K67" i="15" s="1"/>
  <c r="J66" i="15"/>
  <c r="G66" i="15"/>
  <c r="K66" i="15" s="1"/>
  <c r="J65" i="15"/>
  <c r="G65" i="15"/>
  <c r="K65" i="15" s="1"/>
  <c r="J64" i="15"/>
  <c r="G64" i="15"/>
  <c r="K64" i="15" s="1"/>
  <c r="J63" i="15"/>
  <c r="G63" i="15"/>
  <c r="K63" i="15" s="1"/>
  <c r="J62" i="15"/>
  <c r="G62" i="15"/>
  <c r="K62" i="15" s="1"/>
  <c r="J61" i="15"/>
  <c r="G61" i="15"/>
  <c r="K61" i="15" s="1"/>
  <c r="J60" i="15"/>
  <c r="G60" i="15"/>
  <c r="K60" i="15" s="1"/>
  <c r="J59" i="15"/>
  <c r="G59" i="15"/>
  <c r="K59" i="15" s="1"/>
  <c r="J58" i="15"/>
  <c r="G58" i="15"/>
  <c r="K58" i="15" s="1"/>
  <c r="J57" i="15"/>
  <c r="G57" i="15"/>
  <c r="K57" i="15" s="1"/>
  <c r="J56" i="15"/>
  <c r="G56" i="15"/>
  <c r="K56" i="15" s="1"/>
  <c r="J55" i="15"/>
  <c r="G55" i="15"/>
  <c r="K55" i="15" s="1"/>
  <c r="J54" i="15"/>
  <c r="G54" i="15"/>
  <c r="K54" i="15" s="1"/>
  <c r="J53" i="15"/>
  <c r="G53" i="15"/>
  <c r="K53" i="15" s="1"/>
  <c r="J52" i="15"/>
  <c r="G52" i="15"/>
  <c r="K52" i="15" s="1"/>
  <c r="J51" i="15"/>
  <c r="G51" i="15"/>
  <c r="K51" i="15" s="1"/>
  <c r="J50" i="15"/>
  <c r="G50" i="15"/>
  <c r="K50" i="15" s="1"/>
  <c r="J49" i="15"/>
  <c r="G49" i="15"/>
  <c r="K49" i="15" s="1"/>
  <c r="J48" i="15"/>
  <c r="G48" i="15"/>
  <c r="K48" i="15" s="1"/>
  <c r="J47" i="15"/>
  <c r="G47" i="15"/>
  <c r="K47" i="15" s="1"/>
  <c r="J46" i="15"/>
  <c r="G46" i="15"/>
  <c r="K46" i="15" s="1"/>
  <c r="J45" i="15"/>
  <c r="G45" i="15"/>
  <c r="K45" i="15" s="1"/>
  <c r="J44" i="15"/>
  <c r="G44" i="15"/>
  <c r="K44" i="15" s="1"/>
  <c r="J43" i="15"/>
  <c r="G43" i="15"/>
  <c r="K43" i="15" s="1"/>
  <c r="J42" i="15"/>
  <c r="G42" i="15"/>
  <c r="K42" i="15" s="1"/>
  <c r="J41" i="15"/>
  <c r="G41" i="15"/>
  <c r="K41" i="15" s="1"/>
  <c r="J40" i="15"/>
  <c r="G40" i="15"/>
  <c r="K40" i="15" s="1"/>
  <c r="J39" i="15"/>
  <c r="G39" i="15"/>
  <c r="K39" i="15" s="1"/>
  <c r="J38" i="15"/>
  <c r="G38" i="15"/>
  <c r="K38" i="15" s="1"/>
  <c r="J37" i="15"/>
  <c r="G37" i="15"/>
  <c r="K37" i="15" s="1"/>
  <c r="J36" i="15"/>
  <c r="G36" i="15"/>
  <c r="K36" i="15" s="1"/>
  <c r="J35" i="15"/>
  <c r="G35" i="15"/>
  <c r="K35" i="15" s="1"/>
  <c r="J34" i="15"/>
  <c r="G34" i="15"/>
  <c r="K34" i="15" s="1"/>
  <c r="J33" i="15"/>
  <c r="G33" i="15"/>
  <c r="K33" i="15" s="1"/>
  <c r="J32" i="15"/>
  <c r="G32" i="15"/>
  <c r="K32" i="15" s="1"/>
  <c r="J31" i="15"/>
  <c r="G31" i="15"/>
  <c r="K31" i="15" s="1"/>
  <c r="J30" i="15"/>
  <c r="G30" i="15"/>
  <c r="K30" i="15" s="1"/>
  <c r="J29" i="15"/>
  <c r="G29" i="15"/>
  <c r="K29" i="15" s="1"/>
  <c r="J28" i="15"/>
  <c r="G28" i="15"/>
  <c r="K28" i="15" s="1"/>
  <c r="J27" i="15"/>
  <c r="G27" i="15"/>
  <c r="K27" i="15" s="1"/>
  <c r="J26" i="15"/>
  <c r="G26" i="15"/>
  <c r="K26" i="15" s="1"/>
  <c r="J25" i="15"/>
  <c r="G25" i="15"/>
  <c r="K25" i="15" s="1"/>
  <c r="J24" i="15"/>
  <c r="G24" i="15"/>
  <c r="K24" i="15" s="1"/>
  <c r="J23" i="15"/>
  <c r="G23" i="15"/>
  <c r="K23" i="15" s="1"/>
  <c r="J22" i="15"/>
  <c r="G22" i="15"/>
  <c r="K22" i="15" s="1"/>
  <c r="J21" i="15"/>
  <c r="G21" i="15"/>
  <c r="K21" i="15" s="1"/>
  <c r="J20" i="15"/>
  <c r="G20" i="15"/>
  <c r="K20" i="15" s="1"/>
  <c r="J19" i="15"/>
  <c r="G19" i="15"/>
  <c r="K19" i="15" s="1"/>
  <c r="J18" i="15"/>
  <c r="G18" i="15"/>
  <c r="K18" i="15" s="1"/>
  <c r="Q17" i="15"/>
  <c r="Q36" i="15" s="1"/>
  <c r="H17" i="15"/>
  <c r="G17" i="15"/>
  <c r="D15" i="15"/>
  <c r="O1" i="15"/>
  <c r="O8" i="15" s="1"/>
  <c r="L93" i="15" l="1"/>
  <c r="L65" i="15"/>
  <c r="L60" i="15"/>
  <c r="L120" i="15"/>
  <c r="L43" i="15"/>
  <c r="L50" i="15"/>
  <c r="L74" i="15"/>
  <c r="L86" i="15"/>
  <c r="L105" i="15"/>
  <c r="L72" i="15"/>
  <c r="L51" i="15"/>
  <c r="L110" i="15"/>
  <c r="L122" i="15"/>
  <c r="L35" i="15"/>
  <c r="H124" i="15"/>
  <c r="L96" i="15"/>
  <c r="L125" i="15"/>
  <c r="L79" i="15"/>
  <c r="Q41" i="15"/>
  <c r="U41" i="15" s="1"/>
  <c r="L80" i="15"/>
  <c r="Q52" i="15"/>
  <c r="T52" i="15" s="1"/>
  <c r="L48" i="15"/>
  <c r="L99" i="15"/>
  <c r="L116" i="15"/>
  <c r="L56" i="15"/>
  <c r="L58" i="15"/>
  <c r="L46" i="15"/>
  <c r="L108" i="15"/>
  <c r="Q48" i="15"/>
  <c r="U48" i="15" s="1"/>
  <c r="L38" i="15"/>
  <c r="Q94" i="15"/>
  <c r="T94" i="15" s="1"/>
  <c r="L21" i="15"/>
  <c r="L100" i="15"/>
  <c r="L124" i="15"/>
  <c r="L84" i="15"/>
  <c r="Q45" i="15"/>
  <c r="U45" i="15" s="1"/>
  <c r="Q76" i="15"/>
  <c r="U76" i="15" s="1"/>
  <c r="Q42" i="15"/>
  <c r="U42" i="15" s="1"/>
  <c r="L68" i="15"/>
  <c r="L77" i="15"/>
  <c r="L91" i="15"/>
  <c r="Q82" i="15"/>
  <c r="U82" i="15" s="1"/>
  <c r="L87" i="15"/>
  <c r="L40" i="15"/>
  <c r="Q46" i="15"/>
  <c r="U46" i="15" s="1"/>
  <c r="L92" i="15"/>
  <c r="Q100" i="15"/>
  <c r="L23" i="15"/>
  <c r="H27" i="15"/>
  <c r="L55" i="15"/>
  <c r="Q64" i="15"/>
  <c r="U64" i="15" s="1"/>
  <c r="Q19" i="15"/>
  <c r="T19" i="15" s="1"/>
  <c r="L27" i="15"/>
  <c r="Q40" i="15"/>
  <c r="T40" i="15" s="1"/>
  <c r="L70" i="15"/>
  <c r="L101" i="15"/>
  <c r="L106" i="15"/>
  <c r="Q25" i="15"/>
  <c r="T25" i="15" s="1"/>
  <c r="Q34" i="15"/>
  <c r="U34" i="15" s="1"/>
  <c r="L49" i="15"/>
  <c r="Q58" i="15"/>
  <c r="L113" i="15"/>
  <c r="Q23" i="15"/>
  <c r="T23" i="15" s="1"/>
  <c r="H44" i="15"/>
  <c r="Q88" i="15"/>
  <c r="U88" i="15" s="1"/>
  <c r="L67" i="15"/>
  <c r="L82" i="15"/>
  <c r="L20" i="15"/>
  <c r="H37" i="15"/>
  <c r="H41" i="15"/>
  <c r="L44" i="15"/>
  <c r="Q70" i="15"/>
  <c r="U70" i="15" s="1"/>
  <c r="L75" i="15"/>
  <c r="L98" i="15"/>
  <c r="Q106" i="15"/>
  <c r="T106" i="15" s="1"/>
  <c r="L111" i="15"/>
  <c r="L104" i="15"/>
  <c r="L118" i="15"/>
  <c r="Q118" i="15"/>
  <c r="T118" i="15" s="1"/>
  <c r="H23" i="15"/>
  <c r="L33" i="15"/>
  <c r="L37" i="15"/>
  <c r="L41" i="15"/>
  <c r="L89" i="15"/>
  <c r="L94" i="15"/>
  <c r="Q124" i="15"/>
  <c r="T124" i="15" s="1"/>
  <c r="Q112" i="15"/>
  <c r="U112" i="15" s="1"/>
  <c r="L63" i="15"/>
  <c r="J129" i="15"/>
  <c r="L123" i="15"/>
  <c r="H21" i="15"/>
  <c r="Q28" i="15"/>
  <c r="U28" i="15" s="1"/>
  <c r="L62" i="15"/>
  <c r="H28" i="15"/>
  <c r="L126" i="15"/>
  <c r="K129" i="15"/>
  <c r="L22" i="15"/>
  <c r="L18" i="15"/>
  <c r="L34" i="15"/>
  <c r="L31" i="15"/>
  <c r="L53" i="15"/>
  <c r="L69" i="15"/>
  <c r="H31" i="15"/>
  <c r="L25" i="15"/>
  <c r="L47" i="15"/>
  <c r="L66" i="15"/>
  <c r="L90" i="15"/>
  <c r="L102" i="15"/>
  <c r="L28" i="15"/>
  <c r="L32" i="15"/>
  <c r="L119" i="15"/>
  <c r="L19" i="15"/>
  <c r="L59" i="15"/>
  <c r="L39" i="15"/>
  <c r="L42" i="15"/>
  <c r="L83" i="15"/>
  <c r="L26" i="15"/>
  <c r="U36" i="15"/>
  <c r="T36" i="15"/>
  <c r="L112" i="15"/>
  <c r="L117" i="15"/>
  <c r="L36" i="15"/>
  <c r="S36" i="15" s="1"/>
  <c r="R36" i="15" s="1"/>
  <c r="L30" i="15"/>
  <c r="L52" i="15"/>
  <c r="L57" i="15"/>
  <c r="L76" i="15"/>
  <c r="L95" i="15"/>
  <c r="L128" i="15"/>
  <c r="L54" i="15"/>
  <c r="L114" i="15"/>
  <c r="L24" i="15"/>
  <c r="L29" i="15"/>
  <c r="L64" i="15"/>
  <c r="L71" i="15"/>
  <c r="L78" i="15"/>
  <c r="L81" i="15"/>
  <c r="L88" i="15"/>
  <c r="H35" i="15"/>
  <c r="L107" i="15"/>
  <c r="L45" i="15"/>
  <c r="H128" i="15"/>
  <c r="Q18" i="15"/>
  <c r="U18" i="15" s="1"/>
  <c r="H22" i="15"/>
  <c r="Q24" i="15"/>
  <c r="T24" i="15" s="1"/>
  <c r="Q29" i="15"/>
  <c r="T29" i="15" s="1"/>
  <c r="H32" i="15"/>
  <c r="H51" i="15"/>
  <c r="Q59" i="15"/>
  <c r="U59" i="15" s="1"/>
  <c r="Q71" i="15"/>
  <c r="U71" i="15" s="1"/>
  <c r="Q83" i="15"/>
  <c r="U83" i="15" s="1"/>
  <c r="Q95" i="15"/>
  <c r="U95" i="15" s="1"/>
  <c r="Q107" i="15"/>
  <c r="U107" i="15" s="1"/>
  <c r="Q119" i="15"/>
  <c r="T119" i="15" s="1"/>
  <c r="Q126" i="15"/>
  <c r="U126" i="15" s="1"/>
  <c r="H45" i="15"/>
  <c r="Q33" i="15"/>
  <c r="T33" i="15" s="1"/>
  <c r="Q37" i="15"/>
  <c r="H40" i="15"/>
  <c r="Q54" i="15"/>
  <c r="T54" i="15" s="1"/>
  <c r="H56" i="15"/>
  <c r="H58" i="15"/>
  <c r="L61" i="15"/>
  <c r="H63" i="15"/>
  <c r="Q66" i="15"/>
  <c r="U66" i="15" s="1"/>
  <c r="H68" i="15"/>
  <c r="H70" i="15"/>
  <c r="L73" i="15"/>
  <c r="H75" i="15"/>
  <c r="Q78" i="15"/>
  <c r="T78" i="15" s="1"/>
  <c r="H80" i="15"/>
  <c r="H82" i="15"/>
  <c r="L85" i="15"/>
  <c r="H87" i="15"/>
  <c r="Q90" i="15"/>
  <c r="U90" i="15" s="1"/>
  <c r="H92" i="15"/>
  <c r="H94" i="15"/>
  <c r="L97" i="15"/>
  <c r="H99" i="15"/>
  <c r="Q102" i="15"/>
  <c r="T102" i="15" s="1"/>
  <c r="H104" i="15"/>
  <c r="H106" i="15"/>
  <c r="L109" i="15"/>
  <c r="H111" i="15"/>
  <c r="Q114" i="15"/>
  <c r="T114" i="15" s="1"/>
  <c r="H116" i="15"/>
  <c r="H118" i="15"/>
  <c r="L121" i="15"/>
  <c r="H123" i="15"/>
  <c r="H20" i="15"/>
  <c r="Q22" i="15"/>
  <c r="T22" i="15" s="1"/>
  <c r="H26" i="15"/>
  <c r="H39" i="15"/>
  <c r="G129" i="15"/>
  <c r="Q127" i="15"/>
  <c r="U127" i="15" s="1"/>
  <c r="Q121" i="15"/>
  <c r="U121" i="15" s="1"/>
  <c r="Q115" i="15"/>
  <c r="Q109" i="15"/>
  <c r="U109" i="15" s="1"/>
  <c r="Q103" i="15"/>
  <c r="Q97" i="15"/>
  <c r="U97" i="15" s="1"/>
  <c r="Q91" i="15"/>
  <c r="Q85" i="15"/>
  <c r="U85" i="15" s="1"/>
  <c r="Q79" i="15"/>
  <c r="Q73" i="15"/>
  <c r="U73" i="15" s="1"/>
  <c r="Q67" i="15"/>
  <c r="Q61" i="15"/>
  <c r="U61" i="15" s="1"/>
  <c r="Q55" i="15"/>
  <c r="Q49" i="15"/>
  <c r="Q128" i="15"/>
  <c r="T128" i="15" s="1"/>
  <c r="Q122" i="15"/>
  <c r="Q116" i="15"/>
  <c r="U116" i="15" s="1"/>
  <c r="Q110" i="15"/>
  <c r="Q104" i="15"/>
  <c r="U104" i="15" s="1"/>
  <c r="Q98" i="15"/>
  <c r="Q92" i="15"/>
  <c r="U92" i="15" s="1"/>
  <c r="Q86" i="15"/>
  <c r="Q80" i="15"/>
  <c r="U80" i="15" s="1"/>
  <c r="Q74" i="15"/>
  <c r="Q68" i="15"/>
  <c r="U68" i="15" s="1"/>
  <c r="Q62" i="15"/>
  <c r="Q56" i="15"/>
  <c r="U56" i="15" s="1"/>
  <c r="Q50" i="15"/>
  <c r="U50" i="15" s="1"/>
  <c r="Q44" i="15"/>
  <c r="Q38" i="15"/>
  <c r="U38" i="15" s="1"/>
  <c r="Q32" i="15"/>
  <c r="T32" i="15" s="1"/>
  <c r="Q123" i="15"/>
  <c r="U123" i="15" s="1"/>
  <c r="Q117" i="15"/>
  <c r="T117" i="15" s="1"/>
  <c r="Q111" i="15"/>
  <c r="Q105" i="15"/>
  <c r="Q99" i="15"/>
  <c r="T99" i="15" s="1"/>
  <c r="Q93" i="15"/>
  <c r="Q87" i="15"/>
  <c r="U87" i="15" s="1"/>
  <c r="Q81" i="15"/>
  <c r="U81" i="15" s="1"/>
  <c r="Q75" i="15"/>
  <c r="U75" i="15" s="1"/>
  <c r="Q69" i="15"/>
  <c r="U69" i="15" s="1"/>
  <c r="Q63" i="15"/>
  <c r="Q57" i="15"/>
  <c r="U57" i="15" s="1"/>
  <c r="Q51" i="15"/>
  <c r="U51" i="15" s="1"/>
  <c r="H19" i="15"/>
  <c r="Q21" i="15"/>
  <c r="U21" i="15" s="1"/>
  <c r="H25" i="15"/>
  <c r="Q27" i="15"/>
  <c r="U27" i="15" s="1"/>
  <c r="Q31" i="15"/>
  <c r="T31" i="15" s="1"/>
  <c r="H34" i="15"/>
  <c r="Q53" i="15"/>
  <c r="U53" i="15" s="1"/>
  <c r="Q65" i="15"/>
  <c r="Q77" i="15"/>
  <c r="U77" i="15" s="1"/>
  <c r="Q89" i="15"/>
  <c r="T89" i="15" s="1"/>
  <c r="Q101" i="15"/>
  <c r="T101" i="15" s="1"/>
  <c r="Q113" i="15"/>
  <c r="U113" i="15" s="1"/>
  <c r="Q125" i="15"/>
  <c r="U125" i="15" s="1"/>
  <c r="L127" i="15"/>
  <c r="H43" i="15"/>
  <c r="Q35" i="15"/>
  <c r="H38" i="15"/>
  <c r="H46" i="15"/>
  <c r="Q47" i="15"/>
  <c r="U47" i="15" s="1"/>
  <c r="H52" i="15"/>
  <c r="H57" i="15"/>
  <c r="Q60" i="15"/>
  <c r="H62" i="15"/>
  <c r="H64" i="15"/>
  <c r="H69" i="15"/>
  <c r="Q72" i="15"/>
  <c r="H74" i="15"/>
  <c r="H76" i="15"/>
  <c r="H81" i="15"/>
  <c r="Q84" i="15"/>
  <c r="H86" i="15"/>
  <c r="H88" i="15"/>
  <c r="H93" i="15"/>
  <c r="Q96" i="15"/>
  <c r="H98" i="15"/>
  <c r="H100" i="15"/>
  <c r="L103" i="15"/>
  <c r="H105" i="15"/>
  <c r="Q108" i="15"/>
  <c r="H110" i="15"/>
  <c r="H112" i="15"/>
  <c r="L115" i="15"/>
  <c r="H117" i="15"/>
  <c r="Q120" i="15"/>
  <c r="H122" i="15"/>
  <c r="H125" i="15"/>
  <c r="H119" i="15"/>
  <c r="H113" i="15"/>
  <c r="H107" i="15"/>
  <c r="H101" i="15"/>
  <c r="H95" i="15"/>
  <c r="H89" i="15"/>
  <c r="H83" i="15"/>
  <c r="H77" i="15"/>
  <c r="H71" i="15"/>
  <c r="H65" i="15"/>
  <c r="H59" i="15"/>
  <c r="H53" i="15"/>
  <c r="H47" i="15"/>
  <c r="H126" i="15"/>
  <c r="H120" i="15"/>
  <c r="H114" i="15"/>
  <c r="H108" i="15"/>
  <c r="H102" i="15"/>
  <c r="H96" i="15"/>
  <c r="H90" i="15"/>
  <c r="H84" i="15"/>
  <c r="H78" i="15"/>
  <c r="H72" i="15"/>
  <c r="H66" i="15"/>
  <c r="H60" i="15"/>
  <c r="H54" i="15"/>
  <c r="H48" i="15"/>
  <c r="H42" i="15"/>
  <c r="H36" i="15"/>
  <c r="H30" i="15"/>
  <c r="H127" i="15"/>
  <c r="H121" i="15"/>
  <c r="H115" i="15"/>
  <c r="H109" i="15"/>
  <c r="H103" i="15"/>
  <c r="H97" i="15"/>
  <c r="H91" i="15"/>
  <c r="H85" i="15"/>
  <c r="H79" i="15"/>
  <c r="H73" i="15"/>
  <c r="H67" i="15"/>
  <c r="H61" i="15"/>
  <c r="H55" i="15"/>
  <c r="H18" i="15"/>
  <c r="Q20" i="15"/>
  <c r="T20" i="15" s="1"/>
  <c r="H24" i="15"/>
  <c r="Q26" i="15"/>
  <c r="U26" i="15" s="1"/>
  <c r="H29" i="15"/>
  <c r="Q39" i="15"/>
  <c r="T39" i="15" s="1"/>
  <c r="Q43" i="15"/>
  <c r="H50" i="15"/>
  <c r="Q30" i="15"/>
  <c r="U30" i="15" s="1"/>
  <c r="H33" i="15"/>
  <c r="H49" i="15"/>
  <c r="U40" i="15" l="1"/>
  <c r="S65" i="15"/>
  <c r="R65" i="15" s="1"/>
  <c r="S93" i="15"/>
  <c r="R93" i="15" s="1"/>
  <c r="U94" i="15"/>
  <c r="S41" i="15"/>
  <c r="R41" i="15" s="1"/>
  <c r="U23" i="15"/>
  <c r="S94" i="15"/>
  <c r="R94" i="15" s="1"/>
  <c r="S75" i="15"/>
  <c r="R75" i="15" s="1"/>
  <c r="T41" i="15"/>
  <c r="S50" i="15"/>
  <c r="R50" i="15" s="1"/>
  <c r="S115" i="15"/>
  <c r="R115" i="15" s="1"/>
  <c r="S48" i="15"/>
  <c r="R48" i="15" s="1"/>
  <c r="U101" i="15"/>
  <c r="S86" i="15"/>
  <c r="R86" i="15" s="1"/>
  <c r="U118" i="15"/>
  <c r="T125" i="15"/>
  <c r="T48" i="15"/>
  <c r="U32" i="15"/>
  <c r="S52" i="15"/>
  <c r="R52" i="15" s="1"/>
  <c r="S100" i="15"/>
  <c r="R100" i="15" s="1"/>
  <c r="T46" i="15"/>
  <c r="T65" i="15"/>
  <c r="U100" i="15"/>
  <c r="U52" i="15"/>
  <c r="S104" i="15"/>
  <c r="R104" i="15" s="1"/>
  <c r="S35" i="15"/>
  <c r="R35" i="15" s="1"/>
  <c r="S108" i="15"/>
  <c r="R108" i="15" s="1"/>
  <c r="S72" i="15"/>
  <c r="R72" i="15" s="1"/>
  <c r="S105" i="15"/>
  <c r="R105" i="15" s="1"/>
  <c r="S46" i="15"/>
  <c r="R46" i="15" s="1"/>
  <c r="S99" i="15"/>
  <c r="R99" i="15" s="1"/>
  <c r="T90" i="15"/>
  <c r="S92" i="15"/>
  <c r="R92" i="15" s="1"/>
  <c r="S76" i="15"/>
  <c r="R76" i="15" s="1"/>
  <c r="S40" i="15"/>
  <c r="R40" i="15" s="1"/>
  <c r="S110" i="15"/>
  <c r="R110" i="15" s="1"/>
  <c r="T57" i="15"/>
  <c r="S82" i="15"/>
  <c r="R82" i="15" s="1"/>
  <c r="S87" i="15"/>
  <c r="R87" i="15" s="1"/>
  <c r="S80" i="15"/>
  <c r="R80" i="15" s="1"/>
  <c r="T82" i="15"/>
  <c r="S28" i="15"/>
  <c r="R28" i="15" s="1"/>
  <c r="U99" i="15"/>
  <c r="U128" i="15"/>
  <c r="T83" i="15"/>
  <c r="U25" i="15"/>
  <c r="T97" i="15"/>
  <c r="S54" i="15"/>
  <c r="R54" i="15" s="1"/>
  <c r="T53" i="15"/>
  <c r="T87" i="15"/>
  <c r="S128" i="15"/>
  <c r="R128" i="15" s="1"/>
  <c r="S34" i="15"/>
  <c r="R34" i="15" s="1"/>
  <c r="S67" i="15"/>
  <c r="R67" i="15" s="1"/>
  <c r="S95" i="15"/>
  <c r="R95" i="15" s="1"/>
  <c r="S83" i="15"/>
  <c r="R83" i="15" s="1"/>
  <c r="U119" i="15"/>
  <c r="S66" i="15"/>
  <c r="R66" i="15" s="1"/>
  <c r="S27" i="15"/>
  <c r="R27" i="15" s="1"/>
  <c r="T95" i="15"/>
  <c r="U117" i="15"/>
  <c r="T70" i="15"/>
  <c r="T66" i="15"/>
  <c r="U22" i="15"/>
  <c r="U65" i="15"/>
  <c r="T45" i="15"/>
  <c r="T28" i="15"/>
  <c r="S25" i="15"/>
  <c r="R25" i="15" s="1"/>
  <c r="S98" i="15"/>
  <c r="R98" i="15" s="1"/>
  <c r="S55" i="15"/>
  <c r="R55" i="15" s="1"/>
  <c r="T121" i="15"/>
  <c r="T100" i="15"/>
  <c r="S57" i="15"/>
  <c r="R57" i="15" s="1"/>
  <c r="T112" i="15"/>
  <c r="S58" i="15"/>
  <c r="R58" i="15" s="1"/>
  <c r="S39" i="15"/>
  <c r="R39" i="15" s="1"/>
  <c r="U31" i="15"/>
  <c r="S31" i="15"/>
  <c r="R31" i="15" s="1"/>
  <c r="T27" i="15"/>
  <c r="S127" i="15"/>
  <c r="R127" i="15" s="1"/>
  <c r="S111" i="15"/>
  <c r="R111" i="15" s="1"/>
  <c r="U93" i="15"/>
  <c r="S64" i="15"/>
  <c r="R64" i="15" s="1"/>
  <c r="T58" i="15"/>
  <c r="S112" i="15"/>
  <c r="R112" i="15" s="1"/>
  <c r="T126" i="15"/>
  <c r="S113" i="15"/>
  <c r="R113" i="15" s="1"/>
  <c r="T51" i="15"/>
  <c r="U58" i="15"/>
  <c r="U39" i="15"/>
  <c r="S126" i="15"/>
  <c r="R126" i="15" s="1"/>
  <c r="T88" i="15"/>
  <c r="T76" i="15"/>
  <c r="S63" i="15"/>
  <c r="R63" i="15" s="1"/>
  <c r="S61" i="15"/>
  <c r="R61" i="15" s="1"/>
  <c r="S45" i="15"/>
  <c r="R45" i="15" s="1"/>
  <c r="U19" i="15"/>
  <c r="T34" i="15"/>
  <c r="S44" i="15"/>
  <c r="R44" i="15" s="1"/>
  <c r="T81" i="15"/>
  <c r="T105" i="15"/>
  <c r="T59" i="15"/>
  <c r="T56" i="15"/>
  <c r="U54" i="15"/>
  <c r="S106" i="15"/>
  <c r="R106" i="15" s="1"/>
  <c r="U124" i="15"/>
  <c r="S85" i="15"/>
  <c r="R85" i="15" s="1"/>
  <c r="S107" i="15"/>
  <c r="R107" i="15" s="1"/>
  <c r="U105" i="15"/>
  <c r="S42" i="15"/>
  <c r="R42" i="15" s="1"/>
  <c r="S124" i="15"/>
  <c r="R124" i="15" s="1"/>
  <c r="T127" i="15"/>
  <c r="U106" i="15"/>
  <c r="T107" i="15"/>
  <c r="S88" i="15"/>
  <c r="R88" i="15" s="1"/>
  <c r="S114" i="15"/>
  <c r="R114" i="15" s="1"/>
  <c r="T64" i="15"/>
  <c r="T80" i="15"/>
  <c r="T42" i="15"/>
  <c r="S19" i="15"/>
  <c r="R19" i="15" s="1"/>
  <c r="U102" i="15"/>
  <c r="S118" i="15"/>
  <c r="R118" i="15" s="1"/>
  <c r="S70" i="15"/>
  <c r="R70" i="15" s="1"/>
  <c r="T93" i="15"/>
  <c r="T68" i="15"/>
  <c r="S68" i="15"/>
  <c r="R68" i="15" s="1"/>
  <c r="S23" i="15"/>
  <c r="R23" i="15" s="1"/>
  <c r="U114" i="15"/>
  <c r="S90" i="15"/>
  <c r="R90" i="15" s="1"/>
  <c r="U120" i="15"/>
  <c r="T120" i="15"/>
  <c r="U96" i="15"/>
  <c r="T96" i="15"/>
  <c r="U79" i="15"/>
  <c r="T79" i="15"/>
  <c r="U111" i="15"/>
  <c r="U44" i="15"/>
  <c r="U33" i="15"/>
  <c r="S51" i="15"/>
  <c r="R51" i="15" s="1"/>
  <c r="S59" i="15"/>
  <c r="R59" i="15" s="1"/>
  <c r="T69" i="15"/>
  <c r="T111" i="15"/>
  <c r="T71" i="15"/>
  <c r="U98" i="15"/>
  <c r="T98" i="15"/>
  <c r="U89" i="15"/>
  <c r="S81" i="15"/>
  <c r="R81" i="15" s="1"/>
  <c r="S29" i="15"/>
  <c r="R29" i="15" s="1"/>
  <c r="U29" i="15"/>
  <c r="S77" i="15"/>
  <c r="R77" i="15" s="1"/>
  <c r="S26" i="15"/>
  <c r="R26" i="15" s="1"/>
  <c r="T18" i="15"/>
  <c r="T77" i="15"/>
  <c r="U86" i="15"/>
  <c r="T86" i="15"/>
  <c r="U63" i="15"/>
  <c r="S38" i="15"/>
  <c r="R38" i="15" s="1"/>
  <c r="H129" i="15"/>
  <c r="O2" i="15" s="1"/>
  <c r="U60" i="15"/>
  <c r="T60" i="15"/>
  <c r="U91" i="15"/>
  <c r="T91" i="15"/>
  <c r="S109" i="15"/>
  <c r="R109" i="15" s="1"/>
  <c r="S78" i="15"/>
  <c r="R78" i="15" s="1"/>
  <c r="S24" i="15"/>
  <c r="R24" i="15" s="1"/>
  <c r="U24" i="15"/>
  <c r="S116" i="15"/>
  <c r="R116" i="15" s="1"/>
  <c r="S32" i="15"/>
  <c r="R32" i="15" s="1"/>
  <c r="S21" i="15"/>
  <c r="R21" i="15" s="1"/>
  <c r="U103" i="15"/>
  <c r="T103" i="15"/>
  <c r="T38" i="15"/>
  <c r="U78" i="15"/>
  <c r="T30" i="15"/>
  <c r="U84" i="15"/>
  <c r="T84" i="15"/>
  <c r="U122" i="15"/>
  <c r="T122" i="15"/>
  <c r="S73" i="15"/>
  <c r="R73" i="15" s="1"/>
  <c r="T85" i="15"/>
  <c r="S71" i="15"/>
  <c r="R71" i="15" s="1"/>
  <c r="S60" i="15"/>
  <c r="R60" i="15" s="1"/>
  <c r="S33" i="15"/>
  <c r="R33" i="15" s="1"/>
  <c r="S125" i="15"/>
  <c r="R125" i="15" s="1"/>
  <c r="L129" i="15"/>
  <c r="O3" i="15" s="1"/>
  <c r="S18" i="15"/>
  <c r="U108" i="15"/>
  <c r="T108" i="15"/>
  <c r="T26" i="15"/>
  <c r="T73" i="15"/>
  <c r="S89" i="15"/>
  <c r="R89" i="15" s="1"/>
  <c r="T43" i="15"/>
  <c r="S43" i="15"/>
  <c r="R43" i="15" s="1"/>
  <c r="U62" i="15"/>
  <c r="T62" i="15"/>
  <c r="U49" i="15"/>
  <c r="T49" i="15"/>
  <c r="S97" i="15"/>
  <c r="R97" i="15" s="1"/>
  <c r="S49" i="15"/>
  <c r="R49" i="15" s="1"/>
  <c r="S79" i="15"/>
  <c r="R79" i="15" s="1"/>
  <c r="S62" i="15"/>
  <c r="R62" i="15" s="1"/>
  <c r="S69" i="15"/>
  <c r="R69" i="15" s="1"/>
  <c r="T21" i="15"/>
  <c r="U110" i="15"/>
  <c r="T110" i="15"/>
  <c r="U37" i="15"/>
  <c r="T37" i="15"/>
  <c r="T113" i="15"/>
  <c r="U55" i="15"/>
  <c r="T55" i="15"/>
  <c r="T123" i="15"/>
  <c r="U20" i="15"/>
  <c r="T92" i="15"/>
  <c r="U43" i="15"/>
  <c r="S120" i="15"/>
  <c r="R120" i="15" s="1"/>
  <c r="T75" i="15"/>
  <c r="T116" i="15"/>
  <c r="S123" i="15"/>
  <c r="R123" i="15" s="1"/>
  <c r="T47" i="15"/>
  <c r="S101" i="15"/>
  <c r="R101" i="15" s="1"/>
  <c r="T44" i="15"/>
  <c r="U115" i="15"/>
  <c r="T115" i="15"/>
  <c r="Q129" i="15"/>
  <c r="S37" i="15"/>
  <c r="R37" i="15" s="1"/>
  <c r="S103" i="15"/>
  <c r="R103" i="15" s="1"/>
  <c r="U35" i="15"/>
  <c r="T35" i="15"/>
  <c r="U74" i="15"/>
  <c r="T74" i="15"/>
  <c r="S121" i="15"/>
  <c r="R121" i="15" s="1"/>
  <c r="T104" i="15"/>
  <c r="S122" i="15"/>
  <c r="R122" i="15" s="1"/>
  <c r="T61" i="15"/>
  <c r="S84" i="15"/>
  <c r="R84" i="15" s="1"/>
  <c r="S91" i="15"/>
  <c r="R91" i="15" s="1"/>
  <c r="S117" i="15"/>
  <c r="R117" i="15" s="1"/>
  <c r="S119" i="15"/>
  <c r="R119" i="15" s="1"/>
  <c r="S102" i="15"/>
  <c r="R102" i="15" s="1"/>
  <c r="S53" i="15"/>
  <c r="R53" i="15" s="1"/>
  <c r="T109" i="15"/>
  <c r="S22" i="15"/>
  <c r="R22" i="15" s="1"/>
  <c r="S20" i="15"/>
  <c r="R20" i="15" s="1"/>
  <c r="U72" i="15"/>
  <c r="T72" i="15"/>
  <c r="U67" i="15"/>
  <c r="T67" i="15"/>
  <c r="S96" i="15"/>
  <c r="R96" i="15" s="1"/>
  <c r="S74" i="15"/>
  <c r="R74" i="15" s="1"/>
  <c r="T63" i="15"/>
  <c r="S30" i="15"/>
  <c r="R30" i="15" s="1"/>
  <c r="S47" i="15"/>
  <c r="R47" i="15" s="1"/>
  <c r="T50" i="15"/>
  <c r="S56" i="15"/>
  <c r="R56" i="15" s="1"/>
  <c r="O7" i="15" l="1"/>
  <c r="U14" i="15"/>
  <c r="O9" i="15" s="1"/>
  <c r="S129" i="15"/>
  <c r="O6" i="15" s="1"/>
  <c r="R18" i="15"/>
  <c r="R129" i="15" s="1"/>
  <c r="O5" i="15"/>
  <c r="O4" i="15"/>
  <c r="R9" i="15" l="1"/>
  <c r="U9" i="15" l="1"/>
  <c r="T9" i="15"/>
  <c r="S9" i="15"/>
  <c r="P129" i="11" l="1"/>
  <c r="F129" i="11"/>
  <c r="E129" i="11"/>
  <c r="O10" i="11" s="1"/>
  <c r="J128" i="11"/>
  <c r="G128" i="11"/>
  <c r="K128" i="11" s="1"/>
  <c r="J127" i="11"/>
  <c r="G127" i="11"/>
  <c r="K127" i="11" s="1"/>
  <c r="J126" i="11"/>
  <c r="G126" i="11"/>
  <c r="K126" i="11" s="1"/>
  <c r="J125" i="11"/>
  <c r="G125" i="11"/>
  <c r="K125" i="11" s="1"/>
  <c r="J124" i="11"/>
  <c r="G124" i="11"/>
  <c r="K124" i="11" s="1"/>
  <c r="J123" i="11"/>
  <c r="G123" i="11"/>
  <c r="K123" i="11" s="1"/>
  <c r="J122" i="11"/>
  <c r="G122" i="11"/>
  <c r="K122" i="11" s="1"/>
  <c r="J121" i="11"/>
  <c r="G121" i="11"/>
  <c r="K121" i="11" s="1"/>
  <c r="J120" i="11"/>
  <c r="G120" i="11"/>
  <c r="K120" i="11" s="1"/>
  <c r="J119" i="11"/>
  <c r="G119" i="11"/>
  <c r="K119" i="11" s="1"/>
  <c r="J118" i="11"/>
  <c r="G118" i="11"/>
  <c r="K118" i="11" s="1"/>
  <c r="J117" i="11"/>
  <c r="G117" i="11"/>
  <c r="K117" i="11" s="1"/>
  <c r="J116" i="11"/>
  <c r="G116" i="11"/>
  <c r="K116" i="11" s="1"/>
  <c r="J115" i="11"/>
  <c r="G115" i="11"/>
  <c r="K115" i="11" s="1"/>
  <c r="J114" i="11"/>
  <c r="G114" i="11"/>
  <c r="K114" i="11" s="1"/>
  <c r="J113" i="11"/>
  <c r="G113" i="11"/>
  <c r="K113" i="11" s="1"/>
  <c r="J112" i="11"/>
  <c r="G112" i="11"/>
  <c r="K112" i="11" s="1"/>
  <c r="J111" i="11"/>
  <c r="G111" i="11"/>
  <c r="K111" i="11" s="1"/>
  <c r="J110" i="11"/>
  <c r="G110" i="11"/>
  <c r="K110" i="11" s="1"/>
  <c r="J109" i="11"/>
  <c r="G109" i="11"/>
  <c r="K109" i="11" s="1"/>
  <c r="J108" i="11"/>
  <c r="G108" i="11"/>
  <c r="K108" i="11" s="1"/>
  <c r="J107" i="11"/>
  <c r="G107" i="11"/>
  <c r="K107" i="11" s="1"/>
  <c r="J106" i="11"/>
  <c r="G106" i="11"/>
  <c r="K106" i="11" s="1"/>
  <c r="J105" i="11"/>
  <c r="G105" i="11"/>
  <c r="K105" i="11" s="1"/>
  <c r="J104" i="11"/>
  <c r="G104" i="11"/>
  <c r="K104" i="11" s="1"/>
  <c r="J103" i="11"/>
  <c r="G103" i="11"/>
  <c r="K103" i="11" s="1"/>
  <c r="J102" i="11"/>
  <c r="G102" i="11"/>
  <c r="K102" i="11" s="1"/>
  <c r="J101" i="11"/>
  <c r="G101" i="11"/>
  <c r="K101" i="11" s="1"/>
  <c r="J100" i="11"/>
  <c r="G100" i="11"/>
  <c r="K100" i="11" s="1"/>
  <c r="J99" i="11"/>
  <c r="G99" i="11"/>
  <c r="K99" i="11" s="1"/>
  <c r="J98" i="11"/>
  <c r="G98" i="11"/>
  <c r="K98" i="11" s="1"/>
  <c r="J97" i="11"/>
  <c r="G97" i="11"/>
  <c r="K97" i="11" s="1"/>
  <c r="J96" i="11"/>
  <c r="G96" i="11"/>
  <c r="K96" i="11" s="1"/>
  <c r="J95" i="11"/>
  <c r="G95" i="11"/>
  <c r="K95" i="11" s="1"/>
  <c r="J94" i="11"/>
  <c r="G94" i="11"/>
  <c r="K94" i="11" s="1"/>
  <c r="J93" i="11"/>
  <c r="G93" i="11"/>
  <c r="K93" i="11" s="1"/>
  <c r="J92" i="11"/>
  <c r="G92" i="11"/>
  <c r="K92" i="11" s="1"/>
  <c r="J91" i="11"/>
  <c r="G91" i="11"/>
  <c r="K91" i="11" s="1"/>
  <c r="J90" i="11"/>
  <c r="G90" i="11"/>
  <c r="K90" i="11" s="1"/>
  <c r="J89" i="11"/>
  <c r="G89" i="11"/>
  <c r="K89" i="11" s="1"/>
  <c r="J88" i="11"/>
  <c r="G88" i="11"/>
  <c r="K88" i="11" s="1"/>
  <c r="J87" i="11"/>
  <c r="G87" i="11"/>
  <c r="K87" i="11" s="1"/>
  <c r="J86" i="11"/>
  <c r="G86" i="11"/>
  <c r="K86" i="11" s="1"/>
  <c r="J85" i="11"/>
  <c r="G85" i="11"/>
  <c r="K85" i="11" s="1"/>
  <c r="J84" i="11"/>
  <c r="G84" i="11"/>
  <c r="K84" i="11" s="1"/>
  <c r="J83" i="11"/>
  <c r="G83" i="11"/>
  <c r="K83" i="11" s="1"/>
  <c r="J82" i="11"/>
  <c r="G82" i="11"/>
  <c r="K82" i="11" s="1"/>
  <c r="J81" i="11"/>
  <c r="G81" i="11"/>
  <c r="K81" i="11" s="1"/>
  <c r="J80" i="11"/>
  <c r="G80" i="11"/>
  <c r="K80" i="11" s="1"/>
  <c r="J79" i="11"/>
  <c r="G79" i="11"/>
  <c r="K79" i="11" s="1"/>
  <c r="J78" i="11"/>
  <c r="G78" i="11"/>
  <c r="K78" i="11" s="1"/>
  <c r="J77" i="11"/>
  <c r="G77" i="11"/>
  <c r="K77" i="11" s="1"/>
  <c r="J76" i="11"/>
  <c r="G76" i="11"/>
  <c r="K76" i="11" s="1"/>
  <c r="J75" i="11"/>
  <c r="G75" i="11"/>
  <c r="K75" i="11" s="1"/>
  <c r="J74" i="11"/>
  <c r="G74" i="11"/>
  <c r="K74" i="11" s="1"/>
  <c r="J73" i="11"/>
  <c r="G73" i="11"/>
  <c r="K73" i="11" s="1"/>
  <c r="J72" i="11"/>
  <c r="G72" i="11"/>
  <c r="K72" i="11" s="1"/>
  <c r="J71" i="11"/>
  <c r="G71" i="11"/>
  <c r="K71" i="11" s="1"/>
  <c r="J70" i="11"/>
  <c r="G70" i="11"/>
  <c r="K70" i="11" s="1"/>
  <c r="J69" i="11"/>
  <c r="G69" i="11"/>
  <c r="K69" i="11" s="1"/>
  <c r="J68" i="11"/>
  <c r="G68" i="11"/>
  <c r="K68" i="11" s="1"/>
  <c r="J67" i="11"/>
  <c r="G67" i="11"/>
  <c r="K67" i="11" s="1"/>
  <c r="J66" i="11"/>
  <c r="G66" i="11"/>
  <c r="K66" i="11" s="1"/>
  <c r="J65" i="11"/>
  <c r="G65" i="11"/>
  <c r="K65" i="11" s="1"/>
  <c r="J64" i="11"/>
  <c r="G64" i="11"/>
  <c r="K64" i="11" s="1"/>
  <c r="J63" i="11"/>
  <c r="G63" i="11"/>
  <c r="K63" i="11" s="1"/>
  <c r="J62" i="11"/>
  <c r="G62" i="11"/>
  <c r="K62" i="11" s="1"/>
  <c r="J61" i="11"/>
  <c r="G61" i="11"/>
  <c r="K61" i="11" s="1"/>
  <c r="J60" i="11"/>
  <c r="G60" i="11"/>
  <c r="K60" i="11" s="1"/>
  <c r="J59" i="11"/>
  <c r="G59" i="11"/>
  <c r="K59" i="11" s="1"/>
  <c r="J58" i="11"/>
  <c r="G58" i="11"/>
  <c r="K58" i="11" s="1"/>
  <c r="J57" i="11"/>
  <c r="G57" i="11"/>
  <c r="K57" i="11" s="1"/>
  <c r="J56" i="11"/>
  <c r="G56" i="11"/>
  <c r="K56" i="11" s="1"/>
  <c r="J55" i="11"/>
  <c r="G55" i="11"/>
  <c r="K55" i="11" s="1"/>
  <c r="J54" i="11"/>
  <c r="G54" i="11"/>
  <c r="K54" i="11" s="1"/>
  <c r="J53" i="11"/>
  <c r="G53" i="11"/>
  <c r="K53" i="11" s="1"/>
  <c r="J52" i="11"/>
  <c r="G52" i="11"/>
  <c r="K52" i="11" s="1"/>
  <c r="J51" i="11"/>
  <c r="G51" i="11"/>
  <c r="K51" i="11" s="1"/>
  <c r="J50" i="11"/>
  <c r="G50" i="11"/>
  <c r="K50" i="11" s="1"/>
  <c r="J49" i="11"/>
  <c r="G49" i="11"/>
  <c r="K49" i="11" s="1"/>
  <c r="J48" i="11"/>
  <c r="G48" i="11"/>
  <c r="K48" i="11" s="1"/>
  <c r="J47" i="11"/>
  <c r="G47" i="11"/>
  <c r="K47" i="11" s="1"/>
  <c r="J46" i="11"/>
  <c r="G46" i="11"/>
  <c r="K46" i="11" s="1"/>
  <c r="J45" i="11"/>
  <c r="G45" i="11"/>
  <c r="K45" i="11" s="1"/>
  <c r="J44" i="11"/>
  <c r="G44" i="11"/>
  <c r="K44" i="11" s="1"/>
  <c r="J43" i="11"/>
  <c r="G43" i="11"/>
  <c r="K43" i="11" s="1"/>
  <c r="J42" i="11"/>
  <c r="G42" i="11"/>
  <c r="K42" i="11" s="1"/>
  <c r="J41" i="11"/>
  <c r="G41" i="11"/>
  <c r="K41" i="11" s="1"/>
  <c r="J40" i="11"/>
  <c r="G40" i="11"/>
  <c r="K40" i="11" s="1"/>
  <c r="J39" i="11"/>
  <c r="G39" i="11"/>
  <c r="K39" i="11" s="1"/>
  <c r="J38" i="11"/>
  <c r="G38" i="11"/>
  <c r="K38" i="11" s="1"/>
  <c r="J37" i="11"/>
  <c r="G37" i="11"/>
  <c r="K37" i="11" s="1"/>
  <c r="J36" i="11"/>
  <c r="G36" i="11"/>
  <c r="K36" i="11" s="1"/>
  <c r="J35" i="11"/>
  <c r="G35" i="11"/>
  <c r="K35" i="11" s="1"/>
  <c r="J34" i="11"/>
  <c r="G34" i="11"/>
  <c r="K34" i="11" s="1"/>
  <c r="J33" i="11"/>
  <c r="G33" i="11"/>
  <c r="K33" i="11" s="1"/>
  <c r="J32" i="11"/>
  <c r="G32" i="11"/>
  <c r="K32" i="11" s="1"/>
  <c r="J31" i="11"/>
  <c r="G31" i="11"/>
  <c r="K31" i="11" s="1"/>
  <c r="J30" i="11"/>
  <c r="G30" i="11"/>
  <c r="K30" i="11" s="1"/>
  <c r="J29" i="11"/>
  <c r="G29" i="11"/>
  <c r="K29" i="11" s="1"/>
  <c r="J28" i="11"/>
  <c r="G28" i="11"/>
  <c r="K28" i="11" s="1"/>
  <c r="J27" i="11"/>
  <c r="G27" i="11"/>
  <c r="K27" i="11" s="1"/>
  <c r="J26" i="11"/>
  <c r="G26" i="11"/>
  <c r="K26" i="11" s="1"/>
  <c r="J25" i="11"/>
  <c r="G25" i="11"/>
  <c r="K25" i="11" s="1"/>
  <c r="J24" i="11"/>
  <c r="G24" i="11"/>
  <c r="K24" i="11" s="1"/>
  <c r="J23" i="11"/>
  <c r="G23" i="11"/>
  <c r="K23" i="11" s="1"/>
  <c r="J22" i="11"/>
  <c r="G22" i="11"/>
  <c r="K22" i="11" s="1"/>
  <c r="J21" i="11"/>
  <c r="G21" i="11"/>
  <c r="K21" i="11" s="1"/>
  <c r="J20" i="11"/>
  <c r="G20" i="11"/>
  <c r="K20" i="11" s="1"/>
  <c r="J19" i="11"/>
  <c r="G19" i="11"/>
  <c r="K19" i="11" s="1"/>
  <c r="J18" i="11"/>
  <c r="G18" i="11"/>
  <c r="K18" i="11" s="1"/>
  <c r="Q17" i="11"/>
  <c r="Q96" i="11" s="1"/>
  <c r="H17" i="11"/>
  <c r="G17" i="11"/>
  <c r="D15" i="11"/>
  <c r="O1" i="11"/>
  <c r="O8" i="11" s="1"/>
  <c r="P129" i="9"/>
  <c r="F129" i="9"/>
  <c r="E129" i="9"/>
  <c r="O10" i="9" s="1"/>
  <c r="J128" i="9"/>
  <c r="G128" i="9"/>
  <c r="K128" i="9" s="1"/>
  <c r="J127" i="9"/>
  <c r="G127" i="9"/>
  <c r="K127" i="9" s="1"/>
  <c r="J126" i="9"/>
  <c r="G126" i="9"/>
  <c r="K126" i="9" s="1"/>
  <c r="J125" i="9"/>
  <c r="G125" i="9"/>
  <c r="K125" i="9" s="1"/>
  <c r="J124" i="9"/>
  <c r="G124" i="9"/>
  <c r="K124" i="9" s="1"/>
  <c r="J123" i="9"/>
  <c r="G123" i="9"/>
  <c r="K123" i="9" s="1"/>
  <c r="J122" i="9"/>
  <c r="G122" i="9"/>
  <c r="K122" i="9" s="1"/>
  <c r="J121" i="9"/>
  <c r="G121" i="9"/>
  <c r="K121" i="9" s="1"/>
  <c r="J120" i="9"/>
  <c r="G120" i="9"/>
  <c r="K120" i="9" s="1"/>
  <c r="J119" i="9"/>
  <c r="G119" i="9"/>
  <c r="K119" i="9" s="1"/>
  <c r="J118" i="9"/>
  <c r="G118" i="9"/>
  <c r="K118" i="9" s="1"/>
  <c r="J117" i="9"/>
  <c r="G117" i="9"/>
  <c r="K117" i="9" s="1"/>
  <c r="J116" i="9"/>
  <c r="G116" i="9"/>
  <c r="K116" i="9" s="1"/>
  <c r="J115" i="9"/>
  <c r="G115" i="9"/>
  <c r="K115" i="9" s="1"/>
  <c r="J114" i="9"/>
  <c r="G114" i="9"/>
  <c r="K114" i="9" s="1"/>
  <c r="J113" i="9"/>
  <c r="G113" i="9"/>
  <c r="K113" i="9" s="1"/>
  <c r="J112" i="9"/>
  <c r="G112" i="9"/>
  <c r="K112" i="9" s="1"/>
  <c r="J111" i="9"/>
  <c r="G111" i="9"/>
  <c r="K111" i="9" s="1"/>
  <c r="J110" i="9"/>
  <c r="G110" i="9"/>
  <c r="K110" i="9" s="1"/>
  <c r="J109" i="9"/>
  <c r="G109" i="9"/>
  <c r="K109" i="9" s="1"/>
  <c r="J108" i="9"/>
  <c r="G108" i="9"/>
  <c r="K108" i="9" s="1"/>
  <c r="J107" i="9"/>
  <c r="G107" i="9"/>
  <c r="K107" i="9" s="1"/>
  <c r="J106" i="9"/>
  <c r="G106" i="9"/>
  <c r="K106" i="9" s="1"/>
  <c r="J105" i="9"/>
  <c r="G105" i="9"/>
  <c r="K105" i="9" s="1"/>
  <c r="J104" i="9"/>
  <c r="G104" i="9"/>
  <c r="K104" i="9" s="1"/>
  <c r="J103" i="9"/>
  <c r="G103" i="9"/>
  <c r="K103" i="9" s="1"/>
  <c r="J102" i="9"/>
  <c r="G102" i="9"/>
  <c r="K102" i="9" s="1"/>
  <c r="J101" i="9"/>
  <c r="G101" i="9"/>
  <c r="K101" i="9" s="1"/>
  <c r="J100" i="9"/>
  <c r="G100" i="9"/>
  <c r="K100" i="9" s="1"/>
  <c r="J99" i="9"/>
  <c r="G99" i="9"/>
  <c r="K99" i="9" s="1"/>
  <c r="J98" i="9"/>
  <c r="G98" i="9"/>
  <c r="K98" i="9" s="1"/>
  <c r="J97" i="9"/>
  <c r="G97" i="9"/>
  <c r="K97" i="9" s="1"/>
  <c r="J96" i="9"/>
  <c r="G96" i="9"/>
  <c r="K96" i="9" s="1"/>
  <c r="J95" i="9"/>
  <c r="G95" i="9"/>
  <c r="K95" i="9" s="1"/>
  <c r="J94" i="9"/>
  <c r="G94" i="9"/>
  <c r="K94" i="9" s="1"/>
  <c r="J93" i="9"/>
  <c r="G93" i="9"/>
  <c r="K93" i="9" s="1"/>
  <c r="J92" i="9"/>
  <c r="G92" i="9"/>
  <c r="K92" i="9" s="1"/>
  <c r="J91" i="9"/>
  <c r="G91" i="9"/>
  <c r="K91" i="9" s="1"/>
  <c r="J90" i="9"/>
  <c r="G90" i="9"/>
  <c r="K90" i="9" s="1"/>
  <c r="J89" i="9"/>
  <c r="G89" i="9"/>
  <c r="K89" i="9" s="1"/>
  <c r="J88" i="9"/>
  <c r="G88" i="9"/>
  <c r="K88" i="9" s="1"/>
  <c r="J87" i="9"/>
  <c r="G87" i="9"/>
  <c r="K87" i="9" s="1"/>
  <c r="J86" i="9"/>
  <c r="G86" i="9"/>
  <c r="K86" i="9" s="1"/>
  <c r="J85" i="9"/>
  <c r="G85" i="9"/>
  <c r="K85" i="9" s="1"/>
  <c r="J84" i="9"/>
  <c r="G84" i="9"/>
  <c r="K84" i="9" s="1"/>
  <c r="J83" i="9"/>
  <c r="G83" i="9"/>
  <c r="K83" i="9" s="1"/>
  <c r="J82" i="9"/>
  <c r="G82" i="9"/>
  <c r="K82" i="9" s="1"/>
  <c r="J81" i="9"/>
  <c r="G81" i="9"/>
  <c r="K81" i="9" s="1"/>
  <c r="J80" i="9"/>
  <c r="G80" i="9"/>
  <c r="K80" i="9" s="1"/>
  <c r="J79" i="9"/>
  <c r="G79" i="9"/>
  <c r="K79" i="9" s="1"/>
  <c r="J78" i="9"/>
  <c r="G78" i="9"/>
  <c r="K78" i="9" s="1"/>
  <c r="J77" i="9"/>
  <c r="G77" i="9"/>
  <c r="K77" i="9" s="1"/>
  <c r="J76" i="9"/>
  <c r="G76" i="9"/>
  <c r="K76" i="9" s="1"/>
  <c r="J75" i="9"/>
  <c r="G75" i="9"/>
  <c r="K75" i="9" s="1"/>
  <c r="J74" i="9"/>
  <c r="G74" i="9"/>
  <c r="K74" i="9" s="1"/>
  <c r="J73" i="9"/>
  <c r="G73" i="9"/>
  <c r="K73" i="9" s="1"/>
  <c r="J72" i="9"/>
  <c r="G72" i="9"/>
  <c r="K72" i="9" s="1"/>
  <c r="J71" i="9"/>
  <c r="G71" i="9"/>
  <c r="K71" i="9" s="1"/>
  <c r="J70" i="9"/>
  <c r="G70" i="9"/>
  <c r="K70" i="9" s="1"/>
  <c r="J69" i="9"/>
  <c r="G69" i="9"/>
  <c r="K69" i="9" s="1"/>
  <c r="J68" i="9"/>
  <c r="G68" i="9"/>
  <c r="K68" i="9" s="1"/>
  <c r="J67" i="9"/>
  <c r="G67" i="9"/>
  <c r="K67" i="9" s="1"/>
  <c r="J66" i="9"/>
  <c r="G66" i="9"/>
  <c r="K66" i="9" s="1"/>
  <c r="J65" i="9"/>
  <c r="G65" i="9"/>
  <c r="K65" i="9" s="1"/>
  <c r="J64" i="9"/>
  <c r="G64" i="9"/>
  <c r="K64" i="9" s="1"/>
  <c r="J63" i="9"/>
  <c r="G63" i="9"/>
  <c r="K63" i="9" s="1"/>
  <c r="J62" i="9"/>
  <c r="G62" i="9"/>
  <c r="K62" i="9" s="1"/>
  <c r="J61" i="9"/>
  <c r="G61" i="9"/>
  <c r="K61" i="9" s="1"/>
  <c r="J60" i="9"/>
  <c r="G60" i="9"/>
  <c r="K60" i="9" s="1"/>
  <c r="J59" i="9"/>
  <c r="G59" i="9"/>
  <c r="K59" i="9" s="1"/>
  <c r="J58" i="9"/>
  <c r="G58" i="9"/>
  <c r="K58" i="9" s="1"/>
  <c r="J57" i="9"/>
  <c r="G57" i="9"/>
  <c r="K57" i="9" s="1"/>
  <c r="J56" i="9"/>
  <c r="G56" i="9"/>
  <c r="K56" i="9" s="1"/>
  <c r="J55" i="9"/>
  <c r="G55" i="9"/>
  <c r="K55" i="9" s="1"/>
  <c r="J54" i="9"/>
  <c r="G54" i="9"/>
  <c r="K54" i="9" s="1"/>
  <c r="J53" i="9"/>
  <c r="G53" i="9"/>
  <c r="K53" i="9" s="1"/>
  <c r="J52" i="9"/>
  <c r="G52" i="9"/>
  <c r="K52" i="9" s="1"/>
  <c r="J51" i="9"/>
  <c r="G51" i="9"/>
  <c r="K51" i="9" s="1"/>
  <c r="J50" i="9"/>
  <c r="G50" i="9"/>
  <c r="K50" i="9" s="1"/>
  <c r="J49" i="9"/>
  <c r="G49" i="9"/>
  <c r="K49" i="9" s="1"/>
  <c r="J48" i="9"/>
  <c r="G48" i="9"/>
  <c r="K48" i="9" s="1"/>
  <c r="J47" i="9"/>
  <c r="G47" i="9"/>
  <c r="K47" i="9" s="1"/>
  <c r="J46" i="9"/>
  <c r="G46" i="9"/>
  <c r="K46" i="9" s="1"/>
  <c r="J45" i="9"/>
  <c r="G45" i="9"/>
  <c r="K45" i="9" s="1"/>
  <c r="J44" i="9"/>
  <c r="G44" i="9"/>
  <c r="K44" i="9" s="1"/>
  <c r="J43" i="9"/>
  <c r="G43" i="9"/>
  <c r="K43" i="9" s="1"/>
  <c r="J42" i="9"/>
  <c r="G42" i="9"/>
  <c r="K42" i="9" s="1"/>
  <c r="J41" i="9"/>
  <c r="G41" i="9"/>
  <c r="K41" i="9" s="1"/>
  <c r="J40" i="9"/>
  <c r="G40" i="9"/>
  <c r="K40" i="9" s="1"/>
  <c r="J39" i="9"/>
  <c r="G39" i="9"/>
  <c r="K39" i="9" s="1"/>
  <c r="J38" i="9"/>
  <c r="G38" i="9"/>
  <c r="K38" i="9" s="1"/>
  <c r="J37" i="9"/>
  <c r="G37" i="9"/>
  <c r="K37" i="9" s="1"/>
  <c r="J36" i="9"/>
  <c r="G36" i="9"/>
  <c r="K36" i="9" s="1"/>
  <c r="J35" i="9"/>
  <c r="G35" i="9"/>
  <c r="K35" i="9" s="1"/>
  <c r="J34" i="9"/>
  <c r="G34" i="9"/>
  <c r="K34" i="9" s="1"/>
  <c r="J33" i="9"/>
  <c r="G33" i="9"/>
  <c r="K33" i="9" s="1"/>
  <c r="J32" i="9"/>
  <c r="G32" i="9"/>
  <c r="K32" i="9" s="1"/>
  <c r="J31" i="9"/>
  <c r="G31" i="9"/>
  <c r="K31" i="9" s="1"/>
  <c r="J30" i="9"/>
  <c r="G30" i="9"/>
  <c r="K30" i="9" s="1"/>
  <c r="J29" i="9"/>
  <c r="G29" i="9"/>
  <c r="K29" i="9" s="1"/>
  <c r="J28" i="9"/>
  <c r="G28" i="9"/>
  <c r="K28" i="9" s="1"/>
  <c r="J27" i="9"/>
  <c r="G27" i="9"/>
  <c r="K27" i="9" s="1"/>
  <c r="J26" i="9"/>
  <c r="G26" i="9"/>
  <c r="K26" i="9" s="1"/>
  <c r="J25" i="9"/>
  <c r="G25" i="9"/>
  <c r="K25" i="9" s="1"/>
  <c r="J24" i="9"/>
  <c r="G24" i="9"/>
  <c r="K24" i="9" s="1"/>
  <c r="J23" i="9"/>
  <c r="G23" i="9"/>
  <c r="K23" i="9" s="1"/>
  <c r="J22" i="9"/>
  <c r="G22" i="9"/>
  <c r="K22" i="9" s="1"/>
  <c r="J21" i="9"/>
  <c r="G21" i="9"/>
  <c r="K21" i="9" s="1"/>
  <c r="J20" i="9"/>
  <c r="G20" i="9"/>
  <c r="K20" i="9" s="1"/>
  <c r="J19" i="9"/>
  <c r="G19" i="9"/>
  <c r="K19" i="9" s="1"/>
  <c r="J18" i="9"/>
  <c r="G18" i="9"/>
  <c r="Q17" i="9"/>
  <c r="Q90" i="9" s="1"/>
  <c r="H17" i="9"/>
  <c r="G17" i="9"/>
  <c r="D15" i="9"/>
  <c r="O1" i="9"/>
  <c r="O8" i="9" s="1"/>
  <c r="P129" i="7"/>
  <c r="F129" i="7"/>
  <c r="E129" i="7"/>
  <c r="O10" i="7" s="1"/>
  <c r="J128" i="7"/>
  <c r="G128" i="7"/>
  <c r="K128" i="7" s="1"/>
  <c r="J127" i="7"/>
  <c r="G127" i="7"/>
  <c r="K127" i="7" s="1"/>
  <c r="J126" i="7"/>
  <c r="G126" i="7"/>
  <c r="K126" i="7" s="1"/>
  <c r="J125" i="7"/>
  <c r="G125" i="7"/>
  <c r="K125" i="7" s="1"/>
  <c r="J124" i="7"/>
  <c r="G124" i="7"/>
  <c r="K124" i="7" s="1"/>
  <c r="J123" i="7"/>
  <c r="G123" i="7"/>
  <c r="K123" i="7" s="1"/>
  <c r="J122" i="7"/>
  <c r="G122" i="7"/>
  <c r="K122" i="7" s="1"/>
  <c r="J121" i="7"/>
  <c r="G121" i="7"/>
  <c r="K121" i="7" s="1"/>
  <c r="J120" i="7"/>
  <c r="G120" i="7"/>
  <c r="K120" i="7" s="1"/>
  <c r="J119" i="7"/>
  <c r="G119" i="7"/>
  <c r="K119" i="7" s="1"/>
  <c r="J118" i="7"/>
  <c r="G118" i="7"/>
  <c r="K118" i="7" s="1"/>
  <c r="J117" i="7"/>
  <c r="G117" i="7"/>
  <c r="K117" i="7" s="1"/>
  <c r="J116" i="7"/>
  <c r="G116" i="7"/>
  <c r="K116" i="7" s="1"/>
  <c r="J115" i="7"/>
  <c r="G115" i="7"/>
  <c r="K115" i="7" s="1"/>
  <c r="J114" i="7"/>
  <c r="G114" i="7"/>
  <c r="K114" i="7" s="1"/>
  <c r="J113" i="7"/>
  <c r="G113" i="7"/>
  <c r="K113" i="7" s="1"/>
  <c r="J112" i="7"/>
  <c r="G112" i="7"/>
  <c r="K112" i="7" s="1"/>
  <c r="J111" i="7"/>
  <c r="G111" i="7"/>
  <c r="K111" i="7" s="1"/>
  <c r="J110" i="7"/>
  <c r="G110" i="7"/>
  <c r="K110" i="7" s="1"/>
  <c r="J109" i="7"/>
  <c r="G109" i="7"/>
  <c r="K109" i="7" s="1"/>
  <c r="J108" i="7"/>
  <c r="G108" i="7"/>
  <c r="K108" i="7" s="1"/>
  <c r="J107" i="7"/>
  <c r="G107" i="7"/>
  <c r="K107" i="7" s="1"/>
  <c r="J106" i="7"/>
  <c r="G106" i="7"/>
  <c r="K106" i="7" s="1"/>
  <c r="J105" i="7"/>
  <c r="G105" i="7"/>
  <c r="K105" i="7" s="1"/>
  <c r="J104" i="7"/>
  <c r="G104" i="7"/>
  <c r="K104" i="7" s="1"/>
  <c r="J103" i="7"/>
  <c r="G103" i="7"/>
  <c r="K103" i="7" s="1"/>
  <c r="J102" i="7"/>
  <c r="G102" i="7"/>
  <c r="K102" i="7" s="1"/>
  <c r="J101" i="7"/>
  <c r="G101" i="7"/>
  <c r="K101" i="7" s="1"/>
  <c r="J100" i="7"/>
  <c r="G100" i="7"/>
  <c r="K100" i="7" s="1"/>
  <c r="J99" i="7"/>
  <c r="G99" i="7"/>
  <c r="K99" i="7" s="1"/>
  <c r="J98" i="7"/>
  <c r="G98" i="7"/>
  <c r="K98" i="7" s="1"/>
  <c r="J97" i="7"/>
  <c r="G97" i="7"/>
  <c r="K97" i="7" s="1"/>
  <c r="J96" i="7"/>
  <c r="G96" i="7"/>
  <c r="K96" i="7" s="1"/>
  <c r="J95" i="7"/>
  <c r="G95" i="7"/>
  <c r="J94" i="7"/>
  <c r="G94" i="7"/>
  <c r="K94" i="7" s="1"/>
  <c r="J93" i="7"/>
  <c r="G93" i="7"/>
  <c r="K93" i="7" s="1"/>
  <c r="J92" i="7"/>
  <c r="G92" i="7"/>
  <c r="K92" i="7" s="1"/>
  <c r="J91" i="7"/>
  <c r="G91" i="7"/>
  <c r="K91" i="7" s="1"/>
  <c r="J90" i="7"/>
  <c r="G90" i="7"/>
  <c r="K90" i="7" s="1"/>
  <c r="J89" i="7"/>
  <c r="G89" i="7"/>
  <c r="K89" i="7" s="1"/>
  <c r="J88" i="7"/>
  <c r="G88" i="7"/>
  <c r="K88" i="7" s="1"/>
  <c r="J87" i="7"/>
  <c r="G87" i="7"/>
  <c r="K87" i="7" s="1"/>
  <c r="J86" i="7"/>
  <c r="G86" i="7"/>
  <c r="K86" i="7" s="1"/>
  <c r="J85" i="7"/>
  <c r="G85" i="7"/>
  <c r="K85" i="7" s="1"/>
  <c r="J84" i="7"/>
  <c r="G84" i="7"/>
  <c r="K84" i="7" s="1"/>
  <c r="J83" i="7"/>
  <c r="G83" i="7"/>
  <c r="K83" i="7" s="1"/>
  <c r="J82" i="7"/>
  <c r="G82" i="7"/>
  <c r="K82" i="7" s="1"/>
  <c r="J81" i="7"/>
  <c r="G81" i="7"/>
  <c r="K81" i="7" s="1"/>
  <c r="J80" i="7"/>
  <c r="G80" i="7"/>
  <c r="K80" i="7" s="1"/>
  <c r="J79" i="7"/>
  <c r="G79" i="7"/>
  <c r="K79" i="7" s="1"/>
  <c r="J78" i="7"/>
  <c r="G78" i="7"/>
  <c r="K78" i="7" s="1"/>
  <c r="J77" i="7"/>
  <c r="G77" i="7"/>
  <c r="K77" i="7" s="1"/>
  <c r="J76" i="7"/>
  <c r="G76" i="7"/>
  <c r="K76" i="7" s="1"/>
  <c r="J75" i="7"/>
  <c r="G75" i="7"/>
  <c r="K75" i="7" s="1"/>
  <c r="J74" i="7"/>
  <c r="G74" i="7"/>
  <c r="K74" i="7" s="1"/>
  <c r="J73" i="7"/>
  <c r="G73" i="7"/>
  <c r="K73" i="7" s="1"/>
  <c r="J72" i="7"/>
  <c r="G72" i="7"/>
  <c r="K72" i="7" s="1"/>
  <c r="J71" i="7"/>
  <c r="G71" i="7"/>
  <c r="K71" i="7" s="1"/>
  <c r="J70" i="7"/>
  <c r="G70" i="7"/>
  <c r="K70" i="7" s="1"/>
  <c r="J69" i="7"/>
  <c r="G69" i="7"/>
  <c r="K69" i="7" s="1"/>
  <c r="J68" i="7"/>
  <c r="G68" i="7"/>
  <c r="J67" i="7"/>
  <c r="G67" i="7"/>
  <c r="K67" i="7" s="1"/>
  <c r="J66" i="7"/>
  <c r="G66" i="7"/>
  <c r="K66" i="7" s="1"/>
  <c r="J65" i="7"/>
  <c r="G65" i="7"/>
  <c r="J64" i="7"/>
  <c r="G64" i="7"/>
  <c r="K64" i="7" s="1"/>
  <c r="J63" i="7"/>
  <c r="G63" i="7"/>
  <c r="K63" i="7" s="1"/>
  <c r="J62" i="7"/>
  <c r="G62" i="7"/>
  <c r="K62" i="7" s="1"/>
  <c r="J61" i="7"/>
  <c r="G61" i="7"/>
  <c r="K61" i="7" s="1"/>
  <c r="J60" i="7"/>
  <c r="G60" i="7"/>
  <c r="K60" i="7" s="1"/>
  <c r="J59" i="7"/>
  <c r="G59" i="7"/>
  <c r="K59" i="7" s="1"/>
  <c r="J58" i="7"/>
  <c r="G58" i="7"/>
  <c r="K58" i="7" s="1"/>
  <c r="J57" i="7"/>
  <c r="G57" i="7"/>
  <c r="K57" i="7" s="1"/>
  <c r="J56" i="7"/>
  <c r="G56" i="7"/>
  <c r="K56" i="7" s="1"/>
  <c r="J55" i="7"/>
  <c r="G55" i="7"/>
  <c r="K55" i="7" s="1"/>
  <c r="J54" i="7"/>
  <c r="G54" i="7"/>
  <c r="K54" i="7" s="1"/>
  <c r="J53" i="7"/>
  <c r="G53" i="7"/>
  <c r="K53" i="7" s="1"/>
  <c r="J52" i="7"/>
  <c r="G52" i="7"/>
  <c r="K52" i="7" s="1"/>
  <c r="J51" i="7"/>
  <c r="G51" i="7"/>
  <c r="K51" i="7" s="1"/>
  <c r="J50" i="7"/>
  <c r="G50" i="7"/>
  <c r="K50" i="7" s="1"/>
  <c r="J49" i="7"/>
  <c r="G49" i="7"/>
  <c r="K49" i="7" s="1"/>
  <c r="J48" i="7"/>
  <c r="G48" i="7"/>
  <c r="K48" i="7" s="1"/>
  <c r="J47" i="7"/>
  <c r="G47" i="7"/>
  <c r="K47" i="7" s="1"/>
  <c r="J46" i="7"/>
  <c r="G46" i="7"/>
  <c r="K46" i="7" s="1"/>
  <c r="J45" i="7"/>
  <c r="G45" i="7"/>
  <c r="J44" i="7"/>
  <c r="G44" i="7"/>
  <c r="K44" i="7" s="1"/>
  <c r="J43" i="7"/>
  <c r="G43" i="7"/>
  <c r="K43" i="7" s="1"/>
  <c r="J42" i="7"/>
  <c r="G42" i="7"/>
  <c r="K42" i="7" s="1"/>
  <c r="J41" i="7"/>
  <c r="G41" i="7"/>
  <c r="K41" i="7" s="1"/>
  <c r="J40" i="7"/>
  <c r="G40" i="7"/>
  <c r="J39" i="7"/>
  <c r="G39" i="7"/>
  <c r="K39" i="7" s="1"/>
  <c r="J38" i="7"/>
  <c r="G38" i="7"/>
  <c r="K38" i="7" s="1"/>
  <c r="J37" i="7"/>
  <c r="G37" i="7"/>
  <c r="K37" i="7" s="1"/>
  <c r="J36" i="7"/>
  <c r="G36" i="7"/>
  <c r="K36" i="7" s="1"/>
  <c r="J35" i="7"/>
  <c r="G35" i="7"/>
  <c r="K35" i="7" s="1"/>
  <c r="J34" i="7"/>
  <c r="G34" i="7"/>
  <c r="K34" i="7" s="1"/>
  <c r="J33" i="7"/>
  <c r="G33" i="7"/>
  <c r="K33" i="7" s="1"/>
  <c r="J32" i="7"/>
  <c r="G32" i="7"/>
  <c r="K32" i="7" s="1"/>
  <c r="J31" i="7"/>
  <c r="G31" i="7"/>
  <c r="K31" i="7" s="1"/>
  <c r="J30" i="7"/>
  <c r="G30" i="7"/>
  <c r="K30" i="7" s="1"/>
  <c r="J29" i="7"/>
  <c r="G29" i="7"/>
  <c r="K29" i="7" s="1"/>
  <c r="J28" i="7"/>
  <c r="G28" i="7"/>
  <c r="K28" i="7" s="1"/>
  <c r="J27" i="7"/>
  <c r="G27" i="7"/>
  <c r="K27" i="7" s="1"/>
  <c r="J26" i="7"/>
  <c r="G26" i="7"/>
  <c r="K26" i="7" s="1"/>
  <c r="J25" i="7"/>
  <c r="G25" i="7"/>
  <c r="K25" i="7" s="1"/>
  <c r="J24" i="7"/>
  <c r="G24" i="7"/>
  <c r="K24" i="7" s="1"/>
  <c r="J23" i="7"/>
  <c r="G23" i="7"/>
  <c r="K23" i="7" s="1"/>
  <c r="J22" i="7"/>
  <c r="G22" i="7"/>
  <c r="K22" i="7" s="1"/>
  <c r="J21" i="7"/>
  <c r="G21" i="7"/>
  <c r="K21" i="7" s="1"/>
  <c r="J20" i="7"/>
  <c r="G20" i="7"/>
  <c r="K20" i="7" s="1"/>
  <c r="J19" i="7"/>
  <c r="G19" i="7"/>
  <c r="J18" i="7"/>
  <c r="G18" i="7"/>
  <c r="K18" i="7" s="1"/>
  <c r="Q17" i="7"/>
  <c r="Q48" i="7" s="1"/>
  <c r="H17" i="7"/>
  <c r="G17" i="7"/>
  <c r="D15" i="7"/>
  <c r="O1" i="7"/>
  <c r="O8" i="7" s="1"/>
  <c r="B126" i="2"/>
  <c r="C126" i="2"/>
  <c r="D126" i="2"/>
  <c r="F126" i="2" s="1"/>
  <c r="B127" i="2"/>
  <c r="C127" i="2"/>
  <c r="D127" i="2"/>
  <c r="F127" i="2" s="1"/>
  <c r="B128" i="2"/>
  <c r="C128" i="2"/>
  <c r="D128" i="2"/>
  <c r="F128" i="2" s="1"/>
  <c r="B115" i="2"/>
  <c r="C115" i="2"/>
  <c r="D115" i="2"/>
  <c r="F115" i="2" s="1"/>
  <c r="B116" i="2"/>
  <c r="C116" i="2"/>
  <c r="D116" i="2"/>
  <c r="F116" i="2" s="1"/>
  <c r="B117" i="2"/>
  <c r="C117" i="2"/>
  <c r="D117" i="2"/>
  <c r="F117" i="2" s="1"/>
  <c r="B118" i="2"/>
  <c r="C118" i="2"/>
  <c r="D118" i="2"/>
  <c r="F118" i="2" s="1"/>
  <c r="B119" i="2"/>
  <c r="C119" i="2"/>
  <c r="D119" i="2"/>
  <c r="F119" i="2" s="1"/>
  <c r="B120" i="2"/>
  <c r="C120" i="2"/>
  <c r="D120" i="2"/>
  <c r="F120" i="2" s="1"/>
  <c r="B121" i="2"/>
  <c r="C121" i="2"/>
  <c r="D121" i="2"/>
  <c r="F121" i="2" s="1"/>
  <c r="B122" i="2"/>
  <c r="C122" i="2"/>
  <c r="D122" i="2"/>
  <c r="F122" i="2" s="1"/>
  <c r="B123" i="2"/>
  <c r="C123" i="2"/>
  <c r="D123" i="2"/>
  <c r="F123" i="2" s="1"/>
  <c r="B124" i="2"/>
  <c r="C124" i="2"/>
  <c r="D124" i="2"/>
  <c r="F124" i="2" s="1"/>
  <c r="B125" i="2"/>
  <c r="C125" i="2"/>
  <c r="D125" i="2"/>
  <c r="F125" i="2" s="1"/>
  <c r="B92" i="2"/>
  <c r="C92" i="2"/>
  <c r="D92" i="2"/>
  <c r="F92" i="2" s="1"/>
  <c r="B93" i="2"/>
  <c r="C93" i="2"/>
  <c r="D93" i="2"/>
  <c r="F93" i="2" s="1"/>
  <c r="B94" i="2"/>
  <c r="C94" i="2"/>
  <c r="D94" i="2"/>
  <c r="F94" i="2" s="1"/>
  <c r="B95" i="2"/>
  <c r="C95" i="2"/>
  <c r="D95" i="2"/>
  <c r="F95" i="2" s="1"/>
  <c r="B96" i="2"/>
  <c r="C96" i="2"/>
  <c r="D96" i="2"/>
  <c r="F96" i="2" s="1"/>
  <c r="B97" i="2"/>
  <c r="C97" i="2"/>
  <c r="D97" i="2"/>
  <c r="F97" i="2" s="1"/>
  <c r="B98" i="2"/>
  <c r="C98" i="2"/>
  <c r="D98" i="2"/>
  <c r="F98" i="2" s="1"/>
  <c r="B99" i="2"/>
  <c r="C99" i="2"/>
  <c r="D99" i="2"/>
  <c r="F99" i="2" s="1"/>
  <c r="B100" i="2"/>
  <c r="C100" i="2"/>
  <c r="D100" i="2"/>
  <c r="F100" i="2" s="1"/>
  <c r="B101" i="2"/>
  <c r="C101" i="2"/>
  <c r="D101" i="2"/>
  <c r="F101" i="2" s="1"/>
  <c r="B102" i="2"/>
  <c r="C102" i="2"/>
  <c r="D102" i="2"/>
  <c r="F102" i="2" s="1"/>
  <c r="B103" i="2"/>
  <c r="C103" i="2"/>
  <c r="D103" i="2"/>
  <c r="F103" i="2" s="1"/>
  <c r="B104" i="2"/>
  <c r="C104" i="2"/>
  <c r="D104" i="2"/>
  <c r="F104" i="2" s="1"/>
  <c r="B105" i="2"/>
  <c r="C105" i="2"/>
  <c r="D105" i="2"/>
  <c r="F105" i="2" s="1"/>
  <c r="B106" i="2"/>
  <c r="C106" i="2"/>
  <c r="D106" i="2"/>
  <c r="F106" i="2" s="1"/>
  <c r="B107" i="2"/>
  <c r="C107" i="2"/>
  <c r="D107" i="2"/>
  <c r="F107" i="2" s="1"/>
  <c r="B108" i="2"/>
  <c r="C108" i="2"/>
  <c r="D108" i="2"/>
  <c r="F108" i="2" s="1"/>
  <c r="B109" i="2"/>
  <c r="C109" i="2"/>
  <c r="D109" i="2"/>
  <c r="F109" i="2" s="1"/>
  <c r="B110" i="2"/>
  <c r="C110" i="2"/>
  <c r="D110" i="2"/>
  <c r="F110" i="2" s="1"/>
  <c r="B111" i="2"/>
  <c r="C111" i="2"/>
  <c r="D111" i="2"/>
  <c r="F111" i="2" s="1"/>
  <c r="B112" i="2"/>
  <c r="C112" i="2"/>
  <c r="D112" i="2"/>
  <c r="F112" i="2" s="1"/>
  <c r="B113" i="2"/>
  <c r="C113" i="2"/>
  <c r="D113" i="2"/>
  <c r="F113" i="2" s="1"/>
  <c r="B114" i="2"/>
  <c r="C114" i="2"/>
  <c r="D114" i="2"/>
  <c r="F114" i="2" s="1"/>
  <c r="B136" i="4"/>
  <c r="C136" i="4"/>
  <c r="D136" i="4"/>
  <c r="B137" i="4"/>
  <c r="C137" i="4"/>
  <c r="D137" i="4"/>
  <c r="B138" i="4"/>
  <c r="C138" i="4"/>
  <c r="D138" i="4"/>
  <c r="B139" i="4"/>
  <c r="C139" i="4"/>
  <c r="D139" i="4"/>
  <c r="B140" i="4"/>
  <c r="C140" i="4"/>
  <c r="D140" i="4"/>
  <c r="B141" i="4"/>
  <c r="C141" i="4"/>
  <c r="D141" i="4"/>
  <c r="B142" i="4"/>
  <c r="C142" i="4"/>
  <c r="D142" i="4"/>
  <c r="B143" i="4"/>
  <c r="C143" i="4"/>
  <c r="D143" i="4"/>
  <c r="B144" i="4"/>
  <c r="C144" i="4"/>
  <c r="D144" i="4"/>
  <c r="B145" i="4"/>
  <c r="C145" i="4"/>
  <c r="D145" i="4"/>
  <c r="B146" i="4"/>
  <c r="C146" i="4"/>
  <c r="D146" i="4"/>
  <c r="B147" i="4"/>
  <c r="C147" i="4"/>
  <c r="D147" i="4"/>
  <c r="B148" i="4"/>
  <c r="C148" i="4"/>
  <c r="D148" i="4"/>
  <c r="B149" i="4"/>
  <c r="C149" i="4"/>
  <c r="D149" i="4"/>
  <c r="B150" i="4"/>
  <c r="C150" i="4"/>
  <c r="D150" i="4"/>
  <c r="B151" i="4"/>
  <c r="C151" i="4"/>
  <c r="D151" i="4"/>
  <c r="B152" i="4"/>
  <c r="C152" i="4"/>
  <c r="D152" i="4"/>
  <c r="B153" i="4"/>
  <c r="C153" i="4"/>
  <c r="D153" i="4"/>
  <c r="B154" i="4"/>
  <c r="C154" i="4"/>
  <c r="D154" i="4"/>
  <c r="B155" i="4"/>
  <c r="C155" i="4"/>
  <c r="D155" i="4"/>
  <c r="B156" i="4"/>
  <c r="C156" i="4"/>
  <c r="D156" i="4"/>
  <c r="B157" i="4"/>
  <c r="C157" i="4"/>
  <c r="D157" i="4"/>
  <c r="B158" i="4"/>
  <c r="C158" i="4"/>
  <c r="D158" i="4"/>
  <c r="B159" i="4"/>
  <c r="C159" i="4"/>
  <c r="G159" i="4"/>
  <c r="B160" i="4"/>
  <c r="C160" i="4"/>
  <c r="G160" i="4"/>
  <c r="B161" i="4"/>
  <c r="C161" i="4"/>
  <c r="G161" i="4"/>
  <c r="B162" i="4"/>
  <c r="C162" i="4"/>
  <c r="G162" i="4"/>
  <c r="B163" i="4"/>
  <c r="C163" i="4"/>
  <c r="G163" i="4"/>
  <c r="B164" i="4"/>
  <c r="C164" i="4"/>
  <c r="G164" i="4"/>
  <c r="B165" i="4"/>
  <c r="C165" i="4"/>
  <c r="G165" i="4"/>
  <c r="B166" i="4"/>
  <c r="C166" i="4"/>
  <c r="G166" i="4"/>
  <c r="B167" i="4"/>
  <c r="C167" i="4"/>
  <c r="G167" i="4"/>
  <c r="D135" i="4"/>
  <c r="C135" i="4"/>
  <c r="B135" i="4"/>
  <c r="D134" i="4"/>
  <c r="C134" i="4"/>
  <c r="B134" i="4"/>
  <c r="D133" i="4"/>
  <c r="C133" i="4"/>
  <c r="B133" i="4"/>
  <c r="D132" i="4"/>
  <c r="C132" i="4"/>
  <c r="B132" i="4"/>
  <c r="D131" i="4"/>
  <c r="C131" i="4"/>
  <c r="B131" i="4"/>
  <c r="D130" i="4"/>
  <c r="C130" i="4"/>
  <c r="B130" i="4"/>
  <c r="D129" i="4"/>
  <c r="C129" i="4"/>
  <c r="B129" i="4"/>
  <c r="D113" i="4"/>
  <c r="C113" i="4"/>
  <c r="B113" i="4"/>
  <c r="D112" i="4"/>
  <c r="C112" i="4"/>
  <c r="B112" i="4"/>
  <c r="D111" i="4"/>
  <c r="C111" i="4"/>
  <c r="B111" i="4"/>
  <c r="B70" i="4"/>
  <c r="C70" i="4"/>
  <c r="D70" i="4"/>
  <c r="B71" i="4"/>
  <c r="C71" i="4"/>
  <c r="D71" i="4"/>
  <c r="B72" i="4"/>
  <c r="C72" i="4"/>
  <c r="D72" i="4"/>
  <c r="B73" i="4"/>
  <c r="C73" i="4"/>
  <c r="D73" i="4"/>
  <c r="B74" i="4"/>
  <c r="C74" i="4"/>
  <c r="D74" i="4"/>
  <c r="B75" i="4"/>
  <c r="C75" i="4"/>
  <c r="D75" i="4"/>
  <c r="B76" i="4"/>
  <c r="C76" i="4"/>
  <c r="D76" i="4"/>
  <c r="B77" i="4"/>
  <c r="C77" i="4"/>
  <c r="D77" i="4"/>
  <c r="B78" i="4"/>
  <c r="C78" i="4"/>
  <c r="D78" i="4"/>
  <c r="B79" i="4"/>
  <c r="C79" i="4"/>
  <c r="D79" i="4"/>
  <c r="B80" i="4"/>
  <c r="C80" i="4"/>
  <c r="D80" i="4"/>
  <c r="B81" i="4"/>
  <c r="C81" i="4"/>
  <c r="D81" i="4"/>
  <c r="B82" i="4"/>
  <c r="C82" i="4"/>
  <c r="D82" i="4"/>
  <c r="B83" i="4"/>
  <c r="C83" i="4"/>
  <c r="D83" i="4"/>
  <c r="B84" i="4"/>
  <c r="C84" i="4"/>
  <c r="D84" i="4"/>
  <c r="B85" i="4"/>
  <c r="C85" i="4"/>
  <c r="D85" i="4"/>
  <c r="B86" i="4"/>
  <c r="C86" i="4"/>
  <c r="D86" i="4"/>
  <c r="B87" i="4"/>
  <c r="C87" i="4"/>
  <c r="D87" i="4"/>
  <c r="B88" i="4"/>
  <c r="C88" i="4"/>
  <c r="D88" i="4"/>
  <c r="B89" i="4"/>
  <c r="C89" i="4"/>
  <c r="D89" i="4"/>
  <c r="B90" i="4"/>
  <c r="C90" i="4"/>
  <c r="D90" i="4"/>
  <c r="B91" i="4"/>
  <c r="C91" i="4"/>
  <c r="D91" i="4"/>
  <c r="B92" i="4"/>
  <c r="C92" i="4"/>
  <c r="D92" i="4"/>
  <c r="B93" i="4"/>
  <c r="C93" i="4"/>
  <c r="D93" i="4"/>
  <c r="B94" i="4"/>
  <c r="C94" i="4"/>
  <c r="D94" i="4"/>
  <c r="B95" i="4"/>
  <c r="C95" i="4"/>
  <c r="D95" i="4"/>
  <c r="B96" i="4"/>
  <c r="C96" i="4"/>
  <c r="D96" i="4"/>
  <c r="B97" i="4"/>
  <c r="C97" i="4"/>
  <c r="D97" i="4"/>
  <c r="B98" i="4"/>
  <c r="C98" i="4"/>
  <c r="D98" i="4"/>
  <c r="B99" i="4"/>
  <c r="C99" i="4"/>
  <c r="D99" i="4"/>
  <c r="B100" i="4"/>
  <c r="C100" i="4"/>
  <c r="D100" i="4"/>
  <c r="B101" i="4"/>
  <c r="C101" i="4"/>
  <c r="D101" i="4"/>
  <c r="B102" i="4"/>
  <c r="C102" i="4"/>
  <c r="D102" i="4"/>
  <c r="B103" i="4"/>
  <c r="C103" i="4"/>
  <c r="D103" i="4"/>
  <c r="B104" i="4"/>
  <c r="C104" i="4"/>
  <c r="D104" i="4"/>
  <c r="B105" i="4"/>
  <c r="C105" i="4"/>
  <c r="D105" i="4"/>
  <c r="B106" i="4"/>
  <c r="C106" i="4"/>
  <c r="D106" i="4"/>
  <c r="B107" i="4"/>
  <c r="C107" i="4"/>
  <c r="D107" i="4"/>
  <c r="B108" i="4"/>
  <c r="C108" i="4"/>
  <c r="D108" i="4"/>
  <c r="B109" i="4"/>
  <c r="C109" i="4"/>
  <c r="D109" i="4"/>
  <c r="B110" i="4"/>
  <c r="C110" i="4"/>
  <c r="D110" i="4"/>
  <c r="D69" i="4"/>
  <c r="C69" i="4"/>
  <c r="B69" i="4"/>
  <c r="E66" i="4"/>
  <c r="C66" i="4"/>
  <c r="B66" i="4"/>
  <c r="E68" i="5"/>
  <c r="B126" i="4"/>
  <c r="E67" i="4"/>
  <c r="E129" i="1"/>
  <c r="F129" i="1"/>
  <c r="B132" i="5"/>
  <c r="C132" i="5"/>
  <c r="D132" i="5"/>
  <c r="B133" i="5"/>
  <c r="C133" i="5"/>
  <c r="D133" i="5"/>
  <c r="B134" i="5"/>
  <c r="C134" i="5"/>
  <c r="D134" i="5"/>
  <c r="B135" i="5"/>
  <c r="C135" i="5"/>
  <c r="D135" i="5"/>
  <c r="B136" i="5"/>
  <c r="C136" i="5"/>
  <c r="D136" i="5"/>
  <c r="B137" i="5"/>
  <c r="C137" i="5"/>
  <c r="D137" i="5"/>
  <c r="B138" i="5"/>
  <c r="C138" i="5"/>
  <c r="D138" i="5"/>
  <c r="B139" i="5"/>
  <c r="C139" i="5"/>
  <c r="D139" i="5"/>
  <c r="B140" i="5"/>
  <c r="C140" i="5"/>
  <c r="D140" i="5"/>
  <c r="B141" i="5"/>
  <c r="C141" i="5"/>
  <c r="D141" i="5"/>
  <c r="B142" i="5"/>
  <c r="C142" i="5"/>
  <c r="D142" i="5"/>
  <c r="B143" i="5"/>
  <c r="C143" i="5"/>
  <c r="D143" i="5"/>
  <c r="B144" i="5"/>
  <c r="C144" i="5"/>
  <c r="D144" i="5"/>
  <c r="B145" i="5"/>
  <c r="C145" i="5"/>
  <c r="D145" i="5"/>
  <c r="B146" i="5"/>
  <c r="C146" i="5"/>
  <c r="D146" i="5"/>
  <c r="B147" i="5"/>
  <c r="C147" i="5"/>
  <c r="D147" i="5"/>
  <c r="B148" i="5"/>
  <c r="C148" i="5"/>
  <c r="D148" i="5"/>
  <c r="B149" i="5"/>
  <c r="C149" i="5"/>
  <c r="D149" i="5"/>
  <c r="B150" i="5"/>
  <c r="C150" i="5"/>
  <c r="D150" i="5"/>
  <c r="B151" i="5"/>
  <c r="C151" i="5"/>
  <c r="D151" i="5"/>
  <c r="B152" i="5"/>
  <c r="C152" i="5"/>
  <c r="D152" i="5"/>
  <c r="B153" i="5"/>
  <c r="C153" i="5"/>
  <c r="D153" i="5"/>
  <c r="B154" i="5"/>
  <c r="C154" i="5"/>
  <c r="D154" i="5"/>
  <c r="B155" i="5"/>
  <c r="C155" i="5"/>
  <c r="D155" i="5"/>
  <c r="B156" i="5"/>
  <c r="C156" i="5"/>
  <c r="D156" i="5"/>
  <c r="B157" i="5"/>
  <c r="C157" i="5"/>
  <c r="D157" i="5"/>
  <c r="B158" i="5"/>
  <c r="C158" i="5"/>
  <c r="D158" i="5"/>
  <c r="D131" i="5"/>
  <c r="C131" i="5"/>
  <c r="B131" i="5"/>
  <c r="B107" i="5"/>
  <c r="C107" i="5"/>
  <c r="D107" i="5"/>
  <c r="B108" i="5"/>
  <c r="C108" i="5"/>
  <c r="D108" i="5"/>
  <c r="B109" i="5"/>
  <c r="C109" i="5"/>
  <c r="D109" i="5"/>
  <c r="B110" i="5"/>
  <c r="C110" i="5"/>
  <c r="D110" i="5"/>
  <c r="B111" i="5"/>
  <c r="C111" i="5"/>
  <c r="D111" i="5"/>
  <c r="B112" i="5"/>
  <c r="C112" i="5"/>
  <c r="D112" i="5"/>
  <c r="B113" i="5"/>
  <c r="C113" i="5"/>
  <c r="D113" i="5"/>
  <c r="B114" i="5"/>
  <c r="C114" i="5"/>
  <c r="D114" i="5"/>
  <c r="B115" i="5"/>
  <c r="C115" i="5"/>
  <c r="D115" i="5"/>
  <c r="J128"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B71" i="5"/>
  <c r="C71" i="5"/>
  <c r="D71" i="5"/>
  <c r="B72" i="5"/>
  <c r="C72" i="5"/>
  <c r="D72" i="5"/>
  <c r="B73" i="5"/>
  <c r="C73" i="5"/>
  <c r="D73" i="5"/>
  <c r="B74" i="5"/>
  <c r="C74" i="5"/>
  <c r="D74" i="5"/>
  <c r="B75" i="5"/>
  <c r="C75" i="5"/>
  <c r="D75" i="5"/>
  <c r="B76" i="5"/>
  <c r="C76" i="5"/>
  <c r="D76" i="5"/>
  <c r="B77" i="5"/>
  <c r="C77" i="5"/>
  <c r="D77" i="5"/>
  <c r="B78" i="5"/>
  <c r="C78" i="5"/>
  <c r="D78" i="5"/>
  <c r="B79" i="5"/>
  <c r="C79" i="5"/>
  <c r="D79" i="5"/>
  <c r="B80" i="5"/>
  <c r="C80" i="5"/>
  <c r="D80" i="5"/>
  <c r="B81" i="5"/>
  <c r="C81" i="5"/>
  <c r="D81" i="5"/>
  <c r="B82" i="5"/>
  <c r="C82" i="5"/>
  <c r="D82" i="5"/>
  <c r="B83" i="5"/>
  <c r="C83" i="5"/>
  <c r="D83" i="5"/>
  <c r="B84" i="5"/>
  <c r="C84" i="5"/>
  <c r="D84" i="5"/>
  <c r="B85" i="5"/>
  <c r="C85" i="5"/>
  <c r="D85" i="5"/>
  <c r="B86" i="5"/>
  <c r="C86" i="5"/>
  <c r="D86" i="5"/>
  <c r="B87" i="5"/>
  <c r="C87" i="5"/>
  <c r="D87" i="5"/>
  <c r="B88" i="5"/>
  <c r="C88" i="5"/>
  <c r="D88" i="5"/>
  <c r="B89" i="5"/>
  <c r="C89" i="5"/>
  <c r="D89" i="5"/>
  <c r="B90" i="5"/>
  <c r="C90" i="5"/>
  <c r="D90" i="5"/>
  <c r="B91" i="5"/>
  <c r="C91" i="5"/>
  <c r="D91" i="5"/>
  <c r="B92" i="5"/>
  <c r="C92" i="5"/>
  <c r="D92" i="5"/>
  <c r="B93" i="5"/>
  <c r="C93" i="5"/>
  <c r="D93" i="5"/>
  <c r="B94" i="5"/>
  <c r="C94" i="5"/>
  <c r="D94" i="5"/>
  <c r="B95" i="5"/>
  <c r="C95" i="5"/>
  <c r="D95" i="5"/>
  <c r="B96" i="5"/>
  <c r="C96" i="5"/>
  <c r="D96" i="5"/>
  <c r="B97" i="5"/>
  <c r="C97" i="5"/>
  <c r="D97" i="5"/>
  <c r="B98" i="5"/>
  <c r="C98" i="5"/>
  <c r="D98" i="5"/>
  <c r="B99" i="5"/>
  <c r="C99" i="5"/>
  <c r="D99" i="5"/>
  <c r="B100" i="5"/>
  <c r="C100" i="5"/>
  <c r="D100" i="5"/>
  <c r="B101" i="5"/>
  <c r="C101" i="5"/>
  <c r="D101" i="5"/>
  <c r="B102" i="5"/>
  <c r="C102" i="5"/>
  <c r="D102" i="5"/>
  <c r="B103" i="5"/>
  <c r="C103" i="5"/>
  <c r="D103" i="5"/>
  <c r="B104" i="5"/>
  <c r="C104" i="5"/>
  <c r="D104" i="5"/>
  <c r="B105" i="5"/>
  <c r="C105" i="5"/>
  <c r="D105" i="5"/>
  <c r="B106" i="5"/>
  <c r="C106" i="5"/>
  <c r="D106" i="5"/>
  <c r="D70" i="5"/>
  <c r="C70" i="5"/>
  <c r="B70" i="5"/>
  <c r="E67" i="5"/>
  <c r="C67" i="5"/>
  <c r="B67" i="5"/>
  <c r="L42" i="9" l="1"/>
  <c r="L48" i="9"/>
  <c r="L126" i="9"/>
  <c r="L61" i="11"/>
  <c r="Q62" i="11"/>
  <c r="U62" i="11" s="1"/>
  <c r="H70" i="11"/>
  <c r="L77" i="11"/>
  <c r="Q24" i="11"/>
  <c r="U24" i="11" s="1"/>
  <c r="L36" i="11"/>
  <c r="Q20" i="11"/>
  <c r="T20" i="11" s="1"/>
  <c r="L25" i="11"/>
  <c r="L46" i="11"/>
  <c r="L88" i="11"/>
  <c r="L31" i="11"/>
  <c r="L78" i="11"/>
  <c r="L53" i="11"/>
  <c r="L84" i="11"/>
  <c r="L89" i="11"/>
  <c r="Q116" i="11"/>
  <c r="T116" i="11" s="1"/>
  <c r="L27" i="11"/>
  <c r="L112" i="11"/>
  <c r="Q27" i="11"/>
  <c r="T27" i="11" s="1"/>
  <c r="L49" i="11"/>
  <c r="Q38" i="11"/>
  <c r="T38" i="11" s="1"/>
  <c r="L55" i="11"/>
  <c r="L65" i="11"/>
  <c r="L70" i="11"/>
  <c r="L113" i="11"/>
  <c r="H46" i="11"/>
  <c r="L59" i="11"/>
  <c r="Q108" i="11"/>
  <c r="U108" i="11" s="1"/>
  <c r="L71" i="11"/>
  <c r="L83" i="11"/>
  <c r="L37" i="11"/>
  <c r="L95" i="11"/>
  <c r="L43" i="11"/>
  <c r="L101" i="11"/>
  <c r="H54" i="11"/>
  <c r="H82" i="11"/>
  <c r="L28" i="11"/>
  <c r="Q50" i="11"/>
  <c r="U50" i="11" s="1"/>
  <c r="L54" i="11"/>
  <c r="L62" i="11"/>
  <c r="L66" i="11"/>
  <c r="L82" i="11"/>
  <c r="H94" i="11"/>
  <c r="L126" i="11"/>
  <c r="L40" i="11"/>
  <c r="L94" i="11"/>
  <c r="H106" i="11"/>
  <c r="Q21" i="11"/>
  <c r="U21" i="11" s="1"/>
  <c r="Q28" i="11"/>
  <c r="U28" i="11" s="1"/>
  <c r="Q47" i="11"/>
  <c r="U47" i="11" s="1"/>
  <c r="Q74" i="11"/>
  <c r="T74" i="11" s="1"/>
  <c r="L90" i="11"/>
  <c r="L106" i="11"/>
  <c r="H114" i="11"/>
  <c r="L122" i="11"/>
  <c r="Q32" i="11"/>
  <c r="T32" i="11" s="1"/>
  <c r="Q36" i="11"/>
  <c r="U36" i="11" s="1"/>
  <c r="H44" i="11"/>
  <c r="Q86" i="11"/>
  <c r="U86" i="11" s="1"/>
  <c r="L102" i="11"/>
  <c r="L44" i="11"/>
  <c r="L48" i="11"/>
  <c r="L52" i="11"/>
  <c r="Q98" i="11"/>
  <c r="T98" i="11" s="1"/>
  <c r="L33" i="11"/>
  <c r="Q44" i="11"/>
  <c r="U44" i="11" s="1"/>
  <c r="L60" i="11"/>
  <c r="L64" i="11"/>
  <c r="L30" i="11"/>
  <c r="H72" i="11"/>
  <c r="L76" i="11"/>
  <c r="L124" i="11"/>
  <c r="L118" i="11"/>
  <c r="H27" i="11"/>
  <c r="Q60" i="11"/>
  <c r="T60" i="11" s="1"/>
  <c r="L72" i="11"/>
  <c r="H84" i="11"/>
  <c r="L114" i="11"/>
  <c r="Q30" i="11"/>
  <c r="T30" i="11" s="1"/>
  <c r="L42" i="11"/>
  <c r="H96" i="11"/>
  <c r="L100" i="11"/>
  <c r="L108" i="11"/>
  <c r="L120" i="11"/>
  <c r="L22" i="11"/>
  <c r="L123" i="11"/>
  <c r="L96" i="11"/>
  <c r="S96" i="11" s="1"/>
  <c r="R96" i="11" s="1"/>
  <c r="L47" i="11"/>
  <c r="L35" i="11"/>
  <c r="U96" i="11"/>
  <c r="T96" i="11"/>
  <c r="L29" i="11"/>
  <c r="L23" i="11"/>
  <c r="L121" i="11"/>
  <c r="H20" i="11"/>
  <c r="H35" i="11"/>
  <c r="L58" i="11"/>
  <c r="L74" i="11"/>
  <c r="L86" i="11"/>
  <c r="L98" i="11"/>
  <c r="L116" i="11"/>
  <c r="H23" i="11"/>
  <c r="L20" i="11"/>
  <c r="H38" i="11"/>
  <c r="L41" i="11"/>
  <c r="L56" i="11"/>
  <c r="L111" i="11"/>
  <c r="H77" i="11"/>
  <c r="H71" i="11"/>
  <c r="H65" i="11"/>
  <c r="H59" i="11"/>
  <c r="H43" i="11"/>
  <c r="H37" i="11"/>
  <c r="H31" i="11"/>
  <c r="H86" i="11"/>
  <c r="H80" i="11"/>
  <c r="H74" i="11"/>
  <c r="H68" i="11"/>
  <c r="H62" i="11"/>
  <c r="H56" i="11"/>
  <c r="H81" i="11"/>
  <c r="H75" i="11"/>
  <c r="H69" i="11"/>
  <c r="H29" i="11"/>
  <c r="L38" i="11"/>
  <c r="Q41" i="11"/>
  <c r="U41" i="11" s="1"/>
  <c r="Q54" i="11"/>
  <c r="Q56" i="11"/>
  <c r="U56" i="11" s="1"/>
  <c r="L67" i="11"/>
  <c r="L79" i="11"/>
  <c r="L91" i="11"/>
  <c r="L103" i="11"/>
  <c r="L119" i="11"/>
  <c r="L127" i="11"/>
  <c r="H125" i="11"/>
  <c r="H19" i="11"/>
  <c r="H26" i="11"/>
  <c r="H32" i="11"/>
  <c r="H40" i="11"/>
  <c r="H63" i="11"/>
  <c r="Q72" i="11"/>
  <c r="Q84" i="11"/>
  <c r="Q127" i="11"/>
  <c r="U127" i="11" s="1"/>
  <c r="Q121" i="11"/>
  <c r="U121" i="11" s="1"/>
  <c r="Q115" i="11"/>
  <c r="U115" i="11" s="1"/>
  <c r="Q109" i="11"/>
  <c r="T109" i="11" s="1"/>
  <c r="Q103" i="11"/>
  <c r="T103" i="11" s="1"/>
  <c r="Q97" i="11"/>
  <c r="T97" i="11" s="1"/>
  <c r="Q91" i="11"/>
  <c r="U91" i="11" s="1"/>
  <c r="Q85" i="11"/>
  <c r="U85" i="11" s="1"/>
  <c r="Q79" i="11"/>
  <c r="U79" i="11" s="1"/>
  <c r="Q73" i="11"/>
  <c r="T73" i="11" s="1"/>
  <c r="Q67" i="11"/>
  <c r="U67" i="11" s="1"/>
  <c r="Q61" i="11"/>
  <c r="Q55" i="11"/>
  <c r="T55" i="11" s="1"/>
  <c r="Q128" i="11"/>
  <c r="U128" i="11" s="1"/>
  <c r="Q123" i="11"/>
  <c r="T123" i="11" s="1"/>
  <c r="Q117" i="11"/>
  <c r="U117" i="11" s="1"/>
  <c r="Q111" i="11"/>
  <c r="U111" i="11" s="1"/>
  <c r="Q105" i="11"/>
  <c r="U105" i="11" s="1"/>
  <c r="Q99" i="11"/>
  <c r="U99" i="11" s="1"/>
  <c r="Q93" i="11"/>
  <c r="U93" i="11" s="1"/>
  <c r="Q87" i="11"/>
  <c r="U87" i="11" s="1"/>
  <c r="Q81" i="11"/>
  <c r="T81" i="11" s="1"/>
  <c r="Q75" i="11"/>
  <c r="T75" i="11" s="1"/>
  <c r="Q69" i="11"/>
  <c r="U69" i="11" s="1"/>
  <c r="Q63" i="11"/>
  <c r="U63" i="11" s="1"/>
  <c r="Q57" i="11"/>
  <c r="U57" i="11" s="1"/>
  <c r="Q51" i="11"/>
  <c r="T51" i="11" s="1"/>
  <c r="Q45" i="11"/>
  <c r="T45" i="11" s="1"/>
  <c r="Q39" i="11"/>
  <c r="U39" i="11" s="1"/>
  <c r="Q33" i="11"/>
  <c r="T33" i="11" s="1"/>
  <c r="Q124" i="11"/>
  <c r="U124" i="11" s="1"/>
  <c r="Q118" i="11"/>
  <c r="U118" i="11" s="1"/>
  <c r="Q112" i="11"/>
  <c r="U112" i="11" s="1"/>
  <c r="Q106" i="11"/>
  <c r="U106" i="11" s="1"/>
  <c r="Q100" i="11"/>
  <c r="U100" i="11" s="1"/>
  <c r="Q94" i="11"/>
  <c r="U94" i="11" s="1"/>
  <c r="Q88" i="11"/>
  <c r="U88" i="11" s="1"/>
  <c r="Q82" i="11"/>
  <c r="U82" i="11" s="1"/>
  <c r="Q76" i="11"/>
  <c r="U76" i="11" s="1"/>
  <c r="Q70" i="11"/>
  <c r="U70" i="11" s="1"/>
  <c r="Q64" i="11"/>
  <c r="U64" i="11" s="1"/>
  <c r="Q58" i="11"/>
  <c r="T58" i="11" s="1"/>
  <c r="Q52" i="11"/>
  <c r="Q125" i="11"/>
  <c r="U125" i="11" s="1"/>
  <c r="Q119" i="11"/>
  <c r="U119" i="11" s="1"/>
  <c r="Q113" i="11"/>
  <c r="Q107" i="11"/>
  <c r="U107" i="11" s="1"/>
  <c r="Q101" i="11"/>
  <c r="U101" i="11" s="1"/>
  <c r="Q95" i="11"/>
  <c r="U95" i="11" s="1"/>
  <c r="Q89" i="11"/>
  <c r="Q83" i="11"/>
  <c r="U83" i="11" s="1"/>
  <c r="Q77" i="11"/>
  <c r="Q71" i="11"/>
  <c r="U71" i="11" s="1"/>
  <c r="Q65" i="11"/>
  <c r="H22" i="11"/>
  <c r="Q23" i="11"/>
  <c r="T23" i="11" s="1"/>
  <c r="L26" i="11"/>
  <c r="L32" i="11"/>
  <c r="Q35" i="11"/>
  <c r="U35" i="11" s="1"/>
  <c r="H48" i="11"/>
  <c r="Q49" i="11"/>
  <c r="T49" i="11" s="1"/>
  <c r="H51" i="11"/>
  <c r="H53" i="11"/>
  <c r="L63" i="11"/>
  <c r="L75" i="11"/>
  <c r="L87" i="11"/>
  <c r="L99" i="11"/>
  <c r="H112" i="11"/>
  <c r="Q114" i="11"/>
  <c r="L117" i="11"/>
  <c r="H120" i="11"/>
  <c r="Q122" i="11"/>
  <c r="U122" i="11" s="1"/>
  <c r="G129" i="11"/>
  <c r="H34" i="11"/>
  <c r="Q46" i="11"/>
  <c r="U46" i="11" s="1"/>
  <c r="L51" i="11"/>
  <c r="H57" i="11"/>
  <c r="L109" i="11"/>
  <c r="L125" i="11"/>
  <c r="H18" i="11"/>
  <c r="L19" i="11"/>
  <c r="H25" i="11"/>
  <c r="Q26" i="11"/>
  <c r="T26" i="11" s="1"/>
  <c r="Q29" i="11"/>
  <c r="U29" i="11" s="1"/>
  <c r="H42" i="11"/>
  <c r="Q43" i="11"/>
  <c r="U43" i="11" s="1"/>
  <c r="H45" i="11"/>
  <c r="L57" i="11"/>
  <c r="Q59" i="11"/>
  <c r="U59" i="11" s="1"/>
  <c r="H66" i="11"/>
  <c r="L68" i="11"/>
  <c r="H78" i="11"/>
  <c r="L80" i="11"/>
  <c r="H90" i="11"/>
  <c r="L92" i="11"/>
  <c r="H102" i="11"/>
  <c r="L104" i="11"/>
  <c r="L128" i="11"/>
  <c r="L18" i="11"/>
  <c r="J129" i="11"/>
  <c r="Q19" i="11"/>
  <c r="T19" i="11" s="1"/>
  <c r="H28" i="11"/>
  <c r="Q40" i="11"/>
  <c r="U40" i="11" s="1"/>
  <c r="L45" i="11"/>
  <c r="Q48" i="11"/>
  <c r="H64" i="11"/>
  <c r="Q68" i="11"/>
  <c r="U68" i="11" s="1"/>
  <c r="H76" i="11"/>
  <c r="Q80" i="11"/>
  <c r="U80" i="11" s="1"/>
  <c r="H88" i="11"/>
  <c r="Q92" i="11"/>
  <c r="U92" i="11" s="1"/>
  <c r="H100" i="11"/>
  <c r="Q104" i="11"/>
  <c r="U104" i="11" s="1"/>
  <c r="H118" i="11"/>
  <c r="Q120" i="11"/>
  <c r="H126" i="11"/>
  <c r="K129" i="11"/>
  <c r="H21" i="11"/>
  <c r="Q22" i="11"/>
  <c r="U22" i="11" s="1"/>
  <c r="L34" i="11"/>
  <c r="H36" i="11"/>
  <c r="Q37" i="11"/>
  <c r="H39" i="11"/>
  <c r="H47" i="11"/>
  <c r="Q53" i="11"/>
  <c r="U53" i="11" s="1"/>
  <c r="L73" i="11"/>
  <c r="L85" i="11"/>
  <c r="L97" i="11"/>
  <c r="L107" i="11"/>
  <c r="L115" i="11"/>
  <c r="Q18" i="11"/>
  <c r="L21" i="11"/>
  <c r="H24" i="11"/>
  <c r="Q34" i="11"/>
  <c r="T34" i="11" s="1"/>
  <c r="L39" i="11"/>
  <c r="Q42" i="11"/>
  <c r="H50" i="11"/>
  <c r="H58" i="11"/>
  <c r="H60" i="11"/>
  <c r="Q66" i="11"/>
  <c r="T66" i="11" s="1"/>
  <c r="Q78" i="11"/>
  <c r="Q90" i="11"/>
  <c r="Q102" i="11"/>
  <c r="L110" i="11"/>
  <c r="L24" i="11"/>
  <c r="Q25" i="11"/>
  <c r="H30" i="11"/>
  <c r="Q31" i="11"/>
  <c r="H33" i="11"/>
  <c r="H41" i="11"/>
  <c r="L50" i="11"/>
  <c r="H52" i="11"/>
  <c r="L69" i="11"/>
  <c r="L81" i="11"/>
  <c r="L93" i="11"/>
  <c r="L105" i="11"/>
  <c r="H108" i="11"/>
  <c r="Q110" i="11"/>
  <c r="U110" i="11" s="1"/>
  <c r="H124" i="11"/>
  <c r="Q126" i="11"/>
  <c r="H87" i="11"/>
  <c r="H93" i="11"/>
  <c r="H99" i="11"/>
  <c r="H105" i="11"/>
  <c r="H111" i="11"/>
  <c r="H117" i="11"/>
  <c r="H123" i="11"/>
  <c r="H92" i="11"/>
  <c r="H98" i="11"/>
  <c r="H104" i="11"/>
  <c r="H110" i="11"/>
  <c r="H116" i="11"/>
  <c r="H122" i="11"/>
  <c r="H128" i="11"/>
  <c r="H49" i="11"/>
  <c r="H55" i="11"/>
  <c r="H61" i="11"/>
  <c r="H67" i="11"/>
  <c r="H73" i="11"/>
  <c r="H79" i="11"/>
  <c r="H85" i="11"/>
  <c r="H91" i="11"/>
  <c r="H97" i="11"/>
  <c r="H103" i="11"/>
  <c r="H109" i="11"/>
  <c r="H115" i="11"/>
  <c r="H121" i="11"/>
  <c r="H127" i="11"/>
  <c r="H83" i="11"/>
  <c r="H89" i="11"/>
  <c r="H95" i="11"/>
  <c r="H101" i="11"/>
  <c r="H107" i="11"/>
  <c r="H113" i="11"/>
  <c r="H119" i="11"/>
  <c r="L43" i="9"/>
  <c r="Q112" i="9"/>
  <c r="U112" i="9" s="1"/>
  <c r="L59" i="9"/>
  <c r="Q63" i="9"/>
  <c r="U63" i="9" s="1"/>
  <c r="L72" i="9"/>
  <c r="L100" i="9"/>
  <c r="L95" i="9"/>
  <c r="L23" i="9"/>
  <c r="L41" i="9"/>
  <c r="L57" i="9"/>
  <c r="L33" i="9"/>
  <c r="L120" i="9"/>
  <c r="H122" i="9"/>
  <c r="L60" i="9"/>
  <c r="L46" i="9"/>
  <c r="L71" i="9"/>
  <c r="L86" i="9"/>
  <c r="L112" i="9"/>
  <c r="L19" i="9"/>
  <c r="L77" i="9"/>
  <c r="L26" i="9"/>
  <c r="L67" i="9"/>
  <c r="L83" i="9"/>
  <c r="L124" i="9"/>
  <c r="U90" i="9"/>
  <c r="L21" i="9"/>
  <c r="L29" i="9"/>
  <c r="L37" i="9"/>
  <c r="L53" i="9"/>
  <c r="L121" i="9"/>
  <c r="L118" i="7"/>
  <c r="Q37" i="9"/>
  <c r="T37" i="9" s="1"/>
  <c r="Q49" i="9"/>
  <c r="T49" i="9" s="1"/>
  <c r="Q57" i="9"/>
  <c r="Q71" i="9"/>
  <c r="U71" i="9" s="1"/>
  <c r="L109" i="9"/>
  <c r="L117" i="9"/>
  <c r="L23" i="7"/>
  <c r="L35" i="7"/>
  <c r="L53" i="7"/>
  <c r="Q21" i="9"/>
  <c r="U21" i="9" s="1"/>
  <c r="Q60" i="9"/>
  <c r="U60" i="9" s="1"/>
  <c r="Q75" i="9"/>
  <c r="U75" i="9" s="1"/>
  <c r="Q88" i="9"/>
  <c r="T88" i="9" s="1"/>
  <c r="L22" i="9"/>
  <c r="L30" i="9"/>
  <c r="Q34" i="9"/>
  <c r="U34" i="9" s="1"/>
  <c r="L54" i="9"/>
  <c r="L80" i="9"/>
  <c r="L118" i="9"/>
  <c r="Q22" i="9"/>
  <c r="U22" i="9" s="1"/>
  <c r="Q26" i="9"/>
  <c r="U26" i="9" s="1"/>
  <c r="Q30" i="9"/>
  <c r="T30" i="9" s="1"/>
  <c r="L39" i="9"/>
  <c r="L47" i="9"/>
  <c r="Q54" i="9"/>
  <c r="U54" i="9" s="1"/>
  <c r="Q58" i="9"/>
  <c r="T58" i="9" s="1"/>
  <c r="Q65" i="9"/>
  <c r="T65" i="9" s="1"/>
  <c r="Q76" i="9"/>
  <c r="T76" i="9" s="1"/>
  <c r="Q102" i="9"/>
  <c r="T102" i="9" s="1"/>
  <c r="L35" i="9"/>
  <c r="L49" i="7"/>
  <c r="L67" i="7"/>
  <c r="L109" i="7"/>
  <c r="L27" i="9"/>
  <c r="L31" i="9"/>
  <c r="Q43" i="9"/>
  <c r="T43" i="9" s="1"/>
  <c r="L55" i="9"/>
  <c r="L103" i="9"/>
  <c r="Q27" i="9"/>
  <c r="U27" i="9" s="1"/>
  <c r="Q35" i="9"/>
  <c r="U35" i="9" s="1"/>
  <c r="Q40" i="9"/>
  <c r="U40" i="9" s="1"/>
  <c r="Q70" i="9"/>
  <c r="U70" i="9" s="1"/>
  <c r="Q103" i="9"/>
  <c r="U103" i="9" s="1"/>
  <c r="Q111" i="9"/>
  <c r="L52" i="9"/>
  <c r="Q66" i="9"/>
  <c r="U66" i="9" s="1"/>
  <c r="L82" i="9"/>
  <c r="L70" i="9"/>
  <c r="L111" i="9"/>
  <c r="L64" i="9"/>
  <c r="L34" i="9"/>
  <c r="L58" i="9"/>
  <c r="L40" i="9"/>
  <c r="L32" i="9"/>
  <c r="L36" i="9"/>
  <c r="L20" i="9"/>
  <c r="L24" i="9"/>
  <c r="L28" i="9"/>
  <c r="H64" i="9"/>
  <c r="L101" i="9"/>
  <c r="H125" i="9"/>
  <c r="H119" i="9"/>
  <c r="H126" i="9"/>
  <c r="H120" i="9"/>
  <c r="H114" i="9"/>
  <c r="H108" i="9"/>
  <c r="H102" i="9"/>
  <c r="H96" i="9"/>
  <c r="H90" i="9"/>
  <c r="H84" i="9"/>
  <c r="H78" i="9"/>
  <c r="H72" i="9"/>
  <c r="H66" i="9"/>
  <c r="H60" i="9"/>
  <c r="H54" i="9"/>
  <c r="H48" i="9"/>
  <c r="H42" i="9"/>
  <c r="H36" i="9"/>
  <c r="H30" i="9"/>
  <c r="H123" i="9"/>
  <c r="H117" i="9"/>
  <c r="H111" i="9"/>
  <c r="H105" i="9"/>
  <c r="H99" i="9"/>
  <c r="H93" i="9"/>
  <c r="H87" i="9"/>
  <c r="H81" i="9"/>
  <c r="H65" i="7"/>
  <c r="Q127" i="9"/>
  <c r="U127" i="9" s="1"/>
  <c r="Q121" i="9"/>
  <c r="Q128" i="9"/>
  <c r="T128" i="9" s="1"/>
  <c r="Q122" i="9"/>
  <c r="U122" i="9" s="1"/>
  <c r="Q116" i="9"/>
  <c r="U116" i="9" s="1"/>
  <c r="Q110" i="9"/>
  <c r="U110" i="9" s="1"/>
  <c r="Q104" i="9"/>
  <c r="U104" i="9" s="1"/>
  <c r="Q98" i="9"/>
  <c r="U98" i="9" s="1"/>
  <c r="Q92" i="9"/>
  <c r="U92" i="9" s="1"/>
  <c r="Q86" i="9"/>
  <c r="U86" i="9" s="1"/>
  <c r="Q80" i="9"/>
  <c r="T80" i="9" s="1"/>
  <c r="Q74" i="9"/>
  <c r="T74" i="9" s="1"/>
  <c r="Q68" i="9"/>
  <c r="U68" i="9" s="1"/>
  <c r="Q62" i="9"/>
  <c r="U62" i="9" s="1"/>
  <c r="Q56" i="9"/>
  <c r="U56" i="9" s="1"/>
  <c r="Q50" i="9"/>
  <c r="U50" i="9" s="1"/>
  <c r="Q44" i="9"/>
  <c r="U44" i="9" s="1"/>
  <c r="Q38" i="9"/>
  <c r="U38" i="9" s="1"/>
  <c r="Q32" i="9"/>
  <c r="T32" i="9" s="1"/>
  <c r="Q125" i="9"/>
  <c r="T125" i="9" s="1"/>
  <c r="Q119" i="9"/>
  <c r="U119" i="9" s="1"/>
  <c r="Q113" i="9"/>
  <c r="U113" i="9" s="1"/>
  <c r="Q107" i="9"/>
  <c r="U107" i="9" s="1"/>
  <c r="Q101" i="9"/>
  <c r="U101" i="9" s="1"/>
  <c r="Q95" i="9"/>
  <c r="U95" i="9" s="1"/>
  <c r="Q89" i="9"/>
  <c r="U89" i="9" s="1"/>
  <c r="Q83" i="9"/>
  <c r="U83" i="9" s="1"/>
  <c r="H19" i="9"/>
  <c r="H24" i="9"/>
  <c r="H28" i="9"/>
  <c r="H32" i="9"/>
  <c r="Q33" i="9"/>
  <c r="T33" i="9" s="1"/>
  <c r="L45" i="9"/>
  <c r="H47" i="9"/>
  <c r="Q48" i="9"/>
  <c r="T48" i="9" s="1"/>
  <c r="Q51" i="9"/>
  <c r="U51" i="9" s="1"/>
  <c r="H56" i="9"/>
  <c r="Q59" i="9"/>
  <c r="Q67" i="9"/>
  <c r="U67" i="9" s="1"/>
  <c r="Q72" i="9"/>
  <c r="U72" i="9" s="1"/>
  <c r="Q77" i="9"/>
  <c r="U77" i="9" s="1"/>
  <c r="H79" i="9"/>
  <c r="H83" i="9"/>
  <c r="H91" i="9"/>
  <c r="L93" i="9"/>
  <c r="L97" i="9"/>
  <c r="H106" i="9"/>
  <c r="L108" i="9"/>
  <c r="H115" i="9"/>
  <c r="L122" i="9"/>
  <c r="L127" i="9"/>
  <c r="L113" i="7"/>
  <c r="G129" i="9"/>
  <c r="Q25" i="9"/>
  <c r="U25" i="9" s="1"/>
  <c r="Q29" i="9"/>
  <c r="T29" i="9" s="1"/>
  <c r="H35" i="9"/>
  <c r="L56" i="9"/>
  <c r="H58" i="9"/>
  <c r="H69" i="9"/>
  <c r="H71" i="9"/>
  <c r="H74" i="9"/>
  <c r="L79" i="9"/>
  <c r="H85" i="9"/>
  <c r="L87" i="9"/>
  <c r="L91" i="9"/>
  <c r="Q97" i="9"/>
  <c r="U97" i="9" s="1"/>
  <c r="Q99" i="9"/>
  <c r="T99" i="9" s="1"/>
  <c r="H104" i="9"/>
  <c r="L106" i="9"/>
  <c r="Q108" i="9"/>
  <c r="U108" i="9" s="1"/>
  <c r="H113" i="9"/>
  <c r="L115" i="9"/>
  <c r="Q117" i="9"/>
  <c r="H18" i="9"/>
  <c r="Q20" i="9"/>
  <c r="T20" i="9" s="1"/>
  <c r="H23" i="9"/>
  <c r="Q36" i="9"/>
  <c r="U36" i="9" s="1"/>
  <c r="H41" i="9"/>
  <c r="Q42" i="9"/>
  <c r="T42" i="9" s="1"/>
  <c r="Q45" i="9"/>
  <c r="T45" i="9" s="1"/>
  <c r="H50" i="9"/>
  <c r="Q53" i="9"/>
  <c r="U53" i="9" s="1"/>
  <c r="H61" i="9"/>
  <c r="L69" i="9"/>
  <c r="L74" i="9"/>
  <c r="H76" i="9"/>
  <c r="Q79" i="9"/>
  <c r="U79" i="9" s="1"/>
  <c r="L81" i="9"/>
  <c r="L85" i="9"/>
  <c r="L89" i="9"/>
  <c r="Q91" i="9"/>
  <c r="U91" i="9" s="1"/>
  <c r="Q93" i="9"/>
  <c r="T93" i="9" s="1"/>
  <c r="L104" i="9"/>
  <c r="Q106" i="9"/>
  <c r="U106" i="9" s="1"/>
  <c r="Q115" i="9"/>
  <c r="U115" i="9" s="1"/>
  <c r="L125" i="9"/>
  <c r="L25" i="9"/>
  <c r="H39" i="9"/>
  <c r="H45" i="9"/>
  <c r="L99" i="9"/>
  <c r="J129" i="9"/>
  <c r="Q39" i="9"/>
  <c r="U39" i="9" s="1"/>
  <c r="L50" i="9"/>
  <c r="H52" i="9"/>
  <c r="L61" i="9"/>
  <c r="Q64" i="9"/>
  <c r="U64" i="9" s="1"/>
  <c r="L76" i="9"/>
  <c r="Q85" i="9"/>
  <c r="T85" i="9" s="1"/>
  <c r="Q87" i="9"/>
  <c r="T87" i="9" s="1"/>
  <c r="L113" i="9"/>
  <c r="H128" i="9"/>
  <c r="L62" i="9"/>
  <c r="H89" i="9"/>
  <c r="H97" i="9"/>
  <c r="H127" i="9"/>
  <c r="K18" i="9"/>
  <c r="Q19" i="9"/>
  <c r="H22" i="9"/>
  <c r="Q24" i="9"/>
  <c r="U24" i="9" s="1"/>
  <c r="H27" i="9"/>
  <c r="Q28" i="9"/>
  <c r="U28" i="9" s="1"/>
  <c r="H31" i="9"/>
  <c r="H34" i="9"/>
  <c r="H38" i="9"/>
  <c r="H44" i="9"/>
  <c r="Q47" i="9"/>
  <c r="U47" i="9" s="1"/>
  <c r="H55" i="9"/>
  <c r="Q61" i="9"/>
  <c r="U61" i="9" s="1"/>
  <c r="L66" i="9"/>
  <c r="Q69" i="9"/>
  <c r="T69" i="9" s="1"/>
  <c r="Q81" i="9"/>
  <c r="T81" i="9" s="1"/>
  <c r="H100" i="9"/>
  <c r="L102" i="9"/>
  <c r="H109" i="9"/>
  <c r="H118" i="9"/>
  <c r="Q120" i="9"/>
  <c r="U120" i="9" s="1"/>
  <c r="L123" i="9"/>
  <c r="L128" i="9"/>
  <c r="L38" i="9"/>
  <c r="L44" i="9"/>
  <c r="H46" i="9"/>
  <c r="H63" i="9"/>
  <c r="H73" i="9"/>
  <c r="H94" i="9"/>
  <c r="H98" i="9"/>
  <c r="H107" i="9"/>
  <c r="H116" i="9"/>
  <c r="Q18" i="9"/>
  <c r="Q23" i="9"/>
  <c r="Q31" i="9"/>
  <c r="H40" i="9"/>
  <c r="Q41" i="9"/>
  <c r="U41" i="9" s="1"/>
  <c r="H49" i="9"/>
  <c r="Q55" i="9"/>
  <c r="L63" i="9"/>
  <c r="H65" i="9"/>
  <c r="H68" i="9"/>
  <c r="L73" i="9"/>
  <c r="L78" i="9"/>
  <c r="H88" i="9"/>
  <c r="H92" i="9"/>
  <c r="L94" i="9"/>
  <c r="L96" i="9"/>
  <c r="L98" i="9"/>
  <c r="Q100" i="9"/>
  <c r="Q109" i="9"/>
  <c r="U109" i="9" s="1"/>
  <c r="L116" i="9"/>
  <c r="Q118" i="9"/>
  <c r="U118" i="9" s="1"/>
  <c r="Q123" i="9"/>
  <c r="U123" i="9" s="1"/>
  <c r="L39" i="7"/>
  <c r="H21" i="9"/>
  <c r="H26" i="9"/>
  <c r="L49" i="9"/>
  <c r="Q52" i="9"/>
  <c r="T52" i="9" s="1"/>
  <c r="H57" i="9"/>
  <c r="L68" i="9"/>
  <c r="H70" i="9"/>
  <c r="Q73" i="9"/>
  <c r="Q78" i="9"/>
  <c r="T78" i="9" s="1"/>
  <c r="H80" i="9"/>
  <c r="H82" i="9"/>
  <c r="H86" i="9"/>
  <c r="L88" i="9"/>
  <c r="L90" i="9"/>
  <c r="S90" i="9" s="1"/>
  <c r="R90" i="9" s="1"/>
  <c r="T90" i="9"/>
  <c r="L92" i="9"/>
  <c r="Q94" i="9"/>
  <c r="U94" i="9" s="1"/>
  <c r="Q96" i="9"/>
  <c r="U96" i="9" s="1"/>
  <c r="L105" i="9"/>
  <c r="L107" i="9"/>
  <c r="H121" i="9"/>
  <c r="H33" i="9"/>
  <c r="H37" i="9"/>
  <c r="H43" i="9"/>
  <c r="H59" i="9"/>
  <c r="H75" i="9"/>
  <c r="H77" i="9"/>
  <c r="L84" i="9"/>
  <c r="H103" i="9"/>
  <c r="H112" i="9"/>
  <c r="L114" i="9"/>
  <c r="H124" i="9"/>
  <c r="Q126" i="9"/>
  <c r="U126" i="9" s="1"/>
  <c r="H29" i="9"/>
  <c r="Q46" i="9"/>
  <c r="H51" i="9"/>
  <c r="L65" i="9"/>
  <c r="L75" i="9"/>
  <c r="Q82" i="9"/>
  <c r="Q84" i="9"/>
  <c r="U84" i="9" s="1"/>
  <c r="H101" i="9"/>
  <c r="Q105" i="9"/>
  <c r="T105" i="9" s="1"/>
  <c r="H110" i="9"/>
  <c r="Q114" i="9"/>
  <c r="T114" i="9" s="1"/>
  <c r="H20" i="9"/>
  <c r="H25" i="9"/>
  <c r="L51" i="9"/>
  <c r="H53" i="9"/>
  <c r="H62" i="9"/>
  <c r="H67" i="9"/>
  <c r="H95" i="9"/>
  <c r="L110" i="9"/>
  <c r="L119" i="9"/>
  <c r="Q124" i="9"/>
  <c r="L103" i="7"/>
  <c r="H125" i="7"/>
  <c r="L51" i="7"/>
  <c r="L57" i="7"/>
  <c r="Q109" i="7"/>
  <c r="L115" i="7"/>
  <c r="L116" i="7"/>
  <c r="L52" i="7"/>
  <c r="L94" i="7"/>
  <c r="U48" i="7"/>
  <c r="L31" i="7"/>
  <c r="L36" i="7"/>
  <c r="L89" i="7"/>
  <c r="L107" i="7"/>
  <c r="H22" i="7"/>
  <c r="L33" i="7"/>
  <c r="L61" i="7"/>
  <c r="L78" i="7"/>
  <c r="L22" i="7"/>
  <c r="L73" i="7"/>
  <c r="L79" i="7"/>
  <c r="L85" i="7"/>
  <c r="L97" i="7"/>
  <c r="L81" i="7"/>
  <c r="L93" i="7"/>
  <c r="L105" i="7"/>
  <c r="L60" i="7"/>
  <c r="Q120" i="7"/>
  <c r="T120" i="7" s="1"/>
  <c r="Q55" i="7"/>
  <c r="U55" i="7" s="1"/>
  <c r="Q51" i="7"/>
  <c r="Q40" i="7"/>
  <c r="Q85" i="7"/>
  <c r="T85" i="7" s="1"/>
  <c r="Q70" i="7"/>
  <c r="U70" i="7" s="1"/>
  <c r="Q34" i="7"/>
  <c r="T34" i="7" s="1"/>
  <c r="Q118" i="7"/>
  <c r="U118" i="7" s="1"/>
  <c r="Q96" i="7"/>
  <c r="T96" i="7" s="1"/>
  <c r="Q81" i="7"/>
  <c r="T81" i="7" s="1"/>
  <c r="Q35" i="7"/>
  <c r="T35" i="7" s="1"/>
  <c r="Q28" i="7"/>
  <c r="U28" i="7" s="1"/>
  <c r="Q100" i="7"/>
  <c r="U100" i="7" s="1"/>
  <c r="Q93" i="7"/>
  <c r="U93" i="7" s="1"/>
  <c r="Q89" i="7"/>
  <c r="U89" i="7" s="1"/>
  <c r="Q77" i="7"/>
  <c r="U77" i="7" s="1"/>
  <c r="Q58" i="7"/>
  <c r="U58" i="7" s="1"/>
  <c r="Q115" i="7"/>
  <c r="U115" i="7" s="1"/>
  <c r="Q73" i="7"/>
  <c r="Q46" i="7"/>
  <c r="U46" i="7" s="1"/>
  <c r="Q31" i="7"/>
  <c r="U31" i="7" s="1"/>
  <c r="Q107" i="7"/>
  <c r="U107" i="7" s="1"/>
  <c r="Q23" i="7"/>
  <c r="U23" i="7" s="1"/>
  <c r="Q65" i="7"/>
  <c r="Q53" i="7"/>
  <c r="T53" i="7" s="1"/>
  <c r="Q60" i="7"/>
  <c r="U60" i="7" s="1"/>
  <c r="Q102" i="7"/>
  <c r="U102" i="7" s="1"/>
  <c r="Q83" i="7"/>
  <c r="U83" i="7" s="1"/>
  <c r="Q30" i="7"/>
  <c r="T30" i="7" s="1"/>
  <c r="Q26" i="7"/>
  <c r="T26" i="7" s="1"/>
  <c r="Q91" i="7"/>
  <c r="U91" i="7" s="1"/>
  <c r="Q33" i="7"/>
  <c r="T33" i="7" s="1"/>
  <c r="L66" i="7"/>
  <c r="L99" i="7"/>
  <c r="Q125" i="7"/>
  <c r="U125" i="7" s="1"/>
  <c r="L18" i="7"/>
  <c r="K45" i="7"/>
  <c r="H45" i="7"/>
  <c r="K95" i="7"/>
  <c r="H95" i="7"/>
  <c r="K68" i="7"/>
  <c r="L68" i="7" s="1"/>
  <c r="H68" i="7"/>
  <c r="L30" i="7"/>
  <c r="Q78" i="7"/>
  <c r="T78" i="7" s="1"/>
  <c r="L41" i="7"/>
  <c r="Q63" i="7"/>
  <c r="T63" i="7" s="1"/>
  <c r="L96" i="7"/>
  <c r="L102" i="7"/>
  <c r="H118" i="7"/>
  <c r="L42" i="7"/>
  <c r="Q113" i="7"/>
  <c r="T113" i="7" s="1"/>
  <c r="Q75" i="7"/>
  <c r="T75" i="7" s="1"/>
  <c r="L72" i="7"/>
  <c r="L106" i="7"/>
  <c r="L126" i="7"/>
  <c r="L34" i="7"/>
  <c r="L88" i="7"/>
  <c r="L27" i="7"/>
  <c r="L38" i="7"/>
  <c r="H77" i="7"/>
  <c r="L84" i="7"/>
  <c r="H111" i="7"/>
  <c r="L77" i="7"/>
  <c r="L111" i="7"/>
  <c r="L54" i="7"/>
  <c r="H70" i="7"/>
  <c r="L24" i="7"/>
  <c r="L43" i="7"/>
  <c r="L70" i="7"/>
  <c r="L112" i="7"/>
  <c r="L119" i="7"/>
  <c r="H40" i="7"/>
  <c r="H123" i="7"/>
  <c r="L59" i="7"/>
  <c r="L63" i="7"/>
  <c r="L110" i="7"/>
  <c r="H88" i="7"/>
  <c r="H33" i="7"/>
  <c r="L71" i="7"/>
  <c r="L75" i="7"/>
  <c r="L76" i="7"/>
  <c r="L87" i="7"/>
  <c r="L69" i="7"/>
  <c r="L123" i="7"/>
  <c r="L21" i="7"/>
  <c r="L47" i="7"/>
  <c r="L25" i="7"/>
  <c r="L29" i="7"/>
  <c r="L28" i="7"/>
  <c r="H20" i="7"/>
  <c r="L48" i="7"/>
  <c r="S48" i="7" s="1"/>
  <c r="R48" i="7" s="1"/>
  <c r="H55" i="7"/>
  <c r="H87" i="7"/>
  <c r="L127" i="7"/>
  <c r="H25" i="7"/>
  <c r="K40" i="7"/>
  <c r="L40" i="7" s="1"/>
  <c r="H50" i="7"/>
  <c r="H52" i="7"/>
  <c r="L55" i="7"/>
  <c r="K65" i="7"/>
  <c r="L65" i="7" s="1"/>
  <c r="L80" i="7"/>
  <c r="L82" i="7"/>
  <c r="L98" i="7"/>
  <c r="H106" i="7"/>
  <c r="L20" i="7"/>
  <c r="H82" i="7"/>
  <c r="Q128" i="7"/>
  <c r="U128" i="7" s="1"/>
  <c r="Q122" i="7"/>
  <c r="T122" i="7" s="1"/>
  <c r="Q116" i="7"/>
  <c r="Q110" i="7"/>
  <c r="Q104" i="7"/>
  <c r="T104" i="7" s="1"/>
  <c r="Q98" i="7"/>
  <c r="U98" i="7" s="1"/>
  <c r="Q92" i="7"/>
  <c r="Q86" i="7"/>
  <c r="T86" i="7" s="1"/>
  <c r="Q80" i="7"/>
  <c r="U80" i="7" s="1"/>
  <c r="Q74" i="7"/>
  <c r="T74" i="7" s="1"/>
  <c r="Q68" i="7"/>
  <c r="Q62" i="7"/>
  <c r="U62" i="7" s="1"/>
  <c r="Q56" i="7"/>
  <c r="Q50" i="7"/>
  <c r="U50" i="7" s="1"/>
  <c r="Q44" i="7"/>
  <c r="T44" i="7" s="1"/>
  <c r="Q38" i="7"/>
  <c r="U38" i="7" s="1"/>
  <c r="Q32" i="7"/>
  <c r="U32" i="7" s="1"/>
  <c r="Q123" i="7"/>
  <c r="U123" i="7" s="1"/>
  <c r="Q117" i="7"/>
  <c r="T117" i="7" s="1"/>
  <c r="Q111" i="7"/>
  <c r="U111" i="7" s="1"/>
  <c r="Q119" i="7"/>
  <c r="U119" i="7" s="1"/>
  <c r="Q24" i="7"/>
  <c r="Q97" i="7"/>
  <c r="Q79" i="7"/>
  <c r="Q61" i="7"/>
  <c r="Q43" i="7"/>
  <c r="Q127" i="7"/>
  <c r="T127" i="7" s="1"/>
  <c r="Q114" i="7"/>
  <c r="U114" i="7" s="1"/>
  <c r="Q108" i="7"/>
  <c r="T108" i="7" s="1"/>
  <c r="Q90" i="7"/>
  <c r="U90" i="7" s="1"/>
  <c r="Q72" i="7"/>
  <c r="U72" i="7" s="1"/>
  <c r="Q54" i="7"/>
  <c r="Q36" i="7"/>
  <c r="Q25" i="7"/>
  <c r="U25" i="7" s="1"/>
  <c r="Q20" i="7"/>
  <c r="T20" i="7" s="1"/>
  <c r="Q105" i="7"/>
  <c r="Q101" i="7"/>
  <c r="U101" i="7" s="1"/>
  <c r="Q94" i="7"/>
  <c r="T94" i="7" s="1"/>
  <c r="Q87" i="7"/>
  <c r="U87" i="7" s="1"/>
  <c r="Q22" i="7"/>
  <c r="T22" i="7" s="1"/>
  <c r="H32" i="7"/>
  <c r="H34" i="7"/>
  <c r="L37" i="7"/>
  <c r="Q45" i="7"/>
  <c r="Q57" i="7"/>
  <c r="L62" i="7"/>
  <c r="L64" i="7"/>
  <c r="Q67" i="7"/>
  <c r="H69" i="7"/>
  <c r="L74" i="7"/>
  <c r="Q82" i="7"/>
  <c r="U82" i="7" s="1"/>
  <c r="Q95" i="7"/>
  <c r="L108" i="7"/>
  <c r="L114" i="7"/>
  <c r="L121" i="7"/>
  <c r="L128" i="7"/>
  <c r="H28" i="7"/>
  <c r="L58" i="7"/>
  <c r="H75" i="7"/>
  <c r="L83" i="7"/>
  <c r="H35" i="7"/>
  <c r="H80" i="7"/>
  <c r="H91" i="7"/>
  <c r="H98" i="7"/>
  <c r="L100" i="7"/>
  <c r="H47" i="7"/>
  <c r="H57" i="7"/>
  <c r="H126" i="7"/>
  <c r="H120" i="7"/>
  <c r="H114" i="7"/>
  <c r="H108" i="7"/>
  <c r="H102" i="7"/>
  <c r="H96" i="7"/>
  <c r="H90" i="7"/>
  <c r="H84" i="7"/>
  <c r="H78" i="7"/>
  <c r="H72" i="7"/>
  <c r="H66" i="7"/>
  <c r="H60" i="7"/>
  <c r="H54" i="7"/>
  <c r="H48" i="7"/>
  <c r="H42" i="7"/>
  <c r="H36" i="7"/>
  <c r="H30" i="7"/>
  <c r="H127" i="7"/>
  <c r="H121" i="7"/>
  <c r="H115" i="7"/>
  <c r="H116" i="7"/>
  <c r="H103" i="7"/>
  <c r="H85" i="7"/>
  <c r="H67" i="7"/>
  <c r="H49" i="7"/>
  <c r="H31" i="7"/>
  <c r="H18" i="7"/>
  <c r="H113" i="7"/>
  <c r="H23" i="7"/>
  <c r="H124" i="7"/>
  <c r="H122" i="7"/>
  <c r="H107" i="7"/>
  <c r="H104" i="7"/>
  <c r="H100" i="7"/>
  <c r="H93" i="7"/>
  <c r="H89" i="7"/>
  <c r="H86" i="7"/>
  <c r="H117" i="7"/>
  <c r="H19" i="7"/>
  <c r="H27" i="7"/>
  <c r="T48" i="7"/>
  <c r="H62" i="7"/>
  <c r="H74" i="7"/>
  <c r="H110" i="7"/>
  <c r="Q19" i="7"/>
  <c r="H21" i="7"/>
  <c r="H24" i="7"/>
  <c r="H29" i="7"/>
  <c r="Q37" i="7"/>
  <c r="T37" i="7" s="1"/>
  <c r="H39" i="7"/>
  <c r="H41" i="7"/>
  <c r="Q52" i="7"/>
  <c r="H64" i="7"/>
  <c r="H76" i="7"/>
  <c r="H99" i="7"/>
  <c r="Q106" i="7"/>
  <c r="J129" i="7"/>
  <c r="Q42" i="7"/>
  <c r="H44" i="7"/>
  <c r="Q47" i="7"/>
  <c r="T47" i="7" s="1"/>
  <c r="H56" i="7"/>
  <c r="Q59" i="7"/>
  <c r="U59" i="7" s="1"/>
  <c r="H71" i="7"/>
  <c r="H79" i="7"/>
  <c r="H81" i="7"/>
  <c r="Q84" i="7"/>
  <c r="T84" i="7" s="1"/>
  <c r="H92" i="7"/>
  <c r="H97" i="7"/>
  <c r="H101" i="7"/>
  <c r="Q112" i="7"/>
  <c r="U112" i="7" s="1"/>
  <c r="H119" i="7"/>
  <c r="Q121" i="7"/>
  <c r="T121" i="7" s="1"/>
  <c r="H43" i="7"/>
  <c r="H112" i="7"/>
  <c r="L125" i="7"/>
  <c r="Q27" i="7"/>
  <c r="T27" i="7" s="1"/>
  <c r="Q39" i="7"/>
  <c r="T39" i="7" s="1"/>
  <c r="L44" i="7"/>
  <c r="L46" i="7"/>
  <c r="Q49" i="7"/>
  <c r="H51" i="7"/>
  <c r="L56" i="7"/>
  <c r="Q64" i="7"/>
  <c r="U64" i="7" s="1"/>
  <c r="L90" i="7"/>
  <c r="L92" i="7"/>
  <c r="H94" i="7"/>
  <c r="Q126" i="7"/>
  <c r="T126" i="7" s="1"/>
  <c r="K19" i="7"/>
  <c r="G129" i="7"/>
  <c r="H37" i="7"/>
  <c r="H59" i="7"/>
  <c r="H46" i="7"/>
  <c r="H58" i="7"/>
  <c r="Q69" i="7"/>
  <c r="U69" i="7" s="1"/>
  <c r="Q71" i="7"/>
  <c r="H73" i="7"/>
  <c r="H83" i="7"/>
  <c r="Q88" i="7"/>
  <c r="H105" i="7"/>
  <c r="L91" i="7"/>
  <c r="L120" i="7"/>
  <c r="H128" i="7"/>
  <c r="H26" i="7"/>
  <c r="Q18" i="7"/>
  <c r="Q21" i="7"/>
  <c r="U21" i="7" s="1"/>
  <c r="L26" i="7"/>
  <c r="Q29" i="7"/>
  <c r="U29" i="7" s="1"/>
  <c r="H38" i="7"/>
  <c r="Q41" i="7"/>
  <c r="H53" i="7"/>
  <c r="H61" i="7"/>
  <c r="H63" i="7"/>
  <c r="Q66" i="7"/>
  <c r="Q76" i="7"/>
  <c r="U76" i="7" s="1"/>
  <c r="Q99" i="7"/>
  <c r="L101" i="7"/>
  <c r="Q103" i="7"/>
  <c r="H109" i="7"/>
  <c r="L117" i="7"/>
  <c r="Q124" i="7"/>
  <c r="U124" i="7" s="1"/>
  <c r="L32" i="7"/>
  <c r="L50" i="7"/>
  <c r="L86" i="7"/>
  <c r="L104" i="7"/>
  <c r="L122" i="7"/>
  <c r="L124" i="7"/>
  <c r="E127" i="4"/>
  <c r="E129" i="5"/>
  <c r="E126" i="4"/>
  <c r="C126" i="4"/>
  <c r="B19" i="5"/>
  <c r="C19" i="5"/>
  <c r="D19" i="5"/>
  <c r="B20" i="5"/>
  <c r="C20" i="5"/>
  <c r="D20" i="5"/>
  <c r="B21" i="5"/>
  <c r="C21" i="5"/>
  <c r="D21" i="5"/>
  <c r="B22" i="5"/>
  <c r="C22" i="5"/>
  <c r="D22" i="5"/>
  <c r="B23" i="5"/>
  <c r="C23" i="5"/>
  <c r="D23" i="5"/>
  <c r="B24" i="5"/>
  <c r="C24" i="5"/>
  <c r="D24" i="5"/>
  <c r="B25" i="5"/>
  <c r="C25" i="5"/>
  <c r="D25" i="5"/>
  <c r="B26" i="5"/>
  <c r="C26" i="5"/>
  <c r="D26" i="5"/>
  <c r="B27" i="5"/>
  <c r="C27" i="5"/>
  <c r="D27" i="5"/>
  <c r="B28" i="5"/>
  <c r="C28" i="5"/>
  <c r="D28" i="5"/>
  <c r="B29" i="5"/>
  <c r="C29" i="5"/>
  <c r="D29" i="5"/>
  <c r="B30" i="5"/>
  <c r="C30" i="5"/>
  <c r="D30" i="5"/>
  <c r="B31" i="5"/>
  <c r="C31" i="5"/>
  <c r="D31" i="5"/>
  <c r="B32" i="5"/>
  <c r="C32" i="5"/>
  <c r="D32" i="5"/>
  <c r="B33" i="5"/>
  <c r="C33" i="5"/>
  <c r="D33" i="5"/>
  <c r="B34" i="5"/>
  <c r="C34" i="5"/>
  <c r="D34" i="5"/>
  <c r="B35" i="5"/>
  <c r="C35" i="5"/>
  <c r="D35" i="5"/>
  <c r="B36" i="5"/>
  <c r="C36" i="5"/>
  <c r="D36" i="5"/>
  <c r="B37" i="5"/>
  <c r="C37" i="5"/>
  <c r="D37" i="5"/>
  <c r="B38" i="5"/>
  <c r="C38" i="5"/>
  <c r="D38" i="5"/>
  <c r="B39" i="5"/>
  <c r="C39" i="5"/>
  <c r="D39" i="5"/>
  <c r="B40" i="5"/>
  <c r="C40" i="5"/>
  <c r="D40" i="5"/>
  <c r="B41" i="5"/>
  <c r="C41" i="5"/>
  <c r="D41" i="5"/>
  <c r="B42" i="5"/>
  <c r="C42" i="5"/>
  <c r="D42" i="5"/>
  <c r="B43" i="5"/>
  <c r="C43" i="5"/>
  <c r="D43" i="5"/>
  <c r="B44" i="5"/>
  <c r="C44" i="5"/>
  <c r="D44" i="5"/>
  <c r="B45" i="5"/>
  <c r="C45" i="5"/>
  <c r="D45" i="5"/>
  <c r="B46" i="5"/>
  <c r="C46" i="5"/>
  <c r="D46" i="5"/>
  <c r="B47" i="5"/>
  <c r="C47" i="5"/>
  <c r="D47" i="5"/>
  <c r="B48" i="5"/>
  <c r="C48" i="5"/>
  <c r="D48" i="5"/>
  <c r="B49" i="5"/>
  <c r="C49" i="5"/>
  <c r="D49" i="5"/>
  <c r="B50" i="5"/>
  <c r="C50" i="5"/>
  <c r="D50" i="5"/>
  <c r="B51" i="5"/>
  <c r="C51" i="5"/>
  <c r="D51" i="5"/>
  <c r="B52" i="5"/>
  <c r="C52" i="5"/>
  <c r="D52" i="5"/>
  <c r="B53" i="5"/>
  <c r="C53" i="5"/>
  <c r="D53" i="5"/>
  <c r="B54" i="5"/>
  <c r="C54" i="5"/>
  <c r="D54" i="5"/>
  <c r="D53" i="4"/>
  <c r="C53" i="4"/>
  <c r="B53" i="4"/>
  <c r="D52" i="4"/>
  <c r="C52" i="4"/>
  <c r="B52" i="4"/>
  <c r="D51" i="4"/>
  <c r="C51" i="4"/>
  <c r="B51" i="4"/>
  <c r="D50" i="4"/>
  <c r="C50" i="4"/>
  <c r="B50" i="4"/>
  <c r="D49" i="4"/>
  <c r="C49" i="4"/>
  <c r="B49" i="4"/>
  <c r="D48" i="4"/>
  <c r="C48" i="4"/>
  <c r="B48" i="4"/>
  <c r="D47" i="4"/>
  <c r="C47" i="4"/>
  <c r="B47" i="4"/>
  <c r="D46" i="4"/>
  <c r="C46" i="4"/>
  <c r="B46" i="4"/>
  <c r="D45" i="4"/>
  <c r="C45" i="4"/>
  <c r="B45" i="4"/>
  <c r="D44" i="4"/>
  <c r="C44" i="4"/>
  <c r="B44" i="4"/>
  <c r="D43" i="4"/>
  <c r="C43" i="4"/>
  <c r="B43" i="4"/>
  <c r="D42" i="4"/>
  <c r="C42" i="4"/>
  <c r="B42" i="4"/>
  <c r="D41" i="4"/>
  <c r="C41" i="4"/>
  <c r="B41" i="4"/>
  <c r="D40" i="4"/>
  <c r="C40" i="4"/>
  <c r="B40" i="4"/>
  <c r="D39" i="4"/>
  <c r="C39" i="4"/>
  <c r="B39" i="4"/>
  <c r="D38" i="4"/>
  <c r="C38" i="4"/>
  <c r="B38" i="4"/>
  <c r="D37" i="4"/>
  <c r="C37" i="4"/>
  <c r="B37" i="4"/>
  <c r="D36" i="4"/>
  <c r="C36" i="4"/>
  <c r="B36" i="4"/>
  <c r="D35" i="4"/>
  <c r="C35" i="4"/>
  <c r="B35" i="4"/>
  <c r="D34" i="4"/>
  <c r="C34" i="4"/>
  <c r="B34" i="4"/>
  <c r="D33" i="4"/>
  <c r="C33" i="4"/>
  <c r="B33" i="4"/>
  <c r="D32" i="4"/>
  <c r="C32" i="4"/>
  <c r="B32" i="4"/>
  <c r="D31" i="4"/>
  <c r="C31" i="4"/>
  <c r="B31" i="4"/>
  <c r="D30" i="4"/>
  <c r="C30" i="4"/>
  <c r="B30" i="4"/>
  <c r="D29" i="4"/>
  <c r="C29" i="4"/>
  <c r="B29" i="4"/>
  <c r="D28" i="4"/>
  <c r="C28" i="4"/>
  <c r="B28" i="4"/>
  <c r="D27" i="4"/>
  <c r="C27" i="4"/>
  <c r="B27" i="4"/>
  <c r="D26" i="4"/>
  <c r="C26" i="4"/>
  <c r="B26" i="4"/>
  <c r="D25" i="4"/>
  <c r="C25" i="4"/>
  <c r="B25" i="4"/>
  <c r="D24" i="4"/>
  <c r="C24" i="4"/>
  <c r="B24" i="4"/>
  <c r="D23" i="4"/>
  <c r="C23" i="4"/>
  <c r="B23" i="4"/>
  <c r="D22" i="4"/>
  <c r="C22" i="4"/>
  <c r="B22" i="4"/>
  <c r="D21" i="4"/>
  <c r="C21" i="4"/>
  <c r="B21" i="4"/>
  <c r="D20" i="4"/>
  <c r="C20" i="4"/>
  <c r="B20" i="4"/>
  <c r="D19" i="4"/>
  <c r="C19" i="4"/>
  <c r="B19" i="4"/>
  <c r="D91" i="2"/>
  <c r="C91" i="2"/>
  <c r="B91" i="2"/>
  <c r="D90" i="2"/>
  <c r="C90" i="2"/>
  <c r="B90" i="2"/>
  <c r="D89" i="2"/>
  <c r="C89" i="2"/>
  <c r="B89" i="2"/>
  <c r="D88" i="2"/>
  <c r="C88" i="2"/>
  <c r="B88" i="2"/>
  <c r="D87" i="2"/>
  <c r="C87" i="2"/>
  <c r="B87" i="2"/>
  <c r="D86" i="2"/>
  <c r="C86" i="2"/>
  <c r="B86" i="2"/>
  <c r="D85" i="2"/>
  <c r="C85" i="2"/>
  <c r="B85" i="2"/>
  <c r="D84" i="2"/>
  <c r="C84" i="2"/>
  <c r="B84" i="2"/>
  <c r="D83" i="2"/>
  <c r="C83" i="2"/>
  <c r="B83" i="2"/>
  <c r="D82" i="2"/>
  <c r="C82" i="2"/>
  <c r="B82" i="2"/>
  <c r="D81" i="2"/>
  <c r="C81" i="2"/>
  <c r="B81" i="2"/>
  <c r="D80" i="2"/>
  <c r="C80" i="2"/>
  <c r="B80" i="2"/>
  <c r="D79" i="2"/>
  <c r="C79" i="2"/>
  <c r="B79" i="2"/>
  <c r="D78" i="2"/>
  <c r="C78" i="2"/>
  <c r="B78" i="2"/>
  <c r="D77" i="2"/>
  <c r="C77" i="2"/>
  <c r="B77" i="2"/>
  <c r="D76" i="2"/>
  <c r="C76" i="2"/>
  <c r="B76" i="2"/>
  <c r="D75" i="2"/>
  <c r="C75" i="2"/>
  <c r="B75" i="2"/>
  <c r="D74" i="2"/>
  <c r="C74" i="2"/>
  <c r="B74" i="2"/>
  <c r="D73" i="2"/>
  <c r="C73" i="2"/>
  <c r="B73" i="2"/>
  <c r="D72" i="2"/>
  <c r="C72" i="2"/>
  <c r="B72" i="2"/>
  <c r="D71" i="2"/>
  <c r="C71" i="2"/>
  <c r="B71" i="2"/>
  <c r="D70" i="2"/>
  <c r="C70" i="2"/>
  <c r="B70" i="2"/>
  <c r="D69" i="2"/>
  <c r="C69" i="2"/>
  <c r="B69" i="2"/>
  <c r="D68" i="2"/>
  <c r="C68" i="2"/>
  <c r="B68" i="2"/>
  <c r="D67" i="2"/>
  <c r="C67" i="2"/>
  <c r="B67" i="2"/>
  <c r="D66" i="2"/>
  <c r="C66" i="2"/>
  <c r="B66" i="2"/>
  <c r="D65" i="2"/>
  <c r="C65" i="2"/>
  <c r="B65" i="2"/>
  <c r="D64" i="2"/>
  <c r="C64" i="2"/>
  <c r="B64" i="2"/>
  <c r="D63" i="2"/>
  <c r="C63" i="2"/>
  <c r="B63" i="2"/>
  <c r="D62" i="2"/>
  <c r="C62" i="2"/>
  <c r="B62" i="2"/>
  <c r="D61" i="2"/>
  <c r="C61" i="2"/>
  <c r="B61" i="2"/>
  <c r="D60" i="2"/>
  <c r="C60" i="2"/>
  <c r="B60" i="2"/>
  <c r="D59" i="2"/>
  <c r="C59" i="2"/>
  <c r="B59" i="2"/>
  <c r="D58" i="2"/>
  <c r="C58" i="2"/>
  <c r="B58" i="2"/>
  <c r="D57" i="2"/>
  <c r="C57" i="2"/>
  <c r="B57" i="2"/>
  <c r="D56" i="2"/>
  <c r="C56" i="2"/>
  <c r="B56" i="2"/>
  <c r="D55" i="2"/>
  <c r="C55" i="2"/>
  <c r="B55" i="2"/>
  <c r="D54" i="2"/>
  <c r="C54" i="2"/>
  <c r="B54" i="2"/>
  <c r="D53" i="2"/>
  <c r="C53" i="2"/>
  <c r="B53" i="2"/>
  <c r="D52" i="2"/>
  <c r="C52" i="2"/>
  <c r="B52" i="2"/>
  <c r="D51" i="2"/>
  <c r="C51" i="2"/>
  <c r="B51" i="2"/>
  <c r="D50" i="2"/>
  <c r="C50" i="2"/>
  <c r="B50" i="2"/>
  <c r="D49" i="2"/>
  <c r="C49" i="2"/>
  <c r="B49" i="2"/>
  <c r="D48" i="2"/>
  <c r="C48" i="2"/>
  <c r="B48" i="2"/>
  <c r="D47" i="2"/>
  <c r="C47" i="2"/>
  <c r="B47" i="2"/>
  <c r="D46" i="2"/>
  <c r="C46" i="2"/>
  <c r="B46" i="2"/>
  <c r="D45" i="2"/>
  <c r="C45" i="2"/>
  <c r="B45" i="2"/>
  <c r="D44" i="2"/>
  <c r="C44" i="2"/>
  <c r="B44" i="2"/>
  <c r="D43" i="2"/>
  <c r="C43" i="2"/>
  <c r="B43" i="2"/>
  <c r="D42" i="2"/>
  <c r="C42" i="2"/>
  <c r="B42" i="2"/>
  <c r="D41" i="2"/>
  <c r="C41" i="2"/>
  <c r="B41" i="2"/>
  <c r="D40" i="2"/>
  <c r="C40" i="2"/>
  <c r="B40" i="2"/>
  <c r="D39" i="2"/>
  <c r="C39" i="2"/>
  <c r="B39" i="2"/>
  <c r="D38" i="2"/>
  <c r="C38" i="2"/>
  <c r="B38" i="2"/>
  <c r="D37" i="2"/>
  <c r="C37" i="2"/>
  <c r="B37" i="2"/>
  <c r="D36" i="2"/>
  <c r="C36" i="2"/>
  <c r="B36" i="2"/>
  <c r="D35" i="2"/>
  <c r="C35" i="2"/>
  <c r="B35" i="2"/>
  <c r="D34" i="2"/>
  <c r="C34" i="2"/>
  <c r="B34" i="2"/>
  <c r="D33" i="2"/>
  <c r="C33" i="2"/>
  <c r="B33" i="2"/>
  <c r="D32" i="2"/>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E16" i="4"/>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H17" i="1"/>
  <c r="E16" i="5"/>
  <c r="O1" i="1"/>
  <c r="O8" i="1" s="1"/>
  <c r="T127" i="11" l="1"/>
  <c r="S87" i="11"/>
  <c r="R87" i="11" s="1"/>
  <c r="T62" i="11"/>
  <c r="S114" i="11"/>
  <c r="R114" i="11" s="1"/>
  <c r="S62" i="11"/>
  <c r="R62" i="11" s="1"/>
  <c r="S24" i="11"/>
  <c r="R24" i="11" s="1"/>
  <c r="T105" i="11"/>
  <c r="S65" i="11"/>
  <c r="R65" i="11" s="1"/>
  <c r="S77" i="11"/>
  <c r="R77" i="11" s="1"/>
  <c r="U116" i="11"/>
  <c r="S58" i="11"/>
  <c r="R58" i="11" s="1"/>
  <c r="T69" i="11"/>
  <c r="S107" i="11"/>
  <c r="R107" i="11" s="1"/>
  <c r="T104" i="11"/>
  <c r="S110" i="11"/>
  <c r="R110" i="11" s="1"/>
  <c r="T24" i="11"/>
  <c r="U49" i="11"/>
  <c r="S69" i="11"/>
  <c r="R69" i="11" s="1"/>
  <c r="S128" i="11"/>
  <c r="R128" i="11" s="1"/>
  <c r="S20" i="11"/>
  <c r="R20" i="11" s="1"/>
  <c r="S104" i="11"/>
  <c r="R104" i="11" s="1"/>
  <c r="S64" i="11"/>
  <c r="R64" i="11" s="1"/>
  <c r="T101" i="11"/>
  <c r="T108" i="11"/>
  <c r="U32" i="11"/>
  <c r="U38" i="11"/>
  <c r="S63" i="11"/>
  <c r="R63" i="11" s="1"/>
  <c r="T77" i="11"/>
  <c r="U77" i="11"/>
  <c r="T118" i="11"/>
  <c r="U58" i="11"/>
  <c r="S33" i="11"/>
  <c r="R33" i="11" s="1"/>
  <c r="S27" i="11"/>
  <c r="R27" i="11" s="1"/>
  <c r="T28" i="11"/>
  <c r="S117" i="11"/>
  <c r="R117" i="11" s="1"/>
  <c r="S38" i="11"/>
  <c r="R38" i="11" s="1"/>
  <c r="U27" i="11"/>
  <c r="S83" i="11"/>
  <c r="R83" i="11" s="1"/>
  <c r="T88" i="11"/>
  <c r="U109" i="11"/>
  <c r="S113" i="11"/>
  <c r="R113" i="11" s="1"/>
  <c r="T36" i="11"/>
  <c r="U20" i="11"/>
  <c r="T83" i="11"/>
  <c r="S78" i="11"/>
  <c r="R78" i="11" s="1"/>
  <c r="S109" i="11"/>
  <c r="R109" i="11" s="1"/>
  <c r="T70" i="11"/>
  <c r="S118" i="11"/>
  <c r="R118" i="11" s="1"/>
  <c r="S54" i="11"/>
  <c r="R54" i="11" s="1"/>
  <c r="T79" i="11"/>
  <c r="T41" i="11"/>
  <c r="S108" i="11"/>
  <c r="R108" i="11" s="1"/>
  <c r="S52" i="11"/>
  <c r="R52" i="11" s="1"/>
  <c r="S28" i="11"/>
  <c r="R28" i="11" s="1"/>
  <c r="T67" i="11"/>
  <c r="U98" i="11"/>
  <c r="S21" i="11"/>
  <c r="R21" i="11" s="1"/>
  <c r="S41" i="11"/>
  <c r="R41" i="11" s="1"/>
  <c r="S47" i="11"/>
  <c r="R47" i="11" s="1"/>
  <c r="T115" i="11"/>
  <c r="T125" i="11"/>
  <c r="T47" i="11"/>
  <c r="U60" i="11"/>
  <c r="T107" i="11"/>
  <c r="S79" i="11"/>
  <c r="R79" i="11" s="1"/>
  <c r="S125" i="11"/>
  <c r="R125" i="11" s="1"/>
  <c r="S89" i="11"/>
  <c r="R89" i="11" s="1"/>
  <c r="S43" i="11"/>
  <c r="R43" i="11" s="1"/>
  <c r="S115" i="11"/>
  <c r="R115" i="11" s="1"/>
  <c r="S116" i="11"/>
  <c r="R116" i="11" s="1"/>
  <c r="S60" i="11"/>
  <c r="R60" i="11" s="1"/>
  <c r="S93" i="11"/>
  <c r="R93" i="11" s="1"/>
  <c r="T110" i="11"/>
  <c r="S57" i="11"/>
  <c r="R57" i="11" s="1"/>
  <c r="T87" i="11"/>
  <c r="U74" i="11"/>
  <c r="S98" i="11"/>
  <c r="R98" i="11" s="1"/>
  <c r="S23" i="11"/>
  <c r="R23" i="11" s="1"/>
  <c r="S119" i="11"/>
  <c r="R119" i="11" s="1"/>
  <c r="S30" i="11"/>
  <c r="R30" i="11" s="1"/>
  <c r="S73" i="11"/>
  <c r="R73" i="11" s="1"/>
  <c r="T112" i="11"/>
  <c r="T50" i="11"/>
  <c r="S66" i="11"/>
  <c r="R66" i="11" s="1"/>
  <c r="T92" i="11"/>
  <c r="U103" i="11"/>
  <c r="S36" i="11"/>
  <c r="R36" i="11" s="1"/>
  <c r="T113" i="11"/>
  <c r="S50" i="11"/>
  <c r="R50" i="11" s="1"/>
  <c r="T80" i="11"/>
  <c r="T21" i="11"/>
  <c r="U113" i="11"/>
  <c r="T44" i="11"/>
  <c r="T93" i="11"/>
  <c r="T43" i="11"/>
  <c r="S92" i="11"/>
  <c r="R92" i="11" s="1"/>
  <c r="T68" i="11"/>
  <c r="S123" i="11"/>
  <c r="R123" i="11" s="1"/>
  <c r="T119" i="11"/>
  <c r="S39" i="11"/>
  <c r="R39" i="11" s="1"/>
  <c r="U97" i="11"/>
  <c r="S45" i="11"/>
  <c r="R45" i="11" s="1"/>
  <c r="S70" i="11"/>
  <c r="R70" i="11" s="1"/>
  <c r="T86" i="11"/>
  <c r="S105" i="11"/>
  <c r="R105" i="11" s="1"/>
  <c r="T22" i="11"/>
  <c r="S32" i="11"/>
  <c r="R32" i="11" s="1"/>
  <c r="S101" i="11"/>
  <c r="R101" i="11" s="1"/>
  <c r="T117" i="11"/>
  <c r="S86" i="11"/>
  <c r="R86" i="11" s="1"/>
  <c r="U45" i="11"/>
  <c r="U51" i="11"/>
  <c r="S44" i="11"/>
  <c r="R44" i="11" s="1"/>
  <c r="U30" i="11"/>
  <c r="U73" i="11"/>
  <c r="S97" i="11"/>
  <c r="R97" i="11" s="1"/>
  <c r="S40" i="11"/>
  <c r="R40" i="11" s="1"/>
  <c r="U52" i="11"/>
  <c r="S111" i="11"/>
  <c r="R111" i="11" s="1"/>
  <c r="U81" i="11"/>
  <c r="S85" i="11"/>
  <c r="R85" i="11" s="1"/>
  <c r="S68" i="11"/>
  <c r="R68" i="11" s="1"/>
  <c r="T91" i="11"/>
  <c r="S74" i="11"/>
  <c r="R74" i="11" s="1"/>
  <c r="U33" i="11"/>
  <c r="S81" i="11"/>
  <c r="R81" i="11" s="1"/>
  <c r="U90" i="11"/>
  <c r="T90" i="11"/>
  <c r="S80" i="11"/>
  <c r="R80" i="11" s="1"/>
  <c r="T46" i="11"/>
  <c r="U54" i="11"/>
  <c r="S29" i="11"/>
  <c r="R29" i="11" s="1"/>
  <c r="T39" i="11"/>
  <c r="U126" i="11"/>
  <c r="T126" i="11"/>
  <c r="T25" i="11"/>
  <c r="U25" i="11"/>
  <c r="S25" i="11"/>
  <c r="R25" i="11" s="1"/>
  <c r="U120" i="11"/>
  <c r="T120" i="11"/>
  <c r="S106" i="11"/>
  <c r="R106" i="11" s="1"/>
  <c r="T121" i="11"/>
  <c r="S49" i="11"/>
  <c r="R49" i="11" s="1"/>
  <c r="T29" i="11"/>
  <c r="S55" i="11"/>
  <c r="R55" i="11" s="1"/>
  <c r="U55" i="11"/>
  <c r="U84" i="11"/>
  <c r="T84" i="11"/>
  <c r="T56" i="11"/>
  <c r="U23" i="11"/>
  <c r="S46" i="11"/>
  <c r="R46" i="11" s="1"/>
  <c r="U42" i="11"/>
  <c r="T42" i="11"/>
  <c r="S42" i="11"/>
  <c r="R42" i="11" s="1"/>
  <c r="L129" i="11"/>
  <c r="O3" i="11" s="1"/>
  <c r="S18" i="11"/>
  <c r="S75" i="11"/>
  <c r="R75" i="11" s="1"/>
  <c r="U61" i="11"/>
  <c r="T61" i="11"/>
  <c r="S61" i="11"/>
  <c r="R61" i="11" s="1"/>
  <c r="S122" i="11"/>
  <c r="R122" i="11" s="1"/>
  <c r="T82" i="11"/>
  <c r="S103" i="11"/>
  <c r="R103" i="11" s="1"/>
  <c r="T52" i="11"/>
  <c r="S94" i="11"/>
  <c r="R94" i="11" s="1"/>
  <c r="T37" i="11"/>
  <c r="U37" i="11"/>
  <c r="S100" i="11"/>
  <c r="R100" i="11" s="1"/>
  <c r="T76" i="11"/>
  <c r="T71" i="11"/>
  <c r="S34" i="11"/>
  <c r="R34" i="11" s="1"/>
  <c r="S53" i="11"/>
  <c r="R53" i="11" s="1"/>
  <c r="U123" i="11"/>
  <c r="T53" i="11"/>
  <c r="S19" i="11"/>
  <c r="R19" i="11" s="1"/>
  <c r="S59" i="11"/>
  <c r="R59" i="11" s="1"/>
  <c r="T59" i="11"/>
  <c r="S26" i="11"/>
  <c r="R26" i="11" s="1"/>
  <c r="T106" i="11"/>
  <c r="U75" i="11"/>
  <c r="S67" i="11"/>
  <c r="R67" i="11" s="1"/>
  <c r="T124" i="11"/>
  <c r="U19" i="11"/>
  <c r="U102" i="11"/>
  <c r="T102" i="11"/>
  <c r="S71" i="11"/>
  <c r="R71" i="11" s="1"/>
  <c r="S102" i="11"/>
  <c r="R102" i="11" s="1"/>
  <c r="H129" i="11"/>
  <c r="O2" i="11" s="1"/>
  <c r="U72" i="11"/>
  <c r="T72" i="11"/>
  <c r="T65" i="11"/>
  <c r="S88" i="11"/>
  <c r="R88" i="11" s="1"/>
  <c r="T100" i="11"/>
  <c r="T95" i="11"/>
  <c r="T48" i="11"/>
  <c r="U48" i="11"/>
  <c r="T128" i="11"/>
  <c r="T54" i="11"/>
  <c r="U114" i="11"/>
  <c r="T114" i="11"/>
  <c r="T57" i="11"/>
  <c r="T99" i="11"/>
  <c r="S127" i="11"/>
  <c r="R127" i="11" s="1"/>
  <c r="S91" i="11"/>
  <c r="R91" i="11" s="1"/>
  <c r="U65" i="11"/>
  <c r="S84" i="11"/>
  <c r="R84" i="11" s="1"/>
  <c r="T111" i="11"/>
  <c r="S124" i="11"/>
  <c r="R124" i="11" s="1"/>
  <c r="S37" i="11"/>
  <c r="R37" i="11" s="1"/>
  <c r="S48" i="11"/>
  <c r="R48" i="11" s="1"/>
  <c r="S35" i="11"/>
  <c r="R35" i="11" s="1"/>
  <c r="U34" i="11"/>
  <c r="S95" i="11"/>
  <c r="R95" i="11" s="1"/>
  <c r="U66" i="11"/>
  <c r="S51" i="11"/>
  <c r="R51" i="11" s="1"/>
  <c r="T122" i="11"/>
  <c r="T89" i="11"/>
  <c r="T63" i="11"/>
  <c r="S72" i="11"/>
  <c r="R72" i="11" s="1"/>
  <c r="S76" i="11"/>
  <c r="R76" i="11" s="1"/>
  <c r="U26" i="11"/>
  <c r="T35" i="11"/>
  <c r="S82" i="11"/>
  <c r="R82" i="11" s="1"/>
  <c r="Q129" i="11"/>
  <c r="T18" i="11"/>
  <c r="U18" i="11"/>
  <c r="S90" i="11"/>
  <c r="R90" i="11" s="1"/>
  <c r="S120" i="11"/>
  <c r="R120" i="11" s="1"/>
  <c r="T94" i="11"/>
  <c r="U89" i="11"/>
  <c r="S121" i="11"/>
  <c r="R121" i="11" s="1"/>
  <c r="U78" i="11"/>
  <c r="T78" i="11"/>
  <c r="T85" i="11"/>
  <c r="U31" i="11"/>
  <c r="T31" i="11"/>
  <c r="S31" i="11"/>
  <c r="R31" i="11" s="1"/>
  <c r="T64" i="11"/>
  <c r="S126" i="11"/>
  <c r="R126" i="11" s="1"/>
  <c r="S112" i="11"/>
  <c r="R112" i="11" s="1"/>
  <c r="T40" i="11"/>
  <c r="S99" i="11"/>
  <c r="R99" i="11" s="1"/>
  <c r="S56" i="11"/>
  <c r="R56" i="11" s="1"/>
  <c r="S22" i="11"/>
  <c r="R22" i="11" s="1"/>
  <c r="T22" i="9"/>
  <c r="S112" i="9"/>
  <c r="R112" i="9" s="1"/>
  <c r="S66" i="9"/>
  <c r="R66" i="9" s="1"/>
  <c r="U58" i="9"/>
  <c r="S34" i="9"/>
  <c r="R34" i="9" s="1"/>
  <c r="T21" i="9"/>
  <c r="S125" i="7"/>
  <c r="R125" i="7" s="1"/>
  <c r="T40" i="9"/>
  <c r="T27" i="9"/>
  <c r="S22" i="9"/>
  <c r="R22" i="9" s="1"/>
  <c r="S55" i="9"/>
  <c r="R55" i="9" s="1"/>
  <c r="S58" i="9"/>
  <c r="R58" i="9" s="1"/>
  <c r="S100" i="9"/>
  <c r="R100" i="9" s="1"/>
  <c r="S57" i="9"/>
  <c r="R57" i="9" s="1"/>
  <c r="T63" i="9"/>
  <c r="S86" i="9"/>
  <c r="R86" i="9" s="1"/>
  <c r="S52" i="7"/>
  <c r="R52" i="7" s="1"/>
  <c r="S111" i="9"/>
  <c r="R111" i="9" s="1"/>
  <c r="T122" i="9"/>
  <c r="T47" i="9"/>
  <c r="S117" i="9"/>
  <c r="R117" i="9" s="1"/>
  <c r="T112" i="9"/>
  <c r="T26" i="9"/>
  <c r="S63" i="9"/>
  <c r="R63" i="9" s="1"/>
  <c r="U125" i="9"/>
  <c r="T92" i="9"/>
  <c r="T98" i="9"/>
  <c r="S98" i="9"/>
  <c r="R98" i="9" s="1"/>
  <c r="S72" i="7"/>
  <c r="R72" i="7" s="1"/>
  <c r="T127" i="9"/>
  <c r="U88" i="9"/>
  <c r="T100" i="9"/>
  <c r="S121" i="9"/>
  <c r="R121" i="9" s="1"/>
  <c r="S124" i="9"/>
  <c r="R124" i="9" s="1"/>
  <c r="T51" i="9"/>
  <c r="S36" i="9"/>
  <c r="R36" i="9" s="1"/>
  <c r="S119" i="9"/>
  <c r="R119" i="9" s="1"/>
  <c r="S88" i="9"/>
  <c r="R88" i="9" s="1"/>
  <c r="S70" i="9"/>
  <c r="R70" i="9" s="1"/>
  <c r="S29" i="9"/>
  <c r="R29" i="9" s="1"/>
  <c r="S26" i="9"/>
  <c r="R26" i="9" s="1"/>
  <c r="S44" i="9"/>
  <c r="R44" i="9" s="1"/>
  <c r="S33" i="9"/>
  <c r="R33" i="9" s="1"/>
  <c r="U33" i="9"/>
  <c r="T39" i="9"/>
  <c r="T38" i="7"/>
  <c r="U76" i="9"/>
  <c r="T77" i="9"/>
  <c r="S39" i="9"/>
  <c r="R39" i="9" s="1"/>
  <c r="S82" i="9"/>
  <c r="R82" i="9" s="1"/>
  <c r="S126" i="9"/>
  <c r="R126" i="9" s="1"/>
  <c r="S95" i="9"/>
  <c r="R95" i="9" s="1"/>
  <c r="S65" i="9"/>
  <c r="R65" i="9" s="1"/>
  <c r="S76" i="9"/>
  <c r="R76" i="9" s="1"/>
  <c r="U30" i="9"/>
  <c r="U117" i="7"/>
  <c r="S38" i="7"/>
  <c r="R38" i="7" s="1"/>
  <c r="S46" i="9"/>
  <c r="R46" i="9" s="1"/>
  <c r="S53" i="9"/>
  <c r="R53" i="9" s="1"/>
  <c r="S59" i="9"/>
  <c r="R59" i="9" s="1"/>
  <c r="T126" i="9"/>
  <c r="T119" i="9"/>
  <c r="U111" i="9"/>
  <c r="S72" i="9"/>
  <c r="R72" i="9" s="1"/>
  <c r="T68" i="9"/>
  <c r="S19" i="9"/>
  <c r="R19" i="9" s="1"/>
  <c r="S115" i="9"/>
  <c r="R115" i="9" s="1"/>
  <c r="S60" i="9"/>
  <c r="R60" i="9" s="1"/>
  <c r="T114" i="7"/>
  <c r="S92" i="9"/>
  <c r="R92" i="9" s="1"/>
  <c r="T66" i="9"/>
  <c r="T64" i="9"/>
  <c r="T75" i="9"/>
  <c r="T41" i="9"/>
  <c r="S61" i="9"/>
  <c r="R61" i="9" s="1"/>
  <c r="S125" i="9"/>
  <c r="R125" i="9" s="1"/>
  <c r="S32" i="9"/>
  <c r="R32" i="9" s="1"/>
  <c r="T111" i="9"/>
  <c r="T95" i="9"/>
  <c r="U20" i="9"/>
  <c r="U69" i="9"/>
  <c r="S54" i="9"/>
  <c r="R54" i="9" s="1"/>
  <c r="S23" i="7"/>
  <c r="R23" i="7" s="1"/>
  <c r="T83" i="7"/>
  <c r="T120" i="9"/>
  <c r="S75" i="9"/>
  <c r="R75" i="9" s="1"/>
  <c r="S114" i="9"/>
  <c r="R114" i="9" s="1"/>
  <c r="S50" i="9"/>
  <c r="R50" i="9" s="1"/>
  <c r="U32" i="9"/>
  <c r="S21" i="9"/>
  <c r="R21" i="9" s="1"/>
  <c r="S109" i="9"/>
  <c r="R109" i="9" s="1"/>
  <c r="U57" i="9"/>
  <c r="U22" i="7"/>
  <c r="S123" i="7"/>
  <c r="R123" i="7" s="1"/>
  <c r="S87" i="9"/>
  <c r="R87" i="9" s="1"/>
  <c r="S40" i="9"/>
  <c r="R40" i="9" s="1"/>
  <c r="T57" i="9"/>
  <c r="U102" i="9"/>
  <c r="T109" i="9"/>
  <c r="T110" i="9"/>
  <c r="S77" i="9"/>
  <c r="R77" i="9" s="1"/>
  <c r="T34" i="9"/>
  <c r="S52" i="9"/>
  <c r="R52" i="9" s="1"/>
  <c r="T108" i="9"/>
  <c r="T106" i="9"/>
  <c r="U48" i="9"/>
  <c r="S27" i="9"/>
  <c r="R27" i="9" s="1"/>
  <c r="T124" i="9"/>
  <c r="S106" i="9"/>
  <c r="R106" i="9" s="1"/>
  <c r="U108" i="7"/>
  <c r="U78" i="9"/>
  <c r="T116" i="9"/>
  <c r="S49" i="9"/>
  <c r="R49" i="9" s="1"/>
  <c r="T104" i="9"/>
  <c r="T54" i="9"/>
  <c r="S108" i="9"/>
  <c r="R108" i="9" s="1"/>
  <c r="U65" i="9"/>
  <c r="S37" i="9"/>
  <c r="R37" i="9" s="1"/>
  <c r="S104" i="9"/>
  <c r="R104" i="9" s="1"/>
  <c r="S97" i="9"/>
  <c r="R97" i="9" s="1"/>
  <c r="T101" i="9"/>
  <c r="S58" i="7"/>
  <c r="R58" i="7" s="1"/>
  <c r="T64" i="7"/>
  <c r="U104" i="7"/>
  <c r="T72" i="9"/>
  <c r="T86" i="9"/>
  <c r="T89" i="9"/>
  <c r="U80" i="9"/>
  <c r="U43" i="9"/>
  <c r="S30" i="9"/>
  <c r="R30" i="9" s="1"/>
  <c r="U128" i="9"/>
  <c r="U74" i="9"/>
  <c r="S35" i="9"/>
  <c r="R35" i="9" s="1"/>
  <c r="S89" i="9"/>
  <c r="R89" i="9" s="1"/>
  <c r="S48" i="9"/>
  <c r="R48" i="9" s="1"/>
  <c r="T60" i="9"/>
  <c r="U85" i="9"/>
  <c r="T103" i="9"/>
  <c r="S85" i="9"/>
  <c r="R85" i="9" s="1"/>
  <c r="S104" i="7"/>
  <c r="R104" i="7" s="1"/>
  <c r="S114" i="7"/>
  <c r="R114" i="7" s="1"/>
  <c r="S22" i="7"/>
  <c r="R22" i="7" s="1"/>
  <c r="S109" i="7"/>
  <c r="R109" i="7" s="1"/>
  <c r="S51" i="9"/>
  <c r="R51" i="9" s="1"/>
  <c r="T70" i="9"/>
  <c r="T35" i="9"/>
  <c r="U52" i="9"/>
  <c r="S102" i="9"/>
  <c r="R102" i="9" s="1"/>
  <c r="S120" i="9"/>
  <c r="R120" i="9" s="1"/>
  <c r="S81" i="9"/>
  <c r="R81" i="9" s="1"/>
  <c r="S24" i="9"/>
  <c r="R24" i="9" s="1"/>
  <c r="T19" i="9"/>
  <c r="S103" i="9"/>
  <c r="R103" i="9" s="1"/>
  <c r="U49" i="9"/>
  <c r="S43" i="9"/>
  <c r="R43" i="9" s="1"/>
  <c r="T71" i="9"/>
  <c r="S71" i="9"/>
  <c r="R71" i="9" s="1"/>
  <c r="T32" i="7"/>
  <c r="U114" i="9"/>
  <c r="S68" i="9"/>
  <c r="R68" i="9" s="1"/>
  <c r="S25" i="9"/>
  <c r="R25" i="9" s="1"/>
  <c r="S127" i="9"/>
  <c r="R127" i="9" s="1"/>
  <c r="T24" i="9"/>
  <c r="U19" i="9"/>
  <c r="S42" i="9"/>
  <c r="R42" i="9" s="1"/>
  <c r="U37" i="9"/>
  <c r="S96" i="9"/>
  <c r="R96" i="9" s="1"/>
  <c r="U124" i="9"/>
  <c r="T94" i="9"/>
  <c r="U45" i="9"/>
  <c r="T84" i="9"/>
  <c r="T121" i="9"/>
  <c r="S38" i="9"/>
  <c r="R38" i="9" s="1"/>
  <c r="S62" i="9"/>
  <c r="R62" i="9" s="1"/>
  <c r="U100" i="9"/>
  <c r="T83" i="9"/>
  <c r="S93" i="9"/>
  <c r="R93" i="9" s="1"/>
  <c r="T53" i="9"/>
  <c r="T36" i="9"/>
  <c r="U59" i="9"/>
  <c r="U81" i="9"/>
  <c r="S67" i="9"/>
  <c r="R67" i="9" s="1"/>
  <c r="S94" i="9"/>
  <c r="R94" i="9" s="1"/>
  <c r="S57" i="7"/>
  <c r="R57" i="7" s="1"/>
  <c r="S85" i="7"/>
  <c r="R85" i="7" s="1"/>
  <c r="S84" i="9"/>
  <c r="R84" i="9" s="1"/>
  <c r="U121" i="9"/>
  <c r="U31" i="9"/>
  <c r="T31" i="9"/>
  <c r="S128" i="9"/>
  <c r="R128" i="9" s="1"/>
  <c r="T91" i="9"/>
  <c r="S79" i="9"/>
  <c r="R79" i="9" s="1"/>
  <c r="S101" i="9"/>
  <c r="R101" i="9" s="1"/>
  <c r="S28" i="9"/>
  <c r="R28" i="9" s="1"/>
  <c r="T56" i="9"/>
  <c r="S47" i="9"/>
  <c r="R47" i="9" s="1"/>
  <c r="S41" i="9"/>
  <c r="R41" i="9" s="1"/>
  <c r="T97" i="9"/>
  <c r="T59" i="9"/>
  <c r="T82" i="9"/>
  <c r="T62" i="9"/>
  <c r="U75" i="7"/>
  <c r="S96" i="7"/>
  <c r="R96" i="7" s="1"/>
  <c r="S93" i="7"/>
  <c r="R93" i="7" s="1"/>
  <c r="S110" i="9"/>
  <c r="R110" i="9" s="1"/>
  <c r="T46" i="9"/>
  <c r="S116" i="9"/>
  <c r="R116" i="9" s="1"/>
  <c r="U82" i="9"/>
  <c r="Q129" i="9"/>
  <c r="S123" i="9"/>
  <c r="R123" i="9" s="1"/>
  <c r="T118" i="9"/>
  <c r="U117" i="9"/>
  <c r="T28" i="9"/>
  <c r="S118" i="9"/>
  <c r="R118" i="9" s="1"/>
  <c r="T25" i="9"/>
  <c r="T50" i="9"/>
  <c r="T38" i="9"/>
  <c r="T98" i="7"/>
  <c r="U105" i="9"/>
  <c r="S107" i="9"/>
  <c r="R107" i="9" s="1"/>
  <c r="U46" i="9"/>
  <c r="S78" i="9"/>
  <c r="R78" i="9" s="1"/>
  <c r="T79" i="9"/>
  <c r="S99" i="9"/>
  <c r="R99" i="9" s="1"/>
  <c r="S74" i="9"/>
  <c r="R74" i="9" s="1"/>
  <c r="S122" i="9"/>
  <c r="R122" i="9" s="1"/>
  <c r="S45" i="9"/>
  <c r="R45" i="9" s="1"/>
  <c r="T115" i="9"/>
  <c r="S80" i="9"/>
  <c r="R80" i="9" s="1"/>
  <c r="U29" i="9"/>
  <c r="U23" i="9"/>
  <c r="T23" i="9"/>
  <c r="S92" i="7"/>
  <c r="R92" i="7" s="1"/>
  <c r="T123" i="7"/>
  <c r="T107" i="9"/>
  <c r="S73" i="9"/>
  <c r="R73" i="9" s="1"/>
  <c r="S113" i="9"/>
  <c r="R113" i="9" s="1"/>
  <c r="S69" i="9"/>
  <c r="R69" i="9" s="1"/>
  <c r="T117" i="9"/>
  <c r="S20" i="9"/>
  <c r="R20" i="9" s="1"/>
  <c r="S23" i="9"/>
  <c r="R23" i="9" s="1"/>
  <c r="U99" i="9"/>
  <c r="T44" i="9"/>
  <c r="S90" i="7"/>
  <c r="R90" i="7" s="1"/>
  <c r="S105" i="9"/>
  <c r="R105" i="9" s="1"/>
  <c r="T113" i="9"/>
  <c r="T67" i="9"/>
  <c r="H129" i="9"/>
  <c r="O2" i="9" s="1"/>
  <c r="S56" i="9"/>
  <c r="R56" i="9" s="1"/>
  <c r="U87" i="9"/>
  <c r="T61" i="9"/>
  <c r="U42" i="9"/>
  <c r="U93" i="9"/>
  <c r="T73" i="9"/>
  <c r="U73" i="9"/>
  <c r="T123" i="9"/>
  <c r="K129" i="9"/>
  <c r="U18" i="9"/>
  <c r="T18" i="9"/>
  <c r="L18" i="9"/>
  <c r="S83" i="9"/>
  <c r="R83" i="9" s="1"/>
  <c r="S64" i="7"/>
  <c r="R64" i="7" s="1"/>
  <c r="T96" i="9"/>
  <c r="U55" i="9"/>
  <c r="T55" i="9"/>
  <c r="S91" i="9"/>
  <c r="R91" i="9" s="1"/>
  <c r="S31" i="9"/>
  <c r="R31" i="9" s="1"/>
  <c r="S64" i="9"/>
  <c r="R64" i="9" s="1"/>
  <c r="T31" i="7"/>
  <c r="T60" i="7"/>
  <c r="T72" i="7"/>
  <c r="T23" i="7"/>
  <c r="S107" i="7"/>
  <c r="R107" i="7" s="1"/>
  <c r="U120" i="7"/>
  <c r="S73" i="7"/>
  <c r="R73" i="7" s="1"/>
  <c r="S31" i="7"/>
  <c r="R31" i="7" s="1"/>
  <c r="S105" i="7"/>
  <c r="R105" i="7" s="1"/>
  <c r="S100" i="7"/>
  <c r="R100" i="7" s="1"/>
  <c r="S36" i="7"/>
  <c r="R36" i="7" s="1"/>
  <c r="U53" i="7"/>
  <c r="U96" i="7"/>
  <c r="S35" i="7"/>
  <c r="R35" i="7" s="1"/>
  <c r="U39" i="7"/>
  <c r="S46" i="7"/>
  <c r="R46" i="7" s="1"/>
  <c r="S117" i="7"/>
  <c r="R117" i="7" s="1"/>
  <c r="T109" i="7"/>
  <c r="U95" i="7"/>
  <c r="U109" i="7"/>
  <c r="U35" i="7"/>
  <c r="T55" i="7"/>
  <c r="U33" i="7"/>
  <c r="S116" i="7"/>
  <c r="R116" i="7" s="1"/>
  <c r="S53" i="7"/>
  <c r="R53" i="7" s="1"/>
  <c r="S51" i="7"/>
  <c r="R51" i="7" s="1"/>
  <c r="S88" i="7"/>
  <c r="R88" i="7" s="1"/>
  <c r="U45" i="7"/>
  <c r="U63" i="7"/>
  <c r="S112" i="7"/>
  <c r="R112" i="7" s="1"/>
  <c r="S43" i="7"/>
  <c r="R43" i="7" s="1"/>
  <c r="T107" i="7"/>
  <c r="U27" i="7"/>
  <c r="S102" i="7"/>
  <c r="R102" i="7" s="1"/>
  <c r="T93" i="7"/>
  <c r="S60" i="7"/>
  <c r="R60" i="7" s="1"/>
  <c r="U88" i="7"/>
  <c r="U37" i="7"/>
  <c r="S34" i="7"/>
  <c r="R34" i="7" s="1"/>
  <c r="U122" i="7"/>
  <c r="T89" i="7"/>
  <c r="T102" i="7"/>
  <c r="T90" i="7"/>
  <c r="S126" i="7"/>
  <c r="R126" i="7" s="1"/>
  <c r="T70" i="7"/>
  <c r="S83" i="7"/>
  <c r="R83" i="7" s="1"/>
  <c r="S40" i="7"/>
  <c r="R40" i="7" s="1"/>
  <c r="S63" i="7"/>
  <c r="R63" i="7" s="1"/>
  <c r="S111" i="7"/>
  <c r="R111" i="7" s="1"/>
  <c r="L45" i="7"/>
  <c r="S45" i="7" s="1"/>
  <c r="R45" i="7" s="1"/>
  <c r="U51" i="7"/>
  <c r="S91" i="7"/>
  <c r="R91" i="7" s="1"/>
  <c r="U78" i="7"/>
  <c r="S98" i="7"/>
  <c r="R98" i="7" s="1"/>
  <c r="U81" i="7"/>
  <c r="S29" i="7"/>
  <c r="R29" i="7" s="1"/>
  <c r="S89" i="7"/>
  <c r="R89" i="7" s="1"/>
  <c r="T46" i="7"/>
  <c r="T95" i="7"/>
  <c r="T87" i="7"/>
  <c r="U94" i="7"/>
  <c r="T50" i="7"/>
  <c r="U113" i="7"/>
  <c r="U44" i="7"/>
  <c r="T73" i="7"/>
  <c r="T100" i="7"/>
  <c r="U26" i="7"/>
  <c r="U84" i="7"/>
  <c r="T45" i="7"/>
  <c r="S82" i="7"/>
  <c r="R82" i="7" s="1"/>
  <c r="U30" i="7"/>
  <c r="S65" i="7"/>
  <c r="R65" i="7" s="1"/>
  <c r="L95" i="7"/>
  <c r="S95" i="7" s="1"/>
  <c r="R95" i="7" s="1"/>
  <c r="S44" i="7"/>
  <c r="R44" i="7" s="1"/>
  <c r="T52" i="7"/>
  <c r="T29" i="7"/>
  <c r="S84" i="7"/>
  <c r="R84" i="7" s="1"/>
  <c r="T115" i="7"/>
  <c r="U34" i="7"/>
  <c r="U85" i="7"/>
  <c r="U52" i="7"/>
  <c r="T58" i="7"/>
  <c r="S26" i="7"/>
  <c r="R26" i="7" s="1"/>
  <c r="T77" i="7"/>
  <c r="T128" i="7"/>
  <c r="S77" i="7"/>
  <c r="R77" i="7" s="1"/>
  <c r="U73" i="7"/>
  <c r="S39" i="7"/>
  <c r="R39" i="7" s="1"/>
  <c r="T82" i="7"/>
  <c r="S30" i="7"/>
  <c r="R30" i="7" s="1"/>
  <c r="S50" i="7"/>
  <c r="R50" i="7" s="1"/>
  <c r="U121" i="7"/>
  <c r="S70" i="7"/>
  <c r="R70" i="7" s="1"/>
  <c r="S32" i="7"/>
  <c r="R32" i="7" s="1"/>
  <c r="T125" i="7"/>
  <c r="U57" i="7"/>
  <c r="S121" i="7"/>
  <c r="R121" i="7" s="1"/>
  <c r="S127" i="7"/>
  <c r="R127" i="7" s="1"/>
  <c r="S28" i="7"/>
  <c r="R28" i="7" s="1"/>
  <c r="S75" i="7"/>
  <c r="R75" i="7" s="1"/>
  <c r="S115" i="7"/>
  <c r="R115" i="7" s="1"/>
  <c r="S33" i="7"/>
  <c r="R33" i="7" s="1"/>
  <c r="S120" i="7"/>
  <c r="R120" i="7" s="1"/>
  <c r="K129" i="7"/>
  <c r="T118" i="7"/>
  <c r="T91" i="7"/>
  <c r="T28" i="7"/>
  <c r="U47" i="7"/>
  <c r="S118" i="7"/>
  <c r="R118" i="7" s="1"/>
  <c r="S81" i="7"/>
  <c r="R81" i="7" s="1"/>
  <c r="S106" i="7"/>
  <c r="R106" i="7" s="1"/>
  <c r="T51" i="7"/>
  <c r="S108" i="7"/>
  <c r="R108" i="7" s="1"/>
  <c r="S110" i="7"/>
  <c r="R110" i="7" s="1"/>
  <c r="S55" i="7"/>
  <c r="R55" i="7" s="1"/>
  <c r="S113" i="7"/>
  <c r="R113" i="7" s="1"/>
  <c r="S78" i="7"/>
  <c r="R78" i="7" s="1"/>
  <c r="T43" i="7"/>
  <c r="S24" i="7"/>
  <c r="R24" i="7" s="1"/>
  <c r="U24" i="7"/>
  <c r="T24" i="7"/>
  <c r="U40" i="7"/>
  <c r="T40" i="7"/>
  <c r="S25" i="7"/>
  <c r="R25" i="7" s="1"/>
  <c r="T124" i="7"/>
  <c r="T111" i="7"/>
  <c r="T88" i="7"/>
  <c r="S128" i="7"/>
  <c r="R128" i="7" s="1"/>
  <c r="U43" i="7"/>
  <c r="T36" i="7"/>
  <c r="U36" i="7"/>
  <c r="T119" i="7"/>
  <c r="S119" i="7"/>
  <c r="R119" i="7" s="1"/>
  <c r="T25" i="7"/>
  <c r="S69" i="7"/>
  <c r="R69" i="7" s="1"/>
  <c r="S79" i="7"/>
  <c r="R79" i="7" s="1"/>
  <c r="U79" i="7"/>
  <c r="T66" i="7"/>
  <c r="S66" i="7"/>
  <c r="R66" i="7" s="1"/>
  <c r="Q129" i="7"/>
  <c r="T18" i="7"/>
  <c r="S18" i="7"/>
  <c r="U18" i="7"/>
  <c r="S97" i="7"/>
  <c r="R97" i="7" s="1"/>
  <c r="U97" i="7"/>
  <c r="U68" i="7"/>
  <c r="T68" i="7"/>
  <c r="S124" i="7"/>
  <c r="R124" i="7" s="1"/>
  <c r="H129" i="7"/>
  <c r="O2" i="7" s="1"/>
  <c r="T112" i="7"/>
  <c r="S122" i="7"/>
  <c r="R122" i="7" s="1"/>
  <c r="T103" i="7"/>
  <c r="U103" i="7"/>
  <c r="S103" i="7"/>
  <c r="R103" i="7" s="1"/>
  <c r="S74" i="7"/>
  <c r="R74" i="7" s="1"/>
  <c r="S37" i="7"/>
  <c r="R37" i="7" s="1"/>
  <c r="U92" i="7"/>
  <c r="T92" i="7"/>
  <c r="S27" i="7"/>
  <c r="R27" i="7" s="1"/>
  <c r="S101" i="7"/>
  <c r="R101" i="7" s="1"/>
  <c r="T101" i="7"/>
  <c r="U66" i="7"/>
  <c r="U126" i="7"/>
  <c r="T57" i="7"/>
  <c r="T106" i="7"/>
  <c r="S20" i="7"/>
  <c r="R20" i="7" s="1"/>
  <c r="T105" i="7"/>
  <c r="U86" i="7"/>
  <c r="U99" i="7"/>
  <c r="T99" i="7"/>
  <c r="T41" i="7"/>
  <c r="U41" i="7"/>
  <c r="S41" i="7"/>
  <c r="R41" i="7" s="1"/>
  <c r="S99" i="7"/>
  <c r="R99" i="7" s="1"/>
  <c r="U106" i="7"/>
  <c r="U67" i="7"/>
  <c r="T67" i="7"/>
  <c r="U127" i="7"/>
  <c r="S80" i="7"/>
  <c r="R80" i="7" s="1"/>
  <c r="U105" i="7"/>
  <c r="T59" i="7"/>
  <c r="S47" i="7"/>
  <c r="R47" i="7" s="1"/>
  <c r="T62" i="7"/>
  <c r="T80" i="7"/>
  <c r="S67" i="7"/>
  <c r="R67" i="7" s="1"/>
  <c r="T42" i="7"/>
  <c r="S42" i="7"/>
  <c r="R42" i="7" s="1"/>
  <c r="U42" i="7"/>
  <c r="S86" i="7"/>
  <c r="R86" i="7" s="1"/>
  <c r="T97" i="7"/>
  <c r="L19" i="7"/>
  <c r="U19" i="7"/>
  <c r="T19" i="7"/>
  <c r="S56" i="7"/>
  <c r="R56" i="7" s="1"/>
  <c r="U110" i="7"/>
  <c r="T110" i="7"/>
  <c r="T65" i="7"/>
  <c r="U65" i="7"/>
  <c r="S94" i="7"/>
  <c r="R94" i="7" s="1"/>
  <c r="U74" i="7"/>
  <c r="S21" i="7"/>
  <c r="R21" i="7" s="1"/>
  <c r="S87" i="7"/>
  <c r="R87" i="7" s="1"/>
  <c r="U54" i="7"/>
  <c r="T54" i="7"/>
  <c r="S68" i="7"/>
  <c r="R68" i="7" s="1"/>
  <c r="U116" i="7"/>
  <c r="T116" i="7"/>
  <c r="S59" i="7"/>
  <c r="R59" i="7" s="1"/>
  <c r="T21" i="7"/>
  <c r="S54" i="7"/>
  <c r="R54" i="7" s="1"/>
  <c r="T69" i="7"/>
  <c r="S76" i="7"/>
  <c r="R76" i="7" s="1"/>
  <c r="S49" i="7"/>
  <c r="R49" i="7" s="1"/>
  <c r="U49" i="7"/>
  <c r="T49" i="7"/>
  <c r="U20" i="7"/>
  <c r="T76" i="7"/>
  <c r="T79" i="7"/>
  <c r="U71" i="7"/>
  <c r="T71" i="7"/>
  <c r="S71" i="7"/>
  <c r="R71" i="7" s="1"/>
  <c r="S62" i="7"/>
  <c r="R62" i="7" s="1"/>
  <c r="T61" i="7"/>
  <c r="U61" i="7"/>
  <c r="S61" i="7"/>
  <c r="R61" i="7" s="1"/>
  <c r="T56" i="7"/>
  <c r="U56" i="7"/>
  <c r="Q17" i="1"/>
  <c r="D15" i="1"/>
  <c r="G128" i="1" s="1"/>
  <c r="B128" i="5"/>
  <c r="C128" i="5"/>
  <c r="E128" i="5"/>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G165" i="5"/>
  <c r="G166" i="5"/>
  <c r="G163" i="5"/>
  <c r="G164" i="5"/>
  <c r="G167" i="5"/>
  <c r="G162" i="5"/>
  <c r="P129" i="1"/>
  <c r="F178" i="5"/>
  <c r="F172" i="4"/>
  <c r="S129" i="11" l="1"/>
  <c r="O6" i="11" s="1"/>
  <c r="R18" i="11"/>
  <c r="R129" i="11" s="1"/>
  <c r="O7" i="11"/>
  <c r="U14" i="11"/>
  <c r="O9" i="11" s="1"/>
  <c r="O5" i="11"/>
  <c r="O4" i="11"/>
  <c r="U14" i="9"/>
  <c r="O9" i="9" s="1"/>
  <c r="O7" i="9"/>
  <c r="L129" i="9"/>
  <c r="O3" i="9" s="1"/>
  <c r="O5" i="9" s="1"/>
  <c r="S18" i="9"/>
  <c r="R18" i="7"/>
  <c r="O7" i="7"/>
  <c r="U14" i="7"/>
  <c r="O9" i="7" s="1"/>
  <c r="S19" i="7"/>
  <c r="R19" i="7" s="1"/>
  <c r="L129" i="7"/>
  <c r="O3" i="7" s="1"/>
  <c r="O5" i="7" s="1"/>
  <c r="D176" i="5"/>
  <c r="Q23" i="1"/>
  <c r="Q29" i="1"/>
  <c r="Q35" i="1"/>
  <c r="Q41" i="1"/>
  <c r="Q47" i="1"/>
  <c r="Q53" i="1"/>
  <c r="Q59" i="1"/>
  <c r="Q65" i="1"/>
  <c r="Q71" i="1"/>
  <c r="Q77" i="1"/>
  <c r="Q83" i="1"/>
  <c r="Q89" i="1"/>
  <c r="Q95" i="1"/>
  <c r="Q101" i="1"/>
  <c r="Q107" i="1"/>
  <c r="Q113" i="1"/>
  <c r="Q119" i="1"/>
  <c r="Q125" i="1"/>
  <c r="Q31" i="1"/>
  <c r="Q43" i="1"/>
  <c r="Q61" i="1"/>
  <c r="Q73" i="1"/>
  <c r="Q85" i="1"/>
  <c r="Q97" i="1"/>
  <c r="Q109" i="1"/>
  <c r="Q121" i="1"/>
  <c r="Q20" i="1"/>
  <c r="Q38" i="1"/>
  <c r="Q50" i="1"/>
  <c r="Q62" i="1"/>
  <c r="Q74" i="1"/>
  <c r="Q86" i="1"/>
  <c r="Q98" i="1"/>
  <c r="Q110" i="1"/>
  <c r="Q122" i="1"/>
  <c r="Q27" i="1"/>
  <c r="Q33" i="1"/>
  <c r="Q39" i="1"/>
  <c r="Q45" i="1"/>
  <c r="Q57" i="1"/>
  <c r="Q69" i="1"/>
  <c r="Q81" i="1"/>
  <c r="Q93" i="1"/>
  <c r="Q105" i="1"/>
  <c r="Q117" i="1"/>
  <c r="Q28" i="1"/>
  <c r="Q34" i="1"/>
  <c r="Q40" i="1"/>
  <c r="Q52" i="1"/>
  <c r="Q64" i="1"/>
  <c r="Q76" i="1"/>
  <c r="Q88" i="1"/>
  <c r="Q100" i="1"/>
  <c r="Q112" i="1"/>
  <c r="Q124" i="1"/>
  <c r="Q24" i="1"/>
  <c r="Q30" i="1"/>
  <c r="Q36" i="1"/>
  <c r="Q42" i="1"/>
  <c r="Q48" i="1"/>
  <c r="Q54" i="1"/>
  <c r="Q60" i="1"/>
  <c r="Q66" i="1"/>
  <c r="Q72" i="1"/>
  <c r="Q78" i="1"/>
  <c r="Q84" i="1"/>
  <c r="Q90" i="1"/>
  <c r="Q96" i="1"/>
  <c r="Q102" i="1"/>
  <c r="Q108" i="1"/>
  <c r="Q114" i="1"/>
  <c r="Q120" i="1"/>
  <c r="Q126" i="1"/>
  <c r="Q25" i="1"/>
  <c r="Q37" i="1"/>
  <c r="Q49" i="1"/>
  <c r="Q55" i="1"/>
  <c r="Q67" i="1"/>
  <c r="Q79" i="1"/>
  <c r="Q91" i="1"/>
  <c r="Q103" i="1"/>
  <c r="Q115" i="1"/>
  <c r="Q127" i="1"/>
  <c r="Q26" i="1"/>
  <c r="Q32" i="1"/>
  <c r="Q44" i="1"/>
  <c r="Q56" i="1"/>
  <c r="Q68" i="1"/>
  <c r="Q80" i="1"/>
  <c r="Q92" i="1"/>
  <c r="Q104" i="1"/>
  <c r="Q116" i="1"/>
  <c r="Q128" i="1"/>
  <c r="Q21" i="1"/>
  <c r="Q51" i="1"/>
  <c r="Q63" i="1"/>
  <c r="Q75" i="1"/>
  <c r="Q87" i="1"/>
  <c r="Q99" i="1"/>
  <c r="Q111" i="1"/>
  <c r="Q123" i="1"/>
  <c r="Q22" i="1"/>
  <c r="Q46" i="1"/>
  <c r="Q58" i="1"/>
  <c r="Q70" i="1"/>
  <c r="Q82" i="1"/>
  <c r="Q94" i="1"/>
  <c r="Q106" i="1"/>
  <c r="Q118" i="1"/>
  <c r="K128" i="1"/>
  <c r="G106" i="1"/>
  <c r="G115" i="1"/>
  <c r="G123" i="1"/>
  <c r="K123" i="1" s="1"/>
  <c r="G126" i="1"/>
  <c r="K126" i="1" s="1"/>
  <c r="G94" i="1"/>
  <c r="K94" i="1" s="1"/>
  <c r="G109" i="1"/>
  <c r="K109" i="1" s="1"/>
  <c r="G114" i="1"/>
  <c r="K114" i="1" s="1"/>
  <c r="G125" i="1"/>
  <c r="K125" i="1" s="1"/>
  <c r="G92" i="1"/>
  <c r="G95" i="1"/>
  <c r="G98" i="1"/>
  <c r="K98" i="1" s="1"/>
  <c r="G99" i="1"/>
  <c r="K99" i="1" s="1"/>
  <c r="G102" i="1"/>
  <c r="K102" i="1" s="1"/>
  <c r="G110" i="1"/>
  <c r="K110" i="1" s="1"/>
  <c r="G111" i="1"/>
  <c r="K111" i="1" s="1"/>
  <c r="G117" i="1"/>
  <c r="K117" i="1" s="1"/>
  <c r="G120" i="1"/>
  <c r="K120" i="1" s="1"/>
  <c r="G97" i="1"/>
  <c r="K97" i="1" s="1"/>
  <c r="G105" i="1"/>
  <c r="K105" i="1" s="1"/>
  <c r="G104" i="1"/>
  <c r="G119" i="1"/>
  <c r="K119" i="1" s="1"/>
  <c r="G122" i="1"/>
  <c r="G100" i="1"/>
  <c r="K100" i="1" s="1"/>
  <c r="G103" i="1"/>
  <c r="G112" i="1"/>
  <c r="K112" i="1" s="1"/>
  <c r="G118" i="1"/>
  <c r="G121" i="1"/>
  <c r="G93" i="1"/>
  <c r="K93" i="1" s="1"/>
  <c r="G96" i="1"/>
  <c r="K96" i="1" s="1"/>
  <c r="G101" i="1"/>
  <c r="G107" i="1"/>
  <c r="K107" i="1" s="1"/>
  <c r="G108" i="1"/>
  <c r="K108" i="1" s="1"/>
  <c r="G116" i="1"/>
  <c r="G124" i="1"/>
  <c r="G127" i="1"/>
  <c r="G113" i="1"/>
  <c r="O10" i="1"/>
  <c r="G86" i="1"/>
  <c r="K86" i="1" s="1"/>
  <c r="G80" i="1"/>
  <c r="K80" i="1" s="1"/>
  <c r="G74" i="1"/>
  <c r="K74" i="1" s="1"/>
  <c r="G68" i="1"/>
  <c r="K68" i="1" s="1"/>
  <c r="G62" i="1"/>
  <c r="K62" i="1" s="1"/>
  <c r="G56" i="1"/>
  <c r="K56" i="1" s="1"/>
  <c r="G50" i="1"/>
  <c r="K50" i="1" s="1"/>
  <c r="G44" i="1"/>
  <c r="K44" i="1" s="1"/>
  <c r="G38" i="1"/>
  <c r="K38" i="1" s="1"/>
  <c r="G32" i="1"/>
  <c r="K32" i="1" s="1"/>
  <c r="G25" i="1"/>
  <c r="K25" i="1" s="1"/>
  <c r="G19" i="1"/>
  <c r="K19" i="1" s="1"/>
  <c r="G91" i="1"/>
  <c r="K91" i="1" s="1"/>
  <c r="G85" i="1"/>
  <c r="K85" i="1" s="1"/>
  <c r="G79" i="1"/>
  <c r="K79" i="1" s="1"/>
  <c r="G73" i="1"/>
  <c r="K73" i="1" s="1"/>
  <c r="G67" i="1"/>
  <c r="K67" i="1" s="1"/>
  <c r="G61" i="1"/>
  <c r="K61" i="1" s="1"/>
  <c r="G55" i="1"/>
  <c r="K55" i="1" s="1"/>
  <c r="G49" i="1"/>
  <c r="K49" i="1" s="1"/>
  <c r="G43" i="1"/>
  <c r="K43" i="1" s="1"/>
  <c r="G37" i="1"/>
  <c r="K37" i="1" s="1"/>
  <c r="G31" i="1"/>
  <c r="K31" i="1" s="1"/>
  <c r="G24" i="1"/>
  <c r="K24" i="1" s="1"/>
  <c r="G78" i="1"/>
  <c r="K78" i="1" s="1"/>
  <c r="G60" i="1"/>
  <c r="K60" i="1" s="1"/>
  <c r="G42" i="1"/>
  <c r="K42" i="1" s="1"/>
  <c r="G23" i="1"/>
  <c r="K23" i="1" s="1"/>
  <c r="G89" i="1"/>
  <c r="K89" i="1" s="1"/>
  <c r="G83" i="1"/>
  <c r="K83" i="1" s="1"/>
  <c r="G77" i="1"/>
  <c r="K77" i="1" s="1"/>
  <c r="G71" i="1"/>
  <c r="K71" i="1" s="1"/>
  <c r="G65" i="1"/>
  <c r="K65" i="1" s="1"/>
  <c r="G59" i="1"/>
  <c r="K59" i="1" s="1"/>
  <c r="G53" i="1"/>
  <c r="K53" i="1" s="1"/>
  <c r="G47" i="1"/>
  <c r="K47" i="1" s="1"/>
  <c r="G41" i="1"/>
  <c r="K41" i="1" s="1"/>
  <c r="G35" i="1"/>
  <c r="K35" i="1" s="1"/>
  <c r="G28" i="1"/>
  <c r="K28" i="1" s="1"/>
  <c r="G22" i="1"/>
  <c r="K22" i="1" s="1"/>
  <c r="G88" i="1"/>
  <c r="K88" i="1" s="1"/>
  <c r="G82" i="1"/>
  <c r="K82" i="1" s="1"/>
  <c r="G76" i="1"/>
  <c r="K76" i="1" s="1"/>
  <c r="G70" i="1"/>
  <c r="K70" i="1" s="1"/>
  <c r="G64" i="1"/>
  <c r="K64" i="1" s="1"/>
  <c r="G58" i="1"/>
  <c r="K58" i="1" s="1"/>
  <c r="G52" i="1"/>
  <c r="K52" i="1" s="1"/>
  <c r="G46" i="1"/>
  <c r="K46" i="1" s="1"/>
  <c r="G40" i="1"/>
  <c r="K40" i="1" s="1"/>
  <c r="G34" i="1"/>
  <c r="K34" i="1" s="1"/>
  <c r="G27" i="1"/>
  <c r="K27" i="1" s="1"/>
  <c r="G21" i="1"/>
  <c r="K21" i="1" s="1"/>
  <c r="G29" i="1"/>
  <c r="G87" i="1"/>
  <c r="K87" i="1" s="1"/>
  <c r="G81" i="1"/>
  <c r="K81" i="1" s="1"/>
  <c r="G75" i="1"/>
  <c r="K75" i="1" s="1"/>
  <c r="G69" i="1"/>
  <c r="K69" i="1" s="1"/>
  <c r="G63" i="1"/>
  <c r="K63" i="1" s="1"/>
  <c r="G57" i="1"/>
  <c r="K57" i="1" s="1"/>
  <c r="G51" i="1"/>
  <c r="K51" i="1" s="1"/>
  <c r="G45" i="1"/>
  <c r="K45" i="1" s="1"/>
  <c r="G39" i="1"/>
  <c r="K39" i="1" s="1"/>
  <c r="G33" i="1"/>
  <c r="K33" i="1" s="1"/>
  <c r="G26" i="1"/>
  <c r="K26" i="1" s="1"/>
  <c r="G20" i="1"/>
  <c r="K20" i="1" s="1"/>
  <c r="G90" i="1"/>
  <c r="K90" i="1" s="1"/>
  <c r="G84" i="1"/>
  <c r="K84" i="1" s="1"/>
  <c r="G72" i="1"/>
  <c r="K72" i="1" s="1"/>
  <c r="G66" i="1"/>
  <c r="K66" i="1" s="1"/>
  <c r="G54" i="1"/>
  <c r="K54" i="1" s="1"/>
  <c r="G48" i="1"/>
  <c r="K48" i="1" s="1"/>
  <c r="G36" i="1"/>
  <c r="K36" i="1" s="1"/>
  <c r="G30" i="1"/>
  <c r="K30" i="1" s="1"/>
  <c r="Q19" i="1"/>
  <c r="Q18" i="1"/>
  <c r="G18" i="1"/>
  <c r="G172" i="5"/>
  <c r="R9" i="11" l="1"/>
  <c r="U9" i="11" s="1"/>
  <c r="O4" i="9"/>
  <c r="S129" i="9"/>
  <c r="O6" i="9" s="1"/>
  <c r="R18" i="9"/>
  <c r="R129" i="9" s="1"/>
  <c r="R9" i="9"/>
  <c r="U9" i="9" s="1"/>
  <c r="O4" i="7"/>
  <c r="R9" i="7"/>
  <c r="T9" i="7" s="1"/>
  <c r="R129" i="7"/>
  <c r="S129" i="7"/>
  <c r="O6" i="7" s="1"/>
  <c r="T23" i="1"/>
  <c r="U23" i="1"/>
  <c r="U37" i="1"/>
  <c r="T37" i="1"/>
  <c r="U73" i="1"/>
  <c r="T73" i="1"/>
  <c r="T32" i="1"/>
  <c r="U32" i="1"/>
  <c r="T68" i="1"/>
  <c r="U68" i="1"/>
  <c r="U96" i="1"/>
  <c r="T96" i="1"/>
  <c r="U100" i="1"/>
  <c r="T100" i="1"/>
  <c r="U120" i="1"/>
  <c r="T120" i="1"/>
  <c r="U98" i="1"/>
  <c r="T98" i="1"/>
  <c r="U94" i="1"/>
  <c r="T94" i="1"/>
  <c r="T66" i="1"/>
  <c r="U66" i="1"/>
  <c r="T33" i="1"/>
  <c r="U33" i="1"/>
  <c r="T69" i="1"/>
  <c r="U69" i="1"/>
  <c r="T27" i="1"/>
  <c r="U27" i="1"/>
  <c r="U64" i="1"/>
  <c r="T64" i="1"/>
  <c r="T28" i="1"/>
  <c r="U28" i="1"/>
  <c r="U65" i="1"/>
  <c r="T65" i="1"/>
  <c r="U42" i="1"/>
  <c r="T42" i="1"/>
  <c r="U43" i="1"/>
  <c r="T43" i="1"/>
  <c r="U79" i="1"/>
  <c r="T79" i="1"/>
  <c r="T38" i="1"/>
  <c r="U38" i="1"/>
  <c r="U74" i="1"/>
  <c r="T74" i="1"/>
  <c r="T93" i="1"/>
  <c r="U93" i="1"/>
  <c r="T117" i="1"/>
  <c r="U117" i="1"/>
  <c r="T126" i="1"/>
  <c r="U126" i="1"/>
  <c r="U72" i="1"/>
  <c r="T72" i="1"/>
  <c r="T39" i="1"/>
  <c r="U39" i="1"/>
  <c r="T75" i="1"/>
  <c r="U75" i="1"/>
  <c r="T34" i="1"/>
  <c r="U34" i="1"/>
  <c r="T70" i="1"/>
  <c r="U70" i="1"/>
  <c r="U35" i="1"/>
  <c r="T35" i="1"/>
  <c r="U71" i="1"/>
  <c r="T71" i="1"/>
  <c r="U60" i="1"/>
  <c r="T60" i="1"/>
  <c r="U49" i="1"/>
  <c r="T49" i="1"/>
  <c r="U85" i="1"/>
  <c r="T85" i="1"/>
  <c r="U44" i="1"/>
  <c r="T44" i="1"/>
  <c r="T80" i="1"/>
  <c r="U80" i="1"/>
  <c r="T119" i="1"/>
  <c r="U119" i="1"/>
  <c r="T111" i="1"/>
  <c r="U111" i="1"/>
  <c r="T123" i="1"/>
  <c r="U123" i="1"/>
  <c r="T26" i="1"/>
  <c r="U26" i="1"/>
  <c r="T30" i="1"/>
  <c r="U30" i="1"/>
  <c r="U76" i="1"/>
  <c r="T76" i="1"/>
  <c r="U91" i="1"/>
  <c r="T91" i="1"/>
  <c r="U50" i="1"/>
  <c r="T50" i="1"/>
  <c r="T86" i="1"/>
  <c r="U86" i="1"/>
  <c r="T108" i="1"/>
  <c r="U108" i="1"/>
  <c r="U110" i="1"/>
  <c r="T110" i="1"/>
  <c r="T125" i="1"/>
  <c r="U125" i="1"/>
  <c r="F69" i="4"/>
  <c r="G69" i="4" s="1"/>
  <c r="T54" i="1"/>
  <c r="U54" i="1"/>
  <c r="T63" i="1"/>
  <c r="U63" i="1"/>
  <c r="U58" i="1"/>
  <c r="T58" i="1"/>
  <c r="T59" i="1"/>
  <c r="U59" i="1"/>
  <c r="T45" i="1"/>
  <c r="U45" i="1"/>
  <c r="T81" i="1"/>
  <c r="U81" i="1"/>
  <c r="T41" i="1"/>
  <c r="U41" i="1"/>
  <c r="T78" i="1"/>
  <c r="U78" i="1"/>
  <c r="U90" i="1"/>
  <c r="T90" i="1"/>
  <c r="T87" i="1"/>
  <c r="U87" i="1"/>
  <c r="T46" i="1"/>
  <c r="U46" i="1"/>
  <c r="U47" i="1"/>
  <c r="T47" i="1"/>
  <c r="U24" i="1"/>
  <c r="T24" i="1"/>
  <c r="T107" i="1"/>
  <c r="U107" i="1"/>
  <c r="U21" i="1"/>
  <c r="T21" i="1"/>
  <c r="U22" i="1"/>
  <c r="T22" i="1"/>
  <c r="T84" i="1"/>
  <c r="U84" i="1"/>
  <c r="U40" i="1"/>
  <c r="T40" i="1"/>
  <c r="T77" i="1"/>
  <c r="U77" i="1"/>
  <c r="U55" i="1"/>
  <c r="T55" i="1"/>
  <c r="U36" i="1"/>
  <c r="T36" i="1"/>
  <c r="T51" i="1"/>
  <c r="U51" i="1"/>
  <c r="U82" i="1"/>
  <c r="T82" i="1"/>
  <c r="U83" i="1"/>
  <c r="T83" i="1"/>
  <c r="U61" i="1"/>
  <c r="T61" i="1"/>
  <c r="U56" i="1"/>
  <c r="T56" i="1"/>
  <c r="T112" i="1"/>
  <c r="U112" i="1"/>
  <c r="T105" i="1"/>
  <c r="U105" i="1"/>
  <c r="T102" i="1"/>
  <c r="U102" i="1"/>
  <c r="U114" i="1"/>
  <c r="T114" i="1"/>
  <c r="U48" i="1"/>
  <c r="T48" i="1"/>
  <c r="U20" i="1"/>
  <c r="T20" i="1"/>
  <c r="T57" i="1"/>
  <c r="U57" i="1"/>
  <c r="T52" i="1"/>
  <c r="U52" i="1"/>
  <c r="T88" i="1"/>
  <c r="U88" i="1"/>
  <c r="T53" i="1"/>
  <c r="U53" i="1"/>
  <c r="T89" i="1"/>
  <c r="U89" i="1"/>
  <c r="U31" i="1"/>
  <c r="T31" i="1"/>
  <c r="U67" i="1"/>
  <c r="T67" i="1"/>
  <c r="U25" i="1"/>
  <c r="T25" i="1"/>
  <c r="T62" i="1"/>
  <c r="U62" i="1"/>
  <c r="U97" i="1"/>
  <c r="T97" i="1"/>
  <c r="T99" i="1"/>
  <c r="U99" i="1"/>
  <c r="U109" i="1"/>
  <c r="T109" i="1"/>
  <c r="F158" i="4"/>
  <c r="G158" i="4" s="1"/>
  <c r="T128" i="1"/>
  <c r="U128" i="1"/>
  <c r="F78" i="5"/>
  <c r="G78" i="5" s="1"/>
  <c r="F78" i="4"/>
  <c r="G78" i="4" s="1"/>
  <c r="F73" i="5"/>
  <c r="G73" i="5" s="1"/>
  <c r="F73" i="4"/>
  <c r="G73" i="4" s="1"/>
  <c r="F74" i="5"/>
  <c r="G74" i="5" s="1"/>
  <c r="F74" i="4"/>
  <c r="G74" i="4" s="1"/>
  <c r="F111" i="5"/>
  <c r="G111" i="5" s="1"/>
  <c r="F111" i="4"/>
  <c r="G111" i="4" s="1"/>
  <c r="F150" i="5"/>
  <c r="G150" i="5" s="1"/>
  <c r="F150" i="4"/>
  <c r="G150" i="4" s="1"/>
  <c r="F109" i="5"/>
  <c r="G109" i="5" s="1"/>
  <c r="F109" i="4"/>
  <c r="G109" i="4" s="1"/>
  <c r="F84" i="5"/>
  <c r="G84" i="5" s="1"/>
  <c r="F84" i="4"/>
  <c r="G84" i="4" s="1"/>
  <c r="F147" i="5"/>
  <c r="G147" i="5" s="1"/>
  <c r="F147" i="4"/>
  <c r="G147" i="4" s="1"/>
  <c r="F156" i="5"/>
  <c r="G156" i="5" s="1"/>
  <c r="F156" i="4"/>
  <c r="G156" i="4" s="1"/>
  <c r="F87" i="5"/>
  <c r="G87" i="5" s="1"/>
  <c r="F87" i="4"/>
  <c r="G87" i="4" s="1"/>
  <c r="F90" i="5"/>
  <c r="G90" i="5" s="1"/>
  <c r="F90" i="4"/>
  <c r="G90" i="4" s="1"/>
  <c r="F85" i="5"/>
  <c r="G85" i="5" s="1"/>
  <c r="F85" i="4"/>
  <c r="G85" i="4" s="1"/>
  <c r="F86" i="5"/>
  <c r="G86" i="5" s="1"/>
  <c r="F86" i="4"/>
  <c r="G86" i="4" s="1"/>
  <c r="F75" i="5"/>
  <c r="G75" i="5" s="1"/>
  <c r="F75" i="4"/>
  <c r="G75" i="4" s="1"/>
  <c r="F100" i="5"/>
  <c r="G100" i="5" s="1"/>
  <c r="F100" i="4"/>
  <c r="G100" i="4" s="1"/>
  <c r="F95" i="5"/>
  <c r="G95" i="5" s="1"/>
  <c r="F95" i="4"/>
  <c r="G95" i="4" s="1"/>
  <c r="F149" i="5"/>
  <c r="G149" i="5" s="1"/>
  <c r="F149" i="4"/>
  <c r="G149" i="4" s="1"/>
  <c r="F141" i="5"/>
  <c r="G141" i="5" s="1"/>
  <c r="F141" i="4"/>
  <c r="G141" i="4" s="1"/>
  <c r="F153" i="5"/>
  <c r="G153" i="5" s="1"/>
  <c r="F153" i="4"/>
  <c r="G153" i="4" s="1"/>
  <c r="F88" i="5"/>
  <c r="G88" i="5" s="1"/>
  <c r="F88" i="4"/>
  <c r="G88" i="4" s="1"/>
  <c r="F83" i="5"/>
  <c r="G83" i="5" s="1"/>
  <c r="F83" i="4"/>
  <c r="G83" i="4" s="1"/>
  <c r="F115" i="5"/>
  <c r="G115" i="5" s="1"/>
  <c r="F130" i="4"/>
  <c r="G130" i="4" s="1"/>
  <c r="F113" i="5"/>
  <c r="G113" i="5" s="1"/>
  <c r="F113" i="4"/>
  <c r="G113" i="4" s="1"/>
  <c r="F81" i="5"/>
  <c r="G81" i="5" s="1"/>
  <c r="F81" i="4"/>
  <c r="G81" i="4" s="1"/>
  <c r="F79" i="5"/>
  <c r="G79" i="5" s="1"/>
  <c r="F79" i="4"/>
  <c r="G79" i="4" s="1"/>
  <c r="F80" i="5"/>
  <c r="G80" i="5" s="1"/>
  <c r="F80" i="4"/>
  <c r="G80" i="4" s="1"/>
  <c r="F94" i="5"/>
  <c r="G94" i="5" s="1"/>
  <c r="F94" i="4"/>
  <c r="G94" i="4" s="1"/>
  <c r="F89" i="5"/>
  <c r="G89" i="5" s="1"/>
  <c r="F89" i="4"/>
  <c r="G89" i="4" s="1"/>
  <c r="F108" i="5"/>
  <c r="G108" i="5" s="1"/>
  <c r="F108" i="4"/>
  <c r="G108" i="4" s="1"/>
  <c r="F99" i="5"/>
  <c r="G99" i="5" s="1"/>
  <c r="F99" i="4"/>
  <c r="G99" i="4" s="1"/>
  <c r="F96" i="5"/>
  <c r="G96" i="5" s="1"/>
  <c r="F96" i="4"/>
  <c r="G96" i="4" s="1"/>
  <c r="F91" i="5"/>
  <c r="G91" i="5" s="1"/>
  <c r="F91" i="4"/>
  <c r="G91" i="4" s="1"/>
  <c r="F92" i="5"/>
  <c r="G92" i="5" s="1"/>
  <c r="F92" i="4"/>
  <c r="G92" i="4" s="1"/>
  <c r="F93" i="5"/>
  <c r="G93" i="5" s="1"/>
  <c r="F93" i="4"/>
  <c r="G93" i="4" s="1"/>
  <c r="F70" i="5"/>
  <c r="G70" i="5" s="1"/>
  <c r="F70" i="4"/>
  <c r="G70" i="4" s="1"/>
  <c r="F106" i="5"/>
  <c r="G106" i="5" s="1"/>
  <c r="F106" i="4"/>
  <c r="G106" i="4" s="1"/>
  <c r="F101" i="5"/>
  <c r="G101" i="5" s="1"/>
  <c r="F101" i="4"/>
  <c r="G101" i="4" s="1"/>
  <c r="F138" i="5"/>
  <c r="G138" i="5" s="1"/>
  <c r="F138" i="4"/>
  <c r="G138" i="4" s="1"/>
  <c r="F140" i="5"/>
  <c r="G140" i="5" s="1"/>
  <c r="F140" i="4"/>
  <c r="G140" i="4" s="1"/>
  <c r="F155" i="5"/>
  <c r="G155" i="5" s="1"/>
  <c r="F155" i="4"/>
  <c r="G155" i="4" s="1"/>
  <c r="F105" i="5"/>
  <c r="G105" i="5" s="1"/>
  <c r="F105" i="4"/>
  <c r="G105" i="4" s="1"/>
  <c r="F102" i="5"/>
  <c r="G102" i="5" s="1"/>
  <c r="F102" i="4"/>
  <c r="G102" i="4" s="1"/>
  <c r="F97" i="5"/>
  <c r="G97" i="5" s="1"/>
  <c r="F97" i="4"/>
  <c r="G97" i="4" s="1"/>
  <c r="F98" i="5"/>
  <c r="G98" i="5" s="1"/>
  <c r="F98" i="4"/>
  <c r="G98" i="4" s="1"/>
  <c r="F76" i="5"/>
  <c r="G76" i="5" s="1"/>
  <c r="F76" i="4"/>
  <c r="G76" i="4" s="1"/>
  <c r="F71" i="5"/>
  <c r="G71" i="5" s="1"/>
  <c r="F71" i="4"/>
  <c r="G71" i="4" s="1"/>
  <c r="F137" i="5"/>
  <c r="G137" i="5" s="1"/>
  <c r="F137" i="4"/>
  <c r="G137" i="4" s="1"/>
  <c r="F142" i="5"/>
  <c r="G142" i="5" s="1"/>
  <c r="F142" i="4"/>
  <c r="G142" i="4" s="1"/>
  <c r="F135" i="5"/>
  <c r="G135" i="5" s="1"/>
  <c r="F135" i="4"/>
  <c r="F132" i="5"/>
  <c r="G132" i="5" s="1"/>
  <c r="F132" i="4"/>
  <c r="G132" i="4" s="1"/>
  <c r="F144" i="5"/>
  <c r="G144" i="5" s="1"/>
  <c r="F144" i="4"/>
  <c r="G144" i="4" s="1"/>
  <c r="F72" i="5"/>
  <c r="G72" i="5" s="1"/>
  <c r="F72" i="4"/>
  <c r="G72" i="4" s="1"/>
  <c r="F103" i="5"/>
  <c r="G103" i="5" s="1"/>
  <c r="F103" i="4"/>
  <c r="G103" i="4" s="1"/>
  <c r="F104" i="5"/>
  <c r="G104" i="5" s="1"/>
  <c r="F104" i="4"/>
  <c r="G104" i="4" s="1"/>
  <c r="F82" i="5"/>
  <c r="G82" i="5" s="1"/>
  <c r="F82" i="4"/>
  <c r="G82" i="4" s="1"/>
  <c r="F77" i="5"/>
  <c r="G77" i="5" s="1"/>
  <c r="F77" i="4"/>
  <c r="G77" i="4" s="1"/>
  <c r="F112" i="5"/>
  <c r="G112" i="5" s="1"/>
  <c r="F112" i="4"/>
  <c r="G112" i="4" s="1"/>
  <c r="F114" i="5"/>
  <c r="G114" i="5" s="1"/>
  <c r="F129" i="4"/>
  <c r="G129" i="4" s="1"/>
  <c r="F139" i="5"/>
  <c r="G139" i="5" s="1"/>
  <c r="F139" i="4"/>
  <c r="G139" i="4" s="1"/>
  <c r="F158" i="5"/>
  <c r="G158" i="5" s="1"/>
  <c r="L128" i="1"/>
  <c r="S128" i="1" s="1"/>
  <c r="R128" i="1" s="1"/>
  <c r="K18" i="1"/>
  <c r="G129" i="1"/>
  <c r="L93" i="1"/>
  <c r="S93" i="1" s="1"/>
  <c r="R93" i="1" s="1"/>
  <c r="K122" i="1"/>
  <c r="L94" i="1"/>
  <c r="S94" i="1" s="1"/>
  <c r="R94" i="1" s="1"/>
  <c r="K124" i="1"/>
  <c r="L120" i="1"/>
  <c r="S120" i="1" s="1"/>
  <c r="R120" i="1" s="1"/>
  <c r="L98" i="1"/>
  <c r="S98" i="1" s="1"/>
  <c r="R98" i="1" s="1"/>
  <c r="K116" i="1"/>
  <c r="K121" i="1"/>
  <c r="L119" i="1"/>
  <c r="S119" i="1" s="1"/>
  <c r="R119" i="1" s="1"/>
  <c r="L117" i="1"/>
  <c r="S117" i="1" s="1"/>
  <c r="R117" i="1" s="1"/>
  <c r="K95" i="1"/>
  <c r="L126" i="1"/>
  <c r="S126" i="1" s="1"/>
  <c r="R126" i="1" s="1"/>
  <c r="L108" i="1"/>
  <c r="S108" i="1" s="1"/>
  <c r="R108" i="1" s="1"/>
  <c r="K118" i="1"/>
  <c r="K104" i="1"/>
  <c r="L111" i="1"/>
  <c r="S111" i="1" s="1"/>
  <c r="R111" i="1" s="1"/>
  <c r="K92" i="1"/>
  <c r="L123" i="1"/>
  <c r="S123" i="1" s="1"/>
  <c r="R123" i="1" s="1"/>
  <c r="L107" i="1"/>
  <c r="S107" i="1" s="1"/>
  <c r="R107" i="1" s="1"/>
  <c r="L112" i="1"/>
  <c r="S112" i="1" s="1"/>
  <c r="R112" i="1" s="1"/>
  <c r="L110" i="1"/>
  <c r="S110" i="1" s="1"/>
  <c r="R110" i="1" s="1"/>
  <c r="L125" i="1"/>
  <c r="S125" i="1" s="1"/>
  <c r="R125" i="1" s="1"/>
  <c r="K115" i="1"/>
  <c r="K113" i="1"/>
  <c r="K101" i="1"/>
  <c r="K103" i="1"/>
  <c r="L105" i="1"/>
  <c r="S105" i="1" s="1"/>
  <c r="R105" i="1" s="1"/>
  <c r="L102" i="1"/>
  <c r="S102" i="1" s="1"/>
  <c r="R102" i="1" s="1"/>
  <c r="L114" i="1"/>
  <c r="S114" i="1" s="1"/>
  <c r="R114" i="1" s="1"/>
  <c r="K106" i="1"/>
  <c r="K127" i="1"/>
  <c r="L96" i="1"/>
  <c r="S96" i="1" s="1"/>
  <c r="R96" i="1" s="1"/>
  <c r="L100" i="1"/>
  <c r="S100" i="1" s="1"/>
  <c r="R100" i="1" s="1"/>
  <c r="L97" i="1"/>
  <c r="S97" i="1" s="1"/>
  <c r="R97" i="1" s="1"/>
  <c r="L99" i="1"/>
  <c r="S99" i="1" s="1"/>
  <c r="R99" i="1" s="1"/>
  <c r="L109" i="1"/>
  <c r="S109" i="1" s="1"/>
  <c r="R109" i="1" s="1"/>
  <c r="K29" i="1"/>
  <c r="J18" i="1"/>
  <c r="S9" i="11" l="1"/>
  <c r="T9" i="11"/>
  <c r="S9" i="9"/>
  <c r="T9" i="9"/>
  <c r="U9" i="7"/>
  <c r="S9" i="7"/>
  <c r="U124" i="1"/>
  <c r="T124" i="1"/>
  <c r="U113" i="1"/>
  <c r="T113" i="1"/>
  <c r="U92" i="1"/>
  <c r="T92" i="1"/>
  <c r="T106" i="1"/>
  <c r="U106" i="1"/>
  <c r="T95" i="1"/>
  <c r="U95" i="1"/>
  <c r="T122" i="1"/>
  <c r="U122" i="1"/>
  <c r="U115" i="1"/>
  <c r="T115" i="1"/>
  <c r="T104" i="1"/>
  <c r="U104" i="1"/>
  <c r="U103" i="1"/>
  <c r="T103" i="1"/>
  <c r="T118" i="1"/>
  <c r="U118" i="1"/>
  <c r="U121" i="1"/>
  <c r="T121" i="1"/>
  <c r="L29" i="1"/>
  <c r="S29" i="1" s="1"/>
  <c r="R29" i="1" s="1"/>
  <c r="U29" i="1"/>
  <c r="T29" i="1"/>
  <c r="U127" i="1"/>
  <c r="T127" i="1"/>
  <c r="U101" i="1"/>
  <c r="T101" i="1"/>
  <c r="T116" i="1"/>
  <c r="U116" i="1"/>
  <c r="F148" i="5"/>
  <c r="G148" i="5" s="1"/>
  <c r="F148" i="4"/>
  <c r="G148" i="4" s="1"/>
  <c r="F107" i="5"/>
  <c r="G107" i="5" s="1"/>
  <c r="F107" i="4"/>
  <c r="G107" i="4" s="1"/>
  <c r="F133" i="5"/>
  <c r="G133" i="5" s="1"/>
  <c r="F133" i="4"/>
  <c r="G133" i="4" s="1"/>
  <c r="F110" i="5"/>
  <c r="G110" i="5" s="1"/>
  <c r="F110" i="4"/>
  <c r="G110" i="4" s="1"/>
  <c r="F157" i="5"/>
  <c r="G157" i="5" s="1"/>
  <c r="F157" i="4"/>
  <c r="G157" i="4" s="1"/>
  <c r="F131" i="5"/>
  <c r="F131" i="4"/>
  <c r="G131" i="4" s="1"/>
  <c r="F151" i="5"/>
  <c r="G151" i="5" s="1"/>
  <c r="F151" i="4"/>
  <c r="G151" i="4" s="1"/>
  <c r="F152" i="5"/>
  <c r="G152" i="5" s="1"/>
  <c r="F152" i="4"/>
  <c r="G152" i="4" s="1"/>
  <c r="F136" i="5"/>
  <c r="G136" i="5" s="1"/>
  <c r="F136" i="4"/>
  <c r="G136" i="4" s="1"/>
  <c r="F143" i="5"/>
  <c r="G143" i="5" s="1"/>
  <c r="F143" i="4"/>
  <c r="G143" i="4" s="1"/>
  <c r="F146" i="5"/>
  <c r="G146" i="5" s="1"/>
  <c r="F146" i="4"/>
  <c r="G146" i="4" s="1"/>
  <c r="F145" i="5"/>
  <c r="G145" i="5" s="1"/>
  <c r="F145" i="4"/>
  <c r="G145" i="4" s="1"/>
  <c r="F134" i="5"/>
  <c r="G134" i="5" s="1"/>
  <c r="F134" i="4"/>
  <c r="G134" i="4" s="1"/>
  <c r="F154" i="5"/>
  <c r="G154" i="5" s="1"/>
  <c r="F154" i="4"/>
  <c r="G154" i="4" s="1"/>
  <c r="L18" i="1"/>
  <c r="S18" i="1" s="1"/>
  <c r="R18" i="1" s="1"/>
  <c r="L127" i="1"/>
  <c r="S127" i="1" s="1"/>
  <c r="R127" i="1" s="1"/>
  <c r="L122" i="1"/>
  <c r="S122" i="1" s="1"/>
  <c r="R122" i="1" s="1"/>
  <c r="L104" i="1"/>
  <c r="S104" i="1" s="1"/>
  <c r="R104" i="1" s="1"/>
  <c r="L101" i="1"/>
  <c r="S101" i="1" s="1"/>
  <c r="R101" i="1" s="1"/>
  <c r="L116" i="1"/>
  <c r="S116" i="1" s="1"/>
  <c r="R116" i="1" s="1"/>
  <c r="L113" i="1"/>
  <c r="S113" i="1" s="1"/>
  <c r="R113" i="1" s="1"/>
  <c r="L95" i="1"/>
  <c r="S95" i="1" s="1"/>
  <c r="R95" i="1" s="1"/>
  <c r="L124" i="1"/>
  <c r="S124" i="1" s="1"/>
  <c r="R124" i="1" s="1"/>
  <c r="L103" i="1"/>
  <c r="S103" i="1" s="1"/>
  <c r="R103" i="1" s="1"/>
  <c r="L115" i="1"/>
  <c r="S115" i="1" s="1"/>
  <c r="R115" i="1" s="1"/>
  <c r="L92" i="1"/>
  <c r="S92" i="1" s="1"/>
  <c r="R92" i="1" s="1"/>
  <c r="L121" i="1"/>
  <c r="S121" i="1" s="1"/>
  <c r="R121" i="1" s="1"/>
  <c r="L106" i="1"/>
  <c r="S106" i="1" s="1"/>
  <c r="R106" i="1" s="1"/>
  <c r="L118" i="1"/>
  <c r="S118" i="1" s="1"/>
  <c r="R118" i="1" s="1"/>
  <c r="T18" i="1"/>
  <c r="F19" i="5"/>
  <c r="F19" i="4"/>
  <c r="U18" i="1"/>
  <c r="U19" i="1"/>
  <c r="T19" i="1"/>
  <c r="L19" i="1"/>
  <c r="S19" i="1" s="1"/>
  <c r="R19" i="1" s="1"/>
  <c r="F20" i="5" l="1"/>
  <c r="F20" i="4"/>
  <c r="L20" i="1"/>
  <c r="S20" i="1" s="1"/>
  <c r="R20" i="1" s="1"/>
  <c r="G17" i="1"/>
  <c r="H128" i="1" s="1"/>
  <c r="D18" i="5"/>
  <c r="C18" i="5"/>
  <c r="B18" i="5"/>
  <c r="E14" i="5"/>
  <c r="E13" i="5"/>
  <c r="E12" i="5"/>
  <c r="E11" i="5"/>
  <c r="E10" i="5"/>
  <c r="C10" i="5"/>
  <c r="G9" i="5"/>
  <c r="E9" i="5"/>
  <c r="C9" i="5"/>
  <c r="C8" i="5"/>
  <c r="E7" i="5"/>
  <c r="C7" i="5"/>
  <c r="E13" i="4"/>
  <c r="E12" i="4"/>
  <c r="E11" i="4"/>
  <c r="E10" i="4"/>
  <c r="G9" i="4"/>
  <c r="E9" i="4"/>
  <c r="E158" i="4" l="1"/>
  <c r="E158" i="5"/>
  <c r="H29" i="1"/>
  <c r="H117" i="1"/>
  <c r="H94" i="1"/>
  <c r="H93" i="1"/>
  <c r="H100" i="1"/>
  <c r="H120" i="1"/>
  <c r="H97" i="1"/>
  <c r="H96" i="1"/>
  <c r="H112" i="1"/>
  <c r="H123" i="1"/>
  <c r="H105" i="1"/>
  <c r="H108" i="1"/>
  <c r="H98" i="1"/>
  <c r="H126" i="1"/>
  <c r="H109" i="1"/>
  <c r="H119" i="1"/>
  <c r="H99" i="1"/>
  <c r="H102" i="1"/>
  <c r="H114" i="1"/>
  <c r="H107" i="1"/>
  <c r="H111" i="1"/>
  <c r="H110" i="1"/>
  <c r="H125" i="1"/>
  <c r="H121" i="1"/>
  <c r="H92" i="1"/>
  <c r="H115" i="1"/>
  <c r="H103" i="1"/>
  <c r="H104" i="1"/>
  <c r="H127" i="1"/>
  <c r="H122" i="1"/>
  <c r="H106" i="1"/>
  <c r="H116" i="1"/>
  <c r="H101" i="1"/>
  <c r="H118" i="1"/>
  <c r="H124" i="1"/>
  <c r="H95" i="1"/>
  <c r="H113" i="1"/>
  <c r="F21" i="5"/>
  <c r="F21" i="4"/>
  <c r="H85" i="1"/>
  <c r="H19" i="1"/>
  <c r="H33" i="1"/>
  <c r="H60" i="1"/>
  <c r="H87" i="1"/>
  <c r="H56" i="1"/>
  <c r="H25" i="1"/>
  <c r="H52" i="1"/>
  <c r="H79" i="1"/>
  <c r="H36" i="1"/>
  <c r="H63" i="1"/>
  <c r="H23" i="1"/>
  <c r="H77" i="1"/>
  <c r="H35" i="1"/>
  <c r="H26" i="1"/>
  <c r="H37" i="1"/>
  <c r="H64" i="1"/>
  <c r="H91" i="1"/>
  <c r="H65" i="1"/>
  <c r="H30" i="1"/>
  <c r="H57" i="1"/>
  <c r="H84" i="1"/>
  <c r="H40" i="1"/>
  <c r="H67" i="1"/>
  <c r="H32" i="1"/>
  <c r="H86" i="1"/>
  <c r="H53" i="1"/>
  <c r="H44" i="1"/>
  <c r="H42" i="1"/>
  <c r="H69" i="1"/>
  <c r="H20" i="1"/>
  <c r="H74" i="1"/>
  <c r="H34" i="1"/>
  <c r="H61" i="1"/>
  <c r="H88" i="1"/>
  <c r="H45" i="1"/>
  <c r="H72" i="1"/>
  <c r="H41" i="1"/>
  <c r="H71" i="1"/>
  <c r="H62" i="1"/>
  <c r="H46" i="1"/>
  <c r="H73" i="1"/>
  <c r="H83" i="1"/>
  <c r="H39" i="1"/>
  <c r="H66" i="1"/>
  <c r="H22" i="1"/>
  <c r="H49" i="1"/>
  <c r="H76" i="1"/>
  <c r="H50" i="1"/>
  <c r="H89" i="1"/>
  <c r="H80" i="1"/>
  <c r="H51" i="1"/>
  <c r="H78" i="1"/>
  <c r="H38" i="1"/>
  <c r="H43" i="1"/>
  <c r="H70" i="1"/>
  <c r="H27" i="1"/>
  <c r="H54" i="1"/>
  <c r="H81" i="1"/>
  <c r="H59" i="1"/>
  <c r="H24" i="1"/>
  <c r="H28" i="1"/>
  <c r="H55" i="1"/>
  <c r="H82" i="1"/>
  <c r="H47" i="1"/>
  <c r="H21" i="1"/>
  <c r="H48" i="1"/>
  <c r="H75" i="1"/>
  <c r="H31" i="1"/>
  <c r="H58" i="1"/>
  <c r="H90" i="1"/>
  <c r="H68" i="1"/>
  <c r="L21" i="1"/>
  <c r="S21" i="1" s="1"/>
  <c r="R21" i="1" s="1"/>
  <c r="H18" i="1"/>
  <c r="F18" i="5"/>
  <c r="G18" i="5" s="1"/>
  <c r="E129" i="4" l="1"/>
  <c r="E98" i="4"/>
  <c r="E131" i="4"/>
  <c r="E141" i="4"/>
  <c r="E142" i="4"/>
  <c r="E103" i="4"/>
  <c r="E146" i="4"/>
  <c r="E137" i="4"/>
  <c r="E111" i="4"/>
  <c r="E69" i="4"/>
  <c r="E99" i="4"/>
  <c r="E143" i="4"/>
  <c r="E136" i="4"/>
  <c r="E107" i="4"/>
  <c r="E144" i="4"/>
  <c r="E113" i="4"/>
  <c r="E112" i="4"/>
  <c r="E154" i="4"/>
  <c r="E155" i="4"/>
  <c r="E130" i="4"/>
  <c r="E106" i="4"/>
  <c r="E133" i="4"/>
  <c r="E139" i="4"/>
  <c r="E109" i="4"/>
  <c r="E105" i="4"/>
  <c r="E102" i="4"/>
  <c r="E145" i="4"/>
  <c r="E156" i="4"/>
  <c r="E147" i="4"/>
  <c r="E110" i="4"/>
  <c r="E152" i="4"/>
  <c r="E151" i="4"/>
  <c r="E132" i="4"/>
  <c r="E138" i="4"/>
  <c r="E150" i="4"/>
  <c r="E104" i="4"/>
  <c r="E101" i="4"/>
  <c r="E157" i="4"/>
  <c r="E135" i="4"/>
  <c r="E100" i="4"/>
  <c r="E148" i="4"/>
  <c r="E134" i="4"/>
  <c r="E140" i="4"/>
  <c r="E149" i="4"/>
  <c r="E153" i="4"/>
  <c r="E108" i="4"/>
  <c r="E87" i="5"/>
  <c r="E87" i="4"/>
  <c r="E96" i="5"/>
  <c r="E96" i="4"/>
  <c r="E93" i="5"/>
  <c r="E93" i="4"/>
  <c r="E79" i="5"/>
  <c r="E79" i="4"/>
  <c r="E78" i="5"/>
  <c r="E78" i="4"/>
  <c r="E80" i="5"/>
  <c r="E80" i="4"/>
  <c r="E92" i="5"/>
  <c r="E92" i="4"/>
  <c r="E83" i="5"/>
  <c r="E83" i="4"/>
  <c r="E74" i="5"/>
  <c r="E74" i="4"/>
  <c r="E91" i="5"/>
  <c r="E91" i="4"/>
  <c r="E88" i="5"/>
  <c r="E88" i="4"/>
  <c r="E84" i="5"/>
  <c r="E84" i="4"/>
  <c r="E82" i="5"/>
  <c r="E82" i="4"/>
  <c r="E71" i="5"/>
  <c r="E71" i="4"/>
  <c r="E73" i="5"/>
  <c r="E73" i="4"/>
  <c r="E97" i="5"/>
  <c r="E97" i="4"/>
  <c r="E77" i="5"/>
  <c r="E77" i="4"/>
  <c r="E76" i="5"/>
  <c r="E76" i="4"/>
  <c r="E75" i="5"/>
  <c r="E75" i="4"/>
  <c r="E70" i="5"/>
  <c r="E70" i="4"/>
  <c r="E95" i="5"/>
  <c r="E95" i="4"/>
  <c r="E81" i="5"/>
  <c r="E81" i="4"/>
  <c r="E86" i="5"/>
  <c r="E86" i="4"/>
  <c r="E72" i="5"/>
  <c r="E72" i="4"/>
  <c r="E94" i="5"/>
  <c r="E94" i="4"/>
  <c r="E90" i="5"/>
  <c r="E90" i="4"/>
  <c r="E85" i="5"/>
  <c r="E85" i="4"/>
  <c r="E89" i="5"/>
  <c r="E89" i="4"/>
  <c r="E157" i="5"/>
  <c r="E114" i="5"/>
  <c r="E148" i="5"/>
  <c r="E134" i="5"/>
  <c r="E149" i="5"/>
  <c r="E153" i="5"/>
  <c r="E131" i="5"/>
  <c r="E133" i="5"/>
  <c r="E141" i="5"/>
  <c r="E139" i="5"/>
  <c r="E142" i="5"/>
  <c r="E109" i="5"/>
  <c r="E154" i="5"/>
  <c r="E155" i="5"/>
  <c r="E115" i="5"/>
  <c r="E140" i="5"/>
  <c r="E108" i="5"/>
  <c r="E146" i="5"/>
  <c r="E145" i="5"/>
  <c r="E137" i="5"/>
  <c r="E156" i="5"/>
  <c r="E111" i="5"/>
  <c r="E147" i="5"/>
  <c r="E143" i="5"/>
  <c r="E136" i="5"/>
  <c r="E107" i="5"/>
  <c r="E144" i="5"/>
  <c r="E113" i="5"/>
  <c r="E112" i="5"/>
  <c r="E110" i="5"/>
  <c r="E152" i="5"/>
  <c r="E151" i="5"/>
  <c r="E132" i="5"/>
  <c r="E138" i="5"/>
  <c r="E150" i="5"/>
  <c r="E135" i="5"/>
  <c r="E100" i="5"/>
  <c r="E99" i="5"/>
  <c r="E98" i="5"/>
  <c r="E104" i="5"/>
  <c r="E101" i="5"/>
  <c r="E105" i="5"/>
  <c r="E106" i="5"/>
  <c r="E103" i="5"/>
  <c r="E102" i="5"/>
  <c r="E28" i="5"/>
  <c r="E28" i="4"/>
  <c r="E44" i="4"/>
  <c r="E44" i="5"/>
  <c r="E36" i="4"/>
  <c r="E36" i="5"/>
  <c r="E48" i="4"/>
  <c r="E48" i="5"/>
  <c r="E24" i="4"/>
  <c r="E24" i="5"/>
  <c r="E43" i="4"/>
  <c r="E43" i="5"/>
  <c r="E39" i="5"/>
  <c r="E39" i="4"/>
  <c r="E34" i="4"/>
  <c r="E34" i="5"/>
  <c r="E53" i="4"/>
  <c r="E53" i="5"/>
  <c r="E26" i="5"/>
  <c r="E26" i="4"/>
  <c r="E33" i="5"/>
  <c r="E33" i="4"/>
  <c r="E18" i="5"/>
  <c r="E18" i="4"/>
  <c r="E21" i="5"/>
  <c r="E21" i="4"/>
  <c r="E50" i="4"/>
  <c r="E50" i="5"/>
  <c r="E41" i="5"/>
  <c r="E41" i="4"/>
  <c r="E30" i="4"/>
  <c r="E30" i="5"/>
  <c r="E35" i="4"/>
  <c r="E35" i="5"/>
  <c r="E52" i="5"/>
  <c r="E52" i="4"/>
  <c r="E19" i="4"/>
  <c r="E19" i="5"/>
  <c r="E47" i="4"/>
  <c r="E47" i="5"/>
  <c r="E38" i="4"/>
  <c r="E38" i="5"/>
  <c r="E29" i="5"/>
  <c r="E29" i="4"/>
  <c r="E20" i="5"/>
  <c r="E20" i="4"/>
  <c r="E32" i="5"/>
  <c r="E32" i="4"/>
  <c r="E25" i="4"/>
  <c r="E25" i="5"/>
  <c r="E54" i="5"/>
  <c r="E49" i="4"/>
  <c r="E49" i="5"/>
  <c r="E45" i="5"/>
  <c r="E45" i="4"/>
  <c r="E23" i="5"/>
  <c r="E23" i="4"/>
  <c r="E31" i="4"/>
  <c r="E31" i="5"/>
  <c r="E27" i="5"/>
  <c r="E27" i="4"/>
  <c r="E51" i="5"/>
  <c r="E51" i="4"/>
  <c r="E22" i="4"/>
  <c r="E22" i="5"/>
  <c r="E46" i="5"/>
  <c r="E46" i="4"/>
  <c r="E42" i="5"/>
  <c r="E42" i="4"/>
  <c r="E40" i="5"/>
  <c r="E40" i="4"/>
  <c r="E37" i="4"/>
  <c r="E37" i="5"/>
  <c r="F22" i="4"/>
  <c r="F22" i="5"/>
  <c r="G22" i="5" s="1"/>
  <c r="L22" i="1"/>
  <c r="S22" i="1" s="1"/>
  <c r="R22" i="1" s="1"/>
  <c r="H129" i="1"/>
  <c r="G19" i="5"/>
  <c r="G21" i="5"/>
  <c r="G20" i="5"/>
  <c r="G174" i="5"/>
  <c r="O2" i="1" l="1"/>
  <c r="F23" i="4"/>
  <c r="F23" i="5"/>
  <c r="G23" i="5" s="1"/>
  <c r="L23" i="1"/>
  <c r="S23" i="1" s="1"/>
  <c r="R23" i="1" s="1"/>
  <c r="Q129" i="1"/>
  <c r="O7" i="1" s="1"/>
  <c r="E13" i="2"/>
  <c r="E14" i="4"/>
  <c r="E14" i="2"/>
  <c r="D170" i="4" l="1"/>
  <c r="D173" i="5"/>
  <c r="F24" i="4"/>
  <c r="F24" i="5"/>
  <c r="G24" i="5" s="1"/>
  <c r="L24" i="1"/>
  <c r="S24" i="1" s="1"/>
  <c r="R24" i="1" s="1"/>
  <c r="U14" i="1"/>
  <c r="D18" i="4"/>
  <c r="C18" i="4"/>
  <c r="B18" i="4"/>
  <c r="C10" i="4"/>
  <c r="C9" i="4"/>
  <c r="C8" i="4"/>
  <c r="E7" i="4"/>
  <c r="C7" i="4"/>
  <c r="E12" i="2"/>
  <c r="E11" i="2"/>
  <c r="E10" i="2"/>
  <c r="E9" i="2"/>
  <c r="F18" i="4"/>
  <c r="F25" i="5" l="1"/>
  <c r="G25" i="5" s="1"/>
  <c r="F25" i="4"/>
  <c r="G25" i="4" s="1"/>
  <c r="G18" i="4"/>
  <c r="L25" i="1"/>
  <c r="S25" i="1" s="1"/>
  <c r="R25" i="1" s="1"/>
  <c r="O9" i="1"/>
  <c r="R9" i="1" s="1"/>
  <c r="G21" i="4"/>
  <c r="G22" i="4"/>
  <c r="G23" i="4"/>
  <c r="G24" i="4"/>
  <c r="G19" i="4"/>
  <c r="G20" i="4"/>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D18" i="2"/>
  <c r="F18" i="2" s="1"/>
  <c r="C18" i="2"/>
  <c r="B18" i="2"/>
  <c r="E7" i="2"/>
  <c r="F26" i="4" l="1"/>
  <c r="G26" i="4" s="1"/>
  <c r="F26" i="5"/>
  <c r="G26" i="5" s="1"/>
  <c r="L26" i="1"/>
  <c r="S26" i="1" s="1"/>
  <c r="R26" i="1" s="1"/>
  <c r="F129" i="2"/>
  <c r="J129" i="1"/>
  <c r="F27" i="5" l="1"/>
  <c r="G27" i="5" s="1"/>
  <c r="F27" i="4"/>
  <c r="G27" i="4" s="1"/>
  <c r="L27" i="1"/>
  <c r="S27" i="1" s="1"/>
  <c r="R27" i="1" s="1"/>
  <c r="F132" i="2"/>
  <c r="F133" i="2" s="1"/>
  <c r="F28" i="4" l="1"/>
  <c r="G28" i="4" s="1"/>
  <c r="F28" i="5"/>
  <c r="G28" i="5" s="1"/>
  <c r="L28" i="1"/>
  <c r="S28" i="1" s="1"/>
  <c r="R28" i="1" s="1"/>
  <c r="F135" i="2"/>
  <c r="F29" i="4" l="1"/>
  <c r="G29" i="4" s="1"/>
  <c r="F29" i="5"/>
  <c r="G29" i="5" s="1"/>
  <c r="F30" i="4" l="1"/>
  <c r="G30" i="4" s="1"/>
  <c r="F30" i="5"/>
  <c r="G30" i="5" s="1"/>
  <c r="L30" i="1"/>
  <c r="S30" i="1" s="1"/>
  <c r="R30" i="1" s="1"/>
  <c r="G181" i="5"/>
  <c r="F31" i="5" l="1"/>
  <c r="G31" i="5" s="1"/>
  <c r="F31" i="4"/>
  <c r="G31" i="4" s="1"/>
  <c r="L31" i="1"/>
  <c r="S31" i="1" s="1"/>
  <c r="R31" i="1" s="1"/>
  <c r="G175" i="4"/>
  <c r="F32" i="5" l="1"/>
  <c r="G32" i="5" s="1"/>
  <c r="F32" i="4"/>
  <c r="G32" i="4" s="1"/>
  <c r="L32" i="1"/>
  <c r="S32" i="1" s="1"/>
  <c r="R32" i="1" s="1"/>
  <c r="F33" i="5" l="1"/>
  <c r="G33" i="5" s="1"/>
  <c r="F33" i="4"/>
  <c r="G33" i="4" s="1"/>
  <c r="L33" i="1"/>
  <c r="S33" i="1" s="1"/>
  <c r="R33" i="1" s="1"/>
  <c r="F34" i="4" l="1"/>
  <c r="G34" i="4" s="1"/>
  <c r="F34" i="5"/>
  <c r="G34" i="5" s="1"/>
  <c r="L34" i="1"/>
  <c r="S34" i="1" s="1"/>
  <c r="R34" i="1" s="1"/>
  <c r="F35" i="5" l="1"/>
  <c r="G35" i="5" s="1"/>
  <c r="F35" i="4"/>
  <c r="G35" i="4" s="1"/>
  <c r="L35" i="1"/>
  <c r="S35" i="1" s="1"/>
  <c r="R35" i="1" s="1"/>
  <c r="F36" i="5" l="1"/>
  <c r="G36" i="5" s="1"/>
  <c r="F36" i="4"/>
  <c r="G36" i="4" s="1"/>
  <c r="L36" i="1"/>
  <c r="S36" i="1" s="1"/>
  <c r="R36" i="1" s="1"/>
  <c r="F37" i="5" l="1"/>
  <c r="G37" i="5" s="1"/>
  <c r="F37" i="4"/>
  <c r="G37" i="4" s="1"/>
  <c r="L37" i="1"/>
  <c r="S37" i="1" s="1"/>
  <c r="R37" i="1" s="1"/>
  <c r="F38" i="4" l="1"/>
  <c r="G38" i="4" s="1"/>
  <c r="F38" i="5"/>
  <c r="G38" i="5" s="1"/>
  <c r="L38" i="1"/>
  <c r="S38" i="1" s="1"/>
  <c r="R38" i="1" s="1"/>
  <c r="F39" i="5" l="1"/>
  <c r="G39" i="5" s="1"/>
  <c r="F39" i="4"/>
  <c r="G39" i="4" s="1"/>
  <c r="L39" i="1"/>
  <c r="S39" i="1" s="1"/>
  <c r="R39" i="1" s="1"/>
  <c r="F40" i="4" l="1"/>
  <c r="G40" i="4" s="1"/>
  <c r="F40" i="5"/>
  <c r="G40" i="5" s="1"/>
  <c r="L40" i="1"/>
  <c r="S40" i="1" s="1"/>
  <c r="R40" i="1" s="1"/>
  <c r="F41" i="4" l="1"/>
  <c r="G41" i="4" s="1"/>
  <c r="F41" i="5"/>
  <c r="G41" i="5" s="1"/>
  <c r="L41" i="1"/>
  <c r="S41" i="1" s="1"/>
  <c r="R41" i="1" s="1"/>
  <c r="F42" i="4" l="1"/>
  <c r="G42" i="4" s="1"/>
  <c r="F42" i="5"/>
  <c r="G42" i="5" s="1"/>
  <c r="L42" i="1"/>
  <c r="S42" i="1" s="1"/>
  <c r="R42" i="1" s="1"/>
  <c r="F43" i="5" l="1"/>
  <c r="G43" i="5" s="1"/>
  <c r="F43" i="4"/>
  <c r="G43" i="4" s="1"/>
  <c r="L43" i="1"/>
  <c r="S43" i="1" s="1"/>
  <c r="R43" i="1" s="1"/>
  <c r="F44" i="5" l="1"/>
  <c r="G44" i="5" s="1"/>
  <c r="F44" i="4"/>
  <c r="G44" i="4" s="1"/>
  <c r="L44" i="1"/>
  <c r="S44" i="1" s="1"/>
  <c r="R44" i="1" s="1"/>
  <c r="F45" i="5" l="1"/>
  <c r="G45" i="5" s="1"/>
  <c r="F45" i="4"/>
  <c r="G45" i="4" s="1"/>
  <c r="L45" i="1"/>
  <c r="S45" i="1" s="1"/>
  <c r="R45" i="1" s="1"/>
  <c r="F46" i="4" l="1"/>
  <c r="G46" i="4" s="1"/>
  <c r="F46" i="5"/>
  <c r="G46" i="5" s="1"/>
  <c r="L46" i="1"/>
  <c r="S46" i="1" s="1"/>
  <c r="R46" i="1" s="1"/>
  <c r="F47" i="5" l="1"/>
  <c r="G47" i="5" s="1"/>
  <c r="F47" i="4"/>
  <c r="G47" i="4" s="1"/>
  <c r="L47" i="1"/>
  <c r="S47" i="1" s="1"/>
  <c r="R47" i="1" s="1"/>
  <c r="F48" i="4" l="1"/>
  <c r="G48" i="4" s="1"/>
  <c r="F48" i="5"/>
  <c r="G48" i="5" s="1"/>
  <c r="L48" i="1"/>
  <c r="S48" i="1" s="1"/>
  <c r="R48" i="1" s="1"/>
  <c r="F49" i="5" l="1"/>
  <c r="G49" i="5" s="1"/>
  <c r="F49" i="4"/>
  <c r="G49" i="4" s="1"/>
  <c r="L49" i="1"/>
  <c r="S49" i="1" s="1"/>
  <c r="R49" i="1" s="1"/>
  <c r="F50" i="5" l="1"/>
  <c r="G50" i="5" s="1"/>
  <c r="F50" i="4"/>
  <c r="G50" i="4" s="1"/>
  <c r="L50" i="1"/>
  <c r="S50" i="1" s="1"/>
  <c r="R50" i="1" s="1"/>
  <c r="F51" i="5" l="1"/>
  <c r="G51" i="5" s="1"/>
  <c r="F51" i="4"/>
  <c r="G51" i="4" s="1"/>
  <c r="L51" i="1"/>
  <c r="S51" i="1" s="1"/>
  <c r="R51" i="1" s="1"/>
  <c r="F52" i="4" l="1"/>
  <c r="G52" i="4" s="1"/>
  <c r="F52" i="5"/>
  <c r="G52" i="5" s="1"/>
  <c r="L52" i="1"/>
  <c r="S52" i="1" s="1"/>
  <c r="R52" i="1" s="1"/>
  <c r="F53" i="4" l="1"/>
  <c r="G53" i="4" s="1"/>
  <c r="F53" i="5"/>
  <c r="G53" i="5" s="1"/>
  <c r="L53" i="1"/>
  <c r="S53" i="1" s="1"/>
  <c r="R53" i="1" s="1"/>
  <c r="F54" i="5" l="1"/>
  <c r="G54" i="5" s="1"/>
  <c r="L54" i="1"/>
  <c r="S54" i="1" s="1"/>
  <c r="R54" i="1" s="1"/>
  <c r="G135" i="4"/>
  <c r="L55" i="1" l="1"/>
  <c r="S55" i="1" s="1"/>
  <c r="R55" i="1" s="1"/>
  <c r="G131" i="5"/>
  <c r="L56" i="1" l="1"/>
  <c r="S56" i="1" s="1"/>
  <c r="R56" i="1" s="1"/>
  <c r="L57" i="1" l="1"/>
  <c r="S57" i="1" s="1"/>
  <c r="R57" i="1" s="1"/>
  <c r="L58" i="1" l="1"/>
  <c r="S58" i="1" s="1"/>
  <c r="R58" i="1" s="1"/>
  <c r="L59" i="1" l="1"/>
  <c r="S59" i="1" s="1"/>
  <c r="R59" i="1" s="1"/>
  <c r="L60" i="1" l="1"/>
  <c r="S60" i="1" s="1"/>
  <c r="R60" i="1" s="1"/>
  <c r="L61" i="1" l="1"/>
  <c r="S61" i="1" s="1"/>
  <c r="R61" i="1" s="1"/>
  <c r="L62" i="1" l="1"/>
  <c r="S62" i="1" s="1"/>
  <c r="R62" i="1" s="1"/>
  <c r="L63" i="1" l="1"/>
  <c r="S63" i="1" s="1"/>
  <c r="R63" i="1" s="1"/>
  <c r="L64" i="1" l="1"/>
  <c r="S64" i="1" s="1"/>
  <c r="R64" i="1" s="1"/>
  <c r="L65" i="1" l="1"/>
  <c r="S65" i="1" s="1"/>
  <c r="R65" i="1" s="1"/>
  <c r="L66" i="1" l="1"/>
  <c r="S66" i="1" s="1"/>
  <c r="R66" i="1" s="1"/>
  <c r="L67" i="1" l="1"/>
  <c r="S67" i="1" s="1"/>
  <c r="R67" i="1" s="1"/>
  <c r="L68" i="1" l="1"/>
  <c r="S68" i="1" s="1"/>
  <c r="R68" i="1" s="1"/>
  <c r="L69" i="1" l="1"/>
  <c r="S69" i="1" s="1"/>
  <c r="R69" i="1" s="1"/>
  <c r="L70" i="1" l="1"/>
  <c r="S70" i="1" s="1"/>
  <c r="R70" i="1" s="1"/>
  <c r="L71" i="1" l="1"/>
  <c r="S71" i="1" s="1"/>
  <c r="R71" i="1" s="1"/>
  <c r="L72" i="1" l="1"/>
  <c r="S72" i="1" s="1"/>
  <c r="R72" i="1" s="1"/>
  <c r="L73" i="1" l="1"/>
  <c r="S73" i="1" s="1"/>
  <c r="R73" i="1" s="1"/>
  <c r="L74" i="1" l="1"/>
  <c r="S74" i="1" s="1"/>
  <c r="R74" i="1" s="1"/>
  <c r="L75" i="1" l="1"/>
  <c r="S75" i="1" s="1"/>
  <c r="R75" i="1" s="1"/>
  <c r="L76" i="1" l="1"/>
  <c r="S76" i="1" s="1"/>
  <c r="R76" i="1" s="1"/>
  <c r="L77" i="1" l="1"/>
  <c r="S77" i="1" s="1"/>
  <c r="R77" i="1" s="1"/>
  <c r="L78" i="1" l="1"/>
  <c r="S78" i="1" s="1"/>
  <c r="R78" i="1" s="1"/>
  <c r="L79" i="1" l="1"/>
  <c r="S79" i="1" s="1"/>
  <c r="R79" i="1" s="1"/>
  <c r="L80" i="1" l="1"/>
  <c r="S80" i="1" s="1"/>
  <c r="R80" i="1" s="1"/>
  <c r="L81" i="1" l="1"/>
  <c r="S81" i="1" s="1"/>
  <c r="R81" i="1" s="1"/>
  <c r="L82" i="1" l="1"/>
  <c r="S82" i="1" s="1"/>
  <c r="R82" i="1" s="1"/>
  <c r="L83" i="1" l="1"/>
  <c r="S83" i="1" s="1"/>
  <c r="R83" i="1" s="1"/>
  <c r="L84" i="1" l="1"/>
  <c r="S84" i="1" s="1"/>
  <c r="R84" i="1" s="1"/>
  <c r="L85" i="1" l="1"/>
  <c r="S85" i="1" s="1"/>
  <c r="R85" i="1" s="1"/>
  <c r="L86" i="1" l="1"/>
  <c r="S86" i="1" s="1"/>
  <c r="R86" i="1" s="1"/>
  <c r="L87" i="1" l="1"/>
  <c r="S87" i="1" s="1"/>
  <c r="R87" i="1" s="1"/>
  <c r="L88" i="1" l="1"/>
  <c r="S88" i="1" s="1"/>
  <c r="R88" i="1" s="1"/>
  <c r="L89" i="1" l="1"/>
  <c r="S89" i="1" s="1"/>
  <c r="R89" i="1" s="1"/>
  <c r="L90" i="1" l="1"/>
  <c r="S90" i="1" s="1"/>
  <c r="R90" i="1" s="1"/>
  <c r="L91" i="1" l="1"/>
  <c r="S91" i="1" s="1"/>
  <c r="R91" i="1" s="1"/>
  <c r="K129" i="1" l="1"/>
  <c r="G159" i="5" s="1"/>
  <c r="G173" i="5" s="1"/>
  <c r="G177" i="5" s="1"/>
  <c r="G178" i="5" s="1"/>
  <c r="G180" i="5" s="1"/>
  <c r="G182" i="5" s="1"/>
  <c r="G168" i="4" l="1"/>
  <c r="G171" i="4" s="1"/>
  <c r="G172" i="4" s="1"/>
  <c r="G174" i="4" s="1"/>
  <c r="G176" i="4" s="1"/>
  <c r="L129" i="1"/>
  <c r="R129" i="1"/>
  <c r="S129" i="1" l="1"/>
  <c r="O6" i="1" s="1"/>
  <c r="O3" i="1"/>
  <c r="T9" i="1" l="1"/>
  <c r="D171" i="4"/>
  <c r="D174" i="5"/>
  <c r="D175" i="5" s="1"/>
  <c r="D177" i="5" s="1"/>
  <c r="O4" i="1"/>
  <c r="D172" i="4" s="1"/>
  <c r="S9" i="1"/>
  <c r="U9" i="1"/>
  <c r="O5" i="1"/>
</calcChain>
</file>

<file path=xl/sharedStrings.xml><?xml version="1.0" encoding="utf-8"?>
<sst xmlns="http://schemas.openxmlformats.org/spreadsheetml/2006/main" count="958" uniqueCount="405">
  <si>
    <t>Global Wholesale Machinery Inc.</t>
  </si>
  <si>
    <t>OEM Compareson Spreadsheet Instructions</t>
  </si>
  <si>
    <t>NET MARKUP% for each quote must be over 100% otherwise need approval from Quinten.</t>
  </si>
  <si>
    <t>NET MARGIN% for each quote must be over 50% otherwise need approval from Quinten.</t>
  </si>
  <si>
    <t>Customer Information Section</t>
  </si>
  <si>
    <t>Must be fully completed in OEM COMPARISON TAB.</t>
  </si>
  <si>
    <t>Information entered will be automatically transferred to QUOTE, and SERVICE QUOTE tab.</t>
  </si>
  <si>
    <t>Customer Information will not be transferred to RFQ tab as we do not give out customer information to vendors.</t>
  </si>
  <si>
    <t>Machine Information Section</t>
  </si>
  <si>
    <t>Optional - depends on customer request.</t>
  </si>
  <si>
    <t>Information entered will be automatically transferred to RFQ, QUOTE, and SERVICE QUOTE tab.</t>
  </si>
  <si>
    <t>Machine Service Interval Section</t>
  </si>
  <si>
    <t>For internal use only. Information entered will not be transferred to RFQ, QUOTE, and SERVICE QUOTE tab.</t>
  </si>
  <si>
    <t>Parts Pricing and Cost Section</t>
  </si>
  <si>
    <t>Part Number - OEM Part Number (with exception to UC and Tires)</t>
  </si>
  <si>
    <t>Description - Description of Part</t>
  </si>
  <si>
    <t>Vendor - Name of the Vendor where we acquire parts from</t>
  </si>
  <si>
    <t>OEM Name - Name of OEM Manufacturer used for MSRP comparison</t>
  </si>
  <si>
    <t>Freight Cost - Vendor shipping cost.</t>
  </si>
  <si>
    <t>Customizable Features</t>
  </si>
  <si>
    <t>1) Show or Hide OEM Comparison in Quote or Service Quote to cusomter.</t>
  </si>
  <si>
    <t>Select from drop down option at cell J13</t>
  </si>
  <si>
    <t>2) Enter OEM pricing in USD or CAD.</t>
  </si>
  <si>
    <t>Select from drop down option at cell G17</t>
  </si>
  <si>
    <t>3) Provide customer quotes in USD or CAD.</t>
  </si>
  <si>
    <t>Select from drop down option at cell L17</t>
  </si>
  <si>
    <t>4) Enter Vendor pricing in USD or CAD.</t>
  </si>
  <si>
    <t>Select from drop down option at cell Q17</t>
  </si>
  <si>
    <t>CUSTOMER INFORMATION</t>
  </si>
  <si>
    <t>MACHINE INFORMATION</t>
  </si>
  <si>
    <t>MACHINE SERVICE HR INTERVALS</t>
  </si>
  <si>
    <t>SUMMARY</t>
  </si>
  <si>
    <t>COMPLETED DEAL INFORMATION</t>
  </si>
  <si>
    <t>DATE:</t>
  </si>
  <si>
    <t>UNIT #</t>
  </si>
  <si>
    <t>ENGINE AIR</t>
  </si>
  <si>
    <t>OEM MSRP</t>
  </si>
  <si>
    <t>SALES REP</t>
  </si>
  <si>
    <t>COMPANY:</t>
  </si>
  <si>
    <t>YEAR</t>
  </si>
  <si>
    <t>ENGINE OIL</t>
  </si>
  <si>
    <t>GQP LIST</t>
  </si>
  <si>
    <t>ORDER PO #</t>
  </si>
  <si>
    <t>CUSTOMER:</t>
  </si>
  <si>
    <t>MAKE</t>
  </si>
  <si>
    <t>FUEL FILTERS</t>
  </si>
  <si>
    <t>$ SAVINGS</t>
  </si>
  <si>
    <t>PROJECT #</t>
  </si>
  <si>
    <t>PHONE:</t>
  </si>
  <si>
    <t>MODEL</t>
  </si>
  <si>
    <t>HYDRAULIC FILTERS</t>
  </si>
  <si>
    <t>% SAVINGS</t>
  </si>
  <si>
    <t>CUST INVOICE #</t>
  </si>
  <si>
    <t>EMAIL:</t>
  </si>
  <si>
    <t>SERIAL NUMBER</t>
  </si>
  <si>
    <t>TRANSMISSION FILTERS</t>
  </si>
  <si>
    <t>TOTAL ORDER MARGIN</t>
  </si>
  <si>
    <t>PAYMENT TYPE</t>
  </si>
  <si>
    <t>SALES REP:</t>
  </si>
  <si>
    <t>ENGINE SER NUMBER</t>
  </si>
  <si>
    <t>CAB FILTERS</t>
  </si>
  <si>
    <t>TOTAL ITEM COST</t>
  </si>
  <si>
    <t>DATE DELIVERED</t>
  </si>
  <si>
    <t>CURRENT HOURS</t>
  </si>
  <si>
    <t>UNDERCARRIAGE / TIRES</t>
  </si>
  <si>
    <t>TOTAL ORDER FREIGHT</t>
  </si>
  <si>
    <t>TOTAL COST</t>
  </si>
  <si>
    <t>NET MARGIN</t>
  </si>
  <si>
    <t>NET MARKUP %</t>
  </si>
  <si>
    <t>NET MARGIN %</t>
  </si>
  <si>
    <t>USAGE/MONTH</t>
  </si>
  <si>
    <t>TOTAL CUSTOMS/BROKERAGE</t>
  </si>
  <si>
    <t>TOTAL NUMBER PIECES</t>
  </si>
  <si>
    <t>ENTER EXCHANGE RATES $</t>
  </si>
  <si>
    <t>CUSTOMER SELL PRICE</t>
  </si>
  <si>
    <t>COST ANALYSIS</t>
  </si>
  <si>
    <t>CAD $</t>
  </si>
  <si>
    <t>USD $</t>
  </si>
  <si>
    <t>SHOW OEM MSRP ON QUOTE:</t>
  </si>
  <si>
    <t>YES</t>
  </si>
  <si>
    <t>CAD-USD</t>
  </si>
  <si>
    <t>USD-CAD</t>
  </si>
  <si>
    <t>OEM NAME</t>
  </si>
  <si>
    <t>CUSTOMER PRICE                  % OF OEM LIST</t>
  </si>
  <si>
    <t>FREIGHT TOTAL ORDER</t>
  </si>
  <si>
    <t>CUSTOMS AND BROKERAGE  %</t>
  </si>
  <si>
    <t>BROKERAGE FEES</t>
  </si>
  <si>
    <t>NO</t>
  </si>
  <si>
    <t>ADDITIONAL +/- DISC % PER ITEM</t>
  </si>
  <si>
    <t>MARKUP LESS THAN 100% REQUIRES MANAGER APPROVAL</t>
  </si>
  <si>
    <t>PART NUMBER</t>
  </si>
  <si>
    <t>DESCRIPTION</t>
  </si>
  <si>
    <t>SERVICE INTERVAL</t>
  </si>
  <si>
    <t>QTY</t>
  </si>
  <si>
    <t>UNIT PRICE</t>
  </si>
  <si>
    <t>EXT AMOUNT</t>
  </si>
  <si>
    <t xml:space="preserve">UNIT PRICE </t>
  </si>
  <si>
    <t>EXTENDED AMOUNT</t>
  </si>
  <si>
    <t>VENDOR</t>
  </si>
  <si>
    <t>COST EACH</t>
  </si>
  <si>
    <t>EXTENDED COST</t>
  </si>
  <si>
    <t>MARGIN EACH</t>
  </si>
  <si>
    <t>EXTENDED MARGIN</t>
  </si>
  <si>
    <t xml:space="preserve">MARKUP % </t>
  </si>
  <si>
    <t>MARGIN %</t>
  </si>
  <si>
    <t>GQP</t>
  </si>
  <si>
    <t>CTP</t>
  </si>
  <si>
    <t>179-9806</t>
  </si>
  <si>
    <t>BLMQ</t>
  </si>
  <si>
    <t>CAT</t>
  </si>
  <si>
    <t>SECONDARY AIR FILTER ELEMENT</t>
  </si>
  <si>
    <t>FINNING</t>
  </si>
  <si>
    <t>JD</t>
  </si>
  <si>
    <t>TURBOCHARGER ASSEMBLY</t>
  </si>
  <si>
    <t>BRANDT</t>
  </si>
  <si>
    <t>PTI</t>
  </si>
  <si>
    <t>CONEQUIP</t>
  </si>
  <si>
    <t>CANDY</t>
  </si>
  <si>
    <t>AS REQ'D</t>
  </si>
  <si>
    <t>SPROCKET BOLT</t>
  </si>
  <si>
    <t>U/C</t>
  </si>
  <si>
    <t>CARRIER ROLLER</t>
  </si>
  <si>
    <t>SINGLE FLANGE TRACK ROLLER</t>
  </si>
  <si>
    <t>FLAT WASHER</t>
  </si>
  <si>
    <t>9W-3361</t>
  </si>
  <si>
    <t>CUSTOM</t>
  </si>
  <si>
    <t>347-6708</t>
  </si>
  <si>
    <t>BUCKET GP</t>
  </si>
  <si>
    <t>NUT</t>
  </si>
  <si>
    <t>TOTALS</t>
  </si>
  <si>
    <t>CABIN AIR FILTER ELEMENT</t>
  </si>
  <si>
    <t>FRONT IDLER</t>
  </si>
  <si>
    <t>CARRIER BOLT</t>
  </si>
  <si>
    <t>ROLLER BOLT</t>
  </si>
  <si>
    <t>TRACK BOLT</t>
  </si>
  <si>
    <t>TIP</t>
  </si>
  <si>
    <t>1R-0716</t>
  </si>
  <si>
    <t>ENGINE OIL FILTER</t>
  </si>
  <si>
    <t>1R-0749</t>
  </si>
  <si>
    <t xml:space="preserve">SECONDARY FUEL FILTER </t>
  </si>
  <si>
    <t>FUEL WATER SEPARATOR FILTER</t>
  </si>
  <si>
    <t>1R-0735</t>
  </si>
  <si>
    <t>HYDRAULIC FILTER</t>
  </si>
  <si>
    <t>1R-0719</t>
  </si>
  <si>
    <t>HYDRAULIC TRANSMISSION OIL FILTER</t>
  </si>
  <si>
    <t>PRIMARY AIR FILTER</t>
  </si>
  <si>
    <t xml:space="preserve">FUEL INJECTOR </t>
  </si>
  <si>
    <t>4P-8730</t>
  </si>
  <si>
    <t>TRACK SPROCKET SEGMENT</t>
  </si>
  <si>
    <t>5P-8249</t>
  </si>
  <si>
    <t>SPROCKET NUT</t>
  </si>
  <si>
    <t>300-4545</t>
  </si>
  <si>
    <t>114-6099</t>
  </si>
  <si>
    <t>BLADE AS SEMI UNIVERSAL</t>
  </si>
  <si>
    <t>DOZER CUTTING EDGE</t>
  </si>
  <si>
    <t>CUTTING EDGE</t>
  </si>
  <si>
    <t>LH END BIT</t>
  </si>
  <si>
    <t>RH END BIT</t>
  </si>
  <si>
    <t>Plow Bolt</t>
  </si>
  <si>
    <t>Washer</t>
  </si>
  <si>
    <t>Nut</t>
  </si>
  <si>
    <t>RIPPER SHANK</t>
  </si>
  <si>
    <t>4T-4501</t>
  </si>
  <si>
    <t>RIPPER TIP</t>
  </si>
  <si>
    <t>RIPPER PIN</t>
  </si>
  <si>
    <t>RETAINER</t>
  </si>
  <si>
    <t>CAMSHAFT</t>
  </si>
  <si>
    <t>CRANKSAHFT</t>
  </si>
  <si>
    <t>CYLINDER HEAD</t>
  </si>
  <si>
    <t>526-7416</t>
  </si>
  <si>
    <t>SEAT ASSEMBLY</t>
  </si>
  <si>
    <t>160-7165</t>
  </si>
  <si>
    <t>SEAT SUSPENSION</t>
  </si>
  <si>
    <t>FUEL FILTER</t>
  </si>
  <si>
    <t>338-3540</t>
  </si>
  <si>
    <t>211-2660</t>
  </si>
  <si>
    <t>153-5700</t>
  </si>
  <si>
    <t xml:space="preserve">ENGINE OVERHAUL KIT </t>
  </si>
  <si>
    <t>CRANKSHAFT</t>
  </si>
  <si>
    <t>TURBOCHARGER</t>
  </si>
  <si>
    <t>282-4577</t>
  </si>
  <si>
    <t>STRAIGHT BLADE AS</t>
  </si>
  <si>
    <t>519-2885</t>
  </si>
  <si>
    <t>CYLINDER</t>
  </si>
  <si>
    <t>1J-6762</t>
  </si>
  <si>
    <t>PLOW BOLT</t>
  </si>
  <si>
    <t>2J-3506</t>
  </si>
  <si>
    <t>8E-5529</t>
  </si>
  <si>
    <t>END BIT</t>
  </si>
  <si>
    <t>5J-4773</t>
  </si>
  <si>
    <t>END BIT BOLT</t>
  </si>
  <si>
    <t>END BIT NUT</t>
  </si>
  <si>
    <t>1R-1809</t>
  </si>
  <si>
    <t>12V 4D BCI BATTERY (20" X 8.6" X 8.7")</t>
  </si>
  <si>
    <t>605-8830</t>
  </si>
  <si>
    <t>9J-6586</t>
  </si>
  <si>
    <t>6Y-0309</t>
  </si>
  <si>
    <t>3B-5325</t>
  </si>
  <si>
    <t>COTTER</t>
  </si>
  <si>
    <t>2K-6413</t>
  </si>
  <si>
    <t>PIN</t>
  </si>
  <si>
    <t>114-0359</t>
  </si>
  <si>
    <t>RETAINER AS</t>
  </si>
  <si>
    <t>136-8308</t>
  </si>
  <si>
    <t>326-1644</t>
  </si>
  <si>
    <t>571-5253</t>
  </si>
  <si>
    <t>245-6375</t>
  </si>
  <si>
    <t>245-6376</t>
  </si>
  <si>
    <t>658-0254</t>
  </si>
  <si>
    <t>242-0673</t>
  </si>
  <si>
    <t>261-1544</t>
  </si>
  <si>
    <t>344-2149</t>
  </si>
  <si>
    <t>352-2395</t>
  </si>
  <si>
    <t>INJECTOR</t>
  </si>
  <si>
    <t>4T-3028</t>
  </si>
  <si>
    <t>RIPPER CYLINDER</t>
  </si>
  <si>
    <t>489-6480</t>
  </si>
  <si>
    <t>SEAT AS</t>
  </si>
  <si>
    <t>Oil Filter</t>
  </si>
  <si>
    <t>Hydarulic Oil Filter</t>
  </si>
  <si>
    <t>Camshaft Assembly</t>
  </si>
  <si>
    <t>Crankshaft Group</t>
  </si>
  <si>
    <t>Cylinder Block</t>
  </si>
  <si>
    <t>Cylinder Head GP</t>
  </si>
  <si>
    <t>Fuel Injector</t>
  </si>
  <si>
    <t>Turbo Charger</t>
  </si>
  <si>
    <t>SEAT-SUSPENSION AS</t>
  </si>
  <si>
    <t>Battery (L:11.9" x W:7.5" x H:7.5")</t>
  </si>
  <si>
    <t>Bucket As</t>
  </si>
  <si>
    <t>Bucket Cutting Edge</t>
  </si>
  <si>
    <t>Edge LH</t>
  </si>
  <si>
    <t>Edge RH</t>
  </si>
  <si>
    <t>Sidebar</t>
  </si>
  <si>
    <t>7X-6041</t>
  </si>
  <si>
    <t>153-5710</t>
  </si>
  <si>
    <t>12V 4D BCI BATTERY (19.3" X 8.6" X 9.9")</t>
  </si>
  <si>
    <t>ENGINE OVERHAUL KIT</t>
  </si>
  <si>
    <t>BUCKET AS GENERAL PURPOSE</t>
  </si>
  <si>
    <t>TILT CYLINDER</t>
  </si>
  <si>
    <t>LIFT CYLINDER</t>
  </si>
  <si>
    <t>NUT FULL</t>
  </si>
  <si>
    <t>WASHER</t>
  </si>
  <si>
    <t xml:space="preserve">TIP RETAINER </t>
  </si>
  <si>
    <t>SEAT GP</t>
  </si>
  <si>
    <t>REQUEST FOR QUOTE (RFQ)</t>
  </si>
  <si>
    <t>CUSTOMER</t>
  </si>
  <si>
    <t>PHONE NUMBER:</t>
  </si>
  <si>
    <t>EMAIL ADDRESS:</t>
  </si>
  <si>
    <t>BILLING ADDRESS:</t>
  </si>
  <si>
    <t>SERIAL NUM</t>
  </si>
  <si>
    <t>HOURS</t>
  </si>
  <si>
    <t>SHIPPING ADDRESS:</t>
  </si>
  <si>
    <t>PO NUMBER</t>
  </si>
  <si>
    <t>PRICE / UNIT</t>
  </si>
  <si>
    <t>TOTAL</t>
  </si>
  <si>
    <t>Subtotal</t>
  </si>
  <si>
    <t>Please quote all parts and quantities included on this form.</t>
  </si>
  <si>
    <t>Shipping</t>
  </si>
  <si>
    <t>Customs/BrokerFee</t>
  </si>
  <si>
    <t>Total</t>
  </si>
  <si>
    <t xml:space="preserve">2808 5th Street, </t>
  </si>
  <si>
    <t>GST</t>
  </si>
  <si>
    <t>Nisku AB  T9E 0H1</t>
  </si>
  <si>
    <t>PST / QST</t>
  </si>
  <si>
    <t>Grand Total</t>
  </si>
  <si>
    <t>CUSTOMER PARTS QUOTE</t>
  </si>
  <si>
    <t>YEAR:</t>
  </si>
  <si>
    <t>UNIT #:</t>
  </si>
  <si>
    <t>MAKE:</t>
  </si>
  <si>
    <t>MODEL:</t>
  </si>
  <si>
    <t>SERIAL NUM:</t>
  </si>
  <si>
    <t>HOURS:</t>
  </si>
  <si>
    <t>PO NUMBER:</t>
  </si>
  <si>
    <t>OEM MSRP / UNIT</t>
  </si>
  <si>
    <t>GQP PRICE / UNIT</t>
  </si>
  <si>
    <t>Quote valid for 14 days, shipping subject to delays in supply chain. Labour rate subject to change. Labour times quoted for repairs are estimates only, actual repair times subject to change, any changes will be communicated and agreed to by both the customer and Global Wholesale Machinery Inc.
Credit Card Payment Subject to 2.5% Processing Fee.</t>
  </si>
  <si>
    <t>CUSTOMER SERVICE QUOTE</t>
  </si>
  <si>
    <t>SUBTOTAL</t>
  </si>
  <si>
    <t>SHIPPING</t>
  </si>
  <si>
    <t>OEM MSRP :</t>
  </si>
  <si>
    <t>CUSTOMS/BROKER FEE</t>
  </si>
  <si>
    <t>GQP :</t>
  </si>
  <si>
    <t xml:space="preserve">TOTAL  </t>
  </si>
  <si>
    <t>GQP SAVINGS :</t>
  </si>
  <si>
    <t>GST EXEMPT</t>
  </si>
  <si>
    <t>GRAND TOTAL</t>
  </si>
  <si>
    <t>CUSTOMER GST #</t>
  </si>
  <si>
    <t>CREDIT CARD FEE</t>
  </si>
  <si>
    <t>Credit Card Payment Subject to 2.5% Processing Fee. Quote valid for 14 days, shipping subject to delays in supply chain.</t>
  </si>
  <si>
    <t>Total Due</t>
  </si>
  <si>
    <t>Parts Subtotal</t>
  </si>
  <si>
    <t>SERVICE</t>
  </si>
  <si>
    <t>DESCRIPTION OF WORK TO BE COMPLETED</t>
  </si>
  <si>
    <t>Labour Hours</t>
  </si>
  <si>
    <t>Industry Rate</t>
  </si>
  <si>
    <t>Global Rate</t>
  </si>
  <si>
    <t>SUBLET WORK / MISC</t>
  </si>
  <si>
    <t>Service Subtotal</t>
  </si>
  <si>
    <t>Shop Supplies</t>
  </si>
  <si>
    <t>GLOBAL SAVINGS :</t>
  </si>
  <si>
    <t>Customs/Broker Fee</t>
  </si>
  <si>
    <t>TOTAL SAVINGS :</t>
  </si>
  <si>
    <t>Sub Total</t>
  </si>
  <si>
    <t>CUST GST #</t>
  </si>
  <si>
    <t>Credit Card Fee</t>
  </si>
  <si>
    <t>1R-1807</t>
  </si>
  <si>
    <t>OIL FILTER</t>
  </si>
  <si>
    <t>Hydraulic Filter</t>
  </si>
  <si>
    <t>126-1813</t>
  </si>
  <si>
    <t>HYDRAULIC/TRANSMISSION OIL FILTER</t>
  </si>
  <si>
    <t>1R7062</t>
  </si>
  <si>
    <t>6I-2504</t>
  </si>
  <si>
    <t>SECONDARY AIR FILTER</t>
  </si>
  <si>
    <t>6I-2503</t>
  </si>
  <si>
    <t>WATER/FUEL SEPARATOR</t>
  </si>
  <si>
    <t>177-4754</t>
  </si>
  <si>
    <t>3T-5760</t>
  </si>
  <si>
    <t>BATTERY</t>
  </si>
  <si>
    <t>177-0440</t>
  </si>
  <si>
    <t>205-1259</t>
  </si>
  <si>
    <t>ENGINE REBUILD KIT</t>
  </si>
  <si>
    <t>UNDERCARRIAGE TRACK GROUP ASSY</t>
  </si>
  <si>
    <t>213-1932</t>
  </si>
  <si>
    <t>LINK AS- TRACK</t>
  </si>
  <si>
    <t>6I-8651</t>
  </si>
  <si>
    <t>TRACK SHOE 36INCH</t>
  </si>
  <si>
    <t>6Y-0846</t>
  </si>
  <si>
    <t>TRACK NUT</t>
  </si>
  <si>
    <t>602-9393</t>
  </si>
  <si>
    <t>FRONT WHEEL IDLER ASSY</t>
  </si>
  <si>
    <t>CARRIER ROLLER NUT</t>
  </si>
  <si>
    <t>503-1353</t>
  </si>
  <si>
    <t>SINGLE FLANGE ROLER</t>
  </si>
  <si>
    <t>7X-2565</t>
  </si>
  <si>
    <t>8T-4123</t>
  </si>
  <si>
    <t>326-1642</t>
  </si>
  <si>
    <t>326-1643</t>
  </si>
  <si>
    <t>fuel filter</t>
  </si>
  <si>
    <t>6I-0274</t>
  </si>
  <si>
    <t>6I-0273</t>
  </si>
  <si>
    <t>6T-0988</t>
  </si>
  <si>
    <t>317-5278</t>
  </si>
  <si>
    <t>278-2363</t>
  </si>
  <si>
    <t>5P-7665</t>
  </si>
  <si>
    <t>6V-5841</t>
  </si>
  <si>
    <t>7H-3608</t>
  </si>
  <si>
    <t>420-9357</t>
  </si>
  <si>
    <t>428-0056</t>
  </si>
  <si>
    <t>9H-1031</t>
  </si>
  <si>
    <t>DOUBLE FLANGE ROLLER</t>
  </si>
  <si>
    <t>1D-4630</t>
  </si>
  <si>
    <t>273-3996</t>
  </si>
  <si>
    <t>ROLLER CAP</t>
  </si>
  <si>
    <t>422-1054</t>
  </si>
  <si>
    <t>422-1051</t>
  </si>
  <si>
    <t>422-1130</t>
  </si>
  <si>
    <t>41 LINK 24" TRACK GROUP</t>
  </si>
  <si>
    <t>6I-8381</t>
  </si>
  <si>
    <t>7T-6936</t>
  </si>
  <si>
    <t>7T-6678</t>
  </si>
  <si>
    <t>9W-6198</t>
  </si>
  <si>
    <t>9W-6199</t>
  </si>
  <si>
    <t>6F-0196</t>
  </si>
  <si>
    <t>2J-3505</t>
  </si>
  <si>
    <t>114-0358</t>
  </si>
  <si>
    <t>1J-2919</t>
  </si>
  <si>
    <t>4J-5240</t>
  </si>
  <si>
    <t>614-7778</t>
  </si>
  <si>
    <t>COTTER PIN</t>
  </si>
  <si>
    <t>164-7320</t>
  </si>
  <si>
    <t>RIPPER CYLINDER TLIFT</t>
  </si>
  <si>
    <t>RIPPER CYLINDER TILT</t>
  </si>
  <si>
    <t>579-9358</t>
  </si>
  <si>
    <t>171-3063</t>
  </si>
  <si>
    <t>326-278</t>
  </si>
  <si>
    <t>148-2149</t>
  </si>
  <si>
    <t>GQP OVERHAUL SILVER KIT</t>
  </si>
  <si>
    <t>6Y-7409</t>
  </si>
  <si>
    <t>BUCKET TIP</t>
  </si>
  <si>
    <t>116-7408</t>
  </si>
  <si>
    <t>GROOVED PIN</t>
  </si>
  <si>
    <t>116-7409</t>
  </si>
  <si>
    <t>RETAINER PIN</t>
  </si>
  <si>
    <t>Fuel/Water Separator Filter (Primary)</t>
  </si>
  <si>
    <t>PRIMAERY AIR FILTER</t>
  </si>
  <si>
    <t>CABIN AIR FILTER</t>
  </si>
  <si>
    <t>1G-8878</t>
  </si>
  <si>
    <t>TRANSMISSION FILTER</t>
  </si>
  <si>
    <t>311-6949</t>
  </si>
  <si>
    <t>273-3761</t>
  </si>
  <si>
    <t>4F-7827</t>
  </si>
  <si>
    <t>5P-8248</t>
  </si>
  <si>
    <t>7T-5961</t>
  </si>
  <si>
    <t>7T-5963</t>
  </si>
  <si>
    <t>109-9052</t>
  </si>
  <si>
    <t>330-9358</t>
  </si>
  <si>
    <t>1R-0762</t>
  </si>
  <si>
    <t>SECONDARY FUEL FILTER</t>
  </si>
  <si>
    <t>134-0734</t>
  </si>
  <si>
    <t>134-4483</t>
  </si>
  <si>
    <t>MAJOR ENGINE OVERHAUL KIT</t>
  </si>
  <si>
    <t>212-4288</t>
  </si>
  <si>
    <t>557-7627</t>
  </si>
  <si>
    <t>250-0841</t>
  </si>
  <si>
    <t>528-9582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</si>
</sst>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_(&quot;$&quot;* #,##0.00_);_(&quot;$&quot;* \(#,##0.00\);_(&quot;$&quot;* &quot;-&quot;??_);_(@_)"/>
    <numFmt numFmtId="165" formatCode="[$-F800]dddd\,\ mmmm\ dd\,\ yyyy"/>
    <numFmt numFmtId="166" formatCode="[$-409]mmmm\ d\,\ yyyy;@"/>
    <numFmt numFmtId="167" formatCode="0;\-0;;@"/>
    <numFmt numFmtId="168" formatCode="&quot;$&quot;#,##0.00"/>
  </numFmts>
  <fonts count="55"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b/>
      <sz val="12"/>
      <color theme="1"/>
      <name val="Calibri"/>
      <family val="2"/>
    </font>
    <font>
      <b/>
      <sz val="28"/>
      <color theme="1"/>
      <name val="Bahnschrift SemiCondensed"/>
      <family val="2"/>
    </font>
    <font>
      <b/>
      <sz val="28"/>
      <color theme="1"/>
      <name val="Aptos Narrow"/>
      <family val="2"/>
      <scheme val="minor"/>
    </font>
    <font>
      <sz val="11"/>
      <color theme="1"/>
      <name val="Bahnschrift SemiCondensed"/>
      <family val="2"/>
    </font>
    <font>
      <u/>
      <sz val="11"/>
      <color theme="10"/>
      <name val="Aptos Narrow"/>
      <family val="2"/>
      <scheme val="minor"/>
    </font>
    <font>
      <b/>
      <sz val="11"/>
      <color theme="1"/>
      <name val="Bahnschrift SemiCondensed"/>
      <family val="2"/>
    </font>
    <font>
      <sz val="11"/>
      <name val="Calibri"/>
      <family val="2"/>
    </font>
    <font>
      <sz val="11"/>
      <name val="Aptos Narrow"/>
      <family val="2"/>
      <scheme val="minor"/>
    </font>
    <font>
      <b/>
      <sz val="9"/>
      <color theme="1"/>
      <name val="Arial Nova Cond"/>
      <family val="2"/>
    </font>
    <font>
      <sz val="11"/>
      <color theme="1"/>
      <name val="Arial Nova Cond"/>
      <family val="2"/>
    </font>
    <font>
      <sz val="9"/>
      <color theme="1"/>
      <name val="Arial Nova Cond"/>
      <family val="2"/>
    </font>
    <font>
      <sz val="10"/>
      <color theme="1"/>
      <name val="Arial Nova Cond"/>
      <family val="2"/>
    </font>
    <font>
      <sz val="10"/>
      <name val="Arial Nova Cond"/>
      <family val="2"/>
    </font>
    <font>
      <b/>
      <sz val="12"/>
      <color theme="1"/>
      <name val="Arial Nova Cond"/>
      <family val="2"/>
    </font>
    <font>
      <b/>
      <sz val="11"/>
      <color theme="0"/>
      <name val="Arial Nova Cond"/>
      <family val="2"/>
    </font>
    <font>
      <b/>
      <sz val="11"/>
      <color theme="1"/>
      <name val="Arial Nova Cond"/>
      <family val="2"/>
    </font>
    <font>
      <b/>
      <sz val="10"/>
      <color theme="1"/>
      <name val="Arial Nova Cond"/>
      <family val="2"/>
    </font>
    <font>
      <b/>
      <sz val="12"/>
      <name val="Calibri"/>
      <family val="2"/>
    </font>
    <font>
      <b/>
      <sz val="11"/>
      <color rgb="FFFF0000"/>
      <name val="Arial Nova Cond"/>
      <family val="2"/>
    </font>
    <font>
      <b/>
      <sz val="11"/>
      <name val="Calibri"/>
      <family val="2"/>
    </font>
    <font>
      <sz val="11"/>
      <name val="Arial Nova Cond"/>
      <family val="2"/>
    </font>
    <font>
      <b/>
      <sz val="26"/>
      <color theme="1"/>
      <name val="Bahnschrift SemiCondensed"/>
      <family val="2"/>
    </font>
    <font>
      <b/>
      <sz val="10"/>
      <color theme="0"/>
      <name val="Arial Nova Cond"/>
      <family val="2"/>
    </font>
    <font>
      <b/>
      <sz val="8"/>
      <color theme="1"/>
      <name val="Arial Nova Cond"/>
      <family val="2"/>
    </font>
    <font>
      <sz val="10"/>
      <color theme="1"/>
      <name val="Aptos Narrow"/>
      <family val="2"/>
      <scheme val="minor"/>
    </font>
    <font>
      <sz val="11"/>
      <color theme="2"/>
      <name val="Calibri"/>
      <family val="2"/>
    </font>
    <font>
      <b/>
      <sz val="16"/>
      <name val="Calibri"/>
      <family val="2"/>
    </font>
    <font>
      <b/>
      <sz val="10"/>
      <name val="Calibri"/>
      <family val="2"/>
    </font>
    <font>
      <b/>
      <sz val="18"/>
      <name val="Calibri"/>
      <family val="2"/>
    </font>
    <font>
      <b/>
      <sz val="14"/>
      <name val="Calibri"/>
      <family val="2"/>
    </font>
    <font>
      <sz val="10"/>
      <name val="Calibri"/>
      <family val="2"/>
    </font>
    <font>
      <sz val="11"/>
      <color theme="10"/>
      <name val="Calibri"/>
      <family val="2"/>
    </font>
    <font>
      <sz val="9"/>
      <name val="Arial Nova Cond"/>
      <family val="2"/>
    </font>
    <font>
      <sz val="8"/>
      <name val="Aptos Narrow"/>
      <family val="2"/>
      <scheme val="minor"/>
    </font>
    <font>
      <sz val="8"/>
      <name val="Arial Nova Cond"/>
      <family val="2"/>
    </font>
    <font>
      <sz val="8"/>
      <color theme="1"/>
      <name val="Arial Nova Cond"/>
      <family val="2"/>
    </font>
    <font>
      <b/>
      <sz val="11"/>
      <color theme="0"/>
      <name val="Calibri"/>
      <family val="2"/>
    </font>
    <font>
      <b/>
      <sz val="12"/>
      <color theme="0"/>
      <name val="Calibri"/>
      <family val="2"/>
    </font>
    <font>
      <b/>
      <sz val="18"/>
      <color theme="0"/>
      <name val="Calibri"/>
      <family val="2"/>
    </font>
    <font>
      <b/>
      <sz val="16"/>
      <color theme="0"/>
      <name val="Calibri"/>
      <family val="2"/>
    </font>
    <font>
      <b/>
      <sz val="10"/>
      <color theme="0"/>
      <name val="Calibri"/>
      <family val="2"/>
    </font>
    <font>
      <sz val="11"/>
      <color theme="0"/>
      <name val="Calibri"/>
      <family val="2"/>
    </font>
    <font>
      <b/>
      <sz val="10"/>
      <name val="Arial Nova Cond"/>
      <family val="2"/>
    </font>
    <font>
      <b/>
      <sz val="10"/>
      <color rgb="FFFF0000"/>
      <name val="Calibri"/>
      <family val="2"/>
    </font>
    <font>
      <b/>
      <sz val="10"/>
      <color theme="6" tint="0.39997558519241921"/>
      <name val="Calibri"/>
      <family val="2"/>
    </font>
    <font>
      <b/>
      <sz val="8"/>
      <color theme="0"/>
      <name val="Calibri"/>
      <family val="2"/>
    </font>
    <font>
      <b/>
      <sz val="11"/>
      <color theme="2"/>
      <name val="Calibri"/>
      <family val="2"/>
    </font>
    <font>
      <sz val="10"/>
      <color theme="0"/>
      <name val="Arial Nova Cond"/>
      <family val="2"/>
    </font>
    <font>
      <b/>
      <u/>
      <sz val="11"/>
      <color theme="1"/>
      <name val="Aptos Narrow"/>
      <family val="2"/>
      <scheme val="minor"/>
    </font>
    <font>
      <b/>
      <sz val="11"/>
      <color rgb="FFFF0000"/>
      <name val="Aptos Narrow"/>
      <family val="2"/>
      <scheme val="minor"/>
    </font>
  </fonts>
  <fills count="14">
    <fill>
      <patternFill patternType="none"/>
    </fill>
    <fill>
      <patternFill patternType="gray125"/>
    </fill>
    <fill>
      <patternFill patternType="solid">
        <fgColor theme="1"/>
        <bgColor indexed="64"/>
      </patternFill>
    </fill>
    <fill>
      <patternFill patternType="solid">
        <fgColor theme="2"/>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2" tint="-0.499984740745262"/>
        <bgColor indexed="64"/>
      </patternFill>
    </fill>
    <fill>
      <patternFill patternType="solid">
        <fgColor theme="3" tint="0.89999084444715716"/>
        <bgColor indexed="64"/>
      </patternFill>
    </fill>
    <fill>
      <patternFill patternType="solid">
        <fgColor theme="1" tint="0.14999847407452621"/>
        <bgColor indexed="64"/>
      </patternFill>
    </fill>
    <fill>
      <patternFill patternType="solid">
        <fgColor theme="2" tint="-0.749992370372631"/>
        <bgColor indexed="64"/>
      </patternFill>
    </fill>
    <fill>
      <patternFill patternType="solid">
        <fgColor theme="5" tint="0.79998168889431442"/>
        <bgColor indexed="64"/>
      </patternFill>
    </fill>
    <fill>
      <patternFill patternType="gray0625">
        <fgColor theme="2" tint="-9.9948118533890809E-2"/>
        <bgColor indexed="65"/>
      </patternFill>
    </fill>
    <fill>
      <patternFill patternType="solid">
        <fgColor theme="6" tint="0.79998168889431442"/>
        <bgColor indexed="64"/>
      </patternFill>
    </fill>
    <fill>
      <patternFill patternType="solid">
        <fgColor theme="4" tint="0.59999389629810485"/>
        <bgColor indexed="64"/>
      </patternFill>
    </fill>
  </fills>
  <borders count="8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top/>
      <bottom style="medium">
        <color indexed="64"/>
      </bottom>
      <diagonal/>
    </border>
    <border>
      <left/>
      <right style="thin">
        <color indexed="64"/>
      </right>
      <top/>
      <bottom style="medium">
        <color indexed="64"/>
      </bottom>
      <diagonal/>
    </border>
    <border>
      <left style="thin">
        <color theme="0"/>
      </left>
      <right/>
      <top style="thin">
        <color theme="0"/>
      </top>
      <bottom style="thin">
        <color theme="0"/>
      </bottom>
      <diagonal/>
    </border>
    <border>
      <left style="thin">
        <color theme="0"/>
      </left>
      <right style="thin">
        <color theme="0"/>
      </right>
      <top/>
      <bottom style="thin">
        <color indexed="64"/>
      </bottom>
      <diagonal/>
    </border>
    <border>
      <left style="thin">
        <color theme="0"/>
      </left>
      <right/>
      <top style="thin">
        <color theme="0"/>
      </top>
      <bottom/>
      <diagonal/>
    </border>
    <border>
      <left style="thin">
        <color theme="0"/>
      </left>
      <right/>
      <top/>
      <bottom style="thin">
        <color indexed="64"/>
      </bottom>
      <diagonal/>
    </border>
    <border>
      <left style="thin">
        <color theme="0"/>
      </left>
      <right/>
      <top style="thin">
        <color indexed="64"/>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right style="thin">
        <color theme="0"/>
      </right>
      <top style="thin">
        <color indexed="64"/>
      </top>
      <bottom style="thin">
        <color theme="0"/>
      </bottom>
      <diagonal/>
    </border>
    <border>
      <left/>
      <right style="thin">
        <color theme="0"/>
      </right>
      <top/>
      <bottom style="thin">
        <color theme="0"/>
      </bottom>
      <diagonal/>
    </border>
    <border>
      <left/>
      <right style="thin">
        <color indexed="64"/>
      </right>
      <top style="thin">
        <color indexed="64"/>
      </top>
      <bottom style="medium">
        <color indexed="64"/>
      </bottom>
      <diagonal/>
    </border>
    <border>
      <left style="thin">
        <color indexed="64"/>
      </left>
      <right style="thin">
        <color theme="0"/>
      </right>
      <top style="thin">
        <color theme="0"/>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theme="0"/>
      </left>
      <right style="thin">
        <color auto="1"/>
      </right>
      <top style="thin">
        <color theme="0"/>
      </top>
      <bottom style="thin">
        <color theme="0"/>
      </bottom>
      <diagonal/>
    </border>
    <border>
      <left style="thin">
        <color theme="0"/>
      </left>
      <right style="thin">
        <color auto="1"/>
      </right>
      <top style="thin">
        <color theme="0"/>
      </top>
      <bottom style="thin">
        <color indexed="64"/>
      </bottom>
      <diagonal/>
    </border>
    <border>
      <left style="thin">
        <color theme="0"/>
      </left>
      <right style="thin">
        <color auto="1"/>
      </right>
      <top style="thin">
        <color indexed="64"/>
      </top>
      <bottom style="thin">
        <color theme="0"/>
      </bottom>
      <diagonal/>
    </border>
    <border>
      <left/>
      <right/>
      <top/>
      <bottom style="thin">
        <color theme="0"/>
      </bottom>
      <diagonal/>
    </border>
    <border>
      <left/>
      <right style="thin">
        <color theme="0"/>
      </right>
      <top style="thin">
        <color indexed="64"/>
      </top>
      <bottom/>
      <diagonal/>
    </border>
    <border>
      <left/>
      <right style="thin">
        <color theme="0"/>
      </right>
      <top/>
      <bottom/>
      <diagonal/>
    </border>
    <border>
      <left style="thin">
        <color indexed="64"/>
      </left>
      <right/>
      <top/>
      <bottom style="thin">
        <color theme="0"/>
      </bottom>
      <diagonal/>
    </border>
    <border>
      <left style="thin">
        <color theme="0"/>
      </left>
      <right style="thin">
        <color indexed="64"/>
      </right>
      <top style="thin">
        <color theme="0"/>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theme="0"/>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top style="thin">
        <color theme="0"/>
      </top>
      <bottom style="thin">
        <color indexed="64"/>
      </bottom>
      <diagonal/>
    </border>
    <border>
      <left/>
      <right/>
      <top style="thin">
        <color theme="0"/>
      </top>
      <bottom style="thin">
        <color indexed="64"/>
      </bottom>
      <diagonal/>
    </border>
    <border>
      <left style="thin">
        <color indexed="64"/>
      </left>
      <right style="thin">
        <color theme="0"/>
      </right>
      <top style="thin">
        <color indexed="64"/>
      </top>
      <bottom/>
      <diagonal/>
    </border>
    <border>
      <left style="thin">
        <color indexed="64"/>
      </left>
      <right style="thin">
        <color theme="0"/>
      </right>
      <top/>
      <bottom style="thin">
        <color theme="0"/>
      </bottom>
      <diagonal/>
    </border>
    <border>
      <left style="thin">
        <color indexed="64"/>
      </left>
      <right style="thin">
        <color theme="0"/>
      </right>
      <top style="thin">
        <color theme="0"/>
      </top>
      <bottom/>
      <diagonal/>
    </border>
    <border>
      <left/>
      <right style="thin">
        <color indexed="64"/>
      </right>
      <top/>
      <bottom style="thin">
        <color theme="0"/>
      </bottom>
      <diagonal/>
    </border>
    <border>
      <left style="thin">
        <color theme="0"/>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style="thin">
        <color indexed="64"/>
      </left>
      <right/>
      <top style="thin">
        <color theme="0"/>
      </top>
      <bottom style="thin">
        <color theme="0"/>
      </bottom>
      <diagonal/>
    </border>
    <border>
      <left/>
      <right/>
      <top style="thin">
        <color theme="0"/>
      </top>
      <bottom style="thin">
        <color theme="0"/>
      </bottom>
      <diagonal/>
    </border>
    <border>
      <left style="thin">
        <color theme="0"/>
      </left>
      <right/>
      <top style="thin">
        <color indexed="64"/>
      </top>
      <bottom/>
      <diagonal/>
    </border>
    <border>
      <left/>
      <right/>
      <top style="medium">
        <color indexed="64"/>
      </top>
      <bottom style="thin">
        <color indexed="64"/>
      </bottom>
      <diagonal/>
    </border>
    <border>
      <left style="thin">
        <color indexed="64"/>
      </left>
      <right style="thin">
        <color indexed="64"/>
      </right>
      <top style="thin">
        <color theme="0"/>
      </top>
      <bottom/>
      <diagonal/>
    </border>
    <border>
      <left style="thin">
        <color indexed="64"/>
      </left>
      <right/>
      <top style="thin">
        <color indexed="64"/>
      </top>
      <bottom style="thin">
        <color theme="0"/>
      </bottom>
      <diagonal/>
    </border>
    <border>
      <left/>
      <right style="thin">
        <color indexed="64"/>
      </right>
      <top style="thin">
        <color indexed="64"/>
      </top>
      <bottom style="thin">
        <color theme="0"/>
      </bottom>
      <diagonal/>
    </border>
    <border>
      <left/>
      <right/>
      <top style="thin">
        <color theme="0"/>
      </top>
      <bottom/>
      <diagonal/>
    </border>
    <border>
      <left style="thick">
        <color auto="1"/>
      </left>
      <right style="thin">
        <color indexed="64"/>
      </right>
      <top style="thin">
        <color theme="0"/>
      </top>
      <bottom style="thin">
        <color indexed="64"/>
      </bottom>
      <diagonal/>
    </border>
    <border>
      <left style="thick">
        <color auto="1"/>
      </left>
      <right style="thin">
        <color indexed="64"/>
      </right>
      <top/>
      <bottom style="thin">
        <color indexed="64"/>
      </bottom>
      <diagonal/>
    </border>
    <border>
      <left style="thick">
        <color auto="1"/>
      </left>
      <right style="thin">
        <color indexed="64"/>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cellStyleXfs>
  <cellXfs count="475">
    <xf numFmtId="0" fontId="0" fillId="0" borderId="0" xfId="0"/>
    <xf numFmtId="0" fontId="3" fillId="3" borderId="1" xfId="0" applyFont="1" applyFill="1" applyBorder="1" applyAlignment="1" applyProtection="1">
      <alignment horizontal="left"/>
      <protection locked="0"/>
    </xf>
    <xf numFmtId="164" fontId="3" fillId="0" borderId="2" xfId="1" applyFont="1" applyFill="1" applyBorder="1" applyProtection="1"/>
    <xf numFmtId="0" fontId="3" fillId="0" borderId="2" xfId="0" applyFont="1" applyBorder="1" applyAlignment="1" applyProtection="1">
      <alignment horizontal="left"/>
      <protection locked="0"/>
    </xf>
    <xf numFmtId="167" fontId="17" fillId="0" borderId="1" xfId="3" applyNumberFormat="1" applyFont="1" applyFill="1" applyBorder="1" applyAlignment="1" applyProtection="1">
      <alignment horizontal="left"/>
    </xf>
    <xf numFmtId="0" fontId="16" fillId="0" borderId="1" xfId="0" applyFont="1" applyBorder="1" applyAlignment="1" applyProtection="1">
      <alignment horizontal="left"/>
      <protection locked="0"/>
    </xf>
    <xf numFmtId="164" fontId="14" fillId="0" borderId="2" xfId="1" applyFont="1" applyBorder="1" applyProtection="1"/>
    <xf numFmtId="164" fontId="14" fillId="3" borderId="1" xfId="1" applyFont="1" applyFill="1" applyBorder="1" applyProtection="1">
      <protection locked="0"/>
    </xf>
    <xf numFmtId="164" fontId="16" fillId="0" borderId="2" xfId="1" applyFont="1" applyBorder="1" applyProtection="1"/>
    <xf numFmtId="164" fontId="16" fillId="3" borderId="2" xfId="1" applyFont="1" applyFill="1" applyBorder="1" applyProtection="1"/>
    <xf numFmtId="164" fontId="16" fillId="0" borderId="2" xfId="1" applyFont="1" applyBorder="1" applyAlignment="1" applyProtection="1">
      <alignment horizontal="center"/>
    </xf>
    <xf numFmtId="164" fontId="20" fillId="2" borderId="9" xfId="1" applyFont="1" applyFill="1" applyBorder="1" applyAlignment="1" applyProtection="1">
      <alignment horizontal="center"/>
    </xf>
    <xf numFmtId="164" fontId="20" fillId="2" borderId="7" xfId="1" applyFont="1" applyFill="1" applyBorder="1" applyAlignment="1" applyProtection="1">
      <alignment horizontal="center"/>
    </xf>
    <xf numFmtId="164" fontId="21" fillId="3" borderId="2" xfId="1" applyFont="1" applyFill="1" applyBorder="1" applyAlignment="1" applyProtection="1">
      <alignment horizontal="center"/>
    </xf>
    <xf numFmtId="164" fontId="16" fillId="0" borderId="2" xfId="1" applyFont="1" applyFill="1" applyBorder="1" applyProtection="1">
      <protection locked="0"/>
    </xf>
    <xf numFmtId="164" fontId="16" fillId="0" borderId="12" xfId="1" applyFont="1" applyBorder="1" applyAlignment="1" applyProtection="1">
      <alignment horizontal="center"/>
      <protection locked="0"/>
    </xf>
    <xf numFmtId="164" fontId="14" fillId="0" borderId="1" xfId="1" applyFont="1" applyBorder="1" applyProtection="1"/>
    <xf numFmtId="164" fontId="16" fillId="3" borderId="1" xfId="1" applyFont="1" applyFill="1" applyBorder="1" applyProtection="1">
      <protection locked="0"/>
    </xf>
    <xf numFmtId="164" fontId="16" fillId="0" borderId="1" xfId="1" applyFont="1" applyBorder="1" applyProtection="1"/>
    <xf numFmtId="0" fontId="3" fillId="3" borderId="5" xfId="0" applyFont="1" applyFill="1" applyBorder="1" applyAlignment="1" applyProtection="1">
      <alignment horizontal="left"/>
      <protection locked="0"/>
    </xf>
    <xf numFmtId="164" fontId="3" fillId="0" borderId="10" xfId="1" applyFont="1" applyFill="1" applyBorder="1" applyProtection="1"/>
    <xf numFmtId="9" fontId="3" fillId="0" borderId="5" xfId="2" applyFont="1" applyBorder="1" applyProtection="1">
      <protection locked="0"/>
    </xf>
    <xf numFmtId="9" fontId="3" fillId="3" borderId="5" xfId="2" applyFont="1" applyFill="1" applyBorder="1" applyProtection="1">
      <protection locked="0"/>
    </xf>
    <xf numFmtId="0" fontId="3" fillId="0" borderId="10" xfId="0" applyFont="1" applyBorder="1" applyAlignment="1" applyProtection="1">
      <alignment horizontal="left"/>
      <protection locked="0"/>
    </xf>
    <xf numFmtId="0" fontId="3" fillId="0" borderId="5" xfId="0" applyFont="1" applyBorder="1" applyAlignment="1" applyProtection="1">
      <alignment horizontal="left"/>
      <protection locked="0"/>
    </xf>
    <xf numFmtId="0" fontId="34" fillId="3" borderId="1" xfId="0" applyFont="1" applyFill="1" applyBorder="1" applyAlignment="1" applyProtection="1">
      <alignment horizontal="center" vertical="center"/>
      <protection locked="0"/>
    </xf>
    <xf numFmtId="164" fontId="11" fillId="0" borderId="2" xfId="1" applyFont="1" applyFill="1" applyBorder="1" applyProtection="1">
      <protection locked="0"/>
    </xf>
    <xf numFmtId="164" fontId="11" fillId="0" borderId="2" xfId="1" applyFont="1" applyFill="1" applyBorder="1" applyProtection="1"/>
    <xf numFmtId="164" fontId="11" fillId="0" borderId="10" xfId="1" applyFont="1" applyFill="1" applyBorder="1" applyProtection="1"/>
    <xf numFmtId="164" fontId="11" fillId="5" borderId="17" xfId="1" applyFont="1" applyFill="1" applyBorder="1" applyProtection="1"/>
    <xf numFmtId="9" fontId="11" fillId="0" borderId="5" xfId="2" applyFont="1" applyBorder="1" applyProtection="1">
      <protection locked="0"/>
    </xf>
    <xf numFmtId="164" fontId="11" fillId="0" borderId="1" xfId="1" applyFont="1" applyFill="1" applyBorder="1" applyProtection="1">
      <protection locked="0"/>
    </xf>
    <xf numFmtId="164" fontId="11" fillId="0" borderId="1" xfId="1" applyFont="1" applyFill="1" applyBorder="1" applyProtection="1"/>
    <xf numFmtId="164" fontId="11" fillId="3" borderId="1" xfId="1" applyFont="1" applyFill="1" applyBorder="1" applyProtection="1">
      <protection locked="0"/>
    </xf>
    <xf numFmtId="9" fontId="11" fillId="3" borderId="5" xfId="2" applyFont="1" applyFill="1" applyBorder="1" applyProtection="1">
      <protection locked="0"/>
    </xf>
    <xf numFmtId="0" fontId="3" fillId="3" borderId="17" xfId="0" applyFont="1" applyFill="1" applyBorder="1" applyProtection="1">
      <protection locked="0"/>
    </xf>
    <xf numFmtId="0" fontId="9" fillId="3" borderId="17" xfId="3" applyFill="1" applyBorder="1" applyAlignment="1" applyProtection="1">
      <protection locked="0"/>
    </xf>
    <xf numFmtId="0" fontId="35" fillId="0" borderId="6" xfId="0" applyFont="1" applyBorder="1" applyAlignment="1" applyProtection="1">
      <alignment vertical="center"/>
      <protection locked="0"/>
    </xf>
    <xf numFmtId="0" fontId="24" fillId="0" borderId="0" xfId="0" applyFont="1" applyAlignment="1" applyProtection="1">
      <alignment vertical="center" wrapText="1"/>
      <protection locked="0"/>
    </xf>
    <xf numFmtId="0" fontId="3" fillId="3" borderId="0" xfId="0" applyFont="1" applyFill="1" applyProtection="1">
      <protection locked="0"/>
    </xf>
    <xf numFmtId="0" fontId="33" fillId="0" borderId="28" xfId="0" applyFont="1" applyBorder="1" applyAlignment="1" applyProtection="1">
      <alignment vertical="center"/>
      <protection locked="0"/>
    </xf>
    <xf numFmtId="0" fontId="33" fillId="0" borderId="11" xfId="0" applyFont="1" applyBorder="1" applyAlignment="1" applyProtection="1">
      <alignment vertical="center"/>
      <protection locked="0"/>
    </xf>
    <xf numFmtId="0" fontId="33" fillId="0" borderId="12" xfId="0" applyFont="1" applyBorder="1" applyAlignment="1" applyProtection="1">
      <alignment vertical="center"/>
      <protection locked="0"/>
    </xf>
    <xf numFmtId="0" fontId="3" fillId="1" borderId="0" xfId="0" applyFont="1" applyFill="1" applyProtection="1">
      <protection locked="0"/>
    </xf>
    <xf numFmtId="0" fontId="32" fillId="0" borderId="0" xfId="0" applyFont="1" applyAlignment="1" applyProtection="1">
      <alignment horizontal="center" vertical="center" wrapText="1"/>
      <protection locked="0"/>
    </xf>
    <xf numFmtId="10" fontId="11" fillId="0" borderId="0" xfId="2" applyNumberFormat="1" applyFont="1" applyBorder="1" applyProtection="1">
      <protection locked="0"/>
    </xf>
    <xf numFmtId="10" fontId="11" fillId="3" borderId="0" xfId="2" applyNumberFormat="1" applyFont="1" applyFill="1" applyBorder="1" applyProtection="1">
      <protection locked="0"/>
    </xf>
    <xf numFmtId="10" fontId="11" fillId="0" borderId="1" xfId="2" applyNumberFormat="1" applyFont="1" applyBorder="1" applyProtection="1"/>
    <xf numFmtId="1" fontId="36" fillId="3" borderId="5" xfId="3" applyNumberFormat="1" applyFont="1" applyFill="1" applyBorder="1" applyAlignment="1" applyProtection="1">
      <alignment horizontal="left"/>
      <protection locked="0"/>
    </xf>
    <xf numFmtId="0" fontId="11" fillId="3" borderId="5" xfId="3" applyFont="1" applyFill="1" applyBorder="1" applyAlignment="1" applyProtection="1">
      <alignment horizontal="left"/>
      <protection locked="0"/>
    </xf>
    <xf numFmtId="0" fontId="11" fillId="3" borderId="5" xfId="0" applyFont="1" applyFill="1" applyBorder="1" applyAlignment="1" applyProtection="1">
      <alignment horizontal="center"/>
      <protection locked="0"/>
    </xf>
    <xf numFmtId="166" fontId="3" fillId="3" borderId="10" xfId="0" applyNumberFormat="1" applyFont="1" applyFill="1" applyBorder="1" applyAlignment="1" applyProtection="1">
      <alignment horizontal="left"/>
      <protection locked="0"/>
    </xf>
    <xf numFmtId="0" fontId="11" fillId="3" borderId="10" xfId="0" applyFont="1" applyFill="1" applyBorder="1" applyAlignment="1" applyProtection="1">
      <alignment horizontal="center"/>
      <protection locked="0"/>
    </xf>
    <xf numFmtId="166" fontId="3" fillId="3" borderId="17" xfId="0" applyNumberFormat="1" applyFont="1" applyFill="1" applyBorder="1" applyProtection="1">
      <protection locked="0"/>
    </xf>
    <xf numFmtId="9" fontId="11" fillId="0" borderId="10" xfId="2" applyFont="1" applyBorder="1" applyProtection="1">
      <protection locked="0"/>
    </xf>
    <xf numFmtId="0" fontId="24" fillId="3" borderId="12" xfId="0" applyFont="1" applyFill="1" applyBorder="1" applyAlignment="1" applyProtection="1">
      <alignment horizontal="center" vertical="center" wrapText="1"/>
      <protection locked="0"/>
    </xf>
    <xf numFmtId="164" fontId="11" fillId="10" borderId="2" xfId="1" applyFont="1" applyFill="1" applyBorder="1" applyProtection="1"/>
    <xf numFmtId="164" fontId="11" fillId="10" borderId="10" xfId="1" applyFont="1" applyFill="1" applyBorder="1" applyProtection="1"/>
    <xf numFmtId="164" fontId="11" fillId="10" borderId="1" xfId="1" applyFont="1" applyFill="1" applyBorder="1" applyProtection="1"/>
    <xf numFmtId="10" fontId="11" fillId="10" borderId="1" xfId="2" applyNumberFormat="1" applyFont="1" applyFill="1" applyBorder="1" applyProtection="1"/>
    <xf numFmtId="164" fontId="11" fillId="6" borderId="17" xfId="1" applyFont="1" applyFill="1" applyBorder="1" applyProtection="1"/>
    <xf numFmtId="164" fontId="30" fillId="6" borderId="17" xfId="1" applyFont="1" applyFill="1" applyBorder="1" applyProtection="1"/>
    <xf numFmtId="164" fontId="3" fillId="10" borderId="2" xfId="1" applyFont="1" applyFill="1" applyBorder="1" applyProtection="1"/>
    <xf numFmtId="164" fontId="3" fillId="10" borderId="10" xfId="1" applyFont="1" applyFill="1" applyBorder="1" applyProtection="1"/>
    <xf numFmtId="9" fontId="11" fillId="11" borderId="0" xfId="2" applyFont="1" applyFill="1" applyBorder="1" applyAlignment="1" applyProtection="1">
      <alignment horizontal="center"/>
    </xf>
    <xf numFmtId="164" fontId="20" fillId="0" borderId="21" xfId="1" applyFont="1" applyBorder="1" applyProtection="1"/>
    <xf numFmtId="0" fontId="24" fillId="3" borderId="35" xfId="0" applyFont="1" applyFill="1" applyBorder="1" applyAlignment="1" applyProtection="1">
      <alignment horizontal="center"/>
      <protection locked="0"/>
    </xf>
    <xf numFmtId="164" fontId="16" fillId="0" borderId="17" xfId="1" applyFont="1" applyBorder="1" applyProtection="1">
      <protection locked="0"/>
    </xf>
    <xf numFmtId="164" fontId="14" fillId="0" borderId="23" xfId="1" applyFont="1" applyBorder="1" applyProtection="1"/>
    <xf numFmtId="164" fontId="4" fillId="3" borderId="46" xfId="1" applyFont="1" applyFill="1" applyBorder="1" applyAlignment="1" applyProtection="1">
      <alignment horizontal="center" vertical="center"/>
      <protection locked="0"/>
    </xf>
    <xf numFmtId="10" fontId="5" fillId="3" borderId="46" xfId="2" applyNumberFormat="1" applyFont="1" applyFill="1" applyBorder="1" applyAlignment="1" applyProtection="1">
      <alignment horizontal="center" vertical="center"/>
      <protection locked="0"/>
    </xf>
    <xf numFmtId="0" fontId="9" fillId="6" borderId="0" xfId="3" applyFill="1" applyBorder="1" applyAlignment="1" applyProtection="1"/>
    <xf numFmtId="9" fontId="22" fillId="0" borderId="0" xfId="2" applyFont="1" applyFill="1" applyBorder="1" applyAlignment="1" applyProtection="1"/>
    <xf numFmtId="0" fontId="12" fillId="6" borderId="0" xfId="3" applyFont="1" applyFill="1" applyBorder="1" applyAlignment="1" applyProtection="1"/>
    <xf numFmtId="10" fontId="11" fillId="6" borderId="0" xfId="2" applyNumberFormat="1" applyFont="1" applyFill="1" applyBorder="1" applyProtection="1"/>
    <xf numFmtId="10" fontId="3" fillId="6" borderId="0" xfId="2" applyNumberFormat="1" applyFont="1" applyFill="1" applyBorder="1" applyProtection="1"/>
    <xf numFmtId="9" fontId="11" fillId="5" borderId="17" xfId="2" applyFont="1" applyFill="1" applyBorder="1" applyProtection="1"/>
    <xf numFmtId="0" fontId="0" fillId="0" borderId="0" xfId="0" applyProtection="1">
      <protection locked="0"/>
    </xf>
    <xf numFmtId="0" fontId="12" fillId="3" borderId="11" xfId="0" applyFont="1" applyFill="1" applyBorder="1" applyProtection="1">
      <protection locked="0"/>
    </xf>
    <xf numFmtId="0" fontId="29" fillId="0" borderId="0" xfId="0" applyFont="1" applyProtection="1">
      <protection locked="0"/>
    </xf>
    <xf numFmtId="0" fontId="39" fillId="0" borderId="26" xfId="0" applyFont="1" applyBorder="1" applyProtection="1">
      <protection locked="0"/>
    </xf>
    <xf numFmtId="0" fontId="38" fillId="0" borderId="26" xfId="0" applyFont="1" applyBorder="1" applyProtection="1">
      <protection locked="0"/>
    </xf>
    <xf numFmtId="164" fontId="47" fillId="0" borderId="26" xfId="1" applyFont="1" applyFill="1" applyBorder="1" applyAlignment="1" applyProtection="1">
      <protection locked="0"/>
    </xf>
    <xf numFmtId="0" fontId="15" fillId="3" borderId="11" xfId="0" applyFont="1" applyFill="1" applyBorder="1" applyAlignment="1" applyProtection="1">
      <alignment vertical="center" wrapText="1"/>
      <protection locked="0"/>
    </xf>
    <xf numFmtId="167" fontId="17" fillId="0" borderId="26" xfId="0" applyNumberFormat="1" applyFont="1" applyBorder="1" applyAlignment="1" applyProtection="1">
      <alignment horizontal="left"/>
      <protection locked="0"/>
    </xf>
    <xf numFmtId="164" fontId="11" fillId="12" borderId="1" xfId="1" applyFont="1" applyFill="1" applyBorder="1" applyProtection="1"/>
    <xf numFmtId="0" fontId="0" fillId="0" borderId="13" xfId="0" applyBorder="1" applyProtection="1">
      <protection locked="0"/>
    </xf>
    <xf numFmtId="0" fontId="0" fillId="0" borderId="8" xfId="0" applyBorder="1" applyProtection="1">
      <protection locked="0"/>
    </xf>
    <xf numFmtId="0" fontId="0" fillId="0" borderId="15" xfId="0" applyBorder="1" applyProtection="1">
      <protection locked="0"/>
    </xf>
    <xf numFmtId="0" fontId="0" fillId="0" borderId="10" xfId="0" applyBorder="1" applyProtection="1">
      <protection locked="0"/>
    </xf>
    <xf numFmtId="0" fontId="0" fillId="0" borderId="9" xfId="0" applyBorder="1" applyProtection="1">
      <protection locked="0"/>
    </xf>
    <xf numFmtId="0" fontId="0" fillId="2" borderId="16" xfId="0" applyFill="1" applyBorder="1" applyProtection="1">
      <protection locked="0"/>
    </xf>
    <xf numFmtId="0" fontId="0" fillId="2" borderId="0" xfId="0" applyFill="1" applyProtection="1">
      <protection locked="0"/>
    </xf>
    <xf numFmtId="0" fontId="7" fillId="2" borderId="0" xfId="0" applyFont="1" applyFill="1" applyAlignment="1" applyProtection="1">
      <alignment horizontal="center" wrapText="1"/>
      <protection locked="0"/>
    </xf>
    <xf numFmtId="164" fontId="14" fillId="0" borderId="2" xfId="1" applyFont="1" applyBorder="1" applyProtection="1">
      <protection locked="0"/>
    </xf>
    <xf numFmtId="165" fontId="2" fillId="0" borderId="0" xfId="0" applyNumberFormat="1" applyFont="1"/>
    <xf numFmtId="164" fontId="18" fillId="0" borderId="1" xfId="0" applyNumberFormat="1" applyFont="1" applyBorder="1"/>
    <xf numFmtId="0" fontId="18" fillId="0" borderId="1" xfId="0" applyFont="1" applyBorder="1"/>
    <xf numFmtId="0" fontId="14" fillId="0" borderId="1" xfId="0" applyFont="1" applyBorder="1"/>
    <xf numFmtId="0" fontId="16" fillId="0" borderId="1" xfId="0" applyFont="1" applyBorder="1"/>
    <xf numFmtId="164" fontId="14" fillId="0" borderId="1" xfId="0" applyNumberFormat="1" applyFont="1" applyBorder="1"/>
    <xf numFmtId="44" fontId="14" fillId="0" borderId="1" xfId="0" applyNumberFormat="1" applyFont="1" applyBorder="1"/>
    <xf numFmtId="0" fontId="14" fillId="3" borderId="15" xfId="0" applyFont="1" applyFill="1" applyBorder="1" applyAlignment="1">
      <alignment horizontal="center"/>
    </xf>
    <xf numFmtId="0" fontId="14" fillId="3" borderId="0" xfId="0" applyFont="1" applyFill="1" applyAlignment="1">
      <alignment horizontal="center"/>
    </xf>
    <xf numFmtId="0" fontId="14" fillId="3" borderId="11" xfId="0" applyFont="1" applyFill="1" applyBorder="1" applyAlignment="1">
      <alignment horizontal="center"/>
    </xf>
    <xf numFmtId="167" fontId="14" fillId="0" borderId="2" xfId="0" applyNumberFormat="1" applyFont="1" applyBorder="1" applyAlignment="1">
      <alignment horizontal="left"/>
    </xf>
    <xf numFmtId="167" fontId="14" fillId="0" borderId="2" xfId="0" applyNumberFormat="1" applyFont="1" applyBorder="1" applyAlignment="1">
      <alignment horizontal="center"/>
    </xf>
    <xf numFmtId="167" fontId="16" fillId="0" borderId="2" xfId="0" applyNumberFormat="1" applyFont="1" applyBorder="1" applyAlignment="1">
      <alignment horizontal="left"/>
    </xf>
    <xf numFmtId="0" fontId="8" fillId="2" borderId="3" xfId="0" applyFont="1" applyFill="1" applyBorder="1"/>
    <xf numFmtId="0" fontId="8" fillId="2" borderId="4" xfId="0" applyFont="1" applyFill="1" applyBorder="1"/>
    <xf numFmtId="0" fontId="8" fillId="2" borderId="0" xfId="0" applyFont="1" applyFill="1"/>
    <xf numFmtId="0" fontId="10" fillId="0" borderId="18" xfId="0" applyFont="1" applyBorder="1" applyAlignment="1">
      <alignment horizontal="center"/>
    </xf>
    <xf numFmtId="0" fontId="10" fillId="0" borderId="19" xfId="0" applyFont="1" applyBorder="1" applyAlignment="1">
      <alignment horizontal="center"/>
    </xf>
    <xf numFmtId="0" fontId="10" fillId="0" borderId="20" xfId="0" applyFont="1" applyBorder="1" applyAlignment="1">
      <alignment horizontal="center"/>
    </xf>
    <xf numFmtId="0" fontId="10" fillId="0" borderId="21" xfId="0" applyFont="1" applyBorder="1" applyAlignment="1">
      <alignment horizontal="center"/>
    </xf>
    <xf numFmtId="0" fontId="13" fillId="3" borderId="1" xfId="0" applyFont="1" applyFill="1" applyBorder="1" applyAlignment="1">
      <alignment horizontal="right"/>
    </xf>
    <xf numFmtId="0" fontId="13" fillId="3" borderId="7" xfId="0" applyFont="1" applyFill="1" applyBorder="1" applyAlignment="1">
      <alignment horizontal="right"/>
    </xf>
    <xf numFmtId="167" fontId="16" fillId="0" borderId="1" xfId="0" applyNumberFormat="1" applyFont="1" applyBorder="1" applyAlignment="1">
      <alignment horizontal="left"/>
    </xf>
    <xf numFmtId="167" fontId="16" fillId="0" borderId="5" xfId="0" applyNumberFormat="1" applyFont="1" applyBorder="1" applyAlignment="1">
      <alignment horizontal="left"/>
    </xf>
    <xf numFmtId="165" fontId="13" fillId="3" borderId="1" xfId="0" applyNumberFormat="1" applyFont="1" applyFill="1" applyBorder="1" applyAlignment="1">
      <alignment horizontal="right"/>
    </xf>
    <xf numFmtId="0" fontId="13" fillId="3" borderId="17" xfId="0" applyFont="1" applyFill="1" applyBorder="1"/>
    <xf numFmtId="0" fontId="15" fillId="3" borderId="2" xfId="0" applyFont="1" applyFill="1" applyBorder="1"/>
    <xf numFmtId="167" fontId="21" fillId="0" borderId="5" xfId="0" applyNumberFormat="1" applyFont="1" applyBorder="1" applyAlignment="1">
      <alignment horizontal="left"/>
    </xf>
    <xf numFmtId="0" fontId="0" fillId="0" borderId="13" xfId="0" applyBorder="1"/>
    <xf numFmtId="0" fontId="0" fillId="0" borderId="8" xfId="0" applyBorder="1"/>
    <xf numFmtId="0" fontId="0" fillId="0" borderId="15" xfId="0" applyBorder="1"/>
    <xf numFmtId="0" fontId="0" fillId="0" borderId="10" xfId="0" applyBorder="1"/>
    <xf numFmtId="0" fontId="0" fillId="0" borderId="9" xfId="0" applyBorder="1"/>
    <xf numFmtId="0" fontId="0" fillId="2" borderId="16" xfId="0" applyFill="1" applyBorder="1"/>
    <xf numFmtId="0" fontId="0" fillId="2" borderId="0" xfId="0" applyFill="1"/>
    <xf numFmtId="0" fontId="7" fillId="2" borderId="0" xfId="0" applyFont="1" applyFill="1" applyAlignment="1">
      <alignment horizontal="center" wrapText="1"/>
    </xf>
    <xf numFmtId="0" fontId="0" fillId="3" borderId="0" xfId="0" applyFill="1" applyProtection="1">
      <protection locked="0"/>
    </xf>
    <xf numFmtId="0" fontId="20" fillId="0" borderId="21" xfId="0" applyFont="1" applyBorder="1"/>
    <xf numFmtId="0" fontId="15" fillId="0" borderId="1" xfId="0" applyFont="1" applyBorder="1" applyAlignment="1">
      <alignment horizontal="left"/>
    </xf>
    <xf numFmtId="164" fontId="16" fillId="0" borderId="1" xfId="0" applyNumberFormat="1" applyFont="1" applyBorder="1"/>
    <xf numFmtId="0" fontId="15" fillId="0" borderId="1" xfId="0" applyFont="1" applyBorder="1"/>
    <xf numFmtId="0" fontId="15" fillId="0" borderId="23" xfId="0" applyFont="1" applyBorder="1" applyAlignment="1">
      <alignment horizontal="left"/>
    </xf>
    <xf numFmtId="0" fontId="40" fillId="0" borderId="1" xfId="0" applyFont="1" applyBorder="1" applyAlignment="1">
      <alignment horizontal="left"/>
    </xf>
    <xf numFmtId="44" fontId="16" fillId="0" borderId="23" xfId="0" applyNumberFormat="1" applyFont="1" applyBorder="1"/>
    <xf numFmtId="0" fontId="25" fillId="3" borderId="11" xfId="0" applyFont="1" applyFill="1" applyBorder="1" applyAlignment="1">
      <alignment vertical="center" wrapText="1"/>
    </xf>
    <xf numFmtId="0" fontId="0" fillId="3" borderId="26" xfId="0" applyFill="1" applyBorder="1"/>
    <xf numFmtId="0" fontId="25" fillId="3" borderId="26" xfId="0" applyFont="1" applyFill="1" applyBorder="1"/>
    <xf numFmtId="0" fontId="25" fillId="3" borderId="28" xfId="0" applyFont="1" applyFill="1" applyBorder="1"/>
    <xf numFmtId="0" fontId="25" fillId="3" borderId="0" xfId="0" applyFont="1" applyFill="1" applyAlignment="1">
      <alignment horizontal="right" vertical="center" wrapText="1"/>
    </xf>
    <xf numFmtId="0" fontId="25" fillId="3" borderId="0" xfId="0" applyFont="1" applyFill="1" applyAlignment="1">
      <alignment vertical="center" wrapText="1"/>
    </xf>
    <xf numFmtId="0" fontId="0" fillId="3" borderId="27" xfId="0" applyFill="1" applyBorder="1"/>
    <xf numFmtId="0" fontId="25" fillId="3" borderId="15" xfId="0" applyFont="1" applyFill="1" applyBorder="1"/>
    <xf numFmtId="0" fontId="37" fillId="3" borderId="15" xfId="0" applyFont="1" applyFill="1" applyBorder="1"/>
    <xf numFmtId="0" fontId="12" fillId="3" borderId="15" xfId="0" applyFont="1" applyFill="1" applyBorder="1"/>
    <xf numFmtId="167" fontId="16" fillId="0" borderId="2" xfId="0" applyNumberFormat="1" applyFont="1" applyBorder="1" applyAlignment="1">
      <alignment horizontal="center"/>
    </xf>
    <xf numFmtId="167" fontId="13" fillId="3" borderId="1" xfId="0" applyNumberFormat="1" applyFont="1" applyFill="1" applyBorder="1" applyAlignment="1">
      <alignment horizontal="center"/>
    </xf>
    <xf numFmtId="0" fontId="16" fillId="0" borderId="6" xfId="0" applyFont="1" applyBorder="1" applyAlignment="1">
      <alignment horizontal="left"/>
    </xf>
    <xf numFmtId="0" fontId="20" fillId="0" borderId="44" xfId="0" applyFont="1" applyBorder="1" applyAlignment="1">
      <alignment horizontal="left"/>
    </xf>
    <xf numFmtId="0" fontId="16" fillId="0" borderId="1" xfId="0" applyFont="1" applyBorder="1" applyAlignment="1">
      <alignment horizontal="left"/>
    </xf>
    <xf numFmtId="0" fontId="15" fillId="3" borderId="34" xfId="0" applyFont="1" applyFill="1" applyBorder="1" applyAlignment="1">
      <alignment vertical="center" wrapText="1"/>
    </xf>
    <xf numFmtId="0" fontId="15" fillId="3" borderId="33" xfId="0" applyFont="1" applyFill="1" applyBorder="1" applyAlignment="1">
      <alignment vertical="center" wrapText="1"/>
    </xf>
    <xf numFmtId="0" fontId="15" fillId="3" borderId="15" xfId="0" applyFont="1" applyFill="1" applyBorder="1" applyAlignment="1">
      <alignment horizontal="right" vertical="center" wrapText="1"/>
    </xf>
    <xf numFmtId="0" fontId="15" fillId="3" borderId="11" xfId="0" applyFont="1" applyFill="1" applyBorder="1" applyAlignment="1">
      <alignment vertical="center" wrapText="1"/>
    </xf>
    <xf numFmtId="0" fontId="15" fillId="3" borderId="14" xfId="0" applyFont="1" applyFill="1" applyBorder="1" applyAlignment="1">
      <alignment vertical="center" wrapText="1"/>
    </xf>
    <xf numFmtId="0" fontId="15" fillId="3" borderId="13" xfId="0" applyFont="1" applyFill="1" applyBorder="1" applyAlignment="1">
      <alignment vertical="center" wrapText="1"/>
    </xf>
    <xf numFmtId="0" fontId="14" fillId="3" borderId="0" xfId="0" applyFont="1" applyFill="1" applyAlignment="1">
      <alignment horizontal="right" vertical="center" wrapText="1"/>
    </xf>
    <xf numFmtId="0" fontId="14" fillId="3" borderId="15" xfId="0" applyFont="1" applyFill="1" applyBorder="1"/>
    <xf numFmtId="167" fontId="21" fillId="3" borderId="6" xfId="0" applyNumberFormat="1" applyFont="1" applyFill="1" applyBorder="1"/>
    <xf numFmtId="167" fontId="21" fillId="3" borderId="7" xfId="0" applyNumberFormat="1" applyFont="1" applyFill="1" applyBorder="1"/>
    <xf numFmtId="167" fontId="28" fillId="3" borderId="7" xfId="0" applyNumberFormat="1" applyFont="1" applyFill="1" applyBorder="1" applyAlignment="1">
      <alignment horizontal="center" vertical="center"/>
    </xf>
    <xf numFmtId="167" fontId="21" fillId="3" borderId="5" xfId="0" applyNumberFormat="1" applyFont="1" applyFill="1" applyBorder="1"/>
    <xf numFmtId="167" fontId="16" fillId="2" borderId="5" xfId="0" applyNumberFormat="1" applyFont="1" applyFill="1" applyBorder="1" applyAlignment="1">
      <alignment horizontal="left"/>
    </xf>
    <xf numFmtId="167" fontId="19" fillId="2" borderId="7" xfId="0" applyNumberFormat="1" applyFont="1" applyFill="1" applyBorder="1" applyAlignment="1">
      <alignment horizontal="center"/>
    </xf>
    <xf numFmtId="167" fontId="16" fillId="2" borderId="7" xfId="0" applyNumberFormat="1" applyFont="1" applyFill="1" applyBorder="1" applyAlignment="1">
      <alignment horizontal="center"/>
    </xf>
    <xf numFmtId="44" fontId="14" fillId="2" borderId="6" xfId="0" applyNumberFormat="1" applyFont="1" applyFill="1" applyBorder="1"/>
    <xf numFmtId="167" fontId="16" fillId="3" borderId="5" xfId="0" applyNumberFormat="1" applyFont="1" applyFill="1" applyBorder="1" applyAlignment="1">
      <alignment horizontal="left"/>
    </xf>
    <xf numFmtId="167" fontId="27" fillId="3" borderId="7" xfId="0" applyNumberFormat="1" applyFont="1" applyFill="1" applyBorder="1" applyAlignment="1">
      <alignment horizontal="center"/>
    </xf>
    <xf numFmtId="167" fontId="16" fillId="3" borderId="7" xfId="0" applyNumberFormat="1" applyFont="1" applyFill="1" applyBorder="1" applyAlignment="1">
      <alignment horizontal="center"/>
    </xf>
    <xf numFmtId="3" fontId="11" fillId="0" borderId="2" xfId="0" applyNumberFormat="1" applyFont="1" applyBorder="1" applyAlignment="1" applyProtection="1">
      <alignment horizontal="center"/>
      <protection locked="0"/>
    </xf>
    <xf numFmtId="3" fontId="11" fillId="3" borderId="1" xfId="0" applyNumberFormat="1" applyFont="1" applyFill="1" applyBorder="1" applyAlignment="1" applyProtection="1">
      <alignment horizontal="center"/>
      <protection locked="0"/>
    </xf>
    <xf numFmtId="0" fontId="3" fillId="6" borderId="0" xfId="0" applyFont="1" applyFill="1"/>
    <xf numFmtId="0" fontId="3" fillId="6" borderId="0" xfId="0" applyFont="1" applyFill="1" applyAlignment="1">
      <alignment wrapText="1"/>
    </xf>
    <xf numFmtId="0" fontId="3" fillId="6" borderId="1" xfId="0" applyFont="1" applyFill="1" applyBorder="1"/>
    <xf numFmtId="0" fontId="3" fillId="0" borderId="0" xfId="0" applyFont="1"/>
    <xf numFmtId="0" fontId="4" fillId="6" borderId="0" xfId="0" applyFont="1" applyFill="1"/>
    <xf numFmtId="0" fontId="31" fillId="0" borderId="0" xfId="0" applyFont="1" applyAlignment="1">
      <alignment vertical="center"/>
    </xf>
    <xf numFmtId="0" fontId="11" fillId="0" borderId="0" xfId="0" applyFont="1"/>
    <xf numFmtId="166" fontId="3" fillId="6" borderId="0" xfId="0" applyNumberFormat="1" applyFont="1" applyFill="1"/>
    <xf numFmtId="168" fontId="22" fillId="0" borderId="0" xfId="0" applyNumberFormat="1" applyFont="1"/>
    <xf numFmtId="168" fontId="24" fillId="6" borderId="0" xfId="0" applyNumberFormat="1" applyFont="1" applyFill="1" applyAlignment="1">
      <alignment horizontal="center" vertical="center"/>
    </xf>
    <xf numFmtId="0" fontId="33" fillId="6" borderId="0" xfId="0" applyFont="1" applyFill="1" applyAlignment="1">
      <alignment horizontal="center" vertical="center"/>
    </xf>
    <xf numFmtId="0" fontId="35" fillId="6" borderId="0" xfId="0" applyFont="1" applyFill="1" applyAlignment="1">
      <alignment horizontal="center" vertical="center"/>
    </xf>
    <xf numFmtId="0" fontId="32" fillId="6" borderId="0" xfId="0" applyFont="1" applyFill="1" applyAlignment="1">
      <alignment horizontal="center" vertical="center" wrapText="1"/>
    </xf>
    <xf numFmtId="0" fontId="24" fillId="6" borderId="0" xfId="0" applyFont="1" applyFill="1" applyAlignment="1">
      <alignment horizontal="center" vertical="center" wrapText="1"/>
    </xf>
    <xf numFmtId="0" fontId="11" fillId="0" borderId="0" xfId="0" applyFont="1" applyAlignment="1">
      <alignment wrapText="1"/>
    </xf>
    <xf numFmtId="0" fontId="3" fillId="0" borderId="0" xfId="0" applyFont="1" applyAlignment="1">
      <alignment wrapText="1"/>
    </xf>
    <xf numFmtId="164" fontId="11" fillId="0" borderId="0" xfId="0" applyNumberFormat="1" applyFont="1"/>
    <xf numFmtId="44" fontId="11" fillId="0" borderId="0" xfId="0" applyNumberFormat="1" applyFont="1"/>
    <xf numFmtId="3" fontId="11" fillId="0" borderId="0" xfId="0" applyNumberFormat="1" applyFont="1"/>
    <xf numFmtId="10" fontId="5" fillId="6" borderId="1" xfId="0" applyNumberFormat="1" applyFont="1" applyFill="1" applyBorder="1" applyAlignment="1">
      <alignment horizontal="center"/>
    </xf>
    <xf numFmtId="0" fontId="3" fillId="10" borderId="7" xfId="0" applyFont="1" applyFill="1" applyBorder="1"/>
    <xf numFmtId="0" fontId="5" fillId="10" borderId="7" xfId="0" applyFont="1" applyFill="1" applyBorder="1"/>
    <xf numFmtId="3" fontId="4" fillId="10" borderId="1" xfId="0" applyNumberFormat="1" applyFont="1" applyFill="1" applyBorder="1"/>
    <xf numFmtId="164" fontId="4" fillId="10" borderId="1" xfId="1" applyFont="1" applyFill="1" applyBorder="1" applyAlignment="1" applyProtection="1">
      <alignment horizontal="center"/>
    </xf>
    <xf numFmtId="164" fontId="4" fillId="10" borderId="1" xfId="0" applyNumberFormat="1" applyFont="1" applyFill="1" applyBorder="1" applyAlignment="1">
      <alignment horizontal="right"/>
    </xf>
    <xf numFmtId="164" fontId="4" fillId="10" borderId="1" xfId="0" applyNumberFormat="1" applyFont="1" applyFill="1" applyBorder="1"/>
    <xf numFmtId="164" fontId="51" fillId="6" borderId="1" xfId="0" applyNumberFormat="1" applyFont="1" applyFill="1" applyBorder="1"/>
    <xf numFmtId="3" fontId="4" fillId="10" borderId="1" xfId="0" applyNumberFormat="1" applyFont="1" applyFill="1" applyBorder="1" applyAlignment="1">
      <alignment horizontal="center"/>
    </xf>
    <xf numFmtId="164" fontId="24" fillId="6" borderId="1" xfId="0" applyNumberFormat="1" applyFont="1" applyFill="1" applyBorder="1"/>
    <xf numFmtId="10" fontId="4" fillId="10" borderId="1" xfId="0" applyNumberFormat="1" applyFont="1" applyFill="1" applyBorder="1" applyAlignment="1">
      <alignment horizontal="center"/>
    </xf>
    <xf numFmtId="10" fontId="5" fillId="10" borderId="1" xfId="0" applyNumberFormat="1" applyFont="1" applyFill="1" applyBorder="1" applyAlignment="1">
      <alignment horizontal="center"/>
    </xf>
    <xf numFmtId="0" fontId="3" fillId="0" borderId="0" xfId="0" applyFont="1" applyAlignment="1">
      <alignment horizontal="center"/>
    </xf>
    <xf numFmtId="44" fontId="3" fillId="0" borderId="0" xfId="0" applyNumberFormat="1" applyFont="1"/>
    <xf numFmtId="3" fontId="11" fillId="10" borderId="2" xfId="0" applyNumberFormat="1" applyFont="1" applyFill="1" applyBorder="1" applyAlignment="1">
      <alignment horizontal="center"/>
    </xf>
    <xf numFmtId="3" fontId="11" fillId="0" borderId="2" xfId="0" applyNumberFormat="1" applyFont="1" applyBorder="1" applyAlignment="1">
      <alignment horizontal="center"/>
    </xf>
    <xf numFmtId="3" fontId="3" fillId="0" borderId="2" xfId="0" applyNumberFormat="1" applyFont="1" applyBorder="1" applyAlignment="1">
      <alignment horizontal="center"/>
    </xf>
    <xf numFmtId="3" fontId="3" fillId="10" borderId="2" xfId="0" applyNumberFormat="1" applyFont="1" applyFill="1" applyBorder="1" applyAlignment="1">
      <alignment horizontal="center"/>
    </xf>
    <xf numFmtId="0" fontId="33" fillId="5" borderId="22" xfId="0" applyFont="1" applyFill="1" applyBorder="1" applyAlignment="1">
      <alignment horizontal="center" vertical="center"/>
    </xf>
    <xf numFmtId="0" fontId="33" fillId="5" borderId="17" xfId="0" applyFont="1" applyFill="1" applyBorder="1" applyAlignment="1">
      <alignment horizontal="center" vertical="center"/>
    </xf>
    <xf numFmtId="0" fontId="24" fillId="5" borderId="17" xfId="0" applyFont="1" applyFill="1" applyBorder="1" applyAlignment="1">
      <alignment horizontal="center"/>
    </xf>
    <xf numFmtId="0" fontId="24" fillId="5" borderId="17" xfId="0" applyFont="1" applyFill="1" applyBorder="1" applyAlignment="1">
      <alignment horizontal="center" vertical="center"/>
    </xf>
    <xf numFmtId="0" fontId="34" fillId="5" borderId="17" xfId="0" applyFont="1" applyFill="1" applyBorder="1" applyAlignment="1">
      <alignment horizontal="center" vertical="center"/>
    </xf>
    <xf numFmtId="0" fontId="24" fillId="5" borderId="17" xfId="0" applyFont="1" applyFill="1" applyBorder="1" applyAlignment="1">
      <alignment horizontal="center" vertical="center" wrapText="1"/>
    </xf>
    <xf numFmtId="0" fontId="24" fillId="5" borderId="2" xfId="0" applyFont="1" applyFill="1" applyBorder="1" applyAlignment="1">
      <alignment horizontal="center" vertical="center" wrapText="1"/>
    </xf>
    <xf numFmtId="0" fontId="48" fillId="9" borderId="43" xfId="0" applyFont="1" applyFill="1" applyBorder="1" applyAlignment="1">
      <alignment horizontal="center" vertical="center" wrapText="1"/>
    </xf>
    <xf numFmtId="0" fontId="49" fillId="9" borderId="32" xfId="0" applyFont="1" applyFill="1" applyBorder="1" applyAlignment="1">
      <alignment horizontal="center" vertical="center" wrapText="1"/>
    </xf>
    <xf numFmtId="0" fontId="45" fillId="9" borderId="32" xfId="0" applyFont="1" applyFill="1" applyBorder="1" applyAlignment="1">
      <alignment horizontal="center" vertical="center" wrapText="1"/>
    </xf>
    <xf numFmtId="164" fontId="22" fillId="10" borderId="45" xfId="0" applyNumberFormat="1" applyFont="1" applyFill="1" applyBorder="1" applyAlignment="1">
      <alignment vertical="center"/>
    </xf>
    <xf numFmtId="0" fontId="32" fillId="4" borderId="46" xfId="0" applyFont="1" applyFill="1" applyBorder="1" applyAlignment="1">
      <alignment horizontal="center" vertical="center" wrapText="1"/>
    </xf>
    <xf numFmtId="0" fontId="41" fillId="9" borderId="32" xfId="0" applyFont="1" applyFill="1" applyBorder="1" applyAlignment="1">
      <alignment horizontal="center" vertical="center" wrapText="1"/>
    </xf>
    <xf numFmtId="0" fontId="24" fillId="0" borderId="10" xfId="0" applyFont="1" applyBorder="1" applyAlignment="1">
      <alignment horizontal="center" vertical="center" wrapText="1"/>
    </xf>
    <xf numFmtId="0" fontId="50" fillId="9" borderId="56" xfId="0" applyFont="1" applyFill="1" applyBorder="1" applyAlignment="1">
      <alignment vertical="center" wrapText="1"/>
    </xf>
    <xf numFmtId="0" fontId="41" fillId="9" borderId="40" xfId="0" applyFont="1" applyFill="1" applyBorder="1" applyAlignment="1">
      <alignment horizontal="center" vertical="center" wrapText="1"/>
    </xf>
    <xf numFmtId="0" fontId="24" fillId="0" borderId="2" xfId="0" applyFont="1" applyBorder="1" applyAlignment="1">
      <alignment horizontal="center" vertical="center" wrapText="1"/>
    </xf>
    <xf numFmtId="0" fontId="24" fillId="4" borderId="48" xfId="0" applyFont="1" applyFill="1" applyBorder="1" applyAlignment="1">
      <alignment horizontal="center" vertical="center"/>
    </xf>
    <xf numFmtId="0" fontId="24" fillId="4" borderId="47" xfId="0" applyFont="1" applyFill="1" applyBorder="1" applyAlignment="1">
      <alignment horizontal="center" vertical="center"/>
    </xf>
    <xf numFmtId="0" fontId="41" fillId="2" borderId="45" xfId="0" applyFont="1" applyFill="1" applyBorder="1" applyAlignment="1">
      <alignment horizontal="center"/>
    </xf>
    <xf numFmtId="0" fontId="41" fillId="2" borderId="29" xfId="0" applyFont="1" applyFill="1" applyBorder="1" applyAlignment="1">
      <alignment horizontal="center" vertical="center"/>
    </xf>
    <xf numFmtId="0" fontId="41" fillId="2" borderId="49" xfId="0" applyFont="1" applyFill="1" applyBorder="1" applyAlignment="1">
      <alignment horizontal="center" vertical="center"/>
    </xf>
    <xf numFmtId="0" fontId="11" fillId="11" borderId="0" xfId="0" applyFont="1" applyFill="1" applyAlignment="1">
      <alignment horizontal="left"/>
    </xf>
    <xf numFmtId="0" fontId="22" fillId="11" borderId="0" xfId="0" applyFont="1" applyFill="1" applyAlignment="1">
      <alignment horizontal="center"/>
    </xf>
    <xf numFmtId="0" fontId="24" fillId="11" borderId="0" xfId="0" applyFont="1" applyFill="1" applyAlignment="1">
      <alignment horizontal="right"/>
    </xf>
    <xf numFmtId="0" fontId="3" fillId="11" borderId="0" xfId="0" applyFont="1" applyFill="1"/>
    <xf numFmtId="0" fontId="4" fillId="11" borderId="8" xfId="0" applyFont="1" applyFill="1" applyBorder="1" applyAlignment="1">
      <alignment horizontal="right"/>
    </xf>
    <xf numFmtId="0" fontId="4" fillId="4" borderId="10" xfId="0" applyFont="1" applyFill="1" applyBorder="1" applyAlignment="1">
      <alignment horizontal="right"/>
    </xf>
    <xf numFmtId="0" fontId="4" fillId="4" borderId="5" xfId="0" applyFont="1" applyFill="1" applyBorder="1" applyAlignment="1">
      <alignment horizontal="right"/>
    </xf>
    <xf numFmtId="0" fontId="4" fillId="4" borderId="1" xfId="0" applyFont="1" applyFill="1" applyBorder="1" applyAlignment="1">
      <alignment horizontal="right"/>
    </xf>
    <xf numFmtId="167" fontId="27" fillId="0" borderId="5" xfId="0" applyNumberFormat="1" applyFont="1" applyBorder="1" applyAlignment="1">
      <alignment horizontal="left"/>
    </xf>
    <xf numFmtId="167" fontId="52" fillId="0" borderId="5" xfId="0" applyNumberFormat="1" applyFont="1" applyBorder="1" applyAlignment="1">
      <alignment horizontal="left"/>
    </xf>
    <xf numFmtId="167" fontId="52" fillId="0" borderId="1" xfId="0" applyNumberFormat="1" applyFont="1" applyBorder="1" applyAlignment="1">
      <alignment horizontal="left"/>
    </xf>
    <xf numFmtId="167" fontId="52" fillId="0" borderId="1" xfId="3" applyNumberFormat="1" applyFont="1" applyFill="1" applyBorder="1" applyAlignment="1" applyProtection="1">
      <alignment horizontal="left"/>
    </xf>
    <xf numFmtId="0" fontId="52" fillId="0" borderId="1" xfId="0" applyFont="1" applyBorder="1" applyAlignment="1" applyProtection="1">
      <alignment horizontal="left"/>
      <protection locked="0"/>
    </xf>
    <xf numFmtId="167" fontId="16" fillId="0" borderId="1" xfId="0" applyNumberFormat="1" applyFont="1" applyBorder="1" applyProtection="1">
      <protection locked="0"/>
    </xf>
    <xf numFmtId="167" fontId="16" fillId="3" borderId="15" xfId="0" applyNumberFormat="1" applyFont="1" applyFill="1" applyBorder="1" applyAlignment="1">
      <alignment horizontal="left"/>
    </xf>
    <xf numFmtId="0" fontId="16" fillId="0" borderId="2" xfId="1" applyNumberFormat="1" applyFont="1" applyBorder="1" applyAlignment="1" applyProtection="1">
      <alignment horizontal="left"/>
    </xf>
    <xf numFmtId="167" fontId="16" fillId="3" borderId="0" xfId="0" applyNumberFormat="1" applyFont="1" applyFill="1" applyAlignment="1">
      <alignment horizontal="left"/>
    </xf>
    <xf numFmtId="164" fontId="16" fillId="0" borderId="21" xfId="1" applyFont="1" applyBorder="1" applyProtection="1"/>
    <xf numFmtId="167" fontId="16" fillId="3" borderId="33" xfId="0" applyNumberFormat="1" applyFont="1" applyFill="1" applyBorder="1" applyAlignment="1">
      <alignment horizontal="left"/>
    </xf>
    <xf numFmtId="167" fontId="16" fillId="3" borderId="4" xfId="0" applyNumberFormat="1" applyFont="1" applyFill="1" applyBorder="1" applyAlignment="1">
      <alignment horizontal="left"/>
    </xf>
    <xf numFmtId="167" fontId="16" fillId="3" borderId="27" xfId="0" applyNumberFormat="1" applyFont="1" applyFill="1" applyBorder="1" applyAlignment="1">
      <alignment horizontal="left"/>
    </xf>
    <xf numFmtId="167" fontId="16" fillId="3" borderId="26" xfId="0" applyNumberFormat="1" applyFont="1" applyFill="1" applyBorder="1" applyAlignment="1">
      <alignment horizontal="left"/>
    </xf>
    <xf numFmtId="167" fontId="16" fillId="3" borderId="28" xfId="0" applyNumberFormat="1" applyFont="1" applyFill="1" applyBorder="1" applyAlignment="1">
      <alignment horizontal="center"/>
    </xf>
    <xf numFmtId="167" fontId="16" fillId="3" borderId="11" xfId="0" applyNumberFormat="1" applyFont="1" applyFill="1" applyBorder="1" applyAlignment="1">
      <alignment horizontal="center"/>
    </xf>
    <xf numFmtId="167" fontId="16" fillId="3" borderId="34" xfId="0" applyNumberFormat="1" applyFont="1" applyFill="1" applyBorder="1" applyAlignment="1">
      <alignment horizontal="center"/>
    </xf>
    <xf numFmtId="2" fontId="34" fillId="0" borderId="1" xfId="0" applyNumberFormat="1" applyFont="1" applyBorder="1" applyAlignment="1">
      <alignment horizontal="center" vertical="center"/>
    </xf>
    <xf numFmtId="0" fontId="31" fillId="5" borderId="22" xfId="0" applyFont="1" applyFill="1" applyBorder="1" applyAlignment="1">
      <alignment horizontal="center" vertical="center" wrapText="1"/>
    </xf>
    <xf numFmtId="0" fontId="31" fillId="5" borderId="17" xfId="0" applyFont="1" applyFill="1" applyBorder="1" applyAlignment="1">
      <alignment horizontal="center" vertical="center" wrapText="1"/>
    </xf>
    <xf numFmtId="0" fontId="11" fillId="5" borderId="17" xfId="0" applyFont="1" applyFill="1" applyBorder="1" applyAlignment="1">
      <alignment horizontal="center"/>
    </xf>
    <xf numFmtId="0" fontId="32" fillId="5" borderId="17" xfId="0" applyFont="1" applyFill="1" applyBorder="1" applyAlignment="1">
      <alignment horizontal="center" vertical="center" wrapText="1"/>
    </xf>
    <xf numFmtId="0" fontId="32" fillId="5" borderId="2" xfId="0" applyFont="1" applyFill="1" applyBorder="1" applyAlignment="1">
      <alignment horizontal="center" vertical="center" wrapText="1"/>
    </xf>
    <xf numFmtId="0" fontId="2" fillId="0" borderId="0" xfId="0" applyFont="1"/>
    <xf numFmtId="0" fontId="54" fillId="0" borderId="0" xfId="0" applyFont="1"/>
    <xf numFmtId="0" fontId="53" fillId="0" borderId="0" xfId="0" applyFont="1"/>
    <xf numFmtId="0" fontId="11" fillId="0" borderId="78" xfId="0" applyFont="1" applyBorder="1" applyAlignment="1" applyProtection="1">
      <alignment horizontal="center"/>
      <protection locked="0"/>
    </xf>
    <xf numFmtId="0" fontId="11" fillId="3" borderId="79" xfId="0" applyFont="1" applyFill="1" applyBorder="1" applyAlignment="1" applyProtection="1">
      <alignment horizontal="center"/>
      <protection locked="0"/>
    </xf>
    <xf numFmtId="0" fontId="11" fillId="0" borderId="79" xfId="0" applyFont="1" applyBorder="1" applyAlignment="1" applyProtection="1">
      <alignment horizontal="center"/>
      <protection locked="0"/>
    </xf>
    <xf numFmtId="0" fontId="5" fillId="10" borderId="80" xfId="0" applyFont="1" applyFill="1" applyBorder="1" applyAlignment="1">
      <alignment horizontal="right"/>
    </xf>
    <xf numFmtId="0" fontId="42" fillId="8" borderId="35" xfId="0" applyFont="1" applyFill="1" applyBorder="1" applyAlignment="1">
      <alignment horizontal="center"/>
    </xf>
    <xf numFmtId="0" fontId="42" fillId="8" borderId="71" xfId="0" applyFont="1" applyFill="1" applyBorder="1" applyAlignment="1">
      <alignment horizontal="center"/>
    </xf>
    <xf numFmtId="0" fontId="42" fillId="8" borderId="41" xfId="0" applyFont="1" applyFill="1" applyBorder="1" applyAlignment="1">
      <alignment horizontal="center"/>
    </xf>
    <xf numFmtId="0" fontId="42" fillId="8" borderId="29" xfId="0" applyFont="1" applyFill="1" applyBorder="1" applyAlignment="1">
      <alignment horizontal="center"/>
    </xf>
    <xf numFmtId="0" fontId="42" fillId="8" borderId="70" xfId="0" applyFont="1" applyFill="1" applyBorder="1" applyAlignment="1">
      <alignment horizontal="center"/>
    </xf>
    <xf numFmtId="0" fontId="42" fillId="8" borderId="37" xfId="0" applyFont="1" applyFill="1" applyBorder="1" applyAlignment="1">
      <alignment horizontal="center"/>
    </xf>
    <xf numFmtId="0" fontId="42" fillId="8" borderId="77" xfId="0" applyFont="1" applyFill="1" applyBorder="1" applyAlignment="1">
      <alignment horizontal="center"/>
    </xf>
    <xf numFmtId="0" fontId="4" fillId="3" borderId="61" xfId="0" applyFont="1" applyFill="1" applyBorder="1" applyAlignment="1" applyProtection="1">
      <alignment horizontal="left"/>
      <protection locked="0"/>
    </xf>
    <xf numFmtId="0" fontId="4" fillId="3" borderId="60" xfId="0" applyFont="1" applyFill="1" applyBorder="1" applyAlignment="1" applyProtection="1">
      <alignment horizontal="left"/>
      <protection locked="0"/>
    </xf>
    <xf numFmtId="0" fontId="24" fillId="4" borderId="5" xfId="0" applyFont="1" applyFill="1" applyBorder="1" applyAlignment="1">
      <alignment horizontal="right"/>
    </xf>
    <xf numFmtId="0" fontId="24" fillId="4" borderId="6" xfId="0" applyFont="1" applyFill="1" applyBorder="1" applyAlignment="1">
      <alignment horizontal="right"/>
    </xf>
    <xf numFmtId="0" fontId="11" fillId="3" borderId="5" xfId="0" applyFont="1" applyFill="1" applyBorder="1" applyAlignment="1" applyProtection="1">
      <alignment horizontal="left"/>
      <protection locked="0"/>
    </xf>
    <xf numFmtId="0" fontId="11" fillId="3" borderId="6" xfId="0" applyFont="1" applyFill="1" applyBorder="1" applyAlignment="1" applyProtection="1">
      <alignment horizontal="left"/>
      <protection locked="0"/>
    </xf>
    <xf numFmtId="0" fontId="24" fillId="4" borderId="7" xfId="0" applyFont="1" applyFill="1" applyBorder="1" applyAlignment="1">
      <alignment horizontal="right"/>
    </xf>
    <xf numFmtId="0" fontId="24" fillId="13" borderId="5" xfId="0" applyFont="1" applyFill="1" applyBorder="1" applyAlignment="1">
      <alignment horizontal="center"/>
    </xf>
    <xf numFmtId="0" fontId="24" fillId="13" borderId="6" xfId="0" applyFont="1" applyFill="1" applyBorder="1" applyAlignment="1">
      <alignment horizontal="center"/>
    </xf>
    <xf numFmtId="168" fontId="22" fillId="0" borderId="7" xfId="0" applyNumberFormat="1" applyFont="1" applyBorder="1" applyAlignment="1">
      <alignment horizontal="center"/>
    </xf>
    <xf numFmtId="168" fontId="22" fillId="0" borderId="6" xfId="0" applyNumberFormat="1" applyFont="1" applyBorder="1" applyAlignment="1">
      <alignment horizontal="center"/>
    </xf>
    <xf numFmtId="0" fontId="4" fillId="13" borderId="5" xfId="0" applyFont="1" applyFill="1" applyBorder="1" applyAlignment="1">
      <alignment horizontal="center"/>
    </xf>
    <xf numFmtId="0" fontId="4" fillId="13" borderId="6" xfId="0" applyFont="1" applyFill="1" applyBorder="1" applyAlignment="1">
      <alignment horizontal="center"/>
    </xf>
    <xf numFmtId="0" fontId="4" fillId="3" borderId="5" xfId="0" applyFont="1" applyFill="1" applyBorder="1" applyAlignment="1" applyProtection="1">
      <alignment horizontal="left"/>
      <protection locked="0"/>
    </xf>
    <xf numFmtId="0" fontId="4" fillId="3" borderId="6" xfId="0" applyFont="1" applyFill="1" applyBorder="1" applyAlignment="1" applyProtection="1">
      <alignment horizontal="left"/>
      <protection locked="0"/>
    </xf>
    <xf numFmtId="0" fontId="24" fillId="4" borderId="61" xfId="0" applyFont="1" applyFill="1" applyBorder="1" applyAlignment="1">
      <alignment horizontal="right"/>
    </xf>
    <xf numFmtId="0" fontId="24" fillId="4" borderId="60" xfId="0" applyFont="1" applyFill="1" applyBorder="1" applyAlignment="1">
      <alignment horizontal="right"/>
    </xf>
    <xf numFmtId="0" fontId="11" fillId="3" borderId="61" xfId="0" applyFont="1" applyFill="1" applyBorder="1" applyAlignment="1" applyProtection="1">
      <alignment horizontal="left"/>
      <protection locked="0"/>
    </xf>
    <xf numFmtId="0" fontId="11" fillId="3" borderId="60" xfId="0" applyFont="1" applyFill="1" applyBorder="1" applyAlignment="1" applyProtection="1">
      <alignment horizontal="left"/>
      <protection locked="0"/>
    </xf>
    <xf numFmtId="0" fontId="24" fillId="4" borderId="62" xfId="0" applyFont="1" applyFill="1" applyBorder="1" applyAlignment="1">
      <alignment horizontal="right"/>
    </xf>
    <xf numFmtId="0" fontId="24" fillId="13" borderId="61" xfId="0" applyFont="1" applyFill="1" applyBorder="1" applyAlignment="1">
      <alignment horizontal="center"/>
    </xf>
    <xf numFmtId="0" fontId="24" fillId="13" borderId="60" xfId="0" applyFont="1" applyFill="1" applyBorder="1" applyAlignment="1">
      <alignment horizontal="center"/>
    </xf>
    <xf numFmtId="168" fontId="22" fillId="0" borderId="62" xfId="0" applyNumberFormat="1" applyFont="1" applyBorder="1" applyAlignment="1">
      <alignment horizontal="center"/>
    </xf>
    <xf numFmtId="168" fontId="22" fillId="0" borderId="60" xfId="0" applyNumberFormat="1" applyFont="1" applyBorder="1" applyAlignment="1">
      <alignment horizontal="center"/>
    </xf>
    <xf numFmtId="0" fontId="4" fillId="13" borderId="61" xfId="0" applyFont="1" applyFill="1" applyBorder="1" applyAlignment="1">
      <alignment horizontal="center"/>
    </xf>
    <xf numFmtId="0" fontId="4" fillId="13" borderId="60" xfId="0" applyFont="1" applyFill="1" applyBorder="1" applyAlignment="1">
      <alignment horizontal="center"/>
    </xf>
    <xf numFmtId="0" fontId="24" fillId="13" borderId="57" xfId="0" applyFont="1" applyFill="1" applyBorder="1" applyAlignment="1">
      <alignment horizontal="center"/>
    </xf>
    <xf numFmtId="0" fontId="24" fillId="13" borderId="44" xfId="0" applyFont="1" applyFill="1" applyBorder="1" applyAlignment="1">
      <alignment horizontal="center"/>
    </xf>
    <xf numFmtId="9" fontId="22" fillId="0" borderId="58" xfId="2" applyFont="1" applyFill="1" applyBorder="1" applyAlignment="1" applyProtection="1">
      <alignment horizontal="center"/>
    </xf>
    <xf numFmtId="9" fontId="22" fillId="0" borderId="44" xfId="2" applyFont="1" applyFill="1" applyBorder="1" applyAlignment="1" applyProtection="1">
      <alignment horizontal="center"/>
    </xf>
    <xf numFmtId="0" fontId="24" fillId="13" borderId="5" xfId="0" applyFont="1" applyFill="1" applyBorder="1" applyAlignment="1">
      <alignment horizontal="center" vertical="center"/>
    </xf>
    <xf numFmtId="0" fontId="24" fillId="13" borderId="6" xfId="0" applyFont="1" applyFill="1" applyBorder="1" applyAlignment="1">
      <alignment horizontal="center" vertical="center"/>
    </xf>
    <xf numFmtId="168" fontId="4" fillId="0" borderId="7" xfId="0" applyNumberFormat="1" applyFont="1" applyBorder="1" applyAlignment="1">
      <alignment horizontal="center"/>
    </xf>
    <xf numFmtId="168" fontId="4" fillId="0" borderId="6" xfId="0" applyNumberFormat="1" applyFont="1" applyBorder="1" applyAlignment="1">
      <alignment horizontal="center"/>
    </xf>
    <xf numFmtId="0" fontId="4" fillId="13" borderId="75" xfId="0" applyFont="1" applyFill="1" applyBorder="1" applyAlignment="1">
      <alignment horizontal="center"/>
    </xf>
    <xf numFmtId="0" fontId="4" fillId="13" borderId="76" xfId="0" applyFont="1" applyFill="1" applyBorder="1" applyAlignment="1">
      <alignment horizontal="center"/>
    </xf>
    <xf numFmtId="0" fontId="4" fillId="3" borderId="75" xfId="0" applyFont="1" applyFill="1" applyBorder="1" applyAlignment="1" applyProtection="1">
      <alignment horizontal="left"/>
      <protection locked="0"/>
    </xf>
    <xf numFmtId="0" fontId="4" fillId="3" borderId="76" xfId="0" applyFont="1" applyFill="1" applyBorder="1" applyAlignment="1" applyProtection="1">
      <alignment horizontal="left"/>
      <protection locked="0"/>
    </xf>
    <xf numFmtId="0" fontId="24" fillId="13" borderId="24" xfId="0" applyFont="1" applyFill="1" applyBorder="1" applyAlignment="1">
      <alignment horizontal="center" vertical="center"/>
    </xf>
    <xf numFmtId="0" fontId="24" fillId="13" borderId="25" xfId="0" applyFont="1" applyFill="1" applyBorder="1" applyAlignment="1">
      <alignment horizontal="center" vertical="center"/>
    </xf>
    <xf numFmtId="168" fontId="24" fillId="0" borderId="73" xfId="0" applyNumberFormat="1" applyFont="1" applyBorder="1" applyAlignment="1">
      <alignment horizontal="center" vertical="center"/>
    </xf>
    <xf numFmtId="168" fontId="24" fillId="0" borderId="25" xfId="0" applyNumberFormat="1" applyFont="1" applyBorder="1" applyAlignment="1">
      <alignment horizontal="center" vertical="center"/>
    </xf>
    <xf numFmtId="3" fontId="4" fillId="0" borderId="7" xfId="0" applyNumberFormat="1" applyFont="1" applyBorder="1" applyAlignment="1">
      <alignment horizontal="center"/>
    </xf>
    <xf numFmtId="3" fontId="4" fillId="0" borderId="6" xfId="0" applyNumberFormat="1" applyFont="1" applyBorder="1" applyAlignment="1">
      <alignment horizontal="center"/>
    </xf>
    <xf numFmtId="168" fontId="24" fillId="0" borderId="7" xfId="0" applyNumberFormat="1" applyFont="1" applyBorder="1" applyAlignment="1">
      <alignment horizontal="center" vertical="center"/>
    </xf>
    <xf numFmtId="168" fontId="24" fillId="0" borderId="6" xfId="0" applyNumberFormat="1" applyFont="1" applyBorder="1" applyAlignment="1">
      <alignment horizontal="center" vertical="center"/>
    </xf>
    <xf numFmtId="168" fontId="4" fillId="7" borderId="74" xfId="0" applyNumberFormat="1" applyFont="1" applyFill="1" applyBorder="1" applyAlignment="1">
      <alignment horizontal="center" vertical="center"/>
    </xf>
    <xf numFmtId="168" fontId="4" fillId="7" borderId="2" xfId="0" applyNumberFormat="1" applyFont="1" applyFill="1" applyBorder="1" applyAlignment="1">
      <alignment horizontal="center" vertical="center"/>
    </xf>
    <xf numFmtId="9" fontId="5" fillId="0" borderId="74" xfId="2" applyFont="1" applyBorder="1" applyAlignment="1" applyProtection="1">
      <alignment horizontal="center" vertical="center"/>
    </xf>
    <xf numFmtId="9" fontId="5" fillId="0" borderId="2" xfId="2" applyFont="1" applyBorder="1" applyAlignment="1" applyProtection="1">
      <alignment horizontal="center" vertical="center"/>
    </xf>
    <xf numFmtId="0" fontId="3" fillId="3" borderId="15" xfId="0" applyFont="1" applyFill="1" applyBorder="1" applyAlignment="1" applyProtection="1">
      <alignment horizontal="center"/>
      <protection locked="0"/>
    </xf>
    <xf numFmtId="0" fontId="3" fillId="3" borderId="33" xfId="0" applyFont="1" applyFill="1" applyBorder="1" applyAlignment="1" applyProtection="1">
      <alignment horizontal="center"/>
      <protection locked="0"/>
    </xf>
    <xf numFmtId="0" fontId="32" fillId="4" borderId="35" xfId="0" applyFont="1" applyFill="1" applyBorder="1" applyAlignment="1">
      <alignment horizontal="right" vertical="center"/>
    </xf>
    <xf numFmtId="0" fontId="32" fillId="4" borderId="41" xfId="0" applyFont="1" applyFill="1" applyBorder="1" applyAlignment="1">
      <alignment horizontal="right" vertical="center"/>
    </xf>
    <xf numFmtId="0" fontId="43" fillId="9" borderId="59" xfId="0" applyFont="1" applyFill="1" applyBorder="1" applyAlignment="1">
      <alignment horizontal="center" vertical="center"/>
    </xf>
    <xf numFmtId="0" fontId="43" fillId="9" borderId="62" xfId="0" applyFont="1" applyFill="1" applyBorder="1" applyAlignment="1">
      <alignment horizontal="center" vertical="center"/>
    </xf>
    <xf numFmtId="0" fontId="43" fillId="9" borderId="60" xfId="0" applyFont="1" applyFill="1" applyBorder="1" applyAlignment="1">
      <alignment horizontal="center" vertical="center"/>
    </xf>
    <xf numFmtId="0" fontId="42" fillId="9" borderId="68" xfId="0" applyFont="1" applyFill="1" applyBorder="1" applyAlignment="1">
      <alignment horizontal="center" vertical="center" wrapText="1"/>
    </xf>
    <xf numFmtId="0" fontId="42" fillId="9" borderId="69" xfId="0" applyFont="1" applyFill="1" applyBorder="1" applyAlignment="1">
      <alignment horizontal="center" vertical="center" wrapText="1"/>
    </xf>
    <xf numFmtId="0" fontId="42" fillId="9" borderId="55" xfId="0" applyFont="1" applyFill="1" applyBorder="1" applyAlignment="1">
      <alignment horizontal="center" vertical="center" wrapText="1"/>
    </xf>
    <xf numFmtId="0" fontId="42" fillId="9" borderId="43" xfId="0" applyFont="1" applyFill="1" applyBorder="1" applyAlignment="1">
      <alignment horizontal="center" vertical="center" wrapText="1"/>
    </xf>
    <xf numFmtId="9" fontId="31" fillId="3" borderId="31" xfId="2" applyFont="1" applyFill="1" applyBorder="1" applyAlignment="1" applyProtection="1">
      <alignment horizontal="center" vertical="center" wrapText="1"/>
      <protection locked="0"/>
    </xf>
    <xf numFmtId="9" fontId="31" fillId="3" borderId="32" xfId="2" applyFont="1" applyFill="1" applyBorder="1" applyAlignment="1" applyProtection="1">
      <alignment horizontal="center" vertical="center" wrapText="1"/>
      <protection locked="0"/>
    </xf>
    <xf numFmtId="0" fontId="34" fillId="3" borderId="5" xfId="0" applyFont="1" applyFill="1" applyBorder="1" applyAlignment="1" applyProtection="1">
      <alignment horizontal="center" vertical="center"/>
      <protection locked="0"/>
    </xf>
    <xf numFmtId="0" fontId="34" fillId="3" borderId="7" xfId="0" applyFont="1" applyFill="1" applyBorder="1" applyAlignment="1" applyProtection="1">
      <alignment horizontal="center" vertical="center"/>
      <protection locked="0"/>
    </xf>
    <xf numFmtId="0" fontId="34" fillId="3" borderId="6" xfId="0" applyFont="1" applyFill="1" applyBorder="1" applyAlignment="1" applyProtection="1">
      <alignment horizontal="center" vertical="center"/>
      <protection locked="0"/>
    </xf>
    <xf numFmtId="0" fontId="24" fillId="0" borderId="61" xfId="0" applyFont="1" applyBorder="1" applyAlignment="1">
      <alignment horizontal="center" vertical="center" wrapText="1"/>
    </xf>
    <xf numFmtId="0" fontId="24" fillId="0" borderId="62" xfId="0" applyFont="1" applyBorder="1" applyAlignment="1">
      <alignment horizontal="center" vertical="center" wrapText="1"/>
    </xf>
    <xf numFmtId="0" fontId="24" fillId="0" borderId="60" xfId="0" applyFont="1" applyBorder="1" applyAlignment="1">
      <alignment horizontal="center" vertical="center" wrapText="1"/>
    </xf>
    <xf numFmtId="0" fontId="50" fillId="9" borderId="11" xfId="0" applyFont="1" applyFill="1" applyBorder="1" applyAlignment="1">
      <alignment horizontal="center" vertical="center" wrapText="1"/>
    </xf>
    <xf numFmtId="0" fontId="50" fillId="9" borderId="66" xfId="0" applyFont="1" applyFill="1" applyBorder="1" applyAlignment="1">
      <alignment horizontal="center" vertical="center" wrapText="1"/>
    </xf>
    <xf numFmtId="0" fontId="45" fillId="9" borderId="55" xfId="0" applyFont="1" applyFill="1" applyBorder="1" applyAlignment="1">
      <alignment horizontal="center" vertical="center"/>
    </xf>
    <xf numFmtId="0" fontId="45" fillId="9" borderId="52" xfId="0" applyFont="1" applyFill="1" applyBorder="1" applyAlignment="1">
      <alignment horizontal="center" vertical="center"/>
    </xf>
    <xf numFmtId="0" fontId="45" fillId="9" borderId="43" xfId="0" applyFont="1" applyFill="1" applyBorder="1" applyAlignment="1">
      <alignment horizontal="center" vertical="center"/>
    </xf>
    <xf numFmtId="0" fontId="41" fillId="9" borderId="36" xfId="0" applyFont="1" applyFill="1" applyBorder="1" applyAlignment="1">
      <alignment horizontal="center" vertical="center" wrapText="1"/>
    </xf>
    <xf numFmtId="0" fontId="41" fillId="9" borderId="30" xfId="0" applyFont="1" applyFill="1" applyBorder="1" applyAlignment="1">
      <alignment horizontal="center" vertical="center" wrapText="1"/>
    </xf>
    <xf numFmtId="0" fontId="41" fillId="9" borderId="38" xfId="0" applyFont="1" applyFill="1" applyBorder="1" applyAlignment="1">
      <alignment horizontal="center" vertical="center" wrapText="1"/>
    </xf>
    <xf numFmtId="0" fontId="41" fillId="9" borderId="39" xfId="0" applyFont="1" applyFill="1" applyBorder="1" applyAlignment="1">
      <alignment horizontal="center" vertical="center" wrapText="1"/>
    </xf>
    <xf numFmtId="0" fontId="45" fillId="9" borderId="63" xfId="0" applyFont="1" applyFill="1" applyBorder="1" applyAlignment="1">
      <alignment horizontal="center" vertical="center" wrapText="1"/>
    </xf>
    <xf numFmtId="0" fontId="45" fillId="9" borderId="64" xfId="0" applyFont="1" applyFill="1" applyBorder="1" applyAlignment="1">
      <alignment horizontal="center" vertical="center" wrapText="1"/>
    </xf>
    <xf numFmtId="0" fontId="41" fillId="9" borderId="67" xfId="0" applyFont="1" applyFill="1" applyBorder="1" applyAlignment="1">
      <alignment horizontal="center" vertical="center" wrapText="1"/>
    </xf>
    <xf numFmtId="0" fontId="41" fillId="9" borderId="32" xfId="0" applyFont="1" applyFill="1" applyBorder="1" applyAlignment="1">
      <alignment horizontal="center" vertical="center" wrapText="1"/>
    </xf>
    <xf numFmtId="0" fontId="41" fillId="9" borderId="42" xfId="0" applyFont="1" applyFill="1" applyBorder="1" applyAlignment="1">
      <alignment horizontal="center" vertical="center" wrapText="1"/>
    </xf>
    <xf numFmtId="0" fontId="41" fillId="9" borderId="65" xfId="0" applyFont="1" applyFill="1" applyBorder="1" applyAlignment="1">
      <alignment horizontal="center" vertical="center" wrapText="1"/>
    </xf>
    <xf numFmtId="0" fontId="41" fillId="9" borderId="64" xfId="0" applyFont="1" applyFill="1" applyBorder="1" applyAlignment="1">
      <alignment horizontal="center" vertical="center" wrapText="1"/>
    </xf>
    <xf numFmtId="0" fontId="41" fillId="9" borderId="50" xfId="0" applyFont="1" applyFill="1" applyBorder="1" applyAlignment="1">
      <alignment horizontal="center" vertical="center"/>
    </xf>
    <xf numFmtId="0" fontId="41" fillId="9" borderId="51" xfId="0" applyFont="1" applyFill="1" applyBorder="1" applyAlignment="1">
      <alignment horizontal="center" vertical="center"/>
    </xf>
    <xf numFmtId="0" fontId="24" fillId="3" borderId="59" xfId="0" applyFont="1" applyFill="1" applyBorder="1" applyAlignment="1" applyProtection="1">
      <alignment horizontal="center" vertical="center" wrapText="1"/>
      <protection locked="0"/>
    </xf>
    <xf numFmtId="0" fontId="24" fillId="3" borderId="60" xfId="0" applyFont="1" applyFill="1" applyBorder="1" applyAlignment="1" applyProtection="1">
      <alignment horizontal="center" vertical="center" wrapText="1"/>
      <protection locked="0"/>
    </xf>
    <xf numFmtId="0" fontId="46" fillId="2" borderId="30" xfId="0" applyFont="1" applyFill="1" applyBorder="1" applyAlignment="1">
      <alignment horizontal="center"/>
    </xf>
    <xf numFmtId="0" fontId="46" fillId="2" borderId="39" xfId="0" applyFont="1" applyFill="1" applyBorder="1" applyAlignment="1">
      <alignment horizontal="center"/>
    </xf>
    <xf numFmtId="0" fontId="46" fillId="2" borderId="29" xfId="0" applyFont="1" applyFill="1" applyBorder="1" applyAlignment="1">
      <alignment horizontal="center"/>
    </xf>
    <xf numFmtId="0" fontId="46" fillId="2" borderId="35" xfId="0" applyFont="1" applyFill="1" applyBorder="1" applyAlignment="1">
      <alignment horizontal="center"/>
    </xf>
    <xf numFmtId="0" fontId="42" fillId="9" borderId="13" xfId="0" applyFont="1" applyFill="1" applyBorder="1" applyAlignment="1">
      <alignment horizontal="center" vertical="center" wrapText="1"/>
    </xf>
    <xf numFmtId="0" fontId="42" fillId="9" borderId="53" xfId="0" applyFont="1" applyFill="1" applyBorder="1" applyAlignment="1">
      <alignment horizontal="center" vertical="center" wrapText="1"/>
    </xf>
    <xf numFmtId="0" fontId="42" fillId="9" borderId="15" xfId="0" applyFont="1" applyFill="1" applyBorder="1" applyAlignment="1">
      <alignment horizontal="center" vertical="center" wrapText="1"/>
    </xf>
    <xf numFmtId="0" fontId="42" fillId="9" borderId="54" xfId="0" applyFont="1" applyFill="1" applyBorder="1" applyAlignment="1">
      <alignment horizontal="center" vertical="center" wrapText="1"/>
    </xf>
    <xf numFmtId="0" fontId="43" fillId="9" borderId="72" xfId="0" applyFont="1" applyFill="1" applyBorder="1" applyAlignment="1">
      <alignment horizontal="center" vertical="center"/>
    </xf>
    <xf numFmtId="0" fontId="43" fillId="9" borderId="8" xfId="0" applyFont="1" applyFill="1" applyBorder="1" applyAlignment="1">
      <alignment horizontal="center" vertical="center"/>
    </xf>
    <xf numFmtId="0" fontId="43" fillId="9" borderId="14" xfId="0" applyFont="1" applyFill="1" applyBorder="1" applyAlignment="1">
      <alignment horizontal="center" vertical="center"/>
    </xf>
    <xf numFmtId="0" fontId="43" fillId="9" borderId="40" xfId="0" applyFont="1" applyFill="1" applyBorder="1" applyAlignment="1">
      <alignment horizontal="center" vertical="center"/>
    </xf>
    <xf numFmtId="0" fontId="43" fillId="9" borderId="52" xfId="0" applyFont="1" applyFill="1" applyBorder="1" applyAlignment="1">
      <alignment horizontal="center" vertical="center"/>
    </xf>
    <xf numFmtId="0" fontId="43" fillId="9" borderId="66" xfId="0" applyFont="1" applyFill="1" applyBorder="1" applyAlignment="1">
      <alignment horizontal="center" vertical="center"/>
    </xf>
    <xf numFmtId="0" fontId="44" fillId="9" borderId="13" xfId="0" applyFont="1" applyFill="1" applyBorder="1" applyAlignment="1">
      <alignment horizontal="center" vertical="center" wrapText="1"/>
    </xf>
    <xf numFmtId="0" fontId="44" fillId="9" borderId="8" xfId="0" applyFont="1" applyFill="1" applyBorder="1" applyAlignment="1">
      <alignment horizontal="center" vertical="center" wrapText="1"/>
    </xf>
    <xf numFmtId="0" fontId="44" fillId="9" borderId="14" xfId="0" applyFont="1" applyFill="1" applyBorder="1" applyAlignment="1">
      <alignment horizontal="center" vertical="center" wrapText="1"/>
    </xf>
    <xf numFmtId="0" fontId="44" fillId="9" borderId="15" xfId="0" applyFont="1" applyFill="1" applyBorder="1" applyAlignment="1">
      <alignment horizontal="center" vertical="center" wrapText="1"/>
    </xf>
    <xf numFmtId="0" fontId="44" fillId="9" borderId="0" xfId="0" applyFont="1" applyFill="1" applyAlignment="1">
      <alignment horizontal="center" vertical="center" wrapText="1"/>
    </xf>
    <xf numFmtId="0" fontId="44" fillId="9" borderId="11" xfId="0" applyFont="1" applyFill="1" applyBorder="1" applyAlignment="1">
      <alignment horizontal="center" vertical="center" wrapText="1"/>
    </xf>
    <xf numFmtId="0" fontId="44" fillId="9" borderId="55" xfId="0" applyFont="1" applyFill="1" applyBorder="1" applyAlignment="1">
      <alignment horizontal="center" vertical="center" wrapText="1"/>
    </xf>
    <xf numFmtId="0" fontId="44" fillId="9" borderId="52" xfId="0" applyFont="1" applyFill="1" applyBorder="1" applyAlignment="1">
      <alignment horizontal="center" vertical="center" wrapText="1"/>
    </xf>
    <xf numFmtId="0" fontId="44" fillId="9" borderId="66" xfId="0" applyFont="1" applyFill="1" applyBorder="1" applyAlignment="1">
      <alignment horizontal="center" vertical="center" wrapText="1"/>
    </xf>
    <xf numFmtId="0" fontId="43" fillId="9" borderId="13" xfId="0" applyFont="1" applyFill="1" applyBorder="1" applyAlignment="1">
      <alignment horizontal="center" vertical="center"/>
    </xf>
    <xf numFmtId="0" fontId="43" fillId="9" borderId="53" xfId="0" applyFont="1" applyFill="1" applyBorder="1" applyAlignment="1">
      <alignment horizontal="center" vertical="center"/>
    </xf>
    <xf numFmtId="0" fontId="43" fillId="9" borderId="15" xfId="0" applyFont="1" applyFill="1" applyBorder="1" applyAlignment="1">
      <alignment horizontal="center" vertical="center"/>
    </xf>
    <xf numFmtId="0" fontId="43" fillId="9" borderId="0" xfId="0" applyFont="1" applyFill="1" applyAlignment="1">
      <alignment horizontal="center" vertical="center"/>
    </xf>
    <xf numFmtId="0" fontId="43" fillId="9" borderId="54" xfId="0" applyFont="1" applyFill="1" applyBorder="1" applyAlignment="1">
      <alignment horizontal="center" vertical="center"/>
    </xf>
    <xf numFmtId="0" fontId="14" fillId="3" borderId="13" xfId="0" applyFont="1" applyFill="1" applyBorder="1" applyAlignment="1">
      <alignment horizontal="center"/>
    </xf>
    <xf numFmtId="0" fontId="14" fillId="3" borderId="8" xfId="0" applyFont="1" applyFill="1" applyBorder="1" applyAlignment="1">
      <alignment horizontal="center"/>
    </xf>
    <xf numFmtId="0" fontId="14" fillId="3" borderId="14" xfId="0" applyFont="1" applyFill="1" applyBorder="1" applyAlignment="1">
      <alignment horizontal="center"/>
    </xf>
    <xf numFmtId="0" fontId="14" fillId="3" borderId="15" xfId="0" applyFont="1" applyFill="1" applyBorder="1" applyAlignment="1">
      <alignment horizontal="center"/>
    </xf>
    <xf numFmtId="0" fontId="14" fillId="3" borderId="0" xfId="0" applyFont="1" applyFill="1" applyAlignment="1">
      <alignment horizontal="center"/>
    </xf>
    <xf numFmtId="0" fontId="14" fillId="3" borderId="11" xfId="0" applyFont="1" applyFill="1" applyBorder="1" applyAlignment="1">
      <alignment horizontal="center"/>
    </xf>
    <xf numFmtId="0" fontId="14" fillId="3" borderId="10" xfId="0" applyFont="1" applyFill="1" applyBorder="1" applyAlignment="1">
      <alignment horizontal="center"/>
    </xf>
    <xf numFmtId="0" fontId="14" fillId="3" borderId="9" xfId="0" applyFont="1" applyFill="1" applyBorder="1" applyAlignment="1">
      <alignment horizontal="center"/>
    </xf>
    <xf numFmtId="0" fontId="14" fillId="3" borderId="12" xfId="0" applyFont="1" applyFill="1" applyBorder="1" applyAlignment="1">
      <alignment horizontal="center"/>
    </xf>
    <xf numFmtId="167" fontId="16" fillId="0" borderId="1" xfId="0" applyNumberFormat="1" applyFont="1" applyBorder="1" applyAlignment="1">
      <alignment horizontal="left"/>
    </xf>
    <xf numFmtId="0" fontId="21" fillId="0" borderId="1" xfId="0" applyFont="1" applyBorder="1" applyAlignment="1" applyProtection="1">
      <alignment horizontal="left"/>
      <protection locked="0"/>
    </xf>
    <xf numFmtId="0" fontId="6" fillId="0" borderId="8" xfId="0" applyFont="1" applyBorder="1" applyAlignment="1">
      <alignment horizontal="center" wrapText="1"/>
    </xf>
    <xf numFmtId="0" fontId="6" fillId="0" borderId="14" xfId="0" applyFont="1" applyBorder="1" applyAlignment="1">
      <alignment horizontal="center" wrapText="1"/>
    </xf>
    <xf numFmtId="0" fontId="6" fillId="0" borderId="0" xfId="0" applyFont="1" applyAlignment="1">
      <alignment horizontal="center" wrapText="1"/>
    </xf>
    <xf numFmtId="0" fontId="6" fillId="0" borderId="11" xfId="0" applyFont="1" applyBorder="1" applyAlignment="1">
      <alignment horizontal="center" wrapText="1"/>
    </xf>
    <xf numFmtId="0" fontId="6" fillId="0" borderId="9" xfId="0" applyFont="1" applyBorder="1" applyAlignment="1">
      <alignment horizontal="center" wrapText="1"/>
    </xf>
    <xf numFmtId="0" fontId="6" fillId="0" borderId="12" xfId="0" applyFont="1" applyBorder="1" applyAlignment="1">
      <alignment horizontal="center" wrapText="1"/>
    </xf>
    <xf numFmtId="166" fontId="21" fillId="0" borderId="5" xfId="0" applyNumberFormat="1" applyFont="1" applyBorder="1" applyAlignment="1">
      <alignment horizontal="left"/>
    </xf>
    <xf numFmtId="166" fontId="21" fillId="0" borderId="6" xfId="0" applyNumberFormat="1" applyFont="1" applyBorder="1" applyAlignment="1">
      <alignment horizontal="left"/>
    </xf>
    <xf numFmtId="0" fontId="13" fillId="3" borderId="5" xfId="0" applyFont="1" applyFill="1" applyBorder="1" applyAlignment="1">
      <alignment horizontal="center"/>
    </xf>
    <xf numFmtId="0" fontId="13" fillId="3" borderId="7" xfId="0" applyFont="1" applyFill="1" applyBorder="1" applyAlignment="1">
      <alignment horizontal="center"/>
    </xf>
    <xf numFmtId="0" fontId="13" fillId="3" borderId="6" xfId="0" applyFont="1" applyFill="1" applyBorder="1" applyAlignment="1">
      <alignment horizontal="center"/>
    </xf>
    <xf numFmtId="167" fontId="16" fillId="0" borderId="5" xfId="0" applyNumberFormat="1" applyFont="1" applyBorder="1" applyAlignment="1">
      <alignment horizontal="left"/>
    </xf>
    <xf numFmtId="167" fontId="16" fillId="0" borderId="6" xfId="0" applyNumberFormat="1" applyFont="1" applyBorder="1" applyAlignment="1">
      <alignment horizontal="left"/>
    </xf>
    <xf numFmtId="0" fontId="21" fillId="0" borderId="5" xfId="0" applyFont="1" applyBorder="1" applyAlignment="1" applyProtection="1">
      <alignment horizontal="left"/>
      <protection locked="0"/>
    </xf>
    <xf numFmtId="0" fontId="21" fillId="0" borderId="7" xfId="0" applyFont="1" applyBorder="1" applyAlignment="1" applyProtection="1">
      <alignment horizontal="left"/>
      <protection locked="0"/>
    </xf>
    <xf numFmtId="0" fontId="21" fillId="0" borderId="6" xfId="0" applyFont="1" applyBorder="1" applyAlignment="1" applyProtection="1">
      <alignment horizontal="left"/>
      <protection locked="0"/>
    </xf>
    <xf numFmtId="0" fontId="19" fillId="2" borderId="8" xfId="0" applyFont="1" applyFill="1" applyBorder="1" applyAlignment="1">
      <alignment horizontal="center"/>
    </xf>
    <xf numFmtId="0" fontId="6" fillId="0" borderId="8"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0" xfId="0" applyFont="1" applyAlignment="1">
      <alignment horizontal="center" vertical="center" wrapText="1"/>
    </xf>
    <xf numFmtId="0" fontId="6" fillId="0" borderId="11"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2" xfId="0" applyFont="1" applyBorder="1" applyAlignment="1">
      <alignment horizontal="center" vertical="center" wrapText="1"/>
    </xf>
    <xf numFmtId="166" fontId="21" fillId="0" borderId="7" xfId="0" applyNumberFormat="1" applyFont="1" applyBorder="1" applyAlignment="1">
      <alignment horizontal="left"/>
    </xf>
    <xf numFmtId="167" fontId="16" fillId="0" borderId="5" xfId="0" applyNumberFormat="1" applyFont="1" applyBorder="1"/>
    <xf numFmtId="167" fontId="16" fillId="0" borderId="7" xfId="0" applyNumberFormat="1" applyFont="1" applyBorder="1"/>
    <xf numFmtId="167" fontId="16" fillId="0" borderId="6" xfId="0" applyNumberFormat="1" applyFont="1" applyBorder="1"/>
    <xf numFmtId="167" fontId="16" fillId="0" borderId="7" xfId="0" applyNumberFormat="1" applyFont="1" applyBorder="1" applyAlignment="1">
      <alignment horizontal="left"/>
    </xf>
    <xf numFmtId="0" fontId="39" fillId="3" borderId="33" xfId="0" applyFont="1" applyFill="1" applyBorder="1" applyAlignment="1">
      <alignment horizontal="center" vertical="center"/>
    </xf>
    <xf numFmtId="0" fontId="39" fillId="3" borderId="4" xfId="0" applyFont="1" applyFill="1" applyBorder="1" applyAlignment="1">
      <alignment horizontal="center" vertical="center"/>
    </xf>
    <xf numFmtId="0" fontId="39" fillId="3" borderId="34" xfId="0" applyFont="1" applyFill="1" applyBorder="1" applyAlignment="1">
      <alignment horizontal="center" vertical="center"/>
    </xf>
    <xf numFmtId="168" fontId="25" fillId="3" borderId="0" xfId="0" applyNumberFormat="1" applyFont="1" applyFill="1" applyAlignment="1">
      <alignment horizontal="left" vertical="center" wrapText="1"/>
    </xf>
    <xf numFmtId="168" fontId="25" fillId="3" borderId="11" xfId="0" applyNumberFormat="1" applyFont="1" applyFill="1" applyBorder="1" applyAlignment="1">
      <alignment horizontal="left" vertical="center" wrapText="1"/>
    </xf>
    <xf numFmtId="168" fontId="23" fillId="3" borderId="0" xfId="0" applyNumberFormat="1" applyFont="1" applyFill="1" applyAlignment="1">
      <alignment horizontal="left" vertical="center" wrapText="1"/>
    </xf>
    <xf numFmtId="168" fontId="23" fillId="3" borderId="11" xfId="0" applyNumberFormat="1" applyFont="1" applyFill="1" applyBorder="1" applyAlignment="1">
      <alignment horizontal="left" vertical="center" wrapText="1"/>
    </xf>
    <xf numFmtId="0" fontId="25" fillId="3" borderId="0" xfId="0" applyFont="1" applyFill="1" applyAlignment="1">
      <alignment horizontal="right"/>
    </xf>
    <xf numFmtId="167" fontId="40" fillId="3" borderId="27" xfId="0" applyNumberFormat="1" applyFont="1" applyFill="1" applyBorder="1" applyAlignment="1">
      <alignment horizontal="center" vertical="center" wrapText="1"/>
    </xf>
    <xf numFmtId="167" fontId="40" fillId="3" borderId="26" xfId="0" applyNumberFormat="1" applyFont="1" applyFill="1" applyBorder="1" applyAlignment="1">
      <alignment horizontal="center" vertical="center" wrapText="1"/>
    </xf>
    <xf numFmtId="167" fontId="40" fillId="3" borderId="28" xfId="0" applyNumberFormat="1" applyFont="1" applyFill="1" applyBorder="1" applyAlignment="1">
      <alignment horizontal="center" vertical="center" wrapText="1"/>
    </xf>
    <xf numFmtId="167" fontId="40" fillId="3" borderId="15" xfId="0" applyNumberFormat="1" applyFont="1" applyFill="1" applyBorder="1" applyAlignment="1">
      <alignment horizontal="center" vertical="center" wrapText="1"/>
    </xf>
    <xf numFmtId="167" fontId="40" fillId="3" borderId="0" xfId="0" applyNumberFormat="1" applyFont="1" applyFill="1" applyAlignment="1">
      <alignment horizontal="center" vertical="center" wrapText="1"/>
    </xf>
    <xf numFmtId="167" fontId="40" fillId="3" borderId="11" xfId="0" applyNumberFormat="1" applyFont="1" applyFill="1" applyBorder="1" applyAlignment="1">
      <alignment horizontal="center" vertical="center" wrapText="1"/>
    </xf>
    <xf numFmtId="167" fontId="40" fillId="3" borderId="33" xfId="0" applyNumberFormat="1" applyFont="1" applyFill="1" applyBorder="1" applyAlignment="1">
      <alignment horizontal="center" vertical="center" wrapText="1"/>
    </xf>
    <xf numFmtId="167" fontId="40" fillId="3" borderId="4" xfId="0" applyNumberFormat="1" applyFont="1" applyFill="1" applyBorder="1" applyAlignment="1">
      <alignment horizontal="center" vertical="center" wrapText="1"/>
    </xf>
    <xf numFmtId="167" fontId="40" fillId="3" borderId="34" xfId="0" applyNumberFormat="1" applyFont="1" applyFill="1" applyBorder="1" applyAlignment="1">
      <alignment horizontal="center" vertical="center" wrapText="1"/>
    </xf>
    <xf numFmtId="0" fontId="26" fillId="0" borderId="8" xfId="0" applyFont="1" applyBorder="1" applyAlignment="1" applyProtection="1">
      <alignment horizontal="center" vertical="center" wrapText="1"/>
      <protection locked="0"/>
    </xf>
    <xf numFmtId="0" fontId="26" fillId="0" borderId="14" xfId="0" applyFont="1" applyBorder="1" applyAlignment="1" applyProtection="1">
      <alignment horizontal="center" vertical="center" wrapText="1"/>
      <protection locked="0"/>
    </xf>
    <xf numFmtId="0" fontId="26" fillId="0" borderId="0" xfId="0" applyFont="1" applyAlignment="1" applyProtection="1">
      <alignment horizontal="center" vertical="center" wrapText="1"/>
      <protection locked="0"/>
    </xf>
    <xf numFmtId="0" fontId="26" fillId="0" borderId="11" xfId="0" applyFont="1" applyBorder="1" applyAlignment="1" applyProtection="1">
      <alignment horizontal="center" vertical="center" wrapText="1"/>
      <protection locked="0"/>
    </xf>
    <xf numFmtId="0" fontId="26" fillId="0" borderId="9" xfId="0" applyFont="1" applyBorder="1" applyAlignment="1" applyProtection="1">
      <alignment horizontal="center" vertical="center" wrapText="1"/>
      <protection locked="0"/>
    </xf>
    <xf numFmtId="0" fontId="26" fillId="0" borderId="12" xfId="0" applyFont="1" applyBorder="1" applyAlignment="1" applyProtection="1">
      <alignment horizontal="center" vertical="center" wrapText="1"/>
      <protection locked="0"/>
    </xf>
    <xf numFmtId="167" fontId="16" fillId="0" borderId="57" xfId="0" applyNumberFormat="1" applyFont="1" applyBorder="1" applyAlignment="1" applyProtection="1">
      <alignment horizontal="left"/>
      <protection locked="0"/>
    </xf>
    <xf numFmtId="167" fontId="16" fillId="0" borderId="58" xfId="0" applyNumberFormat="1" applyFont="1" applyBorder="1" applyAlignment="1" applyProtection="1">
      <alignment horizontal="left"/>
      <protection locked="0"/>
    </xf>
    <xf numFmtId="167" fontId="16" fillId="0" borderId="44" xfId="0" applyNumberFormat="1" applyFont="1" applyBorder="1" applyAlignment="1" applyProtection="1">
      <alignment horizontal="left"/>
      <protection locked="0"/>
    </xf>
    <xf numFmtId="168" fontId="25" fillId="3" borderId="28" xfId="0" applyNumberFormat="1" applyFont="1" applyFill="1" applyBorder="1" applyAlignment="1">
      <alignment horizontal="left" vertical="center" wrapText="1"/>
    </xf>
    <xf numFmtId="167" fontId="16" fillId="0" borderId="5" xfId="0" applyNumberFormat="1" applyFont="1" applyBorder="1" applyAlignment="1" applyProtection="1">
      <alignment horizontal="left"/>
      <protection locked="0"/>
    </xf>
    <xf numFmtId="167" fontId="16" fillId="0" borderId="7" xfId="0" applyNumberFormat="1" applyFont="1" applyBorder="1" applyAlignment="1" applyProtection="1">
      <alignment horizontal="left"/>
      <protection locked="0"/>
    </xf>
    <xf numFmtId="167" fontId="16" fillId="0" borderId="1" xfId="0" applyNumberFormat="1" applyFont="1" applyBorder="1" applyAlignment="1" applyProtection="1">
      <alignment horizontal="left"/>
      <protection locked="0"/>
    </xf>
    <xf numFmtId="0" fontId="40" fillId="3" borderId="13" xfId="0" applyFont="1" applyFill="1" applyBorder="1" applyAlignment="1">
      <alignment horizontal="center" vertical="center" wrapText="1"/>
    </xf>
    <xf numFmtId="0" fontId="40" fillId="3" borderId="8" xfId="0" applyFont="1" applyFill="1" applyBorder="1" applyAlignment="1">
      <alignment horizontal="center" vertical="center" wrapText="1"/>
    </xf>
    <xf numFmtId="0" fontId="40" fillId="3" borderId="15" xfId="0" applyFont="1" applyFill="1" applyBorder="1" applyAlignment="1">
      <alignment horizontal="center" vertical="center" wrapText="1"/>
    </xf>
    <xf numFmtId="0" fontId="40" fillId="3" borderId="0" xfId="0" applyFont="1" applyFill="1" applyAlignment="1">
      <alignment horizontal="center" vertical="center" wrapText="1"/>
    </xf>
    <xf numFmtId="0" fontId="40" fillId="3" borderId="33" xfId="0" applyFont="1" applyFill="1" applyBorder="1" applyAlignment="1">
      <alignment horizontal="center" vertical="center" wrapText="1"/>
    </xf>
    <xf numFmtId="0" fontId="40" fillId="3" borderId="4" xfId="0" applyFont="1" applyFill="1" applyBorder="1" applyAlignment="1">
      <alignment horizontal="center" vertical="center" wrapText="1"/>
    </xf>
    <xf numFmtId="164" fontId="20" fillId="3" borderId="7" xfId="1" applyFont="1" applyFill="1" applyBorder="1" applyAlignment="1" applyProtection="1">
      <alignment horizontal="right"/>
    </xf>
    <xf numFmtId="164" fontId="20" fillId="3" borderId="6" xfId="1" applyFont="1" applyFill="1" applyBorder="1" applyAlignment="1" applyProtection="1">
      <alignment horizontal="right"/>
    </xf>
    <xf numFmtId="167" fontId="28" fillId="3" borderId="5" xfId="0" applyNumberFormat="1" applyFont="1" applyFill="1" applyBorder="1" applyAlignment="1">
      <alignment horizontal="center"/>
    </xf>
    <xf numFmtId="167" fontId="28" fillId="3" borderId="7" xfId="0" applyNumberFormat="1" applyFont="1" applyFill="1" applyBorder="1" applyAlignment="1">
      <alignment horizontal="center"/>
    </xf>
  </cellXfs>
  <cellStyles count="4">
    <cellStyle name="Currency" xfId="1" builtinId="4"/>
    <cellStyle name="Hyperlink" xfId="3" builtinId="8"/>
    <cellStyle name="Normal" xfId="0" builtinId="0"/>
    <cellStyle name="Percent" xfId="2" builtinId="5"/>
  </cellStyles>
  <dxfs count="33">
    <dxf>
      <fill>
        <patternFill>
          <bgColor theme="0"/>
        </patternFill>
      </fill>
    </dxf>
    <dxf>
      <font>
        <color theme="0"/>
      </font>
    </dxf>
    <dxf>
      <font>
        <color theme="2"/>
      </font>
    </dxf>
    <dxf>
      <font>
        <color theme="0"/>
      </font>
    </dxf>
    <dxf>
      <font>
        <color theme="0"/>
      </font>
    </dxf>
    <dxf>
      <font>
        <color theme="0"/>
      </font>
    </dxf>
    <dxf>
      <font>
        <color theme="2"/>
      </font>
    </dxf>
    <dxf>
      <font>
        <color theme="2"/>
      </font>
    </dxf>
    <dxf>
      <font>
        <color theme="0"/>
      </font>
    </dxf>
    <dxf>
      <fill>
        <patternFill>
          <bgColor theme="0"/>
        </patternFill>
      </fill>
    </dxf>
    <dxf>
      <font>
        <color theme="0"/>
      </font>
    </dxf>
    <dxf>
      <font>
        <color theme="0"/>
      </font>
    </dxf>
    <dxf>
      <font>
        <color theme="2"/>
      </font>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trlProps/ctrlProp1.xml><?xml version="1.0" encoding="utf-8"?>
<formControlPr xmlns="http://schemas.microsoft.com/office/spreadsheetml/2009/9/main" objectType="CheckBox" fmlaLink="$B$177" noThreeD="1"/>
</file>

<file path=xl/ctrlProps/ctrlProp2.xml><?xml version="1.0" encoding="utf-8"?>
<formControlPr xmlns="http://schemas.microsoft.com/office/spreadsheetml/2009/9/main" objectType="CheckBox" fmlaLink="QUOTE!$C$177" noThreeD="1"/>
</file>

<file path=xl/ctrlProps/ctrlProp3.xml><?xml version="1.0" encoding="utf-8"?>
<formControlPr xmlns="http://schemas.microsoft.com/office/spreadsheetml/2009/9/main" objectType="CheckBox" fmlaLink="$C$183" noThreeD="1"/>
</file>

<file path=xl/ctrlProps/ctrlProp4.xml><?xml version="1.0" encoding="utf-8"?>
<formControlPr xmlns="http://schemas.microsoft.com/office/spreadsheetml/2009/9/main" objectType="CheckBox" fmlaLink="$B$183"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g"/></Relationships>
</file>

<file path=xl/drawings/_rels/drawing8.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jp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6</xdr:col>
      <xdr:colOff>362426</xdr:colOff>
      <xdr:row>32</xdr:row>
      <xdr:rowOff>28659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61950" y="5334000"/>
          <a:ext cx="3410426" cy="600159"/>
        </a:xfrm>
        <a:prstGeom prst="rect">
          <a:avLst/>
        </a:prstGeom>
      </xdr:spPr>
    </xdr:pic>
    <xdr:clientData/>
  </xdr:twoCellAnchor>
  <xdr:twoCellAnchor editAs="oneCell">
    <xdr:from>
      <xdr:col>1</xdr:col>
      <xdr:colOff>0</xdr:colOff>
      <xdr:row>42</xdr:row>
      <xdr:rowOff>0</xdr:rowOff>
    </xdr:from>
    <xdr:to>
      <xdr:col>6</xdr:col>
      <xdr:colOff>391005</xdr:colOff>
      <xdr:row>48</xdr:row>
      <xdr:rowOff>181160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361950" y="7620000"/>
          <a:ext cx="3439005" cy="1324160"/>
        </a:xfrm>
        <a:prstGeom prst="rect">
          <a:avLst/>
        </a:prstGeom>
      </xdr:spPr>
    </xdr:pic>
    <xdr:clientData/>
  </xdr:twoCellAnchor>
  <xdr:twoCellAnchor editAs="oneCell">
    <xdr:from>
      <xdr:col>1</xdr:col>
      <xdr:colOff>0</xdr:colOff>
      <xdr:row>35</xdr:row>
      <xdr:rowOff>0</xdr:rowOff>
    </xdr:from>
    <xdr:to>
      <xdr:col>6</xdr:col>
      <xdr:colOff>152847</xdr:colOff>
      <xdr:row>39</xdr:row>
      <xdr:rowOff>66791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361950" y="6477000"/>
          <a:ext cx="3200847" cy="828791"/>
        </a:xfrm>
        <a:prstGeom prst="rect">
          <a:avLst/>
        </a:prstGeom>
      </xdr:spPr>
    </xdr:pic>
    <xdr:clientData/>
  </xdr:twoCellAnchor>
  <xdr:twoCellAnchor editAs="oneCell">
    <xdr:from>
      <xdr:col>1</xdr:col>
      <xdr:colOff>0</xdr:colOff>
      <xdr:row>52</xdr:row>
      <xdr:rowOff>0</xdr:rowOff>
    </xdr:from>
    <xdr:to>
      <xdr:col>4</xdr:col>
      <xdr:colOff>409887</xdr:colOff>
      <xdr:row>54</xdr:row>
      <xdr:rowOff>142948</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361950" y="9715500"/>
          <a:ext cx="2238687" cy="5239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DE4C8BB-A8E5-45FC-9BF6-C49C658FEB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08CF236E-E1EF-4490-8F2C-8115E40646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B9469D8C-B0A3-4BD6-BE80-F3B83CF47D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B7E3022-E88C-42EF-972D-068AB71589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5127" y="2137849"/>
          <a:ext cx="4176993" cy="89757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38100</xdr:colOff>
      <xdr:row>0</xdr:row>
      <xdr:rowOff>103246</xdr:rowOff>
    </xdr:from>
    <xdr:to>
      <xdr:col>2</xdr:col>
      <xdr:colOff>2047874</xdr:colOff>
      <xdr:row>4</xdr:row>
      <xdr:rowOff>54896</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19075" y="293746"/>
          <a:ext cx="3257549" cy="7136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38100</xdr:colOff>
      <xdr:row>0</xdr:row>
      <xdr:rowOff>103246</xdr:rowOff>
    </xdr:from>
    <xdr:to>
      <xdr:col>2</xdr:col>
      <xdr:colOff>2047874</xdr:colOff>
      <xdr:row>4</xdr:row>
      <xdr:rowOff>54896</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19075" y="103246"/>
          <a:ext cx="3257549" cy="713650"/>
        </a:xfrm>
        <a:prstGeom prst="rect">
          <a:avLst/>
        </a:prstGeom>
      </xdr:spPr>
    </xdr:pic>
    <xdr:clientData/>
  </xdr:twoCellAnchor>
  <xdr:twoCellAnchor editAs="oneCell">
    <xdr:from>
      <xdr:col>1</xdr:col>
      <xdr:colOff>228599</xdr:colOff>
      <xdr:row>168</xdr:row>
      <xdr:rowOff>3050</xdr:rowOff>
    </xdr:from>
    <xdr:to>
      <xdr:col>2</xdr:col>
      <xdr:colOff>1068072</xdr:colOff>
      <xdr:row>173</xdr:row>
      <xdr:rowOff>95250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09574" y="9528050"/>
          <a:ext cx="2087248" cy="1044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914400</xdr:colOff>
          <xdr:row>173</xdr:row>
          <xdr:rowOff>171450</xdr:rowOff>
        </xdr:from>
        <xdr:to>
          <xdr:col>5</xdr:col>
          <xdr:colOff>1190625</xdr:colOff>
          <xdr:row>175</xdr:row>
          <xdr:rowOff>38100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7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657225</xdr:colOff>
          <xdr:row>173</xdr:row>
          <xdr:rowOff>0</xdr:rowOff>
        </xdr:from>
        <xdr:to>
          <xdr:col>4</xdr:col>
          <xdr:colOff>200025</xdr:colOff>
          <xdr:row>174</xdr:row>
          <xdr:rowOff>9525</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7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twoCellAnchor editAs="oneCell">
    <xdr:from>
      <xdr:col>2</xdr:col>
      <xdr:colOff>207065</xdr:colOff>
      <xdr:row>53</xdr:row>
      <xdr:rowOff>99391</xdr:rowOff>
    </xdr:from>
    <xdr:to>
      <xdr:col>2</xdr:col>
      <xdr:colOff>2038764</xdr:colOff>
      <xdr:row>58</xdr:row>
      <xdr:rowOff>62234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635815" y="10576891"/>
          <a:ext cx="1831699" cy="915343"/>
        </a:xfrm>
        <a:prstGeom prst="rect">
          <a:avLst/>
        </a:prstGeom>
      </xdr:spPr>
    </xdr:pic>
    <xdr:clientData/>
  </xdr:twoCellAnchor>
  <xdr:oneCellAnchor>
    <xdr:from>
      <xdr:col>1</xdr:col>
      <xdr:colOff>38100</xdr:colOff>
      <xdr:row>119</xdr:row>
      <xdr:rowOff>103246</xdr:rowOff>
    </xdr:from>
    <xdr:ext cx="3260448" cy="713650"/>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19075" y="11733271"/>
          <a:ext cx="3260448" cy="713650"/>
        </a:xfrm>
        <a:prstGeom prst="rect">
          <a:avLst/>
        </a:prstGeom>
      </xdr:spPr>
    </xdr:pic>
    <xdr:clientData/>
  </xdr:oneCellAnchor>
  <xdr:oneCellAnchor>
    <xdr:from>
      <xdr:col>2</xdr:col>
      <xdr:colOff>207065</xdr:colOff>
      <xdr:row>113</xdr:row>
      <xdr:rowOff>99391</xdr:rowOff>
    </xdr:from>
    <xdr:ext cx="1831699" cy="915343"/>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635815" y="10386391"/>
          <a:ext cx="1831699" cy="915343"/>
        </a:xfrm>
        <a:prstGeom prst="rect">
          <a:avLst/>
        </a:prstGeom>
      </xdr:spPr>
    </xdr:pic>
    <xdr:clientData/>
  </xdr:oneCellAnchor>
  <xdr:oneCellAnchor>
    <xdr:from>
      <xdr:col>1</xdr:col>
      <xdr:colOff>38100</xdr:colOff>
      <xdr:row>59</xdr:row>
      <xdr:rowOff>103246</xdr:rowOff>
    </xdr:from>
    <xdr:ext cx="3260448" cy="713650"/>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19075" y="22420321"/>
          <a:ext cx="3260448" cy="71365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38100</xdr:colOff>
      <xdr:row>0</xdr:row>
      <xdr:rowOff>103246</xdr:rowOff>
    </xdr:from>
    <xdr:to>
      <xdr:col>2</xdr:col>
      <xdr:colOff>2047874</xdr:colOff>
      <xdr:row>4</xdr:row>
      <xdr:rowOff>54896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0317" y="103246"/>
          <a:ext cx="3260448" cy="713650"/>
        </a:xfrm>
        <a:prstGeom prst="rect">
          <a:avLst/>
        </a:prstGeom>
      </xdr:spPr>
    </xdr:pic>
    <xdr:clientData/>
  </xdr:twoCellAnchor>
  <xdr:twoCellAnchor editAs="oneCell">
    <xdr:from>
      <xdr:col>1</xdr:col>
      <xdr:colOff>453059</xdr:colOff>
      <xdr:row>172</xdr:row>
      <xdr:rowOff>8507</xdr:rowOff>
    </xdr:from>
    <xdr:to>
      <xdr:col>2</xdr:col>
      <xdr:colOff>1034084</xdr:colOff>
      <xdr:row>176</xdr:row>
      <xdr:rowOff>161850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35276" y="9889659"/>
          <a:ext cx="1831699" cy="91534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790575</xdr:colOff>
          <xdr:row>179</xdr:row>
          <xdr:rowOff>171450</xdr:rowOff>
        </xdr:from>
        <xdr:to>
          <xdr:col>5</xdr:col>
          <xdr:colOff>1066800</xdr:colOff>
          <xdr:row>181</xdr:row>
          <xdr:rowOff>38100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8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178</xdr:row>
          <xdr:rowOff>180975</xdr:rowOff>
        </xdr:from>
        <xdr:to>
          <xdr:col>4</xdr:col>
          <xdr:colOff>323850</xdr:colOff>
          <xdr:row>180</xdr:row>
          <xdr:rowOff>38100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8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207065</xdr:colOff>
      <xdr:row>54</xdr:row>
      <xdr:rowOff>99391</xdr:rowOff>
    </xdr:from>
    <xdr:to>
      <xdr:col>2</xdr:col>
      <xdr:colOff>2038764</xdr:colOff>
      <xdr:row>59</xdr:row>
      <xdr:rowOff>62234</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639956" y="10576891"/>
          <a:ext cx="1831699" cy="915343"/>
        </a:xfrm>
        <a:prstGeom prst="rect">
          <a:avLst/>
        </a:prstGeom>
      </xdr:spPr>
    </xdr:pic>
    <xdr:clientData/>
  </xdr:twoCellAnchor>
  <xdr:oneCellAnchor>
    <xdr:from>
      <xdr:col>1</xdr:col>
      <xdr:colOff>38100</xdr:colOff>
      <xdr:row>121</xdr:row>
      <xdr:rowOff>103246</xdr:rowOff>
    </xdr:from>
    <xdr:ext cx="3260448" cy="713650"/>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0317" y="103246"/>
          <a:ext cx="3260448" cy="713650"/>
        </a:xfrm>
        <a:prstGeom prst="rect">
          <a:avLst/>
        </a:prstGeom>
      </xdr:spPr>
    </xdr:pic>
    <xdr:clientData/>
  </xdr:oneCellAnchor>
  <xdr:oneCellAnchor>
    <xdr:from>
      <xdr:col>1</xdr:col>
      <xdr:colOff>38100</xdr:colOff>
      <xdr:row>60</xdr:row>
      <xdr:rowOff>103246</xdr:rowOff>
    </xdr:from>
    <xdr:ext cx="3260448" cy="713650"/>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0317" y="23352529"/>
          <a:ext cx="3260448" cy="713650"/>
        </a:xfrm>
        <a:prstGeom prst="rect">
          <a:avLst/>
        </a:prstGeom>
      </xdr:spPr>
    </xdr:pic>
    <xdr:clientData/>
  </xdr:oneCellAnchor>
  <xdr:oneCellAnchor>
    <xdr:from>
      <xdr:col>2</xdr:col>
      <xdr:colOff>207065</xdr:colOff>
      <xdr:row>115</xdr:row>
      <xdr:rowOff>99391</xdr:rowOff>
    </xdr:from>
    <xdr:ext cx="1831699" cy="915343"/>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639956" y="10576891"/>
          <a:ext cx="1831699" cy="91534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7.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8.bin"/><Relationship Id="rId5" Type="http://schemas.openxmlformats.org/officeDocument/2006/relationships/ctrlProp" Target="../ctrlProps/ctrlProp4.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BDB3-9182-4455-91CA-01370F8D3277}">
  <sheetPr codeName="Sheet5"/>
  <dimension ref="A1:M52"/>
  <sheetViews>
    <sheetView workbookViewId="0"/>
  </sheetViews>
  <sheetFormatPr defaultColWidth="9.140625" defaultRowHeight="15" x14ac:dyDescent="0.25"/>
  <cols>
    <col min="1" max="1" width="5.42578125" customWidth="1"/>
    <col min="2" max="13" width="9" customWidth="1"/>
    <col min="14" max="16384" width="9.140625" style="77"/>
  </cols>
  <sheetData>
    <row r="1" spans="1:2" x14ac:dyDescent="0.25">
      <c r="A1" s="265" t="s">
        <v>0</v>
      </c>
    </row>
    <row r="2" spans="1:2" x14ac:dyDescent="0.25">
      <c r="A2" s="265" t="s">
        <v>1</v>
      </c>
    </row>
    <row r="4" spans="1:2" x14ac:dyDescent="0.25">
      <c r="A4" s="266" t="s">
        <v>2</v>
      </c>
    </row>
    <row r="5" spans="1:2" x14ac:dyDescent="0.25">
      <c r="A5" s="266" t="s">
        <v>3</v>
      </c>
    </row>
    <row r="6" spans="1:2" x14ac:dyDescent="0.25">
      <c r="B6" s="266"/>
    </row>
    <row r="7" spans="1:2" x14ac:dyDescent="0.25">
      <c r="A7" s="267" t="s">
        <v>4</v>
      </c>
    </row>
    <row r="8" spans="1:2" x14ac:dyDescent="0.25">
      <c r="B8" s="266" t="s">
        <v>5</v>
      </c>
    </row>
    <row r="9" spans="1:2" x14ac:dyDescent="0.25">
      <c r="B9" t="s">
        <v>6</v>
      </c>
    </row>
    <row r="10" spans="1:2" x14ac:dyDescent="0.25">
      <c r="B10" t="s">
        <v>7</v>
      </c>
    </row>
    <row r="12" spans="1:2" x14ac:dyDescent="0.25">
      <c r="A12" s="267" t="s">
        <v>8</v>
      </c>
    </row>
    <row r="13" spans="1:2" x14ac:dyDescent="0.25">
      <c r="B13" t="s">
        <v>9</v>
      </c>
    </row>
    <row r="14" spans="1:2" x14ac:dyDescent="0.25">
      <c r="B14" t="s">
        <v>10</v>
      </c>
    </row>
    <row r="16" spans="1:2" x14ac:dyDescent="0.25">
      <c r="A16" s="267" t="s">
        <v>11</v>
      </c>
    </row>
    <row r="17" spans="1:2" x14ac:dyDescent="0.25">
      <c r="B17" t="s">
        <v>9</v>
      </c>
    </row>
    <row r="18" spans="1:2" x14ac:dyDescent="0.25">
      <c r="B18" t="s">
        <v>12</v>
      </c>
    </row>
    <row r="20" spans="1:2" x14ac:dyDescent="0.25">
      <c r="A20" s="267" t="s">
        <v>13</v>
      </c>
    </row>
    <row r="21" spans="1:2" x14ac:dyDescent="0.25">
      <c r="B21" t="s">
        <v>14</v>
      </c>
    </row>
    <row r="22" spans="1:2" x14ac:dyDescent="0.25">
      <c r="B22" t="s">
        <v>15</v>
      </c>
    </row>
    <row r="23" spans="1:2" x14ac:dyDescent="0.25">
      <c r="B23" t="s">
        <v>16</v>
      </c>
    </row>
    <row r="24" spans="1:2" x14ac:dyDescent="0.25">
      <c r="B24" t="s">
        <v>17</v>
      </c>
    </row>
    <row r="25" spans="1:2" x14ac:dyDescent="0.25">
      <c r="B25" t="s">
        <v>18</v>
      </c>
    </row>
    <row r="27" spans="1:2" x14ac:dyDescent="0.25">
      <c r="A27" s="267" t="s">
        <v>19</v>
      </c>
    </row>
    <row r="28" spans="1:2" x14ac:dyDescent="0.25">
      <c r="A28" t="s">
        <v>20</v>
      </c>
    </row>
    <row r="29" spans="1:2" x14ac:dyDescent="0.25">
      <c r="B29" t="s">
        <v>21</v>
      </c>
    </row>
    <row r="34" spans="1:2" x14ac:dyDescent="0.25">
      <c r="A34" t="s">
        <v>22</v>
      </c>
    </row>
    <row r="35" spans="1:2" x14ac:dyDescent="0.25">
      <c r="B35" t="s">
        <v>23</v>
      </c>
    </row>
    <row r="41" spans="1:2" x14ac:dyDescent="0.25">
      <c r="A41" t="s">
        <v>24</v>
      </c>
    </row>
    <row r="42" spans="1:2" x14ac:dyDescent="0.25">
      <c r="B42" t="s">
        <v>25</v>
      </c>
    </row>
    <row r="51" spans="1:2" x14ac:dyDescent="0.25">
      <c r="A51" t="s">
        <v>26</v>
      </c>
    </row>
    <row r="52" spans="1:2" x14ac:dyDescent="0.25">
      <c r="B52" t="s">
        <v>27</v>
      </c>
    </row>
  </sheetData>
  <sheetProtection algorithmName="SHA-512" hashValue="X7gDn9rFUFYlO2WYxYo4gVQuRFIdNzWAJEniNduucq+4Zb4AtRtnJqy4O4cNVPiAi6TBNjPw5kE58Tpgaes34Q==" saltValue="KL8wPswtXovhY1ZydGvY5g=="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870A3-4D05-4A2D-B6A5-4C95E84F1EDA}">
  <sheetPr codeName="Sheet6">
    <pageSetUpPr fitToPage="1"/>
  </sheetPr>
  <dimension ref="A1:AA131"/>
  <sheetViews>
    <sheetView zoomScale="85" zoomScaleNormal="85" workbookViewId="0">
      <pane ySplit="17" topLeftCell="A36" activePane="bottomLeft" state="frozen"/>
      <selection pane="bottomLeft" activeCell="B50" sqref="B50"/>
    </sheetView>
  </sheetViews>
  <sheetFormatPr defaultColWidth="9.140625" defaultRowHeight="15" x14ac:dyDescent="0.25"/>
  <cols>
    <col min="1" max="1" width="0.85546875" style="178" customWidth="1"/>
    <col min="2" max="2" width="25.7109375" style="178" customWidth="1"/>
    <col min="3" max="3" width="43.28515625" style="178" customWidth="1"/>
    <col min="4" max="4" width="9.7109375" style="206" customWidth="1"/>
    <col min="5" max="5" width="9.7109375" style="178" customWidth="1"/>
    <col min="6" max="8" width="18.7109375" style="178" customWidth="1"/>
    <col min="9" max="9" width="0.85546875" style="178" customWidth="1"/>
    <col min="10" max="10" width="9.5703125" style="178" customWidth="1"/>
    <col min="11" max="12" width="18.7109375" style="178" customWidth="1"/>
    <col min="13" max="13" width="13.7109375" style="178" customWidth="1"/>
    <col min="14" max="14" width="0.85546875" style="178" customWidth="1"/>
    <col min="15" max="15" width="17.85546875" style="178" customWidth="1"/>
    <col min="16" max="19" width="18.7109375" style="178" customWidth="1"/>
    <col min="20" max="20" width="15" style="178" bestFit="1" customWidth="1"/>
    <col min="21" max="21" width="14.7109375" style="178" bestFit="1" customWidth="1"/>
    <col min="22" max="22" width="13.42578125" style="178" hidden="1" customWidth="1"/>
    <col min="23" max="23" width="0.85546875" style="178" customWidth="1"/>
    <col min="24" max="25" width="9.140625" style="178" hidden="1" customWidth="1"/>
    <col min="26" max="26" width="9.140625" style="178" customWidth="1"/>
    <col min="27" max="27" width="10.5703125" style="178" bestFit="1" customWidth="1"/>
    <col min="28" max="16384" width="9.140625" style="178"/>
  </cols>
  <sheetData>
    <row r="1" spans="1:27" ht="23.25" customHeight="1" x14ac:dyDescent="0.25">
      <c r="A1" s="175"/>
      <c r="B1" s="275" t="s">
        <v>28</v>
      </c>
      <c r="C1" s="272"/>
      <c r="D1" s="276" t="s">
        <v>29</v>
      </c>
      <c r="E1" s="273"/>
      <c r="F1" s="273"/>
      <c r="G1" s="274"/>
      <c r="H1" s="272" t="s">
        <v>30</v>
      </c>
      <c r="I1" s="273"/>
      <c r="J1" s="273"/>
      <c r="K1" s="274"/>
      <c r="L1" s="277" t="s">
        <v>31</v>
      </c>
      <c r="M1" s="278"/>
      <c r="N1" s="278"/>
      <c r="O1" s="273" t="str">
        <f>K17</f>
        <v>CAD $</v>
      </c>
      <c r="P1" s="273"/>
      <c r="Q1" s="274"/>
      <c r="R1" s="272" t="s">
        <v>32</v>
      </c>
      <c r="S1" s="273"/>
      <c r="T1" s="273"/>
      <c r="U1" s="273"/>
      <c r="V1" s="274"/>
      <c r="W1" s="179"/>
      <c r="X1" s="180"/>
      <c r="Y1" s="181"/>
      <c r="Z1" s="181"/>
      <c r="AA1" s="181"/>
    </row>
    <row r="2" spans="1:27" ht="15" customHeight="1" x14ac:dyDescent="0.25">
      <c r="A2" s="175"/>
      <c r="B2" s="239" t="s">
        <v>33</v>
      </c>
      <c r="C2" s="51"/>
      <c r="D2" s="294" t="s">
        <v>34</v>
      </c>
      <c r="E2" s="295"/>
      <c r="F2" s="296"/>
      <c r="G2" s="297"/>
      <c r="H2" s="294" t="s">
        <v>35</v>
      </c>
      <c r="I2" s="298"/>
      <c r="J2" s="295"/>
      <c r="K2" s="52"/>
      <c r="L2" s="299" t="s">
        <v>36</v>
      </c>
      <c r="M2" s="300"/>
      <c r="N2" s="260"/>
      <c r="O2" s="301">
        <f>H129</f>
        <v>210310.33</v>
      </c>
      <c r="P2" s="301"/>
      <c r="Q2" s="302"/>
      <c r="R2" s="303" t="s">
        <v>37</v>
      </c>
      <c r="S2" s="304"/>
      <c r="T2" s="279"/>
      <c r="U2" s="280"/>
      <c r="V2" s="53"/>
      <c r="W2" s="182"/>
      <c r="X2" s="180"/>
      <c r="Y2" s="181"/>
      <c r="Z2" s="181"/>
      <c r="AA2" s="181"/>
    </row>
    <row r="3" spans="1:27" ht="15" customHeight="1" x14ac:dyDescent="0.25">
      <c r="A3" s="175"/>
      <c r="B3" s="240" t="s">
        <v>38</v>
      </c>
      <c r="C3" s="19"/>
      <c r="D3" s="281" t="s">
        <v>39</v>
      </c>
      <c r="E3" s="282"/>
      <c r="F3" s="283"/>
      <c r="G3" s="284"/>
      <c r="H3" s="281" t="s">
        <v>40</v>
      </c>
      <c r="I3" s="285"/>
      <c r="J3" s="282"/>
      <c r="K3" s="50"/>
      <c r="L3" s="286" t="s">
        <v>41</v>
      </c>
      <c r="M3" s="287"/>
      <c r="N3" s="260"/>
      <c r="O3" s="288">
        <f>L129</f>
        <v>105158.1</v>
      </c>
      <c r="P3" s="288"/>
      <c r="Q3" s="289"/>
      <c r="R3" s="290" t="s">
        <v>42</v>
      </c>
      <c r="S3" s="291"/>
      <c r="T3" s="292"/>
      <c r="U3" s="293"/>
      <c r="V3" s="35"/>
      <c r="W3" s="175"/>
      <c r="X3" s="183"/>
      <c r="Y3" s="181"/>
      <c r="Z3" s="181"/>
      <c r="AA3" s="181"/>
    </row>
    <row r="4" spans="1:27" ht="15" customHeight="1" x14ac:dyDescent="0.25">
      <c r="A4" s="175"/>
      <c r="B4" s="241" t="s">
        <v>43</v>
      </c>
      <c r="C4" s="19"/>
      <c r="D4" s="281" t="s">
        <v>44</v>
      </c>
      <c r="E4" s="282"/>
      <c r="F4" s="283"/>
      <c r="G4" s="284"/>
      <c r="H4" s="281" t="s">
        <v>45</v>
      </c>
      <c r="I4" s="285"/>
      <c r="J4" s="282"/>
      <c r="K4" s="50"/>
      <c r="L4" s="286" t="s">
        <v>46</v>
      </c>
      <c r="M4" s="287"/>
      <c r="N4" s="260"/>
      <c r="O4" s="288">
        <f>O2-O3</f>
        <v>105152.22999999998</v>
      </c>
      <c r="P4" s="288"/>
      <c r="Q4" s="289"/>
      <c r="R4" s="290" t="s">
        <v>47</v>
      </c>
      <c r="S4" s="291"/>
      <c r="T4" s="292"/>
      <c r="U4" s="293"/>
      <c r="V4" s="35"/>
      <c r="W4" s="175"/>
      <c r="X4" s="183"/>
      <c r="Y4" s="181"/>
      <c r="Z4" s="181"/>
      <c r="AA4" s="181"/>
    </row>
    <row r="5" spans="1:27" ht="15" customHeight="1" thickBot="1" x14ac:dyDescent="0.3">
      <c r="A5" s="175"/>
      <c r="B5" s="241" t="s">
        <v>48</v>
      </c>
      <c r="C5" s="19"/>
      <c r="D5" s="281" t="s">
        <v>49</v>
      </c>
      <c r="E5" s="282"/>
      <c r="F5" s="283"/>
      <c r="G5" s="284"/>
      <c r="H5" s="281" t="s">
        <v>50</v>
      </c>
      <c r="I5" s="285"/>
      <c r="J5" s="282"/>
      <c r="K5" s="50"/>
      <c r="L5" s="305" t="s">
        <v>51</v>
      </c>
      <c r="M5" s="306"/>
      <c r="N5" s="260"/>
      <c r="O5" s="307">
        <f>IFERROR((O2-O3)/O2,"")</f>
        <v>0.4999860444325297</v>
      </c>
      <c r="P5" s="307"/>
      <c r="Q5" s="308"/>
      <c r="R5" s="290" t="s">
        <v>52</v>
      </c>
      <c r="S5" s="291"/>
      <c r="T5" s="292"/>
      <c r="U5" s="293"/>
      <c r="V5" s="35"/>
      <c r="W5" s="175"/>
      <c r="X5" s="183"/>
      <c r="Y5" s="181"/>
      <c r="Z5" s="181"/>
      <c r="AA5" s="181"/>
    </row>
    <row r="6" spans="1:27" ht="15" customHeight="1" x14ac:dyDescent="0.25">
      <c r="A6" s="175"/>
      <c r="B6" s="241" t="s">
        <v>53</v>
      </c>
      <c r="C6" s="48"/>
      <c r="D6" s="281" t="s">
        <v>54</v>
      </c>
      <c r="E6" s="282"/>
      <c r="F6" s="283"/>
      <c r="G6" s="284"/>
      <c r="H6" s="281" t="s">
        <v>55</v>
      </c>
      <c r="I6" s="285"/>
      <c r="J6" s="282"/>
      <c r="K6" s="50"/>
      <c r="L6" s="317" t="s">
        <v>56</v>
      </c>
      <c r="M6" s="318"/>
      <c r="N6" s="260"/>
      <c r="O6" s="319">
        <f>S129</f>
        <v>105158.1</v>
      </c>
      <c r="P6" s="319"/>
      <c r="Q6" s="320"/>
      <c r="R6" s="290" t="s">
        <v>57</v>
      </c>
      <c r="S6" s="291"/>
      <c r="T6" s="292"/>
      <c r="U6" s="293"/>
      <c r="V6" s="36"/>
      <c r="W6" s="71"/>
      <c r="X6" s="72"/>
      <c r="Y6" s="181"/>
      <c r="Z6" s="181"/>
      <c r="AA6" s="181"/>
    </row>
    <row r="7" spans="1:27" ht="15" customHeight="1" x14ac:dyDescent="0.25">
      <c r="A7" s="175"/>
      <c r="B7" s="241" t="s">
        <v>58</v>
      </c>
      <c r="C7" s="49"/>
      <c r="D7" s="281" t="s">
        <v>59</v>
      </c>
      <c r="E7" s="282"/>
      <c r="F7" s="283"/>
      <c r="G7" s="284"/>
      <c r="H7" s="281" t="s">
        <v>60</v>
      </c>
      <c r="I7" s="285"/>
      <c r="J7" s="282"/>
      <c r="K7" s="50"/>
      <c r="L7" s="309" t="s">
        <v>61</v>
      </c>
      <c r="M7" s="310"/>
      <c r="N7" s="260"/>
      <c r="O7" s="311">
        <f>Q129</f>
        <v>0</v>
      </c>
      <c r="P7" s="311"/>
      <c r="Q7" s="312"/>
      <c r="R7" s="313" t="s">
        <v>62</v>
      </c>
      <c r="S7" s="314"/>
      <c r="T7" s="315"/>
      <c r="U7" s="316"/>
      <c r="V7" s="36"/>
      <c r="W7" s="73"/>
      <c r="X7" s="181"/>
      <c r="Y7" s="181"/>
      <c r="Z7" s="181"/>
      <c r="AA7" s="181"/>
    </row>
    <row r="8" spans="1:27" ht="15" customHeight="1" x14ac:dyDescent="0.25">
      <c r="A8" s="175"/>
      <c r="B8" s="238"/>
      <c r="C8" s="237"/>
      <c r="D8" s="281" t="s">
        <v>63</v>
      </c>
      <c r="E8" s="282"/>
      <c r="F8" s="283"/>
      <c r="G8" s="284"/>
      <c r="H8" s="281" t="s">
        <v>64</v>
      </c>
      <c r="I8" s="285"/>
      <c r="J8" s="282"/>
      <c r="K8" s="50"/>
      <c r="L8" s="309" t="s">
        <v>65</v>
      </c>
      <c r="M8" s="310"/>
      <c r="N8" s="260"/>
      <c r="O8" s="311">
        <f>IF(O1=P14,Q14,IF(P14="CAD $",Q14*D15,IF(P14="USD $",Q14*E15,0)))</f>
        <v>0</v>
      </c>
      <c r="P8" s="311"/>
      <c r="Q8" s="312"/>
      <c r="R8" s="231" t="s">
        <v>66</v>
      </c>
      <c r="S8" s="232" t="s">
        <v>67</v>
      </c>
      <c r="T8" s="232" t="s">
        <v>68</v>
      </c>
      <c r="U8" s="233" t="s">
        <v>69</v>
      </c>
      <c r="V8" s="39"/>
      <c r="W8" s="184"/>
      <c r="X8" s="181"/>
      <c r="Y8" s="181"/>
      <c r="Z8" s="181"/>
      <c r="AA8" s="181"/>
    </row>
    <row r="9" spans="1:27" ht="15" customHeight="1" x14ac:dyDescent="0.25">
      <c r="A9" s="175"/>
      <c r="B9" s="237"/>
      <c r="C9" s="237"/>
      <c r="D9" s="281" t="s">
        <v>70</v>
      </c>
      <c r="E9" s="282"/>
      <c r="F9" s="283"/>
      <c r="G9" s="284"/>
      <c r="H9" s="234"/>
      <c r="I9" s="235"/>
      <c r="J9" s="235"/>
      <c r="K9" s="64"/>
      <c r="L9" s="309" t="s">
        <v>71</v>
      </c>
      <c r="M9" s="310"/>
      <c r="N9" s="260"/>
      <c r="O9" s="323">
        <f>U14</f>
        <v>0</v>
      </c>
      <c r="P9" s="323"/>
      <c r="Q9" s="324"/>
      <c r="R9" s="325">
        <f>O7+O8+O9</f>
        <v>0</v>
      </c>
      <c r="S9" s="325">
        <f>O3-R9</f>
        <v>105158.1</v>
      </c>
      <c r="T9" s="327">
        <f>IFERROR(((O3-R9)/R9),0)</f>
        <v>0</v>
      </c>
      <c r="U9" s="327">
        <f>IFERROR(((O3-R9)/O3),0)</f>
        <v>1</v>
      </c>
      <c r="V9" s="329"/>
      <c r="W9" s="184"/>
      <c r="X9" s="181"/>
      <c r="Y9" s="181"/>
      <c r="Z9" s="181"/>
      <c r="AA9" s="181"/>
    </row>
    <row r="10" spans="1:27" ht="15" customHeight="1" thickBot="1" x14ac:dyDescent="0.3">
      <c r="A10" s="175"/>
      <c r="B10" s="237"/>
      <c r="C10" s="237"/>
      <c r="D10" s="236"/>
      <c r="E10" s="236"/>
      <c r="F10" s="234"/>
      <c r="G10" s="234"/>
      <c r="H10" s="234"/>
      <c r="I10" s="235"/>
      <c r="J10" s="235"/>
      <c r="K10" s="64"/>
      <c r="L10" s="290" t="s">
        <v>72</v>
      </c>
      <c r="M10" s="291"/>
      <c r="N10" s="260"/>
      <c r="O10" s="321">
        <f>E129</f>
        <v>1061</v>
      </c>
      <c r="P10" s="321"/>
      <c r="Q10" s="322"/>
      <c r="R10" s="326"/>
      <c r="S10" s="326"/>
      <c r="T10" s="328"/>
      <c r="U10" s="328"/>
      <c r="V10" s="330"/>
      <c r="W10" s="184"/>
      <c r="X10" s="181"/>
      <c r="Y10" s="181"/>
      <c r="Z10" s="181"/>
      <c r="AA10" s="181"/>
    </row>
    <row r="11" spans="1:27" ht="15" customHeight="1" x14ac:dyDescent="0.25">
      <c r="A11" s="175"/>
      <c r="B11" s="368"/>
      <c r="C11" s="369"/>
      <c r="D11" s="372" t="s">
        <v>73</v>
      </c>
      <c r="E11" s="373"/>
      <c r="F11" s="376" t="s">
        <v>36</v>
      </c>
      <c r="G11" s="377"/>
      <c r="H11" s="378"/>
      <c r="I11" s="212"/>
      <c r="J11" s="382" t="s">
        <v>74</v>
      </c>
      <c r="K11" s="383"/>
      <c r="L11" s="383"/>
      <c r="M11" s="384"/>
      <c r="N11" s="260"/>
      <c r="O11" s="391" t="s">
        <v>75</v>
      </c>
      <c r="P11" s="377"/>
      <c r="Q11" s="377"/>
      <c r="R11" s="377"/>
      <c r="S11" s="377"/>
      <c r="T11" s="377"/>
      <c r="U11" s="392"/>
      <c r="V11" s="40"/>
      <c r="W11" s="185"/>
      <c r="X11" s="181" t="s">
        <v>76</v>
      </c>
      <c r="Y11" s="181"/>
      <c r="Z11" s="181"/>
      <c r="AA11" s="181"/>
    </row>
    <row r="12" spans="1:27" ht="15" customHeight="1" x14ac:dyDescent="0.25">
      <c r="A12" s="175"/>
      <c r="B12" s="370"/>
      <c r="C12" s="371"/>
      <c r="D12" s="374"/>
      <c r="E12" s="375"/>
      <c r="F12" s="379"/>
      <c r="G12" s="380"/>
      <c r="H12" s="381"/>
      <c r="I12" s="213"/>
      <c r="J12" s="385"/>
      <c r="K12" s="386"/>
      <c r="L12" s="386"/>
      <c r="M12" s="387"/>
      <c r="N12" s="261"/>
      <c r="O12" s="393"/>
      <c r="P12" s="394"/>
      <c r="Q12" s="394"/>
      <c r="R12" s="394"/>
      <c r="S12" s="394"/>
      <c r="T12" s="394"/>
      <c r="U12" s="395"/>
      <c r="V12" s="41"/>
      <c r="W12" s="185"/>
      <c r="X12" s="181" t="s">
        <v>77</v>
      </c>
      <c r="Y12" s="181"/>
      <c r="Z12" s="181"/>
      <c r="AA12" s="181"/>
    </row>
    <row r="13" spans="1:27" ht="15" customHeight="1" x14ac:dyDescent="0.25">
      <c r="A13" s="175"/>
      <c r="B13" s="370"/>
      <c r="C13" s="371"/>
      <c r="D13" s="338"/>
      <c r="E13" s="339"/>
      <c r="F13" s="331" t="s">
        <v>78</v>
      </c>
      <c r="G13" s="332"/>
      <c r="H13" s="66" t="s">
        <v>79</v>
      </c>
      <c r="I13" s="214"/>
      <c r="J13" s="388"/>
      <c r="K13" s="389"/>
      <c r="L13" s="389"/>
      <c r="M13" s="390"/>
      <c r="N13" s="261"/>
      <c r="O13" s="393"/>
      <c r="P13" s="394"/>
      <c r="Q13" s="394"/>
      <c r="R13" s="394"/>
      <c r="S13" s="394"/>
      <c r="T13" s="394"/>
      <c r="U13" s="395"/>
      <c r="V13" s="42"/>
      <c r="W13" s="185"/>
      <c r="X13" s="181" t="s">
        <v>79</v>
      </c>
      <c r="Y13" s="181"/>
      <c r="Z13" s="181"/>
      <c r="AA13" s="181"/>
    </row>
    <row r="14" spans="1:27" ht="30" customHeight="1" x14ac:dyDescent="0.25">
      <c r="A14" s="175"/>
      <c r="B14" s="370"/>
      <c r="C14" s="371"/>
      <c r="D14" s="229" t="s">
        <v>80</v>
      </c>
      <c r="E14" s="230" t="s">
        <v>81</v>
      </c>
      <c r="F14" s="333" t="s">
        <v>82</v>
      </c>
      <c r="G14" s="334"/>
      <c r="H14" s="335"/>
      <c r="I14" s="215"/>
      <c r="J14" s="336" t="s">
        <v>83</v>
      </c>
      <c r="K14" s="337"/>
      <c r="L14" s="340">
        <v>0.5</v>
      </c>
      <c r="M14" s="226"/>
      <c r="N14" s="262"/>
      <c r="O14" s="223" t="s">
        <v>84</v>
      </c>
      <c r="P14" s="55" t="s">
        <v>77</v>
      </c>
      <c r="Q14" s="69"/>
      <c r="R14" s="223" t="s">
        <v>85</v>
      </c>
      <c r="S14" s="70">
        <v>2.5000000000000001E-2</v>
      </c>
      <c r="T14" s="223" t="s">
        <v>86</v>
      </c>
      <c r="U14" s="222">
        <f>ROUND(Q129*S14,2)</f>
        <v>0</v>
      </c>
      <c r="V14" s="43"/>
      <c r="W14" s="185"/>
      <c r="X14" s="181" t="s">
        <v>87</v>
      </c>
      <c r="Y14" s="181"/>
      <c r="Z14" s="181"/>
      <c r="AA14" s="181"/>
    </row>
    <row r="15" spans="1:27" ht="15" customHeight="1" x14ac:dyDescent="0.25">
      <c r="A15" s="175"/>
      <c r="B15" s="370"/>
      <c r="C15" s="371"/>
      <c r="D15" s="259">
        <f>1/E15</f>
        <v>0.7246376811594204</v>
      </c>
      <c r="E15" s="25">
        <v>1.38</v>
      </c>
      <c r="F15" s="342"/>
      <c r="G15" s="343"/>
      <c r="H15" s="344"/>
      <c r="I15" s="216"/>
      <c r="J15" s="338"/>
      <c r="K15" s="339"/>
      <c r="L15" s="341"/>
      <c r="M15" s="348" t="s">
        <v>88</v>
      </c>
      <c r="N15" s="262"/>
      <c r="O15" s="350" t="s">
        <v>89</v>
      </c>
      <c r="P15" s="351"/>
      <c r="Q15" s="351"/>
      <c r="R15" s="351"/>
      <c r="S15" s="351"/>
      <c r="T15" s="351"/>
      <c r="U15" s="352"/>
      <c r="V15" s="37"/>
      <c r="W15" s="186"/>
      <c r="X15" s="181"/>
      <c r="Y15" s="181"/>
      <c r="Z15" s="181"/>
      <c r="AA15" s="181"/>
    </row>
    <row r="16" spans="1:27" ht="15" customHeight="1" x14ac:dyDescent="0.25">
      <c r="A16" s="175"/>
      <c r="B16" s="353" t="s">
        <v>90</v>
      </c>
      <c r="C16" s="355" t="s">
        <v>91</v>
      </c>
      <c r="D16" s="357" t="s">
        <v>92</v>
      </c>
      <c r="E16" s="359" t="s">
        <v>93</v>
      </c>
      <c r="F16" s="356" t="s">
        <v>94</v>
      </c>
      <c r="G16" s="361"/>
      <c r="H16" s="227" t="s">
        <v>95</v>
      </c>
      <c r="I16" s="217"/>
      <c r="J16" s="362" t="s">
        <v>93</v>
      </c>
      <c r="K16" s="224" t="s">
        <v>96</v>
      </c>
      <c r="L16" s="221" t="s">
        <v>97</v>
      </c>
      <c r="M16" s="348"/>
      <c r="N16" s="263"/>
      <c r="O16" s="364" t="s">
        <v>98</v>
      </c>
      <c r="P16" s="219" t="s">
        <v>99</v>
      </c>
      <c r="Q16" s="219" t="s">
        <v>100</v>
      </c>
      <c r="R16" s="220" t="s">
        <v>101</v>
      </c>
      <c r="S16" s="220" t="s">
        <v>102</v>
      </c>
      <c r="T16" s="221" t="s">
        <v>103</v>
      </c>
      <c r="U16" s="221" t="s">
        <v>104</v>
      </c>
      <c r="V16" s="44"/>
      <c r="W16" s="187"/>
      <c r="X16" s="181"/>
      <c r="Y16" s="181"/>
      <c r="Z16" s="181"/>
      <c r="AA16" s="181"/>
    </row>
    <row r="17" spans="1:27" s="190" customFormat="1" ht="15" customHeight="1" x14ac:dyDescent="0.25">
      <c r="A17" s="176"/>
      <c r="B17" s="354"/>
      <c r="C17" s="356"/>
      <c r="D17" s="358"/>
      <c r="E17" s="360"/>
      <c r="F17" s="55" t="s">
        <v>77</v>
      </c>
      <c r="G17" s="228" t="str">
        <f>IF(F17="USD $", "CAD $", "USD $")</f>
        <v>CAD $</v>
      </c>
      <c r="H17" s="225" t="str">
        <f>K17</f>
        <v>CAD $</v>
      </c>
      <c r="I17" s="218"/>
      <c r="J17" s="363"/>
      <c r="K17" s="366" t="s">
        <v>76</v>
      </c>
      <c r="L17" s="367"/>
      <c r="M17" s="349"/>
      <c r="N17" s="264"/>
      <c r="O17" s="365"/>
      <c r="P17" s="55" t="s">
        <v>77</v>
      </c>
      <c r="Q17" s="345" t="str">
        <f>K17</f>
        <v>CAD $</v>
      </c>
      <c r="R17" s="346"/>
      <c r="S17" s="346"/>
      <c r="T17" s="346"/>
      <c r="U17" s="347"/>
      <c r="V17" s="38"/>
      <c r="W17" s="188"/>
      <c r="X17" s="189"/>
      <c r="Y17" s="189"/>
      <c r="Z17" s="189"/>
      <c r="AA17" s="189"/>
    </row>
    <row r="18" spans="1:27" x14ac:dyDescent="0.25">
      <c r="A18" s="175"/>
      <c r="B18" s="3" t="s">
        <v>305</v>
      </c>
      <c r="C18" s="23" t="s">
        <v>306</v>
      </c>
      <c r="D18" s="268"/>
      <c r="E18" s="173">
        <v>1</v>
      </c>
      <c r="F18" s="26">
        <v>44.09</v>
      </c>
      <c r="G18" s="27">
        <f>ROUND(IF($F$17="USD $", F18*$E$15,F18*$D$15),2)</f>
        <v>60.84</v>
      </c>
      <c r="H18" s="28">
        <f>ROUND(IF($H$17=$G$17,E18*G18,E18*F18),2)</f>
        <v>60.84</v>
      </c>
      <c r="I18" s="29"/>
      <c r="J18" s="209">
        <f t="shared" ref="J18:J81" si="0">E18</f>
        <v>1</v>
      </c>
      <c r="K18" s="27">
        <f>ROUND(IF($K$17=$F$17,F18*($L$14-M18),G18*($L$14-M18)),2)</f>
        <v>30.42</v>
      </c>
      <c r="L18" s="27">
        <f>ROUND((J18*K18),2)</f>
        <v>30.42</v>
      </c>
      <c r="M18" s="54"/>
      <c r="N18" s="76"/>
      <c r="O18" s="3"/>
      <c r="P18" s="31"/>
      <c r="Q18" s="32">
        <f>ROUND(IF($Q$17=$P$17,P18,IF($Q$17="USD $",P18*$D$15,P18*$E$15))*E18,2)</f>
        <v>0</v>
      </c>
      <c r="R18" s="32">
        <f>IFERROR(ROUND(S18/E18,2),0)</f>
        <v>30.42</v>
      </c>
      <c r="S18" s="32">
        <f>ROUND(L18-Q18,2)</f>
        <v>30.42</v>
      </c>
      <c r="T18" s="47">
        <f>IFERROR(((K18-(Q18/J18))/(Q18/J18)),0)</f>
        <v>0</v>
      </c>
      <c r="U18" s="47">
        <f>IFERROR(((K18-(Q18/J18))/K18),0)</f>
        <v>1</v>
      </c>
      <c r="V18" s="45"/>
      <c r="W18" s="74"/>
      <c r="X18" s="181"/>
      <c r="Y18" s="181">
        <v>250</v>
      </c>
      <c r="Z18" s="191"/>
      <c r="AA18" s="192"/>
    </row>
    <row r="19" spans="1:27" x14ac:dyDescent="0.25">
      <c r="A19" s="175"/>
      <c r="B19" s="1" t="s">
        <v>107</v>
      </c>
      <c r="C19" s="19" t="s">
        <v>307</v>
      </c>
      <c r="D19" s="269"/>
      <c r="E19" s="174">
        <v>1</v>
      </c>
      <c r="F19" s="33">
        <v>229</v>
      </c>
      <c r="G19" s="56">
        <f t="shared" ref="G19:G82" si="1">ROUND(IF($F$17="USD $", F19*$E$15,F19*$D$15),2)</f>
        <v>316.02</v>
      </c>
      <c r="H19" s="57">
        <f t="shared" ref="H19:H82" si="2">ROUND(IF($H$17=$G$17,E19*G19,E19*F19),2)</f>
        <v>316.02</v>
      </c>
      <c r="I19" s="60"/>
      <c r="J19" s="208">
        <f t="shared" si="0"/>
        <v>1</v>
      </c>
      <c r="K19" s="56">
        <f t="shared" ref="K19:K82" si="3">ROUND(IF($K$17=$F$17,F19*($L$14-M19),G19*($L$14-M19)),2)</f>
        <v>158.01</v>
      </c>
      <c r="L19" s="56">
        <f t="shared" ref="L19:L82" si="4">ROUND((J19*K19),2)</f>
        <v>158.01</v>
      </c>
      <c r="M19" s="34"/>
      <c r="N19" s="76"/>
      <c r="O19" s="1"/>
      <c r="P19" s="33"/>
      <c r="Q19" s="58">
        <f>ROUND(IF($Q$17=$P$17,P19,IF($Q$17="USD $",P19*$D$15,P19*$E$15))*E19,2)</f>
        <v>0</v>
      </c>
      <c r="R19" s="85">
        <f t="shared" ref="R19:R82" si="5">IFERROR(ROUND(S19/E19,2),0)</f>
        <v>158.01</v>
      </c>
      <c r="S19" s="85">
        <f t="shared" ref="S19:S82" si="6">ROUND(L19-Q19,2)</f>
        <v>158.01</v>
      </c>
      <c r="T19" s="59">
        <f t="shared" ref="T19:T82" si="7">IFERROR(((K19-(Q19/J19))/(Q19/J19)),0)</f>
        <v>0</v>
      </c>
      <c r="U19" s="59">
        <f t="shared" ref="U19:U82" si="8">IFERROR(((K19-(Q19/J19))/K19),0)</f>
        <v>1</v>
      </c>
      <c r="V19" s="46"/>
      <c r="W19" s="74"/>
      <c r="X19" s="181" t="s">
        <v>105</v>
      </c>
      <c r="Y19" s="181">
        <v>500</v>
      </c>
      <c r="Z19" s="181"/>
      <c r="AA19" s="181"/>
    </row>
    <row r="20" spans="1:27" x14ac:dyDescent="0.25">
      <c r="A20" s="175"/>
      <c r="B20" s="3" t="s">
        <v>308</v>
      </c>
      <c r="C20" s="24" t="s">
        <v>309</v>
      </c>
      <c r="D20" s="270"/>
      <c r="E20" s="173">
        <v>1</v>
      </c>
      <c r="F20" s="26">
        <v>170.36</v>
      </c>
      <c r="G20" s="27">
        <f t="shared" si="1"/>
        <v>235.1</v>
      </c>
      <c r="H20" s="28">
        <f t="shared" si="2"/>
        <v>235.1</v>
      </c>
      <c r="I20" s="60"/>
      <c r="J20" s="209">
        <f t="shared" si="0"/>
        <v>1</v>
      </c>
      <c r="K20" s="27">
        <f t="shared" si="3"/>
        <v>117.55</v>
      </c>
      <c r="L20" s="27">
        <f t="shared" si="4"/>
        <v>117.55</v>
      </c>
      <c r="M20" s="30"/>
      <c r="N20" s="76"/>
      <c r="O20" s="3"/>
      <c r="P20" s="31"/>
      <c r="Q20" s="32">
        <f t="shared" ref="Q20:Q83" si="9">ROUND(IF($Q$17=$P$17,P20,IF($Q$17="USD $",P20*$D$15,P20*$E$15))*E20,2)</f>
        <v>0</v>
      </c>
      <c r="R20" s="32">
        <f t="shared" si="5"/>
        <v>117.55</v>
      </c>
      <c r="S20" s="32">
        <f t="shared" si="6"/>
        <v>117.55</v>
      </c>
      <c r="T20" s="47">
        <f t="shared" si="7"/>
        <v>0</v>
      </c>
      <c r="U20" s="47">
        <f t="shared" si="8"/>
        <v>1</v>
      </c>
      <c r="V20" s="45"/>
      <c r="W20" s="74"/>
      <c r="X20" s="181" t="s">
        <v>106</v>
      </c>
      <c r="Y20" s="181">
        <v>750</v>
      </c>
      <c r="Z20" s="181"/>
      <c r="AA20" s="181"/>
    </row>
    <row r="21" spans="1:27" x14ac:dyDescent="0.25">
      <c r="A21" s="175"/>
      <c r="B21" s="1" t="s">
        <v>310</v>
      </c>
      <c r="C21" s="19" t="s">
        <v>173</v>
      </c>
      <c r="D21" s="269"/>
      <c r="E21" s="174">
        <v>1</v>
      </c>
      <c r="F21" s="33">
        <v>67.44</v>
      </c>
      <c r="G21" s="56">
        <f t="shared" si="1"/>
        <v>93.07</v>
      </c>
      <c r="H21" s="57">
        <f t="shared" si="2"/>
        <v>93.07</v>
      </c>
      <c r="I21" s="60"/>
      <c r="J21" s="208">
        <f t="shared" si="0"/>
        <v>1</v>
      </c>
      <c r="K21" s="56">
        <f t="shared" si="3"/>
        <v>46.54</v>
      </c>
      <c r="L21" s="56">
        <f t="shared" si="4"/>
        <v>46.54</v>
      </c>
      <c r="M21" s="34"/>
      <c r="N21" s="76"/>
      <c r="O21" s="1"/>
      <c r="P21" s="33"/>
      <c r="Q21" s="58">
        <f t="shared" si="9"/>
        <v>0</v>
      </c>
      <c r="R21" s="85">
        <f t="shared" si="5"/>
        <v>46.54</v>
      </c>
      <c r="S21" s="85">
        <f t="shared" si="6"/>
        <v>46.54</v>
      </c>
      <c r="T21" s="59">
        <f t="shared" si="7"/>
        <v>0</v>
      </c>
      <c r="U21" s="59">
        <f t="shared" si="8"/>
        <v>1</v>
      </c>
      <c r="V21" s="46"/>
      <c r="W21" s="74"/>
      <c r="X21" s="181" t="s">
        <v>108</v>
      </c>
      <c r="Y21" s="181">
        <v>1000</v>
      </c>
      <c r="Z21" s="181"/>
      <c r="AA21" s="181"/>
    </row>
    <row r="22" spans="1:27" x14ac:dyDescent="0.25">
      <c r="A22" s="175"/>
      <c r="B22" s="3" t="s">
        <v>311</v>
      </c>
      <c r="C22" s="24" t="s">
        <v>312</v>
      </c>
      <c r="D22" s="270"/>
      <c r="E22" s="173">
        <v>1</v>
      </c>
      <c r="F22" s="26">
        <v>117.3</v>
      </c>
      <c r="G22" s="27">
        <f t="shared" si="1"/>
        <v>161.87</v>
      </c>
      <c r="H22" s="28">
        <f t="shared" si="2"/>
        <v>161.87</v>
      </c>
      <c r="I22" s="60"/>
      <c r="J22" s="209">
        <f t="shared" si="0"/>
        <v>1</v>
      </c>
      <c r="K22" s="27">
        <f t="shared" si="3"/>
        <v>80.94</v>
      </c>
      <c r="L22" s="27">
        <f t="shared" si="4"/>
        <v>80.94</v>
      </c>
      <c r="M22" s="30"/>
      <c r="N22" s="76"/>
      <c r="O22" s="3"/>
      <c r="P22" s="31"/>
      <c r="Q22" s="32">
        <f t="shared" si="9"/>
        <v>0</v>
      </c>
      <c r="R22" s="32">
        <f t="shared" si="5"/>
        <v>80.94</v>
      </c>
      <c r="S22" s="32">
        <f t="shared" si="6"/>
        <v>80.94</v>
      </c>
      <c r="T22" s="47">
        <f t="shared" si="7"/>
        <v>0</v>
      </c>
      <c r="U22" s="47">
        <f t="shared" si="8"/>
        <v>1</v>
      </c>
      <c r="V22" s="45"/>
      <c r="W22" s="74"/>
      <c r="X22" s="181" t="s">
        <v>109</v>
      </c>
      <c r="Y22" s="181">
        <v>1200</v>
      </c>
      <c r="Z22" s="181"/>
      <c r="AA22" s="181"/>
    </row>
    <row r="23" spans="1:27" x14ac:dyDescent="0.25">
      <c r="A23" s="175"/>
      <c r="B23" s="1" t="s">
        <v>313</v>
      </c>
      <c r="C23" s="19" t="s">
        <v>145</v>
      </c>
      <c r="D23" s="269"/>
      <c r="E23" s="174">
        <v>1</v>
      </c>
      <c r="F23" s="33">
        <v>165.83</v>
      </c>
      <c r="G23" s="56">
        <f t="shared" si="1"/>
        <v>228.85</v>
      </c>
      <c r="H23" s="57">
        <f t="shared" si="2"/>
        <v>228.85</v>
      </c>
      <c r="I23" s="60"/>
      <c r="J23" s="208">
        <f t="shared" si="0"/>
        <v>1</v>
      </c>
      <c r="K23" s="56">
        <f t="shared" si="3"/>
        <v>114.43</v>
      </c>
      <c r="L23" s="56">
        <f t="shared" si="4"/>
        <v>114.43</v>
      </c>
      <c r="M23" s="34"/>
      <c r="N23" s="76"/>
      <c r="O23" s="1"/>
      <c r="P23" s="33"/>
      <c r="Q23" s="58">
        <f t="shared" si="9"/>
        <v>0</v>
      </c>
      <c r="R23" s="85">
        <f t="shared" si="5"/>
        <v>114.43</v>
      </c>
      <c r="S23" s="85">
        <f t="shared" si="6"/>
        <v>114.43</v>
      </c>
      <c r="T23" s="59">
        <f t="shared" si="7"/>
        <v>0</v>
      </c>
      <c r="U23" s="59">
        <f t="shared" si="8"/>
        <v>1</v>
      </c>
      <c r="V23" s="46"/>
      <c r="W23" s="74"/>
      <c r="X23" s="181" t="s">
        <v>111</v>
      </c>
      <c r="Y23" s="181">
        <v>2000</v>
      </c>
      <c r="Z23" s="181"/>
      <c r="AA23" s="181"/>
    </row>
    <row r="24" spans="1:27" x14ac:dyDescent="0.25">
      <c r="A24" s="175"/>
      <c r="B24" s="3" t="s">
        <v>204</v>
      </c>
      <c r="C24" s="24" t="s">
        <v>314</v>
      </c>
      <c r="D24" s="270"/>
      <c r="E24" s="173">
        <v>1</v>
      </c>
      <c r="F24" s="26">
        <v>85.6</v>
      </c>
      <c r="G24" s="27">
        <f t="shared" si="1"/>
        <v>118.13</v>
      </c>
      <c r="H24" s="28">
        <f t="shared" si="2"/>
        <v>118.13</v>
      </c>
      <c r="I24" s="60"/>
      <c r="J24" s="209">
        <f t="shared" si="0"/>
        <v>1</v>
      </c>
      <c r="K24" s="27">
        <f t="shared" si="3"/>
        <v>59.07</v>
      </c>
      <c r="L24" s="27">
        <f t="shared" si="4"/>
        <v>59.07</v>
      </c>
      <c r="M24" s="30"/>
      <c r="N24" s="76"/>
      <c r="O24" s="3"/>
      <c r="P24" s="31"/>
      <c r="Q24" s="32">
        <f t="shared" si="9"/>
        <v>0</v>
      </c>
      <c r="R24" s="32">
        <f t="shared" si="5"/>
        <v>59.07</v>
      </c>
      <c r="S24" s="32">
        <f t="shared" si="6"/>
        <v>59.07</v>
      </c>
      <c r="T24" s="47">
        <f t="shared" si="7"/>
        <v>0</v>
      </c>
      <c r="U24" s="47">
        <f t="shared" si="8"/>
        <v>1</v>
      </c>
      <c r="V24" s="45"/>
      <c r="W24" s="74"/>
      <c r="X24" s="181" t="s">
        <v>112</v>
      </c>
      <c r="Y24" s="181">
        <v>4000</v>
      </c>
      <c r="Z24" s="181"/>
      <c r="AA24" s="181"/>
    </row>
    <row r="25" spans="1:27" x14ac:dyDescent="0.25">
      <c r="A25" s="175"/>
      <c r="B25" s="1" t="s">
        <v>315</v>
      </c>
      <c r="C25" s="19" t="s">
        <v>213</v>
      </c>
      <c r="D25" s="269"/>
      <c r="E25" s="174">
        <v>6</v>
      </c>
      <c r="F25" s="33">
        <v>1834.86</v>
      </c>
      <c r="G25" s="56">
        <f t="shared" si="1"/>
        <v>2532.11</v>
      </c>
      <c r="H25" s="57">
        <f t="shared" si="2"/>
        <v>15192.66</v>
      </c>
      <c r="I25" s="60"/>
      <c r="J25" s="208">
        <f t="shared" si="0"/>
        <v>6</v>
      </c>
      <c r="K25" s="56">
        <f t="shared" si="3"/>
        <v>1266.06</v>
      </c>
      <c r="L25" s="56">
        <f t="shared" si="4"/>
        <v>7596.36</v>
      </c>
      <c r="M25" s="34"/>
      <c r="N25" s="76"/>
      <c r="O25" s="1"/>
      <c r="P25" s="33"/>
      <c r="Q25" s="58">
        <f t="shared" si="9"/>
        <v>0</v>
      </c>
      <c r="R25" s="85">
        <f t="shared" si="5"/>
        <v>1266.06</v>
      </c>
      <c r="S25" s="85">
        <f t="shared" si="6"/>
        <v>7596.36</v>
      </c>
      <c r="T25" s="59">
        <f t="shared" si="7"/>
        <v>0</v>
      </c>
      <c r="U25" s="59">
        <f t="shared" si="8"/>
        <v>1</v>
      </c>
      <c r="V25" s="46"/>
      <c r="W25" s="74"/>
      <c r="X25" s="181" t="s">
        <v>114</v>
      </c>
      <c r="Y25" s="181">
        <v>6000</v>
      </c>
      <c r="Z25" s="181"/>
      <c r="AA25" s="181"/>
    </row>
    <row r="26" spans="1:27" x14ac:dyDescent="0.25">
      <c r="A26" s="175"/>
      <c r="B26" s="3" t="s">
        <v>316</v>
      </c>
      <c r="C26" s="24" t="s">
        <v>317</v>
      </c>
      <c r="D26" s="270"/>
      <c r="E26" s="173">
        <v>1</v>
      </c>
      <c r="F26" s="26">
        <v>451.85</v>
      </c>
      <c r="G26" s="27">
        <f t="shared" si="1"/>
        <v>623.54999999999995</v>
      </c>
      <c r="H26" s="28">
        <f t="shared" si="2"/>
        <v>623.54999999999995</v>
      </c>
      <c r="I26" s="60"/>
      <c r="J26" s="209">
        <f t="shared" si="0"/>
        <v>1</v>
      </c>
      <c r="K26" s="27">
        <f t="shared" si="3"/>
        <v>311.77999999999997</v>
      </c>
      <c r="L26" s="27">
        <f t="shared" si="4"/>
        <v>311.77999999999997</v>
      </c>
      <c r="M26" s="30"/>
      <c r="N26" s="76"/>
      <c r="O26" s="3"/>
      <c r="P26" s="31"/>
      <c r="Q26" s="32">
        <f t="shared" si="9"/>
        <v>0</v>
      </c>
      <c r="R26" s="32">
        <f t="shared" si="5"/>
        <v>311.77999999999997</v>
      </c>
      <c r="S26" s="32">
        <f t="shared" si="6"/>
        <v>311.77999999999997</v>
      </c>
      <c r="T26" s="47">
        <f t="shared" si="7"/>
        <v>0</v>
      </c>
      <c r="U26" s="47">
        <f t="shared" si="8"/>
        <v>1</v>
      </c>
      <c r="V26" s="45"/>
      <c r="W26" s="74"/>
      <c r="X26" s="181" t="s">
        <v>115</v>
      </c>
      <c r="Y26" s="181">
        <v>8000</v>
      </c>
      <c r="Z26" s="181"/>
      <c r="AA26" s="181"/>
    </row>
    <row r="27" spans="1:27" x14ac:dyDescent="0.25">
      <c r="A27" s="175"/>
      <c r="B27" s="1"/>
      <c r="C27" s="19"/>
      <c r="D27" s="269"/>
      <c r="E27" s="174"/>
      <c r="F27" s="33"/>
      <c r="G27" s="56">
        <f t="shared" si="1"/>
        <v>0</v>
      </c>
      <c r="H27" s="57">
        <f t="shared" si="2"/>
        <v>0</v>
      </c>
      <c r="I27" s="60"/>
      <c r="J27" s="208">
        <f t="shared" si="0"/>
        <v>0</v>
      </c>
      <c r="K27" s="56">
        <f t="shared" si="3"/>
        <v>0</v>
      </c>
      <c r="L27" s="56">
        <f t="shared" si="4"/>
        <v>0</v>
      </c>
      <c r="M27" s="34"/>
      <c r="N27" s="76"/>
      <c r="O27" s="1"/>
      <c r="P27" s="33"/>
      <c r="Q27" s="58">
        <f t="shared" si="9"/>
        <v>0</v>
      </c>
      <c r="R27" s="85">
        <f t="shared" si="5"/>
        <v>0</v>
      </c>
      <c r="S27" s="85">
        <f t="shared" si="6"/>
        <v>0</v>
      </c>
      <c r="T27" s="59">
        <f t="shared" si="7"/>
        <v>0</v>
      </c>
      <c r="U27" s="59">
        <f t="shared" si="8"/>
        <v>0</v>
      </c>
      <c r="V27" s="46"/>
      <c r="W27" s="74"/>
      <c r="X27" s="181" t="s">
        <v>116</v>
      </c>
      <c r="Y27" s="193">
        <v>10000</v>
      </c>
      <c r="Z27" s="181"/>
      <c r="AA27" s="181"/>
    </row>
    <row r="28" spans="1:27" x14ac:dyDescent="0.25">
      <c r="A28" s="175"/>
      <c r="B28" s="3" t="s">
        <v>318</v>
      </c>
      <c r="C28" s="24" t="s">
        <v>179</v>
      </c>
      <c r="D28" s="270"/>
      <c r="E28" s="173">
        <v>1</v>
      </c>
      <c r="F28" s="26">
        <v>6839.06</v>
      </c>
      <c r="G28" s="27">
        <f t="shared" si="1"/>
        <v>9437.9</v>
      </c>
      <c r="H28" s="28">
        <f t="shared" si="2"/>
        <v>9437.9</v>
      </c>
      <c r="I28" s="60"/>
      <c r="J28" s="209">
        <f t="shared" si="0"/>
        <v>1</v>
      </c>
      <c r="K28" s="27">
        <f t="shared" si="3"/>
        <v>4718.95</v>
      </c>
      <c r="L28" s="27">
        <f t="shared" si="4"/>
        <v>4718.95</v>
      </c>
      <c r="M28" s="30"/>
      <c r="N28" s="76"/>
      <c r="O28" s="3"/>
      <c r="P28" s="31"/>
      <c r="Q28" s="32">
        <f t="shared" si="9"/>
        <v>0</v>
      </c>
      <c r="R28" s="32">
        <f t="shared" si="5"/>
        <v>4718.95</v>
      </c>
      <c r="S28" s="32">
        <f t="shared" si="6"/>
        <v>4718.95</v>
      </c>
      <c r="T28" s="47">
        <f t="shared" si="7"/>
        <v>0</v>
      </c>
      <c r="U28" s="47">
        <f t="shared" si="8"/>
        <v>1</v>
      </c>
      <c r="V28" s="45"/>
      <c r="W28" s="74"/>
      <c r="X28" s="181" t="s">
        <v>117</v>
      </c>
      <c r="Y28" s="181" t="s">
        <v>118</v>
      </c>
      <c r="Z28" s="181"/>
      <c r="AA28" s="181"/>
    </row>
    <row r="29" spans="1:27" x14ac:dyDescent="0.25">
      <c r="A29" s="175"/>
      <c r="B29" s="1" t="s">
        <v>319</v>
      </c>
      <c r="C29" s="19" t="s">
        <v>166</v>
      </c>
      <c r="D29" s="269"/>
      <c r="E29" s="174">
        <v>1</v>
      </c>
      <c r="F29" s="33">
        <v>4419.09</v>
      </c>
      <c r="G29" s="56">
        <f>ROUND(IF($F$17="USD $", F29*$E$15,F29*$D$15),2)</f>
        <v>6098.34</v>
      </c>
      <c r="H29" s="57">
        <f>ROUND(IF($H$17=$G$17,E29*G29,E29*F29),2)</f>
        <v>6098.34</v>
      </c>
      <c r="I29" s="60"/>
      <c r="J29" s="208">
        <f t="shared" si="0"/>
        <v>1</v>
      </c>
      <c r="K29" s="56">
        <f t="shared" si="3"/>
        <v>3049.17</v>
      </c>
      <c r="L29" s="56">
        <f>ROUND((J29*K29),2)</f>
        <v>3049.17</v>
      </c>
      <c r="M29" s="34"/>
      <c r="N29" s="76"/>
      <c r="O29" s="1"/>
      <c r="P29" s="33"/>
      <c r="Q29" s="58">
        <f t="shared" si="9"/>
        <v>0</v>
      </c>
      <c r="R29" s="85">
        <f t="shared" si="5"/>
        <v>3049.17</v>
      </c>
      <c r="S29" s="85">
        <f t="shared" si="6"/>
        <v>3049.17</v>
      </c>
      <c r="T29" s="59">
        <f t="shared" si="7"/>
        <v>0</v>
      </c>
      <c r="U29" s="59">
        <f t="shared" si="8"/>
        <v>1</v>
      </c>
      <c r="V29" s="46"/>
      <c r="W29" s="74"/>
      <c r="X29" s="181" t="s">
        <v>120</v>
      </c>
      <c r="Y29" s="181"/>
      <c r="Z29" s="181"/>
      <c r="AA29" s="181"/>
    </row>
    <row r="30" spans="1:27" x14ac:dyDescent="0.25">
      <c r="A30" s="175"/>
      <c r="B30" s="3">
        <v>4892731</v>
      </c>
      <c r="C30" s="24" t="s">
        <v>178</v>
      </c>
      <c r="D30" s="270"/>
      <c r="E30" s="173">
        <v>1</v>
      </c>
      <c r="F30" s="26">
        <v>14944.09</v>
      </c>
      <c r="G30" s="27">
        <f t="shared" si="1"/>
        <v>20622.84</v>
      </c>
      <c r="H30" s="28">
        <f t="shared" si="2"/>
        <v>20622.84</v>
      </c>
      <c r="I30" s="60"/>
      <c r="J30" s="209">
        <f t="shared" si="0"/>
        <v>1</v>
      </c>
      <c r="K30" s="27">
        <f t="shared" si="3"/>
        <v>10311.42</v>
      </c>
      <c r="L30" s="27">
        <f t="shared" si="4"/>
        <v>10311.42</v>
      </c>
      <c r="M30" s="30"/>
      <c r="N30" s="76"/>
      <c r="O30" s="3"/>
      <c r="P30" s="31"/>
      <c r="Q30" s="32">
        <f t="shared" si="9"/>
        <v>0</v>
      </c>
      <c r="R30" s="32">
        <f t="shared" si="5"/>
        <v>10311.42</v>
      </c>
      <c r="S30" s="32">
        <f t="shared" si="6"/>
        <v>10311.42</v>
      </c>
      <c r="T30" s="47">
        <f t="shared" si="7"/>
        <v>0</v>
      </c>
      <c r="U30" s="47">
        <f t="shared" si="8"/>
        <v>1</v>
      </c>
      <c r="V30" s="45"/>
      <c r="W30" s="74"/>
      <c r="X30" s="181"/>
      <c r="Y30" s="181"/>
      <c r="Z30" s="181"/>
      <c r="AA30" s="181"/>
    </row>
    <row r="31" spans="1:27" x14ac:dyDescent="0.25">
      <c r="A31" s="175"/>
      <c r="B31" s="1" t="s">
        <v>125</v>
      </c>
      <c r="C31" s="19" t="s">
        <v>320</v>
      </c>
      <c r="D31" s="269"/>
      <c r="E31" s="174"/>
      <c r="F31" s="33"/>
      <c r="G31" s="56">
        <f t="shared" si="1"/>
        <v>0</v>
      </c>
      <c r="H31" s="57">
        <f t="shared" si="2"/>
        <v>0</v>
      </c>
      <c r="I31" s="60"/>
      <c r="J31" s="208">
        <f t="shared" si="0"/>
        <v>0</v>
      </c>
      <c r="K31" s="56">
        <f t="shared" si="3"/>
        <v>0</v>
      </c>
      <c r="L31" s="56">
        <f t="shared" si="4"/>
        <v>0</v>
      </c>
      <c r="M31" s="34"/>
      <c r="N31" s="76"/>
      <c r="O31" s="1"/>
      <c r="P31" s="33"/>
      <c r="Q31" s="58">
        <f t="shared" si="9"/>
        <v>0</v>
      </c>
      <c r="R31" s="85">
        <f t="shared" si="5"/>
        <v>0</v>
      </c>
      <c r="S31" s="85">
        <f t="shared" si="6"/>
        <v>0</v>
      </c>
      <c r="T31" s="59">
        <f t="shared" si="7"/>
        <v>0</v>
      </c>
      <c r="U31" s="59">
        <f t="shared" si="8"/>
        <v>0</v>
      </c>
      <c r="V31" s="46"/>
      <c r="W31" s="74"/>
      <c r="X31" s="181"/>
      <c r="Y31" s="181"/>
      <c r="Z31" s="181"/>
      <c r="AA31" s="181"/>
    </row>
    <row r="32" spans="1:27" x14ac:dyDescent="0.25">
      <c r="A32" s="175"/>
      <c r="B32" s="3"/>
      <c r="C32" s="24"/>
      <c r="D32" s="270"/>
      <c r="E32" s="173"/>
      <c r="F32" s="26"/>
      <c r="G32" s="27">
        <f t="shared" si="1"/>
        <v>0</v>
      </c>
      <c r="H32" s="28">
        <f t="shared" si="2"/>
        <v>0</v>
      </c>
      <c r="I32" s="60"/>
      <c r="J32" s="209">
        <f t="shared" si="0"/>
        <v>0</v>
      </c>
      <c r="K32" s="27">
        <f t="shared" si="3"/>
        <v>0</v>
      </c>
      <c r="L32" s="27">
        <f t="shared" si="4"/>
        <v>0</v>
      </c>
      <c r="M32" s="30"/>
      <c r="N32" s="76"/>
      <c r="O32" s="3"/>
      <c r="P32" s="31"/>
      <c r="Q32" s="32">
        <f t="shared" si="9"/>
        <v>0</v>
      </c>
      <c r="R32" s="32">
        <f t="shared" si="5"/>
        <v>0</v>
      </c>
      <c r="S32" s="32">
        <f t="shared" si="6"/>
        <v>0</v>
      </c>
      <c r="T32" s="47">
        <f t="shared" si="7"/>
        <v>0</v>
      </c>
      <c r="U32" s="47">
        <f t="shared" si="8"/>
        <v>0</v>
      </c>
      <c r="V32" s="45"/>
      <c r="W32" s="74"/>
      <c r="X32" s="181"/>
      <c r="Y32" s="181"/>
      <c r="Z32" s="181"/>
      <c r="AA32" s="181"/>
    </row>
    <row r="33" spans="1:27" x14ac:dyDescent="0.25">
      <c r="A33" s="175"/>
      <c r="B33" s="1" t="s">
        <v>125</v>
      </c>
      <c r="C33" s="19" t="s">
        <v>321</v>
      </c>
      <c r="D33" s="269"/>
      <c r="E33" s="174">
        <v>2</v>
      </c>
      <c r="F33" s="33">
        <f>SUM(F34:F37)</f>
        <v>10726.82</v>
      </c>
      <c r="G33" s="56">
        <f t="shared" si="1"/>
        <v>14803.01</v>
      </c>
      <c r="H33" s="57">
        <f t="shared" si="2"/>
        <v>29606.02</v>
      </c>
      <c r="I33" s="60"/>
      <c r="J33" s="208">
        <f t="shared" si="0"/>
        <v>2</v>
      </c>
      <c r="K33" s="56">
        <f t="shared" si="3"/>
        <v>7401.51</v>
      </c>
      <c r="L33" s="56">
        <f t="shared" si="4"/>
        <v>14803.02</v>
      </c>
      <c r="M33" s="34"/>
      <c r="N33" s="76"/>
      <c r="O33" s="1"/>
      <c r="P33" s="33"/>
      <c r="Q33" s="58">
        <f t="shared" si="9"/>
        <v>0</v>
      </c>
      <c r="R33" s="85">
        <f t="shared" si="5"/>
        <v>7401.51</v>
      </c>
      <c r="S33" s="85">
        <f t="shared" si="6"/>
        <v>14803.02</v>
      </c>
      <c r="T33" s="59">
        <f t="shared" si="7"/>
        <v>0</v>
      </c>
      <c r="U33" s="59">
        <f t="shared" si="8"/>
        <v>1</v>
      </c>
      <c r="V33" s="46"/>
      <c r="W33" s="74"/>
      <c r="X33" s="181"/>
      <c r="Y33" s="181"/>
      <c r="Z33" s="181"/>
      <c r="AA33" s="181"/>
    </row>
    <row r="34" spans="1:27" x14ac:dyDescent="0.25">
      <c r="A34" s="175"/>
      <c r="B34" s="3" t="s">
        <v>322</v>
      </c>
      <c r="C34" s="24" t="s">
        <v>323</v>
      </c>
      <c r="D34" s="270"/>
      <c r="E34" s="173">
        <v>2</v>
      </c>
      <c r="F34" s="26">
        <v>10460.700000000001</v>
      </c>
      <c r="G34" s="27">
        <f t="shared" si="1"/>
        <v>14435.77</v>
      </c>
      <c r="H34" s="28">
        <f t="shared" si="2"/>
        <v>28871.54</v>
      </c>
      <c r="I34" s="60"/>
      <c r="J34" s="209">
        <f t="shared" si="0"/>
        <v>2</v>
      </c>
      <c r="K34" s="27">
        <f t="shared" si="3"/>
        <v>7217.89</v>
      </c>
      <c r="L34" s="27">
        <f t="shared" si="4"/>
        <v>14435.78</v>
      </c>
      <c r="M34" s="30"/>
      <c r="N34" s="76"/>
      <c r="O34" s="3"/>
      <c r="P34" s="31"/>
      <c r="Q34" s="32">
        <f t="shared" si="9"/>
        <v>0</v>
      </c>
      <c r="R34" s="32">
        <f t="shared" si="5"/>
        <v>7217.89</v>
      </c>
      <c r="S34" s="32">
        <f t="shared" si="6"/>
        <v>14435.78</v>
      </c>
      <c r="T34" s="47">
        <f t="shared" si="7"/>
        <v>0</v>
      </c>
      <c r="U34" s="47">
        <f t="shared" si="8"/>
        <v>1</v>
      </c>
      <c r="V34" s="45"/>
      <c r="W34" s="74"/>
      <c r="X34" s="181"/>
      <c r="Y34" s="181"/>
      <c r="Z34" s="181"/>
      <c r="AA34" s="181"/>
    </row>
    <row r="35" spans="1:27" x14ac:dyDescent="0.25">
      <c r="A35" s="175"/>
      <c r="B35" s="1" t="s">
        <v>324</v>
      </c>
      <c r="C35" s="19" t="s">
        <v>325</v>
      </c>
      <c r="D35" s="269"/>
      <c r="E35" s="174">
        <v>96</v>
      </c>
      <c r="F35" s="33">
        <v>256.66000000000003</v>
      </c>
      <c r="G35" s="56">
        <f t="shared" si="1"/>
        <v>354.19</v>
      </c>
      <c r="H35" s="57">
        <f t="shared" si="2"/>
        <v>34002.239999999998</v>
      </c>
      <c r="I35" s="60"/>
      <c r="J35" s="208">
        <f t="shared" si="0"/>
        <v>96</v>
      </c>
      <c r="K35" s="56">
        <f t="shared" si="3"/>
        <v>177.1</v>
      </c>
      <c r="L35" s="56">
        <f t="shared" si="4"/>
        <v>17001.599999999999</v>
      </c>
      <c r="M35" s="34"/>
      <c r="N35" s="76"/>
      <c r="O35" s="1"/>
      <c r="P35" s="33"/>
      <c r="Q35" s="58">
        <f t="shared" si="9"/>
        <v>0</v>
      </c>
      <c r="R35" s="85">
        <f t="shared" si="5"/>
        <v>177.1</v>
      </c>
      <c r="S35" s="85">
        <f t="shared" si="6"/>
        <v>17001.599999999999</v>
      </c>
      <c r="T35" s="59">
        <f t="shared" si="7"/>
        <v>0</v>
      </c>
      <c r="U35" s="59">
        <f t="shared" si="8"/>
        <v>1</v>
      </c>
      <c r="V35" s="46"/>
      <c r="W35" s="74"/>
      <c r="X35" s="181"/>
      <c r="Y35" s="181"/>
      <c r="Z35" s="181"/>
      <c r="AA35" s="181"/>
    </row>
    <row r="36" spans="1:27" x14ac:dyDescent="0.25">
      <c r="A36" s="175"/>
      <c r="B36" s="3" t="s">
        <v>326</v>
      </c>
      <c r="C36" s="24" t="s">
        <v>134</v>
      </c>
      <c r="D36" s="270"/>
      <c r="E36" s="173">
        <v>384</v>
      </c>
      <c r="F36" s="26">
        <v>6.32</v>
      </c>
      <c r="G36" s="27">
        <f t="shared" si="1"/>
        <v>8.7200000000000006</v>
      </c>
      <c r="H36" s="28">
        <f t="shared" si="2"/>
        <v>3348.48</v>
      </c>
      <c r="I36" s="60"/>
      <c r="J36" s="209">
        <f t="shared" si="0"/>
        <v>384</v>
      </c>
      <c r="K36" s="27">
        <f t="shared" si="3"/>
        <v>4.3600000000000003</v>
      </c>
      <c r="L36" s="27">
        <f t="shared" si="4"/>
        <v>1674.24</v>
      </c>
      <c r="M36" s="30"/>
      <c r="N36" s="76"/>
      <c r="O36" s="3"/>
      <c r="P36" s="31"/>
      <c r="Q36" s="32">
        <f t="shared" si="9"/>
        <v>0</v>
      </c>
      <c r="R36" s="32">
        <f t="shared" si="5"/>
        <v>4.3600000000000003</v>
      </c>
      <c r="S36" s="32">
        <f t="shared" si="6"/>
        <v>1674.24</v>
      </c>
      <c r="T36" s="47">
        <f t="shared" si="7"/>
        <v>0</v>
      </c>
      <c r="U36" s="47">
        <f t="shared" si="8"/>
        <v>1</v>
      </c>
      <c r="V36" s="45"/>
      <c r="W36" s="74"/>
      <c r="X36" s="181"/>
      <c r="Y36" s="181"/>
      <c r="Z36" s="181"/>
      <c r="AA36" s="181"/>
    </row>
    <row r="37" spans="1:27" x14ac:dyDescent="0.25">
      <c r="A37" s="175"/>
      <c r="B37" s="1" t="s">
        <v>124</v>
      </c>
      <c r="C37" s="19" t="s">
        <v>327</v>
      </c>
      <c r="D37" s="269"/>
      <c r="E37" s="174">
        <v>384</v>
      </c>
      <c r="F37" s="33">
        <v>3.14</v>
      </c>
      <c r="G37" s="56">
        <f t="shared" si="1"/>
        <v>4.33</v>
      </c>
      <c r="H37" s="57">
        <f t="shared" si="2"/>
        <v>1662.72</v>
      </c>
      <c r="I37" s="60"/>
      <c r="J37" s="208">
        <f t="shared" si="0"/>
        <v>384</v>
      </c>
      <c r="K37" s="56">
        <f t="shared" si="3"/>
        <v>2.17</v>
      </c>
      <c r="L37" s="56">
        <f t="shared" si="4"/>
        <v>833.28</v>
      </c>
      <c r="M37" s="34"/>
      <c r="N37" s="76"/>
      <c r="O37" s="1"/>
      <c r="P37" s="33"/>
      <c r="Q37" s="58">
        <f t="shared" si="9"/>
        <v>0</v>
      </c>
      <c r="R37" s="85">
        <f t="shared" si="5"/>
        <v>2.17</v>
      </c>
      <c r="S37" s="85">
        <f t="shared" si="6"/>
        <v>833.28</v>
      </c>
      <c r="T37" s="59">
        <f t="shared" si="7"/>
        <v>0</v>
      </c>
      <c r="U37" s="59">
        <f t="shared" si="8"/>
        <v>1</v>
      </c>
      <c r="V37" s="46"/>
      <c r="W37" s="74"/>
      <c r="X37" s="181"/>
      <c r="Y37" s="181"/>
      <c r="Z37" s="181"/>
      <c r="AA37" s="181"/>
    </row>
    <row r="38" spans="1:27" x14ac:dyDescent="0.25">
      <c r="A38" s="175"/>
      <c r="B38" s="3"/>
      <c r="C38" s="24"/>
      <c r="D38" s="270"/>
      <c r="E38" s="173"/>
      <c r="F38" s="26"/>
      <c r="G38" s="2">
        <f t="shared" si="1"/>
        <v>0</v>
      </c>
      <c r="H38" s="20">
        <f t="shared" si="2"/>
        <v>0</v>
      </c>
      <c r="I38" s="61"/>
      <c r="J38" s="210">
        <f t="shared" si="0"/>
        <v>0</v>
      </c>
      <c r="K38" s="2">
        <f t="shared" si="3"/>
        <v>0</v>
      </c>
      <c r="L38" s="2">
        <f t="shared" si="4"/>
        <v>0</v>
      </c>
      <c r="M38" s="21"/>
      <c r="N38" s="76"/>
      <c r="O38" s="3"/>
      <c r="P38" s="31"/>
      <c r="Q38" s="32">
        <f t="shared" si="9"/>
        <v>0</v>
      </c>
      <c r="R38" s="32">
        <f t="shared" si="5"/>
        <v>0</v>
      </c>
      <c r="S38" s="32">
        <f t="shared" si="6"/>
        <v>0</v>
      </c>
      <c r="T38" s="47">
        <f t="shared" si="7"/>
        <v>0</v>
      </c>
      <c r="U38" s="47">
        <f t="shared" si="8"/>
        <v>0</v>
      </c>
      <c r="V38" s="45"/>
      <c r="W38" s="75"/>
    </row>
    <row r="39" spans="1:27" x14ac:dyDescent="0.25">
      <c r="A39" s="175"/>
      <c r="B39" s="1" t="s">
        <v>328</v>
      </c>
      <c r="C39" s="19" t="s">
        <v>329</v>
      </c>
      <c r="D39" s="269"/>
      <c r="E39" s="174">
        <v>2</v>
      </c>
      <c r="F39" s="33">
        <v>3159.07</v>
      </c>
      <c r="G39" s="62">
        <f t="shared" si="1"/>
        <v>4359.5200000000004</v>
      </c>
      <c r="H39" s="63">
        <f t="shared" si="2"/>
        <v>8719.0400000000009</v>
      </c>
      <c r="I39" s="61"/>
      <c r="J39" s="211">
        <f t="shared" si="0"/>
        <v>2</v>
      </c>
      <c r="K39" s="62">
        <f t="shared" si="3"/>
        <v>2179.7600000000002</v>
      </c>
      <c r="L39" s="62">
        <f t="shared" si="4"/>
        <v>4359.5200000000004</v>
      </c>
      <c r="M39" s="22"/>
      <c r="N39" s="76"/>
      <c r="O39" s="1"/>
      <c r="P39" s="33"/>
      <c r="Q39" s="58">
        <f t="shared" si="9"/>
        <v>0</v>
      </c>
      <c r="R39" s="85">
        <f t="shared" si="5"/>
        <v>2179.7600000000002</v>
      </c>
      <c r="S39" s="85">
        <f t="shared" si="6"/>
        <v>4359.5200000000004</v>
      </c>
      <c r="T39" s="59">
        <f t="shared" si="7"/>
        <v>0</v>
      </c>
      <c r="U39" s="59">
        <f t="shared" si="8"/>
        <v>1</v>
      </c>
      <c r="V39" s="46"/>
      <c r="W39" s="75"/>
    </row>
    <row r="40" spans="1:27" x14ac:dyDescent="0.25">
      <c r="A40" s="175"/>
      <c r="B40" s="3" t="s">
        <v>151</v>
      </c>
      <c r="C40" s="24" t="s">
        <v>121</v>
      </c>
      <c r="D40" s="270"/>
      <c r="E40" s="173">
        <v>4</v>
      </c>
      <c r="F40" s="26">
        <v>635.41999999999996</v>
      </c>
      <c r="G40" s="2">
        <f t="shared" si="1"/>
        <v>876.88</v>
      </c>
      <c r="H40" s="20">
        <f t="shared" si="2"/>
        <v>3507.52</v>
      </c>
      <c r="I40" s="61"/>
      <c r="J40" s="210">
        <f t="shared" si="0"/>
        <v>4</v>
      </c>
      <c r="K40" s="2">
        <f t="shared" si="3"/>
        <v>438.44</v>
      </c>
      <c r="L40" s="2">
        <f t="shared" si="4"/>
        <v>1753.76</v>
      </c>
      <c r="M40" s="21"/>
      <c r="N40" s="76"/>
      <c r="O40" s="3"/>
      <c r="P40" s="31"/>
      <c r="Q40" s="32">
        <f t="shared" si="9"/>
        <v>0</v>
      </c>
      <c r="R40" s="32">
        <f t="shared" si="5"/>
        <v>438.44</v>
      </c>
      <c r="S40" s="32">
        <f t="shared" si="6"/>
        <v>1753.76</v>
      </c>
      <c r="T40" s="47">
        <f t="shared" si="7"/>
        <v>0</v>
      </c>
      <c r="U40" s="47">
        <f t="shared" si="8"/>
        <v>1</v>
      </c>
      <c r="V40" s="45"/>
      <c r="W40" s="75"/>
    </row>
    <row r="41" spans="1:27" x14ac:dyDescent="0.25">
      <c r="A41" s="175"/>
      <c r="B41" s="1" t="s">
        <v>152</v>
      </c>
      <c r="C41" s="19" t="s">
        <v>330</v>
      </c>
      <c r="D41" s="269"/>
      <c r="E41" s="174">
        <v>4</v>
      </c>
      <c r="F41" s="33">
        <v>31.9</v>
      </c>
      <c r="G41" s="62">
        <f t="shared" si="1"/>
        <v>44.02</v>
      </c>
      <c r="H41" s="63">
        <f t="shared" si="2"/>
        <v>176.08</v>
      </c>
      <c r="I41" s="61"/>
      <c r="J41" s="211">
        <f t="shared" si="0"/>
        <v>4</v>
      </c>
      <c r="K41" s="62">
        <f t="shared" si="3"/>
        <v>22.01</v>
      </c>
      <c r="L41" s="62">
        <f t="shared" si="4"/>
        <v>88.04</v>
      </c>
      <c r="M41" s="22"/>
      <c r="N41" s="76"/>
      <c r="O41" s="1"/>
      <c r="P41" s="33"/>
      <c r="Q41" s="58">
        <f t="shared" si="9"/>
        <v>0</v>
      </c>
      <c r="R41" s="85">
        <f t="shared" si="5"/>
        <v>22.01</v>
      </c>
      <c r="S41" s="85">
        <f t="shared" si="6"/>
        <v>88.04</v>
      </c>
      <c r="T41" s="59">
        <f t="shared" si="7"/>
        <v>0</v>
      </c>
      <c r="U41" s="59">
        <f t="shared" si="8"/>
        <v>1</v>
      </c>
      <c r="V41" s="46"/>
      <c r="W41" s="75"/>
    </row>
    <row r="42" spans="1:27" x14ac:dyDescent="0.25">
      <c r="A42" s="175"/>
      <c r="B42" s="3" t="s">
        <v>331</v>
      </c>
      <c r="C42" s="24" t="s">
        <v>332</v>
      </c>
      <c r="D42" s="270"/>
      <c r="E42" s="173">
        <v>18</v>
      </c>
      <c r="F42" s="26">
        <v>862.15</v>
      </c>
      <c r="G42" s="2">
        <f t="shared" si="1"/>
        <v>1189.77</v>
      </c>
      <c r="H42" s="20">
        <f t="shared" si="2"/>
        <v>21415.86</v>
      </c>
      <c r="I42" s="61"/>
      <c r="J42" s="210">
        <f t="shared" si="0"/>
        <v>18</v>
      </c>
      <c r="K42" s="2">
        <f t="shared" si="3"/>
        <v>594.89</v>
      </c>
      <c r="L42" s="2">
        <f t="shared" si="4"/>
        <v>10708.02</v>
      </c>
      <c r="M42" s="21"/>
      <c r="N42" s="76"/>
      <c r="O42" s="3"/>
      <c r="P42" s="31"/>
      <c r="Q42" s="32">
        <f t="shared" si="9"/>
        <v>0</v>
      </c>
      <c r="R42" s="32">
        <f t="shared" si="5"/>
        <v>594.89</v>
      </c>
      <c r="S42" s="32">
        <f t="shared" si="6"/>
        <v>10708.02</v>
      </c>
      <c r="T42" s="47">
        <f t="shared" si="7"/>
        <v>0</v>
      </c>
      <c r="U42" s="47">
        <f t="shared" si="8"/>
        <v>1</v>
      </c>
      <c r="V42" s="45"/>
      <c r="W42" s="75"/>
    </row>
    <row r="43" spans="1:27" x14ac:dyDescent="0.25">
      <c r="A43" s="175"/>
      <c r="B43" s="1" t="s">
        <v>333</v>
      </c>
      <c r="C43" s="19" t="s">
        <v>327</v>
      </c>
      <c r="D43" s="269"/>
      <c r="E43" s="174">
        <v>72</v>
      </c>
      <c r="F43" s="33">
        <v>24.16</v>
      </c>
      <c r="G43" s="62">
        <f t="shared" si="1"/>
        <v>33.340000000000003</v>
      </c>
      <c r="H43" s="63">
        <f t="shared" si="2"/>
        <v>2400.48</v>
      </c>
      <c r="I43" s="61"/>
      <c r="J43" s="211">
        <f t="shared" si="0"/>
        <v>72</v>
      </c>
      <c r="K43" s="62">
        <f t="shared" si="3"/>
        <v>16.670000000000002</v>
      </c>
      <c r="L43" s="62">
        <f t="shared" si="4"/>
        <v>1200.24</v>
      </c>
      <c r="M43" s="22"/>
      <c r="N43" s="76"/>
      <c r="O43" s="1"/>
      <c r="P43" s="33"/>
      <c r="Q43" s="58">
        <f t="shared" si="9"/>
        <v>0</v>
      </c>
      <c r="R43" s="85">
        <f t="shared" si="5"/>
        <v>16.670000000000002</v>
      </c>
      <c r="S43" s="85">
        <f t="shared" si="6"/>
        <v>1200.24</v>
      </c>
      <c r="T43" s="59">
        <f t="shared" si="7"/>
        <v>0</v>
      </c>
      <c r="U43" s="59">
        <f t="shared" si="8"/>
        <v>1</v>
      </c>
      <c r="V43" s="46"/>
      <c r="W43" s="75"/>
    </row>
    <row r="44" spans="1:27" x14ac:dyDescent="0.25">
      <c r="A44" s="175"/>
      <c r="B44" s="3" t="s">
        <v>334</v>
      </c>
      <c r="C44" s="24" t="s">
        <v>241</v>
      </c>
      <c r="D44" s="270"/>
      <c r="E44" s="173">
        <v>72</v>
      </c>
      <c r="F44" s="26">
        <v>3.56</v>
      </c>
      <c r="G44" s="2">
        <f t="shared" si="1"/>
        <v>4.91</v>
      </c>
      <c r="H44" s="20">
        <f t="shared" si="2"/>
        <v>353.52</v>
      </c>
      <c r="I44" s="61"/>
      <c r="J44" s="210">
        <f t="shared" si="0"/>
        <v>72</v>
      </c>
      <c r="K44" s="2">
        <f t="shared" si="3"/>
        <v>2.46</v>
      </c>
      <c r="L44" s="2">
        <f t="shared" si="4"/>
        <v>177.12</v>
      </c>
      <c r="M44" s="21"/>
      <c r="N44" s="76"/>
      <c r="O44" s="3"/>
      <c r="P44" s="31"/>
      <c r="Q44" s="32">
        <f t="shared" si="9"/>
        <v>0</v>
      </c>
      <c r="R44" s="32">
        <f t="shared" si="5"/>
        <v>2.46</v>
      </c>
      <c r="S44" s="32">
        <f t="shared" si="6"/>
        <v>177.12</v>
      </c>
      <c r="T44" s="47">
        <f t="shared" si="7"/>
        <v>0</v>
      </c>
      <c r="U44" s="47">
        <f t="shared" si="8"/>
        <v>1</v>
      </c>
      <c r="V44" s="45"/>
      <c r="W44" s="75"/>
    </row>
    <row r="45" spans="1:27" x14ac:dyDescent="0.25">
      <c r="A45" s="175"/>
      <c r="B45" s="1"/>
      <c r="C45" s="19"/>
      <c r="D45" s="269"/>
      <c r="E45" s="174"/>
      <c r="F45" s="33"/>
      <c r="G45" s="62">
        <f t="shared" si="1"/>
        <v>0</v>
      </c>
      <c r="H45" s="63">
        <f t="shared" si="2"/>
        <v>0</v>
      </c>
      <c r="I45" s="61"/>
      <c r="J45" s="211">
        <f t="shared" si="0"/>
        <v>0</v>
      </c>
      <c r="K45" s="62">
        <f t="shared" si="3"/>
        <v>0</v>
      </c>
      <c r="L45" s="62">
        <f t="shared" si="4"/>
        <v>0</v>
      </c>
      <c r="M45" s="22"/>
      <c r="N45" s="76"/>
      <c r="O45" s="1"/>
      <c r="P45" s="33"/>
      <c r="Q45" s="58">
        <f t="shared" si="9"/>
        <v>0</v>
      </c>
      <c r="R45" s="85">
        <f t="shared" si="5"/>
        <v>0</v>
      </c>
      <c r="S45" s="85">
        <f t="shared" si="6"/>
        <v>0</v>
      </c>
      <c r="T45" s="59">
        <f t="shared" si="7"/>
        <v>0</v>
      </c>
      <c r="U45" s="59">
        <f t="shared" si="8"/>
        <v>0</v>
      </c>
      <c r="V45" s="46"/>
      <c r="W45" s="75"/>
    </row>
    <row r="46" spans="1:27" x14ac:dyDescent="0.25">
      <c r="A46" s="175"/>
      <c r="B46" s="3" t="s">
        <v>126</v>
      </c>
      <c r="C46" s="24" t="s">
        <v>127</v>
      </c>
      <c r="D46" s="270"/>
      <c r="E46" s="173">
        <v>1</v>
      </c>
      <c r="F46" s="26">
        <v>16503.46</v>
      </c>
      <c r="G46" s="2">
        <f t="shared" si="1"/>
        <v>22774.77</v>
      </c>
      <c r="H46" s="20">
        <f t="shared" si="2"/>
        <v>22774.77</v>
      </c>
      <c r="I46" s="61"/>
      <c r="J46" s="210">
        <f t="shared" si="0"/>
        <v>1</v>
      </c>
      <c r="K46" s="2">
        <f t="shared" si="3"/>
        <v>11387.39</v>
      </c>
      <c r="L46" s="2">
        <f t="shared" si="4"/>
        <v>11387.39</v>
      </c>
      <c r="M46" s="21"/>
      <c r="N46" s="76"/>
      <c r="O46" s="3"/>
      <c r="P46" s="31"/>
      <c r="Q46" s="32">
        <f t="shared" si="9"/>
        <v>0</v>
      </c>
      <c r="R46" s="32">
        <f t="shared" si="5"/>
        <v>11387.39</v>
      </c>
      <c r="S46" s="32">
        <f t="shared" si="6"/>
        <v>11387.39</v>
      </c>
      <c r="T46" s="47">
        <f t="shared" si="7"/>
        <v>0</v>
      </c>
      <c r="U46" s="47">
        <f t="shared" si="8"/>
        <v>1</v>
      </c>
      <c r="V46" s="45"/>
      <c r="W46" s="75"/>
    </row>
    <row r="47" spans="1:27" x14ac:dyDescent="0.25">
      <c r="A47" s="175"/>
      <c r="B47" s="1" t="s">
        <v>377</v>
      </c>
      <c r="C47" s="19" t="s">
        <v>378</v>
      </c>
      <c r="D47" s="269"/>
      <c r="E47" s="174">
        <v>1</v>
      </c>
      <c r="F47" s="33">
        <v>162.68</v>
      </c>
      <c r="G47" s="62">
        <f t="shared" si="1"/>
        <v>224.5</v>
      </c>
      <c r="H47" s="63">
        <f t="shared" si="2"/>
        <v>224.5</v>
      </c>
      <c r="I47" s="61"/>
      <c r="J47" s="211">
        <f t="shared" si="0"/>
        <v>1</v>
      </c>
      <c r="K47" s="62">
        <f t="shared" si="3"/>
        <v>112.25</v>
      </c>
      <c r="L47" s="62">
        <f t="shared" si="4"/>
        <v>112.25</v>
      </c>
      <c r="M47" s="22"/>
      <c r="N47" s="76"/>
      <c r="O47" s="1"/>
      <c r="P47" s="33"/>
      <c r="Q47" s="58">
        <f t="shared" si="9"/>
        <v>0</v>
      </c>
      <c r="R47" s="85">
        <f t="shared" si="5"/>
        <v>112.25</v>
      </c>
      <c r="S47" s="85">
        <f t="shared" si="6"/>
        <v>112.25</v>
      </c>
      <c r="T47" s="59">
        <f t="shared" si="7"/>
        <v>0</v>
      </c>
      <c r="U47" s="59">
        <f t="shared" si="8"/>
        <v>1</v>
      </c>
      <c r="V47" s="46"/>
      <c r="W47" s="75"/>
    </row>
    <row r="48" spans="1:27" x14ac:dyDescent="0.25">
      <c r="A48" s="175"/>
      <c r="B48" s="3" t="s">
        <v>379</v>
      </c>
      <c r="C48" s="24" t="s">
        <v>380</v>
      </c>
      <c r="D48" s="270"/>
      <c r="E48" s="173">
        <v>1</v>
      </c>
      <c r="F48" s="26">
        <v>18.28</v>
      </c>
      <c r="G48" s="2">
        <f t="shared" si="1"/>
        <v>25.23</v>
      </c>
      <c r="H48" s="20">
        <f t="shared" si="2"/>
        <v>25.23</v>
      </c>
      <c r="I48" s="61"/>
      <c r="J48" s="210">
        <f t="shared" si="0"/>
        <v>1</v>
      </c>
      <c r="K48" s="2">
        <f t="shared" si="3"/>
        <v>12.62</v>
      </c>
      <c r="L48" s="2">
        <f t="shared" si="4"/>
        <v>12.62</v>
      </c>
      <c r="M48" s="21"/>
      <c r="N48" s="76"/>
      <c r="O48" s="3"/>
      <c r="P48" s="31"/>
      <c r="Q48" s="32">
        <f t="shared" si="9"/>
        <v>0</v>
      </c>
      <c r="R48" s="32">
        <f t="shared" si="5"/>
        <v>12.62</v>
      </c>
      <c r="S48" s="32">
        <f t="shared" si="6"/>
        <v>12.62</v>
      </c>
      <c r="T48" s="47">
        <f t="shared" si="7"/>
        <v>0</v>
      </c>
      <c r="U48" s="47">
        <f t="shared" si="8"/>
        <v>1</v>
      </c>
      <c r="V48" s="46"/>
      <c r="W48" s="75"/>
    </row>
    <row r="49" spans="1:23" x14ac:dyDescent="0.25">
      <c r="A49" s="175"/>
      <c r="B49" s="1" t="s">
        <v>381</v>
      </c>
      <c r="C49" s="19" t="s">
        <v>382</v>
      </c>
      <c r="D49" s="269"/>
      <c r="E49" s="174">
        <v>1</v>
      </c>
      <c r="F49" s="33">
        <v>24.03</v>
      </c>
      <c r="G49" s="62">
        <f t="shared" si="1"/>
        <v>33.159999999999997</v>
      </c>
      <c r="H49" s="63">
        <f t="shared" si="2"/>
        <v>33.159999999999997</v>
      </c>
      <c r="I49" s="61"/>
      <c r="J49" s="211">
        <f t="shared" si="0"/>
        <v>1</v>
      </c>
      <c r="K49" s="62">
        <f t="shared" si="3"/>
        <v>16.579999999999998</v>
      </c>
      <c r="L49" s="62">
        <f t="shared" si="4"/>
        <v>16.579999999999998</v>
      </c>
      <c r="M49" s="22"/>
      <c r="N49" s="76"/>
      <c r="O49" s="1"/>
      <c r="P49" s="33"/>
      <c r="Q49" s="58">
        <f t="shared" si="9"/>
        <v>0</v>
      </c>
      <c r="R49" s="85">
        <f t="shared" si="5"/>
        <v>16.579999999999998</v>
      </c>
      <c r="S49" s="85">
        <f t="shared" si="6"/>
        <v>16.579999999999998</v>
      </c>
      <c r="T49" s="59">
        <f t="shared" si="7"/>
        <v>0</v>
      </c>
      <c r="U49" s="59">
        <f t="shared" si="8"/>
        <v>1</v>
      </c>
      <c r="V49" s="46"/>
      <c r="W49" s="75"/>
    </row>
    <row r="50" spans="1:23" x14ac:dyDescent="0.25">
      <c r="A50" s="175"/>
      <c r="B50" s="3"/>
      <c r="C50" s="24"/>
      <c r="D50" s="270"/>
      <c r="E50" s="173"/>
      <c r="F50" s="26"/>
      <c r="G50" s="2">
        <f t="shared" si="1"/>
        <v>0</v>
      </c>
      <c r="H50" s="20">
        <f t="shared" si="2"/>
        <v>0</v>
      </c>
      <c r="I50" s="61"/>
      <c r="J50" s="210">
        <f t="shared" si="0"/>
        <v>0</v>
      </c>
      <c r="K50" s="2">
        <f t="shared" si="3"/>
        <v>0</v>
      </c>
      <c r="L50" s="2">
        <f t="shared" si="4"/>
        <v>0</v>
      </c>
      <c r="M50" s="21"/>
      <c r="N50" s="76"/>
      <c r="O50" s="3"/>
      <c r="P50" s="31"/>
      <c r="Q50" s="32">
        <f t="shared" si="9"/>
        <v>0</v>
      </c>
      <c r="R50" s="32">
        <f t="shared" si="5"/>
        <v>0</v>
      </c>
      <c r="S50" s="32">
        <f t="shared" si="6"/>
        <v>0</v>
      </c>
      <c r="T50" s="47">
        <f t="shared" si="7"/>
        <v>0</v>
      </c>
      <c r="U50" s="47">
        <f t="shared" si="8"/>
        <v>0</v>
      </c>
      <c r="V50" s="46"/>
      <c r="W50" s="75"/>
    </row>
    <row r="51" spans="1:23" x14ac:dyDescent="0.25">
      <c r="A51" s="175"/>
      <c r="B51" s="1"/>
      <c r="C51" s="19"/>
      <c r="D51" s="269"/>
      <c r="E51" s="174"/>
      <c r="F51" s="33"/>
      <c r="G51" s="62">
        <f t="shared" si="1"/>
        <v>0</v>
      </c>
      <c r="H51" s="63">
        <f t="shared" si="2"/>
        <v>0</v>
      </c>
      <c r="I51" s="61"/>
      <c r="J51" s="211">
        <f t="shared" si="0"/>
        <v>0</v>
      </c>
      <c r="K51" s="62">
        <f t="shared" si="3"/>
        <v>0</v>
      </c>
      <c r="L51" s="62">
        <f t="shared" si="4"/>
        <v>0</v>
      </c>
      <c r="M51" s="22"/>
      <c r="N51" s="76"/>
      <c r="O51" s="1"/>
      <c r="P51" s="33"/>
      <c r="Q51" s="58">
        <f t="shared" si="9"/>
        <v>0</v>
      </c>
      <c r="R51" s="85">
        <f t="shared" si="5"/>
        <v>0</v>
      </c>
      <c r="S51" s="85">
        <f t="shared" si="6"/>
        <v>0</v>
      </c>
      <c r="T51" s="59">
        <f t="shared" si="7"/>
        <v>0</v>
      </c>
      <c r="U51" s="59">
        <f t="shared" si="8"/>
        <v>0</v>
      </c>
      <c r="V51" s="46"/>
      <c r="W51" s="75"/>
    </row>
    <row r="52" spans="1:23" x14ac:dyDescent="0.25">
      <c r="A52" s="175"/>
      <c r="B52" s="3"/>
      <c r="C52" s="24"/>
      <c r="D52" s="270"/>
      <c r="E52" s="173"/>
      <c r="F52" s="26"/>
      <c r="G52" s="2">
        <f t="shared" si="1"/>
        <v>0</v>
      </c>
      <c r="H52" s="20">
        <f t="shared" si="2"/>
        <v>0</v>
      </c>
      <c r="I52" s="61"/>
      <c r="J52" s="210">
        <f t="shared" si="0"/>
        <v>0</v>
      </c>
      <c r="K52" s="2">
        <f t="shared" si="3"/>
        <v>0</v>
      </c>
      <c r="L52" s="2">
        <f t="shared" si="4"/>
        <v>0</v>
      </c>
      <c r="M52" s="21"/>
      <c r="N52" s="76"/>
      <c r="O52" s="3"/>
      <c r="P52" s="31"/>
      <c r="Q52" s="32">
        <f t="shared" si="9"/>
        <v>0</v>
      </c>
      <c r="R52" s="32">
        <f t="shared" si="5"/>
        <v>0</v>
      </c>
      <c r="S52" s="32">
        <f t="shared" si="6"/>
        <v>0</v>
      </c>
      <c r="T52" s="47">
        <f t="shared" si="7"/>
        <v>0</v>
      </c>
      <c r="U52" s="47">
        <f t="shared" si="8"/>
        <v>0</v>
      </c>
      <c r="V52" s="46"/>
      <c r="W52" s="75"/>
    </row>
    <row r="53" spans="1:23" x14ac:dyDescent="0.25">
      <c r="A53" s="175"/>
      <c r="B53" s="1"/>
      <c r="C53" s="19"/>
      <c r="D53" s="269"/>
      <c r="E53" s="174"/>
      <c r="F53" s="33"/>
      <c r="G53" s="62">
        <f t="shared" si="1"/>
        <v>0</v>
      </c>
      <c r="H53" s="63">
        <f t="shared" si="2"/>
        <v>0</v>
      </c>
      <c r="I53" s="61"/>
      <c r="J53" s="211">
        <f t="shared" si="0"/>
        <v>0</v>
      </c>
      <c r="K53" s="62">
        <f t="shared" si="3"/>
        <v>0</v>
      </c>
      <c r="L53" s="62">
        <f t="shared" si="4"/>
        <v>0</v>
      </c>
      <c r="M53" s="22"/>
      <c r="N53" s="76"/>
      <c r="O53" s="1"/>
      <c r="P53" s="33"/>
      <c r="Q53" s="58">
        <f t="shared" si="9"/>
        <v>0</v>
      </c>
      <c r="R53" s="85">
        <f t="shared" si="5"/>
        <v>0</v>
      </c>
      <c r="S53" s="85">
        <f t="shared" si="6"/>
        <v>0</v>
      </c>
      <c r="T53" s="59">
        <f t="shared" si="7"/>
        <v>0</v>
      </c>
      <c r="U53" s="59">
        <f t="shared" si="8"/>
        <v>0</v>
      </c>
      <c r="V53" s="46"/>
      <c r="W53" s="75"/>
    </row>
    <row r="54" spans="1:23" x14ac:dyDescent="0.25">
      <c r="A54" s="175"/>
      <c r="B54" s="3"/>
      <c r="C54" s="24"/>
      <c r="D54" s="270"/>
      <c r="E54" s="173"/>
      <c r="F54" s="26"/>
      <c r="G54" s="2">
        <f t="shared" si="1"/>
        <v>0</v>
      </c>
      <c r="H54" s="20">
        <f t="shared" si="2"/>
        <v>0</v>
      </c>
      <c r="I54" s="61"/>
      <c r="J54" s="210">
        <f t="shared" si="0"/>
        <v>0</v>
      </c>
      <c r="K54" s="2">
        <f t="shared" si="3"/>
        <v>0</v>
      </c>
      <c r="L54" s="2">
        <f t="shared" si="4"/>
        <v>0</v>
      </c>
      <c r="M54" s="21"/>
      <c r="N54" s="76"/>
      <c r="O54" s="3"/>
      <c r="P54" s="31"/>
      <c r="Q54" s="32">
        <f t="shared" si="9"/>
        <v>0</v>
      </c>
      <c r="R54" s="32">
        <f t="shared" si="5"/>
        <v>0</v>
      </c>
      <c r="S54" s="32">
        <f t="shared" si="6"/>
        <v>0</v>
      </c>
      <c r="T54" s="47">
        <f t="shared" si="7"/>
        <v>0</v>
      </c>
      <c r="U54" s="47">
        <f t="shared" si="8"/>
        <v>0</v>
      </c>
      <c r="V54" s="46"/>
      <c r="W54" s="75"/>
    </row>
    <row r="55" spans="1:23" x14ac:dyDescent="0.25">
      <c r="A55" s="175"/>
      <c r="B55" s="1"/>
      <c r="C55" s="19"/>
      <c r="D55" s="269"/>
      <c r="E55" s="174"/>
      <c r="F55" s="33"/>
      <c r="G55" s="62">
        <f t="shared" si="1"/>
        <v>0</v>
      </c>
      <c r="H55" s="63">
        <f t="shared" si="2"/>
        <v>0</v>
      </c>
      <c r="I55" s="61"/>
      <c r="J55" s="211">
        <f t="shared" si="0"/>
        <v>0</v>
      </c>
      <c r="K55" s="62">
        <f t="shared" si="3"/>
        <v>0</v>
      </c>
      <c r="L55" s="62">
        <f t="shared" si="4"/>
        <v>0</v>
      </c>
      <c r="M55" s="22"/>
      <c r="N55" s="76"/>
      <c r="O55" s="1"/>
      <c r="P55" s="33"/>
      <c r="Q55" s="58">
        <f t="shared" si="9"/>
        <v>0</v>
      </c>
      <c r="R55" s="85">
        <f t="shared" si="5"/>
        <v>0</v>
      </c>
      <c r="S55" s="85">
        <f t="shared" si="6"/>
        <v>0</v>
      </c>
      <c r="T55" s="59">
        <f t="shared" si="7"/>
        <v>0</v>
      </c>
      <c r="U55" s="59">
        <f t="shared" si="8"/>
        <v>0</v>
      </c>
      <c r="V55" s="46"/>
      <c r="W55" s="75"/>
    </row>
    <row r="56" spans="1:23" x14ac:dyDescent="0.25">
      <c r="A56" s="175"/>
      <c r="B56" s="3"/>
      <c r="C56" s="24"/>
      <c r="D56" s="270"/>
      <c r="E56" s="173"/>
      <c r="F56" s="26"/>
      <c r="G56" s="2">
        <f t="shared" si="1"/>
        <v>0</v>
      </c>
      <c r="H56" s="20">
        <f t="shared" si="2"/>
        <v>0</v>
      </c>
      <c r="I56" s="61"/>
      <c r="J56" s="210">
        <f t="shared" si="0"/>
        <v>0</v>
      </c>
      <c r="K56" s="2">
        <f t="shared" si="3"/>
        <v>0</v>
      </c>
      <c r="L56" s="2">
        <f t="shared" si="4"/>
        <v>0</v>
      </c>
      <c r="M56" s="21"/>
      <c r="N56" s="76"/>
      <c r="O56" s="3"/>
      <c r="P56" s="31"/>
      <c r="Q56" s="32">
        <f t="shared" si="9"/>
        <v>0</v>
      </c>
      <c r="R56" s="32">
        <f t="shared" si="5"/>
        <v>0</v>
      </c>
      <c r="S56" s="32">
        <f t="shared" si="6"/>
        <v>0</v>
      </c>
      <c r="T56" s="47">
        <f t="shared" si="7"/>
        <v>0</v>
      </c>
      <c r="U56" s="47">
        <f t="shared" si="8"/>
        <v>0</v>
      </c>
      <c r="V56" s="46"/>
      <c r="W56" s="75"/>
    </row>
    <row r="57" spans="1:23" x14ac:dyDescent="0.25">
      <c r="A57" s="175"/>
      <c r="B57" s="1"/>
      <c r="C57" s="19"/>
      <c r="D57" s="269"/>
      <c r="E57" s="174"/>
      <c r="F57" s="33"/>
      <c r="G57" s="62">
        <f t="shared" si="1"/>
        <v>0</v>
      </c>
      <c r="H57" s="63">
        <f t="shared" si="2"/>
        <v>0</v>
      </c>
      <c r="I57" s="61"/>
      <c r="J57" s="211">
        <f t="shared" si="0"/>
        <v>0</v>
      </c>
      <c r="K57" s="62">
        <f t="shared" si="3"/>
        <v>0</v>
      </c>
      <c r="L57" s="62">
        <f t="shared" si="4"/>
        <v>0</v>
      </c>
      <c r="M57" s="22"/>
      <c r="N57" s="76"/>
      <c r="O57" s="1"/>
      <c r="P57" s="33"/>
      <c r="Q57" s="58">
        <f t="shared" si="9"/>
        <v>0</v>
      </c>
      <c r="R57" s="85">
        <f t="shared" si="5"/>
        <v>0</v>
      </c>
      <c r="S57" s="85">
        <f t="shared" si="6"/>
        <v>0</v>
      </c>
      <c r="T57" s="59">
        <f t="shared" si="7"/>
        <v>0</v>
      </c>
      <c r="U57" s="59">
        <f t="shared" si="8"/>
        <v>0</v>
      </c>
      <c r="V57" s="46"/>
      <c r="W57" s="75"/>
    </row>
    <row r="58" spans="1:23" x14ac:dyDescent="0.25">
      <c r="A58" s="175"/>
      <c r="B58" s="3"/>
      <c r="C58" s="24"/>
      <c r="D58" s="270"/>
      <c r="E58" s="173"/>
      <c r="F58" s="26"/>
      <c r="G58" s="2">
        <f t="shared" si="1"/>
        <v>0</v>
      </c>
      <c r="H58" s="20">
        <f t="shared" si="2"/>
        <v>0</v>
      </c>
      <c r="I58" s="61"/>
      <c r="J58" s="210">
        <f t="shared" si="0"/>
        <v>0</v>
      </c>
      <c r="K58" s="2">
        <f t="shared" si="3"/>
        <v>0</v>
      </c>
      <c r="L58" s="2">
        <f t="shared" si="4"/>
        <v>0</v>
      </c>
      <c r="M58" s="21"/>
      <c r="N58" s="76"/>
      <c r="O58" s="3"/>
      <c r="P58" s="31"/>
      <c r="Q58" s="32">
        <f t="shared" si="9"/>
        <v>0</v>
      </c>
      <c r="R58" s="32">
        <f t="shared" si="5"/>
        <v>0</v>
      </c>
      <c r="S58" s="32">
        <f t="shared" si="6"/>
        <v>0</v>
      </c>
      <c r="T58" s="47">
        <f t="shared" si="7"/>
        <v>0</v>
      </c>
      <c r="U58" s="47">
        <f t="shared" si="8"/>
        <v>0</v>
      </c>
      <c r="V58" s="46"/>
      <c r="W58" s="75"/>
    </row>
    <row r="59" spans="1:23" x14ac:dyDescent="0.25">
      <c r="A59" s="175"/>
      <c r="B59" s="1"/>
      <c r="C59" s="19"/>
      <c r="D59" s="269"/>
      <c r="E59" s="174"/>
      <c r="F59" s="33"/>
      <c r="G59" s="62">
        <f t="shared" si="1"/>
        <v>0</v>
      </c>
      <c r="H59" s="63">
        <f t="shared" si="2"/>
        <v>0</v>
      </c>
      <c r="I59" s="61"/>
      <c r="J59" s="211">
        <f t="shared" si="0"/>
        <v>0</v>
      </c>
      <c r="K59" s="62">
        <f t="shared" si="3"/>
        <v>0</v>
      </c>
      <c r="L59" s="62">
        <f t="shared" si="4"/>
        <v>0</v>
      </c>
      <c r="M59" s="22"/>
      <c r="N59" s="76"/>
      <c r="O59" s="1"/>
      <c r="P59" s="33"/>
      <c r="Q59" s="58">
        <f t="shared" si="9"/>
        <v>0</v>
      </c>
      <c r="R59" s="85">
        <f t="shared" si="5"/>
        <v>0</v>
      </c>
      <c r="S59" s="85">
        <f t="shared" si="6"/>
        <v>0</v>
      </c>
      <c r="T59" s="59">
        <f t="shared" si="7"/>
        <v>0</v>
      </c>
      <c r="U59" s="59">
        <f t="shared" si="8"/>
        <v>0</v>
      </c>
      <c r="V59" s="46"/>
      <c r="W59" s="75"/>
    </row>
    <row r="60" spans="1:23" x14ac:dyDescent="0.25">
      <c r="A60" s="175"/>
      <c r="B60" s="3"/>
      <c r="C60" s="24"/>
      <c r="D60" s="270"/>
      <c r="E60" s="173"/>
      <c r="F60" s="26"/>
      <c r="G60" s="2">
        <f t="shared" si="1"/>
        <v>0</v>
      </c>
      <c r="H60" s="20">
        <f t="shared" si="2"/>
        <v>0</v>
      </c>
      <c r="I60" s="61"/>
      <c r="J60" s="210">
        <f t="shared" si="0"/>
        <v>0</v>
      </c>
      <c r="K60" s="2">
        <f t="shared" si="3"/>
        <v>0</v>
      </c>
      <c r="L60" s="2">
        <f t="shared" si="4"/>
        <v>0</v>
      </c>
      <c r="M60" s="21"/>
      <c r="N60" s="76"/>
      <c r="O60" s="3"/>
      <c r="P60" s="31"/>
      <c r="Q60" s="32">
        <f t="shared" si="9"/>
        <v>0</v>
      </c>
      <c r="R60" s="32">
        <f t="shared" si="5"/>
        <v>0</v>
      </c>
      <c r="S60" s="32">
        <f t="shared" si="6"/>
        <v>0</v>
      </c>
      <c r="T60" s="47">
        <f t="shared" si="7"/>
        <v>0</v>
      </c>
      <c r="U60" s="47">
        <f t="shared" si="8"/>
        <v>0</v>
      </c>
      <c r="V60" s="46"/>
      <c r="W60" s="75"/>
    </row>
    <row r="61" spans="1:23" x14ac:dyDescent="0.25">
      <c r="A61" s="175"/>
      <c r="B61" s="1"/>
      <c r="C61" s="19"/>
      <c r="D61" s="269"/>
      <c r="E61" s="174"/>
      <c r="F61" s="33"/>
      <c r="G61" s="62">
        <f t="shared" si="1"/>
        <v>0</v>
      </c>
      <c r="H61" s="63">
        <f t="shared" si="2"/>
        <v>0</v>
      </c>
      <c r="I61" s="61"/>
      <c r="J61" s="211">
        <f t="shared" si="0"/>
        <v>0</v>
      </c>
      <c r="K61" s="62">
        <f t="shared" si="3"/>
        <v>0</v>
      </c>
      <c r="L61" s="62">
        <f t="shared" si="4"/>
        <v>0</v>
      </c>
      <c r="M61" s="22"/>
      <c r="N61" s="76"/>
      <c r="O61" s="1"/>
      <c r="P61" s="33"/>
      <c r="Q61" s="58">
        <f t="shared" si="9"/>
        <v>0</v>
      </c>
      <c r="R61" s="85">
        <f t="shared" si="5"/>
        <v>0</v>
      </c>
      <c r="S61" s="85">
        <f t="shared" si="6"/>
        <v>0</v>
      </c>
      <c r="T61" s="59">
        <f t="shared" si="7"/>
        <v>0</v>
      </c>
      <c r="U61" s="59">
        <f t="shared" si="8"/>
        <v>0</v>
      </c>
      <c r="V61" s="46"/>
      <c r="W61" s="75"/>
    </row>
    <row r="62" spans="1:23" x14ac:dyDescent="0.25">
      <c r="A62" s="175"/>
      <c r="B62" s="3"/>
      <c r="C62" s="24"/>
      <c r="D62" s="270"/>
      <c r="E62" s="173"/>
      <c r="F62" s="26"/>
      <c r="G62" s="2">
        <f t="shared" si="1"/>
        <v>0</v>
      </c>
      <c r="H62" s="20">
        <f t="shared" si="2"/>
        <v>0</v>
      </c>
      <c r="I62" s="61"/>
      <c r="J62" s="210">
        <f t="shared" si="0"/>
        <v>0</v>
      </c>
      <c r="K62" s="2">
        <f t="shared" si="3"/>
        <v>0</v>
      </c>
      <c r="L62" s="2">
        <f t="shared" si="4"/>
        <v>0</v>
      </c>
      <c r="M62" s="21"/>
      <c r="N62" s="76"/>
      <c r="O62" s="3"/>
      <c r="P62" s="31"/>
      <c r="Q62" s="32">
        <f t="shared" si="9"/>
        <v>0</v>
      </c>
      <c r="R62" s="32">
        <f t="shared" si="5"/>
        <v>0</v>
      </c>
      <c r="S62" s="32">
        <f t="shared" si="6"/>
        <v>0</v>
      </c>
      <c r="T62" s="47">
        <f t="shared" si="7"/>
        <v>0</v>
      </c>
      <c r="U62" s="47">
        <f t="shared" si="8"/>
        <v>0</v>
      </c>
      <c r="V62" s="46"/>
      <c r="W62" s="75"/>
    </row>
    <row r="63" spans="1:23" x14ac:dyDescent="0.25">
      <c r="A63" s="175"/>
      <c r="B63" s="1"/>
      <c r="C63" s="19"/>
      <c r="D63" s="269"/>
      <c r="E63" s="174"/>
      <c r="F63" s="33"/>
      <c r="G63" s="62">
        <f t="shared" si="1"/>
        <v>0</v>
      </c>
      <c r="H63" s="63">
        <f t="shared" si="2"/>
        <v>0</v>
      </c>
      <c r="I63" s="61"/>
      <c r="J63" s="211">
        <f t="shared" si="0"/>
        <v>0</v>
      </c>
      <c r="K63" s="62">
        <f t="shared" si="3"/>
        <v>0</v>
      </c>
      <c r="L63" s="62">
        <f t="shared" si="4"/>
        <v>0</v>
      </c>
      <c r="M63" s="22"/>
      <c r="N63" s="76"/>
      <c r="O63" s="1"/>
      <c r="P63" s="33"/>
      <c r="Q63" s="58">
        <f t="shared" si="9"/>
        <v>0</v>
      </c>
      <c r="R63" s="85">
        <f t="shared" si="5"/>
        <v>0</v>
      </c>
      <c r="S63" s="85">
        <f t="shared" si="6"/>
        <v>0</v>
      </c>
      <c r="T63" s="59">
        <f t="shared" si="7"/>
        <v>0</v>
      </c>
      <c r="U63" s="59">
        <f t="shared" si="8"/>
        <v>0</v>
      </c>
      <c r="V63" s="46"/>
      <c r="W63" s="75"/>
    </row>
    <row r="64" spans="1:23" x14ac:dyDescent="0.25">
      <c r="A64" s="175"/>
      <c r="B64" s="3"/>
      <c r="C64" s="24"/>
      <c r="D64" s="270"/>
      <c r="E64" s="173"/>
      <c r="F64" s="26"/>
      <c r="G64" s="2">
        <f t="shared" si="1"/>
        <v>0</v>
      </c>
      <c r="H64" s="20">
        <f t="shared" si="2"/>
        <v>0</v>
      </c>
      <c r="I64" s="61"/>
      <c r="J64" s="210">
        <f t="shared" si="0"/>
        <v>0</v>
      </c>
      <c r="K64" s="2">
        <f t="shared" si="3"/>
        <v>0</v>
      </c>
      <c r="L64" s="2">
        <f t="shared" si="4"/>
        <v>0</v>
      </c>
      <c r="M64" s="21"/>
      <c r="N64" s="76"/>
      <c r="O64" s="3"/>
      <c r="P64" s="31"/>
      <c r="Q64" s="32">
        <f t="shared" si="9"/>
        <v>0</v>
      </c>
      <c r="R64" s="32">
        <f t="shared" si="5"/>
        <v>0</v>
      </c>
      <c r="S64" s="32">
        <f t="shared" si="6"/>
        <v>0</v>
      </c>
      <c r="T64" s="47">
        <f t="shared" si="7"/>
        <v>0</v>
      </c>
      <c r="U64" s="47">
        <f t="shared" si="8"/>
        <v>0</v>
      </c>
      <c r="V64" s="46"/>
      <c r="W64" s="75"/>
    </row>
    <row r="65" spans="1:23" x14ac:dyDescent="0.25">
      <c r="A65" s="175"/>
      <c r="B65" s="1"/>
      <c r="C65" s="19"/>
      <c r="D65" s="269"/>
      <c r="E65" s="174"/>
      <c r="F65" s="33"/>
      <c r="G65" s="62">
        <f t="shared" si="1"/>
        <v>0</v>
      </c>
      <c r="H65" s="63">
        <f t="shared" si="2"/>
        <v>0</v>
      </c>
      <c r="I65" s="61"/>
      <c r="J65" s="211">
        <f t="shared" si="0"/>
        <v>0</v>
      </c>
      <c r="K65" s="62">
        <f t="shared" si="3"/>
        <v>0</v>
      </c>
      <c r="L65" s="62">
        <f t="shared" si="4"/>
        <v>0</v>
      </c>
      <c r="M65" s="22"/>
      <c r="N65" s="76"/>
      <c r="O65" s="1"/>
      <c r="P65" s="33"/>
      <c r="Q65" s="58">
        <f t="shared" si="9"/>
        <v>0</v>
      </c>
      <c r="R65" s="85">
        <f t="shared" si="5"/>
        <v>0</v>
      </c>
      <c r="S65" s="85">
        <f t="shared" si="6"/>
        <v>0</v>
      </c>
      <c r="T65" s="59">
        <f t="shared" si="7"/>
        <v>0</v>
      </c>
      <c r="U65" s="59">
        <f t="shared" si="8"/>
        <v>0</v>
      </c>
      <c r="V65" s="46"/>
      <c r="W65" s="75"/>
    </row>
    <row r="66" spans="1:23" x14ac:dyDescent="0.25">
      <c r="A66" s="175"/>
      <c r="B66" s="3"/>
      <c r="C66" s="24"/>
      <c r="D66" s="270"/>
      <c r="E66" s="173"/>
      <c r="F66" s="26"/>
      <c r="G66" s="2">
        <f t="shared" si="1"/>
        <v>0</v>
      </c>
      <c r="H66" s="20">
        <f t="shared" si="2"/>
        <v>0</v>
      </c>
      <c r="I66" s="61"/>
      <c r="J66" s="210">
        <f t="shared" si="0"/>
        <v>0</v>
      </c>
      <c r="K66" s="2">
        <f t="shared" si="3"/>
        <v>0</v>
      </c>
      <c r="L66" s="2">
        <f t="shared" si="4"/>
        <v>0</v>
      </c>
      <c r="M66" s="21"/>
      <c r="N66" s="76"/>
      <c r="O66" s="3"/>
      <c r="P66" s="31"/>
      <c r="Q66" s="32">
        <f t="shared" si="9"/>
        <v>0</v>
      </c>
      <c r="R66" s="32">
        <f t="shared" si="5"/>
        <v>0</v>
      </c>
      <c r="S66" s="32">
        <f t="shared" si="6"/>
        <v>0</v>
      </c>
      <c r="T66" s="47">
        <f t="shared" si="7"/>
        <v>0</v>
      </c>
      <c r="U66" s="47">
        <f t="shared" si="8"/>
        <v>0</v>
      </c>
      <c r="V66" s="46"/>
      <c r="W66" s="75"/>
    </row>
    <row r="67" spans="1:23" x14ac:dyDescent="0.25">
      <c r="A67" s="175"/>
      <c r="B67" s="1"/>
      <c r="C67" s="19"/>
      <c r="D67" s="269"/>
      <c r="E67" s="174"/>
      <c r="F67" s="33"/>
      <c r="G67" s="62">
        <f t="shared" si="1"/>
        <v>0</v>
      </c>
      <c r="H67" s="63">
        <f t="shared" si="2"/>
        <v>0</v>
      </c>
      <c r="I67" s="61"/>
      <c r="J67" s="211">
        <f t="shared" si="0"/>
        <v>0</v>
      </c>
      <c r="K67" s="62">
        <f t="shared" si="3"/>
        <v>0</v>
      </c>
      <c r="L67" s="62">
        <f t="shared" si="4"/>
        <v>0</v>
      </c>
      <c r="M67" s="22"/>
      <c r="N67" s="76"/>
      <c r="O67" s="1"/>
      <c r="P67" s="33"/>
      <c r="Q67" s="58">
        <f t="shared" si="9"/>
        <v>0</v>
      </c>
      <c r="R67" s="85">
        <f t="shared" si="5"/>
        <v>0</v>
      </c>
      <c r="S67" s="85">
        <f t="shared" si="6"/>
        <v>0</v>
      </c>
      <c r="T67" s="59">
        <f t="shared" si="7"/>
        <v>0</v>
      </c>
      <c r="U67" s="59">
        <f t="shared" si="8"/>
        <v>0</v>
      </c>
      <c r="V67" s="46"/>
      <c r="W67" s="75"/>
    </row>
    <row r="68" spans="1:23" x14ac:dyDescent="0.25">
      <c r="A68" s="175"/>
      <c r="B68" s="3"/>
      <c r="C68" s="24"/>
      <c r="D68" s="270"/>
      <c r="E68" s="173"/>
      <c r="F68" s="26"/>
      <c r="G68" s="2">
        <f t="shared" si="1"/>
        <v>0</v>
      </c>
      <c r="H68" s="20">
        <f t="shared" si="2"/>
        <v>0</v>
      </c>
      <c r="I68" s="61"/>
      <c r="J68" s="210">
        <f t="shared" si="0"/>
        <v>0</v>
      </c>
      <c r="K68" s="2">
        <f t="shared" si="3"/>
        <v>0</v>
      </c>
      <c r="L68" s="2">
        <f t="shared" si="4"/>
        <v>0</v>
      </c>
      <c r="M68" s="21"/>
      <c r="N68" s="76"/>
      <c r="O68" s="3"/>
      <c r="P68" s="31"/>
      <c r="Q68" s="32">
        <f t="shared" si="9"/>
        <v>0</v>
      </c>
      <c r="R68" s="32">
        <f t="shared" si="5"/>
        <v>0</v>
      </c>
      <c r="S68" s="32">
        <f t="shared" si="6"/>
        <v>0</v>
      </c>
      <c r="T68" s="47">
        <f t="shared" si="7"/>
        <v>0</v>
      </c>
      <c r="U68" s="47">
        <f t="shared" si="8"/>
        <v>0</v>
      </c>
      <c r="V68" s="46"/>
      <c r="W68" s="75"/>
    </row>
    <row r="69" spans="1:23" x14ac:dyDescent="0.25">
      <c r="A69" s="175"/>
      <c r="B69" s="1"/>
      <c r="C69" s="19"/>
      <c r="D69" s="269"/>
      <c r="E69" s="174"/>
      <c r="F69" s="33"/>
      <c r="G69" s="62">
        <f t="shared" si="1"/>
        <v>0</v>
      </c>
      <c r="H69" s="63">
        <f t="shared" si="2"/>
        <v>0</v>
      </c>
      <c r="I69" s="61"/>
      <c r="J69" s="211">
        <f t="shared" si="0"/>
        <v>0</v>
      </c>
      <c r="K69" s="62">
        <f t="shared" si="3"/>
        <v>0</v>
      </c>
      <c r="L69" s="62">
        <f t="shared" si="4"/>
        <v>0</v>
      </c>
      <c r="M69" s="22"/>
      <c r="N69" s="76"/>
      <c r="O69" s="1"/>
      <c r="P69" s="33"/>
      <c r="Q69" s="58">
        <f t="shared" si="9"/>
        <v>0</v>
      </c>
      <c r="R69" s="85">
        <f t="shared" si="5"/>
        <v>0</v>
      </c>
      <c r="S69" s="85">
        <f t="shared" si="6"/>
        <v>0</v>
      </c>
      <c r="T69" s="59">
        <f t="shared" si="7"/>
        <v>0</v>
      </c>
      <c r="U69" s="59">
        <f t="shared" si="8"/>
        <v>0</v>
      </c>
      <c r="V69" s="46"/>
      <c r="W69" s="75"/>
    </row>
    <row r="70" spans="1:23" x14ac:dyDescent="0.25">
      <c r="A70" s="175"/>
      <c r="B70" s="3"/>
      <c r="C70" s="24"/>
      <c r="D70" s="270"/>
      <c r="E70" s="173"/>
      <c r="F70" s="26"/>
      <c r="G70" s="2">
        <f t="shared" si="1"/>
        <v>0</v>
      </c>
      <c r="H70" s="20">
        <f t="shared" si="2"/>
        <v>0</v>
      </c>
      <c r="I70" s="61"/>
      <c r="J70" s="210">
        <f t="shared" si="0"/>
        <v>0</v>
      </c>
      <c r="K70" s="2">
        <f t="shared" si="3"/>
        <v>0</v>
      </c>
      <c r="L70" s="2">
        <f t="shared" si="4"/>
        <v>0</v>
      </c>
      <c r="M70" s="21"/>
      <c r="N70" s="76"/>
      <c r="O70" s="3"/>
      <c r="P70" s="31"/>
      <c r="Q70" s="32">
        <f t="shared" si="9"/>
        <v>0</v>
      </c>
      <c r="R70" s="32">
        <f t="shared" si="5"/>
        <v>0</v>
      </c>
      <c r="S70" s="32">
        <f t="shared" si="6"/>
        <v>0</v>
      </c>
      <c r="T70" s="47">
        <f t="shared" si="7"/>
        <v>0</v>
      </c>
      <c r="U70" s="47">
        <f t="shared" si="8"/>
        <v>0</v>
      </c>
      <c r="V70" s="46"/>
      <c r="W70" s="75"/>
    </row>
    <row r="71" spans="1:23" x14ac:dyDescent="0.25">
      <c r="A71" s="175"/>
      <c r="B71" s="1"/>
      <c r="C71" s="19"/>
      <c r="D71" s="269"/>
      <c r="E71" s="174"/>
      <c r="F71" s="33"/>
      <c r="G71" s="62">
        <f t="shared" si="1"/>
        <v>0</v>
      </c>
      <c r="H71" s="63">
        <f t="shared" si="2"/>
        <v>0</v>
      </c>
      <c r="I71" s="61"/>
      <c r="J71" s="211">
        <f t="shared" si="0"/>
        <v>0</v>
      </c>
      <c r="K71" s="62">
        <f t="shared" si="3"/>
        <v>0</v>
      </c>
      <c r="L71" s="62">
        <f t="shared" si="4"/>
        <v>0</v>
      </c>
      <c r="M71" s="22"/>
      <c r="N71" s="76"/>
      <c r="O71" s="1"/>
      <c r="P71" s="33"/>
      <c r="Q71" s="58">
        <f t="shared" si="9"/>
        <v>0</v>
      </c>
      <c r="R71" s="85">
        <f t="shared" si="5"/>
        <v>0</v>
      </c>
      <c r="S71" s="85">
        <f t="shared" si="6"/>
        <v>0</v>
      </c>
      <c r="T71" s="59">
        <f t="shared" si="7"/>
        <v>0</v>
      </c>
      <c r="U71" s="59">
        <f t="shared" si="8"/>
        <v>0</v>
      </c>
      <c r="V71" s="46"/>
      <c r="W71" s="75"/>
    </row>
    <row r="72" spans="1:23" x14ac:dyDescent="0.25">
      <c r="A72" s="175"/>
      <c r="B72" s="3"/>
      <c r="C72" s="24"/>
      <c r="D72" s="270"/>
      <c r="E72" s="173"/>
      <c r="F72" s="26"/>
      <c r="G72" s="2">
        <f t="shared" si="1"/>
        <v>0</v>
      </c>
      <c r="H72" s="20">
        <f t="shared" si="2"/>
        <v>0</v>
      </c>
      <c r="I72" s="61"/>
      <c r="J72" s="210">
        <f t="shared" si="0"/>
        <v>0</v>
      </c>
      <c r="K72" s="2">
        <f t="shared" si="3"/>
        <v>0</v>
      </c>
      <c r="L72" s="2">
        <f t="shared" si="4"/>
        <v>0</v>
      </c>
      <c r="M72" s="21"/>
      <c r="N72" s="76"/>
      <c r="O72" s="3"/>
      <c r="P72" s="31"/>
      <c r="Q72" s="32">
        <f t="shared" si="9"/>
        <v>0</v>
      </c>
      <c r="R72" s="32">
        <f t="shared" si="5"/>
        <v>0</v>
      </c>
      <c r="S72" s="32">
        <f t="shared" si="6"/>
        <v>0</v>
      </c>
      <c r="T72" s="47">
        <f t="shared" si="7"/>
        <v>0</v>
      </c>
      <c r="U72" s="47">
        <f t="shared" si="8"/>
        <v>0</v>
      </c>
      <c r="V72" s="46"/>
      <c r="W72" s="75"/>
    </row>
    <row r="73" spans="1:23" x14ac:dyDescent="0.25">
      <c r="A73" s="175"/>
      <c r="B73" s="1"/>
      <c r="C73" s="19"/>
      <c r="D73" s="269"/>
      <c r="E73" s="174"/>
      <c r="F73" s="33"/>
      <c r="G73" s="62">
        <f t="shared" si="1"/>
        <v>0</v>
      </c>
      <c r="H73" s="63">
        <f t="shared" si="2"/>
        <v>0</v>
      </c>
      <c r="I73" s="61"/>
      <c r="J73" s="211">
        <f t="shared" si="0"/>
        <v>0</v>
      </c>
      <c r="K73" s="62">
        <f t="shared" si="3"/>
        <v>0</v>
      </c>
      <c r="L73" s="62">
        <f t="shared" si="4"/>
        <v>0</v>
      </c>
      <c r="M73" s="22"/>
      <c r="N73" s="76"/>
      <c r="O73" s="1"/>
      <c r="P73" s="33"/>
      <c r="Q73" s="58">
        <f t="shared" si="9"/>
        <v>0</v>
      </c>
      <c r="R73" s="85">
        <f t="shared" si="5"/>
        <v>0</v>
      </c>
      <c r="S73" s="85">
        <f t="shared" si="6"/>
        <v>0</v>
      </c>
      <c r="T73" s="59">
        <f t="shared" si="7"/>
        <v>0</v>
      </c>
      <c r="U73" s="59">
        <f t="shared" si="8"/>
        <v>0</v>
      </c>
      <c r="V73" s="46"/>
      <c r="W73" s="75"/>
    </row>
    <row r="74" spans="1:23" x14ac:dyDescent="0.25">
      <c r="A74" s="175"/>
      <c r="B74" s="3"/>
      <c r="C74" s="24"/>
      <c r="D74" s="270"/>
      <c r="E74" s="173"/>
      <c r="F74" s="26"/>
      <c r="G74" s="2">
        <f t="shared" si="1"/>
        <v>0</v>
      </c>
      <c r="H74" s="20">
        <f t="shared" si="2"/>
        <v>0</v>
      </c>
      <c r="I74" s="61"/>
      <c r="J74" s="210">
        <f t="shared" si="0"/>
        <v>0</v>
      </c>
      <c r="K74" s="2">
        <f t="shared" si="3"/>
        <v>0</v>
      </c>
      <c r="L74" s="2">
        <f t="shared" si="4"/>
        <v>0</v>
      </c>
      <c r="M74" s="21"/>
      <c r="N74" s="76"/>
      <c r="O74" s="3"/>
      <c r="P74" s="31"/>
      <c r="Q74" s="32">
        <f t="shared" si="9"/>
        <v>0</v>
      </c>
      <c r="R74" s="32">
        <f t="shared" si="5"/>
        <v>0</v>
      </c>
      <c r="S74" s="32">
        <f t="shared" si="6"/>
        <v>0</v>
      </c>
      <c r="T74" s="47">
        <f t="shared" si="7"/>
        <v>0</v>
      </c>
      <c r="U74" s="47">
        <f t="shared" si="8"/>
        <v>0</v>
      </c>
      <c r="V74" s="46"/>
      <c r="W74" s="75"/>
    </row>
    <row r="75" spans="1:23" x14ac:dyDescent="0.25">
      <c r="A75" s="175"/>
      <c r="B75" s="1"/>
      <c r="C75" s="19"/>
      <c r="D75" s="269"/>
      <c r="E75" s="174"/>
      <c r="F75" s="33"/>
      <c r="G75" s="62">
        <f t="shared" si="1"/>
        <v>0</v>
      </c>
      <c r="H75" s="63">
        <f t="shared" si="2"/>
        <v>0</v>
      </c>
      <c r="I75" s="61"/>
      <c r="J75" s="211">
        <f t="shared" si="0"/>
        <v>0</v>
      </c>
      <c r="K75" s="62">
        <f t="shared" si="3"/>
        <v>0</v>
      </c>
      <c r="L75" s="62">
        <f t="shared" si="4"/>
        <v>0</v>
      </c>
      <c r="M75" s="22"/>
      <c r="N75" s="76"/>
      <c r="O75" s="1"/>
      <c r="P75" s="33"/>
      <c r="Q75" s="58">
        <f t="shared" si="9"/>
        <v>0</v>
      </c>
      <c r="R75" s="85">
        <f t="shared" si="5"/>
        <v>0</v>
      </c>
      <c r="S75" s="85">
        <f t="shared" si="6"/>
        <v>0</v>
      </c>
      <c r="T75" s="59">
        <f t="shared" si="7"/>
        <v>0</v>
      </c>
      <c r="U75" s="59">
        <f t="shared" si="8"/>
        <v>0</v>
      </c>
      <c r="V75" s="46"/>
      <c r="W75" s="75"/>
    </row>
    <row r="76" spans="1:23" x14ac:dyDescent="0.25">
      <c r="A76" s="175"/>
      <c r="B76" s="3"/>
      <c r="C76" s="24"/>
      <c r="D76" s="270"/>
      <c r="E76" s="173"/>
      <c r="F76" s="26"/>
      <c r="G76" s="2">
        <f t="shared" si="1"/>
        <v>0</v>
      </c>
      <c r="H76" s="20">
        <f t="shared" si="2"/>
        <v>0</v>
      </c>
      <c r="I76" s="61"/>
      <c r="J76" s="210">
        <f t="shared" si="0"/>
        <v>0</v>
      </c>
      <c r="K76" s="2">
        <f t="shared" si="3"/>
        <v>0</v>
      </c>
      <c r="L76" s="2">
        <f t="shared" si="4"/>
        <v>0</v>
      </c>
      <c r="M76" s="21"/>
      <c r="N76" s="76"/>
      <c r="O76" s="3"/>
      <c r="P76" s="31"/>
      <c r="Q76" s="32">
        <f t="shared" si="9"/>
        <v>0</v>
      </c>
      <c r="R76" s="32">
        <f t="shared" si="5"/>
        <v>0</v>
      </c>
      <c r="S76" s="32">
        <f t="shared" si="6"/>
        <v>0</v>
      </c>
      <c r="T76" s="47">
        <f t="shared" si="7"/>
        <v>0</v>
      </c>
      <c r="U76" s="47">
        <f t="shared" si="8"/>
        <v>0</v>
      </c>
      <c r="V76" s="46"/>
      <c r="W76" s="75"/>
    </row>
    <row r="77" spans="1:23" x14ac:dyDescent="0.25">
      <c r="A77" s="175"/>
      <c r="B77" s="1"/>
      <c r="C77" s="19"/>
      <c r="D77" s="269"/>
      <c r="E77" s="174"/>
      <c r="F77" s="33"/>
      <c r="G77" s="62">
        <f t="shared" si="1"/>
        <v>0</v>
      </c>
      <c r="H77" s="63">
        <f t="shared" si="2"/>
        <v>0</v>
      </c>
      <c r="I77" s="61"/>
      <c r="J77" s="211">
        <f t="shared" si="0"/>
        <v>0</v>
      </c>
      <c r="K77" s="62">
        <f t="shared" si="3"/>
        <v>0</v>
      </c>
      <c r="L77" s="62">
        <f t="shared" si="4"/>
        <v>0</v>
      </c>
      <c r="M77" s="22"/>
      <c r="N77" s="76"/>
      <c r="O77" s="1"/>
      <c r="P77" s="33"/>
      <c r="Q77" s="58">
        <f t="shared" si="9"/>
        <v>0</v>
      </c>
      <c r="R77" s="85">
        <f t="shared" si="5"/>
        <v>0</v>
      </c>
      <c r="S77" s="85">
        <f t="shared" si="6"/>
        <v>0</v>
      </c>
      <c r="T77" s="59">
        <f t="shared" si="7"/>
        <v>0</v>
      </c>
      <c r="U77" s="59">
        <f t="shared" si="8"/>
        <v>0</v>
      </c>
      <c r="V77" s="46"/>
      <c r="W77" s="75"/>
    </row>
    <row r="78" spans="1:23" x14ac:dyDescent="0.25">
      <c r="A78" s="175"/>
      <c r="B78" s="3"/>
      <c r="C78" s="24"/>
      <c r="D78" s="270"/>
      <c r="E78" s="173"/>
      <c r="F78" s="26"/>
      <c r="G78" s="2">
        <f t="shared" si="1"/>
        <v>0</v>
      </c>
      <c r="H78" s="20">
        <f t="shared" si="2"/>
        <v>0</v>
      </c>
      <c r="I78" s="61"/>
      <c r="J78" s="210">
        <f t="shared" si="0"/>
        <v>0</v>
      </c>
      <c r="K78" s="2">
        <f t="shared" si="3"/>
        <v>0</v>
      </c>
      <c r="L78" s="2">
        <f t="shared" si="4"/>
        <v>0</v>
      </c>
      <c r="M78" s="21"/>
      <c r="N78" s="76"/>
      <c r="O78" s="3"/>
      <c r="P78" s="31"/>
      <c r="Q78" s="32">
        <f t="shared" si="9"/>
        <v>0</v>
      </c>
      <c r="R78" s="32">
        <f t="shared" si="5"/>
        <v>0</v>
      </c>
      <c r="S78" s="32">
        <f t="shared" si="6"/>
        <v>0</v>
      </c>
      <c r="T78" s="47">
        <f t="shared" si="7"/>
        <v>0</v>
      </c>
      <c r="U78" s="47">
        <f t="shared" si="8"/>
        <v>0</v>
      </c>
      <c r="V78" s="46"/>
      <c r="W78" s="75"/>
    </row>
    <row r="79" spans="1:23" x14ac:dyDescent="0.25">
      <c r="A79" s="175"/>
      <c r="B79" s="1"/>
      <c r="C79" s="19"/>
      <c r="D79" s="269"/>
      <c r="E79" s="174"/>
      <c r="F79" s="33"/>
      <c r="G79" s="62">
        <f t="shared" si="1"/>
        <v>0</v>
      </c>
      <c r="H79" s="63">
        <f t="shared" si="2"/>
        <v>0</v>
      </c>
      <c r="I79" s="61"/>
      <c r="J79" s="211">
        <f t="shared" si="0"/>
        <v>0</v>
      </c>
      <c r="K79" s="62">
        <f t="shared" si="3"/>
        <v>0</v>
      </c>
      <c r="L79" s="62">
        <f t="shared" si="4"/>
        <v>0</v>
      </c>
      <c r="M79" s="22"/>
      <c r="N79" s="76"/>
      <c r="O79" s="1"/>
      <c r="P79" s="33"/>
      <c r="Q79" s="58">
        <f t="shared" si="9"/>
        <v>0</v>
      </c>
      <c r="R79" s="85">
        <f t="shared" si="5"/>
        <v>0</v>
      </c>
      <c r="S79" s="85">
        <f t="shared" si="6"/>
        <v>0</v>
      </c>
      <c r="T79" s="59">
        <f t="shared" si="7"/>
        <v>0</v>
      </c>
      <c r="U79" s="59">
        <f t="shared" si="8"/>
        <v>0</v>
      </c>
      <c r="V79" s="46"/>
      <c r="W79" s="75"/>
    </row>
    <row r="80" spans="1:23" x14ac:dyDescent="0.25">
      <c r="A80" s="175"/>
      <c r="B80" s="3"/>
      <c r="C80" s="24"/>
      <c r="D80" s="270"/>
      <c r="E80" s="173"/>
      <c r="F80" s="26"/>
      <c r="G80" s="2">
        <f t="shared" si="1"/>
        <v>0</v>
      </c>
      <c r="H80" s="20">
        <f t="shared" si="2"/>
        <v>0</v>
      </c>
      <c r="I80" s="61"/>
      <c r="J80" s="210">
        <f t="shared" si="0"/>
        <v>0</v>
      </c>
      <c r="K80" s="2">
        <f t="shared" si="3"/>
        <v>0</v>
      </c>
      <c r="L80" s="2">
        <f t="shared" si="4"/>
        <v>0</v>
      </c>
      <c r="M80" s="21"/>
      <c r="N80" s="76"/>
      <c r="O80" s="3"/>
      <c r="P80" s="31"/>
      <c r="Q80" s="32">
        <f t="shared" si="9"/>
        <v>0</v>
      </c>
      <c r="R80" s="32">
        <f t="shared" si="5"/>
        <v>0</v>
      </c>
      <c r="S80" s="32">
        <f t="shared" si="6"/>
        <v>0</v>
      </c>
      <c r="T80" s="47">
        <f t="shared" si="7"/>
        <v>0</v>
      </c>
      <c r="U80" s="47">
        <f t="shared" si="8"/>
        <v>0</v>
      </c>
      <c r="V80" s="46"/>
      <c r="W80" s="75"/>
    </row>
    <row r="81" spans="1:23" x14ac:dyDescent="0.25">
      <c r="A81" s="175"/>
      <c r="B81" s="1"/>
      <c r="C81" s="19"/>
      <c r="D81" s="269"/>
      <c r="E81" s="174"/>
      <c r="F81" s="33"/>
      <c r="G81" s="62">
        <f t="shared" si="1"/>
        <v>0</v>
      </c>
      <c r="H81" s="63">
        <f t="shared" si="2"/>
        <v>0</v>
      </c>
      <c r="I81" s="61"/>
      <c r="J81" s="211">
        <f t="shared" si="0"/>
        <v>0</v>
      </c>
      <c r="K81" s="62">
        <f t="shared" si="3"/>
        <v>0</v>
      </c>
      <c r="L81" s="62">
        <f t="shared" si="4"/>
        <v>0</v>
      </c>
      <c r="M81" s="22"/>
      <c r="N81" s="76"/>
      <c r="O81" s="1"/>
      <c r="P81" s="33"/>
      <c r="Q81" s="58">
        <f t="shared" si="9"/>
        <v>0</v>
      </c>
      <c r="R81" s="85">
        <f t="shared" si="5"/>
        <v>0</v>
      </c>
      <c r="S81" s="85">
        <f t="shared" si="6"/>
        <v>0</v>
      </c>
      <c r="T81" s="59">
        <f t="shared" si="7"/>
        <v>0</v>
      </c>
      <c r="U81" s="59">
        <f t="shared" si="8"/>
        <v>0</v>
      </c>
      <c r="V81" s="46"/>
      <c r="W81" s="75"/>
    </row>
    <row r="82" spans="1:23" x14ac:dyDescent="0.25">
      <c r="A82" s="175"/>
      <c r="B82" s="3"/>
      <c r="C82" s="24"/>
      <c r="D82" s="270"/>
      <c r="E82" s="173"/>
      <c r="F82" s="26"/>
      <c r="G82" s="2">
        <f t="shared" si="1"/>
        <v>0</v>
      </c>
      <c r="H82" s="20">
        <f t="shared" si="2"/>
        <v>0</v>
      </c>
      <c r="I82" s="61"/>
      <c r="J82" s="210">
        <f t="shared" ref="J82:J128" si="10">E82</f>
        <v>0</v>
      </c>
      <c r="K82" s="2">
        <f t="shared" si="3"/>
        <v>0</v>
      </c>
      <c r="L82" s="2">
        <f t="shared" si="4"/>
        <v>0</v>
      </c>
      <c r="M82" s="21"/>
      <c r="N82" s="76"/>
      <c r="O82" s="3"/>
      <c r="P82" s="31"/>
      <c r="Q82" s="32">
        <f t="shared" si="9"/>
        <v>0</v>
      </c>
      <c r="R82" s="32">
        <f t="shared" si="5"/>
        <v>0</v>
      </c>
      <c r="S82" s="32">
        <f t="shared" si="6"/>
        <v>0</v>
      </c>
      <c r="T82" s="47">
        <f t="shared" si="7"/>
        <v>0</v>
      </c>
      <c r="U82" s="47">
        <f t="shared" si="8"/>
        <v>0</v>
      </c>
      <c r="V82" s="46"/>
      <c r="W82" s="75"/>
    </row>
    <row r="83" spans="1:23" x14ac:dyDescent="0.25">
      <c r="A83" s="175"/>
      <c r="B83" s="1"/>
      <c r="C83" s="19"/>
      <c r="D83" s="269"/>
      <c r="E83" s="174"/>
      <c r="F83" s="33"/>
      <c r="G83" s="62">
        <f t="shared" ref="G83:G128" si="11">ROUND(IF($F$17="USD $", F83*$E$15,F83*$D$15),2)</f>
        <v>0</v>
      </c>
      <c r="H83" s="63">
        <f t="shared" ref="H83:H128" si="12">ROUND(IF($H$17=$G$17,E83*G83,E83*F83),2)</f>
        <v>0</v>
      </c>
      <c r="I83" s="61"/>
      <c r="J83" s="211">
        <f t="shared" si="10"/>
        <v>0</v>
      </c>
      <c r="K83" s="62">
        <f t="shared" ref="K83:K128" si="13">ROUND(IF($K$17=$F$17,F83*($L$14-M83),G83*($L$14-M83)),2)</f>
        <v>0</v>
      </c>
      <c r="L83" s="62">
        <f t="shared" ref="L83:L128" si="14">ROUND((J83*K83),2)</f>
        <v>0</v>
      </c>
      <c r="M83" s="22"/>
      <c r="N83" s="76"/>
      <c r="O83" s="1"/>
      <c r="P83" s="33"/>
      <c r="Q83" s="58">
        <f t="shared" si="9"/>
        <v>0</v>
      </c>
      <c r="R83" s="85">
        <f t="shared" ref="R83:R128" si="15">IFERROR(ROUND(S83/E83,2),0)</f>
        <v>0</v>
      </c>
      <c r="S83" s="85">
        <f t="shared" ref="S83:S128" si="16">ROUND(L83-Q83,2)</f>
        <v>0</v>
      </c>
      <c r="T83" s="59">
        <f t="shared" ref="T83:T128" si="17">IFERROR(((K83-(Q83/J83))/(Q83/J83)),0)</f>
        <v>0</v>
      </c>
      <c r="U83" s="59">
        <f t="shared" ref="U83:U128" si="18">IFERROR(((K83-(Q83/J83))/K83),0)</f>
        <v>0</v>
      </c>
      <c r="V83" s="46"/>
      <c r="W83" s="75"/>
    </row>
    <row r="84" spans="1:23" x14ac:dyDescent="0.25">
      <c r="A84" s="175"/>
      <c r="B84" s="3"/>
      <c r="C84" s="24"/>
      <c r="D84" s="270"/>
      <c r="E84" s="173"/>
      <c r="F84" s="26"/>
      <c r="G84" s="2">
        <f t="shared" si="11"/>
        <v>0</v>
      </c>
      <c r="H84" s="20">
        <f t="shared" si="12"/>
        <v>0</v>
      </c>
      <c r="I84" s="61"/>
      <c r="J84" s="210">
        <f t="shared" si="10"/>
        <v>0</v>
      </c>
      <c r="K84" s="2">
        <f t="shared" si="13"/>
        <v>0</v>
      </c>
      <c r="L84" s="2">
        <f t="shared" si="14"/>
        <v>0</v>
      </c>
      <c r="M84" s="21"/>
      <c r="N84" s="76"/>
      <c r="O84" s="3"/>
      <c r="P84" s="31"/>
      <c r="Q84" s="32">
        <f t="shared" ref="Q84:Q128" si="19">ROUND(IF($Q$17=$P$17,P84,IF($Q$17="USD $",P84*$D$15,P84*$E$15))*E84,2)</f>
        <v>0</v>
      </c>
      <c r="R84" s="32">
        <f t="shared" si="15"/>
        <v>0</v>
      </c>
      <c r="S84" s="32">
        <f t="shared" si="16"/>
        <v>0</v>
      </c>
      <c r="T84" s="47">
        <f t="shared" si="17"/>
        <v>0</v>
      </c>
      <c r="U84" s="47">
        <f t="shared" si="18"/>
        <v>0</v>
      </c>
      <c r="V84" s="46"/>
      <c r="W84" s="75"/>
    </row>
    <row r="85" spans="1:23" x14ac:dyDescent="0.25">
      <c r="A85" s="175"/>
      <c r="B85" s="1"/>
      <c r="C85" s="19"/>
      <c r="D85" s="269"/>
      <c r="E85" s="174"/>
      <c r="F85" s="33"/>
      <c r="G85" s="62">
        <f t="shared" si="11"/>
        <v>0</v>
      </c>
      <c r="H85" s="63">
        <f t="shared" si="12"/>
        <v>0</v>
      </c>
      <c r="I85" s="61"/>
      <c r="J85" s="211">
        <f t="shared" si="10"/>
        <v>0</v>
      </c>
      <c r="K85" s="62">
        <f t="shared" si="13"/>
        <v>0</v>
      </c>
      <c r="L85" s="62">
        <f t="shared" si="14"/>
        <v>0</v>
      </c>
      <c r="M85" s="22"/>
      <c r="N85" s="76"/>
      <c r="O85" s="1"/>
      <c r="P85" s="33"/>
      <c r="Q85" s="58">
        <f t="shared" si="19"/>
        <v>0</v>
      </c>
      <c r="R85" s="85">
        <f t="shared" si="15"/>
        <v>0</v>
      </c>
      <c r="S85" s="85">
        <f t="shared" si="16"/>
        <v>0</v>
      </c>
      <c r="T85" s="59">
        <f t="shared" si="17"/>
        <v>0</v>
      </c>
      <c r="U85" s="59">
        <f t="shared" si="18"/>
        <v>0</v>
      </c>
      <c r="V85" s="46"/>
      <c r="W85" s="75"/>
    </row>
    <row r="86" spans="1:23" x14ac:dyDescent="0.25">
      <c r="A86" s="175"/>
      <c r="B86" s="3"/>
      <c r="C86" s="24"/>
      <c r="D86" s="270"/>
      <c r="E86" s="173"/>
      <c r="F86" s="26"/>
      <c r="G86" s="2">
        <f t="shared" si="11"/>
        <v>0</v>
      </c>
      <c r="H86" s="20">
        <f t="shared" si="12"/>
        <v>0</v>
      </c>
      <c r="I86" s="61"/>
      <c r="J86" s="210">
        <f t="shared" si="10"/>
        <v>0</v>
      </c>
      <c r="K86" s="2">
        <f t="shared" si="13"/>
        <v>0</v>
      </c>
      <c r="L86" s="2">
        <f t="shared" si="14"/>
        <v>0</v>
      </c>
      <c r="M86" s="21"/>
      <c r="N86" s="76"/>
      <c r="O86" s="3"/>
      <c r="P86" s="31"/>
      <c r="Q86" s="32">
        <f t="shared" si="19"/>
        <v>0</v>
      </c>
      <c r="R86" s="32">
        <f t="shared" si="15"/>
        <v>0</v>
      </c>
      <c r="S86" s="32">
        <f t="shared" si="16"/>
        <v>0</v>
      </c>
      <c r="T86" s="47">
        <f t="shared" si="17"/>
        <v>0</v>
      </c>
      <c r="U86" s="47">
        <f t="shared" si="18"/>
        <v>0</v>
      </c>
      <c r="V86" s="46"/>
      <c r="W86" s="75"/>
    </row>
    <row r="87" spans="1:23" x14ac:dyDescent="0.25">
      <c r="A87" s="175"/>
      <c r="B87" s="1"/>
      <c r="C87" s="19"/>
      <c r="D87" s="269"/>
      <c r="E87" s="174"/>
      <c r="F87" s="33"/>
      <c r="G87" s="62">
        <f t="shared" si="11"/>
        <v>0</v>
      </c>
      <c r="H87" s="63">
        <f t="shared" si="12"/>
        <v>0</v>
      </c>
      <c r="I87" s="61"/>
      <c r="J87" s="211">
        <f t="shared" si="10"/>
        <v>0</v>
      </c>
      <c r="K87" s="62">
        <f t="shared" si="13"/>
        <v>0</v>
      </c>
      <c r="L87" s="62">
        <f t="shared" si="14"/>
        <v>0</v>
      </c>
      <c r="M87" s="22"/>
      <c r="N87" s="76"/>
      <c r="O87" s="1"/>
      <c r="P87" s="33"/>
      <c r="Q87" s="58">
        <f t="shared" si="19"/>
        <v>0</v>
      </c>
      <c r="R87" s="85">
        <f t="shared" si="15"/>
        <v>0</v>
      </c>
      <c r="S87" s="85">
        <f t="shared" si="16"/>
        <v>0</v>
      </c>
      <c r="T87" s="59">
        <f t="shared" si="17"/>
        <v>0</v>
      </c>
      <c r="U87" s="59">
        <f t="shared" si="18"/>
        <v>0</v>
      </c>
      <c r="V87" s="46"/>
      <c r="W87" s="75"/>
    </row>
    <row r="88" spans="1:23" x14ac:dyDescent="0.25">
      <c r="A88" s="175"/>
      <c r="B88" s="3"/>
      <c r="C88" s="24"/>
      <c r="D88" s="270"/>
      <c r="E88" s="173"/>
      <c r="F88" s="26"/>
      <c r="G88" s="2">
        <f t="shared" si="11"/>
        <v>0</v>
      </c>
      <c r="H88" s="20">
        <f t="shared" si="12"/>
        <v>0</v>
      </c>
      <c r="I88" s="61"/>
      <c r="J88" s="210">
        <f t="shared" si="10"/>
        <v>0</v>
      </c>
      <c r="K88" s="2">
        <f t="shared" si="13"/>
        <v>0</v>
      </c>
      <c r="L88" s="2">
        <f t="shared" si="14"/>
        <v>0</v>
      </c>
      <c r="M88" s="21"/>
      <c r="N88" s="76"/>
      <c r="O88" s="3"/>
      <c r="P88" s="31"/>
      <c r="Q88" s="32">
        <f t="shared" si="19"/>
        <v>0</v>
      </c>
      <c r="R88" s="32">
        <f t="shared" si="15"/>
        <v>0</v>
      </c>
      <c r="S88" s="32">
        <f t="shared" si="16"/>
        <v>0</v>
      </c>
      <c r="T88" s="47">
        <f t="shared" si="17"/>
        <v>0</v>
      </c>
      <c r="U88" s="47">
        <f t="shared" si="18"/>
        <v>0</v>
      </c>
      <c r="V88" s="46"/>
      <c r="W88" s="75"/>
    </row>
    <row r="89" spans="1:23" x14ac:dyDescent="0.25">
      <c r="A89" s="175"/>
      <c r="B89" s="1"/>
      <c r="C89" s="19"/>
      <c r="D89" s="269"/>
      <c r="E89" s="174"/>
      <c r="F89" s="33"/>
      <c r="G89" s="62">
        <f t="shared" si="11"/>
        <v>0</v>
      </c>
      <c r="H89" s="63">
        <f t="shared" si="12"/>
        <v>0</v>
      </c>
      <c r="I89" s="61"/>
      <c r="J89" s="211">
        <f t="shared" si="10"/>
        <v>0</v>
      </c>
      <c r="K89" s="62">
        <f t="shared" si="13"/>
        <v>0</v>
      </c>
      <c r="L89" s="62">
        <f t="shared" si="14"/>
        <v>0</v>
      </c>
      <c r="M89" s="22"/>
      <c r="N89" s="76"/>
      <c r="O89" s="1"/>
      <c r="P89" s="33"/>
      <c r="Q89" s="58">
        <f t="shared" si="19"/>
        <v>0</v>
      </c>
      <c r="R89" s="85">
        <f t="shared" si="15"/>
        <v>0</v>
      </c>
      <c r="S89" s="85">
        <f t="shared" si="16"/>
        <v>0</v>
      </c>
      <c r="T89" s="59">
        <f t="shared" si="17"/>
        <v>0</v>
      </c>
      <c r="U89" s="59">
        <f t="shared" si="18"/>
        <v>0</v>
      </c>
      <c r="V89" s="46"/>
      <c r="W89" s="75"/>
    </row>
    <row r="90" spans="1:23" x14ac:dyDescent="0.25">
      <c r="A90" s="175"/>
      <c r="B90" s="3"/>
      <c r="C90" s="24"/>
      <c r="D90" s="270"/>
      <c r="E90" s="173"/>
      <c r="F90" s="26"/>
      <c r="G90" s="2">
        <f t="shared" si="11"/>
        <v>0</v>
      </c>
      <c r="H90" s="20">
        <f t="shared" si="12"/>
        <v>0</v>
      </c>
      <c r="I90" s="61"/>
      <c r="J90" s="210">
        <f t="shared" si="10"/>
        <v>0</v>
      </c>
      <c r="K90" s="2">
        <f t="shared" si="13"/>
        <v>0</v>
      </c>
      <c r="L90" s="2">
        <f t="shared" si="14"/>
        <v>0</v>
      </c>
      <c r="M90" s="21"/>
      <c r="N90" s="76"/>
      <c r="O90" s="3"/>
      <c r="P90" s="31"/>
      <c r="Q90" s="32">
        <f t="shared" si="19"/>
        <v>0</v>
      </c>
      <c r="R90" s="32">
        <f t="shared" si="15"/>
        <v>0</v>
      </c>
      <c r="S90" s="32">
        <f t="shared" si="16"/>
        <v>0</v>
      </c>
      <c r="T90" s="47">
        <f t="shared" si="17"/>
        <v>0</v>
      </c>
      <c r="U90" s="47">
        <f t="shared" si="18"/>
        <v>0</v>
      </c>
      <c r="V90" s="46"/>
      <c r="W90" s="75"/>
    </row>
    <row r="91" spans="1:23" x14ac:dyDescent="0.25">
      <c r="A91" s="175"/>
      <c r="B91" s="1"/>
      <c r="C91" s="19"/>
      <c r="D91" s="269"/>
      <c r="E91" s="174"/>
      <c r="F91" s="33"/>
      <c r="G91" s="62">
        <f t="shared" si="11"/>
        <v>0</v>
      </c>
      <c r="H91" s="63">
        <f t="shared" si="12"/>
        <v>0</v>
      </c>
      <c r="I91" s="61"/>
      <c r="J91" s="211">
        <f t="shared" si="10"/>
        <v>0</v>
      </c>
      <c r="K91" s="62">
        <f t="shared" si="13"/>
        <v>0</v>
      </c>
      <c r="L91" s="62">
        <f t="shared" si="14"/>
        <v>0</v>
      </c>
      <c r="M91" s="22"/>
      <c r="N91" s="76"/>
      <c r="O91" s="1"/>
      <c r="P91" s="33"/>
      <c r="Q91" s="58">
        <f t="shared" si="19"/>
        <v>0</v>
      </c>
      <c r="R91" s="85">
        <f t="shared" si="15"/>
        <v>0</v>
      </c>
      <c r="S91" s="85">
        <f t="shared" si="16"/>
        <v>0</v>
      </c>
      <c r="T91" s="59">
        <f t="shared" si="17"/>
        <v>0</v>
      </c>
      <c r="U91" s="59">
        <f t="shared" si="18"/>
        <v>0</v>
      </c>
      <c r="V91" s="46"/>
      <c r="W91" s="75"/>
    </row>
    <row r="92" spans="1:23" x14ac:dyDescent="0.25">
      <c r="A92" s="175"/>
      <c r="B92" s="3"/>
      <c r="C92" s="24"/>
      <c r="D92" s="270"/>
      <c r="E92" s="173"/>
      <c r="F92" s="26"/>
      <c r="G92" s="2">
        <f t="shared" si="11"/>
        <v>0</v>
      </c>
      <c r="H92" s="20">
        <f t="shared" si="12"/>
        <v>0</v>
      </c>
      <c r="I92" s="61"/>
      <c r="J92" s="210">
        <f t="shared" si="10"/>
        <v>0</v>
      </c>
      <c r="K92" s="2">
        <f t="shared" si="13"/>
        <v>0</v>
      </c>
      <c r="L92" s="2">
        <f t="shared" si="14"/>
        <v>0</v>
      </c>
      <c r="M92" s="21"/>
      <c r="N92" s="76"/>
      <c r="O92" s="3"/>
      <c r="P92" s="31"/>
      <c r="Q92" s="32">
        <f t="shared" si="19"/>
        <v>0</v>
      </c>
      <c r="R92" s="32">
        <f t="shared" si="15"/>
        <v>0</v>
      </c>
      <c r="S92" s="32">
        <f t="shared" si="16"/>
        <v>0</v>
      </c>
      <c r="T92" s="47">
        <f t="shared" si="17"/>
        <v>0</v>
      </c>
      <c r="U92" s="47">
        <f t="shared" si="18"/>
        <v>0</v>
      </c>
      <c r="V92" s="46"/>
      <c r="W92" s="75"/>
    </row>
    <row r="93" spans="1:23" x14ac:dyDescent="0.25">
      <c r="A93" s="175"/>
      <c r="B93" s="1"/>
      <c r="C93" s="19"/>
      <c r="D93" s="269"/>
      <c r="E93" s="174"/>
      <c r="F93" s="33"/>
      <c r="G93" s="62">
        <f t="shared" si="11"/>
        <v>0</v>
      </c>
      <c r="H93" s="63">
        <f t="shared" si="12"/>
        <v>0</v>
      </c>
      <c r="I93" s="61"/>
      <c r="J93" s="211">
        <f t="shared" si="10"/>
        <v>0</v>
      </c>
      <c r="K93" s="62">
        <f t="shared" si="13"/>
        <v>0</v>
      </c>
      <c r="L93" s="62">
        <f t="shared" si="14"/>
        <v>0</v>
      </c>
      <c r="M93" s="22"/>
      <c r="N93" s="76"/>
      <c r="O93" s="1"/>
      <c r="P93" s="33"/>
      <c r="Q93" s="58">
        <f t="shared" si="19"/>
        <v>0</v>
      </c>
      <c r="R93" s="85">
        <f t="shared" si="15"/>
        <v>0</v>
      </c>
      <c r="S93" s="85">
        <f t="shared" si="16"/>
        <v>0</v>
      </c>
      <c r="T93" s="59">
        <f t="shared" si="17"/>
        <v>0</v>
      </c>
      <c r="U93" s="59">
        <f t="shared" si="18"/>
        <v>0</v>
      </c>
      <c r="V93" s="46"/>
      <c r="W93" s="75"/>
    </row>
    <row r="94" spans="1:23" x14ac:dyDescent="0.25">
      <c r="A94" s="175"/>
      <c r="B94" s="3"/>
      <c r="C94" s="24"/>
      <c r="D94" s="270"/>
      <c r="E94" s="173"/>
      <c r="F94" s="26"/>
      <c r="G94" s="2">
        <f t="shared" si="11"/>
        <v>0</v>
      </c>
      <c r="H94" s="20">
        <f t="shared" si="12"/>
        <v>0</v>
      </c>
      <c r="I94" s="61"/>
      <c r="J94" s="210">
        <f t="shared" si="10"/>
        <v>0</v>
      </c>
      <c r="K94" s="2">
        <f t="shared" si="13"/>
        <v>0</v>
      </c>
      <c r="L94" s="2">
        <f t="shared" si="14"/>
        <v>0</v>
      </c>
      <c r="M94" s="21"/>
      <c r="N94" s="76"/>
      <c r="O94" s="3"/>
      <c r="P94" s="31"/>
      <c r="Q94" s="32">
        <f t="shared" si="19"/>
        <v>0</v>
      </c>
      <c r="R94" s="32">
        <f t="shared" si="15"/>
        <v>0</v>
      </c>
      <c r="S94" s="32">
        <f t="shared" si="16"/>
        <v>0</v>
      </c>
      <c r="T94" s="47">
        <f t="shared" si="17"/>
        <v>0</v>
      </c>
      <c r="U94" s="47">
        <f t="shared" si="18"/>
        <v>0</v>
      </c>
      <c r="V94" s="46"/>
      <c r="W94" s="75"/>
    </row>
    <row r="95" spans="1:23" x14ac:dyDescent="0.25">
      <c r="A95" s="175"/>
      <c r="B95" s="1"/>
      <c r="C95" s="19"/>
      <c r="D95" s="269"/>
      <c r="E95" s="174"/>
      <c r="F95" s="33"/>
      <c r="G95" s="62">
        <f t="shared" si="11"/>
        <v>0</v>
      </c>
      <c r="H95" s="63">
        <f t="shared" si="12"/>
        <v>0</v>
      </c>
      <c r="I95" s="61"/>
      <c r="J95" s="211">
        <f t="shared" si="10"/>
        <v>0</v>
      </c>
      <c r="K95" s="62">
        <f t="shared" si="13"/>
        <v>0</v>
      </c>
      <c r="L95" s="62">
        <f t="shared" si="14"/>
        <v>0</v>
      </c>
      <c r="M95" s="22"/>
      <c r="N95" s="76"/>
      <c r="O95" s="1"/>
      <c r="P95" s="33"/>
      <c r="Q95" s="58">
        <f t="shared" si="19"/>
        <v>0</v>
      </c>
      <c r="R95" s="85">
        <f t="shared" si="15"/>
        <v>0</v>
      </c>
      <c r="S95" s="85">
        <f t="shared" si="16"/>
        <v>0</v>
      </c>
      <c r="T95" s="59">
        <f t="shared" si="17"/>
        <v>0</v>
      </c>
      <c r="U95" s="59">
        <f t="shared" si="18"/>
        <v>0</v>
      </c>
      <c r="V95" s="46"/>
      <c r="W95" s="75"/>
    </row>
    <row r="96" spans="1:23" x14ac:dyDescent="0.25">
      <c r="A96" s="175"/>
      <c r="B96" s="3"/>
      <c r="C96" s="24"/>
      <c r="D96" s="270"/>
      <c r="E96" s="173"/>
      <c r="F96" s="26"/>
      <c r="G96" s="2">
        <f t="shared" si="11"/>
        <v>0</v>
      </c>
      <c r="H96" s="20">
        <f t="shared" si="12"/>
        <v>0</v>
      </c>
      <c r="I96" s="61"/>
      <c r="J96" s="210">
        <f t="shared" si="10"/>
        <v>0</v>
      </c>
      <c r="K96" s="2">
        <f t="shared" si="13"/>
        <v>0</v>
      </c>
      <c r="L96" s="2">
        <f t="shared" si="14"/>
        <v>0</v>
      </c>
      <c r="M96" s="21"/>
      <c r="N96" s="76"/>
      <c r="O96" s="3"/>
      <c r="P96" s="31"/>
      <c r="Q96" s="32">
        <f t="shared" si="19"/>
        <v>0</v>
      </c>
      <c r="R96" s="32">
        <f t="shared" si="15"/>
        <v>0</v>
      </c>
      <c r="S96" s="32">
        <f t="shared" si="16"/>
        <v>0</v>
      </c>
      <c r="T96" s="47">
        <f t="shared" si="17"/>
        <v>0</v>
      </c>
      <c r="U96" s="47">
        <f t="shared" si="18"/>
        <v>0</v>
      </c>
      <c r="V96" s="46"/>
      <c r="W96" s="75"/>
    </row>
    <row r="97" spans="1:23" x14ac:dyDescent="0.25">
      <c r="A97" s="175"/>
      <c r="B97" s="1"/>
      <c r="C97" s="19"/>
      <c r="D97" s="269"/>
      <c r="E97" s="174"/>
      <c r="F97" s="33"/>
      <c r="G97" s="62">
        <f t="shared" si="11"/>
        <v>0</v>
      </c>
      <c r="H97" s="63">
        <f t="shared" si="12"/>
        <v>0</v>
      </c>
      <c r="I97" s="61"/>
      <c r="J97" s="211">
        <f t="shared" si="10"/>
        <v>0</v>
      </c>
      <c r="K97" s="62">
        <f t="shared" si="13"/>
        <v>0</v>
      </c>
      <c r="L97" s="62">
        <f t="shared" si="14"/>
        <v>0</v>
      </c>
      <c r="M97" s="22"/>
      <c r="N97" s="76"/>
      <c r="O97" s="1"/>
      <c r="P97" s="33"/>
      <c r="Q97" s="58">
        <f t="shared" si="19"/>
        <v>0</v>
      </c>
      <c r="R97" s="85">
        <f t="shared" si="15"/>
        <v>0</v>
      </c>
      <c r="S97" s="85">
        <f t="shared" si="16"/>
        <v>0</v>
      </c>
      <c r="T97" s="59">
        <f t="shared" si="17"/>
        <v>0</v>
      </c>
      <c r="U97" s="59">
        <f t="shared" si="18"/>
        <v>0</v>
      </c>
      <c r="V97" s="46"/>
      <c r="W97" s="75"/>
    </row>
    <row r="98" spans="1:23" x14ac:dyDescent="0.25">
      <c r="A98" s="175"/>
      <c r="B98" s="3"/>
      <c r="C98" s="24"/>
      <c r="D98" s="270"/>
      <c r="E98" s="173"/>
      <c r="F98" s="26"/>
      <c r="G98" s="2">
        <f t="shared" si="11"/>
        <v>0</v>
      </c>
      <c r="H98" s="20">
        <f t="shared" si="12"/>
        <v>0</v>
      </c>
      <c r="I98" s="61"/>
      <c r="J98" s="210">
        <f t="shared" si="10"/>
        <v>0</v>
      </c>
      <c r="K98" s="2">
        <f t="shared" si="13"/>
        <v>0</v>
      </c>
      <c r="L98" s="2">
        <f t="shared" si="14"/>
        <v>0</v>
      </c>
      <c r="M98" s="21"/>
      <c r="N98" s="76"/>
      <c r="O98" s="3"/>
      <c r="P98" s="31"/>
      <c r="Q98" s="32">
        <f t="shared" si="19"/>
        <v>0</v>
      </c>
      <c r="R98" s="32">
        <f t="shared" si="15"/>
        <v>0</v>
      </c>
      <c r="S98" s="32">
        <f t="shared" si="16"/>
        <v>0</v>
      </c>
      <c r="T98" s="47">
        <f t="shared" si="17"/>
        <v>0</v>
      </c>
      <c r="U98" s="47">
        <f t="shared" si="18"/>
        <v>0</v>
      </c>
      <c r="V98" s="46"/>
      <c r="W98" s="75"/>
    </row>
    <row r="99" spans="1:23" x14ac:dyDescent="0.25">
      <c r="A99" s="175"/>
      <c r="B99" s="1"/>
      <c r="C99" s="19"/>
      <c r="D99" s="269"/>
      <c r="E99" s="174"/>
      <c r="F99" s="33"/>
      <c r="G99" s="62">
        <f t="shared" si="11"/>
        <v>0</v>
      </c>
      <c r="H99" s="63">
        <f t="shared" si="12"/>
        <v>0</v>
      </c>
      <c r="I99" s="61"/>
      <c r="J99" s="211">
        <f t="shared" si="10"/>
        <v>0</v>
      </c>
      <c r="K99" s="62">
        <f t="shared" si="13"/>
        <v>0</v>
      </c>
      <c r="L99" s="62">
        <f t="shared" si="14"/>
        <v>0</v>
      </c>
      <c r="M99" s="22"/>
      <c r="N99" s="76"/>
      <c r="O99" s="1"/>
      <c r="P99" s="33"/>
      <c r="Q99" s="58">
        <f t="shared" si="19"/>
        <v>0</v>
      </c>
      <c r="R99" s="85">
        <f t="shared" si="15"/>
        <v>0</v>
      </c>
      <c r="S99" s="85">
        <f t="shared" si="16"/>
        <v>0</v>
      </c>
      <c r="T99" s="59">
        <f t="shared" si="17"/>
        <v>0</v>
      </c>
      <c r="U99" s="59">
        <f t="shared" si="18"/>
        <v>0</v>
      </c>
      <c r="V99" s="46"/>
      <c r="W99" s="75"/>
    </row>
    <row r="100" spans="1:23" x14ac:dyDescent="0.25">
      <c r="A100" s="175"/>
      <c r="B100" s="3"/>
      <c r="C100" s="24"/>
      <c r="D100" s="270"/>
      <c r="E100" s="173"/>
      <c r="F100" s="26"/>
      <c r="G100" s="2">
        <f t="shared" si="11"/>
        <v>0</v>
      </c>
      <c r="H100" s="20">
        <f t="shared" si="12"/>
        <v>0</v>
      </c>
      <c r="I100" s="61"/>
      <c r="J100" s="210">
        <f t="shared" si="10"/>
        <v>0</v>
      </c>
      <c r="K100" s="2">
        <f t="shared" si="13"/>
        <v>0</v>
      </c>
      <c r="L100" s="2">
        <f t="shared" si="14"/>
        <v>0</v>
      </c>
      <c r="M100" s="21"/>
      <c r="N100" s="76"/>
      <c r="O100" s="3"/>
      <c r="P100" s="31"/>
      <c r="Q100" s="32">
        <f t="shared" si="19"/>
        <v>0</v>
      </c>
      <c r="R100" s="32">
        <f t="shared" si="15"/>
        <v>0</v>
      </c>
      <c r="S100" s="32">
        <f t="shared" si="16"/>
        <v>0</v>
      </c>
      <c r="T100" s="47">
        <f t="shared" si="17"/>
        <v>0</v>
      </c>
      <c r="U100" s="47">
        <f t="shared" si="18"/>
        <v>0</v>
      </c>
      <c r="V100" s="46"/>
      <c r="W100" s="75"/>
    </row>
    <row r="101" spans="1:23" x14ac:dyDescent="0.25">
      <c r="A101" s="175"/>
      <c r="B101" s="1"/>
      <c r="C101" s="19"/>
      <c r="D101" s="269"/>
      <c r="E101" s="174"/>
      <c r="F101" s="33"/>
      <c r="G101" s="62">
        <f t="shared" si="11"/>
        <v>0</v>
      </c>
      <c r="H101" s="63">
        <f t="shared" si="12"/>
        <v>0</v>
      </c>
      <c r="I101" s="61"/>
      <c r="J101" s="211">
        <f t="shared" si="10"/>
        <v>0</v>
      </c>
      <c r="K101" s="62">
        <f t="shared" si="13"/>
        <v>0</v>
      </c>
      <c r="L101" s="62">
        <f t="shared" si="14"/>
        <v>0</v>
      </c>
      <c r="M101" s="22"/>
      <c r="N101" s="76"/>
      <c r="O101" s="1"/>
      <c r="P101" s="33"/>
      <c r="Q101" s="58">
        <f t="shared" si="19"/>
        <v>0</v>
      </c>
      <c r="R101" s="85">
        <f t="shared" si="15"/>
        <v>0</v>
      </c>
      <c r="S101" s="85">
        <f t="shared" si="16"/>
        <v>0</v>
      </c>
      <c r="T101" s="59">
        <f t="shared" si="17"/>
        <v>0</v>
      </c>
      <c r="U101" s="59">
        <f t="shared" si="18"/>
        <v>0</v>
      </c>
      <c r="V101" s="46"/>
      <c r="W101" s="75"/>
    </row>
    <row r="102" spans="1:23" x14ac:dyDescent="0.25">
      <c r="A102" s="175"/>
      <c r="B102" s="3"/>
      <c r="C102" s="24"/>
      <c r="D102" s="270"/>
      <c r="E102" s="173"/>
      <c r="F102" s="26"/>
      <c r="G102" s="2">
        <f t="shared" si="11"/>
        <v>0</v>
      </c>
      <c r="H102" s="20">
        <f t="shared" si="12"/>
        <v>0</v>
      </c>
      <c r="I102" s="61"/>
      <c r="J102" s="210">
        <f t="shared" si="10"/>
        <v>0</v>
      </c>
      <c r="K102" s="2">
        <f t="shared" si="13"/>
        <v>0</v>
      </c>
      <c r="L102" s="2">
        <f t="shared" si="14"/>
        <v>0</v>
      </c>
      <c r="M102" s="21"/>
      <c r="N102" s="76"/>
      <c r="O102" s="3"/>
      <c r="P102" s="31"/>
      <c r="Q102" s="32">
        <f t="shared" si="19"/>
        <v>0</v>
      </c>
      <c r="R102" s="32">
        <f t="shared" si="15"/>
        <v>0</v>
      </c>
      <c r="S102" s="32">
        <f t="shared" si="16"/>
        <v>0</v>
      </c>
      <c r="T102" s="47">
        <f t="shared" si="17"/>
        <v>0</v>
      </c>
      <c r="U102" s="47">
        <f t="shared" si="18"/>
        <v>0</v>
      </c>
      <c r="V102" s="46"/>
      <c r="W102" s="75"/>
    </row>
    <row r="103" spans="1:23" x14ac:dyDescent="0.25">
      <c r="A103" s="175"/>
      <c r="B103" s="1"/>
      <c r="C103" s="19"/>
      <c r="D103" s="269"/>
      <c r="E103" s="174"/>
      <c r="F103" s="33"/>
      <c r="G103" s="62">
        <f t="shared" si="11"/>
        <v>0</v>
      </c>
      <c r="H103" s="63">
        <f t="shared" si="12"/>
        <v>0</v>
      </c>
      <c r="I103" s="61"/>
      <c r="J103" s="211">
        <f t="shared" si="10"/>
        <v>0</v>
      </c>
      <c r="K103" s="62">
        <f t="shared" si="13"/>
        <v>0</v>
      </c>
      <c r="L103" s="62">
        <f t="shared" si="14"/>
        <v>0</v>
      </c>
      <c r="M103" s="22"/>
      <c r="N103" s="76"/>
      <c r="O103" s="1"/>
      <c r="P103" s="33"/>
      <c r="Q103" s="58">
        <f t="shared" si="19"/>
        <v>0</v>
      </c>
      <c r="R103" s="85">
        <f t="shared" si="15"/>
        <v>0</v>
      </c>
      <c r="S103" s="85">
        <f t="shared" si="16"/>
        <v>0</v>
      </c>
      <c r="T103" s="59">
        <f t="shared" si="17"/>
        <v>0</v>
      </c>
      <c r="U103" s="59">
        <f t="shared" si="18"/>
        <v>0</v>
      </c>
      <c r="V103" s="46"/>
      <c r="W103" s="75"/>
    </row>
    <row r="104" spans="1:23" x14ac:dyDescent="0.25">
      <c r="A104" s="175"/>
      <c r="B104" s="3"/>
      <c r="C104" s="24"/>
      <c r="D104" s="270"/>
      <c r="E104" s="173"/>
      <c r="F104" s="26"/>
      <c r="G104" s="2">
        <f t="shared" si="11"/>
        <v>0</v>
      </c>
      <c r="H104" s="20">
        <f t="shared" si="12"/>
        <v>0</v>
      </c>
      <c r="I104" s="61"/>
      <c r="J104" s="210">
        <f t="shared" si="10"/>
        <v>0</v>
      </c>
      <c r="K104" s="2">
        <f t="shared" si="13"/>
        <v>0</v>
      </c>
      <c r="L104" s="2">
        <f t="shared" si="14"/>
        <v>0</v>
      </c>
      <c r="M104" s="21"/>
      <c r="N104" s="76"/>
      <c r="O104" s="3"/>
      <c r="P104" s="31"/>
      <c r="Q104" s="32">
        <f t="shared" si="19"/>
        <v>0</v>
      </c>
      <c r="R104" s="32">
        <f t="shared" si="15"/>
        <v>0</v>
      </c>
      <c r="S104" s="32">
        <f t="shared" si="16"/>
        <v>0</v>
      </c>
      <c r="T104" s="47">
        <f t="shared" si="17"/>
        <v>0</v>
      </c>
      <c r="U104" s="47">
        <f t="shared" si="18"/>
        <v>0</v>
      </c>
      <c r="V104" s="46"/>
      <c r="W104" s="75"/>
    </row>
    <row r="105" spans="1:23" x14ac:dyDescent="0.25">
      <c r="A105" s="175"/>
      <c r="B105" s="1"/>
      <c r="C105" s="19"/>
      <c r="D105" s="269"/>
      <c r="E105" s="174"/>
      <c r="F105" s="33"/>
      <c r="G105" s="62">
        <f t="shared" si="11"/>
        <v>0</v>
      </c>
      <c r="H105" s="63">
        <f t="shared" si="12"/>
        <v>0</v>
      </c>
      <c r="I105" s="61"/>
      <c r="J105" s="211">
        <f t="shared" si="10"/>
        <v>0</v>
      </c>
      <c r="K105" s="62">
        <f t="shared" si="13"/>
        <v>0</v>
      </c>
      <c r="L105" s="62">
        <f t="shared" si="14"/>
        <v>0</v>
      </c>
      <c r="M105" s="22"/>
      <c r="N105" s="76"/>
      <c r="O105" s="1"/>
      <c r="P105" s="33"/>
      <c r="Q105" s="58">
        <f t="shared" si="19"/>
        <v>0</v>
      </c>
      <c r="R105" s="85">
        <f t="shared" si="15"/>
        <v>0</v>
      </c>
      <c r="S105" s="85">
        <f t="shared" si="16"/>
        <v>0</v>
      </c>
      <c r="T105" s="59">
        <f t="shared" si="17"/>
        <v>0</v>
      </c>
      <c r="U105" s="59">
        <f t="shared" si="18"/>
        <v>0</v>
      </c>
      <c r="V105" s="46"/>
      <c r="W105" s="75"/>
    </row>
    <row r="106" spans="1:23" x14ac:dyDescent="0.25">
      <c r="A106" s="175"/>
      <c r="B106" s="3"/>
      <c r="C106" s="24"/>
      <c r="D106" s="270"/>
      <c r="E106" s="173"/>
      <c r="F106" s="26"/>
      <c r="G106" s="2">
        <f t="shared" si="11"/>
        <v>0</v>
      </c>
      <c r="H106" s="20">
        <f t="shared" si="12"/>
        <v>0</v>
      </c>
      <c r="I106" s="61"/>
      <c r="J106" s="210">
        <f t="shared" si="10"/>
        <v>0</v>
      </c>
      <c r="K106" s="2">
        <f t="shared" si="13"/>
        <v>0</v>
      </c>
      <c r="L106" s="2">
        <f t="shared" si="14"/>
        <v>0</v>
      </c>
      <c r="M106" s="21"/>
      <c r="N106" s="76"/>
      <c r="O106" s="3"/>
      <c r="P106" s="31"/>
      <c r="Q106" s="32">
        <f t="shared" si="19"/>
        <v>0</v>
      </c>
      <c r="R106" s="32">
        <f t="shared" si="15"/>
        <v>0</v>
      </c>
      <c r="S106" s="32">
        <f t="shared" si="16"/>
        <v>0</v>
      </c>
      <c r="T106" s="47">
        <f t="shared" si="17"/>
        <v>0</v>
      </c>
      <c r="U106" s="47">
        <f t="shared" si="18"/>
        <v>0</v>
      </c>
      <c r="V106" s="46"/>
      <c r="W106" s="75"/>
    </row>
    <row r="107" spans="1:23" x14ac:dyDescent="0.25">
      <c r="A107" s="175"/>
      <c r="B107" s="1"/>
      <c r="C107" s="19"/>
      <c r="D107" s="269"/>
      <c r="E107" s="174"/>
      <c r="F107" s="33"/>
      <c r="G107" s="62">
        <f t="shared" si="11"/>
        <v>0</v>
      </c>
      <c r="H107" s="63">
        <f t="shared" si="12"/>
        <v>0</v>
      </c>
      <c r="I107" s="61"/>
      <c r="J107" s="211">
        <f t="shared" si="10"/>
        <v>0</v>
      </c>
      <c r="K107" s="62">
        <f t="shared" si="13"/>
        <v>0</v>
      </c>
      <c r="L107" s="62">
        <f t="shared" si="14"/>
        <v>0</v>
      </c>
      <c r="M107" s="22"/>
      <c r="N107" s="76"/>
      <c r="O107" s="1"/>
      <c r="P107" s="33"/>
      <c r="Q107" s="58">
        <f t="shared" si="19"/>
        <v>0</v>
      </c>
      <c r="R107" s="85">
        <f t="shared" si="15"/>
        <v>0</v>
      </c>
      <c r="S107" s="85">
        <f t="shared" si="16"/>
        <v>0</v>
      </c>
      <c r="T107" s="59">
        <f t="shared" si="17"/>
        <v>0</v>
      </c>
      <c r="U107" s="59">
        <f t="shared" si="18"/>
        <v>0</v>
      </c>
      <c r="V107" s="46"/>
      <c r="W107" s="75"/>
    </row>
    <row r="108" spans="1:23" x14ac:dyDescent="0.25">
      <c r="A108" s="175"/>
      <c r="B108" s="3"/>
      <c r="C108" s="24"/>
      <c r="D108" s="270"/>
      <c r="E108" s="173"/>
      <c r="F108" s="26"/>
      <c r="G108" s="2">
        <f t="shared" si="11"/>
        <v>0</v>
      </c>
      <c r="H108" s="20">
        <f t="shared" si="12"/>
        <v>0</v>
      </c>
      <c r="I108" s="61"/>
      <c r="J108" s="210">
        <f t="shared" si="10"/>
        <v>0</v>
      </c>
      <c r="K108" s="2">
        <f t="shared" si="13"/>
        <v>0</v>
      </c>
      <c r="L108" s="2">
        <f t="shared" si="14"/>
        <v>0</v>
      </c>
      <c r="M108" s="21"/>
      <c r="N108" s="76"/>
      <c r="O108" s="3"/>
      <c r="P108" s="31"/>
      <c r="Q108" s="32">
        <f t="shared" si="19"/>
        <v>0</v>
      </c>
      <c r="R108" s="32">
        <f t="shared" si="15"/>
        <v>0</v>
      </c>
      <c r="S108" s="32">
        <f t="shared" si="16"/>
        <v>0</v>
      </c>
      <c r="T108" s="47">
        <f t="shared" si="17"/>
        <v>0</v>
      </c>
      <c r="U108" s="47">
        <f t="shared" si="18"/>
        <v>0</v>
      </c>
      <c r="V108" s="46"/>
      <c r="W108" s="75"/>
    </row>
    <row r="109" spans="1:23" x14ac:dyDescent="0.25">
      <c r="A109" s="175"/>
      <c r="B109" s="1"/>
      <c r="C109" s="19"/>
      <c r="D109" s="269"/>
      <c r="E109" s="174"/>
      <c r="F109" s="33"/>
      <c r="G109" s="62">
        <f t="shared" si="11"/>
        <v>0</v>
      </c>
      <c r="H109" s="63">
        <f t="shared" si="12"/>
        <v>0</v>
      </c>
      <c r="I109" s="61"/>
      <c r="J109" s="211">
        <f t="shared" si="10"/>
        <v>0</v>
      </c>
      <c r="K109" s="62">
        <f t="shared" si="13"/>
        <v>0</v>
      </c>
      <c r="L109" s="62">
        <f t="shared" si="14"/>
        <v>0</v>
      </c>
      <c r="M109" s="22"/>
      <c r="N109" s="76"/>
      <c r="O109" s="1"/>
      <c r="P109" s="33"/>
      <c r="Q109" s="58">
        <f t="shared" si="19"/>
        <v>0</v>
      </c>
      <c r="R109" s="85">
        <f t="shared" si="15"/>
        <v>0</v>
      </c>
      <c r="S109" s="85">
        <f t="shared" si="16"/>
        <v>0</v>
      </c>
      <c r="T109" s="59">
        <f t="shared" si="17"/>
        <v>0</v>
      </c>
      <c r="U109" s="59">
        <f t="shared" si="18"/>
        <v>0</v>
      </c>
      <c r="V109" s="46"/>
      <c r="W109" s="75"/>
    </row>
    <row r="110" spans="1:23" x14ac:dyDescent="0.25">
      <c r="A110" s="175"/>
      <c r="B110" s="3"/>
      <c r="C110" s="24"/>
      <c r="D110" s="270"/>
      <c r="E110" s="173"/>
      <c r="F110" s="26"/>
      <c r="G110" s="2">
        <f t="shared" si="11"/>
        <v>0</v>
      </c>
      <c r="H110" s="20">
        <f t="shared" si="12"/>
        <v>0</v>
      </c>
      <c r="I110" s="61"/>
      <c r="J110" s="210">
        <f t="shared" si="10"/>
        <v>0</v>
      </c>
      <c r="K110" s="2">
        <f t="shared" si="13"/>
        <v>0</v>
      </c>
      <c r="L110" s="2">
        <f t="shared" si="14"/>
        <v>0</v>
      </c>
      <c r="M110" s="21"/>
      <c r="N110" s="76"/>
      <c r="O110" s="3"/>
      <c r="P110" s="31"/>
      <c r="Q110" s="32">
        <f t="shared" si="19"/>
        <v>0</v>
      </c>
      <c r="R110" s="32">
        <f t="shared" si="15"/>
        <v>0</v>
      </c>
      <c r="S110" s="32">
        <f t="shared" si="16"/>
        <v>0</v>
      </c>
      <c r="T110" s="47">
        <f t="shared" si="17"/>
        <v>0</v>
      </c>
      <c r="U110" s="47">
        <f t="shared" si="18"/>
        <v>0</v>
      </c>
      <c r="V110" s="46"/>
      <c r="W110" s="75"/>
    </row>
    <row r="111" spans="1:23" x14ac:dyDescent="0.25">
      <c r="A111" s="175"/>
      <c r="B111" s="1"/>
      <c r="C111" s="19"/>
      <c r="D111" s="269"/>
      <c r="E111" s="174"/>
      <c r="F111" s="33"/>
      <c r="G111" s="62">
        <f t="shared" si="11"/>
        <v>0</v>
      </c>
      <c r="H111" s="63">
        <f t="shared" si="12"/>
        <v>0</v>
      </c>
      <c r="I111" s="61"/>
      <c r="J111" s="211">
        <f t="shared" si="10"/>
        <v>0</v>
      </c>
      <c r="K111" s="62">
        <f t="shared" si="13"/>
        <v>0</v>
      </c>
      <c r="L111" s="62">
        <f t="shared" si="14"/>
        <v>0</v>
      </c>
      <c r="M111" s="22"/>
      <c r="N111" s="76"/>
      <c r="O111" s="1"/>
      <c r="P111" s="33"/>
      <c r="Q111" s="58">
        <f t="shared" si="19"/>
        <v>0</v>
      </c>
      <c r="R111" s="85">
        <f t="shared" si="15"/>
        <v>0</v>
      </c>
      <c r="S111" s="85">
        <f t="shared" si="16"/>
        <v>0</v>
      </c>
      <c r="T111" s="59">
        <f t="shared" si="17"/>
        <v>0</v>
      </c>
      <c r="U111" s="59">
        <f t="shared" si="18"/>
        <v>0</v>
      </c>
      <c r="V111" s="46"/>
      <c r="W111" s="75"/>
    </row>
    <row r="112" spans="1:23" x14ac:dyDescent="0.25">
      <c r="A112" s="175"/>
      <c r="B112" s="3"/>
      <c r="C112" s="24"/>
      <c r="D112" s="270"/>
      <c r="E112" s="173"/>
      <c r="F112" s="26"/>
      <c r="G112" s="2">
        <f t="shared" si="11"/>
        <v>0</v>
      </c>
      <c r="H112" s="20">
        <f t="shared" si="12"/>
        <v>0</v>
      </c>
      <c r="I112" s="61"/>
      <c r="J112" s="210">
        <f t="shared" si="10"/>
        <v>0</v>
      </c>
      <c r="K112" s="2">
        <f t="shared" si="13"/>
        <v>0</v>
      </c>
      <c r="L112" s="2">
        <f t="shared" si="14"/>
        <v>0</v>
      </c>
      <c r="M112" s="21"/>
      <c r="N112" s="76"/>
      <c r="O112" s="3"/>
      <c r="P112" s="31"/>
      <c r="Q112" s="32">
        <f t="shared" si="19"/>
        <v>0</v>
      </c>
      <c r="R112" s="32">
        <f t="shared" si="15"/>
        <v>0</v>
      </c>
      <c r="S112" s="32">
        <f t="shared" si="16"/>
        <v>0</v>
      </c>
      <c r="T112" s="47">
        <f t="shared" si="17"/>
        <v>0</v>
      </c>
      <c r="U112" s="47">
        <f t="shared" si="18"/>
        <v>0</v>
      </c>
      <c r="V112" s="46"/>
      <c r="W112" s="75"/>
    </row>
    <row r="113" spans="1:23" x14ac:dyDescent="0.25">
      <c r="A113" s="175"/>
      <c r="B113" s="1"/>
      <c r="C113" s="19"/>
      <c r="D113" s="269"/>
      <c r="E113" s="174"/>
      <c r="F113" s="33"/>
      <c r="G113" s="62">
        <f t="shared" si="11"/>
        <v>0</v>
      </c>
      <c r="H113" s="63">
        <f t="shared" si="12"/>
        <v>0</v>
      </c>
      <c r="I113" s="61"/>
      <c r="J113" s="211">
        <f t="shared" si="10"/>
        <v>0</v>
      </c>
      <c r="K113" s="62">
        <f t="shared" si="13"/>
        <v>0</v>
      </c>
      <c r="L113" s="62">
        <f t="shared" si="14"/>
        <v>0</v>
      </c>
      <c r="M113" s="22"/>
      <c r="N113" s="76"/>
      <c r="O113" s="1"/>
      <c r="P113" s="33"/>
      <c r="Q113" s="58">
        <f t="shared" si="19"/>
        <v>0</v>
      </c>
      <c r="R113" s="85">
        <f t="shared" si="15"/>
        <v>0</v>
      </c>
      <c r="S113" s="85">
        <f t="shared" si="16"/>
        <v>0</v>
      </c>
      <c r="T113" s="59">
        <f t="shared" si="17"/>
        <v>0</v>
      </c>
      <c r="U113" s="59">
        <f t="shared" si="18"/>
        <v>0</v>
      </c>
      <c r="V113" s="46"/>
      <c r="W113" s="75"/>
    </row>
    <row r="114" spans="1:23" x14ac:dyDescent="0.25">
      <c r="A114" s="175"/>
      <c r="B114" s="3"/>
      <c r="C114" s="24"/>
      <c r="D114" s="270"/>
      <c r="E114" s="173"/>
      <c r="F114" s="26"/>
      <c r="G114" s="2">
        <f t="shared" si="11"/>
        <v>0</v>
      </c>
      <c r="H114" s="20">
        <f t="shared" si="12"/>
        <v>0</v>
      </c>
      <c r="I114" s="61"/>
      <c r="J114" s="210">
        <f t="shared" si="10"/>
        <v>0</v>
      </c>
      <c r="K114" s="2">
        <f t="shared" si="13"/>
        <v>0</v>
      </c>
      <c r="L114" s="2">
        <f t="shared" si="14"/>
        <v>0</v>
      </c>
      <c r="M114" s="21"/>
      <c r="N114" s="76"/>
      <c r="O114" s="3"/>
      <c r="P114" s="31"/>
      <c r="Q114" s="32">
        <f t="shared" si="19"/>
        <v>0</v>
      </c>
      <c r="R114" s="32">
        <f t="shared" si="15"/>
        <v>0</v>
      </c>
      <c r="S114" s="32">
        <f t="shared" si="16"/>
        <v>0</v>
      </c>
      <c r="T114" s="47">
        <f t="shared" si="17"/>
        <v>0</v>
      </c>
      <c r="U114" s="47">
        <f t="shared" si="18"/>
        <v>0</v>
      </c>
      <c r="V114" s="46"/>
      <c r="W114" s="75"/>
    </row>
    <row r="115" spans="1:23" x14ac:dyDescent="0.25">
      <c r="A115" s="175"/>
      <c r="B115" s="1"/>
      <c r="C115" s="19"/>
      <c r="D115" s="269"/>
      <c r="E115" s="174"/>
      <c r="F115" s="33"/>
      <c r="G115" s="62">
        <f t="shared" si="11"/>
        <v>0</v>
      </c>
      <c r="H115" s="63">
        <f t="shared" si="12"/>
        <v>0</v>
      </c>
      <c r="I115" s="61"/>
      <c r="J115" s="211">
        <f t="shared" si="10"/>
        <v>0</v>
      </c>
      <c r="K115" s="62">
        <f t="shared" si="13"/>
        <v>0</v>
      </c>
      <c r="L115" s="62">
        <f t="shared" si="14"/>
        <v>0</v>
      </c>
      <c r="M115" s="22"/>
      <c r="N115" s="76"/>
      <c r="O115" s="1"/>
      <c r="P115" s="33"/>
      <c r="Q115" s="58">
        <f t="shared" si="19"/>
        <v>0</v>
      </c>
      <c r="R115" s="85">
        <f t="shared" si="15"/>
        <v>0</v>
      </c>
      <c r="S115" s="85">
        <f t="shared" si="16"/>
        <v>0</v>
      </c>
      <c r="T115" s="59">
        <f t="shared" si="17"/>
        <v>0</v>
      </c>
      <c r="U115" s="59">
        <f t="shared" si="18"/>
        <v>0</v>
      </c>
      <c r="V115" s="46"/>
      <c r="W115" s="75"/>
    </row>
    <row r="116" spans="1:23" x14ac:dyDescent="0.25">
      <c r="A116" s="175"/>
      <c r="B116" s="3"/>
      <c r="C116" s="24"/>
      <c r="D116" s="270"/>
      <c r="E116" s="173"/>
      <c r="F116" s="26"/>
      <c r="G116" s="2">
        <f t="shared" si="11"/>
        <v>0</v>
      </c>
      <c r="H116" s="20">
        <f t="shared" si="12"/>
        <v>0</v>
      </c>
      <c r="I116" s="61"/>
      <c r="J116" s="210">
        <f t="shared" si="10"/>
        <v>0</v>
      </c>
      <c r="K116" s="2">
        <f t="shared" si="13"/>
        <v>0</v>
      </c>
      <c r="L116" s="2">
        <f t="shared" si="14"/>
        <v>0</v>
      </c>
      <c r="M116" s="21"/>
      <c r="N116" s="76"/>
      <c r="O116" s="3"/>
      <c r="P116" s="31"/>
      <c r="Q116" s="32">
        <f t="shared" si="19"/>
        <v>0</v>
      </c>
      <c r="R116" s="32">
        <f t="shared" si="15"/>
        <v>0</v>
      </c>
      <c r="S116" s="32">
        <f t="shared" si="16"/>
        <v>0</v>
      </c>
      <c r="T116" s="47">
        <f t="shared" si="17"/>
        <v>0</v>
      </c>
      <c r="U116" s="47">
        <f t="shared" si="18"/>
        <v>0</v>
      </c>
      <c r="V116" s="46"/>
      <c r="W116" s="75"/>
    </row>
    <row r="117" spans="1:23" x14ac:dyDescent="0.25">
      <c r="A117" s="175"/>
      <c r="B117" s="1"/>
      <c r="C117" s="19"/>
      <c r="D117" s="269"/>
      <c r="E117" s="174"/>
      <c r="F117" s="33"/>
      <c r="G117" s="62">
        <f t="shared" si="11"/>
        <v>0</v>
      </c>
      <c r="H117" s="63">
        <f t="shared" si="12"/>
        <v>0</v>
      </c>
      <c r="I117" s="61"/>
      <c r="J117" s="211">
        <f t="shared" si="10"/>
        <v>0</v>
      </c>
      <c r="K117" s="62">
        <f t="shared" si="13"/>
        <v>0</v>
      </c>
      <c r="L117" s="62">
        <f t="shared" si="14"/>
        <v>0</v>
      </c>
      <c r="M117" s="22"/>
      <c r="N117" s="76"/>
      <c r="O117" s="1"/>
      <c r="P117" s="33"/>
      <c r="Q117" s="58">
        <f t="shared" si="19"/>
        <v>0</v>
      </c>
      <c r="R117" s="85">
        <f t="shared" si="15"/>
        <v>0</v>
      </c>
      <c r="S117" s="85">
        <f t="shared" si="16"/>
        <v>0</v>
      </c>
      <c r="T117" s="59">
        <f t="shared" si="17"/>
        <v>0</v>
      </c>
      <c r="U117" s="59">
        <f t="shared" si="18"/>
        <v>0</v>
      </c>
      <c r="V117" s="46"/>
      <c r="W117" s="75"/>
    </row>
    <row r="118" spans="1:23" x14ac:dyDescent="0.25">
      <c r="A118" s="175"/>
      <c r="B118" s="3"/>
      <c r="C118" s="24"/>
      <c r="D118" s="270"/>
      <c r="E118" s="173"/>
      <c r="F118" s="26"/>
      <c r="G118" s="2">
        <f t="shared" si="11"/>
        <v>0</v>
      </c>
      <c r="H118" s="20">
        <f t="shared" si="12"/>
        <v>0</v>
      </c>
      <c r="I118" s="61"/>
      <c r="J118" s="210">
        <f t="shared" si="10"/>
        <v>0</v>
      </c>
      <c r="K118" s="2">
        <f t="shared" si="13"/>
        <v>0</v>
      </c>
      <c r="L118" s="2">
        <f t="shared" si="14"/>
        <v>0</v>
      </c>
      <c r="M118" s="21"/>
      <c r="N118" s="76"/>
      <c r="O118" s="3"/>
      <c r="P118" s="31"/>
      <c r="Q118" s="32">
        <f t="shared" si="19"/>
        <v>0</v>
      </c>
      <c r="R118" s="32">
        <f t="shared" si="15"/>
        <v>0</v>
      </c>
      <c r="S118" s="32">
        <f t="shared" si="16"/>
        <v>0</v>
      </c>
      <c r="T118" s="47">
        <f t="shared" si="17"/>
        <v>0</v>
      </c>
      <c r="U118" s="47">
        <f t="shared" si="18"/>
        <v>0</v>
      </c>
      <c r="V118" s="46"/>
      <c r="W118" s="75"/>
    </row>
    <row r="119" spans="1:23" x14ac:dyDescent="0.25">
      <c r="A119" s="175"/>
      <c r="B119" s="1"/>
      <c r="C119" s="19"/>
      <c r="D119" s="269"/>
      <c r="E119" s="174"/>
      <c r="F119" s="33"/>
      <c r="G119" s="62">
        <f t="shared" si="11"/>
        <v>0</v>
      </c>
      <c r="H119" s="63">
        <f t="shared" si="12"/>
        <v>0</v>
      </c>
      <c r="I119" s="61"/>
      <c r="J119" s="211">
        <f t="shared" si="10"/>
        <v>0</v>
      </c>
      <c r="K119" s="62">
        <f t="shared" si="13"/>
        <v>0</v>
      </c>
      <c r="L119" s="62">
        <f t="shared" si="14"/>
        <v>0</v>
      </c>
      <c r="M119" s="22"/>
      <c r="N119" s="76"/>
      <c r="O119" s="1"/>
      <c r="P119" s="33"/>
      <c r="Q119" s="58">
        <f t="shared" si="19"/>
        <v>0</v>
      </c>
      <c r="R119" s="85">
        <f t="shared" si="15"/>
        <v>0</v>
      </c>
      <c r="S119" s="85">
        <f t="shared" si="16"/>
        <v>0</v>
      </c>
      <c r="T119" s="59">
        <f t="shared" si="17"/>
        <v>0</v>
      </c>
      <c r="U119" s="59">
        <f t="shared" si="18"/>
        <v>0</v>
      </c>
      <c r="V119" s="46"/>
      <c r="W119" s="75"/>
    </row>
    <row r="120" spans="1:23" x14ac:dyDescent="0.25">
      <c r="A120" s="175"/>
      <c r="B120" s="3"/>
      <c r="C120" s="24"/>
      <c r="D120" s="270"/>
      <c r="E120" s="173"/>
      <c r="F120" s="26"/>
      <c r="G120" s="2">
        <f t="shared" si="11"/>
        <v>0</v>
      </c>
      <c r="H120" s="20">
        <f t="shared" si="12"/>
        <v>0</v>
      </c>
      <c r="I120" s="61"/>
      <c r="J120" s="210">
        <f t="shared" si="10"/>
        <v>0</v>
      </c>
      <c r="K120" s="2">
        <f t="shared" si="13"/>
        <v>0</v>
      </c>
      <c r="L120" s="2">
        <f t="shared" si="14"/>
        <v>0</v>
      </c>
      <c r="M120" s="21"/>
      <c r="N120" s="76"/>
      <c r="O120" s="3"/>
      <c r="P120" s="31"/>
      <c r="Q120" s="32">
        <f t="shared" si="19"/>
        <v>0</v>
      </c>
      <c r="R120" s="32">
        <f t="shared" si="15"/>
        <v>0</v>
      </c>
      <c r="S120" s="32">
        <f t="shared" si="16"/>
        <v>0</v>
      </c>
      <c r="T120" s="47">
        <f t="shared" si="17"/>
        <v>0</v>
      </c>
      <c r="U120" s="47">
        <f t="shared" si="18"/>
        <v>0</v>
      </c>
      <c r="V120" s="46"/>
      <c r="W120" s="75"/>
    </row>
    <row r="121" spans="1:23" x14ac:dyDescent="0.25">
      <c r="A121" s="175"/>
      <c r="B121" s="1"/>
      <c r="C121" s="19"/>
      <c r="D121" s="269"/>
      <c r="E121" s="174"/>
      <c r="F121" s="33"/>
      <c r="G121" s="62">
        <f t="shared" si="11"/>
        <v>0</v>
      </c>
      <c r="H121" s="63">
        <f t="shared" si="12"/>
        <v>0</v>
      </c>
      <c r="I121" s="61"/>
      <c r="J121" s="211">
        <f t="shared" si="10"/>
        <v>0</v>
      </c>
      <c r="K121" s="62">
        <f t="shared" si="13"/>
        <v>0</v>
      </c>
      <c r="L121" s="62">
        <f t="shared" si="14"/>
        <v>0</v>
      </c>
      <c r="M121" s="22"/>
      <c r="N121" s="76"/>
      <c r="O121" s="1"/>
      <c r="P121" s="33"/>
      <c r="Q121" s="58">
        <f t="shared" si="19"/>
        <v>0</v>
      </c>
      <c r="R121" s="85">
        <f t="shared" si="15"/>
        <v>0</v>
      </c>
      <c r="S121" s="85">
        <f t="shared" si="16"/>
        <v>0</v>
      </c>
      <c r="T121" s="59">
        <f t="shared" si="17"/>
        <v>0</v>
      </c>
      <c r="U121" s="59">
        <f t="shared" si="18"/>
        <v>0</v>
      </c>
      <c r="V121" s="46"/>
      <c r="W121" s="75"/>
    </row>
    <row r="122" spans="1:23" x14ac:dyDescent="0.25">
      <c r="A122" s="175"/>
      <c r="B122" s="3"/>
      <c r="C122" s="24"/>
      <c r="D122" s="270"/>
      <c r="E122" s="173"/>
      <c r="F122" s="26"/>
      <c r="G122" s="2">
        <f t="shared" si="11"/>
        <v>0</v>
      </c>
      <c r="H122" s="20">
        <f t="shared" si="12"/>
        <v>0</v>
      </c>
      <c r="I122" s="61"/>
      <c r="J122" s="210">
        <f t="shared" si="10"/>
        <v>0</v>
      </c>
      <c r="K122" s="2">
        <f t="shared" si="13"/>
        <v>0</v>
      </c>
      <c r="L122" s="2">
        <f t="shared" si="14"/>
        <v>0</v>
      </c>
      <c r="M122" s="21"/>
      <c r="N122" s="76"/>
      <c r="O122" s="3"/>
      <c r="P122" s="31"/>
      <c r="Q122" s="32">
        <f t="shared" si="19"/>
        <v>0</v>
      </c>
      <c r="R122" s="32">
        <f t="shared" si="15"/>
        <v>0</v>
      </c>
      <c r="S122" s="32">
        <f t="shared" si="16"/>
        <v>0</v>
      </c>
      <c r="T122" s="47">
        <f t="shared" si="17"/>
        <v>0</v>
      </c>
      <c r="U122" s="47">
        <f t="shared" si="18"/>
        <v>0</v>
      </c>
      <c r="V122" s="46"/>
      <c r="W122" s="75"/>
    </row>
    <row r="123" spans="1:23" x14ac:dyDescent="0.25">
      <c r="A123" s="175"/>
      <c r="B123" s="1"/>
      <c r="C123" s="19"/>
      <c r="D123" s="269"/>
      <c r="E123" s="174"/>
      <c r="F123" s="33"/>
      <c r="G123" s="62">
        <f t="shared" si="11"/>
        <v>0</v>
      </c>
      <c r="H123" s="63">
        <f t="shared" si="12"/>
        <v>0</v>
      </c>
      <c r="I123" s="61"/>
      <c r="J123" s="211">
        <f t="shared" si="10"/>
        <v>0</v>
      </c>
      <c r="K123" s="62">
        <f t="shared" si="13"/>
        <v>0</v>
      </c>
      <c r="L123" s="62">
        <f t="shared" si="14"/>
        <v>0</v>
      </c>
      <c r="M123" s="22"/>
      <c r="N123" s="76"/>
      <c r="O123" s="1"/>
      <c r="P123" s="33"/>
      <c r="Q123" s="58">
        <f t="shared" si="19"/>
        <v>0</v>
      </c>
      <c r="R123" s="85">
        <f t="shared" si="15"/>
        <v>0</v>
      </c>
      <c r="S123" s="85">
        <f t="shared" si="16"/>
        <v>0</v>
      </c>
      <c r="T123" s="59">
        <f t="shared" si="17"/>
        <v>0</v>
      </c>
      <c r="U123" s="59">
        <f t="shared" si="18"/>
        <v>0</v>
      </c>
      <c r="V123" s="46"/>
      <c r="W123" s="75"/>
    </row>
    <row r="124" spans="1:23" x14ac:dyDescent="0.25">
      <c r="A124" s="175"/>
      <c r="B124" s="3"/>
      <c r="C124" s="24"/>
      <c r="D124" s="270"/>
      <c r="E124" s="173"/>
      <c r="F124" s="26"/>
      <c r="G124" s="2">
        <f t="shared" si="11"/>
        <v>0</v>
      </c>
      <c r="H124" s="20">
        <f t="shared" si="12"/>
        <v>0</v>
      </c>
      <c r="I124" s="61"/>
      <c r="J124" s="210">
        <f t="shared" si="10"/>
        <v>0</v>
      </c>
      <c r="K124" s="2">
        <f t="shared" si="13"/>
        <v>0</v>
      </c>
      <c r="L124" s="2">
        <f t="shared" si="14"/>
        <v>0</v>
      </c>
      <c r="M124" s="21"/>
      <c r="N124" s="76"/>
      <c r="O124" s="3"/>
      <c r="P124" s="31"/>
      <c r="Q124" s="32">
        <f t="shared" si="19"/>
        <v>0</v>
      </c>
      <c r="R124" s="32">
        <f t="shared" si="15"/>
        <v>0</v>
      </c>
      <c r="S124" s="32">
        <f t="shared" si="16"/>
        <v>0</v>
      </c>
      <c r="T124" s="47">
        <f t="shared" si="17"/>
        <v>0</v>
      </c>
      <c r="U124" s="47">
        <f t="shared" si="18"/>
        <v>0</v>
      </c>
      <c r="V124" s="46"/>
      <c r="W124" s="75"/>
    </row>
    <row r="125" spans="1:23" x14ac:dyDescent="0.25">
      <c r="A125" s="175"/>
      <c r="B125" s="1"/>
      <c r="C125" s="19"/>
      <c r="D125" s="269"/>
      <c r="E125" s="174"/>
      <c r="F125" s="33"/>
      <c r="G125" s="62">
        <f t="shared" si="11"/>
        <v>0</v>
      </c>
      <c r="H125" s="63">
        <f t="shared" si="12"/>
        <v>0</v>
      </c>
      <c r="I125" s="61"/>
      <c r="J125" s="211">
        <f t="shared" si="10"/>
        <v>0</v>
      </c>
      <c r="K125" s="62">
        <f t="shared" si="13"/>
        <v>0</v>
      </c>
      <c r="L125" s="62">
        <f t="shared" si="14"/>
        <v>0</v>
      </c>
      <c r="M125" s="22"/>
      <c r="N125" s="76"/>
      <c r="O125" s="1"/>
      <c r="P125" s="33"/>
      <c r="Q125" s="58">
        <f t="shared" si="19"/>
        <v>0</v>
      </c>
      <c r="R125" s="85">
        <f t="shared" si="15"/>
        <v>0</v>
      </c>
      <c r="S125" s="85">
        <f t="shared" si="16"/>
        <v>0</v>
      </c>
      <c r="T125" s="59">
        <f t="shared" si="17"/>
        <v>0</v>
      </c>
      <c r="U125" s="59">
        <f t="shared" si="18"/>
        <v>0</v>
      </c>
      <c r="V125" s="46"/>
      <c r="W125" s="75"/>
    </row>
    <row r="126" spans="1:23" x14ac:dyDescent="0.25">
      <c r="A126" s="175"/>
      <c r="B126" s="3"/>
      <c r="C126" s="24"/>
      <c r="D126" s="270"/>
      <c r="E126" s="173"/>
      <c r="F126" s="26"/>
      <c r="G126" s="2">
        <f t="shared" si="11"/>
        <v>0</v>
      </c>
      <c r="H126" s="20">
        <f t="shared" si="12"/>
        <v>0</v>
      </c>
      <c r="I126" s="61"/>
      <c r="J126" s="210">
        <f t="shared" si="10"/>
        <v>0</v>
      </c>
      <c r="K126" s="2">
        <f t="shared" si="13"/>
        <v>0</v>
      </c>
      <c r="L126" s="2">
        <f t="shared" si="14"/>
        <v>0</v>
      </c>
      <c r="M126" s="21"/>
      <c r="N126" s="76"/>
      <c r="O126" s="3"/>
      <c r="P126" s="31"/>
      <c r="Q126" s="32">
        <f t="shared" si="19"/>
        <v>0</v>
      </c>
      <c r="R126" s="32">
        <f t="shared" si="15"/>
        <v>0</v>
      </c>
      <c r="S126" s="32">
        <f t="shared" si="16"/>
        <v>0</v>
      </c>
      <c r="T126" s="47">
        <f t="shared" si="17"/>
        <v>0</v>
      </c>
      <c r="U126" s="47">
        <f t="shared" si="18"/>
        <v>0</v>
      </c>
      <c r="V126" s="46"/>
      <c r="W126" s="75"/>
    </row>
    <row r="127" spans="1:23" x14ac:dyDescent="0.25">
      <c r="A127" s="175"/>
      <c r="B127" s="1"/>
      <c r="C127" s="19"/>
      <c r="D127" s="269"/>
      <c r="E127" s="174"/>
      <c r="F127" s="33"/>
      <c r="G127" s="62">
        <f t="shared" si="11"/>
        <v>0</v>
      </c>
      <c r="H127" s="63">
        <f t="shared" si="12"/>
        <v>0</v>
      </c>
      <c r="I127" s="61"/>
      <c r="J127" s="211">
        <f t="shared" si="10"/>
        <v>0</v>
      </c>
      <c r="K127" s="62">
        <f t="shared" si="13"/>
        <v>0</v>
      </c>
      <c r="L127" s="62">
        <f t="shared" si="14"/>
        <v>0</v>
      </c>
      <c r="M127" s="22"/>
      <c r="N127" s="76"/>
      <c r="O127" s="1"/>
      <c r="P127" s="33"/>
      <c r="Q127" s="58">
        <f t="shared" si="19"/>
        <v>0</v>
      </c>
      <c r="R127" s="85">
        <f t="shared" si="15"/>
        <v>0</v>
      </c>
      <c r="S127" s="85">
        <f t="shared" si="16"/>
        <v>0</v>
      </c>
      <c r="T127" s="59">
        <f t="shared" si="17"/>
        <v>0</v>
      </c>
      <c r="U127" s="59">
        <f t="shared" si="18"/>
        <v>0</v>
      </c>
      <c r="V127" s="46"/>
      <c r="W127" s="75"/>
    </row>
    <row r="128" spans="1:23" x14ac:dyDescent="0.25">
      <c r="A128" s="175"/>
      <c r="B128" s="3"/>
      <c r="C128" s="24"/>
      <c r="D128" s="270"/>
      <c r="E128" s="173"/>
      <c r="F128" s="26"/>
      <c r="G128" s="2">
        <f t="shared" si="11"/>
        <v>0</v>
      </c>
      <c r="H128" s="20">
        <f t="shared" si="12"/>
        <v>0</v>
      </c>
      <c r="I128" s="61"/>
      <c r="J128" s="210">
        <f t="shared" si="10"/>
        <v>0</v>
      </c>
      <c r="K128" s="2">
        <f t="shared" si="13"/>
        <v>0</v>
      </c>
      <c r="L128" s="2">
        <f t="shared" si="14"/>
        <v>0</v>
      </c>
      <c r="M128" s="21"/>
      <c r="N128" s="76"/>
      <c r="O128" s="3"/>
      <c r="P128" s="31"/>
      <c r="Q128" s="32">
        <f t="shared" si="19"/>
        <v>0</v>
      </c>
      <c r="R128" s="32">
        <f t="shared" si="15"/>
        <v>0</v>
      </c>
      <c r="S128" s="32">
        <f t="shared" si="16"/>
        <v>0</v>
      </c>
      <c r="T128" s="47">
        <f t="shared" si="17"/>
        <v>0</v>
      </c>
      <c r="U128" s="47">
        <f t="shared" si="18"/>
        <v>0</v>
      </c>
      <c r="V128" s="46"/>
      <c r="W128" s="75"/>
    </row>
    <row r="129" spans="1:23" ht="20.25" customHeight="1" x14ac:dyDescent="0.25">
      <c r="A129" s="177"/>
      <c r="B129" s="195"/>
      <c r="C129" s="195"/>
      <c r="D129" s="271" t="s">
        <v>129</v>
      </c>
      <c r="E129" s="197">
        <f>SUM(E18:E128)</f>
        <v>1061</v>
      </c>
      <c r="F129" s="198">
        <f>SUM(F18:F128)</f>
        <v>72246.919999999984</v>
      </c>
      <c r="G129" s="199">
        <f>SUM(G18:G128)</f>
        <v>99700.74000000002</v>
      </c>
      <c r="H129" s="200">
        <f>SUM(H18:H128)</f>
        <v>210310.33</v>
      </c>
      <c r="I129" s="201"/>
      <c r="J129" s="202">
        <f>SUM(J18:J128)</f>
        <v>1061</v>
      </c>
      <c r="K129" s="199">
        <f>SUM(K18:K128)</f>
        <v>49850.44</v>
      </c>
      <c r="L129" s="200">
        <f>SUM(L18:L128)</f>
        <v>105158.1</v>
      </c>
      <c r="M129" s="200"/>
      <c r="N129" s="203"/>
      <c r="O129" s="196"/>
      <c r="P129" s="199">
        <f>SUM(P18:P128)</f>
        <v>0</v>
      </c>
      <c r="Q129" s="199">
        <f>SUM(Q18:Q128)</f>
        <v>0</v>
      </c>
      <c r="R129" s="200">
        <f>SUM(R18:R128)</f>
        <v>49850.44</v>
      </c>
      <c r="S129" s="200">
        <f>SUM(S18:S128)</f>
        <v>105158.1</v>
      </c>
      <c r="T129" s="204"/>
      <c r="U129" s="204"/>
      <c r="V129" s="205"/>
      <c r="W129" s="194"/>
    </row>
    <row r="131" spans="1:23" ht="15" customHeight="1" x14ac:dyDescent="0.25">
      <c r="T131" s="207"/>
    </row>
  </sheetData>
  <sheetProtection algorithmName="SHA-512" hashValue="AgDddSlQ1OlGqwGfIpvXo2bXt2t6gjhJtc4l8roA0JM8qBBv6grIaQhgdC2iao1yHL73dBRMY9h+d4Rfm5A1jA==" saltValue="T8PDbas1/iewlWvkC2GH7w==" spinCount="100000" sheet="1" selectLockedCells="1"/>
  <mergeCells count="85">
    <mergeCell ref="Q17:U17"/>
    <mergeCell ref="M15:M17"/>
    <mergeCell ref="O15:U15"/>
    <mergeCell ref="B16:B17"/>
    <mergeCell ref="C16:C17"/>
    <mergeCell ref="D16:D17"/>
    <mergeCell ref="E16:E17"/>
    <mergeCell ref="F16:G16"/>
    <mergeCell ref="J16:J17"/>
    <mergeCell ref="O16:O17"/>
    <mergeCell ref="K17:L17"/>
    <mergeCell ref="B11:C15"/>
    <mergeCell ref="D11:E13"/>
    <mergeCell ref="F11:H12"/>
    <mergeCell ref="J11:M13"/>
    <mergeCell ref="O11:U13"/>
    <mergeCell ref="F13:G13"/>
    <mergeCell ref="F14:H14"/>
    <mergeCell ref="J14:K15"/>
    <mergeCell ref="L14:L15"/>
    <mergeCell ref="F15:H15"/>
    <mergeCell ref="R9:R10"/>
    <mergeCell ref="S9:S10"/>
    <mergeCell ref="T9:T10"/>
    <mergeCell ref="U9:U10"/>
    <mergeCell ref="V9:V10"/>
    <mergeCell ref="L10:M10"/>
    <mergeCell ref="O10:Q10"/>
    <mergeCell ref="D8:E8"/>
    <mergeCell ref="F8:G8"/>
    <mergeCell ref="H8:J8"/>
    <mergeCell ref="L8:M8"/>
    <mergeCell ref="O8:Q8"/>
    <mergeCell ref="D9:E9"/>
    <mergeCell ref="F9:G9"/>
    <mergeCell ref="L9:M9"/>
    <mergeCell ref="O9:Q9"/>
    <mergeCell ref="T6:U6"/>
    <mergeCell ref="D7:E7"/>
    <mergeCell ref="F7:G7"/>
    <mergeCell ref="H7:J7"/>
    <mergeCell ref="L7:M7"/>
    <mergeCell ref="O7:Q7"/>
    <mergeCell ref="R7:S7"/>
    <mergeCell ref="T7:U7"/>
    <mergeCell ref="D6:E6"/>
    <mergeCell ref="F6:G6"/>
    <mergeCell ref="H6:J6"/>
    <mergeCell ref="L6:M6"/>
    <mergeCell ref="O6:Q6"/>
    <mergeCell ref="R6:S6"/>
    <mergeCell ref="T4:U4"/>
    <mergeCell ref="D5:E5"/>
    <mergeCell ref="F5:G5"/>
    <mergeCell ref="H5:J5"/>
    <mergeCell ref="L5:M5"/>
    <mergeCell ref="O5:Q5"/>
    <mergeCell ref="R5:S5"/>
    <mergeCell ref="T5:U5"/>
    <mergeCell ref="D4:E4"/>
    <mergeCell ref="F4:G4"/>
    <mergeCell ref="H4:J4"/>
    <mergeCell ref="L4:M4"/>
    <mergeCell ref="O4:Q4"/>
    <mergeCell ref="R4:S4"/>
    <mergeCell ref="T2:U2"/>
    <mergeCell ref="D3:E3"/>
    <mergeCell ref="F3:G3"/>
    <mergeCell ref="H3:J3"/>
    <mergeCell ref="L3:M3"/>
    <mergeCell ref="O3:Q3"/>
    <mergeCell ref="R3:S3"/>
    <mergeCell ref="T3:U3"/>
    <mergeCell ref="D2:E2"/>
    <mergeCell ref="F2:G2"/>
    <mergeCell ref="H2:J2"/>
    <mergeCell ref="L2:M2"/>
    <mergeCell ref="O2:Q2"/>
    <mergeCell ref="R2:S2"/>
    <mergeCell ref="R1:V1"/>
    <mergeCell ref="B1:C1"/>
    <mergeCell ref="D1:G1"/>
    <mergeCell ref="H1:K1"/>
    <mergeCell ref="L1:N1"/>
    <mergeCell ref="O1:Q1"/>
  </mergeCells>
  <conditionalFormatting sqref="T9:T10">
    <cfRule type="expression" dxfId="32" priority="3" stopIfTrue="1">
      <formula>$T$9&gt;100%</formula>
    </cfRule>
    <cfRule type="expression" dxfId="31" priority="4">
      <formula>$T$9&lt;50%</formula>
    </cfRule>
  </conditionalFormatting>
  <conditionalFormatting sqref="U9:U10">
    <cfRule type="expression" dxfId="30" priority="1">
      <formula>$U$9&lt;50%</formula>
    </cfRule>
    <cfRule type="expression" dxfId="29" priority="2">
      <formula>$U$9&gt;50%</formula>
    </cfRule>
  </conditionalFormatting>
  <dataValidations count="4">
    <dataValidation type="list" showInputMessage="1" showErrorMessage="1" sqref="D18:D128" xr:uid="{B2FFF160-8964-49F0-A35E-8FD49E11FA74}">
      <formula1>$Y$18:$Y$29</formula1>
    </dataValidation>
    <dataValidation type="list" allowBlank="1" showInputMessage="1" showErrorMessage="1" sqref="I13" xr:uid="{E960EA77-29A4-4F96-A865-D7B7D68D37B4}">
      <formula1>$K$9:$K$9</formula1>
    </dataValidation>
    <dataValidation type="list" allowBlank="1" showInputMessage="1" showErrorMessage="1" sqref="H13" xr:uid="{9A9A79C9-0215-440A-AE43-4B6966E94E4A}">
      <formula1>$X$13:$X$14</formula1>
    </dataValidation>
    <dataValidation type="list" allowBlank="1" showInputMessage="1" showErrorMessage="1" sqref="F17 P14 P17 K17" xr:uid="{3E248A4F-FB0E-4942-8030-25AD2E23DDBF}">
      <formula1>$X$11:$X$12</formula1>
    </dataValidation>
  </dataValidations>
  <printOptions verticalCentered="1"/>
  <pageMargins left="0.2" right="0.2" top="0.25" bottom="0.25" header="0.05" footer="0.05"/>
  <pageSetup scale="3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01B93-DC73-4007-8E26-8164CD7E5E41}">
  <sheetPr codeName="Sheet8">
    <pageSetUpPr fitToPage="1"/>
  </sheetPr>
  <dimension ref="A1:AA131"/>
  <sheetViews>
    <sheetView topLeftCell="B1" zoomScale="85" zoomScaleNormal="85" workbookViewId="0">
      <pane ySplit="17" topLeftCell="A18" activePane="bottomLeft" state="frozen"/>
      <selection pane="bottomLeft" activeCell="B70" sqref="B70"/>
    </sheetView>
  </sheetViews>
  <sheetFormatPr defaultColWidth="9.140625" defaultRowHeight="15" x14ac:dyDescent="0.25"/>
  <cols>
    <col min="1" max="1" width="0.85546875" style="178" customWidth="1"/>
    <col min="2" max="2" width="25.7109375" style="178" customWidth="1"/>
    <col min="3" max="3" width="43.28515625" style="178" customWidth="1"/>
    <col min="4" max="4" width="9.7109375" style="206" customWidth="1"/>
    <col min="5" max="5" width="9.7109375" style="178" customWidth="1"/>
    <col min="6" max="8" width="18.7109375" style="178" customWidth="1"/>
    <col min="9" max="9" width="0.85546875" style="178" customWidth="1"/>
    <col min="10" max="10" width="9.5703125" style="178" customWidth="1"/>
    <col min="11" max="12" width="18.7109375" style="178" customWidth="1"/>
    <col min="13" max="13" width="13.7109375" style="178" customWidth="1"/>
    <col min="14" max="14" width="0.85546875" style="178" customWidth="1"/>
    <col min="15" max="15" width="17.85546875" style="178" customWidth="1"/>
    <col min="16" max="19" width="18.7109375" style="178" customWidth="1"/>
    <col min="20" max="20" width="15" style="178" bestFit="1" customWidth="1"/>
    <col min="21" max="21" width="14.7109375" style="178" bestFit="1" customWidth="1"/>
    <col min="22" max="22" width="13.42578125" style="178" hidden="1" customWidth="1"/>
    <col min="23" max="23" width="0.85546875" style="178" customWidth="1"/>
    <col min="24" max="25" width="9.140625" style="178" hidden="1" customWidth="1"/>
    <col min="26" max="26" width="9.140625" style="178" customWidth="1"/>
    <col min="27" max="27" width="10.5703125" style="178" bestFit="1" customWidth="1"/>
    <col min="28" max="16384" width="9.140625" style="178"/>
  </cols>
  <sheetData>
    <row r="1" spans="1:27" ht="23.25" customHeight="1" x14ac:dyDescent="0.25">
      <c r="A1" s="175"/>
      <c r="B1" s="275" t="s">
        <v>28</v>
      </c>
      <c r="C1" s="272"/>
      <c r="D1" s="276" t="s">
        <v>29</v>
      </c>
      <c r="E1" s="273"/>
      <c r="F1" s="273"/>
      <c r="G1" s="274"/>
      <c r="H1" s="272" t="s">
        <v>30</v>
      </c>
      <c r="I1" s="273"/>
      <c r="J1" s="273"/>
      <c r="K1" s="274"/>
      <c r="L1" s="277" t="s">
        <v>31</v>
      </c>
      <c r="M1" s="278"/>
      <c r="N1" s="278"/>
      <c r="O1" s="273" t="str">
        <f>K17</f>
        <v>CAD $</v>
      </c>
      <c r="P1" s="273"/>
      <c r="Q1" s="274"/>
      <c r="R1" s="272" t="s">
        <v>32</v>
      </c>
      <c r="S1" s="273"/>
      <c r="T1" s="273"/>
      <c r="U1" s="273"/>
      <c r="V1" s="274"/>
      <c r="W1" s="179"/>
      <c r="X1" s="180"/>
      <c r="Y1" s="181"/>
      <c r="Z1" s="181"/>
      <c r="AA1" s="181"/>
    </row>
    <row r="2" spans="1:27" ht="15" customHeight="1" x14ac:dyDescent="0.25">
      <c r="A2" s="175"/>
      <c r="B2" s="239" t="s">
        <v>33</v>
      </c>
      <c r="C2" s="51"/>
      <c r="D2" s="294" t="s">
        <v>34</v>
      </c>
      <c r="E2" s="295"/>
      <c r="F2" s="296"/>
      <c r="G2" s="297"/>
      <c r="H2" s="294" t="s">
        <v>35</v>
      </c>
      <c r="I2" s="298"/>
      <c r="J2" s="295"/>
      <c r="K2" s="52"/>
      <c r="L2" s="299" t="s">
        <v>36</v>
      </c>
      <c r="M2" s="300"/>
      <c r="N2" s="260"/>
      <c r="O2" s="301">
        <f>H129</f>
        <v>315127.21000000002</v>
      </c>
      <c r="P2" s="301"/>
      <c r="Q2" s="302"/>
      <c r="R2" s="303" t="s">
        <v>37</v>
      </c>
      <c r="S2" s="304"/>
      <c r="T2" s="279"/>
      <c r="U2" s="280"/>
      <c r="V2" s="53"/>
      <c r="W2" s="182"/>
      <c r="X2" s="180"/>
      <c r="Y2" s="181"/>
      <c r="Z2" s="181"/>
      <c r="AA2" s="181"/>
    </row>
    <row r="3" spans="1:27" ht="15" customHeight="1" x14ac:dyDescent="0.25">
      <c r="A3" s="175"/>
      <c r="B3" s="240" t="s">
        <v>38</v>
      </c>
      <c r="C3" s="19"/>
      <c r="D3" s="281" t="s">
        <v>39</v>
      </c>
      <c r="E3" s="282"/>
      <c r="F3" s="283"/>
      <c r="G3" s="284"/>
      <c r="H3" s="281" t="s">
        <v>40</v>
      </c>
      <c r="I3" s="285"/>
      <c r="J3" s="282"/>
      <c r="K3" s="50"/>
      <c r="L3" s="286" t="s">
        <v>41</v>
      </c>
      <c r="M3" s="287"/>
      <c r="N3" s="260"/>
      <c r="O3" s="288">
        <f>L129</f>
        <v>157565.34999999995</v>
      </c>
      <c r="P3" s="288"/>
      <c r="Q3" s="289"/>
      <c r="R3" s="290" t="s">
        <v>42</v>
      </c>
      <c r="S3" s="291"/>
      <c r="T3" s="292"/>
      <c r="U3" s="293"/>
      <c r="V3" s="35"/>
      <c r="W3" s="175"/>
      <c r="X3" s="183"/>
      <c r="Y3" s="181"/>
      <c r="Z3" s="181"/>
      <c r="AA3" s="181"/>
    </row>
    <row r="4" spans="1:27" ht="15" customHeight="1" x14ac:dyDescent="0.25">
      <c r="A4" s="175"/>
      <c r="B4" s="241" t="s">
        <v>43</v>
      </c>
      <c r="C4" s="19"/>
      <c r="D4" s="281" t="s">
        <v>44</v>
      </c>
      <c r="E4" s="282"/>
      <c r="F4" s="283"/>
      <c r="G4" s="284"/>
      <c r="H4" s="281" t="s">
        <v>45</v>
      </c>
      <c r="I4" s="285"/>
      <c r="J4" s="282"/>
      <c r="K4" s="50"/>
      <c r="L4" s="286" t="s">
        <v>46</v>
      </c>
      <c r="M4" s="287"/>
      <c r="N4" s="260"/>
      <c r="O4" s="288">
        <f>O2-O3</f>
        <v>157561.86000000007</v>
      </c>
      <c r="P4" s="288"/>
      <c r="Q4" s="289"/>
      <c r="R4" s="290" t="s">
        <v>47</v>
      </c>
      <c r="S4" s="291"/>
      <c r="T4" s="292"/>
      <c r="U4" s="293"/>
      <c r="V4" s="35"/>
      <c r="W4" s="175"/>
      <c r="X4" s="183"/>
      <c r="Y4" s="181"/>
      <c r="Z4" s="181"/>
      <c r="AA4" s="181"/>
    </row>
    <row r="5" spans="1:27" ht="15" customHeight="1" thickBot="1" x14ac:dyDescent="0.3">
      <c r="A5" s="175"/>
      <c r="B5" s="241" t="s">
        <v>48</v>
      </c>
      <c r="C5" s="19"/>
      <c r="D5" s="281" t="s">
        <v>49</v>
      </c>
      <c r="E5" s="282"/>
      <c r="F5" s="283"/>
      <c r="G5" s="284"/>
      <c r="H5" s="281" t="s">
        <v>50</v>
      </c>
      <c r="I5" s="285"/>
      <c r="J5" s="282"/>
      <c r="K5" s="50"/>
      <c r="L5" s="305" t="s">
        <v>51</v>
      </c>
      <c r="M5" s="306"/>
      <c r="N5" s="260"/>
      <c r="O5" s="307">
        <f>IFERROR((O2-O3)/O2,"")</f>
        <v>0.49999446255370988</v>
      </c>
      <c r="P5" s="307"/>
      <c r="Q5" s="308"/>
      <c r="R5" s="290" t="s">
        <v>52</v>
      </c>
      <c r="S5" s="291"/>
      <c r="T5" s="292"/>
      <c r="U5" s="293"/>
      <c r="V5" s="35"/>
      <c r="W5" s="175"/>
      <c r="X5" s="183"/>
      <c r="Y5" s="181"/>
      <c r="Z5" s="181"/>
      <c r="AA5" s="181"/>
    </row>
    <row r="6" spans="1:27" ht="15" customHeight="1" x14ac:dyDescent="0.25">
      <c r="A6" s="175"/>
      <c r="B6" s="241" t="s">
        <v>53</v>
      </c>
      <c r="C6" s="48"/>
      <c r="D6" s="281" t="s">
        <v>54</v>
      </c>
      <c r="E6" s="282"/>
      <c r="F6" s="283"/>
      <c r="G6" s="284"/>
      <c r="H6" s="281" t="s">
        <v>55</v>
      </c>
      <c r="I6" s="285"/>
      <c r="J6" s="282"/>
      <c r="K6" s="50"/>
      <c r="L6" s="317" t="s">
        <v>56</v>
      </c>
      <c r="M6" s="318"/>
      <c r="N6" s="260"/>
      <c r="O6" s="319">
        <f>S129</f>
        <v>157565.34999999995</v>
      </c>
      <c r="P6" s="319"/>
      <c r="Q6" s="320"/>
      <c r="R6" s="290" t="s">
        <v>57</v>
      </c>
      <c r="S6" s="291"/>
      <c r="T6" s="292"/>
      <c r="U6" s="293"/>
      <c r="V6" s="36"/>
      <c r="W6" s="71"/>
      <c r="X6" s="72"/>
      <c r="Y6" s="181"/>
      <c r="Z6" s="181"/>
      <c r="AA6" s="181"/>
    </row>
    <row r="7" spans="1:27" ht="15" customHeight="1" x14ac:dyDescent="0.25">
      <c r="A7" s="175"/>
      <c r="B7" s="241" t="s">
        <v>58</v>
      </c>
      <c r="C7" s="49"/>
      <c r="D7" s="281" t="s">
        <v>59</v>
      </c>
      <c r="E7" s="282"/>
      <c r="F7" s="283"/>
      <c r="G7" s="284"/>
      <c r="H7" s="281" t="s">
        <v>60</v>
      </c>
      <c r="I7" s="285"/>
      <c r="J7" s="282"/>
      <c r="K7" s="50"/>
      <c r="L7" s="309" t="s">
        <v>61</v>
      </c>
      <c r="M7" s="310"/>
      <c r="N7" s="260"/>
      <c r="O7" s="311">
        <f>Q129</f>
        <v>0</v>
      </c>
      <c r="P7" s="311"/>
      <c r="Q7" s="312"/>
      <c r="R7" s="313" t="s">
        <v>62</v>
      </c>
      <c r="S7" s="314"/>
      <c r="T7" s="315"/>
      <c r="U7" s="316"/>
      <c r="V7" s="36"/>
      <c r="W7" s="73"/>
      <c r="X7" s="181"/>
      <c r="Y7" s="181"/>
      <c r="Z7" s="181"/>
      <c r="AA7" s="181"/>
    </row>
    <row r="8" spans="1:27" ht="15" customHeight="1" x14ac:dyDescent="0.25">
      <c r="A8" s="175"/>
      <c r="B8" s="238"/>
      <c r="C8" s="237"/>
      <c r="D8" s="281" t="s">
        <v>63</v>
      </c>
      <c r="E8" s="282"/>
      <c r="F8" s="283"/>
      <c r="G8" s="284"/>
      <c r="H8" s="281" t="s">
        <v>64</v>
      </c>
      <c r="I8" s="285"/>
      <c r="J8" s="282"/>
      <c r="K8" s="50"/>
      <c r="L8" s="309" t="s">
        <v>65</v>
      </c>
      <c r="M8" s="310"/>
      <c r="N8" s="260"/>
      <c r="O8" s="311">
        <f>IF(O1=P14,Q14,IF(P14="CAD $",Q14*D15,IF(P14="USD $",Q14*E15,0)))</f>
        <v>0</v>
      </c>
      <c r="P8" s="311"/>
      <c r="Q8" s="312"/>
      <c r="R8" s="231" t="s">
        <v>66</v>
      </c>
      <c r="S8" s="232" t="s">
        <v>67</v>
      </c>
      <c r="T8" s="232" t="s">
        <v>68</v>
      </c>
      <c r="U8" s="233" t="s">
        <v>69</v>
      </c>
      <c r="V8" s="39"/>
      <c r="W8" s="184"/>
      <c r="X8" s="181"/>
      <c r="Y8" s="181"/>
      <c r="Z8" s="181"/>
      <c r="AA8" s="181"/>
    </row>
    <row r="9" spans="1:27" ht="15" customHeight="1" x14ac:dyDescent="0.25">
      <c r="A9" s="175"/>
      <c r="B9" s="237"/>
      <c r="C9" s="237"/>
      <c r="D9" s="281" t="s">
        <v>70</v>
      </c>
      <c r="E9" s="282"/>
      <c r="F9" s="283"/>
      <c r="G9" s="284"/>
      <c r="H9" s="234"/>
      <c r="I9" s="235"/>
      <c r="J9" s="235"/>
      <c r="K9" s="64"/>
      <c r="L9" s="309" t="s">
        <v>71</v>
      </c>
      <c r="M9" s="310"/>
      <c r="N9" s="260"/>
      <c r="O9" s="323">
        <f>U14</f>
        <v>0</v>
      </c>
      <c r="P9" s="323"/>
      <c r="Q9" s="324"/>
      <c r="R9" s="325">
        <f>O7+O8+O9</f>
        <v>0</v>
      </c>
      <c r="S9" s="325">
        <f>O3-R9</f>
        <v>157565.34999999995</v>
      </c>
      <c r="T9" s="327">
        <f>IFERROR(((O3-R9)/R9),0)</f>
        <v>0</v>
      </c>
      <c r="U9" s="327">
        <f>IFERROR(((O3-R9)/O3),0)</f>
        <v>1</v>
      </c>
      <c r="V9" s="329"/>
      <c r="W9" s="184"/>
      <c r="X9" s="181"/>
      <c r="Y9" s="181"/>
      <c r="Z9" s="181"/>
      <c r="AA9" s="181"/>
    </row>
    <row r="10" spans="1:27" ht="15" customHeight="1" thickBot="1" x14ac:dyDescent="0.3">
      <c r="A10" s="175"/>
      <c r="B10" s="237"/>
      <c r="C10" s="237"/>
      <c r="D10" s="236"/>
      <c r="E10" s="236"/>
      <c r="F10" s="234"/>
      <c r="G10" s="234"/>
      <c r="H10" s="234"/>
      <c r="I10" s="235"/>
      <c r="J10" s="235"/>
      <c r="K10" s="64"/>
      <c r="L10" s="290" t="s">
        <v>72</v>
      </c>
      <c r="M10" s="291"/>
      <c r="N10" s="260"/>
      <c r="O10" s="321">
        <f>E129</f>
        <v>487</v>
      </c>
      <c r="P10" s="321"/>
      <c r="Q10" s="322"/>
      <c r="R10" s="326"/>
      <c r="S10" s="326"/>
      <c r="T10" s="328"/>
      <c r="U10" s="328"/>
      <c r="V10" s="330"/>
      <c r="W10" s="184"/>
      <c r="X10" s="181"/>
      <c r="Y10" s="181"/>
      <c r="Z10" s="181"/>
      <c r="AA10" s="181"/>
    </row>
    <row r="11" spans="1:27" ht="15" customHeight="1" x14ac:dyDescent="0.25">
      <c r="A11" s="175"/>
      <c r="B11" s="368"/>
      <c r="C11" s="369"/>
      <c r="D11" s="372" t="s">
        <v>73</v>
      </c>
      <c r="E11" s="373"/>
      <c r="F11" s="376" t="s">
        <v>36</v>
      </c>
      <c r="G11" s="377"/>
      <c r="H11" s="378"/>
      <c r="I11" s="212"/>
      <c r="J11" s="382" t="s">
        <v>74</v>
      </c>
      <c r="K11" s="383"/>
      <c r="L11" s="383"/>
      <c r="M11" s="384"/>
      <c r="N11" s="260"/>
      <c r="O11" s="391" t="s">
        <v>75</v>
      </c>
      <c r="P11" s="377"/>
      <c r="Q11" s="377"/>
      <c r="R11" s="377"/>
      <c r="S11" s="377"/>
      <c r="T11" s="377"/>
      <c r="U11" s="392"/>
      <c r="V11" s="40"/>
      <c r="W11" s="185"/>
      <c r="X11" s="181" t="s">
        <v>76</v>
      </c>
      <c r="Y11" s="181"/>
      <c r="Z11" s="181"/>
      <c r="AA11" s="181"/>
    </row>
    <row r="12" spans="1:27" ht="15" customHeight="1" x14ac:dyDescent="0.25">
      <c r="A12" s="175"/>
      <c r="B12" s="370"/>
      <c r="C12" s="371"/>
      <c r="D12" s="374"/>
      <c r="E12" s="375"/>
      <c r="F12" s="379"/>
      <c r="G12" s="380"/>
      <c r="H12" s="381"/>
      <c r="I12" s="213"/>
      <c r="J12" s="385"/>
      <c r="K12" s="386"/>
      <c r="L12" s="386"/>
      <c r="M12" s="387"/>
      <c r="N12" s="261"/>
      <c r="O12" s="393"/>
      <c r="P12" s="394"/>
      <c r="Q12" s="394"/>
      <c r="R12" s="394"/>
      <c r="S12" s="394"/>
      <c r="T12" s="394"/>
      <c r="U12" s="395"/>
      <c r="V12" s="41"/>
      <c r="W12" s="185"/>
      <c r="X12" s="181" t="s">
        <v>77</v>
      </c>
      <c r="Y12" s="181"/>
      <c r="Z12" s="181"/>
      <c r="AA12" s="181"/>
    </row>
    <row r="13" spans="1:27" ht="15" customHeight="1" x14ac:dyDescent="0.25">
      <c r="A13" s="175"/>
      <c r="B13" s="370"/>
      <c r="C13" s="371"/>
      <c r="D13" s="338"/>
      <c r="E13" s="339"/>
      <c r="F13" s="331" t="s">
        <v>78</v>
      </c>
      <c r="G13" s="332"/>
      <c r="H13" s="66" t="s">
        <v>79</v>
      </c>
      <c r="I13" s="214"/>
      <c r="J13" s="388"/>
      <c r="K13" s="389"/>
      <c r="L13" s="389"/>
      <c r="M13" s="390"/>
      <c r="N13" s="261"/>
      <c r="O13" s="393"/>
      <c r="P13" s="394"/>
      <c r="Q13" s="394"/>
      <c r="R13" s="394"/>
      <c r="S13" s="394"/>
      <c r="T13" s="394"/>
      <c r="U13" s="395"/>
      <c r="V13" s="42"/>
      <c r="W13" s="185"/>
      <c r="X13" s="181" t="s">
        <v>79</v>
      </c>
      <c r="Y13" s="181"/>
      <c r="Z13" s="181"/>
      <c r="AA13" s="181"/>
    </row>
    <row r="14" spans="1:27" ht="30" customHeight="1" x14ac:dyDescent="0.25">
      <c r="A14" s="175"/>
      <c r="B14" s="370"/>
      <c r="C14" s="371"/>
      <c r="D14" s="229" t="s">
        <v>80</v>
      </c>
      <c r="E14" s="230" t="s">
        <v>81</v>
      </c>
      <c r="F14" s="333" t="s">
        <v>82</v>
      </c>
      <c r="G14" s="334"/>
      <c r="H14" s="335"/>
      <c r="I14" s="215"/>
      <c r="J14" s="336" t="s">
        <v>83</v>
      </c>
      <c r="K14" s="337"/>
      <c r="L14" s="340">
        <v>0.5</v>
      </c>
      <c r="M14" s="226"/>
      <c r="N14" s="262"/>
      <c r="O14" s="223" t="s">
        <v>84</v>
      </c>
      <c r="P14" s="55" t="s">
        <v>77</v>
      </c>
      <c r="Q14" s="69"/>
      <c r="R14" s="223" t="s">
        <v>85</v>
      </c>
      <c r="S14" s="70">
        <v>2.5000000000000001E-2</v>
      </c>
      <c r="T14" s="223" t="s">
        <v>86</v>
      </c>
      <c r="U14" s="222">
        <f>ROUND(Q129*S14,2)</f>
        <v>0</v>
      </c>
      <c r="V14" s="43"/>
      <c r="W14" s="185"/>
      <c r="X14" s="181" t="s">
        <v>87</v>
      </c>
      <c r="Y14" s="181"/>
      <c r="Z14" s="181"/>
      <c r="AA14" s="181"/>
    </row>
    <row r="15" spans="1:27" ht="15" customHeight="1" x14ac:dyDescent="0.25">
      <c r="A15" s="175"/>
      <c r="B15" s="370"/>
      <c r="C15" s="371"/>
      <c r="D15" s="259">
        <f>1/E15</f>
        <v>0.7246376811594204</v>
      </c>
      <c r="E15" s="25">
        <v>1.38</v>
      </c>
      <c r="F15" s="342"/>
      <c r="G15" s="343"/>
      <c r="H15" s="344"/>
      <c r="I15" s="216"/>
      <c r="J15" s="338"/>
      <c r="K15" s="339"/>
      <c r="L15" s="341"/>
      <c r="M15" s="348" t="s">
        <v>88</v>
      </c>
      <c r="N15" s="262"/>
      <c r="O15" s="350" t="s">
        <v>89</v>
      </c>
      <c r="P15" s="351"/>
      <c r="Q15" s="351"/>
      <c r="R15" s="351"/>
      <c r="S15" s="351"/>
      <c r="T15" s="351"/>
      <c r="U15" s="352"/>
      <c r="V15" s="37"/>
      <c r="W15" s="186"/>
      <c r="X15" s="181"/>
      <c r="Y15" s="181"/>
      <c r="Z15" s="181"/>
      <c r="AA15" s="181"/>
    </row>
    <row r="16" spans="1:27" ht="15" customHeight="1" x14ac:dyDescent="0.25">
      <c r="A16" s="175"/>
      <c r="B16" s="353" t="s">
        <v>90</v>
      </c>
      <c r="C16" s="355" t="s">
        <v>91</v>
      </c>
      <c r="D16" s="357" t="s">
        <v>92</v>
      </c>
      <c r="E16" s="359" t="s">
        <v>93</v>
      </c>
      <c r="F16" s="356" t="s">
        <v>94</v>
      </c>
      <c r="G16" s="361"/>
      <c r="H16" s="227" t="s">
        <v>95</v>
      </c>
      <c r="I16" s="217"/>
      <c r="J16" s="362" t="s">
        <v>93</v>
      </c>
      <c r="K16" s="224" t="s">
        <v>96</v>
      </c>
      <c r="L16" s="221" t="s">
        <v>97</v>
      </c>
      <c r="M16" s="348"/>
      <c r="N16" s="263"/>
      <c r="O16" s="364" t="s">
        <v>98</v>
      </c>
      <c r="P16" s="219" t="s">
        <v>99</v>
      </c>
      <c r="Q16" s="219" t="s">
        <v>100</v>
      </c>
      <c r="R16" s="220" t="s">
        <v>101</v>
      </c>
      <c r="S16" s="220" t="s">
        <v>102</v>
      </c>
      <c r="T16" s="221" t="s">
        <v>103</v>
      </c>
      <c r="U16" s="221" t="s">
        <v>104</v>
      </c>
      <c r="V16" s="44"/>
      <c r="W16" s="187"/>
      <c r="X16" s="181"/>
      <c r="Y16" s="181"/>
      <c r="Z16" s="181"/>
      <c r="AA16" s="181"/>
    </row>
    <row r="17" spans="1:27" s="190" customFormat="1" ht="15" customHeight="1" x14ac:dyDescent="0.25">
      <c r="A17" s="176"/>
      <c r="B17" s="354"/>
      <c r="C17" s="356"/>
      <c r="D17" s="358"/>
      <c r="E17" s="360"/>
      <c r="F17" s="55" t="s">
        <v>76</v>
      </c>
      <c r="G17" s="228" t="str">
        <f>IF(F17="USD $", "CAD $", "USD $")</f>
        <v>USD $</v>
      </c>
      <c r="H17" s="225" t="str">
        <f>K17</f>
        <v>CAD $</v>
      </c>
      <c r="I17" s="218"/>
      <c r="J17" s="363"/>
      <c r="K17" s="366" t="s">
        <v>76</v>
      </c>
      <c r="L17" s="367"/>
      <c r="M17" s="349"/>
      <c r="N17" s="264"/>
      <c r="O17" s="365"/>
      <c r="P17" s="55" t="s">
        <v>77</v>
      </c>
      <c r="Q17" s="345" t="str">
        <f>K17</f>
        <v>CAD $</v>
      </c>
      <c r="R17" s="346"/>
      <c r="S17" s="346"/>
      <c r="T17" s="346"/>
      <c r="U17" s="347"/>
      <c r="V17" s="38"/>
      <c r="W17" s="188"/>
      <c r="X17" s="189"/>
      <c r="Y17" s="189"/>
      <c r="Z17" s="189"/>
      <c r="AA17" s="189"/>
    </row>
    <row r="18" spans="1:27" x14ac:dyDescent="0.25">
      <c r="A18" s="175"/>
      <c r="B18" s="3" t="s">
        <v>136</v>
      </c>
      <c r="C18" s="23" t="s">
        <v>137</v>
      </c>
      <c r="D18" s="268"/>
      <c r="E18" s="173">
        <v>1</v>
      </c>
      <c r="F18" s="26">
        <v>61.62</v>
      </c>
      <c r="G18" s="27">
        <f>ROUND(IF($F$17="USD $", F18*$E$15,F18*$D$15),2)</f>
        <v>44.65</v>
      </c>
      <c r="H18" s="28">
        <f>ROUND(IF($H$17=$G$17,E18*G18,E18*F18),2)</f>
        <v>61.62</v>
      </c>
      <c r="I18" s="29"/>
      <c r="J18" s="209">
        <f t="shared" ref="J18:J81" si="0">E18</f>
        <v>1</v>
      </c>
      <c r="K18" s="27">
        <f>ROUND(IF($K$17=$F$17,F18*($L$14-M18),G18*($L$14-M18)),2)</f>
        <v>30.81</v>
      </c>
      <c r="L18" s="27">
        <f>ROUND((J18*K18),2)</f>
        <v>30.81</v>
      </c>
      <c r="M18" s="54"/>
      <c r="N18" s="76"/>
      <c r="O18" s="3"/>
      <c r="P18" s="31"/>
      <c r="Q18" s="32">
        <f>ROUND(IF($Q$17=$P$17,P18,IF($Q$17="USD $",P18*$D$15,P18*$E$15))*E18,2)</f>
        <v>0</v>
      </c>
      <c r="R18" s="32">
        <f>IFERROR(ROUND(S18/E18,2),0)</f>
        <v>30.81</v>
      </c>
      <c r="S18" s="32">
        <f>ROUND(L18-Q18,2)</f>
        <v>30.81</v>
      </c>
      <c r="T18" s="47">
        <f>IFERROR(((K18-(Q18/J18))/(Q18/J18)),0)</f>
        <v>0</v>
      </c>
      <c r="U18" s="47">
        <f>IFERROR(((K18-(Q18/J18))/K18),0)</f>
        <v>1</v>
      </c>
      <c r="V18" s="45"/>
      <c r="W18" s="74"/>
      <c r="X18" s="181"/>
      <c r="Y18" s="181">
        <v>250</v>
      </c>
      <c r="Z18" s="191"/>
      <c r="AA18" s="192"/>
    </row>
    <row r="19" spans="1:27" x14ac:dyDescent="0.25">
      <c r="A19" s="175"/>
      <c r="B19" s="1" t="s">
        <v>336</v>
      </c>
      <c r="C19" s="19" t="s">
        <v>337</v>
      </c>
      <c r="D19" s="269"/>
      <c r="E19" s="174">
        <v>1</v>
      </c>
      <c r="F19" s="33">
        <v>104.86</v>
      </c>
      <c r="G19" s="56">
        <f t="shared" ref="G19:G82" si="1">ROUND(IF($F$17="USD $", F19*$E$15,F19*$D$15),2)</f>
        <v>75.989999999999995</v>
      </c>
      <c r="H19" s="57">
        <f t="shared" ref="H19:H82" si="2">ROUND(IF($H$17=$G$17,E19*G19,E19*F19),2)</f>
        <v>104.86</v>
      </c>
      <c r="I19" s="60"/>
      <c r="J19" s="208">
        <f t="shared" si="0"/>
        <v>1</v>
      </c>
      <c r="K19" s="56">
        <f t="shared" ref="K19:K82" si="3">ROUND(IF($K$17=$F$17,F19*($L$14-M19),G19*($L$14-M19)),2)</f>
        <v>52.43</v>
      </c>
      <c r="L19" s="56">
        <f t="shared" ref="L19:L82" si="4">ROUND((J19*K19),2)</f>
        <v>52.43</v>
      </c>
      <c r="M19" s="34"/>
      <c r="N19" s="76"/>
      <c r="O19" s="1"/>
      <c r="P19" s="33"/>
      <c r="Q19" s="58">
        <f>ROUND(IF($Q$17=$P$17,P19,IF($Q$17="USD $",P19*$D$15,P19*$E$15))*E19,2)</f>
        <v>0</v>
      </c>
      <c r="R19" s="85">
        <f t="shared" ref="R19:R82" si="5">IFERROR(ROUND(S19/E19,2),0)</f>
        <v>52.43</v>
      </c>
      <c r="S19" s="85">
        <f t="shared" ref="S19:S82" si="6">ROUND(L19-Q19,2)</f>
        <v>52.43</v>
      </c>
      <c r="T19" s="59">
        <f t="shared" ref="T19:T82" si="7">IFERROR(((K19-(Q19/J19))/(Q19/J19)),0)</f>
        <v>0</v>
      </c>
      <c r="U19" s="59">
        <f t="shared" ref="U19:U82" si="8">IFERROR(((K19-(Q19/J19))/K19),0)</f>
        <v>1</v>
      </c>
      <c r="V19" s="46"/>
      <c r="W19" s="74"/>
      <c r="X19" s="181" t="s">
        <v>105</v>
      </c>
      <c r="Y19" s="181">
        <v>500</v>
      </c>
      <c r="Z19" s="181"/>
      <c r="AA19" s="181"/>
    </row>
    <row r="20" spans="1:27" x14ac:dyDescent="0.25">
      <c r="A20" s="175"/>
      <c r="B20" s="3" t="s">
        <v>138</v>
      </c>
      <c r="C20" s="24" t="s">
        <v>139</v>
      </c>
      <c r="D20" s="270"/>
      <c r="E20" s="173">
        <v>1</v>
      </c>
      <c r="F20" s="26">
        <v>51.52</v>
      </c>
      <c r="G20" s="27">
        <f t="shared" si="1"/>
        <v>37.33</v>
      </c>
      <c r="H20" s="28">
        <f t="shared" si="2"/>
        <v>51.52</v>
      </c>
      <c r="I20" s="60"/>
      <c r="J20" s="209">
        <f t="shared" si="0"/>
        <v>1</v>
      </c>
      <c r="K20" s="27">
        <f t="shared" si="3"/>
        <v>25.76</v>
      </c>
      <c r="L20" s="27">
        <f t="shared" si="4"/>
        <v>25.76</v>
      </c>
      <c r="M20" s="30"/>
      <c r="N20" s="76"/>
      <c r="O20" s="3"/>
      <c r="P20" s="31"/>
      <c r="Q20" s="32">
        <f t="shared" ref="Q20:Q83" si="9">ROUND(IF($Q$17=$P$17,P20,IF($Q$17="USD $",P20*$D$15,P20*$E$15))*E20,2)</f>
        <v>0</v>
      </c>
      <c r="R20" s="32">
        <f t="shared" si="5"/>
        <v>25.76</v>
      </c>
      <c r="S20" s="32">
        <f t="shared" si="6"/>
        <v>25.76</v>
      </c>
      <c r="T20" s="47">
        <f t="shared" si="7"/>
        <v>0</v>
      </c>
      <c r="U20" s="47">
        <f t="shared" si="8"/>
        <v>1</v>
      </c>
      <c r="V20" s="45"/>
      <c r="W20" s="74"/>
      <c r="X20" s="181" t="s">
        <v>106</v>
      </c>
      <c r="Y20" s="181">
        <v>750</v>
      </c>
      <c r="Z20" s="181"/>
      <c r="AA20" s="181"/>
    </row>
    <row r="21" spans="1:27" x14ac:dyDescent="0.25">
      <c r="A21" s="175"/>
      <c r="B21" s="1" t="s">
        <v>335</v>
      </c>
      <c r="C21" s="19" t="s">
        <v>140</v>
      </c>
      <c r="D21" s="269"/>
      <c r="E21" s="174">
        <v>1</v>
      </c>
      <c r="F21" s="33">
        <v>79.42</v>
      </c>
      <c r="G21" s="56">
        <f t="shared" si="1"/>
        <v>57.55</v>
      </c>
      <c r="H21" s="57">
        <f t="shared" si="2"/>
        <v>79.42</v>
      </c>
      <c r="I21" s="60"/>
      <c r="J21" s="208">
        <f t="shared" si="0"/>
        <v>1</v>
      </c>
      <c r="K21" s="56">
        <f t="shared" si="3"/>
        <v>39.71</v>
      </c>
      <c r="L21" s="56">
        <f t="shared" si="4"/>
        <v>39.71</v>
      </c>
      <c r="M21" s="34"/>
      <c r="N21" s="76"/>
      <c r="O21" s="1"/>
      <c r="P21" s="33"/>
      <c r="Q21" s="58">
        <f t="shared" si="9"/>
        <v>0</v>
      </c>
      <c r="R21" s="85">
        <f t="shared" si="5"/>
        <v>39.71</v>
      </c>
      <c r="S21" s="85">
        <f t="shared" si="6"/>
        <v>39.71</v>
      </c>
      <c r="T21" s="59">
        <f t="shared" si="7"/>
        <v>0</v>
      </c>
      <c r="U21" s="59">
        <f t="shared" si="8"/>
        <v>1</v>
      </c>
      <c r="V21" s="46"/>
      <c r="W21" s="74"/>
      <c r="X21" s="181" t="s">
        <v>108</v>
      </c>
      <c r="Y21" s="181">
        <v>1000</v>
      </c>
      <c r="Z21" s="181"/>
      <c r="AA21" s="181"/>
    </row>
    <row r="22" spans="1:27" x14ac:dyDescent="0.25">
      <c r="A22" s="175"/>
      <c r="B22" s="3" t="s">
        <v>141</v>
      </c>
      <c r="C22" s="24" t="s">
        <v>142</v>
      </c>
      <c r="D22" s="270"/>
      <c r="E22" s="173">
        <v>1</v>
      </c>
      <c r="F22" s="26">
        <v>86.67</v>
      </c>
      <c r="G22" s="27">
        <f t="shared" si="1"/>
        <v>62.8</v>
      </c>
      <c r="H22" s="28">
        <f t="shared" si="2"/>
        <v>86.67</v>
      </c>
      <c r="I22" s="60"/>
      <c r="J22" s="209">
        <f t="shared" si="0"/>
        <v>1</v>
      </c>
      <c r="K22" s="27">
        <f t="shared" si="3"/>
        <v>43.34</v>
      </c>
      <c r="L22" s="27">
        <f t="shared" si="4"/>
        <v>43.34</v>
      </c>
      <c r="M22" s="30"/>
      <c r="N22" s="76"/>
      <c r="O22" s="3"/>
      <c r="P22" s="31"/>
      <c r="Q22" s="32">
        <f t="shared" si="9"/>
        <v>0</v>
      </c>
      <c r="R22" s="32">
        <f t="shared" si="5"/>
        <v>43.34</v>
      </c>
      <c r="S22" s="32">
        <f t="shared" si="6"/>
        <v>43.34</v>
      </c>
      <c r="T22" s="47">
        <f t="shared" si="7"/>
        <v>0</v>
      </c>
      <c r="U22" s="47">
        <f t="shared" si="8"/>
        <v>1</v>
      </c>
      <c r="V22" s="45"/>
      <c r="W22" s="74"/>
      <c r="X22" s="181" t="s">
        <v>109</v>
      </c>
      <c r="Y22" s="181">
        <v>1200</v>
      </c>
      <c r="Z22" s="181"/>
      <c r="AA22" s="181"/>
    </row>
    <row r="23" spans="1:27" x14ac:dyDescent="0.25">
      <c r="A23" s="175"/>
      <c r="B23" s="1" t="s">
        <v>143</v>
      </c>
      <c r="C23" s="19" t="s">
        <v>144</v>
      </c>
      <c r="D23" s="269"/>
      <c r="E23" s="174">
        <v>1</v>
      </c>
      <c r="F23" s="33">
        <v>30.32</v>
      </c>
      <c r="G23" s="56">
        <f t="shared" si="1"/>
        <v>21.97</v>
      </c>
      <c r="H23" s="57">
        <f t="shared" si="2"/>
        <v>30.32</v>
      </c>
      <c r="I23" s="60"/>
      <c r="J23" s="208">
        <f t="shared" si="0"/>
        <v>1</v>
      </c>
      <c r="K23" s="56">
        <f t="shared" si="3"/>
        <v>15.16</v>
      </c>
      <c r="L23" s="56">
        <f t="shared" si="4"/>
        <v>15.16</v>
      </c>
      <c r="M23" s="34"/>
      <c r="N23" s="76"/>
      <c r="O23" s="1"/>
      <c r="P23" s="33"/>
      <c r="Q23" s="58">
        <f t="shared" si="9"/>
        <v>0</v>
      </c>
      <c r="R23" s="85">
        <f t="shared" si="5"/>
        <v>15.16</v>
      </c>
      <c r="S23" s="85">
        <f t="shared" si="6"/>
        <v>15.16</v>
      </c>
      <c r="T23" s="59">
        <f t="shared" si="7"/>
        <v>0</v>
      </c>
      <c r="U23" s="59">
        <f t="shared" si="8"/>
        <v>1</v>
      </c>
      <c r="V23" s="46"/>
      <c r="W23" s="74"/>
      <c r="X23" s="181" t="s">
        <v>111</v>
      </c>
      <c r="Y23" s="181">
        <v>2000</v>
      </c>
      <c r="Z23" s="181"/>
      <c r="AA23" s="181"/>
    </row>
    <row r="24" spans="1:27" x14ac:dyDescent="0.25">
      <c r="A24" s="175"/>
      <c r="B24" s="3" t="s">
        <v>339</v>
      </c>
      <c r="C24" s="24" t="s">
        <v>145</v>
      </c>
      <c r="D24" s="270"/>
      <c r="E24" s="173">
        <v>1</v>
      </c>
      <c r="F24" s="26">
        <v>155.46</v>
      </c>
      <c r="G24" s="27">
        <f t="shared" si="1"/>
        <v>112.65</v>
      </c>
      <c r="H24" s="28">
        <f t="shared" si="2"/>
        <v>155.46</v>
      </c>
      <c r="I24" s="60"/>
      <c r="J24" s="209">
        <f t="shared" si="0"/>
        <v>1</v>
      </c>
      <c r="K24" s="27">
        <f t="shared" si="3"/>
        <v>77.73</v>
      </c>
      <c r="L24" s="27">
        <f t="shared" si="4"/>
        <v>77.73</v>
      </c>
      <c r="M24" s="30"/>
      <c r="N24" s="76"/>
      <c r="O24" s="3"/>
      <c r="P24" s="31"/>
      <c r="Q24" s="32">
        <f t="shared" si="9"/>
        <v>0</v>
      </c>
      <c r="R24" s="32">
        <f t="shared" si="5"/>
        <v>77.73</v>
      </c>
      <c r="S24" s="32">
        <f t="shared" si="6"/>
        <v>77.73</v>
      </c>
      <c r="T24" s="47">
        <f t="shared" si="7"/>
        <v>0</v>
      </c>
      <c r="U24" s="47">
        <f t="shared" si="8"/>
        <v>1</v>
      </c>
      <c r="V24" s="45"/>
      <c r="W24" s="74"/>
      <c r="X24" s="181" t="s">
        <v>112</v>
      </c>
      <c r="Y24" s="181">
        <v>4000</v>
      </c>
      <c r="Z24" s="181"/>
      <c r="AA24" s="181"/>
    </row>
    <row r="25" spans="1:27" x14ac:dyDescent="0.25">
      <c r="A25" s="175"/>
      <c r="B25" s="1" t="s">
        <v>338</v>
      </c>
      <c r="C25" s="19" t="s">
        <v>110</v>
      </c>
      <c r="D25" s="269"/>
      <c r="E25" s="174">
        <v>1</v>
      </c>
      <c r="F25" s="33">
        <v>118.89</v>
      </c>
      <c r="G25" s="56">
        <f t="shared" si="1"/>
        <v>86.15</v>
      </c>
      <c r="H25" s="57">
        <f t="shared" si="2"/>
        <v>118.89</v>
      </c>
      <c r="I25" s="60"/>
      <c r="J25" s="208">
        <f t="shared" si="0"/>
        <v>1</v>
      </c>
      <c r="K25" s="56">
        <f t="shared" si="3"/>
        <v>59.45</v>
      </c>
      <c r="L25" s="56">
        <f t="shared" si="4"/>
        <v>59.45</v>
      </c>
      <c r="M25" s="34"/>
      <c r="N25" s="76"/>
      <c r="O25" s="1"/>
      <c r="P25" s="33"/>
      <c r="Q25" s="58">
        <f t="shared" si="9"/>
        <v>0</v>
      </c>
      <c r="R25" s="85">
        <f t="shared" si="5"/>
        <v>59.45</v>
      </c>
      <c r="S25" s="85">
        <f t="shared" si="6"/>
        <v>59.45</v>
      </c>
      <c r="T25" s="59">
        <f t="shared" si="7"/>
        <v>0</v>
      </c>
      <c r="U25" s="59">
        <f t="shared" si="8"/>
        <v>1</v>
      </c>
      <c r="V25" s="46"/>
      <c r="W25" s="74"/>
      <c r="X25" s="181" t="s">
        <v>114</v>
      </c>
      <c r="Y25" s="181">
        <v>6000</v>
      </c>
      <c r="Z25" s="181"/>
      <c r="AA25" s="181"/>
    </row>
    <row r="26" spans="1:27" x14ac:dyDescent="0.25">
      <c r="A26" s="175"/>
      <c r="B26" s="3" t="s">
        <v>340</v>
      </c>
      <c r="C26" s="24" t="s">
        <v>130</v>
      </c>
      <c r="D26" s="270"/>
      <c r="E26" s="173">
        <v>1</v>
      </c>
      <c r="F26" s="26">
        <v>102.6</v>
      </c>
      <c r="G26" s="27">
        <f t="shared" si="1"/>
        <v>74.349999999999994</v>
      </c>
      <c r="H26" s="28">
        <f t="shared" si="2"/>
        <v>102.6</v>
      </c>
      <c r="I26" s="60"/>
      <c r="J26" s="209">
        <f t="shared" si="0"/>
        <v>1</v>
      </c>
      <c r="K26" s="27">
        <f t="shared" si="3"/>
        <v>51.3</v>
      </c>
      <c r="L26" s="27">
        <f t="shared" si="4"/>
        <v>51.3</v>
      </c>
      <c r="M26" s="30"/>
      <c r="N26" s="76"/>
      <c r="O26" s="3"/>
      <c r="P26" s="31"/>
      <c r="Q26" s="32">
        <f t="shared" si="9"/>
        <v>0</v>
      </c>
      <c r="R26" s="32">
        <f t="shared" si="5"/>
        <v>51.3</v>
      </c>
      <c r="S26" s="32">
        <f t="shared" si="6"/>
        <v>51.3</v>
      </c>
      <c r="T26" s="47">
        <f t="shared" si="7"/>
        <v>0</v>
      </c>
      <c r="U26" s="47">
        <f t="shared" si="8"/>
        <v>1</v>
      </c>
      <c r="V26" s="45"/>
      <c r="W26" s="74"/>
      <c r="X26" s="181" t="s">
        <v>115</v>
      </c>
      <c r="Y26" s="181">
        <v>8000</v>
      </c>
      <c r="Z26" s="181"/>
      <c r="AA26" s="181"/>
    </row>
    <row r="27" spans="1:27" x14ac:dyDescent="0.25">
      <c r="A27" s="175"/>
      <c r="B27" s="1" t="s">
        <v>234</v>
      </c>
      <c r="C27" s="19" t="s">
        <v>235</v>
      </c>
      <c r="D27" s="269"/>
      <c r="E27" s="174">
        <v>2</v>
      </c>
      <c r="F27" s="33">
        <v>811.6</v>
      </c>
      <c r="G27" s="56">
        <f t="shared" si="1"/>
        <v>588.12</v>
      </c>
      <c r="H27" s="57">
        <f t="shared" si="2"/>
        <v>1623.2</v>
      </c>
      <c r="I27" s="60"/>
      <c r="J27" s="208">
        <f t="shared" si="0"/>
        <v>2</v>
      </c>
      <c r="K27" s="56">
        <f t="shared" si="3"/>
        <v>405.8</v>
      </c>
      <c r="L27" s="56">
        <f t="shared" si="4"/>
        <v>811.6</v>
      </c>
      <c r="M27" s="34"/>
      <c r="N27" s="76"/>
      <c r="O27" s="1"/>
      <c r="P27" s="33"/>
      <c r="Q27" s="58">
        <f t="shared" si="9"/>
        <v>0</v>
      </c>
      <c r="R27" s="85">
        <f t="shared" si="5"/>
        <v>405.8</v>
      </c>
      <c r="S27" s="85">
        <f t="shared" si="6"/>
        <v>811.6</v>
      </c>
      <c r="T27" s="59">
        <f t="shared" si="7"/>
        <v>0</v>
      </c>
      <c r="U27" s="59">
        <f t="shared" si="8"/>
        <v>1</v>
      </c>
      <c r="V27" s="46"/>
      <c r="W27" s="74"/>
      <c r="X27" s="181" t="s">
        <v>116</v>
      </c>
      <c r="Y27" s="193">
        <v>10000</v>
      </c>
      <c r="Z27" s="181"/>
      <c r="AA27" s="181"/>
    </row>
    <row r="28" spans="1:27" x14ac:dyDescent="0.25">
      <c r="A28" s="175"/>
      <c r="B28" s="3"/>
      <c r="C28" s="24"/>
      <c r="D28" s="270"/>
      <c r="E28" s="173"/>
      <c r="F28" s="26"/>
      <c r="G28" s="27">
        <f t="shared" si="1"/>
        <v>0</v>
      </c>
      <c r="H28" s="28">
        <f t="shared" si="2"/>
        <v>0</v>
      </c>
      <c r="I28" s="60"/>
      <c r="J28" s="209">
        <f t="shared" si="0"/>
        <v>0</v>
      </c>
      <c r="K28" s="27">
        <f t="shared" si="3"/>
        <v>0</v>
      </c>
      <c r="L28" s="27">
        <f t="shared" si="4"/>
        <v>0</v>
      </c>
      <c r="M28" s="30"/>
      <c r="N28" s="76"/>
      <c r="O28" s="3"/>
      <c r="P28" s="31"/>
      <c r="Q28" s="32">
        <f t="shared" si="9"/>
        <v>0</v>
      </c>
      <c r="R28" s="32">
        <f t="shared" si="5"/>
        <v>0</v>
      </c>
      <c r="S28" s="32">
        <f t="shared" si="6"/>
        <v>0</v>
      </c>
      <c r="T28" s="47">
        <f t="shared" si="7"/>
        <v>0</v>
      </c>
      <c r="U28" s="47">
        <f t="shared" si="8"/>
        <v>0</v>
      </c>
      <c r="V28" s="45"/>
      <c r="W28" s="74"/>
      <c r="X28" s="181" t="s">
        <v>117</v>
      </c>
      <c r="Y28" s="181" t="s">
        <v>118</v>
      </c>
      <c r="Z28" s="181"/>
      <c r="AA28" s="181"/>
    </row>
    <row r="29" spans="1:27" x14ac:dyDescent="0.25">
      <c r="A29" s="175"/>
      <c r="B29" s="1" t="s">
        <v>341</v>
      </c>
      <c r="C29" s="19" t="s">
        <v>146</v>
      </c>
      <c r="D29" s="269"/>
      <c r="E29" s="174">
        <v>6</v>
      </c>
      <c r="F29" s="33">
        <v>1949.47</v>
      </c>
      <c r="G29" s="56">
        <f>ROUND(IF($F$17="USD $", F29*$E$15,F29*$D$15),2)</f>
        <v>1412.66</v>
      </c>
      <c r="H29" s="57">
        <f>ROUND(IF($H$17=$G$17,E29*G29,E29*F29),2)</f>
        <v>11696.82</v>
      </c>
      <c r="I29" s="60"/>
      <c r="J29" s="208">
        <f t="shared" si="0"/>
        <v>6</v>
      </c>
      <c r="K29" s="56">
        <f t="shared" si="3"/>
        <v>974.74</v>
      </c>
      <c r="L29" s="56">
        <f>ROUND((J29*K29),2)</f>
        <v>5848.44</v>
      </c>
      <c r="M29" s="34"/>
      <c r="N29" s="76"/>
      <c r="O29" s="1"/>
      <c r="P29" s="33"/>
      <c r="Q29" s="58">
        <f t="shared" si="9"/>
        <v>0</v>
      </c>
      <c r="R29" s="85">
        <f t="shared" si="5"/>
        <v>974.74</v>
      </c>
      <c r="S29" s="85">
        <f t="shared" si="6"/>
        <v>5848.44</v>
      </c>
      <c r="T29" s="59">
        <f t="shared" si="7"/>
        <v>0</v>
      </c>
      <c r="U29" s="59">
        <f t="shared" si="8"/>
        <v>1</v>
      </c>
      <c r="V29" s="46"/>
      <c r="W29" s="74"/>
      <c r="X29" s="181" t="s">
        <v>120</v>
      </c>
      <c r="Y29" s="181"/>
      <c r="Z29" s="181"/>
      <c r="AA29" s="181"/>
    </row>
    <row r="30" spans="1:27" x14ac:dyDescent="0.25">
      <c r="A30" s="175"/>
      <c r="B30" s="3" t="s">
        <v>147</v>
      </c>
      <c r="C30" s="24" t="s">
        <v>113</v>
      </c>
      <c r="D30" s="270"/>
      <c r="E30" s="173">
        <v>1</v>
      </c>
      <c r="F30" s="26">
        <v>7023.1450000000004</v>
      </c>
      <c r="G30" s="27">
        <f t="shared" si="1"/>
        <v>5089.24</v>
      </c>
      <c r="H30" s="28">
        <f t="shared" si="2"/>
        <v>7023.15</v>
      </c>
      <c r="I30" s="60"/>
      <c r="J30" s="209">
        <f t="shared" si="0"/>
        <v>1</v>
      </c>
      <c r="K30" s="27">
        <f t="shared" si="3"/>
        <v>3511.57</v>
      </c>
      <c r="L30" s="27">
        <f t="shared" si="4"/>
        <v>3511.57</v>
      </c>
      <c r="M30" s="30"/>
      <c r="N30" s="76"/>
      <c r="O30" s="3"/>
      <c r="P30" s="31"/>
      <c r="Q30" s="32">
        <f t="shared" si="9"/>
        <v>0</v>
      </c>
      <c r="R30" s="32">
        <f t="shared" si="5"/>
        <v>3511.57</v>
      </c>
      <c r="S30" s="32">
        <f t="shared" si="6"/>
        <v>3511.57</v>
      </c>
      <c r="T30" s="47">
        <f t="shared" si="7"/>
        <v>0</v>
      </c>
      <c r="U30" s="47">
        <f t="shared" si="8"/>
        <v>1</v>
      </c>
      <c r="V30" s="45"/>
      <c r="W30" s="74"/>
      <c r="X30" s="181"/>
      <c r="Y30" s="181"/>
      <c r="Z30" s="181"/>
      <c r="AA30" s="181"/>
    </row>
    <row r="31" spans="1:27" x14ac:dyDescent="0.25">
      <c r="A31" s="175"/>
      <c r="B31" s="1"/>
      <c r="C31" s="19"/>
      <c r="D31" s="269"/>
      <c r="E31" s="174"/>
      <c r="F31" s="33"/>
      <c r="G31" s="56">
        <f t="shared" si="1"/>
        <v>0</v>
      </c>
      <c r="H31" s="57">
        <f t="shared" si="2"/>
        <v>0</v>
      </c>
      <c r="I31" s="60"/>
      <c r="J31" s="208">
        <f t="shared" si="0"/>
        <v>0</v>
      </c>
      <c r="K31" s="56">
        <f t="shared" si="3"/>
        <v>0</v>
      </c>
      <c r="L31" s="56">
        <f t="shared" si="4"/>
        <v>0</v>
      </c>
      <c r="M31" s="34"/>
      <c r="N31" s="76"/>
      <c r="O31" s="1"/>
      <c r="P31" s="33"/>
      <c r="Q31" s="58">
        <f t="shared" si="9"/>
        <v>0</v>
      </c>
      <c r="R31" s="85">
        <f t="shared" si="5"/>
        <v>0</v>
      </c>
      <c r="S31" s="85">
        <f t="shared" si="6"/>
        <v>0</v>
      </c>
      <c r="T31" s="59">
        <f t="shared" si="7"/>
        <v>0</v>
      </c>
      <c r="U31" s="59">
        <f t="shared" si="8"/>
        <v>0</v>
      </c>
      <c r="V31" s="46"/>
      <c r="W31" s="74"/>
      <c r="X31" s="181"/>
      <c r="Y31" s="181"/>
      <c r="Z31" s="181"/>
      <c r="AA31" s="181"/>
    </row>
    <row r="32" spans="1:27" x14ac:dyDescent="0.25">
      <c r="A32" s="175"/>
      <c r="B32" s="3" t="s">
        <v>342</v>
      </c>
      <c r="C32" s="24" t="s">
        <v>148</v>
      </c>
      <c r="D32" s="270"/>
      <c r="E32" s="173">
        <v>10</v>
      </c>
      <c r="F32" s="26">
        <v>395.87</v>
      </c>
      <c r="G32" s="27">
        <f t="shared" si="1"/>
        <v>286.86</v>
      </c>
      <c r="H32" s="28">
        <f t="shared" si="2"/>
        <v>3958.7</v>
      </c>
      <c r="I32" s="60"/>
      <c r="J32" s="209">
        <f t="shared" si="0"/>
        <v>10</v>
      </c>
      <c r="K32" s="27">
        <f t="shared" si="3"/>
        <v>197.94</v>
      </c>
      <c r="L32" s="27">
        <f t="shared" si="4"/>
        <v>1979.4</v>
      </c>
      <c r="M32" s="30"/>
      <c r="N32" s="76"/>
      <c r="O32" s="3"/>
      <c r="P32" s="31"/>
      <c r="Q32" s="32">
        <f t="shared" si="9"/>
        <v>0</v>
      </c>
      <c r="R32" s="32">
        <f t="shared" si="5"/>
        <v>197.94</v>
      </c>
      <c r="S32" s="32">
        <f t="shared" si="6"/>
        <v>1979.4</v>
      </c>
      <c r="T32" s="47">
        <f t="shared" si="7"/>
        <v>0</v>
      </c>
      <c r="U32" s="47">
        <f t="shared" si="8"/>
        <v>1</v>
      </c>
      <c r="V32" s="45"/>
      <c r="W32" s="74"/>
      <c r="X32" s="181"/>
      <c r="Y32" s="181"/>
      <c r="Z32" s="181"/>
      <c r="AA32" s="181"/>
    </row>
    <row r="33" spans="1:27" x14ac:dyDescent="0.25">
      <c r="A33" s="175"/>
      <c r="B33" s="1" t="s">
        <v>343</v>
      </c>
      <c r="C33" s="19" t="s">
        <v>119</v>
      </c>
      <c r="D33" s="269"/>
      <c r="E33" s="174">
        <v>50</v>
      </c>
      <c r="F33" s="33">
        <v>5.51</v>
      </c>
      <c r="G33" s="56">
        <f t="shared" si="1"/>
        <v>3.99</v>
      </c>
      <c r="H33" s="57">
        <f t="shared" si="2"/>
        <v>275.5</v>
      </c>
      <c r="I33" s="60"/>
      <c r="J33" s="208">
        <f t="shared" si="0"/>
        <v>50</v>
      </c>
      <c r="K33" s="56">
        <f t="shared" si="3"/>
        <v>2.76</v>
      </c>
      <c r="L33" s="56">
        <f t="shared" si="4"/>
        <v>138</v>
      </c>
      <c r="M33" s="34"/>
      <c r="N33" s="76"/>
      <c r="O33" s="1"/>
      <c r="P33" s="33"/>
      <c r="Q33" s="58">
        <f t="shared" si="9"/>
        <v>0</v>
      </c>
      <c r="R33" s="85">
        <f t="shared" si="5"/>
        <v>2.76</v>
      </c>
      <c r="S33" s="85">
        <f t="shared" si="6"/>
        <v>138</v>
      </c>
      <c r="T33" s="59">
        <f t="shared" si="7"/>
        <v>0</v>
      </c>
      <c r="U33" s="59">
        <f t="shared" si="8"/>
        <v>1</v>
      </c>
      <c r="V33" s="46"/>
      <c r="W33" s="74"/>
      <c r="X33" s="181"/>
      <c r="Y33" s="181"/>
      <c r="Z33" s="181"/>
      <c r="AA33" s="181"/>
    </row>
    <row r="34" spans="1:27" x14ac:dyDescent="0.25">
      <c r="A34" s="175"/>
      <c r="B34" s="3" t="s">
        <v>344</v>
      </c>
      <c r="C34" s="24" t="s">
        <v>123</v>
      </c>
      <c r="D34" s="270"/>
      <c r="E34" s="173">
        <v>50</v>
      </c>
      <c r="F34" s="26">
        <v>4.01</v>
      </c>
      <c r="G34" s="27">
        <f t="shared" si="1"/>
        <v>2.91</v>
      </c>
      <c r="H34" s="28">
        <f t="shared" si="2"/>
        <v>200.5</v>
      </c>
      <c r="I34" s="60"/>
      <c r="J34" s="209">
        <f t="shared" si="0"/>
        <v>50</v>
      </c>
      <c r="K34" s="27">
        <f t="shared" si="3"/>
        <v>2.0099999999999998</v>
      </c>
      <c r="L34" s="27">
        <f t="shared" si="4"/>
        <v>100.5</v>
      </c>
      <c r="M34" s="30"/>
      <c r="N34" s="76"/>
      <c r="O34" s="3"/>
      <c r="P34" s="31"/>
      <c r="Q34" s="32">
        <f t="shared" si="9"/>
        <v>0</v>
      </c>
      <c r="R34" s="32">
        <f t="shared" si="5"/>
        <v>2.0099999999999998</v>
      </c>
      <c r="S34" s="32">
        <f t="shared" si="6"/>
        <v>100.5</v>
      </c>
      <c r="T34" s="47">
        <f t="shared" si="7"/>
        <v>0</v>
      </c>
      <c r="U34" s="47">
        <f t="shared" si="8"/>
        <v>1</v>
      </c>
      <c r="V34" s="45"/>
      <c r="W34" s="74"/>
      <c r="X34" s="181"/>
      <c r="Y34" s="181"/>
      <c r="Z34" s="181"/>
      <c r="AA34" s="181"/>
    </row>
    <row r="35" spans="1:27" x14ac:dyDescent="0.25">
      <c r="A35" s="175"/>
      <c r="B35" s="1" t="s">
        <v>345</v>
      </c>
      <c r="C35" s="19" t="s">
        <v>150</v>
      </c>
      <c r="D35" s="269"/>
      <c r="E35" s="174">
        <v>50</v>
      </c>
      <c r="F35" s="33">
        <v>5.35</v>
      </c>
      <c r="G35" s="56">
        <f t="shared" si="1"/>
        <v>3.88</v>
      </c>
      <c r="H35" s="57">
        <f t="shared" si="2"/>
        <v>267.5</v>
      </c>
      <c r="I35" s="60"/>
      <c r="J35" s="208">
        <f t="shared" si="0"/>
        <v>50</v>
      </c>
      <c r="K35" s="56">
        <f t="shared" si="3"/>
        <v>2.68</v>
      </c>
      <c r="L35" s="56">
        <f t="shared" si="4"/>
        <v>134</v>
      </c>
      <c r="M35" s="34"/>
      <c r="N35" s="76"/>
      <c r="O35" s="1"/>
      <c r="P35" s="33"/>
      <c r="Q35" s="58">
        <f t="shared" si="9"/>
        <v>0</v>
      </c>
      <c r="R35" s="85">
        <f t="shared" si="5"/>
        <v>2.68</v>
      </c>
      <c r="S35" s="85">
        <f t="shared" si="6"/>
        <v>134</v>
      </c>
      <c r="T35" s="59">
        <f t="shared" si="7"/>
        <v>0</v>
      </c>
      <c r="U35" s="59">
        <f t="shared" si="8"/>
        <v>1</v>
      </c>
      <c r="V35" s="46"/>
      <c r="W35" s="74"/>
      <c r="X35" s="181"/>
      <c r="Y35" s="181"/>
      <c r="Z35" s="181"/>
      <c r="AA35" s="181"/>
    </row>
    <row r="36" spans="1:27" x14ac:dyDescent="0.25">
      <c r="A36" s="175"/>
      <c r="B36" s="3" t="s">
        <v>346</v>
      </c>
      <c r="C36" s="24" t="s">
        <v>131</v>
      </c>
      <c r="D36" s="270"/>
      <c r="E36" s="173">
        <v>2</v>
      </c>
      <c r="F36" s="26">
        <v>3842.24</v>
      </c>
      <c r="G36" s="27">
        <f t="shared" si="1"/>
        <v>2784.23</v>
      </c>
      <c r="H36" s="28">
        <f t="shared" si="2"/>
        <v>7684.48</v>
      </c>
      <c r="I36" s="60"/>
      <c r="J36" s="209">
        <f t="shared" si="0"/>
        <v>2</v>
      </c>
      <c r="K36" s="27">
        <f t="shared" si="3"/>
        <v>1921.12</v>
      </c>
      <c r="L36" s="27">
        <f t="shared" si="4"/>
        <v>3842.24</v>
      </c>
      <c r="M36" s="30"/>
      <c r="N36" s="76"/>
      <c r="O36" s="3"/>
      <c r="P36" s="31"/>
      <c r="Q36" s="32">
        <f t="shared" si="9"/>
        <v>0</v>
      </c>
      <c r="R36" s="32">
        <f t="shared" si="5"/>
        <v>1921.12</v>
      </c>
      <c r="S36" s="32">
        <f t="shared" si="6"/>
        <v>3842.24</v>
      </c>
      <c r="T36" s="47">
        <f t="shared" si="7"/>
        <v>0</v>
      </c>
      <c r="U36" s="47">
        <f t="shared" si="8"/>
        <v>1</v>
      </c>
      <c r="V36" s="45"/>
      <c r="W36" s="74"/>
      <c r="X36" s="181"/>
      <c r="Y36" s="181"/>
      <c r="Z36" s="181"/>
      <c r="AA36" s="181"/>
    </row>
    <row r="37" spans="1:27" x14ac:dyDescent="0.25">
      <c r="A37" s="175"/>
      <c r="B37" s="1" t="s">
        <v>347</v>
      </c>
      <c r="C37" s="19" t="s">
        <v>121</v>
      </c>
      <c r="D37" s="269"/>
      <c r="E37" s="174">
        <v>4</v>
      </c>
      <c r="F37" s="33">
        <v>722.36</v>
      </c>
      <c r="G37" s="56">
        <f t="shared" si="1"/>
        <v>523.45000000000005</v>
      </c>
      <c r="H37" s="57">
        <f t="shared" si="2"/>
        <v>2889.44</v>
      </c>
      <c r="I37" s="60"/>
      <c r="J37" s="208">
        <f t="shared" si="0"/>
        <v>4</v>
      </c>
      <c r="K37" s="56">
        <f t="shared" si="3"/>
        <v>361.18</v>
      </c>
      <c r="L37" s="56">
        <f t="shared" si="4"/>
        <v>1444.72</v>
      </c>
      <c r="M37" s="34"/>
      <c r="N37" s="76"/>
      <c r="O37" s="1"/>
      <c r="P37" s="33"/>
      <c r="Q37" s="58">
        <f t="shared" si="9"/>
        <v>0</v>
      </c>
      <c r="R37" s="85">
        <f t="shared" si="5"/>
        <v>361.18</v>
      </c>
      <c r="S37" s="85">
        <f t="shared" si="6"/>
        <v>1444.72</v>
      </c>
      <c r="T37" s="59">
        <f t="shared" si="7"/>
        <v>0</v>
      </c>
      <c r="U37" s="59">
        <f t="shared" si="8"/>
        <v>1</v>
      </c>
      <c r="V37" s="46"/>
      <c r="W37" s="74"/>
      <c r="X37" s="181"/>
      <c r="Y37" s="181"/>
      <c r="Z37" s="181"/>
      <c r="AA37" s="181"/>
    </row>
    <row r="38" spans="1:27" x14ac:dyDescent="0.25">
      <c r="A38" s="175"/>
      <c r="B38" s="3" t="s">
        <v>152</v>
      </c>
      <c r="C38" s="24" t="s">
        <v>132</v>
      </c>
      <c r="D38" s="270"/>
      <c r="E38" s="173">
        <v>4</v>
      </c>
      <c r="F38" s="26">
        <v>31.9</v>
      </c>
      <c r="G38" s="2">
        <f t="shared" si="1"/>
        <v>23.12</v>
      </c>
      <c r="H38" s="20">
        <f t="shared" si="2"/>
        <v>127.6</v>
      </c>
      <c r="I38" s="61"/>
      <c r="J38" s="210">
        <f t="shared" si="0"/>
        <v>4</v>
      </c>
      <c r="K38" s="2">
        <f t="shared" si="3"/>
        <v>15.95</v>
      </c>
      <c r="L38" s="2">
        <f t="shared" si="4"/>
        <v>63.8</v>
      </c>
      <c r="M38" s="21"/>
      <c r="N38" s="76"/>
      <c r="O38" s="3"/>
      <c r="P38" s="31"/>
      <c r="Q38" s="32">
        <f t="shared" si="9"/>
        <v>0</v>
      </c>
      <c r="R38" s="32">
        <f t="shared" si="5"/>
        <v>15.95</v>
      </c>
      <c r="S38" s="32">
        <f t="shared" si="6"/>
        <v>63.8</v>
      </c>
      <c r="T38" s="47">
        <f t="shared" si="7"/>
        <v>0</v>
      </c>
      <c r="U38" s="47">
        <f t="shared" si="8"/>
        <v>1</v>
      </c>
      <c r="V38" s="45"/>
      <c r="W38" s="75"/>
    </row>
    <row r="39" spans="1:27" x14ac:dyDescent="0.25">
      <c r="A39" s="175"/>
      <c r="B39" s="1" t="s">
        <v>353</v>
      </c>
      <c r="C39" s="19" t="s">
        <v>122</v>
      </c>
      <c r="D39" s="269"/>
      <c r="E39" s="174">
        <v>8</v>
      </c>
      <c r="F39" s="33">
        <v>860.3</v>
      </c>
      <c r="G39" s="62">
        <f t="shared" si="1"/>
        <v>623.41</v>
      </c>
      <c r="H39" s="63">
        <f t="shared" si="2"/>
        <v>6882.4</v>
      </c>
      <c r="I39" s="61"/>
      <c r="J39" s="211">
        <f t="shared" si="0"/>
        <v>8</v>
      </c>
      <c r="K39" s="62">
        <f t="shared" si="3"/>
        <v>430.15</v>
      </c>
      <c r="L39" s="62">
        <f t="shared" si="4"/>
        <v>3441.2</v>
      </c>
      <c r="M39" s="22"/>
      <c r="N39" s="76"/>
      <c r="O39" s="1"/>
      <c r="P39" s="33"/>
      <c r="Q39" s="58">
        <f t="shared" si="9"/>
        <v>0</v>
      </c>
      <c r="R39" s="85">
        <f t="shared" si="5"/>
        <v>430.15</v>
      </c>
      <c r="S39" s="85">
        <f t="shared" si="6"/>
        <v>3441.2</v>
      </c>
      <c r="T39" s="59">
        <f t="shared" si="7"/>
        <v>0</v>
      </c>
      <c r="U39" s="59">
        <f t="shared" si="8"/>
        <v>1</v>
      </c>
      <c r="V39" s="46"/>
      <c r="W39" s="75"/>
    </row>
    <row r="40" spans="1:27" x14ac:dyDescent="0.25">
      <c r="A40" s="175"/>
      <c r="B40" s="3" t="s">
        <v>350</v>
      </c>
      <c r="C40" s="24" t="s">
        <v>133</v>
      </c>
      <c r="D40" s="270"/>
      <c r="E40" s="173">
        <v>64</v>
      </c>
      <c r="F40" s="26">
        <v>24.13</v>
      </c>
      <c r="G40" s="2">
        <f t="shared" si="1"/>
        <v>17.489999999999998</v>
      </c>
      <c r="H40" s="20">
        <f t="shared" si="2"/>
        <v>1544.32</v>
      </c>
      <c r="I40" s="61"/>
      <c r="J40" s="210">
        <f t="shared" si="0"/>
        <v>64</v>
      </c>
      <c r="K40" s="2">
        <f t="shared" si="3"/>
        <v>12.07</v>
      </c>
      <c r="L40" s="2">
        <f t="shared" si="4"/>
        <v>772.48</v>
      </c>
      <c r="M40" s="21"/>
      <c r="N40" s="76"/>
      <c r="O40" s="3"/>
      <c r="P40" s="31"/>
      <c r="Q40" s="32">
        <f t="shared" si="9"/>
        <v>0</v>
      </c>
      <c r="R40" s="32">
        <f t="shared" si="5"/>
        <v>12.07</v>
      </c>
      <c r="S40" s="32">
        <f t="shared" si="6"/>
        <v>772.48</v>
      </c>
      <c r="T40" s="47">
        <f t="shared" si="7"/>
        <v>0</v>
      </c>
      <c r="U40" s="47">
        <f t="shared" si="8"/>
        <v>1</v>
      </c>
      <c r="V40" s="45"/>
      <c r="W40" s="75"/>
    </row>
    <row r="41" spans="1:27" x14ac:dyDescent="0.25">
      <c r="A41" s="175"/>
      <c r="B41" s="1" t="s">
        <v>348</v>
      </c>
      <c r="C41" s="19" t="s">
        <v>123</v>
      </c>
      <c r="D41" s="269"/>
      <c r="E41" s="174">
        <v>64</v>
      </c>
      <c r="F41" s="33">
        <v>6.39</v>
      </c>
      <c r="G41" s="62">
        <f t="shared" si="1"/>
        <v>4.63</v>
      </c>
      <c r="H41" s="63">
        <f t="shared" si="2"/>
        <v>408.96</v>
      </c>
      <c r="I41" s="61"/>
      <c r="J41" s="211">
        <f t="shared" si="0"/>
        <v>64</v>
      </c>
      <c r="K41" s="62">
        <f t="shared" si="3"/>
        <v>3.2</v>
      </c>
      <c r="L41" s="62">
        <f t="shared" si="4"/>
        <v>204.8</v>
      </c>
      <c r="M41" s="22"/>
      <c r="N41" s="76"/>
      <c r="O41" s="1"/>
      <c r="P41" s="33"/>
      <c r="Q41" s="58">
        <f t="shared" si="9"/>
        <v>0</v>
      </c>
      <c r="R41" s="85">
        <f t="shared" si="5"/>
        <v>3.2</v>
      </c>
      <c r="S41" s="85">
        <f t="shared" si="6"/>
        <v>204.8</v>
      </c>
      <c r="T41" s="59">
        <f t="shared" si="7"/>
        <v>0</v>
      </c>
      <c r="U41" s="59">
        <f t="shared" si="8"/>
        <v>1</v>
      </c>
      <c r="V41" s="46"/>
      <c r="W41" s="75"/>
    </row>
    <row r="42" spans="1:27" x14ac:dyDescent="0.25">
      <c r="A42" s="175"/>
      <c r="B42" s="3" t="s">
        <v>354</v>
      </c>
      <c r="C42" s="24" t="s">
        <v>349</v>
      </c>
      <c r="D42" s="270"/>
      <c r="E42" s="173">
        <v>8</v>
      </c>
      <c r="F42" s="26">
        <v>911.71</v>
      </c>
      <c r="G42" s="2">
        <f t="shared" si="1"/>
        <v>660.66</v>
      </c>
      <c r="H42" s="20">
        <f t="shared" si="2"/>
        <v>7293.68</v>
      </c>
      <c r="I42" s="61"/>
      <c r="J42" s="210">
        <f t="shared" si="0"/>
        <v>8</v>
      </c>
      <c r="K42" s="2">
        <f t="shared" si="3"/>
        <v>455.86</v>
      </c>
      <c r="L42" s="2">
        <f t="shared" si="4"/>
        <v>3646.88</v>
      </c>
      <c r="M42" s="21"/>
      <c r="N42" s="76"/>
      <c r="O42" s="3"/>
      <c r="P42" s="31"/>
      <c r="Q42" s="32">
        <f t="shared" si="9"/>
        <v>0</v>
      </c>
      <c r="R42" s="32">
        <f t="shared" si="5"/>
        <v>455.86</v>
      </c>
      <c r="S42" s="32">
        <f t="shared" si="6"/>
        <v>3646.88</v>
      </c>
      <c r="T42" s="47">
        <f t="shared" si="7"/>
        <v>0</v>
      </c>
      <c r="U42" s="47">
        <f t="shared" si="8"/>
        <v>1</v>
      </c>
      <c r="V42" s="45"/>
      <c r="W42" s="75"/>
    </row>
    <row r="43" spans="1:27" x14ac:dyDescent="0.25">
      <c r="A43" s="175"/>
      <c r="B43" s="1" t="s">
        <v>351</v>
      </c>
      <c r="C43" s="19" t="s">
        <v>352</v>
      </c>
      <c r="D43" s="269"/>
      <c r="E43" s="174">
        <v>32</v>
      </c>
      <c r="F43" s="33">
        <v>90.66</v>
      </c>
      <c r="G43" s="62">
        <f t="shared" si="1"/>
        <v>65.7</v>
      </c>
      <c r="H43" s="63">
        <f t="shared" si="2"/>
        <v>2901.12</v>
      </c>
      <c r="I43" s="61"/>
      <c r="J43" s="211">
        <f t="shared" si="0"/>
        <v>32</v>
      </c>
      <c r="K43" s="62">
        <f t="shared" si="3"/>
        <v>45.33</v>
      </c>
      <c r="L43" s="62">
        <f t="shared" si="4"/>
        <v>1450.56</v>
      </c>
      <c r="M43" s="22"/>
      <c r="N43" s="76"/>
      <c r="O43" s="1"/>
      <c r="P43" s="33"/>
      <c r="Q43" s="58">
        <f t="shared" si="9"/>
        <v>0</v>
      </c>
      <c r="R43" s="85">
        <f t="shared" si="5"/>
        <v>45.33</v>
      </c>
      <c r="S43" s="85">
        <f t="shared" si="6"/>
        <v>1450.56</v>
      </c>
      <c r="T43" s="59">
        <f t="shared" si="7"/>
        <v>0</v>
      </c>
      <c r="U43" s="59">
        <f t="shared" si="8"/>
        <v>1</v>
      </c>
      <c r="V43" s="46"/>
      <c r="W43" s="75"/>
    </row>
    <row r="44" spans="1:27" x14ac:dyDescent="0.25">
      <c r="A44" s="175"/>
      <c r="B44" s="3" t="s">
        <v>355</v>
      </c>
      <c r="C44" s="24" t="s">
        <v>356</v>
      </c>
      <c r="D44" s="270"/>
      <c r="E44" s="173">
        <v>2</v>
      </c>
      <c r="F44" s="26">
        <v>17017.28</v>
      </c>
      <c r="G44" s="2">
        <f t="shared" si="1"/>
        <v>12331.36</v>
      </c>
      <c r="H44" s="20">
        <f t="shared" si="2"/>
        <v>34034.559999999998</v>
      </c>
      <c r="I44" s="61"/>
      <c r="J44" s="210">
        <f t="shared" si="0"/>
        <v>2</v>
      </c>
      <c r="K44" s="2">
        <f t="shared" si="3"/>
        <v>8508.64</v>
      </c>
      <c r="L44" s="2">
        <f t="shared" si="4"/>
        <v>17017.28</v>
      </c>
      <c r="M44" s="21"/>
      <c r="N44" s="76"/>
      <c r="O44" s="3"/>
      <c r="P44" s="31"/>
      <c r="Q44" s="32">
        <f t="shared" si="9"/>
        <v>0</v>
      </c>
      <c r="R44" s="32">
        <f t="shared" si="5"/>
        <v>8508.64</v>
      </c>
      <c r="S44" s="32">
        <f t="shared" si="6"/>
        <v>17017.28</v>
      </c>
      <c r="T44" s="47">
        <f t="shared" si="7"/>
        <v>0</v>
      </c>
      <c r="U44" s="47">
        <f t="shared" si="8"/>
        <v>1</v>
      </c>
      <c r="V44" s="45"/>
      <c r="W44" s="75"/>
    </row>
    <row r="45" spans="1:27" x14ac:dyDescent="0.25">
      <c r="A45" s="175"/>
      <c r="B45" s="1"/>
      <c r="C45" s="19"/>
      <c r="D45" s="269"/>
      <c r="E45" s="174"/>
      <c r="F45" s="33"/>
      <c r="G45" s="62">
        <f t="shared" si="1"/>
        <v>0</v>
      </c>
      <c r="H45" s="63">
        <f t="shared" si="2"/>
        <v>0</v>
      </c>
      <c r="I45" s="61"/>
      <c r="J45" s="211">
        <f t="shared" si="0"/>
        <v>0</v>
      </c>
      <c r="K45" s="62">
        <f t="shared" si="3"/>
        <v>0</v>
      </c>
      <c r="L45" s="62">
        <f t="shared" si="4"/>
        <v>0</v>
      </c>
      <c r="M45" s="22"/>
      <c r="N45" s="76"/>
      <c r="O45" s="1"/>
      <c r="P45" s="33"/>
      <c r="Q45" s="58">
        <f t="shared" si="9"/>
        <v>0</v>
      </c>
      <c r="R45" s="85">
        <f t="shared" si="5"/>
        <v>0</v>
      </c>
      <c r="S45" s="85">
        <f t="shared" si="6"/>
        <v>0</v>
      </c>
      <c r="T45" s="59">
        <f t="shared" si="7"/>
        <v>0</v>
      </c>
      <c r="U45" s="59">
        <f t="shared" si="8"/>
        <v>0</v>
      </c>
      <c r="V45" s="46"/>
      <c r="W45" s="75"/>
    </row>
    <row r="46" spans="1:27" x14ac:dyDescent="0.25">
      <c r="A46" s="175"/>
      <c r="B46" s="3" t="s">
        <v>357</v>
      </c>
      <c r="C46" s="24" t="s">
        <v>153</v>
      </c>
      <c r="D46" s="270"/>
      <c r="E46" s="173">
        <v>1</v>
      </c>
      <c r="F46" s="26">
        <v>77155.73</v>
      </c>
      <c r="G46" s="2">
        <f t="shared" si="1"/>
        <v>55909.95</v>
      </c>
      <c r="H46" s="20">
        <f t="shared" si="2"/>
        <v>77155.73</v>
      </c>
      <c r="I46" s="61"/>
      <c r="J46" s="210">
        <f t="shared" si="0"/>
        <v>1</v>
      </c>
      <c r="K46" s="2">
        <f t="shared" si="3"/>
        <v>38577.870000000003</v>
      </c>
      <c r="L46" s="2">
        <f t="shared" si="4"/>
        <v>38577.870000000003</v>
      </c>
      <c r="M46" s="21"/>
      <c r="N46" s="76"/>
      <c r="O46" s="3"/>
      <c r="P46" s="31"/>
      <c r="Q46" s="32">
        <f t="shared" si="9"/>
        <v>0</v>
      </c>
      <c r="R46" s="32">
        <f t="shared" si="5"/>
        <v>38577.870000000003</v>
      </c>
      <c r="S46" s="32">
        <f t="shared" si="6"/>
        <v>38577.870000000003</v>
      </c>
      <c r="T46" s="47">
        <f t="shared" si="7"/>
        <v>0</v>
      </c>
      <c r="U46" s="47">
        <f t="shared" si="8"/>
        <v>1</v>
      </c>
      <c r="V46" s="45"/>
      <c r="W46" s="75"/>
    </row>
    <row r="47" spans="1:27" x14ac:dyDescent="0.25">
      <c r="A47" s="175"/>
      <c r="B47" s="1" t="s">
        <v>358</v>
      </c>
      <c r="C47" s="19" t="s">
        <v>154</v>
      </c>
      <c r="D47" s="269"/>
      <c r="E47" s="174">
        <v>2</v>
      </c>
      <c r="F47" s="33">
        <v>453.17</v>
      </c>
      <c r="G47" s="62">
        <f t="shared" si="1"/>
        <v>328.38</v>
      </c>
      <c r="H47" s="63">
        <f t="shared" si="2"/>
        <v>906.34</v>
      </c>
      <c r="I47" s="61"/>
      <c r="J47" s="211">
        <f t="shared" si="0"/>
        <v>2</v>
      </c>
      <c r="K47" s="62">
        <f t="shared" si="3"/>
        <v>226.59</v>
      </c>
      <c r="L47" s="62">
        <f t="shared" si="4"/>
        <v>453.18</v>
      </c>
      <c r="M47" s="22"/>
      <c r="N47" s="76"/>
      <c r="O47" s="1"/>
      <c r="P47" s="33"/>
      <c r="Q47" s="58">
        <f t="shared" si="9"/>
        <v>0</v>
      </c>
      <c r="R47" s="85">
        <f t="shared" si="5"/>
        <v>226.59</v>
      </c>
      <c r="S47" s="85">
        <f t="shared" si="6"/>
        <v>453.18</v>
      </c>
      <c r="T47" s="59">
        <f t="shared" si="7"/>
        <v>0</v>
      </c>
      <c r="U47" s="59">
        <f t="shared" si="8"/>
        <v>1</v>
      </c>
      <c r="V47" s="46"/>
      <c r="W47" s="75"/>
    </row>
    <row r="48" spans="1:27" x14ac:dyDescent="0.25">
      <c r="A48" s="175"/>
      <c r="B48" s="3" t="s">
        <v>359</v>
      </c>
      <c r="C48" s="24" t="s">
        <v>155</v>
      </c>
      <c r="D48" s="270"/>
      <c r="E48" s="173">
        <v>1</v>
      </c>
      <c r="F48" s="26">
        <v>446.82</v>
      </c>
      <c r="G48" s="2">
        <f t="shared" si="1"/>
        <v>323.77999999999997</v>
      </c>
      <c r="H48" s="20">
        <f t="shared" si="2"/>
        <v>446.82</v>
      </c>
      <c r="I48" s="61"/>
      <c r="J48" s="210">
        <f t="shared" si="0"/>
        <v>1</v>
      </c>
      <c r="K48" s="2">
        <f t="shared" si="3"/>
        <v>223.41</v>
      </c>
      <c r="L48" s="2">
        <f t="shared" si="4"/>
        <v>223.41</v>
      </c>
      <c r="M48" s="21"/>
      <c r="N48" s="76"/>
      <c r="O48" s="3"/>
      <c r="P48" s="31"/>
      <c r="Q48" s="32">
        <f t="shared" si="9"/>
        <v>0</v>
      </c>
      <c r="R48" s="32">
        <f t="shared" si="5"/>
        <v>223.41</v>
      </c>
      <c r="S48" s="32">
        <f t="shared" si="6"/>
        <v>223.41</v>
      </c>
      <c r="T48" s="47">
        <f t="shared" si="7"/>
        <v>0</v>
      </c>
      <c r="U48" s="47">
        <f t="shared" si="8"/>
        <v>1</v>
      </c>
      <c r="V48" s="46"/>
      <c r="W48" s="75"/>
    </row>
    <row r="49" spans="1:23" x14ac:dyDescent="0.25">
      <c r="A49" s="175"/>
      <c r="B49" s="1" t="s">
        <v>360</v>
      </c>
      <c r="C49" s="19" t="s">
        <v>156</v>
      </c>
      <c r="D49" s="269"/>
      <c r="E49" s="174">
        <v>1</v>
      </c>
      <c r="F49" s="33">
        <v>556.86</v>
      </c>
      <c r="G49" s="62">
        <f t="shared" si="1"/>
        <v>403.52</v>
      </c>
      <c r="H49" s="63">
        <f t="shared" si="2"/>
        <v>556.86</v>
      </c>
      <c r="I49" s="61"/>
      <c r="J49" s="211">
        <f t="shared" si="0"/>
        <v>1</v>
      </c>
      <c r="K49" s="62">
        <f t="shared" si="3"/>
        <v>278.43</v>
      </c>
      <c r="L49" s="62">
        <f t="shared" si="4"/>
        <v>278.43</v>
      </c>
      <c r="M49" s="22"/>
      <c r="N49" s="76"/>
      <c r="O49" s="1"/>
      <c r="P49" s="33"/>
      <c r="Q49" s="58">
        <f t="shared" si="9"/>
        <v>0</v>
      </c>
      <c r="R49" s="85">
        <f t="shared" si="5"/>
        <v>278.43</v>
      </c>
      <c r="S49" s="85">
        <f t="shared" si="6"/>
        <v>278.43</v>
      </c>
      <c r="T49" s="59">
        <f t="shared" si="7"/>
        <v>0</v>
      </c>
      <c r="U49" s="59">
        <f t="shared" si="8"/>
        <v>1</v>
      </c>
      <c r="V49" s="46"/>
      <c r="W49" s="75"/>
    </row>
    <row r="50" spans="1:23" x14ac:dyDescent="0.25">
      <c r="A50" s="175"/>
      <c r="B50" s="3" t="s">
        <v>361</v>
      </c>
      <c r="C50" s="24" t="s">
        <v>157</v>
      </c>
      <c r="D50" s="270"/>
      <c r="E50" s="173">
        <v>1</v>
      </c>
      <c r="F50" s="26">
        <v>556.86</v>
      </c>
      <c r="G50" s="2">
        <f t="shared" si="1"/>
        <v>403.52</v>
      </c>
      <c r="H50" s="20">
        <f t="shared" si="2"/>
        <v>556.86</v>
      </c>
      <c r="I50" s="61"/>
      <c r="J50" s="210">
        <f t="shared" si="0"/>
        <v>1</v>
      </c>
      <c r="K50" s="2">
        <f t="shared" si="3"/>
        <v>278.43</v>
      </c>
      <c r="L50" s="2">
        <f t="shared" si="4"/>
        <v>278.43</v>
      </c>
      <c r="M50" s="21"/>
      <c r="N50" s="76"/>
      <c r="O50" s="3"/>
      <c r="P50" s="31"/>
      <c r="Q50" s="32">
        <f t="shared" si="9"/>
        <v>0</v>
      </c>
      <c r="R50" s="32">
        <f t="shared" si="5"/>
        <v>278.43</v>
      </c>
      <c r="S50" s="32">
        <f t="shared" si="6"/>
        <v>278.43</v>
      </c>
      <c r="T50" s="47">
        <f t="shared" si="7"/>
        <v>0</v>
      </c>
      <c r="U50" s="47">
        <f t="shared" si="8"/>
        <v>1</v>
      </c>
      <c r="V50" s="46"/>
      <c r="W50" s="75"/>
    </row>
    <row r="51" spans="1:23" x14ac:dyDescent="0.25">
      <c r="A51" s="175"/>
      <c r="B51" s="1" t="s">
        <v>362</v>
      </c>
      <c r="C51" s="19" t="s">
        <v>158</v>
      </c>
      <c r="D51" s="269"/>
      <c r="E51" s="174">
        <v>32</v>
      </c>
      <c r="F51" s="33">
        <v>6.64</v>
      </c>
      <c r="G51" s="62">
        <f t="shared" si="1"/>
        <v>4.8099999999999996</v>
      </c>
      <c r="H51" s="63">
        <f t="shared" si="2"/>
        <v>212.48</v>
      </c>
      <c r="I51" s="61"/>
      <c r="J51" s="211">
        <f t="shared" si="0"/>
        <v>32</v>
      </c>
      <c r="K51" s="62">
        <f t="shared" si="3"/>
        <v>3.32</v>
      </c>
      <c r="L51" s="62">
        <f t="shared" si="4"/>
        <v>106.24</v>
      </c>
      <c r="M51" s="22"/>
      <c r="N51" s="76"/>
      <c r="O51" s="1"/>
      <c r="P51" s="33"/>
      <c r="Q51" s="58">
        <f t="shared" si="9"/>
        <v>0</v>
      </c>
      <c r="R51" s="85">
        <f t="shared" si="5"/>
        <v>3.32</v>
      </c>
      <c r="S51" s="85">
        <f t="shared" si="6"/>
        <v>106.24</v>
      </c>
      <c r="T51" s="59">
        <f t="shared" si="7"/>
        <v>0</v>
      </c>
      <c r="U51" s="59">
        <f t="shared" si="8"/>
        <v>1</v>
      </c>
      <c r="V51" s="46"/>
      <c r="W51" s="75"/>
    </row>
    <row r="52" spans="1:23" x14ac:dyDescent="0.25">
      <c r="A52" s="175"/>
      <c r="B52" s="3" t="s">
        <v>149</v>
      </c>
      <c r="C52" s="24" t="s">
        <v>159</v>
      </c>
      <c r="D52" s="270"/>
      <c r="E52" s="173">
        <v>32</v>
      </c>
      <c r="F52" s="26">
        <v>4.7699999999999996</v>
      </c>
      <c r="G52" s="2">
        <f t="shared" si="1"/>
        <v>3.46</v>
      </c>
      <c r="H52" s="20">
        <f t="shared" si="2"/>
        <v>152.63999999999999</v>
      </c>
      <c r="I52" s="61"/>
      <c r="J52" s="210">
        <f t="shared" si="0"/>
        <v>32</v>
      </c>
      <c r="K52" s="2">
        <f t="shared" si="3"/>
        <v>2.39</v>
      </c>
      <c r="L52" s="2">
        <f t="shared" si="4"/>
        <v>76.48</v>
      </c>
      <c r="M52" s="21"/>
      <c r="N52" s="76"/>
      <c r="O52" s="3"/>
      <c r="P52" s="31"/>
      <c r="Q52" s="32">
        <f t="shared" si="9"/>
        <v>0</v>
      </c>
      <c r="R52" s="32">
        <f t="shared" si="5"/>
        <v>2.39</v>
      </c>
      <c r="S52" s="32">
        <f t="shared" si="6"/>
        <v>76.48</v>
      </c>
      <c r="T52" s="47">
        <f t="shared" si="7"/>
        <v>0</v>
      </c>
      <c r="U52" s="47">
        <f t="shared" si="8"/>
        <v>1</v>
      </c>
      <c r="V52" s="46"/>
      <c r="W52" s="75"/>
    </row>
    <row r="53" spans="1:23" x14ac:dyDescent="0.25">
      <c r="A53" s="175"/>
      <c r="B53" s="1" t="s">
        <v>363</v>
      </c>
      <c r="C53" s="19" t="s">
        <v>160</v>
      </c>
      <c r="D53" s="269"/>
      <c r="E53" s="174">
        <v>32</v>
      </c>
      <c r="F53" s="33">
        <v>6.24</v>
      </c>
      <c r="G53" s="62">
        <f t="shared" si="1"/>
        <v>4.5199999999999996</v>
      </c>
      <c r="H53" s="63">
        <f t="shared" si="2"/>
        <v>199.68</v>
      </c>
      <c r="I53" s="61"/>
      <c r="J53" s="211">
        <f t="shared" si="0"/>
        <v>32</v>
      </c>
      <c r="K53" s="62">
        <f t="shared" si="3"/>
        <v>3.12</v>
      </c>
      <c r="L53" s="62">
        <f t="shared" si="4"/>
        <v>99.84</v>
      </c>
      <c r="M53" s="22"/>
      <c r="N53" s="76"/>
      <c r="O53" s="1"/>
      <c r="P53" s="33"/>
      <c r="Q53" s="58">
        <f t="shared" si="9"/>
        <v>0</v>
      </c>
      <c r="R53" s="85">
        <f t="shared" si="5"/>
        <v>3.12</v>
      </c>
      <c r="S53" s="85">
        <f t="shared" si="6"/>
        <v>99.84</v>
      </c>
      <c r="T53" s="59">
        <f t="shared" si="7"/>
        <v>0</v>
      </c>
      <c r="U53" s="59">
        <f t="shared" si="8"/>
        <v>1</v>
      </c>
      <c r="V53" s="46"/>
      <c r="W53" s="75"/>
    </row>
    <row r="54" spans="1:23" x14ac:dyDescent="0.25">
      <c r="A54" s="175"/>
      <c r="B54" s="3"/>
      <c r="C54" s="24"/>
      <c r="D54" s="270"/>
      <c r="E54" s="173"/>
      <c r="F54" s="26"/>
      <c r="G54" s="2">
        <f t="shared" si="1"/>
        <v>0</v>
      </c>
      <c r="H54" s="20">
        <f t="shared" si="2"/>
        <v>0</v>
      </c>
      <c r="I54" s="61"/>
      <c r="J54" s="210">
        <f t="shared" si="0"/>
        <v>0</v>
      </c>
      <c r="K54" s="2">
        <f t="shared" si="3"/>
        <v>0</v>
      </c>
      <c r="L54" s="2">
        <f t="shared" si="4"/>
        <v>0</v>
      </c>
      <c r="M54" s="21"/>
      <c r="N54" s="76"/>
      <c r="O54" s="3"/>
      <c r="P54" s="31"/>
      <c r="Q54" s="32">
        <f t="shared" si="9"/>
        <v>0</v>
      </c>
      <c r="R54" s="32">
        <f t="shared" si="5"/>
        <v>0</v>
      </c>
      <c r="S54" s="32">
        <f t="shared" si="6"/>
        <v>0</v>
      </c>
      <c r="T54" s="47">
        <f t="shared" si="7"/>
        <v>0</v>
      </c>
      <c r="U54" s="47">
        <f t="shared" si="8"/>
        <v>0</v>
      </c>
      <c r="V54" s="46"/>
      <c r="W54" s="75"/>
    </row>
    <row r="55" spans="1:23" x14ac:dyDescent="0.25">
      <c r="A55" s="175"/>
      <c r="B55" s="1" t="s">
        <v>367</v>
      </c>
      <c r="C55" s="19" t="s">
        <v>161</v>
      </c>
      <c r="D55" s="269"/>
      <c r="E55" s="174">
        <v>1</v>
      </c>
      <c r="F55" s="33">
        <v>6515.49</v>
      </c>
      <c r="G55" s="62">
        <f t="shared" si="1"/>
        <v>4721.37</v>
      </c>
      <c r="H55" s="63">
        <f t="shared" si="2"/>
        <v>6515.49</v>
      </c>
      <c r="I55" s="61"/>
      <c r="J55" s="211">
        <f t="shared" si="0"/>
        <v>1</v>
      </c>
      <c r="K55" s="62">
        <f t="shared" si="3"/>
        <v>3257.75</v>
      </c>
      <c r="L55" s="62">
        <f t="shared" si="4"/>
        <v>3257.75</v>
      </c>
      <c r="M55" s="22"/>
      <c r="N55" s="76"/>
      <c r="O55" s="1"/>
      <c r="P55" s="33"/>
      <c r="Q55" s="58">
        <f t="shared" si="9"/>
        <v>0</v>
      </c>
      <c r="R55" s="85">
        <f t="shared" si="5"/>
        <v>3257.75</v>
      </c>
      <c r="S55" s="85">
        <f t="shared" si="6"/>
        <v>3257.75</v>
      </c>
      <c r="T55" s="59">
        <f t="shared" si="7"/>
        <v>0</v>
      </c>
      <c r="U55" s="59">
        <f t="shared" si="8"/>
        <v>1</v>
      </c>
      <c r="V55" s="46"/>
      <c r="W55" s="75"/>
    </row>
    <row r="56" spans="1:23" x14ac:dyDescent="0.25">
      <c r="A56" s="175"/>
      <c r="B56" s="3" t="s">
        <v>162</v>
      </c>
      <c r="C56" s="24" t="s">
        <v>163</v>
      </c>
      <c r="D56" s="270"/>
      <c r="E56" s="173">
        <v>1</v>
      </c>
      <c r="F56" s="26">
        <v>460.99</v>
      </c>
      <c r="G56" s="2">
        <f t="shared" si="1"/>
        <v>334.05</v>
      </c>
      <c r="H56" s="20">
        <f t="shared" si="2"/>
        <v>460.99</v>
      </c>
      <c r="I56" s="61"/>
      <c r="J56" s="210">
        <f t="shared" si="0"/>
        <v>1</v>
      </c>
      <c r="K56" s="2">
        <f t="shared" si="3"/>
        <v>230.5</v>
      </c>
      <c r="L56" s="2">
        <f t="shared" si="4"/>
        <v>230.5</v>
      </c>
      <c r="M56" s="21"/>
      <c r="N56" s="76"/>
      <c r="O56" s="3"/>
      <c r="P56" s="31"/>
      <c r="Q56" s="32">
        <f t="shared" si="9"/>
        <v>0</v>
      </c>
      <c r="R56" s="32">
        <f t="shared" si="5"/>
        <v>230.5</v>
      </c>
      <c r="S56" s="32">
        <f t="shared" si="6"/>
        <v>230.5</v>
      </c>
      <c r="T56" s="47">
        <f t="shared" si="7"/>
        <v>0</v>
      </c>
      <c r="U56" s="47">
        <f t="shared" si="8"/>
        <v>1</v>
      </c>
      <c r="V56" s="46"/>
      <c r="W56" s="75"/>
    </row>
    <row r="57" spans="1:23" x14ac:dyDescent="0.25">
      <c r="A57" s="175"/>
      <c r="B57" s="1" t="s">
        <v>364</v>
      </c>
      <c r="C57" s="19" t="s">
        <v>200</v>
      </c>
      <c r="D57" s="269"/>
      <c r="E57" s="174">
        <v>2</v>
      </c>
      <c r="F57" s="33">
        <v>12.96</v>
      </c>
      <c r="G57" s="62">
        <f t="shared" si="1"/>
        <v>9.39</v>
      </c>
      <c r="H57" s="63">
        <f t="shared" si="2"/>
        <v>25.92</v>
      </c>
      <c r="I57" s="61"/>
      <c r="J57" s="211">
        <f t="shared" si="0"/>
        <v>2</v>
      </c>
      <c r="K57" s="62">
        <f t="shared" si="3"/>
        <v>6.48</v>
      </c>
      <c r="L57" s="62">
        <f t="shared" si="4"/>
        <v>12.96</v>
      </c>
      <c r="M57" s="22"/>
      <c r="N57" s="76"/>
      <c r="O57" s="1"/>
      <c r="P57" s="33"/>
      <c r="Q57" s="58">
        <f t="shared" si="9"/>
        <v>0</v>
      </c>
      <c r="R57" s="85">
        <f t="shared" si="5"/>
        <v>6.48</v>
      </c>
      <c r="S57" s="85">
        <f t="shared" si="6"/>
        <v>12.96</v>
      </c>
      <c r="T57" s="59">
        <f t="shared" si="7"/>
        <v>0</v>
      </c>
      <c r="U57" s="59">
        <f t="shared" si="8"/>
        <v>1</v>
      </c>
      <c r="V57" s="46"/>
      <c r="W57" s="75"/>
    </row>
    <row r="58" spans="1:23" x14ac:dyDescent="0.25">
      <c r="A58" s="175"/>
      <c r="B58" s="3" t="s">
        <v>201</v>
      </c>
      <c r="C58" s="24" t="s">
        <v>165</v>
      </c>
      <c r="D58" s="270"/>
      <c r="E58" s="173">
        <v>2</v>
      </c>
      <c r="F58" s="26">
        <v>22.39</v>
      </c>
      <c r="G58" s="2">
        <f t="shared" si="1"/>
        <v>16.22</v>
      </c>
      <c r="H58" s="20">
        <f t="shared" si="2"/>
        <v>44.78</v>
      </c>
      <c r="I58" s="61"/>
      <c r="J58" s="210">
        <f t="shared" si="0"/>
        <v>2</v>
      </c>
      <c r="K58" s="2">
        <f t="shared" si="3"/>
        <v>11.2</v>
      </c>
      <c r="L58" s="2">
        <f t="shared" si="4"/>
        <v>22.4</v>
      </c>
      <c r="M58" s="21"/>
      <c r="N58" s="76"/>
      <c r="O58" s="3"/>
      <c r="P58" s="31"/>
      <c r="Q58" s="32">
        <f t="shared" si="9"/>
        <v>0</v>
      </c>
      <c r="R58" s="32">
        <f t="shared" si="5"/>
        <v>11.2</v>
      </c>
      <c r="S58" s="32">
        <f t="shared" si="6"/>
        <v>22.4</v>
      </c>
      <c r="T58" s="47">
        <f t="shared" si="7"/>
        <v>0</v>
      </c>
      <c r="U58" s="47">
        <f t="shared" si="8"/>
        <v>1</v>
      </c>
      <c r="V58" s="46"/>
      <c r="W58" s="75"/>
    </row>
    <row r="59" spans="1:23" x14ac:dyDescent="0.25">
      <c r="A59" s="175"/>
      <c r="B59" s="1" t="s">
        <v>365</v>
      </c>
      <c r="C59" s="19" t="s">
        <v>368</v>
      </c>
      <c r="D59" s="269"/>
      <c r="E59" s="174">
        <v>2</v>
      </c>
      <c r="F59" s="33">
        <v>11.83</v>
      </c>
      <c r="G59" s="62">
        <f t="shared" si="1"/>
        <v>8.57</v>
      </c>
      <c r="H59" s="63">
        <f t="shared" si="2"/>
        <v>23.66</v>
      </c>
      <c r="I59" s="61"/>
      <c r="J59" s="211">
        <f t="shared" si="0"/>
        <v>2</v>
      </c>
      <c r="K59" s="62">
        <f t="shared" si="3"/>
        <v>5.92</v>
      </c>
      <c r="L59" s="62">
        <f t="shared" si="4"/>
        <v>11.84</v>
      </c>
      <c r="M59" s="22"/>
      <c r="N59" s="76"/>
      <c r="O59" s="1"/>
      <c r="P59" s="33"/>
      <c r="Q59" s="58">
        <f t="shared" si="9"/>
        <v>0</v>
      </c>
      <c r="R59" s="85">
        <f t="shared" si="5"/>
        <v>5.92</v>
      </c>
      <c r="S59" s="85">
        <f t="shared" si="6"/>
        <v>11.84</v>
      </c>
      <c r="T59" s="59">
        <f t="shared" si="7"/>
        <v>0</v>
      </c>
      <c r="U59" s="59">
        <f t="shared" si="8"/>
        <v>1</v>
      </c>
      <c r="V59" s="46"/>
      <c r="W59" s="75"/>
    </row>
    <row r="60" spans="1:23" x14ac:dyDescent="0.25">
      <c r="A60" s="175"/>
      <c r="B60" s="3" t="s">
        <v>366</v>
      </c>
      <c r="C60" s="24" t="s">
        <v>164</v>
      </c>
      <c r="D60" s="270"/>
      <c r="E60" s="173">
        <v>1</v>
      </c>
      <c r="F60" s="26">
        <v>188.46</v>
      </c>
      <c r="G60" s="2">
        <f t="shared" si="1"/>
        <v>136.57</v>
      </c>
      <c r="H60" s="20">
        <f t="shared" si="2"/>
        <v>188.46</v>
      </c>
      <c r="I60" s="61"/>
      <c r="J60" s="210">
        <f t="shared" si="0"/>
        <v>1</v>
      </c>
      <c r="K60" s="2">
        <f t="shared" si="3"/>
        <v>94.23</v>
      </c>
      <c r="L60" s="2">
        <f t="shared" si="4"/>
        <v>94.23</v>
      </c>
      <c r="M60" s="21"/>
      <c r="N60" s="76"/>
      <c r="O60" s="3"/>
      <c r="P60" s="31"/>
      <c r="Q60" s="32">
        <f t="shared" si="9"/>
        <v>0</v>
      </c>
      <c r="R60" s="32">
        <f t="shared" si="5"/>
        <v>94.23</v>
      </c>
      <c r="S60" s="32">
        <f t="shared" si="6"/>
        <v>94.23</v>
      </c>
      <c r="T60" s="47">
        <f t="shared" si="7"/>
        <v>0</v>
      </c>
      <c r="U60" s="47">
        <f t="shared" si="8"/>
        <v>1</v>
      </c>
      <c r="V60" s="46"/>
      <c r="W60" s="75"/>
    </row>
    <row r="61" spans="1:23" x14ac:dyDescent="0.25">
      <c r="A61" s="175"/>
      <c r="B61" s="1" t="s">
        <v>372</v>
      </c>
      <c r="C61" s="19" t="s">
        <v>371</v>
      </c>
      <c r="D61" s="269"/>
      <c r="E61" s="174">
        <v>2</v>
      </c>
      <c r="F61" s="33">
        <v>25270.36</v>
      </c>
      <c r="G61" s="62">
        <f t="shared" si="1"/>
        <v>18311.86</v>
      </c>
      <c r="H61" s="63">
        <f t="shared" si="2"/>
        <v>50540.72</v>
      </c>
      <c r="I61" s="61"/>
      <c r="J61" s="211">
        <f t="shared" si="0"/>
        <v>2</v>
      </c>
      <c r="K61" s="62">
        <f t="shared" si="3"/>
        <v>12635.18</v>
      </c>
      <c r="L61" s="62">
        <f t="shared" si="4"/>
        <v>25270.36</v>
      </c>
      <c r="M61" s="22"/>
      <c r="N61" s="76"/>
      <c r="O61" s="1"/>
      <c r="P61" s="33"/>
      <c r="Q61" s="58">
        <f t="shared" si="9"/>
        <v>0</v>
      </c>
      <c r="R61" s="85">
        <f t="shared" si="5"/>
        <v>12635.18</v>
      </c>
      <c r="S61" s="85">
        <f t="shared" si="6"/>
        <v>25270.36</v>
      </c>
      <c r="T61" s="59">
        <f t="shared" si="7"/>
        <v>0</v>
      </c>
      <c r="U61" s="59">
        <f t="shared" si="8"/>
        <v>1</v>
      </c>
      <c r="V61" s="46"/>
      <c r="W61" s="75"/>
    </row>
    <row r="62" spans="1:23" x14ac:dyDescent="0.25">
      <c r="A62" s="175"/>
      <c r="B62" s="3" t="s">
        <v>369</v>
      </c>
      <c r="C62" s="24" t="s">
        <v>370</v>
      </c>
      <c r="D62" s="270"/>
      <c r="E62" s="173">
        <v>2</v>
      </c>
      <c r="F62" s="26">
        <v>11979.51</v>
      </c>
      <c r="G62" s="2">
        <f t="shared" si="1"/>
        <v>8680.7999999999993</v>
      </c>
      <c r="H62" s="20">
        <f t="shared" si="2"/>
        <v>23959.02</v>
      </c>
      <c r="I62" s="61"/>
      <c r="J62" s="210">
        <f t="shared" si="0"/>
        <v>2</v>
      </c>
      <c r="K62" s="2">
        <f t="shared" si="3"/>
        <v>5989.76</v>
      </c>
      <c r="L62" s="2">
        <f t="shared" si="4"/>
        <v>11979.52</v>
      </c>
      <c r="M62" s="21"/>
      <c r="N62" s="76"/>
      <c r="O62" s="3"/>
      <c r="P62" s="31"/>
      <c r="Q62" s="32">
        <f t="shared" si="9"/>
        <v>0</v>
      </c>
      <c r="R62" s="32">
        <f t="shared" si="5"/>
        <v>5989.76</v>
      </c>
      <c r="S62" s="32">
        <f t="shared" si="6"/>
        <v>11979.52</v>
      </c>
      <c r="T62" s="47">
        <f t="shared" si="7"/>
        <v>0</v>
      </c>
      <c r="U62" s="47">
        <f t="shared" si="8"/>
        <v>1</v>
      </c>
      <c r="V62" s="46"/>
      <c r="W62" s="75"/>
    </row>
    <row r="63" spans="1:23" x14ac:dyDescent="0.25">
      <c r="A63" s="175"/>
      <c r="B63" s="1"/>
      <c r="C63" s="19"/>
      <c r="D63" s="269"/>
      <c r="E63" s="174"/>
      <c r="F63" s="33"/>
      <c r="G63" s="62">
        <f t="shared" si="1"/>
        <v>0</v>
      </c>
      <c r="H63" s="63">
        <f t="shared" si="2"/>
        <v>0</v>
      </c>
      <c r="I63" s="61"/>
      <c r="J63" s="211">
        <f t="shared" si="0"/>
        <v>0</v>
      </c>
      <c r="K63" s="62">
        <f t="shared" si="3"/>
        <v>0</v>
      </c>
      <c r="L63" s="62">
        <f t="shared" si="4"/>
        <v>0</v>
      </c>
      <c r="M63" s="22"/>
      <c r="N63" s="76"/>
      <c r="O63" s="1"/>
      <c r="P63" s="33"/>
      <c r="Q63" s="58">
        <f t="shared" si="9"/>
        <v>0</v>
      </c>
      <c r="R63" s="85">
        <f t="shared" si="5"/>
        <v>0</v>
      </c>
      <c r="S63" s="85">
        <f t="shared" si="6"/>
        <v>0</v>
      </c>
      <c r="T63" s="59">
        <f t="shared" si="7"/>
        <v>0</v>
      </c>
      <c r="U63" s="59">
        <f t="shared" si="8"/>
        <v>0</v>
      </c>
      <c r="V63" s="46"/>
      <c r="W63" s="75"/>
    </row>
    <row r="64" spans="1:23" x14ac:dyDescent="0.25">
      <c r="A64" s="175"/>
      <c r="B64" s="3" t="s">
        <v>125</v>
      </c>
      <c r="C64" s="24" t="s">
        <v>376</v>
      </c>
      <c r="D64" s="270"/>
      <c r="E64" s="173">
        <v>1</v>
      </c>
      <c r="F64" s="26">
        <v>16189.54</v>
      </c>
      <c r="G64" s="2">
        <f t="shared" si="1"/>
        <v>11731.55</v>
      </c>
      <c r="H64" s="20">
        <f t="shared" si="2"/>
        <v>16189.54</v>
      </c>
      <c r="I64" s="61"/>
      <c r="J64" s="210">
        <f t="shared" si="0"/>
        <v>1</v>
      </c>
      <c r="K64" s="2">
        <f t="shared" si="3"/>
        <v>8094.77</v>
      </c>
      <c r="L64" s="2">
        <f t="shared" si="4"/>
        <v>8094.77</v>
      </c>
      <c r="M64" s="21"/>
      <c r="N64" s="76"/>
      <c r="O64" s="3"/>
      <c r="P64" s="31"/>
      <c r="Q64" s="32">
        <f t="shared" si="9"/>
        <v>0</v>
      </c>
      <c r="R64" s="32">
        <f t="shared" si="5"/>
        <v>8094.77</v>
      </c>
      <c r="S64" s="32">
        <f t="shared" si="6"/>
        <v>8094.77</v>
      </c>
      <c r="T64" s="47">
        <f t="shared" si="7"/>
        <v>0</v>
      </c>
      <c r="U64" s="47">
        <f t="shared" si="8"/>
        <v>1</v>
      </c>
      <c r="V64" s="46"/>
      <c r="W64" s="75"/>
    </row>
    <row r="65" spans="1:23" x14ac:dyDescent="0.25">
      <c r="A65" s="175"/>
      <c r="B65" s="1" t="s">
        <v>373</v>
      </c>
      <c r="C65" s="19" t="s">
        <v>166</v>
      </c>
      <c r="D65" s="269"/>
      <c r="E65" s="174">
        <v>1</v>
      </c>
      <c r="F65" s="33">
        <v>6963.59</v>
      </c>
      <c r="G65" s="62">
        <f t="shared" si="1"/>
        <v>5046.08</v>
      </c>
      <c r="H65" s="63">
        <f t="shared" si="2"/>
        <v>6963.59</v>
      </c>
      <c r="I65" s="61"/>
      <c r="J65" s="211">
        <f t="shared" si="0"/>
        <v>1</v>
      </c>
      <c r="K65" s="62">
        <f t="shared" si="3"/>
        <v>3481.8</v>
      </c>
      <c r="L65" s="62">
        <f t="shared" si="4"/>
        <v>3481.8</v>
      </c>
      <c r="M65" s="22"/>
      <c r="N65" s="76"/>
      <c r="O65" s="1"/>
      <c r="P65" s="33"/>
      <c r="Q65" s="58">
        <f t="shared" si="9"/>
        <v>0</v>
      </c>
      <c r="R65" s="85">
        <f t="shared" si="5"/>
        <v>3481.8</v>
      </c>
      <c r="S65" s="85">
        <f t="shared" si="6"/>
        <v>3481.8</v>
      </c>
      <c r="T65" s="59">
        <f t="shared" si="7"/>
        <v>0</v>
      </c>
      <c r="U65" s="59">
        <f t="shared" si="8"/>
        <v>1</v>
      </c>
      <c r="V65" s="46"/>
      <c r="W65" s="75"/>
    </row>
    <row r="66" spans="1:23" x14ac:dyDescent="0.25">
      <c r="A66" s="175"/>
      <c r="B66" s="3" t="s">
        <v>374</v>
      </c>
      <c r="C66" s="24" t="s">
        <v>167</v>
      </c>
      <c r="D66" s="270"/>
      <c r="E66" s="173">
        <v>1</v>
      </c>
      <c r="F66" s="26">
        <v>20827.759999999998</v>
      </c>
      <c r="G66" s="2">
        <f t="shared" si="1"/>
        <v>15092.58</v>
      </c>
      <c r="H66" s="20">
        <f t="shared" si="2"/>
        <v>20827.759999999998</v>
      </c>
      <c r="I66" s="61"/>
      <c r="J66" s="210">
        <f t="shared" si="0"/>
        <v>1</v>
      </c>
      <c r="K66" s="2">
        <f t="shared" si="3"/>
        <v>10413.879999999999</v>
      </c>
      <c r="L66" s="2">
        <f t="shared" si="4"/>
        <v>10413.879999999999</v>
      </c>
      <c r="M66" s="21"/>
      <c r="N66" s="76"/>
      <c r="O66" s="3"/>
      <c r="P66" s="31"/>
      <c r="Q66" s="32">
        <f t="shared" si="9"/>
        <v>0</v>
      </c>
      <c r="R66" s="32">
        <f t="shared" si="5"/>
        <v>10413.879999999999</v>
      </c>
      <c r="S66" s="32">
        <f t="shared" si="6"/>
        <v>10413.879999999999</v>
      </c>
      <c r="T66" s="47">
        <f t="shared" si="7"/>
        <v>0</v>
      </c>
      <c r="U66" s="47">
        <f t="shared" si="8"/>
        <v>1</v>
      </c>
      <c r="V66" s="46"/>
      <c r="W66" s="75"/>
    </row>
    <row r="67" spans="1:23" x14ac:dyDescent="0.25">
      <c r="A67" s="175"/>
      <c r="B67" s="1" t="s">
        <v>375</v>
      </c>
      <c r="C67" s="19" t="s">
        <v>168</v>
      </c>
      <c r="D67" s="269"/>
      <c r="E67" s="174">
        <v>1</v>
      </c>
      <c r="F67" s="33">
        <v>13749.8</v>
      </c>
      <c r="G67" s="62">
        <f t="shared" si="1"/>
        <v>9963.6200000000008</v>
      </c>
      <c r="H67" s="63">
        <f t="shared" si="2"/>
        <v>13749.8</v>
      </c>
      <c r="I67" s="61"/>
      <c r="J67" s="211">
        <f t="shared" si="0"/>
        <v>1</v>
      </c>
      <c r="K67" s="62">
        <f t="shared" si="3"/>
        <v>6874.9</v>
      </c>
      <c r="L67" s="62">
        <f t="shared" si="4"/>
        <v>6874.9</v>
      </c>
      <c r="M67" s="22"/>
      <c r="N67" s="76"/>
      <c r="O67" s="1"/>
      <c r="P67" s="33"/>
      <c r="Q67" s="58">
        <f t="shared" si="9"/>
        <v>0</v>
      </c>
      <c r="R67" s="85">
        <f t="shared" si="5"/>
        <v>6874.9</v>
      </c>
      <c r="S67" s="85">
        <f t="shared" si="6"/>
        <v>6874.9</v>
      </c>
      <c r="T67" s="59">
        <f t="shared" si="7"/>
        <v>0</v>
      </c>
      <c r="U67" s="59">
        <f t="shared" si="8"/>
        <v>1</v>
      </c>
      <c r="V67" s="46"/>
      <c r="W67" s="75"/>
    </row>
    <row r="68" spans="1:23" x14ac:dyDescent="0.25">
      <c r="A68" s="175"/>
      <c r="B68" s="3"/>
      <c r="C68" s="24"/>
      <c r="D68" s="270"/>
      <c r="E68" s="173"/>
      <c r="F68" s="26"/>
      <c r="G68" s="2">
        <f t="shared" si="1"/>
        <v>0</v>
      </c>
      <c r="H68" s="20">
        <f t="shared" si="2"/>
        <v>0</v>
      </c>
      <c r="I68" s="61"/>
      <c r="J68" s="210">
        <f t="shared" si="0"/>
        <v>0</v>
      </c>
      <c r="K68" s="2">
        <f t="shared" si="3"/>
        <v>0</v>
      </c>
      <c r="L68" s="2">
        <f t="shared" si="4"/>
        <v>0</v>
      </c>
      <c r="M68" s="21"/>
      <c r="N68" s="76"/>
      <c r="O68" s="3"/>
      <c r="P68" s="31"/>
      <c r="Q68" s="32">
        <f t="shared" si="9"/>
        <v>0</v>
      </c>
      <c r="R68" s="32">
        <f t="shared" si="5"/>
        <v>0</v>
      </c>
      <c r="S68" s="32">
        <f t="shared" si="6"/>
        <v>0</v>
      </c>
      <c r="T68" s="47">
        <f t="shared" si="7"/>
        <v>0</v>
      </c>
      <c r="U68" s="47">
        <f t="shared" si="8"/>
        <v>0</v>
      </c>
      <c r="V68" s="46"/>
      <c r="W68" s="75"/>
    </row>
    <row r="69" spans="1:23" x14ac:dyDescent="0.25">
      <c r="A69" s="175"/>
      <c r="B69" s="1" t="s">
        <v>169</v>
      </c>
      <c r="C69" s="19" t="s">
        <v>170</v>
      </c>
      <c r="D69" s="269"/>
      <c r="E69" s="174">
        <v>1</v>
      </c>
      <c r="F69" s="33">
        <v>2482.65</v>
      </c>
      <c r="G69" s="62">
        <f t="shared" si="1"/>
        <v>1799.02</v>
      </c>
      <c r="H69" s="63">
        <f t="shared" si="2"/>
        <v>2482.65</v>
      </c>
      <c r="I69" s="61"/>
      <c r="J69" s="211">
        <f t="shared" si="0"/>
        <v>1</v>
      </c>
      <c r="K69" s="62">
        <f t="shared" si="3"/>
        <v>1241.33</v>
      </c>
      <c r="L69" s="62">
        <f t="shared" si="4"/>
        <v>1241.33</v>
      </c>
      <c r="M69" s="22"/>
      <c r="N69" s="76"/>
      <c r="O69" s="1"/>
      <c r="P69" s="33"/>
      <c r="Q69" s="58">
        <f t="shared" si="9"/>
        <v>0</v>
      </c>
      <c r="R69" s="85">
        <f t="shared" si="5"/>
        <v>1241.33</v>
      </c>
      <c r="S69" s="85">
        <f t="shared" si="6"/>
        <v>1241.33</v>
      </c>
      <c r="T69" s="59">
        <f t="shared" si="7"/>
        <v>0</v>
      </c>
      <c r="U69" s="59">
        <f t="shared" si="8"/>
        <v>1</v>
      </c>
      <c r="V69" s="46"/>
      <c r="W69" s="75"/>
    </row>
    <row r="70" spans="1:23" x14ac:dyDescent="0.25">
      <c r="A70" s="175"/>
      <c r="B70" s="3" t="s">
        <v>171</v>
      </c>
      <c r="C70" s="24" t="s">
        <v>172</v>
      </c>
      <c r="D70" s="270"/>
      <c r="E70" s="173">
        <v>1</v>
      </c>
      <c r="F70" s="26">
        <v>3364.13</v>
      </c>
      <c r="G70" s="2">
        <f t="shared" si="1"/>
        <v>2437.7800000000002</v>
      </c>
      <c r="H70" s="20">
        <f t="shared" si="2"/>
        <v>3364.13</v>
      </c>
      <c r="I70" s="61"/>
      <c r="J70" s="210">
        <f t="shared" si="0"/>
        <v>1</v>
      </c>
      <c r="K70" s="2">
        <f t="shared" si="3"/>
        <v>1682.07</v>
      </c>
      <c r="L70" s="2">
        <f t="shared" si="4"/>
        <v>1682.07</v>
      </c>
      <c r="M70" s="21"/>
      <c r="N70" s="76"/>
      <c r="O70" s="3"/>
      <c r="P70" s="31"/>
      <c r="Q70" s="32">
        <f t="shared" si="9"/>
        <v>0</v>
      </c>
      <c r="R70" s="32">
        <f t="shared" si="5"/>
        <v>1682.07</v>
      </c>
      <c r="S70" s="32">
        <f t="shared" si="6"/>
        <v>1682.07</v>
      </c>
      <c r="T70" s="47">
        <f t="shared" si="7"/>
        <v>0</v>
      </c>
      <c r="U70" s="47">
        <f t="shared" si="8"/>
        <v>1</v>
      </c>
      <c r="V70" s="46"/>
      <c r="W70" s="75"/>
    </row>
    <row r="71" spans="1:23" x14ac:dyDescent="0.25">
      <c r="A71" s="175"/>
      <c r="B71" s="1"/>
      <c r="C71" s="19"/>
      <c r="D71" s="269"/>
      <c r="E71" s="174"/>
      <c r="F71" s="33"/>
      <c r="G71" s="62">
        <f t="shared" si="1"/>
        <v>0</v>
      </c>
      <c r="H71" s="63">
        <f t="shared" si="2"/>
        <v>0</v>
      </c>
      <c r="I71" s="61"/>
      <c r="J71" s="211">
        <f t="shared" si="0"/>
        <v>0</v>
      </c>
      <c r="K71" s="62">
        <f t="shared" si="3"/>
        <v>0</v>
      </c>
      <c r="L71" s="62">
        <f t="shared" si="4"/>
        <v>0</v>
      </c>
      <c r="M71" s="22"/>
      <c r="N71" s="76"/>
      <c r="O71" s="1"/>
      <c r="P71" s="33"/>
      <c r="Q71" s="58">
        <f t="shared" si="9"/>
        <v>0</v>
      </c>
      <c r="R71" s="85">
        <f t="shared" si="5"/>
        <v>0</v>
      </c>
      <c r="S71" s="85">
        <f t="shared" si="6"/>
        <v>0</v>
      </c>
      <c r="T71" s="59">
        <f t="shared" si="7"/>
        <v>0</v>
      </c>
      <c r="U71" s="59">
        <f t="shared" si="8"/>
        <v>0</v>
      </c>
      <c r="V71" s="46"/>
      <c r="W71" s="75"/>
    </row>
    <row r="72" spans="1:23" x14ac:dyDescent="0.25">
      <c r="A72" s="175"/>
      <c r="B72" s="3"/>
      <c r="C72" s="24"/>
      <c r="D72" s="270"/>
      <c r="E72" s="173"/>
      <c r="F72" s="26"/>
      <c r="G72" s="2">
        <f t="shared" si="1"/>
        <v>0</v>
      </c>
      <c r="H72" s="20">
        <f t="shared" si="2"/>
        <v>0</v>
      </c>
      <c r="I72" s="61"/>
      <c r="J72" s="210">
        <f t="shared" si="0"/>
        <v>0</v>
      </c>
      <c r="K72" s="2">
        <f t="shared" si="3"/>
        <v>0</v>
      </c>
      <c r="L72" s="2">
        <f t="shared" si="4"/>
        <v>0</v>
      </c>
      <c r="M72" s="21"/>
      <c r="N72" s="76"/>
      <c r="O72" s="3"/>
      <c r="P72" s="31"/>
      <c r="Q72" s="32">
        <f t="shared" si="9"/>
        <v>0</v>
      </c>
      <c r="R72" s="32">
        <f t="shared" si="5"/>
        <v>0</v>
      </c>
      <c r="S72" s="32">
        <f t="shared" si="6"/>
        <v>0</v>
      </c>
      <c r="T72" s="47">
        <f t="shared" si="7"/>
        <v>0</v>
      </c>
      <c r="U72" s="47">
        <f t="shared" si="8"/>
        <v>0</v>
      </c>
      <c r="V72" s="46"/>
      <c r="W72" s="75"/>
    </row>
    <row r="73" spans="1:23" x14ac:dyDescent="0.25">
      <c r="A73" s="175"/>
      <c r="B73" s="1"/>
      <c r="C73" s="19"/>
      <c r="D73" s="269"/>
      <c r="E73" s="174"/>
      <c r="F73" s="33"/>
      <c r="G73" s="62">
        <f t="shared" si="1"/>
        <v>0</v>
      </c>
      <c r="H73" s="63">
        <f t="shared" si="2"/>
        <v>0</v>
      </c>
      <c r="I73" s="61"/>
      <c r="J73" s="211">
        <f t="shared" si="0"/>
        <v>0</v>
      </c>
      <c r="K73" s="62">
        <f t="shared" si="3"/>
        <v>0</v>
      </c>
      <c r="L73" s="62">
        <f t="shared" si="4"/>
        <v>0</v>
      </c>
      <c r="M73" s="22"/>
      <c r="N73" s="76"/>
      <c r="O73" s="1"/>
      <c r="P73" s="33"/>
      <c r="Q73" s="58">
        <f t="shared" si="9"/>
        <v>0</v>
      </c>
      <c r="R73" s="85">
        <f t="shared" si="5"/>
        <v>0</v>
      </c>
      <c r="S73" s="85">
        <f t="shared" si="6"/>
        <v>0</v>
      </c>
      <c r="T73" s="59">
        <f t="shared" si="7"/>
        <v>0</v>
      </c>
      <c r="U73" s="59">
        <f t="shared" si="8"/>
        <v>0</v>
      </c>
      <c r="V73" s="46"/>
      <c r="W73" s="75"/>
    </row>
    <row r="74" spans="1:23" x14ac:dyDescent="0.25">
      <c r="A74" s="175"/>
      <c r="B74" s="3"/>
      <c r="C74" s="24"/>
      <c r="D74" s="270"/>
      <c r="E74" s="173"/>
      <c r="F74" s="26"/>
      <c r="G74" s="2">
        <f t="shared" si="1"/>
        <v>0</v>
      </c>
      <c r="H74" s="20">
        <f t="shared" si="2"/>
        <v>0</v>
      </c>
      <c r="I74" s="61"/>
      <c r="J74" s="210">
        <f t="shared" si="0"/>
        <v>0</v>
      </c>
      <c r="K74" s="2">
        <f t="shared" si="3"/>
        <v>0</v>
      </c>
      <c r="L74" s="2">
        <f t="shared" si="4"/>
        <v>0</v>
      </c>
      <c r="M74" s="21"/>
      <c r="N74" s="76"/>
      <c r="O74" s="3"/>
      <c r="P74" s="31"/>
      <c r="Q74" s="32">
        <f t="shared" si="9"/>
        <v>0</v>
      </c>
      <c r="R74" s="32">
        <f t="shared" si="5"/>
        <v>0</v>
      </c>
      <c r="S74" s="32">
        <f t="shared" si="6"/>
        <v>0</v>
      </c>
      <c r="T74" s="47">
        <f t="shared" si="7"/>
        <v>0</v>
      </c>
      <c r="U74" s="47">
        <f t="shared" si="8"/>
        <v>0</v>
      </c>
      <c r="V74" s="46"/>
      <c r="W74" s="75"/>
    </row>
    <row r="75" spans="1:23" x14ac:dyDescent="0.25">
      <c r="A75" s="175"/>
      <c r="B75" s="1"/>
      <c r="C75" s="19"/>
      <c r="D75" s="269"/>
      <c r="E75" s="174"/>
      <c r="F75" s="33"/>
      <c r="G75" s="62">
        <f t="shared" si="1"/>
        <v>0</v>
      </c>
      <c r="H75" s="63">
        <f t="shared" si="2"/>
        <v>0</v>
      </c>
      <c r="I75" s="61"/>
      <c r="J75" s="211">
        <f t="shared" si="0"/>
        <v>0</v>
      </c>
      <c r="K75" s="62">
        <f t="shared" si="3"/>
        <v>0</v>
      </c>
      <c r="L75" s="62">
        <f t="shared" si="4"/>
        <v>0</v>
      </c>
      <c r="M75" s="22"/>
      <c r="N75" s="76"/>
      <c r="O75" s="1"/>
      <c r="P75" s="33"/>
      <c r="Q75" s="58">
        <f t="shared" si="9"/>
        <v>0</v>
      </c>
      <c r="R75" s="85">
        <f t="shared" si="5"/>
        <v>0</v>
      </c>
      <c r="S75" s="85">
        <f t="shared" si="6"/>
        <v>0</v>
      </c>
      <c r="T75" s="59">
        <f t="shared" si="7"/>
        <v>0</v>
      </c>
      <c r="U75" s="59">
        <f t="shared" si="8"/>
        <v>0</v>
      </c>
      <c r="V75" s="46"/>
      <c r="W75" s="75"/>
    </row>
    <row r="76" spans="1:23" x14ac:dyDescent="0.25">
      <c r="A76" s="175"/>
      <c r="B76" s="3"/>
      <c r="C76" s="24"/>
      <c r="D76" s="270"/>
      <c r="E76" s="173"/>
      <c r="F76" s="26"/>
      <c r="G76" s="2">
        <f t="shared" si="1"/>
        <v>0</v>
      </c>
      <c r="H76" s="20">
        <f t="shared" si="2"/>
        <v>0</v>
      </c>
      <c r="I76" s="61"/>
      <c r="J76" s="210">
        <f t="shared" si="0"/>
        <v>0</v>
      </c>
      <c r="K76" s="2">
        <f t="shared" si="3"/>
        <v>0</v>
      </c>
      <c r="L76" s="2">
        <f t="shared" si="4"/>
        <v>0</v>
      </c>
      <c r="M76" s="21"/>
      <c r="N76" s="76"/>
      <c r="O76" s="3"/>
      <c r="P76" s="31"/>
      <c r="Q76" s="32">
        <f t="shared" si="9"/>
        <v>0</v>
      </c>
      <c r="R76" s="32">
        <f t="shared" si="5"/>
        <v>0</v>
      </c>
      <c r="S76" s="32">
        <f t="shared" si="6"/>
        <v>0</v>
      </c>
      <c r="T76" s="47">
        <f t="shared" si="7"/>
        <v>0</v>
      </c>
      <c r="U76" s="47">
        <f t="shared" si="8"/>
        <v>0</v>
      </c>
      <c r="V76" s="46"/>
      <c r="W76" s="75"/>
    </row>
    <row r="77" spans="1:23" x14ac:dyDescent="0.25">
      <c r="A77" s="175"/>
      <c r="B77" s="1"/>
      <c r="C77" s="19"/>
      <c r="D77" s="269"/>
      <c r="E77" s="174"/>
      <c r="F77" s="33"/>
      <c r="G77" s="62">
        <f t="shared" si="1"/>
        <v>0</v>
      </c>
      <c r="H77" s="63">
        <f t="shared" si="2"/>
        <v>0</v>
      </c>
      <c r="I77" s="61"/>
      <c r="J77" s="211">
        <f t="shared" si="0"/>
        <v>0</v>
      </c>
      <c r="K77" s="62">
        <f t="shared" si="3"/>
        <v>0</v>
      </c>
      <c r="L77" s="62">
        <f t="shared" si="4"/>
        <v>0</v>
      </c>
      <c r="M77" s="22"/>
      <c r="N77" s="76"/>
      <c r="O77" s="1"/>
      <c r="P77" s="33"/>
      <c r="Q77" s="58">
        <f t="shared" si="9"/>
        <v>0</v>
      </c>
      <c r="R77" s="85">
        <f t="shared" si="5"/>
        <v>0</v>
      </c>
      <c r="S77" s="85">
        <f t="shared" si="6"/>
        <v>0</v>
      </c>
      <c r="T77" s="59">
        <f t="shared" si="7"/>
        <v>0</v>
      </c>
      <c r="U77" s="59">
        <f t="shared" si="8"/>
        <v>0</v>
      </c>
      <c r="V77" s="46"/>
      <c r="W77" s="75"/>
    </row>
    <row r="78" spans="1:23" x14ac:dyDescent="0.25">
      <c r="A78" s="175"/>
      <c r="B78" s="3"/>
      <c r="C78" s="24"/>
      <c r="D78" s="270"/>
      <c r="E78" s="173"/>
      <c r="F78" s="26"/>
      <c r="G78" s="2">
        <f t="shared" si="1"/>
        <v>0</v>
      </c>
      <c r="H78" s="20">
        <f t="shared" si="2"/>
        <v>0</v>
      </c>
      <c r="I78" s="61"/>
      <c r="J78" s="210">
        <f t="shared" si="0"/>
        <v>0</v>
      </c>
      <c r="K78" s="2">
        <f t="shared" si="3"/>
        <v>0</v>
      </c>
      <c r="L78" s="2">
        <f t="shared" si="4"/>
        <v>0</v>
      </c>
      <c r="M78" s="21"/>
      <c r="N78" s="76"/>
      <c r="O78" s="3"/>
      <c r="P78" s="31"/>
      <c r="Q78" s="32">
        <f t="shared" si="9"/>
        <v>0</v>
      </c>
      <c r="R78" s="32">
        <f t="shared" si="5"/>
        <v>0</v>
      </c>
      <c r="S78" s="32">
        <f t="shared" si="6"/>
        <v>0</v>
      </c>
      <c r="T78" s="47">
        <f t="shared" si="7"/>
        <v>0</v>
      </c>
      <c r="U78" s="47">
        <f t="shared" si="8"/>
        <v>0</v>
      </c>
      <c r="V78" s="46"/>
      <c r="W78" s="75"/>
    </row>
    <row r="79" spans="1:23" x14ac:dyDescent="0.25">
      <c r="A79" s="175"/>
      <c r="B79" s="1"/>
      <c r="C79" s="19"/>
      <c r="D79" s="269"/>
      <c r="E79" s="174"/>
      <c r="F79" s="33"/>
      <c r="G79" s="62">
        <f t="shared" si="1"/>
        <v>0</v>
      </c>
      <c r="H79" s="63">
        <f t="shared" si="2"/>
        <v>0</v>
      </c>
      <c r="I79" s="61"/>
      <c r="J79" s="211">
        <f t="shared" si="0"/>
        <v>0</v>
      </c>
      <c r="K79" s="62">
        <f t="shared" si="3"/>
        <v>0</v>
      </c>
      <c r="L79" s="62">
        <f t="shared" si="4"/>
        <v>0</v>
      </c>
      <c r="M79" s="22"/>
      <c r="N79" s="76"/>
      <c r="O79" s="1"/>
      <c r="P79" s="33"/>
      <c r="Q79" s="58">
        <f t="shared" si="9"/>
        <v>0</v>
      </c>
      <c r="R79" s="85">
        <f t="shared" si="5"/>
        <v>0</v>
      </c>
      <c r="S79" s="85">
        <f t="shared" si="6"/>
        <v>0</v>
      </c>
      <c r="T79" s="59">
        <f t="shared" si="7"/>
        <v>0</v>
      </c>
      <c r="U79" s="59">
        <f t="shared" si="8"/>
        <v>0</v>
      </c>
      <c r="V79" s="46"/>
      <c r="W79" s="75"/>
    </row>
    <row r="80" spans="1:23" x14ac:dyDescent="0.25">
      <c r="A80" s="175"/>
      <c r="B80" s="3"/>
      <c r="C80" s="24"/>
      <c r="D80" s="270"/>
      <c r="E80" s="173"/>
      <c r="F80" s="26"/>
      <c r="G80" s="2">
        <f t="shared" si="1"/>
        <v>0</v>
      </c>
      <c r="H80" s="20">
        <f t="shared" si="2"/>
        <v>0</v>
      </c>
      <c r="I80" s="61"/>
      <c r="J80" s="210">
        <f t="shared" si="0"/>
        <v>0</v>
      </c>
      <c r="K80" s="2">
        <f t="shared" si="3"/>
        <v>0</v>
      </c>
      <c r="L80" s="2">
        <f t="shared" si="4"/>
        <v>0</v>
      </c>
      <c r="M80" s="21"/>
      <c r="N80" s="76"/>
      <c r="O80" s="3"/>
      <c r="P80" s="31"/>
      <c r="Q80" s="32">
        <f t="shared" si="9"/>
        <v>0</v>
      </c>
      <c r="R80" s="32">
        <f t="shared" si="5"/>
        <v>0</v>
      </c>
      <c r="S80" s="32">
        <f t="shared" si="6"/>
        <v>0</v>
      </c>
      <c r="T80" s="47">
        <f t="shared" si="7"/>
        <v>0</v>
      </c>
      <c r="U80" s="47">
        <f t="shared" si="8"/>
        <v>0</v>
      </c>
      <c r="V80" s="46"/>
      <c r="W80" s="75"/>
    </row>
    <row r="81" spans="1:23" x14ac:dyDescent="0.25">
      <c r="A81" s="175"/>
      <c r="B81" s="1"/>
      <c r="C81" s="19"/>
      <c r="D81" s="269"/>
      <c r="E81" s="174"/>
      <c r="F81" s="33"/>
      <c r="G81" s="62">
        <f t="shared" si="1"/>
        <v>0</v>
      </c>
      <c r="H81" s="63">
        <f t="shared" si="2"/>
        <v>0</v>
      </c>
      <c r="I81" s="61"/>
      <c r="J81" s="211">
        <f t="shared" si="0"/>
        <v>0</v>
      </c>
      <c r="K81" s="62">
        <f t="shared" si="3"/>
        <v>0</v>
      </c>
      <c r="L81" s="62">
        <f t="shared" si="4"/>
        <v>0</v>
      </c>
      <c r="M81" s="22"/>
      <c r="N81" s="76"/>
      <c r="O81" s="1"/>
      <c r="P81" s="33"/>
      <c r="Q81" s="58">
        <f t="shared" si="9"/>
        <v>0</v>
      </c>
      <c r="R81" s="85">
        <f t="shared" si="5"/>
        <v>0</v>
      </c>
      <c r="S81" s="85">
        <f t="shared" si="6"/>
        <v>0</v>
      </c>
      <c r="T81" s="59">
        <f t="shared" si="7"/>
        <v>0</v>
      </c>
      <c r="U81" s="59">
        <f t="shared" si="8"/>
        <v>0</v>
      </c>
      <c r="V81" s="46"/>
      <c r="W81" s="75"/>
    </row>
    <row r="82" spans="1:23" x14ac:dyDescent="0.25">
      <c r="A82" s="175"/>
      <c r="B82" s="3"/>
      <c r="C82" s="24"/>
      <c r="D82" s="270"/>
      <c r="E82" s="173"/>
      <c r="F82" s="26"/>
      <c r="G82" s="2">
        <f t="shared" si="1"/>
        <v>0</v>
      </c>
      <c r="H82" s="20">
        <f t="shared" si="2"/>
        <v>0</v>
      </c>
      <c r="I82" s="61"/>
      <c r="J82" s="210">
        <f t="shared" ref="J82:J128" si="10">E82</f>
        <v>0</v>
      </c>
      <c r="K82" s="2">
        <f t="shared" si="3"/>
        <v>0</v>
      </c>
      <c r="L82" s="2">
        <f t="shared" si="4"/>
        <v>0</v>
      </c>
      <c r="M82" s="21"/>
      <c r="N82" s="76"/>
      <c r="O82" s="3"/>
      <c r="P82" s="31"/>
      <c r="Q82" s="32">
        <f t="shared" si="9"/>
        <v>0</v>
      </c>
      <c r="R82" s="32">
        <f t="shared" si="5"/>
        <v>0</v>
      </c>
      <c r="S82" s="32">
        <f t="shared" si="6"/>
        <v>0</v>
      </c>
      <c r="T82" s="47">
        <f t="shared" si="7"/>
        <v>0</v>
      </c>
      <c r="U82" s="47">
        <f t="shared" si="8"/>
        <v>0</v>
      </c>
      <c r="V82" s="46"/>
      <c r="W82" s="75"/>
    </row>
    <row r="83" spans="1:23" x14ac:dyDescent="0.25">
      <c r="A83" s="175"/>
      <c r="B83" s="1"/>
      <c r="C83" s="19"/>
      <c r="D83" s="269"/>
      <c r="E83" s="174"/>
      <c r="F83" s="33"/>
      <c r="G83" s="62">
        <f t="shared" ref="G83:G128" si="11">ROUND(IF($F$17="USD $", F83*$E$15,F83*$D$15),2)</f>
        <v>0</v>
      </c>
      <c r="H83" s="63">
        <f t="shared" ref="H83:H128" si="12">ROUND(IF($H$17=$G$17,E83*G83,E83*F83),2)</f>
        <v>0</v>
      </c>
      <c r="I83" s="61"/>
      <c r="J83" s="211">
        <f t="shared" si="10"/>
        <v>0</v>
      </c>
      <c r="K83" s="62">
        <f t="shared" ref="K83:K128" si="13">ROUND(IF($K$17=$F$17,F83*($L$14-M83),G83*($L$14-M83)),2)</f>
        <v>0</v>
      </c>
      <c r="L83" s="62">
        <f t="shared" ref="L83:L128" si="14">ROUND((J83*K83),2)</f>
        <v>0</v>
      </c>
      <c r="M83" s="22"/>
      <c r="N83" s="76"/>
      <c r="O83" s="1"/>
      <c r="P83" s="33"/>
      <c r="Q83" s="58">
        <f t="shared" si="9"/>
        <v>0</v>
      </c>
      <c r="R83" s="85">
        <f t="shared" ref="R83:R128" si="15">IFERROR(ROUND(S83/E83,2),0)</f>
        <v>0</v>
      </c>
      <c r="S83" s="85">
        <f t="shared" ref="S83:S128" si="16">ROUND(L83-Q83,2)</f>
        <v>0</v>
      </c>
      <c r="T83" s="59">
        <f t="shared" ref="T83:T128" si="17">IFERROR(((K83-(Q83/J83))/(Q83/J83)),0)</f>
        <v>0</v>
      </c>
      <c r="U83" s="59">
        <f t="shared" ref="U83:U128" si="18">IFERROR(((K83-(Q83/J83))/K83),0)</f>
        <v>0</v>
      </c>
      <c r="V83" s="46"/>
      <c r="W83" s="75"/>
    </row>
    <row r="84" spans="1:23" x14ac:dyDescent="0.25">
      <c r="A84" s="175"/>
      <c r="B84" s="3"/>
      <c r="C84" s="24"/>
      <c r="D84" s="270"/>
      <c r="E84" s="173"/>
      <c r="F84" s="26"/>
      <c r="G84" s="2">
        <f t="shared" si="11"/>
        <v>0</v>
      </c>
      <c r="H84" s="20">
        <f t="shared" si="12"/>
        <v>0</v>
      </c>
      <c r="I84" s="61"/>
      <c r="J84" s="210">
        <f t="shared" si="10"/>
        <v>0</v>
      </c>
      <c r="K84" s="2">
        <f t="shared" si="13"/>
        <v>0</v>
      </c>
      <c r="L84" s="2">
        <f t="shared" si="14"/>
        <v>0</v>
      </c>
      <c r="M84" s="21"/>
      <c r="N84" s="76"/>
      <c r="O84" s="3"/>
      <c r="P84" s="31"/>
      <c r="Q84" s="32">
        <f t="shared" ref="Q84:Q128" si="19">ROUND(IF($Q$17=$P$17,P84,IF($Q$17="USD $",P84*$D$15,P84*$E$15))*E84,2)</f>
        <v>0</v>
      </c>
      <c r="R84" s="32">
        <f t="shared" si="15"/>
        <v>0</v>
      </c>
      <c r="S84" s="32">
        <f t="shared" si="16"/>
        <v>0</v>
      </c>
      <c r="T84" s="47">
        <f t="shared" si="17"/>
        <v>0</v>
      </c>
      <c r="U84" s="47">
        <f t="shared" si="18"/>
        <v>0</v>
      </c>
      <c r="V84" s="46"/>
      <c r="W84" s="75"/>
    </row>
    <row r="85" spans="1:23" x14ac:dyDescent="0.25">
      <c r="A85" s="175"/>
      <c r="B85" s="1"/>
      <c r="C85" s="19"/>
      <c r="D85" s="269"/>
      <c r="E85" s="174"/>
      <c r="F85" s="33"/>
      <c r="G85" s="62">
        <f t="shared" si="11"/>
        <v>0</v>
      </c>
      <c r="H85" s="63">
        <f t="shared" si="12"/>
        <v>0</v>
      </c>
      <c r="I85" s="61"/>
      <c r="J85" s="211">
        <f t="shared" si="10"/>
        <v>0</v>
      </c>
      <c r="K85" s="62">
        <f t="shared" si="13"/>
        <v>0</v>
      </c>
      <c r="L85" s="62">
        <f t="shared" si="14"/>
        <v>0</v>
      </c>
      <c r="M85" s="22"/>
      <c r="N85" s="76"/>
      <c r="O85" s="1"/>
      <c r="P85" s="33"/>
      <c r="Q85" s="58">
        <f t="shared" si="19"/>
        <v>0</v>
      </c>
      <c r="R85" s="85">
        <f t="shared" si="15"/>
        <v>0</v>
      </c>
      <c r="S85" s="85">
        <f t="shared" si="16"/>
        <v>0</v>
      </c>
      <c r="T85" s="59">
        <f t="shared" si="17"/>
        <v>0</v>
      </c>
      <c r="U85" s="59">
        <f t="shared" si="18"/>
        <v>0</v>
      </c>
      <c r="V85" s="46"/>
      <c r="W85" s="75"/>
    </row>
    <row r="86" spans="1:23" x14ac:dyDescent="0.25">
      <c r="A86" s="175"/>
      <c r="B86" s="3"/>
      <c r="C86" s="24"/>
      <c r="D86" s="270"/>
      <c r="E86" s="173"/>
      <c r="F86" s="26"/>
      <c r="G86" s="2">
        <f t="shared" si="11"/>
        <v>0</v>
      </c>
      <c r="H86" s="20">
        <f t="shared" si="12"/>
        <v>0</v>
      </c>
      <c r="I86" s="61"/>
      <c r="J86" s="210">
        <f t="shared" si="10"/>
        <v>0</v>
      </c>
      <c r="K86" s="2">
        <f t="shared" si="13"/>
        <v>0</v>
      </c>
      <c r="L86" s="2">
        <f t="shared" si="14"/>
        <v>0</v>
      </c>
      <c r="M86" s="21"/>
      <c r="N86" s="76"/>
      <c r="O86" s="3"/>
      <c r="P86" s="31"/>
      <c r="Q86" s="32">
        <f t="shared" si="19"/>
        <v>0</v>
      </c>
      <c r="R86" s="32">
        <f t="shared" si="15"/>
        <v>0</v>
      </c>
      <c r="S86" s="32">
        <f t="shared" si="16"/>
        <v>0</v>
      </c>
      <c r="T86" s="47">
        <f t="shared" si="17"/>
        <v>0</v>
      </c>
      <c r="U86" s="47">
        <f t="shared" si="18"/>
        <v>0</v>
      </c>
      <c r="V86" s="46"/>
      <c r="W86" s="75"/>
    </row>
    <row r="87" spans="1:23" x14ac:dyDescent="0.25">
      <c r="A87" s="175"/>
      <c r="B87" s="1"/>
      <c r="C87" s="19"/>
      <c r="D87" s="269"/>
      <c r="E87" s="174"/>
      <c r="F87" s="33"/>
      <c r="G87" s="62">
        <f t="shared" si="11"/>
        <v>0</v>
      </c>
      <c r="H87" s="63">
        <f t="shared" si="12"/>
        <v>0</v>
      </c>
      <c r="I87" s="61"/>
      <c r="J87" s="211">
        <f t="shared" si="10"/>
        <v>0</v>
      </c>
      <c r="K87" s="62">
        <f t="shared" si="13"/>
        <v>0</v>
      </c>
      <c r="L87" s="62">
        <f t="shared" si="14"/>
        <v>0</v>
      </c>
      <c r="M87" s="22"/>
      <c r="N87" s="76"/>
      <c r="O87" s="1"/>
      <c r="P87" s="33"/>
      <c r="Q87" s="58">
        <f t="shared" si="19"/>
        <v>0</v>
      </c>
      <c r="R87" s="85">
        <f t="shared" si="15"/>
        <v>0</v>
      </c>
      <c r="S87" s="85">
        <f t="shared" si="16"/>
        <v>0</v>
      </c>
      <c r="T87" s="59">
        <f t="shared" si="17"/>
        <v>0</v>
      </c>
      <c r="U87" s="59">
        <f t="shared" si="18"/>
        <v>0</v>
      </c>
      <c r="V87" s="46"/>
      <c r="W87" s="75"/>
    </row>
    <row r="88" spans="1:23" x14ac:dyDescent="0.25">
      <c r="A88" s="175"/>
      <c r="B88" s="3"/>
      <c r="C88" s="24"/>
      <c r="D88" s="270"/>
      <c r="E88" s="173"/>
      <c r="F88" s="26"/>
      <c r="G88" s="2">
        <f t="shared" si="11"/>
        <v>0</v>
      </c>
      <c r="H88" s="20">
        <f t="shared" si="12"/>
        <v>0</v>
      </c>
      <c r="I88" s="61"/>
      <c r="J88" s="210">
        <f t="shared" si="10"/>
        <v>0</v>
      </c>
      <c r="K88" s="2">
        <f t="shared" si="13"/>
        <v>0</v>
      </c>
      <c r="L88" s="2">
        <f t="shared" si="14"/>
        <v>0</v>
      </c>
      <c r="M88" s="21"/>
      <c r="N88" s="76"/>
      <c r="O88" s="3"/>
      <c r="P88" s="31"/>
      <c r="Q88" s="32">
        <f t="shared" si="19"/>
        <v>0</v>
      </c>
      <c r="R88" s="32">
        <f t="shared" si="15"/>
        <v>0</v>
      </c>
      <c r="S88" s="32">
        <f t="shared" si="16"/>
        <v>0</v>
      </c>
      <c r="T88" s="47">
        <f t="shared" si="17"/>
        <v>0</v>
      </c>
      <c r="U88" s="47">
        <f t="shared" si="18"/>
        <v>0</v>
      </c>
      <c r="V88" s="46"/>
      <c r="W88" s="75"/>
    </row>
    <row r="89" spans="1:23" x14ac:dyDescent="0.25">
      <c r="A89" s="175"/>
      <c r="B89" s="1"/>
      <c r="C89" s="19"/>
      <c r="D89" s="269"/>
      <c r="E89" s="174"/>
      <c r="F89" s="33"/>
      <c r="G89" s="62">
        <f t="shared" si="11"/>
        <v>0</v>
      </c>
      <c r="H89" s="63">
        <f t="shared" si="12"/>
        <v>0</v>
      </c>
      <c r="I89" s="61"/>
      <c r="J89" s="211">
        <f t="shared" si="10"/>
        <v>0</v>
      </c>
      <c r="K89" s="62">
        <f t="shared" si="13"/>
        <v>0</v>
      </c>
      <c r="L89" s="62">
        <f t="shared" si="14"/>
        <v>0</v>
      </c>
      <c r="M89" s="22"/>
      <c r="N89" s="76"/>
      <c r="O89" s="1"/>
      <c r="P89" s="33"/>
      <c r="Q89" s="58">
        <f t="shared" si="19"/>
        <v>0</v>
      </c>
      <c r="R89" s="85">
        <f t="shared" si="15"/>
        <v>0</v>
      </c>
      <c r="S89" s="85">
        <f t="shared" si="16"/>
        <v>0</v>
      </c>
      <c r="T89" s="59">
        <f t="shared" si="17"/>
        <v>0</v>
      </c>
      <c r="U89" s="59">
        <f t="shared" si="18"/>
        <v>0</v>
      </c>
      <c r="V89" s="46"/>
      <c r="W89" s="75"/>
    </row>
    <row r="90" spans="1:23" x14ac:dyDescent="0.25">
      <c r="A90" s="175"/>
      <c r="B90" s="3"/>
      <c r="C90" s="24"/>
      <c r="D90" s="270"/>
      <c r="E90" s="173"/>
      <c r="F90" s="26"/>
      <c r="G90" s="2">
        <f t="shared" si="11"/>
        <v>0</v>
      </c>
      <c r="H90" s="20">
        <f t="shared" si="12"/>
        <v>0</v>
      </c>
      <c r="I90" s="61"/>
      <c r="J90" s="210">
        <f t="shared" si="10"/>
        <v>0</v>
      </c>
      <c r="K90" s="2">
        <f t="shared" si="13"/>
        <v>0</v>
      </c>
      <c r="L90" s="2">
        <f t="shared" si="14"/>
        <v>0</v>
      </c>
      <c r="M90" s="21"/>
      <c r="N90" s="76"/>
      <c r="O90" s="3"/>
      <c r="P90" s="31"/>
      <c r="Q90" s="32">
        <f t="shared" si="19"/>
        <v>0</v>
      </c>
      <c r="R90" s="32">
        <f t="shared" si="15"/>
        <v>0</v>
      </c>
      <c r="S90" s="32">
        <f t="shared" si="16"/>
        <v>0</v>
      </c>
      <c r="T90" s="47">
        <f t="shared" si="17"/>
        <v>0</v>
      </c>
      <c r="U90" s="47">
        <f t="shared" si="18"/>
        <v>0</v>
      </c>
      <c r="V90" s="46"/>
      <c r="W90" s="75"/>
    </row>
    <row r="91" spans="1:23" x14ac:dyDescent="0.25">
      <c r="A91" s="175"/>
      <c r="B91" s="1"/>
      <c r="C91" s="19"/>
      <c r="D91" s="269"/>
      <c r="E91" s="174"/>
      <c r="F91" s="33"/>
      <c r="G91" s="62">
        <f t="shared" si="11"/>
        <v>0</v>
      </c>
      <c r="H91" s="63">
        <f t="shared" si="12"/>
        <v>0</v>
      </c>
      <c r="I91" s="61"/>
      <c r="J91" s="211">
        <f t="shared" si="10"/>
        <v>0</v>
      </c>
      <c r="K91" s="62">
        <f t="shared" si="13"/>
        <v>0</v>
      </c>
      <c r="L91" s="62">
        <f t="shared" si="14"/>
        <v>0</v>
      </c>
      <c r="M91" s="22"/>
      <c r="N91" s="76"/>
      <c r="O91" s="1"/>
      <c r="P91" s="33"/>
      <c r="Q91" s="58">
        <f t="shared" si="19"/>
        <v>0</v>
      </c>
      <c r="R91" s="85">
        <f t="shared" si="15"/>
        <v>0</v>
      </c>
      <c r="S91" s="85">
        <f t="shared" si="16"/>
        <v>0</v>
      </c>
      <c r="T91" s="59">
        <f t="shared" si="17"/>
        <v>0</v>
      </c>
      <c r="U91" s="59">
        <f t="shared" si="18"/>
        <v>0</v>
      </c>
      <c r="V91" s="46"/>
      <c r="W91" s="75"/>
    </row>
    <row r="92" spans="1:23" x14ac:dyDescent="0.25">
      <c r="A92" s="175"/>
      <c r="B92" s="3"/>
      <c r="C92" s="24"/>
      <c r="D92" s="270"/>
      <c r="E92" s="173"/>
      <c r="F92" s="26"/>
      <c r="G92" s="2">
        <f t="shared" si="11"/>
        <v>0</v>
      </c>
      <c r="H92" s="20">
        <f t="shared" si="12"/>
        <v>0</v>
      </c>
      <c r="I92" s="61"/>
      <c r="J92" s="210">
        <f t="shared" si="10"/>
        <v>0</v>
      </c>
      <c r="K92" s="2">
        <f t="shared" si="13"/>
        <v>0</v>
      </c>
      <c r="L92" s="2">
        <f t="shared" si="14"/>
        <v>0</v>
      </c>
      <c r="M92" s="21"/>
      <c r="N92" s="76"/>
      <c r="O92" s="3"/>
      <c r="P92" s="31"/>
      <c r="Q92" s="32">
        <f t="shared" si="19"/>
        <v>0</v>
      </c>
      <c r="R92" s="32">
        <f t="shared" si="15"/>
        <v>0</v>
      </c>
      <c r="S92" s="32">
        <f t="shared" si="16"/>
        <v>0</v>
      </c>
      <c r="T92" s="47">
        <f t="shared" si="17"/>
        <v>0</v>
      </c>
      <c r="U92" s="47">
        <f t="shared" si="18"/>
        <v>0</v>
      </c>
      <c r="V92" s="46"/>
      <c r="W92" s="75"/>
    </row>
    <row r="93" spans="1:23" x14ac:dyDescent="0.25">
      <c r="A93" s="175"/>
      <c r="B93" s="1"/>
      <c r="C93" s="19"/>
      <c r="D93" s="269"/>
      <c r="E93" s="174"/>
      <c r="F93" s="33"/>
      <c r="G93" s="62">
        <f t="shared" si="11"/>
        <v>0</v>
      </c>
      <c r="H93" s="63">
        <f t="shared" si="12"/>
        <v>0</v>
      </c>
      <c r="I93" s="61"/>
      <c r="J93" s="211">
        <f t="shared" si="10"/>
        <v>0</v>
      </c>
      <c r="K93" s="62">
        <f t="shared" si="13"/>
        <v>0</v>
      </c>
      <c r="L93" s="62">
        <f t="shared" si="14"/>
        <v>0</v>
      </c>
      <c r="M93" s="22"/>
      <c r="N93" s="76"/>
      <c r="O93" s="1"/>
      <c r="P93" s="33"/>
      <c r="Q93" s="58">
        <f t="shared" si="19"/>
        <v>0</v>
      </c>
      <c r="R93" s="85">
        <f t="shared" si="15"/>
        <v>0</v>
      </c>
      <c r="S93" s="85">
        <f t="shared" si="16"/>
        <v>0</v>
      </c>
      <c r="T93" s="59">
        <f t="shared" si="17"/>
        <v>0</v>
      </c>
      <c r="U93" s="59">
        <f t="shared" si="18"/>
        <v>0</v>
      </c>
      <c r="V93" s="46"/>
      <c r="W93" s="75"/>
    </row>
    <row r="94" spans="1:23" x14ac:dyDescent="0.25">
      <c r="A94" s="175"/>
      <c r="B94" s="3"/>
      <c r="C94" s="24"/>
      <c r="D94" s="270"/>
      <c r="E94" s="173"/>
      <c r="F94" s="26"/>
      <c r="G94" s="2">
        <f t="shared" si="11"/>
        <v>0</v>
      </c>
      <c r="H94" s="20">
        <f t="shared" si="12"/>
        <v>0</v>
      </c>
      <c r="I94" s="61"/>
      <c r="J94" s="210">
        <f t="shared" si="10"/>
        <v>0</v>
      </c>
      <c r="K94" s="2">
        <f t="shared" si="13"/>
        <v>0</v>
      </c>
      <c r="L94" s="2">
        <f t="shared" si="14"/>
        <v>0</v>
      </c>
      <c r="M94" s="21"/>
      <c r="N94" s="76"/>
      <c r="O94" s="3"/>
      <c r="P94" s="31"/>
      <c r="Q94" s="32">
        <f t="shared" si="19"/>
        <v>0</v>
      </c>
      <c r="R94" s="32">
        <f t="shared" si="15"/>
        <v>0</v>
      </c>
      <c r="S94" s="32">
        <f t="shared" si="16"/>
        <v>0</v>
      </c>
      <c r="T94" s="47">
        <f t="shared" si="17"/>
        <v>0</v>
      </c>
      <c r="U94" s="47">
        <f t="shared" si="18"/>
        <v>0</v>
      </c>
      <c r="V94" s="46"/>
      <c r="W94" s="75"/>
    </row>
    <row r="95" spans="1:23" x14ac:dyDescent="0.25">
      <c r="A95" s="175"/>
      <c r="B95" s="1"/>
      <c r="C95" s="19"/>
      <c r="D95" s="269"/>
      <c r="E95" s="174"/>
      <c r="F95" s="33"/>
      <c r="G95" s="62">
        <f t="shared" si="11"/>
        <v>0</v>
      </c>
      <c r="H95" s="63">
        <f t="shared" si="12"/>
        <v>0</v>
      </c>
      <c r="I95" s="61"/>
      <c r="J95" s="211">
        <f t="shared" si="10"/>
        <v>0</v>
      </c>
      <c r="K95" s="62">
        <f t="shared" si="13"/>
        <v>0</v>
      </c>
      <c r="L95" s="62">
        <f t="shared" si="14"/>
        <v>0</v>
      </c>
      <c r="M95" s="22"/>
      <c r="N95" s="76"/>
      <c r="O95" s="1"/>
      <c r="P95" s="33"/>
      <c r="Q95" s="58">
        <f t="shared" si="19"/>
        <v>0</v>
      </c>
      <c r="R95" s="85">
        <f t="shared" si="15"/>
        <v>0</v>
      </c>
      <c r="S95" s="85">
        <f t="shared" si="16"/>
        <v>0</v>
      </c>
      <c r="T95" s="59">
        <f t="shared" si="17"/>
        <v>0</v>
      </c>
      <c r="U95" s="59">
        <f t="shared" si="18"/>
        <v>0</v>
      </c>
      <c r="V95" s="46"/>
      <c r="W95" s="75"/>
    </row>
    <row r="96" spans="1:23" x14ac:dyDescent="0.25">
      <c r="A96" s="175"/>
      <c r="B96" s="3"/>
      <c r="C96" s="24"/>
      <c r="D96" s="270"/>
      <c r="E96" s="173"/>
      <c r="F96" s="26"/>
      <c r="G96" s="2">
        <f t="shared" si="11"/>
        <v>0</v>
      </c>
      <c r="H96" s="20">
        <f t="shared" si="12"/>
        <v>0</v>
      </c>
      <c r="I96" s="61"/>
      <c r="J96" s="210">
        <f t="shared" si="10"/>
        <v>0</v>
      </c>
      <c r="K96" s="2">
        <f t="shared" si="13"/>
        <v>0</v>
      </c>
      <c r="L96" s="2">
        <f t="shared" si="14"/>
        <v>0</v>
      </c>
      <c r="M96" s="21"/>
      <c r="N96" s="76"/>
      <c r="O96" s="3"/>
      <c r="P96" s="31"/>
      <c r="Q96" s="32">
        <f t="shared" si="19"/>
        <v>0</v>
      </c>
      <c r="R96" s="32">
        <f t="shared" si="15"/>
        <v>0</v>
      </c>
      <c r="S96" s="32">
        <f t="shared" si="16"/>
        <v>0</v>
      </c>
      <c r="T96" s="47">
        <f t="shared" si="17"/>
        <v>0</v>
      </c>
      <c r="U96" s="47">
        <f t="shared" si="18"/>
        <v>0</v>
      </c>
      <c r="V96" s="46"/>
      <c r="W96" s="75"/>
    </row>
    <row r="97" spans="1:23" x14ac:dyDescent="0.25">
      <c r="A97" s="175"/>
      <c r="B97" s="1"/>
      <c r="C97" s="19"/>
      <c r="D97" s="269"/>
      <c r="E97" s="174"/>
      <c r="F97" s="33"/>
      <c r="G97" s="62">
        <f t="shared" si="11"/>
        <v>0</v>
      </c>
      <c r="H97" s="63">
        <f t="shared" si="12"/>
        <v>0</v>
      </c>
      <c r="I97" s="61"/>
      <c r="J97" s="211">
        <f t="shared" si="10"/>
        <v>0</v>
      </c>
      <c r="K97" s="62">
        <f t="shared" si="13"/>
        <v>0</v>
      </c>
      <c r="L97" s="62">
        <f t="shared" si="14"/>
        <v>0</v>
      </c>
      <c r="M97" s="22"/>
      <c r="N97" s="76"/>
      <c r="O97" s="1"/>
      <c r="P97" s="33"/>
      <c r="Q97" s="58">
        <f t="shared" si="19"/>
        <v>0</v>
      </c>
      <c r="R97" s="85">
        <f t="shared" si="15"/>
        <v>0</v>
      </c>
      <c r="S97" s="85">
        <f t="shared" si="16"/>
        <v>0</v>
      </c>
      <c r="T97" s="59">
        <f t="shared" si="17"/>
        <v>0</v>
      </c>
      <c r="U97" s="59">
        <f t="shared" si="18"/>
        <v>0</v>
      </c>
      <c r="V97" s="46"/>
      <c r="W97" s="75"/>
    </row>
    <row r="98" spans="1:23" x14ac:dyDescent="0.25">
      <c r="A98" s="175"/>
      <c r="B98" s="3"/>
      <c r="C98" s="24"/>
      <c r="D98" s="270"/>
      <c r="E98" s="173"/>
      <c r="F98" s="26"/>
      <c r="G98" s="2">
        <f t="shared" si="11"/>
        <v>0</v>
      </c>
      <c r="H98" s="20">
        <f t="shared" si="12"/>
        <v>0</v>
      </c>
      <c r="I98" s="61"/>
      <c r="J98" s="210">
        <f t="shared" si="10"/>
        <v>0</v>
      </c>
      <c r="K98" s="2">
        <f t="shared" si="13"/>
        <v>0</v>
      </c>
      <c r="L98" s="2">
        <f t="shared" si="14"/>
        <v>0</v>
      </c>
      <c r="M98" s="21"/>
      <c r="N98" s="76"/>
      <c r="O98" s="3"/>
      <c r="P98" s="31"/>
      <c r="Q98" s="32">
        <f t="shared" si="19"/>
        <v>0</v>
      </c>
      <c r="R98" s="32">
        <f t="shared" si="15"/>
        <v>0</v>
      </c>
      <c r="S98" s="32">
        <f t="shared" si="16"/>
        <v>0</v>
      </c>
      <c r="T98" s="47">
        <f t="shared" si="17"/>
        <v>0</v>
      </c>
      <c r="U98" s="47">
        <f t="shared" si="18"/>
        <v>0</v>
      </c>
      <c r="V98" s="46"/>
      <c r="W98" s="75"/>
    </row>
    <row r="99" spans="1:23" x14ac:dyDescent="0.25">
      <c r="A99" s="175"/>
      <c r="B99" s="1"/>
      <c r="C99" s="19"/>
      <c r="D99" s="269"/>
      <c r="E99" s="174"/>
      <c r="F99" s="33"/>
      <c r="G99" s="62">
        <f t="shared" si="11"/>
        <v>0</v>
      </c>
      <c r="H99" s="63">
        <f t="shared" si="12"/>
        <v>0</v>
      </c>
      <c r="I99" s="61"/>
      <c r="J99" s="211">
        <f t="shared" si="10"/>
        <v>0</v>
      </c>
      <c r="K99" s="62">
        <f t="shared" si="13"/>
        <v>0</v>
      </c>
      <c r="L99" s="62">
        <f t="shared" si="14"/>
        <v>0</v>
      </c>
      <c r="M99" s="22"/>
      <c r="N99" s="76"/>
      <c r="O99" s="1"/>
      <c r="P99" s="33"/>
      <c r="Q99" s="58">
        <f t="shared" si="19"/>
        <v>0</v>
      </c>
      <c r="R99" s="85">
        <f t="shared" si="15"/>
        <v>0</v>
      </c>
      <c r="S99" s="85">
        <f t="shared" si="16"/>
        <v>0</v>
      </c>
      <c r="T99" s="59">
        <f t="shared" si="17"/>
        <v>0</v>
      </c>
      <c r="U99" s="59">
        <f t="shared" si="18"/>
        <v>0</v>
      </c>
      <c r="V99" s="46"/>
      <c r="W99" s="75"/>
    </row>
    <row r="100" spans="1:23" x14ac:dyDescent="0.25">
      <c r="A100" s="175"/>
      <c r="B100" s="3"/>
      <c r="C100" s="24"/>
      <c r="D100" s="270"/>
      <c r="E100" s="173"/>
      <c r="F100" s="26"/>
      <c r="G100" s="2">
        <f t="shared" si="11"/>
        <v>0</v>
      </c>
      <c r="H100" s="20">
        <f t="shared" si="12"/>
        <v>0</v>
      </c>
      <c r="I100" s="61"/>
      <c r="J100" s="210">
        <f t="shared" si="10"/>
        <v>0</v>
      </c>
      <c r="K100" s="2">
        <f t="shared" si="13"/>
        <v>0</v>
      </c>
      <c r="L100" s="2">
        <f t="shared" si="14"/>
        <v>0</v>
      </c>
      <c r="M100" s="21"/>
      <c r="N100" s="76"/>
      <c r="O100" s="3"/>
      <c r="P100" s="31"/>
      <c r="Q100" s="32">
        <f t="shared" si="19"/>
        <v>0</v>
      </c>
      <c r="R100" s="32">
        <f t="shared" si="15"/>
        <v>0</v>
      </c>
      <c r="S100" s="32">
        <f t="shared" si="16"/>
        <v>0</v>
      </c>
      <c r="T100" s="47">
        <f t="shared" si="17"/>
        <v>0</v>
      </c>
      <c r="U100" s="47">
        <f t="shared" si="18"/>
        <v>0</v>
      </c>
      <c r="V100" s="46"/>
      <c r="W100" s="75"/>
    </row>
    <row r="101" spans="1:23" x14ac:dyDescent="0.25">
      <c r="A101" s="175"/>
      <c r="B101" s="1"/>
      <c r="C101" s="19"/>
      <c r="D101" s="269"/>
      <c r="E101" s="174"/>
      <c r="F101" s="33"/>
      <c r="G101" s="62">
        <f t="shared" si="11"/>
        <v>0</v>
      </c>
      <c r="H101" s="63">
        <f t="shared" si="12"/>
        <v>0</v>
      </c>
      <c r="I101" s="61"/>
      <c r="J101" s="211">
        <f t="shared" si="10"/>
        <v>0</v>
      </c>
      <c r="K101" s="62">
        <f t="shared" si="13"/>
        <v>0</v>
      </c>
      <c r="L101" s="62">
        <f t="shared" si="14"/>
        <v>0</v>
      </c>
      <c r="M101" s="22"/>
      <c r="N101" s="76"/>
      <c r="O101" s="1"/>
      <c r="P101" s="33"/>
      <c r="Q101" s="58">
        <f t="shared" si="19"/>
        <v>0</v>
      </c>
      <c r="R101" s="85">
        <f t="shared" si="15"/>
        <v>0</v>
      </c>
      <c r="S101" s="85">
        <f t="shared" si="16"/>
        <v>0</v>
      </c>
      <c r="T101" s="59">
        <f t="shared" si="17"/>
        <v>0</v>
      </c>
      <c r="U101" s="59">
        <f t="shared" si="18"/>
        <v>0</v>
      </c>
      <c r="V101" s="46"/>
      <c r="W101" s="75"/>
    </row>
    <row r="102" spans="1:23" x14ac:dyDescent="0.25">
      <c r="A102" s="175"/>
      <c r="B102" s="3"/>
      <c r="C102" s="24"/>
      <c r="D102" s="270"/>
      <c r="E102" s="173"/>
      <c r="F102" s="26"/>
      <c r="G102" s="2">
        <f t="shared" si="11"/>
        <v>0</v>
      </c>
      <c r="H102" s="20">
        <f t="shared" si="12"/>
        <v>0</v>
      </c>
      <c r="I102" s="61"/>
      <c r="J102" s="210">
        <f t="shared" si="10"/>
        <v>0</v>
      </c>
      <c r="K102" s="2">
        <f t="shared" si="13"/>
        <v>0</v>
      </c>
      <c r="L102" s="2">
        <f t="shared" si="14"/>
        <v>0</v>
      </c>
      <c r="M102" s="21"/>
      <c r="N102" s="76"/>
      <c r="O102" s="3"/>
      <c r="P102" s="31"/>
      <c r="Q102" s="32">
        <f t="shared" si="19"/>
        <v>0</v>
      </c>
      <c r="R102" s="32">
        <f t="shared" si="15"/>
        <v>0</v>
      </c>
      <c r="S102" s="32">
        <f t="shared" si="16"/>
        <v>0</v>
      </c>
      <c r="T102" s="47">
        <f t="shared" si="17"/>
        <v>0</v>
      </c>
      <c r="U102" s="47">
        <f t="shared" si="18"/>
        <v>0</v>
      </c>
      <c r="V102" s="46"/>
      <c r="W102" s="75"/>
    </row>
    <row r="103" spans="1:23" x14ac:dyDescent="0.25">
      <c r="A103" s="175"/>
      <c r="B103" s="1"/>
      <c r="C103" s="19"/>
      <c r="D103" s="269"/>
      <c r="E103" s="174"/>
      <c r="F103" s="33"/>
      <c r="G103" s="62">
        <f t="shared" si="11"/>
        <v>0</v>
      </c>
      <c r="H103" s="63">
        <f t="shared" si="12"/>
        <v>0</v>
      </c>
      <c r="I103" s="61"/>
      <c r="J103" s="211">
        <f t="shared" si="10"/>
        <v>0</v>
      </c>
      <c r="K103" s="62">
        <f t="shared" si="13"/>
        <v>0</v>
      </c>
      <c r="L103" s="62">
        <f t="shared" si="14"/>
        <v>0</v>
      </c>
      <c r="M103" s="22"/>
      <c r="N103" s="76"/>
      <c r="O103" s="1"/>
      <c r="P103" s="33"/>
      <c r="Q103" s="58">
        <f t="shared" si="19"/>
        <v>0</v>
      </c>
      <c r="R103" s="85">
        <f t="shared" si="15"/>
        <v>0</v>
      </c>
      <c r="S103" s="85">
        <f t="shared" si="16"/>
        <v>0</v>
      </c>
      <c r="T103" s="59">
        <f t="shared" si="17"/>
        <v>0</v>
      </c>
      <c r="U103" s="59">
        <f t="shared" si="18"/>
        <v>0</v>
      </c>
      <c r="V103" s="46"/>
      <c r="W103" s="75"/>
    </row>
    <row r="104" spans="1:23" x14ac:dyDescent="0.25">
      <c r="A104" s="175"/>
      <c r="B104" s="3"/>
      <c r="C104" s="24"/>
      <c r="D104" s="270"/>
      <c r="E104" s="173"/>
      <c r="F104" s="26"/>
      <c r="G104" s="2">
        <f t="shared" si="11"/>
        <v>0</v>
      </c>
      <c r="H104" s="20">
        <f t="shared" si="12"/>
        <v>0</v>
      </c>
      <c r="I104" s="61"/>
      <c r="J104" s="210">
        <f t="shared" si="10"/>
        <v>0</v>
      </c>
      <c r="K104" s="2">
        <f t="shared" si="13"/>
        <v>0</v>
      </c>
      <c r="L104" s="2">
        <f t="shared" si="14"/>
        <v>0</v>
      </c>
      <c r="M104" s="21"/>
      <c r="N104" s="76"/>
      <c r="O104" s="3"/>
      <c r="P104" s="31"/>
      <c r="Q104" s="32">
        <f t="shared" si="19"/>
        <v>0</v>
      </c>
      <c r="R104" s="32">
        <f t="shared" si="15"/>
        <v>0</v>
      </c>
      <c r="S104" s="32">
        <f t="shared" si="16"/>
        <v>0</v>
      </c>
      <c r="T104" s="47">
        <f t="shared" si="17"/>
        <v>0</v>
      </c>
      <c r="U104" s="47">
        <f t="shared" si="18"/>
        <v>0</v>
      </c>
      <c r="V104" s="46"/>
      <c r="W104" s="75"/>
    </row>
    <row r="105" spans="1:23" x14ac:dyDescent="0.25">
      <c r="A105" s="175"/>
      <c r="B105" s="1"/>
      <c r="C105" s="19"/>
      <c r="D105" s="269"/>
      <c r="E105" s="174"/>
      <c r="F105" s="33"/>
      <c r="G105" s="62">
        <f t="shared" si="11"/>
        <v>0</v>
      </c>
      <c r="H105" s="63">
        <f t="shared" si="12"/>
        <v>0</v>
      </c>
      <c r="I105" s="61"/>
      <c r="J105" s="211">
        <f t="shared" si="10"/>
        <v>0</v>
      </c>
      <c r="K105" s="62">
        <f t="shared" si="13"/>
        <v>0</v>
      </c>
      <c r="L105" s="62">
        <f t="shared" si="14"/>
        <v>0</v>
      </c>
      <c r="M105" s="22"/>
      <c r="N105" s="76"/>
      <c r="O105" s="1"/>
      <c r="P105" s="33"/>
      <c r="Q105" s="58">
        <f t="shared" si="19"/>
        <v>0</v>
      </c>
      <c r="R105" s="85">
        <f t="shared" si="15"/>
        <v>0</v>
      </c>
      <c r="S105" s="85">
        <f t="shared" si="16"/>
        <v>0</v>
      </c>
      <c r="T105" s="59">
        <f t="shared" si="17"/>
        <v>0</v>
      </c>
      <c r="U105" s="59">
        <f t="shared" si="18"/>
        <v>0</v>
      </c>
      <c r="V105" s="46"/>
      <c r="W105" s="75"/>
    </row>
    <row r="106" spans="1:23" x14ac:dyDescent="0.25">
      <c r="A106" s="175"/>
      <c r="B106" s="3"/>
      <c r="C106" s="24"/>
      <c r="D106" s="270"/>
      <c r="E106" s="173"/>
      <c r="F106" s="26"/>
      <c r="G106" s="2">
        <f t="shared" si="11"/>
        <v>0</v>
      </c>
      <c r="H106" s="20">
        <f t="shared" si="12"/>
        <v>0</v>
      </c>
      <c r="I106" s="61"/>
      <c r="J106" s="210">
        <f t="shared" si="10"/>
        <v>0</v>
      </c>
      <c r="K106" s="2">
        <f t="shared" si="13"/>
        <v>0</v>
      </c>
      <c r="L106" s="2">
        <f t="shared" si="14"/>
        <v>0</v>
      </c>
      <c r="M106" s="21"/>
      <c r="N106" s="76"/>
      <c r="O106" s="3"/>
      <c r="P106" s="31"/>
      <c r="Q106" s="32">
        <f t="shared" si="19"/>
        <v>0</v>
      </c>
      <c r="R106" s="32">
        <f t="shared" si="15"/>
        <v>0</v>
      </c>
      <c r="S106" s="32">
        <f t="shared" si="16"/>
        <v>0</v>
      </c>
      <c r="T106" s="47">
        <f t="shared" si="17"/>
        <v>0</v>
      </c>
      <c r="U106" s="47">
        <f t="shared" si="18"/>
        <v>0</v>
      </c>
      <c r="V106" s="46"/>
      <c r="W106" s="75"/>
    </row>
    <row r="107" spans="1:23" x14ac:dyDescent="0.25">
      <c r="A107" s="175"/>
      <c r="B107" s="1"/>
      <c r="C107" s="19"/>
      <c r="D107" s="269"/>
      <c r="E107" s="174"/>
      <c r="F107" s="33"/>
      <c r="G107" s="62">
        <f t="shared" si="11"/>
        <v>0</v>
      </c>
      <c r="H107" s="63">
        <f t="shared" si="12"/>
        <v>0</v>
      </c>
      <c r="I107" s="61"/>
      <c r="J107" s="211">
        <f t="shared" si="10"/>
        <v>0</v>
      </c>
      <c r="K107" s="62">
        <f t="shared" si="13"/>
        <v>0</v>
      </c>
      <c r="L107" s="62">
        <f t="shared" si="14"/>
        <v>0</v>
      </c>
      <c r="M107" s="22"/>
      <c r="N107" s="76"/>
      <c r="O107" s="1"/>
      <c r="P107" s="33"/>
      <c r="Q107" s="58">
        <f t="shared" si="19"/>
        <v>0</v>
      </c>
      <c r="R107" s="85">
        <f t="shared" si="15"/>
        <v>0</v>
      </c>
      <c r="S107" s="85">
        <f t="shared" si="16"/>
        <v>0</v>
      </c>
      <c r="T107" s="59">
        <f t="shared" si="17"/>
        <v>0</v>
      </c>
      <c r="U107" s="59">
        <f t="shared" si="18"/>
        <v>0</v>
      </c>
      <c r="V107" s="46"/>
      <c r="W107" s="75"/>
    </row>
    <row r="108" spans="1:23" x14ac:dyDescent="0.25">
      <c r="A108" s="175"/>
      <c r="B108" s="3"/>
      <c r="C108" s="24"/>
      <c r="D108" s="270"/>
      <c r="E108" s="173"/>
      <c r="F108" s="26"/>
      <c r="G108" s="2">
        <f t="shared" si="11"/>
        <v>0</v>
      </c>
      <c r="H108" s="20">
        <f t="shared" si="12"/>
        <v>0</v>
      </c>
      <c r="I108" s="61"/>
      <c r="J108" s="210">
        <f t="shared" si="10"/>
        <v>0</v>
      </c>
      <c r="K108" s="2">
        <f t="shared" si="13"/>
        <v>0</v>
      </c>
      <c r="L108" s="2">
        <f t="shared" si="14"/>
        <v>0</v>
      </c>
      <c r="M108" s="21"/>
      <c r="N108" s="76"/>
      <c r="O108" s="3"/>
      <c r="P108" s="31"/>
      <c r="Q108" s="32">
        <f t="shared" si="19"/>
        <v>0</v>
      </c>
      <c r="R108" s="32">
        <f t="shared" si="15"/>
        <v>0</v>
      </c>
      <c r="S108" s="32">
        <f t="shared" si="16"/>
        <v>0</v>
      </c>
      <c r="T108" s="47">
        <f t="shared" si="17"/>
        <v>0</v>
      </c>
      <c r="U108" s="47">
        <f t="shared" si="18"/>
        <v>0</v>
      </c>
      <c r="V108" s="46"/>
      <c r="W108" s="75"/>
    </row>
    <row r="109" spans="1:23" x14ac:dyDescent="0.25">
      <c r="A109" s="175"/>
      <c r="B109" s="1"/>
      <c r="C109" s="19"/>
      <c r="D109" s="269"/>
      <c r="E109" s="174"/>
      <c r="F109" s="33"/>
      <c r="G109" s="62">
        <f t="shared" si="11"/>
        <v>0</v>
      </c>
      <c r="H109" s="63">
        <f t="shared" si="12"/>
        <v>0</v>
      </c>
      <c r="I109" s="61"/>
      <c r="J109" s="211">
        <f t="shared" si="10"/>
        <v>0</v>
      </c>
      <c r="K109" s="62">
        <f t="shared" si="13"/>
        <v>0</v>
      </c>
      <c r="L109" s="62">
        <f t="shared" si="14"/>
        <v>0</v>
      </c>
      <c r="M109" s="22"/>
      <c r="N109" s="76"/>
      <c r="O109" s="1"/>
      <c r="P109" s="33"/>
      <c r="Q109" s="58">
        <f t="shared" si="19"/>
        <v>0</v>
      </c>
      <c r="R109" s="85">
        <f t="shared" si="15"/>
        <v>0</v>
      </c>
      <c r="S109" s="85">
        <f t="shared" si="16"/>
        <v>0</v>
      </c>
      <c r="T109" s="59">
        <f t="shared" si="17"/>
        <v>0</v>
      </c>
      <c r="U109" s="59">
        <f t="shared" si="18"/>
        <v>0</v>
      </c>
      <c r="V109" s="46"/>
      <c r="W109" s="75"/>
    </row>
    <row r="110" spans="1:23" x14ac:dyDescent="0.25">
      <c r="A110" s="175"/>
      <c r="B110" s="3"/>
      <c r="C110" s="24"/>
      <c r="D110" s="270"/>
      <c r="E110" s="173"/>
      <c r="F110" s="26"/>
      <c r="G110" s="2">
        <f t="shared" si="11"/>
        <v>0</v>
      </c>
      <c r="H110" s="20">
        <f t="shared" si="12"/>
        <v>0</v>
      </c>
      <c r="I110" s="61"/>
      <c r="J110" s="210">
        <f t="shared" si="10"/>
        <v>0</v>
      </c>
      <c r="K110" s="2">
        <f t="shared" si="13"/>
        <v>0</v>
      </c>
      <c r="L110" s="2">
        <f t="shared" si="14"/>
        <v>0</v>
      </c>
      <c r="M110" s="21"/>
      <c r="N110" s="76"/>
      <c r="O110" s="3"/>
      <c r="P110" s="31"/>
      <c r="Q110" s="32">
        <f t="shared" si="19"/>
        <v>0</v>
      </c>
      <c r="R110" s="32">
        <f t="shared" si="15"/>
        <v>0</v>
      </c>
      <c r="S110" s="32">
        <f t="shared" si="16"/>
        <v>0</v>
      </c>
      <c r="T110" s="47">
        <f t="shared" si="17"/>
        <v>0</v>
      </c>
      <c r="U110" s="47">
        <f t="shared" si="18"/>
        <v>0</v>
      </c>
      <c r="V110" s="46"/>
      <c r="W110" s="75"/>
    </row>
    <row r="111" spans="1:23" x14ac:dyDescent="0.25">
      <c r="A111" s="175"/>
      <c r="B111" s="1"/>
      <c r="C111" s="19"/>
      <c r="D111" s="269"/>
      <c r="E111" s="174"/>
      <c r="F111" s="33"/>
      <c r="G111" s="62">
        <f t="shared" si="11"/>
        <v>0</v>
      </c>
      <c r="H111" s="63">
        <f t="shared" si="12"/>
        <v>0</v>
      </c>
      <c r="I111" s="61"/>
      <c r="J111" s="211">
        <f t="shared" si="10"/>
        <v>0</v>
      </c>
      <c r="K111" s="62">
        <f t="shared" si="13"/>
        <v>0</v>
      </c>
      <c r="L111" s="62">
        <f t="shared" si="14"/>
        <v>0</v>
      </c>
      <c r="M111" s="22"/>
      <c r="N111" s="76"/>
      <c r="O111" s="1"/>
      <c r="P111" s="33"/>
      <c r="Q111" s="58">
        <f t="shared" si="19"/>
        <v>0</v>
      </c>
      <c r="R111" s="85">
        <f t="shared" si="15"/>
        <v>0</v>
      </c>
      <c r="S111" s="85">
        <f t="shared" si="16"/>
        <v>0</v>
      </c>
      <c r="T111" s="59">
        <f t="shared" si="17"/>
        <v>0</v>
      </c>
      <c r="U111" s="59">
        <f t="shared" si="18"/>
        <v>0</v>
      </c>
      <c r="V111" s="46"/>
      <c r="W111" s="75"/>
    </row>
    <row r="112" spans="1:23" x14ac:dyDescent="0.25">
      <c r="A112" s="175"/>
      <c r="B112" s="3"/>
      <c r="C112" s="24"/>
      <c r="D112" s="270"/>
      <c r="E112" s="173"/>
      <c r="F112" s="26"/>
      <c r="G112" s="2">
        <f t="shared" si="11"/>
        <v>0</v>
      </c>
      <c r="H112" s="20">
        <f t="shared" si="12"/>
        <v>0</v>
      </c>
      <c r="I112" s="61"/>
      <c r="J112" s="210">
        <f t="shared" si="10"/>
        <v>0</v>
      </c>
      <c r="K112" s="2">
        <f t="shared" si="13"/>
        <v>0</v>
      </c>
      <c r="L112" s="2">
        <f t="shared" si="14"/>
        <v>0</v>
      </c>
      <c r="M112" s="21"/>
      <c r="N112" s="76"/>
      <c r="O112" s="3"/>
      <c r="P112" s="31"/>
      <c r="Q112" s="32">
        <f t="shared" si="19"/>
        <v>0</v>
      </c>
      <c r="R112" s="32">
        <f t="shared" si="15"/>
        <v>0</v>
      </c>
      <c r="S112" s="32">
        <f t="shared" si="16"/>
        <v>0</v>
      </c>
      <c r="T112" s="47">
        <f t="shared" si="17"/>
        <v>0</v>
      </c>
      <c r="U112" s="47">
        <f t="shared" si="18"/>
        <v>0</v>
      </c>
      <c r="V112" s="46"/>
      <c r="W112" s="75"/>
    </row>
    <row r="113" spans="1:23" x14ac:dyDescent="0.25">
      <c r="A113" s="175"/>
      <c r="B113" s="1"/>
      <c r="C113" s="19"/>
      <c r="D113" s="269"/>
      <c r="E113" s="174"/>
      <c r="F113" s="33"/>
      <c r="G113" s="62">
        <f t="shared" si="11"/>
        <v>0</v>
      </c>
      <c r="H113" s="63">
        <f t="shared" si="12"/>
        <v>0</v>
      </c>
      <c r="I113" s="61"/>
      <c r="J113" s="211">
        <f t="shared" si="10"/>
        <v>0</v>
      </c>
      <c r="K113" s="62">
        <f t="shared" si="13"/>
        <v>0</v>
      </c>
      <c r="L113" s="62">
        <f t="shared" si="14"/>
        <v>0</v>
      </c>
      <c r="M113" s="22"/>
      <c r="N113" s="76"/>
      <c r="O113" s="1"/>
      <c r="P113" s="33"/>
      <c r="Q113" s="58">
        <f t="shared" si="19"/>
        <v>0</v>
      </c>
      <c r="R113" s="85">
        <f t="shared" si="15"/>
        <v>0</v>
      </c>
      <c r="S113" s="85">
        <f t="shared" si="16"/>
        <v>0</v>
      </c>
      <c r="T113" s="59">
        <f t="shared" si="17"/>
        <v>0</v>
      </c>
      <c r="U113" s="59">
        <f t="shared" si="18"/>
        <v>0</v>
      </c>
      <c r="V113" s="46"/>
      <c r="W113" s="75"/>
    </row>
    <row r="114" spans="1:23" x14ac:dyDescent="0.25">
      <c r="A114" s="175"/>
      <c r="B114" s="3"/>
      <c r="C114" s="24"/>
      <c r="D114" s="270"/>
      <c r="E114" s="173"/>
      <c r="F114" s="26"/>
      <c r="G114" s="2">
        <f t="shared" si="11"/>
        <v>0</v>
      </c>
      <c r="H114" s="20">
        <f t="shared" si="12"/>
        <v>0</v>
      </c>
      <c r="I114" s="61"/>
      <c r="J114" s="210">
        <f t="shared" si="10"/>
        <v>0</v>
      </c>
      <c r="K114" s="2">
        <f t="shared" si="13"/>
        <v>0</v>
      </c>
      <c r="L114" s="2">
        <f t="shared" si="14"/>
        <v>0</v>
      </c>
      <c r="M114" s="21"/>
      <c r="N114" s="76"/>
      <c r="O114" s="3"/>
      <c r="P114" s="31"/>
      <c r="Q114" s="32">
        <f t="shared" si="19"/>
        <v>0</v>
      </c>
      <c r="R114" s="32">
        <f t="shared" si="15"/>
        <v>0</v>
      </c>
      <c r="S114" s="32">
        <f t="shared" si="16"/>
        <v>0</v>
      </c>
      <c r="T114" s="47">
        <f t="shared" si="17"/>
        <v>0</v>
      </c>
      <c r="U114" s="47">
        <f t="shared" si="18"/>
        <v>0</v>
      </c>
      <c r="V114" s="46"/>
      <c r="W114" s="75"/>
    </row>
    <row r="115" spans="1:23" x14ac:dyDescent="0.25">
      <c r="A115" s="175"/>
      <c r="B115" s="1"/>
      <c r="C115" s="19"/>
      <c r="D115" s="269"/>
      <c r="E115" s="174"/>
      <c r="F115" s="33"/>
      <c r="G115" s="62">
        <f t="shared" si="11"/>
        <v>0</v>
      </c>
      <c r="H115" s="63">
        <f t="shared" si="12"/>
        <v>0</v>
      </c>
      <c r="I115" s="61"/>
      <c r="J115" s="211">
        <f t="shared" si="10"/>
        <v>0</v>
      </c>
      <c r="K115" s="62">
        <f t="shared" si="13"/>
        <v>0</v>
      </c>
      <c r="L115" s="62">
        <f t="shared" si="14"/>
        <v>0</v>
      </c>
      <c r="M115" s="22"/>
      <c r="N115" s="76"/>
      <c r="O115" s="1"/>
      <c r="P115" s="33"/>
      <c r="Q115" s="58">
        <f t="shared" si="19"/>
        <v>0</v>
      </c>
      <c r="R115" s="85">
        <f t="shared" si="15"/>
        <v>0</v>
      </c>
      <c r="S115" s="85">
        <f t="shared" si="16"/>
        <v>0</v>
      </c>
      <c r="T115" s="59">
        <f t="shared" si="17"/>
        <v>0</v>
      </c>
      <c r="U115" s="59">
        <f t="shared" si="18"/>
        <v>0</v>
      </c>
      <c r="V115" s="46"/>
      <c r="W115" s="75"/>
    </row>
    <row r="116" spans="1:23" x14ac:dyDescent="0.25">
      <c r="A116" s="175"/>
      <c r="B116" s="3"/>
      <c r="C116" s="24"/>
      <c r="D116" s="270"/>
      <c r="E116" s="173"/>
      <c r="F116" s="26"/>
      <c r="G116" s="2">
        <f t="shared" si="11"/>
        <v>0</v>
      </c>
      <c r="H116" s="20">
        <f t="shared" si="12"/>
        <v>0</v>
      </c>
      <c r="I116" s="61"/>
      <c r="J116" s="210">
        <f t="shared" si="10"/>
        <v>0</v>
      </c>
      <c r="K116" s="2">
        <f t="shared" si="13"/>
        <v>0</v>
      </c>
      <c r="L116" s="2">
        <f t="shared" si="14"/>
        <v>0</v>
      </c>
      <c r="M116" s="21"/>
      <c r="N116" s="76"/>
      <c r="O116" s="3"/>
      <c r="P116" s="31"/>
      <c r="Q116" s="32">
        <f t="shared" si="19"/>
        <v>0</v>
      </c>
      <c r="R116" s="32">
        <f t="shared" si="15"/>
        <v>0</v>
      </c>
      <c r="S116" s="32">
        <f t="shared" si="16"/>
        <v>0</v>
      </c>
      <c r="T116" s="47">
        <f t="shared" si="17"/>
        <v>0</v>
      </c>
      <c r="U116" s="47">
        <f t="shared" si="18"/>
        <v>0</v>
      </c>
      <c r="V116" s="46"/>
      <c r="W116" s="75"/>
    </row>
    <row r="117" spans="1:23" x14ac:dyDescent="0.25">
      <c r="A117" s="175"/>
      <c r="B117" s="1"/>
      <c r="C117" s="19"/>
      <c r="D117" s="269"/>
      <c r="E117" s="174"/>
      <c r="F117" s="33"/>
      <c r="G117" s="62">
        <f t="shared" si="11"/>
        <v>0</v>
      </c>
      <c r="H117" s="63">
        <f t="shared" si="12"/>
        <v>0</v>
      </c>
      <c r="I117" s="61"/>
      <c r="J117" s="211">
        <f t="shared" si="10"/>
        <v>0</v>
      </c>
      <c r="K117" s="62">
        <f t="shared" si="13"/>
        <v>0</v>
      </c>
      <c r="L117" s="62">
        <f t="shared" si="14"/>
        <v>0</v>
      </c>
      <c r="M117" s="22"/>
      <c r="N117" s="76"/>
      <c r="O117" s="1"/>
      <c r="P117" s="33"/>
      <c r="Q117" s="58">
        <f t="shared" si="19"/>
        <v>0</v>
      </c>
      <c r="R117" s="85">
        <f t="shared" si="15"/>
        <v>0</v>
      </c>
      <c r="S117" s="85">
        <f t="shared" si="16"/>
        <v>0</v>
      </c>
      <c r="T117" s="59">
        <f t="shared" si="17"/>
        <v>0</v>
      </c>
      <c r="U117" s="59">
        <f t="shared" si="18"/>
        <v>0</v>
      </c>
      <c r="V117" s="46"/>
      <c r="W117" s="75"/>
    </row>
    <row r="118" spans="1:23" x14ac:dyDescent="0.25">
      <c r="A118" s="175"/>
      <c r="B118" s="3"/>
      <c r="C118" s="24"/>
      <c r="D118" s="270"/>
      <c r="E118" s="173"/>
      <c r="F118" s="26"/>
      <c r="G118" s="2">
        <f t="shared" si="11"/>
        <v>0</v>
      </c>
      <c r="H118" s="20">
        <f t="shared" si="12"/>
        <v>0</v>
      </c>
      <c r="I118" s="61"/>
      <c r="J118" s="210">
        <f t="shared" si="10"/>
        <v>0</v>
      </c>
      <c r="K118" s="2">
        <f t="shared" si="13"/>
        <v>0</v>
      </c>
      <c r="L118" s="2">
        <f t="shared" si="14"/>
        <v>0</v>
      </c>
      <c r="M118" s="21"/>
      <c r="N118" s="76"/>
      <c r="O118" s="3"/>
      <c r="P118" s="31"/>
      <c r="Q118" s="32">
        <f t="shared" si="19"/>
        <v>0</v>
      </c>
      <c r="R118" s="32">
        <f t="shared" si="15"/>
        <v>0</v>
      </c>
      <c r="S118" s="32">
        <f t="shared" si="16"/>
        <v>0</v>
      </c>
      <c r="T118" s="47">
        <f t="shared" si="17"/>
        <v>0</v>
      </c>
      <c r="U118" s="47">
        <f t="shared" si="18"/>
        <v>0</v>
      </c>
      <c r="V118" s="46"/>
      <c r="W118" s="75"/>
    </row>
    <row r="119" spans="1:23" x14ac:dyDescent="0.25">
      <c r="A119" s="175"/>
      <c r="B119" s="1"/>
      <c r="C119" s="19"/>
      <c r="D119" s="269"/>
      <c r="E119" s="174"/>
      <c r="F119" s="33"/>
      <c r="G119" s="62">
        <f t="shared" si="11"/>
        <v>0</v>
      </c>
      <c r="H119" s="63">
        <f t="shared" si="12"/>
        <v>0</v>
      </c>
      <c r="I119" s="61"/>
      <c r="J119" s="211">
        <f t="shared" si="10"/>
        <v>0</v>
      </c>
      <c r="K119" s="62">
        <f t="shared" si="13"/>
        <v>0</v>
      </c>
      <c r="L119" s="62">
        <f t="shared" si="14"/>
        <v>0</v>
      </c>
      <c r="M119" s="22"/>
      <c r="N119" s="76"/>
      <c r="O119" s="1"/>
      <c r="P119" s="33"/>
      <c r="Q119" s="58">
        <f t="shared" si="19"/>
        <v>0</v>
      </c>
      <c r="R119" s="85">
        <f t="shared" si="15"/>
        <v>0</v>
      </c>
      <c r="S119" s="85">
        <f t="shared" si="16"/>
        <v>0</v>
      </c>
      <c r="T119" s="59">
        <f t="shared" si="17"/>
        <v>0</v>
      </c>
      <c r="U119" s="59">
        <f t="shared" si="18"/>
        <v>0</v>
      </c>
      <c r="V119" s="46"/>
      <c r="W119" s="75"/>
    </row>
    <row r="120" spans="1:23" x14ac:dyDescent="0.25">
      <c r="A120" s="175"/>
      <c r="B120" s="3"/>
      <c r="C120" s="24"/>
      <c r="D120" s="270"/>
      <c r="E120" s="173"/>
      <c r="F120" s="26"/>
      <c r="G120" s="2">
        <f t="shared" si="11"/>
        <v>0</v>
      </c>
      <c r="H120" s="20">
        <f t="shared" si="12"/>
        <v>0</v>
      </c>
      <c r="I120" s="61"/>
      <c r="J120" s="210">
        <f t="shared" si="10"/>
        <v>0</v>
      </c>
      <c r="K120" s="2">
        <f t="shared" si="13"/>
        <v>0</v>
      </c>
      <c r="L120" s="2">
        <f t="shared" si="14"/>
        <v>0</v>
      </c>
      <c r="M120" s="21"/>
      <c r="N120" s="76"/>
      <c r="O120" s="3"/>
      <c r="P120" s="31"/>
      <c r="Q120" s="32">
        <f t="shared" si="19"/>
        <v>0</v>
      </c>
      <c r="R120" s="32">
        <f t="shared" si="15"/>
        <v>0</v>
      </c>
      <c r="S120" s="32">
        <f t="shared" si="16"/>
        <v>0</v>
      </c>
      <c r="T120" s="47">
        <f t="shared" si="17"/>
        <v>0</v>
      </c>
      <c r="U120" s="47">
        <f t="shared" si="18"/>
        <v>0</v>
      </c>
      <c r="V120" s="46"/>
      <c r="W120" s="75"/>
    </row>
    <row r="121" spans="1:23" x14ac:dyDescent="0.25">
      <c r="A121" s="175"/>
      <c r="B121" s="1"/>
      <c r="C121" s="19"/>
      <c r="D121" s="269"/>
      <c r="E121" s="174"/>
      <c r="F121" s="33"/>
      <c r="G121" s="62">
        <f t="shared" si="11"/>
        <v>0</v>
      </c>
      <c r="H121" s="63">
        <f t="shared" si="12"/>
        <v>0</v>
      </c>
      <c r="I121" s="61"/>
      <c r="J121" s="211">
        <f t="shared" si="10"/>
        <v>0</v>
      </c>
      <c r="K121" s="62">
        <f t="shared" si="13"/>
        <v>0</v>
      </c>
      <c r="L121" s="62">
        <f t="shared" si="14"/>
        <v>0</v>
      </c>
      <c r="M121" s="22"/>
      <c r="N121" s="76"/>
      <c r="O121" s="1"/>
      <c r="P121" s="33"/>
      <c r="Q121" s="58">
        <f t="shared" si="19"/>
        <v>0</v>
      </c>
      <c r="R121" s="85">
        <f t="shared" si="15"/>
        <v>0</v>
      </c>
      <c r="S121" s="85">
        <f t="shared" si="16"/>
        <v>0</v>
      </c>
      <c r="T121" s="59">
        <f t="shared" si="17"/>
        <v>0</v>
      </c>
      <c r="U121" s="59">
        <f t="shared" si="18"/>
        <v>0</v>
      </c>
      <c r="V121" s="46"/>
      <c r="W121" s="75"/>
    </row>
    <row r="122" spans="1:23" x14ac:dyDescent="0.25">
      <c r="A122" s="175"/>
      <c r="B122" s="3"/>
      <c r="C122" s="24"/>
      <c r="D122" s="270"/>
      <c r="E122" s="173"/>
      <c r="F122" s="26"/>
      <c r="G122" s="2">
        <f t="shared" si="11"/>
        <v>0</v>
      </c>
      <c r="H122" s="20">
        <f t="shared" si="12"/>
        <v>0</v>
      </c>
      <c r="I122" s="61"/>
      <c r="J122" s="210">
        <f t="shared" si="10"/>
        <v>0</v>
      </c>
      <c r="K122" s="2">
        <f t="shared" si="13"/>
        <v>0</v>
      </c>
      <c r="L122" s="2">
        <f t="shared" si="14"/>
        <v>0</v>
      </c>
      <c r="M122" s="21"/>
      <c r="N122" s="76"/>
      <c r="O122" s="3"/>
      <c r="P122" s="31"/>
      <c r="Q122" s="32">
        <f t="shared" si="19"/>
        <v>0</v>
      </c>
      <c r="R122" s="32">
        <f t="shared" si="15"/>
        <v>0</v>
      </c>
      <c r="S122" s="32">
        <f t="shared" si="16"/>
        <v>0</v>
      </c>
      <c r="T122" s="47">
        <f t="shared" si="17"/>
        <v>0</v>
      </c>
      <c r="U122" s="47">
        <f t="shared" si="18"/>
        <v>0</v>
      </c>
      <c r="V122" s="46"/>
      <c r="W122" s="75"/>
    </row>
    <row r="123" spans="1:23" x14ac:dyDescent="0.25">
      <c r="A123" s="175"/>
      <c r="B123" s="1"/>
      <c r="C123" s="19"/>
      <c r="D123" s="269"/>
      <c r="E123" s="174"/>
      <c r="F123" s="33"/>
      <c r="G123" s="62">
        <f t="shared" si="11"/>
        <v>0</v>
      </c>
      <c r="H123" s="63">
        <f t="shared" si="12"/>
        <v>0</v>
      </c>
      <c r="I123" s="61"/>
      <c r="J123" s="211">
        <f t="shared" si="10"/>
        <v>0</v>
      </c>
      <c r="K123" s="62">
        <f t="shared" si="13"/>
        <v>0</v>
      </c>
      <c r="L123" s="62">
        <f t="shared" si="14"/>
        <v>0</v>
      </c>
      <c r="M123" s="22"/>
      <c r="N123" s="76"/>
      <c r="O123" s="1"/>
      <c r="P123" s="33"/>
      <c r="Q123" s="58">
        <f t="shared" si="19"/>
        <v>0</v>
      </c>
      <c r="R123" s="85">
        <f t="shared" si="15"/>
        <v>0</v>
      </c>
      <c r="S123" s="85">
        <f t="shared" si="16"/>
        <v>0</v>
      </c>
      <c r="T123" s="59">
        <f t="shared" si="17"/>
        <v>0</v>
      </c>
      <c r="U123" s="59">
        <f t="shared" si="18"/>
        <v>0</v>
      </c>
      <c r="V123" s="46"/>
      <c r="W123" s="75"/>
    </row>
    <row r="124" spans="1:23" x14ac:dyDescent="0.25">
      <c r="A124" s="175"/>
      <c r="B124" s="3"/>
      <c r="C124" s="24"/>
      <c r="D124" s="270"/>
      <c r="E124" s="173"/>
      <c r="F124" s="26"/>
      <c r="G124" s="2">
        <f t="shared" si="11"/>
        <v>0</v>
      </c>
      <c r="H124" s="20">
        <f t="shared" si="12"/>
        <v>0</v>
      </c>
      <c r="I124" s="61"/>
      <c r="J124" s="210">
        <f t="shared" si="10"/>
        <v>0</v>
      </c>
      <c r="K124" s="2">
        <f t="shared" si="13"/>
        <v>0</v>
      </c>
      <c r="L124" s="2">
        <f t="shared" si="14"/>
        <v>0</v>
      </c>
      <c r="M124" s="21"/>
      <c r="N124" s="76"/>
      <c r="O124" s="3"/>
      <c r="P124" s="31"/>
      <c r="Q124" s="32">
        <f t="shared" si="19"/>
        <v>0</v>
      </c>
      <c r="R124" s="32">
        <f t="shared" si="15"/>
        <v>0</v>
      </c>
      <c r="S124" s="32">
        <f t="shared" si="16"/>
        <v>0</v>
      </c>
      <c r="T124" s="47">
        <f t="shared" si="17"/>
        <v>0</v>
      </c>
      <c r="U124" s="47">
        <f t="shared" si="18"/>
        <v>0</v>
      </c>
      <c r="V124" s="46"/>
      <c r="W124" s="75"/>
    </row>
    <row r="125" spans="1:23" x14ac:dyDescent="0.25">
      <c r="A125" s="175"/>
      <c r="B125" s="1"/>
      <c r="C125" s="19"/>
      <c r="D125" s="269"/>
      <c r="E125" s="174"/>
      <c r="F125" s="33"/>
      <c r="G125" s="62">
        <f t="shared" si="11"/>
        <v>0</v>
      </c>
      <c r="H125" s="63">
        <f t="shared" si="12"/>
        <v>0</v>
      </c>
      <c r="I125" s="61"/>
      <c r="J125" s="211">
        <f t="shared" si="10"/>
        <v>0</v>
      </c>
      <c r="K125" s="62">
        <f t="shared" si="13"/>
        <v>0</v>
      </c>
      <c r="L125" s="62">
        <f t="shared" si="14"/>
        <v>0</v>
      </c>
      <c r="M125" s="22"/>
      <c r="N125" s="76"/>
      <c r="O125" s="1"/>
      <c r="P125" s="33"/>
      <c r="Q125" s="58">
        <f t="shared" si="19"/>
        <v>0</v>
      </c>
      <c r="R125" s="85">
        <f t="shared" si="15"/>
        <v>0</v>
      </c>
      <c r="S125" s="85">
        <f t="shared" si="16"/>
        <v>0</v>
      </c>
      <c r="T125" s="59">
        <f t="shared" si="17"/>
        <v>0</v>
      </c>
      <c r="U125" s="59">
        <f t="shared" si="18"/>
        <v>0</v>
      </c>
      <c r="V125" s="46"/>
      <c r="W125" s="75"/>
    </row>
    <row r="126" spans="1:23" x14ac:dyDescent="0.25">
      <c r="A126" s="175"/>
      <c r="B126" s="3"/>
      <c r="C126" s="24"/>
      <c r="D126" s="270"/>
      <c r="E126" s="173"/>
      <c r="F126" s="26"/>
      <c r="G126" s="2">
        <f t="shared" si="11"/>
        <v>0</v>
      </c>
      <c r="H126" s="20">
        <f t="shared" si="12"/>
        <v>0</v>
      </c>
      <c r="I126" s="61"/>
      <c r="J126" s="210">
        <f t="shared" si="10"/>
        <v>0</v>
      </c>
      <c r="K126" s="2">
        <f t="shared" si="13"/>
        <v>0</v>
      </c>
      <c r="L126" s="2">
        <f t="shared" si="14"/>
        <v>0</v>
      </c>
      <c r="M126" s="21"/>
      <c r="N126" s="76"/>
      <c r="O126" s="3"/>
      <c r="P126" s="31"/>
      <c r="Q126" s="32">
        <f t="shared" si="19"/>
        <v>0</v>
      </c>
      <c r="R126" s="32">
        <f t="shared" si="15"/>
        <v>0</v>
      </c>
      <c r="S126" s="32">
        <f t="shared" si="16"/>
        <v>0</v>
      </c>
      <c r="T126" s="47">
        <f t="shared" si="17"/>
        <v>0</v>
      </c>
      <c r="U126" s="47">
        <f t="shared" si="18"/>
        <v>0</v>
      </c>
      <c r="V126" s="46"/>
      <c r="W126" s="75"/>
    </row>
    <row r="127" spans="1:23" x14ac:dyDescent="0.25">
      <c r="A127" s="175"/>
      <c r="B127" s="1"/>
      <c r="C127" s="19"/>
      <c r="D127" s="269"/>
      <c r="E127" s="174"/>
      <c r="F127" s="33"/>
      <c r="G127" s="62">
        <f t="shared" si="11"/>
        <v>0</v>
      </c>
      <c r="H127" s="63">
        <f t="shared" si="12"/>
        <v>0</v>
      </c>
      <c r="I127" s="61"/>
      <c r="J127" s="211">
        <f t="shared" si="10"/>
        <v>0</v>
      </c>
      <c r="K127" s="62">
        <f t="shared" si="13"/>
        <v>0</v>
      </c>
      <c r="L127" s="62">
        <f t="shared" si="14"/>
        <v>0</v>
      </c>
      <c r="M127" s="22"/>
      <c r="N127" s="76"/>
      <c r="O127" s="1"/>
      <c r="P127" s="33"/>
      <c r="Q127" s="58">
        <f t="shared" si="19"/>
        <v>0</v>
      </c>
      <c r="R127" s="85">
        <f t="shared" si="15"/>
        <v>0</v>
      </c>
      <c r="S127" s="85">
        <f t="shared" si="16"/>
        <v>0</v>
      </c>
      <c r="T127" s="59">
        <f t="shared" si="17"/>
        <v>0</v>
      </c>
      <c r="U127" s="59">
        <f t="shared" si="18"/>
        <v>0</v>
      </c>
      <c r="V127" s="46"/>
      <c r="W127" s="75"/>
    </row>
    <row r="128" spans="1:23" x14ac:dyDescent="0.25">
      <c r="A128" s="175"/>
      <c r="B128" s="3"/>
      <c r="C128" s="24"/>
      <c r="D128" s="270"/>
      <c r="E128" s="173"/>
      <c r="F128" s="26"/>
      <c r="G128" s="2">
        <f t="shared" si="11"/>
        <v>0</v>
      </c>
      <c r="H128" s="20">
        <f t="shared" si="12"/>
        <v>0</v>
      </c>
      <c r="I128" s="61"/>
      <c r="J128" s="210">
        <f t="shared" si="10"/>
        <v>0</v>
      </c>
      <c r="K128" s="2">
        <f t="shared" si="13"/>
        <v>0</v>
      </c>
      <c r="L128" s="2">
        <f t="shared" si="14"/>
        <v>0</v>
      </c>
      <c r="M128" s="21"/>
      <c r="N128" s="76"/>
      <c r="O128" s="3"/>
      <c r="P128" s="31"/>
      <c r="Q128" s="32">
        <f t="shared" si="19"/>
        <v>0</v>
      </c>
      <c r="R128" s="32">
        <f t="shared" si="15"/>
        <v>0</v>
      </c>
      <c r="S128" s="32">
        <f t="shared" si="16"/>
        <v>0</v>
      </c>
      <c r="T128" s="47">
        <f t="shared" si="17"/>
        <v>0</v>
      </c>
      <c r="U128" s="47">
        <f t="shared" si="18"/>
        <v>0</v>
      </c>
      <c r="V128" s="46"/>
      <c r="W128" s="75"/>
    </row>
    <row r="129" spans="1:23" ht="20.25" customHeight="1" x14ac:dyDescent="0.25">
      <c r="A129" s="177"/>
      <c r="B129" s="195"/>
      <c r="C129" s="195"/>
      <c r="D129" s="271" t="s">
        <v>129</v>
      </c>
      <c r="E129" s="197">
        <f>SUM(E18:E128)</f>
        <v>487</v>
      </c>
      <c r="F129" s="198">
        <f>SUM(F18:F128)</f>
        <v>221719.83500000005</v>
      </c>
      <c r="G129" s="199">
        <f>SUM(G18:G128)</f>
        <v>160666.55000000002</v>
      </c>
      <c r="H129" s="200">
        <f>SUM(H18:H128)</f>
        <v>315127.21000000002</v>
      </c>
      <c r="I129" s="201"/>
      <c r="J129" s="202">
        <f>SUM(J18:J128)</f>
        <v>487</v>
      </c>
      <c r="K129" s="199">
        <f>SUM(K18:K128)</f>
        <v>110860.02000000002</v>
      </c>
      <c r="L129" s="200">
        <f>SUM(L18:L128)</f>
        <v>157565.34999999995</v>
      </c>
      <c r="M129" s="200"/>
      <c r="N129" s="203"/>
      <c r="O129" s="196"/>
      <c r="P129" s="199">
        <f>SUM(P18:P128)</f>
        <v>0</v>
      </c>
      <c r="Q129" s="199">
        <f>SUM(Q18:Q128)</f>
        <v>0</v>
      </c>
      <c r="R129" s="200">
        <f>SUM(R18:R128)</f>
        <v>110860.02000000002</v>
      </c>
      <c r="S129" s="200">
        <f>SUM(S18:S128)</f>
        <v>157565.34999999995</v>
      </c>
      <c r="T129" s="204"/>
      <c r="U129" s="204"/>
      <c r="V129" s="205"/>
      <c r="W129" s="194"/>
    </row>
    <row r="131" spans="1:23" ht="15" customHeight="1" x14ac:dyDescent="0.25">
      <c r="T131" s="207"/>
    </row>
  </sheetData>
  <sheetProtection algorithmName="SHA-512" hashValue="AgDddSlQ1OlGqwGfIpvXo2bXt2t6gjhJtc4l8roA0JM8qBBv6grIaQhgdC2iao1yHL73dBRMY9h+d4Rfm5A1jA==" saltValue="T8PDbas1/iewlWvkC2GH7w==" spinCount="100000" sheet="1" selectLockedCells="1"/>
  <mergeCells count="85">
    <mergeCell ref="Q17:U17"/>
    <mergeCell ref="M15:M17"/>
    <mergeCell ref="O15:U15"/>
    <mergeCell ref="B16:B17"/>
    <mergeCell ref="C16:C17"/>
    <mergeCell ref="D16:D17"/>
    <mergeCell ref="E16:E17"/>
    <mergeCell ref="F16:G16"/>
    <mergeCell ref="J16:J17"/>
    <mergeCell ref="O16:O17"/>
    <mergeCell ref="K17:L17"/>
    <mergeCell ref="B11:C15"/>
    <mergeCell ref="D11:E13"/>
    <mergeCell ref="F11:H12"/>
    <mergeCell ref="J11:M13"/>
    <mergeCell ref="O11:U13"/>
    <mergeCell ref="F13:G13"/>
    <mergeCell ref="F14:H14"/>
    <mergeCell ref="J14:K15"/>
    <mergeCell ref="L14:L15"/>
    <mergeCell ref="F15:H15"/>
    <mergeCell ref="R9:R10"/>
    <mergeCell ref="S9:S10"/>
    <mergeCell ref="T9:T10"/>
    <mergeCell ref="U9:U10"/>
    <mergeCell ref="V9:V10"/>
    <mergeCell ref="L10:M10"/>
    <mergeCell ref="O10:Q10"/>
    <mergeCell ref="D8:E8"/>
    <mergeCell ref="F8:G8"/>
    <mergeCell ref="H8:J8"/>
    <mergeCell ref="L8:M8"/>
    <mergeCell ref="O8:Q8"/>
    <mergeCell ref="D9:E9"/>
    <mergeCell ref="F9:G9"/>
    <mergeCell ref="L9:M9"/>
    <mergeCell ref="O9:Q9"/>
    <mergeCell ref="T6:U6"/>
    <mergeCell ref="D7:E7"/>
    <mergeCell ref="F7:G7"/>
    <mergeCell ref="H7:J7"/>
    <mergeCell ref="L7:M7"/>
    <mergeCell ref="O7:Q7"/>
    <mergeCell ref="R7:S7"/>
    <mergeCell ref="T7:U7"/>
    <mergeCell ref="D6:E6"/>
    <mergeCell ref="F6:G6"/>
    <mergeCell ref="H6:J6"/>
    <mergeCell ref="L6:M6"/>
    <mergeCell ref="O6:Q6"/>
    <mergeCell ref="R6:S6"/>
    <mergeCell ref="T4:U4"/>
    <mergeCell ref="D5:E5"/>
    <mergeCell ref="F5:G5"/>
    <mergeCell ref="H5:J5"/>
    <mergeCell ref="L5:M5"/>
    <mergeCell ref="O5:Q5"/>
    <mergeCell ref="R5:S5"/>
    <mergeCell ref="T5:U5"/>
    <mergeCell ref="D4:E4"/>
    <mergeCell ref="F4:G4"/>
    <mergeCell ref="H4:J4"/>
    <mergeCell ref="L4:M4"/>
    <mergeCell ref="O4:Q4"/>
    <mergeCell ref="R4:S4"/>
    <mergeCell ref="T2:U2"/>
    <mergeCell ref="D3:E3"/>
    <mergeCell ref="F3:G3"/>
    <mergeCell ref="H3:J3"/>
    <mergeCell ref="L3:M3"/>
    <mergeCell ref="O3:Q3"/>
    <mergeCell ref="R3:S3"/>
    <mergeCell ref="T3:U3"/>
    <mergeCell ref="D2:E2"/>
    <mergeCell ref="F2:G2"/>
    <mergeCell ref="H2:J2"/>
    <mergeCell ref="L2:M2"/>
    <mergeCell ref="O2:Q2"/>
    <mergeCell ref="R2:S2"/>
    <mergeCell ref="R1:V1"/>
    <mergeCell ref="B1:C1"/>
    <mergeCell ref="D1:G1"/>
    <mergeCell ref="H1:K1"/>
    <mergeCell ref="L1:N1"/>
    <mergeCell ref="O1:Q1"/>
  </mergeCells>
  <conditionalFormatting sqref="T9:T10">
    <cfRule type="expression" dxfId="28" priority="3" stopIfTrue="1">
      <formula>$T$9&gt;100%</formula>
    </cfRule>
    <cfRule type="expression" dxfId="27" priority="4">
      <formula>$T$9&lt;50%</formula>
    </cfRule>
  </conditionalFormatting>
  <conditionalFormatting sqref="U9:U10">
    <cfRule type="expression" dxfId="26" priority="1">
      <formula>$U$9&lt;50%</formula>
    </cfRule>
    <cfRule type="expression" dxfId="25" priority="2">
      <formula>$U$9&gt;50%</formula>
    </cfRule>
  </conditionalFormatting>
  <dataValidations count="4">
    <dataValidation type="list" showInputMessage="1" showErrorMessage="1" sqref="D18:D128" xr:uid="{3042AEBA-0146-41F4-8B2A-BAF59E2CE02C}">
      <formula1>$Y$18:$Y$29</formula1>
    </dataValidation>
    <dataValidation type="list" allowBlank="1" showInputMessage="1" showErrorMessage="1" sqref="I13" xr:uid="{0229C4B8-90E7-4E51-98FF-736146C26E76}">
      <formula1>$K$9:$K$9</formula1>
    </dataValidation>
    <dataValidation type="list" allowBlank="1" showInputMessage="1" showErrorMessage="1" sqref="H13" xr:uid="{B3A68402-D232-4E06-8BA9-1D7B7B621E9E}">
      <formula1>$X$13:$X$14</formula1>
    </dataValidation>
    <dataValidation type="list" allowBlank="1" showInputMessage="1" showErrorMessage="1" sqref="F17 P14 P17 K17" xr:uid="{C8294C22-0302-41ED-AF80-36487580C1BB}">
      <formula1>$X$11:$X$12</formula1>
    </dataValidation>
  </dataValidations>
  <printOptions verticalCentered="1"/>
  <pageMargins left="0.2" right="0.2" top="0.25" bottom="0.25" header="0.05" footer="0.05"/>
  <pageSetup scale="3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16C92-E6E1-4DDA-AF2B-21D17E77CF83}">
  <sheetPr codeName="Sheet11">
    <pageSetUpPr fitToPage="1"/>
  </sheetPr>
  <dimension ref="A1:AA131"/>
  <sheetViews>
    <sheetView zoomScale="85" zoomScaleNormal="85" workbookViewId="0">
      <pane ySplit="17" topLeftCell="A18" activePane="bottomLeft" state="frozen"/>
      <selection pane="bottomLeft" activeCell="B28" sqref="B28"/>
    </sheetView>
  </sheetViews>
  <sheetFormatPr defaultColWidth="9.140625" defaultRowHeight="15" x14ac:dyDescent="0.25"/>
  <cols>
    <col min="1" max="1" width="0.85546875" style="178" customWidth="1"/>
    <col min="2" max="2" width="25.7109375" style="178" customWidth="1"/>
    <col min="3" max="3" width="43.28515625" style="178" customWidth="1"/>
    <col min="4" max="4" width="9.7109375" style="206" customWidth="1"/>
    <col min="5" max="5" width="9.7109375" style="178" customWidth="1"/>
    <col min="6" max="8" width="18.7109375" style="178" customWidth="1"/>
    <col min="9" max="9" width="0.85546875" style="178" customWidth="1"/>
    <col min="10" max="10" width="9.5703125" style="178" customWidth="1"/>
    <col min="11" max="12" width="18.7109375" style="178" customWidth="1"/>
    <col min="13" max="13" width="13.7109375" style="178" customWidth="1"/>
    <col min="14" max="14" width="0.85546875" style="178" customWidth="1"/>
    <col min="15" max="15" width="17.85546875" style="178" customWidth="1"/>
    <col min="16" max="19" width="18.7109375" style="178" customWidth="1"/>
    <col min="20" max="20" width="15" style="178" bestFit="1" customWidth="1"/>
    <col min="21" max="21" width="14.7109375" style="178" bestFit="1" customWidth="1"/>
    <col min="22" max="22" width="13.42578125" style="178" hidden="1" customWidth="1"/>
    <col min="23" max="23" width="0.85546875" style="178" customWidth="1"/>
    <col min="24" max="25" width="9.140625" style="178" hidden="1" customWidth="1"/>
    <col min="26" max="26" width="9.140625" style="178" customWidth="1"/>
    <col min="27" max="27" width="10.5703125" style="178" bestFit="1" customWidth="1"/>
    <col min="28" max="16384" width="9.140625" style="178"/>
  </cols>
  <sheetData>
    <row r="1" spans="1:27" ht="23.25" customHeight="1" x14ac:dyDescent="0.25">
      <c r="A1" s="175"/>
      <c r="B1" s="275" t="s">
        <v>28</v>
      </c>
      <c r="C1" s="272"/>
      <c r="D1" s="276" t="s">
        <v>29</v>
      </c>
      <c r="E1" s="273"/>
      <c r="F1" s="273"/>
      <c r="G1" s="274"/>
      <c r="H1" s="272" t="s">
        <v>30</v>
      </c>
      <c r="I1" s="273"/>
      <c r="J1" s="273"/>
      <c r="K1" s="274"/>
      <c r="L1" s="277" t="s">
        <v>31</v>
      </c>
      <c r="M1" s="278"/>
      <c r="N1" s="278"/>
      <c r="O1" s="273" t="str">
        <f>K17</f>
        <v>CAD $</v>
      </c>
      <c r="P1" s="273"/>
      <c r="Q1" s="274"/>
      <c r="R1" s="272" t="s">
        <v>32</v>
      </c>
      <c r="S1" s="273"/>
      <c r="T1" s="273"/>
      <c r="U1" s="273"/>
      <c r="V1" s="274"/>
      <c r="W1" s="179"/>
      <c r="X1" s="180"/>
      <c r="Y1" s="181"/>
      <c r="Z1" s="181"/>
      <c r="AA1" s="181"/>
    </row>
    <row r="2" spans="1:27" ht="15" customHeight="1" x14ac:dyDescent="0.25">
      <c r="A2" s="175"/>
      <c r="B2" s="239" t="s">
        <v>33</v>
      </c>
      <c r="C2" s="51"/>
      <c r="D2" s="294" t="s">
        <v>34</v>
      </c>
      <c r="E2" s="295"/>
      <c r="F2" s="296"/>
      <c r="G2" s="297"/>
      <c r="H2" s="294" t="s">
        <v>35</v>
      </c>
      <c r="I2" s="298"/>
      <c r="J2" s="295"/>
      <c r="K2" s="52"/>
      <c r="L2" s="299" t="s">
        <v>36</v>
      </c>
      <c r="M2" s="300"/>
      <c r="N2" s="260"/>
      <c r="O2" s="301">
        <f>H129</f>
        <v>127177.97000000003</v>
      </c>
      <c r="P2" s="301"/>
      <c r="Q2" s="302"/>
      <c r="R2" s="303" t="s">
        <v>37</v>
      </c>
      <c r="S2" s="304"/>
      <c r="T2" s="279"/>
      <c r="U2" s="280"/>
      <c r="V2" s="53"/>
      <c r="W2" s="182"/>
      <c r="X2" s="180"/>
      <c r="Y2" s="181"/>
      <c r="Z2" s="181"/>
      <c r="AA2" s="181"/>
    </row>
    <row r="3" spans="1:27" ht="15" customHeight="1" x14ac:dyDescent="0.25">
      <c r="A3" s="175"/>
      <c r="B3" s="240" t="s">
        <v>38</v>
      </c>
      <c r="C3" s="19"/>
      <c r="D3" s="281" t="s">
        <v>39</v>
      </c>
      <c r="E3" s="282"/>
      <c r="F3" s="283"/>
      <c r="G3" s="284"/>
      <c r="H3" s="281" t="s">
        <v>40</v>
      </c>
      <c r="I3" s="285"/>
      <c r="J3" s="282"/>
      <c r="K3" s="50"/>
      <c r="L3" s="286" t="s">
        <v>41</v>
      </c>
      <c r="M3" s="287"/>
      <c r="N3" s="260"/>
      <c r="O3" s="288">
        <f>L129</f>
        <v>63589.410000000018</v>
      </c>
      <c r="P3" s="288"/>
      <c r="Q3" s="289"/>
      <c r="R3" s="290" t="s">
        <v>42</v>
      </c>
      <c r="S3" s="291"/>
      <c r="T3" s="292"/>
      <c r="U3" s="293"/>
      <c r="V3" s="35"/>
      <c r="W3" s="175"/>
      <c r="X3" s="183"/>
      <c r="Y3" s="181"/>
      <c r="Z3" s="181"/>
      <c r="AA3" s="181"/>
    </row>
    <row r="4" spans="1:27" ht="15" customHeight="1" x14ac:dyDescent="0.25">
      <c r="A4" s="175"/>
      <c r="B4" s="241" t="s">
        <v>43</v>
      </c>
      <c r="C4" s="19"/>
      <c r="D4" s="281" t="s">
        <v>44</v>
      </c>
      <c r="E4" s="282"/>
      <c r="F4" s="283"/>
      <c r="G4" s="284"/>
      <c r="H4" s="281" t="s">
        <v>45</v>
      </c>
      <c r="I4" s="285"/>
      <c r="J4" s="282"/>
      <c r="K4" s="50"/>
      <c r="L4" s="286" t="s">
        <v>46</v>
      </c>
      <c r="M4" s="287"/>
      <c r="N4" s="260"/>
      <c r="O4" s="288">
        <f>O2-O3</f>
        <v>63588.560000000012</v>
      </c>
      <c r="P4" s="288"/>
      <c r="Q4" s="289"/>
      <c r="R4" s="290" t="s">
        <v>47</v>
      </c>
      <c r="S4" s="291"/>
      <c r="T4" s="292"/>
      <c r="U4" s="293"/>
      <c r="V4" s="35"/>
      <c r="W4" s="175"/>
      <c r="X4" s="183"/>
      <c r="Y4" s="181"/>
      <c r="Z4" s="181"/>
      <c r="AA4" s="181"/>
    </row>
    <row r="5" spans="1:27" ht="15" customHeight="1" thickBot="1" x14ac:dyDescent="0.3">
      <c r="A5" s="175"/>
      <c r="B5" s="241" t="s">
        <v>48</v>
      </c>
      <c r="C5" s="19"/>
      <c r="D5" s="281" t="s">
        <v>49</v>
      </c>
      <c r="E5" s="282"/>
      <c r="F5" s="283"/>
      <c r="G5" s="284"/>
      <c r="H5" s="281" t="s">
        <v>50</v>
      </c>
      <c r="I5" s="285"/>
      <c r="J5" s="282"/>
      <c r="K5" s="50"/>
      <c r="L5" s="305" t="s">
        <v>51</v>
      </c>
      <c r="M5" s="306"/>
      <c r="N5" s="260"/>
      <c r="O5" s="307">
        <f>IFERROR((O2-O3)/O2,"")</f>
        <v>0.49999665822626355</v>
      </c>
      <c r="P5" s="307"/>
      <c r="Q5" s="308"/>
      <c r="R5" s="290" t="s">
        <v>52</v>
      </c>
      <c r="S5" s="291"/>
      <c r="T5" s="292"/>
      <c r="U5" s="293"/>
      <c r="V5" s="35"/>
      <c r="W5" s="175"/>
      <c r="X5" s="183"/>
      <c r="Y5" s="181"/>
      <c r="Z5" s="181"/>
      <c r="AA5" s="181"/>
    </row>
    <row r="6" spans="1:27" ht="15" customHeight="1" x14ac:dyDescent="0.25">
      <c r="A6" s="175"/>
      <c r="B6" s="241" t="s">
        <v>53</v>
      </c>
      <c r="C6" s="48"/>
      <c r="D6" s="281" t="s">
        <v>54</v>
      </c>
      <c r="E6" s="282"/>
      <c r="F6" s="283"/>
      <c r="G6" s="284"/>
      <c r="H6" s="281" t="s">
        <v>55</v>
      </c>
      <c r="I6" s="285"/>
      <c r="J6" s="282"/>
      <c r="K6" s="50"/>
      <c r="L6" s="317" t="s">
        <v>56</v>
      </c>
      <c r="M6" s="318"/>
      <c r="N6" s="260"/>
      <c r="O6" s="319">
        <f>S129</f>
        <v>63589.410000000018</v>
      </c>
      <c r="P6" s="319"/>
      <c r="Q6" s="320"/>
      <c r="R6" s="290" t="s">
        <v>57</v>
      </c>
      <c r="S6" s="291"/>
      <c r="T6" s="292"/>
      <c r="U6" s="293"/>
      <c r="V6" s="36"/>
      <c r="W6" s="71"/>
      <c r="X6" s="72"/>
      <c r="Y6" s="181"/>
      <c r="Z6" s="181"/>
      <c r="AA6" s="181"/>
    </row>
    <row r="7" spans="1:27" ht="15" customHeight="1" x14ac:dyDescent="0.25">
      <c r="A7" s="175"/>
      <c r="B7" s="241" t="s">
        <v>58</v>
      </c>
      <c r="C7" s="49"/>
      <c r="D7" s="281" t="s">
        <v>59</v>
      </c>
      <c r="E7" s="282"/>
      <c r="F7" s="283"/>
      <c r="G7" s="284"/>
      <c r="H7" s="281" t="s">
        <v>60</v>
      </c>
      <c r="I7" s="285"/>
      <c r="J7" s="282"/>
      <c r="K7" s="50"/>
      <c r="L7" s="309" t="s">
        <v>61</v>
      </c>
      <c r="M7" s="310"/>
      <c r="N7" s="260"/>
      <c r="O7" s="311">
        <f>Q129</f>
        <v>0</v>
      </c>
      <c r="P7" s="311"/>
      <c r="Q7" s="312"/>
      <c r="R7" s="313" t="s">
        <v>62</v>
      </c>
      <c r="S7" s="314"/>
      <c r="T7" s="315"/>
      <c r="U7" s="316"/>
      <c r="V7" s="36"/>
      <c r="W7" s="73"/>
      <c r="X7" s="181"/>
      <c r="Y7" s="181"/>
      <c r="Z7" s="181"/>
      <c r="AA7" s="181"/>
    </row>
    <row r="8" spans="1:27" ht="15" customHeight="1" x14ac:dyDescent="0.25">
      <c r="A8" s="175"/>
      <c r="B8" s="238"/>
      <c r="C8" s="237"/>
      <c r="D8" s="281" t="s">
        <v>63</v>
      </c>
      <c r="E8" s="282"/>
      <c r="F8" s="283"/>
      <c r="G8" s="284"/>
      <c r="H8" s="281" t="s">
        <v>64</v>
      </c>
      <c r="I8" s="285"/>
      <c r="J8" s="282"/>
      <c r="K8" s="50"/>
      <c r="L8" s="309" t="s">
        <v>65</v>
      </c>
      <c r="M8" s="310"/>
      <c r="N8" s="260"/>
      <c r="O8" s="311">
        <f>IF(O1=P14,Q14,IF(P14="CAD $",Q14*D15,IF(P14="USD $",Q14*E15,0)))</f>
        <v>0</v>
      </c>
      <c r="P8" s="311"/>
      <c r="Q8" s="312"/>
      <c r="R8" s="231" t="s">
        <v>66</v>
      </c>
      <c r="S8" s="232" t="s">
        <v>67</v>
      </c>
      <c r="T8" s="232" t="s">
        <v>68</v>
      </c>
      <c r="U8" s="233" t="s">
        <v>69</v>
      </c>
      <c r="V8" s="39"/>
      <c r="W8" s="184"/>
      <c r="X8" s="181"/>
      <c r="Y8" s="181"/>
      <c r="Z8" s="181"/>
      <c r="AA8" s="181"/>
    </row>
    <row r="9" spans="1:27" ht="15" customHeight="1" x14ac:dyDescent="0.25">
      <c r="A9" s="175"/>
      <c r="B9" s="237"/>
      <c r="C9" s="237"/>
      <c r="D9" s="281" t="s">
        <v>70</v>
      </c>
      <c r="E9" s="282"/>
      <c r="F9" s="283"/>
      <c r="G9" s="284"/>
      <c r="H9" s="234"/>
      <c r="I9" s="235"/>
      <c r="J9" s="235"/>
      <c r="K9" s="64"/>
      <c r="L9" s="309" t="s">
        <v>71</v>
      </c>
      <c r="M9" s="310"/>
      <c r="N9" s="260"/>
      <c r="O9" s="323">
        <f>U14</f>
        <v>0</v>
      </c>
      <c r="P9" s="323"/>
      <c r="Q9" s="324"/>
      <c r="R9" s="325">
        <f>O7+O8+O9</f>
        <v>0</v>
      </c>
      <c r="S9" s="325">
        <f>O3-R9</f>
        <v>63589.410000000018</v>
      </c>
      <c r="T9" s="327">
        <f>IFERROR(((O3-R9)/R9),0)</f>
        <v>0</v>
      </c>
      <c r="U9" s="327">
        <f>IFERROR(((O3-R9)/O3),0)</f>
        <v>1</v>
      </c>
      <c r="V9" s="329"/>
      <c r="W9" s="184"/>
      <c r="X9" s="181"/>
      <c r="Y9" s="181"/>
      <c r="Z9" s="181"/>
      <c r="AA9" s="181"/>
    </row>
    <row r="10" spans="1:27" ht="15" customHeight="1" thickBot="1" x14ac:dyDescent="0.3">
      <c r="A10" s="175"/>
      <c r="B10" s="237"/>
      <c r="C10" s="237"/>
      <c r="D10" s="236"/>
      <c r="E10" s="236"/>
      <c r="F10" s="234"/>
      <c r="G10" s="234"/>
      <c r="H10" s="234"/>
      <c r="I10" s="235"/>
      <c r="J10" s="235"/>
      <c r="K10" s="64"/>
      <c r="L10" s="290" t="s">
        <v>72</v>
      </c>
      <c r="M10" s="291"/>
      <c r="N10" s="260"/>
      <c r="O10" s="321">
        <f>E129</f>
        <v>132</v>
      </c>
      <c r="P10" s="321"/>
      <c r="Q10" s="322"/>
      <c r="R10" s="326"/>
      <c r="S10" s="326"/>
      <c r="T10" s="328"/>
      <c r="U10" s="328"/>
      <c r="V10" s="330"/>
      <c r="W10" s="184"/>
      <c r="X10" s="181"/>
      <c r="Y10" s="181"/>
      <c r="Z10" s="181"/>
      <c r="AA10" s="181"/>
    </row>
    <row r="11" spans="1:27" ht="15" customHeight="1" x14ac:dyDescent="0.25">
      <c r="A11" s="175"/>
      <c r="B11" s="368"/>
      <c r="C11" s="369"/>
      <c r="D11" s="372" t="s">
        <v>73</v>
      </c>
      <c r="E11" s="373"/>
      <c r="F11" s="376" t="s">
        <v>36</v>
      </c>
      <c r="G11" s="377"/>
      <c r="H11" s="378"/>
      <c r="I11" s="212"/>
      <c r="J11" s="382" t="s">
        <v>74</v>
      </c>
      <c r="K11" s="383"/>
      <c r="L11" s="383"/>
      <c r="M11" s="384"/>
      <c r="N11" s="260"/>
      <c r="O11" s="391" t="s">
        <v>75</v>
      </c>
      <c r="P11" s="377"/>
      <c r="Q11" s="377"/>
      <c r="R11" s="377"/>
      <c r="S11" s="377"/>
      <c r="T11" s="377"/>
      <c r="U11" s="392"/>
      <c r="V11" s="40"/>
      <c r="W11" s="185"/>
      <c r="X11" s="181" t="s">
        <v>76</v>
      </c>
      <c r="Y11" s="181"/>
      <c r="Z11" s="181"/>
      <c r="AA11" s="181"/>
    </row>
    <row r="12" spans="1:27" ht="15" customHeight="1" x14ac:dyDescent="0.25">
      <c r="A12" s="175"/>
      <c r="B12" s="370"/>
      <c r="C12" s="371"/>
      <c r="D12" s="374"/>
      <c r="E12" s="375"/>
      <c r="F12" s="379"/>
      <c r="G12" s="380"/>
      <c r="H12" s="381"/>
      <c r="I12" s="213"/>
      <c r="J12" s="385"/>
      <c r="K12" s="386"/>
      <c r="L12" s="386"/>
      <c r="M12" s="387"/>
      <c r="N12" s="261"/>
      <c r="O12" s="393"/>
      <c r="P12" s="394"/>
      <c r="Q12" s="394"/>
      <c r="R12" s="394"/>
      <c r="S12" s="394"/>
      <c r="T12" s="394"/>
      <c r="U12" s="395"/>
      <c r="V12" s="41"/>
      <c r="W12" s="185"/>
      <c r="X12" s="181" t="s">
        <v>77</v>
      </c>
      <c r="Y12" s="181"/>
      <c r="Z12" s="181"/>
      <c r="AA12" s="181"/>
    </row>
    <row r="13" spans="1:27" ht="15" customHeight="1" x14ac:dyDescent="0.25">
      <c r="A13" s="175"/>
      <c r="B13" s="370"/>
      <c r="C13" s="371"/>
      <c r="D13" s="338"/>
      <c r="E13" s="339"/>
      <c r="F13" s="331" t="s">
        <v>78</v>
      </c>
      <c r="G13" s="332"/>
      <c r="H13" s="66" t="s">
        <v>79</v>
      </c>
      <c r="I13" s="214"/>
      <c r="J13" s="388"/>
      <c r="K13" s="389"/>
      <c r="L13" s="389"/>
      <c r="M13" s="390"/>
      <c r="N13" s="261"/>
      <c r="O13" s="393"/>
      <c r="P13" s="394"/>
      <c r="Q13" s="394"/>
      <c r="R13" s="394"/>
      <c r="S13" s="394"/>
      <c r="T13" s="394"/>
      <c r="U13" s="395"/>
      <c r="V13" s="42"/>
      <c r="W13" s="185"/>
      <c r="X13" s="181" t="s">
        <v>79</v>
      </c>
      <c r="Y13" s="181"/>
      <c r="Z13" s="181"/>
      <c r="AA13" s="181"/>
    </row>
    <row r="14" spans="1:27" ht="30" customHeight="1" x14ac:dyDescent="0.25">
      <c r="A14" s="175"/>
      <c r="B14" s="370"/>
      <c r="C14" s="371"/>
      <c r="D14" s="229" t="s">
        <v>80</v>
      </c>
      <c r="E14" s="230" t="s">
        <v>81</v>
      </c>
      <c r="F14" s="333" t="s">
        <v>82</v>
      </c>
      <c r="G14" s="334"/>
      <c r="H14" s="335"/>
      <c r="I14" s="215"/>
      <c r="J14" s="336" t="s">
        <v>83</v>
      </c>
      <c r="K14" s="337"/>
      <c r="L14" s="340">
        <v>0.5</v>
      </c>
      <c r="M14" s="226"/>
      <c r="N14" s="262"/>
      <c r="O14" s="223" t="s">
        <v>84</v>
      </c>
      <c r="P14" s="55" t="s">
        <v>77</v>
      </c>
      <c r="Q14" s="69"/>
      <c r="R14" s="223" t="s">
        <v>85</v>
      </c>
      <c r="S14" s="70">
        <v>2.5000000000000001E-2</v>
      </c>
      <c r="T14" s="223" t="s">
        <v>86</v>
      </c>
      <c r="U14" s="222">
        <f>ROUND(Q129*S14,2)</f>
        <v>0</v>
      </c>
      <c r="V14" s="43"/>
      <c r="W14" s="185"/>
      <c r="X14" s="181" t="s">
        <v>87</v>
      </c>
      <c r="Y14" s="181"/>
      <c r="Z14" s="181"/>
      <c r="AA14" s="181"/>
    </row>
    <row r="15" spans="1:27" ht="15" customHeight="1" x14ac:dyDescent="0.25">
      <c r="A15" s="175"/>
      <c r="B15" s="370"/>
      <c r="C15" s="371"/>
      <c r="D15" s="259">
        <f>1/E15</f>
        <v>0.7246376811594204</v>
      </c>
      <c r="E15" s="25">
        <v>1.38</v>
      </c>
      <c r="F15" s="342"/>
      <c r="G15" s="343"/>
      <c r="H15" s="344"/>
      <c r="I15" s="216"/>
      <c r="J15" s="338"/>
      <c r="K15" s="339"/>
      <c r="L15" s="341"/>
      <c r="M15" s="348" t="s">
        <v>88</v>
      </c>
      <c r="N15" s="262"/>
      <c r="O15" s="350" t="s">
        <v>89</v>
      </c>
      <c r="P15" s="351"/>
      <c r="Q15" s="351"/>
      <c r="R15" s="351"/>
      <c r="S15" s="351"/>
      <c r="T15" s="351"/>
      <c r="U15" s="352"/>
      <c r="V15" s="37"/>
      <c r="W15" s="186"/>
      <c r="X15" s="181"/>
      <c r="Y15" s="181"/>
      <c r="Z15" s="181"/>
      <c r="AA15" s="181"/>
    </row>
    <row r="16" spans="1:27" ht="15" customHeight="1" x14ac:dyDescent="0.25">
      <c r="A16" s="175"/>
      <c r="B16" s="353" t="s">
        <v>90</v>
      </c>
      <c r="C16" s="355" t="s">
        <v>91</v>
      </c>
      <c r="D16" s="357" t="s">
        <v>92</v>
      </c>
      <c r="E16" s="359" t="s">
        <v>93</v>
      </c>
      <c r="F16" s="356" t="s">
        <v>94</v>
      </c>
      <c r="G16" s="361"/>
      <c r="H16" s="227" t="s">
        <v>95</v>
      </c>
      <c r="I16" s="217"/>
      <c r="J16" s="362" t="s">
        <v>93</v>
      </c>
      <c r="K16" s="224" t="s">
        <v>96</v>
      </c>
      <c r="L16" s="221" t="s">
        <v>97</v>
      </c>
      <c r="M16" s="348"/>
      <c r="N16" s="263"/>
      <c r="O16" s="364" t="s">
        <v>98</v>
      </c>
      <c r="P16" s="219" t="s">
        <v>99</v>
      </c>
      <c r="Q16" s="219" t="s">
        <v>100</v>
      </c>
      <c r="R16" s="220" t="s">
        <v>101</v>
      </c>
      <c r="S16" s="220" t="s">
        <v>102</v>
      </c>
      <c r="T16" s="221" t="s">
        <v>103</v>
      </c>
      <c r="U16" s="221" t="s">
        <v>104</v>
      </c>
      <c r="V16" s="44"/>
      <c r="W16" s="187"/>
      <c r="X16" s="181"/>
      <c r="Y16" s="181"/>
      <c r="Z16" s="181"/>
      <c r="AA16" s="181"/>
    </row>
    <row r="17" spans="1:27" s="190" customFormat="1" ht="15" customHeight="1" x14ac:dyDescent="0.25">
      <c r="A17" s="176"/>
      <c r="B17" s="354"/>
      <c r="C17" s="356"/>
      <c r="D17" s="358"/>
      <c r="E17" s="360"/>
      <c r="F17" s="55" t="s">
        <v>76</v>
      </c>
      <c r="G17" s="228" t="str">
        <f>IF(F17="USD $", "CAD $", "USD $")</f>
        <v>USD $</v>
      </c>
      <c r="H17" s="225" t="str">
        <f>K17</f>
        <v>CAD $</v>
      </c>
      <c r="I17" s="218"/>
      <c r="J17" s="363"/>
      <c r="K17" s="366" t="s">
        <v>76</v>
      </c>
      <c r="L17" s="367"/>
      <c r="M17" s="349"/>
      <c r="N17" s="264"/>
      <c r="O17" s="365"/>
      <c r="P17" s="55" t="s">
        <v>77</v>
      </c>
      <c r="Q17" s="345" t="str">
        <f>K17</f>
        <v>CAD $</v>
      </c>
      <c r="R17" s="346"/>
      <c r="S17" s="346"/>
      <c r="T17" s="346"/>
      <c r="U17" s="347"/>
      <c r="V17" s="38"/>
      <c r="W17" s="188"/>
      <c r="X17" s="189"/>
      <c r="Y17" s="189"/>
      <c r="Z17" s="189"/>
      <c r="AA17" s="189"/>
    </row>
    <row r="18" spans="1:27" x14ac:dyDescent="0.25">
      <c r="A18" s="175"/>
      <c r="B18" s="3" t="s">
        <v>192</v>
      </c>
      <c r="C18" s="23" t="s">
        <v>137</v>
      </c>
      <c r="D18" s="268"/>
      <c r="E18" s="173">
        <v>1</v>
      </c>
      <c r="F18" s="26">
        <v>95.68</v>
      </c>
      <c r="G18" s="27">
        <f>ROUND(IF($F$17="USD $", F18*$E$15,F18*$D$15),2)</f>
        <v>69.33</v>
      </c>
      <c r="H18" s="28">
        <f>ROUND(IF($H$17=$G$17,E18*G18,E18*F18),2)</f>
        <v>95.68</v>
      </c>
      <c r="I18" s="29"/>
      <c r="J18" s="209">
        <f t="shared" ref="J18:J81" si="0">E18</f>
        <v>1</v>
      </c>
      <c r="K18" s="27">
        <f>ROUND(IF($K$17=$F$17,F18*($L$14-M18),G18*($L$14-M18)),2)</f>
        <v>47.84</v>
      </c>
      <c r="L18" s="27">
        <f>ROUND((J18*K18),2)</f>
        <v>47.84</v>
      </c>
      <c r="M18" s="54"/>
      <c r="N18" s="76"/>
      <c r="O18" s="3"/>
      <c r="P18" s="31"/>
      <c r="Q18" s="32">
        <f>ROUND(IF($Q$17=$P$17,P18,IF($Q$17="USD $",P18*$D$15,P18*$E$15))*E18,2)</f>
        <v>0</v>
      </c>
      <c r="R18" s="32">
        <f>IFERROR(ROUND(S18/E18,2),0)</f>
        <v>47.84</v>
      </c>
      <c r="S18" s="32">
        <f>ROUND(L18-Q18,2)</f>
        <v>47.84</v>
      </c>
      <c r="T18" s="47">
        <f>IFERROR(((K18-(Q18/J18))/(Q18/J18)),0)</f>
        <v>0</v>
      </c>
      <c r="U18" s="47">
        <f>IFERROR(((K18-(Q18/J18))/K18),0)</f>
        <v>1</v>
      </c>
      <c r="V18" s="45"/>
      <c r="W18" s="74"/>
      <c r="X18" s="181"/>
      <c r="Y18" s="181">
        <v>250</v>
      </c>
      <c r="Z18" s="191"/>
      <c r="AA18" s="192"/>
    </row>
    <row r="19" spans="1:27" x14ac:dyDescent="0.25">
      <c r="A19" s="175"/>
      <c r="B19" s="1" t="s">
        <v>138</v>
      </c>
      <c r="C19" s="19" t="s">
        <v>173</v>
      </c>
      <c r="D19" s="269"/>
      <c r="E19" s="174">
        <v>1</v>
      </c>
      <c r="F19" s="33">
        <v>51.52</v>
      </c>
      <c r="G19" s="56">
        <f t="shared" ref="G19:G82" si="1">ROUND(IF($F$17="USD $", F19*$E$15,F19*$D$15),2)</f>
        <v>37.33</v>
      </c>
      <c r="H19" s="57">
        <f t="shared" ref="H19:H82" si="2">ROUND(IF($H$17=$G$17,E19*G19,E19*F19),2)</f>
        <v>51.52</v>
      </c>
      <c r="I19" s="60"/>
      <c r="J19" s="208">
        <f t="shared" si="0"/>
        <v>1</v>
      </c>
      <c r="K19" s="56">
        <f t="shared" ref="K19:K82" si="3">ROUND(IF($K$17=$F$17,F19*($L$14-M19),G19*($L$14-M19)),2)</f>
        <v>25.76</v>
      </c>
      <c r="L19" s="56">
        <f t="shared" ref="L19:L82" si="4">ROUND((J19*K19),2)</f>
        <v>25.76</v>
      </c>
      <c r="M19" s="34"/>
      <c r="N19" s="76"/>
      <c r="O19" s="1"/>
      <c r="P19" s="33"/>
      <c r="Q19" s="58">
        <f>ROUND(IF($Q$17=$P$17,P19,IF($Q$17="USD $",P19*$D$15,P19*$E$15))*E19,2)</f>
        <v>0</v>
      </c>
      <c r="R19" s="85">
        <f t="shared" ref="R19:R82" si="5">IFERROR(ROUND(S19/E19,2),0)</f>
        <v>25.76</v>
      </c>
      <c r="S19" s="85">
        <f t="shared" ref="S19:S82" si="6">ROUND(L19-Q19,2)</f>
        <v>25.76</v>
      </c>
      <c r="T19" s="59">
        <f t="shared" ref="T19:T82" si="7">IFERROR(((K19-(Q19/J19))/(Q19/J19)),0)</f>
        <v>0</v>
      </c>
      <c r="U19" s="59">
        <f t="shared" ref="U19:U82" si="8">IFERROR(((K19-(Q19/J19))/K19),0)</f>
        <v>1</v>
      </c>
      <c r="V19" s="46"/>
      <c r="W19" s="74"/>
      <c r="X19" s="181" t="s">
        <v>105</v>
      </c>
      <c r="Y19" s="181">
        <v>500</v>
      </c>
      <c r="Z19" s="181"/>
      <c r="AA19" s="181"/>
    </row>
    <row r="20" spans="1:27" x14ac:dyDescent="0.25">
      <c r="A20" s="175"/>
      <c r="B20" s="3" t="s">
        <v>204</v>
      </c>
      <c r="C20" s="24" t="s">
        <v>140</v>
      </c>
      <c r="D20" s="270"/>
      <c r="E20" s="173">
        <v>1</v>
      </c>
      <c r="F20" s="26">
        <v>85.6</v>
      </c>
      <c r="G20" s="27">
        <f t="shared" si="1"/>
        <v>62.03</v>
      </c>
      <c r="H20" s="28">
        <f t="shared" si="2"/>
        <v>85.6</v>
      </c>
      <c r="I20" s="60"/>
      <c r="J20" s="209">
        <f t="shared" si="0"/>
        <v>1</v>
      </c>
      <c r="K20" s="27">
        <f t="shared" si="3"/>
        <v>42.8</v>
      </c>
      <c r="L20" s="27">
        <f t="shared" si="4"/>
        <v>42.8</v>
      </c>
      <c r="M20" s="30"/>
      <c r="N20" s="76"/>
      <c r="O20" s="3"/>
      <c r="P20" s="31"/>
      <c r="Q20" s="32">
        <f t="shared" ref="Q20:Q83" si="9">ROUND(IF($Q$17=$P$17,P20,IF($Q$17="USD $",P20*$D$15,P20*$E$15))*E20,2)</f>
        <v>0</v>
      </c>
      <c r="R20" s="32">
        <f t="shared" si="5"/>
        <v>42.8</v>
      </c>
      <c r="S20" s="32">
        <f t="shared" si="6"/>
        <v>42.8</v>
      </c>
      <c r="T20" s="47">
        <f t="shared" si="7"/>
        <v>0</v>
      </c>
      <c r="U20" s="47">
        <f t="shared" si="8"/>
        <v>1</v>
      </c>
      <c r="V20" s="45"/>
      <c r="W20" s="74"/>
      <c r="X20" s="181" t="s">
        <v>106</v>
      </c>
      <c r="Y20" s="181">
        <v>750</v>
      </c>
      <c r="Z20" s="181"/>
      <c r="AA20" s="181"/>
    </row>
    <row r="21" spans="1:27" x14ac:dyDescent="0.25">
      <c r="A21" s="175"/>
      <c r="B21" s="1" t="s">
        <v>174</v>
      </c>
      <c r="C21" s="19" t="s">
        <v>142</v>
      </c>
      <c r="D21" s="269"/>
      <c r="E21" s="174">
        <v>1</v>
      </c>
      <c r="F21" s="33">
        <v>255.48</v>
      </c>
      <c r="G21" s="56">
        <f t="shared" si="1"/>
        <v>185.13</v>
      </c>
      <c r="H21" s="57">
        <f t="shared" si="2"/>
        <v>255.48</v>
      </c>
      <c r="I21" s="60"/>
      <c r="J21" s="208">
        <f t="shared" si="0"/>
        <v>1</v>
      </c>
      <c r="K21" s="56">
        <f t="shared" si="3"/>
        <v>127.74</v>
      </c>
      <c r="L21" s="56">
        <f t="shared" si="4"/>
        <v>127.74</v>
      </c>
      <c r="M21" s="34"/>
      <c r="N21" s="76"/>
      <c r="O21" s="1"/>
      <c r="P21" s="33"/>
      <c r="Q21" s="58">
        <f t="shared" si="9"/>
        <v>0</v>
      </c>
      <c r="R21" s="85">
        <f t="shared" si="5"/>
        <v>127.74</v>
      </c>
      <c r="S21" s="85">
        <f t="shared" si="6"/>
        <v>127.74</v>
      </c>
      <c r="T21" s="59">
        <f t="shared" si="7"/>
        <v>0</v>
      </c>
      <c r="U21" s="59">
        <f t="shared" si="8"/>
        <v>1</v>
      </c>
      <c r="V21" s="46"/>
      <c r="W21" s="74"/>
      <c r="X21" s="181" t="s">
        <v>108</v>
      </c>
      <c r="Y21" s="181">
        <v>1000</v>
      </c>
      <c r="Z21" s="181"/>
      <c r="AA21" s="181"/>
    </row>
    <row r="22" spans="1:27" x14ac:dyDescent="0.25">
      <c r="A22" s="175"/>
      <c r="B22" s="3" t="s">
        <v>205</v>
      </c>
      <c r="C22" s="24" t="s">
        <v>144</v>
      </c>
      <c r="D22" s="270"/>
      <c r="E22" s="173">
        <v>1</v>
      </c>
      <c r="F22" s="26">
        <v>171.55</v>
      </c>
      <c r="G22" s="27">
        <f t="shared" si="1"/>
        <v>124.31</v>
      </c>
      <c r="H22" s="28">
        <f t="shared" si="2"/>
        <v>171.55</v>
      </c>
      <c r="I22" s="60"/>
      <c r="J22" s="209">
        <f t="shared" si="0"/>
        <v>1</v>
      </c>
      <c r="K22" s="27">
        <f t="shared" si="3"/>
        <v>85.78</v>
      </c>
      <c r="L22" s="27">
        <f t="shared" si="4"/>
        <v>85.78</v>
      </c>
      <c r="M22" s="30"/>
      <c r="N22" s="76"/>
      <c r="O22" s="3"/>
      <c r="P22" s="31"/>
      <c r="Q22" s="32">
        <f t="shared" si="9"/>
        <v>0</v>
      </c>
      <c r="R22" s="32">
        <f t="shared" si="5"/>
        <v>85.78</v>
      </c>
      <c r="S22" s="32">
        <f t="shared" si="6"/>
        <v>85.78</v>
      </c>
      <c r="T22" s="47">
        <f t="shared" si="7"/>
        <v>0</v>
      </c>
      <c r="U22" s="47">
        <f t="shared" si="8"/>
        <v>1</v>
      </c>
      <c r="V22" s="45"/>
      <c r="W22" s="74"/>
      <c r="X22" s="181" t="s">
        <v>109</v>
      </c>
      <c r="Y22" s="181">
        <v>1200</v>
      </c>
      <c r="Z22" s="181"/>
      <c r="AA22" s="181"/>
    </row>
    <row r="23" spans="1:27" x14ac:dyDescent="0.25">
      <c r="A23" s="175"/>
      <c r="B23" s="1" t="s">
        <v>206</v>
      </c>
      <c r="C23" s="19" t="s">
        <v>145</v>
      </c>
      <c r="D23" s="269"/>
      <c r="E23" s="174">
        <v>1</v>
      </c>
      <c r="F23" s="33">
        <v>167.02</v>
      </c>
      <c r="G23" s="56">
        <f t="shared" si="1"/>
        <v>121.03</v>
      </c>
      <c r="H23" s="57">
        <f t="shared" si="2"/>
        <v>167.02</v>
      </c>
      <c r="I23" s="60"/>
      <c r="J23" s="208">
        <f t="shared" si="0"/>
        <v>1</v>
      </c>
      <c r="K23" s="56">
        <f t="shared" si="3"/>
        <v>83.51</v>
      </c>
      <c r="L23" s="56">
        <f t="shared" si="4"/>
        <v>83.51</v>
      </c>
      <c r="M23" s="34"/>
      <c r="N23" s="76"/>
      <c r="O23" s="1"/>
      <c r="P23" s="33"/>
      <c r="Q23" s="58">
        <f t="shared" si="9"/>
        <v>0</v>
      </c>
      <c r="R23" s="85">
        <f t="shared" si="5"/>
        <v>83.51</v>
      </c>
      <c r="S23" s="85">
        <f t="shared" si="6"/>
        <v>83.51</v>
      </c>
      <c r="T23" s="59">
        <f t="shared" si="7"/>
        <v>0</v>
      </c>
      <c r="U23" s="59">
        <f t="shared" si="8"/>
        <v>1</v>
      </c>
      <c r="V23" s="46"/>
      <c r="W23" s="74"/>
      <c r="X23" s="181" t="s">
        <v>111</v>
      </c>
      <c r="Y23" s="181">
        <v>2000</v>
      </c>
      <c r="Z23" s="181"/>
      <c r="AA23" s="181"/>
    </row>
    <row r="24" spans="1:27" x14ac:dyDescent="0.25">
      <c r="A24" s="175"/>
      <c r="B24" s="3" t="s">
        <v>207</v>
      </c>
      <c r="C24" s="24" t="s">
        <v>110</v>
      </c>
      <c r="D24" s="270"/>
      <c r="E24" s="173">
        <v>1</v>
      </c>
      <c r="F24" s="26">
        <v>109.74</v>
      </c>
      <c r="G24" s="27">
        <f t="shared" si="1"/>
        <v>79.52</v>
      </c>
      <c r="H24" s="28">
        <f t="shared" si="2"/>
        <v>109.74</v>
      </c>
      <c r="I24" s="60"/>
      <c r="J24" s="209">
        <f t="shared" si="0"/>
        <v>1</v>
      </c>
      <c r="K24" s="27">
        <f t="shared" si="3"/>
        <v>54.87</v>
      </c>
      <c r="L24" s="27">
        <f t="shared" si="4"/>
        <v>54.87</v>
      </c>
      <c r="M24" s="30"/>
      <c r="N24" s="76"/>
      <c r="O24" s="3"/>
      <c r="P24" s="31"/>
      <c r="Q24" s="32">
        <f t="shared" si="9"/>
        <v>0</v>
      </c>
      <c r="R24" s="32">
        <f t="shared" si="5"/>
        <v>54.87</v>
      </c>
      <c r="S24" s="32">
        <f t="shared" si="6"/>
        <v>54.87</v>
      </c>
      <c r="T24" s="47">
        <f t="shared" si="7"/>
        <v>0</v>
      </c>
      <c r="U24" s="47">
        <f t="shared" si="8"/>
        <v>1</v>
      </c>
      <c r="V24" s="45"/>
      <c r="W24" s="74"/>
      <c r="X24" s="181" t="s">
        <v>112</v>
      </c>
      <c r="Y24" s="181">
        <v>4000</v>
      </c>
      <c r="Z24" s="181"/>
      <c r="AA24" s="181"/>
    </row>
    <row r="25" spans="1:27" x14ac:dyDescent="0.25">
      <c r="A25" s="175"/>
      <c r="B25" s="1" t="s">
        <v>175</v>
      </c>
      <c r="C25" s="19" t="s">
        <v>130</v>
      </c>
      <c r="D25" s="269"/>
      <c r="E25" s="174">
        <v>1</v>
      </c>
      <c r="F25" s="33">
        <v>77.400000000000006</v>
      </c>
      <c r="G25" s="56">
        <f t="shared" si="1"/>
        <v>56.09</v>
      </c>
      <c r="H25" s="57">
        <f t="shared" si="2"/>
        <v>77.400000000000006</v>
      </c>
      <c r="I25" s="60"/>
      <c r="J25" s="208">
        <f t="shared" si="0"/>
        <v>1</v>
      </c>
      <c r="K25" s="56">
        <f t="shared" si="3"/>
        <v>38.700000000000003</v>
      </c>
      <c r="L25" s="56">
        <f t="shared" si="4"/>
        <v>38.700000000000003</v>
      </c>
      <c r="M25" s="34"/>
      <c r="N25" s="76"/>
      <c r="O25" s="1"/>
      <c r="P25" s="33"/>
      <c r="Q25" s="58">
        <f t="shared" si="9"/>
        <v>0</v>
      </c>
      <c r="R25" s="85">
        <f t="shared" si="5"/>
        <v>38.700000000000003</v>
      </c>
      <c r="S25" s="85">
        <f t="shared" si="6"/>
        <v>38.700000000000003</v>
      </c>
      <c r="T25" s="59">
        <f t="shared" si="7"/>
        <v>0</v>
      </c>
      <c r="U25" s="59">
        <f t="shared" si="8"/>
        <v>1</v>
      </c>
      <c r="V25" s="46"/>
      <c r="W25" s="74"/>
      <c r="X25" s="181" t="s">
        <v>114</v>
      </c>
      <c r="Y25" s="181">
        <v>6000</v>
      </c>
      <c r="Z25" s="181"/>
      <c r="AA25" s="181"/>
    </row>
    <row r="26" spans="1:27" x14ac:dyDescent="0.25">
      <c r="A26" s="175"/>
      <c r="B26" s="3" t="s">
        <v>176</v>
      </c>
      <c r="C26" s="24" t="s">
        <v>193</v>
      </c>
      <c r="D26" s="270"/>
      <c r="E26" s="173">
        <v>2</v>
      </c>
      <c r="F26" s="26">
        <v>726.37</v>
      </c>
      <c r="G26" s="27">
        <f t="shared" si="1"/>
        <v>526.36</v>
      </c>
      <c r="H26" s="28">
        <f t="shared" si="2"/>
        <v>1452.74</v>
      </c>
      <c r="I26" s="60"/>
      <c r="J26" s="209">
        <f t="shared" si="0"/>
        <v>2</v>
      </c>
      <c r="K26" s="27">
        <f t="shared" si="3"/>
        <v>363.19</v>
      </c>
      <c r="L26" s="27">
        <f t="shared" si="4"/>
        <v>726.38</v>
      </c>
      <c r="M26" s="30"/>
      <c r="N26" s="76"/>
      <c r="O26" s="3"/>
      <c r="P26" s="31"/>
      <c r="Q26" s="32">
        <f t="shared" si="9"/>
        <v>0</v>
      </c>
      <c r="R26" s="32">
        <f t="shared" si="5"/>
        <v>363.19</v>
      </c>
      <c r="S26" s="32">
        <f t="shared" si="6"/>
        <v>726.38</v>
      </c>
      <c r="T26" s="47">
        <f t="shared" si="7"/>
        <v>0</v>
      </c>
      <c r="U26" s="47">
        <f t="shared" si="8"/>
        <v>1</v>
      </c>
      <c r="V26" s="45"/>
      <c r="W26" s="74"/>
      <c r="X26" s="181" t="s">
        <v>115</v>
      </c>
      <c r="Y26" s="181">
        <v>8000</v>
      </c>
      <c r="Z26" s="181"/>
      <c r="AA26" s="181"/>
    </row>
    <row r="27" spans="1:27" x14ac:dyDescent="0.25">
      <c r="A27" s="175"/>
      <c r="B27" s="1"/>
      <c r="C27" s="19"/>
      <c r="D27" s="269"/>
      <c r="E27" s="174"/>
      <c r="F27" s="33"/>
      <c r="G27" s="56">
        <f t="shared" si="1"/>
        <v>0</v>
      </c>
      <c r="H27" s="57">
        <f t="shared" si="2"/>
        <v>0</v>
      </c>
      <c r="I27" s="60"/>
      <c r="J27" s="208">
        <f t="shared" si="0"/>
        <v>0</v>
      </c>
      <c r="K27" s="56">
        <f t="shared" si="3"/>
        <v>0</v>
      </c>
      <c r="L27" s="56">
        <f t="shared" si="4"/>
        <v>0</v>
      </c>
      <c r="M27" s="34"/>
      <c r="N27" s="76"/>
      <c r="O27" s="1"/>
      <c r="P27" s="33"/>
      <c r="Q27" s="58">
        <f t="shared" si="9"/>
        <v>0</v>
      </c>
      <c r="R27" s="85">
        <f t="shared" si="5"/>
        <v>0</v>
      </c>
      <c r="S27" s="85">
        <f t="shared" si="6"/>
        <v>0</v>
      </c>
      <c r="T27" s="59">
        <f t="shared" si="7"/>
        <v>0</v>
      </c>
      <c r="U27" s="59">
        <f t="shared" si="8"/>
        <v>0</v>
      </c>
      <c r="V27" s="46"/>
      <c r="W27" s="74"/>
      <c r="X27" s="181" t="s">
        <v>116</v>
      </c>
      <c r="Y27" s="193">
        <v>10000</v>
      </c>
      <c r="Z27" s="181"/>
      <c r="AA27" s="181"/>
    </row>
    <row r="28" spans="1:27" x14ac:dyDescent="0.25">
      <c r="A28" s="175"/>
      <c r="B28" s="3" t="s">
        <v>208</v>
      </c>
      <c r="C28" s="24" t="s">
        <v>177</v>
      </c>
      <c r="D28" s="270"/>
      <c r="E28" s="173">
        <v>1</v>
      </c>
      <c r="F28" s="26">
        <v>10386.33</v>
      </c>
      <c r="G28" s="27">
        <f t="shared" si="1"/>
        <v>7526.33</v>
      </c>
      <c r="H28" s="28">
        <f t="shared" si="2"/>
        <v>10386.33</v>
      </c>
      <c r="I28" s="60"/>
      <c r="J28" s="209">
        <f t="shared" si="0"/>
        <v>1</v>
      </c>
      <c r="K28" s="27">
        <f t="shared" si="3"/>
        <v>5193.17</v>
      </c>
      <c r="L28" s="27">
        <f t="shared" si="4"/>
        <v>5193.17</v>
      </c>
      <c r="M28" s="30"/>
      <c r="N28" s="76"/>
      <c r="O28" s="3"/>
      <c r="P28" s="31"/>
      <c r="Q28" s="32">
        <f t="shared" si="9"/>
        <v>0</v>
      </c>
      <c r="R28" s="32">
        <f t="shared" si="5"/>
        <v>5193.17</v>
      </c>
      <c r="S28" s="32">
        <f t="shared" si="6"/>
        <v>5193.17</v>
      </c>
      <c r="T28" s="47">
        <f t="shared" si="7"/>
        <v>0</v>
      </c>
      <c r="U28" s="47">
        <f t="shared" si="8"/>
        <v>1</v>
      </c>
      <c r="V28" s="45"/>
      <c r="W28" s="74"/>
      <c r="X28" s="181" t="s">
        <v>117</v>
      </c>
      <c r="Y28" s="181" t="s">
        <v>118</v>
      </c>
      <c r="Z28" s="181"/>
      <c r="AA28" s="181"/>
    </row>
    <row r="29" spans="1:27" x14ac:dyDescent="0.25">
      <c r="A29" s="175"/>
      <c r="B29" s="1" t="s">
        <v>209</v>
      </c>
      <c r="C29" s="19" t="s">
        <v>166</v>
      </c>
      <c r="D29" s="269"/>
      <c r="E29" s="174">
        <v>1</v>
      </c>
      <c r="F29" s="33">
        <v>4483.87</v>
      </c>
      <c r="G29" s="56">
        <f>ROUND(IF($F$17="USD $", F29*$E$15,F29*$D$15),2)</f>
        <v>3249.18</v>
      </c>
      <c r="H29" s="57">
        <f>ROUND(IF($H$17=$G$17,E29*G29,E29*F29),2)</f>
        <v>4483.87</v>
      </c>
      <c r="I29" s="60"/>
      <c r="J29" s="208">
        <f t="shared" si="0"/>
        <v>1</v>
      </c>
      <c r="K29" s="56">
        <f t="shared" si="3"/>
        <v>2241.94</v>
      </c>
      <c r="L29" s="56">
        <f>ROUND((J29*K29),2)</f>
        <v>2241.94</v>
      </c>
      <c r="M29" s="34"/>
      <c r="N29" s="76"/>
      <c r="O29" s="1"/>
      <c r="P29" s="33"/>
      <c r="Q29" s="58">
        <f t="shared" si="9"/>
        <v>0</v>
      </c>
      <c r="R29" s="85">
        <f t="shared" si="5"/>
        <v>2241.94</v>
      </c>
      <c r="S29" s="85">
        <f t="shared" si="6"/>
        <v>2241.94</v>
      </c>
      <c r="T29" s="59">
        <f t="shared" si="7"/>
        <v>0</v>
      </c>
      <c r="U29" s="59">
        <f t="shared" si="8"/>
        <v>1</v>
      </c>
      <c r="V29" s="46"/>
      <c r="W29" s="74"/>
      <c r="X29" s="181" t="s">
        <v>120</v>
      </c>
      <c r="Y29" s="181"/>
      <c r="Z29" s="181"/>
      <c r="AA29" s="181"/>
    </row>
    <row r="30" spans="1:27" x14ac:dyDescent="0.25">
      <c r="A30" s="175"/>
      <c r="B30" s="3" t="s">
        <v>210</v>
      </c>
      <c r="C30" s="24" t="s">
        <v>178</v>
      </c>
      <c r="D30" s="270"/>
      <c r="E30" s="173">
        <v>1</v>
      </c>
      <c r="F30" s="26">
        <v>16109.08</v>
      </c>
      <c r="G30" s="27">
        <f t="shared" si="1"/>
        <v>11673.25</v>
      </c>
      <c r="H30" s="28">
        <f t="shared" si="2"/>
        <v>16109.08</v>
      </c>
      <c r="I30" s="60"/>
      <c r="J30" s="209">
        <f t="shared" si="0"/>
        <v>1</v>
      </c>
      <c r="K30" s="27">
        <f t="shared" si="3"/>
        <v>8054.54</v>
      </c>
      <c r="L30" s="27">
        <f t="shared" si="4"/>
        <v>8054.54</v>
      </c>
      <c r="M30" s="30"/>
      <c r="N30" s="76"/>
      <c r="O30" s="3"/>
      <c r="P30" s="31"/>
      <c r="Q30" s="32">
        <f t="shared" si="9"/>
        <v>0</v>
      </c>
      <c r="R30" s="32">
        <f t="shared" si="5"/>
        <v>8054.54</v>
      </c>
      <c r="S30" s="32">
        <f t="shared" si="6"/>
        <v>8054.54</v>
      </c>
      <c r="T30" s="47">
        <f t="shared" si="7"/>
        <v>0</v>
      </c>
      <c r="U30" s="47">
        <f t="shared" si="8"/>
        <v>1</v>
      </c>
      <c r="V30" s="45"/>
      <c r="W30" s="74"/>
      <c r="X30" s="181"/>
      <c r="Y30" s="181"/>
      <c r="Z30" s="181"/>
      <c r="AA30" s="181"/>
    </row>
    <row r="31" spans="1:27" x14ac:dyDescent="0.25">
      <c r="A31" s="175"/>
      <c r="B31" s="1" t="s">
        <v>211</v>
      </c>
      <c r="C31" s="19" t="s">
        <v>168</v>
      </c>
      <c r="D31" s="269"/>
      <c r="E31" s="174">
        <v>1</v>
      </c>
      <c r="F31" s="33">
        <v>13237.86</v>
      </c>
      <c r="G31" s="56">
        <f t="shared" si="1"/>
        <v>9592.65</v>
      </c>
      <c r="H31" s="57">
        <f t="shared" si="2"/>
        <v>13237.86</v>
      </c>
      <c r="I31" s="60"/>
      <c r="J31" s="208">
        <f t="shared" si="0"/>
        <v>1</v>
      </c>
      <c r="K31" s="56">
        <f t="shared" si="3"/>
        <v>6618.93</v>
      </c>
      <c r="L31" s="56">
        <f t="shared" si="4"/>
        <v>6618.93</v>
      </c>
      <c r="M31" s="34"/>
      <c r="N31" s="76"/>
      <c r="O31" s="1"/>
      <c r="P31" s="33"/>
      <c r="Q31" s="58">
        <f t="shared" si="9"/>
        <v>0</v>
      </c>
      <c r="R31" s="85">
        <f t="shared" si="5"/>
        <v>6618.93</v>
      </c>
      <c r="S31" s="85">
        <f t="shared" si="6"/>
        <v>6618.93</v>
      </c>
      <c r="T31" s="59">
        <f t="shared" si="7"/>
        <v>0</v>
      </c>
      <c r="U31" s="59">
        <f t="shared" si="8"/>
        <v>1</v>
      </c>
      <c r="V31" s="46"/>
      <c r="W31" s="74"/>
      <c r="X31" s="181"/>
      <c r="Y31" s="181"/>
      <c r="Z31" s="181"/>
      <c r="AA31" s="181"/>
    </row>
    <row r="32" spans="1:27" x14ac:dyDescent="0.25">
      <c r="A32" s="175"/>
      <c r="B32" s="3" t="s">
        <v>212</v>
      </c>
      <c r="C32" s="24" t="s">
        <v>179</v>
      </c>
      <c r="D32" s="270"/>
      <c r="E32" s="173">
        <v>1</v>
      </c>
      <c r="F32" s="26">
        <v>6920.52</v>
      </c>
      <c r="G32" s="27">
        <f t="shared" si="1"/>
        <v>5014.87</v>
      </c>
      <c r="H32" s="28">
        <f t="shared" si="2"/>
        <v>6920.52</v>
      </c>
      <c r="I32" s="60"/>
      <c r="J32" s="209">
        <f t="shared" si="0"/>
        <v>1</v>
      </c>
      <c r="K32" s="27">
        <f t="shared" si="3"/>
        <v>3460.26</v>
      </c>
      <c r="L32" s="27">
        <f t="shared" si="4"/>
        <v>3460.26</v>
      </c>
      <c r="M32" s="30"/>
      <c r="N32" s="76"/>
      <c r="O32" s="3"/>
      <c r="P32" s="31"/>
      <c r="Q32" s="32">
        <f t="shared" si="9"/>
        <v>0</v>
      </c>
      <c r="R32" s="32">
        <f t="shared" si="5"/>
        <v>3460.26</v>
      </c>
      <c r="S32" s="32">
        <f t="shared" si="6"/>
        <v>3460.26</v>
      </c>
      <c r="T32" s="47">
        <f t="shared" si="7"/>
        <v>0</v>
      </c>
      <c r="U32" s="47">
        <f t="shared" si="8"/>
        <v>1</v>
      </c>
      <c r="V32" s="45"/>
      <c r="W32" s="74"/>
      <c r="X32" s="181"/>
      <c r="Y32" s="181"/>
      <c r="Z32" s="181"/>
      <c r="AA32" s="181"/>
    </row>
    <row r="33" spans="1:27" x14ac:dyDescent="0.25">
      <c r="A33" s="175"/>
      <c r="B33" s="1"/>
      <c r="C33" s="19" t="s">
        <v>213</v>
      </c>
      <c r="D33" s="269"/>
      <c r="E33" s="174"/>
      <c r="F33" s="33"/>
      <c r="G33" s="56">
        <f t="shared" si="1"/>
        <v>0</v>
      </c>
      <c r="H33" s="57">
        <f t="shared" si="2"/>
        <v>0</v>
      </c>
      <c r="I33" s="60"/>
      <c r="J33" s="208">
        <f t="shared" si="0"/>
        <v>0</v>
      </c>
      <c r="K33" s="56">
        <f t="shared" si="3"/>
        <v>0</v>
      </c>
      <c r="L33" s="56">
        <f t="shared" si="4"/>
        <v>0</v>
      </c>
      <c r="M33" s="34"/>
      <c r="N33" s="76"/>
      <c r="O33" s="1"/>
      <c r="P33" s="33"/>
      <c r="Q33" s="58">
        <f t="shared" si="9"/>
        <v>0</v>
      </c>
      <c r="R33" s="85">
        <f t="shared" si="5"/>
        <v>0</v>
      </c>
      <c r="S33" s="85">
        <f t="shared" si="6"/>
        <v>0</v>
      </c>
      <c r="T33" s="59">
        <f t="shared" si="7"/>
        <v>0</v>
      </c>
      <c r="U33" s="59">
        <f t="shared" si="8"/>
        <v>0</v>
      </c>
      <c r="V33" s="46"/>
      <c r="W33" s="74"/>
      <c r="X33" s="181"/>
      <c r="Y33" s="181"/>
      <c r="Z33" s="181"/>
      <c r="AA33" s="181"/>
    </row>
    <row r="34" spans="1:27" x14ac:dyDescent="0.25">
      <c r="A34" s="175"/>
      <c r="B34" s="3" t="s">
        <v>180</v>
      </c>
      <c r="C34" s="24" t="s">
        <v>181</v>
      </c>
      <c r="D34" s="270"/>
      <c r="E34" s="173">
        <v>1</v>
      </c>
      <c r="F34" s="26">
        <v>19075.97</v>
      </c>
      <c r="G34" s="27">
        <f t="shared" si="1"/>
        <v>13823.17</v>
      </c>
      <c r="H34" s="28">
        <f t="shared" si="2"/>
        <v>19075.97</v>
      </c>
      <c r="I34" s="60"/>
      <c r="J34" s="209">
        <f t="shared" si="0"/>
        <v>1</v>
      </c>
      <c r="K34" s="27">
        <f t="shared" si="3"/>
        <v>9537.99</v>
      </c>
      <c r="L34" s="27">
        <f t="shared" si="4"/>
        <v>9537.99</v>
      </c>
      <c r="M34" s="30"/>
      <c r="N34" s="76"/>
      <c r="O34" s="3"/>
      <c r="P34" s="31"/>
      <c r="Q34" s="32">
        <f t="shared" si="9"/>
        <v>0</v>
      </c>
      <c r="R34" s="32">
        <f t="shared" si="5"/>
        <v>9537.99</v>
      </c>
      <c r="S34" s="32">
        <f t="shared" si="6"/>
        <v>9537.99</v>
      </c>
      <c r="T34" s="47">
        <f t="shared" si="7"/>
        <v>0</v>
      </c>
      <c r="U34" s="47">
        <f t="shared" si="8"/>
        <v>1</v>
      </c>
      <c r="V34" s="45"/>
      <c r="W34" s="74"/>
      <c r="X34" s="181"/>
      <c r="Y34" s="181"/>
      <c r="Z34" s="181"/>
      <c r="AA34" s="181"/>
    </row>
    <row r="35" spans="1:27" x14ac:dyDescent="0.25">
      <c r="A35" s="175"/>
      <c r="B35" s="1" t="s">
        <v>182</v>
      </c>
      <c r="C35" s="19" t="s">
        <v>183</v>
      </c>
      <c r="D35" s="269"/>
      <c r="E35" s="174">
        <v>2</v>
      </c>
      <c r="F35" s="33">
        <v>15107.68</v>
      </c>
      <c r="G35" s="56">
        <f t="shared" si="1"/>
        <v>10947.59</v>
      </c>
      <c r="H35" s="57">
        <f t="shared" si="2"/>
        <v>30215.360000000001</v>
      </c>
      <c r="I35" s="60"/>
      <c r="J35" s="208">
        <f t="shared" si="0"/>
        <v>2</v>
      </c>
      <c r="K35" s="56">
        <f t="shared" si="3"/>
        <v>7553.84</v>
      </c>
      <c r="L35" s="56">
        <f t="shared" si="4"/>
        <v>15107.68</v>
      </c>
      <c r="M35" s="34"/>
      <c r="N35" s="76"/>
      <c r="O35" s="1"/>
      <c r="P35" s="33"/>
      <c r="Q35" s="58">
        <f t="shared" si="9"/>
        <v>0</v>
      </c>
      <c r="R35" s="85">
        <f t="shared" si="5"/>
        <v>7553.84</v>
      </c>
      <c r="S35" s="85">
        <f t="shared" si="6"/>
        <v>15107.68</v>
      </c>
      <c r="T35" s="59">
        <f t="shared" si="7"/>
        <v>0</v>
      </c>
      <c r="U35" s="59">
        <f t="shared" si="8"/>
        <v>1</v>
      </c>
      <c r="V35" s="46"/>
      <c r="W35" s="74"/>
      <c r="X35" s="181"/>
      <c r="Y35" s="181"/>
      <c r="Z35" s="181"/>
      <c r="AA35" s="181"/>
    </row>
    <row r="36" spans="1:27" x14ac:dyDescent="0.25">
      <c r="A36" s="175"/>
      <c r="B36" s="3" t="s">
        <v>184</v>
      </c>
      <c r="C36" s="24" t="s">
        <v>185</v>
      </c>
      <c r="D36" s="270"/>
      <c r="E36" s="173">
        <v>34</v>
      </c>
      <c r="F36" s="26">
        <v>5.66</v>
      </c>
      <c r="G36" s="27">
        <f t="shared" si="1"/>
        <v>4.0999999999999996</v>
      </c>
      <c r="H36" s="28">
        <f t="shared" si="2"/>
        <v>192.44</v>
      </c>
      <c r="I36" s="60"/>
      <c r="J36" s="209">
        <f t="shared" si="0"/>
        <v>34</v>
      </c>
      <c r="K36" s="27">
        <f t="shared" si="3"/>
        <v>2.83</v>
      </c>
      <c r="L36" s="27">
        <f t="shared" si="4"/>
        <v>96.22</v>
      </c>
      <c r="M36" s="30"/>
      <c r="N36" s="76"/>
      <c r="O36" s="3"/>
      <c r="P36" s="31"/>
      <c r="Q36" s="32">
        <f t="shared" si="9"/>
        <v>0</v>
      </c>
      <c r="R36" s="32">
        <f t="shared" si="5"/>
        <v>2.83</v>
      </c>
      <c r="S36" s="32">
        <f t="shared" si="6"/>
        <v>96.22</v>
      </c>
      <c r="T36" s="47">
        <f t="shared" si="7"/>
        <v>0</v>
      </c>
      <c r="U36" s="47">
        <f t="shared" si="8"/>
        <v>1</v>
      </c>
      <c r="V36" s="45"/>
      <c r="W36" s="74"/>
      <c r="X36" s="181"/>
      <c r="Y36" s="181"/>
      <c r="Z36" s="181"/>
      <c r="AA36" s="181"/>
    </row>
    <row r="37" spans="1:27" x14ac:dyDescent="0.25">
      <c r="A37" s="175"/>
      <c r="B37" s="1" t="s">
        <v>186</v>
      </c>
      <c r="C37" s="19" t="s">
        <v>128</v>
      </c>
      <c r="D37" s="269"/>
      <c r="E37" s="174">
        <v>34</v>
      </c>
      <c r="F37" s="33">
        <v>3.65</v>
      </c>
      <c r="G37" s="56">
        <f t="shared" si="1"/>
        <v>2.64</v>
      </c>
      <c r="H37" s="57">
        <f t="shared" si="2"/>
        <v>124.1</v>
      </c>
      <c r="I37" s="60"/>
      <c r="J37" s="208">
        <f t="shared" si="0"/>
        <v>34</v>
      </c>
      <c r="K37" s="56">
        <f t="shared" si="3"/>
        <v>1.83</v>
      </c>
      <c r="L37" s="56">
        <f t="shared" si="4"/>
        <v>62.22</v>
      </c>
      <c r="M37" s="34"/>
      <c r="N37" s="76"/>
      <c r="O37" s="1"/>
      <c r="P37" s="33"/>
      <c r="Q37" s="58">
        <f t="shared" si="9"/>
        <v>0</v>
      </c>
      <c r="R37" s="85">
        <f t="shared" si="5"/>
        <v>1.83</v>
      </c>
      <c r="S37" s="85">
        <f t="shared" si="6"/>
        <v>62.22</v>
      </c>
      <c r="T37" s="59">
        <f t="shared" si="7"/>
        <v>0</v>
      </c>
      <c r="U37" s="59">
        <f t="shared" si="8"/>
        <v>1</v>
      </c>
      <c r="V37" s="46"/>
      <c r="W37" s="74"/>
      <c r="X37" s="181"/>
      <c r="Y37" s="181"/>
      <c r="Z37" s="181"/>
      <c r="AA37" s="181"/>
    </row>
    <row r="38" spans="1:27" x14ac:dyDescent="0.25">
      <c r="A38" s="175"/>
      <c r="B38" s="3" t="s">
        <v>187</v>
      </c>
      <c r="C38" s="24" t="s">
        <v>188</v>
      </c>
      <c r="D38" s="270"/>
      <c r="E38" s="173">
        <v>2</v>
      </c>
      <c r="F38" s="26">
        <v>220.93</v>
      </c>
      <c r="G38" s="2">
        <f t="shared" si="1"/>
        <v>160.09</v>
      </c>
      <c r="H38" s="20">
        <f t="shared" si="2"/>
        <v>441.86</v>
      </c>
      <c r="I38" s="61"/>
      <c r="J38" s="210">
        <f t="shared" si="0"/>
        <v>2</v>
      </c>
      <c r="K38" s="2">
        <f t="shared" si="3"/>
        <v>110.47</v>
      </c>
      <c r="L38" s="2">
        <f t="shared" si="4"/>
        <v>220.94</v>
      </c>
      <c r="M38" s="21"/>
      <c r="N38" s="76"/>
      <c r="O38" s="3"/>
      <c r="P38" s="31"/>
      <c r="Q38" s="32">
        <f t="shared" si="9"/>
        <v>0</v>
      </c>
      <c r="R38" s="32">
        <f t="shared" si="5"/>
        <v>110.47</v>
      </c>
      <c r="S38" s="32">
        <f t="shared" si="6"/>
        <v>220.94</v>
      </c>
      <c r="T38" s="47">
        <f t="shared" si="7"/>
        <v>0</v>
      </c>
      <c r="U38" s="47">
        <f t="shared" si="8"/>
        <v>1</v>
      </c>
      <c r="V38" s="45"/>
      <c r="W38" s="75"/>
    </row>
    <row r="39" spans="1:27" x14ac:dyDescent="0.25">
      <c r="A39" s="175"/>
      <c r="B39" s="1" t="s">
        <v>189</v>
      </c>
      <c r="C39" s="19" t="s">
        <v>190</v>
      </c>
      <c r="D39" s="269"/>
      <c r="E39" s="174">
        <v>10</v>
      </c>
      <c r="F39" s="33">
        <v>4.51</v>
      </c>
      <c r="G39" s="62">
        <f t="shared" si="1"/>
        <v>3.27</v>
      </c>
      <c r="H39" s="63">
        <f t="shared" si="2"/>
        <v>45.1</v>
      </c>
      <c r="I39" s="61"/>
      <c r="J39" s="211">
        <f t="shared" si="0"/>
        <v>10</v>
      </c>
      <c r="K39" s="62">
        <f t="shared" si="3"/>
        <v>2.2599999999999998</v>
      </c>
      <c r="L39" s="62">
        <f t="shared" si="4"/>
        <v>22.6</v>
      </c>
      <c r="M39" s="22"/>
      <c r="N39" s="76"/>
      <c r="O39" s="1"/>
      <c r="P39" s="33"/>
      <c r="Q39" s="58">
        <f t="shared" si="9"/>
        <v>0</v>
      </c>
      <c r="R39" s="85">
        <f t="shared" si="5"/>
        <v>2.2599999999999998</v>
      </c>
      <c r="S39" s="85">
        <f t="shared" si="6"/>
        <v>22.6</v>
      </c>
      <c r="T39" s="59">
        <f t="shared" si="7"/>
        <v>0</v>
      </c>
      <c r="U39" s="59">
        <f t="shared" si="8"/>
        <v>1</v>
      </c>
      <c r="V39" s="46"/>
      <c r="W39" s="75"/>
    </row>
    <row r="40" spans="1:27" x14ac:dyDescent="0.25">
      <c r="A40" s="175"/>
      <c r="B40" s="3" t="s">
        <v>186</v>
      </c>
      <c r="C40" s="24" t="s">
        <v>191</v>
      </c>
      <c r="D40" s="270"/>
      <c r="E40" s="173">
        <v>10</v>
      </c>
      <c r="F40" s="26">
        <v>3.65</v>
      </c>
      <c r="G40" s="2">
        <f t="shared" si="1"/>
        <v>2.64</v>
      </c>
      <c r="H40" s="20">
        <f t="shared" si="2"/>
        <v>36.5</v>
      </c>
      <c r="I40" s="61"/>
      <c r="J40" s="210">
        <f t="shared" si="0"/>
        <v>10</v>
      </c>
      <c r="K40" s="2">
        <f t="shared" si="3"/>
        <v>1.83</v>
      </c>
      <c r="L40" s="2">
        <f t="shared" si="4"/>
        <v>18.3</v>
      </c>
      <c r="M40" s="21"/>
      <c r="N40" s="76"/>
      <c r="O40" s="3"/>
      <c r="P40" s="31"/>
      <c r="Q40" s="32">
        <f t="shared" si="9"/>
        <v>0</v>
      </c>
      <c r="R40" s="32">
        <f t="shared" si="5"/>
        <v>1.83</v>
      </c>
      <c r="S40" s="32">
        <f t="shared" si="6"/>
        <v>18.3</v>
      </c>
      <c r="T40" s="47">
        <f t="shared" si="7"/>
        <v>0</v>
      </c>
      <c r="U40" s="47">
        <f t="shared" si="8"/>
        <v>1</v>
      </c>
      <c r="V40" s="45"/>
      <c r="W40" s="75"/>
    </row>
    <row r="41" spans="1:27" x14ac:dyDescent="0.25">
      <c r="A41" s="175"/>
      <c r="B41" s="1" t="s">
        <v>214</v>
      </c>
      <c r="C41" s="19" t="s">
        <v>155</v>
      </c>
      <c r="D41" s="269"/>
      <c r="E41" s="174">
        <v>3</v>
      </c>
      <c r="F41" s="33">
        <v>209.93</v>
      </c>
      <c r="G41" s="62">
        <f t="shared" si="1"/>
        <v>152.12</v>
      </c>
      <c r="H41" s="63">
        <f t="shared" si="2"/>
        <v>629.79</v>
      </c>
      <c r="I41" s="61"/>
      <c r="J41" s="211">
        <f t="shared" si="0"/>
        <v>3</v>
      </c>
      <c r="K41" s="62">
        <f t="shared" si="3"/>
        <v>104.97</v>
      </c>
      <c r="L41" s="62">
        <f t="shared" si="4"/>
        <v>314.91000000000003</v>
      </c>
      <c r="M41" s="22"/>
      <c r="N41" s="76"/>
      <c r="O41" s="1"/>
      <c r="P41" s="33"/>
      <c r="Q41" s="58">
        <f t="shared" si="9"/>
        <v>0</v>
      </c>
      <c r="R41" s="85">
        <f t="shared" si="5"/>
        <v>104.97</v>
      </c>
      <c r="S41" s="85">
        <f t="shared" si="6"/>
        <v>314.91000000000003</v>
      </c>
      <c r="T41" s="59">
        <f t="shared" si="7"/>
        <v>0</v>
      </c>
      <c r="U41" s="59">
        <f t="shared" si="8"/>
        <v>1</v>
      </c>
      <c r="V41" s="46"/>
      <c r="W41" s="75"/>
    </row>
    <row r="42" spans="1:27" x14ac:dyDescent="0.25">
      <c r="A42" s="175"/>
      <c r="B42" s="3"/>
      <c r="C42" s="24"/>
      <c r="D42" s="270"/>
      <c r="E42" s="173"/>
      <c r="F42" s="26"/>
      <c r="G42" s="2">
        <f t="shared" si="1"/>
        <v>0</v>
      </c>
      <c r="H42" s="20">
        <f t="shared" si="2"/>
        <v>0</v>
      </c>
      <c r="I42" s="61"/>
      <c r="J42" s="210">
        <f t="shared" si="0"/>
        <v>0</v>
      </c>
      <c r="K42" s="2">
        <f t="shared" si="3"/>
        <v>0</v>
      </c>
      <c r="L42" s="2">
        <f t="shared" si="4"/>
        <v>0</v>
      </c>
      <c r="M42" s="21"/>
      <c r="N42" s="76"/>
      <c r="O42" s="3"/>
      <c r="P42" s="31"/>
      <c r="Q42" s="32">
        <f t="shared" si="9"/>
        <v>0</v>
      </c>
      <c r="R42" s="32">
        <f t="shared" si="5"/>
        <v>0</v>
      </c>
      <c r="S42" s="32">
        <f t="shared" si="6"/>
        <v>0</v>
      </c>
      <c r="T42" s="47">
        <f t="shared" si="7"/>
        <v>0</v>
      </c>
      <c r="U42" s="47">
        <f t="shared" si="8"/>
        <v>0</v>
      </c>
      <c r="V42" s="45"/>
      <c r="W42" s="75"/>
    </row>
    <row r="43" spans="1:27" x14ac:dyDescent="0.25">
      <c r="A43" s="175"/>
      <c r="B43" s="1" t="s">
        <v>194</v>
      </c>
      <c r="C43" s="19" t="s">
        <v>215</v>
      </c>
      <c r="D43" s="269"/>
      <c r="E43" s="174">
        <v>1</v>
      </c>
      <c r="F43" s="33">
        <v>9436.24</v>
      </c>
      <c r="G43" s="62">
        <f t="shared" si="1"/>
        <v>6837.86</v>
      </c>
      <c r="H43" s="63">
        <f t="shared" si="2"/>
        <v>9436.24</v>
      </c>
      <c r="I43" s="61"/>
      <c r="J43" s="211">
        <f t="shared" si="0"/>
        <v>1</v>
      </c>
      <c r="K43" s="62">
        <f t="shared" si="3"/>
        <v>4718.12</v>
      </c>
      <c r="L43" s="62">
        <f t="shared" si="4"/>
        <v>4718.12</v>
      </c>
      <c r="M43" s="22"/>
      <c r="N43" s="76"/>
      <c r="O43" s="1"/>
      <c r="P43" s="33"/>
      <c r="Q43" s="58">
        <f t="shared" si="9"/>
        <v>0</v>
      </c>
      <c r="R43" s="85">
        <f t="shared" si="5"/>
        <v>4718.12</v>
      </c>
      <c r="S43" s="85">
        <f t="shared" si="6"/>
        <v>4718.12</v>
      </c>
      <c r="T43" s="59">
        <f t="shared" si="7"/>
        <v>0</v>
      </c>
      <c r="U43" s="59">
        <f t="shared" si="8"/>
        <v>1</v>
      </c>
      <c r="V43" s="46"/>
      <c r="W43" s="75"/>
    </row>
    <row r="44" spans="1:27" x14ac:dyDescent="0.25">
      <c r="A44" s="175"/>
      <c r="B44" s="3" t="s">
        <v>195</v>
      </c>
      <c r="C44" s="24" t="s">
        <v>161</v>
      </c>
      <c r="D44" s="270"/>
      <c r="E44" s="173">
        <v>3</v>
      </c>
      <c r="F44" s="26">
        <v>1135.71</v>
      </c>
      <c r="G44" s="2">
        <f t="shared" si="1"/>
        <v>822.98</v>
      </c>
      <c r="H44" s="20">
        <f t="shared" si="2"/>
        <v>3407.13</v>
      </c>
      <c r="I44" s="61"/>
      <c r="J44" s="210">
        <f t="shared" si="0"/>
        <v>3</v>
      </c>
      <c r="K44" s="2">
        <f t="shared" si="3"/>
        <v>567.86</v>
      </c>
      <c r="L44" s="2">
        <f t="shared" si="4"/>
        <v>1703.58</v>
      </c>
      <c r="M44" s="21"/>
      <c r="N44" s="76"/>
      <c r="O44" s="3"/>
      <c r="P44" s="31"/>
      <c r="Q44" s="32">
        <f t="shared" si="9"/>
        <v>0</v>
      </c>
      <c r="R44" s="32">
        <f t="shared" si="5"/>
        <v>567.86</v>
      </c>
      <c r="S44" s="32">
        <f t="shared" si="6"/>
        <v>1703.58</v>
      </c>
      <c r="T44" s="47">
        <f t="shared" si="7"/>
        <v>0</v>
      </c>
      <c r="U44" s="47">
        <f t="shared" si="8"/>
        <v>1</v>
      </c>
      <c r="V44" s="45"/>
      <c r="W44" s="75"/>
    </row>
    <row r="45" spans="1:27" x14ac:dyDescent="0.25">
      <c r="A45" s="175"/>
      <c r="B45" s="1" t="s">
        <v>196</v>
      </c>
      <c r="C45" s="19" t="s">
        <v>163</v>
      </c>
      <c r="D45" s="269"/>
      <c r="E45" s="174">
        <v>3</v>
      </c>
      <c r="F45" s="33">
        <v>144.57</v>
      </c>
      <c r="G45" s="62">
        <f t="shared" si="1"/>
        <v>104.76</v>
      </c>
      <c r="H45" s="63">
        <f t="shared" si="2"/>
        <v>433.71</v>
      </c>
      <c r="I45" s="61"/>
      <c r="J45" s="211">
        <f t="shared" si="0"/>
        <v>3</v>
      </c>
      <c r="K45" s="62">
        <f t="shared" si="3"/>
        <v>72.290000000000006</v>
      </c>
      <c r="L45" s="62">
        <f t="shared" si="4"/>
        <v>216.87</v>
      </c>
      <c r="M45" s="22"/>
      <c r="N45" s="76"/>
      <c r="O45" s="1"/>
      <c r="P45" s="33"/>
      <c r="Q45" s="58">
        <f t="shared" si="9"/>
        <v>0</v>
      </c>
      <c r="R45" s="85">
        <f t="shared" si="5"/>
        <v>72.290000000000006</v>
      </c>
      <c r="S45" s="85">
        <f t="shared" si="6"/>
        <v>216.87</v>
      </c>
      <c r="T45" s="59">
        <f t="shared" si="7"/>
        <v>0</v>
      </c>
      <c r="U45" s="59">
        <f t="shared" si="8"/>
        <v>1</v>
      </c>
      <c r="V45" s="46"/>
      <c r="W45" s="75"/>
    </row>
    <row r="46" spans="1:27" x14ac:dyDescent="0.25">
      <c r="A46" s="175"/>
      <c r="B46" s="3" t="s">
        <v>197</v>
      </c>
      <c r="C46" s="24" t="s">
        <v>198</v>
      </c>
      <c r="D46" s="270"/>
      <c r="E46" s="173">
        <v>3</v>
      </c>
      <c r="F46" s="26">
        <v>7.67</v>
      </c>
      <c r="G46" s="2">
        <f t="shared" si="1"/>
        <v>5.56</v>
      </c>
      <c r="H46" s="20">
        <f t="shared" si="2"/>
        <v>23.01</v>
      </c>
      <c r="I46" s="61"/>
      <c r="J46" s="210">
        <f t="shared" si="0"/>
        <v>3</v>
      </c>
      <c r="K46" s="2">
        <f t="shared" si="3"/>
        <v>3.84</v>
      </c>
      <c r="L46" s="2">
        <f t="shared" si="4"/>
        <v>11.52</v>
      </c>
      <c r="M46" s="21"/>
      <c r="N46" s="76"/>
      <c r="O46" s="3"/>
      <c r="P46" s="31"/>
      <c r="Q46" s="32">
        <f t="shared" si="9"/>
        <v>0</v>
      </c>
      <c r="R46" s="32">
        <f t="shared" si="5"/>
        <v>3.84</v>
      </c>
      <c r="S46" s="32">
        <f t="shared" si="6"/>
        <v>11.52</v>
      </c>
      <c r="T46" s="47">
        <f t="shared" si="7"/>
        <v>0</v>
      </c>
      <c r="U46" s="47">
        <f t="shared" si="8"/>
        <v>1</v>
      </c>
      <c r="V46" s="45"/>
      <c r="W46" s="75"/>
    </row>
    <row r="47" spans="1:27" x14ac:dyDescent="0.25">
      <c r="A47" s="175"/>
      <c r="B47" s="1" t="s">
        <v>199</v>
      </c>
      <c r="C47" s="19" t="s">
        <v>200</v>
      </c>
      <c r="D47" s="269"/>
      <c r="E47" s="174">
        <v>3</v>
      </c>
      <c r="F47" s="33">
        <v>127.19</v>
      </c>
      <c r="G47" s="62">
        <f t="shared" si="1"/>
        <v>92.17</v>
      </c>
      <c r="H47" s="63">
        <f t="shared" si="2"/>
        <v>381.57</v>
      </c>
      <c r="I47" s="61"/>
      <c r="J47" s="211">
        <f t="shared" si="0"/>
        <v>3</v>
      </c>
      <c r="K47" s="62">
        <f t="shared" si="3"/>
        <v>63.6</v>
      </c>
      <c r="L47" s="62">
        <f t="shared" si="4"/>
        <v>190.8</v>
      </c>
      <c r="M47" s="22"/>
      <c r="N47" s="76"/>
      <c r="O47" s="1"/>
      <c r="P47" s="33"/>
      <c r="Q47" s="58">
        <f t="shared" si="9"/>
        <v>0</v>
      </c>
      <c r="R47" s="85">
        <f t="shared" si="5"/>
        <v>63.6</v>
      </c>
      <c r="S47" s="85">
        <f t="shared" si="6"/>
        <v>190.8</v>
      </c>
      <c r="T47" s="59">
        <f t="shared" si="7"/>
        <v>0</v>
      </c>
      <c r="U47" s="59">
        <f t="shared" si="8"/>
        <v>1</v>
      </c>
      <c r="V47" s="46"/>
      <c r="W47" s="75"/>
    </row>
    <row r="48" spans="1:27" x14ac:dyDescent="0.25">
      <c r="A48" s="175"/>
      <c r="B48" s="3" t="s">
        <v>201</v>
      </c>
      <c r="C48" s="24" t="s">
        <v>202</v>
      </c>
      <c r="D48" s="270"/>
      <c r="E48" s="173">
        <v>3</v>
      </c>
      <c r="F48" s="26">
        <v>22.39</v>
      </c>
      <c r="G48" s="2">
        <f t="shared" si="1"/>
        <v>16.22</v>
      </c>
      <c r="H48" s="20">
        <f t="shared" si="2"/>
        <v>67.17</v>
      </c>
      <c r="I48" s="61"/>
      <c r="J48" s="210">
        <f t="shared" si="0"/>
        <v>3</v>
      </c>
      <c r="K48" s="2">
        <f t="shared" si="3"/>
        <v>11.2</v>
      </c>
      <c r="L48" s="2">
        <f t="shared" si="4"/>
        <v>33.6</v>
      </c>
      <c r="M48" s="21"/>
      <c r="N48" s="76"/>
      <c r="O48" s="3"/>
      <c r="P48" s="31"/>
      <c r="Q48" s="32">
        <f t="shared" si="9"/>
        <v>0</v>
      </c>
      <c r="R48" s="32">
        <f t="shared" si="5"/>
        <v>11.2</v>
      </c>
      <c r="S48" s="32">
        <f t="shared" si="6"/>
        <v>33.6</v>
      </c>
      <c r="T48" s="47">
        <f t="shared" si="7"/>
        <v>0</v>
      </c>
      <c r="U48" s="47">
        <f t="shared" si="8"/>
        <v>1</v>
      </c>
      <c r="V48" s="46"/>
      <c r="W48" s="75"/>
    </row>
    <row r="49" spans="1:23" x14ac:dyDescent="0.25">
      <c r="A49" s="175"/>
      <c r="B49" s="1" t="s">
        <v>203</v>
      </c>
      <c r="C49" s="19" t="s">
        <v>200</v>
      </c>
      <c r="D49" s="269"/>
      <c r="E49" s="174">
        <v>3</v>
      </c>
      <c r="F49" s="33">
        <v>10.35</v>
      </c>
      <c r="G49" s="62">
        <f t="shared" si="1"/>
        <v>7.5</v>
      </c>
      <c r="H49" s="63">
        <f t="shared" si="2"/>
        <v>31.05</v>
      </c>
      <c r="I49" s="61"/>
      <c r="J49" s="211">
        <f t="shared" si="0"/>
        <v>3</v>
      </c>
      <c r="K49" s="62">
        <f t="shared" si="3"/>
        <v>5.18</v>
      </c>
      <c r="L49" s="62">
        <f t="shared" si="4"/>
        <v>15.54</v>
      </c>
      <c r="M49" s="22"/>
      <c r="N49" s="76"/>
      <c r="O49" s="1"/>
      <c r="P49" s="33"/>
      <c r="Q49" s="58">
        <f t="shared" si="9"/>
        <v>0</v>
      </c>
      <c r="R49" s="85">
        <f t="shared" si="5"/>
        <v>5.18</v>
      </c>
      <c r="S49" s="85">
        <f t="shared" si="6"/>
        <v>15.54</v>
      </c>
      <c r="T49" s="59">
        <f t="shared" si="7"/>
        <v>0</v>
      </c>
      <c r="U49" s="59">
        <f t="shared" si="8"/>
        <v>1</v>
      </c>
      <c r="V49" s="46"/>
      <c r="W49" s="75"/>
    </row>
    <row r="50" spans="1:23" x14ac:dyDescent="0.25">
      <c r="A50" s="175"/>
      <c r="B50" s="3"/>
      <c r="C50" s="24"/>
      <c r="D50" s="270"/>
      <c r="E50" s="173"/>
      <c r="F50" s="26"/>
      <c r="G50" s="2">
        <f t="shared" si="1"/>
        <v>0</v>
      </c>
      <c r="H50" s="20">
        <f t="shared" si="2"/>
        <v>0</v>
      </c>
      <c r="I50" s="61"/>
      <c r="J50" s="210">
        <f t="shared" si="0"/>
        <v>0</v>
      </c>
      <c r="K50" s="2">
        <f t="shared" si="3"/>
        <v>0</v>
      </c>
      <c r="L50" s="2">
        <f t="shared" si="4"/>
        <v>0</v>
      </c>
      <c r="M50" s="21"/>
      <c r="N50" s="76"/>
      <c r="O50" s="3"/>
      <c r="P50" s="31"/>
      <c r="Q50" s="32">
        <f t="shared" si="9"/>
        <v>0</v>
      </c>
      <c r="R50" s="32">
        <f t="shared" si="5"/>
        <v>0</v>
      </c>
      <c r="S50" s="32">
        <f t="shared" si="6"/>
        <v>0</v>
      </c>
      <c r="T50" s="47">
        <f t="shared" si="7"/>
        <v>0</v>
      </c>
      <c r="U50" s="47">
        <f t="shared" si="8"/>
        <v>0</v>
      </c>
      <c r="V50" s="46"/>
      <c r="W50" s="75"/>
    </row>
    <row r="51" spans="1:23" x14ac:dyDescent="0.25">
      <c r="A51" s="175"/>
      <c r="B51" s="1" t="s">
        <v>216</v>
      </c>
      <c r="C51" s="19" t="s">
        <v>217</v>
      </c>
      <c r="D51" s="269"/>
      <c r="E51" s="174">
        <v>1</v>
      </c>
      <c r="F51" s="33">
        <v>5668.45</v>
      </c>
      <c r="G51" s="62">
        <f t="shared" si="1"/>
        <v>4107.57</v>
      </c>
      <c r="H51" s="63">
        <f t="shared" si="2"/>
        <v>5668.45</v>
      </c>
      <c r="I51" s="61"/>
      <c r="J51" s="211">
        <f t="shared" si="0"/>
        <v>1</v>
      </c>
      <c r="K51" s="62">
        <f t="shared" si="3"/>
        <v>2834.23</v>
      </c>
      <c r="L51" s="62">
        <f t="shared" si="4"/>
        <v>2834.23</v>
      </c>
      <c r="M51" s="22"/>
      <c r="N51" s="76"/>
      <c r="O51" s="1"/>
      <c r="P51" s="33"/>
      <c r="Q51" s="58">
        <f t="shared" si="9"/>
        <v>0</v>
      </c>
      <c r="R51" s="85">
        <f t="shared" si="5"/>
        <v>2834.23</v>
      </c>
      <c r="S51" s="85">
        <f t="shared" si="6"/>
        <v>2834.23</v>
      </c>
      <c r="T51" s="59">
        <f t="shared" si="7"/>
        <v>0</v>
      </c>
      <c r="U51" s="59">
        <f t="shared" si="8"/>
        <v>1</v>
      </c>
      <c r="V51" s="46"/>
      <c r="W51" s="75"/>
    </row>
    <row r="52" spans="1:23" x14ac:dyDescent="0.25">
      <c r="A52" s="175"/>
      <c r="B52" s="3" t="s">
        <v>171</v>
      </c>
      <c r="C52" s="24" t="s">
        <v>172</v>
      </c>
      <c r="D52" s="270"/>
      <c r="E52" s="173">
        <v>1</v>
      </c>
      <c r="F52" s="26">
        <v>3364.13</v>
      </c>
      <c r="G52" s="2">
        <f t="shared" si="1"/>
        <v>2437.7800000000002</v>
      </c>
      <c r="H52" s="20">
        <f t="shared" si="2"/>
        <v>3364.13</v>
      </c>
      <c r="I52" s="61"/>
      <c r="J52" s="210">
        <f t="shared" si="0"/>
        <v>1</v>
      </c>
      <c r="K52" s="2">
        <f t="shared" si="3"/>
        <v>1682.07</v>
      </c>
      <c r="L52" s="2">
        <f t="shared" si="4"/>
        <v>1682.07</v>
      </c>
      <c r="M52" s="21"/>
      <c r="N52" s="76"/>
      <c r="O52" s="3"/>
      <c r="P52" s="31"/>
      <c r="Q52" s="32">
        <f t="shared" si="9"/>
        <v>0</v>
      </c>
      <c r="R52" s="32">
        <f t="shared" si="5"/>
        <v>1682.07</v>
      </c>
      <c r="S52" s="32">
        <f t="shared" si="6"/>
        <v>1682.07</v>
      </c>
      <c r="T52" s="47">
        <f t="shared" si="7"/>
        <v>0</v>
      </c>
      <c r="U52" s="47">
        <f t="shared" si="8"/>
        <v>1</v>
      </c>
      <c r="V52" s="46"/>
      <c r="W52" s="75"/>
    </row>
    <row r="53" spans="1:23" x14ac:dyDescent="0.25">
      <c r="A53" s="175"/>
      <c r="B53" s="1"/>
      <c r="C53" s="19"/>
      <c r="D53" s="269"/>
      <c r="E53" s="174"/>
      <c r="F53" s="33"/>
      <c r="G53" s="62">
        <f t="shared" si="1"/>
        <v>0</v>
      </c>
      <c r="H53" s="63">
        <f t="shared" si="2"/>
        <v>0</v>
      </c>
      <c r="I53" s="61"/>
      <c r="J53" s="211">
        <f t="shared" si="0"/>
        <v>0</v>
      </c>
      <c r="K53" s="62">
        <f t="shared" si="3"/>
        <v>0</v>
      </c>
      <c r="L53" s="62">
        <f t="shared" si="4"/>
        <v>0</v>
      </c>
      <c r="M53" s="22"/>
      <c r="N53" s="76"/>
      <c r="O53" s="1"/>
      <c r="P53" s="33"/>
      <c r="Q53" s="58">
        <f t="shared" si="9"/>
        <v>0</v>
      </c>
      <c r="R53" s="85">
        <f t="shared" si="5"/>
        <v>0</v>
      </c>
      <c r="S53" s="85">
        <f t="shared" si="6"/>
        <v>0</v>
      </c>
      <c r="T53" s="59">
        <f t="shared" si="7"/>
        <v>0</v>
      </c>
      <c r="U53" s="59">
        <f t="shared" si="8"/>
        <v>0</v>
      </c>
      <c r="V53" s="46"/>
      <c r="W53" s="75"/>
    </row>
    <row r="54" spans="1:23" x14ac:dyDescent="0.25">
      <c r="A54" s="175"/>
      <c r="B54" s="3"/>
      <c r="C54" s="24"/>
      <c r="D54" s="270"/>
      <c r="E54" s="173"/>
      <c r="F54" s="26"/>
      <c r="G54" s="2">
        <f t="shared" si="1"/>
        <v>0</v>
      </c>
      <c r="H54" s="20">
        <f t="shared" si="2"/>
        <v>0</v>
      </c>
      <c r="I54" s="61"/>
      <c r="J54" s="210">
        <f t="shared" si="0"/>
        <v>0</v>
      </c>
      <c r="K54" s="2">
        <f t="shared" si="3"/>
        <v>0</v>
      </c>
      <c r="L54" s="2">
        <f t="shared" si="4"/>
        <v>0</v>
      </c>
      <c r="M54" s="21"/>
      <c r="N54" s="76"/>
      <c r="O54" s="3"/>
      <c r="P54" s="31"/>
      <c r="Q54" s="32">
        <f t="shared" si="9"/>
        <v>0</v>
      </c>
      <c r="R54" s="32">
        <f t="shared" si="5"/>
        <v>0</v>
      </c>
      <c r="S54" s="32">
        <f t="shared" si="6"/>
        <v>0</v>
      </c>
      <c r="T54" s="47">
        <f t="shared" si="7"/>
        <v>0</v>
      </c>
      <c r="U54" s="47">
        <f t="shared" si="8"/>
        <v>0</v>
      </c>
      <c r="V54" s="46"/>
      <c r="W54" s="75"/>
    </row>
    <row r="55" spans="1:23" x14ac:dyDescent="0.25">
      <c r="A55" s="175"/>
      <c r="B55" s="1"/>
      <c r="C55" s="19"/>
      <c r="D55" s="269"/>
      <c r="E55" s="174"/>
      <c r="F55" s="33"/>
      <c r="G55" s="62">
        <f t="shared" si="1"/>
        <v>0</v>
      </c>
      <c r="H55" s="63">
        <f t="shared" si="2"/>
        <v>0</v>
      </c>
      <c r="I55" s="61"/>
      <c r="J55" s="211">
        <f t="shared" si="0"/>
        <v>0</v>
      </c>
      <c r="K55" s="62">
        <f t="shared" si="3"/>
        <v>0</v>
      </c>
      <c r="L55" s="62">
        <f t="shared" si="4"/>
        <v>0</v>
      </c>
      <c r="M55" s="22"/>
      <c r="N55" s="76"/>
      <c r="O55" s="1"/>
      <c r="P55" s="33"/>
      <c r="Q55" s="58">
        <f t="shared" si="9"/>
        <v>0</v>
      </c>
      <c r="R55" s="85">
        <f t="shared" si="5"/>
        <v>0</v>
      </c>
      <c r="S55" s="85">
        <f t="shared" si="6"/>
        <v>0</v>
      </c>
      <c r="T55" s="59">
        <f t="shared" si="7"/>
        <v>0</v>
      </c>
      <c r="U55" s="59">
        <f t="shared" si="8"/>
        <v>0</v>
      </c>
      <c r="V55" s="46"/>
      <c r="W55" s="75"/>
    </row>
    <row r="56" spans="1:23" x14ac:dyDescent="0.25">
      <c r="A56" s="175"/>
      <c r="B56" s="3"/>
      <c r="C56" s="24"/>
      <c r="D56" s="270"/>
      <c r="E56" s="173"/>
      <c r="F56" s="26"/>
      <c r="G56" s="2">
        <f t="shared" si="1"/>
        <v>0</v>
      </c>
      <c r="H56" s="20">
        <f t="shared" si="2"/>
        <v>0</v>
      </c>
      <c r="I56" s="61"/>
      <c r="J56" s="210">
        <f t="shared" si="0"/>
        <v>0</v>
      </c>
      <c r="K56" s="2">
        <f t="shared" si="3"/>
        <v>0</v>
      </c>
      <c r="L56" s="2">
        <f t="shared" si="4"/>
        <v>0</v>
      </c>
      <c r="M56" s="21"/>
      <c r="N56" s="76"/>
      <c r="O56" s="3"/>
      <c r="P56" s="31"/>
      <c r="Q56" s="32">
        <f t="shared" si="9"/>
        <v>0</v>
      </c>
      <c r="R56" s="32">
        <f t="shared" si="5"/>
        <v>0</v>
      </c>
      <c r="S56" s="32">
        <f t="shared" si="6"/>
        <v>0</v>
      </c>
      <c r="T56" s="47">
        <f t="shared" si="7"/>
        <v>0</v>
      </c>
      <c r="U56" s="47">
        <f t="shared" si="8"/>
        <v>0</v>
      </c>
      <c r="V56" s="46"/>
      <c r="W56" s="75"/>
    </row>
    <row r="57" spans="1:23" x14ac:dyDescent="0.25">
      <c r="A57" s="175"/>
      <c r="B57" s="1"/>
      <c r="C57" s="19"/>
      <c r="D57" s="269"/>
      <c r="E57" s="174"/>
      <c r="F57" s="33"/>
      <c r="G57" s="62">
        <f t="shared" si="1"/>
        <v>0</v>
      </c>
      <c r="H57" s="63">
        <f t="shared" si="2"/>
        <v>0</v>
      </c>
      <c r="I57" s="61"/>
      <c r="J57" s="211">
        <f t="shared" si="0"/>
        <v>0</v>
      </c>
      <c r="K57" s="62">
        <f t="shared" si="3"/>
        <v>0</v>
      </c>
      <c r="L57" s="62">
        <f t="shared" si="4"/>
        <v>0</v>
      </c>
      <c r="M57" s="22"/>
      <c r="N57" s="76"/>
      <c r="O57" s="1"/>
      <c r="P57" s="33"/>
      <c r="Q57" s="58">
        <f t="shared" si="9"/>
        <v>0</v>
      </c>
      <c r="R57" s="85">
        <f t="shared" si="5"/>
        <v>0</v>
      </c>
      <c r="S57" s="85">
        <f t="shared" si="6"/>
        <v>0</v>
      </c>
      <c r="T57" s="59">
        <f t="shared" si="7"/>
        <v>0</v>
      </c>
      <c r="U57" s="59">
        <f t="shared" si="8"/>
        <v>0</v>
      </c>
      <c r="V57" s="46"/>
      <c r="W57" s="75"/>
    </row>
    <row r="58" spans="1:23" x14ac:dyDescent="0.25">
      <c r="A58" s="175"/>
      <c r="B58" s="3"/>
      <c r="C58" s="24"/>
      <c r="D58" s="270"/>
      <c r="E58" s="173"/>
      <c r="F58" s="26"/>
      <c r="G58" s="2">
        <f t="shared" si="1"/>
        <v>0</v>
      </c>
      <c r="H58" s="20">
        <f t="shared" si="2"/>
        <v>0</v>
      </c>
      <c r="I58" s="61"/>
      <c r="J58" s="210">
        <f t="shared" si="0"/>
        <v>0</v>
      </c>
      <c r="K58" s="2">
        <f t="shared" si="3"/>
        <v>0</v>
      </c>
      <c r="L58" s="2">
        <f t="shared" si="4"/>
        <v>0</v>
      </c>
      <c r="M58" s="21"/>
      <c r="N58" s="76"/>
      <c r="O58" s="3"/>
      <c r="P58" s="31"/>
      <c r="Q58" s="32">
        <f t="shared" si="9"/>
        <v>0</v>
      </c>
      <c r="R58" s="32">
        <f t="shared" si="5"/>
        <v>0</v>
      </c>
      <c r="S58" s="32">
        <f t="shared" si="6"/>
        <v>0</v>
      </c>
      <c r="T58" s="47">
        <f t="shared" si="7"/>
        <v>0</v>
      </c>
      <c r="U58" s="47">
        <f t="shared" si="8"/>
        <v>0</v>
      </c>
      <c r="V58" s="46"/>
      <c r="W58" s="75"/>
    </row>
    <row r="59" spans="1:23" x14ac:dyDescent="0.25">
      <c r="A59" s="175"/>
      <c r="B59" s="1"/>
      <c r="C59" s="19"/>
      <c r="D59" s="269"/>
      <c r="E59" s="174"/>
      <c r="F59" s="33"/>
      <c r="G59" s="62">
        <f t="shared" si="1"/>
        <v>0</v>
      </c>
      <c r="H59" s="63">
        <f t="shared" si="2"/>
        <v>0</v>
      </c>
      <c r="I59" s="61"/>
      <c r="J59" s="211">
        <f t="shared" si="0"/>
        <v>0</v>
      </c>
      <c r="K59" s="62">
        <f t="shared" si="3"/>
        <v>0</v>
      </c>
      <c r="L59" s="62">
        <f t="shared" si="4"/>
        <v>0</v>
      </c>
      <c r="M59" s="22"/>
      <c r="N59" s="76"/>
      <c r="O59" s="1"/>
      <c r="P59" s="33"/>
      <c r="Q59" s="58">
        <f t="shared" si="9"/>
        <v>0</v>
      </c>
      <c r="R59" s="85">
        <f t="shared" si="5"/>
        <v>0</v>
      </c>
      <c r="S59" s="85">
        <f t="shared" si="6"/>
        <v>0</v>
      </c>
      <c r="T59" s="59">
        <f t="shared" si="7"/>
        <v>0</v>
      </c>
      <c r="U59" s="59">
        <f t="shared" si="8"/>
        <v>0</v>
      </c>
      <c r="V59" s="46"/>
      <c r="W59" s="75"/>
    </row>
    <row r="60" spans="1:23" x14ac:dyDescent="0.25">
      <c r="A60" s="175"/>
      <c r="B60" s="3"/>
      <c r="C60" s="24"/>
      <c r="D60" s="270"/>
      <c r="E60" s="173"/>
      <c r="F60" s="26"/>
      <c r="G60" s="2">
        <f t="shared" si="1"/>
        <v>0</v>
      </c>
      <c r="H60" s="20">
        <f t="shared" si="2"/>
        <v>0</v>
      </c>
      <c r="I60" s="61"/>
      <c r="J60" s="210">
        <f t="shared" si="0"/>
        <v>0</v>
      </c>
      <c r="K60" s="2">
        <f t="shared" si="3"/>
        <v>0</v>
      </c>
      <c r="L60" s="2">
        <f t="shared" si="4"/>
        <v>0</v>
      </c>
      <c r="M60" s="21"/>
      <c r="N60" s="76"/>
      <c r="O60" s="3"/>
      <c r="P60" s="31"/>
      <c r="Q60" s="32">
        <f t="shared" si="9"/>
        <v>0</v>
      </c>
      <c r="R60" s="32">
        <f t="shared" si="5"/>
        <v>0</v>
      </c>
      <c r="S60" s="32">
        <f t="shared" si="6"/>
        <v>0</v>
      </c>
      <c r="T60" s="47">
        <f t="shared" si="7"/>
        <v>0</v>
      </c>
      <c r="U60" s="47">
        <f t="shared" si="8"/>
        <v>0</v>
      </c>
      <c r="V60" s="46"/>
      <c r="W60" s="75"/>
    </row>
    <row r="61" spans="1:23" x14ac:dyDescent="0.25">
      <c r="A61" s="175"/>
      <c r="B61" s="1"/>
      <c r="C61" s="19"/>
      <c r="D61" s="269"/>
      <c r="E61" s="174"/>
      <c r="F61" s="33"/>
      <c r="G61" s="62">
        <f t="shared" si="1"/>
        <v>0</v>
      </c>
      <c r="H61" s="63">
        <f t="shared" si="2"/>
        <v>0</v>
      </c>
      <c r="I61" s="61"/>
      <c r="J61" s="211">
        <f t="shared" si="0"/>
        <v>0</v>
      </c>
      <c r="K61" s="62">
        <f t="shared" si="3"/>
        <v>0</v>
      </c>
      <c r="L61" s="62">
        <f t="shared" si="4"/>
        <v>0</v>
      </c>
      <c r="M61" s="22"/>
      <c r="N61" s="76"/>
      <c r="O61" s="1"/>
      <c r="P61" s="33"/>
      <c r="Q61" s="58">
        <f t="shared" si="9"/>
        <v>0</v>
      </c>
      <c r="R61" s="85">
        <f t="shared" si="5"/>
        <v>0</v>
      </c>
      <c r="S61" s="85">
        <f t="shared" si="6"/>
        <v>0</v>
      </c>
      <c r="T61" s="59">
        <f t="shared" si="7"/>
        <v>0</v>
      </c>
      <c r="U61" s="59">
        <f t="shared" si="8"/>
        <v>0</v>
      </c>
      <c r="V61" s="46"/>
      <c r="W61" s="75"/>
    </row>
    <row r="62" spans="1:23" x14ac:dyDescent="0.25">
      <c r="A62" s="175"/>
      <c r="B62" s="3"/>
      <c r="C62" s="24"/>
      <c r="D62" s="270"/>
      <c r="E62" s="173"/>
      <c r="F62" s="26"/>
      <c r="G62" s="2">
        <f t="shared" si="1"/>
        <v>0</v>
      </c>
      <c r="H62" s="20">
        <f t="shared" si="2"/>
        <v>0</v>
      </c>
      <c r="I62" s="61"/>
      <c r="J62" s="210">
        <f t="shared" si="0"/>
        <v>0</v>
      </c>
      <c r="K62" s="2">
        <f t="shared" si="3"/>
        <v>0</v>
      </c>
      <c r="L62" s="2">
        <f t="shared" si="4"/>
        <v>0</v>
      </c>
      <c r="M62" s="21"/>
      <c r="N62" s="76"/>
      <c r="O62" s="3"/>
      <c r="P62" s="31"/>
      <c r="Q62" s="32">
        <f t="shared" si="9"/>
        <v>0</v>
      </c>
      <c r="R62" s="32">
        <f t="shared" si="5"/>
        <v>0</v>
      </c>
      <c r="S62" s="32">
        <f t="shared" si="6"/>
        <v>0</v>
      </c>
      <c r="T62" s="47">
        <f t="shared" si="7"/>
        <v>0</v>
      </c>
      <c r="U62" s="47">
        <f t="shared" si="8"/>
        <v>0</v>
      </c>
      <c r="V62" s="46"/>
      <c r="W62" s="75"/>
    </row>
    <row r="63" spans="1:23" x14ac:dyDescent="0.25">
      <c r="A63" s="175"/>
      <c r="B63" s="1"/>
      <c r="C63" s="19"/>
      <c r="D63" s="269"/>
      <c r="E63" s="174"/>
      <c r="F63" s="33"/>
      <c r="G63" s="62">
        <f t="shared" si="1"/>
        <v>0</v>
      </c>
      <c r="H63" s="63">
        <f t="shared" si="2"/>
        <v>0</v>
      </c>
      <c r="I63" s="61"/>
      <c r="J63" s="211">
        <f t="shared" si="0"/>
        <v>0</v>
      </c>
      <c r="K63" s="62">
        <f t="shared" si="3"/>
        <v>0</v>
      </c>
      <c r="L63" s="62">
        <f t="shared" si="4"/>
        <v>0</v>
      </c>
      <c r="M63" s="22"/>
      <c r="N63" s="76"/>
      <c r="O63" s="1"/>
      <c r="P63" s="33"/>
      <c r="Q63" s="58">
        <f t="shared" si="9"/>
        <v>0</v>
      </c>
      <c r="R63" s="85">
        <f t="shared" si="5"/>
        <v>0</v>
      </c>
      <c r="S63" s="85">
        <f t="shared" si="6"/>
        <v>0</v>
      </c>
      <c r="T63" s="59">
        <f t="shared" si="7"/>
        <v>0</v>
      </c>
      <c r="U63" s="59">
        <f t="shared" si="8"/>
        <v>0</v>
      </c>
      <c r="V63" s="46"/>
      <c r="W63" s="75"/>
    </row>
    <row r="64" spans="1:23" x14ac:dyDescent="0.25">
      <c r="A64" s="175"/>
      <c r="B64" s="3"/>
      <c r="C64" s="24"/>
      <c r="D64" s="270"/>
      <c r="E64" s="173"/>
      <c r="F64" s="26"/>
      <c r="G64" s="2">
        <f t="shared" si="1"/>
        <v>0</v>
      </c>
      <c r="H64" s="20">
        <f t="shared" si="2"/>
        <v>0</v>
      </c>
      <c r="I64" s="61"/>
      <c r="J64" s="210">
        <f t="shared" si="0"/>
        <v>0</v>
      </c>
      <c r="K64" s="2">
        <f t="shared" si="3"/>
        <v>0</v>
      </c>
      <c r="L64" s="2">
        <f t="shared" si="4"/>
        <v>0</v>
      </c>
      <c r="M64" s="21"/>
      <c r="N64" s="76"/>
      <c r="O64" s="3"/>
      <c r="P64" s="31"/>
      <c r="Q64" s="32">
        <f t="shared" si="9"/>
        <v>0</v>
      </c>
      <c r="R64" s="32">
        <f t="shared" si="5"/>
        <v>0</v>
      </c>
      <c r="S64" s="32">
        <f t="shared" si="6"/>
        <v>0</v>
      </c>
      <c r="T64" s="47">
        <f t="shared" si="7"/>
        <v>0</v>
      </c>
      <c r="U64" s="47">
        <f t="shared" si="8"/>
        <v>0</v>
      </c>
      <c r="V64" s="46"/>
      <c r="W64" s="75"/>
    </row>
    <row r="65" spans="1:23" x14ac:dyDescent="0.25">
      <c r="A65" s="175"/>
      <c r="B65" s="1"/>
      <c r="C65" s="19"/>
      <c r="D65" s="269"/>
      <c r="E65" s="174"/>
      <c r="F65" s="33"/>
      <c r="G65" s="62">
        <f t="shared" si="1"/>
        <v>0</v>
      </c>
      <c r="H65" s="63">
        <f t="shared" si="2"/>
        <v>0</v>
      </c>
      <c r="I65" s="61"/>
      <c r="J65" s="211">
        <f t="shared" si="0"/>
        <v>0</v>
      </c>
      <c r="K65" s="62">
        <f t="shared" si="3"/>
        <v>0</v>
      </c>
      <c r="L65" s="62">
        <f t="shared" si="4"/>
        <v>0</v>
      </c>
      <c r="M65" s="22"/>
      <c r="N65" s="76"/>
      <c r="O65" s="1"/>
      <c r="P65" s="33"/>
      <c r="Q65" s="58">
        <f t="shared" si="9"/>
        <v>0</v>
      </c>
      <c r="R65" s="85">
        <f t="shared" si="5"/>
        <v>0</v>
      </c>
      <c r="S65" s="85">
        <f t="shared" si="6"/>
        <v>0</v>
      </c>
      <c r="T65" s="59">
        <f t="shared" si="7"/>
        <v>0</v>
      </c>
      <c r="U65" s="59">
        <f t="shared" si="8"/>
        <v>0</v>
      </c>
      <c r="V65" s="46"/>
      <c r="W65" s="75"/>
    </row>
    <row r="66" spans="1:23" x14ac:dyDescent="0.25">
      <c r="A66" s="175"/>
      <c r="B66" s="3"/>
      <c r="C66" s="24"/>
      <c r="D66" s="270"/>
      <c r="E66" s="173"/>
      <c r="F66" s="26"/>
      <c r="G66" s="2">
        <f t="shared" si="1"/>
        <v>0</v>
      </c>
      <c r="H66" s="20">
        <f t="shared" si="2"/>
        <v>0</v>
      </c>
      <c r="I66" s="61"/>
      <c r="J66" s="210">
        <f t="shared" si="0"/>
        <v>0</v>
      </c>
      <c r="K66" s="2">
        <f t="shared" si="3"/>
        <v>0</v>
      </c>
      <c r="L66" s="2">
        <f t="shared" si="4"/>
        <v>0</v>
      </c>
      <c r="M66" s="21"/>
      <c r="N66" s="76"/>
      <c r="O66" s="3"/>
      <c r="P66" s="31"/>
      <c r="Q66" s="32">
        <f t="shared" si="9"/>
        <v>0</v>
      </c>
      <c r="R66" s="32">
        <f t="shared" si="5"/>
        <v>0</v>
      </c>
      <c r="S66" s="32">
        <f t="shared" si="6"/>
        <v>0</v>
      </c>
      <c r="T66" s="47">
        <f t="shared" si="7"/>
        <v>0</v>
      </c>
      <c r="U66" s="47">
        <f t="shared" si="8"/>
        <v>0</v>
      </c>
      <c r="V66" s="46"/>
      <c r="W66" s="75"/>
    </row>
    <row r="67" spans="1:23" x14ac:dyDescent="0.25">
      <c r="A67" s="175"/>
      <c r="B67" s="1"/>
      <c r="C67" s="19"/>
      <c r="D67" s="269"/>
      <c r="E67" s="174"/>
      <c r="F67" s="33"/>
      <c r="G67" s="62">
        <f t="shared" si="1"/>
        <v>0</v>
      </c>
      <c r="H67" s="63">
        <f t="shared" si="2"/>
        <v>0</v>
      </c>
      <c r="I67" s="61"/>
      <c r="J67" s="211">
        <f t="shared" si="0"/>
        <v>0</v>
      </c>
      <c r="K67" s="62">
        <f t="shared" si="3"/>
        <v>0</v>
      </c>
      <c r="L67" s="62">
        <f t="shared" si="4"/>
        <v>0</v>
      </c>
      <c r="M67" s="22"/>
      <c r="N67" s="76"/>
      <c r="O67" s="1"/>
      <c r="P67" s="33"/>
      <c r="Q67" s="58">
        <f t="shared" si="9"/>
        <v>0</v>
      </c>
      <c r="R67" s="85">
        <f t="shared" si="5"/>
        <v>0</v>
      </c>
      <c r="S67" s="85">
        <f t="shared" si="6"/>
        <v>0</v>
      </c>
      <c r="T67" s="59">
        <f t="shared" si="7"/>
        <v>0</v>
      </c>
      <c r="U67" s="59">
        <f t="shared" si="8"/>
        <v>0</v>
      </c>
      <c r="V67" s="46"/>
      <c r="W67" s="75"/>
    </row>
    <row r="68" spans="1:23" x14ac:dyDescent="0.25">
      <c r="A68" s="175"/>
      <c r="B68" s="3"/>
      <c r="C68" s="24"/>
      <c r="D68" s="270"/>
      <c r="E68" s="173"/>
      <c r="F68" s="26"/>
      <c r="G68" s="2">
        <f t="shared" si="1"/>
        <v>0</v>
      </c>
      <c r="H68" s="20">
        <f t="shared" si="2"/>
        <v>0</v>
      </c>
      <c r="I68" s="61"/>
      <c r="J68" s="210">
        <f t="shared" si="0"/>
        <v>0</v>
      </c>
      <c r="K68" s="2">
        <f t="shared" si="3"/>
        <v>0</v>
      </c>
      <c r="L68" s="2">
        <f t="shared" si="4"/>
        <v>0</v>
      </c>
      <c r="M68" s="21"/>
      <c r="N68" s="76"/>
      <c r="O68" s="3"/>
      <c r="P68" s="31"/>
      <c r="Q68" s="32">
        <f t="shared" si="9"/>
        <v>0</v>
      </c>
      <c r="R68" s="32">
        <f t="shared" si="5"/>
        <v>0</v>
      </c>
      <c r="S68" s="32">
        <f t="shared" si="6"/>
        <v>0</v>
      </c>
      <c r="T68" s="47">
        <f t="shared" si="7"/>
        <v>0</v>
      </c>
      <c r="U68" s="47">
        <f t="shared" si="8"/>
        <v>0</v>
      </c>
      <c r="V68" s="46"/>
      <c r="W68" s="75"/>
    </row>
    <row r="69" spans="1:23" x14ac:dyDescent="0.25">
      <c r="A69" s="175"/>
      <c r="B69" s="1"/>
      <c r="C69" s="19"/>
      <c r="D69" s="269"/>
      <c r="E69" s="174"/>
      <c r="F69" s="33"/>
      <c r="G69" s="62">
        <f t="shared" si="1"/>
        <v>0</v>
      </c>
      <c r="H69" s="63">
        <f t="shared" si="2"/>
        <v>0</v>
      </c>
      <c r="I69" s="61"/>
      <c r="J69" s="211">
        <f t="shared" si="0"/>
        <v>0</v>
      </c>
      <c r="K69" s="62">
        <f t="shared" si="3"/>
        <v>0</v>
      </c>
      <c r="L69" s="62">
        <f t="shared" si="4"/>
        <v>0</v>
      </c>
      <c r="M69" s="22"/>
      <c r="N69" s="76"/>
      <c r="O69" s="1"/>
      <c r="P69" s="33"/>
      <c r="Q69" s="58">
        <f t="shared" si="9"/>
        <v>0</v>
      </c>
      <c r="R69" s="85">
        <f t="shared" si="5"/>
        <v>0</v>
      </c>
      <c r="S69" s="85">
        <f t="shared" si="6"/>
        <v>0</v>
      </c>
      <c r="T69" s="59">
        <f t="shared" si="7"/>
        <v>0</v>
      </c>
      <c r="U69" s="59">
        <f t="shared" si="8"/>
        <v>0</v>
      </c>
      <c r="V69" s="46"/>
      <c r="W69" s="75"/>
    </row>
    <row r="70" spans="1:23" x14ac:dyDescent="0.25">
      <c r="A70" s="175"/>
      <c r="B70" s="3"/>
      <c r="C70" s="24"/>
      <c r="D70" s="270"/>
      <c r="E70" s="173"/>
      <c r="F70" s="26"/>
      <c r="G70" s="2">
        <f t="shared" si="1"/>
        <v>0</v>
      </c>
      <c r="H70" s="20">
        <f t="shared" si="2"/>
        <v>0</v>
      </c>
      <c r="I70" s="61"/>
      <c r="J70" s="210">
        <f t="shared" si="0"/>
        <v>0</v>
      </c>
      <c r="K70" s="2">
        <f t="shared" si="3"/>
        <v>0</v>
      </c>
      <c r="L70" s="2">
        <f t="shared" si="4"/>
        <v>0</v>
      </c>
      <c r="M70" s="21"/>
      <c r="N70" s="76"/>
      <c r="O70" s="3"/>
      <c r="P70" s="31"/>
      <c r="Q70" s="32">
        <f t="shared" si="9"/>
        <v>0</v>
      </c>
      <c r="R70" s="32">
        <f t="shared" si="5"/>
        <v>0</v>
      </c>
      <c r="S70" s="32">
        <f t="shared" si="6"/>
        <v>0</v>
      </c>
      <c r="T70" s="47">
        <f t="shared" si="7"/>
        <v>0</v>
      </c>
      <c r="U70" s="47">
        <f t="shared" si="8"/>
        <v>0</v>
      </c>
      <c r="V70" s="46"/>
      <c r="W70" s="75"/>
    </row>
    <row r="71" spans="1:23" x14ac:dyDescent="0.25">
      <c r="A71" s="175"/>
      <c r="B71" s="1"/>
      <c r="C71" s="19"/>
      <c r="D71" s="269"/>
      <c r="E71" s="174"/>
      <c r="F71" s="33"/>
      <c r="G71" s="62">
        <f t="shared" si="1"/>
        <v>0</v>
      </c>
      <c r="H71" s="63">
        <f t="shared" si="2"/>
        <v>0</v>
      </c>
      <c r="I71" s="61"/>
      <c r="J71" s="211">
        <f t="shared" si="0"/>
        <v>0</v>
      </c>
      <c r="K71" s="62">
        <f t="shared" si="3"/>
        <v>0</v>
      </c>
      <c r="L71" s="62">
        <f t="shared" si="4"/>
        <v>0</v>
      </c>
      <c r="M71" s="22"/>
      <c r="N71" s="76"/>
      <c r="O71" s="1"/>
      <c r="P71" s="33"/>
      <c r="Q71" s="58">
        <f t="shared" si="9"/>
        <v>0</v>
      </c>
      <c r="R71" s="85">
        <f t="shared" si="5"/>
        <v>0</v>
      </c>
      <c r="S71" s="85">
        <f t="shared" si="6"/>
        <v>0</v>
      </c>
      <c r="T71" s="59">
        <f t="shared" si="7"/>
        <v>0</v>
      </c>
      <c r="U71" s="59">
        <f t="shared" si="8"/>
        <v>0</v>
      </c>
      <c r="V71" s="46"/>
      <c r="W71" s="75"/>
    </row>
    <row r="72" spans="1:23" x14ac:dyDescent="0.25">
      <c r="A72" s="175"/>
      <c r="B72" s="3"/>
      <c r="C72" s="24"/>
      <c r="D72" s="270"/>
      <c r="E72" s="173"/>
      <c r="F72" s="26"/>
      <c r="G72" s="2">
        <f t="shared" si="1"/>
        <v>0</v>
      </c>
      <c r="H72" s="20">
        <f t="shared" si="2"/>
        <v>0</v>
      </c>
      <c r="I72" s="61"/>
      <c r="J72" s="210">
        <f t="shared" si="0"/>
        <v>0</v>
      </c>
      <c r="K72" s="2">
        <f t="shared" si="3"/>
        <v>0</v>
      </c>
      <c r="L72" s="2">
        <f t="shared" si="4"/>
        <v>0</v>
      </c>
      <c r="M72" s="21"/>
      <c r="N72" s="76"/>
      <c r="O72" s="3"/>
      <c r="P72" s="31"/>
      <c r="Q72" s="32">
        <f t="shared" si="9"/>
        <v>0</v>
      </c>
      <c r="R72" s="32">
        <f t="shared" si="5"/>
        <v>0</v>
      </c>
      <c r="S72" s="32">
        <f t="shared" si="6"/>
        <v>0</v>
      </c>
      <c r="T72" s="47">
        <f t="shared" si="7"/>
        <v>0</v>
      </c>
      <c r="U72" s="47">
        <f t="shared" si="8"/>
        <v>0</v>
      </c>
      <c r="V72" s="46"/>
      <c r="W72" s="75"/>
    </row>
    <row r="73" spans="1:23" x14ac:dyDescent="0.25">
      <c r="A73" s="175"/>
      <c r="B73" s="1"/>
      <c r="C73" s="19"/>
      <c r="D73" s="269"/>
      <c r="E73" s="174"/>
      <c r="F73" s="33"/>
      <c r="G73" s="62">
        <f t="shared" si="1"/>
        <v>0</v>
      </c>
      <c r="H73" s="63">
        <f t="shared" si="2"/>
        <v>0</v>
      </c>
      <c r="I73" s="61"/>
      <c r="J73" s="211">
        <f t="shared" si="0"/>
        <v>0</v>
      </c>
      <c r="K73" s="62">
        <f t="shared" si="3"/>
        <v>0</v>
      </c>
      <c r="L73" s="62">
        <f t="shared" si="4"/>
        <v>0</v>
      </c>
      <c r="M73" s="22"/>
      <c r="N73" s="76"/>
      <c r="O73" s="1"/>
      <c r="P73" s="33"/>
      <c r="Q73" s="58">
        <f t="shared" si="9"/>
        <v>0</v>
      </c>
      <c r="R73" s="85">
        <f t="shared" si="5"/>
        <v>0</v>
      </c>
      <c r="S73" s="85">
        <f t="shared" si="6"/>
        <v>0</v>
      </c>
      <c r="T73" s="59">
        <f t="shared" si="7"/>
        <v>0</v>
      </c>
      <c r="U73" s="59">
        <f t="shared" si="8"/>
        <v>0</v>
      </c>
      <c r="V73" s="46"/>
      <c r="W73" s="75"/>
    </row>
    <row r="74" spans="1:23" x14ac:dyDescent="0.25">
      <c r="A74" s="175"/>
      <c r="B74" s="3"/>
      <c r="C74" s="24"/>
      <c r="D74" s="270"/>
      <c r="E74" s="173"/>
      <c r="F74" s="26"/>
      <c r="G74" s="2">
        <f t="shared" si="1"/>
        <v>0</v>
      </c>
      <c r="H74" s="20">
        <f t="shared" si="2"/>
        <v>0</v>
      </c>
      <c r="I74" s="61"/>
      <c r="J74" s="210">
        <f t="shared" si="0"/>
        <v>0</v>
      </c>
      <c r="K74" s="2">
        <f t="shared" si="3"/>
        <v>0</v>
      </c>
      <c r="L74" s="2">
        <f t="shared" si="4"/>
        <v>0</v>
      </c>
      <c r="M74" s="21"/>
      <c r="N74" s="76"/>
      <c r="O74" s="3"/>
      <c r="P74" s="31"/>
      <c r="Q74" s="32">
        <f t="shared" si="9"/>
        <v>0</v>
      </c>
      <c r="R74" s="32">
        <f t="shared" si="5"/>
        <v>0</v>
      </c>
      <c r="S74" s="32">
        <f t="shared" si="6"/>
        <v>0</v>
      </c>
      <c r="T74" s="47">
        <f t="shared" si="7"/>
        <v>0</v>
      </c>
      <c r="U74" s="47">
        <f t="shared" si="8"/>
        <v>0</v>
      </c>
      <c r="V74" s="46"/>
      <c r="W74" s="75"/>
    </row>
    <row r="75" spans="1:23" x14ac:dyDescent="0.25">
      <c r="A75" s="175"/>
      <c r="B75" s="1"/>
      <c r="C75" s="19"/>
      <c r="D75" s="269"/>
      <c r="E75" s="174"/>
      <c r="F75" s="33"/>
      <c r="G75" s="62">
        <f t="shared" si="1"/>
        <v>0</v>
      </c>
      <c r="H75" s="63">
        <f t="shared" si="2"/>
        <v>0</v>
      </c>
      <c r="I75" s="61"/>
      <c r="J75" s="211">
        <f t="shared" si="0"/>
        <v>0</v>
      </c>
      <c r="K75" s="62">
        <f t="shared" si="3"/>
        <v>0</v>
      </c>
      <c r="L75" s="62">
        <f t="shared" si="4"/>
        <v>0</v>
      </c>
      <c r="M75" s="22"/>
      <c r="N75" s="76"/>
      <c r="O75" s="1"/>
      <c r="P75" s="33"/>
      <c r="Q75" s="58">
        <f t="shared" si="9"/>
        <v>0</v>
      </c>
      <c r="R75" s="85">
        <f t="shared" si="5"/>
        <v>0</v>
      </c>
      <c r="S75" s="85">
        <f t="shared" si="6"/>
        <v>0</v>
      </c>
      <c r="T75" s="59">
        <f t="shared" si="7"/>
        <v>0</v>
      </c>
      <c r="U75" s="59">
        <f t="shared" si="8"/>
        <v>0</v>
      </c>
      <c r="V75" s="46"/>
      <c r="W75" s="75"/>
    </row>
    <row r="76" spans="1:23" x14ac:dyDescent="0.25">
      <c r="A76" s="175"/>
      <c r="B76" s="3"/>
      <c r="C76" s="24"/>
      <c r="D76" s="270"/>
      <c r="E76" s="173"/>
      <c r="F76" s="26"/>
      <c r="G76" s="2">
        <f t="shared" si="1"/>
        <v>0</v>
      </c>
      <c r="H76" s="20">
        <f t="shared" si="2"/>
        <v>0</v>
      </c>
      <c r="I76" s="61"/>
      <c r="J76" s="210">
        <f t="shared" si="0"/>
        <v>0</v>
      </c>
      <c r="K76" s="2">
        <f t="shared" si="3"/>
        <v>0</v>
      </c>
      <c r="L76" s="2">
        <f t="shared" si="4"/>
        <v>0</v>
      </c>
      <c r="M76" s="21"/>
      <c r="N76" s="76"/>
      <c r="O76" s="3"/>
      <c r="P76" s="31"/>
      <c r="Q76" s="32">
        <f t="shared" si="9"/>
        <v>0</v>
      </c>
      <c r="R76" s="32">
        <f t="shared" si="5"/>
        <v>0</v>
      </c>
      <c r="S76" s="32">
        <f t="shared" si="6"/>
        <v>0</v>
      </c>
      <c r="T76" s="47">
        <f t="shared" si="7"/>
        <v>0</v>
      </c>
      <c r="U76" s="47">
        <f t="shared" si="8"/>
        <v>0</v>
      </c>
      <c r="V76" s="46"/>
      <c r="W76" s="75"/>
    </row>
    <row r="77" spans="1:23" x14ac:dyDescent="0.25">
      <c r="A77" s="175"/>
      <c r="B77" s="1"/>
      <c r="C77" s="19"/>
      <c r="D77" s="269"/>
      <c r="E77" s="174"/>
      <c r="F77" s="33"/>
      <c r="G77" s="62">
        <f t="shared" si="1"/>
        <v>0</v>
      </c>
      <c r="H77" s="63">
        <f t="shared" si="2"/>
        <v>0</v>
      </c>
      <c r="I77" s="61"/>
      <c r="J77" s="211">
        <f t="shared" si="0"/>
        <v>0</v>
      </c>
      <c r="K77" s="62">
        <f t="shared" si="3"/>
        <v>0</v>
      </c>
      <c r="L77" s="62">
        <f t="shared" si="4"/>
        <v>0</v>
      </c>
      <c r="M77" s="22"/>
      <c r="N77" s="76"/>
      <c r="O77" s="1"/>
      <c r="P77" s="33"/>
      <c r="Q77" s="58">
        <f t="shared" si="9"/>
        <v>0</v>
      </c>
      <c r="R77" s="85">
        <f t="shared" si="5"/>
        <v>0</v>
      </c>
      <c r="S77" s="85">
        <f t="shared" si="6"/>
        <v>0</v>
      </c>
      <c r="T77" s="59">
        <f t="shared" si="7"/>
        <v>0</v>
      </c>
      <c r="U77" s="59">
        <f t="shared" si="8"/>
        <v>0</v>
      </c>
      <c r="V77" s="46"/>
      <c r="W77" s="75"/>
    </row>
    <row r="78" spans="1:23" x14ac:dyDescent="0.25">
      <c r="A78" s="175"/>
      <c r="B78" s="3"/>
      <c r="C78" s="24"/>
      <c r="D78" s="270"/>
      <c r="E78" s="173"/>
      <c r="F78" s="26"/>
      <c r="G78" s="2">
        <f t="shared" si="1"/>
        <v>0</v>
      </c>
      <c r="H78" s="20">
        <f t="shared" si="2"/>
        <v>0</v>
      </c>
      <c r="I78" s="61"/>
      <c r="J78" s="210">
        <f t="shared" si="0"/>
        <v>0</v>
      </c>
      <c r="K78" s="2">
        <f t="shared" si="3"/>
        <v>0</v>
      </c>
      <c r="L78" s="2">
        <f t="shared" si="4"/>
        <v>0</v>
      </c>
      <c r="M78" s="21"/>
      <c r="N78" s="76"/>
      <c r="O78" s="3"/>
      <c r="P78" s="31"/>
      <c r="Q78" s="32">
        <f t="shared" si="9"/>
        <v>0</v>
      </c>
      <c r="R78" s="32">
        <f t="shared" si="5"/>
        <v>0</v>
      </c>
      <c r="S78" s="32">
        <f t="shared" si="6"/>
        <v>0</v>
      </c>
      <c r="T78" s="47">
        <f t="shared" si="7"/>
        <v>0</v>
      </c>
      <c r="U78" s="47">
        <f t="shared" si="8"/>
        <v>0</v>
      </c>
      <c r="V78" s="46"/>
      <c r="W78" s="75"/>
    </row>
    <row r="79" spans="1:23" x14ac:dyDescent="0.25">
      <c r="A79" s="175"/>
      <c r="B79" s="1"/>
      <c r="C79" s="19"/>
      <c r="D79" s="269"/>
      <c r="E79" s="174"/>
      <c r="F79" s="33"/>
      <c r="G79" s="62">
        <f t="shared" si="1"/>
        <v>0</v>
      </c>
      <c r="H79" s="63">
        <f t="shared" si="2"/>
        <v>0</v>
      </c>
      <c r="I79" s="61"/>
      <c r="J79" s="211">
        <f t="shared" si="0"/>
        <v>0</v>
      </c>
      <c r="K79" s="62">
        <f t="shared" si="3"/>
        <v>0</v>
      </c>
      <c r="L79" s="62">
        <f t="shared" si="4"/>
        <v>0</v>
      </c>
      <c r="M79" s="22"/>
      <c r="N79" s="76"/>
      <c r="O79" s="1"/>
      <c r="P79" s="33"/>
      <c r="Q79" s="58">
        <f t="shared" si="9"/>
        <v>0</v>
      </c>
      <c r="R79" s="85">
        <f t="shared" si="5"/>
        <v>0</v>
      </c>
      <c r="S79" s="85">
        <f t="shared" si="6"/>
        <v>0</v>
      </c>
      <c r="T79" s="59">
        <f t="shared" si="7"/>
        <v>0</v>
      </c>
      <c r="U79" s="59">
        <f t="shared" si="8"/>
        <v>0</v>
      </c>
      <c r="V79" s="46"/>
      <c r="W79" s="75"/>
    </row>
    <row r="80" spans="1:23" x14ac:dyDescent="0.25">
      <c r="A80" s="175"/>
      <c r="B80" s="3"/>
      <c r="C80" s="24"/>
      <c r="D80" s="270"/>
      <c r="E80" s="173"/>
      <c r="F80" s="26"/>
      <c r="G80" s="2">
        <f t="shared" si="1"/>
        <v>0</v>
      </c>
      <c r="H80" s="20">
        <f t="shared" si="2"/>
        <v>0</v>
      </c>
      <c r="I80" s="61"/>
      <c r="J80" s="210">
        <f t="shared" si="0"/>
        <v>0</v>
      </c>
      <c r="K80" s="2">
        <f t="shared" si="3"/>
        <v>0</v>
      </c>
      <c r="L80" s="2">
        <f t="shared" si="4"/>
        <v>0</v>
      </c>
      <c r="M80" s="21"/>
      <c r="N80" s="76"/>
      <c r="O80" s="3"/>
      <c r="P80" s="31"/>
      <c r="Q80" s="32">
        <f t="shared" si="9"/>
        <v>0</v>
      </c>
      <c r="R80" s="32">
        <f t="shared" si="5"/>
        <v>0</v>
      </c>
      <c r="S80" s="32">
        <f t="shared" si="6"/>
        <v>0</v>
      </c>
      <c r="T80" s="47">
        <f t="shared" si="7"/>
        <v>0</v>
      </c>
      <c r="U80" s="47">
        <f t="shared" si="8"/>
        <v>0</v>
      </c>
      <c r="V80" s="46"/>
      <c r="W80" s="75"/>
    </row>
    <row r="81" spans="1:23" x14ac:dyDescent="0.25">
      <c r="A81" s="175"/>
      <c r="B81" s="1"/>
      <c r="C81" s="19"/>
      <c r="D81" s="269"/>
      <c r="E81" s="174"/>
      <c r="F81" s="33"/>
      <c r="G81" s="62">
        <f t="shared" si="1"/>
        <v>0</v>
      </c>
      <c r="H81" s="63">
        <f t="shared" si="2"/>
        <v>0</v>
      </c>
      <c r="I81" s="61"/>
      <c r="J81" s="211">
        <f t="shared" si="0"/>
        <v>0</v>
      </c>
      <c r="K81" s="62">
        <f t="shared" si="3"/>
        <v>0</v>
      </c>
      <c r="L81" s="62">
        <f t="shared" si="4"/>
        <v>0</v>
      </c>
      <c r="M81" s="22"/>
      <c r="N81" s="76"/>
      <c r="O81" s="1"/>
      <c r="P81" s="33"/>
      <c r="Q81" s="58">
        <f t="shared" si="9"/>
        <v>0</v>
      </c>
      <c r="R81" s="85">
        <f t="shared" si="5"/>
        <v>0</v>
      </c>
      <c r="S81" s="85">
        <f t="shared" si="6"/>
        <v>0</v>
      </c>
      <c r="T81" s="59">
        <f t="shared" si="7"/>
        <v>0</v>
      </c>
      <c r="U81" s="59">
        <f t="shared" si="8"/>
        <v>0</v>
      </c>
      <c r="V81" s="46"/>
      <c r="W81" s="75"/>
    </row>
    <row r="82" spans="1:23" x14ac:dyDescent="0.25">
      <c r="A82" s="175"/>
      <c r="B82" s="3"/>
      <c r="C82" s="24"/>
      <c r="D82" s="270"/>
      <c r="E82" s="173"/>
      <c r="F82" s="26"/>
      <c r="G82" s="2">
        <f t="shared" si="1"/>
        <v>0</v>
      </c>
      <c r="H82" s="20">
        <f t="shared" si="2"/>
        <v>0</v>
      </c>
      <c r="I82" s="61"/>
      <c r="J82" s="210">
        <f t="shared" ref="J82:J128" si="10">E82</f>
        <v>0</v>
      </c>
      <c r="K82" s="2">
        <f t="shared" si="3"/>
        <v>0</v>
      </c>
      <c r="L82" s="2">
        <f t="shared" si="4"/>
        <v>0</v>
      </c>
      <c r="M82" s="21"/>
      <c r="N82" s="76"/>
      <c r="O82" s="3"/>
      <c r="P82" s="31"/>
      <c r="Q82" s="32">
        <f t="shared" si="9"/>
        <v>0</v>
      </c>
      <c r="R82" s="32">
        <f t="shared" si="5"/>
        <v>0</v>
      </c>
      <c r="S82" s="32">
        <f t="shared" si="6"/>
        <v>0</v>
      </c>
      <c r="T82" s="47">
        <f t="shared" si="7"/>
        <v>0</v>
      </c>
      <c r="U82" s="47">
        <f t="shared" si="8"/>
        <v>0</v>
      </c>
      <c r="V82" s="46"/>
      <c r="W82" s="75"/>
    </row>
    <row r="83" spans="1:23" x14ac:dyDescent="0.25">
      <c r="A83" s="175"/>
      <c r="B83" s="1"/>
      <c r="C83" s="19"/>
      <c r="D83" s="269"/>
      <c r="E83" s="174"/>
      <c r="F83" s="33"/>
      <c r="G83" s="62">
        <f t="shared" ref="G83:G128" si="11">ROUND(IF($F$17="USD $", F83*$E$15,F83*$D$15),2)</f>
        <v>0</v>
      </c>
      <c r="H83" s="63">
        <f t="shared" ref="H83:H128" si="12">ROUND(IF($H$17=$G$17,E83*G83,E83*F83),2)</f>
        <v>0</v>
      </c>
      <c r="I83" s="61"/>
      <c r="J83" s="211">
        <f t="shared" si="10"/>
        <v>0</v>
      </c>
      <c r="K83" s="62">
        <f t="shared" ref="K83:K128" si="13">ROUND(IF($K$17=$F$17,F83*($L$14-M83),G83*($L$14-M83)),2)</f>
        <v>0</v>
      </c>
      <c r="L83" s="62">
        <f t="shared" ref="L83:L128" si="14">ROUND((J83*K83),2)</f>
        <v>0</v>
      </c>
      <c r="M83" s="22"/>
      <c r="N83" s="76"/>
      <c r="O83" s="1"/>
      <c r="P83" s="33"/>
      <c r="Q83" s="58">
        <f t="shared" si="9"/>
        <v>0</v>
      </c>
      <c r="R83" s="85">
        <f t="shared" ref="R83:R128" si="15">IFERROR(ROUND(S83/E83,2),0)</f>
        <v>0</v>
      </c>
      <c r="S83" s="85">
        <f t="shared" ref="S83:S128" si="16">ROUND(L83-Q83,2)</f>
        <v>0</v>
      </c>
      <c r="T83" s="59">
        <f t="shared" ref="T83:T128" si="17">IFERROR(((K83-(Q83/J83))/(Q83/J83)),0)</f>
        <v>0</v>
      </c>
      <c r="U83" s="59">
        <f t="shared" ref="U83:U128" si="18">IFERROR(((K83-(Q83/J83))/K83),0)</f>
        <v>0</v>
      </c>
      <c r="V83" s="46"/>
      <c r="W83" s="75"/>
    </row>
    <row r="84" spans="1:23" x14ac:dyDescent="0.25">
      <c r="A84" s="175"/>
      <c r="B84" s="3"/>
      <c r="C84" s="24"/>
      <c r="D84" s="270"/>
      <c r="E84" s="173"/>
      <c r="F84" s="26"/>
      <c r="G84" s="2">
        <f t="shared" si="11"/>
        <v>0</v>
      </c>
      <c r="H84" s="20">
        <f t="shared" si="12"/>
        <v>0</v>
      </c>
      <c r="I84" s="61"/>
      <c r="J84" s="210">
        <f t="shared" si="10"/>
        <v>0</v>
      </c>
      <c r="K84" s="2">
        <f t="shared" si="13"/>
        <v>0</v>
      </c>
      <c r="L84" s="2">
        <f t="shared" si="14"/>
        <v>0</v>
      </c>
      <c r="M84" s="21"/>
      <c r="N84" s="76"/>
      <c r="O84" s="3"/>
      <c r="P84" s="31"/>
      <c r="Q84" s="32">
        <f t="shared" ref="Q84:Q128" si="19">ROUND(IF($Q$17=$P$17,P84,IF($Q$17="USD $",P84*$D$15,P84*$E$15))*E84,2)</f>
        <v>0</v>
      </c>
      <c r="R84" s="32">
        <f t="shared" si="15"/>
        <v>0</v>
      </c>
      <c r="S84" s="32">
        <f t="shared" si="16"/>
        <v>0</v>
      </c>
      <c r="T84" s="47">
        <f t="shared" si="17"/>
        <v>0</v>
      </c>
      <c r="U84" s="47">
        <f t="shared" si="18"/>
        <v>0</v>
      </c>
      <c r="V84" s="46"/>
      <c r="W84" s="75"/>
    </row>
    <row r="85" spans="1:23" x14ac:dyDescent="0.25">
      <c r="A85" s="175"/>
      <c r="B85" s="1"/>
      <c r="C85" s="19"/>
      <c r="D85" s="269"/>
      <c r="E85" s="174"/>
      <c r="F85" s="33"/>
      <c r="G85" s="62">
        <f t="shared" si="11"/>
        <v>0</v>
      </c>
      <c r="H85" s="63">
        <f t="shared" si="12"/>
        <v>0</v>
      </c>
      <c r="I85" s="61"/>
      <c r="J85" s="211">
        <f t="shared" si="10"/>
        <v>0</v>
      </c>
      <c r="K85" s="62">
        <f t="shared" si="13"/>
        <v>0</v>
      </c>
      <c r="L85" s="62">
        <f t="shared" si="14"/>
        <v>0</v>
      </c>
      <c r="M85" s="22"/>
      <c r="N85" s="76"/>
      <c r="O85" s="1"/>
      <c r="P85" s="33"/>
      <c r="Q85" s="58">
        <f t="shared" si="19"/>
        <v>0</v>
      </c>
      <c r="R85" s="85">
        <f t="shared" si="15"/>
        <v>0</v>
      </c>
      <c r="S85" s="85">
        <f t="shared" si="16"/>
        <v>0</v>
      </c>
      <c r="T85" s="59">
        <f t="shared" si="17"/>
        <v>0</v>
      </c>
      <c r="U85" s="59">
        <f t="shared" si="18"/>
        <v>0</v>
      </c>
      <c r="V85" s="46"/>
      <c r="W85" s="75"/>
    </row>
    <row r="86" spans="1:23" x14ac:dyDescent="0.25">
      <c r="A86" s="175"/>
      <c r="B86" s="3"/>
      <c r="C86" s="24"/>
      <c r="D86" s="270"/>
      <c r="E86" s="173"/>
      <c r="F86" s="26"/>
      <c r="G86" s="2">
        <f t="shared" si="11"/>
        <v>0</v>
      </c>
      <c r="H86" s="20">
        <f t="shared" si="12"/>
        <v>0</v>
      </c>
      <c r="I86" s="61"/>
      <c r="J86" s="210">
        <f t="shared" si="10"/>
        <v>0</v>
      </c>
      <c r="K86" s="2">
        <f t="shared" si="13"/>
        <v>0</v>
      </c>
      <c r="L86" s="2">
        <f t="shared" si="14"/>
        <v>0</v>
      </c>
      <c r="M86" s="21"/>
      <c r="N86" s="76"/>
      <c r="O86" s="3"/>
      <c r="P86" s="31"/>
      <c r="Q86" s="32">
        <f t="shared" si="19"/>
        <v>0</v>
      </c>
      <c r="R86" s="32">
        <f t="shared" si="15"/>
        <v>0</v>
      </c>
      <c r="S86" s="32">
        <f t="shared" si="16"/>
        <v>0</v>
      </c>
      <c r="T86" s="47">
        <f t="shared" si="17"/>
        <v>0</v>
      </c>
      <c r="U86" s="47">
        <f t="shared" si="18"/>
        <v>0</v>
      </c>
      <c r="V86" s="46"/>
      <c r="W86" s="75"/>
    </row>
    <row r="87" spans="1:23" x14ac:dyDescent="0.25">
      <c r="A87" s="175"/>
      <c r="B87" s="1"/>
      <c r="C87" s="19"/>
      <c r="D87" s="269"/>
      <c r="E87" s="174"/>
      <c r="F87" s="33"/>
      <c r="G87" s="62">
        <f t="shared" si="11"/>
        <v>0</v>
      </c>
      <c r="H87" s="63">
        <f t="shared" si="12"/>
        <v>0</v>
      </c>
      <c r="I87" s="61"/>
      <c r="J87" s="211">
        <f t="shared" si="10"/>
        <v>0</v>
      </c>
      <c r="K87" s="62">
        <f t="shared" si="13"/>
        <v>0</v>
      </c>
      <c r="L87" s="62">
        <f t="shared" si="14"/>
        <v>0</v>
      </c>
      <c r="M87" s="22"/>
      <c r="N87" s="76"/>
      <c r="O87" s="1"/>
      <c r="P87" s="33"/>
      <c r="Q87" s="58">
        <f t="shared" si="19"/>
        <v>0</v>
      </c>
      <c r="R87" s="85">
        <f t="shared" si="15"/>
        <v>0</v>
      </c>
      <c r="S87" s="85">
        <f t="shared" si="16"/>
        <v>0</v>
      </c>
      <c r="T87" s="59">
        <f t="shared" si="17"/>
        <v>0</v>
      </c>
      <c r="U87" s="59">
        <f t="shared" si="18"/>
        <v>0</v>
      </c>
      <c r="V87" s="46"/>
      <c r="W87" s="75"/>
    </row>
    <row r="88" spans="1:23" x14ac:dyDescent="0.25">
      <c r="A88" s="175"/>
      <c r="B88" s="3"/>
      <c r="C88" s="24"/>
      <c r="D88" s="270"/>
      <c r="E88" s="173"/>
      <c r="F88" s="26"/>
      <c r="G88" s="2">
        <f t="shared" si="11"/>
        <v>0</v>
      </c>
      <c r="H88" s="20">
        <f t="shared" si="12"/>
        <v>0</v>
      </c>
      <c r="I88" s="61"/>
      <c r="J88" s="210">
        <f t="shared" si="10"/>
        <v>0</v>
      </c>
      <c r="K88" s="2">
        <f t="shared" si="13"/>
        <v>0</v>
      </c>
      <c r="L88" s="2">
        <f t="shared" si="14"/>
        <v>0</v>
      </c>
      <c r="M88" s="21"/>
      <c r="N88" s="76"/>
      <c r="O88" s="3"/>
      <c r="P88" s="31"/>
      <c r="Q88" s="32">
        <f t="shared" si="19"/>
        <v>0</v>
      </c>
      <c r="R88" s="32">
        <f t="shared" si="15"/>
        <v>0</v>
      </c>
      <c r="S88" s="32">
        <f t="shared" si="16"/>
        <v>0</v>
      </c>
      <c r="T88" s="47">
        <f t="shared" si="17"/>
        <v>0</v>
      </c>
      <c r="U88" s="47">
        <f t="shared" si="18"/>
        <v>0</v>
      </c>
      <c r="V88" s="46"/>
      <c r="W88" s="75"/>
    </row>
    <row r="89" spans="1:23" x14ac:dyDescent="0.25">
      <c r="A89" s="175"/>
      <c r="B89" s="1"/>
      <c r="C89" s="19"/>
      <c r="D89" s="269"/>
      <c r="E89" s="174"/>
      <c r="F89" s="33"/>
      <c r="G89" s="62">
        <f t="shared" si="11"/>
        <v>0</v>
      </c>
      <c r="H89" s="63">
        <f t="shared" si="12"/>
        <v>0</v>
      </c>
      <c r="I89" s="61"/>
      <c r="J89" s="211">
        <f t="shared" si="10"/>
        <v>0</v>
      </c>
      <c r="K89" s="62">
        <f t="shared" si="13"/>
        <v>0</v>
      </c>
      <c r="L89" s="62">
        <f t="shared" si="14"/>
        <v>0</v>
      </c>
      <c r="M89" s="22"/>
      <c r="N89" s="76"/>
      <c r="O89" s="1"/>
      <c r="P89" s="33"/>
      <c r="Q89" s="58">
        <f t="shared" si="19"/>
        <v>0</v>
      </c>
      <c r="R89" s="85">
        <f t="shared" si="15"/>
        <v>0</v>
      </c>
      <c r="S89" s="85">
        <f t="shared" si="16"/>
        <v>0</v>
      </c>
      <c r="T89" s="59">
        <f t="shared" si="17"/>
        <v>0</v>
      </c>
      <c r="U89" s="59">
        <f t="shared" si="18"/>
        <v>0</v>
      </c>
      <c r="V89" s="46"/>
      <c r="W89" s="75"/>
    </row>
    <row r="90" spans="1:23" x14ac:dyDescent="0.25">
      <c r="A90" s="175"/>
      <c r="B90" s="3"/>
      <c r="C90" s="24"/>
      <c r="D90" s="270"/>
      <c r="E90" s="173"/>
      <c r="F90" s="26"/>
      <c r="G90" s="2">
        <f t="shared" si="11"/>
        <v>0</v>
      </c>
      <c r="H90" s="20">
        <f t="shared" si="12"/>
        <v>0</v>
      </c>
      <c r="I90" s="61"/>
      <c r="J90" s="210">
        <f t="shared" si="10"/>
        <v>0</v>
      </c>
      <c r="K90" s="2">
        <f t="shared" si="13"/>
        <v>0</v>
      </c>
      <c r="L90" s="2">
        <f t="shared" si="14"/>
        <v>0</v>
      </c>
      <c r="M90" s="21"/>
      <c r="N90" s="76"/>
      <c r="O90" s="3"/>
      <c r="P90" s="31"/>
      <c r="Q90" s="32">
        <f t="shared" si="19"/>
        <v>0</v>
      </c>
      <c r="R90" s="32">
        <f t="shared" si="15"/>
        <v>0</v>
      </c>
      <c r="S90" s="32">
        <f t="shared" si="16"/>
        <v>0</v>
      </c>
      <c r="T90" s="47">
        <f t="shared" si="17"/>
        <v>0</v>
      </c>
      <c r="U90" s="47">
        <f t="shared" si="18"/>
        <v>0</v>
      </c>
      <c r="V90" s="46"/>
      <c r="W90" s="75"/>
    </row>
    <row r="91" spans="1:23" x14ac:dyDescent="0.25">
      <c r="A91" s="175"/>
      <c r="B91" s="1"/>
      <c r="C91" s="19"/>
      <c r="D91" s="269"/>
      <c r="E91" s="174"/>
      <c r="F91" s="33"/>
      <c r="G91" s="62">
        <f t="shared" si="11"/>
        <v>0</v>
      </c>
      <c r="H91" s="63">
        <f t="shared" si="12"/>
        <v>0</v>
      </c>
      <c r="I91" s="61"/>
      <c r="J91" s="211">
        <f t="shared" si="10"/>
        <v>0</v>
      </c>
      <c r="K91" s="62">
        <f t="shared" si="13"/>
        <v>0</v>
      </c>
      <c r="L91" s="62">
        <f t="shared" si="14"/>
        <v>0</v>
      </c>
      <c r="M91" s="22"/>
      <c r="N91" s="76"/>
      <c r="O91" s="1"/>
      <c r="P91" s="33"/>
      <c r="Q91" s="58">
        <f t="shared" si="19"/>
        <v>0</v>
      </c>
      <c r="R91" s="85">
        <f t="shared" si="15"/>
        <v>0</v>
      </c>
      <c r="S91" s="85">
        <f t="shared" si="16"/>
        <v>0</v>
      </c>
      <c r="T91" s="59">
        <f t="shared" si="17"/>
        <v>0</v>
      </c>
      <c r="U91" s="59">
        <f t="shared" si="18"/>
        <v>0</v>
      </c>
      <c r="V91" s="46"/>
      <c r="W91" s="75"/>
    </row>
    <row r="92" spans="1:23" x14ac:dyDescent="0.25">
      <c r="A92" s="175"/>
      <c r="B92" s="3"/>
      <c r="C92" s="24"/>
      <c r="D92" s="270"/>
      <c r="E92" s="173"/>
      <c r="F92" s="26"/>
      <c r="G92" s="2">
        <f t="shared" si="11"/>
        <v>0</v>
      </c>
      <c r="H92" s="20">
        <f t="shared" si="12"/>
        <v>0</v>
      </c>
      <c r="I92" s="61"/>
      <c r="J92" s="210">
        <f t="shared" si="10"/>
        <v>0</v>
      </c>
      <c r="K92" s="2">
        <f t="shared" si="13"/>
        <v>0</v>
      </c>
      <c r="L92" s="2">
        <f t="shared" si="14"/>
        <v>0</v>
      </c>
      <c r="M92" s="21"/>
      <c r="N92" s="76"/>
      <c r="O92" s="3"/>
      <c r="P92" s="31"/>
      <c r="Q92" s="32">
        <f t="shared" si="19"/>
        <v>0</v>
      </c>
      <c r="R92" s="32">
        <f t="shared" si="15"/>
        <v>0</v>
      </c>
      <c r="S92" s="32">
        <f t="shared" si="16"/>
        <v>0</v>
      </c>
      <c r="T92" s="47">
        <f t="shared" si="17"/>
        <v>0</v>
      </c>
      <c r="U92" s="47">
        <f t="shared" si="18"/>
        <v>0</v>
      </c>
      <c r="V92" s="46"/>
      <c r="W92" s="75"/>
    </row>
    <row r="93" spans="1:23" x14ac:dyDescent="0.25">
      <c r="A93" s="175"/>
      <c r="B93" s="1"/>
      <c r="C93" s="19"/>
      <c r="D93" s="269"/>
      <c r="E93" s="174"/>
      <c r="F93" s="33"/>
      <c r="G93" s="62">
        <f t="shared" si="11"/>
        <v>0</v>
      </c>
      <c r="H93" s="63">
        <f t="shared" si="12"/>
        <v>0</v>
      </c>
      <c r="I93" s="61"/>
      <c r="J93" s="211">
        <f t="shared" si="10"/>
        <v>0</v>
      </c>
      <c r="K93" s="62">
        <f t="shared" si="13"/>
        <v>0</v>
      </c>
      <c r="L93" s="62">
        <f t="shared" si="14"/>
        <v>0</v>
      </c>
      <c r="M93" s="22"/>
      <c r="N93" s="76"/>
      <c r="O93" s="1"/>
      <c r="P93" s="33"/>
      <c r="Q93" s="58">
        <f t="shared" si="19"/>
        <v>0</v>
      </c>
      <c r="R93" s="85">
        <f t="shared" si="15"/>
        <v>0</v>
      </c>
      <c r="S93" s="85">
        <f t="shared" si="16"/>
        <v>0</v>
      </c>
      <c r="T93" s="59">
        <f t="shared" si="17"/>
        <v>0</v>
      </c>
      <c r="U93" s="59">
        <f t="shared" si="18"/>
        <v>0</v>
      </c>
      <c r="V93" s="46"/>
      <c r="W93" s="75"/>
    </row>
    <row r="94" spans="1:23" x14ac:dyDescent="0.25">
      <c r="A94" s="175"/>
      <c r="B94" s="3"/>
      <c r="C94" s="24"/>
      <c r="D94" s="270"/>
      <c r="E94" s="173"/>
      <c r="F94" s="26"/>
      <c r="G94" s="2">
        <f t="shared" si="11"/>
        <v>0</v>
      </c>
      <c r="H94" s="20">
        <f t="shared" si="12"/>
        <v>0</v>
      </c>
      <c r="I94" s="61"/>
      <c r="J94" s="210">
        <f t="shared" si="10"/>
        <v>0</v>
      </c>
      <c r="K94" s="2">
        <f t="shared" si="13"/>
        <v>0</v>
      </c>
      <c r="L94" s="2">
        <f t="shared" si="14"/>
        <v>0</v>
      </c>
      <c r="M94" s="21"/>
      <c r="N94" s="76"/>
      <c r="O94" s="3"/>
      <c r="P94" s="31"/>
      <c r="Q94" s="32">
        <f t="shared" si="19"/>
        <v>0</v>
      </c>
      <c r="R94" s="32">
        <f t="shared" si="15"/>
        <v>0</v>
      </c>
      <c r="S94" s="32">
        <f t="shared" si="16"/>
        <v>0</v>
      </c>
      <c r="T94" s="47">
        <f t="shared" si="17"/>
        <v>0</v>
      </c>
      <c r="U94" s="47">
        <f t="shared" si="18"/>
        <v>0</v>
      </c>
      <c r="V94" s="46"/>
      <c r="W94" s="75"/>
    </row>
    <row r="95" spans="1:23" x14ac:dyDescent="0.25">
      <c r="A95" s="175"/>
      <c r="B95" s="1"/>
      <c r="C95" s="19"/>
      <c r="D95" s="269"/>
      <c r="E95" s="174"/>
      <c r="F95" s="33"/>
      <c r="G95" s="62">
        <f t="shared" si="11"/>
        <v>0</v>
      </c>
      <c r="H95" s="63">
        <f t="shared" si="12"/>
        <v>0</v>
      </c>
      <c r="I95" s="61"/>
      <c r="J95" s="211">
        <f t="shared" si="10"/>
        <v>0</v>
      </c>
      <c r="K95" s="62">
        <f t="shared" si="13"/>
        <v>0</v>
      </c>
      <c r="L95" s="62">
        <f t="shared" si="14"/>
        <v>0</v>
      </c>
      <c r="M95" s="22"/>
      <c r="N95" s="76"/>
      <c r="O95" s="1"/>
      <c r="P95" s="33"/>
      <c r="Q95" s="58">
        <f t="shared" si="19"/>
        <v>0</v>
      </c>
      <c r="R95" s="85">
        <f t="shared" si="15"/>
        <v>0</v>
      </c>
      <c r="S95" s="85">
        <f t="shared" si="16"/>
        <v>0</v>
      </c>
      <c r="T95" s="59">
        <f t="shared" si="17"/>
        <v>0</v>
      </c>
      <c r="U95" s="59">
        <f t="shared" si="18"/>
        <v>0</v>
      </c>
      <c r="V95" s="46"/>
      <c r="W95" s="75"/>
    </row>
    <row r="96" spans="1:23" x14ac:dyDescent="0.25">
      <c r="A96" s="175"/>
      <c r="B96" s="3"/>
      <c r="C96" s="24"/>
      <c r="D96" s="270"/>
      <c r="E96" s="173"/>
      <c r="F96" s="26"/>
      <c r="G96" s="2">
        <f t="shared" si="11"/>
        <v>0</v>
      </c>
      <c r="H96" s="20">
        <f t="shared" si="12"/>
        <v>0</v>
      </c>
      <c r="I96" s="61"/>
      <c r="J96" s="210">
        <f t="shared" si="10"/>
        <v>0</v>
      </c>
      <c r="K96" s="2">
        <f t="shared" si="13"/>
        <v>0</v>
      </c>
      <c r="L96" s="2">
        <f t="shared" si="14"/>
        <v>0</v>
      </c>
      <c r="M96" s="21"/>
      <c r="N96" s="76"/>
      <c r="O96" s="3"/>
      <c r="P96" s="31"/>
      <c r="Q96" s="32">
        <f t="shared" si="19"/>
        <v>0</v>
      </c>
      <c r="R96" s="32">
        <f t="shared" si="15"/>
        <v>0</v>
      </c>
      <c r="S96" s="32">
        <f t="shared" si="16"/>
        <v>0</v>
      </c>
      <c r="T96" s="47">
        <f t="shared" si="17"/>
        <v>0</v>
      </c>
      <c r="U96" s="47">
        <f t="shared" si="18"/>
        <v>0</v>
      </c>
      <c r="V96" s="46"/>
      <c r="W96" s="75"/>
    </row>
    <row r="97" spans="1:23" x14ac:dyDescent="0.25">
      <c r="A97" s="175"/>
      <c r="B97" s="1"/>
      <c r="C97" s="19"/>
      <c r="D97" s="269"/>
      <c r="E97" s="174"/>
      <c r="F97" s="33"/>
      <c r="G97" s="62">
        <f t="shared" si="11"/>
        <v>0</v>
      </c>
      <c r="H97" s="63">
        <f t="shared" si="12"/>
        <v>0</v>
      </c>
      <c r="I97" s="61"/>
      <c r="J97" s="211">
        <f t="shared" si="10"/>
        <v>0</v>
      </c>
      <c r="K97" s="62">
        <f t="shared" si="13"/>
        <v>0</v>
      </c>
      <c r="L97" s="62">
        <f t="shared" si="14"/>
        <v>0</v>
      </c>
      <c r="M97" s="22"/>
      <c r="N97" s="76"/>
      <c r="O97" s="1"/>
      <c r="P97" s="33"/>
      <c r="Q97" s="58">
        <f t="shared" si="19"/>
        <v>0</v>
      </c>
      <c r="R97" s="85">
        <f t="shared" si="15"/>
        <v>0</v>
      </c>
      <c r="S97" s="85">
        <f t="shared" si="16"/>
        <v>0</v>
      </c>
      <c r="T97" s="59">
        <f t="shared" si="17"/>
        <v>0</v>
      </c>
      <c r="U97" s="59">
        <f t="shared" si="18"/>
        <v>0</v>
      </c>
      <c r="V97" s="46"/>
      <c r="W97" s="75"/>
    </row>
    <row r="98" spans="1:23" x14ac:dyDescent="0.25">
      <c r="A98" s="175"/>
      <c r="B98" s="3"/>
      <c r="C98" s="24"/>
      <c r="D98" s="270"/>
      <c r="E98" s="173"/>
      <c r="F98" s="26"/>
      <c r="G98" s="2">
        <f t="shared" si="11"/>
        <v>0</v>
      </c>
      <c r="H98" s="20">
        <f t="shared" si="12"/>
        <v>0</v>
      </c>
      <c r="I98" s="61"/>
      <c r="J98" s="210">
        <f t="shared" si="10"/>
        <v>0</v>
      </c>
      <c r="K98" s="2">
        <f t="shared" si="13"/>
        <v>0</v>
      </c>
      <c r="L98" s="2">
        <f t="shared" si="14"/>
        <v>0</v>
      </c>
      <c r="M98" s="21"/>
      <c r="N98" s="76"/>
      <c r="O98" s="3"/>
      <c r="P98" s="31"/>
      <c r="Q98" s="32">
        <f t="shared" si="19"/>
        <v>0</v>
      </c>
      <c r="R98" s="32">
        <f t="shared" si="15"/>
        <v>0</v>
      </c>
      <c r="S98" s="32">
        <f t="shared" si="16"/>
        <v>0</v>
      </c>
      <c r="T98" s="47">
        <f t="shared" si="17"/>
        <v>0</v>
      </c>
      <c r="U98" s="47">
        <f t="shared" si="18"/>
        <v>0</v>
      </c>
      <c r="V98" s="46"/>
      <c r="W98" s="75"/>
    </row>
    <row r="99" spans="1:23" x14ac:dyDescent="0.25">
      <c r="A99" s="175"/>
      <c r="B99" s="1"/>
      <c r="C99" s="19"/>
      <c r="D99" s="269"/>
      <c r="E99" s="174"/>
      <c r="F99" s="33"/>
      <c r="G99" s="62">
        <f t="shared" si="11"/>
        <v>0</v>
      </c>
      <c r="H99" s="63">
        <f t="shared" si="12"/>
        <v>0</v>
      </c>
      <c r="I99" s="61"/>
      <c r="J99" s="211">
        <f t="shared" si="10"/>
        <v>0</v>
      </c>
      <c r="K99" s="62">
        <f t="shared" si="13"/>
        <v>0</v>
      </c>
      <c r="L99" s="62">
        <f t="shared" si="14"/>
        <v>0</v>
      </c>
      <c r="M99" s="22"/>
      <c r="N99" s="76"/>
      <c r="O99" s="1"/>
      <c r="P99" s="33"/>
      <c r="Q99" s="58">
        <f t="shared" si="19"/>
        <v>0</v>
      </c>
      <c r="R99" s="85">
        <f t="shared" si="15"/>
        <v>0</v>
      </c>
      <c r="S99" s="85">
        <f t="shared" si="16"/>
        <v>0</v>
      </c>
      <c r="T99" s="59">
        <f t="shared" si="17"/>
        <v>0</v>
      </c>
      <c r="U99" s="59">
        <f t="shared" si="18"/>
        <v>0</v>
      </c>
      <c r="V99" s="46"/>
      <c r="W99" s="75"/>
    </row>
    <row r="100" spans="1:23" x14ac:dyDescent="0.25">
      <c r="A100" s="175"/>
      <c r="B100" s="3"/>
      <c r="C100" s="24"/>
      <c r="D100" s="270"/>
      <c r="E100" s="173"/>
      <c r="F100" s="26"/>
      <c r="G100" s="2">
        <f t="shared" si="11"/>
        <v>0</v>
      </c>
      <c r="H100" s="20">
        <f t="shared" si="12"/>
        <v>0</v>
      </c>
      <c r="I100" s="61"/>
      <c r="J100" s="210">
        <f t="shared" si="10"/>
        <v>0</v>
      </c>
      <c r="K100" s="2">
        <f t="shared" si="13"/>
        <v>0</v>
      </c>
      <c r="L100" s="2">
        <f t="shared" si="14"/>
        <v>0</v>
      </c>
      <c r="M100" s="21"/>
      <c r="N100" s="76"/>
      <c r="O100" s="3"/>
      <c r="P100" s="31"/>
      <c r="Q100" s="32">
        <f t="shared" si="19"/>
        <v>0</v>
      </c>
      <c r="R100" s="32">
        <f t="shared" si="15"/>
        <v>0</v>
      </c>
      <c r="S100" s="32">
        <f t="shared" si="16"/>
        <v>0</v>
      </c>
      <c r="T100" s="47">
        <f t="shared" si="17"/>
        <v>0</v>
      </c>
      <c r="U100" s="47">
        <f t="shared" si="18"/>
        <v>0</v>
      </c>
      <c r="V100" s="46"/>
      <c r="W100" s="75"/>
    </row>
    <row r="101" spans="1:23" x14ac:dyDescent="0.25">
      <c r="A101" s="175"/>
      <c r="B101" s="1"/>
      <c r="C101" s="19"/>
      <c r="D101" s="269"/>
      <c r="E101" s="174"/>
      <c r="F101" s="33"/>
      <c r="G101" s="62">
        <f t="shared" si="11"/>
        <v>0</v>
      </c>
      <c r="H101" s="63">
        <f t="shared" si="12"/>
        <v>0</v>
      </c>
      <c r="I101" s="61"/>
      <c r="J101" s="211">
        <f t="shared" si="10"/>
        <v>0</v>
      </c>
      <c r="K101" s="62">
        <f t="shared" si="13"/>
        <v>0</v>
      </c>
      <c r="L101" s="62">
        <f t="shared" si="14"/>
        <v>0</v>
      </c>
      <c r="M101" s="22"/>
      <c r="N101" s="76"/>
      <c r="O101" s="1"/>
      <c r="P101" s="33"/>
      <c r="Q101" s="58">
        <f t="shared" si="19"/>
        <v>0</v>
      </c>
      <c r="R101" s="85">
        <f t="shared" si="15"/>
        <v>0</v>
      </c>
      <c r="S101" s="85">
        <f t="shared" si="16"/>
        <v>0</v>
      </c>
      <c r="T101" s="59">
        <f t="shared" si="17"/>
        <v>0</v>
      </c>
      <c r="U101" s="59">
        <f t="shared" si="18"/>
        <v>0</v>
      </c>
      <c r="V101" s="46"/>
      <c r="W101" s="75"/>
    </row>
    <row r="102" spans="1:23" x14ac:dyDescent="0.25">
      <c r="A102" s="175"/>
      <c r="B102" s="3"/>
      <c r="C102" s="24"/>
      <c r="D102" s="270"/>
      <c r="E102" s="173"/>
      <c r="F102" s="26"/>
      <c r="G102" s="2">
        <f t="shared" si="11"/>
        <v>0</v>
      </c>
      <c r="H102" s="20">
        <f t="shared" si="12"/>
        <v>0</v>
      </c>
      <c r="I102" s="61"/>
      <c r="J102" s="210">
        <f t="shared" si="10"/>
        <v>0</v>
      </c>
      <c r="K102" s="2">
        <f t="shared" si="13"/>
        <v>0</v>
      </c>
      <c r="L102" s="2">
        <f t="shared" si="14"/>
        <v>0</v>
      </c>
      <c r="M102" s="21"/>
      <c r="N102" s="76"/>
      <c r="O102" s="3"/>
      <c r="P102" s="31"/>
      <c r="Q102" s="32">
        <f t="shared" si="19"/>
        <v>0</v>
      </c>
      <c r="R102" s="32">
        <f t="shared" si="15"/>
        <v>0</v>
      </c>
      <c r="S102" s="32">
        <f t="shared" si="16"/>
        <v>0</v>
      </c>
      <c r="T102" s="47">
        <f t="shared" si="17"/>
        <v>0</v>
      </c>
      <c r="U102" s="47">
        <f t="shared" si="18"/>
        <v>0</v>
      </c>
      <c r="V102" s="46"/>
      <c r="W102" s="75"/>
    </row>
    <row r="103" spans="1:23" x14ac:dyDescent="0.25">
      <c r="A103" s="175"/>
      <c r="B103" s="1"/>
      <c r="C103" s="19"/>
      <c r="D103" s="269"/>
      <c r="E103" s="174"/>
      <c r="F103" s="33"/>
      <c r="G103" s="62">
        <f t="shared" si="11"/>
        <v>0</v>
      </c>
      <c r="H103" s="63">
        <f t="shared" si="12"/>
        <v>0</v>
      </c>
      <c r="I103" s="61"/>
      <c r="J103" s="211">
        <f t="shared" si="10"/>
        <v>0</v>
      </c>
      <c r="K103" s="62">
        <f t="shared" si="13"/>
        <v>0</v>
      </c>
      <c r="L103" s="62">
        <f t="shared" si="14"/>
        <v>0</v>
      </c>
      <c r="M103" s="22"/>
      <c r="N103" s="76"/>
      <c r="O103" s="1"/>
      <c r="P103" s="33"/>
      <c r="Q103" s="58">
        <f t="shared" si="19"/>
        <v>0</v>
      </c>
      <c r="R103" s="85">
        <f t="shared" si="15"/>
        <v>0</v>
      </c>
      <c r="S103" s="85">
        <f t="shared" si="16"/>
        <v>0</v>
      </c>
      <c r="T103" s="59">
        <f t="shared" si="17"/>
        <v>0</v>
      </c>
      <c r="U103" s="59">
        <f t="shared" si="18"/>
        <v>0</v>
      </c>
      <c r="V103" s="46"/>
      <c r="W103" s="75"/>
    </row>
    <row r="104" spans="1:23" x14ac:dyDescent="0.25">
      <c r="A104" s="175"/>
      <c r="B104" s="3"/>
      <c r="C104" s="24"/>
      <c r="D104" s="270"/>
      <c r="E104" s="173"/>
      <c r="F104" s="26"/>
      <c r="G104" s="2">
        <f t="shared" si="11"/>
        <v>0</v>
      </c>
      <c r="H104" s="20">
        <f t="shared" si="12"/>
        <v>0</v>
      </c>
      <c r="I104" s="61"/>
      <c r="J104" s="210">
        <f t="shared" si="10"/>
        <v>0</v>
      </c>
      <c r="K104" s="2">
        <f t="shared" si="13"/>
        <v>0</v>
      </c>
      <c r="L104" s="2">
        <f t="shared" si="14"/>
        <v>0</v>
      </c>
      <c r="M104" s="21"/>
      <c r="N104" s="76"/>
      <c r="O104" s="3"/>
      <c r="P104" s="31"/>
      <c r="Q104" s="32">
        <f t="shared" si="19"/>
        <v>0</v>
      </c>
      <c r="R104" s="32">
        <f t="shared" si="15"/>
        <v>0</v>
      </c>
      <c r="S104" s="32">
        <f t="shared" si="16"/>
        <v>0</v>
      </c>
      <c r="T104" s="47">
        <f t="shared" si="17"/>
        <v>0</v>
      </c>
      <c r="U104" s="47">
        <f t="shared" si="18"/>
        <v>0</v>
      </c>
      <c r="V104" s="46"/>
      <c r="W104" s="75"/>
    </row>
    <row r="105" spans="1:23" x14ac:dyDescent="0.25">
      <c r="A105" s="175"/>
      <c r="B105" s="1"/>
      <c r="C105" s="19"/>
      <c r="D105" s="269"/>
      <c r="E105" s="174"/>
      <c r="F105" s="33"/>
      <c r="G105" s="62">
        <f t="shared" si="11"/>
        <v>0</v>
      </c>
      <c r="H105" s="63">
        <f t="shared" si="12"/>
        <v>0</v>
      </c>
      <c r="I105" s="61"/>
      <c r="J105" s="211">
        <f t="shared" si="10"/>
        <v>0</v>
      </c>
      <c r="K105" s="62">
        <f t="shared" si="13"/>
        <v>0</v>
      </c>
      <c r="L105" s="62">
        <f t="shared" si="14"/>
        <v>0</v>
      </c>
      <c r="M105" s="22"/>
      <c r="N105" s="76"/>
      <c r="O105" s="1"/>
      <c r="P105" s="33"/>
      <c r="Q105" s="58">
        <f t="shared" si="19"/>
        <v>0</v>
      </c>
      <c r="R105" s="85">
        <f t="shared" si="15"/>
        <v>0</v>
      </c>
      <c r="S105" s="85">
        <f t="shared" si="16"/>
        <v>0</v>
      </c>
      <c r="T105" s="59">
        <f t="shared" si="17"/>
        <v>0</v>
      </c>
      <c r="U105" s="59">
        <f t="shared" si="18"/>
        <v>0</v>
      </c>
      <c r="V105" s="46"/>
      <c r="W105" s="75"/>
    </row>
    <row r="106" spans="1:23" x14ac:dyDescent="0.25">
      <c r="A106" s="175"/>
      <c r="B106" s="3"/>
      <c r="C106" s="24"/>
      <c r="D106" s="270"/>
      <c r="E106" s="173"/>
      <c r="F106" s="26"/>
      <c r="G106" s="2">
        <f t="shared" si="11"/>
        <v>0</v>
      </c>
      <c r="H106" s="20">
        <f t="shared" si="12"/>
        <v>0</v>
      </c>
      <c r="I106" s="61"/>
      <c r="J106" s="210">
        <f t="shared" si="10"/>
        <v>0</v>
      </c>
      <c r="K106" s="2">
        <f t="shared" si="13"/>
        <v>0</v>
      </c>
      <c r="L106" s="2">
        <f t="shared" si="14"/>
        <v>0</v>
      </c>
      <c r="M106" s="21"/>
      <c r="N106" s="76"/>
      <c r="O106" s="3"/>
      <c r="P106" s="31"/>
      <c r="Q106" s="32">
        <f t="shared" si="19"/>
        <v>0</v>
      </c>
      <c r="R106" s="32">
        <f t="shared" si="15"/>
        <v>0</v>
      </c>
      <c r="S106" s="32">
        <f t="shared" si="16"/>
        <v>0</v>
      </c>
      <c r="T106" s="47">
        <f t="shared" si="17"/>
        <v>0</v>
      </c>
      <c r="U106" s="47">
        <f t="shared" si="18"/>
        <v>0</v>
      </c>
      <c r="V106" s="46"/>
      <c r="W106" s="75"/>
    </row>
    <row r="107" spans="1:23" x14ac:dyDescent="0.25">
      <c r="A107" s="175"/>
      <c r="B107" s="1"/>
      <c r="C107" s="19"/>
      <c r="D107" s="269"/>
      <c r="E107" s="174"/>
      <c r="F107" s="33"/>
      <c r="G107" s="62">
        <f t="shared" si="11"/>
        <v>0</v>
      </c>
      <c r="H107" s="63">
        <f t="shared" si="12"/>
        <v>0</v>
      </c>
      <c r="I107" s="61"/>
      <c r="J107" s="211">
        <f t="shared" si="10"/>
        <v>0</v>
      </c>
      <c r="K107" s="62">
        <f t="shared" si="13"/>
        <v>0</v>
      </c>
      <c r="L107" s="62">
        <f t="shared" si="14"/>
        <v>0</v>
      </c>
      <c r="M107" s="22"/>
      <c r="N107" s="76"/>
      <c r="O107" s="1"/>
      <c r="P107" s="33"/>
      <c r="Q107" s="58">
        <f t="shared" si="19"/>
        <v>0</v>
      </c>
      <c r="R107" s="85">
        <f t="shared" si="15"/>
        <v>0</v>
      </c>
      <c r="S107" s="85">
        <f t="shared" si="16"/>
        <v>0</v>
      </c>
      <c r="T107" s="59">
        <f t="shared" si="17"/>
        <v>0</v>
      </c>
      <c r="U107" s="59">
        <f t="shared" si="18"/>
        <v>0</v>
      </c>
      <c r="V107" s="46"/>
      <c r="W107" s="75"/>
    </row>
    <row r="108" spans="1:23" x14ac:dyDescent="0.25">
      <c r="A108" s="175"/>
      <c r="B108" s="3"/>
      <c r="C108" s="24"/>
      <c r="D108" s="270"/>
      <c r="E108" s="173"/>
      <c r="F108" s="26"/>
      <c r="G108" s="2">
        <f t="shared" si="11"/>
        <v>0</v>
      </c>
      <c r="H108" s="20">
        <f t="shared" si="12"/>
        <v>0</v>
      </c>
      <c r="I108" s="61"/>
      <c r="J108" s="210">
        <f t="shared" si="10"/>
        <v>0</v>
      </c>
      <c r="K108" s="2">
        <f t="shared" si="13"/>
        <v>0</v>
      </c>
      <c r="L108" s="2">
        <f t="shared" si="14"/>
        <v>0</v>
      </c>
      <c r="M108" s="21"/>
      <c r="N108" s="76"/>
      <c r="O108" s="3"/>
      <c r="P108" s="31"/>
      <c r="Q108" s="32">
        <f t="shared" si="19"/>
        <v>0</v>
      </c>
      <c r="R108" s="32">
        <f t="shared" si="15"/>
        <v>0</v>
      </c>
      <c r="S108" s="32">
        <f t="shared" si="16"/>
        <v>0</v>
      </c>
      <c r="T108" s="47">
        <f t="shared" si="17"/>
        <v>0</v>
      </c>
      <c r="U108" s="47">
        <f t="shared" si="18"/>
        <v>0</v>
      </c>
      <c r="V108" s="46"/>
      <c r="W108" s="75"/>
    </row>
    <row r="109" spans="1:23" x14ac:dyDescent="0.25">
      <c r="A109" s="175"/>
      <c r="B109" s="1"/>
      <c r="C109" s="19"/>
      <c r="D109" s="269"/>
      <c r="E109" s="174"/>
      <c r="F109" s="33"/>
      <c r="G109" s="62">
        <f t="shared" si="11"/>
        <v>0</v>
      </c>
      <c r="H109" s="63">
        <f t="shared" si="12"/>
        <v>0</v>
      </c>
      <c r="I109" s="61"/>
      <c r="J109" s="211">
        <f t="shared" si="10"/>
        <v>0</v>
      </c>
      <c r="K109" s="62">
        <f t="shared" si="13"/>
        <v>0</v>
      </c>
      <c r="L109" s="62">
        <f t="shared" si="14"/>
        <v>0</v>
      </c>
      <c r="M109" s="22"/>
      <c r="N109" s="76"/>
      <c r="O109" s="1"/>
      <c r="P109" s="33"/>
      <c r="Q109" s="58">
        <f t="shared" si="19"/>
        <v>0</v>
      </c>
      <c r="R109" s="85">
        <f t="shared" si="15"/>
        <v>0</v>
      </c>
      <c r="S109" s="85">
        <f t="shared" si="16"/>
        <v>0</v>
      </c>
      <c r="T109" s="59">
        <f t="shared" si="17"/>
        <v>0</v>
      </c>
      <c r="U109" s="59">
        <f t="shared" si="18"/>
        <v>0</v>
      </c>
      <c r="V109" s="46"/>
      <c r="W109" s="75"/>
    </row>
    <row r="110" spans="1:23" x14ac:dyDescent="0.25">
      <c r="A110" s="175"/>
      <c r="B110" s="3"/>
      <c r="C110" s="24"/>
      <c r="D110" s="270"/>
      <c r="E110" s="173"/>
      <c r="F110" s="26"/>
      <c r="G110" s="2">
        <f t="shared" si="11"/>
        <v>0</v>
      </c>
      <c r="H110" s="20">
        <f t="shared" si="12"/>
        <v>0</v>
      </c>
      <c r="I110" s="61"/>
      <c r="J110" s="210">
        <f t="shared" si="10"/>
        <v>0</v>
      </c>
      <c r="K110" s="2">
        <f t="shared" si="13"/>
        <v>0</v>
      </c>
      <c r="L110" s="2">
        <f t="shared" si="14"/>
        <v>0</v>
      </c>
      <c r="M110" s="21"/>
      <c r="N110" s="76"/>
      <c r="O110" s="3"/>
      <c r="P110" s="31"/>
      <c r="Q110" s="32">
        <f t="shared" si="19"/>
        <v>0</v>
      </c>
      <c r="R110" s="32">
        <f t="shared" si="15"/>
        <v>0</v>
      </c>
      <c r="S110" s="32">
        <f t="shared" si="16"/>
        <v>0</v>
      </c>
      <c r="T110" s="47">
        <f t="shared" si="17"/>
        <v>0</v>
      </c>
      <c r="U110" s="47">
        <f t="shared" si="18"/>
        <v>0</v>
      </c>
      <c r="V110" s="46"/>
      <c r="W110" s="75"/>
    </row>
    <row r="111" spans="1:23" x14ac:dyDescent="0.25">
      <c r="A111" s="175"/>
      <c r="B111" s="1"/>
      <c r="C111" s="19"/>
      <c r="D111" s="269"/>
      <c r="E111" s="174"/>
      <c r="F111" s="33"/>
      <c r="G111" s="62">
        <f t="shared" si="11"/>
        <v>0</v>
      </c>
      <c r="H111" s="63">
        <f t="shared" si="12"/>
        <v>0</v>
      </c>
      <c r="I111" s="61"/>
      <c r="J111" s="211">
        <f t="shared" si="10"/>
        <v>0</v>
      </c>
      <c r="K111" s="62">
        <f t="shared" si="13"/>
        <v>0</v>
      </c>
      <c r="L111" s="62">
        <f t="shared" si="14"/>
        <v>0</v>
      </c>
      <c r="M111" s="22"/>
      <c r="N111" s="76"/>
      <c r="O111" s="1"/>
      <c r="P111" s="33"/>
      <c r="Q111" s="58">
        <f t="shared" si="19"/>
        <v>0</v>
      </c>
      <c r="R111" s="85">
        <f t="shared" si="15"/>
        <v>0</v>
      </c>
      <c r="S111" s="85">
        <f t="shared" si="16"/>
        <v>0</v>
      </c>
      <c r="T111" s="59">
        <f t="shared" si="17"/>
        <v>0</v>
      </c>
      <c r="U111" s="59">
        <f t="shared" si="18"/>
        <v>0</v>
      </c>
      <c r="V111" s="46"/>
      <c r="W111" s="75"/>
    </row>
    <row r="112" spans="1:23" x14ac:dyDescent="0.25">
      <c r="A112" s="175"/>
      <c r="B112" s="3"/>
      <c r="C112" s="24"/>
      <c r="D112" s="270"/>
      <c r="E112" s="173"/>
      <c r="F112" s="26"/>
      <c r="G112" s="2">
        <f t="shared" si="11"/>
        <v>0</v>
      </c>
      <c r="H112" s="20">
        <f t="shared" si="12"/>
        <v>0</v>
      </c>
      <c r="I112" s="61"/>
      <c r="J112" s="210">
        <f t="shared" si="10"/>
        <v>0</v>
      </c>
      <c r="K112" s="2">
        <f t="shared" si="13"/>
        <v>0</v>
      </c>
      <c r="L112" s="2">
        <f t="shared" si="14"/>
        <v>0</v>
      </c>
      <c r="M112" s="21"/>
      <c r="N112" s="76"/>
      <c r="O112" s="3"/>
      <c r="P112" s="31"/>
      <c r="Q112" s="32">
        <f t="shared" si="19"/>
        <v>0</v>
      </c>
      <c r="R112" s="32">
        <f t="shared" si="15"/>
        <v>0</v>
      </c>
      <c r="S112" s="32">
        <f t="shared" si="16"/>
        <v>0</v>
      </c>
      <c r="T112" s="47">
        <f t="shared" si="17"/>
        <v>0</v>
      </c>
      <c r="U112" s="47">
        <f t="shared" si="18"/>
        <v>0</v>
      </c>
      <c r="V112" s="46"/>
      <c r="W112" s="75"/>
    </row>
    <row r="113" spans="1:23" x14ac:dyDescent="0.25">
      <c r="A113" s="175"/>
      <c r="B113" s="1"/>
      <c r="C113" s="19"/>
      <c r="D113" s="269"/>
      <c r="E113" s="174"/>
      <c r="F113" s="33"/>
      <c r="G113" s="62">
        <f t="shared" si="11"/>
        <v>0</v>
      </c>
      <c r="H113" s="63">
        <f t="shared" si="12"/>
        <v>0</v>
      </c>
      <c r="I113" s="61"/>
      <c r="J113" s="211">
        <f t="shared" si="10"/>
        <v>0</v>
      </c>
      <c r="K113" s="62">
        <f t="shared" si="13"/>
        <v>0</v>
      </c>
      <c r="L113" s="62">
        <f t="shared" si="14"/>
        <v>0</v>
      </c>
      <c r="M113" s="22"/>
      <c r="N113" s="76"/>
      <c r="O113" s="1"/>
      <c r="P113" s="33"/>
      <c r="Q113" s="58">
        <f t="shared" si="19"/>
        <v>0</v>
      </c>
      <c r="R113" s="85">
        <f t="shared" si="15"/>
        <v>0</v>
      </c>
      <c r="S113" s="85">
        <f t="shared" si="16"/>
        <v>0</v>
      </c>
      <c r="T113" s="59">
        <f t="shared" si="17"/>
        <v>0</v>
      </c>
      <c r="U113" s="59">
        <f t="shared" si="18"/>
        <v>0</v>
      </c>
      <c r="V113" s="46"/>
      <c r="W113" s="75"/>
    </row>
    <row r="114" spans="1:23" x14ac:dyDescent="0.25">
      <c r="A114" s="175"/>
      <c r="B114" s="3"/>
      <c r="C114" s="24"/>
      <c r="D114" s="270"/>
      <c r="E114" s="173"/>
      <c r="F114" s="26"/>
      <c r="G114" s="2">
        <f t="shared" si="11"/>
        <v>0</v>
      </c>
      <c r="H114" s="20">
        <f t="shared" si="12"/>
        <v>0</v>
      </c>
      <c r="I114" s="61"/>
      <c r="J114" s="210">
        <f t="shared" si="10"/>
        <v>0</v>
      </c>
      <c r="K114" s="2">
        <f t="shared" si="13"/>
        <v>0</v>
      </c>
      <c r="L114" s="2">
        <f t="shared" si="14"/>
        <v>0</v>
      </c>
      <c r="M114" s="21"/>
      <c r="N114" s="76"/>
      <c r="O114" s="3"/>
      <c r="P114" s="31"/>
      <c r="Q114" s="32">
        <f t="shared" si="19"/>
        <v>0</v>
      </c>
      <c r="R114" s="32">
        <f t="shared" si="15"/>
        <v>0</v>
      </c>
      <c r="S114" s="32">
        <f t="shared" si="16"/>
        <v>0</v>
      </c>
      <c r="T114" s="47">
        <f t="shared" si="17"/>
        <v>0</v>
      </c>
      <c r="U114" s="47">
        <f t="shared" si="18"/>
        <v>0</v>
      </c>
      <c r="V114" s="46"/>
      <c r="W114" s="75"/>
    </row>
    <row r="115" spans="1:23" x14ac:dyDescent="0.25">
      <c r="A115" s="175"/>
      <c r="B115" s="1"/>
      <c r="C115" s="19"/>
      <c r="D115" s="269"/>
      <c r="E115" s="174"/>
      <c r="F115" s="33"/>
      <c r="G115" s="62">
        <f t="shared" si="11"/>
        <v>0</v>
      </c>
      <c r="H115" s="63">
        <f t="shared" si="12"/>
        <v>0</v>
      </c>
      <c r="I115" s="61"/>
      <c r="J115" s="211">
        <f t="shared" si="10"/>
        <v>0</v>
      </c>
      <c r="K115" s="62">
        <f t="shared" si="13"/>
        <v>0</v>
      </c>
      <c r="L115" s="62">
        <f t="shared" si="14"/>
        <v>0</v>
      </c>
      <c r="M115" s="22"/>
      <c r="N115" s="76"/>
      <c r="O115" s="1"/>
      <c r="P115" s="33"/>
      <c r="Q115" s="58">
        <f t="shared" si="19"/>
        <v>0</v>
      </c>
      <c r="R115" s="85">
        <f t="shared" si="15"/>
        <v>0</v>
      </c>
      <c r="S115" s="85">
        <f t="shared" si="16"/>
        <v>0</v>
      </c>
      <c r="T115" s="59">
        <f t="shared" si="17"/>
        <v>0</v>
      </c>
      <c r="U115" s="59">
        <f t="shared" si="18"/>
        <v>0</v>
      </c>
      <c r="V115" s="46"/>
      <c r="W115" s="75"/>
    </row>
    <row r="116" spans="1:23" x14ac:dyDescent="0.25">
      <c r="A116" s="175"/>
      <c r="B116" s="3"/>
      <c r="C116" s="24"/>
      <c r="D116" s="270"/>
      <c r="E116" s="173"/>
      <c r="F116" s="26"/>
      <c r="G116" s="2">
        <f t="shared" si="11"/>
        <v>0</v>
      </c>
      <c r="H116" s="20">
        <f t="shared" si="12"/>
        <v>0</v>
      </c>
      <c r="I116" s="61"/>
      <c r="J116" s="210">
        <f t="shared" si="10"/>
        <v>0</v>
      </c>
      <c r="K116" s="2">
        <f t="shared" si="13"/>
        <v>0</v>
      </c>
      <c r="L116" s="2">
        <f t="shared" si="14"/>
        <v>0</v>
      </c>
      <c r="M116" s="21"/>
      <c r="N116" s="76"/>
      <c r="O116" s="3"/>
      <c r="P116" s="31"/>
      <c r="Q116" s="32">
        <f t="shared" si="19"/>
        <v>0</v>
      </c>
      <c r="R116" s="32">
        <f t="shared" si="15"/>
        <v>0</v>
      </c>
      <c r="S116" s="32">
        <f t="shared" si="16"/>
        <v>0</v>
      </c>
      <c r="T116" s="47">
        <f t="shared" si="17"/>
        <v>0</v>
      </c>
      <c r="U116" s="47">
        <f t="shared" si="18"/>
        <v>0</v>
      </c>
      <c r="V116" s="46"/>
      <c r="W116" s="75"/>
    </row>
    <row r="117" spans="1:23" x14ac:dyDescent="0.25">
      <c r="A117" s="175"/>
      <c r="B117" s="1"/>
      <c r="C117" s="19"/>
      <c r="D117" s="269"/>
      <c r="E117" s="174"/>
      <c r="F117" s="33"/>
      <c r="G117" s="62">
        <f t="shared" si="11"/>
        <v>0</v>
      </c>
      <c r="H117" s="63">
        <f t="shared" si="12"/>
        <v>0</v>
      </c>
      <c r="I117" s="61"/>
      <c r="J117" s="211">
        <f t="shared" si="10"/>
        <v>0</v>
      </c>
      <c r="K117" s="62">
        <f t="shared" si="13"/>
        <v>0</v>
      </c>
      <c r="L117" s="62">
        <f t="shared" si="14"/>
        <v>0</v>
      </c>
      <c r="M117" s="22"/>
      <c r="N117" s="76"/>
      <c r="O117" s="1"/>
      <c r="P117" s="33"/>
      <c r="Q117" s="58">
        <f t="shared" si="19"/>
        <v>0</v>
      </c>
      <c r="R117" s="85">
        <f t="shared" si="15"/>
        <v>0</v>
      </c>
      <c r="S117" s="85">
        <f t="shared" si="16"/>
        <v>0</v>
      </c>
      <c r="T117" s="59">
        <f t="shared" si="17"/>
        <v>0</v>
      </c>
      <c r="U117" s="59">
        <f t="shared" si="18"/>
        <v>0</v>
      </c>
      <c r="V117" s="46"/>
      <c r="W117" s="75"/>
    </row>
    <row r="118" spans="1:23" x14ac:dyDescent="0.25">
      <c r="A118" s="175"/>
      <c r="B118" s="3"/>
      <c r="C118" s="24"/>
      <c r="D118" s="270"/>
      <c r="E118" s="173"/>
      <c r="F118" s="26"/>
      <c r="G118" s="2">
        <f t="shared" si="11"/>
        <v>0</v>
      </c>
      <c r="H118" s="20">
        <f t="shared" si="12"/>
        <v>0</v>
      </c>
      <c r="I118" s="61"/>
      <c r="J118" s="210">
        <f t="shared" si="10"/>
        <v>0</v>
      </c>
      <c r="K118" s="2">
        <f t="shared" si="13"/>
        <v>0</v>
      </c>
      <c r="L118" s="2">
        <f t="shared" si="14"/>
        <v>0</v>
      </c>
      <c r="M118" s="21"/>
      <c r="N118" s="76"/>
      <c r="O118" s="3"/>
      <c r="P118" s="31"/>
      <c r="Q118" s="32">
        <f t="shared" si="19"/>
        <v>0</v>
      </c>
      <c r="R118" s="32">
        <f t="shared" si="15"/>
        <v>0</v>
      </c>
      <c r="S118" s="32">
        <f t="shared" si="16"/>
        <v>0</v>
      </c>
      <c r="T118" s="47">
        <f t="shared" si="17"/>
        <v>0</v>
      </c>
      <c r="U118" s="47">
        <f t="shared" si="18"/>
        <v>0</v>
      </c>
      <c r="V118" s="46"/>
      <c r="W118" s="75"/>
    </row>
    <row r="119" spans="1:23" x14ac:dyDescent="0.25">
      <c r="A119" s="175"/>
      <c r="B119" s="1"/>
      <c r="C119" s="19"/>
      <c r="D119" s="269"/>
      <c r="E119" s="174"/>
      <c r="F119" s="33"/>
      <c r="G119" s="62">
        <f t="shared" si="11"/>
        <v>0</v>
      </c>
      <c r="H119" s="63">
        <f t="shared" si="12"/>
        <v>0</v>
      </c>
      <c r="I119" s="61"/>
      <c r="J119" s="211">
        <f t="shared" si="10"/>
        <v>0</v>
      </c>
      <c r="K119" s="62">
        <f t="shared" si="13"/>
        <v>0</v>
      </c>
      <c r="L119" s="62">
        <f t="shared" si="14"/>
        <v>0</v>
      </c>
      <c r="M119" s="22"/>
      <c r="N119" s="76"/>
      <c r="O119" s="1"/>
      <c r="P119" s="33"/>
      <c r="Q119" s="58">
        <f t="shared" si="19"/>
        <v>0</v>
      </c>
      <c r="R119" s="85">
        <f t="shared" si="15"/>
        <v>0</v>
      </c>
      <c r="S119" s="85">
        <f t="shared" si="16"/>
        <v>0</v>
      </c>
      <c r="T119" s="59">
        <f t="shared" si="17"/>
        <v>0</v>
      </c>
      <c r="U119" s="59">
        <f t="shared" si="18"/>
        <v>0</v>
      </c>
      <c r="V119" s="46"/>
      <c r="W119" s="75"/>
    </row>
    <row r="120" spans="1:23" x14ac:dyDescent="0.25">
      <c r="A120" s="175"/>
      <c r="B120" s="3"/>
      <c r="C120" s="24"/>
      <c r="D120" s="270"/>
      <c r="E120" s="173"/>
      <c r="F120" s="26"/>
      <c r="G120" s="2">
        <f t="shared" si="11"/>
        <v>0</v>
      </c>
      <c r="H120" s="20">
        <f t="shared" si="12"/>
        <v>0</v>
      </c>
      <c r="I120" s="61"/>
      <c r="J120" s="210">
        <f t="shared" si="10"/>
        <v>0</v>
      </c>
      <c r="K120" s="2">
        <f t="shared" si="13"/>
        <v>0</v>
      </c>
      <c r="L120" s="2">
        <f t="shared" si="14"/>
        <v>0</v>
      </c>
      <c r="M120" s="21"/>
      <c r="N120" s="76"/>
      <c r="O120" s="3"/>
      <c r="P120" s="31"/>
      <c r="Q120" s="32">
        <f t="shared" si="19"/>
        <v>0</v>
      </c>
      <c r="R120" s="32">
        <f t="shared" si="15"/>
        <v>0</v>
      </c>
      <c r="S120" s="32">
        <f t="shared" si="16"/>
        <v>0</v>
      </c>
      <c r="T120" s="47">
        <f t="shared" si="17"/>
        <v>0</v>
      </c>
      <c r="U120" s="47">
        <f t="shared" si="18"/>
        <v>0</v>
      </c>
      <c r="V120" s="46"/>
      <c r="W120" s="75"/>
    </row>
    <row r="121" spans="1:23" x14ac:dyDescent="0.25">
      <c r="A121" s="175"/>
      <c r="B121" s="1"/>
      <c r="C121" s="19"/>
      <c r="D121" s="269"/>
      <c r="E121" s="174"/>
      <c r="F121" s="33"/>
      <c r="G121" s="62">
        <f t="shared" si="11"/>
        <v>0</v>
      </c>
      <c r="H121" s="63">
        <f t="shared" si="12"/>
        <v>0</v>
      </c>
      <c r="I121" s="61"/>
      <c r="J121" s="211">
        <f t="shared" si="10"/>
        <v>0</v>
      </c>
      <c r="K121" s="62">
        <f t="shared" si="13"/>
        <v>0</v>
      </c>
      <c r="L121" s="62">
        <f t="shared" si="14"/>
        <v>0</v>
      </c>
      <c r="M121" s="22"/>
      <c r="N121" s="76"/>
      <c r="O121" s="1"/>
      <c r="P121" s="33"/>
      <c r="Q121" s="58">
        <f t="shared" si="19"/>
        <v>0</v>
      </c>
      <c r="R121" s="85">
        <f t="shared" si="15"/>
        <v>0</v>
      </c>
      <c r="S121" s="85">
        <f t="shared" si="16"/>
        <v>0</v>
      </c>
      <c r="T121" s="59">
        <f t="shared" si="17"/>
        <v>0</v>
      </c>
      <c r="U121" s="59">
        <f t="shared" si="18"/>
        <v>0</v>
      </c>
      <c r="V121" s="46"/>
      <c r="W121" s="75"/>
    </row>
    <row r="122" spans="1:23" x14ac:dyDescent="0.25">
      <c r="A122" s="175"/>
      <c r="B122" s="3"/>
      <c r="C122" s="24"/>
      <c r="D122" s="270"/>
      <c r="E122" s="173"/>
      <c r="F122" s="26"/>
      <c r="G122" s="2">
        <f t="shared" si="11"/>
        <v>0</v>
      </c>
      <c r="H122" s="20">
        <f t="shared" si="12"/>
        <v>0</v>
      </c>
      <c r="I122" s="61"/>
      <c r="J122" s="210">
        <f t="shared" si="10"/>
        <v>0</v>
      </c>
      <c r="K122" s="2">
        <f t="shared" si="13"/>
        <v>0</v>
      </c>
      <c r="L122" s="2">
        <f t="shared" si="14"/>
        <v>0</v>
      </c>
      <c r="M122" s="21"/>
      <c r="N122" s="76"/>
      <c r="O122" s="3"/>
      <c r="P122" s="31"/>
      <c r="Q122" s="32">
        <f t="shared" si="19"/>
        <v>0</v>
      </c>
      <c r="R122" s="32">
        <f t="shared" si="15"/>
        <v>0</v>
      </c>
      <c r="S122" s="32">
        <f t="shared" si="16"/>
        <v>0</v>
      </c>
      <c r="T122" s="47">
        <f t="shared" si="17"/>
        <v>0</v>
      </c>
      <c r="U122" s="47">
        <f t="shared" si="18"/>
        <v>0</v>
      </c>
      <c r="V122" s="46"/>
      <c r="W122" s="75"/>
    </row>
    <row r="123" spans="1:23" x14ac:dyDescent="0.25">
      <c r="A123" s="175"/>
      <c r="B123" s="1"/>
      <c r="C123" s="19"/>
      <c r="D123" s="269"/>
      <c r="E123" s="174"/>
      <c r="F123" s="33"/>
      <c r="G123" s="62">
        <f t="shared" si="11"/>
        <v>0</v>
      </c>
      <c r="H123" s="63">
        <f t="shared" si="12"/>
        <v>0</v>
      </c>
      <c r="I123" s="61"/>
      <c r="J123" s="211">
        <f t="shared" si="10"/>
        <v>0</v>
      </c>
      <c r="K123" s="62">
        <f t="shared" si="13"/>
        <v>0</v>
      </c>
      <c r="L123" s="62">
        <f t="shared" si="14"/>
        <v>0</v>
      </c>
      <c r="M123" s="22"/>
      <c r="N123" s="76"/>
      <c r="O123" s="1"/>
      <c r="P123" s="33"/>
      <c r="Q123" s="58">
        <f t="shared" si="19"/>
        <v>0</v>
      </c>
      <c r="R123" s="85">
        <f t="shared" si="15"/>
        <v>0</v>
      </c>
      <c r="S123" s="85">
        <f t="shared" si="16"/>
        <v>0</v>
      </c>
      <c r="T123" s="59">
        <f t="shared" si="17"/>
        <v>0</v>
      </c>
      <c r="U123" s="59">
        <f t="shared" si="18"/>
        <v>0</v>
      </c>
      <c r="V123" s="46"/>
      <c r="W123" s="75"/>
    </row>
    <row r="124" spans="1:23" x14ac:dyDescent="0.25">
      <c r="A124" s="175"/>
      <c r="B124" s="3"/>
      <c r="C124" s="24"/>
      <c r="D124" s="270"/>
      <c r="E124" s="173"/>
      <c r="F124" s="26"/>
      <c r="G124" s="2">
        <f t="shared" si="11"/>
        <v>0</v>
      </c>
      <c r="H124" s="20">
        <f t="shared" si="12"/>
        <v>0</v>
      </c>
      <c r="I124" s="61"/>
      <c r="J124" s="210">
        <f t="shared" si="10"/>
        <v>0</v>
      </c>
      <c r="K124" s="2">
        <f t="shared" si="13"/>
        <v>0</v>
      </c>
      <c r="L124" s="2">
        <f t="shared" si="14"/>
        <v>0</v>
      </c>
      <c r="M124" s="21"/>
      <c r="N124" s="76"/>
      <c r="O124" s="3"/>
      <c r="P124" s="31"/>
      <c r="Q124" s="32">
        <f t="shared" si="19"/>
        <v>0</v>
      </c>
      <c r="R124" s="32">
        <f t="shared" si="15"/>
        <v>0</v>
      </c>
      <c r="S124" s="32">
        <f t="shared" si="16"/>
        <v>0</v>
      </c>
      <c r="T124" s="47">
        <f t="shared" si="17"/>
        <v>0</v>
      </c>
      <c r="U124" s="47">
        <f t="shared" si="18"/>
        <v>0</v>
      </c>
      <c r="V124" s="46"/>
      <c r="W124" s="75"/>
    </row>
    <row r="125" spans="1:23" x14ac:dyDescent="0.25">
      <c r="A125" s="175"/>
      <c r="B125" s="1"/>
      <c r="C125" s="19"/>
      <c r="D125" s="269"/>
      <c r="E125" s="174"/>
      <c r="F125" s="33"/>
      <c r="G125" s="62">
        <f t="shared" si="11"/>
        <v>0</v>
      </c>
      <c r="H125" s="63">
        <f t="shared" si="12"/>
        <v>0</v>
      </c>
      <c r="I125" s="61"/>
      <c r="J125" s="211">
        <f t="shared" si="10"/>
        <v>0</v>
      </c>
      <c r="K125" s="62">
        <f t="shared" si="13"/>
        <v>0</v>
      </c>
      <c r="L125" s="62">
        <f t="shared" si="14"/>
        <v>0</v>
      </c>
      <c r="M125" s="22"/>
      <c r="N125" s="76"/>
      <c r="O125" s="1"/>
      <c r="P125" s="33"/>
      <c r="Q125" s="58">
        <f t="shared" si="19"/>
        <v>0</v>
      </c>
      <c r="R125" s="85">
        <f t="shared" si="15"/>
        <v>0</v>
      </c>
      <c r="S125" s="85">
        <f t="shared" si="16"/>
        <v>0</v>
      </c>
      <c r="T125" s="59">
        <f t="shared" si="17"/>
        <v>0</v>
      </c>
      <c r="U125" s="59">
        <f t="shared" si="18"/>
        <v>0</v>
      </c>
      <c r="V125" s="46"/>
      <c r="W125" s="75"/>
    </row>
    <row r="126" spans="1:23" x14ac:dyDescent="0.25">
      <c r="A126" s="175"/>
      <c r="B126" s="3"/>
      <c r="C126" s="24"/>
      <c r="D126" s="270"/>
      <c r="E126" s="173"/>
      <c r="F126" s="26"/>
      <c r="G126" s="2">
        <f t="shared" si="11"/>
        <v>0</v>
      </c>
      <c r="H126" s="20">
        <f t="shared" si="12"/>
        <v>0</v>
      </c>
      <c r="I126" s="61"/>
      <c r="J126" s="210">
        <f t="shared" si="10"/>
        <v>0</v>
      </c>
      <c r="K126" s="2">
        <f t="shared" si="13"/>
        <v>0</v>
      </c>
      <c r="L126" s="2">
        <f t="shared" si="14"/>
        <v>0</v>
      </c>
      <c r="M126" s="21"/>
      <c r="N126" s="76"/>
      <c r="O126" s="3"/>
      <c r="P126" s="31"/>
      <c r="Q126" s="32">
        <f t="shared" si="19"/>
        <v>0</v>
      </c>
      <c r="R126" s="32">
        <f t="shared" si="15"/>
        <v>0</v>
      </c>
      <c r="S126" s="32">
        <f t="shared" si="16"/>
        <v>0</v>
      </c>
      <c r="T126" s="47">
        <f t="shared" si="17"/>
        <v>0</v>
      </c>
      <c r="U126" s="47">
        <f t="shared" si="18"/>
        <v>0</v>
      </c>
      <c r="V126" s="46"/>
      <c r="W126" s="75"/>
    </row>
    <row r="127" spans="1:23" x14ac:dyDescent="0.25">
      <c r="A127" s="175"/>
      <c r="B127" s="1"/>
      <c r="C127" s="19"/>
      <c r="D127" s="269"/>
      <c r="E127" s="174"/>
      <c r="F127" s="33"/>
      <c r="G127" s="62">
        <f t="shared" si="11"/>
        <v>0</v>
      </c>
      <c r="H127" s="63">
        <f t="shared" si="12"/>
        <v>0</v>
      </c>
      <c r="I127" s="61"/>
      <c r="J127" s="211">
        <f t="shared" si="10"/>
        <v>0</v>
      </c>
      <c r="K127" s="62">
        <f t="shared" si="13"/>
        <v>0</v>
      </c>
      <c r="L127" s="62">
        <f t="shared" si="14"/>
        <v>0</v>
      </c>
      <c r="M127" s="22"/>
      <c r="N127" s="76"/>
      <c r="O127" s="1"/>
      <c r="P127" s="33"/>
      <c r="Q127" s="58">
        <f t="shared" si="19"/>
        <v>0</v>
      </c>
      <c r="R127" s="85">
        <f t="shared" si="15"/>
        <v>0</v>
      </c>
      <c r="S127" s="85">
        <f t="shared" si="16"/>
        <v>0</v>
      </c>
      <c r="T127" s="59">
        <f t="shared" si="17"/>
        <v>0</v>
      </c>
      <c r="U127" s="59">
        <f t="shared" si="18"/>
        <v>0</v>
      </c>
      <c r="V127" s="46"/>
      <c r="W127" s="75"/>
    </row>
    <row r="128" spans="1:23" x14ac:dyDescent="0.25">
      <c r="A128" s="175"/>
      <c r="B128" s="3"/>
      <c r="C128" s="24"/>
      <c r="D128" s="270"/>
      <c r="E128" s="173"/>
      <c r="F128" s="26"/>
      <c r="G128" s="2">
        <f t="shared" si="11"/>
        <v>0</v>
      </c>
      <c r="H128" s="20">
        <f t="shared" si="12"/>
        <v>0</v>
      </c>
      <c r="I128" s="61"/>
      <c r="J128" s="210">
        <f t="shared" si="10"/>
        <v>0</v>
      </c>
      <c r="K128" s="2">
        <f t="shared" si="13"/>
        <v>0</v>
      </c>
      <c r="L128" s="2">
        <f t="shared" si="14"/>
        <v>0</v>
      </c>
      <c r="M128" s="21"/>
      <c r="N128" s="76"/>
      <c r="O128" s="3"/>
      <c r="P128" s="31"/>
      <c r="Q128" s="32">
        <f t="shared" si="19"/>
        <v>0</v>
      </c>
      <c r="R128" s="32">
        <f t="shared" si="15"/>
        <v>0</v>
      </c>
      <c r="S128" s="32">
        <f t="shared" si="16"/>
        <v>0</v>
      </c>
      <c r="T128" s="47">
        <f t="shared" si="17"/>
        <v>0</v>
      </c>
      <c r="U128" s="47">
        <f t="shared" si="18"/>
        <v>0</v>
      </c>
      <c r="V128" s="46"/>
      <c r="W128" s="75"/>
    </row>
    <row r="129" spans="1:23" ht="20.25" customHeight="1" x14ac:dyDescent="0.25">
      <c r="A129" s="177"/>
      <c r="B129" s="195"/>
      <c r="C129" s="195"/>
      <c r="D129" s="271" t="s">
        <v>129</v>
      </c>
      <c r="E129" s="197">
        <f>SUM(E18:E128)</f>
        <v>132</v>
      </c>
      <c r="F129" s="198">
        <f>SUM(F18:F128)</f>
        <v>107426.70000000001</v>
      </c>
      <c r="G129" s="199">
        <f>SUM(G18:G128)</f>
        <v>77845.429999999964</v>
      </c>
      <c r="H129" s="200">
        <f>SUM(H18:H128)</f>
        <v>127177.97000000003</v>
      </c>
      <c r="I129" s="201"/>
      <c r="J129" s="202">
        <f>SUM(J18:J128)</f>
        <v>132</v>
      </c>
      <c r="K129" s="199">
        <f>SUM(K18:K128)</f>
        <v>53713.44000000001</v>
      </c>
      <c r="L129" s="200">
        <f>SUM(L18:L128)</f>
        <v>63589.410000000018</v>
      </c>
      <c r="M129" s="200"/>
      <c r="N129" s="203"/>
      <c r="O129" s="196"/>
      <c r="P129" s="199">
        <f>SUM(P18:P128)</f>
        <v>0</v>
      </c>
      <c r="Q129" s="199">
        <f>SUM(Q18:Q128)</f>
        <v>0</v>
      </c>
      <c r="R129" s="200">
        <f>SUM(R18:R128)</f>
        <v>53713.44000000001</v>
      </c>
      <c r="S129" s="200">
        <f>SUM(S18:S128)</f>
        <v>63589.410000000018</v>
      </c>
      <c r="T129" s="204"/>
      <c r="U129" s="204"/>
      <c r="V129" s="205"/>
      <c r="W129" s="194"/>
    </row>
    <row r="131" spans="1:23" ht="15" customHeight="1" x14ac:dyDescent="0.25">
      <c r="T131" s="207"/>
    </row>
  </sheetData>
  <sheetProtection algorithmName="SHA-512" hashValue="AgDddSlQ1OlGqwGfIpvXo2bXt2t6gjhJtc4l8roA0JM8qBBv6grIaQhgdC2iao1yHL73dBRMY9h+d4Rfm5A1jA==" saltValue="T8PDbas1/iewlWvkC2GH7w==" spinCount="100000" sheet="1" selectLockedCells="1"/>
  <mergeCells count="85">
    <mergeCell ref="Q17:U17"/>
    <mergeCell ref="M15:M17"/>
    <mergeCell ref="O15:U15"/>
    <mergeCell ref="B16:B17"/>
    <mergeCell ref="C16:C17"/>
    <mergeCell ref="D16:D17"/>
    <mergeCell ref="E16:E17"/>
    <mergeCell ref="F16:G16"/>
    <mergeCell ref="J16:J17"/>
    <mergeCell ref="O16:O17"/>
    <mergeCell ref="K17:L17"/>
    <mergeCell ref="B11:C15"/>
    <mergeCell ref="D11:E13"/>
    <mergeCell ref="F11:H12"/>
    <mergeCell ref="J11:M13"/>
    <mergeCell ref="O11:U13"/>
    <mergeCell ref="F13:G13"/>
    <mergeCell ref="F14:H14"/>
    <mergeCell ref="J14:K15"/>
    <mergeCell ref="L14:L15"/>
    <mergeCell ref="F15:H15"/>
    <mergeCell ref="R9:R10"/>
    <mergeCell ref="S9:S10"/>
    <mergeCell ref="T9:T10"/>
    <mergeCell ref="U9:U10"/>
    <mergeCell ref="V9:V10"/>
    <mergeCell ref="L10:M10"/>
    <mergeCell ref="O10:Q10"/>
    <mergeCell ref="D8:E8"/>
    <mergeCell ref="F8:G8"/>
    <mergeCell ref="H8:J8"/>
    <mergeCell ref="L8:M8"/>
    <mergeCell ref="O8:Q8"/>
    <mergeCell ref="D9:E9"/>
    <mergeCell ref="F9:G9"/>
    <mergeCell ref="L9:M9"/>
    <mergeCell ref="O9:Q9"/>
    <mergeCell ref="T6:U6"/>
    <mergeCell ref="D7:E7"/>
    <mergeCell ref="F7:G7"/>
    <mergeCell ref="H7:J7"/>
    <mergeCell ref="L7:M7"/>
    <mergeCell ref="O7:Q7"/>
    <mergeCell ref="R7:S7"/>
    <mergeCell ref="T7:U7"/>
    <mergeCell ref="D6:E6"/>
    <mergeCell ref="F6:G6"/>
    <mergeCell ref="H6:J6"/>
    <mergeCell ref="L6:M6"/>
    <mergeCell ref="O6:Q6"/>
    <mergeCell ref="R6:S6"/>
    <mergeCell ref="T4:U4"/>
    <mergeCell ref="D5:E5"/>
    <mergeCell ref="F5:G5"/>
    <mergeCell ref="H5:J5"/>
    <mergeCell ref="L5:M5"/>
    <mergeCell ref="O5:Q5"/>
    <mergeCell ref="R5:S5"/>
    <mergeCell ref="T5:U5"/>
    <mergeCell ref="D4:E4"/>
    <mergeCell ref="F4:G4"/>
    <mergeCell ref="H4:J4"/>
    <mergeCell ref="L4:M4"/>
    <mergeCell ref="O4:Q4"/>
    <mergeCell ref="R4:S4"/>
    <mergeCell ref="T2:U2"/>
    <mergeCell ref="D3:E3"/>
    <mergeCell ref="F3:G3"/>
    <mergeCell ref="H3:J3"/>
    <mergeCell ref="L3:M3"/>
    <mergeCell ref="O3:Q3"/>
    <mergeCell ref="R3:S3"/>
    <mergeCell ref="T3:U3"/>
    <mergeCell ref="D2:E2"/>
    <mergeCell ref="F2:G2"/>
    <mergeCell ref="H2:J2"/>
    <mergeCell ref="L2:M2"/>
    <mergeCell ref="O2:Q2"/>
    <mergeCell ref="R2:S2"/>
    <mergeCell ref="R1:V1"/>
    <mergeCell ref="B1:C1"/>
    <mergeCell ref="D1:G1"/>
    <mergeCell ref="H1:K1"/>
    <mergeCell ref="L1:N1"/>
    <mergeCell ref="O1:Q1"/>
  </mergeCells>
  <conditionalFormatting sqref="T9:T10">
    <cfRule type="expression" dxfId="24" priority="3" stopIfTrue="1">
      <formula>$T$9&gt;100%</formula>
    </cfRule>
    <cfRule type="expression" dxfId="23" priority="4">
      <formula>$T$9&lt;50%</formula>
    </cfRule>
  </conditionalFormatting>
  <conditionalFormatting sqref="U9:U10">
    <cfRule type="expression" dxfId="22" priority="1">
      <formula>$U$9&lt;50%</formula>
    </cfRule>
    <cfRule type="expression" dxfId="21" priority="2">
      <formula>$U$9&gt;50%</formula>
    </cfRule>
  </conditionalFormatting>
  <dataValidations count="4">
    <dataValidation type="list" showInputMessage="1" showErrorMessage="1" sqref="D18:D128" xr:uid="{DD9A3838-4376-4CE2-B2E3-9ECEB64CF33C}">
      <formula1>$Y$18:$Y$29</formula1>
    </dataValidation>
    <dataValidation type="list" allowBlank="1" showInputMessage="1" showErrorMessage="1" sqref="I13" xr:uid="{D07DB349-FD67-4EFE-A402-8FF3BBA90064}">
      <formula1>$K$9:$K$9</formula1>
    </dataValidation>
    <dataValidation type="list" allowBlank="1" showInputMessage="1" showErrorMessage="1" sqref="H13" xr:uid="{727514E4-4B54-401D-A40F-0D396550BFB6}">
      <formula1>$X$13:$X$14</formula1>
    </dataValidation>
    <dataValidation type="list" allowBlank="1" showInputMessage="1" showErrorMessage="1" sqref="F17 P14 P17 K17" xr:uid="{CAD6DA24-1466-44D1-8DDE-CA984D46918F}">
      <formula1>$X$11:$X$12</formula1>
    </dataValidation>
  </dataValidations>
  <printOptions verticalCentered="1"/>
  <pageMargins left="0.2" right="0.2" top="0.25" bottom="0.25" header="0.05" footer="0.05"/>
  <pageSetup scale="3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8F3C5-D0BE-49DC-B874-E2EABC5043D4}">
  <sheetPr codeName="Sheet14">
    <pageSetUpPr fitToPage="1"/>
  </sheetPr>
  <dimension ref="A1:AA131"/>
  <sheetViews>
    <sheetView tabSelected="1" topLeftCell="B1" zoomScale="85" zoomScaleNormal="85" workbookViewId="0">
      <pane ySplit="17" topLeftCell="A27" activePane="bottomLeft" state="frozen"/>
      <selection pane="bottomLeft" activeCell="B39" sqref="B39"/>
    </sheetView>
  </sheetViews>
  <sheetFormatPr defaultColWidth="9.140625" defaultRowHeight="15" x14ac:dyDescent="0.25"/>
  <cols>
    <col min="1" max="1" width="0.85546875" style="178" customWidth="1"/>
    <col min="2" max="2" width="25.7109375" style="178" customWidth="1"/>
    <col min="3" max="3" width="43.28515625" style="178" customWidth="1"/>
    <col min="4" max="4" width="9.7109375" style="206" customWidth="1"/>
    <col min="5" max="5" width="9.7109375" style="178" customWidth="1"/>
    <col min="6" max="8" width="18.7109375" style="178" customWidth="1"/>
    <col min="9" max="9" width="0.85546875" style="178" customWidth="1"/>
    <col min="10" max="10" width="9.5703125" style="178" customWidth="1"/>
    <col min="11" max="12" width="18.7109375" style="178" customWidth="1"/>
    <col min="13" max="13" width="13.7109375" style="178" customWidth="1"/>
    <col min="14" max="14" width="0.85546875" style="178" customWidth="1"/>
    <col min="15" max="15" width="17.85546875" style="178" customWidth="1"/>
    <col min="16" max="19" width="18.7109375" style="178" customWidth="1"/>
    <col min="20" max="20" width="15" style="178" bestFit="1" customWidth="1"/>
    <col min="21" max="21" width="14.7109375" style="178" bestFit="1" customWidth="1"/>
    <col min="22" max="22" width="13.42578125" style="178" hidden="1" customWidth="1"/>
    <col min="23" max="23" width="0.85546875" style="178" customWidth="1"/>
    <col min="24" max="25" width="9.140625" style="178" hidden="1" customWidth="1"/>
    <col min="26" max="26" width="9.140625" style="178" customWidth="1"/>
    <col min="27" max="27" width="10.5703125" style="178" bestFit="1" customWidth="1"/>
    <col min="28" max="16384" width="9.140625" style="178"/>
  </cols>
  <sheetData>
    <row r="1" spans="1:27" ht="23.25" customHeight="1" x14ac:dyDescent="0.25">
      <c r="A1" s="175"/>
      <c r="B1" s="275" t="s">
        <v>28</v>
      </c>
      <c r="C1" s="272"/>
      <c r="D1" s="276" t="s">
        <v>29</v>
      </c>
      <c r="E1" s="273"/>
      <c r="F1" s="273"/>
      <c r="G1" s="274"/>
      <c r="H1" s="272" t="s">
        <v>30</v>
      </c>
      <c r="I1" s="273"/>
      <c r="J1" s="273"/>
      <c r="K1" s="274"/>
      <c r="L1" s="277" t="s">
        <v>31</v>
      </c>
      <c r="M1" s="278"/>
      <c r="N1" s="278"/>
      <c r="O1" s="273" t="str">
        <f>K17</f>
        <v>CAD $</v>
      </c>
      <c r="P1" s="273"/>
      <c r="Q1" s="274"/>
      <c r="R1" s="272" t="s">
        <v>32</v>
      </c>
      <c r="S1" s="273"/>
      <c r="T1" s="273"/>
      <c r="U1" s="273"/>
      <c r="V1" s="274"/>
      <c r="W1" s="179"/>
      <c r="X1" s="180"/>
      <c r="Y1" s="181"/>
      <c r="Z1" s="181"/>
      <c r="AA1" s="181"/>
    </row>
    <row r="2" spans="1:27" ht="15" customHeight="1" x14ac:dyDescent="0.25">
      <c r="A2" s="175"/>
      <c r="B2" s="239" t="s">
        <v>33</v>
      </c>
      <c r="C2" s="51"/>
      <c r="D2" s="294" t="s">
        <v>34</v>
      </c>
      <c r="E2" s="295"/>
      <c r="F2" s="296"/>
      <c r="G2" s="297"/>
      <c r="H2" s="294" t="s">
        <v>35</v>
      </c>
      <c r="I2" s="298"/>
      <c r="J2" s="295"/>
      <c r="K2" s="52"/>
      <c r="L2" s="299" t="s">
        <v>36</v>
      </c>
      <c r="M2" s="300"/>
      <c r="N2" s="260"/>
      <c r="O2" s="301">
        <f>H129</f>
        <v>114313.26</v>
      </c>
      <c r="P2" s="301"/>
      <c r="Q2" s="302"/>
      <c r="R2" s="303" t="s">
        <v>37</v>
      </c>
      <c r="S2" s="304"/>
      <c r="T2" s="279"/>
      <c r="U2" s="280"/>
      <c r="V2" s="53"/>
      <c r="W2" s="182"/>
      <c r="X2" s="180"/>
      <c r="Y2" s="181"/>
      <c r="Z2" s="181"/>
      <c r="AA2" s="181"/>
    </row>
    <row r="3" spans="1:27" ht="15" customHeight="1" x14ac:dyDescent="0.25">
      <c r="A3" s="175"/>
      <c r="B3" s="240" t="s">
        <v>38</v>
      </c>
      <c r="C3" s="19"/>
      <c r="D3" s="281" t="s">
        <v>39</v>
      </c>
      <c r="E3" s="282"/>
      <c r="F3" s="283"/>
      <c r="G3" s="284"/>
      <c r="H3" s="281" t="s">
        <v>40</v>
      </c>
      <c r="I3" s="285"/>
      <c r="J3" s="282"/>
      <c r="K3" s="50"/>
      <c r="L3" s="286" t="s">
        <v>41</v>
      </c>
      <c r="M3" s="287"/>
      <c r="N3" s="260"/>
      <c r="O3" s="288">
        <f>L129</f>
        <v>57156.779999999984</v>
      </c>
      <c r="P3" s="288"/>
      <c r="Q3" s="289"/>
      <c r="R3" s="290" t="s">
        <v>42</v>
      </c>
      <c r="S3" s="291"/>
      <c r="T3" s="292"/>
      <c r="U3" s="293"/>
      <c r="V3" s="35"/>
      <c r="W3" s="175"/>
      <c r="X3" s="183"/>
      <c r="Y3" s="181"/>
      <c r="Z3" s="181"/>
      <c r="AA3" s="181"/>
    </row>
    <row r="4" spans="1:27" ht="15" customHeight="1" x14ac:dyDescent="0.25">
      <c r="A4" s="175"/>
      <c r="B4" s="241" t="s">
        <v>43</v>
      </c>
      <c r="C4" s="19"/>
      <c r="D4" s="281" t="s">
        <v>44</v>
      </c>
      <c r="E4" s="282"/>
      <c r="F4" s="283"/>
      <c r="G4" s="284"/>
      <c r="H4" s="281" t="s">
        <v>45</v>
      </c>
      <c r="I4" s="285"/>
      <c r="J4" s="282"/>
      <c r="K4" s="50"/>
      <c r="L4" s="286" t="s">
        <v>46</v>
      </c>
      <c r="M4" s="287"/>
      <c r="N4" s="260"/>
      <c r="O4" s="288">
        <f>O2-O3</f>
        <v>57156.48000000001</v>
      </c>
      <c r="P4" s="288"/>
      <c r="Q4" s="289"/>
      <c r="R4" s="290" t="s">
        <v>47</v>
      </c>
      <c r="S4" s="291"/>
      <c r="T4" s="292"/>
      <c r="U4" s="293"/>
      <c r="V4" s="35"/>
      <c r="W4" s="175"/>
      <c r="X4" s="183"/>
      <c r="Y4" s="181"/>
      <c r="Z4" s="181"/>
      <c r="AA4" s="181"/>
    </row>
    <row r="5" spans="1:27" ht="15" customHeight="1" thickBot="1" x14ac:dyDescent="0.3">
      <c r="A5" s="175"/>
      <c r="B5" s="241" t="s">
        <v>48</v>
      </c>
      <c r="C5" s="19"/>
      <c r="D5" s="281" t="s">
        <v>49</v>
      </c>
      <c r="E5" s="282"/>
      <c r="F5" s="283"/>
      <c r="G5" s="284"/>
      <c r="H5" s="281" t="s">
        <v>50</v>
      </c>
      <c r="I5" s="285"/>
      <c r="J5" s="282"/>
      <c r="K5" s="50"/>
      <c r="L5" s="305" t="s">
        <v>51</v>
      </c>
      <c r="M5" s="306"/>
      <c r="N5" s="260"/>
      <c r="O5" s="307">
        <f>IFERROR((O2-O3)/O2,"")</f>
        <v>0.49999868781626922</v>
      </c>
      <c r="P5" s="307"/>
      <c r="Q5" s="308"/>
      <c r="R5" s="290" t="s">
        <v>52</v>
      </c>
      <c r="S5" s="291"/>
      <c r="T5" s="292"/>
      <c r="U5" s="293"/>
      <c r="V5" s="35"/>
      <c r="W5" s="175"/>
      <c r="X5" s="183"/>
      <c r="Y5" s="181"/>
      <c r="Z5" s="181"/>
      <c r="AA5" s="181"/>
    </row>
    <row r="6" spans="1:27" ht="15" customHeight="1" x14ac:dyDescent="0.25">
      <c r="A6" s="175"/>
      <c r="B6" s="241" t="s">
        <v>53</v>
      </c>
      <c r="C6" s="48"/>
      <c r="D6" s="281" t="s">
        <v>54</v>
      </c>
      <c r="E6" s="282"/>
      <c r="F6" s="283"/>
      <c r="G6" s="284"/>
      <c r="H6" s="281" t="s">
        <v>55</v>
      </c>
      <c r="I6" s="285"/>
      <c r="J6" s="282"/>
      <c r="K6" s="50"/>
      <c r="L6" s="317" t="s">
        <v>56</v>
      </c>
      <c r="M6" s="318"/>
      <c r="N6" s="260"/>
      <c r="O6" s="319">
        <f>S129</f>
        <v>57156.779999999984</v>
      </c>
      <c r="P6" s="319"/>
      <c r="Q6" s="320"/>
      <c r="R6" s="290" t="s">
        <v>57</v>
      </c>
      <c r="S6" s="291"/>
      <c r="T6" s="292"/>
      <c r="U6" s="293"/>
      <c r="V6" s="36"/>
      <c r="W6" s="71"/>
      <c r="X6" s="72"/>
      <c r="Y6" s="181"/>
      <c r="Z6" s="181"/>
      <c r="AA6" s="181"/>
    </row>
    <row r="7" spans="1:27" ht="15" customHeight="1" x14ac:dyDescent="0.25">
      <c r="A7" s="175"/>
      <c r="B7" s="241" t="s">
        <v>58</v>
      </c>
      <c r="C7" s="49"/>
      <c r="D7" s="281" t="s">
        <v>59</v>
      </c>
      <c r="E7" s="282"/>
      <c r="F7" s="283"/>
      <c r="G7" s="284"/>
      <c r="H7" s="281" t="s">
        <v>60</v>
      </c>
      <c r="I7" s="285"/>
      <c r="J7" s="282"/>
      <c r="K7" s="50"/>
      <c r="L7" s="309" t="s">
        <v>61</v>
      </c>
      <c r="M7" s="310"/>
      <c r="N7" s="260"/>
      <c r="O7" s="311">
        <f>Q129</f>
        <v>0</v>
      </c>
      <c r="P7" s="311"/>
      <c r="Q7" s="312"/>
      <c r="R7" s="313" t="s">
        <v>62</v>
      </c>
      <c r="S7" s="314"/>
      <c r="T7" s="315"/>
      <c r="U7" s="316"/>
      <c r="V7" s="36"/>
      <c r="W7" s="73"/>
      <c r="X7" s="181"/>
      <c r="Y7" s="181"/>
      <c r="Z7" s="181"/>
      <c r="AA7" s="181"/>
    </row>
    <row r="8" spans="1:27" ht="15" customHeight="1" x14ac:dyDescent="0.25">
      <c r="A8" s="175"/>
      <c r="B8" s="238"/>
      <c r="C8" s="237"/>
      <c r="D8" s="281" t="s">
        <v>63</v>
      </c>
      <c r="E8" s="282"/>
      <c r="F8" s="283"/>
      <c r="G8" s="284"/>
      <c r="H8" s="281" t="s">
        <v>64</v>
      </c>
      <c r="I8" s="285"/>
      <c r="J8" s="282"/>
      <c r="K8" s="50"/>
      <c r="L8" s="309" t="s">
        <v>65</v>
      </c>
      <c r="M8" s="310"/>
      <c r="N8" s="260"/>
      <c r="O8" s="311">
        <f>IF(O1=P14,Q14,IF(P14="CAD $",Q14*D15,IF(P14="USD $",Q14*E15,0)))</f>
        <v>0</v>
      </c>
      <c r="P8" s="311"/>
      <c r="Q8" s="312"/>
      <c r="R8" s="231" t="s">
        <v>66</v>
      </c>
      <c r="S8" s="232" t="s">
        <v>67</v>
      </c>
      <c r="T8" s="232" t="s">
        <v>68</v>
      </c>
      <c r="U8" s="233" t="s">
        <v>69</v>
      </c>
      <c r="V8" s="39"/>
      <c r="W8" s="184"/>
      <c r="X8" s="181"/>
      <c r="Y8" s="181"/>
      <c r="Z8" s="181"/>
      <c r="AA8" s="181"/>
    </row>
    <row r="9" spans="1:27" ht="15" customHeight="1" x14ac:dyDescent="0.25">
      <c r="A9" s="175"/>
      <c r="B9" s="237"/>
      <c r="C9" s="237"/>
      <c r="D9" s="281" t="s">
        <v>70</v>
      </c>
      <c r="E9" s="282"/>
      <c r="F9" s="283"/>
      <c r="G9" s="284"/>
      <c r="H9" s="234"/>
      <c r="I9" s="235"/>
      <c r="J9" s="235"/>
      <c r="K9" s="64"/>
      <c r="L9" s="309" t="s">
        <v>71</v>
      </c>
      <c r="M9" s="310"/>
      <c r="N9" s="260"/>
      <c r="O9" s="323">
        <f>U14</f>
        <v>0</v>
      </c>
      <c r="P9" s="323"/>
      <c r="Q9" s="324"/>
      <c r="R9" s="325">
        <f>O7+O8+O9</f>
        <v>0</v>
      </c>
      <c r="S9" s="325">
        <f>O3-R9</f>
        <v>57156.779999999984</v>
      </c>
      <c r="T9" s="327">
        <f>IFERROR(((O3-R9)/R9),0)</f>
        <v>0</v>
      </c>
      <c r="U9" s="327">
        <f>IFERROR(((O3-R9)/O3),0)</f>
        <v>1</v>
      </c>
      <c r="V9" s="329"/>
      <c r="W9" s="184"/>
      <c r="X9" s="181"/>
      <c r="Y9" s="181"/>
      <c r="Z9" s="181"/>
      <c r="AA9" s="181"/>
    </row>
    <row r="10" spans="1:27" ht="15" customHeight="1" thickBot="1" x14ac:dyDescent="0.3">
      <c r="A10" s="175"/>
      <c r="B10" s="237"/>
      <c r="C10" s="237"/>
      <c r="D10" s="236"/>
      <c r="E10" s="236"/>
      <c r="F10" s="234"/>
      <c r="G10" s="234"/>
      <c r="H10" s="234"/>
      <c r="I10" s="235"/>
      <c r="J10" s="235"/>
      <c r="K10" s="64"/>
      <c r="L10" s="290" t="s">
        <v>72</v>
      </c>
      <c r="M10" s="291"/>
      <c r="N10" s="260"/>
      <c r="O10" s="321">
        <f>E129</f>
        <v>49</v>
      </c>
      <c r="P10" s="321"/>
      <c r="Q10" s="322"/>
      <c r="R10" s="326"/>
      <c r="S10" s="326"/>
      <c r="T10" s="328"/>
      <c r="U10" s="328"/>
      <c r="V10" s="330"/>
      <c r="W10" s="184"/>
      <c r="X10" s="181"/>
      <c r="Y10" s="181"/>
      <c r="Z10" s="181"/>
      <c r="AA10" s="181"/>
    </row>
    <row r="11" spans="1:27" ht="15" customHeight="1" x14ac:dyDescent="0.25">
      <c r="A11" s="175"/>
      <c r="B11" s="368"/>
      <c r="C11" s="369"/>
      <c r="D11" s="372" t="s">
        <v>73</v>
      </c>
      <c r="E11" s="373"/>
      <c r="F11" s="376" t="s">
        <v>36</v>
      </c>
      <c r="G11" s="377"/>
      <c r="H11" s="378"/>
      <c r="I11" s="212"/>
      <c r="J11" s="382" t="s">
        <v>74</v>
      </c>
      <c r="K11" s="383"/>
      <c r="L11" s="383"/>
      <c r="M11" s="384"/>
      <c r="N11" s="260"/>
      <c r="O11" s="391" t="s">
        <v>75</v>
      </c>
      <c r="P11" s="377"/>
      <c r="Q11" s="377"/>
      <c r="R11" s="377"/>
      <c r="S11" s="377"/>
      <c r="T11" s="377"/>
      <c r="U11" s="392"/>
      <c r="V11" s="40"/>
      <c r="W11" s="185"/>
      <c r="X11" s="181" t="s">
        <v>76</v>
      </c>
      <c r="Y11" s="181"/>
      <c r="Z11" s="181"/>
      <c r="AA11" s="181"/>
    </row>
    <row r="12" spans="1:27" ht="15" customHeight="1" x14ac:dyDescent="0.25">
      <c r="A12" s="175"/>
      <c r="B12" s="370"/>
      <c r="C12" s="371"/>
      <c r="D12" s="374"/>
      <c r="E12" s="375"/>
      <c r="F12" s="379"/>
      <c r="G12" s="380"/>
      <c r="H12" s="381"/>
      <c r="I12" s="213"/>
      <c r="J12" s="385"/>
      <c r="K12" s="386"/>
      <c r="L12" s="386"/>
      <c r="M12" s="387"/>
      <c r="N12" s="261"/>
      <c r="O12" s="393"/>
      <c r="P12" s="394"/>
      <c r="Q12" s="394"/>
      <c r="R12" s="394"/>
      <c r="S12" s="394"/>
      <c r="T12" s="394"/>
      <c r="U12" s="395"/>
      <c r="V12" s="41"/>
      <c r="W12" s="185"/>
      <c r="X12" s="181" t="s">
        <v>77</v>
      </c>
      <c r="Y12" s="181"/>
      <c r="Z12" s="181"/>
      <c r="AA12" s="181"/>
    </row>
    <row r="13" spans="1:27" ht="15" customHeight="1" x14ac:dyDescent="0.25">
      <c r="A13" s="175"/>
      <c r="B13" s="370"/>
      <c r="C13" s="371"/>
      <c r="D13" s="338"/>
      <c r="E13" s="339"/>
      <c r="F13" s="331" t="s">
        <v>78</v>
      </c>
      <c r="G13" s="332"/>
      <c r="H13" s="66" t="s">
        <v>79</v>
      </c>
      <c r="I13" s="214"/>
      <c r="J13" s="388"/>
      <c r="K13" s="389"/>
      <c r="L13" s="389"/>
      <c r="M13" s="390"/>
      <c r="N13" s="261"/>
      <c r="O13" s="393"/>
      <c r="P13" s="394"/>
      <c r="Q13" s="394"/>
      <c r="R13" s="394"/>
      <c r="S13" s="394"/>
      <c r="T13" s="394"/>
      <c r="U13" s="395"/>
      <c r="V13" s="42"/>
      <c r="W13" s="185"/>
      <c r="X13" s="181" t="s">
        <v>79</v>
      </c>
      <c r="Y13" s="181"/>
      <c r="Z13" s="181"/>
      <c r="AA13" s="181"/>
    </row>
    <row r="14" spans="1:27" ht="30" customHeight="1" x14ac:dyDescent="0.25">
      <c r="A14" s="175"/>
      <c r="B14" s="370"/>
      <c r="C14" s="371"/>
      <c r="D14" s="229" t="s">
        <v>80</v>
      </c>
      <c r="E14" s="230" t="s">
        <v>81</v>
      </c>
      <c r="F14" s="333" t="s">
        <v>82</v>
      </c>
      <c r="G14" s="334"/>
      <c r="H14" s="335"/>
      <c r="I14" s="215"/>
      <c r="J14" s="336" t="s">
        <v>83</v>
      </c>
      <c r="K14" s="337"/>
      <c r="L14" s="340">
        <v>0.5</v>
      </c>
      <c r="M14" s="226"/>
      <c r="N14" s="262"/>
      <c r="O14" s="223" t="s">
        <v>84</v>
      </c>
      <c r="P14" s="55" t="s">
        <v>77</v>
      </c>
      <c r="Q14" s="69"/>
      <c r="R14" s="223" t="s">
        <v>85</v>
      </c>
      <c r="S14" s="70">
        <v>2.5000000000000001E-2</v>
      </c>
      <c r="T14" s="223" t="s">
        <v>86</v>
      </c>
      <c r="U14" s="222">
        <f>ROUND(Q129*S14,2)</f>
        <v>0</v>
      </c>
      <c r="V14" s="43"/>
      <c r="W14" s="185"/>
      <c r="X14" s="181" t="s">
        <v>87</v>
      </c>
      <c r="Y14" s="181"/>
      <c r="Z14" s="181"/>
      <c r="AA14" s="181"/>
    </row>
    <row r="15" spans="1:27" ht="15" customHeight="1" x14ac:dyDescent="0.25">
      <c r="A15" s="175"/>
      <c r="B15" s="370"/>
      <c r="C15" s="371"/>
      <c r="D15" s="259">
        <f>1/E15</f>
        <v>0.7246376811594204</v>
      </c>
      <c r="E15" s="25">
        <v>1.38</v>
      </c>
      <c r="F15" s="342"/>
      <c r="G15" s="343"/>
      <c r="H15" s="344"/>
      <c r="I15" s="216"/>
      <c r="J15" s="338"/>
      <c r="K15" s="339"/>
      <c r="L15" s="341"/>
      <c r="M15" s="348" t="s">
        <v>88</v>
      </c>
      <c r="N15" s="262"/>
      <c r="O15" s="350" t="s">
        <v>89</v>
      </c>
      <c r="P15" s="351"/>
      <c r="Q15" s="351"/>
      <c r="R15" s="351"/>
      <c r="S15" s="351"/>
      <c r="T15" s="351"/>
      <c r="U15" s="352"/>
      <c r="V15" s="37"/>
      <c r="W15" s="186"/>
      <c r="X15" s="181"/>
      <c r="Y15" s="181"/>
      <c r="Z15" s="181"/>
      <c r="AA15" s="181"/>
    </row>
    <row r="16" spans="1:27" ht="15" customHeight="1" x14ac:dyDescent="0.25">
      <c r="A16" s="175"/>
      <c r="B16" s="353" t="s">
        <v>90</v>
      </c>
      <c r="C16" s="355" t="s">
        <v>91</v>
      </c>
      <c r="D16" s="357" t="s">
        <v>92</v>
      </c>
      <c r="E16" s="359" t="s">
        <v>93</v>
      </c>
      <c r="F16" s="356" t="s">
        <v>94</v>
      </c>
      <c r="G16" s="361"/>
      <c r="H16" s="227" t="s">
        <v>95</v>
      </c>
      <c r="I16" s="217"/>
      <c r="J16" s="362" t="s">
        <v>93</v>
      </c>
      <c r="K16" s="224" t="s">
        <v>96</v>
      </c>
      <c r="L16" s="221" t="s">
        <v>97</v>
      </c>
      <c r="M16" s="348"/>
      <c r="N16" s="263"/>
      <c r="O16" s="364" t="s">
        <v>98</v>
      </c>
      <c r="P16" s="219" t="s">
        <v>99</v>
      </c>
      <c r="Q16" s="219" t="s">
        <v>100</v>
      </c>
      <c r="R16" s="220" t="s">
        <v>101</v>
      </c>
      <c r="S16" s="220" t="s">
        <v>102</v>
      </c>
      <c r="T16" s="221" t="s">
        <v>103</v>
      </c>
      <c r="U16" s="221" t="s">
        <v>104</v>
      </c>
      <c r="V16" s="44"/>
      <c r="W16" s="187"/>
      <c r="X16" s="181"/>
      <c r="Y16" s="181"/>
      <c r="Z16" s="181"/>
      <c r="AA16" s="181"/>
    </row>
    <row r="17" spans="1:27" s="190" customFormat="1" ht="15" customHeight="1" x14ac:dyDescent="0.25">
      <c r="A17" s="176"/>
      <c r="B17" s="354"/>
      <c r="C17" s="356"/>
      <c r="D17" s="358"/>
      <c r="E17" s="360"/>
      <c r="F17" s="55" t="s">
        <v>77</v>
      </c>
      <c r="G17" s="228" t="str">
        <f>IF(F17="USD $", "CAD $", "USD $")</f>
        <v>CAD $</v>
      </c>
      <c r="H17" s="225" t="str">
        <f>K17</f>
        <v>CAD $</v>
      </c>
      <c r="I17" s="218"/>
      <c r="J17" s="363"/>
      <c r="K17" s="366" t="s">
        <v>76</v>
      </c>
      <c r="L17" s="367"/>
      <c r="M17" s="349"/>
      <c r="N17" s="264"/>
      <c r="O17" s="365"/>
      <c r="P17" s="55" t="s">
        <v>77</v>
      </c>
      <c r="Q17" s="345" t="str">
        <f>K17</f>
        <v>CAD $</v>
      </c>
      <c r="R17" s="346"/>
      <c r="S17" s="346"/>
      <c r="T17" s="346"/>
      <c r="U17" s="347"/>
      <c r="V17" s="38"/>
      <c r="W17" s="188"/>
      <c r="X17" s="189"/>
      <c r="Y17" s="189"/>
      <c r="Z17" s="189"/>
      <c r="AA17" s="189"/>
    </row>
    <row r="18" spans="1:27" x14ac:dyDescent="0.25">
      <c r="A18" s="175"/>
      <c r="B18" s="3" t="s">
        <v>305</v>
      </c>
      <c r="C18" s="23" t="s">
        <v>218</v>
      </c>
      <c r="D18" s="268"/>
      <c r="E18" s="173">
        <v>1</v>
      </c>
      <c r="F18" s="26">
        <v>44.09</v>
      </c>
      <c r="G18" s="27">
        <f>ROUND(IF($F$17="USD $", F18*$E$15,F18*$D$15),2)</f>
        <v>60.84</v>
      </c>
      <c r="H18" s="28">
        <f>ROUND(IF($H$17=$G$17,E18*G18,E18*F18),2)</f>
        <v>60.84</v>
      </c>
      <c r="I18" s="29"/>
      <c r="J18" s="209">
        <f t="shared" ref="J18:J81" si="0">E18</f>
        <v>1</v>
      </c>
      <c r="K18" s="27">
        <f>ROUND(IF($K$17=$F$17,F18*($L$14-M18),G18*($L$14-M18)),2)</f>
        <v>30.42</v>
      </c>
      <c r="L18" s="27">
        <f>ROUND((J18*K18),2)</f>
        <v>30.42</v>
      </c>
      <c r="M18" s="54"/>
      <c r="N18" s="76"/>
      <c r="O18" s="3"/>
      <c r="P18" s="31"/>
      <c r="Q18" s="32">
        <f>ROUND(IF($Q$17=$P$17,P18,IF($Q$17="USD $",P18*$D$15,P18*$E$15))*E18,2)</f>
        <v>0</v>
      </c>
      <c r="R18" s="32">
        <f>IFERROR(ROUND(S18/E18,2),0)</f>
        <v>30.42</v>
      </c>
      <c r="S18" s="32">
        <f>ROUND(L18-Q18,2)</f>
        <v>30.42</v>
      </c>
      <c r="T18" s="47">
        <f>IFERROR(((K18-(Q18/J18))/(Q18/J18)),0)</f>
        <v>0</v>
      </c>
      <c r="U18" s="47">
        <f>IFERROR(((K18-(Q18/J18))/K18),0)</f>
        <v>1</v>
      </c>
      <c r="V18" s="45"/>
      <c r="W18" s="74"/>
      <c r="X18" s="181"/>
      <c r="Y18" s="181">
        <v>250</v>
      </c>
      <c r="Z18" s="191"/>
      <c r="AA18" s="192"/>
    </row>
    <row r="19" spans="1:27" x14ac:dyDescent="0.25">
      <c r="A19" s="175"/>
      <c r="B19" s="1" t="s">
        <v>395</v>
      </c>
      <c r="C19" s="19" t="s">
        <v>219</v>
      </c>
      <c r="D19" s="269"/>
      <c r="E19" s="174">
        <v>1</v>
      </c>
      <c r="F19" s="33">
        <v>1227.31</v>
      </c>
      <c r="G19" s="56">
        <f t="shared" ref="G19:G82" si="1">ROUND(IF($F$17="USD $", F19*$E$15,F19*$D$15),2)</f>
        <v>1693.69</v>
      </c>
      <c r="H19" s="57">
        <f t="shared" ref="H19:H82" si="2">ROUND(IF($H$17=$G$17,E19*G19,E19*F19),2)</f>
        <v>1693.69</v>
      </c>
      <c r="I19" s="60"/>
      <c r="J19" s="208">
        <f t="shared" si="0"/>
        <v>1</v>
      </c>
      <c r="K19" s="56">
        <f t="shared" ref="K19:K82" si="3">ROUND(IF($K$17=$F$17,F19*($L$14-M19),G19*($L$14-M19)),2)</f>
        <v>846.85</v>
      </c>
      <c r="L19" s="56">
        <f t="shared" ref="L19:L82" si="4">ROUND((J19*K19),2)</f>
        <v>846.85</v>
      </c>
      <c r="M19" s="34"/>
      <c r="N19" s="76"/>
      <c r="O19" s="1"/>
      <c r="P19" s="33"/>
      <c r="Q19" s="58">
        <f>ROUND(IF($Q$17=$P$17,P19,IF($Q$17="USD $",P19*$D$15,P19*$E$15))*E19,2)</f>
        <v>0</v>
      </c>
      <c r="R19" s="85">
        <f t="shared" ref="R19:R82" si="5">IFERROR(ROUND(S19/E19,2),0)</f>
        <v>846.85</v>
      </c>
      <c r="S19" s="85">
        <f t="shared" ref="S19:S82" si="6">ROUND(L19-Q19,2)</f>
        <v>846.85</v>
      </c>
      <c r="T19" s="59">
        <f t="shared" ref="T19:T82" si="7">IFERROR(((K19-(Q19/J19))/(Q19/J19)),0)</f>
        <v>0</v>
      </c>
      <c r="U19" s="59">
        <f t="shared" ref="U19:U82" si="8">IFERROR(((K19-(Q19/J19))/K19),0)</f>
        <v>1</v>
      </c>
      <c r="V19" s="46"/>
      <c r="W19" s="74"/>
      <c r="X19" s="181" t="s">
        <v>105</v>
      </c>
      <c r="Y19" s="181">
        <v>500</v>
      </c>
      <c r="Z19" s="181"/>
      <c r="AA19" s="181"/>
    </row>
    <row r="20" spans="1:27" x14ac:dyDescent="0.25">
      <c r="A20" s="175"/>
      <c r="B20" s="3" t="s">
        <v>204</v>
      </c>
      <c r="C20" s="24" t="s">
        <v>383</v>
      </c>
      <c r="D20" s="270"/>
      <c r="E20" s="173">
        <v>1</v>
      </c>
      <c r="F20" s="26">
        <v>85.6</v>
      </c>
      <c r="G20" s="27">
        <f t="shared" si="1"/>
        <v>118.13</v>
      </c>
      <c r="H20" s="28">
        <f t="shared" si="2"/>
        <v>118.13</v>
      </c>
      <c r="I20" s="60"/>
      <c r="J20" s="209">
        <f t="shared" si="0"/>
        <v>1</v>
      </c>
      <c r="K20" s="27">
        <f t="shared" si="3"/>
        <v>59.07</v>
      </c>
      <c r="L20" s="27">
        <f t="shared" si="4"/>
        <v>59.07</v>
      </c>
      <c r="M20" s="30"/>
      <c r="N20" s="76"/>
      <c r="O20" s="3"/>
      <c r="P20" s="31"/>
      <c r="Q20" s="32">
        <f t="shared" ref="Q20:Q83" si="9">ROUND(IF($Q$17=$P$17,P20,IF($Q$17="USD $",P20*$D$15,P20*$E$15))*E20,2)</f>
        <v>0</v>
      </c>
      <c r="R20" s="32">
        <f t="shared" si="5"/>
        <v>59.07</v>
      </c>
      <c r="S20" s="32">
        <f t="shared" si="6"/>
        <v>59.07</v>
      </c>
      <c r="T20" s="47">
        <f t="shared" si="7"/>
        <v>0</v>
      </c>
      <c r="U20" s="47">
        <f t="shared" si="8"/>
        <v>1</v>
      </c>
      <c r="V20" s="45"/>
      <c r="W20" s="74"/>
      <c r="X20" s="181" t="s">
        <v>106</v>
      </c>
      <c r="Y20" s="181">
        <v>750</v>
      </c>
      <c r="Z20" s="181"/>
      <c r="AA20" s="181"/>
    </row>
    <row r="21" spans="1:27" x14ac:dyDescent="0.25">
      <c r="A21" s="175"/>
      <c r="B21" s="1" t="s">
        <v>206</v>
      </c>
      <c r="C21" s="19" t="s">
        <v>384</v>
      </c>
      <c r="D21" s="269"/>
      <c r="E21" s="174">
        <v>1</v>
      </c>
      <c r="F21" s="33">
        <v>167.02</v>
      </c>
      <c r="G21" s="56">
        <f t="shared" si="1"/>
        <v>230.49</v>
      </c>
      <c r="H21" s="57">
        <f t="shared" si="2"/>
        <v>230.49</v>
      </c>
      <c r="I21" s="60"/>
      <c r="J21" s="208">
        <f t="shared" si="0"/>
        <v>1</v>
      </c>
      <c r="K21" s="56">
        <f t="shared" si="3"/>
        <v>115.25</v>
      </c>
      <c r="L21" s="56">
        <f t="shared" si="4"/>
        <v>115.25</v>
      </c>
      <c r="M21" s="34"/>
      <c r="N21" s="76"/>
      <c r="O21" s="1"/>
      <c r="P21" s="33"/>
      <c r="Q21" s="58">
        <f t="shared" si="9"/>
        <v>0</v>
      </c>
      <c r="R21" s="85">
        <f t="shared" si="5"/>
        <v>115.25</v>
      </c>
      <c r="S21" s="85">
        <f t="shared" si="6"/>
        <v>115.25</v>
      </c>
      <c r="T21" s="59">
        <f t="shared" si="7"/>
        <v>0</v>
      </c>
      <c r="U21" s="59">
        <f t="shared" si="8"/>
        <v>1</v>
      </c>
      <c r="V21" s="46"/>
      <c r="W21" s="74"/>
      <c r="X21" s="181" t="s">
        <v>108</v>
      </c>
      <c r="Y21" s="181">
        <v>1000</v>
      </c>
      <c r="Z21" s="181"/>
      <c r="AA21" s="181"/>
    </row>
    <row r="22" spans="1:27" x14ac:dyDescent="0.25">
      <c r="A22" s="175"/>
      <c r="B22" s="3" t="s">
        <v>207</v>
      </c>
      <c r="C22" s="24" t="s">
        <v>312</v>
      </c>
      <c r="D22" s="270"/>
      <c r="E22" s="173">
        <v>1</v>
      </c>
      <c r="F22" s="26">
        <v>109.74</v>
      </c>
      <c r="G22" s="27">
        <f t="shared" si="1"/>
        <v>151.44</v>
      </c>
      <c r="H22" s="28">
        <f t="shared" si="2"/>
        <v>151.44</v>
      </c>
      <c r="I22" s="60"/>
      <c r="J22" s="209">
        <f t="shared" si="0"/>
        <v>1</v>
      </c>
      <c r="K22" s="27">
        <f t="shared" si="3"/>
        <v>75.72</v>
      </c>
      <c r="L22" s="27">
        <f t="shared" si="4"/>
        <v>75.72</v>
      </c>
      <c r="M22" s="30"/>
      <c r="N22" s="76"/>
      <c r="O22" s="3"/>
      <c r="P22" s="31"/>
      <c r="Q22" s="32">
        <f t="shared" si="9"/>
        <v>0</v>
      </c>
      <c r="R22" s="32">
        <f t="shared" si="5"/>
        <v>75.72</v>
      </c>
      <c r="S22" s="32">
        <f t="shared" si="6"/>
        <v>75.72</v>
      </c>
      <c r="T22" s="47">
        <f t="shared" si="7"/>
        <v>0</v>
      </c>
      <c r="U22" s="47">
        <f t="shared" si="8"/>
        <v>1</v>
      </c>
      <c r="V22" s="45"/>
      <c r="W22" s="74"/>
      <c r="X22" s="181" t="s">
        <v>109</v>
      </c>
      <c r="Y22" s="181">
        <v>1200</v>
      </c>
      <c r="Z22" s="181"/>
      <c r="AA22" s="181"/>
    </row>
    <row r="23" spans="1:27" x14ac:dyDescent="0.25">
      <c r="A23" s="175"/>
      <c r="B23" s="1" t="s">
        <v>233</v>
      </c>
      <c r="C23" s="19" t="s">
        <v>385</v>
      </c>
      <c r="D23" s="269"/>
      <c r="E23" s="174">
        <v>1</v>
      </c>
      <c r="F23" s="33">
        <v>92</v>
      </c>
      <c r="G23" s="56">
        <f t="shared" si="1"/>
        <v>126.96</v>
      </c>
      <c r="H23" s="57">
        <f t="shared" si="2"/>
        <v>126.96</v>
      </c>
      <c r="I23" s="60"/>
      <c r="J23" s="208">
        <f t="shared" si="0"/>
        <v>1</v>
      </c>
      <c r="K23" s="56">
        <f t="shared" si="3"/>
        <v>63.48</v>
      </c>
      <c r="L23" s="56">
        <f t="shared" si="4"/>
        <v>63.48</v>
      </c>
      <c r="M23" s="34"/>
      <c r="N23" s="76"/>
      <c r="O23" s="1"/>
      <c r="P23" s="33"/>
      <c r="Q23" s="58">
        <f t="shared" si="9"/>
        <v>0</v>
      </c>
      <c r="R23" s="85">
        <f t="shared" si="5"/>
        <v>63.48</v>
      </c>
      <c r="S23" s="85">
        <f t="shared" si="6"/>
        <v>63.48</v>
      </c>
      <c r="T23" s="59">
        <f t="shared" si="7"/>
        <v>0</v>
      </c>
      <c r="U23" s="59">
        <f t="shared" si="8"/>
        <v>1</v>
      </c>
      <c r="V23" s="46"/>
      <c r="W23" s="74"/>
      <c r="X23" s="181" t="s">
        <v>111</v>
      </c>
      <c r="Y23" s="181">
        <v>2000</v>
      </c>
      <c r="Z23" s="181"/>
      <c r="AA23" s="181"/>
    </row>
    <row r="24" spans="1:27" x14ac:dyDescent="0.25">
      <c r="A24" s="175"/>
      <c r="B24" s="3" t="s">
        <v>386</v>
      </c>
      <c r="C24" s="24" t="s">
        <v>387</v>
      </c>
      <c r="D24" s="270"/>
      <c r="E24" s="173">
        <v>1</v>
      </c>
      <c r="F24" s="26">
        <v>150.47</v>
      </c>
      <c r="G24" s="27">
        <f t="shared" si="1"/>
        <v>207.65</v>
      </c>
      <c r="H24" s="28">
        <f t="shared" si="2"/>
        <v>207.65</v>
      </c>
      <c r="I24" s="60"/>
      <c r="J24" s="209">
        <f t="shared" si="0"/>
        <v>1</v>
      </c>
      <c r="K24" s="27">
        <f t="shared" si="3"/>
        <v>103.83</v>
      </c>
      <c r="L24" s="27">
        <f t="shared" si="4"/>
        <v>103.83</v>
      </c>
      <c r="M24" s="30"/>
      <c r="N24" s="76"/>
      <c r="O24" s="3"/>
      <c r="P24" s="31"/>
      <c r="Q24" s="32">
        <f t="shared" si="9"/>
        <v>0</v>
      </c>
      <c r="R24" s="32">
        <f t="shared" si="5"/>
        <v>103.83</v>
      </c>
      <c r="S24" s="32">
        <f t="shared" si="6"/>
        <v>103.83</v>
      </c>
      <c r="T24" s="47">
        <f t="shared" si="7"/>
        <v>0</v>
      </c>
      <c r="U24" s="47">
        <f t="shared" si="8"/>
        <v>1</v>
      </c>
      <c r="V24" s="45"/>
      <c r="W24" s="74"/>
      <c r="X24" s="181" t="s">
        <v>112</v>
      </c>
      <c r="Y24" s="181">
        <v>4000</v>
      </c>
      <c r="Z24" s="181"/>
      <c r="AA24" s="181"/>
    </row>
    <row r="25" spans="1:27" x14ac:dyDescent="0.25">
      <c r="A25" s="175"/>
      <c r="B25" s="1" t="s">
        <v>396</v>
      </c>
      <c r="C25" s="19" t="s">
        <v>397</v>
      </c>
      <c r="D25" s="269"/>
      <c r="E25" s="174">
        <v>1</v>
      </c>
      <c r="F25" s="33">
        <v>67.44</v>
      </c>
      <c r="G25" s="56">
        <f t="shared" si="1"/>
        <v>93.07</v>
      </c>
      <c r="H25" s="57">
        <f t="shared" si="2"/>
        <v>93.07</v>
      </c>
      <c r="I25" s="60"/>
      <c r="J25" s="208">
        <f t="shared" si="0"/>
        <v>1</v>
      </c>
      <c r="K25" s="56">
        <f t="shared" si="3"/>
        <v>46.54</v>
      </c>
      <c r="L25" s="56">
        <f t="shared" si="4"/>
        <v>46.54</v>
      </c>
      <c r="M25" s="34"/>
      <c r="N25" s="76"/>
      <c r="O25" s="1"/>
      <c r="P25" s="33"/>
      <c r="Q25" s="58">
        <f t="shared" si="9"/>
        <v>0</v>
      </c>
      <c r="R25" s="85">
        <f t="shared" si="5"/>
        <v>46.54</v>
      </c>
      <c r="S25" s="85">
        <f t="shared" si="6"/>
        <v>46.54</v>
      </c>
      <c r="T25" s="59">
        <f t="shared" si="7"/>
        <v>0</v>
      </c>
      <c r="U25" s="59">
        <f t="shared" si="8"/>
        <v>1</v>
      </c>
      <c r="V25" s="46"/>
      <c r="W25" s="74"/>
      <c r="X25" s="181" t="s">
        <v>114</v>
      </c>
      <c r="Y25" s="181">
        <v>6000</v>
      </c>
      <c r="Z25" s="181"/>
      <c r="AA25" s="181"/>
    </row>
    <row r="26" spans="1:27" x14ac:dyDescent="0.25">
      <c r="A26" s="175"/>
      <c r="B26" s="3"/>
      <c r="C26" s="24"/>
      <c r="D26" s="270"/>
      <c r="E26" s="173"/>
      <c r="F26" s="26"/>
      <c r="G26" s="27">
        <f t="shared" si="1"/>
        <v>0</v>
      </c>
      <c r="H26" s="28">
        <f t="shared" si="2"/>
        <v>0</v>
      </c>
      <c r="I26" s="60"/>
      <c r="J26" s="209">
        <f t="shared" si="0"/>
        <v>0</v>
      </c>
      <c r="K26" s="27">
        <f t="shared" si="3"/>
        <v>0</v>
      </c>
      <c r="L26" s="27">
        <f t="shared" si="4"/>
        <v>0</v>
      </c>
      <c r="M26" s="30"/>
      <c r="N26" s="76"/>
      <c r="O26" s="3"/>
      <c r="P26" s="31"/>
      <c r="Q26" s="32">
        <f t="shared" si="9"/>
        <v>0</v>
      </c>
      <c r="R26" s="32">
        <f t="shared" si="5"/>
        <v>0</v>
      </c>
      <c r="S26" s="32">
        <f t="shared" si="6"/>
        <v>0</v>
      </c>
      <c r="T26" s="47">
        <f t="shared" si="7"/>
        <v>0</v>
      </c>
      <c r="U26" s="47">
        <f t="shared" si="8"/>
        <v>0</v>
      </c>
      <c r="V26" s="45"/>
      <c r="W26" s="74"/>
      <c r="X26" s="181" t="s">
        <v>115</v>
      </c>
      <c r="Y26" s="181">
        <v>8000</v>
      </c>
      <c r="Z26" s="181"/>
      <c r="AA26" s="181"/>
    </row>
    <row r="27" spans="1:27" x14ac:dyDescent="0.25">
      <c r="A27" s="175"/>
      <c r="B27" s="1" t="s">
        <v>399</v>
      </c>
      <c r="C27" s="19" t="s">
        <v>400</v>
      </c>
      <c r="D27" s="269"/>
      <c r="E27" s="174">
        <v>1</v>
      </c>
      <c r="F27" s="33">
        <v>11907.74</v>
      </c>
      <c r="G27" s="56">
        <f t="shared" si="1"/>
        <v>16432.68</v>
      </c>
      <c r="H27" s="57">
        <f t="shared" si="2"/>
        <v>16432.68</v>
      </c>
      <c r="I27" s="60"/>
      <c r="J27" s="208">
        <f t="shared" si="0"/>
        <v>1</v>
      </c>
      <c r="K27" s="56">
        <f t="shared" si="3"/>
        <v>8216.34</v>
      </c>
      <c r="L27" s="56">
        <f t="shared" si="4"/>
        <v>8216.34</v>
      </c>
      <c r="M27" s="34"/>
      <c r="N27" s="76"/>
      <c r="O27" s="1"/>
      <c r="P27" s="33"/>
      <c r="Q27" s="58">
        <f t="shared" si="9"/>
        <v>0</v>
      </c>
      <c r="R27" s="85">
        <f t="shared" si="5"/>
        <v>8216.34</v>
      </c>
      <c r="S27" s="85">
        <f t="shared" si="6"/>
        <v>8216.34</v>
      </c>
      <c r="T27" s="59">
        <f t="shared" si="7"/>
        <v>0</v>
      </c>
      <c r="U27" s="59">
        <f t="shared" si="8"/>
        <v>1</v>
      </c>
      <c r="V27" s="46"/>
      <c r="W27" s="74"/>
      <c r="X27" s="181" t="s">
        <v>116</v>
      </c>
      <c r="Y27" s="193">
        <v>10000</v>
      </c>
      <c r="Z27" s="181"/>
      <c r="AA27" s="181"/>
    </row>
    <row r="28" spans="1:27" x14ac:dyDescent="0.25">
      <c r="A28" s="175"/>
      <c r="B28" s="3" t="s">
        <v>401</v>
      </c>
      <c r="C28" s="24" t="s">
        <v>220</v>
      </c>
      <c r="D28" s="270"/>
      <c r="E28" s="173">
        <v>1</v>
      </c>
      <c r="F28" s="26">
        <v>3804.56</v>
      </c>
      <c r="G28" s="27">
        <f t="shared" si="1"/>
        <v>5250.29</v>
      </c>
      <c r="H28" s="28">
        <f t="shared" si="2"/>
        <v>5250.29</v>
      </c>
      <c r="I28" s="60"/>
      <c r="J28" s="209">
        <f t="shared" si="0"/>
        <v>1</v>
      </c>
      <c r="K28" s="27">
        <f t="shared" si="3"/>
        <v>2625.15</v>
      </c>
      <c r="L28" s="27">
        <f t="shared" si="4"/>
        <v>2625.15</v>
      </c>
      <c r="M28" s="30"/>
      <c r="N28" s="76"/>
      <c r="O28" s="3"/>
      <c r="P28" s="31"/>
      <c r="Q28" s="32">
        <f t="shared" si="9"/>
        <v>0</v>
      </c>
      <c r="R28" s="32">
        <f t="shared" si="5"/>
        <v>2625.15</v>
      </c>
      <c r="S28" s="32">
        <f t="shared" si="6"/>
        <v>2625.15</v>
      </c>
      <c r="T28" s="47">
        <f t="shared" si="7"/>
        <v>0</v>
      </c>
      <c r="U28" s="47">
        <f t="shared" si="8"/>
        <v>1</v>
      </c>
      <c r="V28" s="45"/>
      <c r="W28" s="74"/>
      <c r="X28" s="181" t="s">
        <v>117</v>
      </c>
      <c r="Y28" s="181" t="s">
        <v>118</v>
      </c>
      <c r="Z28" s="181"/>
      <c r="AA28" s="181"/>
    </row>
    <row r="29" spans="1:27" x14ac:dyDescent="0.25">
      <c r="A29" s="175"/>
      <c r="B29" s="1" t="s">
        <v>398</v>
      </c>
      <c r="C29" s="19" t="s">
        <v>221</v>
      </c>
      <c r="D29" s="269"/>
      <c r="E29" s="174">
        <v>1</v>
      </c>
      <c r="F29" s="33">
        <v>5410.74</v>
      </c>
      <c r="G29" s="56">
        <f>ROUND(IF($F$17="USD $", F29*$E$15,F29*$D$15),2)</f>
        <v>7466.82</v>
      </c>
      <c r="H29" s="57">
        <f>ROUND(IF($H$17=$G$17,E29*G29,E29*F29),2)</f>
        <v>7466.82</v>
      </c>
      <c r="I29" s="60"/>
      <c r="J29" s="208">
        <f t="shared" si="0"/>
        <v>1</v>
      </c>
      <c r="K29" s="56">
        <f t="shared" si="3"/>
        <v>3733.41</v>
      </c>
      <c r="L29" s="56">
        <f>ROUND((J29*K29),2)</f>
        <v>3733.41</v>
      </c>
      <c r="M29" s="34"/>
      <c r="N29" s="76"/>
      <c r="O29" s="1"/>
      <c r="P29" s="33"/>
      <c r="Q29" s="58">
        <f t="shared" si="9"/>
        <v>0</v>
      </c>
      <c r="R29" s="85">
        <f t="shared" si="5"/>
        <v>3733.41</v>
      </c>
      <c r="S29" s="85">
        <f t="shared" si="6"/>
        <v>3733.41</v>
      </c>
      <c r="T29" s="59">
        <f t="shared" si="7"/>
        <v>0</v>
      </c>
      <c r="U29" s="59">
        <f t="shared" si="8"/>
        <v>1</v>
      </c>
      <c r="V29" s="46"/>
      <c r="W29" s="74"/>
      <c r="X29" s="181" t="s">
        <v>120</v>
      </c>
      <c r="Y29" s="181"/>
      <c r="Z29" s="181"/>
      <c r="AA29" s="181"/>
    </row>
    <row r="30" spans="1:27" x14ac:dyDescent="0.25">
      <c r="A30" s="175"/>
      <c r="B30" s="3">
        <v>3058141</v>
      </c>
      <c r="C30" s="24" t="s">
        <v>222</v>
      </c>
      <c r="D30" s="270"/>
      <c r="E30" s="173">
        <v>1</v>
      </c>
      <c r="F30" s="26">
        <v>18371.68</v>
      </c>
      <c r="G30" s="27">
        <f t="shared" si="1"/>
        <v>25352.92</v>
      </c>
      <c r="H30" s="28">
        <f t="shared" si="2"/>
        <v>25352.92</v>
      </c>
      <c r="I30" s="60"/>
      <c r="J30" s="209">
        <f t="shared" si="0"/>
        <v>1</v>
      </c>
      <c r="K30" s="27">
        <f t="shared" si="3"/>
        <v>12676.46</v>
      </c>
      <c r="L30" s="27">
        <f t="shared" si="4"/>
        <v>12676.46</v>
      </c>
      <c r="M30" s="30"/>
      <c r="N30" s="76"/>
      <c r="O30" s="3"/>
      <c r="P30" s="31"/>
      <c r="Q30" s="32">
        <f t="shared" si="9"/>
        <v>0</v>
      </c>
      <c r="R30" s="32">
        <f t="shared" si="5"/>
        <v>12676.46</v>
      </c>
      <c r="S30" s="32">
        <f t="shared" si="6"/>
        <v>12676.46</v>
      </c>
      <c r="T30" s="47">
        <f t="shared" si="7"/>
        <v>0</v>
      </c>
      <c r="U30" s="47">
        <f t="shared" si="8"/>
        <v>1</v>
      </c>
      <c r="V30" s="45"/>
      <c r="W30" s="74"/>
      <c r="X30" s="181"/>
      <c r="Y30" s="181"/>
      <c r="Z30" s="181"/>
      <c r="AA30" s="181"/>
    </row>
    <row r="31" spans="1:27" x14ac:dyDescent="0.25">
      <c r="A31" s="175"/>
      <c r="B31" s="1">
        <v>4872807</v>
      </c>
      <c r="C31" s="19" t="s">
        <v>223</v>
      </c>
      <c r="D31" s="269"/>
      <c r="E31" s="174">
        <v>1</v>
      </c>
      <c r="F31" s="33">
        <v>10196.18</v>
      </c>
      <c r="G31" s="56">
        <f t="shared" si="1"/>
        <v>14070.73</v>
      </c>
      <c r="H31" s="57">
        <f t="shared" si="2"/>
        <v>14070.73</v>
      </c>
      <c r="I31" s="60"/>
      <c r="J31" s="208">
        <f t="shared" si="0"/>
        <v>1</v>
      </c>
      <c r="K31" s="56">
        <f t="shared" si="3"/>
        <v>7035.37</v>
      </c>
      <c r="L31" s="56">
        <f t="shared" si="4"/>
        <v>7035.37</v>
      </c>
      <c r="M31" s="34"/>
      <c r="N31" s="76"/>
      <c r="O31" s="1"/>
      <c r="P31" s="33"/>
      <c r="Q31" s="58">
        <f t="shared" si="9"/>
        <v>0</v>
      </c>
      <c r="R31" s="85">
        <f t="shared" si="5"/>
        <v>7035.37</v>
      </c>
      <c r="S31" s="85">
        <f t="shared" si="6"/>
        <v>7035.37</v>
      </c>
      <c r="T31" s="59">
        <f t="shared" si="7"/>
        <v>0</v>
      </c>
      <c r="U31" s="59">
        <f t="shared" si="8"/>
        <v>1</v>
      </c>
      <c r="V31" s="46"/>
      <c r="W31" s="74"/>
      <c r="X31" s="181"/>
      <c r="Y31" s="181"/>
      <c r="Z31" s="181"/>
      <c r="AA31" s="181"/>
    </row>
    <row r="32" spans="1:27" x14ac:dyDescent="0.25">
      <c r="A32" s="175"/>
      <c r="B32" s="3" t="s">
        <v>402</v>
      </c>
      <c r="C32" s="24" t="s">
        <v>224</v>
      </c>
      <c r="D32" s="270"/>
      <c r="E32" s="173">
        <v>4</v>
      </c>
      <c r="F32" s="26">
        <v>1906.27</v>
      </c>
      <c r="G32" s="27">
        <f t="shared" si="1"/>
        <v>2630.65</v>
      </c>
      <c r="H32" s="28">
        <f t="shared" si="2"/>
        <v>10522.6</v>
      </c>
      <c r="I32" s="60"/>
      <c r="J32" s="209">
        <f t="shared" si="0"/>
        <v>4</v>
      </c>
      <c r="K32" s="27">
        <f t="shared" si="3"/>
        <v>1315.33</v>
      </c>
      <c r="L32" s="27">
        <f t="shared" si="4"/>
        <v>5261.32</v>
      </c>
      <c r="M32" s="30"/>
      <c r="N32" s="76"/>
      <c r="O32" s="3"/>
      <c r="P32" s="31"/>
      <c r="Q32" s="32">
        <f t="shared" si="9"/>
        <v>0</v>
      </c>
      <c r="R32" s="32">
        <f t="shared" si="5"/>
        <v>1315.33</v>
      </c>
      <c r="S32" s="32">
        <f t="shared" si="6"/>
        <v>5261.32</v>
      </c>
      <c r="T32" s="47">
        <f t="shared" si="7"/>
        <v>0</v>
      </c>
      <c r="U32" s="47">
        <f t="shared" si="8"/>
        <v>1</v>
      </c>
      <c r="V32" s="45"/>
      <c r="W32" s="74"/>
      <c r="X32" s="181"/>
      <c r="Y32" s="181"/>
      <c r="Z32" s="181"/>
      <c r="AA32" s="181"/>
    </row>
    <row r="33" spans="1:27" x14ac:dyDescent="0.25">
      <c r="A33" s="175"/>
      <c r="B33" s="1" t="s">
        <v>403</v>
      </c>
      <c r="C33" s="19" t="s">
        <v>225</v>
      </c>
      <c r="D33" s="269"/>
      <c r="E33" s="174">
        <v>1</v>
      </c>
      <c r="F33" s="33">
        <v>6920.52</v>
      </c>
      <c r="G33" s="56">
        <f t="shared" si="1"/>
        <v>9550.32</v>
      </c>
      <c r="H33" s="57">
        <f t="shared" si="2"/>
        <v>9550.32</v>
      </c>
      <c r="I33" s="60"/>
      <c r="J33" s="208">
        <f t="shared" si="0"/>
        <v>1</v>
      </c>
      <c r="K33" s="56">
        <f t="shared" si="3"/>
        <v>4775.16</v>
      </c>
      <c r="L33" s="56">
        <f t="shared" si="4"/>
        <v>4775.16</v>
      </c>
      <c r="M33" s="34"/>
      <c r="N33" s="76"/>
      <c r="O33" s="1"/>
      <c r="P33" s="33"/>
      <c r="Q33" s="58">
        <f t="shared" si="9"/>
        <v>0</v>
      </c>
      <c r="R33" s="85">
        <f t="shared" si="5"/>
        <v>4775.16</v>
      </c>
      <c r="S33" s="85">
        <f t="shared" si="6"/>
        <v>4775.16</v>
      </c>
      <c r="T33" s="59">
        <f t="shared" si="7"/>
        <v>0</v>
      </c>
      <c r="U33" s="59">
        <f t="shared" si="8"/>
        <v>1</v>
      </c>
      <c r="V33" s="46"/>
      <c r="W33" s="74"/>
      <c r="X33" s="181"/>
      <c r="Y33" s="181"/>
      <c r="Z33" s="181"/>
      <c r="AA33" s="181"/>
    </row>
    <row r="34" spans="1:27" x14ac:dyDescent="0.25">
      <c r="A34" s="175"/>
      <c r="B34" s="3"/>
      <c r="C34" s="24"/>
      <c r="D34" s="270"/>
      <c r="E34" s="173"/>
      <c r="F34" s="26"/>
      <c r="G34" s="27">
        <f t="shared" si="1"/>
        <v>0</v>
      </c>
      <c r="H34" s="28">
        <f t="shared" si="2"/>
        <v>0</v>
      </c>
      <c r="I34" s="60"/>
      <c r="J34" s="209">
        <f t="shared" si="0"/>
        <v>0</v>
      </c>
      <c r="K34" s="27">
        <f t="shared" si="3"/>
        <v>0</v>
      </c>
      <c r="L34" s="27">
        <f t="shared" si="4"/>
        <v>0</v>
      </c>
      <c r="M34" s="30"/>
      <c r="N34" s="76"/>
      <c r="O34" s="3"/>
      <c r="P34" s="31"/>
      <c r="Q34" s="32">
        <f t="shared" si="9"/>
        <v>0</v>
      </c>
      <c r="R34" s="32">
        <f t="shared" si="5"/>
        <v>0</v>
      </c>
      <c r="S34" s="32">
        <f t="shared" si="6"/>
        <v>0</v>
      </c>
      <c r="T34" s="47">
        <f t="shared" si="7"/>
        <v>0</v>
      </c>
      <c r="U34" s="47">
        <f t="shared" si="8"/>
        <v>0</v>
      </c>
      <c r="V34" s="45"/>
      <c r="W34" s="74"/>
      <c r="X34" s="181"/>
      <c r="Y34" s="181"/>
      <c r="Z34" s="181"/>
      <c r="AA34" s="181"/>
    </row>
    <row r="35" spans="1:27" x14ac:dyDescent="0.25">
      <c r="A35" s="175"/>
      <c r="B35" s="1" t="s">
        <v>404</v>
      </c>
      <c r="C35" s="19" t="s">
        <v>226</v>
      </c>
      <c r="D35" s="269"/>
      <c r="E35" s="174">
        <v>1</v>
      </c>
      <c r="F35" s="33">
        <v>9037.67</v>
      </c>
      <c r="G35" s="56">
        <f t="shared" si="1"/>
        <v>12471.98</v>
      </c>
      <c r="H35" s="57">
        <f t="shared" si="2"/>
        <v>12471.98</v>
      </c>
      <c r="I35" s="60"/>
      <c r="J35" s="208">
        <f t="shared" si="0"/>
        <v>1</v>
      </c>
      <c r="K35" s="56">
        <f t="shared" si="3"/>
        <v>6235.99</v>
      </c>
      <c r="L35" s="56">
        <f t="shared" si="4"/>
        <v>6235.99</v>
      </c>
      <c r="M35" s="34"/>
      <c r="N35" s="76"/>
      <c r="O35" s="1"/>
      <c r="P35" s="33"/>
      <c r="Q35" s="58">
        <f t="shared" si="9"/>
        <v>0</v>
      </c>
      <c r="R35" s="85">
        <f t="shared" si="5"/>
        <v>6235.99</v>
      </c>
      <c r="S35" s="85">
        <f t="shared" si="6"/>
        <v>6235.99</v>
      </c>
      <c r="T35" s="59">
        <f t="shared" si="7"/>
        <v>0</v>
      </c>
      <c r="U35" s="59">
        <f t="shared" si="8"/>
        <v>1</v>
      </c>
      <c r="V35" s="46"/>
      <c r="W35" s="74"/>
      <c r="X35" s="181"/>
      <c r="Y35" s="181"/>
      <c r="Z35" s="181"/>
      <c r="AA35" s="181"/>
    </row>
    <row r="36" spans="1:27" x14ac:dyDescent="0.25">
      <c r="A36" s="175"/>
      <c r="B36" s="3"/>
      <c r="C36" s="24"/>
      <c r="D36" s="270"/>
      <c r="E36" s="173"/>
      <c r="F36" s="26"/>
      <c r="G36" s="27">
        <f t="shared" si="1"/>
        <v>0</v>
      </c>
      <c r="H36" s="28">
        <f t="shared" si="2"/>
        <v>0</v>
      </c>
      <c r="I36" s="60"/>
      <c r="J36" s="209">
        <f t="shared" si="0"/>
        <v>0</v>
      </c>
      <c r="K36" s="27">
        <f t="shared" si="3"/>
        <v>0</v>
      </c>
      <c r="L36" s="27">
        <f t="shared" si="4"/>
        <v>0</v>
      </c>
      <c r="M36" s="30"/>
      <c r="N36" s="76"/>
      <c r="O36" s="3"/>
      <c r="P36" s="31"/>
      <c r="Q36" s="32">
        <f t="shared" si="9"/>
        <v>0</v>
      </c>
      <c r="R36" s="32">
        <f t="shared" si="5"/>
        <v>0</v>
      </c>
      <c r="S36" s="32">
        <f t="shared" si="6"/>
        <v>0</v>
      </c>
      <c r="T36" s="47">
        <f t="shared" si="7"/>
        <v>0</v>
      </c>
      <c r="U36" s="47">
        <f t="shared" si="8"/>
        <v>0</v>
      </c>
      <c r="V36" s="45"/>
      <c r="W36" s="74"/>
      <c r="X36" s="181"/>
      <c r="Y36" s="181"/>
      <c r="Z36" s="181"/>
      <c r="AA36" s="181"/>
    </row>
    <row r="37" spans="1:27" x14ac:dyDescent="0.25">
      <c r="A37" s="175"/>
      <c r="B37" s="1" t="s">
        <v>234</v>
      </c>
      <c r="C37" s="19" t="s">
        <v>227</v>
      </c>
      <c r="D37" s="269"/>
      <c r="E37" s="174">
        <v>1</v>
      </c>
      <c r="F37" s="33">
        <v>811.6</v>
      </c>
      <c r="G37" s="56">
        <f t="shared" si="1"/>
        <v>1120.01</v>
      </c>
      <c r="H37" s="57">
        <f t="shared" si="2"/>
        <v>1120.01</v>
      </c>
      <c r="I37" s="60"/>
      <c r="J37" s="208">
        <f t="shared" si="0"/>
        <v>1</v>
      </c>
      <c r="K37" s="56">
        <f t="shared" si="3"/>
        <v>560.01</v>
      </c>
      <c r="L37" s="56">
        <f t="shared" si="4"/>
        <v>560.01</v>
      </c>
      <c r="M37" s="34"/>
      <c r="N37" s="76"/>
      <c r="O37" s="1"/>
      <c r="P37" s="33"/>
      <c r="Q37" s="58">
        <f t="shared" si="9"/>
        <v>0</v>
      </c>
      <c r="R37" s="85">
        <f t="shared" si="5"/>
        <v>560.01</v>
      </c>
      <c r="S37" s="85">
        <f t="shared" si="6"/>
        <v>560.01</v>
      </c>
      <c r="T37" s="59">
        <f t="shared" si="7"/>
        <v>0</v>
      </c>
      <c r="U37" s="59">
        <f t="shared" si="8"/>
        <v>1</v>
      </c>
      <c r="V37" s="46"/>
      <c r="W37" s="74"/>
      <c r="X37" s="181"/>
      <c r="Y37" s="181"/>
      <c r="Z37" s="181"/>
      <c r="AA37" s="181"/>
    </row>
    <row r="38" spans="1:27" x14ac:dyDescent="0.25">
      <c r="A38" s="175"/>
      <c r="B38" s="3"/>
      <c r="C38" s="24"/>
      <c r="D38" s="270"/>
      <c r="E38" s="173"/>
      <c r="F38" s="26"/>
      <c r="G38" s="2">
        <f t="shared" si="1"/>
        <v>0</v>
      </c>
      <c r="H38" s="20">
        <f t="shared" si="2"/>
        <v>0</v>
      </c>
      <c r="I38" s="61"/>
      <c r="J38" s="210">
        <f t="shared" si="0"/>
        <v>0</v>
      </c>
      <c r="K38" s="2">
        <f t="shared" si="3"/>
        <v>0</v>
      </c>
      <c r="L38" s="2">
        <f t="shared" si="4"/>
        <v>0</v>
      </c>
      <c r="M38" s="21"/>
      <c r="N38" s="76"/>
      <c r="O38" s="3"/>
      <c r="P38" s="31"/>
      <c r="Q38" s="32">
        <f t="shared" si="9"/>
        <v>0</v>
      </c>
      <c r="R38" s="32">
        <f t="shared" si="5"/>
        <v>0</v>
      </c>
      <c r="S38" s="32">
        <f t="shared" si="6"/>
        <v>0</v>
      </c>
      <c r="T38" s="47">
        <f t="shared" si="7"/>
        <v>0</v>
      </c>
      <c r="U38" s="47">
        <f t="shared" si="8"/>
        <v>0</v>
      </c>
      <c r="V38" s="45"/>
      <c r="W38" s="75"/>
    </row>
    <row r="39" spans="1:27" x14ac:dyDescent="0.25">
      <c r="A39" s="175"/>
      <c r="B39" s="1" t="s">
        <v>388</v>
      </c>
      <c r="C39" s="19" t="s">
        <v>228</v>
      </c>
      <c r="D39" s="269"/>
      <c r="E39" s="174">
        <v>1</v>
      </c>
      <c r="F39" s="33">
        <v>6221.62</v>
      </c>
      <c r="G39" s="62">
        <f t="shared" si="1"/>
        <v>8585.84</v>
      </c>
      <c r="H39" s="63">
        <f t="shared" si="2"/>
        <v>8585.84</v>
      </c>
      <c r="I39" s="61"/>
      <c r="J39" s="211">
        <f t="shared" si="0"/>
        <v>1</v>
      </c>
      <c r="K39" s="62">
        <f t="shared" si="3"/>
        <v>4292.92</v>
      </c>
      <c r="L39" s="62">
        <f t="shared" si="4"/>
        <v>4292.92</v>
      </c>
      <c r="M39" s="22"/>
      <c r="N39" s="76"/>
      <c r="O39" s="1"/>
      <c r="P39" s="33"/>
      <c r="Q39" s="58">
        <f t="shared" si="9"/>
        <v>0</v>
      </c>
      <c r="R39" s="85">
        <f t="shared" si="5"/>
        <v>4292.92</v>
      </c>
      <c r="S39" s="85">
        <f t="shared" si="6"/>
        <v>4292.92</v>
      </c>
      <c r="T39" s="59">
        <f t="shared" si="7"/>
        <v>0</v>
      </c>
      <c r="U39" s="59">
        <f t="shared" si="8"/>
        <v>1</v>
      </c>
      <c r="V39" s="46"/>
      <c r="W39" s="75"/>
    </row>
    <row r="40" spans="1:27" x14ac:dyDescent="0.25">
      <c r="A40" s="175"/>
      <c r="B40" s="3" t="s">
        <v>389</v>
      </c>
      <c r="C40" s="24" t="s">
        <v>229</v>
      </c>
      <c r="D40" s="270"/>
      <c r="E40" s="173">
        <v>1</v>
      </c>
      <c r="F40" s="26">
        <v>269.92</v>
      </c>
      <c r="G40" s="2">
        <f t="shared" si="1"/>
        <v>372.49</v>
      </c>
      <c r="H40" s="20">
        <f t="shared" si="2"/>
        <v>372.49</v>
      </c>
      <c r="I40" s="61"/>
      <c r="J40" s="210">
        <f t="shared" si="0"/>
        <v>1</v>
      </c>
      <c r="K40" s="2">
        <f t="shared" si="3"/>
        <v>186.25</v>
      </c>
      <c r="L40" s="2">
        <f t="shared" si="4"/>
        <v>186.25</v>
      </c>
      <c r="M40" s="21"/>
      <c r="N40" s="76"/>
      <c r="O40" s="3"/>
      <c r="P40" s="31"/>
      <c r="Q40" s="32">
        <f t="shared" si="9"/>
        <v>0</v>
      </c>
      <c r="R40" s="32">
        <f t="shared" si="5"/>
        <v>186.25</v>
      </c>
      <c r="S40" s="32">
        <f t="shared" si="6"/>
        <v>186.25</v>
      </c>
      <c r="T40" s="47">
        <f t="shared" si="7"/>
        <v>0</v>
      </c>
      <c r="U40" s="47">
        <f t="shared" si="8"/>
        <v>1</v>
      </c>
      <c r="V40" s="45"/>
      <c r="W40" s="75"/>
    </row>
    <row r="41" spans="1:27" x14ac:dyDescent="0.25">
      <c r="A41" s="175"/>
      <c r="B41" s="1" t="s">
        <v>390</v>
      </c>
      <c r="C41" s="19" t="s">
        <v>158</v>
      </c>
      <c r="D41" s="269"/>
      <c r="E41" s="174">
        <v>8</v>
      </c>
      <c r="F41" s="33">
        <v>3.22</v>
      </c>
      <c r="G41" s="62">
        <f t="shared" si="1"/>
        <v>4.4400000000000004</v>
      </c>
      <c r="H41" s="63">
        <f t="shared" si="2"/>
        <v>35.520000000000003</v>
      </c>
      <c r="I41" s="61"/>
      <c r="J41" s="211">
        <f t="shared" si="0"/>
        <v>8</v>
      </c>
      <c r="K41" s="62">
        <f t="shared" si="3"/>
        <v>2.2200000000000002</v>
      </c>
      <c r="L41" s="62">
        <f t="shared" si="4"/>
        <v>17.760000000000002</v>
      </c>
      <c r="M41" s="22"/>
      <c r="N41" s="76"/>
      <c r="O41" s="1"/>
      <c r="P41" s="33"/>
      <c r="Q41" s="58">
        <f t="shared" si="9"/>
        <v>0</v>
      </c>
      <c r="R41" s="85">
        <f t="shared" si="5"/>
        <v>2.2200000000000002</v>
      </c>
      <c r="S41" s="85">
        <f t="shared" si="6"/>
        <v>17.760000000000002</v>
      </c>
      <c r="T41" s="59">
        <f t="shared" si="7"/>
        <v>0</v>
      </c>
      <c r="U41" s="59">
        <f t="shared" si="8"/>
        <v>1</v>
      </c>
      <c r="V41" s="46"/>
      <c r="W41" s="75"/>
    </row>
    <row r="42" spans="1:27" x14ac:dyDescent="0.25">
      <c r="A42" s="175"/>
      <c r="B42" s="3" t="s">
        <v>186</v>
      </c>
      <c r="C42" s="24" t="s">
        <v>160</v>
      </c>
      <c r="D42" s="270"/>
      <c r="E42" s="173">
        <v>8</v>
      </c>
      <c r="F42" s="26">
        <v>2.44</v>
      </c>
      <c r="G42" s="2">
        <f t="shared" si="1"/>
        <v>3.37</v>
      </c>
      <c r="H42" s="20">
        <f t="shared" si="2"/>
        <v>26.96</v>
      </c>
      <c r="I42" s="61"/>
      <c r="J42" s="210">
        <f t="shared" si="0"/>
        <v>8</v>
      </c>
      <c r="K42" s="2">
        <f t="shared" si="3"/>
        <v>1.69</v>
      </c>
      <c r="L42" s="2">
        <f t="shared" si="4"/>
        <v>13.52</v>
      </c>
      <c r="M42" s="21"/>
      <c r="N42" s="76"/>
      <c r="O42" s="3"/>
      <c r="P42" s="31"/>
      <c r="Q42" s="32">
        <f t="shared" si="9"/>
        <v>0</v>
      </c>
      <c r="R42" s="32">
        <f t="shared" si="5"/>
        <v>1.69</v>
      </c>
      <c r="S42" s="32">
        <f t="shared" si="6"/>
        <v>13.52</v>
      </c>
      <c r="T42" s="47">
        <f t="shared" si="7"/>
        <v>0</v>
      </c>
      <c r="U42" s="47">
        <f t="shared" si="8"/>
        <v>1</v>
      </c>
      <c r="V42" s="45"/>
      <c r="W42" s="75"/>
    </row>
    <row r="43" spans="1:27" x14ac:dyDescent="0.25">
      <c r="A43" s="175"/>
      <c r="B43" s="1" t="s">
        <v>391</v>
      </c>
      <c r="C43" s="19" t="s">
        <v>159</v>
      </c>
      <c r="D43" s="269"/>
      <c r="E43" s="174">
        <v>8</v>
      </c>
      <c r="F43" s="33">
        <v>3.56</v>
      </c>
      <c r="G43" s="62">
        <f t="shared" si="1"/>
        <v>4.91</v>
      </c>
      <c r="H43" s="63">
        <f t="shared" si="2"/>
        <v>39.28</v>
      </c>
      <c r="I43" s="61"/>
      <c r="J43" s="211">
        <f t="shared" si="0"/>
        <v>8</v>
      </c>
      <c r="K43" s="62">
        <f t="shared" si="3"/>
        <v>2.46</v>
      </c>
      <c r="L43" s="62">
        <f t="shared" si="4"/>
        <v>19.68</v>
      </c>
      <c r="M43" s="22"/>
      <c r="N43" s="76"/>
      <c r="O43" s="1"/>
      <c r="P43" s="33"/>
      <c r="Q43" s="58">
        <f t="shared" si="9"/>
        <v>0</v>
      </c>
      <c r="R43" s="85">
        <f t="shared" si="5"/>
        <v>2.46</v>
      </c>
      <c r="S43" s="85">
        <f t="shared" si="6"/>
        <v>19.68</v>
      </c>
      <c r="T43" s="59">
        <f t="shared" si="7"/>
        <v>0</v>
      </c>
      <c r="U43" s="59">
        <f t="shared" si="8"/>
        <v>1</v>
      </c>
      <c r="V43" s="46"/>
      <c r="W43" s="75"/>
    </row>
    <row r="44" spans="1:27" x14ac:dyDescent="0.25">
      <c r="A44" s="175"/>
      <c r="B44" s="3" t="s">
        <v>392</v>
      </c>
      <c r="C44" s="24" t="s">
        <v>230</v>
      </c>
      <c r="D44" s="270"/>
      <c r="E44" s="173">
        <v>1</v>
      </c>
      <c r="F44" s="26">
        <v>64.260000000000005</v>
      </c>
      <c r="G44" s="2">
        <f t="shared" si="1"/>
        <v>88.68</v>
      </c>
      <c r="H44" s="20">
        <f t="shared" si="2"/>
        <v>88.68</v>
      </c>
      <c r="I44" s="61"/>
      <c r="J44" s="210">
        <f t="shared" si="0"/>
        <v>1</v>
      </c>
      <c r="K44" s="2">
        <f t="shared" si="3"/>
        <v>44.34</v>
      </c>
      <c r="L44" s="2">
        <f t="shared" si="4"/>
        <v>44.34</v>
      </c>
      <c r="M44" s="21"/>
      <c r="N44" s="76"/>
      <c r="O44" s="3"/>
      <c r="P44" s="31"/>
      <c r="Q44" s="32">
        <f t="shared" si="9"/>
        <v>0</v>
      </c>
      <c r="R44" s="32">
        <f t="shared" si="5"/>
        <v>44.34</v>
      </c>
      <c r="S44" s="32">
        <f t="shared" si="6"/>
        <v>44.34</v>
      </c>
      <c r="T44" s="47">
        <f t="shared" si="7"/>
        <v>0</v>
      </c>
      <c r="U44" s="47">
        <f t="shared" si="8"/>
        <v>1</v>
      </c>
      <c r="V44" s="45"/>
      <c r="W44" s="75"/>
    </row>
    <row r="45" spans="1:27" x14ac:dyDescent="0.25">
      <c r="A45" s="175"/>
      <c r="B45" s="1" t="s">
        <v>393</v>
      </c>
      <c r="C45" s="19" t="s">
        <v>231</v>
      </c>
      <c r="D45" s="269"/>
      <c r="E45" s="174">
        <v>1</v>
      </c>
      <c r="F45" s="33">
        <v>64.260000000000005</v>
      </c>
      <c r="G45" s="62">
        <f t="shared" si="1"/>
        <v>88.68</v>
      </c>
      <c r="H45" s="63">
        <f t="shared" si="2"/>
        <v>88.68</v>
      </c>
      <c r="I45" s="61"/>
      <c r="J45" s="211">
        <f t="shared" si="0"/>
        <v>1</v>
      </c>
      <c r="K45" s="62">
        <f t="shared" si="3"/>
        <v>44.34</v>
      </c>
      <c r="L45" s="62">
        <f t="shared" si="4"/>
        <v>44.34</v>
      </c>
      <c r="M45" s="22"/>
      <c r="N45" s="76"/>
      <c r="O45" s="1"/>
      <c r="P45" s="33"/>
      <c r="Q45" s="58">
        <f t="shared" si="9"/>
        <v>0</v>
      </c>
      <c r="R45" s="85">
        <f t="shared" si="5"/>
        <v>44.34</v>
      </c>
      <c r="S45" s="85">
        <f t="shared" si="6"/>
        <v>44.34</v>
      </c>
      <c r="T45" s="59">
        <f t="shared" si="7"/>
        <v>0</v>
      </c>
      <c r="U45" s="59">
        <f t="shared" si="8"/>
        <v>1</v>
      </c>
      <c r="V45" s="46"/>
      <c r="W45" s="75"/>
    </row>
    <row r="46" spans="1:27" x14ac:dyDescent="0.25">
      <c r="A46" s="175"/>
      <c r="B46" s="3" t="s">
        <v>394</v>
      </c>
      <c r="C46" s="24" t="s">
        <v>232</v>
      </c>
      <c r="D46" s="270"/>
      <c r="E46" s="173">
        <v>1</v>
      </c>
      <c r="F46" s="26">
        <v>112.46</v>
      </c>
      <c r="G46" s="2">
        <f t="shared" si="1"/>
        <v>155.19</v>
      </c>
      <c r="H46" s="20">
        <f t="shared" si="2"/>
        <v>155.19</v>
      </c>
      <c r="I46" s="61"/>
      <c r="J46" s="210">
        <f t="shared" si="0"/>
        <v>1</v>
      </c>
      <c r="K46" s="2">
        <f t="shared" si="3"/>
        <v>77.599999999999994</v>
      </c>
      <c r="L46" s="2">
        <f t="shared" si="4"/>
        <v>77.599999999999994</v>
      </c>
      <c r="M46" s="21"/>
      <c r="N46" s="76"/>
      <c r="O46" s="3"/>
      <c r="P46" s="31"/>
      <c r="Q46" s="32">
        <f t="shared" si="9"/>
        <v>0</v>
      </c>
      <c r="R46" s="32">
        <f t="shared" si="5"/>
        <v>77.599999999999994</v>
      </c>
      <c r="S46" s="32">
        <f t="shared" si="6"/>
        <v>77.599999999999994</v>
      </c>
      <c r="T46" s="47">
        <f t="shared" si="7"/>
        <v>0</v>
      </c>
      <c r="U46" s="47">
        <f t="shared" si="8"/>
        <v>1</v>
      </c>
      <c r="V46" s="45"/>
      <c r="W46" s="75"/>
    </row>
    <row r="47" spans="1:27" x14ac:dyDescent="0.25">
      <c r="A47" s="175"/>
      <c r="B47" s="1"/>
      <c r="C47" s="19"/>
      <c r="D47" s="269"/>
      <c r="E47" s="174"/>
      <c r="F47" s="33"/>
      <c r="G47" s="62">
        <f t="shared" si="1"/>
        <v>0</v>
      </c>
      <c r="H47" s="63">
        <f t="shared" si="2"/>
        <v>0</v>
      </c>
      <c r="I47" s="61"/>
      <c r="J47" s="211">
        <f t="shared" si="0"/>
        <v>0</v>
      </c>
      <c r="K47" s="62">
        <f t="shared" si="3"/>
        <v>0</v>
      </c>
      <c r="L47" s="62">
        <f t="shared" si="4"/>
        <v>0</v>
      </c>
      <c r="M47" s="22"/>
      <c r="N47" s="76"/>
      <c r="O47" s="1"/>
      <c r="P47" s="33"/>
      <c r="Q47" s="58">
        <f t="shared" si="9"/>
        <v>0</v>
      </c>
      <c r="R47" s="85">
        <f t="shared" si="5"/>
        <v>0</v>
      </c>
      <c r="S47" s="85">
        <f t="shared" si="6"/>
        <v>0</v>
      </c>
      <c r="T47" s="59">
        <f t="shared" si="7"/>
        <v>0</v>
      </c>
      <c r="U47" s="59">
        <f t="shared" si="8"/>
        <v>0</v>
      </c>
      <c r="V47" s="46"/>
      <c r="W47" s="75"/>
    </row>
    <row r="48" spans="1:27" x14ac:dyDescent="0.25">
      <c r="A48" s="175"/>
      <c r="B48" s="3"/>
      <c r="C48" s="24"/>
      <c r="D48" s="270"/>
      <c r="E48" s="173"/>
      <c r="F48" s="26"/>
      <c r="G48" s="2">
        <f t="shared" si="1"/>
        <v>0</v>
      </c>
      <c r="H48" s="20">
        <f t="shared" si="2"/>
        <v>0</v>
      </c>
      <c r="I48" s="61"/>
      <c r="J48" s="210">
        <f t="shared" si="0"/>
        <v>0</v>
      </c>
      <c r="K48" s="2">
        <f t="shared" si="3"/>
        <v>0</v>
      </c>
      <c r="L48" s="2">
        <f t="shared" si="4"/>
        <v>0</v>
      </c>
      <c r="M48" s="21"/>
      <c r="N48" s="76"/>
      <c r="O48" s="3"/>
      <c r="P48" s="31"/>
      <c r="Q48" s="32">
        <f t="shared" si="9"/>
        <v>0</v>
      </c>
      <c r="R48" s="32">
        <f t="shared" si="5"/>
        <v>0</v>
      </c>
      <c r="S48" s="32">
        <f t="shared" si="6"/>
        <v>0</v>
      </c>
      <c r="T48" s="47">
        <f t="shared" si="7"/>
        <v>0</v>
      </c>
      <c r="U48" s="47">
        <f t="shared" si="8"/>
        <v>0</v>
      </c>
      <c r="V48" s="46"/>
      <c r="W48" s="75"/>
    </row>
    <row r="49" spans="1:23" x14ac:dyDescent="0.25">
      <c r="A49" s="175"/>
      <c r="B49" s="1"/>
      <c r="C49" s="19"/>
      <c r="D49" s="269"/>
      <c r="E49" s="174"/>
      <c r="F49" s="33"/>
      <c r="G49" s="62">
        <f t="shared" si="1"/>
        <v>0</v>
      </c>
      <c r="H49" s="63">
        <f t="shared" si="2"/>
        <v>0</v>
      </c>
      <c r="I49" s="61"/>
      <c r="J49" s="211">
        <f t="shared" si="0"/>
        <v>0</v>
      </c>
      <c r="K49" s="62">
        <f t="shared" si="3"/>
        <v>0</v>
      </c>
      <c r="L49" s="62">
        <f t="shared" si="4"/>
        <v>0</v>
      </c>
      <c r="M49" s="22"/>
      <c r="N49" s="76"/>
      <c r="O49" s="1"/>
      <c r="P49" s="33"/>
      <c r="Q49" s="58">
        <f t="shared" si="9"/>
        <v>0</v>
      </c>
      <c r="R49" s="85">
        <f t="shared" si="5"/>
        <v>0</v>
      </c>
      <c r="S49" s="85">
        <f t="shared" si="6"/>
        <v>0</v>
      </c>
      <c r="T49" s="59">
        <f t="shared" si="7"/>
        <v>0</v>
      </c>
      <c r="U49" s="59">
        <f t="shared" si="8"/>
        <v>0</v>
      </c>
      <c r="V49" s="46"/>
      <c r="W49" s="75"/>
    </row>
    <row r="50" spans="1:23" x14ac:dyDescent="0.25">
      <c r="A50" s="175"/>
      <c r="B50" s="3"/>
      <c r="C50" s="24"/>
      <c r="D50" s="270"/>
      <c r="E50" s="173"/>
      <c r="F50" s="26"/>
      <c r="G50" s="2">
        <f t="shared" si="1"/>
        <v>0</v>
      </c>
      <c r="H50" s="20">
        <f t="shared" si="2"/>
        <v>0</v>
      </c>
      <c r="I50" s="61"/>
      <c r="J50" s="210">
        <f t="shared" si="0"/>
        <v>0</v>
      </c>
      <c r="K50" s="2">
        <f t="shared" si="3"/>
        <v>0</v>
      </c>
      <c r="L50" s="2">
        <f t="shared" si="4"/>
        <v>0</v>
      </c>
      <c r="M50" s="21"/>
      <c r="N50" s="76"/>
      <c r="O50" s="3"/>
      <c r="P50" s="31"/>
      <c r="Q50" s="32">
        <f t="shared" si="9"/>
        <v>0</v>
      </c>
      <c r="R50" s="32">
        <f t="shared" si="5"/>
        <v>0</v>
      </c>
      <c r="S50" s="32">
        <f t="shared" si="6"/>
        <v>0</v>
      </c>
      <c r="T50" s="47">
        <f t="shared" si="7"/>
        <v>0</v>
      </c>
      <c r="U50" s="47">
        <f t="shared" si="8"/>
        <v>0</v>
      </c>
      <c r="V50" s="46"/>
      <c r="W50" s="75"/>
    </row>
    <row r="51" spans="1:23" x14ac:dyDescent="0.25">
      <c r="A51" s="175"/>
      <c r="B51" s="1"/>
      <c r="C51" s="19"/>
      <c r="D51" s="269"/>
      <c r="E51" s="174"/>
      <c r="F51" s="33"/>
      <c r="G51" s="62">
        <f t="shared" si="1"/>
        <v>0</v>
      </c>
      <c r="H51" s="63">
        <f t="shared" si="2"/>
        <v>0</v>
      </c>
      <c r="I51" s="61"/>
      <c r="J51" s="211">
        <f t="shared" si="0"/>
        <v>0</v>
      </c>
      <c r="K51" s="62">
        <f t="shared" si="3"/>
        <v>0</v>
      </c>
      <c r="L51" s="62">
        <f t="shared" si="4"/>
        <v>0</v>
      </c>
      <c r="M51" s="22"/>
      <c r="N51" s="76"/>
      <c r="O51" s="1"/>
      <c r="P51" s="33"/>
      <c r="Q51" s="58">
        <f t="shared" si="9"/>
        <v>0</v>
      </c>
      <c r="R51" s="85">
        <f t="shared" si="5"/>
        <v>0</v>
      </c>
      <c r="S51" s="85">
        <f t="shared" si="6"/>
        <v>0</v>
      </c>
      <c r="T51" s="59">
        <f t="shared" si="7"/>
        <v>0</v>
      </c>
      <c r="U51" s="59">
        <f t="shared" si="8"/>
        <v>0</v>
      </c>
      <c r="V51" s="46"/>
      <c r="W51" s="75"/>
    </row>
    <row r="52" spans="1:23" x14ac:dyDescent="0.25">
      <c r="A52" s="175"/>
      <c r="B52" s="3"/>
      <c r="C52" s="24"/>
      <c r="D52" s="270"/>
      <c r="E52" s="173"/>
      <c r="F52" s="26"/>
      <c r="G52" s="2">
        <f t="shared" si="1"/>
        <v>0</v>
      </c>
      <c r="H52" s="20">
        <f t="shared" si="2"/>
        <v>0</v>
      </c>
      <c r="I52" s="61"/>
      <c r="J52" s="210">
        <f t="shared" si="0"/>
        <v>0</v>
      </c>
      <c r="K52" s="2">
        <f t="shared" si="3"/>
        <v>0</v>
      </c>
      <c r="L52" s="2">
        <f t="shared" si="4"/>
        <v>0</v>
      </c>
      <c r="M52" s="21"/>
      <c r="N52" s="76"/>
      <c r="O52" s="3"/>
      <c r="P52" s="31"/>
      <c r="Q52" s="32">
        <f t="shared" si="9"/>
        <v>0</v>
      </c>
      <c r="R52" s="32">
        <f t="shared" si="5"/>
        <v>0</v>
      </c>
      <c r="S52" s="32">
        <f t="shared" si="6"/>
        <v>0</v>
      </c>
      <c r="T52" s="47">
        <f t="shared" si="7"/>
        <v>0</v>
      </c>
      <c r="U52" s="47">
        <f t="shared" si="8"/>
        <v>0</v>
      </c>
      <c r="V52" s="46"/>
      <c r="W52" s="75"/>
    </row>
    <row r="53" spans="1:23" x14ac:dyDescent="0.25">
      <c r="A53" s="175"/>
      <c r="B53" s="1"/>
      <c r="C53" s="19"/>
      <c r="D53" s="269"/>
      <c r="E53" s="174"/>
      <c r="F53" s="33"/>
      <c r="G53" s="62">
        <f t="shared" si="1"/>
        <v>0</v>
      </c>
      <c r="H53" s="63">
        <f t="shared" si="2"/>
        <v>0</v>
      </c>
      <c r="I53" s="61"/>
      <c r="J53" s="211">
        <f t="shared" si="0"/>
        <v>0</v>
      </c>
      <c r="K53" s="62">
        <f t="shared" si="3"/>
        <v>0</v>
      </c>
      <c r="L53" s="62">
        <f t="shared" si="4"/>
        <v>0</v>
      </c>
      <c r="M53" s="22"/>
      <c r="N53" s="76"/>
      <c r="O53" s="1"/>
      <c r="P53" s="33"/>
      <c r="Q53" s="58">
        <f t="shared" si="9"/>
        <v>0</v>
      </c>
      <c r="R53" s="85">
        <f t="shared" si="5"/>
        <v>0</v>
      </c>
      <c r="S53" s="85">
        <f t="shared" si="6"/>
        <v>0</v>
      </c>
      <c r="T53" s="59">
        <f t="shared" si="7"/>
        <v>0</v>
      </c>
      <c r="U53" s="59">
        <f t="shared" si="8"/>
        <v>0</v>
      </c>
      <c r="V53" s="46"/>
      <c r="W53" s="75"/>
    </row>
    <row r="54" spans="1:23" x14ac:dyDescent="0.25">
      <c r="A54" s="175"/>
      <c r="B54" s="3"/>
      <c r="C54" s="24"/>
      <c r="D54" s="270"/>
      <c r="E54" s="173"/>
      <c r="F54" s="26"/>
      <c r="G54" s="2">
        <f t="shared" si="1"/>
        <v>0</v>
      </c>
      <c r="H54" s="20">
        <f t="shared" si="2"/>
        <v>0</v>
      </c>
      <c r="I54" s="61"/>
      <c r="J54" s="210">
        <f t="shared" si="0"/>
        <v>0</v>
      </c>
      <c r="K54" s="2">
        <f t="shared" si="3"/>
        <v>0</v>
      </c>
      <c r="L54" s="2">
        <f t="shared" si="4"/>
        <v>0</v>
      </c>
      <c r="M54" s="21"/>
      <c r="N54" s="76"/>
      <c r="O54" s="3"/>
      <c r="P54" s="31"/>
      <c r="Q54" s="32">
        <f t="shared" si="9"/>
        <v>0</v>
      </c>
      <c r="R54" s="32">
        <f t="shared" si="5"/>
        <v>0</v>
      </c>
      <c r="S54" s="32">
        <f t="shared" si="6"/>
        <v>0</v>
      </c>
      <c r="T54" s="47">
        <f t="shared" si="7"/>
        <v>0</v>
      </c>
      <c r="U54" s="47">
        <f t="shared" si="8"/>
        <v>0</v>
      </c>
      <c r="V54" s="46"/>
      <c r="W54" s="75"/>
    </row>
    <row r="55" spans="1:23" x14ac:dyDescent="0.25">
      <c r="A55" s="175"/>
      <c r="B55" s="1"/>
      <c r="C55" s="19"/>
      <c r="D55" s="269"/>
      <c r="E55" s="174"/>
      <c r="F55" s="33"/>
      <c r="G55" s="62">
        <f t="shared" si="1"/>
        <v>0</v>
      </c>
      <c r="H55" s="63">
        <f t="shared" si="2"/>
        <v>0</v>
      </c>
      <c r="I55" s="61"/>
      <c r="J55" s="211">
        <f t="shared" si="0"/>
        <v>0</v>
      </c>
      <c r="K55" s="62">
        <f t="shared" si="3"/>
        <v>0</v>
      </c>
      <c r="L55" s="62">
        <f t="shared" si="4"/>
        <v>0</v>
      </c>
      <c r="M55" s="22"/>
      <c r="N55" s="76"/>
      <c r="O55" s="1"/>
      <c r="P55" s="33"/>
      <c r="Q55" s="58">
        <f t="shared" si="9"/>
        <v>0</v>
      </c>
      <c r="R55" s="85">
        <f t="shared" si="5"/>
        <v>0</v>
      </c>
      <c r="S55" s="85">
        <f t="shared" si="6"/>
        <v>0</v>
      </c>
      <c r="T55" s="59">
        <f t="shared" si="7"/>
        <v>0</v>
      </c>
      <c r="U55" s="59">
        <f t="shared" si="8"/>
        <v>0</v>
      </c>
      <c r="V55" s="46"/>
      <c r="W55" s="75"/>
    </row>
    <row r="56" spans="1:23" x14ac:dyDescent="0.25">
      <c r="A56" s="175"/>
      <c r="B56" s="3"/>
      <c r="C56" s="24"/>
      <c r="D56" s="270"/>
      <c r="E56" s="173"/>
      <c r="F56" s="26"/>
      <c r="G56" s="2">
        <f t="shared" si="1"/>
        <v>0</v>
      </c>
      <c r="H56" s="20">
        <f t="shared" si="2"/>
        <v>0</v>
      </c>
      <c r="I56" s="61"/>
      <c r="J56" s="210">
        <f t="shared" si="0"/>
        <v>0</v>
      </c>
      <c r="K56" s="2">
        <f t="shared" si="3"/>
        <v>0</v>
      </c>
      <c r="L56" s="2">
        <f t="shared" si="4"/>
        <v>0</v>
      </c>
      <c r="M56" s="21"/>
      <c r="N56" s="76"/>
      <c r="O56" s="3"/>
      <c r="P56" s="31"/>
      <c r="Q56" s="32">
        <f t="shared" si="9"/>
        <v>0</v>
      </c>
      <c r="R56" s="32">
        <f t="shared" si="5"/>
        <v>0</v>
      </c>
      <c r="S56" s="32">
        <f t="shared" si="6"/>
        <v>0</v>
      </c>
      <c r="T56" s="47">
        <f t="shared" si="7"/>
        <v>0</v>
      </c>
      <c r="U56" s="47">
        <f t="shared" si="8"/>
        <v>0</v>
      </c>
      <c r="V56" s="46"/>
      <c r="W56" s="75"/>
    </row>
    <row r="57" spans="1:23" x14ac:dyDescent="0.25">
      <c r="A57" s="175"/>
      <c r="B57" s="1"/>
      <c r="C57" s="19"/>
      <c r="D57" s="269"/>
      <c r="E57" s="174"/>
      <c r="F57" s="33"/>
      <c r="G57" s="62">
        <f t="shared" si="1"/>
        <v>0</v>
      </c>
      <c r="H57" s="63">
        <f t="shared" si="2"/>
        <v>0</v>
      </c>
      <c r="I57" s="61"/>
      <c r="J57" s="211">
        <f t="shared" si="0"/>
        <v>0</v>
      </c>
      <c r="K57" s="62">
        <f t="shared" si="3"/>
        <v>0</v>
      </c>
      <c r="L57" s="62">
        <f t="shared" si="4"/>
        <v>0</v>
      </c>
      <c r="M57" s="22"/>
      <c r="N57" s="76"/>
      <c r="O57" s="1"/>
      <c r="P57" s="33"/>
      <c r="Q57" s="58">
        <f t="shared" si="9"/>
        <v>0</v>
      </c>
      <c r="R57" s="85">
        <f t="shared" si="5"/>
        <v>0</v>
      </c>
      <c r="S57" s="85">
        <f t="shared" si="6"/>
        <v>0</v>
      </c>
      <c r="T57" s="59">
        <f t="shared" si="7"/>
        <v>0</v>
      </c>
      <c r="U57" s="59">
        <f t="shared" si="8"/>
        <v>0</v>
      </c>
      <c r="V57" s="46"/>
      <c r="W57" s="75"/>
    </row>
    <row r="58" spans="1:23" x14ac:dyDescent="0.25">
      <c r="A58" s="175"/>
      <c r="B58" s="3"/>
      <c r="C58" s="24"/>
      <c r="D58" s="270"/>
      <c r="E58" s="173"/>
      <c r="F58" s="26"/>
      <c r="G58" s="2">
        <f t="shared" si="1"/>
        <v>0</v>
      </c>
      <c r="H58" s="20">
        <f t="shared" si="2"/>
        <v>0</v>
      </c>
      <c r="I58" s="61"/>
      <c r="J58" s="210">
        <f t="shared" si="0"/>
        <v>0</v>
      </c>
      <c r="K58" s="2">
        <f t="shared" si="3"/>
        <v>0</v>
      </c>
      <c r="L58" s="2">
        <f t="shared" si="4"/>
        <v>0</v>
      </c>
      <c r="M58" s="21"/>
      <c r="N58" s="76"/>
      <c r="O58" s="3"/>
      <c r="P58" s="31"/>
      <c r="Q58" s="32">
        <f t="shared" si="9"/>
        <v>0</v>
      </c>
      <c r="R58" s="32">
        <f t="shared" si="5"/>
        <v>0</v>
      </c>
      <c r="S58" s="32">
        <f t="shared" si="6"/>
        <v>0</v>
      </c>
      <c r="T58" s="47">
        <f t="shared" si="7"/>
        <v>0</v>
      </c>
      <c r="U58" s="47">
        <f t="shared" si="8"/>
        <v>0</v>
      </c>
      <c r="V58" s="46"/>
      <c r="W58" s="75"/>
    </row>
    <row r="59" spans="1:23" x14ac:dyDescent="0.25">
      <c r="A59" s="175"/>
      <c r="B59" s="1"/>
      <c r="C59" s="19"/>
      <c r="D59" s="269"/>
      <c r="E59" s="174"/>
      <c r="F59" s="33"/>
      <c r="G59" s="62">
        <f t="shared" si="1"/>
        <v>0</v>
      </c>
      <c r="H59" s="63">
        <f t="shared" si="2"/>
        <v>0</v>
      </c>
      <c r="I59" s="61"/>
      <c r="J59" s="211">
        <f t="shared" si="0"/>
        <v>0</v>
      </c>
      <c r="K59" s="62">
        <f t="shared" si="3"/>
        <v>0</v>
      </c>
      <c r="L59" s="62">
        <f t="shared" si="4"/>
        <v>0</v>
      </c>
      <c r="M59" s="22"/>
      <c r="N59" s="76"/>
      <c r="O59" s="1"/>
      <c r="P59" s="33"/>
      <c r="Q59" s="58">
        <f t="shared" si="9"/>
        <v>0</v>
      </c>
      <c r="R59" s="85">
        <f t="shared" si="5"/>
        <v>0</v>
      </c>
      <c r="S59" s="85">
        <f t="shared" si="6"/>
        <v>0</v>
      </c>
      <c r="T59" s="59">
        <f t="shared" si="7"/>
        <v>0</v>
      </c>
      <c r="U59" s="59">
        <f t="shared" si="8"/>
        <v>0</v>
      </c>
      <c r="V59" s="46"/>
      <c r="W59" s="75"/>
    </row>
    <row r="60" spans="1:23" x14ac:dyDescent="0.25">
      <c r="A60" s="175"/>
      <c r="B60" s="3"/>
      <c r="C60" s="24"/>
      <c r="D60" s="270"/>
      <c r="E60" s="173"/>
      <c r="F60" s="26"/>
      <c r="G60" s="2">
        <f t="shared" si="1"/>
        <v>0</v>
      </c>
      <c r="H60" s="20">
        <f t="shared" si="2"/>
        <v>0</v>
      </c>
      <c r="I60" s="61"/>
      <c r="J60" s="210">
        <f t="shared" si="0"/>
        <v>0</v>
      </c>
      <c r="K60" s="2">
        <f t="shared" si="3"/>
        <v>0</v>
      </c>
      <c r="L60" s="2">
        <f t="shared" si="4"/>
        <v>0</v>
      </c>
      <c r="M60" s="21"/>
      <c r="N60" s="76"/>
      <c r="O60" s="3"/>
      <c r="P60" s="31"/>
      <c r="Q60" s="32">
        <f t="shared" si="9"/>
        <v>0</v>
      </c>
      <c r="R60" s="32">
        <f t="shared" si="5"/>
        <v>0</v>
      </c>
      <c r="S60" s="32">
        <f t="shared" si="6"/>
        <v>0</v>
      </c>
      <c r="T60" s="47">
        <f t="shared" si="7"/>
        <v>0</v>
      </c>
      <c r="U60" s="47">
        <f t="shared" si="8"/>
        <v>0</v>
      </c>
      <c r="V60" s="46"/>
      <c r="W60" s="75"/>
    </row>
    <row r="61" spans="1:23" x14ac:dyDescent="0.25">
      <c r="A61" s="175"/>
      <c r="B61" s="1"/>
      <c r="C61" s="19"/>
      <c r="D61" s="269"/>
      <c r="E61" s="174"/>
      <c r="F61" s="33"/>
      <c r="G61" s="62">
        <f t="shared" si="1"/>
        <v>0</v>
      </c>
      <c r="H61" s="63">
        <f t="shared" si="2"/>
        <v>0</v>
      </c>
      <c r="I61" s="61"/>
      <c r="J61" s="211">
        <f t="shared" si="0"/>
        <v>0</v>
      </c>
      <c r="K61" s="62">
        <f t="shared" si="3"/>
        <v>0</v>
      </c>
      <c r="L61" s="62">
        <f t="shared" si="4"/>
        <v>0</v>
      </c>
      <c r="M61" s="22"/>
      <c r="N61" s="76"/>
      <c r="O61" s="1"/>
      <c r="P61" s="33"/>
      <c r="Q61" s="58">
        <f t="shared" si="9"/>
        <v>0</v>
      </c>
      <c r="R61" s="85">
        <f t="shared" si="5"/>
        <v>0</v>
      </c>
      <c r="S61" s="85">
        <f t="shared" si="6"/>
        <v>0</v>
      </c>
      <c r="T61" s="59">
        <f t="shared" si="7"/>
        <v>0</v>
      </c>
      <c r="U61" s="59">
        <f t="shared" si="8"/>
        <v>0</v>
      </c>
      <c r="V61" s="46"/>
      <c r="W61" s="75"/>
    </row>
    <row r="62" spans="1:23" x14ac:dyDescent="0.25">
      <c r="A62" s="175"/>
      <c r="B62" s="3"/>
      <c r="C62" s="24"/>
      <c r="D62" s="270"/>
      <c r="E62" s="173"/>
      <c r="F62" s="26"/>
      <c r="G62" s="2">
        <f t="shared" si="1"/>
        <v>0</v>
      </c>
      <c r="H62" s="20">
        <f t="shared" si="2"/>
        <v>0</v>
      </c>
      <c r="I62" s="61"/>
      <c r="J62" s="210">
        <f t="shared" si="0"/>
        <v>0</v>
      </c>
      <c r="K62" s="2">
        <f t="shared" si="3"/>
        <v>0</v>
      </c>
      <c r="L62" s="2">
        <f t="shared" si="4"/>
        <v>0</v>
      </c>
      <c r="M62" s="21"/>
      <c r="N62" s="76"/>
      <c r="O62" s="3"/>
      <c r="P62" s="31"/>
      <c r="Q62" s="32">
        <f t="shared" si="9"/>
        <v>0</v>
      </c>
      <c r="R62" s="32">
        <f t="shared" si="5"/>
        <v>0</v>
      </c>
      <c r="S62" s="32">
        <f t="shared" si="6"/>
        <v>0</v>
      </c>
      <c r="T62" s="47">
        <f t="shared" si="7"/>
        <v>0</v>
      </c>
      <c r="U62" s="47">
        <f t="shared" si="8"/>
        <v>0</v>
      </c>
      <c r="V62" s="46"/>
      <c r="W62" s="75"/>
    </row>
    <row r="63" spans="1:23" x14ac:dyDescent="0.25">
      <c r="A63" s="175"/>
      <c r="B63" s="1"/>
      <c r="C63" s="19"/>
      <c r="D63" s="269"/>
      <c r="E63" s="174"/>
      <c r="F63" s="33"/>
      <c r="G63" s="62">
        <f t="shared" si="1"/>
        <v>0</v>
      </c>
      <c r="H63" s="63">
        <f t="shared" si="2"/>
        <v>0</v>
      </c>
      <c r="I63" s="61"/>
      <c r="J63" s="211">
        <f t="shared" si="0"/>
        <v>0</v>
      </c>
      <c r="K63" s="62">
        <f t="shared" si="3"/>
        <v>0</v>
      </c>
      <c r="L63" s="62">
        <f t="shared" si="4"/>
        <v>0</v>
      </c>
      <c r="M63" s="22"/>
      <c r="N63" s="76"/>
      <c r="O63" s="1"/>
      <c r="P63" s="33"/>
      <c r="Q63" s="58">
        <f t="shared" si="9"/>
        <v>0</v>
      </c>
      <c r="R63" s="85">
        <f t="shared" si="5"/>
        <v>0</v>
      </c>
      <c r="S63" s="85">
        <f t="shared" si="6"/>
        <v>0</v>
      </c>
      <c r="T63" s="59">
        <f t="shared" si="7"/>
        <v>0</v>
      </c>
      <c r="U63" s="59">
        <f t="shared" si="8"/>
        <v>0</v>
      </c>
      <c r="V63" s="46"/>
      <c r="W63" s="75"/>
    </row>
    <row r="64" spans="1:23" x14ac:dyDescent="0.25">
      <c r="A64" s="175"/>
      <c r="B64" s="3"/>
      <c r="C64" s="24"/>
      <c r="D64" s="270"/>
      <c r="E64" s="173"/>
      <c r="F64" s="26"/>
      <c r="G64" s="2">
        <f t="shared" si="1"/>
        <v>0</v>
      </c>
      <c r="H64" s="20">
        <f t="shared" si="2"/>
        <v>0</v>
      </c>
      <c r="I64" s="61"/>
      <c r="J64" s="210">
        <f t="shared" si="0"/>
        <v>0</v>
      </c>
      <c r="K64" s="2">
        <f t="shared" si="3"/>
        <v>0</v>
      </c>
      <c r="L64" s="2">
        <f t="shared" si="4"/>
        <v>0</v>
      </c>
      <c r="M64" s="21"/>
      <c r="N64" s="76"/>
      <c r="O64" s="3"/>
      <c r="P64" s="31"/>
      <c r="Q64" s="32">
        <f t="shared" si="9"/>
        <v>0</v>
      </c>
      <c r="R64" s="32">
        <f t="shared" si="5"/>
        <v>0</v>
      </c>
      <c r="S64" s="32">
        <f t="shared" si="6"/>
        <v>0</v>
      </c>
      <c r="T64" s="47">
        <f t="shared" si="7"/>
        <v>0</v>
      </c>
      <c r="U64" s="47">
        <f t="shared" si="8"/>
        <v>0</v>
      </c>
      <c r="V64" s="46"/>
      <c r="W64" s="75"/>
    </row>
    <row r="65" spans="1:23" x14ac:dyDescent="0.25">
      <c r="A65" s="175"/>
      <c r="B65" s="1"/>
      <c r="C65" s="19"/>
      <c r="D65" s="269"/>
      <c r="E65" s="174"/>
      <c r="F65" s="33"/>
      <c r="G65" s="62">
        <f t="shared" si="1"/>
        <v>0</v>
      </c>
      <c r="H65" s="63">
        <f t="shared" si="2"/>
        <v>0</v>
      </c>
      <c r="I65" s="61"/>
      <c r="J65" s="211">
        <f t="shared" si="0"/>
        <v>0</v>
      </c>
      <c r="K65" s="62">
        <f t="shared" si="3"/>
        <v>0</v>
      </c>
      <c r="L65" s="62">
        <f t="shared" si="4"/>
        <v>0</v>
      </c>
      <c r="M65" s="22"/>
      <c r="N65" s="76"/>
      <c r="O65" s="1"/>
      <c r="P65" s="33"/>
      <c r="Q65" s="58">
        <f t="shared" si="9"/>
        <v>0</v>
      </c>
      <c r="R65" s="85">
        <f t="shared" si="5"/>
        <v>0</v>
      </c>
      <c r="S65" s="85">
        <f t="shared" si="6"/>
        <v>0</v>
      </c>
      <c r="T65" s="59">
        <f t="shared" si="7"/>
        <v>0</v>
      </c>
      <c r="U65" s="59">
        <f t="shared" si="8"/>
        <v>0</v>
      </c>
      <c r="V65" s="46"/>
      <c r="W65" s="75"/>
    </row>
    <row r="66" spans="1:23" x14ac:dyDescent="0.25">
      <c r="A66" s="175"/>
      <c r="B66" s="3"/>
      <c r="C66" s="24"/>
      <c r="D66" s="270"/>
      <c r="E66" s="173"/>
      <c r="F66" s="26"/>
      <c r="G66" s="2">
        <f t="shared" si="1"/>
        <v>0</v>
      </c>
      <c r="H66" s="20">
        <f t="shared" si="2"/>
        <v>0</v>
      </c>
      <c r="I66" s="61"/>
      <c r="J66" s="210">
        <f t="shared" si="0"/>
        <v>0</v>
      </c>
      <c r="K66" s="2">
        <f t="shared" si="3"/>
        <v>0</v>
      </c>
      <c r="L66" s="2">
        <f t="shared" si="4"/>
        <v>0</v>
      </c>
      <c r="M66" s="21"/>
      <c r="N66" s="76"/>
      <c r="O66" s="3"/>
      <c r="P66" s="31"/>
      <c r="Q66" s="32">
        <f t="shared" si="9"/>
        <v>0</v>
      </c>
      <c r="R66" s="32">
        <f t="shared" si="5"/>
        <v>0</v>
      </c>
      <c r="S66" s="32">
        <f t="shared" si="6"/>
        <v>0</v>
      </c>
      <c r="T66" s="47">
        <f t="shared" si="7"/>
        <v>0</v>
      </c>
      <c r="U66" s="47">
        <f t="shared" si="8"/>
        <v>0</v>
      </c>
      <c r="V66" s="46"/>
      <c r="W66" s="75"/>
    </row>
    <row r="67" spans="1:23" x14ac:dyDescent="0.25">
      <c r="A67" s="175"/>
      <c r="B67" s="1"/>
      <c r="C67" s="19"/>
      <c r="D67" s="269"/>
      <c r="E67" s="174"/>
      <c r="F67" s="33"/>
      <c r="G67" s="62">
        <f t="shared" si="1"/>
        <v>0</v>
      </c>
      <c r="H67" s="63">
        <f t="shared" si="2"/>
        <v>0</v>
      </c>
      <c r="I67" s="61"/>
      <c r="J67" s="211">
        <f t="shared" si="0"/>
        <v>0</v>
      </c>
      <c r="K67" s="62">
        <f t="shared" si="3"/>
        <v>0</v>
      </c>
      <c r="L67" s="62">
        <f t="shared" si="4"/>
        <v>0</v>
      </c>
      <c r="M67" s="22"/>
      <c r="N67" s="76"/>
      <c r="O67" s="1"/>
      <c r="P67" s="33"/>
      <c r="Q67" s="58">
        <f t="shared" si="9"/>
        <v>0</v>
      </c>
      <c r="R67" s="85">
        <f t="shared" si="5"/>
        <v>0</v>
      </c>
      <c r="S67" s="85">
        <f t="shared" si="6"/>
        <v>0</v>
      </c>
      <c r="T67" s="59">
        <f t="shared" si="7"/>
        <v>0</v>
      </c>
      <c r="U67" s="59">
        <f t="shared" si="8"/>
        <v>0</v>
      </c>
      <c r="V67" s="46"/>
      <c r="W67" s="75"/>
    </row>
    <row r="68" spans="1:23" x14ac:dyDescent="0.25">
      <c r="A68" s="175"/>
      <c r="B68" s="3"/>
      <c r="C68" s="24"/>
      <c r="D68" s="270"/>
      <c r="E68" s="173"/>
      <c r="F68" s="26"/>
      <c r="G68" s="2">
        <f t="shared" si="1"/>
        <v>0</v>
      </c>
      <c r="H68" s="20">
        <f t="shared" si="2"/>
        <v>0</v>
      </c>
      <c r="I68" s="61"/>
      <c r="J68" s="210">
        <f t="shared" si="0"/>
        <v>0</v>
      </c>
      <c r="K68" s="2">
        <f t="shared" si="3"/>
        <v>0</v>
      </c>
      <c r="L68" s="2">
        <f t="shared" si="4"/>
        <v>0</v>
      </c>
      <c r="M68" s="21"/>
      <c r="N68" s="76"/>
      <c r="O68" s="3"/>
      <c r="P68" s="31"/>
      <c r="Q68" s="32">
        <f t="shared" si="9"/>
        <v>0</v>
      </c>
      <c r="R68" s="32">
        <f t="shared" si="5"/>
        <v>0</v>
      </c>
      <c r="S68" s="32">
        <f t="shared" si="6"/>
        <v>0</v>
      </c>
      <c r="T68" s="47">
        <f t="shared" si="7"/>
        <v>0</v>
      </c>
      <c r="U68" s="47">
        <f t="shared" si="8"/>
        <v>0</v>
      </c>
      <c r="V68" s="46"/>
      <c r="W68" s="75"/>
    </row>
    <row r="69" spans="1:23" x14ac:dyDescent="0.25">
      <c r="A69" s="175"/>
      <c r="B69" s="1"/>
      <c r="C69" s="19"/>
      <c r="D69" s="269"/>
      <c r="E69" s="174"/>
      <c r="F69" s="33"/>
      <c r="G69" s="62">
        <f t="shared" si="1"/>
        <v>0</v>
      </c>
      <c r="H69" s="63">
        <f t="shared" si="2"/>
        <v>0</v>
      </c>
      <c r="I69" s="61"/>
      <c r="J69" s="211">
        <f t="shared" si="0"/>
        <v>0</v>
      </c>
      <c r="K69" s="62">
        <f t="shared" si="3"/>
        <v>0</v>
      </c>
      <c r="L69" s="62">
        <f t="shared" si="4"/>
        <v>0</v>
      </c>
      <c r="M69" s="22"/>
      <c r="N69" s="76"/>
      <c r="O69" s="1"/>
      <c r="P69" s="33"/>
      <c r="Q69" s="58">
        <f t="shared" si="9"/>
        <v>0</v>
      </c>
      <c r="R69" s="85">
        <f t="shared" si="5"/>
        <v>0</v>
      </c>
      <c r="S69" s="85">
        <f t="shared" si="6"/>
        <v>0</v>
      </c>
      <c r="T69" s="59">
        <f t="shared" si="7"/>
        <v>0</v>
      </c>
      <c r="U69" s="59">
        <f t="shared" si="8"/>
        <v>0</v>
      </c>
      <c r="V69" s="46"/>
      <c r="W69" s="75"/>
    </row>
    <row r="70" spans="1:23" x14ac:dyDescent="0.25">
      <c r="A70" s="175"/>
      <c r="B70" s="3"/>
      <c r="C70" s="24"/>
      <c r="D70" s="270"/>
      <c r="E70" s="173"/>
      <c r="F70" s="26"/>
      <c r="G70" s="2">
        <f t="shared" si="1"/>
        <v>0</v>
      </c>
      <c r="H70" s="20">
        <f t="shared" si="2"/>
        <v>0</v>
      </c>
      <c r="I70" s="61"/>
      <c r="J70" s="210">
        <f t="shared" si="0"/>
        <v>0</v>
      </c>
      <c r="K70" s="2">
        <f t="shared" si="3"/>
        <v>0</v>
      </c>
      <c r="L70" s="2">
        <f t="shared" si="4"/>
        <v>0</v>
      </c>
      <c r="M70" s="21"/>
      <c r="N70" s="76"/>
      <c r="O70" s="3"/>
      <c r="P70" s="31"/>
      <c r="Q70" s="32">
        <f t="shared" si="9"/>
        <v>0</v>
      </c>
      <c r="R70" s="32">
        <f t="shared" si="5"/>
        <v>0</v>
      </c>
      <c r="S70" s="32">
        <f t="shared" si="6"/>
        <v>0</v>
      </c>
      <c r="T70" s="47">
        <f t="shared" si="7"/>
        <v>0</v>
      </c>
      <c r="U70" s="47">
        <f t="shared" si="8"/>
        <v>0</v>
      </c>
      <c r="V70" s="46"/>
      <c r="W70" s="75"/>
    </row>
    <row r="71" spans="1:23" x14ac:dyDescent="0.25">
      <c r="A71" s="175"/>
      <c r="B71" s="1"/>
      <c r="C71" s="19"/>
      <c r="D71" s="269"/>
      <c r="E71" s="174"/>
      <c r="F71" s="33"/>
      <c r="G71" s="62">
        <f t="shared" si="1"/>
        <v>0</v>
      </c>
      <c r="H71" s="63">
        <f t="shared" si="2"/>
        <v>0</v>
      </c>
      <c r="I71" s="61"/>
      <c r="J71" s="211">
        <f t="shared" si="0"/>
        <v>0</v>
      </c>
      <c r="K71" s="62">
        <f t="shared" si="3"/>
        <v>0</v>
      </c>
      <c r="L71" s="62">
        <f t="shared" si="4"/>
        <v>0</v>
      </c>
      <c r="M71" s="22"/>
      <c r="N71" s="76"/>
      <c r="O71" s="1"/>
      <c r="P71" s="33"/>
      <c r="Q71" s="58">
        <f t="shared" si="9"/>
        <v>0</v>
      </c>
      <c r="R71" s="85">
        <f t="shared" si="5"/>
        <v>0</v>
      </c>
      <c r="S71" s="85">
        <f t="shared" si="6"/>
        <v>0</v>
      </c>
      <c r="T71" s="59">
        <f t="shared" si="7"/>
        <v>0</v>
      </c>
      <c r="U71" s="59">
        <f t="shared" si="8"/>
        <v>0</v>
      </c>
      <c r="V71" s="46"/>
      <c r="W71" s="75"/>
    </row>
    <row r="72" spans="1:23" x14ac:dyDescent="0.25">
      <c r="A72" s="175"/>
      <c r="B72" s="3"/>
      <c r="C72" s="24"/>
      <c r="D72" s="270"/>
      <c r="E72" s="173"/>
      <c r="F72" s="26"/>
      <c r="G72" s="2">
        <f t="shared" si="1"/>
        <v>0</v>
      </c>
      <c r="H72" s="20">
        <f t="shared" si="2"/>
        <v>0</v>
      </c>
      <c r="I72" s="61"/>
      <c r="J72" s="210">
        <f t="shared" si="0"/>
        <v>0</v>
      </c>
      <c r="K72" s="2">
        <f t="shared" si="3"/>
        <v>0</v>
      </c>
      <c r="L72" s="2">
        <f t="shared" si="4"/>
        <v>0</v>
      </c>
      <c r="M72" s="21"/>
      <c r="N72" s="76"/>
      <c r="O72" s="3"/>
      <c r="P72" s="31"/>
      <c r="Q72" s="32">
        <f t="shared" si="9"/>
        <v>0</v>
      </c>
      <c r="R72" s="32">
        <f t="shared" si="5"/>
        <v>0</v>
      </c>
      <c r="S72" s="32">
        <f t="shared" si="6"/>
        <v>0</v>
      </c>
      <c r="T72" s="47">
        <f t="shared" si="7"/>
        <v>0</v>
      </c>
      <c r="U72" s="47">
        <f t="shared" si="8"/>
        <v>0</v>
      </c>
      <c r="V72" s="46"/>
      <c r="W72" s="75"/>
    </row>
    <row r="73" spans="1:23" x14ac:dyDescent="0.25">
      <c r="A73" s="175"/>
      <c r="B73" s="1"/>
      <c r="C73" s="19"/>
      <c r="D73" s="269"/>
      <c r="E73" s="174"/>
      <c r="F73" s="33"/>
      <c r="G73" s="62">
        <f t="shared" si="1"/>
        <v>0</v>
      </c>
      <c r="H73" s="63">
        <f t="shared" si="2"/>
        <v>0</v>
      </c>
      <c r="I73" s="61"/>
      <c r="J73" s="211">
        <f t="shared" si="0"/>
        <v>0</v>
      </c>
      <c r="K73" s="62">
        <f t="shared" si="3"/>
        <v>0</v>
      </c>
      <c r="L73" s="62">
        <f t="shared" si="4"/>
        <v>0</v>
      </c>
      <c r="M73" s="22"/>
      <c r="N73" s="76"/>
      <c r="O73" s="1"/>
      <c r="P73" s="33"/>
      <c r="Q73" s="58">
        <f t="shared" si="9"/>
        <v>0</v>
      </c>
      <c r="R73" s="85">
        <f t="shared" si="5"/>
        <v>0</v>
      </c>
      <c r="S73" s="85">
        <f t="shared" si="6"/>
        <v>0</v>
      </c>
      <c r="T73" s="59">
        <f t="shared" si="7"/>
        <v>0</v>
      </c>
      <c r="U73" s="59">
        <f t="shared" si="8"/>
        <v>0</v>
      </c>
      <c r="V73" s="46"/>
      <c r="W73" s="75"/>
    </row>
    <row r="74" spans="1:23" x14ac:dyDescent="0.25">
      <c r="A74" s="175"/>
      <c r="B74" s="3"/>
      <c r="C74" s="24"/>
      <c r="D74" s="270"/>
      <c r="E74" s="173"/>
      <c r="F74" s="26"/>
      <c r="G74" s="2">
        <f t="shared" si="1"/>
        <v>0</v>
      </c>
      <c r="H74" s="20">
        <f t="shared" si="2"/>
        <v>0</v>
      </c>
      <c r="I74" s="61"/>
      <c r="J74" s="210">
        <f t="shared" si="0"/>
        <v>0</v>
      </c>
      <c r="K74" s="2">
        <f t="shared" si="3"/>
        <v>0</v>
      </c>
      <c r="L74" s="2">
        <f t="shared" si="4"/>
        <v>0</v>
      </c>
      <c r="M74" s="21"/>
      <c r="N74" s="76"/>
      <c r="O74" s="3"/>
      <c r="P74" s="31"/>
      <c r="Q74" s="32">
        <f t="shared" si="9"/>
        <v>0</v>
      </c>
      <c r="R74" s="32">
        <f t="shared" si="5"/>
        <v>0</v>
      </c>
      <c r="S74" s="32">
        <f t="shared" si="6"/>
        <v>0</v>
      </c>
      <c r="T74" s="47">
        <f t="shared" si="7"/>
        <v>0</v>
      </c>
      <c r="U74" s="47">
        <f t="shared" si="8"/>
        <v>0</v>
      </c>
      <c r="V74" s="46"/>
      <c r="W74" s="75"/>
    </row>
    <row r="75" spans="1:23" x14ac:dyDescent="0.25">
      <c r="A75" s="175"/>
      <c r="B75" s="1"/>
      <c r="C75" s="19"/>
      <c r="D75" s="269"/>
      <c r="E75" s="174"/>
      <c r="F75" s="33"/>
      <c r="G75" s="62">
        <f t="shared" si="1"/>
        <v>0</v>
      </c>
      <c r="H75" s="63">
        <f t="shared" si="2"/>
        <v>0</v>
      </c>
      <c r="I75" s="61"/>
      <c r="J75" s="211">
        <f t="shared" si="0"/>
        <v>0</v>
      </c>
      <c r="K75" s="62">
        <f t="shared" si="3"/>
        <v>0</v>
      </c>
      <c r="L75" s="62">
        <f t="shared" si="4"/>
        <v>0</v>
      </c>
      <c r="M75" s="22"/>
      <c r="N75" s="76"/>
      <c r="O75" s="1"/>
      <c r="P75" s="33"/>
      <c r="Q75" s="58">
        <f t="shared" si="9"/>
        <v>0</v>
      </c>
      <c r="R75" s="85">
        <f t="shared" si="5"/>
        <v>0</v>
      </c>
      <c r="S75" s="85">
        <f t="shared" si="6"/>
        <v>0</v>
      </c>
      <c r="T75" s="59">
        <f t="shared" si="7"/>
        <v>0</v>
      </c>
      <c r="U75" s="59">
        <f t="shared" si="8"/>
        <v>0</v>
      </c>
      <c r="V75" s="46"/>
      <c r="W75" s="75"/>
    </row>
    <row r="76" spans="1:23" x14ac:dyDescent="0.25">
      <c r="A76" s="175"/>
      <c r="B76" s="3"/>
      <c r="C76" s="24"/>
      <c r="D76" s="270"/>
      <c r="E76" s="173"/>
      <c r="F76" s="26"/>
      <c r="G76" s="2">
        <f t="shared" si="1"/>
        <v>0</v>
      </c>
      <c r="H76" s="20">
        <f t="shared" si="2"/>
        <v>0</v>
      </c>
      <c r="I76" s="61"/>
      <c r="J76" s="210">
        <f t="shared" si="0"/>
        <v>0</v>
      </c>
      <c r="K76" s="2">
        <f t="shared" si="3"/>
        <v>0</v>
      </c>
      <c r="L76" s="2">
        <f t="shared" si="4"/>
        <v>0</v>
      </c>
      <c r="M76" s="21"/>
      <c r="N76" s="76"/>
      <c r="O76" s="3"/>
      <c r="P76" s="31"/>
      <c r="Q76" s="32">
        <f t="shared" si="9"/>
        <v>0</v>
      </c>
      <c r="R76" s="32">
        <f t="shared" si="5"/>
        <v>0</v>
      </c>
      <c r="S76" s="32">
        <f t="shared" si="6"/>
        <v>0</v>
      </c>
      <c r="T76" s="47">
        <f t="shared" si="7"/>
        <v>0</v>
      </c>
      <c r="U76" s="47">
        <f t="shared" si="8"/>
        <v>0</v>
      </c>
      <c r="V76" s="46"/>
      <c r="W76" s="75"/>
    </row>
    <row r="77" spans="1:23" x14ac:dyDescent="0.25">
      <c r="A77" s="175"/>
      <c r="B77" s="1"/>
      <c r="C77" s="19"/>
      <c r="D77" s="269"/>
      <c r="E77" s="174"/>
      <c r="F77" s="33"/>
      <c r="G77" s="62">
        <f t="shared" si="1"/>
        <v>0</v>
      </c>
      <c r="H77" s="63">
        <f t="shared" si="2"/>
        <v>0</v>
      </c>
      <c r="I77" s="61"/>
      <c r="J77" s="211">
        <f t="shared" si="0"/>
        <v>0</v>
      </c>
      <c r="K77" s="62">
        <f t="shared" si="3"/>
        <v>0</v>
      </c>
      <c r="L77" s="62">
        <f t="shared" si="4"/>
        <v>0</v>
      </c>
      <c r="M77" s="22"/>
      <c r="N77" s="76"/>
      <c r="O77" s="1"/>
      <c r="P77" s="33"/>
      <c r="Q77" s="58">
        <f t="shared" si="9"/>
        <v>0</v>
      </c>
      <c r="R77" s="85">
        <f t="shared" si="5"/>
        <v>0</v>
      </c>
      <c r="S77" s="85">
        <f t="shared" si="6"/>
        <v>0</v>
      </c>
      <c r="T77" s="59">
        <f t="shared" si="7"/>
        <v>0</v>
      </c>
      <c r="U77" s="59">
        <f t="shared" si="8"/>
        <v>0</v>
      </c>
      <c r="V77" s="46"/>
      <c r="W77" s="75"/>
    </row>
    <row r="78" spans="1:23" x14ac:dyDescent="0.25">
      <c r="A78" s="175"/>
      <c r="B78" s="3"/>
      <c r="C78" s="24"/>
      <c r="D78" s="270"/>
      <c r="E78" s="173"/>
      <c r="F78" s="26"/>
      <c r="G78" s="2">
        <f t="shared" si="1"/>
        <v>0</v>
      </c>
      <c r="H78" s="20">
        <f t="shared" si="2"/>
        <v>0</v>
      </c>
      <c r="I78" s="61"/>
      <c r="J78" s="210">
        <f t="shared" si="0"/>
        <v>0</v>
      </c>
      <c r="K78" s="2">
        <f t="shared" si="3"/>
        <v>0</v>
      </c>
      <c r="L78" s="2">
        <f t="shared" si="4"/>
        <v>0</v>
      </c>
      <c r="M78" s="21"/>
      <c r="N78" s="76"/>
      <c r="O78" s="3"/>
      <c r="P78" s="31"/>
      <c r="Q78" s="32">
        <f t="shared" si="9"/>
        <v>0</v>
      </c>
      <c r="R78" s="32">
        <f t="shared" si="5"/>
        <v>0</v>
      </c>
      <c r="S78" s="32">
        <f t="shared" si="6"/>
        <v>0</v>
      </c>
      <c r="T78" s="47">
        <f t="shared" si="7"/>
        <v>0</v>
      </c>
      <c r="U78" s="47">
        <f t="shared" si="8"/>
        <v>0</v>
      </c>
      <c r="V78" s="46"/>
      <c r="W78" s="75"/>
    </row>
    <row r="79" spans="1:23" x14ac:dyDescent="0.25">
      <c r="A79" s="175"/>
      <c r="B79" s="1"/>
      <c r="C79" s="19"/>
      <c r="D79" s="269"/>
      <c r="E79" s="174"/>
      <c r="F79" s="33"/>
      <c r="G79" s="62">
        <f t="shared" si="1"/>
        <v>0</v>
      </c>
      <c r="H79" s="63">
        <f t="shared" si="2"/>
        <v>0</v>
      </c>
      <c r="I79" s="61"/>
      <c r="J79" s="211">
        <f t="shared" si="0"/>
        <v>0</v>
      </c>
      <c r="K79" s="62">
        <f t="shared" si="3"/>
        <v>0</v>
      </c>
      <c r="L79" s="62">
        <f t="shared" si="4"/>
        <v>0</v>
      </c>
      <c r="M79" s="22"/>
      <c r="N79" s="76"/>
      <c r="O79" s="1"/>
      <c r="P79" s="33"/>
      <c r="Q79" s="58">
        <f t="shared" si="9"/>
        <v>0</v>
      </c>
      <c r="R79" s="85">
        <f t="shared" si="5"/>
        <v>0</v>
      </c>
      <c r="S79" s="85">
        <f t="shared" si="6"/>
        <v>0</v>
      </c>
      <c r="T79" s="59">
        <f t="shared" si="7"/>
        <v>0</v>
      </c>
      <c r="U79" s="59">
        <f t="shared" si="8"/>
        <v>0</v>
      </c>
      <c r="V79" s="46"/>
      <c r="W79" s="75"/>
    </row>
    <row r="80" spans="1:23" x14ac:dyDescent="0.25">
      <c r="A80" s="175"/>
      <c r="B80" s="3"/>
      <c r="C80" s="24"/>
      <c r="D80" s="270"/>
      <c r="E80" s="173"/>
      <c r="F80" s="26"/>
      <c r="G80" s="2">
        <f t="shared" si="1"/>
        <v>0</v>
      </c>
      <c r="H80" s="20">
        <f t="shared" si="2"/>
        <v>0</v>
      </c>
      <c r="I80" s="61"/>
      <c r="J80" s="210">
        <f t="shared" si="0"/>
        <v>0</v>
      </c>
      <c r="K80" s="2">
        <f t="shared" si="3"/>
        <v>0</v>
      </c>
      <c r="L80" s="2">
        <f t="shared" si="4"/>
        <v>0</v>
      </c>
      <c r="M80" s="21"/>
      <c r="N80" s="76"/>
      <c r="O80" s="3"/>
      <c r="P80" s="31"/>
      <c r="Q80" s="32">
        <f t="shared" si="9"/>
        <v>0</v>
      </c>
      <c r="R80" s="32">
        <f t="shared" si="5"/>
        <v>0</v>
      </c>
      <c r="S80" s="32">
        <f t="shared" si="6"/>
        <v>0</v>
      </c>
      <c r="T80" s="47">
        <f t="shared" si="7"/>
        <v>0</v>
      </c>
      <c r="U80" s="47">
        <f t="shared" si="8"/>
        <v>0</v>
      </c>
      <c r="V80" s="46"/>
      <c r="W80" s="75"/>
    </row>
    <row r="81" spans="1:23" x14ac:dyDescent="0.25">
      <c r="A81" s="175"/>
      <c r="B81" s="1"/>
      <c r="C81" s="19"/>
      <c r="D81" s="269"/>
      <c r="E81" s="174"/>
      <c r="F81" s="33"/>
      <c r="G81" s="62">
        <f t="shared" si="1"/>
        <v>0</v>
      </c>
      <c r="H81" s="63">
        <f t="shared" si="2"/>
        <v>0</v>
      </c>
      <c r="I81" s="61"/>
      <c r="J81" s="211">
        <f t="shared" si="0"/>
        <v>0</v>
      </c>
      <c r="K81" s="62">
        <f t="shared" si="3"/>
        <v>0</v>
      </c>
      <c r="L81" s="62">
        <f t="shared" si="4"/>
        <v>0</v>
      </c>
      <c r="M81" s="22"/>
      <c r="N81" s="76"/>
      <c r="O81" s="1"/>
      <c r="P81" s="33"/>
      <c r="Q81" s="58">
        <f t="shared" si="9"/>
        <v>0</v>
      </c>
      <c r="R81" s="85">
        <f t="shared" si="5"/>
        <v>0</v>
      </c>
      <c r="S81" s="85">
        <f t="shared" si="6"/>
        <v>0</v>
      </c>
      <c r="T81" s="59">
        <f t="shared" si="7"/>
        <v>0</v>
      </c>
      <c r="U81" s="59">
        <f t="shared" si="8"/>
        <v>0</v>
      </c>
      <c r="V81" s="46"/>
      <c r="W81" s="75"/>
    </row>
    <row r="82" spans="1:23" x14ac:dyDescent="0.25">
      <c r="A82" s="175"/>
      <c r="B82" s="3"/>
      <c r="C82" s="24"/>
      <c r="D82" s="270"/>
      <c r="E82" s="173"/>
      <c r="F82" s="26"/>
      <c r="G82" s="2">
        <f t="shared" si="1"/>
        <v>0</v>
      </c>
      <c r="H82" s="20">
        <f t="shared" si="2"/>
        <v>0</v>
      </c>
      <c r="I82" s="61"/>
      <c r="J82" s="210">
        <f t="shared" ref="J82:J128" si="10">E82</f>
        <v>0</v>
      </c>
      <c r="K82" s="2">
        <f t="shared" si="3"/>
        <v>0</v>
      </c>
      <c r="L82" s="2">
        <f t="shared" si="4"/>
        <v>0</v>
      </c>
      <c r="M82" s="21"/>
      <c r="N82" s="76"/>
      <c r="O82" s="3"/>
      <c r="P82" s="31"/>
      <c r="Q82" s="32">
        <f t="shared" si="9"/>
        <v>0</v>
      </c>
      <c r="R82" s="32">
        <f t="shared" si="5"/>
        <v>0</v>
      </c>
      <c r="S82" s="32">
        <f t="shared" si="6"/>
        <v>0</v>
      </c>
      <c r="T82" s="47">
        <f t="shared" si="7"/>
        <v>0</v>
      </c>
      <c r="U82" s="47">
        <f t="shared" si="8"/>
        <v>0</v>
      </c>
      <c r="V82" s="46"/>
      <c r="W82" s="75"/>
    </row>
    <row r="83" spans="1:23" x14ac:dyDescent="0.25">
      <c r="A83" s="175"/>
      <c r="B83" s="1"/>
      <c r="C83" s="19"/>
      <c r="D83" s="269"/>
      <c r="E83" s="174"/>
      <c r="F83" s="33"/>
      <c r="G83" s="62">
        <f t="shared" ref="G83:G128" si="11">ROUND(IF($F$17="USD $", F83*$E$15,F83*$D$15),2)</f>
        <v>0</v>
      </c>
      <c r="H83" s="63">
        <f t="shared" ref="H83:H128" si="12">ROUND(IF($H$17=$G$17,E83*G83,E83*F83),2)</f>
        <v>0</v>
      </c>
      <c r="I83" s="61"/>
      <c r="J83" s="211">
        <f t="shared" si="10"/>
        <v>0</v>
      </c>
      <c r="K83" s="62">
        <f t="shared" ref="K83:K128" si="13">ROUND(IF($K$17=$F$17,F83*($L$14-M83),G83*($L$14-M83)),2)</f>
        <v>0</v>
      </c>
      <c r="L83" s="62">
        <f t="shared" ref="L83:L128" si="14">ROUND((J83*K83),2)</f>
        <v>0</v>
      </c>
      <c r="M83" s="22"/>
      <c r="N83" s="76"/>
      <c r="O83" s="1"/>
      <c r="P83" s="33"/>
      <c r="Q83" s="58">
        <f t="shared" si="9"/>
        <v>0</v>
      </c>
      <c r="R83" s="85">
        <f t="shared" ref="R83:R128" si="15">IFERROR(ROUND(S83/E83,2),0)</f>
        <v>0</v>
      </c>
      <c r="S83" s="85">
        <f t="shared" ref="S83:S128" si="16">ROUND(L83-Q83,2)</f>
        <v>0</v>
      </c>
      <c r="T83" s="59">
        <f t="shared" ref="T83:T128" si="17">IFERROR(((K83-(Q83/J83))/(Q83/J83)),0)</f>
        <v>0</v>
      </c>
      <c r="U83" s="59">
        <f t="shared" ref="U83:U128" si="18">IFERROR(((K83-(Q83/J83))/K83),0)</f>
        <v>0</v>
      </c>
      <c r="V83" s="46"/>
      <c r="W83" s="75"/>
    </row>
    <row r="84" spans="1:23" x14ac:dyDescent="0.25">
      <c r="A84" s="175"/>
      <c r="B84" s="3"/>
      <c r="C84" s="24"/>
      <c r="D84" s="270"/>
      <c r="E84" s="173"/>
      <c r="F84" s="26"/>
      <c r="G84" s="2">
        <f t="shared" si="11"/>
        <v>0</v>
      </c>
      <c r="H84" s="20">
        <f t="shared" si="12"/>
        <v>0</v>
      </c>
      <c r="I84" s="61"/>
      <c r="J84" s="210">
        <f t="shared" si="10"/>
        <v>0</v>
      </c>
      <c r="K84" s="2">
        <f t="shared" si="13"/>
        <v>0</v>
      </c>
      <c r="L84" s="2">
        <f t="shared" si="14"/>
        <v>0</v>
      </c>
      <c r="M84" s="21"/>
      <c r="N84" s="76"/>
      <c r="O84" s="3"/>
      <c r="P84" s="31"/>
      <c r="Q84" s="32">
        <f t="shared" ref="Q84:Q128" si="19">ROUND(IF($Q$17=$P$17,P84,IF($Q$17="USD $",P84*$D$15,P84*$E$15))*E84,2)</f>
        <v>0</v>
      </c>
      <c r="R84" s="32">
        <f t="shared" si="15"/>
        <v>0</v>
      </c>
      <c r="S84" s="32">
        <f t="shared" si="16"/>
        <v>0</v>
      </c>
      <c r="T84" s="47">
        <f t="shared" si="17"/>
        <v>0</v>
      </c>
      <c r="U84" s="47">
        <f t="shared" si="18"/>
        <v>0</v>
      </c>
      <c r="V84" s="46"/>
      <c r="W84" s="75"/>
    </row>
    <row r="85" spans="1:23" x14ac:dyDescent="0.25">
      <c r="A85" s="175"/>
      <c r="B85" s="1"/>
      <c r="C85" s="19"/>
      <c r="D85" s="269"/>
      <c r="E85" s="174"/>
      <c r="F85" s="33"/>
      <c r="G85" s="62">
        <f t="shared" si="11"/>
        <v>0</v>
      </c>
      <c r="H85" s="63">
        <f t="shared" si="12"/>
        <v>0</v>
      </c>
      <c r="I85" s="61"/>
      <c r="J85" s="211">
        <f t="shared" si="10"/>
        <v>0</v>
      </c>
      <c r="K85" s="62">
        <f t="shared" si="13"/>
        <v>0</v>
      </c>
      <c r="L85" s="62">
        <f t="shared" si="14"/>
        <v>0</v>
      </c>
      <c r="M85" s="22"/>
      <c r="N85" s="76"/>
      <c r="O85" s="1"/>
      <c r="P85" s="33"/>
      <c r="Q85" s="58">
        <f t="shared" si="19"/>
        <v>0</v>
      </c>
      <c r="R85" s="85">
        <f t="shared" si="15"/>
        <v>0</v>
      </c>
      <c r="S85" s="85">
        <f t="shared" si="16"/>
        <v>0</v>
      </c>
      <c r="T85" s="59">
        <f t="shared" si="17"/>
        <v>0</v>
      </c>
      <c r="U85" s="59">
        <f t="shared" si="18"/>
        <v>0</v>
      </c>
      <c r="V85" s="46"/>
      <c r="W85" s="75"/>
    </row>
    <row r="86" spans="1:23" x14ac:dyDescent="0.25">
      <c r="A86" s="175"/>
      <c r="B86" s="3"/>
      <c r="C86" s="24"/>
      <c r="D86" s="270"/>
      <c r="E86" s="173"/>
      <c r="F86" s="26"/>
      <c r="G86" s="2">
        <f t="shared" si="11"/>
        <v>0</v>
      </c>
      <c r="H86" s="20">
        <f t="shared" si="12"/>
        <v>0</v>
      </c>
      <c r="I86" s="61"/>
      <c r="J86" s="210">
        <f t="shared" si="10"/>
        <v>0</v>
      </c>
      <c r="K86" s="2">
        <f t="shared" si="13"/>
        <v>0</v>
      </c>
      <c r="L86" s="2">
        <f t="shared" si="14"/>
        <v>0</v>
      </c>
      <c r="M86" s="21"/>
      <c r="N86" s="76"/>
      <c r="O86" s="3"/>
      <c r="P86" s="31"/>
      <c r="Q86" s="32">
        <f t="shared" si="19"/>
        <v>0</v>
      </c>
      <c r="R86" s="32">
        <f t="shared" si="15"/>
        <v>0</v>
      </c>
      <c r="S86" s="32">
        <f t="shared" si="16"/>
        <v>0</v>
      </c>
      <c r="T86" s="47">
        <f t="shared" si="17"/>
        <v>0</v>
      </c>
      <c r="U86" s="47">
        <f t="shared" si="18"/>
        <v>0</v>
      </c>
      <c r="V86" s="46"/>
      <c r="W86" s="75"/>
    </row>
    <row r="87" spans="1:23" x14ac:dyDescent="0.25">
      <c r="A87" s="175"/>
      <c r="B87" s="1"/>
      <c r="C87" s="19"/>
      <c r="D87" s="269"/>
      <c r="E87" s="174"/>
      <c r="F87" s="33"/>
      <c r="G87" s="62">
        <f t="shared" si="11"/>
        <v>0</v>
      </c>
      <c r="H87" s="63">
        <f t="shared" si="12"/>
        <v>0</v>
      </c>
      <c r="I87" s="61"/>
      <c r="J87" s="211">
        <f t="shared" si="10"/>
        <v>0</v>
      </c>
      <c r="K87" s="62">
        <f t="shared" si="13"/>
        <v>0</v>
      </c>
      <c r="L87" s="62">
        <f t="shared" si="14"/>
        <v>0</v>
      </c>
      <c r="M87" s="22"/>
      <c r="N87" s="76"/>
      <c r="O87" s="1"/>
      <c r="P87" s="33"/>
      <c r="Q87" s="58">
        <f t="shared" si="19"/>
        <v>0</v>
      </c>
      <c r="R87" s="85">
        <f t="shared" si="15"/>
        <v>0</v>
      </c>
      <c r="S87" s="85">
        <f t="shared" si="16"/>
        <v>0</v>
      </c>
      <c r="T87" s="59">
        <f t="shared" si="17"/>
        <v>0</v>
      </c>
      <c r="U87" s="59">
        <f t="shared" si="18"/>
        <v>0</v>
      </c>
      <c r="V87" s="46"/>
      <c r="W87" s="75"/>
    </row>
    <row r="88" spans="1:23" x14ac:dyDescent="0.25">
      <c r="A88" s="175"/>
      <c r="B88" s="3"/>
      <c r="C88" s="24"/>
      <c r="D88" s="270"/>
      <c r="E88" s="173"/>
      <c r="F88" s="26"/>
      <c r="G88" s="2">
        <f t="shared" si="11"/>
        <v>0</v>
      </c>
      <c r="H88" s="20">
        <f t="shared" si="12"/>
        <v>0</v>
      </c>
      <c r="I88" s="61"/>
      <c r="J88" s="210">
        <f t="shared" si="10"/>
        <v>0</v>
      </c>
      <c r="K88" s="2">
        <f t="shared" si="13"/>
        <v>0</v>
      </c>
      <c r="L88" s="2">
        <f t="shared" si="14"/>
        <v>0</v>
      </c>
      <c r="M88" s="21"/>
      <c r="N88" s="76"/>
      <c r="O88" s="3"/>
      <c r="P88" s="31"/>
      <c r="Q88" s="32">
        <f t="shared" si="19"/>
        <v>0</v>
      </c>
      <c r="R88" s="32">
        <f t="shared" si="15"/>
        <v>0</v>
      </c>
      <c r="S88" s="32">
        <f t="shared" si="16"/>
        <v>0</v>
      </c>
      <c r="T88" s="47">
        <f t="shared" si="17"/>
        <v>0</v>
      </c>
      <c r="U88" s="47">
        <f t="shared" si="18"/>
        <v>0</v>
      </c>
      <c r="V88" s="46"/>
      <c r="W88" s="75"/>
    </row>
    <row r="89" spans="1:23" x14ac:dyDescent="0.25">
      <c r="A89" s="175"/>
      <c r="B89" s="1"/>
      <c r="C89" s="19"/>
      <c r="D89" s="269"/>
      <c r="E89" s="174"/>
      <c r="F89" s="33"/>
      <c r="G89" s="62">
        <f t="shared" si="11"/>
        <v>0</v>
      </c>
      <c r="H89" s="63">
        <f t="shared" si="12"/>
        <v>0</v>
      </c>
      <c r="I89" s="61"/>
      <c r="J89" s="211">
        <f t="shared" si="10"/>
        <v>0</v>
      </c>
      <c r="K89" s="62">
        <f t="shared" si="13"/>
        <v>0</v>
      </c>
      <c r="L89" s="62">
        <f t="shared" si="14"/>
        <v>0</v>
      </c>
      <c r="M89" s="22"/>
      <c r="N89" s="76"/>
      <c r="O89" s="1"/>
      <c r="P89" s="33"/>
      <c r="Q89" s="58">
        <f t="shared" si="19"/>
        <v>0</v>
      </c>
      <c r="R89" s="85">
        <f t="shared" si="15"/>
        <v>0</v>
      </c>
      <c r="S89" s="85">
        <f t="shared" si="16"/>
        <v>0</v>
      </c>
      <c r="T89" s="59">
        <f t="shared" si="17"/>
        <v>0</v>
      </c>
      <c r="U89" s="59">
        <f t="shared" si="18"/>
        <v>0</v>
      </c>
      <c r="V89" s="46"/>
      <c r="W89" s="75"/>
    </row>
    <row r="90" spans="1:23" x14ac:dyDescent="0.25">
      <c r="A90" s="175"/>
      <c r="B90" s="3"/>
      <c r="C90" s="24"/>
      <c r="D90" s="270"/>
      <c r="E90" s="173"/>
      <c r="F90" s="26"/>
      <c r="G90" s="2">
        <f t="shared" si="11"/>
        <v>0</v>
      </c>
      <c r="H90" s="20">
        <f t="shared" si="12"/>
        <v>0</v>
      </c>
      <c r="I90" s="61"/>
      <c r="J90" s="210">
        <f t="shared" si="10"/>
        <v>0</v>
      </c>
      <c r="K90" s="2">
        <f t="shared" si="13"/>
        <v>0</v>
      </c>
      <c r="L90" s="2">
        <f t="shared" si="14"/>
        <v>0</v>
      </c>
      <c r="M90" s="21"/>
      <c r="N90" s="76"/>
      <c r="O90" s="3"/>
      <c r="P90" s="31"/>
      <c r="Q90" s="32">
        <f t="shared" si="19"/>
        <v>0</v>
      </c>
      <c r="R90" s="32">
        <f t="shared" si="15"/>
        <v>0</v>
      </c>
      <c r="S90" s="32">
        <f t="shared" si="16"/>
        <v>0</v>
      </c>
      <c r="T90" s="47">
        <f t="shared" si="17"/>
        <v>0</v>
      </c>
      <c r="U90" s="47">
        <f t="shared" si="18"/>
        <v>0</v>
      </c>
      <c r="V90" s="46"/>
      <c r="W90" s="75"/>
    </row>
    <row r="91" spans="1:23" x14ac:dyDescent="0.25">
      <c r="A91" s="175"/>
      <c r="B91" s="1"/>
      <c r="C91" s="19"/>
      <c r="D91" s="269"/>
      <c r="E91" s="174"/>
      <c r="F91" s="33"/>
      <c r="G91" s="62">
        <f t="shared" si="11"/>
        <v>0</v>
      </c>
      <c r="H91" s="63">
        <f t="shared" si="12"/>
        <v>0</v>
      </c>
      <c r="I91" s="61"/>
      <c r="J91" s="211">
        <f t="shared" si="10"/>
        <v>0</v>
      </c>
      <c r="K91" s="62">
        <f t="shared" si="13"/>
        <v>0</v>
      </c>
      <c r="L91" s="62">
        <f t="shared" si="14"/>
        <v>0</v>
      </c>
      <c r="M91" s="22"/>
      <c r="N91" s="76"/>
      <c r="O91" s="1"/>
      <c r="P91" s="33"/>
      <c r="Q91" s="58">
        <f t="shared" si="19"/>
        <v>0</v>
      </c>
      <c r="R91" s="85">
        <f t="shared" si="15"/>
        <v>0</v>
      </c>
      <c r="S91" s="85">
        <f t="shared" si="16"/>
        <v>0</v>
      </c>
      <c r="T91" s="59">
        <f t="shared" si="17"/>
        <v>0</v>
      </c>
      <c r="U91" s="59">
        <f t="shared" si="18"/>
        <v>0</v>
      </c>
      <c r="V91" s="46"/>
      <c r="W91" s="75"/>
    </row>
    <row r="92" spans="1:23" x14ac:dyDescent="0.25">
      <c r="A92" s="175"/>
      <c r="B92" s="3"/>
      <c r="C92" s="24"/>
      <c r="D92" s="270"/>
      <c r="E92" s="173"/>
      <c r="F92" s="26"/>
      <c r="G92" s="2">
        <f t="shared" si="11"/>
        <v>0</v>
      </c>
      <c r="H92" s="20">
        <f t="shared" si="12"/>
        <v>0</v>
      </c>
      <c r="I92" s="61"/>
      <c r="J92" s="210">
        <f t="shared" si="10"/>
        <v>0</v>
      </c>
      <c r="K92" s="2">
        <f t="shared" si="13"/>
        <v>0</v>
      </c>
      <c r="L92" s="2">
        <f t="shared" si="14"/>
        <v>0</v>
      </c>
      <c r="M92" s="21"/>
      <c r="N92" s="76"/>
      <c r="O92" s="3"/>
      <c r="P92" s="31"/>
      <c r="Q92" s="32">
        <f t="shared" si="19"/>
        <v>0</v>
      </c>
      <c r="R92" s="32">
        <f t="shared" si="15"/>
        <v>0</v>
      </c>
      <c r="S92" s="32">
        <f t="shared" si="16"/>
        <v>0</v>
      </c>
      <c r="T92" s="47">
        <f t="shared" si="17"/>
        <v>0</v>
      </c>
      <c r="U92" s="47">
        <f t="shared" si="18"/>
        <v>0</v>
      </c>
      <c r="V92" s="46"/>
      <c r="W92" s="75"/>
    </row>
    <row r="93" spans="1:23" x14ac:dyDescent="0.25">
      <c r="A93" s="175"/>
      <c r="B93" s="1"/>
      <c r="C93" s="19"/>
      <c r="D93" s="269"/>
      <c r="E93" s="174"/>
      <c r="F93" s="33"/>
      <c r="G93" s="62">
        <f t="shared" si="11"/>
        <v>0</v>
      </c>
      <c r="H93" s="63">
        <f t="shared" si="12"/>
        <v>0</v>
      </c>
      <c r="I93" s="61"/>
      <c r="J93" s="211">
        <f t="shared" si="10"/>
        <v>0</v>
      </c>
      <c r="K93" s="62">
        <f t="shared" si="13"/>
        <v>0</v>
      </c>
      <c r="L93" s="62">
        <f t="shared" si="14"/>
        <v>0</v>
      </c>
      <c r="M93" s="22"/>
      <c r="N93" s="76"/>
      <c r="O93" s="1"/>
      <c r="P93" s="33"/>
      <c r="Q93" s="58">
        <f t="shared" si="19"/>
        <v>0</v>
      </c>
      <c r="R93" s="85">
        <f t="shared" si="15"/>
        <v>0</v>
      </c>
      <c r="S93" s="85">
        <f t="shared" si="16"/>
        <v>0</v>
      </c>
      <c r="T93" s="59">
        <f t="shared" si="17"/>
        <v>0</v>
      </c>
      <c r="U93" s="59">
        <f t="shared" si="18"/>
        <v>0</v>
      </c>
      <c r="V93" s="46"/>
      <c r="W93" s="75"/>
    </row>
    <row r="94" spans="1:23" x14ac:dyDescent="0.25">
      <c r="A94" s="175"/>
      <c r="B94" s="3"/>
      <c r="C94" s="24"/>
      <c r="D94" s="270"/>
      <c r="E94" s="173"/>
      <c r="F94" s="26"/>
      <c r="G94" s="2">
        <f t="shared" si="11"/>
        <v>0</v>
      </c>
      <c r="H94" s="20">
        <f t="shared" si="12"/>
        <v>0</v>
      </c>
      <c r="I94" s="61"/>
      <c r="J94" s="210">
        <f t="shared" si="10"/>
        <v>0</v>
      </c>
      <c r="K94" s="2">
        <f t="shared" si="13"/>
        <v>0</v>
      </c>
      <c r="L94" s="2">
        <f t="shared" si="14"/>
        <v>0</v>
      </c>
      <c r="M94" s="21"/>
      <c r="N94" s="76"/>
      <c r="O94" s="3"/>
      <c r="P94" s="31"/>
      <c r="Q94" s="32">
        <f t="shared" si="19"/>
        <v>0</v>
      </c>
      <c r="R94" s="32">
        <f t="shared" si="15"/>
        <v>0</v>
      </c>
      <c r="S94" s="32">
        <f t="shared" si="16"/>
        <v>0</v>
      </c>
      <c r="T94" s="47">
        <f t="shared" si="17"/>
        <v>0</v>
      </c>
      <c r="U94" s="47">
        <f t="shared" si="18"/>
        <v>0</v>
      </c>
      <c r="V94" s="46"/>
      <c r="W94" s="75"/>
    </row>
    <row r="95" spans="1:23" x14ac:dyDescent="0.25">
      <c r="A95" s="175"/>
      <c r="B95" s="1"/>
      <c r="C95" s="19"/>
      <c r="D95" s="269"/>
      <c r="E95" s="174"/>
      <c r="F95" s="33"/>
      <c r="G95" s="62">
        <f t="shared" si="11"/>
        <v>0</v>
      </c>
      <c r="H95" s="63">
        <f t="shared" si="12"/>
        <v>0</v>
      </c>
      <c r="I95" s="61"/>
      <c r="J95" s="211">
        <f t="shared" si="10"/>
        <v>0</v>
      </c>
      <c r="K95" s="62">
        <f t="shared" si="13"/>
        <v>0</v>
      </c>
      <c r="L95" s="62">
        <f t="shared" si="14"/>
        <v>0</v>
      </c>
      <c r="M95" s="22"/>
      <c r="N95" s="76"/>
      <c r="O95" s="1"/>
      <c r="P95" s="33"/>
      <c r="Q95" s="58">
        <f t="shared" si="19"/>
        <v>0</v>
      </c>
      <c r="R95" s="85">
        <f t="shared" si="15"/>
        <v>0</v>
      </c>
      <c r="S95" s="85">
        <f t="shared" si="16"/>
        <v>0</v>
      </c>
      <c r="T95" s="59">
        <f t="shared" si="17"/>
        <v>0</v>
      </c>
      <c r="U95" s="59">
        <f t="shared" si="18"/>
        <v>0</v>
      </c>
      <c r="V95" s="46"/>
      <c r="W95" s="75"/>
    </row>
    <row r="96" spans="1:23" x14ac:dyDescent="0.25">
      <c r="A96" s="175"/>
      <c r="B96" s="3"/>
      <c r="C96" s="24"/>
      <c r="D96" s="270"/>
      <c r="E96" s="173"/>
      <c r="F96" s="26"/>
      <c r="G96" s="2">
        <f t="shared" si="11"/>
        <v>0</v>
      </c>
      <c r="H96" s="20">
        <f t="shared" si="12"/>
        <v>0</v>
      </c>
      <c r="I96" s="61"/>
      <c r="J96" s="210">
        <f t="shared" si="10"/>
        <v>0</v>
      </c>
      <c r="K96" s="2">
        <f t="shared" si="13"/>
        <v>0</v>
      </c>
      <c r="L96" s="2">
        <f t="shared" si="14"/>
        <v>0</v>
      </c>
      <c r="M96" s="21"/>
      <c r="N96" s="76"/>
      <c r="O96" s="3"/>
      <c r="P96" s="31"/>
      <c r="Q96" s="32">
        <f t="shared" si="19"/>
        <v>0</v>
      </c>
      <c r="R96" s="32">
        <f t="shared" si="15"/>
        <v>0</v>
      </c>
      <c r="S96" s="32">
        <f t="shared" si="16"/>
        <v>0</v>
      </c>
      <c r="T96" s="47">
        <f t="shared" si="17"/>
        <v>0</v>
      </c>
      <c r="U96" s="47">
        <f t="shared" si="18"/>
        <v>0</v>
      </c>
      <c r="V96" s="46"/>
      <c r="W96" s="75"/>
    </row>
    <row r="97" spans="1:23" x14ac:dyDescent="0.25">
      <c r="A97" s="175"/>
      <c r="B97" s="1"/>
      <c r="C97" s="19"/>
      <c r="D97" s="269"/>
      <c r="E97" s="174"/>
      <c r="F97" s="33"/>
      <c r="G97" s="62">
        <f t="shared" si="11"/>
        <v>0</v>
      </c>
      <c r="H97" s="63">
        <f t="shared" si="12"/>
        <v>0</v>
      </c>
      <c r="I97" s="61"/>
      <c r="J97" s="211">
        <f t="shared" si="10"/>
        <v>0</v>
      </c>
      <c r="K97" s="62">
        <f t="shared" si="13"/>
        <v>0</v>
      </c>
      <c r="L97" s="62">
        <f t="shared" si="14"/>
        <v>0</v>
      </c>
      <c r="M97" s="22"/>
      <c r="N97" s="76"/>
      <c r="O97" s="1"/>
      <c r="P97" s="33"/>
      <c r="Q97" s="58">
        <f t="shared" si="19"/>
        <v>0</v>
      </c>
      <c r="R97" s="85">
        <f t="shared" si="15"/>
        <v>0</v>
      </c>
      <c r="S97" s="85">
        <f t="shared" si="16"/>
        <v>0</v>
      </c>
      <c r="T97" s="59">
        <f t="shared" si="17"/>
        <v>0</v>
      </c>
      <c r="U97" s="59">
        <f t="shared" si="18"/>
        <v>0</v>
      </c>
      <c r="V97" s="46"/>
      <c r="W97" s="75"/>
    </row>
    <row r="98" spans="1:23" x14ac:dyDescent="0.25">
      <c r="A98" s="175"/>
      <c r="B98" s="3"/>
      <c r="C98" s="24"/>
      <c r="D98" s="270"/>
      <c r="E98" s="173"/>
      <c r="F98" s="26"/>
      <c r="G98" s="2">
        <f t="shared" si="11"/>
        <v>0</v>
      </c>
      <c r="H98" s="20">
        <f t="shared" si="12"/>
        <v>0</v>
      </c>
      <c r="I98" s="61"/>
      <c r="J98" s="210">
        <f t="shared" si="10"/>
        <v>0</v>
      </c>
      <c r="K98" s="2">
        <f t="shared" si="13"/>
        <v>0</v>
      </c>
      <c r="L98" s="2">
        <f t="shared" si="14"/>
        <v>0</v>
      </c>
      <c r="M98" s="21"/>
      <c r="N98" s="76"/>
      <c r="O98" s="3"/>
      <c r="P98" s="31"/>
      <c r="Q98" s="32">
        <f t="shared" si="19"/>
        <v>0</v>
      </c>
      <c r="R98" s="32">
        <f t="shared" si="15"/>
        <v>0</v>
      </c>
      <c r="S98" s="32">
        <f t="shared" si="16"/>
        <v>0</v>
      </c>
      <c r="T98" s="47">
        <f t="shared" si="17"/>
        <v>0</v>
      </c>
      <c r="U98" s="47">
        <f t="shared" si="18"/>
        <v>0</v>
      </c>
      <c r="V98" s="46"/>
      <c r="W98" s="75"/>
    </row>
    <row r="99" spans="1:23" x14ac:dyDescent="0.25">
      <c r="A99" s="175"/>
      <c r="B99" s="1"/>
      <c r="C99" s="19"/>
      <c r="D99" s="269"/>
      <c r="E99" s="174"/>
      <c r="F99" s="33"/>
      <c r="G99" s="62">
        <f t="shared" si="11"/>
        <v>0</v>
      </c>
      <c r="H99" s="63">
        <f t="shared" si="12"/>
        <v>0</v>
      </c>
      <c r="I99" s="61"/>
      <c r="J99" s="211">
        <f t="shared" si="10"/>
        <v>0</v>
      </c>
      <c r="K99" s="62">
        <f t="shared" si="13"/>
        <v>0</v>
      </c>
      <c r="L99" s="62">
        <f t="shared" si="14"/>
        <v>0</v>
      </c>
      <c r="M99" s="22"/>
      <c r="N99" s="76"/>
      <c r="O99" s="1"/>
      <c r="P99" s="33"/>
      <c r="Q99" s="58">
        <f t="shared" si="19"/>
        <v>0</v>
      </c>
      <c r="R99" s="85">
        <f t="shared" si="15"/>
        <v>0</v>
      </c>
      <c r="S99" s="85">
        <f t="shared" si="16"/>
        <v>0</v>
      </c>
      <c r="T99" s="59">
        <f t="shared" si="17"/>
        <v>0</v>
      </c>
      <c r="U99" s="59">
        <f t="shared" si="18"/>
        <v>0</v>
      </c>
      <c r="V99" s="46"/>
      <c r="W99" s="75"/>
    </row>
    <row r="100" spans="1:23" x14ac:dyDescent="0.25">
      <c r="A100" s="175"/>
      <c r="B100" s="3"/>
      <c r="C100" s="24"/>
      <c r="D100" s="270"/>
      <c r="E100" s="173"/>
      <c r="F100" s="26"/>
      <c r="G100" s="2">
        <f t="shared" si="11"/>
        <v>0</v>
      </c>
      <c r="H100" s="20">
        <f t="shared" si="12"/>
        <v>0</v>
      </c>
      <c r="I100" s="61"/>
      <c r="J100" s="210">
        <f t="shared" si="10"/>
        <v>0</v>
      </c>
      <c r="K100" s="2">
        <f t="shared" si="13"/>
        <v>0</v>
      </c>
      <c r="L100" s="2">
        <f t="shared" si="14"/>
        <v>0</v>
      </c>
      <c r="M100" s="21"/>
      <c r="N100" s="76"/>
      <c r="O100" s="3"/>
      <c r="P100" s="31"/>
      <c r="Q100" s="32">
        <f t="shared" si="19"/>
        <v>0</v>
      </c>
      <c r="R100" s="32">
        <f t="shared" si="15"/>
        <v>0</v>
      </c>
      <c r="S100" s="32">
        <f t="shared" si="16"/>
        <v>0</v>
      </c>
      <c r="T100" s="47">
        <f t="shared" si="17"/>
        <v>0</v>
      </c>
      <c r="U100" s="47">
        <f t="shared" si="18"/>
        <v>0</v>
      </c>
      <c r="V100" s="46"/>
      <c r="W100" s="75"/>
    </row>
    <row r="101" spans="1:23" x14ac:dyDescent="0.25">
      <c r="A101" s="175"/>
      <c r="B101" s="1"/>
      <c r="C101" s="19"/>
      <c r="D101" s="269"/>
      <c r="E101" s="174"/>
      <c r="F101" s="33"/>
      <c r="G101" s="62">
        <f t="shared" si="11"/>
        <v>0</v>
      </c>
      <c r="H101" s="63">
        <f t="shared" si="12"/>
        <v>0</v>
      </c>
      <c r="I101" s="61"/>
      <c r="J101" s="211">
        <f t="shared" si="10"/>
        <v>0</v>
      </c>
      <c r="K101" s="62">
        <f t="shared" si="13"/>
        <v>0</v>
      </c>
      <c r="L101" s="62">
        <f t="shared" si="14"/>
        <v>0</v>
      </c>
      <c r="M101" s="22"/>
      <c r="N101" s="76"/>
      <c r="O101" s="1"/>
      <c r="P101" s="33"/>
      <c r="Q101" s="58">
        <f t="shared" si="19"/>
        <v>0</v>
      </c>
      <c r="R101" s="85">
        <f t="shared" si="15"/>
        <v>0</v>
      </c>
      <c r="S101" s="85">
        <f t="shared" si="16"/>
        <v>0</v>
      </c>
      <c r="T101" s="59">
        <f t="shared" si="17"/>
        <v>0</v>
      </c>
      <c r="U101" s="59">
        <f t="shared" si="18"/>
        <v>0</v>
      </c>
      <c r="V101" s="46"/>
      <c r="W101" s="75"/>
    </row>
    <row r="102" spans="1:23" x14ac:dyDescent="0.25">
      <c r="A102" s="175"/>
      <c r="B102" s="3"/>
      <c r="C102" s="24"/>
      <c r="D102" s="270"/>
      <c r="E102" s="173"/>
      <c r="F102" s="26"/>
      <c r="G102" s="2">
        <f t="shared" si="11"/>
        <v>0</v>
      </c>
      <c r="H102" s="20">
        <f t="shared" si="12"/>
        <v>0</v>
      </c>
      <c r="I102" s="61"/>
      <c r="J102" s="210">
        <f t="shared" si="10"/>
        <v>0</v>
      </c>
      <c r="K102" s="2">
        <f t="shared" si="13"/>
        <v>0</v>
      </c>
      <c r="L102" s="2">
        <f t="shared" si="14"/>
        <v>0</v>
      </c>
      <c r="M102" s="21"/>
      <c r="N102" s="76"/>
      <c r="O102" s="3"/>
      <c r="P102" s="31"/>
      <c r="Q102" s="32">
        <f t="shared" si="19"/>
        <v>0</v>
      </c>
      <c r="R102" s="32">
        <f t="shared" si="15"/>
        <v>0</v>
      </c>
      <c r="S102" s="32">
        <f t="shared" si="16"/>
        <v>0</v>
      </c>
      <c r="T102" s="47">
        <f t="shared" si="17"/>
        <v>0</v>
      </c>
      <c r="U102" s="47">
        <f t="shared" si="18"/>
        <v>0</v>
      </c>
      <c r="V102" s="46"/>
      <c r="W102" s="75"/>
    </row>
    <row r="103" spans="1:23" x14ac:dyDescent="0.25">
      <c r="A103" s="175"/>
      <c r="B103" s="1"/>
      <c r="C103" s="19"/>
      <c r="D103" s="269"/>
      <c r="E103" s="174"/>
      <c r="F103" s="33"/>
      <c r="G103" s="62">
        <f t="shared" si="11"/>
        <v>0</v>
      </c>
      <c r="H103" s="63">
        <f t="shared" si="12"/>
        <v>0</v>
      </c>
      <c r="I103" s="61"/>
      <c r="J103" s="211">
        <f t="shared" si="10"/>
        <v>0</v>
      </c>
      <c r="K103" s="62">
        <f t="shared" si="13"/>
        <v>0</v>
      </c>
      <c r="L103" s="62">
        <f t="shared" si="14"/>
        <v>0</v>
      </c>
      <c r="M103" s="22"/>
      <c r="N103" s="76"/>
      <c r="O103" s="1"/>
      <c r="P103" s="33"/>
      <c r="Q103" s="58">
        <f t="shared" si="19"/>
        <v>0</v>
      </c>
      <c r="R103" s="85">
        <f t="shared" si="15"/>
        <v>0</v>
      </c>
      <c r="S103" s="85">
        <f t="shared" si="16"/>
        <v>0</v>
      </c>
      <c r="T103" s="59">
        <f t="shared" si="17"/>
        <v>0</v>
      </c>
      <c r="U103" s="59">
        <f t="shared" si="18"/>
        <v>0</v>
      </c>
      <c r="V103" s="46"/>
      <c r="W103" s="75"/>
    </row>
    <row r="104" spans="1:23" x14ac:dyDescent="0.25">
      <c r="A104" s="175"/>
      <c r="B104" s="3"/>
      <c r="C104" s="24"/>
      <c r="D104" s="270"/>
      <c r="E104" s="173"/>
      <c r="F104" s="26"/>
      <c r="G104" s="2">
        <f t="shared" si="11"/>
        <v>0</v>
      </c>
      <c r="H104" s="20">
        <f t="shared" si="12"/>
        <v>0</v>
      </c>
      <c r="I104" s="61"/>
      <c r="J104" s="210">
        <f t="shared" si="10"/>
        <v>0</v>
      </c>
      <c r="K104" s="2">
        <f t="shared" si="13"/>
        <v>0</v>
      </c>
      <c r="L104" s="2">
        <f t="shared" si="14"/>
        <v>0</v>
      </c>
      <c r="M104" s="21"/>
      <c r="N104" s="76"/>
      <c r="O104" s="3"/>
      <c r="P104" s="31"/>
      <c r="Q104" s="32">
        <f t="shared" si="19"/>
        <v>0</v>
      </c>
      <c r="R104" s="32">
        <f t="shared" si="15"/>
        <v>0</v>
      </c>
      <c r="S104" s="32">
        <f t="shared" si="16"/>
        <v>0</v>
      </c>
      <c r="T104" s="47">
        <f t="shared" si="17"/>
        <v>0</v>
      </c>
      <c r="U104" s="47">
        <f t="shared" si="18"/>
        <v>0</v>
      </c>
      <c r="V104" s="46"/>
      <c r="W104" s="75"/>
    </row>
    <row r="105" spans="1:23" x14ac:dyDescent="0.25">
      <c r="A105" s="175"/>
      <c r="B105" s="1"/>
      <c r="C105" s="19"/>
      <c r="D105" s="269"/>
      <c r="E105" s="174"/>
      <c r="F105" s="33"/>
      <c r="G105" s="62">
        <f t="shared" si="11"/>
        <v>0</v>
      </c>
      <c r="H105" s="63">
        <f t="shared" si="12"/>
        <v>0</v>
      </c>
      <c r="I105" s="61"/>
      <c r="J105" s="211">
        <f t="shared" si="10"/>
        <v>0</v>
      </c>
      <c r="K105" s="62">
        <f t="shared" si="13"/>
        <v>0</v>
      </c>
      <c r="L105" s="62">
        <f t="shared" si="14"/>
        <v>0</v>
      </c>
      <c r="M105" s="22"/>
      <c r="N105" s="76"/>
      <c r="O105" s="1"/>
      <c r="P105" s="33"/>
      <c r="Q105" s="58">
        <f t="shared" si="19"/>
        <v>0</v>
      </c>
      <c r="R105" s="85">
        <f t="shared" si="15"/>
        <v>0</v>
      </c>
      <c r="S105" s="85">
        <f t="shared" si="16"/>
        <v>0</v>
      </c>
      <c r="T105" s="59">
        <f t="shared" si="17"/>
        <v>0</v>
      </c>
      <c r="U105" s="59">
        <f t="shared" si="18"/>
        <v>0</v>
      </c>
      <c r="V105" s="46"/>
      <c r="W105" s="75"/>
    </row>
    <row r="106" spans="1:23" x14ac:dyDescent="0.25">
      <c r="A106" s="175"/>
      <c r="B106" s="3"/>
      <c r="C106" s="24"/>
      <c r="D106" s="270"/>
      <c r="E106" s="173"/>
      <c r="F106" s="26"/>
      <c r="G106" s="2">
        <f t="shared" si="11"/>
        <v>0</v>
      </c>
      <c r="H106" s="20">
        <f t="shared" si="12"/>
        <v>0</v>
      </c>
      <c r="I106" s="61"/>
      <c r="J106" s="210">
        <f t="shared" si="10"/>
        <v>0</v>
      </c>
      <c r="K106" s="2">
        <f t="shared" si="13"/>
        <v>0</v>
      </c>
      <c r="L106" s="2">
        <f t="shared" si="14"/>
        <v>0</v>
      </c>
      <c r="M106" s="21"/>
      <c r="N106" s="76"/>
      <c r="O106" s="3"/>
      <c r="P106" s="31"/>
      <c r="Q106" s="32">
        <f t="shared" si="19"/>
        <v>0</v>
      </c>
      <c r="R106" s="32">
        <f t="shared" si="15"/>
        <v>0</v>
      </c>
      <c r="S106" s="32">
        <f t="shared" si="16"/>
        <v>0</v>
      </c>
      <c r="T106" s="47">
        <f t="shared" si="17"/>
        <v>0</v>
      </c>
      <c r="U106" s="47">
        <f t="shared" si="18"/>
        <v>0</v>
      </c>
      <c r="V106" s="46"/>
      <c r="W106" s="75"/>
    </row>
    <row r="107" spans="1:23" x14ac:dyDescent="0.25">
      <c r="A107" s="175"/>
      <c r="B107" s="1"/>
      <c r="C107" s="19"/>
      <c r="D107" s="269"/>
      <c r="E107" s="174"/>
      <c r="F107" s="33"/>
      <c r="G107" s="62">
        <f t="shared" si="11"/>
        <v>0</v>
      </c>
      <c r="H107" s="63">
        <f t="shared" si="12"/>
        <v>0</v>
      </c>
      <c r="I107" s="61"/>
      <c r="J107" s="211">
        <f t="shared" si="10"/>
        <v>0</v>
      </c>
      <c r="K107" s="62">
        <f t="shared" si="13"/>
        <v>0</v>
      </c>
      <c r="L107" s="62">
        <f t="shared" si="14"/>
        <v>0</v>
      </c>
      <c r="M107" s="22"/>
      <c r="N107" s="76"/>
      <c r="O107" s="1"/>
      <c r="P107" s="33"/>
      <c r="Q107" s="58">
        <f t="shared" si="19"/>
        <v>0</v>
      </c>
      <c r="R107" s="85">
        <f t="shared" si="15"/>
        <v>0</v>
      </c>
      <c r="S107" s="85">
        <f t="shared" si="16"/>
        <v>0</v>
      </c>
      <c r="T107" s="59">
        <f t="shared" si="17"/>
        <v>0</v>
      </c>
      <c r="U107" s="59">
        <f t="shared" si="18"/>
        <v>0</v>
      </c>
      <c r="V107" s="46"/>
      <c r="W107" s="75"/>
    </row>
    <row r="108" spans="1:23" x14ac:dyDescent="0.25">
      <c r="A108" s="175"/>
      <c r="B108" s="3"/>
      <c r="C108" s="24"/>
      <c r="D108" s="270"/>
      <c r="E108" s="173"/>
      <c r="F108" s="26"/>
      <c r="G108" s="2">
        <f t="shared" si="11"/>
        <v>0</v>
      </c>
      <c r="H108" s="20">
        <f t="shared" si="12"/>
        <v>0</v>
      </c>
      <c r="I108" s="61"/>
      <c r="J108" s="210">
        <f t="shared" si="10"/>
        <v>0</v>
      </c>
      <c r="K108" s="2">
        <f t="shared" si="13"/>
        <v>0</v>
      </c>
      <c r="L108" s="2">
        <f t="shared" si="14"/>
        <v>0</v>
      </c>
      <c r="M108" s="21"/>
      <c r="N108" s="76"/>
      <c r="O108" s="3"/>
      <c r="P108" s="31"/>
      <c r="Q108" s="32">
        <f t="shared" si="19"/>
        <v>0</v>
      </c>
      <c r="R108" s="32">
        <f t="shared" si="15"/>
        <v>0</v>
      </c>
      <c r="S108" s="32">
        <f t="shared" si="16"/>
        <v>0</v>
      </c>
      <c r="T108" s="47">
        <f t="shared" si="17"/>
        <v>0</v>
      </c>
      <c r="U108" s="47">
        <f t="shared" si="18"/>
        <v>0</v>
      </c>
      <c r="V108" s="46"/>
      <c r="W108" s="75"/>
    </row>
    <row r="109" spans="1:23" x14ac:dyDescent="0.25">
      <c r="A109" s="175"/>
      <c r="B109" s="1"/>
      <c r="C109" s="19"/>
      <c r="D109" s="269"/>
      <c r="E109" s="174"/>
      <c r="F109" s="33"/>
      <c r="G109" s="62">
        <f t="shared" si="11"/>
        <v>0</v>
      </c>
      <c r="H109" s="63">
        <f t="shared" si="12"/>
        <v>0</v>
      </c>
      <c r="I109" s="61"/>
      <c r="J109" s="211">
        <f t="shared" si="10"/>
        <v>0</v>
      </c>
      <c r="K109" s="62">
        <f t="shared" si="13"/>
        <v>0</v>
      </c>
      <c r="L109" s="62">
        <f t="shared" si="14"/>
        <v>0</v>
      </c>
      <c r="M109" s="22"/>
      <c r="N109" s="76"/>
      <c r="O109" s="1"/>
      <c r="P109" s="33"/>
      <c r="Q109" s="58">
        <f t="shared" si="19"/>
        <v>0</v>
      </c>
      <c r="R109" s="85">
        <f t="shared" si="15"/>
        <v>0</v>
      </c>
      <c r="S109" s="85">
        <f t="shared" si="16"/>
        <v>0</v>
      </c>
      <c r="T109" s="59">
        <f t="shared" si="17"/>
        <v>0</v>
      </c>
      <c r="U109" s="59">
        <f t="shared" si="18"/>
        <v>0</v>
      </c>
      <c r="V109" s="46"/>
      <c r="W109" s="75"/>
    </row>
    <row r="110" spans="1:23" x14ac:dyDescent="0.25">
      <c r="A110" s="175"/>
      <c r="B110" s="3"/>
      <c r="C110" s="24"/>
      <c r="D110" s="270"/>
      <c r="E110" s="173"/>
      <c r="F110" s="26"/>
      <c r="G110" s="2">
        <f t="shared" si="11"/>
        <v>0</v>
      </c>
      <c r="H110" s="20">
        <f t="shared" si="12"/>
        <v>0</v>
      </c>
      <c r="I110" s="61"/>
      <c r="J110" s="210">
        <f t="shared" si="10"/>
        <v>0</v>
      </c>
      <c r="K110" s="2">
        <f t="shared" si="13"/>
        <v>0</v>
      </c>
      <c r="L110" s="2">
        <f t="shared" si="14"/>
        <v>0</v>
      </c>
      <c r="M110" s="21"/>
      <c r="N110" s="76"/>
      <c r="O110" s="3"/>
      <c r="P110" s="31"/>
      <c r="Q110" s="32">
        <f t="shared" si="19"/>
        <v>0</v>
      </c>
      <c r="R110" s="32">
        <f t="shared" si="15"/>
        <v>0</v>
      </c>
      <c r="S110" s="32">
        <f t="shared" si="16"/>
        <v>0</v>
      </c>
      <c r="T110" s="47">
        <f t="shared" si="17"/>
        <v>0</v>
      </c>
      <c r="U110" s="47">
        <f t="shared" si="18"/>
        <v>0</v>
      </c>
      <c r="V110" s="46"/>
      <c r="W110" s="75"/>
    </row>
    <row r="111" spans="1:23" x14ac:dyDescent="0.25">
      <c r="A111" s="175"/>
      <c r="B111" s="1"/>
      <c r="C111" s="19"/>
      <c r="D111" s="269"/>
      <c r="E111" s="174"/>
      <c r="F111" s="33"/>
      <c r="G111" s="62">
        <f t="shared" si="11"/>
        <v>0</v>
      </c>
      <c r="H111" s="63">
        <f t="shared" si="12"/>
        <v>0</v>
      </c>
      <c r="I111" s="61"/>
      <c r="J111" s="211">
        <f t="shared" si="10"/>
        <v>0</v>
      </c>
      <c r="K111" s="62">
        <f t="shared" si="13"/>
        <v>0</v>
      </c>
      <c r="L111" s="62">
        <f t="shared" si="14"/>
        <v>0</v>
      </c>
      <c r="M111" s="22"/>
      <c r="N111" s="76"/>
      <c r="O111" s="1"/>
      <c r="P111" s="33"/>
      <c r="Q111" s="58">
        <f t="shared" si="19"/>
        <v>0</v>
      </c>
      <c r="R111" s="85">
        <f t="shared" si="15"/>
        <v>0</v>
      </c>
      <c r="S111" s="85">
        <f t="shared" si="16"/>
        <v>0</v>
      </c>
      <c r="T111" s="59">
        <f t="shared" si="17"/>
        <v>0</v>
      </c>
      <c r="U111" s="59">
        <f t="shared" si="18"/>
        <v>0</v>
      </c>
      <c r="V111" s="46"/>
      <c r="W111" s="75"/>
    </row>
    <row r="112" spans="1:23" x14ac:dyDescent="0.25">
      <c r="A112" s="175"/>
      <c r="B112" s="3"/>
      <c r="C112" s="24"/>
      <c r="D112" s="270"/>
      <c r="E112" s="173"/>
      <c r="F112" s="26"/>
      <c r="G112" s="2">
        <f t="shared" si="11"/>
        <v>0</v>
      </c>
      <c r="H112" s="20">
        <f t="shared" si="12"/>
        <v>0</v>
      </c>
      <c r="I112" s="61"/>
      <c r="J112" s="210">
        <f t="shared" si="10"/>
        <v>0</v>
      </c>
      <c r="K112" s="2">
        <f t="shared" si="13"/>
        <v>0</v>
      </c>
      <c r="L112" s="2">
        <f t="shared" si="14"/>
        <v>0</v>
      </c>
      <c r="M112" s="21"/>
      <c r="N112" s="76"/>
      <c r="O112" s="3"/>
      <c r="P112" s="31"/>
      <c r="Q112" s="32">
        <f t="shared" si="19"/>
        <v>0</v>
      </c>
      <c r="R112" s="32">
        <f t="shared" si="15"/>
        <v>0</v>
      </c>
      <c r="S112" s="32">
        <f t="shared" si="16"/>
        <v>0</v>
      </c>
      <c r="T112" s="47">
        <f t="shared" si="17"/>
        <v>0</v>
      </c>
      <c r="U112" s="47">
        <f t="shared" si="18"/>
        <v>0</v>
      </c>
      <c r="V112" s="46"/>
      <c r="W112" s="75"/>
    </row>
    <row r="113" spans="1:23" x14ac:dyDescent="0.25">
      <c r="A113" s="175"/>
      <c r="B113" s="1"/>
      <c r="C113" s="19"/>
      <c r="D113" s="269"/>
      <c r="E113" s="174"/>
      <c r="F113" s="33"/>
      <c r="G113" s="62">
        <f t="shared" si="11"/>
        <v>0</v>
      </c>
      <c r="H113" s="63">
        <f t="shared" si="12"/>
        <v>0</v>
      </c>
      <c r="I113" s="61"/>
      <c r="J113" s="211">
        <f t="shared" si="10"/>
        <v>0</v>
      </c>
      <c r="K113" s="62">
        <f t="shared" si="13"/>
        <v>0</v>
      </c>
      <c r="L113" s="62">
        <f t="shared" si="14"/>
        <v>0</v>
      </c>
      <c r="M113" s="22"/>
      <c r="N113" s="76"/>
      <c r="O113" s="1"/>
      <c r="P113" s="33"/>
      <c r="Q113" s="58">
        <f t="shared" si="19"/>
        <v>0</v>
      </c>
      <c r="R113" s="85">
        <f t="shared" si="15"/>
        <v>0</v>
      </c>
      <c r="S113" s="85">
        <f t="shared" si="16"/>
        <v>0</v>
      </c>
      <c r="T113" s="59">
        <f t="shared" si="17"/>
        <v>0</v>
      </c>
      <c r="U113" s="59">
        <f t="shared" si="18"/>
        <v>0</v>
      </c>
      <c r="V113" s="46"/>
      <c r="W113" s="75"/>
    </row>
    <row r="114" spans="1:23" x14ac:dyDescent="0.25">
      <c r="A114" s="175"/>
      <c r="B114" s="3"/>
      <c r="C114" s="24"/>
      <c r="D114" s="270"/>
      <c r="E114" s="173"/>
      <c r="F114" s="26"/>
      <c r="G114" s="2">
        <f t="shared" si="11"/>
        <v>0</v>
      </c>
      <c r="H114" s="20">
        <f t="shared" si="12"/>
        <v>0</v>
      </c>
      <c r="I114" s="61"/>
      <c r="J114" s="210">
        <f t="shared" si="10"/>
        <v>0</v>
      </c>
      <c r="K114" s="2">
        <f t="shared" si="13"/>
        <v>0</v>
      </c>
      <c r="L114" s="2">
        <f t="shared" si="14"/>
        <v>0</v>
      </c>
      <c r="M114" s="21"/>
      <c r="N114" s="76"/>
      <c r="O114" s="3"/>
      <c r="P114" s="31"/>
      <c r="Q114" s="32">
        <f t="shared" si="19"/>
        <v>0</v>
      </c>
      <c r="R114" s="32">
        <f t="shared" si="15"/>
        <v>0</v>
      </c>
      <c r="S114" s="32">
        <f t="shared" si="16"/>
        <v>0</v>
      </c>
      <c r="T114" s="47">
        <f t="shared" si="17"/>
        <v>0</v>
      </c>
      <c r="U114" s="47">
        <f t="shared" si="18"/>
        <v>0</v>
      </c>
      <c r="V114" s="46"/>
      <c r="W114" s="75"/>
    </row>
    <row r="115" spans="1:23" x14ac:dyDescent="0.25">
      <c r="A115" s="175"/>
      <c r="B115" s="1"/>
      <c r="C115" s="19"/>
      <c r="D115" s="269"/>
      <c r="E115" s="174"/>
      <c r="F115" s="33"/>
      <c r="G115" s="62">
        <f t="shared" si="11"/>
        <v>0</v>
      </c>
      <c r="H115" s="63">
        <f t="shared" si="12"/>
        <v>0</v>
      </c>
      <c r="I115" s="61"/>
      <c r="J115" s="211">
        <f t="shared" si="10"/>
        <v>0</v>
      </c>
      <c r="K115" s="62">
        <f t="shared" si="13"/>
        <v>0</v>
      </c>
      <c r="L115" s="62">
        <f t="shared" si="14"/>
        <v>0</v>
      </c>
      <c r="M115" s="22"/>
      <c r="N115" s="76"/>
      <c r="O115" s="1"/>
      <c r="P115" s="33"/>
      <c r="Q115" s="58">
        <f t="shared" si="19"/>
        <v>0</v>
      </c>
      <c r="R115" s="85">
        <f t="shared" si="15"/>
        <v>0</v>
      </c>
      <c r="S115" s="85">
        <f t="shared" si="16"/>
        <v>0</v>
      </c>
      <c r="T115" s="59">
        <f t="shared" si="17"/>
        <v>0</v>
      </c>
      <c r="U115" s="59">
        <f t="shared" si="18"/>
        <v>0</v>
      </c>
      <c r="V115" s="46"/>
      <c r="W115" s="75"/>
    </row>
    <row r="116" spans="1:23" x14ac:dyDescent="0.25">
      <c r="A116" s="175"/>
      <c r="B116" s="3"/>
      <c r="C116" s="24"/>
      <c r="D116" s="270"/>
      <c r="E116" s="173"/>
      <c r="F116" s="26"/>
      <c r="G116" s="2">
        <f t="shared" si="11"/>
        <v>0</v>
      </c>
      <c r="H116" s="20">
        <f t="shared" si="12"/>
        <v>0</v>
      </c>
      <c r="I116" s="61"/>
      <c r="J116" s="210">
        <f t="shared" si="10"/>
        <v>0</v>
      </c>
      <c r="K116" s="2">
        <f t="shared" si="13"/>
        <v>0</v>
      </c>
      <c r="L116" s="2">
        <f t="shared" si="14"/>
        <v>0</v>
      </c>
      <c r="M116" s="21"/>
      <c r="N116" s="76"/>
      <c r="O116" s="3"/>
      <c r="P116" s="31"/>
      <c r="Q116" s="32">
        <f t="shared" si="19"/>
        <v>0</v>
      </c>
      <c r="R116" s="32">
        <f t="shared" si="15"/>
        <v>0</v>
      </c>
      <c r="S116" s="32">
        <f t="shared" si="16"/>
        <v>0</v>
      </c>
      <c r="T116" s="47">
        <f t="shared" si="17"/>
        <v>0</v>
      </c>
      <c r="U116" s="47">
        <f t="shared" si="18"/>
        <v>0</v>
      </c>
      <c r="V116" s="46"/>
      <c r="W116" s="75"/>
    </row>
    <row r="117" spans="1:23" x14ac:dyDescent="0.25">
      <c r="A117" s="175"/>
      <c r="B117" s="1"/>
      <c r="C117" s="19"/>
      <c r="D117" s="269"/>
      <c r="E117" s="174"/>
      <c r="F117" s="33"/>
      <c r="G117" s="62">
        <f t="shared" si="11"/>
        <v>0</v>
      </c>
      <c r="H117" s="63">
        <f t="shared" si="12"/>
        <v>0</v>
      </c>
      <c r="I117" s="61"/>
      <c r="J117" s="211">
        <f t="shared" si="10"/>
        <v>0</v>
      </c>
      <c r="K117" s="62">
        <f t="shared" si="13"/>
        <v>0</v>
      </c>
      <c r="L117" s="62">
        <f t="shared" si="14"/>
        <v>0</v>
      </c>
      <c r="M117" s="22"/>
      <c r="N117" s="76"/>
      <c r="O117" s="1"/>
      <c r="P117" s="33"/>
      <c r="Q117" s="58">
        <f t="shared" si="19"/>
        <v>0</v>
      </c>
      <c r="R117" s="85">
        <f t="shared" si="15"/>
        <v>0</v>
      </c>
      <c r="S117" s="85">
        <f t="shared" si="16"/>
        <v>0</v>
      </c>
      <c r="T117" s="59">
        <f t="shared" si="17"/>
        <v>0</v>
      </c>
      <c r="U117" s="59">
        <f t="shared" si="18"/>
        <v>0</v>
      </c>
      <c r="V117" s="46"/>
      <c r="W117" s="75"/>
    </row>
    <row r="118" spans="1:23" x14ac:dyDescent="0.25">
      <c r="A118" s="175"/>
      <c r="B118" s="3"/>
      <c r="C118" s="24"/>
      <c r="D118" s="270"/>
      <c r="E118" s="173"/>
      <c r="F118" s="26"/>
      <c r="G118" s="2">
        <f t="shared" si="11"/>
        <v>0</v>
      </c>
      <c r="H118" s="20">
        <f t="shared" si="12"/>
        <v>0</v>
      </c>
      <c r="I118" s="61"/>
      <c r="J118" s="210">
        <f t="shared" si="10"/>
        <v>0</v>
      </c>
      <c r="K118" s="2">
        <f t="shared" si="13"/>
        <v>0</v>
      </c>
      <c r="L118" s="2">
        <f t="shared" si="14"/>
        <v>0</v>
      </c>
      <c r="M118" s="21"/>
      <c r="N118" s="76"/>
      <c r="O118" s="3"/>
      <c r="P118" s="31"/>
      <c r="Q118" s="32">
        <f t="shared" si="19"/>
        <v>0</v>
      </c>
      <c r="R118" s="32">
        <f t="shared" si="15"/>
        <v>0</v>
      </c>
      <c r="S118" s="32">
        <f t="shared" si="16"/>
        <v>0</v>
      </c>
      <c r="T118" s="47">
        <f t="shared" si="17"/>
        <v>0</v>
      </c>
      <c r="U118" s="47">
        <f t="shared" si="18"/>
        <v>0</v>
      </c>
      <c r="V118" s="46"/>
      <c r="W118" s="75"/>
    </row>
    <row r="119" spans="1:23" x14ac:dyDescent="0.25">
      <c r="A119" s="175"/>
      <c r="B119" s="1"/>
      <c r="C119" s="19"/>
      <c r="D119" s="269"/>
      <c r="E119" s="174"/>
      <c r="F119" s="33"/>
      <c r="G119" s="62">
        <f t="shared" si="11"/>
        <v>0</v>
      </c>
      <c r="H119" s="63">
        <f t="shared" si="12"/>
        <v>0</v>
      </c>
      <c r="I119" s="61"/>
      <c r="J119" s="211">
        <f t="shared" si="10"/>
        <v>0</v>
      </c>
      <c r="K119" s="62">
        <f t="shared" si="13"/>
        <v>0</v>
      </c>
      <c r="L119" s="62">
        <f t="shared" si="14"/>
        <v>0</v>
      </c>
      <c r="M119" s="22"/>
      <c r="N119" s="76"/>
      <c r="O119" s="1"/>
      <c r="P119" s="33"/>
      <c r="Q119" s="58">
        <f t="shared" si="19"/>
        <v>0</v>
      </c>
      <c r="R119" s="85">
        <f t="shared" si="15"/>
        <v>0</v>
      </c>
      <c r="S119" s="85">
        <f t="shared" si="16"/>
        <v>0</v>
      </c>
      <c r="T119" s="59">
        <f t="shared" si="17"/>
        <v>0</v>
      </c>
      <c r="U119" s="59">
        <f t="shared" si="18"/>
        <v>0</v>
      </c>
      <c r="V119" s="46"/>
      <c r="W119" s="75"/>
    </row>
    <row r="120" spans="1:23" x14ac:dyDescent="0.25">
      <c r="A120" s="175"/>
      <c r="B120" s="3"/>
      <c r="C120" s="24"/>
      <c r="D120" s="270"/>
      <c r="E120" s="173"/>
      <c r="F120" s="26"/>
      <c r="G120" s="2">
        <f t="shared" si="11"/>
        <v>0</v>
      </c>
      <c r="H120" s="20">
        <f t="shared" si="12"/>
        <v>0</v>
      </c>
      <c r="I120" s="61"/>
      <c r="J120" s="210">
        <f t="shared" si="10"/>
        <v>0</v>
      </c>
      <c r="K120" s="2">
        <f t="shared" si="13"/>
        <v>0</v>
      </c>
      <c r="L120" s="2">
        <f t="shared" si="14"/>
        <v>0</v>
      </c>
      <c r="M120" s="21"/>
      <c r="N120" s="76"/>
      <c r="O120" s="3"/>
      <c r="P120" s="31"/>
      <c r="Q120" s="32">
        <f t="shared" si="19"/>
        <v>0</v>
      </c>
      <c r="R120" s="32">
        <f t="shared" si="15"/>
        <v>0</v>
      </c>
      <c r="S120" s="32">
        <f t="shared" si="16"/>
        <v>0</v>
      </c>
      <c r="T120" s="47">
        <f t="shared" si="17"/>
        <v>0</v>
      </c>
      <c r="U120" s="47">
        <f t="shared" si="18"/>
        <v>0</v>
      </c>
      <c r="V120" s="46"/>
      <c r="W120" s="75"/>
    </row>
    <row r="121" spans="1:23" x14ac:dyDescent="0.25">
      <c r="A121" s="175"/>
      <c r="B121" s="1"/>
      <c r="C121" s="19"/>
      <c r="D121" s="269"/>
      <c r="E121" s="174"/>
      <c r="F121" s="33"/>
      <c r="G121" s="62">
        <f t="shared" si="11"/>
        <v>0</v>
      </c>
      <c r="H121" s="63">
        <f t="shared" si="12"/>
        <v>0</v>
      </c>
      <c r="I121" s="61"/>
      <c r="J121" s="211">
        <f t="shared" si="10"/>
        <v>0</v>
      </c>
      <c r="K121" s="62">
        <f t="shared" si="13"/>
        <v>0</v>
      </c>
      <c r="L121" s="62">
        <f t="shared" si="14"/>
        <v>0</v>
      </c>
      <c r="M121" s="22"/>
      <c r="N121" s="76"/>
      <c r="O121" s="1"/>
      <c r="P121" s="33"/>
      <c r="Q121" s="58">
        <f t="shared" si="19"/>
        <v>0</v>
      </c>
      <c r="R121" s="85">
        <f t="shared" si="15"/>
        <v>0</v>
      </c>
      <c r="S121" s="85">
        <f t="shared" si="16"/>
        <v>0</v>
      </c>
      <c r="T121" s="59">
        <f t="shared" si="17"/>
        <v>0</v>
      </c>
      <c r="U121" s="59">
        <f t="shared" si="18"/>
        <v>0</v>
      </c>
      <c r="V121" s="46"/>
      <c r="W121" s="75"/>
    </row>
    <row r="122" spans="1:23" x14ac:dyDescent="0.25">
      <c r="A122" s="175"/>
      <c r="B122" s="3"/>
      <c r="C122" s="24"/>
      <c r="D122" s="270"/>
      <c r="E122" s="173"/>
      <c r="F122" s="26"/>
      <c r="G122" s="2">
        <f t="shared" si="11"/>
        <v>0</v>
      </c>
      <c r="H122" s="20">
        <f t="shared" si="12"/>
        <v>0</v>
      </c>
      <c r="I122" s="61"/>
      <c r="J122" s="210">
        <f t="shared" si="10"/>
        <v>0</v>
      </c>
      <c r="K122" s="2">
        <f t="shared" si="13"/>
        <v>0</v>
      </c>
      <c r="L122" s="2">
        <f t="shared" si="14"/>
        <v>0</v>
      </c>
      <c r="M122" s="21"/>
      <c r="N122" s="76"/>
      <c r="O122" s="3"/>
      <c r="P122" s="31"/>
      <c r="Q122" s="32">
        <f t="shared" si="19"/>
        <v>0</v>
      </c>
      <c r="R122" s="32">
        <f t="shared" si="15"/>
        <v>0</v>
      </c>
      <c r="S122" s="32">
        <f t="shared" si="16"/>
        <v>0</v>
      </c>
      <c r="T122" s="47">
        <f t="shared" si="17"/>
        <v>0</v>
      </c>
      <c r="U122" s="47">
        <f t="shared" si="18"/>
        <v>0</v>
      </c>
      <c r="V122" s="46"/>
      <c r="W122" s="75"/>
    </row>
    <row r="123" spans="1:23" x14ac:dyDescent="0.25">
      <c r="A123" s="175"/>
      <c r="B123" s="1"/>
      <c r="C123" s="19"/>
      <c r="D123" s="269"/>
      <c r="E123" s="174"/>
      <c r="F123" s="33"/>
      <c r="G123" s="62">
        <f t="shared" si="11"/>
        <v>0</v>
      </c>
      <c r="H123" s="63">
        <f t="shared" si="12"/>
        <v>0</v>
      </c>
      <c r="I123" s="61"/>
      <c r="J123" s="211">
        <f t="shared" si="10"/>
        <v>0</v>
      </c>
      <c r="K123" s="62">
        <f t="shared" si="13"/>
        <v>0</v>
      </c>
      <c r="L123" s="62">
        <f t="shared" si="14"/>
        <v>0</v>
      </c>
      <c r="M123" s="22"/>
      <c r="N123" s="76"/>
      <c r="O123" s="1"/>
      <c r="P123" s="33"/>
      <c r="Q123" s="58">
        <f t="shared" si="19"/>
        <v>0</v>
      </c>
      <c r="R123" s="85">
        <f t="shared" si="15"/>
        <v>0</v>
      </c>
      <c r="S123" s="85">
        <f t="shared" si="16"/>
        <v>0</v>
      </c>
      <c r="T123" s="59">
        <f t="shared" si="17"/>
        <v>0</v>
      </c>
      <c r="U123" s="59">
        <f t="shared" si="18"/>
        <v>0</v>
      </c>
      <c r="V123" s="46"/>
      <c r="W123" s="75"/>
    </row>
    <row r="124" spans="1:23" x14ac:dyDescent="0.25">
      <c r="A124" s="175"/>
      <c r="B124" s="3"/>
      <c r="C124" s="24"/>
      <c r="D124" s="270"/>
      <c r="E124" s="173"/>
      <c r="F124" s="26"/>
      <c r="G124" s="2">
        <f t="shared" si="11"/>
        <v>0</v>
      </c>
      <c r="H124" s="20">
        <f t="shared" si="12"/>
        <v>0</v>
      </c>
      <c r="I124" s="61"/>
      <c r="J124" s="210">
        <f t="shared" si="10"/>
        <v>0</v>
      </c>
      <c r="K124" s="2">
        <f t="shared" si="13"/>
        <v>0</v>
      </c>
      <c r="L124" s="2">
        <f t="shared" si="14"/>
        <v>0</v>
      </c>
      <c r="M124" s="21"/>
      <c r="N124" s="76"/>
      <c r="O124" s="3"/>
      <c r="P124" s="31"/>
      <c r="Q124" s="32">
        <f t="shared" si="19"/>
        <v>0</v>
      </c>
      <c r="R124" s="32">
        <f t="shared" si="15"/>
        <v>0</v>
      </c>
      <c r="S124" s="32">
        <f t="shared" si="16"/>
        <v>0</v>
      </c>
      <c r="T124" s="47">
        <f t="shared" si="17"/>
        <v>0</v>
      </c>
      <c r="U124" s="47">
        <f t="shared" si="18"/>
        <v>0</v>
      </c>
      <c r="V124" s="46"/>
      <c r="W124" s="75"/>
    </row>
    <row r="125" spans="1:23" x14ac:dyDescent="0.25">
      <c r="A125" s="175"/>
      <c r="B125" s="1"/>
      <c r="C125" s="19"/>
      <c r="D125" s="269"/>
      <c r="E125" s="174"/>
      <c r="F125" s="33"/>
      <c r="G125" s="62">
        <f t="shared" si="11"/>
        <v>0</v>
      </c>
      <c r="H125" s="63">
        <f t="shared" si="12"/>
        <v>0</v>
      </c>
      <c r="I125" s="61"/>
      <c r="J125" s="211">
        <f t="shared" si="10"/>
        <v>0</v>
      </c>
      <c r="K125" s="62">
        <f t="shared" si="13"/>
        <v>0</v>
      </c>
      <c r="L125" s="62">
        <f t="shared" si="14"/>
        <v>0</v>
      </c>
      <c r="M125" s="22"/>
      <c r="N125" s="76"/>
      <c r="O125" s="1"/>
      <c r="P125" s="33"/>
      <c r="Q125" s="58">
        <f t="shared" si="19"/>
        <v>0</v>
      </c>
      <c r="R125" s="85">
        <f t="shared" si="15"/>
        <v>0</v>
      </c>
      <c r="S125" s="85">
        <f t="shared" si="16"/>
        <v>0</v>
      </c>
      <c r="T125" s="59">
        <f t="shared" si="17"/>
        <v>0</v>
      </c>
      <c r="U125" s="59">
        <f t="shared" si="18"/>
        <v>0</v>
      </c>
      <c r="V125" s="46"/>
      <c r="W125" s="75"/>
    </row>
    <row r="126" spans="1:23" x14ac:dyDescent="0.25">
      <c r="A126" s="175"/>
      <c r="B126" s="3"/>
      <c r="C126" s="24"/>
      <c r="D126" s="270"/>
      <c r="E126" s="173"/>
      <c r="F126" s="26"/>
      <c r="G126" s="2">
        <f t="shared" si="11"/>
        <v>0</v>
      </c>
      <c r="H126" s="20">
        <f t="shared" si="12"/>
        <v>0</v>
      </c>
      <c r="I126" s="61"/>
      <c r="J126" s="210">
        <f t="shared" si="10"/>
        <v>0</v>
      </c>
      <c r="K126" s="2">
        <f t="shared" si="13"/>
        <v>0</v>
      </c>
      <c r="L126" s="2">
        <f t="shared" si="14"/>
        <v>0</v>
      </c>
      <c r="M126" s="21"/>
      <c r="N126" s="76"/>
      <c r="O126" s="3"/>
      <c r="P126" s="31"/>
      <c r="Q126" s="32">
        <f t="shared" si="19"/>
        <v>0</v>
      </c>
      <c r="R126" s="32">
        <f t="shared" si="15"/>
        <v>0</v>
      </c>
      <c r="S126" s="32">
        <f t="shared" si="16"/>
        <v>0</v>
      </c>
      <c r="T126" s="47">
        <f t="shared" si="17"/>
        <v>0</v>
      </c>
      <c r="U126" s="47">
        <f t="shared" si="18"/>
        <v>0</v>
      </c>
      <c r="V126" s="46"/>
      <c r="W126" s="75"/>
    </row>
    <row r="127" spans="1:23" x14ac:dyDescent="0.25">
      <c r="A127" s="175"/>
      <c r="B127" s="1"/>
      <c r="C127" s="19"/>
      <c r="D127" s="269"/>
      <c r="E127" s="174"/>
      <c r="F127" s="33"/>
      <c r="G127" s="62">
        <f t="shared" si="11"/>
        <v>0</v>
      </c>
      <c r="H127" s="63">
        <f t="shared" si="12"/>
        <v>0</v>
      </c>
      <c r="I127" s="61"/>
      <c r="J127" s="211">
        <f t="shared" si="10"/>
        <v>0</v>
      </c>
      <c r="K127" s="62">
        <f t="shared" si="13"/>
        <v>0</v>
      </c>
      <c r="L127" s="62">
        <f t="shared" si="14"/>
        <v>0</v>
      </c>
      <c r="M127" s="22"/>
      <c r="N127" s="76"/>
      <c r="O127" s="1"/>
      <c r="P127" s="33"/>
      <c r="Q127" s="58">
        <f t="shared" si="19"/>
        <v>0</v>
      </c>
      <c r="R127" s="85">
        <f t="shared" si="15"/>
        <v>0</v>
      </c>
      <c r="S127" s="85">
        <f t="shared" si="16"/>
        <v>0</v>
      </c>
      <c r="T127" s="59">
        <f t="shared" si="17"/>
        <v>0</v>
      </c>
      <c r="U127" s="59">
        <f t="shared" si="18"/>
        <v>0</v>
      </c>
      <c r="V127" s="46"/>
      <c r="W127" s="75"/>
    </row>
    <row r="128" spans="1:23" x14ac:dyDescent="0.25">
      <c r="A128" s="175"/>
      <c r="B128" s="3"/>
      <c r="C128" s="24"/>
      <c r="D128" s="270"/>
      <c r="E128" s="173"/>
      <c r="F128" s="26"/>
      <c r="G128" s="2">
        <f t="shared" si="11"/>
        <v>0</v>
      </c>
      <c r="H128" s="20">
        <f t="shared" si="12"/>
        <v>0</v>
      </c>
      <c r="I128" s="61"/>
      <c r="J128" s="210">
        <f t="shared" si="10"/>
        <v>0</v>
      </c>
      <c r="K128" s="2">
        <f t="shared" si="13"/>
        <v>0</v>
      </c>
      <c r="L128" s="2">
        <f t="shared" si="14"/>
        <v>0</v>
      </c>
      <c r="M128" s="21"/>
      <c r="N128" s="76"/>
      <c r="O128" s="3"/>
      <c r="P128" s="31"/>
      <c r="Q128" s="32">
        <f t="shared" si="19"/>
        <v>0</v>
      </c>
      <c r="R128" s="32">
        <f t="shared" si="15"/>
        <v>0</v>
      </c>
      <c r="S128" s="32">
        <f t="shared" si="16"/>
        <v>0</v>
      </c>
      <c r="T128" s="47">
        <f t="shared" si="17"/>
        <v>0</v>
      </c>
      <c r="U128" s="47">
        <f t="shared" si="18"/>
        <v>0</v>
      </c>
      <c r="V128" s="46"/>
      <c r="W128" s="75"/>
    </row>
    <row r="129" spans="1:23" ht="20.25" customHeight="1" x14ac:dyDescent="0.25">
      <c r="A129" s="177"/>
      <c r="B129" s="195"/>
      <c r="C129" s="195"/>
      <c r="D129" s="271" t="s">
        <v>129</v>
      </c>
      <c r="E129" s="197">
        <f>SUM(E18:E128)</f>
        <v>49</v>
      </c>
      <c r="F129" s="198">
        <f>SUM(F18:F128)</f>
        <v>77052.37</v>
      </c>
      <c r="G129" s="199">
        <f>SUM(G18:G128)</f>
        <v>106332.26999999997</v>
      </c>
      <c r="H129" s="200">
        <f>SUM(H18:H128)</f>
        <v>114313.26</v>
      </c>
      <c r="I129" s="201"/>
      <c r="J129" s="202">
        <f>SUM(J18:J128)</f>
        <v>49</v>
      </c>
      <c r="K129" s="199">
        <f>SUM(K18:K128)</f>
        <v>53166.2</v>
      </c>
      <c r="L129" s="200">
        <f>SUM(L18:L128)</f>
        <v>57156.779999999984</v>
      </c>
      <c r="M129" s="200"/>
      <c r="N129" s="203"/>
      <c r="O129" s="196"/>
      <c r="P129" s="199">
        <f>SUM(P18:P128)</f>
        <v>0</v>
      </c>
      <c r="Q129" s="199">
        <f>SUM(Q18:Q128)</f>
        <v>0</v>
      </c>
      <c r="R129" s="200">
        <f>SUM(R18:R128)</f>
        <v>53166.2</v>
      </c>
      <c r="S129" s="200">
        <f>SUM(S18:S128)</f>
        <v>57156.779999999984</v>
      </c>
      <c r="T129" s="204"/>
      <c r="U129" s="204"/>
      <c r="V129" s="205"/>
      <c r="W129" s="194"/>
    </row>
    <row r="131" spans="1:23" ht="15" customHeight="1" x14ac:dyDescent="0.25">
      <c r="T131" s="207"/>
    </row>
  </sheetData>
  <sheetProtection algorithmName="SHA-512" hashValue="AgDddSlQ1OlGqwGfIpvXo2bXt2t6gjhJtc4l8roA0JM8qBBv6grIaQhgdC2iao1yHL73dBRMY9h+d4Rfm5A1jA==" saltValue="T8PDbas1/iewlWvkC2GH7w==" spinCount="100000" sheet="1" selectLockedCells="1"/>
  <mergeCells count="85">
    <mergeCell ref="Q17:U17"/>
    <mergeCell ref="M15:M17"/>
    <mergeCell ref="O15:U15"/>
    <mergeCell ref="B16:B17"/>
    <mergeCell ref="C16:C17"/>
    <mergeCell ref="D16:D17"/>
    <mergeCell ref="E16:E17"/>
    <mergeCell ref="F16:G16"/>
    <mergeCell ref="J16:J17"/>
    <mergeCell ref="O16:O17"/>
    <mergeCell ref="K17:L17"/>
    <mergeCell ref="B11:C15"/>
    <mergeCell ref="D11:E13"/>
    <mergeCell ref="F11:H12"/>
    <mergeCell ref="J11:M13"/>
    <mergeCell ref="O11:U13"/>
    <mergeCell ref="F13:G13"/>
    <mergeCell ref="F14:H14"/>
    <mergeCell ref="J14:K15"/>
    <mergeCell ref="L14:L15"/>
    <mergeCell ref="F15:H15"/>
    <mergeCell ref="R9:R10"/>
    <mergeCell ref="S9:S10"/>
    <mergeCell ref="T9:T10"/>
    <mergeCell ref="U9:U10"/>
    <mergeCell ref="V9:V10"/>
    <mergeCell ref="L10:M10"/>
    <mergeCell ref="O10:Q10"/>
    <mergeCell ref="D8:E8"/>
    <mergeCell ref="F8:G8"/>
    <mergeCell ref="H8:J8"/>
    <mergeCell ref="L8:M8"/>
    <mergeCell ref="O8:Q8"/>
    <mergeCell ref="D9:E9"/>
    <mergeCell ref="F9:G9"/>
    <mergeCell ref="L9:M9"/>
    <mergeCell ref="O9:Q9"/>
    <mergeCell ref="T6:U6"/>
    <mergeCell ref="D7:E7"/>
    <mergeCell ref="F7:G7"/>
    <mergeCell ref="H7:J7"/>
    <mergeCell ref="L7:M7"/>
    <mergeCell ref="O7:Q7"/>
    <mergeCell ref="R7:S7"/>
    <mergeCell ref="T7:U7"/>
    <mergeCell ref="D6:E6"/>
    <mergeCell ref="F6:G6"/>
    <mergeCell ref="H6:J6"/>
    <mergeCell ref="L6:M6"/>
    <mergeCell ref="O6:Q6"/>
    <mergeCell ref="R6:S6"/>
    <mergeCell ref="T4:U4"/>
    <mergeCell ref="D5:E5"/>
    <mergeCell ref="F5:G5"/>
    <mergeCell ref="H5:J5"/>
    <mergeCell ref="L5:M5"/>
    <mergeCell ref="O5:Q5"/>
    <mergeCell ref="R5:S5"/>
    <mergeCell ref="T5:U5"/>
    <mergeCell ref="D4:E4"/>
    <mergeCell ref="F4:G4"/>
    <mergeCell ref="H4:J4"/>
    <mergeCell ref="L4:M4"/>
    <mergeCell ref="O4:Q4"/>
    <mergeCell ref="R4:S4"/>
    <mergeCell ref="T2:U2"/>
    <mergeCell ref="D3:E3"/>
    <mergeCell ref="F3:G3"/>
    <mergeCell ref="H3:J3"/>
    <mergeCell ref="L3:M3"/>
    <mergeCell ref="O3:Q3"/>
    <mergeCell ref="R3:S3"/>
    <mergeCell ref="T3:U3"/>
    <mergeCell ref="D2:E2"/>
    <mergeCell ref="F2:G2"/>
    <mergeCell ref="H2:J2"/>
    <mergeCell ref="L2:M2"/>
    <mergeCell ref="O2:Q2"/>
    <mergeCell ref="R2:S2"/>
    <mergeCell ref="R1:V1"/>
    <mergeCell ref="B1:C1"/>
    <mergeCell ref="D1:G1"/>
    <mergeCell ref="H1:K1"/>
    <mergeCell ref="L1:N1"/>
    <mergeCell ref="O1:Q1"/>
  </mergeCells>
  <conditionalFormatting sqref="T9:T10">
    <cfRule type="expression" dxfId="20" priority="3" stopIfTrue="1">
      <formula>$T$9&gt;100%</formula>
    </cfRule>
    <cfRule type="expression" dxfId="19" priority="4">
      <formula>$T$9&lt;50%</formula>
    </cfRule>
  </conditionalFormatting>
  <conditionalFormatting sqref="U9:U10">
    <cfRule type="expression" dxfId="18" priority="1">
      <formula>$U$9&lt;50%</formula>
    </cfRule>
    <cfRule type="expression" dxfId="17" priority="2">
      <formula>$U$9&gt;50%</formula>
    </cfRule>
  </conditionalFormatting>
  <dataValidations count="4">
    <dataValidation type="list" showInputMessage="1" showErrorMessage="1" sqref="D18:D128" xr:uid="{B921AFD5-2CB8-4219-B69C-A7D5BD3D4145}">
      <formula1>$Y$18:$Y$29</formula1>
    </dataValidation>
    <dataValidation type="list" allowBlank="1" showInputMessage="1" showErrorMessage="1" sqref="I13" xr:uid="{29D3AF73-9980-462C-A3ED-08E580168A90}">
      <formula1>$K$9:$K$9</formula1>
    </dataValidation>
    <dataValidation type="list" allowBlank="1" showInputMessage="1" showErrorMessage="1" sqref="H13" xr:uid="{76687439-788C-4B4C-B9EE-0387BED601AD}">
      <formula1>$X$13:$X$14</formula1>
    </dataValidation>
    <dataValidation type="list" allowBlank="1" showInputMessage="1" showErrorMessage="1" sqref="F17 P14 P17 K17" xr:uid="{43F16BDC-3233-430F-AD20-DB8C2D76DBAD}">
      <formula1>$X$11:$X$12</formula1>
    </dataValidation>
  </dataValidations>
  <printOptions verticalCentered="1"/>
  <pageMargins left="0.2" right="0.2" top="0.25" bottom="0.25" header="0.05" footer="0.05"/>
  <pageSetup scale="3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AE866-DB94-48AC-A34A-A2B67D97029F}">
  <sheetPr codeName="Sheet1">
    <pageSetUpPr fitToPage="1"/>
  </sheetPr>
  <dimension ref="A1:AA131"/>
  <sheetViews>
    <sheetView zoomScale="85" zoomScaleNormal="85" workbookViewId="0">
      <pane ySplit="17" topLeftCell="A18" activePane="bottomLeft" state="frozen"/>
      <selection pane="bottomLeft" activeCell="B19" sqref="B19"/>
    </sheetView>
  </sheetViews>
  <sheetFormatPr defaultColWidth="9.140625" defaultRowHeight="15" x14ac:dyDescent="0.25"/>
  <cols>
    <col min="1" max="1" width="0.85546875" style="178" customWidth="1"/>
    <col min="2" max="2" width="25.7109375" style="178" customWidth="1"/>
    <col min="3" max="3" width="43.28515625" style="178" customWidth="1"/>
    <col min="4" max="4" width="9.7109375" style="206" customWidth="1"/>
    <col min="5" max="5" width="9.7109375" style="178" customWidth="1"/>
    <col min="6" max="8" width="18.7109375" style="178" customWidth="1"/>
    <col min="9" max="9" width="0.85546875" style="178" customWidth="1"/>
    <col min="10" max="10" width="9.5703125" style="178" customWidth="1"/>
    <col min="11" max="12" width="18.7109375" style="178" customWidth="1"/>
    <col min="13" max="13" width="13.7109375" style="178" customWidth="1"/>
    <col min="14" max="14" width="0.85546875" style="178" customWidth="1"/>
    <col min="15" max="15" width="17.85546875" style="178" customWidth="1"/>
    <col min="16" max="19" width="18.7109375" style="178" customWidth="1"/>
    <col min="20" max="20" width="15" style="178" bestFit="1" customWidth="1"/>
    <col min="21" max="21" width="14.7109375" style="178" bestFit="1" customWidth="1"/>
    <col min="22" max="22" width="13.42578125" style="178" hidden="1" customWidth="1"/>
    <col min="23" max="23" width="0.85546875" style="178" customWidth="1"/>
    <col min="24" max="25" width="9.140625" style="178" hidden="1" customWidth="1"/>
    <col min="26" max="26" width="9.140625" style="178" customWidth="1"/>
    <col min="27" max="27" width="10.5703125" style="178" bestFit="1" customWidth="1"/>
    <col min="28" max="16384" width="9.140625" style="178"/>
  </cols>
  <sheetData>
    <row r="1" spans="1:27" ht="23.25" customHeight="1" x14ac:dyDescent="0.25">
      <c r="A1" s="175"/>
      <c r="B1" s="275" t="s">
        <v>28</v>
      </c>
      <c r="C1" s="272"/>
      <c r="D1" s="276" t="s">
        <v>29</v>
      </c>
      <c r="E1" s="273"/>
      <c r="F1" s="273"/>
      <c r="G1" s="274"/>
      <c r="H1" s="272" t="s">
        <v>30</v>
      </c>
      <c r="I1" s="273"/>
      <c r="J1" s="273"/>
      <c r="K1" s="274"/>
      <c r="L1" s="277" t="s">
        <v>31</v>
      </c>
      <c r="M1" s="278"/>
      <c r="N1" s="278"/>
      <c r="O1" s="273" t="str">
        <f>K17</f>
        <v>CAD $</v>
      </c>
      <c r="P1" s="273"/>
      <c r="Q1" s="274"/>
      <c r="R1" s="272" t="s">
        <v>32</v>
      </c>
      <c r="S1" s="273"/>
      <c r="T1" s="273"/>
      <c r="U1" s="273"/>
      <c r="V1" s="274"/>
      <c r="W1" s="179"/>
      <c r="X1" s="180"/>
      <c r="Y1" s="181"/>
      <c r="Z1" s="181"/>
      <c r="AA1" s="181"/>
    </row>
    <row r="2" spans="1:27" ht="15" customHeight="1" x14ac:dyDescent="0.25">
      <c r="A2" s="175"/>
      <c r="B2" s="239" t="s">
        <v>33</v>
      </c>
      <c r="C2" s="51"/>
      <c r="D2" s="294" t="s">
        <v>34</v>
      </c>
      <c r="E2" s="295"/>
      <c r="F2" s="296"/>
      <c r="G2" s="297"/>
      <c r="H2" s="294" t="s">
        <v>35</v>
      </c>
      <c r="I2" s="298"/>
      <c r="J2" s="295"/>
      <c r="K2" s="52"/>
      <c r="L2" s="299" t="s">
        <v>36</v>
      </c>
      <c r="M2" s="300"/>
      <c r="N2" s="260"/>
      <c r="O2" s="301">
        <f>H129</f>
        <v>0</v>
      </c>
      <c r="P2" s="301"/>
      <c r="Q2" s="302"/>
      <c r="R2" s="303" t="s">
        <v>37</v>
      </c>
      <c r="S2" s="304"/>
      <c r="T2" s="279"/>
      <c r="U2" s="280"/>
      <c r="V2" s="53"/>
      <c r="W2" s="182"/>
      <c r="X2" s="180"/>
      <c r="Y2" s="181"/>
      <c r="Z2" s="181"/>
      <c r="AA2" s="181"/>
    </row>
    <row r="3" spans="1:27" ht="15" customHeight="1" x14ac:dyDescent="0.25">
      <c r="A3" s="175"/>
      <c r="B3" s="240" t="s">
        <v>38</v>
      </c>
      <c r="C3" s="19"/>
      <c r="D3" s="281" t="s">
        <v>39</v>
      </c>
      <c r="E3" s="282"/>
      <c r="F3" s="283"/>
      <c r="G3" s="284"/>
      <c r="H3" s="281" t="s">
        <v>40</v>
      </c>
      <c r="I3" s="285"/>
      <c r="J3" s="282"/>
      <c r="K3" s="50"/>
      <c r="L3" s="286" t="s">
        <v>41</v>
      </c>
      <c r="M3" s="287"/>
      <c r="N3" s="260"/>
      <c r="O3" s="288">
        <f>L129</f>
        <v>0</v>
      </c>
      <c r="P3" s="288"/>
      <c r="Q3" s="289"/>
      <c r="R3" s="290" t="s">
        <v>42</v>
      </c>
      <c r="S3" s="291"/>
      <c r="T3" s="292"/>
      <c r="U3" s="293"/>
      <c r="V3" s="35"/>
      <c r="W3" s="175"/>
      <c r="X3" s="183"/>
      <c r="Y3" s="181"/>
      <c r="Z3" s="181"/>
      <c r="AA3" s="181"/>
    </row>
    <row r="4" spans="1:27" ht="15" customHeight="1" x14ac:dyDescent="0.25">
      <c r="A4" s="175"/>
      <c r="B4" s="241" t="s">
        <v>43</v>
      </c>
      <c r="C4" s="19"/>
      <c r="D4" s="281" t="s">
        <v>44</v>
      </c>
      <c r="E4" s="282"/>
      <c r="F4" s="283"/>
      <c r="G4" s="284"/>
      <c r="H4" s="281" t="s">
        <v>45</v>
      </c>
      <c r="I4" s="285"/>
      <c r="J4" s="282"/>
      <c r="K4" s="50"/>
      <c r="L4" s="286" t="s">
        <v>46</v>
      </c>
      <c r="M4" s="287"/>
      <c r="N4" s="260"/>
      <c r="O4" s="288">
        <f>O2-O3</f>
        <v>0</v>
      </c>
      <c r="P4" s="288"/>
      <c r="Q4" s="289"/>
      <c r="R4" s="290" t="s">
        <v>47</v>
      </c>
      <c r="S4" s="291"/>
      <c r="T4" s="292"/>
      <c r="U4" s="293"/>
      <c r="V4" s="35"/>
      <c r="W4" s="175"/>
      <c r="X4" s="183"/>
      <c r="Y4" s="181"/>
      <c r="Z4" s="181"/>
      <c r="AA4" s="181"/>
    </row>
    <row r="5" spans="1:27" ht="15" customHeight="1" thickBot="1" x14ac:dyDescent="0.3">
      <c r="A5" s="175"/>
      <c r="B5" s="241" t="s">
        <v>48</v>
      </c>
      <c r="C5" s="19"/>
      <c r="D5" s="281" t="s">
        <v>49</v>
      </c>
      <c r="E5" s="282"/>
      <c r="F5" s="283"/>
      <c r="G5" s="284"/>
      <c r="H5" s="281" t="s">
        <v>50</v>
      </c>
      <c r="I5" s="285"/>
      <c r="J5" s="282"/>
      <c r="K5" s="50"/>
      <c r="L5" s="305" t="s">
        <v>51</v>
      </c>
      <c r="M5" s="306"/>
      <c r="N5" s="260"/>
      <c r="O5" s="307" t="str">
        <f>IFERROR((O2-O3)/O2,"")</f>
        <v/>
      </c>
      <c r="P5" s="307"/>
      <c r="Q5" s="308"/>
      <c r="R5" s="290" t="s">
        <v>52</v>
      </c>
      <c r="S5" s="291"/>
      <c r="T5" s="292"/>
      <c r="U5" s="293"/>
      <c r="V5" s="35"/>
      <c r="W5" s="175"/>
      <c r="X5" s="183"/>
      <c r="Y5" s="181"/>
      <c r="Z5" s="181"/>
      <c r="AA5" s="181"/>
    </row>
    <row r="6" spans="1:27" ht="15" customHeight="1" x14ac:dyDescent="0.25">
      <c r="A6" s="175"/>
      <c r="B6" s="241" t="s">
        <v>53</v>
      </c>
      <c r="C6" s="48"/>
      <c r="D6" s="281" t="s">
        <v>54</v>
      </c>
      <c r="E6" s="282"/>
      <c r="F6" s="283"/>
      <c r="G6" s="284"/>
      <c r="H6" s="281" t="s">
        <v>55</v>
      </c>
      <c r="I6" s="285"/>
      <c r="J6" s="282"/>
      <c r="K6" s="50"/>
      <c r="L6" s="317" t="s">
        <v>56</v>
      </c>
      <c r="M6" s="318"/>
      <c r="N6" s="260"/>
      <c r="O6" s="319">
        <f>S129</f>
        <v>0</v>
      </c>
      <c r="P6" s="319"/>
      <c r="Q6" s="320"/>
      <c r="R6" s="290" t="s">
        <v>57</v>
      </c>
      <c r="S6" s="291"/>
      <c r="T6" s="292"/>
      <c r="U6" s="293"/>
      <c r="V6" s="36"/>
      <c r="W6" s="71"/>
      <c r="X6" s="72"/>
      <c r="Y6" s="181"/>
      <c r="Z6" s="181"/>
      <c r="AA6" s="181"/>
    </row>
    <row r="7" spans="1:27" ht="15" customHeight="1" x14ac:dyDescent="0.25">
      <c r="A7" s="175"/>
      <c r="B7" s="241" t="s">
        <v>58</v>
      </c>
      <c r="C7" s="49"/>
      <c r="D7" s="281" t="s">
        <v>59</v>
      </c>
      <c r="E7" s="282"/>
      <c r="F7" s="283"/>
      <c r="G7" s="284"/>
      <c r="H7" s="281" t="s">
        <v>60</v>
      </c>
      <c r="I7" s="285"/>
      <c r="J7" s="282"/>
      <c r="K7" s="50"/>
      <c r="L7" s="309" t="s">
        <v>61</v>
      </c>
      <c r="M7" s="310"/>
      <c r="N7" s="260"/>
      <c r="O7" s="311">
        <f>Q129</f>
        <v>0</v>
      </c>
      <c r="P7" s="311"/>
      <c r="Q7" s="312"/>
      <c r="R7" s="313" t="s">
        <v>62</v>
      </c>
      <c r="S7" s="314"/>
      <c r="T7" s="315"/>
      <c r="U7" s="316"/>
      <c r="V7" s="36"/>
      <c r="W7" s="73"/>
      <c r="X7" s="181"/>
      <c r="Y7" s="181"/>
      <c r="Z7" s="181"/>
      <c r="AA7" s="181"/>
    </row>
    <row r="8" spans="1:27" ht="15" customHeight="1" x14ac:dyDescent="0.25">
      <c r="A8" s="175"/>
      <c r="B8" s="238"/>
      <c r="C8" s="237"/>
      <c r="D8" s="281" t="s">
        <v>63</v>
      </c>
      <c r="E8" s="282"/>
      <c r="F8" s="283"/>
      <c r="G8" s="284"/>
      <c r="H8" s="281" t="s">
        <v>64</v>
      </c>
      <c r="I8" s="285"/>
      <c r="J8" s="282"/>
      <c r="K8" s="50"/>
      <c r="L8" s="309" t="s">
        <v>65</v>
      </c>
      <c r="M8" s="310"/>
      <c r="N8" s="260"/>
      <c r="O8" s="311">
        <f>IF(O1=P14,Q14,IF(P14="CAD $",Q14*D15,IF(P14="USD $",Q14*E15,0)))</f>
        <v>0</v>
      </c>
      <c r="P8" s="311"/>
      <c r="Q8" s="312"/>
      <c r="R8" s="231" t="s">
        <v>66</v>
      </c>
      <c r="S8" s="232" t="s">
        <v>67</v>
      </c>
      <c r="T8" s="232" t="s">
        <v>68</v>
      </c>
      <c r="U8" s="233" t="s">
        <v>69</v>
      </c>
      <c r="V8" s="39"/>
      <c r="W8" s="184"/>
      <c r="X8" s="181"/>
      <c r="Y8" s="181"/>
      <c r="Z8" s="181"/>
      <c r="AA8" s="181"/>
    </row>
    <row r="9" spans="1:27" ht="15" customHeight="1" x14ac:dyDescent="0.25">
      <c r="A9" s="175"/>
      <c r="B9" s="237"/>
      <c r="C9" s="237"/>
      <c r="D9" s="281" t="s">
        <v>70</v>
      </c>
      <c r="E9" s="282"/>
      <c r="F9" s="283"/>
      <c r="G9" s="284"/>
      <c r="H9" s="234"/>
      <c r="I9" s="235"/>
      <c r="J9" s="235"/>
      <c r="K9" s="64"/>
      <c r="L9" s="309" t="s">
        <v>71</v>
      </c>
      <c r="M9" s="310"/>
      <c r="N9" s="260"/>
      <c r="O9" s="323">
        <f>U14</f>
        <v>0</v>
      </c>
      <c r="P9" s="323"/>
      <c r="Q9" s="324"/>
      <c r="R9" s="325">
        <f>O7+O8+O9</f>
        <v>0</v>
      </c>
      <c r="S9" s="325">
        <f>O3-R9</f>
        <v>0</v>
      </c>
      <c r="T9" s="327">
        <f>IFERROR(((O3-R9)/R9),0)</f>
        <v>0</v>
      </c>
      <c r="U9" s="327">
        <f>IFERROR(((O3-R9)/O3),0)</f>
        <v>0</v>
      </c>
      <c r="V9" s="329"/>
      <c r="W9" s="184"/>
      <c r="X9" s="181"/>
      <c r="Y9" s="181"/>
      <c r="Z9" s="181"/>
      <c r="AA9" s="181"/>
    </row>
    <row r="10" spans="1:27" ht="15" customHeight="1" thickBot="1" x14ac:dyDescent="0.3">
      <c r="A10" s="175"/>
      <c r="B10" s="237"/>
      <c r="C10" s="237"/>
      <c r="D10" s="236"/>
      <c r="E10" s="236"/>
      <c r="F10" s="234"/>
      <c r="G10" s="234"/>
      <c r="H10" s="234"/>
      <c r="I10" s="235"/>
      <c r="J10" s="235"/>
      <c r="K10" s="64"/>
      <c r="L10" s="290" t="s">
        <v>72</v>
      </c>
      <c r="M10" s="291"/>
      <c r="N10" s="260"/>
      <c r="O10" s="321">
        <f>E129</f>
        <v>0</v>
      </c>
      <c r="P10" s="321"/>
      <c r="Q10" s="322"/>
      <c r="R10" s="326"/>
      <c r="S10" s="326"/>
      <c r="T10" s="328"/>
      <c r="U10" s="328"/>
      <c r="V10" s="330"/>
      <c r="W10" s="184"/>
      <c r="X10" s="181"/>
      <c r="Y10" s="181"/>
      <c r="Z10" s="181"/>
      <c r="AA10" s="181"/>
    </row>
    <row r="11" spans="1:27" ht="15" customHeight="1" x14ac:dyDescent="0.25">
      <c r="A11" s="175"/>
      <c r="B11" s="368"/>
      <c r="C11" s="369"/>
      <c r="D11" s="372" t="s">
        <v>73</v>
      </c>
      <c r="E11" s="373"/>
      <c r="F11" s="376" t="s">
        <v>36</v>
      </c>
      <c r="G11" s="377"/>
      <c r="H11" s="378"/>
      <c r="I11" s="212"/>
      <c r="J11" s="382" t="s">
        <v>74</v>
      </c>
      <c r="K11" s="383"/>
      <c r="L11" s="383"/>
      <c r="M11" s="384"/>
      <c r="N11" s="260"/>
      <c r="O11" s="391" t="s">
        <v>75</v>
      </c>
      <c r="P11" s="377"/>
      <c r="Q11" s="377"/>
      <c r="R11" s="377"/>
      <c r="S11" s="377"/>
      <c r="T11" s="377"/>
      <c r="U11" s="392"/>
      <c r="V11" s="40"/>
      <c r="W11" s="185"/>
      <c r="X11" s="181" t="s">
        <v>76</v>
      </c>
      <c r="Y11" s="181"/>
      <c r="Z11" s="181"/>
      <c r="AA11" s="181"/>
    </row>
    <row r="12" spans="1:27" ht="15" customHeight="1" x14ac:dyDescent="0.25">
      <c r="A12" s="175"/>
      <c r="B12" s="370"/>
      <c r="C12" s="371"/>
      <c r="D12" s="374"/>
      <c r="E12" s="375"/>
      <c r="F12" s="379"/>
      <c r="G12" s="380"/>
      <c r="H12" s="381"/>
      <c r="I12" s="213"/>
      <c r="J12" s="385"/>
      <c r="K12" s="386"/>
      <c r="L12" s="386"/>
      <c r="M12" s="387"/>
      <c r="N12" s="261"/>
      <c r="O12" s="393"/>
      <c r="P12" s="394"/>
      <c r="Q12" s="394"/>
      <c r="R12" s="394"/>
      <c r="S12" s="394"/>
      <c r="T12" s="394"/>
      <c r="U12" s="395"/>
      <c r="V12" s="41"/>
      <c r="W12" s="185"/>
      <c r="X12" s="181" t="s">
        <v>77</v>
      </c>
      <c r="Y12" s="181"/>
      <c r="Z12" s="181"/>
      <c r="AA12" s="181"/>
    </row>
    <row r="13" spans="1:27" ht="15" customHeight="1" x14ac:dyDescent="0.25">
      <c r="A13" s="175"/>
      <c r="B13" s="370"/>
      <c r="C13" s="371"/>
      <c r="D13" s="338"/>
      <c r="E13" s="339"/>
      <c r="F13" s="331" t="s">
        <v>78</v>
      </c>
      <c r="G13" s="332"/>
      <c r="H13" s="66" t="s">
        <v>79</v>
      </c>
      <c r="I13" s="214"/>
      <c r="J13" s="388"/>
      <c r="K13" s="389"/>
      <c r="L13" s="389"/>
      <c r="M13" s="390"/>
      <c r="N13" s="261"/>
      <c r="O13" s="393"/>
      <c r="P13" s="394"/>
      <c r="Q13" s="394"/>
      <c r="R13" s="394"/>
      <c r="S13" s="394"/>
      <c r="T13" s="394"/>
      <c r="U13" s="395"/>
      <c r="V13" s="42"/>
      <c r="W13" s="185"/>
      <c r="X13" s="181" t="s">
        <v>79</v>
      </c>
      <c r="Y13" s="181"/>
      <c r="Z13" s="181"/>
      <c r="AA13" s="181"/>
    </row>
    <row r="14" spans="1:27" ht="30" customHeight="1" x14ac:dyDescent="0.25">
      <c r="A14" s="175"/>
      <c r="B14" s="370"/>
      <c r="C14" s="371"/>
      <c r="D14" s="229" t="s">
        <v>80</v>
      </c>
      <c r="E14" s="230" t="s">
        <v>81</v>
      </c>
      <c r="F14" s="333" t="s">
        <v>82</v>
      </c>
      <c r="G14" s="334"/>
      <c r="H14" s="335"/>
      <c r="I14" s="215"/>
      <c r="J14" s="336" t="s">
        <v>83</v>
      </c>
      <c r="K14" s="337"/>
      <c r="L14" s="340">
        <v>0.5</v>
      </c>
      <c r="M14" s="226"/>
      <c r="N14" s="262"/>
      <c r="O14" s="223" t="s">
        <v>84</v>
      </c>
      <c r="P14" s="55" t="s">
        <v>77</v>
      </c>
      <c r="Q14" s="69"/>
      <c r="R14" s="223" t="s">
        <v>85</v>
      </c>
      <c r="S14" s="70">
        <v>2.5000000000000001E-2</v>
      </c>
      <c r="T14" s="223" t="s">
        <v>86</v>
      </c>
      <c r="U14" s="222">
        <f>ROUND(Q129*S14,2)</f>
        <v>0</v>
      </c>
      <c r="V14" s="43"/>
      <c r="W14" s="185"/>
      <c r="X14" s="181" t="s">
        <v>87</v>
      </c>
      <c r="Y14" s="181"/>
      <c r="Z14" s="181"/>
      <c r="AA14" s="181"/>
    </row>
    <row r="15" spans="1:27" ht="15" customHeight="1" x14ac:dyDescent="0.25">
      <c r="A15" s="175"/>
      <c r="B15" s="370"/>
      <c r="C15" s="371"/>
      <c r="D15" s="259">
        <f>1/E15</f>
        <v>0.7246376811594204</v>
      </c>
      <c r="E15" s="25">
        <v>1.38</v>
      </c>
      <c r="F15" s="342"/>
      <c r="G15" s="343"/>
      <c r="H15" s="344"/>
      <c r="I15" s="216"/>
      <c r="J15" s="338"/>
      <c r="K15" s="339"/>
      <c r="L15" s="341"/>
      <c r="M15" s="348" t="s">
        <v>88</v>
      </c>
      <c r="N15" s="262"/>
      <c r="O15" s="350" t="s">
        <v>89</v>
      </c>
      <c r="P15" s="351"/>
      <c r="Q15" s="351"/>
      <c r="R15" s="351"/>
      <c r="S15" s="351"/>
      <c r="T15" s="351"/>
      <c r="U15" s="352"/>
      <c r="V15" s="37"/>
      <c r="W15" s="186"/>
      <c r="X15" s="181"/>
      <c r="Y15" s="181"/>
      <c r="Z15" s="181"/>
      <c r="AA15" s="181"/>
    </row>
    <row r="16" spans="1:27" ht="15" customHeight="1" x14ac:dyDescent="0.25">
      <c r="A16" s="175"/>
      <c r="B16" s="353" t="s">
        <v>90</v>
      </c>
      <c r="C16" s="355" t="s">
        <v>91</v>
      </c>
      <c r="D16" s="357" t="s">
        <v>92</v>
      </c>
      <c r="E16" s="359" t="s">
        <v>93</v>
      </c>
      <c r="F16" s="356" t="s">
        <v>94</v>
      </c>
      <c r="G16" s="361"/>
      <c r="H16" s="227" t="s">
        <v>95</v>
      </c>
      <c r="I16" s="217"/>
      <c r="J16" s="362" t="s">
        <v>93</v>
      </c>
      <c r="K16" s="224" t="s">
        <v>96</v>
      </c>
      <c r="L16" s="221" t="s">
        <v>97</v>
      </c>
      <c r="M16" s="348"/>
      <c r="N16" s="263"/>
      <c r="O16" s="364" t="s">
        <v>98</v>
      </c>
      <c r="P16" s="219" t="s">
        <v>99</v>
      </c>
      <c r="Q16" s="219" t="s">
        <v>100</v>
      </c>
      <c r="R16" s="220" t="s">
        <v>101</v>
      </c>
      <c r="S16" s="220" t="s">
        <v>102</v>
      </c>
      <c r="T16" s="221" t="s">
        <v>103</v>
      </c>
      <c r="U16" s="221" t="s">
        <v>104</v>
      </c>
      <c r="V16" s="44"/>
      <c r="W16" s="187"/>
      <c r="X16" s="181"/>
      <c r="Y16" s="181"/>
      <c r="Z16" s="181"/>
      <c r="AA16" s="181"/>
    </row>
    <row r="17" spans="1:27" s="190" customFormat="1" ht="15" customHeight="1" x14ac:dyDescent="0.25">
      <c r="A17" s="176"/>
      <c r="B17" s="354"/>
      <c r="C17" s="356"/>
      <c r="D17" s="358"/>
      <c r="E17" s="360"/>
      <c r="F17" s="55" t="s">
        <v>77</v>
      </c>
      <c r="G17" s="228" t="str">
        <f>IF(F17="USD $", "CAD $", "USD $")</f>
        <v>CAD $</v>
      </c>
      <c r="H17" s="225" t="str">
        <f>K17</f>
        <v>CAD $</v>
      </c>
      <c r="I17" s="218"/>
      <c r="J17" s="363"/>
      <c r="K17" s="366" t="s">
        <v>76</v>
      </c>
      <c r="L17" s="367"/>
      <c r="M17" s="349"/>
      <c r="N17" s="264"/>
      <c r="O17" s="365"/>
      <c r="P17" s="55" t="s">
        <v>77</v>
      </c>
      <c r="Q17" s="345" t="str">
        <f>K17</f>
        <v>CAD $</v>
      </c>
      <c r="R17" s="346"/>
      <c r="S17" s="346"/>
      <c r="T17" s="346"/>
      <c r="U17" s="347"/>
      <c r="V17" s="38"/>
      <c r="W17" s="188"/>
      <c r="X17" s="189"/>
      <c r="Y17" s="189"/>
      <c r="Z17" s="189"/>
      <c r="AA17" s="189"/>
    </row>
    <row r="18" spans="1:27" x14ac:dyDescent="0.25">
      <c r="A18" s="175"/>
      <c r="B18" s="3"/>
      <c r="C18" s="23" t="s">
        <v>137</v>
      </c>
      <c r="D18" s="268"/>
      <c r="E18" s="173"/>
      <c r="F18" s="26"/>
      <c r="G18" s="27">
        <f>ROUND(IF($F$17="USD $", F18*$E$15,F18*$D$15),2)</f>
        <v>0</v>
      </c>
      <c r="H18" s="28">
        <f>ROUND(IF($H$17=$G$17,E18*G18,E18*F18),2)</f>
        <v>0</v>
      </c>
      <c r="I18" s="29"/>
      <c r="J18" s="209">
        <f t="shared" ref="J18" si="0">E18</f>
        <v>0</v>
      </c>
      <c r="K18" s="27">
        <f>ROUND(IF($K$17=$F$17,F18*($L$14-M18),G18*($L$14-M18)),2)</f>
        <v>0</v>
      </c>
      <c r="L18" s="27">
        <f>ROUND((J18*K18),2)</f>
        <v>0</v>
      </c>
      <c r="M18" s="54"/>
      <c r="N18" s="76"/>
      <c r="O18" s="3"/>
      <c r="P18" s="31"/>
      <c r="Q18" s="32">
        <f>ROUND(IF($Q$17=$P$17,P18,IF($Q$17="USD $",P18*$D$15,P18*$E$15))*E18,2)</f>
        <v>0</v>
      </c>
      <c r="R18" s="32">
        <f>IFERROR(ROUND(S18/E18,2),0)</f>
        <v>0</v>
      </c>
      <c r="S18" s="32">
        <f>ROUND(L18-Q18,2)</f>
        <v>0</v>
      </c>
      <c r="T18" s="47">
        <f>IFERROR(((K18-(Q18/J18))/(Q18/J18)),0)</f>
        <v>0</v>
      </c>
      <c r="U18" s="47">
        <f>IFERROR(((K18-(Q18/J18))/K18),0)</f>
        <v>0</v>
      </c>
      <c r="V18" s="45"/>
      <c r="W18" s="74"/>
      <c r="X18" s="181"/>
      <c r="Y18" s="181">
        <v>250</v>
      </c>
      <c r="Z18" s="191"/>
      <c r="AA18" s="192"/>
    </row>
    <row r="19" spans="1:27" x14ac:dyDescent="0.25">
      <c r="A19" s="175"/>
      <c r="B19" s="1"/>
      <c r="C19" s="19" t="s">
        <v>173</v>
      </c>
      <c r="D19" s="269"/>
      <c r="E19" s="174"/>
      <c r="F19" s="33"/>
      <c r="G19" s="56">
        <f t="shared" ref="G19:G82" si="1">ROUND(IF($F$17="USD $", F19*$E$15,F19*$D$15),2)</f>
        <v>0</v>
      </c>
      <c r="H19" s="57">
        <f t="shared" ref="H19:H82" si="2">ROUND(IF($H$17=$G$17,E19*G19,E19*F19),2)</f>
        <v>0</v>
      </c>
      <c r="I19" s="60"/>
      <c r="J19" s="208">
        <f t="shared" ref="J19:J82" si="3">E19</f>
        <v>0</v>
      </c>
      <c r="K19" s="56">
        <f t="shared" ref="K19:K82" si="4">ROUND(IF($K$17=$F$17,F19*($L$14-M19),G19*($L$14-M19)),2)</f>
        <v>0</v>
      </c>
      <c r="L19" s="56">
        <f t="shared" ref="L19:L82" si="5">ROUND((J19*K19),2)</f>
        <v>0</v>
      </c>
      <c r="M19" s="34"/>
      <c r="N19" s="76"/>
      <c r="O19" s="1"/>
      <c r="P19" s="33"/>
      <c r="Q19" s="58">
        <f>ROUND(IF($Q$17=$P$17,P19,IF($Q$17="USD $",P19*$D$15,P19*$E$15))*E19,2)</f>
        <v>0</v>
      </c>
      <c r="R19" s="85">
        <f t="shared" ref="R19:R82" si="6">IFERROR(ROUND(S19/E19,2),0)</f>
        <v>0</v>
      </c>
      <c r="S19" s="85">
        <f t="shared" ref="S19:S82" si="7">ROUND(L19-Q19,2)</f>
        <v>0</v>
      </c>
      <c r="T19" s="59">
        <f t="shared" ref="T19:T20" si="8">IFERROR(((K19-(Q19/J19))/(Q19/J19)),0)</f>
        <v>0</v>
      </c>
      <c r="U19" s="59">
        <f t="shared" ref="U19:U20" si="9">IFERROR(((K19-(Q19/J19))/K19),0)</f>
        <v>0</v>
      </c>
      <c r="V19" s="46"/>
      <c r="W19" s="74"/>
      <c r="X19" s="181" t="s">
        <v>105</v>
      </c>
      <c r="Y19" s="181">
        <v>500</v>
      </c>
      <c r="Z19" s="181"/>
      <c r="AA19" s="181"/>
    </row>
    <row r="20" spans="1:27" x14ac:dyDescent="0.25">
      <c r="A20" s="175"/>
      <c r="B20" s="3"/>
      <c r="C20" s="24" t="s">
        <v>140</v>
      </c>
      <c r="D20" s="270"/>
      <c r="E20" s="173"/>
      <c r="F20" s="26"/>
      <c r="G20" s="27">
        <f t="shared" si="1"/>
        <v>0</v>
      </c>
      <c r="H20" s="28">
        <f t="shared" si="2"/>
        <v>0</v>
      </c>
      <c r="I20" s="60"/>
      <c r="J20" s="209">
        <f t="shared" si="3"/>
        <v>0</v>
      </c>
      <c r="K20" s="27">
        <f t="shared" si="4"/>
        <v>0</v>
      </c>
      <c r="L20" s="27">
        <f t="shared" si="5"/>
        <v>0</v>
      </c>
      <c r="M20" s="30"/>
      <c r="N20" s="76"/>
      <c r="O20" s="3"/>
      <c r="P20" s="31"/>
      <c r="Q20" s="32">
        <f t="shared" ref="Q20:Q83" si="10">ROUND(IF($Q$17=$P$17,P20,IF($Q$17="USD $",P20*$D$15,P20*$E$15))*E20,2)</f>
        <v>0</v>
      </c>
      <c r="R20" s="32">
        <f t="shared" si="6"/>
        <v>0</v>
      </c>
      <c r="S20" s="32">
        <f t="shared" si="7"/>
        <v>0</v>
      </c>
      <c r="T20" s="47">
        <f t="shared" si="8"/>
        <v>0</v>
      </c>
      <c r="U20" s="47">
        <f t="shared" si="9"/>
        <v>0</v>
      </c>
      <c r="V20" s="45"/>
      <c r="W20" s="74"/>
      <c r="X20" s="181" t="s">
        <v>106</v>
      </c>
      <c r="Y20" s="181">
        <v>750</v>
      </c>
      <c r="Z20" s="181"/>
      <c r="AA20" s="181"/>
    </row>
    <row r="21" spans="1:27" x14ac:dyDescent="0.25">
      <c r="A21" s="175"/>
      <c r="B21" s="1"/>
      <c r="C21" s="19" t="s">
        <v>142</v>
      </c>
      <c r="D21" s="269"/>
      <c r="E21" s="174"/>
      <c r="F21" s="33"/>
      <c r="G21" s="56">
        <f t="shared" si="1"/>
        <v>0</v>
      </c>
      <c r="H21" s="57">
        <f t="shared" si="2"/>
        <v>0</v>
      </c>
      <c r="I21" s="60"/>
      <c r="J21" s="208">
        <f t="shared" si="3"/>
        <v>0</v>
      </c>
      <c r="K21" s="56">
        <f t="shared" si="4"/>
        <v>0</v>
      </c>
      <c r="L21" s="56">
        <f t="shared" si="5"/>
        <v>0</v>
      </c>
      <c r="M21" s="34"/>
      <c r="N21" s="76"/>
      <c r="O21" s="1"/>
      <c r="P21" s="33"/>
      <c r="Q21" s="58">
        <f t="shared" si="10"/>
        <v>0</v>
      </c>
      <c r="R21" s="85">
        <f t="shared" si="6"/>
        <v>0</v>
      </c>
      <c r="S21" s="85">
        <f t="shared" si="7"/>
        <v>0</v>
      </c>
      <c r="T21" s="59">
        <f t="shared" ref="T21:T84" si="11">IFERROR(((K21-(Q21/J21))/(Q21/J21)),0)</f>
        <v>0</v>
      </c>
      <c r="U21" s="59">
        <f t="shared" ref="U21:U84" si="12">IFERROR(((K21-(Q21/J21))/K21),0)</f>
        <v>0</v>
      </c>
      <c r="V21" s="46"/>
      <c r="W21" s="74"/>
      <c r="X21" s="181" t="s">
        <v>108</v>
      </c>
      <c r="Y21" s="181">
        <v>1000</v>
      </c>
      <c r="Z21" s="181"/>
      <c r="AA21" s="181"/>
    </row>
    <row r="22" spans="1:27" x14ac:dyDescent="0.25">
      <c r="A22" s="175"/>
      <c r="B22" s="3"/>
      <c r="C22" s="24" t="s">
        <v>144</v>
      </c>
      <c r="D22" s="270"/>
      <c r="E22" s="173"/>
      <c r="F22" s="26"/>
      <c r="G22" s="27">
        <f t="shared" si="1"/>
        <v>0</v>
      </c>
      <c r="H22" s="28">
        <f t="shared" si="2"/>
        <v>0</v>
      </c>
      <c r="I22" s="60"/>
      <c r="J22" s="209">
        <f t="shared" si="3"/>
        <v>0</v>
      </c>
      <c r="K22" s="27">
        <f t="shared" si="4"/>
        <v>0</v>
      </c>
      <c r="L22" s="27">
        <f t="shared" si="5"/>
        <v>0</v>
      </c>
      <c r="M22" s="30"/>
      <c r="N22" s="76"/>
      <c r="O22" s="3"/>
      <c r="P22" s="31"/>
      <c r="Q22" s="32">
        <f t="shared" si="10"/>
        <v>0</v>
      </c>
      <c r="R22" s="32">
        <f t="shared" si="6"/>
        <v>0</v>
      </c>
      <c r="S22" s="32">
        <f t="shared" si="7"/>
        <v>0</v>
      </c>
      <c r="T22" s="47">
        <f t="shared" si="11"/>
        <v>0</v>
      </c>
      <c r="U22" s="47">
        <f t="shared" si="12"/>
        <v>0</v>
      </c>
      <c r="V22" s="45"/>
      <c r="W22" s="74"/>
      <c r="X22" s="181" t="s">
        <v>109</v>
      </c>
      <c r="Y22" s="181">
        <v>1200</v>
      </c>
      <c r="Z22" s="181"/>
      <c r="AA22" s="181"/>
    </row>
    <row r="23" spans="1:27" x14ac:dyDescent="0.25">
      <c r="A23" s="175"/>
      <c r="B23" s="1"/>
      <c r="C23" s="19" t="s">
        <v>145</v>
      </c>
      <c r="D23" s="269"/>
      <c r="E23" s="174"/>
      <c r="F23" s="33"/>
      <c r="G23" s="56">
        <f t="shared" si="1"/>
        <v>0</v>
      </c>
      <c r="H23" s="57">
        <f t="shared" si="2"/>
        <v>0</v>
      </c>
      <c r="I23" s="60"/>
      <c r="J23" s="208">
        <f t="shared" si="3"/>
        <v>0</v>
      </c>
      <c r="K23" s="56">
        <f t="shared" si="4"/>
        <v>0</v>
      </c>
      <c r="L23" s="56">
        <f t="shared" si="5"/>
        <v>0</v>
      </c>
      <c r="M23" s="34"/>
      <c r="N23" s="76"/>
      <c r="O23" s="1"/>
      <c r="P23" s="33"/>
      <c r="Q23" s="58">
        <f t="shared" si="10"/>
        <v>0</v>
      </c>
      <c r="R23" s="85">
        <f t="shared" si="6"/>
        <v>0</v>
      </c>
      <c r="S23" s="85">
        <f t="shared" si="7"/>
        <v>0</v>
      </c>
      <c r="T23" s="59">
        <f t="shared" si="11"/>
        <v>0</v>
      </c>
      <c r="U23" s="59">
        <f t="shared" si="12"/>
        <v>0</v>
      </c>
      <c r="V23" s="46"/>
      <c r="W23" s="74"/>
      <c r="X23" s="181" t="s">
        <v>111</v>
      </c>
      <c r="Y23" s="181">
        <v>2000</v>
      </c>
      <c r="Z23" s="181"/>
      <c r="AA23" s="181"/>
    </row>
    <row r="24" spans="1:27" x14ac:dyDescent="0.25">
      <c r="A24" s="175"/>
      <c r="B24" s="3"/>
      <c r="C24" s="24" t="s">
        <v>110</v>
      </c>
      <c r="D24" s="270"/>
      <c r="E24" s="173"/>
      <c r="F24" s="26"/>
      <c r="G24" s="27">
        <f t="shared" si="1"/>
        <v>0</v>
      </c>
      <c r="H24" s="28">
        <f t="shared" si="2"/>
        <v>0</v>
      </c>
      <c r="I24" s="60"/>
      <c r="J24" s="209">
        <f t="shared" si="3"/>
        <v>0</v>
      </c>
      <c r="K24" s="27">
        <f t="shared" si="4"/>
        <v>0</v>
      </c>
      <c r="L24" s="27">
        <f t="shared" si="5"/>
        <v>0</v>
      </c>
      <c r="M24" s="30"/>
      <c r="N24" s="76"/>
      <c r="O24" s="3"/>
      <c r="P24" s="31"/>
      <c r="Q24" s="32">
        <f t="shared" si="10"/>
        <v>0</v>
      </c>
      <c r="R24" s="32">
        <f t="shared" si="6"/>
        <v>0</v>
      </c>
      <c r="S24" s="32">
        <f t="shared" si="7"/>
        <v>0</v>
      </c>
      <c r="T24" s="47">
        <f t="shared" si="11"/>
        <v>0</v>
      </c>
      <c r="U24" s="47">
        <f t="shared" si="12"/>
        <v>0</v>
      </c>
      <c r="V24" s="45"/>
      <c r="W24" s="74"/>
      <c r="X24" s="181" t="s">
        <v>112</v>
      </c>
      <c r="Y24" s="181">
        <v>4000</v>
      </c>
      <c r="Z24" s="181"/>
      <c r="AA24" s="181"/>
    </row>
    <row r="25" spans="1:27" x14ac:dyDescent="0.25">
      <c r="A25" s="175"/>
      <c r="B25" s="1"/>
      <c r="C25" s="19" t="s">
        <v>130</v>
      </c>
      <c r="D25" s="269"/>
      <c r="E25" s="174"/>
      <c r="F25" s="33"/>
      <c r="G25" s="56">
        <f t="shared" si="1"/>
        <v>0</v>
      </c>
      <c r="H25" s="57">
        <f t="shared" si="2"/>
        <v>0</v>
      </c>
      <c r="I25" s="60"/>
      <c r="J25" s="208">
        <f t="shared" si="3"/>
        <v>0</v>
      </c>
      <c r="K25" s="56">
        <f t="shared" si="4"/>
        <v>0</v>
      </c>
      <c r="L25" s="56">
        <f t="shared" si="5"/>
        <v>0</v>
      </c>
      <c r="M25" s="34"/>
      <c r="N25" s="76"/>
      <c r="O25" s="1"/>
      <c r="P25" s="33"/>
      <c r="Q25" s="58">
        <f t="shared" si="10"/>
        <v>0</v>
      </c>
      <c r="R25" s="85">
        <f t="shared" si="6"/>
        <v>0</v>
      </c>
      <c r="S25" s="85">
        <f t="shared" si="7"/>
        <v>0</v>
      </c>
      <c r="T25" s="59">
        <f t="shared" si="11"/>
        <v>0</v>
      </c>
      <c r="U25" s="59">
        <f t="shared" si="12"/>
        <v>0</v>
      </c>
      <c r="V25" s="46"/>
      <c r="W25" s="74"/>
      <c r="X25" s="181" t="s">
        <v>114</v>
      </c>
      <c r="Y25" s="181">
        <v>6000</v>
      </c>
      <c r="Z25" s="181"/>
      <c r="AA25" s="181"/>
    </row>
    <row r="26" spans="1:27" x14ac:dyDescent="0.25">
      <c r="A26" s="175"/>
      <c r="B26" s="3"/>
      <c r="C26" s="24" t="s">
        <v>235</v>
      </c>
      <c r="D26" s="270"/>
      <c r="E26" s="173"/>
      <c r="F26" s="26"/>
      <c r="G26" s="27">
        <f t="shared" si="1"/>
        <v>0</v>
      </c>
      <c r="H26" s="28">
        <f t="shared" si="2"/>
        <v>0</v>
      </c>
      <c r="I26" s="60"/>
      <c r="J26" s="209">
        <f t="shared" si="3"/>
        <v>0</v>
      </c>
      <c r="K26" s="27">
        <f t="shared" si="4"/>
        <v>0</v>
      </c>
      <c r="L26" s="27">
        <f t="shared" si="5"/>
        <v>0</v>
      </c>
      <c r="M26" s="30"/>
      <c r="N26" s="76"/>
      <c r="O26" s="3"/>
      <c r="P26" s="31"/>
      <c r="Q26" s="32">
        <f t="shared" si="10"/>
        <v>0</v>
      </c>
      <c r="R26" s="32">
        <f t="shared" si="6"/>
        <v>0</v>
      </c>
      <c r="S26" s="32">
        <f t="shared" si="7"/>
        <v>0</v>
      </c>
      <c r="T26" s="47">
        <f t="shared" si="11"/>
        <v>0</v>
      </c>
      <c r="U26" s="47">
        <f t="shared" si="12"/>
        <v>0</v>
      </c>
      <c r="V26" s="45"/>
      <c r="W26" s="74"/>
      <c r="X26" s="181" t="s">
        <v>115</v>
      </c>
      <c r="Y26" s="181">
        <v>8000</v>
      </c>
      <c r="Z26" s="181"/>
      <c r="AA26" s="181"/>
    </row>
    <row r="27" spans="1:27" x14ac:dyDescent="0.25">
      <c r="A27" s="175"/>
      <c r="B27" s="1"/>
      <c r="C27" s="19"/>
      <c r="D27" s="269"/>
      <c r="E27" s="174"/>
      <c r="F27" s="33"/>
      <c r="G27" s="56">
        <f t="shared" si="1"/>
        <v>0</v>
      </c>
      <c r="H27" s="57">
        <f t="shared" si="2"/>
        <v>0</v>
      </c>
      <c r="I27" s="60"/>
      <c r="J27" s="208">
        <f t="shared" si="3"/>
        <v>0</v>
      </c>
      <c r="K27" s="56">
        <f t="shared" si="4"/>
        <v>0</v>
      </c>
      <c r="L27" s="56">
        <f t="shared" si="5"/>
        <v>0</v>
      </c>
      <c r="M27" s="34"/>
      <c r="N27" s="76"/>
      <c r="O27" s="1"/>
      <c r="P27" s="33"/>
      <c r="Q27" s="58">
        <f t="shared" si="10"/>
        <v>0</v>
      </c>
      <c r="R27" s="85">
        <f t="shared" si="6"/>
        <v>0</v>
      </c>
      <c r="S27" s="85">
        <f t="shared" si="7"/>
        <v>0</v>
      </c>
      <c r="T27" s="59">
        <f t="shared" si="11"/>
        <v>0</v>
      </c>
      <c r="U27" s="59">
        <f t="shared" si="12"/>
        <v>0</v>
      </c>
      <c r="V27" s="46"/>
      <c r="W27" s="74"/>
      <c r="X27" s="181" t="s">
        <v>116</v>
      </c>
      <c r="Y27" s="193">
        <v>10000</v>
      </c>
      <c r="Z27" s="181"/>
      <c r="AA27" s="181"/>
    </row>
    <row r="28" spans="1:27" x14ac:dyDescent="0.25">
      <c r="A28" s="175"/>
      <c r="B28" s="3"/>
      <c r="C28" s="24" t="s">
        <v>236</v>
      </c>
      <c r="D28" s="270"/>
      <c r="E28" s="173"/>
      <c r="F28" s="26"/>
      <c r="G28" s="27">
        <f t="shared" si="1"/>
        <v>0</v>
      </c>
      <c r="H28" s="28">
        <f t="shared" si="2"/>
        <v>0</v>
      </c>
      <c r="I28" s="60"/>
      <c r="J28" s="209">
        <f t="shared" si="3"/>
        <v>0</v>
      </c>
      <c r="K28" s="27">
        <f t="shared" si="4"/>
        <v>0</v>
      </c>
      <c r="L28" s="27">
        <f t="shared" si="5"/>
        <v>0</v>
      </c>
      <c r="M28" s="30"/>
      <c r="N28" s="76"/>
      <c r="O28" s="3"/>
      <c r="P28" s="31"/>
      <c r="Q28" s="32">
        <f t="shared" si="10"/>
        <v>0</v>
      </c>
      <c r="R28" s="32">
        <f t="shared" si="6"/>
        <v>0</v>
      </c>
      <c r="S28" s="32">
        <f t="shared" si="7"/>
        <v>0</v>
      </c>
      <c r="T28" s="47">
        <f t="shared" si="11"/>
        <v>0</v>
      </c>
      <c r="U28" s="47">
        <f t="shared" si="12"/>
        <v>0</v>
      </c>
      <c r="V28" s="45"/>
      <c r="W28" s="74"/>
      <c r="X28" s="181" t="s">
        <v>117</v>
      </c>
      <c r="Y28" s="181" t="s">
        <v>118</v>
      </c>
      <c r="Z28" s="181"/>
      <c r="AA28" s="181"/>
    </row>
    <row r="29" spans="1:27" x14ac:dyDescent="0.25">
      <c r="A29" s="175"/>
      <c r="B29" s="1"/>
      <c r="C29" s="19" t="s">
        <v>166</v>
      </c>
      <c r="D29" s="269"/>
      <c r="E29" s="174"/>
      <c r="F29" s="33"/>
      <c r="G29" s="56">
        <f>ROUND(IF($F$17="USD $", F29*$E$15,F29*$D$15),2)</f>
        <v>0</v>
      </c>
      <c r="H29" s="57">
        <f>ROUND(IF($H$17=$G$17,E29*G29,E29*F29),2)</f>
        <v>0</v>
      </c>
      <c r="I29" s="60"/>
      <c r="J29" s="208">
        <f t="shared" si="3"/>
        <v>0</v>
      </c>
      <c r="K29" s="56">
        <f t="shared" si="4"/>
        <v>0</v>
      </c>
      <c r="L29" s="56">
        <f>ROUND((J29*K29),2)</f>
        <v>0</v>
      </c>
      <c r="M29" s="34"/>
      <c r="N29" s="76"/>
      <c r="O29" s="1"/>
      <c r="P29" s="33"/>
      <c r="Q29" s="58">
        <f t="shared" si="10"/>
        <v>0</v>
      </c>
      <c r="R29" s="85">
        <f t="shared" si="6"/>
        <v>0</v>
      </c>
      <c r="S29" s="85">
        <f t="shared" si="7"/>
        <v>0</v>
      </c>
      <c r="T29" s="59">
        <f t="shared" si="11"/>
        <v>0</v>
      </c>
      <c r="U29" s="59">
        <f t="shared" si="12"/>
        <v>0</v>
      </c>
      <c r="V29" s="46"/>
      <c r="W29" s="74"/>
      <c r="X29" s="181" t="s">
        <v>120</v>
      </c>
      <c r="Y29" s="181"/>
      <c r="Z29" s="181"/>
      <c r="AA29" s="181"/>
    </row>
    <row r="30" spans="1:27" x14ac:dyDescent="0.25">
      <c r="A30" s="175"/>
      <c r="B30" s="3"/>
      <c r="C30" s="24" t="s">
        <v>178</v>
      </c>
      <c r="D30" s="270"/>
      <c r="E30" s="173"/>
      <c r="F30" s="26"/>
      <c r="G30" s="27">
        <f t="shared" si="1"/>
        <v>0</v>
      </c>
      <c r="H30" s="28">
        <f t="shared" si="2"/>
        <v>0</v>
      </c>
      <c r="I30" s="60"/>
      <c r="J30" s="209">
        <f t="shared" si="3"/>
        <v>0</v>
      </c>
      <c r="K30" s="27">
        <f t="shared" si="4"/>
        <v>0</v>
      </c>
      <c r="L30" s="27">
        <f t="shared" si="5"/>
        <v>0</v>
      </c>
      <c r="M30" s="30"/>
      <c r="N30" s="76"/>
      <c r="O30" s="3"/>
      <c r="P30" s="31"/>
      <c r="Q30" s="32">
        <f t="shared" si="10"/>
        <v>0</v>
      </c>
      <c r="R30" s="32">
        <f t="shared" si="6"/>
        <v>0</v>
      </c>
      <c r="S30" s="32">
        <f t="shared" si="7"/>
        <v>0</v>
      </c>
      <c r="T30" s="47">
        <f t="shared" si="11"/>
        <v>0</v>
      </c>
      <c r="U30" s="47">
        <f t="shared" si="12"/>
        <v>0</v>
      </c>
      <c r="V30" s="45"/>
      <c r="W30" s="74"/>
      <c r="X30" s="181"/>
      <c r="Y30" s="181"/>
      <c r="Z30" s="181"/>
      <c r="AA30" s="181"/>
    </row>
    <row r="31" spans="1:27" x14ac:dyDescent="0.25">
      <c r="A31" s="175"/>
      <c r="B31" s="1"/>
      <c r="C31" s="19" t="s">
        <v>168</v>
      </c>
      <c r="D31" s="269"/>
      <c r="E31" s="174"/>
      <c r="F31" s="33"/>
      <c r="G31" s="56">
        <f t="shared" si="1"/>
        <v>0</v>
      </c>
      <c r="H31" s="57">
        <f t="shared" si="2"/>
        <v>0</v>
      </c>
      <c r="I31" s="60"/>
      <c r="J31" s="208">
        <f t="shared" si="3"/>
        <v>0</v>
      </c>
      <c r="K31" s="56">
        <f t="shared" si="4"/>
        <v>0</v>
      </c>
      <c r="L31" s="56">
        <f t="shared" si="5"/>
        <v>0</v>
      </c>
      <c r="M31" s="34"/>
      <c r="N31" s="76"/>
      <c r="O31" s="1"/>
      <c r="P31" s="33"/>
      <c r="Q31" s="58">
        <f t="shared" si="10"/>
        <v>0</v>
      </c>
      <c r="R31" s="85">
        <f t="shared" si="6"/>
        <v>0</v>
      </c>
      <c r="S31" s="85">
        <f t="shared" si="7"/>
        <v>0</v>
      </c>
      <c r="T31" s="59">
        <f t="shared" si="11"/>
        <v>0</v>
      </c>
      <c r="U31" s="59">
        <f t="shared" si="12"/>
        <v>0</v>
      </c>
      <c r="V31" s="46"/>
      <c r="W31" s="74"/>
      <c r="X31" s="181"/>
      <c r="Y31" s="181"/>
      <c r="Z31" s="181"/>
      <c r="AA31" s="181"/>
    </row>
    <row r="32" spans="1:27" x14ac:dyDescent="0.25">
      <c r="A32" s="175"/>
      <c r="B32" s="3"/>
      <c r="C32" s="24" t="s">
        <v>179</v>
      </c>
      <c r="D32" s="270"/>
      <c r="E32" s="173"/>
      <c r="F32" s="26"/>
      <c r="G32" s="27">
        <f t="shared" si="1"/>
        <v>0</v>
      </c>
      <c r="H32" s="28">
        <f t="shared" si="2"/>
        <v>0</v>
      </c>
      <c r="I32" s="60"/>
      <c r="J32" s="209">
        <f t="shared" si="3"/>
        <v>0</v>
      </c>
      <c r="K32" s="27">
        <f t="shared" si="4"/>
        <v>0</v>
      </c>
      <c r="L32" s="27">
        <f t="shared" si="5"/>
        <v>0</v>
      </c>
      <c r="M32" s="30"/>
      <c r="N32" s="76"/>
      <c r="O32" s="3"/>
      <c r="P32" s="31"/>
      <c r="Q32" s="32">
        <f t="shared" si="10"/>
        <v>0</v>
      </c>
      <c r="R32" s="32">
        <f t="shared" si="6"/>
        <v>0</v>
      </c>
      <c r="S32" s="32">
        <f t="shared" si="7"/>
        <v>0</v>
      </c>
      <c r="T32" s="47">
        <f t="shared" si="11"/>
        <v>0</v>
      </c>
      <c r="U32" s="47">
        <f t="shared" si="12"/>
        <v>0</v>
      </c>
      <c r="V32" s="45"/>
      <c r="W32" s="74"/>
      <c r="X32" s="181"/>
      <c r="Y32" s="181"/>
      <c r="Z32" s="181"/>
      <c r="AA32" s="181"/>
    </row>
    <row r="33" spans="1:27" x14ac:dyDescent="0.25">
      <c r="A33" s="175"/>
      <c r="B33" s="1"/>
      <c r="C33" s="19" t="s">
        <v>213</v>
      </c>
      <c r="D33" s="269"/>
      <c r="E33" s="174"/>
      <c r="F33" s="33"/>
      <c r="G33" s="56">
        <f t="shared" si="1"/>
        <v>0</v>
      </c>
      <c r="H33" s="57">
        <f t="shared" si="2"/>
        <v>0</v>
      </c>
      <c r="I33" s="60"/>
      <c r="J33" s="208">
        <f t="shared" si="3"/>
        <v>0</v>
      </c>
      <c r="K33" s="56">
        <f t="shared" si="4"/>
        <v>0</v>
      </c>
      <c r="L33" s="56">
        <f t="shared" si="5"/>
        <v>0</v>
      </c>
      <c r="M33" s="34"/>
      <c r="N33" s="76"/>
      <c r="O33" s="1"/>
      <c r="P33" s="33"/>
      <c r="Q33" s="58">
        <f t="shared" si="10"/>
        <v>0</v>
      </c>
      <c r="R33" s="85">
        <f t="shared" si="6"/>
        <v>0</v>
      </c>
      <c r="S33" s="85">
        <f t="shared" si="7"/>
        <v>0</v>
      </c>
      <c r="T33" s="59">
        <f t="shared" si="11"/>
        <v>0</v>
      </c>
      <c r="U33" s="59">
        <f t="shared" si="12"/>
        <v>0</v>
      </c>
      <c r="V33" s="46"/>
      <c r="W33" s="74"/>
      <c r="X33" s="181"/>
      <c r="Y33" s="181"/>
      <c r="Z33" s="181"/>
      <c r="AA33" s="181"/>
    </row>
    <row r="34" spans="1:27" x14ac:dyDescent="0.25">
      <c r="A34" s="175"/>
      <c r="B34" s="3"/>
      <c r="C34" s="24"/>
      <c r="D34" s="270"/>
      <c r="E34" s="173"/>
      <c r="F34" s="26"/>
      <c r="G34" s="27">
        <f t="shared" si="1"/>
        <v>0</v>
      </c>
      <c r="H34" s="28">
        <f t="shared" si="2"/>
        <v>0</v>
      </c>
      <c r="I34" s="60"/>
      <c r="J34" s="209">
        <f t="shared" si="3"/>
        <v>0</v>
      </c>
      <c r="K34" s="27">
        <f t="shared" si="4"/>
        <v>0</v>
      </c>
      <c r="L34" s="27">
        <f t="shared" si="5"/>
        <v>0</v>
      </c>
      <c r="M34" s="30"/>
      <c r="N34" s="76"/>
      <c r="O34" s="3"/>
      <c r="P34" s="31"/>
      <c r="Q34" s="32">
        <f t="shared" si="10"/>
        <v>0</v>
      </c>
      <c r="R34" s="32">
        <f t="shared" si="6"/>
        <v>0</v>
      </c>
      <c r="S34" s="32">
        <f t="shared" si="7"/>
        <v>0</v>
      </c>
      <c r="T34" s="47">
        <f t="shared" si="11"/>
        <v>0</v>
      </c>
      <c r="U34" s="47">
        <f t="shared" si="12"/>
        <v>0</v>
      </c>
      <c r="V34" s="45"/>
      <c r="W34" s="74"/>
      <c r="X34" s="181"/>
      <c r="Y34" s="181"/>
      <c r="Z34" s="181"/>
      <c r="AA34" s="181"/>
    </row>
    <row r="35" spans="1:27" x14ac:dyDescent="0.25">
      <c r="A35" s="175"/>
      <c r="B35" s="1"/>
      <c r="C35" s="19" t="s">
        <v>237</v>
      </c>
      <c r="D35" s="269"/>
      <c r="E35" s="174"/>
      <c r="F35" s="33"/>
      <c r="G35" s="56">
        <f t="shared" si="1"/>
        <v>0</v>
      </c>
      <c r="H35" s="57">
        <f t="shared" si="2"/>
        <v>0</v>
      </c>
      <c r="I35" s="60"/>
      <c r="J35" s="208">
        <f t="shared" si="3"/>
        <v>0</v>
      </c>
      <c r="K35" s="56">
        <f t="shared" si="4"/>
        <v>0</v>
      </c>
      <c r="L35" s="56">
        <f t="shared" si="5"/>
        <v>0</v>
      </c>
      <c r="M35" s="34"/>
      <c r="N35" s="76"/>
      <c r="O35" s="1"/>
      <c r="P35" s="33"/>
      <c r="Q35" s="58">
        <f t="shared" si="10"/>
        <v>0</v>
      </c>
      <c r="R35" s="85">
        <f t="shared" si="6"/>
        <v>0</v>
      </c>
      <c r="S35" s="85">
        <f t="shared" si="7"/>
        <v>0</v>
      </c>
      <c r="T35" s="59">
        <f t="shared" si="11"/>
        <v>0</v>
      </c>
      <c r="U35" s="59">
        <f t="shared" si="12"/>
        <v>0</v>
      </c>
      <c r="V35" s="46"/>
      <c r="W35" s="74"/>
      <c r="X35" s="181"/>
      <c r="Y35" s="181"/>
      <c r="Z35" s="181"/>
      <c r="AA35" s="181"/>
    </row>
    <row r="36" spans="1:27" x14ac:dyDescent="0.25">
      <c r="A36" s="175"/>
      <c r="B36" s="3"/>
      <c r="C36" s="24" t="s">
        <v>238</v>
      </c>
      <c r="D36" s="270"/>
      <c r="E36" s="173"/>
      <c r="F36" s="26"/>
      <c r="G36" s="27">
        <f t="shared" si="1"/>
        <v>0</v>
      </c>
      <c r="H36" s="28">
        <f t="shared" si="2"/>
        <v>0</v>
      </c>
      <c r="I36" s="60"/>
      <c r="J36" s="209">
        <f t="shared" si="3"/>
        <v>0</v>
      </c>
      <c r="K36" s="27">
        <f t="shared" si="4"/>
        <v>0</v>
      </c>
      <c r="L36" s="27">
        <f t="shared" si="5"/>
        <v>0</v>
      </c>
      <c r="M36" s="30"/>
      <c r="N36" s="76"/>
      <c r="O36" s="3"/>
      <c r="P36" s="31"/>
      <c r="Q36" s="32">
        <f t="shared" si="10"/>
        <v>0</v>
      </c>
      <c r="R36" s="32">
        <f t="shared" si="6"/>
        <v>0</v>
      </c>
      <c r="S36" s="32">
        <f t="shared" si="7"/>
        <v>0</v>
      </c>
      <c r="T36" s="47">
        <f t="shared" si="11"/>
        <v>0</v>
      </c>
      <c r="U36" s="47">
        <f t="shared" si="12"/>
        <v>0</v>
      </c>
      <c r="V36" s="45"/>
      <c r="W36" s="74"/>
      <c r="X36" s="181"/>
      <c r="Y36" s="181"/>
      <c r="Z36" s="181"/>
      <c r="AA36" s="181"/>
    </row>
    <row r="37" spans="1:27" x14ac:dyDescent="0.25">
      <c r="A37" s="175"/>
      <c r="B37" s="1"/>
      <c r="C37" s="19" t="s">
        <v>239</v>
      </c>
      <c r="D37" s="269"/>
      <c r="E37" s="174"/>
      <c r="F37" s="33"/>
      <c r="G37" s="56">
        <f t="shared" si="1"/>
        <v>0</v>
      </c>
      <c r="H37" s="57">
        <f t="shared" si="2"/>
        <v>0</v>
      </c>
      <c r="I37" s="60"/>
      <c r="J37" s="208">
        <f t="shared" si="3"/>
        <v>0</v>
      </c>
      <c r="K37" s="56">
        <f t="shared" si="4"/>
        <v>0</v>
      </c>
      <c r="L37" s="56">
        <f t="shared" si="5"/>
        <v>0</v>
      </c>
      <c r="M37" s="34"/>
      <c r="N37" s="76"/>
      <c r="O37" s="1"/>
      <c r="P37" s="33"/>
      <c r="Q37" s="58">
        <f t="shared" si="10"/>
        <v>0</v>
      </c>
      <c r="R37" s="85">
        <f t="shared" si="6"/>
        <v>0</v>
      </c>
      <c r="S37" s="85">
        <f t="shared" si="7"/>
        <v>0</v>
      </c>
      <c r="T37" s="59">
        <f t="shared" si="11"/>
        <v>0</v>
      </c>
      <c r="U37" s="59">
        <f t="shared" si="12"/>
        <v>0</v>
      </c>
      <c r="V37" s="46"/>
      <c r="W37" s="74"/>
      <c r="X37" s="181"/>
      <c r="Y37" s="181"/>
      <c r="Z37" s="181"/>
      <c r="AA37" s="181"/>
    </row>
    <row r="38" spans="1:27" x14ac:dyDescent="0.25">
      <c r="A38" s="175"/>
      <c r="B38" s="3"/>
      <c r="C38" s="24" t="s">
        <v>155</v>
      </c>
      <c r="D38" s="270"/>
      <c r="E38" s="173"/>
      <c r="F38" s="26"/>
      <c r="G38" s="2">
        <f t="shared" si="1"/>
        <v>0</v>
      </c>
      <c r="H38" s="20">
        <f t="shared" si="2"/>
        <v>0</v>
      </c>
      <c r="I38" s="61"/>
      <c r="J38" s="210">
        <f t="shared" si="3"/>
        <v>0</v>
      </c>
      <c r="K38" s="2">
        <f t="shared" si="4"/>
        <v>0</v>
      </c>
      <c r="L38" s="2">
        <f t="shared" si="5"/>
        <v>0</v>
      </c>
      <c r="M38" s="21"/>
      <c r="N38" s="76"/>
      <c r="O38" s="3"/>
      <c r="P38" s="31"/>
      <c r="Q38" s="32">
        <f t="shared" si="10"/>
        <v>0</v>
      </c>
      <c r="R38" s="32">
        <f t="shared" si="6"/>
        <v>0</v>
      </c>
      <c r="S38" s="32">
        <f t="shared" si="7"/>
        <v>0</v>
      </c>
      <c r="T38" s="47">
        <f t="shared" si="11"/>
        <v>0</v>
      </c>
      <c r="U38" s="47">
        <f t="shared" si="12"/>
        <v>0</v>
      </c>
      <c r="V38" s="45"/>
      <c r="W38" s="75"/>
    </row>
    <row r="39" spans="1:27" x14ac:dyDescent="0.25">
      <c r="A39" s="175"/>
      <c r="B39" s="1"/>
      <c r="C39" s="19" t="s">
        <v>155</v>
      </c>
      <c r="D39" s="269"/>
      <c r="E39" s="174"/>
      <c r="F39" s="33"/>
      <c r="G39" s="62">
        <f t="shared" si="1"/>
        <v>0</v>
      </c>
      <c r="H39" s="63">
        <f t="shared" si="2"/>
        <v>0</v>
      </c>
      <c r="I39" s="61"/>
      <c r="J39" s="211">
        <f t="shared" si="3"/>
        <v>0</v>
      </c>
      <c r="K39" s="62">
        <f t="shared" si="4"/>
        <v>0</v>
      </c>
      <c r="L39" s="62">
        <f t="shared" si="5"/>
        <v>0</v>
      </c>
      <c r="M39" s="22"/>
      <c r="N39" s="76"/>
      <c r="O39" s="1"/>
      <c r="P39" s="33"/>
      <c r="Q39" s="58">
        <f t="shared" si="10"/>
        <v>0</v>
      </c>
      <c r="R39" s="85">
        <f t="shared" si="6"/>
        <v>0</v>
      </c>
      <c r="S39" s="85">
        <f t="shared" si="7"/>
        <v>0</v>
      </c>
      <c r="T39" s="59">
        <f t="shared" si="11"/>
        <v>0</v>
      </c>
      <c r="U39" s="59">
        <f t="shared" si="12"/>
        <v>0</v>
      </c>
      <c r="V39" s="46"/>
      <c r="W39" s="75"/>
    </row>
    <row r="40" spans="1:27" x14ac:dyDescent="0.25">
      <c r="A40" s="175"/>
      <c r="B40" s="3"/>
      <c r="C40" s="24" t="s">
        <v>155</v>
      </c>
      <c r="D40" s="270"/>
      <c r="E40" s="173"/>
      <c r="F40" s="26"/>
      <c r="G40" s="2">
        <f t="shared" si="1"/>
        <v>0</v>
      </c>
      <c r="H40" s="20">
        <f t="shared" si="2"/>
        <v>0</v>
      </c>
      <c r="I40" s="61"/>
      <c r="J40" s="210">
        <f t="shared" si="3"/>
        <v>0</v>
      </c>
      <c r="K40" s="2">
        <f t="shared" si="4"/>
        <v>0</v>
      </c>
      <c r="L40" s="2">
        <f t="shared" si="5"/>
        <v>0</v>
      </c>
      <c r="M40" s="21"/>
      <c r="N40" s="76"/>
      <c r="O40" s="3"/>
      <c r="P40" s="31"/>
      <c r="Q40" s="32">
        <f t="shared" si="10"/>
        <v>0</v>
      </c>
      <c r="R40" s="32">
        <f t="shared" si="6"/>
        <v>0</v>
      </c>
      <c r="S40" s="32">
        <f t="shared" si="7"/>
        <v>0</v>
      </c>
      <c r="T40" s="47">
        <f t="shared" si="11"/>
        <v>0</v>
      </c>
      <c r="U40" s="47">
        <f t="shared" si="12"/>
        <v>0</v>
      </c>
      <c r="V40" s="45"/>
      <c r="W40" s="75"/>
    </row>
    <row r="41" spans="1:27" x14ac:dyDescent="0.25">
      <c r="A41" s="175"/>
      <c r="B41" s="1"/>
      <c r="C41" s="19" t="s">
        <v>155</v>
      </c>
      <c r="D41" s="269"/>
      <c r="E41" s="174"/>
      <c r="F41" s="33"/>
      <c r="G41" s="62">
        <f t="shared" si="1"/>
        <v>0</v>
      </c>
      <c r="H41" s="63">
        <f t="shared" si="2"/>
        <v>0</v>
      </c>
      <c r="I41" s="61"/>
      <c r="J41" s="211">
        <f t="shared" si="3"/>
        <v>0</v>
      </c>
      <c r="K41" s="62">
        <f t="shared" si="4"/>
        <v>0</v>
      </c>
      <c r="L41" s="62">
        <f t="shared" si="5"/>
        <v>0</v>
      </c>
      <c r="M41" s="22"/>
      <c r="N41" s="76"/>
      <c r="O41" s="1"/>
      <c r="P41" s="33"/>
      <c r="Q41" s="58">
        <f t="shared" si="10"/>
        <v>0</v>
      </c>
      <c r="R41" s="85">
        <f t="shared" si="6"/>
        <v>0</v>
      </c>
      <c r="S41" s="85">
        <f t="shared" si="7"/>
        <v>0</v>
      </c>
      <c r="T41" s="59">
        <f t="shared" si="11"/>
        <v>0</v>
      </c>
      <c r="U41" s="59">
        <f t="shared" si="12"/>
        <v>0</v>
      </c>
      <c r="V41" s="46"/>
      <c r="W41" s="75"/>
    </row>
    <row r="42" spans="1:27" x14ac:dyDescent="0.25">
      <c r="A42" s="175"/>
      <c r="B42" s="3"/>
      <c r="C42" s="24" t="s">
        <v>155</v>
      </c>
      <c r="D42" s="270"/>
      <c r="E42" s="173"/>
      <c r="F42" s="26"/>
      <c r="G42" s="2">
        <f t="shared" si="1"/>
        <v>0</v>
      </c>
      <c r="H42" s="20">
        <f t="shared" si="2"/>
        <v>0</v>
      </c>
      <c r="I42" s="61"/>
      <c r="J42" s="210">
        <f t="shared" si="3"/>
        <v>0</v>
      </c>
      <c r="K42" s="2">
        <f t="shared" si="4"/>
        <v>0</v>
      </c>
      <c r="L42" s="2">
        <f t="shared" si="5"/>
        <v>0</v>
      </c>
      <c r="M42" s="21"/>
      <c r="N42" s="76"/>
      <c r="O42" s="3"/>
      <c r="P42" s="31"/>
      <c r="Q42" s="32">
        <f t="shared" si="10"/>
        <v>0</v>
      </c>
      <c r="R42" s="32">
        <f t="shared" si="6"/>
        <v>0</v>
      </c>
      <c r="S42" s="32">
        <f t="shared" si="7"/>
        <v>0</v>
      </c>
      <c r="T42" s="47">
        <f t="shared" si="11"/>
        <v>0</v>
      </c>
      <c r="U42" s="47">
        <f t="shared" si="12"/>
        <v>0</v>
      </c>
      <c r="V42" s="45"/>
      <c r="W42" s="75"/>
    </row>
    <row r="43" spans="1:27" x14ac:dyDescent="0.25">
      <c r="A43" s="175"/>
      <c r="B43" s="1"/>
      <c r="C43" s="19" t="s">
        <v>185</v>
      </c>
      <c r="D43" s="269"/>
      <c r="E43" s="174"/>
      <c r="F43" s="33"/>
      <c r="G43" s="62">
        <f t="shared" si="1"/>
        <v>0</v>
      </c>
      <c r="H43" s="63">
        <f t="shared" si="2"/>
        <v>0</v>
      </c>
      <c r="I43" s="61"/>
      <c r="J43" s="211">
        <f t="shared" si="3"/>
        <v>0</v>
      </c>
      <c r="K43" s="62">
        <f t="shared" si="4"/>
        <v>0</v>
      </c>
      <c r="L43" s="62">
        <f t="shared" si="5"/>
        <v>0</v>
      </c>
      <c r="M43" s="22"/>
      <c r="N43" s="76"/>
      <c r="O43" s="1"/>
      <c r="P43" s="33"/>
      <c r="Q43" s="58">
        <f t="shared" si="10"/>
        <v>0</v>
      </c>
      <c r="R43" s="85">
        <f t="shared" si="6"/>
        <v>0</v>
      </c>
      <c r="S43" s="85">
        <f t="shared" si="7"/>
        <v>0</v>
      </c>
      <c r="T43" s="59">
        <f t="shared" si="11"/>
        <v>0</v>
      </c>
      <c r="U43" s="59">
        <f t="shared" si="12"/>
        <v>0</v>
      </c>
      <c r="V43" s="46"/>
      <c r="W43" s="75"/>
    </row>
    <row r="44" spans="1:27" x14ac:dyDescent="0.25">
      <c r="A44" s="175"/>
      <c r="B44" s="3"/>
      <c r="C44" s="24" t="s">
        <v>240</v>
      </c>
      <c r="D44" s="270"/>
      <c r="E44" s="173"/>
      <c r="F44" s="26"/>
      <c r="G44" s="2">
        <f t="shared" si="1"/>
        <v>0</v>
      </c>
      <c r="H44" s="20">
        <f t="shared" si="2"/>
        <v>0</v>
      </c>
      <c r="I44" s="61"/>
      <c r="J44" s="210">
        <f t="shared" si="3"/>
        <v>0</v>
      </c>
      <c r="K44" s="2">
        <f t="shared" si="4"/>
        <v>0</v>
      </c>
      <c r="L44" s="2">
        <f t="shared" si="5"/>
        <v>0</v>
      </c>
      <c r="M44" s="21"/>
      <c r="N44" s="76"/>
      <c r="O44" s="3"/>
      <c r="P44" s="31"/>
      <c r="Q44" s="32">
        <f t="shared" si="10"/>
        <v>0</v>
      </c>
      <c r="R44" s="32">
        <f t="shared" si="6"/>
        <v>0</v>
      </c>
      <c r="S44" s="32">
        <f t="shared" si="7"/>
        <v>0</v>
      </c>
      <c r="T44" s="47">
        <f t="shared" si="11"/>
        <v>0</v>
      </c>
      <c r="U44" s="47">
        <f t="shared" si="12"/>
        <v>0</v>
      </c>
      <c r="V44" s="45"/>
      <c r="W44" s="75"/>
    </row>
    <row r="45" spans="1:27" x14ac:dyDescent="0.25">
      <c r="A45" s="175"/>
      <c r="B45" s="1"/>
      <c r="C45" s="19" t="s">
        <v>241</v>
      </c>
      <c r="D45" s="269"/>
      <c r="E45" s="174"/>
      <c r="F45" s="33"/>
      <c r="G45" s="62">
        <f t="shared" si="1"/>
        <v>0</v>
      </c>
      <c r="H45" s="63">
        <f t="shared" si="2"/>
        <v>0</v>
      </c>
      <c r="I45" s="61"/>
      <c r="J45" s="211">
        <f t="shared" si="3"/>
        <v>0</v>
      </c>
      <c r="K45" s="62">
        <f t="shared" si="4"/>
        <v>0</v>
      </c>
      <c r="L45" s="62">
        <f t="shared" si="5"/>
        <v>0</v>
      </c>
      <c r="M45" s="22"/>
      <c r="N45" s="76"/>
      <c r="O45" s="1"/>
      <c r="P45" s="33"/>
      <c r="Q45" s="58">
        <f t="shared" si="10"/>
        <v>0</v>
      </c>
      <c r="R45" s="85">
        <f t="shared" si="6"/>
        <v>0</v>
      </c>
      <c r="S45" s="85">
        <f t="shared" si="7"/>
        <v>0</v>
      </c>
      <c r="T45" s="59">
        <f t="shared" si="11"/>
        <v>0</v>
      </c>
      <c r="U45" s="59">
        <f t="shared" si="12"/>
        <v>0</v>
      </c>
      <c r="V45" s="46"/>
      <c r="W45" s="75"/>
    </row>
    <row r="46" spans="1:27" x14ac:dyDescent="0.25">
      <c r="A46" s="175"/>
      <c r="B46" s="3"/>
      <c r="C46" s="24" t="s">
        <v>242</v>
      </c>
      <c r="D46" s="270"/>
      <c r="E46" s="173"/>
      <c r="F46" s="26"/>
      <c r="G46" s="2">
        <f t="shared" si="1"/>
        <v>0</v>
      </c>
      <c r="H46" s="20">
        <f t="shared" si="2"/>
        <v>0</v>
      </c>
      <c r="I46" s="61"/>
      <c r="J46" s="210">
        <f t="shared" si="3"/>
        <v>0</v>
      </c>
      <c r="K46" s="2">
        <f t="shared" si="4"/>
        <v>0</v>
      </c>
      <c r="L46" s="2">
        <f t="shared" si="5"/>
        <v>0</v>
      </c>
      <c r="M46" s="21"/>
      <c r="N46" s="76"/>
      <c r="O46" s="3"/>
      <c r="P46" s="31"/>
      <c r="Q46" s="32">
        <f t="shared" si="10"/>
        <v>0</v>
      </c>
      <c r="R46" s="32">
        <f t="shared" si="6"/>
        <v>0</v>
      </c>
      <c r="S46" s="32">
        <f t="shared" si="7"/>
        <v>0</v>
      </c>
      <c r="T46" s="47">
        <f t="shared" si="11"/>
        <v>0</v>
      </c>
      <c r="U46" s="47">
        <f t="shared" si="12"/>
        <v>0</v>
      </c>
      <c r="V46" s="45"/>
      <c r="W46" s="75"/>
    </row>
    <row r="47" spans="1:27" x14ac:dyDescent="0.25">
      <c r="A47" s="175"/>
      <c r="B47" s="1"/>
      <c r="C47" s="19" t="s">
        <v>135</v>
      </c>
      <c r="D47" s="269"/>
      <c r="E47" s="174"/>
      <c r="F47" s="33"/>
      <c r="G47" s="62">
        <f t="shared" si="1"/>
        <v>0</v>
      </c>
      <c r="H47" s="63">
        <f t="shared" si="2"/>
        <v>0</v>
      </c>
      <c r="I47" s="61"/>
      <c r="J47" s="211">
        <f t="shared" si="3"/>
        <v>0</v>
      </c>
      <c r="K47" s="62">
        <f t="shared" si="4"/>
        <v>0</v>
      </c>
      <c r="L47" s="62">
        <f t="shared" si="5"/>
        <v>0</v>
      </c>
      <c r="M47" s="22"/>
      <c r="N47" s="76"/>
      <c r="O47" s="1"/>
      <c r="P47" s="33"/>
      <c r="Q47" s="58">
        <f t="shared" si="10"/>
        <v>0</v>
      </c>
      <c r="R47" s="85">
        <f t="shared" si="6"/>
        <v>0</v>
      </c>
      <c r="S47" s="85">
        <f t="shared" si="7"/>
        <v>0</v>
      </c>
      <c r="T47" s="59">
        <f t="shared" si="11"/>
        <v>0</v>
      </c>
      <c r="U47" s="59">
        <f t="shared" si="12"/>
        <v>0</v>
      </c>
      <c r="V47" s="46"/>
      <c r="W47" s="75"/>
    </row>
    <row r="48" spans="1:27" x14ac:dyDescent="0.25">
      <c r="A48" s="175"/>
      <c r="B48" s="3"/>
      <c r="C48" s="24"/>
      <c r="D48" s="270"/>
      <c r="E48" s="173"/>
      <c r="F48" s="26"/>
      <c r="G48" s="2">
        <f t="shared" si="1"/>
        <v>0</v>
      </c>
      <c r="H48" s="20">
        <f t="shared" si="2"/>
        <v>0</v>
      </c>
      <c r="I48" s="61"/>
      <c r="J48" s="210">
        <f t="shared" si="3"/>
        <v>0</v>
      </c>
      <c r="K48" s="2">
        <f t="shared" si="4"/>
        <v>0</v>
      </c>
      <c r="L48" s="2">
        <f t="shared" si="5"/>
        <v>0</v>
      </c>
      <c r="M48" s="21"/>
      <c r="N48" s="76"/>
      <c r="O48" s="3"/>
      <c r="P48" s="31"/>
      <c r="Q48" s="32">
        <f t="shared" si="10"/>
        <v>0</v>
      </c>
      <c r="R48" s="32">
        <f t="shared" si="6"/>
        <v>0</v>
      </c>
      <c r="S48" s="32">
        <f t="shared" si="7"/>
        <v>0</v>
      </c>
      <c r="T48" s="47">
        <f t="shared" si="11"/>
        <v>0</v>
      </c>
      <c r="U48" s="47">
        <f t="shared" si="12"/>
        <v>0</v>
      </c>
      <c r="V48" s="46"/>
      <c r="W48" s="75"/>
    </row>
    <row r="49" spans="1:23" x14ac:dyDescent="0.25">
      <c r="A49" s="175"/>
      <c r="B49" s="1"/>
      <c r="C49" s="19" t="s">
        <v>243</v>
      </c>
      <c r="D49" s="269"/>
      <c r="E49" s="174"/>
      <c r="F49" s="33"/>
      <c r="G49" s="62">
        <f t="shared" si="1"/>
        <v>0</v>
      </c>
      <c r="H49" s="63">
        <f t="shared" si="2"/>
        <v>0</v>
      </c>
      <c r="I49" s="61"/>
      <c r="J49" s="211">
        <f t="shared" si="3"/>
        <v>0</v>
      </c>
      <c r="K49" s="62">
        <f t="shared" si="4"/>
        <v>0</v>
      </c>
      <c r="L49" s="62">
        <f t="shared" si="5"/>
        <v>0</v>
      </c>
      <c r="M49" s="22"/>
      <c r="N49" s="76"/>
      <c r="O49" s="1"/>
      <c r="P49" s="33"/>
      <c r="Q49" s="58">
        <f t="shared" si="10"/>
        <v>0</v>
      </c>
      <c r="R49" s="85">
        <f t="shared" si="6"/>
        <v>0</v>
      </c>
      <c r="S49" s="85">
        <f t="shared" si="7"/>
        <v>0</v>
      </c>
      <c r="T49" s="59">
        <f t="shared" si="11"/>
        <v>0</v>
      </c>
      <c r="U49" s="59">
        <f t="shared" si="12"/>
        <v>0</v>
      </c>
      <c r="V49" s="46"/>
      <c r="W49" s="75"/>
    </row>
    <row r="50" spans="1:23" x14ac:dyDescent="0.25">
      <c r="A50" s="175"/>
      <c r="B50" s="3"/>
      <c r="C50" s="24" t="s">
        <v>172</v>
      </c>
      <c r="D50" s="270"/>
      <c r="E50" s="173"/>
      <c r="F50" s="26"/>
      <c r="G50" s="2">
        <f t="shared" si="1"/>
        <v>0</v>
      </c>
      <c r="H50" s="20">
        <f t="shared" si="2"/>
        <v>0</v>
      </c>
      <c r="I50" s="61"/>
      <c r="J50" s="210">
        <f t="shared" si="3"/>
        <v>0</v>
      </c>
      <c r="K50" s="2">
        <f t="shared" si="4"/>
        <v>0</v>
      </c>
      <c r="L50" s="2">
        <f t="shared" si="5"/>
        <v>0</v>
      </c>
      <c r="M50" s="21"/>
      <c r="N50" s="76"/>
      <c r="O50" s="3"/>
      <c r="P50" s="31"/>
      <c r="Q50" s="32">
        <f t="shared" si="10"/>
        <v>0</v>
      </c>
      <c r="R50" s="32">
        <f t="shared" si="6"/>
        <v>0</v>
      </c>
      <c r="S50" s="32">
        <f t="shared" si="7"/>
        <v>0</v>
      </c>
      <c r="T50" s="47">
        <f t="shared" si="11"/>
        <v>0</v>
      </c>
      <c r="U50" s="47">
        <f t="shared" si="12"/>
        <v>0</v>
      </c>
      <c r="V50" s="46"/>
      <c r="W50" s="75"/>
    </row>
    <row r="51" spans="1:23" x14ac:dyDescent="0.25">
      <c r="A51" s="175"/>
      <c r="B51" s="1"/>
      <c r="C51" s="19"/>
      <c r="D51" s="269"/>
      <c r="E51" s="174"/>
      <c r="F51" s="33"/>
      <c r="G51" s="62">
        <f t="shared" si="1"/>
        <v>0</v>
      </c>
      <c r="H51" s="63">
        <f t="shared" si="2"/>
        <v>0</v>
      </c>
      <c r="I51" s="61"/>
      <c r="J51" s="211">
        <f t="shared" si="3"/>
        <v>0</v>
      </c>
      <c r="K51" s="62">
        <f t="shared" si="4"/>
        <v>0</v>
      </c>
      <c r="L51" s="62">
        <f t="shared" si="5"/>
        <v>0</v>
      </c>
      <c r="M51" s="22"/>
      <c r="N51" s="76"/>
      <c r="O51" s="1"/>
      <c r="P51" s="33"/>
      <c r="Q51" s="58">
        <f t="shared" si="10"/>
        <v>0</v>
      </c>
      <c r="R51" s="85">
        <f t="shared" si="6"/>
        <v>0</v>
      </c>
      <c r="S51" s="85">
        <f t="shared" si="7"/>
        <v>0</v>
      </c>
      <c r="T51" s="59">
        <f t="shared" si="11"/>
        <v>0</v>
      </c>
      <c r="U51" s="59">
        <f t="shared" si="12"/>
        <v>0</v>
      </c>
      <c r="V51" s="46"/>
      <c r="W51" s="75"/>
    </row>
    <row r="52" spans="1:23" x14ac:dyDescent="0.25">
      <c r="A52" s="175"/>
      <c r="B52" s="3"/>
      <c r="C52" s="24"/>
      <c r="D52" s="270"/>
      <c r="E52" s="173"/>
      <c r="F52" s="26"/>
      <c r="G52" s="2">
        <f t="shared" si="1"/>
        <v>0</v>
      </c>
      <c r="H52" s="20">
        <f t="shared" si="2"/>
        <v>0</v>
      </c>
      <c r="I52" s="61"/>
      <c r="J52" s="210">
        <f t="shared" si="3"/>
        <v>0</v>
      </c>
      <c r="K52" s="2">
        <f t="shared" si="4"/>
        <v>0</v>
      </c>
      <c r="L52" s="2">
        <f t="shared" si="5"/>
        <v>0</v>
      </c>
      <c r="M52" s="21"/>
      <c r="N52" s="76"/>
      <c r="O52" s="3"/>
      <c r="P52" s="31"/>
      <c r="Q52" s="32">
        <f t="shared" si="10"/>
        <v>0</v>
      </c>
      <c r="R52" s="32">
        <f t="shared" si="6"/>
        <v>0</v>
      </c>
      <c r="S52" s="32">
        <f t="shared" si="7"/>
        <v>0</v>
      </c>
      <c r="T52" s="47">
        <f t="shared" si="11"/>
        <v>0</v>
      </c>
      <c r="U52" s="47">
        <f t="shared" si="12"/>
        <v>0</v>
      </c>
      <c r="V52" s="46"/>
      <c r="W52" s="75"/>
    </row>
    <row r="53" spans="1:23" x14ac:dyDescent="0.25">
      <c r="A53" s="175"/>
      <c r="B53" s="1"/>
      <c r="C53" s="19"/>
      <c r="D53" s="269"/>
      <c r="E53" s="174"/>
      <c r="F53" s="33"/>
      <c r="G53" s="62">
        <f t="shared" si="1"/>
        <v>0</v>
      </c>
      <c r="H53" s="63">
        <f t="shared" si="2"/>
        <v>0</v>
      </c>
      <c r="I53" s="61"/>
      <c r="J53" s="211">
        <f t="shared" si="3"/>
        <v>0</v>
      </c>
      <c r="K53" s="62">
        <f t="shared" si="4"/>
        <v>0</v>
      </c>
      <c r="L53" s="62">
        <f t="shared" si="5"/>
        <v>0</v>
      </c>
      <c r="M53" s="22"/>
      <c r="N53" s="76"/>
      <c r="O53" s="1"/>
      <c r="P53" s="33"/>
      <c r="Q53" s="58">
        <f t="shared" si="10"/>
        <v>0</v>
      </c>
      <c r="R53" s="85">
        <f t="shared" si="6"/>
        <v>0</v>
      </c>
      <c r="S53" s="85">
        <f t="shared" si="7"/>
        <v>0</v>
      </c>
      <c r="T53" s="59">
        <f t="shared" si="11"/>
        <v>0</v>
      </c>
      <c r="U53" s="59">
        <f t="shared" si="12"/>
        <v>0</v>
      </c>
      <c r="V53" s="46"/>
      <c r="W53" s="75"/>
    </row>
    <row r="54" spans="1:23" x14ac:dyDescent="0.25">
      <c r="A54" s="175"/>
      <c r="B54" s="3"/>
      <c r="C54" s="24"/>
      <c r="D54" s="270"/>
      <c r="E54" s="173"/>
      <c r="F54" s="26"/>
      <c r="G54" s="2">
        <f t="shared" si="1"/>
        <v>0</v>
      </c>
      <c r="H54" s="20">
        <f t="shared" si="2"/>
        <v>0</v>
      </c>
      <c r="I54" s="61"/>
      <c r="J54" s="210">
        <f t="shared" si="3"/>
        <v>0</v>
      </c>
      <c r="K54" s="2">
        <f t="shared" si="4"/>
        <v>0</v>
      </c>
      <c r="L54" s="2">
        <f t="shared" si="5"/>
        <v>0</v>
      </c>
      <c r="M54" s="21"/>
      <c r="N54" s="76"/>
      <c r="O54" s="3"/>
      <c r="P54" s="31"/>
      <c r="Q54" s="32">
        <f t="shared" si="10"/>
        <v>0</v>
      </c>
      <c r="R54" s="32">
        <f t="shared" si="6"/>
        <v>0</v>
      </c>
      <c r="S54" s="32">
        <f t="shared" si="7"/>
        <v>0</v>
      </c>
      <c r="T54" s="47">
        <f t="shared" si="11"/>
        <v>0</v>
      </c>
      <c r="U54" s="47">
        <f t="shared" si="12"/>
        <v>0</v>
      </c>
      <c r="V54" s="46"/>
      <c r="W54" s="75"/>
    </row>
    <row r="55" spans="1:23" x14ac:dyDescent="0.25">
      <c r="A55" s="175"/>
      <c r="B55" s="1"/>
      <c r="C55" s="19"/>
      <c r="D55" s="269"/>
      <c r="E55" s="174"/>
      <c r="F55" s="33"/>
      <c r="G55" s="62">
        <f t="shared" si="1"/>
        <v>0</v>
      </c>
      <c r="H55" s="63">
        <f t="shared" si="2"/>
        <v>0</v>
      </c>
      <c r="I55" s="61"/>
      <c r="J55" s="211">
        <f t="shared" si="3"/>
        <v>0</v>
      </c>
      <c r="K55" s="62">
        <f t="shared" si="4"/>
        <v>0</v>
      </c>
      <c r="L55" s="62">
        <f t="shared" si="5"/>
        <v>0</v>
      </c>
      <c r="M55" s="22"/>
      <c r="N55" s="76"/>
      <c r="O55" s="1"/>
      <c r="P55" s="33"/>
      <c r="Q55" s="58">
        <f t="shared" si="10"/>
        <v>0</v>
      </c>
      <c r="R55" s="85">
        <f t="shared" si="6"/>
        <v>0</v>
      </c>
      <c r="S55" s="85">
        <f t="shared" si="7"/>
        <v>0</v>
      </c>
      <c r="T55" s="59">
        <f t="shared" si="11"/>
        <v>0</v>
      </c>
      <c r="U55" s="59">
        <f t="shared" si="12"/>
        <v>0</v>
      </c>
      <c r="V55" s="46"/>
      <c r="W55" s="75"/>
    </row>
    <row r="56" spans="1:23" x14ac:dyDescent="0.25">
      <c r="A56" s="175"/>
      <c r="B56" s="3"/>
      <c r="C56" s="24"/>
      <c r="D56" s="270"/>
      <c r="E56" s="173"/>
      <c r="F56" s="26"/>
      <c r="G56" s="2">
        <f t="shared" si="1"/>
        <v>0</v>
      </c>
      <c r="H56" s="20">
        <f t="shared" si="2"/>
        <v>0</v>
      </c>
      <c r="I56" s="61"/>
      <c r="J56" s="210">
        <f t="shared" si="3"/>
        <v>0</v>
      </c>
      <c r="K56" s="2">
        <f t="shared" si="4"/>
        <v>0</v>
      </c>
      <c r="L56" s="2">
        <f t="shared" si="5"/>
        <v>0</v>
      </c>
      <c r="M56" s="21"/>
      <c r="N56" s="76"/>
      <c r="O56" s="3"/>
      <c r="P56" s="31"/>
      <c r="Q56" s="32">
        <f t="shared" si="10"/>
        <v>0</v>
      </c>
      <c r="R56" s="32">
        <f t="shared" si="6"/>
        <v>0</v>
      </c>
      <c r="S56" s="32">
        <f t="shared" si="7"/>
        <v>0</v>
      </c>
      <c r="T56" s="47">
        <f t="shared" si="11"/>
        <v>0</v>
      </c>
      <c r="U56" s="47">
        <f t="shared" si="12"/>
        <v>0</v>
      </c>
      <c r="V56" s="46"/>
      <c r="W56" s="75"/>
    </row>
    <row r="57" spans="1:23" x14ac:dyDescent="0.25">
      <c r="A57" s="175"/>
      <c r="B57" s="1"/>
      <c r="C57" s="19"/>
      <c r="D57" s="269"/>
      <c r="E57" s="174"/>
      <c r="F57" s="33"/>
      <c r="G57" s="62">
        <f t="shared" si="1"/>
        <v>0</v>
      </c>
      <c r="H57" s="63">
        <f t="shared" si="2"/>
        <v>0</v>
      </c>
      <c r="I57" s="61"/>
      <c r="J57" s="211">
        <f t="shared" si="3"/>
        <v>0</v>
      </c>
      <c r="K57" s="62">
        <f t="shared" si="4"/>
        <v>0</v>
      </c>
      <c r="L57" s="62">
        <f t="shared" si="5"/>
        <v>0</v>
      </c>
      <c r="M57" s="22"/>
      <c r="N57" s="76"/>
      <c r="O57" s="1"/>
      <c r="P57" s="33"/>
      <c r="Q57" s="58">
        <f t="shared" si="10"/>
        <v>0</v>
      </c>
      <c r="R57" s="85">
        <f t="shared" si="6"/>
        <v>0</v>
      </c>
      <c r="S57" s="85">
        <f t="shared" si="7"/>
        <v>0</v>
      </c>
      <c r="T57" s="59">
        <f t="shared" si="11"/>
        <v>0</v>
      </c>
      <c r="U57" s="59">
        <f t="shared" si="12"/>
        <v>0</v>
      </c>
      <c r="V57" s="46"/>
      <c r="W57" s="75"/>
    </row>
    <row r="58" spans="1:23" x14ac:dyDescent="0.25">
      <c r="A58" s="175"/>
      <c r="B58" s="3"/>
      <c r="C58" s="24"/>
      <c r="D58" s="270"/>
      <c r="E58" s="173"/>
      <c r="F58" s="26"/>
      <c r="G58" s="2">
        <f t="shared" si="1"/>
        <v>0</v>
      </c>
      <c r="H58" s="20">
        <f t="shared" si="2"/>
        <v>0</v>
      </c>
      <c r="I58" s="61"/>
      <c r="J58" s="210">
        <f t="shared" si="3"/>
        <v>0</v>
      </c>
      <c r="K58" s="2">
        <f t="shared" si="4"/>
        <v>0</v>
      </c>
      <c r="L58" s="2">
        <f t="shared" si="5"/>
        <v>0</v>
      </c>
      <c r="M58" s="21"/>
      <c r="N58" s="76"/>
      <c r="O58" s="3"/>
      <c r="P58" s="31"/>
      <c r="Q58" s="32">
        <f t="shared" si="10"/>
        <v>0</v>
      </c>
      <c r="R58" s="32">
        <f t="shared" si="6"/>
        <v>0</v>
      </c>
      <c r="S58" s="32">
        <f t="shared" si="7"/>
        <v>0</v>
      </c>
      <c r="T58" s="47">
        <f t="shared" si="11"/>
        <v>0</v>
      </c>
      <c r="U58" s="47">
        <f t="shared" si="12"/>
        <v>0</v>
      </c>
      <c r="V58" s="46"/>
      <c r="W58" s="75"/>
    </row>
    <row r="59" spans="1:23" x14ac:dyDescent="0.25">
      <c r="A59" s="175"/>
      <c r="B59" s="1"/>
      <c r="C59" s="19"/>
      <c r="D59" s="269"/>
      <c r="E59" s="174"/>
      <c r="F59" s="33"/>
      <c r="G59" s="62">
        <f t="shared" si="1"/>
        <v>0</v>
      </c>
      <c r="H59" s="63">
        <f t="shared" si="2"/>
        <v>0</v>
      </c>
      <c r="I59" s="61"/>
      <c r="J59" s="211">
        <f t="shared" si="3"/>
        <v>0</v>
      </c>
      <c r="K59" s="62">
        <f t="shared" si="4"/>
        <v>0</v>
      </c>
      <c r="L59" s="62">
        <f t="shared" si="5"/>
        <v>0</v>
      </c>
      <c r="M59" s="22"/>
      <c r="N59" s="76"/>
      <c r="O59" s="1"/>
      <c r="P59" s="33"/>
      <c r="Q59" s="58">
        <f t="shared" si="10"/>
        <v>0</v>
      </c>
      <c r="R59" s="85">
        <f t="shared" si="6"/>
        <v>0</v>
      </c>
      <c r="S59" s="85">
        <f t="shared" si="7"/>
        <v>0</v>
      </c>
      <c r="T59" s="59">
        <f t="shared" si="11"/>
        <v>0</v>
      </c>
      <c r="U59" s="59">
        <f t="shared" si="12"/>
        <v>0</v>
      </c>
      <c r="V59" s="46"/>
      <c r="W59" s="75"/>
    </row>
    <row r="60" spans="1:23" x14ac:dyDescent="0.25">
      <c r="A60" s="175"/>
      <c r="B60" s="3"/>
      <c r="C60" s="24"/>
      <c r="D60" s="270"/>
      <c r="E60" s="173"/>
      <c r="F60" s="26"/>
      <c r="G60" s="2">
        <f t="shared" si="1"/>
        <v>0</v>
      </c>
      <c r="H60" s="20">
        <f t="shared" si="2"/>
        <v>0</v>
      </c>
      <c r="I60" s="61"/>
      <c r="J60" s="210">
        <f t="shared" si="3"/>
        <v>0</v>
      </c>
      <c r="K60" s="2">
        <f t="shared" si="4"/>
        <v>0</v>
      </c>
      <c r="L60" s="2">
        <f t="shared" si="5"/>
        <v>0</v>
      </c>
      <c r="M60" s="21"/>
      <c r="N60" s="76"/>
      <c r="O60" s="3"/>
      <c r="P60" s="31"/>
      <c r="Q60" s="32">
        <f t="shared" si="10"/>
        <v>0</v>
      </c>
      <c r="R60" s="32">
        <f t="shared" si="6"/>
        <v>0</v>
      </c>
      <c r="S60" s="32">
        <f t="shared" si="7"/>
        <v>0</v>
      </c>
      <c r="T60" s="47">
        <f t="shared" si="11"/>
        <v>0</v>
      </c>
      <c r="U60" s="47">
        <f t="shared" si="12"/>
        <v>0</v>
      </c>
      <c r="V60" s="46"/>
      <c r="W60" s="75"/>
    </row>
    <row r="61" spans="1:23" x14ac:dyDescent="0.25">
      <c r="A61" s="175"/>
      <c r="B61" s="1"/>
      <c r="C61" s="19"/>
      <c r="D61" s="269"/>
      <c r="E61" s="174"/>
      <c r="F61" s="33"/>
      <c r="G61" s="62">
        <f t="shared" si="1"/>
        <v>0</v>
      </c>
      <c r="H61" s="63">
        <f t="shared" si="2"/>
        <v>0</v>
      </c>
      <c r="I61" s="61"/>
      <c r="J61" s="211">
        <f t="shared" si="3"/>
        <v>0</v>
      </c>
      <c r="K61" s="62">
        <f t="shared" si="4"/>
        <v>0</v>
      </c>
      <c r="L61" s="62">
        <f t="shared" si="5"/>
        <v>0</v>
      </c>
      <c r="M61" s="22"/>
      <c r="N61" s="76"/>
      <c r="O61" s="1"/>
      <c r="P61" s="33"/>
      <c r="Q61" s="58">
        <f t="shared" si="10"/>
        <v>0</v>
      </c>
      <c r="R61" s="85">
        <f t="shared" si="6"/>
        <v>0</v>
      </c>
      <c r="S61" s="85">
        <f t="shared" si="7"/>
        <v>0</v>
      </c>
      <c r="T61" s="59">
        <f t="shared" si="11"/>
        <v>0</v>
      </c>
      <c r="U61" s="59">
        <f t="shared" si="12"/>
        <v>0</v>
      </c>
      <c r="V61" s="46"/>
      <c r="W61" s="75"/>
    </row>
    <row r="62" spans="1:23" x14ac:dyDescent="0.25">
      <c r="A62" s="175"/>
      <c r="B62" s="3"/>
      <c r="C62" s="24"/>
      <c r="D62" s="270"/>
      <c r="E62" s="173"/>
      <c r="F62" s="26"/>
      <c r="G62" s="2">
        <f t="shared" si="1"/>
        <v>0</v>
      </c>
      <c r="H62" s="20">
        <f t="shared" si="2"/>
        <v>0</v>
      </c>
      <c r="I62" s="61"/>
      <c r="J62" s="210">
        <f t="shared" si="3"/>
        <v>0</v>
      </c>
      <c r="K62" s="2">
        <f t="shared" si="4"/>
        <v>0</v>
      </c>
      <c r="L62" s="2">
        <f t="shared" si="5"/>
        <v>0</v>
      </c>
      <c r="M62" s="21"/>
      <c r="N62" s="76"/>
      <c r="O62" s="3"/>
      <c r="P62" s="31"/>
      <c r="Q62" s="32">
        <f t="shared" si="10"/>
        <v>0</v>
      </c>
      <c r="R62" s="32">
        <f t="shared" si="6"/>
        <v>0</v>
      </c>
      <c r="S62" s="32">
        <f t="shared" si="7"/>
        <v>0</v>
      </c>
      <c r="T62" s="47">
        <f t="shared" si="11"/>
        <v>0</v>
      </c>
      <c r="U62" s="47">
        <f t="shared" si="12"/>
        <v>0</v>
      </c>
      <c r="V62" s="46"/>
      <c r="W62" s="75"/>
    </row>
    <row r="63" spans="1:23" x14ac:dyDescent="0.25">
      <c r="A63" s="175"/>
      <c r="B63" s="1"/>
      <c r="C63" s="19"/>
      <c r="D63" s="269"/>
      <c r="E63" s="174"/>
      <c r="F63" s="33"/>
      <c r="G63" s="62">
        <f t="shared" si="1"/>
        <v>0</v>
      </c>
      <c r="H63" s="63">
        <f t="shared" si="2"/>
        <v>0</v>
      </c>
      <c r="I63" s="61"/>
      <c r="J63" s="211">
        <f t="shared" si="3"/>
        <v>0</v>
      </c>
      <c r="K63" s="62">
        <f t="shared" si="4"/>
        <v>0</v>
      </c>
      <c r="L63" s="62">
        <f t="shared" si="5"/>
        <v>0</v>
      </c>
      <c r="M63" s="22"/>
      <c r="N63" s="76"/>
      <c r="O63" s="1"/>
      <c r="P63" s="33"/>
      <c r="Q63" s="58">
        <f t="shared" si="10"/>
        <v>0</v>
      </c>
      <c r="R63" s="85">
        <f t="shared" si="6"/>
        <v>0</v>
      </c>
      <c r="S63" s="85">
        <f t="shared" si="7"/>
        <v>0</v>
      </c>
      <c r="T63" s="59">
        <f t="shared" si="11"/>
        <v>0</v>
      </c>
      <c r="U63" s="59">
        <f t="shared" si="12"/>
        <v>0</v>
      </c>
      <c r="V63" s="46"/>
      <c r="W63" s="75"/>
    </row>
    <row r="64" spans="1:23" x14ac:dyDescent="0.25">
      <c r="A64" s="175"/>
      <c r="B64" s="3"/>
      <c r="C64" s="24"/>
      <c r="D64" s="270"/>
      <c r="E64" s="173"/>
      <c r="F64" s="26"/>
      <c r="G64" s="2">
        <f t="shared" si="1"/>
        <v>0</v>
      </c>
      <c r="H64" s="20">
        <f t="shared" si="2"/>
        <v>0</v>
      </c>
      <c r="I64" s="61"/>
      <c r="J64" s="210">
        <f t="shared" si="3"/>
        <v>0</v>
      </c>
      <c r="K64" s="2">
        <f t="shared" si="4"/>
        <v>0</v>
      </c>
      <c r="L64" s="2">
        <f t="shared" si="5"/>
        <v>0</v>
      </c>
      <c r="M64" s="21"/>
      <c r="N64" s="76"/>
      <c r="O64" s="3"/>
      <c r="P64" s="31"/>
      <c r="Q64" s="32">
        <f t="shared" si="10"/>
        <v>0</v>
      </c>
      <c r="R64" s="32">
        <f t="shared" si="6"/>
        <v>0</v>
      </c>
      <c r="S64" s="32">
        <f t="shared" si="7"/>
        <v>0</v>
      </c>
      <c r="T64" s="47">
        <f t="shared" si="11"/>
        <v>0</v>
      </c>
      <c r="U64" s="47">
        <f t="shared" si="12"/>
        <v>0</v>
      </c>
      <c r="V64" s="46"/>
      <c r="W64" s="75"/>
    </row>
    <row r="65" spans="1:23" x14ac:dyDescent="0.25">
      <c r="A65" s="175"/>
      <c r="B65" s="1"/>
      <c r="C65" s="19"/>
      <c r="D65" s="269"/>
      <c r="E65" s="174"/>
      <c r="F65" s="33"/>
      <c r="G65" s="62">
        <f t="shared" si="1"/>
        <v>0</v>
      </c>
      <c r="H65" s="63">
        <f t="shared" si="2"/>
        <v>0</v>
      </c>
      <c r="I65" s="61"/>
      <c r="J65" s="211">
        <f t="shared" si="3"/>
        <v>0</v>
      </c>
      <c r="K65" s="62">
        <f t="shared" si="4"/>
        <v>0</v>
      </c>
      <c r="L65" s="62">
        <f t="shared" si="5"/>
        <v>0</v>
      </c>
      <c r="M65" s="22"/>
      <c r="N65" s="76"/>
      <c r="O65" s="1"/>
      <c r="P65" s="33"/>
      <c r="Q65" s="58">
        <f t="shared" si="10"/>
        <v>0</v>
      </c>
      <c r="R65" s="85">
        <f t="shared" si="6"/>
        <v>0</v>
      </c>
      <c r="S65" s="85">
        <f t="shared" si="7"/>
        <v>0</v>
      </c>
      <c r="T65" s="59">
        <f t="shared" si="11"/>
        <v>0</v>
      </c>
      <c r="U65" s="59">
        <f t="shared" si="12"/>
        <v>0</v>
      </c>
      <c r="V65" s="46"/>
      <c r="W65" s="75"/>
    </row>
    <row r="66" spans="1:23" x14ac:dyDescent="0.25">
      <c r="A66" s="175"/>
      <c r="B66" s="3"/>
      <c r="C66" s="24"/>
      <c r="D66" s="270"/>
      <c r="E66" s="173"/>
      <c r="F66" s="26"/>
      <c r="G66" s="2">
        <f t="shared" si="1"/>
        <v>0</v>
      </c>
      <c r="H66" s="20">
        <f t="shared" si="2"/>
        <v>0</v>
      </c>
      <c r="I66" s="61"/>
      <c r="J66" s="210">
        <f t="shared" si="3"/>
        <v>0</v>
      </c>
      <c r="K66" s="2">
        <f t="shared" si="4"/>
        <v>0</v>
      </c>
      <c r="L66" s="2">
        <f t="shared" si="5"/>
        <v>0</v>
      </c>
      <c r="M66" s="21"/>
      <c r="N66" s="76"/>
      <c r="O66" s="3"/>
      <c r="P66" s="31"/>
      <c r="Q66" s="32">
        <f t="shared" si="10"/>
        <v>0</v>
      </c>
      <c r="R66" s="32">
        <f t="shared" si="6"/>
        <v>0</v>
      </c>
      <c r="S66" s="32">
        <f t="shared" si="7"/>
        <v>0</v>
      </c>
      <c r="T66" s="47">
        <f t="shared" si="11"/>
        <v>0</v>
      </c>
      <c r="U66" s="47">
        <f t="shared" si="12"/>
        <v>0</v>
      </c>
      <c r="V66" s="46"/>
      <c r="W66" s="75"/>
    </row>
    <row r="67" spans="1:23" x14ac:dyDescent="0.25">
      <c r="A67" s="175"/>
      <c r="B67" s="1"/>
      <c r="C67" s="19"/>
      <c r="D67" s="269"/>
      <c r="E67" s="174"/>
      <c r="F67" s="33"/>
      <c r="G67" s="62">
        <f t="shared" si="1"/>
        <v>0</v>
      </c>
      <c r="H67" s="63">
        <f t="shared" si="2"/>
        <v>0</v>
      </c>
      <c r="I67" s="61"/>
      <c r="J67" s="211">
        <f t="shared" si="3"/>
        <v>0</v>
      </c>
      <c r="K67" s="62">
        <f t="shared" si="4"/>
        <v>0</v>
      </c>
      <c r="L67" s="62">
        <f t="shared" si="5"/>
        <v>0</v>
      </c>
      <c r="M67" s="22"/>
      <c r="N67" s="76"/>
      <c r="O67" s="1"/>
      <c r="P67" s="33"/>
      <c r="Q67" s="58">
        <f t="shared" si="10"/>
        <v>0</v>
      </c>
      <c r="R67" s="85">
        <f t="shared" si="6"/>
        <v>0</v>
      </c>
      <c r="S67" s="85">
        <f t="shared" si="7"/>
        <v>0</v>
      </c>
      <c r="T67" s="59">
        <f t="shared" si="11"/>
        <v>0</v>
      </c>
      <c r="U67" s="59">
        <f t="shared" si="12"/>
        <v>0</v>
      </c>
      <c r="V67" s="46"/>
      <c r="W67" s="75"/>
    </row>
    <row r="68" spans="1:23" x14ac:dyDescent="0.25">
      <c r="A68" s="175"/>
      <c r="B68" s="3"/>
      <c r="C68" s="24"/>
      <c r="D68" s="270"/>
      <c r="E68" s="173"/>
      <c r="F68" s="26"/>
      <c r="G68" s="2">
        <f t="shared" si="1"/>
        <v>0</v>
      </c>
      <c r="H68" s="20">
        <f t="shared" si="2"/>
        <v>0</v>
      </c>
      <c r="I68" s="61"/>
      <c r="J68" s="210">
        <f t="shared" si="3"/>
        <v>0</v>
      </c>
      <c r="K68" s="2">
        <f t="shared" si="4"/>
        <v>0</v>
      </c>
      <c r="L68" s="2">
        <f t="shared" si="5"/>
        <v>0</v>
      </c>
      <c r="M68" s="21"/>
      <c r="N68" s="76"/>
      <c r="O68" s="3"/>
      <c r="P68" s="31"/>
      <c r="Q68" s="32">
        <f t="shared" si="10"/>
        <v>0</v>
      </c>
      <c r="R68" s="32">
        <f t="shared" si="6"/>
        <v>0</v>
      </c>
      <c r="S68" s="32">
        <f t="shared" si="7"/>
        <v>0</v>
      </c>
      <c r="T68" s="47">
        <f t="shared" si="11"/>
        <v>0</v>
      </c>
      <c r="U68" s="47">
        <f t="shared" si="12"/>
        <v>0</v>
      </c>
      <c r="V68" s="46"/>
      <c r="W68" s="75"/>
    </row>
    <row r="69" spans="1:23" x14ac:dyDescent="0.25">
      <c r="A69" s="175"/>
      <c r="B69" s="1"/>
      <c r="C69" s="19"/>
      <c r="D69" s="269"/>
      <c r="E69" s="174"/>
      <c r="F69" s="33"/>
      <c r="G69" s="62">
        <f t="shared" si="1"/>
        <v>0</v>
      </c>
      <c r="H69" s="63">
        <f t="shared" si="2"/>
        <v>0</v>
      </c>
      <c r="I69" s="61"/>
      <c r="J69" s="211">
        <f t="shared" si="3"/>
        <v>0</v>
      </c>
      <c r="K69" s="62">
        <f t="shared" si="4"/>
        <v>0</v>
      </c>
      <c r="L69" s="62">
        <f t="shared" si="5"/>
        <v>0</v>
      </c>
      <c r="M69" s="22"/>
      <c r="N69" s="76"/>
      <c r="O69" s="1"/>
      <c r="P69" s="33"/>
      <c r="Q69" s="58">
        <f t="shared" si="10"/>
        <v>0</v>
      </c>
      <c r="R69" s="85">
        <f t="shared" si="6"/>
        <v>0</v>
      </c>
      <c r="S69" s="85">
        <f t="shared" si="7"/>
        <v>0</v>
      </c>
      <c r="T69" s="59">
        <f t="shared" si="11"/>
        <v>0</v>
      </c>
      <c r="U69" s="59">
        <f t="shared" si="12"/>
        <v>0</v>
      </c>
      <c r="V69" s="46"/>
      <c r="W69" s="75"/>
    </row>
    <row r="70" spans="1:23" x14ac:dyDescent="0.25">
      <c r="A70" s="175"/>
      <c r="B70" s="3"/>
      <c r="C70" s="24"/>
      <c r="D70" s="270"/>
      <c r="E70" s="173"/>
      <c r="F70" s="26"/>
      <c r="G70" s="2">
        <f t="shared" si="1"/>
        <v>0</v>
      </c>
      <c r="H70" s="20">
        <f t="shared" si="2"/>
        <v>0</v>
      </c>
      <c r="I70" s="61"/>
      <c r="J70" s="210">
        <f t="shared" si="3"/>
        <v>0</v>
      </c>
      <c r="K70" s="2">
        <f t="shared" si="4"/>
        <v>0</v>
      </c>
      <c r="L70" s="2">
        <f t="shared" si="5"/>
        <v>0</v>
      </c>
      <c r="M70" s="21"/>
      <c r="N70" s="76"/>
      <c r="O70" s="3"/>
      <c r="P70" s="31"/>
      <c r="Q70" s="32">
        <f t="shared" si="10"/>
        <v>0</v>
      </c>
      <c r="R70" s="32">
        <f t="shared" si="6"/>
        <v>0</v>
      </c>
      <c r="S70" s="32">
        <f t="shared" si="7"/>
        <v>0</v>
      </c>
      <c r="T70" s="47">
        <f t="shared" si="11"/>
        <v>0</v>
      </c>
      <c r="U70" s="47">
        <f t="shared" si="12"/>
        <v>0</v>
      </c>
      <c r="V70" s="46"/>
      <c r="W70" s="75"/>
    </row>
    <row r="71" spans="1:23" x14ac:dyDescent="0.25">
      <c r="A71" s="175"/>
      <c r="B71" s="1"/>
      <c r="C71" s="19"/>
      <c r="D71" s="269"/>
      <c r="E71" s="174"/>
      <c r="F71" s="33"/>
      <c r="G71" s="62">
        <f t="shared" si="1"/>
        <v>0</v>
      </c>
      <c r="H71" s="63">
        <f t="shared" si="2"/>
        <v>0</v>
      </c>
      <c r="I71" s="61"/>
      <c r="J71" s="211">
        <f t="shared" si="3"/>
        <v>0</v>
      </c>
      <c r="K71" s="62">
        <f t="shared" si="4"/>
        <v>0</v>
      </c>
      <c r="L71" s="62">
        <f t="shared" si="5"/>
        <v>0</v>
      </c>
      <c r="M71" s="22"/>
      <c r="N71" s="76"/>
      <c r="O71" s="1"/>
      <c r="P71" s="33"/>
      <c r="Q71" s="58">
        <f t="shared" si="10"/>
        <v>0</v>
      </c>
      <c r="R71" s="85">
        <f t="shared" si="6"/>
        <v>0</v>
      </c>
      <c r="S71" s="85">
        <f t="shared" si="7"/>
        <v>0</v>
      </c>
      <c r="T71" s="59">
        <f t="shared" si="11"/>
        <v>0</v>
      </c>
      <c r="U71" s="59">
        <f t="shared" si="12"/>
        <v>0</v>
      </c>
      <c r="V71" s="46"/>
      <c r="W71" s="75"/>
    </row>
    <row r="72" spans="1:23" x14ac:dyDescent="0.25">
      <c r="A72" s="175"/>
      <c r="B72" s="3"/>
      <c r="C72" s="24"/>
      <c r="D72" s="270"/>
      <c r="E72" s="173"/>
      <c r="F72" s="26"/>
      <c r="G72" s="2">
        <f t="shared" si="1"/>
        <v>0</v>
      </c>
      <c r="H72" s="20">
        <f t="shared" si="2"/>
        <v>0</v>
      </c>
      <c r="I72" s="61"/>
      <c r="J72" s="210">
        <f t="shared" si="3"/>
        <v>0</v>
      </c>
      <c r="K72" s="2">
        <f t="shared" si="4"/>
        <v>0</v>
      </c>
      <c r="L72" s="2">
        <f t="shared" si="5"/>
        <v>0</v>
      </c>
      <c r="M72" s="21"/>
      <c r="N72" s="76"/>
      <c r="O72" s="3"/>
      <c r="P72" s="31"/>
      <c r="Q72" s="32">
        <f t="shared" si="10"/>
        <v>0</v>
      </c>
      <c r="R72" s="32">
        <f t="shared" si="6"/>
        <v>0</v>
      </c>
      <c r="S72" s="32">
        <f t="shared" si="7"/>
        <v>0</v>
      </c>
      <c r="T72" s="47">
        <f t="shared" si="11"/>
        <v>0</v>
      </c>
      <c r="U72" s="47">
        <f t="shared" si="12"/>
        <v>0</v>
      </c>
      <c r="V72" s="46"/>
      <c r="W72" s="75"/>
    </row>
    <row r="73" spans="1:23" x14ac:dyDescent="0.25">
      <c r="A73" s="175"/>
      <c r="B73" s="1"/>
      <c r="C73" s="19"/>
      <c r="D73" s="269"/>
      <c r="E73" s="174"/>
      <c r="F73" s="33"/>
      <c r="G73" s="62">
        <f t="shared" si="1"/>
        <v>0</v>
      </c>
      <c r="H73" s="63">
        <f t="shared" si="2"/>
        <v>0</v>
      </c>
      <c r="I73" s="61"/>
      <c r="J73" s="211">
        <f t="shared" si="3"/>
        <v>0</v>
      </c>
      <c r="K73" s="62">
        <f t="shared" si="4"/>
        <v>0</v>
      </c>
      <c r="L73" s="62">
        <f t="shared" si="5"/>
        <v>0</v>
      </c>
      <c r="M73" s="22"/>
      <c r="N73" s="76"/>
      <c r="O73" s="1"/>
      <c r="P73" s="33"/>
      <c r="Q73" s="58">
        <f t="shared" si="10"/>
        <v>0</v>
      </c>
      <c r="R73" s="85">
        <f t="shared" si="6"/>
        <v>0</v>
      </c>
      <c r="S73" s="85">
        <f t="shared" si="7"/>
        <v>0</v>
      </c>
      <c r="T73" s="59">
        <f t="shared" si="11"/>
        <v>0</v>
      </c>
      <c r="U73" s="59">
        <f t="shared" si="12"/>
        <v>0</v>
      </c>
      <c r="V73" s="46"/>
      <c r="W73" s="75"/>
    </row>
    <row r="74" spans="1:23" x14ac:dyDescent="0.25">
      <c r="A74" s="175"/>
      <c r="B74" s="3"/>
      <c r="C74" s="24"/>
      <c r="D74" s="270"/>
      <c r="E74" s="173"/>
      <c r="F74" s="26"/>
      <c r="G74" s="2">
        <f t="shared" si="1"/>
        <v>0</v>
      </c>
      <c r="H74" s="20">
        <f t="shared" si="2"/>
        <v>0</v>
      </c>
      <c r="I74" s="61"/>
      <c r="J74" s="210">
        <f t="shared" si="3"/>
        <v>0</v>
      </c>
      <c r="K74" s="2">
        <f t="shared" si="4"/>
        <v>0</v>
      </c>
      <c r="L74" s="2">
        <f t="shared" si="5"/>
        <v>0</v>
      </c>
      <c r="M74" s="21"/>
      <c r="N74" s="76"/>
      <c r="O74" s="3"/>
      <c r="P74" s="31"/>
      <c r="Q74" s="32">
        <f t="shared" si="10"/>
        <v>0</v>
      </c>
      <c r="R74" s="32">
        <f t="shared" si="6"/>
        <v>0</v>
      </c>
      <c r="S74" s="32">
        <f t="shared" si="7"/>
        <v>0</v>
      </c>
      <c r="T74" s="47">
        <f t="shared" si="11"/>
        <v>0</v>
      </c>
      <c r="U74" s="47">
        <f t="shared" si="12"/>
        <v>0</v>
      </c>
      <c r="V74" s="46"/>
      <c r="W74" s="75"/>
    </row>
    <row r="75" spans="1:23" x14ac:dyDescent="0.25">
      <c r="A75" s="175"/>
      <c r="B75" s="1"/>
      <c r="C75" s="19"/>
      <c r="D75" s="269"/>
      <c r="E75" s="174"/>
      <c r="F75" s="33"/>
      <c r="G75" s="62">
        <f t="shared" si="1"/>
        <v>0</v>
      </c>
      <c r="H75" s="63">
        <f t="shared" si="2"/>
        <v>0</v>
      </c>
      <c r="I75" s="61"/>
      <c r="J75" s="211">
        <f t="shared" si="3"/>
        <v>0</v>
      </c>
      <c r="K75" s="62">
        <f t="shared" si="4"/>
        <v>0</v>
      </c>
      <c r="L75" s="62">
        <f t="shared" si="5"/>
        <v>0</v>
      </c>
      <c r="M75" s="22"/>
      <c r="N75" s="76"/>
      <c r="O75" s="1"/>
      <c r="P75" s="33"/>
      <c r="Q75" s="58">
        <f t="shared" si="10"/>
        <v>0</v>
      </c>
      <c r="R75" s="85">
        <f t="shared" si="6"/>
        <v>0</v>
      </c>
      <c r="S75" s="85">
        <f t="shared" si="7"/>
        <v>0</v>
      </c>
      <c r="T75" s="59">
        <f t="shared" si="11"/>
        <v>0</v>
      </c>
      <c r="U75" s="59">
        <f t="shared" si="12"/>
        <v>0</v>
      </c>
      <c r="V75" s="46"/>
      <c r="W75" s="75"/>
    </row>
    <row r="76" spans="1:23" x14ac:dyDescent="0.25">
      <c r="A76" s="175"/>
      <c r="B76" s="3"/>
      <c r="C76" s="24"/>
      <c r="D76" s="270"/>
      <c r="E76" s="173"/>
      <c r="F76" s="26"/>
      <c r="G76" s="2">
        <f t="shared" si="1"/>
        <v>0</v>
      </c>
      <c r="H76" s="20">
        <f t="shared" si="2"/>
        <v>0</v>
      </c>
      <c r="I76" s="61"/>
      <c r="J76" s="210">
        <f t="shared" si="3"/>
        <v>0</v>
      </c>
      <c r="K76" s="2">
        <f t="shared" si="4"/>
        <v>0</v>
      </c>
      <c r="L76" s="2">
        <f t="shared" si="5"/>
        <v>0</v>
      </c>
      <c r="M76" s="21"/>
      <c r="N76" s="76"/>
      <c r="O76" s="3"/>
      <c r="P76" s="31"/>
      <c r="Q76" s="32">
        <f t="shared" si="10"/>
        <v>0</v>
      </c>
      <c r="R76" s="32">
        <f t="shared" si="6"/>
        <v>0</v>
      </c>
      <c r="S76" s="32">
        <f t="shared" si="7"/>
        <v>0</v>
      </c>
      <c r="T76" s="47">
        <f t="shared" si="11"/>
        <v>0</v>
      </c>
      <c r="U76" s="47">
        <f t="shared" si="12"/>
        <v>0</v>
      </c>
      <c r="V76" s="46"/>
      <c r="W76" s="75"/>
    </row>
    <row r="77" spans="1:23" x14ac:dyDescent="0.25">
      <c r="A77" s="175"/>
      <c r="B77" s="1"/>
      <c r="C77" s="19"/>
      <c r="D77" s="269"/>
      <c r="E77" s="174"/>
      <c r="F77" s="33"/>
      <c r="G77" s="62">
        <f t="shared" si="1"/>
        <v>0</v>
      </c>
      <c r="H77" s="63">
        <f t="shared" si="2"/>
        <v>0</v>
      </c>
      <c r="I77" s="61"/>
      <c r="J77" s="211">
        <f t="shared" si="3"/>
        <v>0</v>
      </c>
      <c r="K77" s="62">
        <f t="shared" si="4"/>
        <v>0</v>
      </c>
      <c r="L77" s="62">
        <f t="shared" si="5"/>
        <v>0</v>
      </c>
      <c r="M77" s="22"/>
      <c r="N77" s="76"/>
      <c r="O77" s="1"/>
      <c r="P77" s="33"/>
      <c r="Q77" s="58">
        <f t="shared" si="10"/>
        <v>0</v>
      </c>
      <c r="R77" s="85">
        <f t="shared" si="6"/>
        <v>0</v>
      </c>
      <c r="S77" s="85">
        <f t="shared" si="7"/>
        <v>0</v>
      </c>
      <c r="T77" s="59">
        <f t="shared" si="11"/>
        <v>0</v>
      </c>
      <c r="U77" s="59">
        <f t="shared" si="12"/>
        <v>0</v>
      </c>
      <c r="V77" s="46"/>
      <c r="W77" s="75"/>
    </row>
    <row r="78" spans="1:23" x14ac:dyDescent="0.25">
      <c r="A78" s="175"/>
      <c r="B78" s="3"/>
      <c r="C78" s="24"/>
      <c r="D78" s="270"/>
      <c r="E78" s="173"/>
      <c r="F78" s="26"/>
      <c r="G78" s="2">
        <f t="shared" si="1"/>
        <v>0</v>
      </c>
      <c r="H78" s="20">
        <f t="shared" si="2"/>
        <v>0</v>
      </c>
      <c r="I78" s="61"/>
      <c r="J78" s="210">
        <f t="shared" si="3"/>
        <v>0</v>
      </c>
      <c r="K78" s="2">
        <f t="shared" si="4"/>
        <v>0</v>
      </c>
      <c r="L78" s="2">
        <f t="shared" si="5"/>
        <v>0</v>
      </c>
      <c r="M78" s="21"/>
      <c r="N78" s="76"/>
      <c r="O78" s="3"/>
      <c r="P78" s="31"/>
      <c r="Q78" s="32">
        <f t="shared" si="10"/>
        <v>0</v>
      </c>
      <c r="R78" s="32">
        <f t="shared" si="6"/>
        <v>0</v>
      </c>
      <c r="S78" s="32">
        <f t="shared" si="7"/>
        <v>0</v>
      </c>
      <c r="T78" s="47">
        <f t="shared" si="11"/>
        <v>0</v>
      </c>
      <c r="U78" s="47">
        <f t="shared" si="12"/>
        <v>0</v>
      </c>
      <c r="V78" s="46"/>
      <c r="W78" s="75"/>
    </row>
    <row r="79" spans="1:23" x14ac:dyDescent="0.25">
      <c r="A79" s="175"/>
      <c r="B79" s="1"/>
      <c r="C79" s="19"/>
      <c r="D79" s="269"/>
      <c r="E79" s="174"/>
      <c r="F79" s="33"/>
      <c r="G79" s="62">
        <f t="shared" si="1"/>
        <v>0</v>
      </c>
      <c r="H79" s="63">
        <f t="shared" si="2"/>
        <v>0</v>
      </c>
      <c r="I79" s="61"/>
      <c r="J79" s="211">
        <f t="shared" si="3"/>
        <v>0</v>
      </c>
      <c r="K79" s="62">
        <f t="shared" si="4"/>
        <v>0</v>
      </c>
      <c r="L79" s="62">
        <f t="shared" si="5"/>
        <v>0</v>
      </c>
      <c r="M79" s="22"/>
      <c r="N79" s="76"/>
      <c r="O79" s="1"/>
      <c r="P79" s="33"/>
      <c r="Q79" s="58">
        <f t="shared" si="10"/>
        <v>0</v>
      </c>
      <c r="R79" s="85">
        <f t="shared" si="6"/>
        <v>0</v>
      </c>
      <c r="S79" s="85">
        <f t="shared" si="7"/>
        <v>0</v>
      </c>
      <c r="T79" s="59">
        <f t="shared" si="11"/>
        <v>0</v>
      </c>
      <c r="U79" s="59">
        <f t="shared" si="12"/>
        <v>0</v>
      </c>
      <c r="V79" s="46"/>
      <c r="W79" s="75"/>
    </row>
    <row r="80" spans="1:23" x14ac:dyDescent="0.25">
      <c r="A80" s="175"/>
      <c r="B80" s="3"/>
      <c r="C80" s="24"/>
      <c r="D80" s="270"/>
      <c r="E80" s="173"/>
      <c r="F80" s="26"/>
      <c r="G80" s="2">
        <f t="shared" si="1"/>
        <v>0</v>
      </c>
      <c r="H80" s="20">
        <f t="shared" si="2"/>
        <v>0</v>
      </c>
      <c r="I80" s="61"/>
      <c r="J80" s="210">
        <f t="shared" si="3"/>
        <v>0</v>
      </c>
      <c r="K80" s="2">
        <f t="shared" si="4"/>
        <v>0</v>
      </c>
      <c r="L80" s="2">
        <f t="shared" si="5"/>
        <v>0</v>
      </c>
      <c r="M80" s="21"/>
      <c r="N80" s="76"/>
      <c r="O80" s="3"/>
      <c r="P80" s="31"/>
      <c r="Q80" s="32">
        <f t="shared" si="10"/>
        <v>0</v>
      </c>
      <c r="R80" s="32">
        <f t="shared" si="6"/>
        <v>0</v>
      </c>
      <c r="S80" s="32">
        <f t="shared" si="7"/>
        <v>0</v>
      </c>
      <c r="T80" s="47">
        <f t="shared" si="11"/>
        <v>0</v>
      </c>
      <c r="U80" s="47">
        <f t="shared" si="12"/>
        <v>0</v>
      </c>
      <c r="V80" s="46"/>
      <c r="W80" s="75"/>
    </row>
    <row r="81" spans="1:23" x14ac:dyDescent="0.25">
      <c r="A81" s="175"/>
      <c r="B81" s="1"/>
      <c r="C81" s="19"/>
      <c r="D81" s="269"/>
      <c r="E81" s="174"/>
      <c r="F81" s="33"/>
      <c r="G81" s="62">
        <f t="shared" si="1"/>
        <v>0</v>
      </c>
      <c r="H81" s="63">
        <f t="shared" si="2"/>
        <v>0</v>
      </c>
      <c r="I81" s="61"/>
      <c r="J81" s="211">
        <f t="shared" si="3"/>
        <v>0</v>
      </c>
      <c r="K81" s="62">
        <f t="shared" si="4"/>
        <v>0</v>
      </c>
      <c r="L81" s="62">
        <f t="shared" si="5"/>
        <v>0</v>
      </c>
      <c r="M81" s="22"/>
      <c r="N81" s="76"/>
      <c r="O81" s="1"/>
      <c r="P81" s="33"/>
      <c r="Q81" s="58">
        <f t="shared" si="10"/>
        <v>0</v>
      </c>
      <c r="R81" s="85">
        <f t="shared" si="6"/>
        <v>0</v>
      </c>
      <c r="S81" s="85">
        <f t="shared" si="7"/>
        <v>0</v>
      </c>
      <c r="T81" s="59">
        <f t="shared" si="11"/>
        <v>0</v>
      </c>
      <c r="U81" s="59">
        <f t="shared" si="12"/>
        <v>0</v>
      </c>
      <c r="V81" s="46"/>
      <c r="W81" s="75"/>
    </row>
    <row r="82" spans="1:23" x14ac:dyDescent="0.25">
      <c r="A82" s="175"/>
      <c r="B82" s="3"/>
      <c r="C82" s="24"/>
      <c r="D82" s="270"/>
      <c r="E82" s="173"/>
      <c r="F82" s="26"/>
      <c r="G82" s="2">
        <f t="shared" si="1"/>
        <v>0</v>
      </c>
      <c r="H82" s="20">
        <f t="shared" si="2"/>
        <v>0</v>
      </c>
      <c r="I82" s="61"/>
      <c r="J82" s="210">
        <f t="shared" si="3"/>
        <v>0</v>
      </c>
      <c r="K82" s="2">
        <f t="shared" si="4"/>
        <v>0</v>
      </c>
      <c r="L82" s="2">
        <f t="shared" si="5"/>
        <v>0</v>
      </c>
      <c r="M82" s="21"/>
      <c r="N82" s="76"/>
      <c r="O82" s="3"/>
      <c r="P82" s="31"/>
      <c r="Q82" s="32">
        <f t="shared" si="10"/>
        <v>0</v>
      </c>
      <c r="R82" s="32">
        <f t="shared" si="6"/>
        <v>0</v>
      </c>
      <c r="S82" s="32">
        <f t="shared" si="7"/>
        <v>0</v>
      </c>
      <c r="T82" s="47">
        <f t="shared" si="11"/>
        <v>0</v>
      </c>
      <c r="U82" s="47">
        <f t="shared" si="12"/>
        <v>0</v>
      </c>
      <c r="V82" s="46"/>
      <c r="W82" s="75"/>
    </row>
    <row r="83" spans="1:23" x14ac:dyDescent="0.25">
      <c r="A83" s="175"/>
      <c r="B83" s="1"/>
      <c r="C83" s="19"/>
      <c r="D83" s="269"/>
      <c r="E83" s="174"/>
      <c r="F83" s="33"/>
      <c r="G83" s="62">
        <f t="shared" ref="G83:G91" si="13">ROUND(IF($F$17="USD $", F83*$E$15,F83*$D$15),2)</f>
        <v>0</v>
      </c>
      <c r="H83" s="63">
        <f t="shared" ref="H83:H91" si="14">ROUND(IF($H$17=$G$17,E83*G83,E83*F83),2)</f>
        <v>0</v>
      </c>
      <c r="I83" s="61"/>
      <c r="J83" s="211">
        <f t="shared" ref="J83:J91" si="15">E83</f>
        <v>0</v>
      </c>
      <c r="K83" s="62">
        <f t="shared" ref="K83:K91" si="16">ROUND(IF($K$17=$F$17,F83*($L$14-M83),G83*($L$14-M83)),2)</f>
        <v>0</v>
      </c>
      <c r="L83" s="62">
        <f t="shared" ref="L83:L91" si="17">ROUND((J83*K83),2)</f>
        <v>0</v>
      </c>
      <c r="M83" s="22"/>
      <c r="N83" s="76"/>
      <c r="O83" s="1"/>
      <c r="P83" s="33"/>
      <c r="Q83" s="58">
        <f t="shared" si="10"/>
        <v>0</v>
      </c>
      <c r="R83" s="85">
        <f t="shared" ref="R83:R128" si="18">IFERROR(ROUND(S83/E83,2),0)</f>
        <v>0</v>
      </c>
      <c r="S83" s="85">
        <f t="shared" ref="S83:S128" si="19">ROUND(L83-Q83,2)</f>
        <v>0</v>
      </c>
      <c r="T83" s="59">
        <f t="shared" si="11"/>
        <v>0</v>
      </c>
      <c r="U83" s="59">
        <f t="shared" si="12"/>
        <v>0</v>
      </c>
      <c r="V83" s="46"/>
      <c r="W83" s="75"/>
    </row>
    <row r="84" spans="1:23" x14ac:dyDescent="0.25">
      <c r="A84" s="175"/>
      <c r="B84" s="3"/>
      <c r="C84" s="24"/>
      <c r="D84" s="270"/>
      <c r="E84" s="173"/>
      <c r="F84" s="26"/>
      <c r="G84" s="2">
        <f t="shared" si="13"/>
        <v>0</v>
      </c>
      <c r="H84" s="20">
        <f t="shared" si="14"/>
        <v>0</v>
      </c>
      <c r="I84" s="61"/>
      <c r="J84" s="210">
        <f t="shared" si="15"/>
        <v>0</v>
      </c>
      <c r="K84" s="2">
        <f t="shared" si="16"/>
        <v>0</v>
      </c>
      <c r="L84" s="2">
        <f t="shared" si="17"/>
        <v>0</v>
      </c>
      <c r="M84" s="21"/>
      <c r="N84" s="76"/>
      <c r="O84" s="3"/>
      <c r="P84" s="31"/>
      <c r="Q84" s="32">
        <f t="shared" ref="Q84:Q128" si="20">ROUND(IF($Q$17=$P$17,P84,IF($Q$17="USD $",P84*$D$15,P84*$E$15))*E84,2)</f>
        <v>0</v>
      </c>
      <c r="R84" s="32">
        <f t="shared" si="18"/>
        <v>0</v>
      </c>
      <c r="S84" s="32">
        <f t="shared" si="19"/>
        <v>0</v>
      </c>
      <c r="T84" s="47">
        <f t="shared" si="11"/>
        <v>0</v>
      </c>
      <c r="U84" s="47">
        <f t="shared" si="12"/>
        <v>0</v>
      </c>
      <c r="V84" s="46"/>
      <c r="W84" s="75"/>
    </row>
    <row r="85" spans="1:23" x14ac:dyDescent="0.25">
      <c r="A85" s="175"/>
      <c r="B85" s="1"/>
      <c r="C85" s="19"/>
      <c r="D85" s="269"/>
      <c r="E85" s="174"/>
      <c r="F85" s="33"/>
      <c r="G85" s="62">
        <f t="shared" si="13"/>
        <v>0</v>
      </c>
      <c r="H85" s="63">
        <f t="shared" si="14"/>
        <v>0</v>
      </c>
      <c r="I85" s="61"/>
      <c r="J85" s="211">
        <f t="shared" si="15"/>
        <v>0</v>
      </c>
      <c r="K85" s="62">
        <f t="shared" si="16"/>
        <v>0</v>
      </c>
      <c r="L85" s="62">
        <f t="shared" si="17"/>
        <v>0</v>
      </c>
      <c r="M85" s="22"/>
      <c r="N85" s="76"/>
      <c r="O85" s="1"/>
      <c r="P85" s="33"/>
      <c r="Q85" s="58">
        <f t="shared" si="20"/>
        <v>0</v>
      </c>
      <c r="R85" s="85">
        <f t="shared" si="18"/>
        <v>0</v>
      </c>
      <c r="S85" s="85">
        <f t="shared" si="19"/>
        <v>0</v>
      </c>
      <c r="T85" s="59">
        <f t="shared" ref="T85:T128" si="21">IFERROR(((K85-(Q85/J85))/(Q85/J85)),0)</f>
        <v>0</v>
      </c>
      <c r="U85" s="59">
        <f t="shared" ref="U85:U128" si="22">IFERROR(((K85-(Q85/J85))/K85),0)</f>
        <v>0</v>
      </c>
      <c r="V85" s="46"/>
      <c r="W85" s="75"/>
    </row>
    <row r="86" spans="1:23" x14ac:dyDescent="0.25">
      <c r="A86" s="175"/>
      <c r="B86" s="3"/>
      <c r="C86" s="24"/>
      <c r="D86" s="270"/>
      <c r="E86" s="173"/>
      <c r="F86" s="26"/>
      <c r="G86" s="2">
        <f t="shared" si="13"/>
        <v>0</v>
      </c>
      <c r="H86" s="20">
        <f t="shared" si="14"/>
        <v>0</v>
      </c>
      <c r="I86" s="61"/>
      <c r="J86" s="210">
        <f t="shared" si="15"/>
        <v>0</v>
      </c>
      <c r="K86" s="2">
        <f t="shared" si="16"/>
        <v>0</v>
      </c>
      <c r="L86" s="2">
        <f t="shared" si="17"/>
        <v>0</v>
      </c>
      <c r="M86" s="21"/>
      <c r="N86" s="76"/>
      <c r="O86" s="3"/>
      <c r="P86" s="31"/>
      <c r="Q86" s="32">
        <f t="shared" si="20"/>
        <v>0</v>
      </c>
      <c r="R86" s="32">
        <f t="shared" si="18"/>
        <v>0</v>
      </c>
      <c r="S86" s="32">
        <f t="shared" si="19"/>
        <v>0</v>
      </c>
      <c r="T86" s="47">
        <f t="shared" si="21"/>
        <v>0</v>
      </c>
      <c r="U86" s="47">
        <f t="shared" si="22"/>
        <v>0</v>
      </c>
      <c r="V86" s="46"/>
      <c r="W86" s="75"/>
    </row>
    <row r="87" spans="1:23" x14ac:dyDescent="0.25">
      <c r="A87" s="175"/>
      <c r="B87" s="1"/>
      <c r="C87" s="19"/>
      <c r="D87" s="269"/>
      <c r="E87" s="174"/>
      <c r="F87" s="33"/>
      <c r="G87" s="62">
        <f t="shared" si="13"/>
        <v>0</v>
      </c>
      <c r="H87" s="63">
        <f t="shared" si="14"/>
        <v>0</v>
      </c>
      <c r="I87" s="61"/>
      <c r="J87" s="211">
        <f t="shared" si="15"/>
        <v>0</v>
      </c>
      <c r="K87" s="62">
        <f t="shared" si="16"/>
        <v>0</v>
      </c>
      <c r="L87" s="62">
        <f t="shared" si="17"/>
        <v>0</v>
      </c>
      <c r="M87" s="22"/>
      <c r="N87" s="76"/>
      <c r="O87" s="1"/>
      <c r="P87" s="33"/>
      <c r="Q87" s="58">
        <f t="shared" si="20"/>
        <v>0</v>
      </c>
      <c r="R87" s="85">
        <f t="shared" si="18"/>
        <v>0</v>
      </c>
      <c r="S87" s="85">
        <f t="shared" si="19"/>
        <v>0</v>
      </c>
      <c r="T87" s="59">
        <f t="shared" si="21"/>
        <v>0</v>
      </c>
      <c r="U87" s="59">
        <f t="shared" si="22"/>
        <v>0</v>
      </c>
      <c r="V87" s="46"/>
      <c r="W87" s="75"/>
    </row>
    <row r="88" spans="1:23" x14ac:dyDescent="0.25">
      <c r="A88" s="175"/>
      <c r="B88" s="3"/>
      <c r="C88" s="24"/>
      <c r="D88" s="270"/>
      <c r="E88" s="173"/>
      <c r="F88" s="26"/>
      <c r="G88" s="2">
        <f t="shared" si="13"/>
        <v>0</v>
      </c>
      <c r="H88" s="20">
        <f t="shared" si="14"/>
        <v>0</v>
      </c>
      <c r="I88" s="61"/>
      <c r="J88" s="210">
        <f t="shared" si="15"/>
        <v>0</v>
      </c>
      <c r="K88" s="2">
        <f t="shared" si="16"/>
        <v>0</v>
      </c>
      <c r="L88" s="2">
        <f t="shared" si="17"/>
        <v>0</v>
      </c>
      <c r="M88" s="21"/>
      <c r="N88" s="76"/>
      <c r="O88" s="3"/>
      <c r="P88" s="31"/>
      <c r="Q88" s="32">
        <f t="shared" si="20"/>
        <v>0</v>
      </c>
      <c r="R88" s="32">
        <f t="shared" si="18"/>
        <v>0</v>
      </c>
      <c r="S88" s="32">
        <f t="shared" si="19"/>
        <v>0</v>
      </c>
      <c r="T88" s="47">
        <f t="shared" si="21"/>
        <v>0</v>
      </c>
      <c r="U88" s="47">
        <f t="shared" si="22"/>
        <v>0</v>
      </c>
      <c r="V88" s="46"/>
      <c r="W88" s="75"/>
    </row>
    <row r="89" spans="1:23" x14ac:dyDescent="0.25">
      <c r="A89" s="175"/>
      <c r="B89" s="1"/>
      <c r="C89" s="19"/>
      <c r="D89" s="269"/>
      <c r="E89" s="174"/>
      <c r="F89" s="33"/>
      <c r="G89" s="62">
        <f t="shared" si="13"/>
        <v>0</v>
      </c>
      <c r="H89" s="63">
        <f t="shared" si="14"/>
        <v>0</v>
      </c>
      <c r="I89" s="61"/>
      <c r="J89" s="211">
        <f t="shared" si="15"/>
        <v>0</v>
      </c>
      <c r="K89" s="62">
        <f t="shared" si="16"/>
        <v>0</v>
      </c>
      <c r="L89" s="62">
        <f t="shared" si="17"/>
        <v>0</v>
      </c>
      <c r="M89" s="22"/>
      <c r="N89" s="76"/>
      <c r="O89" s="1"/>
      <c r="P89" s="33"/>
      <c r="Q89" s="58">
        <f t="shared" si="20"/>
        <v>0</v>
      </c>
      <c r="R89" s="85">
        <f t="shared" si="18"/>
        <v>0</v>
      </c>
      <c r="S89" s="85">
        <f t="shared" si="19"/>
        <v>0</v>
      </c>
      <c r="T89" s="59">
        <f t="shared" si="21"/>
        <v>0</v>
      </c>
      <c r="U89" s="59">
        <f t="shared" si="22"/>
        <v>0</v>
      </c>
      <c r="V89" s="46"/>
      <c r="W89" s="75"/>
    </row>
    <row r="90" spans="1:23" x14ac:dyDescent="0.25">
      <c r="A90" s="175"/>
      <c r="B90" s="3"/>
      <c r="C90" s="24"/>
      <c r="D90" s="270"/>
      <c r="E90" s="173"/>
      <c r="F90" s="26"/>
      <c r="G90" s="2">
        <f t="shared" si="13"/>
        <v>0</v>
      </c>
      <c r="H90" s="20">
        <f t="shared" si="14"/>
        <v>0</v>
      </c>
      <c r="I90" s="61"/>
      <c r="J90" s="210">
        <f t="shared" si="15"/>
        <v>0</v>
      </c>
      <c r="K90" s="2">
        <f t="shared" si="16"/>
        <v>0</v>
      </c>
      <c r="L90" s="2">
        <f t="shared" si="17"/>
        <v>0</v>
      </c>
      <c r="M90" s="21"/>
      <c r="N90" s="76"/>
      <c r="O90" s="3"/>
      <c r="P90" s="31"/>
      <c r="Q90" s="32">
        <f t="shared" si="20"/>
        <v>0</v>
      </c>
      <c r="R90" s="32">
        <f t="shared" si="18"/>
        <v>0</v>
      </c>
      <c r="S90" s="32">
        <f t="shared" si="19"/>
        <v>0</v>
      </c>
      <c r="T90" s="47">
        <f t="shared" si="21"/>
        <v>0</v>
      </c>
      <c r="U90" s="47">
        <f t="shared" si="22"/>
        <v>0</v>
      </c>
      <c r="V90" s="46"/>
      <c r="W90" s="75"/>
    </row>
    <row r="91" spans="1:23" x14ac:dyDescent="0.25">
      <c r="A91" s="175"/>
      <c r="B91" s="1"/>
      <c r="C91" s="19"/>
      <c r="D91" s="269"/>
      <c r="E91" s="174"/>
      <c r="F91" s="33"/>
      <c r="G91" s="62">
        <f t="shared" si="13"/>
        <v>0</v>
      </c>
      <c r="H91" s="63">
        <f t="shared" si="14"/>
        <v>0</v>
      </c>
      <c r="I91" s="61"/>
      <c r="J91" s="211">
        <f t="shared" si="15"/>
        <v>0</v>
      </c>
      <c r="K91" s="62">
        <f t="shared" si="16"/>
        <v>0</v>
      </c>
      <c r="L91" s="62">
        <f t="shared" si="17"/>
        <v>0</v>
      </c>
      <c r="M91" s="22"/>
      <c r="N91" s="76"/>
      <c r="O91" s="1"/>
      <c r="P91" s="33"/>
      <c r="Q91" s="58">
        <f t="shared" si="20"/>
        <v>0</v>
      </c>
      <c r="R91" s="85">
        <f t="shared" si="18"/>
        <v>0</v>
      </c>
      <c r="S91" s="85">
        <f t="shared" si="19"/>
        <v>0</v>
      </c>
      <c r="T91" s="59">
        <f t="shared" si="21"/>
        <v>0</v>
      </c>
      <c r="U91" s="59">
        <f t="shared" si="22"/>
        <v>0</v>
      </c>
      <c r="V91" s="46"/>
      <c r="W91" s="75"/>
    </row>
    <row r="92" spans="1:23" x14ac:dyDescent="0.25">
      <c r="A92" s="175"/>
      <c r="B92" s="3"/>
      <c r="C92" s="24"/>
      <c r="D92" s="270"/>
      <c r="E92" s="173"/>
      <c r="F92" s="26"/>
      <c r="G92" s="2">
        <f t="shared" ref="G92:G127" si="23">ROUND(IF($F$17="USD $", F92*$E$15,F92*$D$15),2)</f>
        <v>0</v>
      </c>
      <c r="H92" s="20">
        <f t="shared" ref="H92:H127" si="24">ROUND(IF($H$17=$G$17,E92*G92,E92*F92),2)</f>
        <v>0</v>
      </c>
      <c r="I92" s="61"/>
      <c r="J92" s="210">
        <f t="shared" ref="J92:J127" si="25">E92</f>
        <v>0</v>
      </c>
      <c r="K92" s="2">
        <f t="shared" ref="K92:K127" si="26">ROUND(IF($K$17=$F$17,F92*($L$14-M92),G92*($L$14-M92)),2)</f>
        <v>0</v>
      </c>
      <c r="L92" s="2">
        <f t="shared" ref="L92:L127" si="27">ROUND((J92*K92),2)</f>
        <v>0</v>
      </c>
      <c r="M92" s="21"/>
      <c r="N92" s="76"/>
      <c r="O92" s="3"/>
      <c r="P92" s="31"/>
      <c r="Q92" s="32">
        <f t="shared" si="20"/>
        <v>0</v>
      </c>
      <c r="R92" s="32">
        <f t="shared" si="18"/>
        <v>0</v>
      </c>
      <c r="S92" s="32">
        <f t="shared" si="19"/>
        <v>0</v>
      </c>
      <c r="T92" s="47">
        <f t="shared" si="21"/>
        <v>0</v>
      </c>
      <c r="U92" s="47">
        <f t="shared" si="22"/>
        <v>0</v>
      </c>
      <c r="V92" s="46"/>
      <c r="W92" s="75"/>
    </row>
    <row r="93" spans="1:23" x14ac:dyDescent="0.25">
      <c r="A93" s="175"/>
      <c r="B93" s="1"/>
      <c r="C93" s="19"/>
      <c r="D93" s="269"/>
      <c r="E93" s="174"/>
      <c r="F93" s="33"/>
      <c r="G93" s="62">
        <f t="shared" si="23"/>
        <v>0</v>
      </c>
      <c r="H93" s="63">
        <f t="shared" si="24"/>
        <v>0</v>
      </c>
      <c r="I93" s="61"/>
      <c r="J93" s="211">
        <f t="shared" si="25"/>
        <v>0</v>
      </c>
      <c r="K93" s="62">
        <f t="shared" si="26"/>
        <v>0</v>
      </c>
      <c r="L93" s="62">
        <f t="shared" si="27"/>
        <v>0</v>
      </c>
      <c r="M93" s="22"/>
      <c r="N93" s="76"/>
      <c r="O93" s="1"/>
      <c r="P93" s="33"/>
      <c r="Q93" s="58">
        <f t="shared" si="20"/>
        <v>0</v>
      </c>
      <c r="R93" s="85">
        <f t="shared" si="18"/>
        <v>0</v>
      </c>
      <c r="S93" s="85">
        <f t="shared" si="19"/>
        <v>0</v>
      </c>
      <c r="T93" s="59">
        <f t="shared" si="21"/>
        <v>0</v>
      </c>
      <c r="U93" s="59">
        <f t="shared" si="22"/>
        <v>0</v>
      </c>
      <c r="V93" s="46"/>
      <c r="W93" s="75"/>
    </row>
    <row r="94" spans="1:23" x14ac:dyDescent="0.25">
      <c r="A94" s="175"/>
      <c r="B94" s="3"/>
      <c r="C94" s="24"/>
      <c r="D94" s="270"/>
      <c r="E94" s="173"/>
      <c r="F94" s="26"/>
      <c r="G94" s="2">
        <f t="shared" si="23"/>
        <v>0</v>
      </c>
      <c r="H94" s="20">
        <f t="shared" si="24"/>
        <v>0</v>
      </c>
      <c r="I94" s="61"/>
      <c r="J94" s="210">
        <f t="shared" si="25"/>
        <v>0</v>
      </c>
      <c r="K94" s="2">
        <f t="shared" si="26"/>
        <v>0</v>
      </c>
      <c r="L94" s="2">
        <f t="shared" si="27"/>
        <v>0</v>
      </c>
      <c r="M94" s="21"/>
      <c r="N94" s="76"/>
      <c r="O94" s="3"/>
      <c r="P94" s="31"/>
      <c r="Q94" s="32">
        <f t="shared" si="20"/>
        <v>0</v>
      </c>
      <c r="R94" s="32">
        <f t="shared" si="18"/>
        <v>0</v>
      </c>
      <c r="S94" s="32">
        <f t="shared" si="19"/>
        <v>0</v>
      </c>
      <c r="T94" s="47">
        <f t="shared" si="21"/>
        <v>0</v>
      </c>
      <c r="U94" s="47">
        <f t="shared" si="22"/>
        <v>0</v>
      </c>
      <c r="V94" s="46"/>
      <c r="W94" s="75"/>
    </row>
    <row r="95" spans="1:23" x14ac:dyDescent="0.25">
      <c r="A95" s="175"/>
      <c r="B95" s="1"/>
      <c r="C95" s="19"/>
      <c r="D95" s="269"/>
      <c r="E95" s="174"/>
      <c r="F95" s="33"/>
      <c r="G95" s="62">
        <f t="shared" si="23"/>
        <v>0</v>
      </c>
      <c r="H95" s="63">
        <f t="shared" si="24"/>
        <v>0</v>
      </c>
      <c r="I95" s="61"/>
      <c r="J95" s="211">
        <f t="shared" si="25"/>
        <v>0</v>
      </c>
      <c r="K95" s="62">
        <f t="shared" si="26"/>
        <v>0</v>
      </c>
      <c r="L95" s="62">
        <f t="shared" si="27"/>
        <v>0</v>
      </c>
      <c r="M95" s="22"/>
      <c r="N95" s="76"/>
      <c r="O95" s="1"/>
      <c r="P95" s="33"/>
      <c r="Q95" s="58">
        <f t="shared" si="20"/>
        <v>0</v>
      </c>
      <c r="R95" s="85">
        <f t="shared" si="18"/>
        <v>0</v>
      </c>
      <c r="S95" s="85">
        <f t="shared" si="19"/>
        <v>0</v>
      </c>
      <c r="T95" s="59">
        <f t="shared" si="21"/>
        <v>0</v>
      </c>
      <c r="U95" s="59">
        <f t="shared" si="22"/>
        <v>0</v>
      </c>
      <c r="V95" s="46"/>
      <c r="W95" s="75"/>
    </row>
    <row r="96" spans="1:23" x14ac:dyDescent="0.25">
      <c r="A96" s="175"/>
      <c r="B96" s="3"/>
      <c r="C96" s="24"/>
      <c r="D96" s="270"/>
      <c r="E96" s="173"/>
      <c r="F96" s="26"/>
      <c r="G96" s="2">
        <f t="shared" si="23"/>
        <v>0</v>
      </c>
      <c r="H96" s="20">
        <f t="shared" si="24"/>
        <v>0</v>
      </c>
      <c r="I96" s="61"/>
      <c r="J96" s="210">
        <f t="shared" si="25"/>
        <v>0</v>
      </c>
      <c r="K96" s="2">
        <f t="shared" si="26"/>
        <v>0</v>
      </c>
      <c r="L96" s="2">
        <f t="shared" si="27"/>
        <v>0</v>
      </c>
      <c r="M96" s="21"/>
      <c r="N96" s="76"/>
      <c r="O96" s="3"/>
      <c r="P96" s="31"/>
      <c r="Q96" s="32">
        <f t="shared" si="20"/>
        <v>0</v>
      </c>
      <c r="R96" s="32">
        <f t="shared" si="18"/>
        <v>0</v>
      </c>
      <c r="S96" s="32">
        <f t="shared" si="19"/>
        <v>0</v>
      </c>
      <c r="T96" s="47">
        <f t="shared" si="21"/>
        <v>0</v>
      </c>
      <c r="U96" s="47">
        <f t="shared" si="22"/>
        <v>0</v>
      </c>
      <c r="V96" s="46"/>
      <c r="W96" s="75"/>
    </row>
    <row r="97" spans="1:23" x14ac:dyDescent="0.25">
      <c r="A97" s="175"/>
      <c r="B97" s="1"/>
      <c r="C97" s="19"/>
      <c r="D97" s="269"/>
      <c r="E97" s="174"/>
      <c r="F97" s="33"/>
      <c r="G97" s="62">
        <f t="shared" si="23"/>
        <v>0</v>
      </c>
      <c r="H97" s="63">
        <f t="shared" si="24"/>
        <v>0</v>
      </c>
      <c r="I97" s="61"/>
      <c r="J97" s="211">
        <f t="shared" si="25"/>
        <v>0</v>
      </c>
      <c r="K97" s="62">
        <f t="shared" si="26"/>
        <v>0</v>
      </c>
      <c r="L97" s="62">
        <f t="shared" si="27"/>
        <v>0</v>
      </c>
      <c r="M97" s="22"/>
      <c r="N97" s="76"/>
      <c r="O97" s="1"/>
      <c r="P97" s="33"/>
      <c r="Q97" s="58">
        <f t="shared" si="20"/>
        <v>0</v>
      </c>
      <c r="R97" s="85">
        <f t="shared" si="18"/>
        <v>0</v>
      </c>
      <c r="S97" s="85">
        <f t="shared" si="19"/>
        <v>0</v>
      </c>
      <c r="T97" s="59">
        <f t="shared" si="21"/>
        <v>0</v>
      </c>
      <c r="U97" s="59">
        <f t="shared" si="22"/>
        <v>0</v>
      </c>
      <c r="V97" s="46"/>
      <c r="W97" s="75"/>
    </row>
    <row r="98" spans="1:23" x14ac:dyDescent="0.25">
      <c r="A98" s="175"/>
      <c r="B98" s="3"/>
      <c r="C98" s="24"/>
      <c r="D98" s="270"/>
      <c r="E98" s="173"/>
      <c r="F98" s="26"/>
      <c r="G98" s="2">
        <f t="shared" si="23"/>
        <v>0</v>
      </c>
      <c r="H98" s="20">
        <f t="shared" si="24"/>
        <v>0</v>
      </c>
      <c r="I98" s="61"/>
      <c r="J98" s="210">
        <f t="shared" si="25"/>
        <v>0</v>
      </c>
      <c r="K98" s="2">
        <f t="shared" si="26"/>
        <v>0</v>
      </c>
      <c r="L98" s="2">
        <f t="shared" si="27"/>
        <v>0</v>
      </c>
      <c r="M98" s="21"/>
      <c r="N98" s="76"/>
      <c r="O98" s="3"/>
      <c r="P98" s="31"/>
      <c r="Q98" s="32">
        <f t="shared" si="20"/>
        <v>0</v>
      </c>
      <c r="R98" s="32">
        <f t="shared" si="18"/>
        <v>0</v>
      </c>
      <c r="S98" s="32">
        <f t="shared" si="19"/>
        <v>0</v>
      </c>
      <c r="T98" s="47">
        <f t="shared" si="21"/>
        <v>0</v>
      </c>
      <c r="U98" s="47">
        <f t="shared" si="22"/>
        <v>0</v>
      </c>
      <c r="V98" s="46"/>
      <c r="W98" s="75"/>
    </row>
    <row r="99" spans="1:23" x14ac:dyDescent="0.25">
      <c r="A99" s="175"/>
      <c r="B99" s="1"/>
      <c r="C99" s="19"/>
      <c r="D99" s="269"/>
      <c r="E99" s="174"/>
      <c r="F99" s="33"/>
      <c r="G99" s="62">
        <f t="shared" si="23"/>
        <v>0</v>
      </c>
      <c r="H99" s="63">
        <f t="shared" si="24"/>
        <v>0</v>
      </c>
      <c r="I99" s="61"/>
      <c r="J99" s="211">
        <f t="shared" si="25"/>
        <v>0</v>
      </c>
      <c r="K99" s="62">
        <f t="shared" si="26"/>
        <v>0</v>
      </c>
      <c r="L99" s="62">
        <f t="shared" si="27"/>
        <v>0</v>
      </c>
      <c r="M99" s="22"/>
      <c r="N99" s="76"/>
      <c r="O99" s="1"/>
      <c r="P99" s="33"/>
      <c r="Q99" s="58">
        <f t="shared" si="20"/>
        <v>0</v>
      </c>
      <c r="R99" s="85">
        <f t="shared" si="18"/>
        <v>0</v>
      </c>
      <c r="S99" s="85">
        <f t="shared" si="19"/>
        <v>0</v>
      </c>
      <c r="T99" s="59">
        <f t="shared" si="21"/>
        <v>0</v>
      </c>
      <c r="U99" s="59">
        <f t="shared" si="22"/>
        <v>0</v>
      </c>
      <c r="V99" s="46"/>
      <c r="W99" s="75"/>
    </row>
    <row r="100" spans="1:23" x14ac:dyDescent="0.25">
      <c r="A100" s="175"/>
      <c r="B100" s="3"/>
      <c r="C100" s="24"/>
      <c r="D100" s="270"/>
      <c r="E100" s="173"/>
      <c r="F100" s="26"/>
      <c r="G100" s="2">
        <f t="shared" si="23"/>
        <v>0</v>
      </c>
      <c r="H100" s="20">
        <f t="shared" si="24"/>
        <v>0</v>
      </c>
      <c r="I100" s="61"/>
      <c r="J100" s="210">
        <f t="shared" si="25"/>
        <v>0</v>
      </c>
      <c r="K100" s="2">
        <f t="shared" si="26"/>
        <v>0</v>
      </c>
      <c r="L100" s="2">
        <f t="shared" si="27"/>
        <v>0</v>
      </c>
      <c r="M100" s="21"/>
      <c r="N100" s="76"/>
      <c r="O100" s="3"/>
      <c r="P100" s="31"/>
      <c r="Q100" s="32">
        <f t="shared" si="20"/>
        <v>0</v>
      </c>
      <c r="R100" s="32">
        <f t="shared" si="18"/>
        <v>0</v>
      </c>
      <c r="S100" s="32">
        <f t="shared" si="19"/>
        <v>0</v>
      </c>
      <c r="T100" s="47">
        <f t="shared" si="21"/>
        <v>0</v>
      </c>
      <c r="U100" s="47">
        <f t="shared" si="22"/>
        <v>0</v>
      </c>
      <c r="V100" s="46"/>
      <c r="W100" s="75"/>
    </row>
    <row r="101" spans="1:23" x14ac:dyDescent="0.25">
      <c r="A101" s="175"/>
      <c r="B101" s="1"/>
      <c r="C101" s="19"/>
      <c r="D101" s="269"/>
      <c r="E101" s="174"/>
      <c r="F101" s="33"/>
      <c r="G101" s="62">
        <f t="shared" si="23"/>
        <v>0</v>
      </c>
      <c r="H101" s="63">
        <f t="shared" si="24"/>
        <v>0</v>
      </c>
      <c r="I101" s="61"/>
      <c r="J101" s="211">
        <f t="shared" si="25"/>
        <v>0</v>
      </c>
      <c r="K101" s="62">
        <f t="shared" si="26"/>
        <v>0</v>
      </c>
      <c r="L101" s="62">
        <f t="shared" si="27"/>
        <v>0</v>
      </c>
      <c r="M101" s="22"/>
      <c r="N101" s="76"/>
      <c r="O101" s="1"/>
      <c r="P101" s="33"/>
      <c r="Q101" s="58">
        <f t="shared" si="20"/>
        <v>0</v>
      </c>
      <c r="R101" s="85">
        <f t="shared" si="18"/>
        <v>0</v>
      </c>
      <c r="S101" s="85">
        <f t="shared" si="19"/>
        <v>0</v>
      </c>
      <c r="T101" s="59">
        <f t="shared" si="21"/>
        <v>0</v>
      </c>
      <c r="U101" s="59">
        <f t="shared" si="22"/>
        <v>0</v>
      </c>
      <c r="V101" s="46"/>
      <c r="W101" s="75"/>
    </row>
    <row r="102" spans="1:23" x14ac:dyDescent="0.25">
      <c r="A102" s="175"/>
      <c r="B102" s="3"/>
      <c r="C102" s="24"/>
      <c r="D102" s="270"/>
      <c r="E102" s="173"/>
      <c r="F102" s="26"/>
      <c r="G102" s="2">
        <f t="shared" si="23"/>
        <v>0</v>
      </c>
      <c r="H102" s="20">
        <f t="shared" si="24"/>
        <v>0</v>
      </c>
      <c r="I102" s="61"/>
      <c r="J102" s="210">
        <f t="shared" si="25"/>
        <v>0</v>
      </c>
      <c r="K102" s="2">
        <f t="shared" si="26"/>
        <v>0</v>
      </c>
      <c r="L102" s="2">
        <f t="shared" si="27"/>
        <v>0</v>
      </c>
      <c r="M102" s="21"/>
      <c r="N102" s="76"/>
      <c r="O102" s="3"/>
      <c r="P102" s="31"/>
      <c r="Q102" s="32">
        <f t="shared" si="20"/>
        <v>0</v>
      </c>
      <c r="R102" s="32">
        <f t="shared" si="18"/>
        <v>0</v>
      </c>
      <c r="S102" s="32">
        <f t="shared" si="19"/>
        <v>0</v>
      </c>
      <c r="T102" s="47">
        <f t="shared" si="21"/>
        <v>0</v>
      </c>
      <c r="U102" s="47">
        <f t="shared" si="22"/>
        <v>0</v>
      </c>
      <c r="V102" s="46"/>
      <c r="W102" s="75"/>
    </row>
    <row r="103" spans="1:23" x14ac:dyDescent="0.25">
      <c r="A103" s="175"/>
      <c r="B103" s="1"/>
      <c r="C103" s="19"/>
      <c r="D103" s="269"/>
      <c r="E103" s="174"/>
      <c r="F103" s="33"/>
      <c r="G103" s="62">
        <f t="shared" si="23"/>
        <v>0</v>
      </c>
      <c r="H103" s="63">
        <f t="shared" si="24"/>
        <v>0</v>
      </c>
      <c r="I103" s="61"/>
      <c r="J103" s="211">
        <f t="shared" si="25"/>
        <v>0</v>
      </c>
      <c r="K103" s="62">
        <f t="shared" si="26"/>
        <v>0</v>
      </c>
      <c r="L103" s="62">
        <f t="shared" si="27"/>
        <v>0</v>
      </c>
      <c r="M103" s="22"/>
      <c r="N103" s="76"/>
      <c r="O103" s="1"/>
      <c r="P103" s="33"/>
      <c r="Q103" s="58">
        <f t="shared" si="20"/>
        <v>0</v>
      </c>
      <c r="R103" s="85">
        <f t="shared" si="18"/>
        <v>0</v>
      </c>
      <c r="S103" s="85">
        <f t="shared" si="19"/>
        <v>0</v>
      </c>
      <c r="T103" s="59">
        <f t="shared" si="21"/>
        <v>0</v>
      </c>
      <c r="U103" s="59">
        <f t="shared" si="22"/>
        <v>0</v>
      </c>
      <c r="V103" s="46"/>
      <c r="W103" s="75"/>
    </row>
    <row r="104" spans="1:23" x14ac:dyDescent="0.25">
      <c r="A104" s="175"/>
      <c r="B104" s="3"/>
      <c r="C104" s="24"/>
      <c r="D104" s="270"/>
      <c r="E104" s="173"/>
      <c r="F104" s="26"/>
      <c r="G104" s="2">
        <f t="shared" si="23"/>
        <v>0</v>
      </c>
      <c r="H104" s="20">
        <f t="shared" si="24"/>
        <v>0</v>
      </c>
      <c r="I104" s="61"/>
      <c r="J104" s="210">
        <f t="shared" si="25"/>
        <v>0</v>
      </c>
      <c r="K104" s="2">
        <f t="shared" si="26"/>
        <v>0</v>
      </c>
      <c r="L104" s="2">
        <f t="shared" si="27"/>
        <v>0</v>
      </c>
      <c r="M104" s="21"/>
      <c r="N104" s="76"/>
      <c r="O104" s="3"/>
      <c r="P104" s="31"/>
      <c r="Q104" s="32">
        <f t="shared" si="20"/>
        <v>0</v>
      </c>
      <c r="R104" s="32">
        <f t="shared" si="18"/>
        <v>0</v>
      </c>
      <c r="S104" s="32">
        <f t="shared" si="19"/>
        <v>0</v>
      </c>
      <c r="T104" s="47">
        <f t="shared" si="21"/>
        <v>0</v>
      </c>
      <c r="U104" s="47">
        <f t="shared" si="22"/>
        <v>0</v>
      </c>
      <c r="V104" s="46"/>
      <c r="W104" s="75"/>
    </row>
    <row r="105" spans="1:23" x14ac:dyDescent="0.25">
      <c r="A105" s="175"/>
      <c r="B105" s="1"/>
      <c r="C105" s="19"/>
      <c r="D105" s="269"/>
      <c r="E105" s="174"/>
      <c r="F105" s="33"/>
      <c r="G105" s="62">
        <f t="shared" si="23"/>
        <v>0</v>
      </c>
      <c r="H105" s="63">
        <f t="shared" si="24"/>
        <v>0</v>
      </c>
      <c r="I105" s="61"/>
      <c r="J105" s="211">
        <f t="shared" si="25"/>
        <v>0</v>
      </c>
      <c r="K105" s="62">
        <f t="shared" si="26"/>
        <v>0</v>
      </c>
      <c r="L105" s="62">
        <f t="shared" si="27"/>
        <v>0</v>
      </c>
      <c r="M105" s="22"/>
      <c r="N105" s="76"/>
      <c r="O105" s="1"/>
      <c r="P105" s="33"/>
      <c r="Q105" s="58">
        <f t="shared" si="20"/>
        <v>0</v>
      </c>
      <c r="R105" s="85">
        <f t="shared" si="18"/>
        <v>0</v>
      </c>
      <c r="S105" s="85">
        <f t="shared" si="19"/>
        <v>0</v>
      </c>
      <c r="T105" s="59">
        <f t="shared" si="21"/>
        <v>0</v>
      </c>
      <c r="U105" s="59">
        <f t="shared" si="22"/>
        <v>0</v>
      </c>
      <c r="V105" s="46"/>
      <c r="W105" s="75"/>
    </row>
    <row r="106" spans="1:23" x14ac:dyDescent="0.25">
      <c r="A106" s="175"/>
      <c r="B106" s="3"/>
      <c r="C106" s="24"/>
      <c r="D106" s="270"/>
      <c r="E106" s="173"/>
      <c r="F106" s="26"/>
      <c r="G106" s="2">
        <f t="shared" si="23"/>
        <v>0</v>
      </c>
      <c r="H106" s="20">
        <f t="shared" si="24"/>
        <v>0</v>
      </c>
      <c r="I106" s="61"/>
      <c r="J106" s="210">
        <f t="shared" si="25"/>
        <v>0</v>
      </c>
      <c r="K106" s="2">
        <f t="shared" si="26"/>
        <v>0</v>
      </c>
      <c r="L106" s="2">
        <f t="shared" si="27"/>
        <v>0</v>
      </c>
      <c r="M106" s="21"/>
      <c r="N106" s="76"/>
      <c r="O106" s="3"/>
      <c r="P106" s="31"/>
      <c r="Q106" s="32">
        <f t="shared" si="20"/>
        <v>0</v>
      </c>
      <c r="R106" s="32">
        <f t="shared" si="18"/>
        <v>0</v>
      </c>
      <c r="S106" s="32">
        <f t="shared" si="19"/>
        <v>0</v>
      </c>
      <c r="T106" s="47">
        <f t="shared" si="21"/>
        <v>0</v>
      </c>
      <c r="U106" s="47">
        <f t="shared" si="22"/>
        <v>0</v>
      </c>
      <c r="V106" s="46"/>
      <c r="W106" s="75"/>
    </row>
    <row r="107" spans="1:23" x14ac:dyDescent="0.25">
      <c r="A107" s="175"/>
      <c r="B107" s="1"/>
      <c r="C107" s="19"/>
      <c r="D107" s="269"/>
      <c r="E107" s="174"/>
      <c r="F107" s="33"/>
      <c r="G107" s="62">
        <f t="shared" si="23"/>
        <v>0</v>
      </c>
      <c r="H107" s="63">
        <f t="shared" si="24"/>
        <v>0</v>
      </c>
      <c r="I107" s="61"/>
      <c r="J107" s="211">
        <f t="shared" si="25"/>
        <v>0</v>
      </c>
      <c r="K107" s="62">
        <f t="shared" si="26"/>
        <v>0</v>
      </c>
      <c r="L107" s="62">
        <f t="shared" si="27"/>
        <v>0</v>
      </c>
      <c r="M107" s="22"/>
      <c r="N107" s="76"/>
      <c r="O107" s="1"/>
      <c r="P107" s="33"/>
      <c r="Q107" s="58">
        <f t="shared" si="20"/>
        <v>0</v>
      </c>
      <c r="R107" s="85">
        <f t="shared" si="18"/>
        <v>0</v>
      </c>
      <c r="S107" s="85">
        <f t="shared" si="19"/>
        <v>0</v>
      </c>
      <c r="T107" s="59">
        <f t="shared" si="21"/>
        <v>0</v>
      </c>
      <c r="U107" s="59">
        <f t="shared" si="22"/>
        <v>0</v>
      </c>
      <c r="V107" s="46"/>
      <c r="W107" s="75"/>
    </row>
    <row r="108" spans="1:23" x14ac:dyDescent="0.25">
      <c r="A108" s="175"/>
      <c r="B108" s="3"/>
      <c r="C108" s="24"/>
      <c r="D108" s="270"/>
      <c r="E108" s="173"/>
      <c r="F108" s="26"/>
      <c r="G108" s="2">
        <f t="shared" si="23"/>
        <v>0</v>
      </c>
      <c r="H108" s="20">
        <f t="shared" si="24"/>
        <v>0</v>
      </c>
      <c r="I108" s="61"/>
      <c r="J108" s="210">
        <f t="shared" si="25"/>
        <v>0</v>
      </c>
      <c r="K108" s="2">
        <f t="shared" si="26"/>
        <v>0</v>
      </c>
      <c r="L108" s="2">
        <f t="shared" si="27"/>
        <v>0</v>
      </c>
      <c r="M108" s="21"/>
      <c r="N108" s="76"/>
      <c r="O108" s="3"/>
      <c r="P108" s="31"/>
      <c r="Q108" s="32">
        <f t="shared" si="20"/>
        <v>0</v>
      </c>
      <c r="R108" s="32">
        <f t="shared" si="18"/>
        <v>0</v>
      </c>
      <c r="S108" s="32">
        <f t="shared" si="19"/>
        <v>0</v>
      </c>
      <c r="T108" s="47">
        <f t="shared" si="21"/>
        <v>0</v>
      </c>
      <c r="U108" s="47">
        <f t="shared" si="22"/>
        <v>0</v>
      </c>
      <c r="V108" s="46"/>
      <c r="W108" s="75"/>
    </row>
    <row r="109" spans="1:23" x14ac:dyDescent="0.25">
      <c r="A109" s="175"/>
      <c r="B109" s="1"/>
      <c r="C109" s="19"/>
      <c r="D109" s="269"/>
      <c r="E109" s="174"/>
      <c r="F109" s="33"/>
      <c r="G109" s="62">
        <f t="shared" si="23"/>
        <v>0</v>
      </c>
      <c r="H109" s="63">
        <f t="shared" si="24"/>
        <v>0</v>
      </c>
      <c r="I109" s="61"/>
      <c r="J109" s="211">
        <f t="shared" si="25"/>
        <v>0</v>
      </c>
      <c r="K109" s="62">
        <f t="shared" si="26"/>
        <v>0</v>
      </c>
      <c r="L109" s="62">
        <f t="shared" si="27"/>
        <v>0</v>
      </c>
      <c r="M109" s="22"/>
      <c r="N109" s="76"/>
      <c r="O109" s="1"/>
      <c r="P109" s="33"/>
      <c r="Q109" s="58">
        <f t="shared" si="20"/>
        <v>0</v>
      </c>
      <c r="R109" s="85">
        <f t="shared" si="18"/>
        <v>0</v>
      </c>
      <c r="S109" s="85">
        <f t="shared" si="19"/>
        <v>0</v>
      </c>
      <c r="T109" s="59">
        <f t="shared" si="21"/>
        <v>0</v>
      </c>
      <c r="U109" s="59">
        <f t="shared" si="22"/>
        <v>0</v>
      </c>
      <c r="V109" s="46"/>
      <c r="W109" s="75"/>
    </row>
    <row r="110" spans="1:23" x14ac:dyDescent="0.25">
      <c r="A110" s="175"/>
      <c r="B110" s="3"/>
      <c r="C110" s="24"/>
      <c r="D110" s="270"/>
      <c r="E110" s="173"/>
      <c r="F110" s="26"/>
      <c r="G110" s="2">
        <f t="shared" si="23"/>
        <v>0</v>
      </c>
      <c r="H110" s="20">
        <f t="shared" si="24"/>
        <v>0</v>
      </c>
      <c r="I110" s="61"/>
      <c r="J110" s="210">
        <f t="shared" si="25"/>
        <v>0</v>
      </c>
      <c r="K110" s="2">
        <f t="shared" si="26"/>
        <v>0</v>
      </c>
      <c r="L110" s="2">
        <f t="shared" si="27"/>
        <v>0</v>
      </c>
      <c r="M110" s="21"/>
      <c r="N110" s="76"/>
      <c r="O110" s="3"/>
      <c r="P110" s="31"/>
      <c r="Q110" s="32">
        <f t="shared" si="20"/>
        <v>0</v>
      </c>
      <c r="R110" s="32">
        <f t="shared" si="18"/>
        <v>0</v>
      </c>
      <c r="S110" s="32">
        <f t="shared" si="19"/>
        <v>0</v>
      </c>
      <c r="T110" s="47">
        <f t="shared" si="21"/>
        <v>0</v>
      </c>
      <c r="U110" s="47">
        <f t="shared" si="22"/>
        <v>0</v>
      </c>
      <c r="V110" s="46"/>
      <c r="W110" s="75"/>
    </row>
    <row r="111" spans="1:23" x14ac:dyDescent="0.25">
      <c r="A111" s="175"/>
      <c r="B111" s="1"/>
      <c r="C111" s="19"/>
      <c r="D111" s="269"/>
      <c r="E111" s="174"/>
      <c r="F111" s="33"/>
      <c r="G111" s="62">
        <f t="shared" si="23"/>
        <v>0</v>
      </c>
      <c r="H111" s="63">
        <f t="shared" si="24"/>
        <v>0</v>
      </c>
      <c r="I111" s="61"/>
      <c r="J111" s="211">
        <f t="shared" si="25"/>
        <v>0</v>
      </c>
      <c r="K111" s="62">
        <f t="shared" si="26"/>
        <v>0</v>
      </c>
      <c r="L111" s="62">
        <f t="shared" si="27"/>
        <v>0</v>
      </c>
      <c r="M111" s="22"/>
      <c r="N111" s="76"/>
      <c r="O111" s="1"/>
      <c r="P111" s="33"/>
      <c r="Q111" s="58">
        <f t="shared" si="20"/>
        <v>0</v>
      </c>
      <c r="R111" s="85">
        <f t="shared" si="18"/>
        <v>0</v>
      </c>
      <c r="S111" s="85">
        <f t="shared" si="19"/>
        <v>0</v>
      </c>
      <c r="T111" s="59">
        <f t="shared" si="21"/>
        <v>0</v>
      </c>
      <c r="U111" s="59">
        <f t="shared" si="22"/>
        <v>0</v>
      </c>
      <c r="V111" s="46"/>
      <c r="W111" s="75"/>
    </row>
    <row r="112" spans="1:23" x14ac:dyDescent="0.25">
      <c r="A112" s="175"/>
      <c r="B112" s="3"/>
      <c r="C112" s="24"/>
      <c r="D112" s="270"/>
      <c r="E112" s="173"/>
      <c r="F112" s="26"/>
      <c r="G112" s="2">
        <f t="shared" si="23"/>
        <v>0</v>
      </c>
      <c r="H112" s="20">
        <f t="shared" si="24"/>
        <v>0</v>
      </c>
      <c r="I112" s="61"/>
      <c r="J112" s="210">
        <f t="shared" si="25"/>
        <v>0</v>
      </c>
      <c r="K112" s="2">
        <f t="shared" si="26"/>
        <v>0</v>
      </c>
      <c r="L112" s="2">
        <f t="shared" si="27"/>
        <v>0</v>
      </c>
      <c r="M112" s="21"/>
      <c r="N112" s="76"/>
      <c r="O112" s="3"/>
      <c r="P112" s="31"/>
      <c r="Q112" s="32">
        <f t="shared" si="20"/>
        <v>0</v>
      </c>
      <c r="R112" s="32">
        <f t="shared" si="18"/>
        <v>0</v>
      </c>
      <c r="S112" s="32">
        <f t="shared" si="19"/>
        <v>0</v>
      </c>
      <c r="T112" s="47">
        <f t="shared" si="21"/>
        <v>0</v>
      </c>
      <c r="U112" s="47">
        <f t="shared" si="22"/>
        <v>0</v>
      </c>
      <c r="V112" s="46"/>
      <c r="W112" s="75"/>
    </row>
    <row r="113" spans="1:23" x14ac:dyDescent="0.25">
      <c r="A113" s="175"/>
      <c r="B113" s="1"/>
      <c r="C113" s="19"/>
      <c r="D113" s="269"/>
      <c r="E113" s="174"/>
      <c r="F113" s="33"/>
      <c r="G113" s="62">
        <f t="shared" si="23"/>
        <v>0</v>
      </c>
      <c r="H113" s="63">
        <f t="shared" si="24"/>
        <v>0</v>
      </c>
      <c r="I113" s="61"/>
      <c r="J113" s="211">
        <f t="shared" si="25"/>
        <v>0</v>
      </c>
      <c r="K113" s="62">
        <f t="shared" si="26"/>
        <v>0</v>
      </c>
      <c r="L113" s="62">
        <f t="shared" si="27"/>
        <v>0</v>
      </c>
      <c r="M113" s="22"/>
      <c r="N113" s="76"/>
      <c r="O113" s="1"/>
      <c r="P113" s="33"/>
      <c r="Q113" s="58">
        <f t="shared" si="20"/>
        <v>0</v>
      </c>
      <c r="R113" s="85">
        <f t="shared" si="18"/>
        <v>0</v>
      </c>
      <c r="S113" s="85">
        <f t="shared" si="19"/>
        <v>0</v>
      </c>
      <c r="T113" s="59">
        <f t="shared" si="21"/>
        <v>0</v>
      </c>
      <c r="U113" s="59">
        <f t="shared" si="22"/>
        <v>0</v>
      </c>
      <c r="V113" s="46"/>
      <c r="W113" s="75"/>
    </row>
    <row r="114" spans="1:23" x14ac:dyDescent="0.25">
      <c r="A114" s="175"/>
      <c r="B114" s="3"/>
      <c r="C114" s="24"/>
      <c r="D114" s="270"/>
      <c r="E114" s="173"/>
      <c r="F114" s="26"/>
      <c r="G114" s="2">
        <f t="shared" si="23"/>
        <v>0</v>
      </c>
      <c r="H114" s="20">
        <f t="shared" si="24"/>
        <v>0</v>
      </c>
      <c r="I114" s="61"/>
      <c r="J114" s="210">
        <f t="shared" si="25"/>
        <v>0</v>
      </c>
      <c r="K114" s="2">
        <f t="shared" si="26"/>
        <v>0</v>
      </c>
      <c r="L114" s="2">
        <f t="shared" si="27"/>
        <v>0</v>
      </c>
      <c r="M114" s="21"/>
      <c r="N114" s="76"/>
      <c r="O114" s="3"/>
      <c r="P114" s="31"/>
      <c r="Q114" s="32">
        <f t="shared" si="20"/>
        <v>0</v>
      </c>
      <c r="R114" s="32">
        <f t="shared" si="18"/>
        <v>0</v>
      </c>
      <c r="S114" s="32">
        <f t="shared" si="19"/>
        <v>0</v>
      </c>
      <c r="T114" s="47">
        <f t="shared" si="21"/>
        <v>0</v>
      </c>
      <c r="U114" s="47">
        <f t="shared" si="22"/>
        <v>0</v>
      </c>
      <c r="V114" s="46"/>
      <c r="W114" s="75"/>
    </row>
    <row r="115" spans="1:23" x14ac:dyDescent="0.25">
      <c r="A115" s="175"/>
      <c r="B115" s="1"/>
      <c r="C115" s="19"/>
      <c r="D115" s="269"/>
      <c r="E115" s="174"/>
      <c r="F115" s="33"/>
      <c r="G115" s="62">
        <f t="shared" si="23"/>
        <v>0</v>
      </c>
      <c r="H115" s="63">
        <f t="shared" si="24"/>
        <v>0</v>
      </c>
      <c r="I115" s="61"/>
      <c r="J115" s="211">
        <f t="shared" si="25"/>
        <v>0</v>
      </c>
      <c r="K115" s="62">
        <f t="shared" si="26"/>
        <v>0</v>
      </c>
      <c r="L115" s="62">
        <f t="shared" si="27"/>
        <v>0</v>
      </c>
      <c r="M115" s="22"/>
      <c r="N115" s="76"/>
      <c r="O115" s="1"/>
      <c r="P115" s="33"/>
      <c r="Q115" s="58">
        <f t="shared" si="20"/>
        <v>0</v>
      </c>
      <c r="R115" s="85">
        <f t="shared" si="18"/>
        <v>0</v>
      </c>
      <c r="S115" s="85">
        <f t="shared" si="19"/>
        <v>0</v>
      </c>
      <c r="T115" s="59">
        <f t="shared" si="21"/>
        <v>0</v>
      </c>
      <c r="U115" s="59">
        <f t="shared" si="22"/>
        <v>0</v>
      </c>
      <c r="V115" s="46"/>
      <c r="W115" s="75"/>
    </row>
    <row r="116" spans="1:23" x14ac:dyDescent="0.25">
      <c r="A116" s="175"/>
      <c r="B116" s="3"/>
      <c r="C116" s="24"/>
      <c r="D116" s="270"/>
      <c r="E116" s="173"/>
      <c r="F116" s="26"/>
      <c r="G116" s="2">
        <f t="shared" si="23"/>
        <v>0</v>
      </c>
      <c r="H116" s="20">
        <f t="shared" si="24"/>
        <v>0</v>
      </c>
      <c r="I116" s="61"/>
      <c r="J116" s="210">
        <f t="shared" si="25"/>
        <v>0</v>
      </c>
      <c r="K116" s="2">
        <f t="shared" si="26"/>
        <v>0</v>
      </c>
      <c r="L116" s="2">
        <f t="shared" si="27"/>
        <v>0</v>
      </c>
      <c r="M116" s="21"/>
      <c r="N116" s="76"/>
      <c r="O116" s="3"/>
      <c r="P116" s="31"/>
      <c r="Q116" s="32">
        <f t="shared" si="20"/>
        <v>0</v>
      </c>
      <c r="R116" s="32">
        <f t="shared" si="18"/>
        <v>0</v>
      </c>
      <c r="S116" s="32">
        <f t="shared" si="19"/>
        <v>0</v>
      </c>
      <c r="T116" s="47">
        <f t="shared" si="21"/>
        <v>0</v>
      </c>
      <c r="U116" s="47">
        <f t="shared" si="22"/>
        <v>0</v>
      </c>
      <c r="V116" s="46"/>
      <c r="W116" s="75"/>
    </row>
    <row r="117" spans="1:23" x14ac:dyDescent="0.25">
      <c r="A117" s="175"/>
      <c r="B117" s="1"/>
      <c r="C117" s="19"/>
      <c r="D117" s="269"/>
      <c r="E117" s="174"/>
      <c r="F117" s="33"/>
      <c r="G117" s="62">
        <f t="shared" si="23"/>
        <v>0</v>
      </c>
      <c r="H117" s="63">
        <f t="shared" si="24"/>
        <v>0</v>
      </c>
      <c r="I117" s="61"/>
      <c r="J117" s="211">
        <f t="shared" si="25"/>
        <v>0</v>
      </c>
      <c r="K117" s="62">
        <f t="shared" si="26"/>
        <v>0</v>
      </c>
      <c r="L117" s="62">
        <f t="shared" si="27"/>
        <v>0</v>
      </c>
      <c r="M117" s="22"/>
      <c r="N117" s="76"/>
      <c r="O117" s="1"/>
      <c r="P117" s="33"/>
      <c r="Q117" s="58">
        <f t="shared" si="20"/>
        <v>0</v>
      </c>
      <c r="R117" s="85">
        <f t="shared" si="18"/>
        <v>0</v>
      </c>
      <c r="S117" s="85">
        <f t="shared" si="19"/>
        <v>0</v>
      </c>
      <c r="T117" s="59">
        <f t="shared" si="21"/>
        <v>0</v>
      </c>
      <c r="U117" s="59">
        <f t="shared" si="22"/>
        <v>0</v>
      </c>
      <c r="V117" s="46"/>
      <c r="W117" s="75"/>
    </row>
    <row r="118" spans="1:23" x14ac:dyDescent="0.25">
      <c r="A118" s="175"/>
      <c r="B118" s="3"/>
      <c r="C118" s="24"/>
      <c r="D118" s="270"/>
      <c r="E118" s="173"/>
      <c r="F118" s="26"/>
      <c r="G118" s="2">
        <f t="shared" si="23"/>
        <v>0</v>
      </c>
      <c r="H118" s="20">
        <f t="shared" si="24"/>
        <v>0</v>
      </c>
      <c r="I118" s="61"/>
      <c r="J118" s="210">
        <f t="shared" si="25"/>
        <v>0</v>
      </c>
      <c r="K118" s="2">
        <f t="shared" si="26"/>
        <v>0</v>
      </c>
      <c r="L118" s="2">
        <f t="shared" si="27"/>
        <v>0</v>
      </c>
      <c r="M118" s="21"/>
      <c r="N118" s="76"/>
      <c r="O118" s="3"/>
      <c r="P118" s="31"/>
      <c r="Q118" s="32">
        <f t="shared" si="20"/>
        <v>0</v>
      </c>
      <c r="R118" s="32">
        <f t="shared" si="18"/>
        <v>0</v>
      </c>
      <c r="S118" s="32">
        <f t="shared" si="19"/>
        <v>0</v>
      </c>
      <c r="T118" s="47">
        <f t="shared" si="21"/>
        <v>0</v>
      </c>
      <c r="U118" s="47">
        <f t="shared" si="22"/>
        <v>0</v>
      </c>
      <c r="V118" s="46"/>
      <c r="W118" s="75"/>
    </row>
    <row r="119" spans="1:23" x14ac:dyDescent="0.25">
      <c r="A119" s="175"/>
      <c r="B119" s="1"/>
      <c r="C119" s="19"/>
      <c r="D119" s="269"/>
      <c r="E119" s="174"/>
      <c r="F119" s="33"/>
      <c r="G119" s="62">
        <f t="shared" si="23"/>
        <v>0</v>
      </c>
      <c r="H119" s="63">
        <f t="shared" si="24"/>
        <v>0</v>
      </c>
      <c r="I119" s="61"/>
      <c r="J119" s="211">
        <f t="shared" si="25"/>
        <v>0</v>
      </c>
      <c r="K119" s="62">
        <f t="shared" si="26"/>
        <v>0</v>
      </c>
      <c r="L119" s="62">
        <f t="shared" si="27"/>
        <v>0</v>
      </c>
      <c r="M119" s="22"/>
      <c r="N119" s="76"/>
      <c r="O119" s="1"/>
      <c r="P119" s="33"/>
      <c r="Q119" s="58">
        <f t="shared" si="20"/>
        <v>0</v>
      </c>
      <c r="R119" s="85">
        <f t="shared" si="18"/>
        <v>0</v>
      </c>
      <c r="S119" s="85">
        <f t="shared" si="19"/>
        <v>0</v>
      </c>
      <c r="T119" s="59">
        <f t="shared" si="21"/>
        <v>0</v>
      </c>
      <c r="U119" s="59">
        <f t="shared" si="22"/>
        <v>0</v>
      </c>
      <c r="V119" s="46"/>
      <c r="W119" s="75"/>
    </row>
    <row r="120" spans="1:23" x14ac:dyDescent="0.25">
      <c r="A120" s="175"/>
      <c r="B120" s="3"/>
      <c r="C120" s="24"/>
      <c r="D120" s="270"/>
      <c r="E120" s="173"/>
      <c r="F120" s="26"/>
      <c r="G120" s="2">
        <f t="shared" si="23"/>
        <v>0</v>
      </c>
      <c r="H120" s="20">
        <f t="shared" si="24"/>
        <v>0</v>
      </c>
      <c r="I120" s="61"/>
      <c r="J120" s="210">
        <f t="shared" si="25"/>
        <v>0</v>
      </c>
      <c r="K120" s="2">
        <f t="shared" si="26"/>
        <v>0</v>
      </c>
      <c r="L120" s="2">
        <f t="shared" si="27"/>
        <v>0</v>
      </c>
      <c r="M120" s="21"/>
      <c r="N120" s="76"/>
      <c r="O120" s="3"/>
      <c r="P120" s="31"/>
      <c r="Q120" s="32">
        <f t="shared" si="20"/>
        <v>0</v>
      </c>
      <c r="R120" s="32">
        <f t="shared" si="18"/>
        <v>0</v>
      </c>
      <c r="S120" s="32">
        <f t="shared" si="19"/>
        <v>0</v>
      </c>
      <c r="T120" s="47">
        <f t="shared" si="21"/>
        <v>0</v>
      </c>
      <c r="U120" s="47">
        <f t="shared" si="22"/>
        <v>0</v>
      </c>
      <c r="V120" s="46"/>
      <c r="W120" s="75"/>
    </row>
    <row r="121" spans="1:23" x14ac:dyDescent="0.25">
      <c r="A121" s="175"/>
      <c r="B121" s="1"/>
      <c r="C121" s="19"/>
      <c r="D121" s="269"/>
      <c r="E121" s="174"/>
      <c r="F121" s="33"/>
      <c r="G121" s="62">
        <f t="shared" si="23"/>
        <v>0</v>
      </c>
      <c r="H121" s="63">
        <f t="shared" si="24"/>
        <v>0</v>
      </c>
      <c r="I121" s="61"/>
      <c r="J121" s="211">
        <f t="shared" si="25"/>
        <v>0</v>
      </c>
      <c r="K121" s="62">
        <f t="shared" si="26"/>
        <v>0</v>
      </c>
      <c r="L121" s="62">
        <f t="shared" si="27"/>
        <v>0</v>
      </c>
      <c r="M121" s="22"/>
      <c r="N121" s="76"/>
      <c r="O121" s="1"/>
      <c r="P121" s="33"/>
      <c r="Q121" s="58">
        <f t="shared" si="20"/>
        <v>0</v>
      </c>
      <c r="R121" s="85">
        <f t="shared" si="18"/>
        <v>0</v>
      </c>
      <c r="S121" s="85">
        <f t="shared" si="19"/>
        <v>0</v>
      </c>
      <c r="T121" s="59">
        <f t="shared" si="21"/>
        <v>0</v>
      </c>
      <c r="U121" s="59">
        <f t="shared" si="22"/>
        <v>0</v>
      </c>
      <c r="V121" s="46"/>
      <c r="W121" s="75"/>
    </row>
    <row r="122" spans="1:23" x14ac:dyDescent="0.25">
      <c r="A122" s="175"/>
      <c r="B122" s="3"/>
      <c r="C122" s="24"/>
      <c r="D122" s="270"/>
      <c r="E122" s="173"/>
      <c r="F122" s="26"/>
      <c r="G122" s="2">
        <f t="shared" si="23"/>
        <v>0</v>
      </c>
      <c r="H122" s="20">
        <f t="shared" si="24"/>
        <v>0</v>
      </c>
      <c r="I122" s="61"/>
      <c r="J122" s="210">
        <f t="shared" si="25"/>
        <v>0</v>
      </c>
      <c r="K122" s="2">
        <f t="shared" si="26"/>
        <v>0</v>
      </c>
      <c r="L122" s="2">
        <f t="shared" si="27"/>
        <v>0</v>
      </c>
      <c r="M122" s="21"/>
      <c r="N122" s="76"/>
      <c r="O122" s="3"/>
      <c r="P122" s="31"/>
      <c r="Q122" s="32">
        <f t="shared" si="20"/>
        <v>0</v>
      </c>
      <c r="R122" s="32">
        <f t="shared" si="18"/>
        <v>0</v>
      </c>
      <c r="S122" s="32">
        <f t="shared" si="19"/>
        <v>0</v>
      </c>
      <c r="T122" s="47">
        <f t="shared" si="21"/>
        <v>0</v>
      </c>
      <c r="U122" s="47">
        <f t="shared" si="22"/>
        <v>0</v>
      </c>
      <c r="V122" s="46"/>
      <c r="W122" s="75"/>
    </row>
    <row r="123" spans="1:23" x14ac:dyDescent="0.25">
      <c r="A123" s="175"/>
      <c r="B123" s="1"/>
      <c r="C123" s="19"/>
      <c r="D123" s="269"/>
      <c r="E123" s="174"/>
      <c r="F123" s="33"/>
      <c r="G123" s="62">
        <f t="shared" si="23"/>
        <v>0</v>
      </c>
      <c r="H123" s="63">
        <f t="shared" si="24"/>
        <v>0</v>
      </c>
      <c r="I123" s="61"/>
      <c r="J123" s="211">
        <f t="shared" si="25"/>
        <v>0</v>
      </c>
      <c r="K123" s="62">
        <f t="shared" si="26"/>
        <v>0</v>
      </c>
      <c r="L123" s="62">
        <f t="shared" si="27"/>
        <v>0</v>
      </c>
      <c r="M123" s="22"/>
      <c r="N123" s="76"/>
      <c r="O123" s="1"/>
      <c r="P123" s="33"/>
      <c r="Q123" s="58">
        <f t="shared" si="20"/>
        <v>0</v>
      </c>
      <c r="R123" s="85">
        <f t="shared" si="18"/>
        <v>0</v>
      </c>
      <c r="S123" s="85">
        <f t="shared" si="19"/>
        <v>0</v>
      </c>
      <c r="T123" s="59">
        <f t="shared" si="21"/>
        <v>0</v>
      </c>
      <c r="U123" s="59">
        <f t="shared" si="22"/>
        <v>0</v>
      </c>
      <c r="V123" s="46"/>
      <c r="W123" s="75"/>
    </row>
    <row r="124" spans="1:23" x14ac:dyDescent="0.25">
      <c r="A124" s="175"/>
      <c r="B124" s="3"/>
      <c r="C124" s="24"/>
      <c r="D124" s="270"/>
      <c r="E124" s="173"/>
      <c r="F124" s="26"/>
      <c r="G124" s="2">
        <f t="shared" si="23"/>
        <v>0</v>
      </c>
      <c r="H124" s="20">
        <f t="shared" si="24"/>
        <v>0</v>
      </c>
      <c r="I124" s="61"/>
      <c r="J124" s="210">
        <f t="shared" si="25"/>
        <v>0</v>
      </c>
      <c r="K124" s="2">
        <f t="shared" si="26"/>
        <v>0</v>
      </c>
      <c r="L124" s="2">
        <f t="shared" si="27"/>
        <v>0</v>
      </c>
      <c r="M124" s="21"/>
      <c r="N124" s="76"/>
      <c r="O124" s="3"/>
      <c r="P124" s="31"/>
      <c r="Q124" s="32">
        <f t="shared" si="20"/>
        <v>0</v>
      </c>
      <c r="R124" s="32">
        <f t="shared" si="18"/>
        <v>0</v>
      </c>
      <c r="S124" s="32">
        <f t="shared" si="19"/>
        <v>0</v>
      </c>
      <c r="T124" s="47">
        <f t="shared" si="21"/>
        <v>0</v>
      </c>
      <c r="U124" s="47">
        <f t="shared" si="22"/>
        <v>0</v>
      </c>
      <c r="V124" s="46"/>
      <c r="W124" s="75"/>
    </row>
    <row r="125" spans="1:23" x14ac:dyDescent="0.25">
      <c r="A125" s="175"/>
      <c r="B125" s="1"/>
      <c r="C125" s="19"/>
      <c r="D125" s="269"/>
      <c r="E125" s="174"/>
      <c r="F125" s="33"/>
      <c r="G125" s="62">
        <f t="shared" si="23"/>
        <v>0</v>
      </c>
      <c r="H125" s="63">
        <f t="shared" si="24"/>
        <v>0</v>
      </c>
      <c r="I125" s="61"/>
      <c r="J125" s="211">
        <f t="shared" si="25"/>
        <v>0</v>
      </c>
      <c r="K125" s="62">
        <f t="shared" si="26"/>
        <v>0</v>
      </c>
      <c r="L125" s="62">
        <f t="shared" si="27"/>
        <v>0</v>
      </c>
      <c r="M125" s="22"/>
      <c r="N125" s="76"/>
      <c r="O125" s="1"/>
      <c r="P125" s="33"/>
      <c r="Q125" s="58">
        <f t="shared" si="20"/>
        <v>0</v>
      </c>
      <c r="R125" s="85">
        <f t="shared" si="18"/>
        <v>0</v>
      </c>
      <c r="S125" s="85">
        <f t="shared" si="19"/>
        <v>0</v>
      </c>
      <c r="T125" s="59">
        <f t="shared" si="21"/>
        <v>0</v>
      </c>
      <c r="U125" s="59">
        <f t="shared" si="22"/>
        <v>0</v>
      </c>
      <c r="V125" s="46"/>
      <c r="W125" s="75"/>
    </row>
    <row r="126" spans="1:23" x14ac:dyDescent="0.25">
      <c r="A126" s="175"/>
      <c r="B126" s="3"/>
      <c r="C126" s="24"/>
      <c r="D126" s="270"/>
      <c r="E126" s="173"/>
      <c r="F126" s="26"/>
      <c r="G126" s="2">
        <f t="shared" si="23"/>
        <v>0</v>
      </c>
      <c r="H126" s="20">
        <f t="shared" si="24"/>
        <v>0</v>
      </c>
      <c r="I126" s="61"/>
      <c r="J126" s="210">
        <f t="shared" si="25"/>
        <v>0</v>
      </c>
      <c r="K126" s="2">
        <f t="shared" si="26"/>
        <v>0</v>
      </c>
      <c r="L126" s="2">
        <f t="shared" si="27"/>
        <v>0</v>
      </c>
      <c r="M126" s="21"/>
      <c r="N126" s="76"/>
      <c r="O126" s="3"/>
      <c r="P126" s="31"/>
      <c r="Q126" s="32">
        <f t="shared" si="20"/>
        <v>0</v>
      </c>
      <c r="R126" s="32">
        <f t="shared" si="18"/>
        <v>0</v>
      </c>
      <c r="S126" s="32">
        <f t="shared" si="19"/>
        <v>0</v>
      </c>
      <c r="T126" s="47">
        <f t="shared" si="21"/>
        <v>0</v>
      </c>
      <c r="U126" s="47">
        <f t="shared" si="22"/>
        <v>0</v>
      </c>
      <c r="V126" s="46"/>
      <c r="W126" s="75"/>
    </row>
    <row r="127" spans="1:23" x14ac:dyDescent="0.25">
      <c r="A127" s="175"/>
      <c r="B127" s="1"/>
      <c r="C127" s="19"/>
      <c r="D127" s="269"/>
      <c r="E127" s="174"/>
      <c r="F127" s="33"/>
      <c r="G127" s="62">
        <f t="shared" si="23"/>
        <v>0</v>
      </c>
      <c r="H127" s="63">
        <f t="shared" si="24"/>
        <v>0</v>
      </c>
      <c r="I127" s="61"/>
      <c r="J127" s="211">
        <f t="shared" si="25"/>
        <v>0</v>
      </c>
      <c r="K127" s="62">
        <f t="shared" si="26"/>
        <v>0</v>
      </c>
      <c r="L127" s="62">
        <f t="shared" si="27"/>
        <v>0</v>
      </c>
      <c r="M127" s="22"/>
      <c r="N127" s="76"/>
      <c r="O127" s="1"/>
      <c r="P127" s="33"/>
      <c r="Q127" s="58">
        <f t="shared" si="20"/>
        <v>0</v>
      </c>
      <c r="R127" s="85">
        <f t="shared" si="18"/>
        <v>0</v>
      </c>
      <c r="S127" s="85">
        <f t="shared" si="19"/>
        <v>0</v>
      </c>
      <c r="T127" s="59">
        <f t="shared" si="21"/>
        <v>0</v>
      </c>
      <c r="U127" s="59">
        <f t="shared" si="22"/>
        <v>0</v>
      </c>
      <c r="V127" s="46"/>
      <c r="W127" s="75"/>
    </row>
    <row r="128" spans="1:23" x14ac:dyDescent="0.25">
      <c r="A128" s="175"/>
      <c r="B128" s="3"/>
      <c r="C128" s="24"/>
      <c r="D128" s="270"/>
      <c r="E128" s="173"/>
      <c r="F128" s="26"/>
      <c r="G128" s="2">
        <f t="shared" ref="G128" si="28">ROUND(IF($F$17="USD $", F128*$E$15,F128*$D$15),2)</f>
        <v>0</v>
      </c>
      <c r="H128" s="20">
        <f t="shared" ref="H128" si="29">ROUND(IF($H$17=$G$17,E128*G128,E128*F128),2)</f>
        <v>0</v>
      </c>
      <c r="I128" s="61"/>
      <c r="J128" s="210">
        <f t="shared" ref="J128" si="30">E128</f>
        <v>0</v>
      </c>
      <c r="K128" s="2">
        <f t="shared" ref="K128" si="31">ROUND(IF($K$17=$F$17,F128*($L$14-M128),G128*($L$14-M128)),2)</f>
        <v>0</v>
      </c>
      <c r="L128" s="2">
        <f t="shared" ref="L128" si="32">ROUND((J128*K128),2)</f>
        <v>0</v>
      </c>
      <c r="M128" s="21"/>
      <c r="N128" s="76"/>
      <c r="O128" s="3"/>
      <c r="P128" s="31"/>
      <c r="Q128" s="32">
        <f t="shared" si="20"/>
        <v>0</v>
      </c>
      <c r="R128" s="32">
        <f t="shared" si="18"/>
        <v>0</v>
      </c>
      <c r="S128" s="32">
        <f t="shared" si="19"/>
        <v>0</v>
      </c>
      <c r="T128" s="47">
        <f t="shared" si="21"/>
        <v>0</v>
      </c>
      <c r="U128" s="47">
        <f t="shared" si="22"/>
        <v>0</v>
      </c>
      <c r="V128" s="46"/>
      <c r="W128" s="75"/>
    </row>
    <row r="129" spans="1:23" ht="20.25" customHeight="1" x14ac:dyDescent="0.25">
      <c r="A129" s="177"/>
      <c r="B129" s="195"/>
      <c r="C129" s="195"/>
      <c r="D129" s="271" t="s">
        <v>129</v>
      </c>
      <c r="E129" s="197">
        <f>SUM(E18:E128)</f>
        <v>0</v>
      </c>
      <c r="F129" s="198">
        <f>SUM(F18:F128)</f>
        <v>0</v>
      </c>
      <c r="G129" s="199">
        <f>SUM(G18:G128)</f>
        <v>0</v>
      </c>
      <c r="H129" s="200">
        <f>SUM(H18:H128)</f>
        <v>0</v>
      </c>
      <c r="I129" s="201"/>
      <c r="J129" s="202">
        <f>SUM(J18:J128)</f>
        <v>0</v>
      </c>
      <c r="K129" s="199">
        <f>SUM(K18:K128)</f>
        <v>0</v>
      </c>
      <c r="L129" s="200">
        <f>SUM(L18:L128)</f>
        <v>0</v>
      </c>
      <c r="M129" s="200"/>
      <c r="N129" s="203"/>
      <c r="O129" s="196"/>
      <c r="P129" s="199">
        <f>SUM(P18:P128)</f>
        <v>0</v>
      </c>
      <c r="Q129" s="199">
        <f>SUM(Q18:Q128)</f>
        <v>0</v>
      </c>
      <c r="R129" s="200">
        <f>SUM(R18:R128)</f>
        <v>0</v>
      </c>
      <c r="S129" s="200">
        <f>SUM(S18:S128)</f>
        <v>0</v>
      </c>
      <c r="T129" s="204"/>
      <c r="U129" s="204"/>
      <c r="V129" s="205"/>
      <c r="W129" s="194"/>
    </row>
    <row r="131" spans="1:23" ht="15" customHeight="1" x14ac:dyDescent="0.25">
      <c r="T131" s="207"/>
    </row>
  </sheetData>
  <sheetProtection algorithmName="SHA-512" hashValue="AgDddSlQ1OlGqwGfIpvXo2bXt2t6gjhJtc4l8roA0JM8qBBv6grIaQhgdC2iao1yHL73dBRMY9h+d4Rfm5A1jA==" saltValue="T8PDbas1/iewlWvkC2GH7w==" spinCount="100000" sheet="1" selectLockedCells="1"/>
  <mergeCells count="85">
    <mergeCell ref="O1:Q1"/>
    <mergeCell ref="O16:O17"/>
    <mergeCell ref="O2:Q2"/>
    <mergeCell ref="O3:Q3"/>
    <mergeCell ref="O11:U13"/>
    <mergeCell ref="O15:U15"/>
    <mergeCell ref="O10:Q10"/>
    <mergeCell ref="R1:V1"/>
    <mergeCell ref="O7:Q7"/>
    <mergeCell ref="S9:S10"/>
    <mergeCell ref="U9:U10"/>
    <mergeCell ref="V9:V10"/>
    <mergeCell ref="T2:U2"/>
    <mergeCell ref="R2:S2"/>
    <mergeCell ref="R3:S3"/>
    <mergeCell ref="R4:S4"/>
    <mergeCell ref="L1:N1"/>
    <mergeCell ref="L10:M10"/>
    <mergeCell ref="L9:M9"/>
    <mergeCell ref="D1:G1"/>
    <mergeCell ref="D2:E2"/>
    <mergeCell ref="D3:E3"/>
    <mergeCell ref="D4:E4"/>
    <mergeCell ref="D5:E5"/>
    <mergeCell ref="F9:G9"/>
    <mergeCell ref="F7:G7"/>
    <mergeCell ref="F8:G8"/>
    <mergeCell ref="F5:G5"/>
    <mergeCell ref="L2:M2"/>
    <mergeCell ref="L3:M3"/>
    <mergeCell ref="L4:M4"/>
    <mergeCell ref="L5:M5"/>
    <mergeCell ref="T3:U3"/>
    <mergeCell ref="T4:U4"/>
    <mergeCell ref="T5:U5"/>
    <mergeCell ref="M15:M17"/>
    <mergeCell ref="L6:M6"/>
    <mergeCell ref="O6:Q6"/>
    <mergeCell ref="T6:U6"/>
    <mergeCell ref="O4:Q4"/>
    <mergeCell ref="O5:Q5"/>
    <mergeCell ref="R5:S5"/>
    <mergeCell ref="R6:S6"/>
    <mergeCell ref="L8:M8"/>
    <mergeCell ref="R7:S7"/>
    <mergeCell ref="T7:U7"/>
    <mergeCell ref="O8:Q8"/>
    <mergeCell ref="O9:Q9"/>
    <mergeCell ref="T9:T10"/>
    <mergeCell ref="R9:R10"/>
    <mergeCell ref="B16:B17"/>
    <mergeCell ref="C16:C17"/>
    <mergeCell ref="B11:C15"/>
    <mergeCell ref="D11:E13"/>
    <mergeCell ref="F13:G13"/>
    <mergeCell ref="F14:H14"/>
    <mergeCell ref="Q17:U17"/>
    <mergeCell ref="L7:M7"/>
    <mergeCell ref="J16:J17"/>
    <mergeCell ref="K17:L17"/>
    <mergeCell ref="J11:M13"/>
    <mergeCell ref="L14:L15"/>
    <mergeCell ref="J14:K15"/>
    <mergeCell ref="B1:C1"/>
    <mergeCell ref="H1:K1"/>
    <mergeCell ref="H2:J2"/>
    <mergeCell ref="H3:J3"/>
    <mergeCell ref="H4:J4"/>
    <mergeCell ref="F2:G2"/>
    <mergeCell ref="F3:G3"/>
    <mergeCell ref="F4:G4"/>
    <mergeCell ref="H5:J5"/>
    <mergeCell ref="H8:J8"/>
    <mergeCell ref="H6:J6"/>
    <mergeCell ref="H7:J7"/>
    <mergeCell ref="D16:D17"/>
    <mergeCell ref="E16:E17"/>
    <mergeCell ref="D6:E6"/>
    <mergeCell ref="D7:E7"/>
    <mergeCell ref="D8:E8"/>
    <mergeCell ref="D9:E9"/>
    <mergeCell ref="F6:G6"/>
    <mergeCell ref="F16:G16"/>
    <mergeCell ref="F15:H15"/>
    <mergeCell ref="F11:H12"/>
  </mergeCells>
  <conditionalFormatting sqref="T9:T10">
    <cfRule type="expression" dxfId="16" priority="3" stopIfTrue="1">
      <formula>$T$9&gt;100%</formula>
    </cfRule>
    <cfRule type="expression" dxfId="15" priority="4">
      <formula>$T$9&lt;50%</formula>
    </cfRule>
  </conditionalFormatting>
  <conditionalFormatting sqref="U9:U10">
    <cfRule type="expression" dxfId="14" priority="1">
      <formula>$U$9&lt;50%</formula>
    </cfRule>
    <cfRule type="expression" dxfId="13" priority="2">
      <formula>$U$9&gt;50%</formula>
    </cfRule>
  </conditionalFormatting>
  <dataValidations count="4">
    <dataValidation type="list" allowBlank="1" showInputMessage="1" showErrorMessage="1" sqref="F17 P14 P17 K17" xr:uid="{7A36D0C8-9975-4034-AE25-318B2B3B5475}">
      <formula1>$X$11:$X$12</formula1>
    </dataValidation>
    <dataValidation type="list" allowBlank="1" showInputMessage="1" showErrorMessage="1" sqref="H13" xr:uid="{50112C63-9C33-4382-8338-CD71779F6AD1}">
      <formula1>$X$13:$X$14</formula1>
    </dataValidation>
    <dataValidation type="list" allowBlank="1" showInputMessage="1" showErrorMessage="1" sqref="I13" xr:uid="{86BA3DCB-9D4A-4389-97AF-BBDA8E33DF2C}">
      <formula1>$K$9:$K$9</formula1>
    </dataValidation>
    <dataValidation type="list" showInputMessage="1" showErrorMessage="1" sqref="D18:D128" xr:uid="{E782CD85-4032-40AD-9140-9B6A8B6C0855}">
      <formula1>$Y$18:$Y$29</formula1>
    </dataValidation>
  </dataValidations>
  <printOptions verticalCentered="1"/>
  <pageMargins left="0.2" right="0.2" top="0.25" bottom="0.25" header="0.05" footer="0.05"/>
  <pageSetup scale="3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35334-E5AC-4054-8C19-EA944D2F96A7}">
  <sheetPr codeName="Sheet2">
    <pageSetUpPr fitToPage="1"/>
  </sheetPr>
  <dimension ref="B1:G135"/>
  <sheetViews>
    <sheetView topLeftCell="A102" workbookViewId="0">
      <selection activeCell="D55" sqref="D55"/>
    </sheetView>
  </sheetViews>
  <sheetFormatPr defaultRowHeight="15" x14ac:dyDescent="0.25"/>
  <cols>
    <col min="1" max="1" width="2.7109375" customWidth="1"/>
    <col min="2" max="2" width="18.7109375" customWidth="1"/>
    <col min="3" max="3" width="36" customWidth="1"/>
    <col min="4" max="4" width="10.140625" customWidth="1"/>
    <col min="5" max="5" width="18.7109375" customWidth="1"/>
    <col min="6" max="6" width="20.7109375" customWidth="1"/>
    <col min="7" max="7" width="3.140625" customWidth="1"/>
  </cols>
  <sheetData>
    <row r="1" spans="2:7" x14ac:dyDescent="0.25">
      <c r="B1" s="123"/>
      <c r="C1" s="124"/>
      <c r="D1" s="407" t="s">
        <v>244</v>
      </c>
      <c r="E1" s="407"/>
      <c r="F1" s="408"/>
    </row>
    <row r="2" spans="2:7" x14ac:dyDescent="0.25">
      <c r="B2" s="125"/>
      <c r="D2" s="409"/>
      <c r="E2" s="409"/>
      <c r="F2" s="410"/>
    </row>
    <row r="3" spans="2:7" x14ac:dyDescent="0.25">
      <c r="B3" s="125"/>
      <c r="D3" s="409"/>
      <c r="E3" s="409"/>
      <c r="F3" s="410"/>
    </row>
    <row r="4" spans="2:7" x14ac:dyDescent="0.25">
      <c r="B4" s="125"/>
      <c r="D4" s="409"/>
      <c r="E4" s="409"/>
      <c r="F4" s="410"/>
    </row>
    <row r="5" spans="2:7" x14ac:dyDescent="0.25">
      <c r="B5" s="126"/>
      <c r="C5" s="127"/>
      <c r="D5" s="411"/>
      <c r="E5" s="411"/>
      <c r="F5" s="412"/>
    </row>
    <row r="6" spans="2:7" ht="27.95" customHeight="1" x14ac:dyDescent="0.55000000000000004">
      <c r="B6" s="128"/>
      <c r="C6" s="129"/>
      <c r="D6" s="130"/>
      <c r="E6" s="130"/>
      <c r="F6" s="130"/>
    </row>
    <row r="7" spans="2:7" x14ac:dyDescent="0.25">
      <c r="B7" s="115" t="s">
        <v>38</v>
      </c>
      <c r="C7" s="242"/>
      <c r="D7" s="119" t="s">
        <v>33</v>
      </c>
      <c r="E7" s="413">
        <f>'CAT 963C LOADER'!C2</f>
        <v>0</v>
      </c>
      <c r="F7" s="414"/>
    </row>
    <row r="8" spans="2:7" x14ac:dyDescent="0.25">
      <c r="B8" s="115" t="s">
        <v>245</v>
      </c>
      <c r="C8" s="243"/>
      <c r="D8" s="415" t="s">
        <v>29</v>
      </c>
      <c r="E8" s="416"/>
      <c r="F8" s="417"/>
      <c r="G8" s="95"/>
    </row>
    <row r="9" spans="2:7" x14ac:dyDescent="0.25">
      <c r="B9" s="115" t="s">
        <v>246</v>
      </c>
      <c r="C9" s="244"/>
      <c r="D9" s="115" t="s">
        <v>39</v>
      </c>
      <c r="E9" s="405">
        <f>'CAT 963C LOADER'!F2</f>
        <v>0</v>
      </c>
      <c r="F9" s="405"/>
    </row>
    <row r="10" spans="2:7" x14ac:dyDescent="0.25">
      <c r="B10" s="115" t="s">
        <v>247</v>
      </c>
      <c r="C10" s="245"/>
      <c r="D10" s="115" t="s">
        <v>44</v>
      </c>
      <c r="E10" s="405">
        <f>'CAT 963C LOADER'!F3</f>
        <v>0</v>
      </c>
      <c r="F10" s="405"/>
    </row>
    <row r="11" spans="2:7" x14ac:dyDescent="0.25">
      <c r="B11" s="115" t="s">
        <v>248</v>
      </c>
      <c r="C11" s="246"/>
      <c r="D11" s="115" t="s">
        <v>49</v>
      </c>
      <c r="E11" s="405">
        <f>'CAT 963C LOADER'!F4</f>
        <v>0</v>
      </c>
      <c r="F11" s="405"/>
    </row>
    <row r="12" spans="2:7" x14ac:dyDescent="0.25">
      <c r="B12" s="120"/>
      <c r="C12" s="246"/>
      <c r="D12" s="115" t="s">
        <v>249</v>
      </c>
      <c r="E12" s="405">
        <f>'CAT 963C LOADER'!F5</f>
        <v>0</v>
      </c>
      <c r="F12" s="405"/>
    </row>
    <row r="13" spans="2:7" x14ac:dyDescent="0.25">
      <c r="B13" s="120"/>
      <c r="C13" s="246"/>
      <c r="D13" s="115" t="s">
        <v>250</v>
      </c>
      <c r="E13" s="418">
        <f>'CAT 963C LOADER'!F8</f>
        <v>0</v>
      </c>
      <c r="F13" s="419"/>
    </row>
    <row r="14" spans="2:7" x14ac:dyDescent="0.25">
      <c r="B14" s="115" t="s">
        <v>251</v>
      </c>
      <c r="C14" s="246"/>
      <c r="D14" s="116" t="s">
        <v>58</v>
      </c>
      <c r="E14" s="405">
        <f>'CAT 963C LOADER'!C7</f>
        <v>0</v>
      </c>
      <c r="F14" s="405"/>
    </row>
    <row r="15" spans="2:7" x14ac:dyDescent="0.25">
      <c r="B15" s="121"/>
      <c r="C15" s="246"/>
      <c r="D15" s="116" t="s">
        <v>252</v>
      </c>
      <c r="E15" s="406"/>
      <c r="F15" s="406"/>
    </row>
    <row r="16" spans="2:7" ht="15.75" thickBot="1" x14ac:dyDescent="0.3">
      <c r="B16" s="108"/>
      <c r="C16" s="109"/>
      <c r="D16" s="109"/>
      <c r="E16" s="109"/>
      <c r="F16" s="110"/>
    </row>
    <row r="17" spans="2:6" ht="15.75" thickBot="1" x14ac:dyDescent="0.3">
      <c r="B17" s="111" t="s">
        <v>90</v>
      </c>
      <c r="C17" s="112" t="s">
        <v>91</v>
      </c>
      <c r="D17" s="113" t="s">
        <v>93</v>
      </c>
      <c r="E17" s="113" t="s">
        <v>253</v>
      </c>
      <c r="F17" s="114" t="s">
        <v>254</v>
      </c>
    </row>
    <row r="18" spans="2:6" x14ac:dyDescent="0.25">
      <c r="B18" s="107">
        <f>'CAT 963C LOADER'!B18</f>
        <v>0</v>
      </c>
      <c r="C18" s="105" t="str">
        <f>'CAT 963C LOADER'!C18</f>
        <v>ENGINE OIL FILTER</v>
      </c>
      <c r="D18" s="106">
        <f>'CAT 963C LOADER'!E18</f>
        <v>0</v>
      </c>
      <c r="E18" s="94"/>
      <c r="F18" s="6">
        <f>D18*E18</f>
        <v>0</v>
      </c>
    </row>
    <row r="19" spans="2:6" x14ac:dyDescent="0.25">
      <c r="B19" s="107">
        <f>'CAT 963C LOADER'!B19</f>
        <v>0</v>
      </c>
      <c r="C19" s="105" t="str">
        <f>'CAT 963C LOADER'!C19</f>
        <v>FUEL FILTER</v>
      </c>
      <c r="D19" s="106">
        <f>'CAT 963C LOADER'!E19</f>
        <v>0</v>
      </c>
      <c r="E19" s="94"/>
      <c r="F19" s="6">
        <f t="shared" ref="F19:F46" si="0">D19*E19</f>
        <v>0</v>
      </c>
    </row>
    <row r="20" spans="2:6" x14ac:dyDescent="0.25">
      <c r="B20" s="107">
        <f>'CAT 963C LOADER'!B20</f>
        <v>0</v>
      </c>
      <c r="C20" s="105" t="str">
        <f>'CAT 963C LOADER'!C20</f>
        <v>FUEL WATER SEPARATOR FILTER</v>
      </c>
      <c r="D20" s="106">
        <f>'CAT 963C LOADER'!E20</f>
        <v>0</v>
      </c>
      <c r="E20" s="94"/>
      <c r="F20" s="6">
        <f t="shared" si="0"/>
        <v>0</v>
      </c>
    </row>
    <row r="21" spans="2:6" x14ac:dyDescent="0.25">
      <c r="B21" s="107">
        <f>'CAT 963C LOADER'!B21</f>
        <v>0</v>
      </c>
      <c r="C21" s="105" t="str">
        <f>'CAT 963C LOADER'!C21</f>
        <v>HYDRAULIC FILTER</v>
      </c>
      <c r="D21" s="106">
        <f>'CAT 963C LOADER'!E21</f>
        <v>0</v>
      </c>
      <c r="E21" s="94"/>
      <c r="F21" s="6">
        <f t="shared" si="0"/>
        <v>0</v>
      </c>
    </row>
    <row r="22" spans="2:6" x14ac:dyDescent="0.25">
      <c r="B22" s="107">
        <f>'CAT 963C LOADER'!B22</f>
        <v>0</v>
      </c>
      <c r="C22" s="105" t="str">
        <f>'CAT 963C LOADER'!C22</f>
        <v>HYDRAULIC TRANSMISSION OIL FILTER</v>
      </c>
      <c r="D22" s="106">
        <f>'CAT 963C LOADER'!E22</f>
        <v>0</v>
      </c>
      <c r="E22" s="94"/>
      <c r="F22" s="6">
        <f t="shared" si="0"/>
        <v>0</v>
      </c>
    </row>
    <row r="23" spans="2:6" x14ac:dyDescent="0.25">
      <c r="B23" s="107">
        <f>'CAT 963C LOADER'!B23</f>
        <v>0</v>
      </c>
      <c r="C23" s="105" t="str">
        <f>'CAT 963C LOADER'!C23</f>
        <v>PRIMARY AIR FILTER</v>
      </c>
      <c r="D23" s="106">
        <f>'CAT 963C LOADER'!E23</f>
        <v>0</v>
      </c>
      <c r="E23" s="94"/>
      <c r="F23" s="6">
        <f t="shared" si="0"/>
        <v>0</v>
      </c>
    </row>
    <row r="24" spans="2:6" x14ac:dyDescent="0.25">
      <c r="B24" s="107">
        <f>'CAT 963C LOADER'!B24</f>
        <v>0</v>
      </c>
      <c r="C24" s="105" t="str">
        <f>'CAT 963C LOADER'!C24</f>
        <v>SECONDARY AIR FILTER ELEMENT</v>
      </c>
      <c r="D24" s="106">
        <f>'CAT 963C LOADER'!E24</f>
        <v>0</v>
      </c>
      <c r="E24" s="94"/>
      <c r="F24" s="6">
        <f t="shared" si="0"/>
        <v>0</v>
      </c>
    </row>
    <row r="25" spans="2:6" x14ac:dyDescent="0.25">
      <c r="B25" s="107">
        <f>'CAT 963C LOADER'!B25</f>
        <v>0</v>
      </c>
      <c r="C25" s="105" t="str">
        <f>'CAT 963C LOADER'!C25</f>
        <v>CABIN AIR FILTER ELEMENT</v>
      </c>
      <c r="D25" s="106">
        <f>'CAT 963C LOADER'!E25</f>
        <v>0</v>
      </c>
      <c r="E25" s="94"/>
      <c r="F25" s="6">
        <f t="shared" si="0"/>
        <v>0</v>
      </c>
    </row>
    <row r="26" spans="2:6" x14ac:dyDescent="0.25">
      <c r="B26" s="107">
        <f>'CAT 963C LOADER'!B26</f>
        <v>0</v>
      </c>
      <c r="C26" s="105" t="str">
        <f>'CAT 963C LOADER'!C26</f>
        <v>12V 4D BCI BATTERY (19.3" X 8.6" X 9.9")</v>
      </c>
      <c r="D26" s="106">
        <f>'CAT 963C LOADER'!E26</f>
        <v>0</v>
      </c>
      <c r="E26" s="94"/>
      <c r="F26" s="6">
        <f t="shared" si="0"/>
        <v>0</v>
      </c>
    </row>
    <row r="27" spans="2:6" x14ac:dyDescent="0.25">
      <c r="B27" s="107">
        <f>'CAT 963C LOADER'!B27</f>
        <v>0</v>
      </c>
      <c r="C27" s="105">
        <f>'CAT 963C LOADER'!C27</f>
        <v>0</v>
      </c>
      <c r="D27" s="106">
        <f>'CAT 963C LOADER'!E27</f>
        <v>0</v>
      </c>
      <c r="E27" s="94"/>
      <c r="F27" s="6">
        <f t="shared" si="0"/>
        <v>0</v>
      </c>
    </row>
    <row r="28" spans="2:6" x14ac:dyDescent="0.25">
      <c r="B28" s="107">
        <f>'CAT 963C LOADER'!B28</f>
        <v>0</v>
      </c>
      <c r="C28" s="105" t="str">
        <f>'CAT 963C LOADER'!C28</f>
        <v>ENGINE OVERHAUL KIT</v>
      </c>
      <c r="D28" s="106">
        <f>'CAT 963C LOADER'!E28</f>
        <v>0</v>
      </c>
      <c r="E28" s="94"/>
      <c r="F28" s="6">
        <f t="shared" si="0"/>
        <v>0</v>
      </c>
    </row>
    <row r="29" spans="2:6" x14ac:dyDescent="0.25">
      <c r="B29" s="107">
        <f>'CAT 963C LOADER'!B29</f>
        <v>0</v>
      </c>
      <c r="C29" s="105" t="str">
        <f>'CAT 963C LOADER'!C29</f>
        <v>CAMSHAFT</v>
      </c>
      <c r="D29" s="106">
        <f>'CAT 963C LOADER'!E29</f>
        <v>0</v>
      </c>
      <c r="E29" s="94"/>
      <c r="F29" s="6">
        <f t="shared" si="0"/>
        <v>0</v>
      </c>
    </row>
    <row r="30" spans="2:6" x14ac:dyDescent="0.25">
      <c r="B30" s="107">
        <f>'CAT 963C LOADER'!B30</f>
        <v>0</v>
      </c>
      <c r="C30" s="105" t="str">
        <f>'CAT 963C LOADER'!C30</f>
        <v>CRANKSHAFT</v>
      </c>
      <c r="D30" s="106">
        <f>'CAT 963C LOADER'!E30</f>
        <v>0</v>
      </c>
      <c r="E30" s="94"/>
      <c r="F30" s="6">
        <f t="shared" si="0"/>
        <v>0</v>
      </c>
    </row>
    <row r="31" spans="2:6" x14ac:dyDescent="0.25">
      <c r="B31" s="107">
        <f>'CAT 963C LOADER'!B31</f>
        <v>0</v>
      </c>
      <c r="C31" s="105" t="str">
        <f>'CAT 963C LOADER'!C31</f>
        <v>CYLINDER HEAD</v>
      </c>
      <c r="D31" s="106">
        <f>'CAT 963C LOADER'!E31</f>
        <v>0</v>
      </c>
      <c r="E31" s="94"/>
      <c r="F31" s="6">
        <f t="shared" si="0"/>
        <v>0</v>
      </c>
    </row>
    <row r="32" spans="2:6" x14ac:dyDescent="0.25">
      <c r="B32" s="107">
        <f>'CAT 963C LOADER'!B32</f>
        <v>0</v>
      </c>
      <c r="C32" s="105" t="str">
        <f>'CAT 963C LOADER'!C32</f>
        <v>TURBOCHARGER</v>
      </c>
      <c r="D32" s="106">
        <f>'CAT 963C LOADER'!E32</f>
        <v>0</v>
      </c>
      <c r="E32" s="94"/>
      <c r="F32" s="6">
        <f t="shared" si="0"/>
        <v>0</v>
      </c>
    </row>
    <row r="33" spans="2:6" x14ac:dyDescent="0.25">
      <c r="B33" s="107">
        <f>'CAT 963C LOADER'!B33</f>
        <v>0</v>
      </c>
      <c r="C33" s="105" t="str">
        <f>'CAT 963C LOADER'!C33</f>
        <v>INJECTOR</v>
      </c>
      <c r="D33" s="106">
        <f>'CAT 963C LOADER'!E33</f>
        <v>0</v>
      </c>
      <c r="E33" s="94"/>
      <c r="F33" s="6">
        <f t="shared" si="0"/>
        <v>0</v>
      </c>
    </row>
    <row r="34" spans="2:6" x14ac:dyDescent="0.25">
      <c r="B34" s="107">
        <f>'CAT 963C LOADER'!B34</f>
        <v>0</v>
      </c>
      <c r="C34" s="105">
        <f>'CAT 963C LOADER'!C34</f>
        <v>0</v>
      </c>
      <c r="D34" s="106">
        <f>'CAT 963C LOADER'!E34</f>
        <v>0</v>
      </c>
      <c r="E34" s="94"/>
      <c r="F34" s="6">
        <f t="shared" si="0"/>
        <v>0</v>
      </c>
    </row>
    <row r="35" spans="2:6" x14ac:dyDescent="0.25">
      <c r="B35" s="107">
        <f>'CAT 963C LOADER'!B35</f>
        <v>0</v>
      </c>
      <c r="C35" s="105" t="str">
        <f>'CAT 963C LOADER'!C35</f>
        <v>BUCKET AS GENERAL PURPOSE</v>
      </c>
      <c r="D35" s="106">
        <f>'CAT 963C LOADER'!E35</f>
        <v>0</v>
      </c>
      <c r="E35" s="94"/>
      <c r="F35" s="6">
        <f t="shared" si="0"/>
        <v>0</v>
      </c>
    </row>
    <row r="36" spans="2:6" x14ac:dyDescent="0.25">
      <c r="B36" s="107">
        <f>'CAT 963C LOADER'!B36</f>
        <v>0</v>
      </c>
      <c r="C36" s="105" t="str">
        <f>'CAT 963C LOADER'!C36</f>
        <v>TILT CYLINDER</v>
      </c>
      <c r="D36" s="106">
        <f>'CAT 963C LOADER'!E36</f>
        <v>0</v>
      </c>
      <c r="E36" s="94"/>
      <c r="F36" s="6">
        <f t="shared" si="0"/>
        <v>0</v>
      </c>
    </row>
    <row r="37" spans="2:6" x14ac:dyDescent="0.25">
      <c r="B37" s="107">
        <f>'CAT 963C LOADER'!B37</f>
        <v>0</v>
      </c>
      <c r="C37" s="105" t="str">
        <f>'CAT 963C LOADER'!C37</f>
        <v>LIFT CYLINDER</v>
      </c>
      <c r="D37" s="106">
        <f>'CAT 963C LOADER'!E37</f>
        <v>0</v>
      </c>
      <c r="E37" s="94"/>
      <c r="F37" s="6">
        <f t="shared" si="0"/>
        <v>0</v>
      </c>
    </row>
    <row r="38" spans="2:6" x14ac:dyDescent="0.25">
      <c r="B38" s="107">
        <f>'CAT 963C LOADER'!B38</f>
        <v>0</v>
      </c>
      <c r="C38" s="105" t="str">
        <f>'CAT 963C LOADER'!C38</f>
        <v>CUTTING EDGE</v>
      </c>
      <c r="D38" s="106">
        <f>'CAT 963C LOADER'!E38</f>
        <v>0</v>
      </c>
      <c r="E38" s="94"/>
      <c r="F38" s="6">
        <f t="shared" si="0"/>
        <v>0</v>
      </c>
    </row>
    <row r="39" spans="2:6" x14ac:dyDescent="0.25">
      <c r="B39" s="107">
        <f>'CAT 963C LOADER'!B39</f>
        <v>0</v>
      </c>
      <c r="C39" s="105" t="str">
        <f>'CAT 963C LOADER'!C39</f>
        <v>CUTTING EDGE</v>
      </c>
      <c r="D39" s="106">
        <f>'CAT 963C LOADER'!E39</f>
        <v>0</v>
      </c>
      <c r="E39" s="94"/>
      <c r="F39" s="6">
        <f t="shared" si="0"/>
        <v>0</v>
      </c>
    </row>
    <row r="40" spans="2:6" x14ac:dyDescent="0.25">
      <c r="B40" s="107">
        <f>'CAT 963C LOADER'!B40</f>
        <v>0</v>
      </c>
      <c r="C40" s="105" t="str">
        <f>'CAT 963C LOADER'!C40</f>
        <v>CUTTING EDGE</v>
      </c>
      <c r="D40" s="106">
        <f>'CAT 963C LOADER'!E40</f>
        <v>0</v>
      </c>
      <c r="E40" s="94"/>
      <c r="F40" s="6">
        <f t="shared" si="0"/>
        <v>0</v>
      </c>
    </row>
    <row r="41" spans="2:6" x14ac:dyDescent="0.25">
      <c r="B41" s="107">
        <f>'CAT 963C LOADER'!B41</f>
        <v>0</v>
      </c>
      <c r="C41" s="105" t="str">
        <f>'CAT 963C LOADER'!C41</f>
        <v>CUTTING EDGE</v>
      </c>
      <c r="D41" s="106">
        <f>'CAT 963C LOADER'!E41</f>
        <v>0</v>
      </c>
      <c r="E41" s="94"/>
      <c r="F41" s="6">
        <f t="shared" si="0"/>
        <v>0</v>
      </c>
    </row>
    <row r="42" spans="2:6" x14ac:dyDescent="0.25">
      <c r="B42" s="107">
        <f>'CAT 963C LOADER'!B42</f>
        <v>0</v>
      </c>
      <c r="C42" s="105" t="str">
        <f>'CAT 963C LOADER'!C42</f>
        <v>CUTTING EDGE</v>
      </c>
      <c r="D42" s="106">
        <f>'CAT 963C LOADER'!E42</f>
        <v>0</v>
      </c>
      <c r="E42" s="94"/>
      <c r="F42" s="6">
        <f t="shared" si="0"/>
        <v>0</v>
      </c>
    </row>
    <row r="43" spans="2:6" x14ac:dyDescent="0.25">
      <c r="B43" s="107">
        <f>'CAT 963C LOADER'!B43</f>
        <v>0</v>
      </c>
      <c r="C43" s="105" t="str">
        <f>'CAT 963C LOADER'!C43</f>
        <v>PLOW BOLT</v>
      </c>
      <c r="D43" s="106">
        <f>'CAT 963C LOADER'!E43</f>
        <v>0</v>
      </c>
      <c r="E43" s="94"/>
      <c r="F43" s="6">
        <f t="shared" si="0"/>
        <v>0</v>
      </c>
    </row>
    <row r="44" spans="2:6" x14ac:dyDescent="0.25">
      <c r="B44" s="107">
        <f>'CAT 963C LOADER'!B44</f>
        <v>0</v>
      </c>
      <c r="C44" s="105" t="str">
        <f>'CAT 963C LOADER'!C44</f>
        <v>NUT FULL</v>
      </c>
      <c r="D44" s="106">
        <f>'CAT 963C LOADER'!E44</f>
        <v>0</v>
      </c>
      <c r="E44" s="94"/>
      <c r="F44" s="6">
        <f t="shared" si="0"/>
        <v>0</v>
      </c>
    </row>
    <row r="45" spans="2:6" x14ac:dyDescent="0.25">
      <c r="B45" s="107">
        <f>'CAT 963C LOADER'!B45</f>
        <v>0</v>
      </c>
      <c r="C45" s="105" t="str">
        <f>'CAT 963C LOADER'!C45</f>
        <v>WASHER</v>
      </c>
      <c r="D45" s="106">
        <f>'CAT 963C LOADER'!E45</f>
        <v>0</v>
      </c>
      <c r="E45" s="94"/>
      <c r="F45" s="6">
        <f t="shared" si="0"/>
        <v>0</v>
      </c>
    </row>
    <row r="46" spans="2:6" x14ac:dyDescent="0.25">
      <c r="B46" s="107">
        <f>'CAT 963C LOADER'!B46</f>
        <v>0</v>
      </c>
      <c r="C46" s="105" t="str">
        <f>'CAT 963C LOADER'!C46</f>
        <v xml:space="preserve">TIP RETAINER </v>
      </c>
      <c r="D46" s="106">
        <f>'CAT 963C LOADER'!E46</f>
        <v>0</v>
      </c>
      <c r="E46" s="94"/>
      <c r="F46" s="6">
        <f t="shared" si="0"/>
        <v>0</v>
      </c>
    </row>
    <row r="47" spans="2:6" x14ac:dyDescent="0.25">
      <c r="B47" s="107">
        <f>'CAT 963C LOADER'!B47</f>
        <v>0</v>
      </c>
      <c r="C47" s="105" t="str">
        <f>'CAT 963C LOADER'!C47</f>
        <v>TIP</v>
      </c>
      <c r="D47" s="106">
        <f>'CAT 963C LOADER'!E47</f>
        <v>0</v>
      </c>
      <c r="E47" s="94"/>
      <c r="F47" s="6">
        <f t="shared" ref="F47:F91" si="1">D47*E47</f>
        <v>0</v>
      </c>
    </row>
    <row r="48" spans="2:6" x14ac:dyDescent="0.25">
      <c r="B48" s="107">
        <f>'CAT 963C LOADER'!B48</f>
        <v>0</v>
      </c>
      <c r="C48" s="105">
        <f>'CAT 963C LOADER'!C48</f>
        <v>0</v>
      </c>
      <c r="D48" s="106">
        <f>'CAT 963C LOADER'!E48</f>
        <v>0</v>
      </c>
      <c r="E48" s="94"/>
      <c r="F48" s="6">
        <f t="shared" si="1"/>
        <v>0</v>
      </c>
    </row>
    <row r="49" spans="2:6" x14ac:dyDescent="0.25">
      <c r="B49" s="107">
        <f>'CAT 963C LOADER'!B49</f>
        <v>0</v>
      </c>
      <c r="C49" s="105" t="str">
        <f>'CAT 963C LOADER'!C49</f>
        <v>SEAT GP</v>
      </c>
      <c r="D49" s="106">
        <f>'CAT 963C LOADER'!E49</f>
        <v>0</v>
      </c>
      <c r="E49" s="94"/>
      <c r="F49" s="6">
        <f t="shared" si="1"/>
        <v>0</v>
      </c>
    </row>
    <row r="50" spans="2:6" x14ac:dyDescent="0.25">
      <c r="B50" s="107">
        <f>'CAT 963C LOADER'!B50</f>
        <v>0</v>
      </c>
      <c r="C50" s="105" t="str">
        <f>'CAT 963C LOADER'!C50</f>
        <v>SEAT SUSPENSION</v>
      </c>
      <c r="D50" s="106">
        <f>'CAT 963C LOADER'!E50</f>
        <v>0</v>
      </c>
      <c r="E50" s="94"/>
      <c r="F50" s="6">
        <f t="shared" si="1"/>
        <v>0</v>
      </c>
    </row>
    <row r="51" spans="2:6" x14ac:dyDescent="0.25">
      <c r="B51" s="107">
        <f>'CAT 963C LOADER'!B51</f>
        <v>0</v>
      </c>
      <c r="C51" s="105">
        <f>'CAT 963C LOADER'!C51</f>
        <v>0</v>
      </c>
      <c r="D51" s="106">
        <f>'CAT 963C LOADER'!E51</f>
        <v>0</v>
      </c>
      <c r="E51" s="94"/>
      <c r="F51" s="6">
        <f t="shared" si="1"/>
        <v>0</v>
      </c>
    </row>
    <row r="52" spans="2:6" x14ac:dyDescent="0.25">
      <c r="B52" s="107">
        <f>'CAT 963C LOADER'!B52</f>
        <v>0</v>
      </c>
      <c r="C52" s="105">
        <f>'CAT 963C LOADER'!C52</f>
        <v>0</v>
      </c>
      <c r="D52" s="106">
        <f>'CAT 963C LOADER'!E52</f>
        <v>0</v>
      </c>
      <c r="E52" s="94"/>
      <c r="F52" s="6">
        <f t="shared" si="1"/>
        <v>0</v>
      </c>
    </row>
    <row r="53" spans="2:6" x14ac:dyDescent="0.25">
      <c r="B53" s="107">
        <f>'CAT 963C LOADER'!B53</f>
        <v>0</v>
      </c>
      <c r="C53" s="105">
        <f>'CAT 963C LOADER'!C53</f>
        <v>0</v>
      </c>
      <c r="D53" s="106">
        <f>'CAT 963C LOADER'!E53</f>
        <v>0</v>
      </c>
      <c r="E53" s="94"/>
      <c r="F53" s="6">
        <f t="shared" si="1"/>
        <v>0</v>
      </c>
    </row>
    <row r="54" spans="2:6" x14ac:dyDescent="0.25">
      <c r="B54" s="107">
        <f>'CAT 963C LOADER'!B54</f>
        <v>0</v>
      </c>
      <c r="C54" s="105">
        <f>'CAT 963C LOADER'!C54</f>
        <v>0</v>
      </c>
      <c r="D54" s="106">
        <f>'CAT 963C LOADER'!E54</f>
        <v>0</v>
      </c>
      <c r="E54" s="94"/>
      <c r="F54" s="6">
        <f t="shared" si="1"/>
        <v>0</v>
      </c>
    </row>
    <row r="55" spans="2:6" x14ac:dyDescent="0.25">
      <c r="B55" s="107">
        <f>'CAT 963C LOADER'!B55</f>
        <v>0</v>
      </c>
      <c r="C55" s="105">
        <f>'CAT 963C LOADER'!C55</f>
        <v>0</v>
      </c>
      <c r="D55" s="106">
        <f>'CAT 963C LOADER'!E55</f>
        <v>0</v>
      </c>
      <c r="E55" s="94"/>
      <c r="F55" s="6">
        <f t="shared" si="1"/>
        <v>0</v>
      </c>
    </row>
    <row r="56" spans="2:6" x14ac:dyDescent="0.25">
      <c r="B56" s="107">
        <f>'CAT 963C LOADER'!B56</f>
        <v>0</v>
      </c>
      <c r="C56" s="105">
        <f>'CAT 963C LOADER'!C56</f>
        <v>0</v>
      </c>
      <c r="D56" s="106">
        <f>'CAT 963C LOADER'!E56</f>
        <v>0</v>
      </c>
      <c r="E56" s="94"/>
      <c r="F56" s="6">
        <f t="shared" si="1"/>
        <v>0</v>
      </c>
    </row>
    <row r="57" spans="2:6" x14ac:dyDescent="0.25">
      <c r="B57" s="107">
        <f>'CAT 963C LOADER'!B57</f>
        <v>0</v>
      </c>
      <c r="C57" s="105">
        <f>'CAT 963C LOADER'!C57</f>
        <v>0</v>
      </c>
      <c r="D57" s="106">
        <f>'CAT 963C LOADER'!E57</f>
        <v>0</v>
      </c>
      <c r="E57" s="94"/>
      <c r="F57" s="6">
        <f t="shared" si="1"/>
        <v>0</v>
      </c>
    </row>
    <row r="58" spans="2:6" x14ac:dyDescent="0.25">
      <c r="B58" s="107">
        <f>'CAT 963C LOADER'!B58</f>
        <v>0</v>
      </c>
      <c r="C58" s="105">
        <f>'CAT 963C LOADER'!C58</f>
        <v>0</v>
      </c>
      <c r="D58" s="106">
        <f>'CAT 963C LOADER'!E58</f>
        <v>0</v>
      </c>
      <c r="E58" s="94"/>
      <c r="F58" s="6">
        <f t="shared" si="1"/>
        <v>0</v>
      </c>
    </row>
    <row r="59" spans="2:6" x14ac:dyDescent="0.25">
      <c r="B59" s="107">
        <f>'CAT 963C LOADER'!B59</f>
        <v>0</v>
      </c>
      <c r="C59" s="105">
        <f>'CAT 963C LOADER'!C59</f>
        <v>0</v>
      </c>
      <c r="D59" s="106">
        <f>'CAT 963C LOADER'!E59</f>
        <v>0</v>
      </c>
      <c r="E59" s="94"/>
      <c r="F59" s="6">
        <f t="shared" si="1"/>
        <v>0</v>
      </c>
    </row>
    <row r="60" spans="2:6" x14ac:dyDescent="0.25">
      <c r="B60" s="107">
        <f>'CAT 963C LOADER'!B60</f>
        <v>0</v>
      </c>
      <c r="C60" s="105">
        <f>'CAT 963C LOADER'!C60</f>
        <v>0</v>
      </c>
      <c r="D60" s="106">
        <f>'CAT 963C LOADER'!E60</f>
        <v>0</v>
      </c>
      <c r="E60" s="94"/>
      <c r="F60" s="6">
        <f t="shared" si="1"/>
        <v>0</v>
      </c>
    </row>
    <row r="61" spans="2:6" x14ac:dyDescent="0.25">
      <c r="B61" s="107">
        <f>'CAT 963C LOADER'!B61</f>
        <v>0</v>
      </c>
      <c r="C61" s="105">
        <f>'CAT 963C LOADER'!C61</f>
        <v>0</v>
      </c>
      <c r="D61" s="106">
        <f>'CAT 963C LOADER'!E61</f>
        <v>0</v>
      </c>
      <c r="E61" s="94"/>
      <c r="F61" s="6">
        <f t="shared" si="1"/>
        <v>0</v>
      </c>
    </row>
    <row r="62" spans="2:6" x14ac:dyDescent="0.25">
      <c r="B62" s="107">
        <f>'CAT 963C LOADER'!B62</f>
        <v>0</v>
      </c>
      <c r="C62" s="105">
        <f>'CAT 963C LOADER'!C62</f>
        <v>0</v>
      </c>
      <c r="D62" s="106">
        <f>'CAT 963C LOADER'!E62</f>
        <v>0</v>
      </c>
      <c r="E62" s="94"/>
      <c r="F62" s="6">
        <f t="shared" si="1"/>
        <v>0</v>
      </c>
    </row>
    <row r="63" spans="2:6" x14ac:dyDescent="0.25">
      <c r="B63" s="107">
        <f>'CAT 963C LOADER'!B63</f>
        <v>0</v>
      </c>
      <c r="C63" s="105">
        <f>'CAT 963C LOADER'!C63</f>
        <v>0</v>
      </c>
      <c r="D63" s="106">
        <f>'CAT 963C LOADER'!E63</f>
        <v>0</v>
      </c>
      <c r="E63" s="94"/>
      <c r="F63" s="6">
        <f t="shared" si="1"/>
        <v>0</v>
      </c>
    </row>
    <row r="64" spans="2:6" x14ac:dyDescent="0.25">
      <c r="B64" s="107">
        <f>'CAT 963C LOADER'!B64</f>
        <v>0</v>
      </c>
      <c r="C64" s="105">
        <f>'CAT 963C LOADER'!C64</f>
        <v>0</v>
      </c>
      <c r="D64" s="106">
        <f>'CAT 963C LOADER'!E64</f>
        <v>0</v>
      </c>
      <c r="E64" s="94"/>
      <c r="F64" s="6">
        <f t="shared" si="1"/>
        <v>0</v>
      </c>
    </row>
    <row r="65" spans="2:6" x14ac:dyDescent="0.25">
      <c r="B65" s="107">
        <f>'CAT 963C LOADER'!B65</f>
        <v>0</v>
      </c>
      <c r="C65" s="105">
        <f>'CAT 963C LOADER'!C65</f>
        <v>0</v>
      </c>
      <c r="D65" s="106">
        <f>'CAT 963C LOADER'!E65</f>
        <v>0</v>
      </c>
      <c r="E65" s="94"/>
      <c r="F65" s="6">
        <f t="shared" si="1"/>
        <v>0</v>
      </c>
    </row>
    <row r="66" spans="2:6" x14ac:dyDescent="0.25">
      <c r="B66" s="107">
        <f>'CAT 963C LOADER'!B66</f>
        <v>0</v>
      </c>
      <c r="C66" s="105">
        <f>'CAT 963C LOADER'!C66</f>
        <v>0</v>
      </c>
      <c r="D66" s="106">
        <f>'CAT 963C LOADER'!E66</f>
        <v>0</v>
      </c>
      <c r="E66" s="94"/>
      <c r="F66" s="6">
        <f t="shared" si="1"/>
        <v>0</v>
      </c>
    </row>
    <row r="67" spans="2:6" x14ac:dyDescent="0.25">
      <c r="B67" s="107">
        <f>'CAT 963C LOADER'!B67</f>
        <v>0</v>
      </c>
      <c r="C67" s="105">
        <f>'CAT 963C LOADER'!C67</f>
        <v>0</v>
      </c>
      <c r="D67" s="106">
        <f>'CAT 963C LOADER'!E67</f>
        <v>0</v>
      </c>
      <c r="E67" s="94"/>
      <c r="F67" s="6">
        <f t="shared" si="1"/>
        <v>0</v>
      </c>
    </row>
    <row r="68" spans="2:6" x14ac:dyDescent="0.25">
      <c r="B68" s="107">
        <f>'CAT 963C LOADER'!B68</f>
        <v>0</v>
      </c>
      <c r="C68" s="105">
        <f>'CAT 963C LOADER'!C68</f>
        <v>0</v>
      </c>
      <c r="D68" s="106">
        <f>'CAT 963C LOADER'!E68</f>
        <v>0</v>
      </c>
      <c r="E68" s="94"/>
      <c r="F68" s="6">
        <f t="shared" si="1"/>
        <v>0</v>
      </c>
    </row>
    <row r="69" spans="2:6" x14ac:dyDescent="0.25">
      <c r="B69" s="107">
        <f>'CAT 963C LOADER'!B69</f>
        <v>0</v>
      </c>
      <c r="C69" s="105">
        <f>'CAT 963C LOADER'!C69</f>
        <v>0</v>
      </c>
      <c r="D69" s="106">
        <f>'CAT 963C LOADER'!E69</f>
        <v>0</v>
      </c>
      <c r="E69" s="94"/>
      <c r="F69" s="6">
        <f t="shared" si="1"/>
        <v>0</v>
      </c>
    </row>
    <row r="70" spans="2:6" x14ac:dyDescent="0.25">
      <c r="B70" s="107">
        <f>'CAT 963C LOADER'!B70</f>
        <v>0</v>
      </c>
      <c r="C70" s="105">
        <f>'CAT 963C LOADER'!C70</f>
        <v>0</v>
      </c>
      <c r="D70" s="106">
        <f>'CAT 963C LOADER'!E70</f>
        <v>0</v>
      </c>
      <c r="E70" s="94"/>
      <c r="F70" s="6">
        <f t="shared" si="1"/>
        <v>0</v>
      </c>
    </row>
    <row r="71" spans="2:6" x14ac:dyDescent="0.25">
      <c r="B71" s="107">
        <f>'CAT 963C LOADER'!B71</f>
        <v>0</v>
      </c>
      <c r="C71" s="105">
        <f>'CAT 963C LOADER'!C71</f>
        <v>0</v>
      </c>
      <c r="D71" s="106">
        <f>'CAT 963C LOADER'!E71</f>
        <v>0</v>
      </c>
      <c r="E71" s="94"/>
      <c r="F71" s="6">
        <f t="shared" si="1"/>
        <v>0</v>
      </c>
    </row>
    <row r="72" spans="2:6" x14ac:dyDescent="0.25">
      <c r="B72" s="107">
        <f>'CAT 963C LOADER'!B72</f>
        <v>0</v>
      </c>
      <c r="C72" s="105">
        <f>'CAT 963C LOADER'!C72</f>
        <v>0</v>
      </c>
      <c r="D72" s="106">
        <f>'CAT 963C LOADER'!E72</f>
        <v>0</v>
      </c>
      <c r="E72" s="94"/>
      <c r="F72" s="6">
        <f t="shared" si="1"/>
        <v>0</v>
      </c>
    </row>
    <row r="73" spans="2:6" x14ac:dyDescent="0.25">
      <c r="B73" s="107">
        <f>'CAT 963C LOADER'!B73</f>
        <v>0</v>
      </c>
      <c r="C73" s="105">
        <f>'CAT 963C LOADER'!C73</f>
        <v>0</v>
      </c>
      <c r="D73" s="106">
        <f>'CAT 963C LOADER'!E73</f>
        <v>0</v>
      </c>
      <c r="E73" s="94"/>
      <c r="F73" s="6">
        <f t="shared" si="1"/>
        <v>0</v>
      </c>
    </row>
    <row r="74" spans="2:6" x14ac:dyDescent="0.25">
      <c r="B74" s="107">
        <f>'CAT 963C LOADER'!B74</f>
        <v>0</v>
      </c>
      <c r="C74" s="105">
        <f>'CAT 963C LOADER'!C74</f>
        <v>0</v>
      </c>
      <c r="D74" s="106">
        <f>'CAT 963C LOADER'!E74</f>
        <v>0</v>
      </c>
      <c r="E74" s="94"/>
      <c r="F74" s="6">
        <f t="shared" si="1"/>
        <v>0</v>
      </c>
    </row>
    <row r="75" spans="2:6" x14ac:dyDescent="0.25">
      <c r="B75" s="107">
        <f>'CAT 963C LOADER'!B75</f>
        <v>0</v>
      </c>
      <c r="C75" s="105">
        <f>'CAT 963C LOADER'!C75</f>
        <v>0</v>
      </c>
      <c r="D75" s="106">
        <f>'CAT 963C LOADER'!E75</f>
        <v>0</v>
      </c>
      <c r="E75" s="94"/>
      <c r="F75" s="6">
        <f t="shared" si="1"/>
        <v>0</v>
      </c>
    </row>
    <row r="76" spans="2:6" x14ac:dyDescent="0.25">
      <c r="B76" s="107">
        <f>'CAT 963C LOADER'!B76</f>
        <v>0</v>
      </c>
      <c r="C76" s="105">
        <f>'CAT 963C LOADER'!C76</f>
        <v>0</v>
      </c>
      <c r="D76" s="106">
        <f>'CAT 963C LOADER'!E76</f>
        <v>0</v>
      </c>
      <c r="E76" s="94"/>
      <c r="F76" s="6">
        <f t="shared" si="1"/>
        <v>0</v>
      </c>
    </row>
    <row r="77" spans="2:6" x14ac:dyDescent="0.25">
      <c r="B77" s="107">
        <f>'CAT 963C LOADER'!B77</f>
        <v>0</v>
      </c>
      <c r="C77" s="105">
        <f>'CAT 963C LOADER'!C77</f>
        <v>0</v>
      </c>
      <c r="D77" s="106">
        <f>'CAT 963C LOADER'!E77</f>
        <v>0</v>
      </c>
      <c r="E77" s="94"/>
      <c r="F77" s="6">
        <f t="shared" si="1"/>
        <v>0</v>
      </c>
    </row>
    <row r="78" spans="2:6" x14ac:dyDescent="0.25">
      <c r="B78" s="107">
        <f>'CAT 963C LOADER'!B78</f>
        <v>0</v>
      </c>
      <c r="C78" s="105">
        <f>'CAT 963C LOADER'!C78</f>
        <v>0</v>
      </c>
      <c r="D78" s="106">
        <f>'CAT 963C LOADER'!E78</f>
        <v>0</v>
      </c>
      <c r="E78" s="94"/>
      <c r="F78" s="6">
        <f t="shared" si="1"/>
        <v>0</v>
      </c>
    </row>
    <row r="79" spans="2:6" x14ac:dyDescent="0.25">
      <c r="B79" s="107">
        <f>'CAT 963C LOADER'!B79</f>
        <v>0</v>
      </c>
      <c r="C79" s="105">
        <f>'CAT 963C LOADER'!C79</f>
        <v>0</v>
      </c>
      <c r="D79" s="106">
        <f>'CAT 963C LOADER'!E79</f>
        <v>0</v>
      </c>
      <c r="E79" s="94"/>
      <c r="F79" s="6">
        <f t="shared" si="1"/>
        <v>0</v>
      </c>
    </row>
    <row r="80" spans="2:6" x14ac:dyDescent="0.25">
      <c r="B80" s="107">
        <f>'CAT 963C LOADER'!B80</f>
        <v>0</v>
      </c>
      <c r="C80" s="105">
        <f>'CAT 963C LOADER'!C80</f>
        <v>0</v>
      </c>
      <c r="D80" s="106">
        <f>'CAT 963C LOADER'!E80</f>
        <v>0</v>
      </c>
      <c r="E80" s="94"/>
      <c r="F80" s="6">
        <f t="shared" si="1"/>
        <v>0</v>
      </c>
    </row>
    <row r="81" spans="2:6" x14ac:dyDescent="0.25">
      <c r="B81" s="107">
        <f>'CAT 963C LOADER'!B81</f>
        <v>0</v>
      </c>
      <c r="C81" s="105">
        <f>'CAT 963C LOADER'!C81</f>
        <v>0</v>
      </c>
      <c r="D81" s="106">
        <f>'CAT 963C LOADER'!E81</f>
        <v>0</v>
      </c>
      <c r="E81" s="94"/>
      <c r="F81" s="6">
        <f t="shared" si="1"/>
        <v>0</v>
      </c>
    </row>
    <row r="82" spans="2:6" x14ac:dyDescent="0.25">
      <c r="B82" s="107">
        <f>'CAT 963C LOADER'!B82</f>
        <v>0</v>
      </c>
      <c r="C82" s="105">
        <f>'CAT 963C LOADER'!C82</f>
        <v>0</v>
      </c>
      <c r="D82" s="106">
        <f>'CAT 963C LOADER'!E82</f>
        <v>0</v>
      </c>
      <c r="E82" s="94"/>
      <c r="F82" s="6">
        <f t="shared" si="1"/>
        <v>0</v>
      </c>
    </row>
    <row r="83" spans="2:6" x14ac:dyDescent="0.25">
      <c r="B83" s="107">
        <f>'CAT 963C LOADER'!B83</f>
        <v>0</v>
      </c>
      <c r="C83" s="105">
        <f>'CAT 963C LOADER'!C83</f>
        <v>0</v>
      </c>
      <c r="D83" s="106">
        <f>'CAT 963C LOADER'!E83</f>
        <v>0</v>
      </c>
      <c r="E83" s="94"/>
      <c r="F83" s="6">
        <f t="shared" si="1"/>
        <v>0</v>
      </c>
    </row>
    <row r="84" spans="2:6" x14ac:dyDescent="0.25">
      <c r="B84" s="107">
        <f>'CAT 963C LOADER'!B84</f>
        <v>0</v>
      </c>
      <c r="C84" s="105">
        <f>'CAT 963C LOADER'!C84</f>
        <v>0</v>
      </c>
      <c r="D84" s="106">
        <f>'CAT 963C LOADER'!E84</f>
        <v>0</v>
      </c>
      <c r="E84" s="94"/>
      <c r="F84" s="6">
        <f t="shared" si="1"/>
        <v>0</v>
      </c>
    </row>
    <row r="85" spans="2:6" x14ac:dyDescent="0.25">
      <c r="B85" s="107">
        <f>'CAT 963C LOADER'!B85</f>
        <v>0</v>
      </c>
      <c r="C85" s="105">
        <f>'CAT 963C LOADER'!C85</f>
        <v>0</v>
      </c>
      <c r="D85" s="106">
        <f>'CAT 963C LOADER'!E85</f>
        <v>0</v>
      </c>
      <c r="E85" s="94"/>
      <c r="F85" s="6">
        <f t="shared" si="1"/>
        <v>0</v>
      </c>
    </row>
    <row r="86" spans="2:6" x14ac:dyDescent="0.25">
      <c r="B86" s="107">
        <f>'CAT 963C LOADER'!B86</f>
        <v>0</v>
      </c>
      <c r="C86" s="105">
        <f>'CAT 963C LOADER'!C86</f>
        <v>0</v>
      </c>
      <c r="D86" s="106">
        <f>'CAT 963C LOADER'!E86</f>
        <v>0</v>
      </c>
      <c r="E86" s="94"/>
      <c r="F86" s="6">
        <f t="shared" si="1"/>
        <v>0</v>
      </c>
    </row>
    <row r="87" spans="2:6" x14ac:dyDescent="0.25">
      <c r="B87" s="107">
        <f>'CAT 963C LOADER'!B87</f>
        <v>0</v>
      </c>
      <c r="C87" s="105">
        <f>'CAT 963C LOADER'!C87</f>
        <v>0</v>
      </c>
      <c r="D87" s="106">
        <f>'CAT 963C LOADER'!E87</f>
        <v>0</v>
      </c>
      <c r="E87" s="94"/>
      <c r="F87" s="6">
        <f t="shared" si="1"/>
        <v>0</v>
      </c>
    </row>
    <row r="88" spans="2:6" x14ac:dyDescent="0.25">
      <c r="B88" s="107">
        <f>'CAT 963C LOADER'!B88</f>
        <v>0</v>
      </c>
      <c r="C88" s="105">
        <f>'CAT 963C LOADER'!C88</f>
        <v>0</v>
      </c>
      <c r="D88" s="106">
        <f>'CAT 963C LOADER'!E88</f>
        <v>0</v>
      </c>
      <c r="E88" s="94"/>
      <c r="F88" s="6">
        <f t="shared" si="1"/>
        <v>0</v>
      </c>
    </row>
    <row r="89" spans="2:6" x14ac:dyDescent="0.25">
      <c r="B89" s="107">
        <f>'CAT 963C LOADER'!B89</f>
        <v>0</v>
      </c>
      <c r="C89" s="105">
        <f>'CAT 963C LOADER'!C89</f>
        <v>0</v>
      </c>
      <c r="D89" s="106">
        <f>'CAT 963C LOADER'!E89</f>
        <v>0</v>
      </c>
      <c r="E89" s="94"/>
      <c r="F89" s="6">
        <f t="shared" si="1"/>
        <v>0</v>
      </c>
    </row>
    <row r="90" spans="2:6" x14ac:dyDescent="0.25">
      <c r="B90" s="107">
        <f>'CAT 963C LOADER'!B90</f>
        <v>0</v>
      </c>
      <c r="C90" s="105">
        <f>'CAT 963C LOADER'!C90</f>
        <v>0</v>
      </c>
      <c r="D90" s="106">
        <f>'CAT 963C LOADER'!E90</f>
        <v>0</v>
      </c>
      <c r="E90" s="94"/>
      <c r="F90" s="6">
        <f t="shared" si="1"/>
        <v>0</v>
      </c>
    </row>
    <row r="91" spans="2:6" x14ac:dyDescent="0.25">
      <c r="B91" s="107">
        <f>'CAT 963C LOADER'!B91</f>
        <v>0</v>
      </c>
      <c r="C91" s="105">
        <f>'CAT 963C LOADER'!C91</f>
        <v>0</v>
      </c>
      <c r="D91" s="106">
        <f>'CAT 963C LOADER'!E91</f>
        <v>0</v>
      </c>
      <c r="E91" s="94"/>
      <c r="F91" s="6">
        <f t="shared" si="1"/>
        <v>0</v>
      </c>
    </row>
    <row r="92" spans="2:6" x14ac:dyDescent="0.25">
      <c r="B92" s="107">
        <f>'CAT 963C LOADER'!B92</f>
        <v>0</v>
      </c>
      <c r="C92" s="105">
        <f>'CAT 963C LOADER'!C92</f>
        <v>0</v>
      </c>
      <c r="D92" s="106">
        <f>'CAT 963C LOADER'!E92</f>
        <v>0</v>
      </c>
      <c r="E92" s="94"/>
      <c r="F92" s="6">
        <f t="shared" ref="F92:F114" si="2">D92*E92</f>
        <v>0</v>
      </c>
    </row>
    <row r="93" spans="2:6" x14ac:dyDescent="0.25">
      <c r="B93" s="107">
        <f>'CAT 963C LOADER'!B93</f>
        <v>0</v>
      </c>
      <c r="C93" s="105">
        <f>'CAT 963C LOADER'!C93</f>
        <v>0</v>
      </c>
      <c r="D93" s="106">
        <f>'CAT 963C LOADER'!E93</f>
        <v>0</v>
      </c>
      <c r="E93" s="94"/>
      <c r="F93" s="6">
        <f t="shared" si="2"/>
        <v>0</v>
      </c>
    </row>
    <row r="94" spans="2:6" x14ac:dyDescent="0.25">
      <c r="B94" s="107">
        <f>'CAT 963C LOADER'!B94</f>
        <v>0</v>
      </c>
      <c r="C94" s="105">
        <f>'CAT 963C LOADER'!C94</f>
        <v>0</v>
      </c>
      <c r="D94" s="106">
        <f>'CAT 963C LOADER'!E94</f>
        <v>0</v>
      </c>
      <c r="E94" s="94"/>
      <c r="F94" s="6">
        <f t="shared" si="2"/>
        <v>0</v>
      </c>
    </row>
    <row r="95" spans="2:6" x14ac:dyDescent="0.25">
      <c r="B95" s="107">
        <f>'CAT 963C LOADER'!B95</f>
        <v>0</v>
      </c>
      <c r="C95" s="105">
        <f>'CAT 963C LOADER'!C95</f>
        <v>0</v>
      </c>
      <c r="D95" s="106">
        <f>'CAT 963C LOADER'!E95</f>
        <v>0</v>
      </c>
      <c r="E95" s="94"/>
      <c r="F95" s="6">
        <f t="shared" si="2"/>
        <v>0</v>
      </c>
    </row>
    <row r="96" spans="2:6" x14ac:dyDescent="0.25">
      <c r="B96" s="107">
        <f>'CAT 963C LOADER'!B96</f>
        <v>0</v>
      </c>
      <c r="C96" s="105">
        <f>'CAT 963C LOADER'!C96</f>
        <v>0</v>
      </c>
      <c r="D96" s="106">
        <f>'CAT 963C LOADER'!E96</f>
        <v>0</v>
      </c>
      <c r="E96" s="94"/>
      <c r="F96" s="6">
        <f t="shared" si="2"/>
        <v>0</v>
      </c>
    </row>
    <row r="97" spans="2:6" x14ac:dyDescent="0.25">
      <c r="B97" s="107">
        <f>'CAT 963C LOADER'!B97</f>
        <v>0</v>
      </c>
      <c r="C97" s="105">
        <f>'CAT 963C LOADER'!C97</f>
        <v>0</v>
      </c>
      <c r="D97" s="106">
        <f>'CAT 963C LOADER'!E97</f>
        <v>0</v>
      </c>
      <c r="E97" s="94"/>
      <c r="F97" s="6">
        <f t="shared" si="2"/>
        <v>0</v>
      </c>
    </row>
    <row r="98" spans="2:6" x14ac:dyDescent="0.25">
      <c r="B98" s="107">
        <f>'CAT 963C LOADER'!B98</f>
        <v>0</v>
      </c>
      <c r="C98" s="105">
        <f>'CAT 963C LOADER'!C98</f>
        <v>0</v>
      </c>
      <c r="D98" s="106">
        <f>'CAT 963C LOADER'!E98</f>
        <v>0</v>
      </c>
      <c r="E98" s="94"/>
      <c r="F98" s="6">
        <f t="shared" si="2"/>
        <v>0</v>
      </c>
    </row>
    <row r="99" spans="2:6" x14ac:dyDescent="0.25">
      <c r="B99" s="107">
        <f>'CAT 963C LOADER'!B99</f>
        <v>0</v>
      </c>
      <c r="C99" s="105">
        <f>'CAT 963C LOADER'!C99</f>
        <v>0</v>
      </c>
      <c r="D99" s="106">
        <f>'CAT 963C LOADER'!E99</f>
        <v>0</v>
      </c>
      <c r="E99" s="94"/>
      <c r="F99" s="6">
        <f t="shared" si="2"/>
        <v>0</v>
      </c>
    </row>
    <row r="100" spans="2:6" x14ac:dyDescent="0.25">
      <c r="B100" s="107">
        <f>'CAT 963C LOADER'!B100</f>
        <v>0</v>
      </c>
      <c r="C100" s="105">
        <f>'CAT 963C LOADER'!C100</f>
        <v>0</v>
      </c>
      <c r="D100" s="106">
        <f>'CAT 963C LOADER'!E100</f>
        <v>0</v>
      </c>
      <c r="E100" s="94"/>
      <c r="F100" s="6">
        <f t="shared" si="2"/>
        <v>0</v>
      </c>
    </row>
    <row r="101" spans="2:6" x14ac:dyDescent="0.25">
      <c r="B101" s="107">
        <f>'CAT 963C LOADER'!B101</f>
        <v>0</v>
      </c>
      <c r="C101" s="105">
        <f>'CAT 963C LOADER'!C101</f>
        <v>0</v>
      </c>
      <c r="D101" s="106">
        <f>'CAT 963C LOADER'!E101</f>
        <v>0</v>
      </c>
      <c r="E101" s="94"/>
      <c r="F101" s="6">
        <f t="shared" si="2"/>
        <v>0</v>
      </c>
    </row>
    <row r="102" spans="2:6" x14ac:dyDescent="0.25">
      <c r="B102" s="107">
        <f>'CAT 963C LOADER'!B102</f>
        <v>0</v>
      </c>
      <c r="C102" s="105">
        <f>'CAT 963C LOADER'!C102</f>
        <v>0</v>
      </c>
      <c r="D102" s="106">
        <f>'CAT 963C LOADER'!E102</f>
        <v>0</v>
      </c>
      <c r="E102" s="94"/>
      <c r="F102" s="6">
        <f t="shared" si="2"/>
        <v>0</v>
      </c>
    </row>
    <row r="103" spans="2:6" x14ac:dyDescent="0.25">
      <c r="B103" s="107">
        <f>'CAT 963C LOADER'!B103</f>
        <v>0</v>
      </c>
      <c r="C103" s="105">
        <f>'CAT 963C LOADER'!C103</f>
        <v>0</v>
      </c>
      <c r="D103" s="106">
        <f>'CAT 963C LOADER'!E103</f>
        <v>0</v>
      </c>
      <c r="E103" s="94"/>
      <c r="F103" s="6">
        <f t="shared" si="2"/>
        <v>0</v>
      </c>
    </row>
    <row r="104" spans="2:6" x14ac:dyDescent="0.25">
      <c r="B104" s="107">
        <f>'CAT 963C LOADER'!B104</f>
        <v>0</v>
      </c>
      <c r="C104" s="105">
        <f>'CAT 963C LOADER'!C104</f>
        <v>0</v>
      </c>
      <c r="D104" s="106">
        <f>'CAT 963C LOADER'!E104</f>
        <v>0</v>
      </c>
      <c r="E104" s="94"/>
      <c r="F104" s="6">
        <f t="shared" si="2"/>
        <v>0</v>
      </c>
    </row>
    <row r="105" spans="2:6" x14ac:dyDescent="0.25">
      <c r="B105" s="107">
        <f>'CAT 963C LOADER'!B105</f>
        <v>0</v>
      </c>
      <c r="C105" s="105">
        <f>'CAT 963C LOADER'!C105</f>
        <v>0</v>
      </c>
      <c r="D105" s="106">
        <f>'CAT 963C LOADER'!E105</f>
        <v>0</v>
      </c>
      <c r="E105" s="94"/>
      <c r="F105" s="6">
        <f t="shared" si="2"/>
        <v>0</v>
      </c>
    </row>
    <row r="106" spans="2:6" x14ac:dyDescent="0.25">
      <c r="B106" s="107">
        <f>'CAT 963C LOADER'!B106</f>
        <v>0</v>
      </c>
      <c r="C106" s="105">
        <f>'CAT 963C LOADER'!C106</f>
        <v>0</v>
      </c>
      <c r="D106" s="106">
        <f>'CAT 963C LOADER'!E106</f>
        <v>0</v>
      </c>
      <c r="E106" s="94"/>
      <c r="F106" s="6">
        <f t="shared" si="2"/>
        <v>0</v>
      </c>
    </row>
    <row r="107" spans="2:6" x14ac:dyDescent="0.25">
      <c r="B107" s="107">
        <f>'CAT 963C LOADER'!B107</f>
        <v>0</v>
      </c>
      <c r="C107" s="105">
        <f>'CAT 963C LOADER'!C107</f>
        <v>0</v>
      </c>
      <c r="D107" s="106">
        <f>'CAT 963C LOADER'!E107</f>
        <v>0</v>
      </c>
      <c r="E107" s="94"/>
      <c r="F107" s="6">
        <f t="shared" si="2"/>
        <v>0</v>
      </c>
    </row>
    <row r="108" spans="2:6" x14ac:dyDescent="0.25">
      <c r="B108" s="107">
        <f>'CAT 963C LOADER'!B108</f>
        <v>0</v>
      </c>
      <c r="C108" s="105">
        <f>'CAT 963C LOADER'!C108</f>
        <v>0</v>
      </c>
      <c r="D108" s="106">
        <f>'CAT 963C LOADER'!E108</f>
        <v>0</v>
      </c>
      <c r="E108" s="94"/>
      <c r="F108" s="6">
        <f t="shared" si="2"/>
        <v>0</v>
      </c>
    </row>
    <row r="109" spans="2:6" x14ac:dyDescent="0.25">
      <c r="B109" s="107">
        <f>'CAT 963C LOADER'!B109</f>
        <v>0</v>
      </c>
      <c r="C109" s="105">
        <f>'CAT 963C LOADER'!C109</f>
        <v>0</v>
      </c>
      <c r="D109" s="106">
        <f>'CAT 963C LOADER'!E109</f>
        <v>0</v>
      </c>
      <c r="E109" s="94"/>
      <c r="F109" s="6">
        <f t="shared" si="2"/>
        <v>0</v>
      </c>
    </row>
    <row r="110" spans="2:6" x14ac:dyDescent="0.25">
      <c r="B110" s="107">
        <f>'CAT 963C LOADER'!B110</f>
        <v>0</v>
      </c>
      <c r="C110" s="105">
        <f>'CAT 963C LOADER'!C110</f>
        <v>0</v>
      </c>
      <c r="D110" s="106">
        <f>'CAT 963C LOADER'!E110</f>
        <v>0</v>
      </c>
      <c r="E110" s="94"/>
      <c r="F110" s="6">
        <f t="shared" si="2"/>
        <v>0</v>
      </c>
    </row>
    <row r="111" spans="2:6" x14ac:dyDescent="0.25">
      <c r="B111" s="107">
        <f>'CAT 963C LOADER'!B111</f>
        <v>0</v>
      </c>
      <c r="C111" s="105">
        <f>'CAT 963C LOADER'!C111</f>
        <v>0</v>
      </c>
      <c r="D111" s="106">
        <f>'CAT 963C LOADER'!E111</f>
        <v>0</v>
      </c>
      <c r="E111" s="94"/>
      <c r="F111" s="6">
        <f t="shared" si="2"/>
        <v>0</v>
      </c>
    </row>
    <row r="112" spans="2:6" x14ac:dyDescent="0.25">
      <c r="B112" s="107">
        <f>'CAT 963C LOADER'!B112</f>
        <v>0</v>
      </c>
      <c r="C112" s="105">
        <f>'CAT 963C LOADER'!C112</f>
        <v>0</v>
      </c>
      <c r="D112" s="106">
        <f>'CAT 963C LOADER'!E112</f>
        <v>0</v>
      </c>
      <c r="E112" s="94"/>
      <c r="F112" s="6">
        <f t="shared" si="2"/>
        <v>0</v>
      </c>
    </row>
    <row r="113" spans="2:6" x14ac:dyDescent="0.25">
      <c r="B113" s="107">
        <f>'CAT 963C LOADER'!B113</f>
        <v>0</v>
      </c>
      <c r="C113" s="105">
        <f>'CAT 963C LOADER'!C113</f>
        <v>0</v>
      </c>
      <c r="D113" s="106">
        <f>'CAT 963C LOADER'!E113</f>
        <v>0</v>
      </c>
      <c r="E113" s="94"/>
      <c r="F113" s="6">
        <f t="shared" si="2"/>
        <v>0</v>
      </c>
    </row>
    <row r="114" spans="2:6" x14ac:dyDescent="0.25">
      <c r="B114" s="107">
        <f>'CAT 963C LOADER'!B114</f>
        <v>0</v>
      </c>
      <c r="C114" s="105">
        <f>'CAT 963C LOADER'!C114</f>
        <v>0</v>
      </c>
      <c r="D114" s="106">
        <f>'CAT 963C LOADER'!E114</f>
        <v>0</v>
      </c>
      <c r="E114" s="94"/>
      <c r="F114" s="6">
        <f t="shared" si="2"/>
        <v>0</v>
      </c>
    </row>
    <row r="115" spans="2:6" x14ac:dyDescent="0.25">
      <c r="B115" s="107">
        <f>'CAT 963C LOADER'!B115</f>
        <v>0</v>
      </c>
      <c r="C115" s="105">
        <f>'CAT 963C LOADER'!C115</f>
        <v>0</v>
      </c>
      <c r="D115" s="106">
        <f>'CAT 963C LOADER'!E115</f>
        <v>0</v>
      </c>
      <c r="E115" s="94"/>
      <c r="F115" s="6">
        <f t="shared" ref="F115:F125" si="3">D115*E115</f>
        <v>0</v>
      </c>
    </row>
    <row r="116" spans="2:6" x14ac:dyDescent="0.25">
      <c r="B116" s="107">
        <f>'CAT 963C LOADER'!B116</f>
        <v>0</v>
      </c>
      <c r="C116" s="105">
        <f>'CAT 963C LOADER'!C116</f>
        <v>0</v>
      </c>
      <c r="D116" s="106">
        <f>'CAT 963C LOADER'!E116</f>
        <v>0</v>
      </c>
      <c r="E116" s="94"/>
      <c r="F116" s="6">
        <f t="shared" si="3"/>
        <v>0</v>
      </c>
    </row>
    <row r="117" spans="2:6" x14ac:dyDescent="0.25">
      <c r="B117" s="107">
        <f>'CAT 963C LOADER'!B117</f>
        <v>0</v>
      </c>
      <c r="C117" s="105">
        <f>'CAT 963C LOADER'!C117</f>
        <v>0</v>
      </c>
      <c r="D117" s="106">
        <f>'CAT 963C LOADER'!E117</f>
        <v>0</v>
      </c>
      <c r="E117" s="94"/>
      <c r="F117" s="6">
        <f t="shared" si="3"/>
        <v>0</v>
      </c>
    </row>
    <row r="118" spans="2:6" x14ac:dyDescent="0.25">
      <c r="B118" s="107">
        <f>'CAT 963C LOADER'!B118</f>
        <v>0</v>
      </c>
      <c r="C118" s="105">
        <f>'CAT 963C LOADER'!C118</f>
        <v>0</v>
      </c>
      <c r="D118" s="106">
        <f>'CAT 963C LOADER'!E118</f>
        <v>0</v>
      </c>
      <c r="E118" s="94"/>
      <c r="F118" s="6">
        <f t="shared" si="3"/>
        <v>0</v>
      </c>
    </row>
    <row r="119" spans="2:6" x14ac:dyDescent="0.25">
      <c r="B119" s="107">
        <f>'CAT 963C LOADER'!B119</f>
        <v>0</v>
      </c>
      <c r="C119" s="105">
        <f>'CAT 963C LOADER'!C119</f>
        <v>0</v>
      </c>
      <c r="D119" s="106">
        <f>'CAT 963C LOADER'!E119</f>
        <v>0</v>
      </c>
      <c r="E119" s="94"/>
      <c r="F119" s="6">
        <f t="shared" si="3"/>
        <v>0</v>
      </c>
    </row>
    <row r="120" spans="2:6" x14ac:dyDescent="0.25">
      <c r="B120" s="107">
        <f>'CAT 963C LOADER'!B120</f>
        <v>0</v>
      </c>
      <c r="C120" s="105">
        <f>'CAT 963C LOADER'!C120</f>
        <v>0</v>
      </c>
      <c r="D120" s="106">
        <f>'CAT 963C LOADER'!E120</f>
        <v>0</v>
      </c>
      <c r="E120" s="94"/>
      <c r="F120" s="6">
        <f t="shared" si="3"/>
        <v>0</v>
      </c>
    </row>
    <row r="121" spans="2:6" x14ac:dyDescent="0.25">
      <c r="B121" s="107">
        <f>'CAT 963C LOADER'!B121</f>
        <v>0</v>
      </c>
      <c r="C121" s="105">
        <f>'CAT 963C LOADER'!C121</f>
        <v>0</v>
      </c>
      <c r="D121" s="106">
        <f>'CAT 963C LOADER'!E121</f>
        <v>0</v>
      </c>
      <c r="E121" s="94"/>
      <c r="F121" s="6">
        <f t="shared" si="3"/>
        <v>0</v>
      </c>
    </row>
    <row r="122" spans="2:6" x14ac:dyDescent="0.25">
      <c r="B122" s="107">
        <f>'CAT 963C LOADER'!B122</f>
        <v>0</v>
      </c>
      <c r="C122" s="105">
        <f>'CAT 963C LOADER'!C122</f>
        <v>0</v>
      </c>
      <c r="D122" s="106">
        <f>'CAT 963C LOADER'!E122</f>
        <v>0</v>
      </c>
      <c r="E122" s="94"/>
      <c r="F122" s="6">
        <f t="shared" si="3"/>
        <v>0</v>
      </c>
    </row>
    <row r="123" spans="2:6" x14ac:dyDescent="0.25">
      <c r="B123" s="107">
        <f>'CAT 963C LOADER'!B123</f>
        <v>0</v>
      </c>
      <c r="C123" s="105">
        <f>'CAT 963C LOADER'!C123</f>
        <v>0</v>
      </c>
      <c r="D123" s="106">
        <f>'CAT 963C LOADER'!E123</f>
        <v>0</v>
      </c>
      <c r="E123" s="94"/>
      <c r="F123" s="6">
        <f t="shared" si="3"/>
        <v>0</v>
      </c>
    </row>
    <row r="124" spans="2:6" x14ac:dyDescent="0.25">
      <c r="B124" s="107">
        <f>'CAT 963C LOADER'!B124</f>
        <v>0</v>
      </c>
      <c r="C124" s="105">
        <f>'CAT 963C LOADER'!C124</f>
        <v>0</v>
      </c>
      <c r="D124" s="106">
        <f>'CAT 963C LOADER'!E124</f>
        <v>0</v>
      </c>
      <c r="E124" s="94"/>
      <c r="F124" s="6">
        <f t="shared" si="3"/>
        <v>0</v>
      </c>
    </row>
    <row r="125" spans="2:6" x14ac:dyDescent="0.25">
      <c r="B125" s="107">
        <f>'CAT 963C LOADER'!B125</f>
        <v>0</v>
      </c>
      <c r="C125" s="105">
        <f>'CAT 963C LOADER'!C125</f>
        <v>0</v>
      </c>
      <c r="D125" s="106">
        <f>'CAT 963C LOADER'!E125</f>
        <v>0</v>
      </c>
      <c r="E125" s="94"/>
      <c r="F125" s="6">
        <f t="shared" si="3"/>
        <v>0</v>
      </c>
    </row>
    <row r="126" spans="2:6" x14ac:dyDescent="0.25">
      <c r="B126" s="107">
        <f>'CAT 963C LOADER'!B126</f>
        <v>0</v>
      </c>
      <c r="C126" s="105">
        <f>'CAT 963C LOADER'!C126</f>
        <v>0</v>
      </c>
      <c r="D126" s="106">
        <f>'CAT 963C LOADER'!E126</f>
        <v>0</v>
      </c>
      <c r="E126" s="94"/>
      <c r="F126" s="6">
        <f t="shared" ref="F126:F128" si="4">D126*E126</f>
        <v>0</v>
      </c>
    </row>
    <row r="127" spans="2:6" x14ac:dyDescent="0.25">
      <c r="B127" s="107">
        <f>'CAT 963C LOADER'!B127</f>
        <v>0</v>
      </c>
      <c r="C127" s="105">
        <f>'CAT 963C LOADER'!C127</f>
        <v>0</v>
      </c>
      <c r="D127" s="106">
        <f>'CAT 963C LOADER'!E127</f>
        <v>0</v>
      </c>
      <c r="E127" s="94"/>
      <c r="F127" s="6">
        <f t="shared" si="4"/>
        <v>0</v>
      </c>
    </row>
    <row r="128" spans="2:6" x14ac:dyDescent="0.25">
      <c r="B128" s="107">
        <f>'CAT 963C LOADER'!B128</f>
        <v>0</v>
      </c>
      <c r="C128" s="105">
        <f>'CAT 963C LOADER'!C128</f>
        <v>0</v>
      </c>
      <c r="D128" s="106">
        <f>'CAT 963C LOADER'!E128</f>
        <v>0</v>
      </c>
      <c r="E128" s="94"/>
      <c r="F128" s="6">
        <f t="shared" si="4"/>
        <v>0</v>
      </c>
    </row>
    <row r="129" spans="2:6" x14ac:dyDescent="0.25">
      <c r="B129" s="396"/>
      <c r="C129" s="397"/>
      <c r="D129" s="398"/>
      <c r="E129" s="98" t="s">
        <v>255</v>
      </c>
      <c r="F129" s="101">
        <f>SUM(F18:F125)</f>
        <v>0</v>
      </c>
    </row>
    <row r="130" spans="2:6" x14ac:dyDescent="0.25">
      <c r="B130" s="399" t="s">
        <v>256</v>
      </c>
      <c r="C130" s="400"/>
      <c r="D130" s="401"/>
      <c r="E130" s="98" t="s">
        <v>257</v>
      </c>
      <c r="F130" s="7">
        <v>0</v>
      </c>
    </row>
    <row r="131" spans="2:6" x14ac:dyDescent="0.25">
      <c r="B131" s="102"/>
      <c r="C131" s="103"/>
      <c r="D131" s="104"/>
      <c r="E131" s="99" t="s">
        <v>258</v>
      </c>
      <c r="F131" s="7">
        <v>0</v>
      </c>
    </row>
    <row r="132" spans="2:6" x14ac:dyDescent="0.25">
      <c r="B132" s="399" t="s">
        <v>0</v>
      </c>
      <c r="C132" s="400"/>
      <c r="D132" s="401"/>
      <c r="E132" s="98" t="s">
        <v>259</v>
      </c>
      <c r="F132" s="100">
        <f>SUM(F129:F131)</f>
        <v>0</v>
      </c>
    </row>
    <row r="133" spans="2:6" x14ac:dyDescent="0.25">
      <c r="B133" s="399" t="s">
        <v>260</v>
      </c>
      <c r="C133" s="400"/>
      <c r="D133" s="401"/>
      <c r="E133" s="98" t="s">
        <v>261</v>
      </c>
      <c r="F133" s="100">
        <f>ROUND(F132*0.05,2)</f>
        <v>0</v>
      </c>
    </row>
    <row r="134" spans="2:6" x14ac:dyDescent="0.25">
      <c r="B134" s="399" t="s">
        <v>262</v>
      </c>
      <c r="C134" s="400"/>
      <c r="D134" s="401"/>
      <c r="E134" s="98" t="s">
        <v>263</v>
      </c>
      <c r="F134" s="7"/>
    </row>
    <row r="135" spans="2:6" ht="15.75" x14ac:dyDescent="0.25">
      <c r="B135" s="402"/>
      <c r="C135" s="403"/>
      <c r="D135" s="404"/>
      <c r="E135" s="97" t="s">
        <v>264</v>
      </c>
      <c r="F135" s="96">
        <f>SUM(F132:F134)</f>
        <v>0</v>
      </c>
    </row>
  </sheetData>
  <sheetProtection selectLockedCells="1"/>
  <mergeCells count="16">
    <mergeCell ref="E12:F12"/>
    <mergeCell ref="E14:F14"/>
    <mergeCell ref="E15:F15"/>
    <mergeCell ref="D1:F5"/>
    <mergeCell ref="E7:F7"/>
    <mergeCell ref="E9:F9"/>
    <mergeCell ref="E10:F10"/>
    <mergeCell ref="E11:F11"/>
    <mergeCell ref="D8:F8"/>
    <mergeCell ref="E13:F13"/>
    <mergeCell ref="B129:D129"/>
    <mergeCell ref="B130:D130"/>
    <mergeCell ref="B132:D132"/>
    <mergeCell ref="B134:D134"/>
    <mergeCell ref="B135:D135"/>
    <mergeCell ref="B133:D133"/>
  </mergeCells>
  <printOptions horizontalCentered="1"/>
  <pageMargins left="0.23622047244094491" right="0.23622047244094491" top="0.23622047244094491" bottom="0.23622047244094491" header="0.31496062992125984" footer="0.31496062992125984"/>
  <pageSetup scale="95" fitToHeight="2"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FC1A-8BF4-42BE-8A47-C8C58E6F03FD}">
  <sheetPr codeName="Sheet4">
    <pageSetUpPr fitToPage="1"/>
  </sheetPr>
  <dimension ref="B1:H177"/>
  <sheetViews>
    <sheetView view="pageLayout" topLeftCell="A31" zoomScaleNormal="100" workbookViewId="0">
      <selection activeCell="G169" sqref="G169"/>
    </sheetView>
  </sheetViews>
  <sheetFormatPr defaultRowHeight="15" x14ac:dyDescent="0.25"/>
  <cols>
    <col min="1" max="1" width="2.7109375" customWidth="1"/>
    <col min="2" max="2" width="18.7109375" customWidth="1"/>
    <col min="3" max="3" width="36" customWidth="1"/>
    <col min="4" max="4" width="10.140625" customWidth="1"/>
    <col min="5" max="5" width="16.7109375" customWidth="1"/>
    <col min="6" max="6" width="18.7109375" customWidth="1"/>
    <col min="7" max="7" width="20.7109375" customWidth="1"/>
    <col min="8" max="8" width="3.140625" customWidth="1"/>
  </cols>
  <sheetData>
    <row r="1" spans="2:8" x14ac:dyDescent="0.25">
      <c r="B1" s="123"/>
      <c r="C1" s="124"/>
      <c r="D1" s="424" t="s">
        <v>265</v>
      </c>
      <c r="E1" s="424"/>
      <c r="F1" s="424"/>
      <c r="G1" s="425"/>
    </row>
    <row r="2" spans="2:8" x14ac:dyDescent="0.25">
      <c r="B2" s="125"/>
      <c r="D2" s="426"/>
      <c r="E2" s="426"/>
      <c r="F2" s="426"/>
      <c r="G2" s="427"/>
    </row>
    <row r="3" spans="2:8" x14ac:dyDescent="0.25">
      <c r="B3" s="125"/>
      <c r="D3" s="426"/>
      <c r="E3" s="426"/>
      <c r="F3" s="426"/>
      <c r="G3" s="427"/>
    </row>
    <row r="4" spans="2:8" x14ac:dyDescent="0.25">
      <c r="B4" s="125"/>
      <c r="D4" s="426"/>
      <c r="E4" s="426"/>
      <c r="F4" s="426"/>
      <c r="G4" s="427"/>
    </row>
    <row r="5" spans="2:8" x14ac:dyDescent="0.25">
      <c r="B5" s="126"/>
      <c r="C5" s="127"/>
      <c r="D5" s="428"/>
      <c r="E5" s="428"/>
      <c r="F5" s="428"/>
      <c r="G5" s="429"/>
    </row>
    <row r="6" spans="2:8" ht="27.95" customHeight="1" x14ac:dyDescent="0.55000000000000004">
      <c r="B6" s="128"/>
      <c r="C6" s="129"/>
      <c r="D6" s="130"/>
      <c r="E6" s="130"/>
      <c r="F6" s="130"/>
      <c r="G6" s="130"/>
    </row>
    <row r="7" spans="2:8" x14ac:dyDescent="0.25">
      <c r="B7" s="115" t="s">
        <v>38</v>
      </c>
      <c r="C7" s="122">
        <f>'CAT 963C LOADER'!C3</f>
        <v>0</v>
      </c>
      <c r="D7" s="119" t="s">
        <v>33</v>
      </c>
      <c r="E7" s="413">
        <f>'CAT 963C LOADER'!C2</f>
        <v>0</v>
      </c>
      <c r="F7" s="430"/>
      <c r="G7" s="414"/>
    </row>
    <row r="8" spans="2:8" x14ac:dyDescent="0.25">
      <c r="B8" s="115" t="s">
        <v>245</v>
      </c>
      <c r="C8" s="118">
        <f>'CAT 963C LOADER'!C4</f>
        <v>0</v>
      </c>
      <c r="D8" s="415" t="s">
        <v>29</v>
      </c>
      <c r="E8" s="416"/>
      <c r="F8" s="416"/>
      <c r="G8" s="417"/>
      <c r="H8" s="95"/>
    </row>
    <row r="9" spans="2:8" x14ac:dyDescent="0.25">
      <c r="B9" s="115" t="s">
        <v>246</v>
      </c>
      <c r="C9" s="117">
        <f>'CAT 963C LOADER'!C5</f>
        <v>0</v>
      </c>
      <c r="D9" s="115" t="s">
        <v>266</v>
      </c>
      <c r="E9" s="117">
        <f>'CAT 963C LOADER'!F3</f>
        <v>0</v>
      </c>
      <c r="F9" s="150" t="s">
        <v>267</v>
      </c>
      <c r="G9" s="117">
        <f>'CAT 963C LOADER'!F2</f>
        <v>0</v>
      </c>
    </row>
    <row r="10" spans="2:8" x14ac:dyDescent="0.25">
      <c r="B10" s="115" t="s">
        <v>247</v>
      </c>
      <c r="C10" s="4">
        <f>'CAT 963C LOADER'!C6</f>
        <v>0</v>
      </c>
      <c r="D10" s="115" t="s">
        <v>268</v>
      </c>
      <c r="E10" s="431">
        <f>'CAT 963C LOADER'!F4</f>
        <v>0</v>
      </c>
      <c r="F10" s="432"/>
      <c r="G10" s="433"/>
    </row>
    <row r="11" spans="2:8" x14ac:dyDescent="0.25">
      <c r="B11" s="115" t="s">
        <v>248</v>
      </c>
      <c r="C11" s="5"/>
      <c r="D11" s="115" t="s">
        <v>269</v>
      </c>
      <c r="E11" s="418">
        <f>'CAT 963C LOADER'!F5</f>
        <v>0</v>
      </c>
      <c r="F11" s="434"/>
      <c r="G11" s="419"/>
    </row>
    <row r="12" spans="2:8" x14ac:dyDescent="0.25">
      <c r="B12" s="120"/>
      <c r="C12" s="5"/>
      <c r="D12" s="115" t="s">
        <v>270</v>
      </c>
      <c r="E12" s="418">
        <f>'CAT 963C LOADER'!F6</f>
        <v>0</v>
      </c>
      <c r="F12" s="434"/>
      <c r="G12" s="419"/>
    </row>
    <row r="13" spans="2:8" x14ac:dyDescent="0.25">
      <c r="B13" s="120"/>
      <c r="C13" s="5"/>
      <c r="D13" s="115" t="s">
        <v>271</v>
      </c>
      <c r="E13" s="418">
        <f>'CAT 963C LOADER'!F8</f>
        <v>0</v>
      </c>
      <c r="F13" s="434"/>
      <c r="G13" s="419"/>
    </row>
    <row r="14" spans="2:8" x14ac:dyDescent="0.25">
      <c r="B14" s="115" t="s">
        <v>251</v>
      </c>
      <c r="C14" s="5"/>
      <c r="D14" s="115" t="s">
        <v>58</v>
      </c>
      <c r="E14" s="434">
        <f>'CAT 963C LOADER'!C7</f>
        <v>0</v>
      </c>
      <c r="F14" s="434"/>
      <c r="G14" s="419"/>
    </row>
    <row r="15" spans="2:8" x14ac:dyDescent="0.25">
      <c r="B15" s="121"/>
      <c r="C15" s="5"/>
      <c r="D15" s="115" t="s">
        <v>272</v>
      </c>
      <c r="E15" s="420"/>
      <c r="F15" s="421"/>
      <c r="G15" s="422"/>
    </row>
    <row r="16" spans="2:8" ht="15.75" thickBot="1" x14ac:dyDescent="0.3">
      <c r="B16" s="108"/>
      <c r="C16" s="109"/>
      <c r="D16" s="109"/>
      <c r="E16" s="423" t="str">
        <f>'CAT 963C LOADER'!K17</f>
        <v>CAD $</v>
      </c>
      <c r="F16" s="423"/>
      <c r="G16" s="423"/>
    </row>
    <row r="17" spans="2:7" ht="15.75" thickBot="1" x14ac:dyDescent="0.3">
      <c r="B17" s="111" t="s">
        <v>90</v>
      </c>
      <c r="C17" s="112" t="s">
        <v>91</v>
      </c>
      <c r="D17" s="113" t="s">
        <v>93</v>
      </c>
      <c r="E17" s="113" t="s">
        <v>273</v>
      </c>
      <c r="F17" s="113" t="s">
        <v>274</v>
      </c>
      <c r="G17" s="114" t="s">
        <v>254</v>
      </c>
    </row>
    <row r="18" spans="2:7" x14ac:dyDescent="0.25">
      <c r="B18" s="107">
        <f>'CAT 963C LOADER'!B18</f>
        <v>0</v>
      </c>
      <c r="C18" s="107" t="str">
        <f>'CAT 963C LOADER'!C18</f>
        <v>ENGINE OIL FILTER</v>
      </c>
      <c r="D18" s="149">
        <f>'CAT 963C LOADER'!E18</f>
        <v>0</v>
      </c>
      <c r="E18" s="10">
        <f>IFERROR('CAT 963C LOADER'!H18/'CAT 963C LOADER'!E18,0)</f>
        <v>0</v>
      </c>
      <c r="F18" s="9">
        <f>'CAT 963C LOADER'!K18</f>
        <v>0</v>
      </c>
      <c r="G18" s="8">
        <f>D18*F18</f>
        <v>0</v>
      </c>
    </row>
    <row r="19" spans="2:7" x14ac:dyDescent="0.25">
      <c r="B19" s="107">
        <f>'CAT 963C LOADER'!B19</f>
        <v>0</v>
      </c>
      <c r="C19" s="107" t="str">
        <f>'CAT 963C LOADER'!C19</f>
        <v>FUEL FILTER</v>
      </c>
      <c r="D19" s="149">
        <f>'CAT 963C LOADER'!E19</f>
        <v>0</v>
      </c>
      <c r="E19" s="10">
        <f>IFERROR('CAT 963C LOADER'!H19/'CAT 963C LOADER'!E19,0)</f>
        <v>0</v>
      </c>
      <c r="F19" s="9">
        <f>'CAT 963C LOADER'!K19</f>
        <v>0</v>
      </c>
      <c r="G19" s="8">
        <f t="shared" ref="G19:G46" si="0">D19*F19</f>
        <v>0</v>
      </c>
    </row>
    <row r="20" spans="2:7" x14ac:dyDescent="0.25">
      <c r="B20" s="107">
        <f>'CAT 963C LOADER'!B20</f>
        <v>0</v>
      </c>
      <c r="C20" s="107" t="str">
        <f>'CAT 963C LOADER'!C20</f>
        <v>FUEL WATER SEPARATOR FILTER</v>
      </c>
      <c r="D20" s="149">
        <f>'CAT 963C LOADER'!E20</f>
        <v>0</v>
      </c>
      <c r="E20" s="10">
        <f>IFERROR('CAT 963C LOADER'!H20/'CAT 963C LOADER'!E20,0)</f>
        <v>0</v>
      </c>
      <c r="F20" s="9">
        <f>'CAT 963C LOADER'!K20</f>
        <v>0</v>
      </c>
      <c r="G20" s="8">
        <f t="shared" si="0"/>
        <v>0</v>
      </c>
    </row>
    <row r="21" spans="2:7" x14ac:dyDescent="0.25">
      <c r="B21" s="107">
        <f>'CAT 963C LOADER'!B21</f>
        <v>0</v>
      </c>
      <c r="C21" s="107" t="str">
        <f>'CAT 963C LOADER'!C21</f>
        <v>HYDRAULIC FILTER</v>
      </c>
      <c r="D21" s="149">
        <f>'CAT 963C LOADER'!E21</f>
        <v>0</v>
      </c>
      <c r="E21" s="10">
        <f>IFERROR('CAT 963C LOADER'!H21/'CAT 963C LOADER'!E21,0)</f>
        <v>0</v>
      </c>
      <c r="F21" s="9">
        <f>'CAT 963C LOADER'!K21</f>
        <v>0</v>
      </c>
      <c r="G21" s="8">
        <f t="shared" si="0"/>
        <v>0</v>
      </c>
    </row>
    <row r="22" spans="2:7" x14ac:dyDescent="0.25">
      <c r="B22" s="107">
        <f>'CAT 963C LOADER'!B22</f>
        <v>0</v>
      </c>
      <c r="C22" s="107" t="str">
        <f>'CAT 963C LOADER'!C22</f>
        <v>HYDRAULIC TRANSMISSION OIL FILTER</v>
      </c>
      <c r="D22" s="149">
        <f>'CAT 963C LOADER'!E22</f>
        <v>0</v>
      </c>
      <c r="E22" s="10">
        <f>IFERROR('CAT 963C LOADER'!H22/'CAT 963C LOADER'!E22,0)</f>
        <v>0</v>
      </c>
      <c r="F22" s="9">
        <f>'CAT 963C LOADER'!K22</f>
        <v>0</v>
      </c>
      <c r="G22" s="8">
        <f t="shared" si="0"/>
        <v>0</v>
      </c>
    </row>
    <row r="23" spans="2:7" x14ac:dyDescent="0.25">
      <c r="B23" s="107">
        <f>'CAT 963C LOADER'!B23</f>
        <v>0</v>
      </c>
      <c r="C23" s="107" t="str">
        <f>'CAT 963C LOADER'!C23</f>
        <v>PRIMARY AIR FILTER</v>
      </c>
      <c r="D23" s="149">
        <f>'CAT 963C LOADER'!E23</f>
        <v>0</v>
      </c>
      <c r="E23" s="10">
        <f>IFERROR('CAT 963C LOADER'!H23/'CAT 963C LOADER'!E23,0)</f>
        <v>0</v>
      </c>
      <c r="F23" s="9">
        <f>'CAT 963C LOADER'!K23</f>
        <v>0</v>
      </c>
      <c r="G23" s="8">
        <f t="shared" si="0"/>
        <v>0</v>
      </c>
    </row>
    <row r="24" spans="2:7" x14ac:dyDescent="0.25">
      <c r="B24" s="107">
        <f>'CAT 963C LOADER'!B24</f>
        <v>0</v>
      </c>
      <c r="C24" s="107" t="str">
        <f>'CAT 963C LOADER'!C24</f>
        <v>SECONDARY AIR FILTER ELEMENT</v>
      </c>
      <c r="D24" s="149">
        <f>'CAT 963C LOADER'!E24</f>
        <v>0</v>
      </c>
      <c r="E24" s="10">
        <f>IFERROR('CAT 963C LOADER'!H24/'CAT 963C LOADER'!E24,0)</f>
        <v>0</v>
      </c>
      <c r="F24" s="9">
        <f>'CAT 963C LOADER'!K24</f>
        <v>0</v>
      </c>
      <c r="G24" s="8">
        <f t="shared" si="0"/>
        <v>0</v>
      </c>
    </row>
    <row r="25" spans="2:7" x14ac:dyDescent="0.25">
      <c r="B25" s="107">
        <f>'CAT 963C LOADER'!B25</f>
        <v>0</v>
      </c>
      <c r="C25" s="107" t="str">
        <f>'CAT 963C LOADER'!C25</f>
        <v>CABIN AIR FILTER ELEMENT</v>
      </c>
      <c r="D25" s="149">
        <f>'CAT 963C LOADER'!E25</f>
        <v>0</v>
      </c>
      <c r="E25" s="10">
        <f>IFERROR('CAT 963C LOADER'!H25/'CAT 963C LOADER'!E25,0)</f>
        <v>0</v>
      </c>
      <c r="F25" s="9">
        <f>'CAT 963C LOADER'!K25</f>
        <v>0</v>
      </c>
      <c r="G25" s="8">
        <f t="shared" si="0"/>
        <v>0</v>
      </c>
    </row>
    <row r="26" spans="2:7" x14ac:dyDescent="0.25">
      <c r="B26" s="107">
        <f>'CAT 963C LOADER'!B26</f>
        <v>0</v>
      </c>
      <c r="C26" s="107" t="str">
        <f>'CAT 963C LOADER'!C26</f>
        <v>12V 4D BCI BATTERY (19.3" X 8.6" X 9.9")</v>
      </c>
      <c r="D26" s="149">
        <f>'CAT 963C LOADER'!E26</f>
        <v>0</v>
      </c>
      <c r="E26" s="10">
        <f>IFERROR('CAT 963C LOADER'!H26/'CAT 963C LOADER'!E26,0)</f>
        <v>0</v>
      </c>
      <c r="F26" s="9">
        <f>'CAT 963C LOADER'!K26</f>
        <v>0</v>
      </c>
      <c r="G26" s="8">
        <f t="shared" si="0"/>
        <v>0</v>
      </c>
    </row>
    <row r="27" spans="2:7" x14ac:dyDescent="0.25">
      <c r="B27" s="107">
        <f>'CAT 963C LOADER'!B27</f>
        <v>0</v>
      </c>
      <c r="C27" s="107">
        <f>'CAT 963C LOADER'!C27</f>
        <v>0</v>
      </c>
      <c r="D27" s="149">
        <f>'CAT 963C LOADER'!E27</f>
        <v>0</v>
      </c>
      <c r="E27" s="10">
        <f>IFERROR('CAT 963C LOADER'!H27/'CAT 963C LOADER'!E27,0)</f>
        <v>0</v>
      </c>
      <c r="F27" s="9">
        <f>'CAT 963C LOADER'!K27</f>
        <v>0</v>
      </c>
      <c r="G27" s="8">
        <f t="shared" si="0"/>
        <v>0</v>
      </c>
    </row>
    <row r="28" spans="2:7" x14ac:dyDescent="0.25">
      <c r="B28" s="107">
        <f>'CAT 963C LOADER'!B28</f>
        <v>0</v>
      </c>
      <c r="C28" s="107" t="str">
        <f>'CAT 963C LOADER'!C28</f>
        <v>ENGINE OVERHAUL KIT</v>
      </c>
      <c r="D28" s="149">
        <f>'CAT 963C LOADER'!E28</f>
        <v>0</v>
      </c>
      <c r="E28" s="10">
        <f>IFERROR('CAT 963C LOADER'!H28/'CAT 963C LOADER'!E28,0)</f>
        <v>0</v>
      </c>
      <c r="F28" s="9">
        <f>'CAT 963C LOADER'!K28</f>
        <v>0</v>
      </c>
      <c r="G28" s="8">
        <f t="shared" si="0"/>
        <v>0</v>
      </c>
    </row>
    <row r="29" spans="2:7" x14ac:dyDescent="0.25">
      <c r="B29" s="107">
        <f>'CAT 963C LOADER'!B29</f>
        <v>0</v>
      </c>
      <c r="C29" s="107" t="str">
        <f>'CAT 963C LOADER'!C29</f>
        <v>CAMSHAFT</v>
      </c>
      <c r="D29" s="149">
        <f>'CAT 963C LOADER'!E29</f>
        <v>0</v>
      </c>
      <c r="E29" s="10">
        <f>IFERROR('CAT 963C LOADER'!H29/'CAT 963C LOADER'!E29,0)</f>
        <v>0</v>
      </c>
      <c r="F29" s="9">
        <f>'CAT 963C LOADER'!K29</f>
        <v>0</v>
      </c>
      <c r="G29" s="8">
        <f t="shared" si="0"/>
        <v>0</v>
      </c>
    </row>
    <row r="30" spans="2:7" x14ac:dyDescent="0.25">
      <c r="B30" s="107">
        <f>'CAT 963C LOADER'!B30</f>
        <v>0</v>
      </c>
      <c r="C30" s="107" t="str">
        <f>'CAT 963C LOADER'!C30</f>
        <v>CRANKSHAFT</v>
      </c>
      <c r="D30" s="149">
        <f>'CAT 963C LOADER'!E30</f>
        <v>0</v>
      </c>
      <c r="E30" s="10">
        <f>IFERROR('CAT 963C LOADER'!H30/'CAT 963C LOADER'!E30,0)</f>
        <v>0</v>
      </c>
      <c r="F30" s="9">
        <f>'CAT 963C LOADER'!K30</f>
        <v>0</v>
      </c>
      <c r="G30" s="8">
        <f t="shared" si="0"/>
        <v>0</v>
      </c>
    </row>
    <row r="31" spans="2:7" x14ac:dyDescent="0.25">
      <c r="B31" s="107">
        <f>'CAT 963C LOADER'!B31</f>
        <v>0</v>
      </c>
      <c r="C31" s="107" t="str">
        <f>'CAT 963C LOADER'!C31</f>
        <v>CYLINDER HEAD</v>
      </c>
      <c r="D31" s="149">
        <f>'CAT 963C LOADER'!E31</f>
        <v>0</v>
      </c>
      <c r="E31" s="10">
        <f>IFERROR('CAT 963C LOADER'!H31/'CAT 963C LOADER'!E31,0)</f>
        <v>0</v>
      </c>
      <c r="F31" s="9">
        <f>'CAT 963C LOADER'!K31</f>
        <v>0</v>
      </c>
      <c r="G31" s="8">
        <f t="shared" si="0"/>
        <v>0</v>
      </c>
    </row>
    <row r="32" spans="2:7" x14ac:dyDescent="0.25">
      <c r="B32" s="107">
        <f>'CAT 963C LOADER'!B32</f>
        <v>0</v>
      </c>
      <c r="C32" s="107" t="str">
        <f>'CAT 963C LOADER'!C32</f>
        <v>TURBOCHARGER</v>
      </c>
      <c r="D32" s="149">
        <f>'CAT 963C LOADER'!E32</f>
        <v>0</v>
      </c>
      <c r="E32" s="10">
        <f>IFERROR('CAT 963C LOADER'!H32/'CAT 963C LOADER'!E32,0)</f>
        <v>0</v>
      </c>
      <c r="F32" s="9">
        <f>'CAT 963C LOADER'!K32</f>
        <v>0</v>
      </c>
      <c r="G32" s="8">
        <f t="shared" si="0"/>
        <v>0</v>
      </c>
    </row>
    <row r="33" spans="2:7" x14ac:dyDescent="0.25">
      <c r="B33" s="107">
        <f>'CAT 963C LOADER'!B33</f>
        <v>0</v>
      </c>
      <c r="C33" s="107" t="str">
        <f>'CAT 963C LOADER'!C33</f>
        <v>INJECTOR</v>
      </c>
      <c r="D33" s="149">
        <f>'CAT 963C LOADER'!E33</f>
        <v>0</v>
      </c>
      <c r="E33" s="10">
        <f>IFERROR('CAT 963C LOADER'!H33/'CAT 963C LOADER'!E33,0)</f>
        <v>0</v>
      </c>
      <c r="F33" s="9">
        <f>'CAT 963C LOADER'!K33</f>
        <v>0</v>
      </c>
      <c r="G33" s="8">
        <f t="shared" si="0"/>
        <v>0</v>
      </c>
    </row>
    <row r="34" spans="2:7" x14ac:dyDescent="0.25">
      <c r="B34" s="107">
        <f>'CAT 963C LOADER'!B34</f>
        <v>0</v>
      </c>
      <c r="C34" s="107">
        <f>'CAT 963C LOADER'!C34</f>
        <v>0</v>
      </c>
      <c r="D34" s="149">
        <f>'CAT 963C LOADER'!E34</f>
        <v>0</v>
      </c>
      <c r="E34" s="10">
        <f>IFERROR('CAT 963C LOADER'!H34/'CAT 963C LOADER'!E34,0)</f>
        <v>0</v>
      </c>
      <c r="F34" s="9">
        <f>'CAT 963C LOADER'!K34</f>
        <v>0</v>
      </c>
      <c r="G34" s="8">
        <f t="shared" si="0"/>
        <v>0</v>
      </c>
    </row>
    <row r="35" spans="2:7" x14ac:dyDescent="0.25">
      <c r="B35" s="107">
        <f>'CAT 963C LOADER'!B35</f>
        <v>0</v>
      </c>
      <c r="C35" s="107" t="str">
        <f>'CAT 963C LOADER'!C35</f>
        <v>BUCKET AS GENERAL PURPOSE</v>
      </c>
      <c r="D35" s="149">
        <f>'CAT 963C LOADER'!E35</f>
        <v>0</v>
      </c>
      <c r="E35" s="10">
        <f>IFERROR('CAT 963C LOADER'!H35/'CAT 963C LOADER'!E35,0)</f>
        <v>0</v>
      </c>
      <c r="F35" s="9">
        <f>'CAT 963C LOADER'!K35</f>
        <v>0</v>
      </c>
      <c r="G35" s="8">
        <f t="shared" si="0"/>
        <v>0</v>
      </c>
    </row>
    <row r="36" spans="2:7" x14ac:dyDescent="0.25">
      <c r="B36" s="107">
        <f>'CAT 963C LOADER'!B36</f>
        <v>0</v>
      </c>
      <c r="C36" s="107" t="str">
        <f>'CAT 963C LOADER'!C36</f>
        <v>TILT CYLINDER</v>
      </c>
      <c r="D36" s="149">
        <f>'CAT 963C LOADER'!E36</f>
        <v>0</v>
      </c>
      <c r="E36" s="10">
        <f>IFERROR('CAT 963C LOADER'!H36/'CAT 963C LOADER'!E36,0)</f>
        <v>0</v>
      </c>
      <c r="F36" s="9">
        <f>'CAT 963C LOADER'!K36</f>
        <v>0</v>
      </c>
      <c r="G36" s="8">
        <f t="shared" si="0"/>
        <v>0</v>
      </c>
    </row>
    <row r="37" spans="2:7" x14ac:dyDescent="0.25">
      <c r="B37" s="107">
        <f>'CAT 963C LOADER'!B37</f>
        <v>0</v>
      </c>
      <c r="C37" s="107" t="str">
        <f>'CAT 963C LOADER'!C37</f>
        <v>LIFT CYLINDER</v>
      </c>
      <c r="D37" s="149">
        <f>'CAT 963C LOADER'!E37</f>
        <v>0</v>
      </c>
      <c r="E37" s="10">
        <f>IFERROR('CAT 963C LOADER'!H37/'CAT 963C LOADER'!E37,0)</f>
        <v>0</v>
      </c>
      <c r="F37" s="9">
        <f>'CAT 963C LOADER'!K37</f>
        <v>0</v>
      </c>
      <c r="G37" s="8">
        <f t="shared" si="0"/>
        <v>0</v>
      </c>
    </row>
    <row r="38" spans="2:7" x14ac:dyDescent="0.25">
      <c r="B38" s="107">
        <f>'CAT 963C LOADER'!B38</f>
        <v>0</v>
      </c>
      <c r="C38" s="107" t="str">
        <f>'CAT 963C LOADER'!C38</f>
        <v>CUTTING EDGE</v>
      </c>
      <c r="D38" s="149">
        <f>'CAT 963C LOADER'!E38</f>
        <v>0</v>
      </c>
      <c r="E38" s="10">
        <f>IFERROR('CAT 963C LOADER'!H38/'CAT 963C LOADER'!E38,0)</f>
        <v>0</v>
      </c>
      <c r="F38" s="9">
        <f>'CAT 963C LOADER'!K38</f>
        <v>0</v>
      </c>
      <c r="G38" s="8">
        <f t="shared" si="0"/>
        <v>0</v>
      </c>
    </row>
    <row r="39" spans="2:7" x14ac:dyDescent="0.25">
      <c r="B39" s="107">
        <f>'CAT 963C LOADER'!B39</f>
        <v>0</v>
      </c>
      <c r="C39" s="107" t="str">
        <f>'CAT 963C LOADER'!C39</f>
        <v>CUTTING EDGE</v>
      </c>
      <c r="D39" s="149">
        <f>'CAT 963C LOADER'!E39</f>
        <v>0</v>
      </c>
      <c r="E39" s="10">
        <f>IFERROR('CAT 963C LOADER'!H39/'CAT 963C LOADER'!E39,0)</f>
        <v>0</v>
      </c>
      <c r="F39" s="9">
        <f>'CAT 963C LOADER'!K39</f>
        <v>0</v>
      </c>
      <c r="G39" s="8">
        <f t="shared" si="0"/>
        <v>0</v>
      </c>
    </row>
    <row r="40" spans="2:7" x14ac:dyDescent="0.25">
      <c r="B40" s="107">
        <f>'CAT 963C LOADER'!B40</f>
        <v>0</v>
      </c>
      <c r="C40" s="107" t="str">
        <f>'CAT 963C LOADER'!C40</f>
        <v>CUTTING EDGE</v>
      </c>
      <c r="D40" s="149">
        <f>'CAT 963C LOADER'!E40</f>
        <v>0</v>
      </c>
      <c r="E40" s="10">
        <f>IFERROR('CAT 963C LOADER'!H40/'CAT 963C LOADER'!E40,0)</f>
        <v>0</v>
      </c>
      <c r="F40" s="9">
        <f>'CAT 963C LOADER'!K40</f>
        <v>0</v>
      </c>
      <c r="G40" s="8">
        <f t="shared" si="0"/>
        <v>0</v>
      </c>
    </row>
    <row r="41" spans="2:7" x14ac:dyDescent="0.25">
      <c r="B41" s="107">
        <f>'CAT 963C LOADER'!B41</f>
        <v>0</v>
      </c>
      <c r="C41" s="107" t="str">
        <f>'CAT 963C LOADER'!C41</f>
        <v>CUTTING EDGE</v>
      </c>
      <c r="D41" s="149">
        <f>'CAT 963C LOADER'!E41</f>
        <v>0</v>
      </c>
      <c r="E41" s="10">
        <f>IFERROR('CAT 963C LOADER'!H41/'CAT 963C LOADER'!E41,0)</f>
        <v>0</v>
      </c>
      <c r="F41" s="9">
        <f>'CAT 963C LOADER'!K41</f>
        <v>0</v>
      </c>
      <c r="G41" s="8">
        <f t="shared" si="0"/>
        <v>0</v>
      </c>
    </row>
    <row r="42" spans="2:7" x14ac:dyDescent="0.25">
      <c r="B42" s="107">
        <f>'CAT 963C LOADER'!B42</f>
        <v>0</v>
      </c>
      <c r="C42" s="107" t="str">
        <f>'CAT 963C LOADER'!C42</f>
        <v>CUTTING EDGE</v>
      </c>
      <c r="D42" s="149">
        <f>'CAT 963C LOADER'!E42</f>
        <v>0</v>
      </c>
      <c r="E42" s="10">
        <f>IFERROR('CAT 963C LOADER'!H42/'CAT 963C LOADER'!E42,0)</f>
        <v>0</v>
      </c>
      <c r="F42" s="9">
        <f>'CAT 963C LOADER'!K42</f>
        <v>0</v>
      </c>
      <c r="G42" s="8">
        <f t="shared" si="0"/>
        <v>0</v>
      </c>
    </row>
    <row r="43" spans="2:7" x14ac:dyDescent="0.25">
      <c r="B43" s="107">
        <f>'CAT 963C LOADER'!B43</f>
        <v>0</v>
      </c>
      <c r="C43" s="107" t="str">
        <f>'CAT 963C LOADER'!C43</f>
        <v>PLOW BOLT</v>
      </c>
      <c r="D43" s="149">
        <f>'CAT 963C LOADER'!E43</f>
        <v>0</v>
      </c>
      <c r="E43" s="10">
        <f>IFERROR('CAT 963C LOADER'!H43/'CAT 963C LOADER'!E43,0)</f>
        <v>0</v>
      </c>
      <c r="F43" s="9">
        <f>'CAT 963C LOADER'!K43</f>
        <v>0</v>
      </c>
      <c r="G43" s="8">
        <f t="shared" si="0"/>
        <v>0</v>
      </c>
    </row>
    <row r="44" spans="2:7" x14ac:dyDescent="0.25">
      <c r="B44" s="107">
        <f>'CAT 963C LOADER'!B44</f>
        <v>0</v>
      </c>
      <c r="C44" s="107" t="str">
        <f>'CAT 963C LOADER'!C44</f>
        <v>NUT FULL</v>
      </c>
      <c r="D44" s="149">
        <f>'CAT 963C LOADER'!E44</f>
        <v>0</v>
      </c>
      <c r="E44" s="10">
        <f>IFERROR('CAT 963C LOADER'!H44/'CAT 963C LOADER'!E44,0)</f>
        <v>0</v>
      </c>
      <c r="F44" s="9">
        <f>'CAT 963C LOADER'!K44</f>
        <v>0</v>
      </c>
      <c r="G44" s="8">
        <f t="shared" si="0"/>
        <v>0</v>
      </c>
    </row>
    <row r="45" spans="2:7" x14ac:dyDescent="0.25">
      <c r="B45" s="107">
        <f>'CAT 963C LOADER'!B45</f>
        <v>0</v>
      </c>
      <c r="C45" s="107" t="str">
        <f>'CAT 963C LOADER'!C45</f>
        <v>WASHER</v>
      </c>
      <c r="D45" s="149">
        <f>'CAT 963C LOADER'!E45</f>
        <v>0</v>
      </c>
      <c r="E45" s="10">
        <f>IFERROR('CAT 963C LOADER'!H45/'CAT 963C LOADER'!E45,0)</f>
        <v>0</v>
      </c>
      <c r="F45" s="9">
        <f>'CAT 963C LOADER'!K45</f>
        <v>0</v>
      </c>
      <c r="G45" s="8">
        <f t="shared" si="0"/>
        <v>0</v>
      </c>
    </row>
    <row r="46" spans="2:7" x14ac:dyDescent="0.25">
      <c r="B46" s="107">
        <f>'CAT 963C LOADER'!B46</f>
        <v>0</v>
      </c>
      <c r="C46" s="107" t="str">
        <f>'CAT 963C LOADER'!C46</f>
        <v xml:space="preserve">TIP RETAINER </v>
      </c>
      <c r="D46" s="149">
        <f>'CAT 963C LOADER'!E46</f>
        <v>0</v>
      </c>
      <c r="E46" s="10">
        <f>IFERROR('CAT 963C LOADER'!H46/'CAT 963C LOADER'!E46,0)</f>
        <v>0</v>
      </c>
      <c r="F46" s="9">
        <f>'CAT 963C LOADER'!K46</f>
        <v>0</v>
      </c>
      <c r="G46" s="8">
        <f t="shared" si="0"/>
        <v>0</v>
      </c>
    </row>
    <row r="47" spans="2:7" x14ac:dyDescent="0.25">
      <c r="B47" s="107">
        <f>'CAT 963C LOADER'!B47</f>
        <v>0</v>
      </c>
      <c r="C47" s="107" t="str">
        <f>'CAT 963C LOADER'!C47</f>
        <v>TIP</v>
      </c>
      <c r="D47" s="149">
        <f>'CAT 963C LOADER'!E47</f>
        <v>0</v>
      </c>
      <c r="E47" s="10">
        <f>IFERROR('CAT 963C LOADER'!H47/'CAT 963C LOADER'!E47,0)</f>
        <v>0</v>
      </c>
      <c r="F47" s="9">
        <f>'CAT 963C LOADER'!K47</f>
        <v>0</v>
      </c>
      <c r="G47" s="8">
        <f t="shared" ref="G47:G53" si="1">D47*F47</f>
        <v>0</v>
      </c>
    </row>
    <row r="48" spans="2:7" x14ac:dyDescent="0.25">
      <c r="B48" s="107">
        <f>'CAT 963C LOADER'!B48</f>
        <v>0</v>
      </c>
      <c r="C48" s="107">
        <f>'CAT 963C LOADER'!C48</f>
        <v>0</v>
      </c>
      <c r="D48" s="149">
        <f>'CAT 963C LOADER'!E48</f>
        <v>0</v>
      </c>
      <c r="E48" s="10">
        <f>IFERROR('CAT 963C LOADER'!H48/'CAT 963C LOADER'!E48,0)</f>
        <v>0</v>
      </c>
      <c r="F48" s="9">
        <f>'CAT 963C LOADER'!K48</f>
        <v>0</v>
      </c>
      <c r="G48" s="8">
        <f t="shared" si="1"/>
        <v>0</v>
      </c>
    </row>
    <row r="49" spans="2:7" x14ac:dyDescent="0.25">
      <c r="B49" s="107">
        <f>'CAT 963C LOADER'!B49</f>
        <v>0</v>
      </c>
      <c r="C49" s="107" t="str">
        <f>'CAT 963C LOADER'!C49</f>
        <v>SEAT GP</v>
      </c>
      <c r="D49" s="149">
        <f>'CAT 963C LOADER'!E49</f>
        <v>0</v>
      </c>
      <c r="E49" s="10">
        <f>IFERROR('CAT 963C LOADER'!H49/'CAT 963C LOADER'!E49,0)</f>
        <v>0</v>
      </c>
      <c r="F49" s="9">
        <f>'CAT 963C LOADER'!K49</f>
        <v>0</v>
      </c>
      <c r="G49" s="8">
        <f t="shared" si="1"/>
        <v>0</v>
      </c>
    </row>
    <row r="50" spans="2:7" x14ac:dyDescent="0.25">
      <c r="B50" s="107">
        <f>'CAT 963C LOADER'!B50</f>
        <v>0</v>
      </c>
      <c r="C50" s="107" t="str">
        <f>'CAT 963C LOADER'!C50</f>
        <v>SEAT SUSPENSION</v>
      </c>
      <c r="D50" s="149">
        <f>'CAT 963C LOADER'!E50</f>
        <v>0</v>
      </c>
      <c r="E50" s="10">
        <f>IFERROR('CAT 963C LOADER'!H50/'CAT 963C LOADER'!E50,0)</f>
        <v>0</v>
      </c>
      <c r="F50" s="9">
        <f>'CAT 963C LOADER'!K50</f>
        <v>0</v>
      </c>
      <c r="G50" s="8">
        <f t="shared" si="1"/>
        <v>0</v>
      </c>
    </row>
    <row r="51" spans="2:7" x14ac:dyDescent="0.25">
      <c r="B51" s="107">
        <f>'CAT 963C LOADER'!B51</f>
        <v>0</v>
      </c>
      <c r="C51" s="107">
        <f>'CAT 963C LOADER'!C51</f>
        <v>0</v>
      </c>
      <c r="D51" s="149">
        <f>'CAT 963C LOADER'!E51</f>
        <v>0</v>
      </c>
      <c r="E51" s="10">
        <f>IFERROR('CAT 963C LOADER'!H51/'CAT 963C LOADER'!E51,0)</f>
        <v>0</v>
      </c>
      <c r="F51" s="9">
        <f>'CAT 963C LOADER'!K51</f>
        <v>0</v>
      </c>
      <c r="G51" s="8">
        <f t="shared" si="1"/>
        <v>0</v>
      </c>
    </row>
    <row r="52" spans="2:7" x14ac:dyDescent="0.25">
      <c r="B52" s="107">
        <f>'CAT 963C LOADER'!B52</f>
        <v>0</v>
      </c>
      <c r="C52" s="107">
        <f>'CAT 963C LOADER'!C52</f>
        <v>0</v>
      </c>
      <c r="D52" s="149">
        <f>'CAT 963C LOADER'!E52</f>
        <v>0</v>
      </c>
      <c r="E52" s="10">
        <f>IFERROR('CAT 963C LOADER'!H52/'CAT 963C LOADER'!E52,0)</f>
        <v>0</v>
      </c>
      <c r="F52" s="9">
        <f>'CAT 963C LOADER'!K52</f>
        <v>0</v>
      </c>
      <c r="G52" s="8">
        <f t="shared" si="1"/>
        <v>0</v>
      </c>
    </row>
    <row r="53" spans="2:7" ht="15.75" thickBot="1" x14ac:dyDescent="0.3">
      <c r="B53" s="107">
        <f>'CAT 963C LOADER'!B53</f>
        <v>0</v>
      </c>
      <c r="C53" s="107">
        <f>'CAT 963C LOADER'!C53</f>
        <v>0</v>
      </c>
      <c r="D53" s="149">
        <f>'CAT 963C LOADER'!E53</f>
        <v>0</v>
      </c>
      <c r="E53" s="10">
        <f>IFERROR('CAT 963C LOADER'!H53/'CAT 963C LOADER'!E53,0)</f>
        <v>0</v>
      </c>
      <c r="F53" s="9">
        <f>'CAT 963C LOADER'!K53</f>
        <v>0</v>
      </c>
      <c r="G53" s="8">
        <f t="shared" si="1"/>
        <v>0</v>
      </c>
    </row>
    <row r="54" spans="2:7" x14ac:dyDescent="0.25">
      <c r="B54" s="254"/>
      <c r="C54" s="255"/>
      <c r="D54" s="256"/>
      <c r="E54" s="443" t="s">
        <v>275</v>
      </c>
      <c r="F54" s="444"/>
      <c r="G54" s="445"/>
    </row>
    <row r="55" spans="2:7" x14ac:dyDescent="0.25">
      <c r="B55" s="248"/>
      <c r="C55" s="250"/>
      <c r="D55" s="257"/>
      <c r="E55" s="446"/>
      <c r="F55" s="447"/>
      <c r="G55" s="448"/>
    </row>
    <row r="56" spans="2:7" x14ac:dyDescent="0.25">
      <c r="B56" s="248"/>
      <c r="C56" s="250"/>
      <c r="D56" s="257"/>
      <c r="E56" s="446"/>
      <c r="F56" s="447"/>
      <c r="G56" s="448"/>
    </row>
    <row r="57" spans="2:7" x14ac:dyDescent="0.25">
      <c r="B57" s="248"/>
      <c r="C57" s="250"/>
      <c r="D57" s="257"/>
      <c r="E57" s="446"/>
      <c r="F57" s="447"/>
      <c r="G57" s="448"/>
    </row>
    <row r="58" spans="2:7" x14ac:dyDescent="0.25">
      <c r="B58" s="248"/>
      <c r="C58" s="250"/>
      <c r="D58" s="257"/>
      <c r="E58" s="446"/>
      <c r="F58" s="447"/>
      <c r="G58" s="448"/>
    </row>
    <row r="59" spans="2:7" ht="15.75" thickBot="1" x14ac:dyDescent="0.3">
      <c r="B59" s="252"/>
      <c r="C59" s="253"/>
      <c r="D59" s="258"/>
      <c r="E59" s="449"/>
      <c r="F59" s="450"/>
      <c r="G59" s="451"/>
    </row>
    <row r="60" spans="2:7" x14ac:dyDescent="0.25">
      <c r="B60" s="86"/>
      <c r="C60" s="87"/>
      <c r="D60" s="452" t="s">
        <v>276</v>
      </c>
      <c r="E60" s="452"/>
      <c r="F60" s="452"/>
      <c r="G60" s="453"/>
    </row>
    <row r="61" spans="2:7" x14ac:dyDescent="0.25">
      <c r="B61" s="88"/>
      <c r="C61" s="77"/>
      <c r="D61" s="454"/>
      <c r="E61" s="454"/>
      <c r="F61" s="454"/>
      <c r="G61" s="455"/>
    </row>
    <row r="62" spans="2:7" x14ac:dyDescent="0.25">
      <c r="B62" s="88"/>
      <c r="C62" s="77"/>
      <c r="D62" s="454"/>
      <c r="E62" s="454"/>
      <c r="F62" s="454"/>
      <c r="G62" s="455"/>
    </row>
    <row r="63" spans="2:7" x14ac:dyDescent="0.25">
      <c r="B63" s="88"/>
      <c r="C63" s="77"/>
      <c r="D63" s="454"/>
      <c r="E63" s="454"/>
      <c r="F63" s="454"/>
      <c r="G63" s="455"/>
    </row>
    <row r="64" spans="2:7" x14ac:dyDescent="0.25">
      <c r="B64" s="89"/>
      <c r="C64" s="90"/>
      <c r="D64" s="456"/>
      <c r="E64" s="456"/>
      <c r="F64" s="456"/>
      <c r="G64" s="457"/>
    </row>
    <row r="65" spans="2:7" ht="15.75" thickBot="1" x14ac:dyDescent="0.3">
      <c r="B65" s="108"/>
      <c r="C65" s="109"/>
      <c r="D65" s="109"/>
      <c r="E65" s="423"/>
      <c r="F65" s="423"/>
      <c r="G65" s="423"/>
    </row>
    <row r="66" spans="2:7" x14ac:dyDescent="0.25">
      <c r="B66" s="115" t="str">
        <f>IF('CAT 963C LOADER'!C3="",'CAT 963C LOADER'!B4,'CAT 963C LOADER'!B3)</f>
        <v>CUSTOMER:</v>
      </c>
      <c r="C66" s="122">
        <f>IF('CAT 963C LOADER'!C3="",'CAT 963C LOADER'!C4,'CAT 963C LOADER'!C3)</f>
        <v>0</v>
      </c>
      <c r="D66" s="119" t="s">
        <v>33</v>
      </c>
      <c r="E66" s="413">
        <f>'CAT 963C LOADER'!C2</f>
        <v>0</v>
      </c>
      <c r="F66" s="430"/>
      <c r="G66" s="414"/>
    </row>
    <row r="67" spans="2:7" ht="15.75" thickBot="1" x14ac:dyDescent="0.3">
      <c r="B67" s="108"/>
      <c r="C67" s="109"/>
      <c r="D67" s="109"/>
      <c r="E67" s="423" t="e">
        <f>'CAT 963C LOADER'!#REF!</f>
        <v>#REF!</v>
      </c>
      <c r="F67" s="423"/>
      <c r="G67" s="423"/>
    </row>
    <row r="68" spans="2:7" ht="15.75" thickBot="1" x14ac:dyDescent="0.3">
      <c r="B68" s="111" t="s">
        <v>90</v>
      </c>
      <c r="C68" s="112" t="s">
        <v>91</v>
      </c>
      <c r="D68" s="113" t="s">
        <v>93</v>
      </c>
      <c r="E68" s="113" t="s">
        <v>273</v>
      </c>
      <c r="F68" s="113" t="s">
        <v>274</v>
      </c>
      <c r="G68" s="114" t="s">
        <v>254</v>
      </c>
    </row>
    <row r="69" spans="2:7" x14ac:dyDescent="0.25">
      <c r="B69" s="107">
        <f>'CAT 963C LOADER'!B54</f>
        <v>0</v>
      </c>
      <c r="C69" s="107">
        <f>'CAT 963C LOADER'!C54</f>
        <v>0</v>
      </c>
      <c r="D69" s="149">
        <f>'CAT 963C LOADER'!E54</f>
        <v>0</v>
      </c>
      <c r="E69" s="10">
        <f>IFERROR('CAT 963C LOADER'!H54/'CAT 963C LOADER'!E54,0)</f>
        <v>0</v>
      </c>
      <c r="F69" s="9">
        <f>'CAT 963C LOADER'!K54</f>
        <v>0</v>
      </c>
      <c r="G69" s="8">
        <f t="shared" ref="G69" si="2">D69*F69</f>
        <v>0</v>
      </c>
    </row>
    <row r="70" spans="2:7" x14ac:dyDescent="0.25">
      <c r="B70" s="107">
        <f>'CAT 963C LOADER'!B55</f>
        <v>0</v>
      </c>
      <c r="C70" s="107">
        <f>'CAT 963C LOADER'!C55</f>
        <v>0</v>
      </c>
      <c r="D70" s="149">
        <f>'CAT 963C LOADER'!E55</f>
        <v>0</v>
      </c>
      <c r="E70" s="10">
        <f>IFERROR('CAT 963C LOADER'!H55/'CAT 963C LOADER'!E55,0)</f>
        <v>0</v>
      </c>
      <c r="F70" s="9">
        <f>'CAT 963C LOADER'!K55</f>
        <v>0</v>
      </c>
      <c r="G70" s="8">
        <f t="shared" ref="G70:G110" si="3">D70*F70</f>
        <v>0</v>
      </c>
    </row>
    <row r="71" spans="2:7" x14ac:dyDescent="0.25">
      <c r="B71" s="107">
        <f>'CAT 963C LOADER'!B56</f>
        <v>0</v>
      </c>
      <c r="C71" s="107">
        <f>'CAT 963C LOADER'!C56</f>
        <v>0</v>
      </c>
      <c r="D71" s="149">
        <f>'CAT 963C LOADER'!E56</f>
        <v>0</v>
      </c>
      <c r="E71" s="10">
        <f>IFERROR('CAT 963C LOADER'!H56/'CAT 963C LOADER'!E56,0)</f>
        <v>0</v>
      </c>
      <c r="F71" s="9">
        <f>'CAT 963C LOADER'!K56</f>
        <v>0</v>
      </c>
      <c r="G71" s="8">
        <f t="shared" si="3"/>
        <v>0</v>
      </c>
    </row>
    <row r="72" spans="2:7" x14ac:dyDescent="0.25">
      <c r="B72" s="107">
        <f>'CAT 963C LOADER'!B57</f>
        <v>0</v>
      </c>
      <c r="C72" s="107">
        <f>'CAT 963C LOADER'!C57</f>
        <v>0</v>
      </c>
      <c r="D72" s="149">
        <f>'CAT 963C LOADER'!E57</f>
        <v>0</v>
      </c>
      <c r="E72" s="10">
        <f>IFERROR('CAT 963C LOADER'!H57/'CAT 963C LOADER'!E57,0)</f>
        <v>0</v>
      </c>
      <c r="F72" s="9">
        <f>'CAT 963C LOADER'!K57</f>
        <v>0</v>
      </c>
      <c r="G72" s="8">
        <f t="shared" si="3"/>
        <v>0</v>
      </c>
    </row>
    <row r="73" spans="2:7" x14ac:dyDescent="0.25">
      <c r="B73" s="107">
        <f>'CAT 963C LOADER'!B58</f>
        <v>0</v>
      </c>
      <c r="C73" s="107">
        <f>'CAT 963C LOADER'!C58</f>
        <v>0</v>
      </c>
      <c r="D73" s="149">
        <f>'CAT 963C LOADER'!E58</f>
        <v>0</v>
      </c>
      <c r="E73" s="10">
        <f>IFERROR('CAT 963C LOADER'!H58/'CAT 963C LOADER'!E58,0)</f>
        <v>0</v>
      </c>
      <c r="F73" s="9">
        <f>'CAT 963C LOADER'!K58</f>
        <v>0</v>
      </c>
      <c r="G73" s="8">
        <f t="shared" si="3"/>
        <v>0</v>
      </c>
    </row>
    <row r="74" spans="2:7" x14ac:dyDescent="0.25">
      <c r="B74" s="107">
        <f>'CAT 963C LOADER'!B59</f>
        <v>0</v>
      </c>
      <c r="C74" s="107">
        <f>'CAT 963C LOADER'!C59</f>
        <v>0</v>
      </c>
      <c r="D74" s="149">
        <f>'CAT 963C LOADER'!E59</f>
        <v>0</v>
      </c>
      <c r="E74" s="10">
        <f>IFERROR('CAT 963C LOADER'!H59/'CAT 963C LOADER'!E59,0)</f>
        <v>0</v>
      </c>
      <c r="F74" s="9">
        <f>'CAT 963C LOADER'!K59</f>
        <v>0</v>
      </c>
      <c r="G74" s="8">
        <f t="shared" si="3"/>
        <v>0</v>
      </c>
    </row>
    <row r="75" spans="2:7" x14ac:dyDescent="0.25">
      <c r="B75" s="107">
        <f>'CAT 963C LOADER'!B60</f>
        <v>0</v>
      </c>
      <c r="C75" s="107">
        <f>'CAT 963C LOADER'!C60</f>
        <v>0</v>
      </c>
      <c r="D75" s="149">
        <f>'CAT 963C LOADER'!E60</f>
        <v>0</v>
      </c>
      <c r="E75" s="10">
        <f>IFERROR('CAT 963C LOADER'!H60/'CAT 963C LOADER'!E60,0)</f>
        <v>0</v>
      </c>
      <c r="F75" s="9">
        <f>'CAT 963C LOADER'!K60</f>
        <v>0</v>
      </c>
      <c r="G75" s="8">
        <f t="shared" si="3"/>
        <v>0</v>
      </c>
    </row>
    <row r="76" spans="2:7" x14ac:dyDescent="0.25">
      <c r="B76" s="107">
        <f>'CAT 963C LOADER'!B61</f>
        <v>0</v>
      </c>
      <c r="C76" s="107">
        <f>'CAT 963C LOADER'!C61</f>
        <v>0</v>
      </c>
      <c r="D76" s="149">
        <f>'CAT 963C LOADER'!E61</f>
        <v>0</v>
      </c>
      <c r="E76" s="10">
        <f>IFERROR('CAT 963C LOADER'!H61/'CAT 963C LOADER'!E61,0)</f>
        <v>0</v>
      </c>
      <c r="F76" s="9">
        <f>'CAT 963C LOADER'!K61</f>
        <v>0</v>
      </c>
      <c r="G76" s="8">
        <f t="shared" si="3"/>
        <v>0</v>
      </c>
    </row>
    <row r="77" spans="2:7" x14ac:dyDescent="0.25">
      <c r="B77" s="107">
        <f>'CAT 963C LOADER'!B62</f>
        <v>0</v>
      </c>
      <c r="C77" s="107">
        <f>'CAT 963C LOADER'!C62</f>
        <v>0</v>
      </c>
      <c r="D77" s="149">
        <f>'CAT 963C LOADER'!E62</f>
        <v>0</v>
      </c>
      <c r="E77" s="10">
        <f>IFERROR('CAT 963C LOADER'!H62/'CAT 963C LOADER'!E62,0)</f>
        <v>0</v>
      </c>
      <c r="F77" s="9">
        <f>'CAT 963C LOADER'!K62</f>
        <v>0</v>
      </c>
      <c r="G77" s="8">
        <f t="shared" si="3"/>
        <v>0</v>
      </c>
    </row>
    <row r="78" spans="2:7" x14ac:dyDescent="0.25">
      <c r="B78" s="107">
        <f>'CAT 963C LOADER'!B63</f>
        <v>0</v>
      </c>
      <c r="C78" s="107">
        <f>'CAT 963C LOADER'!C63</f>
        <v>0</v>
      </c>
      <c r="D78" s="149">
        <f>'CAT 963C LOADER'!E63</f>
        <v>0</v>
      </c>
      <c r="E78" s="10">
        <f>IFERROR('CAT 963C LOADER'!H63/'CAT 963C LOADER'!E63,0)</f>
        <v>0</v>
      </c>
      <c r="F78" s="9">
        <f>'CAT 963C LOADER'!K63</f>
        <v>0</v>
      </c>
      <c r="G78" s="8">
        <f t="shared" si="3"/>
        <v>0</v>
      </c>
    </row>
    <row r="79" spans="2:7" x14ac:dyDescent="0.25">
      <c r="B79" s="107">
        <f>'CAT 963C LOADER'!B64</f>
        <v>0</v>
      </c>
      <c r="C79" s="107">
        <f>'CAT 963C LOADER'!C64</f>
        <v>0</v>
      </c>
      <c r="D79" s="149">
        <f>'CAT 963C LOADER'!E64</f>
        <v>0</v>
      </c>
      <c r="E79" s="10">
        <f>IFERROR('CAT 963C LOADER'!H64/'CAT 963C LOADER'!E64,0)</f>
        <v>0</v>
      </c>
      <c r="F79" s="9">
        <f>'CAT 963C LOADER'!K64</f>
        <v>0</v>
      </c>
      <c r="G79" s="8">
        <f t="shared" si="3"/>
        <v>0</v>
      </c>
    </row>
    <row r="80" spans="2:7" x14ac:dyDescent="0.25">
      <c r="B80" s="107">
        <f>'CAT 963C LOADER'!B65</f>
        <v>0</v>
      </c>
      <c r="C80" s="107">
        <f>'CAT 963C LOADER'!C65</f>
        <v>0</v>
      </c>
      <c r="D80" s="149">
        <f>'CAT 963C LOADER'!E65</f>
        <v>0</v>
      </c>
      <c r="E80" s="10">
        <f>IFERROR('CAT 963C LOADER'!H65/'CAT 963C LOADER'!E65,0)</f>
        <v>0</v>
      </c>
      <c r="F80" s="9">
        <f>'CAT 963C LOADER'!K65</f>
        <v>0</v>
      </c>
      <c r="G80" s="8">
        <f t="shared" si="3"/>
        <v>0</v>
      </c>
    </row>
    <row r="81" spans="2:7" x14ac:dyDescent="0.25">
      <c r="B81" s="107">
        <f>'CAT 963C LOADER'!B66</f>
        <v>0</v>
      </c>
      <c r="C81" s="107">
        <f>'CAT 963C LOADER'!C66</f>
        <v>0</v>
      </c>
      <c r="D81" s="149">
        <f>'CAT 963C LOADER'!E66</f>
        <v>0</v>
      </c>
      <c r="E81" s="10">
        <f>IFERROR('CAT 963C LOADER'!H66/'CAT 963C LOADER'!E66,0)</f>
        <v>0</v>
      </c>
      <c r="F81" s="9">
        <f>'CAT 963C LOADER'!K66</f>
        <v>0</v>
      </c>
      <c r="G81" s="8">
        <f t="shared" si="3"/>
        <v>0</v>
      </c>
    </row>
    <row r="82" spans="2:7" x14ac:dyDescent="0.25">
      <c r="B82" s="107">
        <f>'CAT 963C LOADER'!B67</f>
        <v>0</v>
      </c>
      <c r="C82" s="107">
        <f>'CAT 963C LOADER'!C67</f>
        <v>0</v>
      </c>
      <c r="D82" s="149">
        <f>'CAT 963C LOADER'!E67</f>
        <v>0</v>
      </c>
      <c r="E82" s="10">
        <f>IFERROR('CAT 963C LOADER'!H67/'CAT 963C LOADER'!E67,0)</f>
        <v>0</v>
      </c>
      <c r="F82" s="9">
        <f>'CAT 963C LOADER'!K67</f>
        <v>0</v>
      </c>
      <c r="G82" s="8">
        <f t="shared" si="3"/>
        <v>0</v>
      </c>
    </row>
    <row r="83" spans="2:7" x14ac:dyDescent="0.25">
      <c r="B83" s="107">
        <f>'CAT 963C LOADER'!B68</f>
        <v>0</v>
      </c>
      <c r="C83" s="107">
        <f>'CAT 963C LOADER'!C68</f>
        <v>0</v>
      </c>
      <c r="D83" s="149">
        <f>'CAT 963C LOADER'!E68</f>
        <v>0</v>
      </c>
      <c r="E83" s="10">
        <f>IFERROR('CAT 963C LOADER'!H68/'CAT 963C LOADER'!E68,0)</f>
        <v>0</v>
      </c>
      <c r="F83" s="9">
        <f>'CAT 963C LOADER'!K68</f>
        <v>0</v>
      </c>
      <c r="G83" s="8">
        <f t="shared" si="3"/>
        <v>0</v>
      </c>
    </row>
    <row r="84" spans="2:7" x14ac:dyDescent="0.25">
      <c r="B84" s="107">
        <f>'CAT 963C LOADER'!B69</f>
        <v>0</v>
      </c>
      <c r="C84" s="107">
        <f>'CAT 963C LOADER'!C69</f>
        <v>0</v>
      </c>
      <c r="D84" s="149">
        <f>'CAT 963C LOADER'!E69</f>
        <v>0</v>
      </c>
      <c r="E84" s="10">
        <f>IFERROR('CAT 963C LOADER'!H69/'CAT 963C LOADER'!E69,0)</f>
        <v>0</v>
      </c>
      <c r="F84" s="9">
        <f>'CAT 963C LOADER'!K69</f>
        <v>0</v>
      </c>
      <c r="G84" s="8">
        <f t="shared" si="3"/>
        <v>0</v>
      </c>
    </row>
    <row r="85" spans="2:7" x14ac:dyDescent="0.25">
      <c r="B85" s="107">
        <f>'CAT 963C LOADER'!B70</f>
        <v>0</v>
      </c>
      <c r="C85" s="107">
        <f>'CAT 963C LOADER'!C70</f>
        <v>0</v>
      </c>
      <c r="D85" s="149">
        <f>'CAT 963C LOADER'!E70</f>
        <v>0</v>
      </c>
      <c r="E85" s="10">
        <f>IFERROR('CAT 963C LOADER'!H70/'CAT 963C LOADER'!E70,0)</f>
        <v>0</v>
      </c>
      <c r="F85" s="9">
        <f>'CAT 963C LOADER'!K70</f>
        <v>0</v>
      </c>
      <c r="G85" s="8">
        <f t="shared" si="3"/>
        <v>0</v>
      </c>
    </row>
    <row r="86" spans="2:7" x14ac:dyDescent="0.25">
      <c r="B86" s="107">
        <f>'CAT 963C LOADER'!B71</f>
        <v>0</v>
      </c>
      <c r="C86" s="107">
        <f>'CAT 963C LOADER'!C71</f>
        <v>0</v>
      </c>
      <c r="D86" s="149">
        <f>'CAT 963C LOADER'!E71</f>
        <v>0</v>
      </c>
      <c r="E86" s="10">
        <f>IFERROR('CAT 963C LOADER'!H71/'CAT 963C LOADER'!E71,0)</f>
        <v>0</v>
      </c>
      <c r="F86" s="9">
        <f>'CAT 963C LOADER'!K71</f>
        <v>0</v>
      </c>
      <c r="G86" s="8">
        <f t="shared" si="3"/>
        <v>0</v>
      </c>
    </row>
    <row r="87" spans="2:7" x14ac:dyDescent="0.25">
      <c r="B87" s="107">
        <f>'CAT 963C LOADER'!B72</f>
        <v>0</v>
      </c>
      <c r="C87" s="107">
        <f>'CAT 963C LOADER'!C72</f>
        <v>0</v>
      </c>
      <c r="D87" s="149">
        <f>'CAT 963C LOADER'!E72</f>
        <v>0</v>
      </c>
      <c r="E87" s="10">
        <f>IFERROR('CAT 963C LOADER'!H72/'CAT 963C LOADER'!E72,0)</f>
        <v>0</v>
      </c>
      <c r="F87" s="9">
        <f>'CAT 963C LOADER'!K72</f>
        <v>0</v>
      </c>
      <c r="G87" s="8">
        <f t="shared" si="3"/>
        <v>0</v>
      </c>
    </row>
    <row r="88" spans="2:7" x14ac:dyDescent="0.25">
      <c r="B88" s="107">
        <f>'CAT 963C LOADER'!B73</f>
        <v>0</v>
      </c>
      <c r="C88" s="107">
        <f>'CAT 963C LOADER'!C73</f>
        <v>0</v>
      </c>
      <c r="D88" s="149">
        <f>'CAT 963C LOADER'!E73</f>
        <v>0</v>
      </c>
      <c r="E88" s="10">
        <f>IFERROR('CAT 963C LOADER'!H73/'CAT 963C LOADER'!E73,0)</f>
        <v>0</v>
      </c>
      <c r="F88" s="9">
        <f>'CAT 963C LOADER'!K73</f>
        <v>0</v>
      </c>
      <c r="G88" s="8">
        <f t="shared" si="3"/>
        <v>0</v>
      </c>
    </row>
    <row r="89" spans="2:7" x14ac:dyDescent="0.25">
      <c r="B89" s="107">
        <f>'CAT 963C LOADER'!B74</f>
        <v>0</v>
      </c>
      <c r="C89" s="107">
        <f>'CAT 963C LOADER'!C74</f>
        <v>0</v>
      </c>
      <c r="D89" s="149">
        <f>'CAT 963C LOADER'!E74</f>
        <v>0</v>
      </c>
      <c r="E89" s="10">
        <f>IFERROR('CAT 963C LOADER'!H74/'CAT 963C LOADER'!E74,0)</f>
        <v>0</v>
      </c>
      <c r="F89" s="9">
        <f>'CAT 963C LOADER'!K74</f>
        <v>0</v>
      </c>
      <c r="G89" s="8">
        <f t="shared" si="3"/>
        <v>0</v>
      </c>
    </row>
    <row r="90" spans="2:7" x14ac:dyDescent="0.25">
      <c r="B90" s="107">
        <f>'CAT 963C LOADER'!B75</f>
        <v>0</v>
      </c>
      <c r="C90" s="107">
        <f>'CAT 963C LOADER'!C75</f>
        <v>0</v>
      </c>
      <c r="D90" s="149">
        <f>'CAT 963C LOADER'!E75</f>
        <v>0</v>
      </c>
      <c r="E90" s="10">
        <f>IFERROR('CAT 963C LOADER'!H75/'CAT 963C LOADER'!E75,0)</f>
        <v>0</v>
      </c>
      <c r="F90" s="9">
        <f>'CAT 963C LOADER'!K75</f>
        <v>0</v>
      </c>
      <c r="G90" s="8">
        <f t="shared" si="3"/>
        <v>0</v>
      </c>
    </row>
    <row r="91" spans="2:7" x14ac:dyDescent="0.25">
      <c r="B91" s="107">
        <f>'CAT 963C LOADER'!B76</f>
        <v>0</v>
      </c>
      <c r="C91" s="107">
        <f>'CAT 963C LOADER'!C76</f>
        <v>0</v>
      </c>
      <c r="D91" s="149">
        <f>'CAT 963C LOADER'!E76</f>
        <v>0</v>
      </c>
      <c r="E91" s="10">
        <f>IFERROR('CAT 963C LOADER'!H76/'CAT 963C LOADER'!E76,0)</f>
        <v>0</v>
      </c>
      <c r="F91" s="9">
        <f>'CAT 963C LOADER'!K76</f>
        <v>0</v>
      </c>
      <c r="G91" s="8">
        <f t="shared" si="3"/>
        <v>0</v>
      </c>
    </row>
    <row r="92" spans="2:7" x14ac:dyDescent="0.25">
      <c r="B92" s="107">
        <f>'CAT 963C LOADER'!B77</f>
        <v>0</v>
      </c>
      <c r="C92" s="107">
        <f>'CAT 963C LOADER'!C77</f>
        <v>0</v>
      </c>
      <c r="D92" s="149">
        <f>'CAT 963C LOADER'!E77</f>
        <v>0</v>
      </c>
      <c r="E92" s="10">
        <f>IFERROR('CAT 963C LOADER'!H77/'CAT 963C LOADER'!E77,0)</f>
        <v>0</v>
      </c>
      <c r="F92" s="9">
        <f>'CAT 963C LOADER'!K77</f>
        <v>0</v>
      </c>
      <c r="G92" s="8">
        <f t="shared" si="3"/>
        <v>0</v>
      </c>
    </row>
    <row r="93" spans="2:7" x14ac:dyDescent="0.25">
      <c r="B93" s="107">
        <f>'CAT 963C LOADER'!B78</f>
        <v>0</v>
      </c>
      <c r="C93" s="107">
        <f>'CAT 963C LOADER'!C78</f>
        <v>0</v>
      </c>
      <c r="D93" s="149">
        <f>'CAT 963C LOADER'!E78</f>
        <v>0</v>
      </c>
      <c r="E93" s="10">
        <f>IFERROR('CAT 963C LOADER'!H78/'CAT 963C LOADER'!E78,0)</f>
        <v>0</v>
      </c>
      <c r="F93" s="9">
        <f>'CAT 963C LOADER'!K78</f>
        <v>0</v>
      </c>
      <c r="G93" s="8">
        <f t="shared" si="3"/>
        <v>0</v>
      </c>
    </row>
    <row r="94" spans="2:7" x14ac:dyDescent="0.25">
      <c r="B94" s="107">
        <f>'CAT 963C LOADER'!B79</f>
        <v>0</v>
      </c>
      <c r="C94" s="107">
        <f>'CAT 963C LOADER'!C79</f>
        <v>0</v>
      </c>
      <c r="D94" s="149">
        <f>'CAT 963C LOADER'!E79</f>
        <v>0</v>
      </c>
      <c r="E94" s="10">
        <f>IFERROR('CAT 963C LOADER'!H79/'CAT 963C LOADER'!E79,0)</f>
        <v>0</v>
      </c>
      <c r="F94" s="9">
        <f>'CAT 963C LOADER'!K79</f>
        <v>0</v>
      </c>
      <c r="G94" s="8">
        <f t="shared" si="3"/>
        <v>0</v>
      </c>
    </row>
    <row r="95" spans="2:7" x14ac:dyDescent="0.25">
      <c r="B95" s="107">
        <f>'CAT 963C LOADER'!B80</f>
        <v>0</v>
      </c>
      <c r="C95" s="107">
        <f>'CAT 963C LOADER'!C80</f>
        <v>0</v>
      </c>
      <c r="D95" s="149">
        <f>'CAT 963C LOADER'!E80</f>
        <v>0</v>
      </c>
      <c r="E95" s="10">
        <f>IFERROR('CAT 963C LOADER'!H80/'CAT 963C LOADER'!E80,0)</f>
        <v>0</v>
      </c>
      <c r="F95" s="9">
        <f>'CAT 963C LOADER'!K80</f>
        <v>0</v>
      </c>
      <c r="G95" s="8">
        <f t="shared" si="3"/>
        <v>0</v>
      </c>
    </row>
    <row r="96" spans="2:7" x14ac:dyDescent="0.25">
      <c r="B96" s="107">
        <f>'CAT 963C LOADER'!B81</f>
        <v>0</v>
      </c>
      <c r="C96" s="107">
        <f>'CAT 963C LOADER'!C81</f>
        <v>0</v>
      </c>
      <c r="D96" s="149">
        <f>'CAT 963C LOADER'!E81</f>
        <v>0</v>
      </c>
      <c r="E96" s="10">
        <f>IFERROR('CAT 963C LOADER'!H81/'CAT 963C LOADER'!E81,0)</f>
        <v>0</v>
      </c>
      <c r="F96" s="9">
        <f>'CAT 963C LOADER'!K81</f>
        <v>0</v>
      </c>
      <c r="G96" s="8">
        <f t="shared" si="3"/>
        <v>0</v>
      </c>
    </row>
    <row r="97" spans="2:7" x14ac:dyDescent="0.25">
      <c r="B97" s="107">
        <f>'CAT 963C LOADER'!B82</f>
        <v>0</v>
      </c>
      <c r="C97" s="107">
        <f>'CAT 963C LOADER'!C82</f>
        <v>0</v>
      </c>
      <c r="D97" s="149">
        <f>'CAT 963C LOADER'!E82</f>
        <v>0</v>
      </c>
      <c r="E97" s="10">
        <f>IFERROR('CAT 963C LOADER'!H82/'CAT 963C LOADER'!E82,0)</f>
        <v>0</v>
      </c>
      <c r="F97" s="9">
        <f>'CAT 963C LOADER'!K82</f>
        <v>0</v>
      </c>
      <c r="G97" s="8">
        <f t="shared" si="3"/>
        <v>0</v>
      </c>
    </row>
    <row r="98" spans="2:7" x14ac:dyDescent="0.25">
      <c r="B98" s="107">
        <f>'CAT 963C LOADER'!B83</f>
        <v>0</v>
      </c>
      <c r="C98" s="107">
        <f>'CAT 963C LOADER'!C83</f>
        <v>0</v>
      </c>
      <c r="D98" s="149">
        <f>'CAT 963C LOADER'!E83</f>
        <v>0</v>
      </c>
      <c r="E98" s="10">
        <f>IFERROR('CAT 963C LOADER'!H83/'CAT 963C LOADER'!E83,0)</f>
        <v>0</v>
      </c>
      <c r="F98" s="9">
        <f>'CAT 963C LOADER'!K83</f>
        <v>0</v>
      </c>
      <c r="G98" s="8">
        <f t="shared" si="3"/>
        <v>0</v>
      </c>
    </row>
    <row r="99" spans="2:7" x14ac:dyDescent="0.25">
      <c r="B99" s="107">
        <f>'CAT 963C LOADER'!B84</f>
        <v>0</v>
      </c>
      <c r="C99" s="107">
        <f>'CAT 963C LOADER'!C84</f>
        <v>0</v>
      </c>
      <c r="D99" s="149">
        <f>'CAT 963C LOADER'!E84</f>
        <v>0</v>
      </c>
      <c r="E99" s="10">
        <f>IFERROR('CAT 963C LOADER'!H84/'CAT 963C LOADER'!E84,0)</f>
        <v>0</v>
      </c>
      <c r="F99" s="9">
        <f>'CAT 963C LOADER'!K84</f>
        <v>0</v>
      </c>
      <c r="G99" s="8">
        <f t="shared" si="3"/>
        <v>0</v>
      </c>
    </row>
    <row r="100" spans="2:7" x14ac:dyDescent="0.25">
      <c r="B100" s="107">
        <f>'CAT 963C LOADER'!B85</f>
        <v>0</v>
      </c>
      <c r="C100" s="107">
        <f>'CAT 963C LOADER'!C85</f>
        <v>0</v>
      </c>
      <c r="D100" s="149">
        <f>'CAT 963C LOADER'!E85</f>
        <v>0</v>
      </c>
      <c r="E100" s="10">
        <f>IFERROR('CAT 963C LOADER'!H85/'CAT 963C LOADER'!E85,0)</f>
        <v>0</v>
      </c>
      <c r="F100" s="9">
        <f>'CAT 963C LOADER'!K85</f>
        <v>0</v>
      </c>
      <c r="G100" s="8">
        <f t="shared" si="3"/>
        <v>0</v>
      </c>
    </row>
    <row r="101" spans="2:7" x14ac:dyDescent="0.25">
      <c r="B101" s="107">
        <f>'CAT 963C LOADER'!B86</f>
        <v>0</v>
      </c>
      <c r="C101" s="107">
        <f>'CAT 963C LOADER'!C86</f>
        <v>0</v>
      </c>
      <c r="D101" s="149">
        <f>'CAT 963C LOADER'!E86</f>
        <v>0</v>
      </c>
      <c r="E101" s="10">
        <f>IFERROR('CAT 963C LOADER'!H86/'CAT 963C LOADER'!E86,0)</f>
        <v>0</v>
      </c>
      <c r="F101" s="9">
        <f>'CAT 963C LOADER'!K86</f>
        <v>0</v>
      </c>
      <c r="G101" s="8">
        <f t="shared" si="3"/>
        <v>0</v>
      </c>
    </row>
    <row r="102" spans="2:7" x14ac:dyDescent="0.25">
      <c r="B102" s="107">
        <f>'CAT 963C LOADER'!B87</f>
        <v>0</v>
      </c>
      <c r="C102" s="107">
        <f>'CAT 963C LOADER'!C87</f>
        <v>0</v>
      </c>
      <c r="D102" s="149">
        <f>'CAT 963C LOADER'!E87</f>
        <v>0</v>
      </c>
      <c r="E102" s="10">
        <f>IFERROR('CAT 963C LOADER'!H87/'CAT 963C LOADER'!E87,0)</f>
        <v>0</v>
      </c>
      <c r="F102" s="9">
        <f>'CAT 963C LOADER'!K87</f>
        <v>0</v>
      </c>
      <c r="G102" s="8">
        <f t="shared" si="3"/>
        <v>0</v>
      </c>
    </row>
    <row r="103" spans="2:7" x14ac:dyDescent="0.25">
      <c r="B103" s="107">
        <f>'CAT 963C LOADER'!B88</f>
        <v>0</v>
      </c>
      <c r="C103" s="107">
        <f>'CAT 963C LOADER'!C88</f>
        <v>0</v>
      </c>
      <c r="D103" s="149">
        <f>'CAT 963C LOADER'!E88</f>
        <v>0</v>
      </c>
      <c r="E103" s="10">
        <f>IFERROR('CAT 963C LOADER'!H88/'CAT 963C LOADER'!E88,0)</f>
        <v>0</v>
      </c>
      <c r="F103" s="9">
        <f>'CAT 963C LOADER'!K88</f>
        <v>0</v>
      </c>
      <c r="G103" s="8">
        <f t="shared" si="3"/>
        <v>0</v>
      </c>
    </row>
    <row r="104" spans="2:7" x14ac:dyDescent="0.25">
      <c r="B104" s="107">
        <f>'CAT 963C LOADER'!B89</f>
        <v>0</v>
      </c>
      <c r="C104" s="107">
        <f>'CAT 963C LOADER'!C89</f>
        <v>0</v>
      </c>
      <c r="D104" s="149">
        <f>'CAT 963C LOADER'!E89</f>
        <v>0</v>
      </c>
      <c r="E104" s="10">
        <f>IFERROR('CAT 963C LOADER'!H89/'CAT 963C LOADER'!E89,0)</f>
        <v>0</v>
      </c>
      <c r="F104" s="9">
        <f>'CAT 963C LOADER'!K89</f>
        <v>0</v>
      </c>
      <c r="G104" s="8">
        <f t="shared" si="3"/>
        <v>0</v>
      </c>
    </row>
    <row r="105" spans="2:7" x14ac:dyDescent="0.25">
      <c r="B105" s="107">
        <f>'CAT 963C LOADER'!B90</f>
        <v>0</v>
      </c>
      <c r="C105" s="107">
        <f>'CAT 963C LOADER'!C90</f>
        <v>0</v>
      </c>
      <c r="D105" s="149">
        <f>'CAT 963C LOADER'!E90</f>
        <v>0</v>
      </c>
      <c r="E105" s="10">
        <f>IFERROR('CAT 963C LOADER'!H90/'CAT 963C LOADER'!E90,0)</f>
        <v>0</v>
      </c>
      <c r="F105" s="9">
        <f>'CAT 963C LOADER'!K90</f>
        <v>0</v>
      </c>
      <c r="G105" s="8">
        <f t="shared" si="3"/>
        <v>0</v>
      </c>
    </row>
    <row r="106" spans="2:7" x14ac:dyDescent="0.25">
      <c r="B106" s="107">
        <f>'CAT 963C LOADER'!B91</f>
        <v>0</v>
      </c>
      <c r="C106" s="107">
        <f>'CAT 963C LOADER'!C91</f>
        <v>0</v>
      </c>
      <c r="D106" s="149">
        <f>'CAT 963C LOADER'!E91</f>
        <v>0</v>
      </c>
      <c r="E106" s="10">
        <f>IFERROR('CAT 963C LOADER'!H91/'CAT 963C LOADER'!E91,0)</f>
        <v>0</v>
      </c>
      <c r="F106" s="9">
        <f>'CAT 963C LOADER'!K91</f>
        <v>0</v>
      </c>
      <c r="G106" s="8">
        <f t="shared" si="3"/>
        <v>0</v>
      </c>
    </row>
    <row r="107" spans="2:7" x14ac:dyDescent="0.25">
      <c r="B107" s="107">
        <f>'CAT 963C LOADER'!B92</f>
        <v>0</v>
      </c>
      <c r="C107" s="107">
        <f>'CAT 963C LOADER'!C92</f>
        <v>0</v>
      </c>
      <c r="D107" s="149">
        <f>'CAT 963C LOADER'!E92</f>
        <v>0</v>
      </c>
      <c r="E107" s="10">
        <f>IFERROR('CAT 963C LOADER'!H92/'CAT 963C LOADER'!E92,0)</f>
        <v>0</v>
      </c>
      <c r="F107" s="9">
        <f>'CAT 963C LOADER'!K92</f>
        <v>0</v>
      </c>
      <c r="G107" s="8">
        <f t="shared" si="3"/>
        <v>0</v>
      </c>
    </row>
    <row r="108" spans="2:7" x14ac:dyDescent="0.25">
      <c r="B108" s="107">
        <f>'CAT 963C LOADER'!B93</f>
        <v>0</v>
      </c>
      <c r="C108" s="107">
        <f>'CAT 963C LOADER'!C93</f>
        <v>0</v>
      </c>
      <c r="D108" s="149">
        <f>'CAT 963C LOADER'!E93</f>
        <v>0</v>
      </c>
      <c r="E108" s="10">
        <f>IFERROR('CAT 963C LOADER'!H93/'CAT 963C LOADER'!E93,0)</f>
        <v>0</v>
      </c>
      <c r="F108" s="9">
        <f>'CAT 963C LOADER'!K93</f>
        <v>0</v>
      </c>
      <c r="G108" s="8">
        <f t="shared" si="3"/>
        <v>0</v>
      </c>
    </row>
    <row r="109" spans="2:7" x14ac:dyDescent="0.25">
      <c r="B109" s="107">
        <f>'CAT 963C LOADER'!B94</f>
        <v>0</v>
      </c>
      <c r="C109" s="107">
        <f>'CAT 963C LOADER'!C94</f>
        <v>0</v>
      </c>
      <c r="D109" s="149">
        <f>'CAT 963C LOADER'!E94</f>
        <v>0</v>
      </c>
      <c r="E109" s="10">
        <f>IFERROR('CAT 963C LOADER'!H94/'CAT 963C LOADER'!E94,0)</f>
        <v>0</v>
      </c>
      <c r="F109" s="9">
        <f>'CAT 963C LOADER'!K94</f>
        <v>0</v>
      </c>
      <c r="G109" s="8">
        <f t="shared" si="3"/>
        <v>0</v>
      </c>
    </row>
    <row r="110" spans="2:7" x14ac:dyDescent="0.25">
      <c r="B110" s="107">
        <f>'CAT 963C LOADER'!B95</f>
        <v>0</v>
      </c>
      <c r="C110" s="107">
        <f>'CAT 963C LOADER'!C95</f>
        <v>0</v>
      </c>
      <c r="D110" s="149">
        <f>'CAT 963C LOADER'!E95</f>
        <v>0</v>
      </c>
      <c r="E110" s="10">
        <f>IFERROR('CAT 963C LOADER'!H95/'CAT 963C LOADER'!E95,0)</f>
        <v>0</v>
      </c>
      <c r="F110" s="9">
        <f>'CAT 963C LOADER'!K95</f>
        <v>0</v>
      </c>
      <c r="G110" s="8">
        <f t="shared" si="3"/>
        <v>0</v>
      </c>
    </row>
    <row r="111" spans="2:7" x14ac:dyDescent="0.25">
      <c r="B111" s="107">
        <f>'CAT 963C LOADER'!B96</f>
        <v>0</v>
      </c>
      <c r="C111" s="107">
        <f>'CAT 963C LOADER'!C96</f>
        <v>0</v>
      </c>
      <c r="D111" s="149">
        <f>'CAT 963C LOADER'!E96</f>
        <v>0</v>
      </c>
      <c r="E111" s="10">
        <f>IFERROR('CAT 963C LOADER'!H96/'CAT 963C LOADER'!E96,0)</f>
        <v>0</v>
      </c>
      <c r="F111" s="9">
        <f>'CAT 963C LOADER'!K96</f>
        <v>0</v>
      </c>
      <c r="G111" s="8">
        <f t="shared" ref="G111:G113" si="4">D111*F111</f>
        <v>0</v>
      </c>
    </row>
    <row r="112" spans="2:7" x14ac:dyDescent="0.25">
      <c r="B112" s="107">
        <f>'CAT 963C LOADER'!B97</f>
        <v>0</v>
      </c>
      <c r="C112" s="107">
        <f>'CAT 963C LOADER'!C97</f>
        <v>0</v>
      </c>
      <c r="D112" s="149">
        <f>'CAT 963C LOADER'!E97</f>
        <v>0</v>
      </c>
      <c r="E112" s="10">
        <f>IFERROR('CAT 963C LOADER'!H97/'CAT 963C LOADER'!E97,0)</f>
        <v>0</v>
      </c>
      <c r="F112" s="9">
        <f>'CAT 963C LOADER'!K97</f>
        <v>0</v>
      </c>
      <c r="G112" s="8">
        <f t="shared" si="4"/>
        <v>0</v>
      </c>
    </row>
    <row r="113" spans="2:7" ht="15.75" thickBot="1" x14ac:dyDescent="0.3">
      <c r="B113" s="107">
        <f>'CAT 963C LOADER'!B98</f>
        <v>0</v>
      </c>
      <c r="C113" s="107">
        <f>'CAT 963C LOADER'!C98</f>
        <v>0</v>
      </c>
      <c r="D113" s="149">
        <f>'CAT 963C LOADER'!E98</f>
        <v>0</v>
      </c>
      <c r="E113" s="10">
        <f>IFERROR('CAT 963C LOADER'!H98/'CAT 963C LOADER'!E98,0)</f>
        <v>0</v>
      </c>
      <c r="F113" s="9">
        <f>'CAT 963C LOADER'!K98</f>
        <v>0</v>
      </c>
      <c r="G113" s="8">
        <f t="shared" si="4"/>
        <v>0</v>
      </c>
    </row>
    <row r="114" spans="2:7" x14ac:dyDescent="0.25">
      <c r="B114" s="254"/>
      <c r="C114" s="255"/>
      <c r="D114" s="256"/>
      <c r="E114" s="443" t="s">
        <v>275</v>
      </c>
      <c r="F114" s="444"/>
      <c r="G114" s="445"/>
    </row>
    <row r="115" spans="2:7" x14ac:dyDescent="0.25">
      <c r="B115" s="248"/>
      <c r="C115" s="250"/>
      <c r="D115" s="257"/>
      <c r="E115" s="446"/>
      <c r="F115" s="447"/>
      <c r="G115" s="448"/>
    </row>
    <row r="116" spans="2:7" x14ac:dyDescent="0.25">
      <c r="B116" s="248"/>
      <c r="C116" s="250"/>
      <c r="D116" s="257"/>
      <c r="E116" s="446"/>
      <c r="F116" s="447"/>
      <c r="G116" s="448"/>
    </row>
    <row r="117" spans="2:7" x14ac:dyDescent="0.25">
      <c r="B117" s="248"/>
      <c r="C117" s="250"/>
      <c r="D117" s="257"/>
      <c r="E117" s="446"/>
      <c r="F117" s="447"/>
      <c r="G117" s="448"/>
    </row>
    <row r="118" spans="2:7" x14ac:dyDescent="0.25">
      <c r="B118" s="248"/>
      <c r="C118" s="250"/>
      <c r="D118" s="257"/>
      <c r="E118" s="446"/>
      <c r="F118" s="447"/>
      <c r="G118" s="448"/>
    </row>
    <row r="119" spans="2:7" ht="15.75" thickBot="1" x14ac:dyDescent="0.3">
      <c r="B119" s="252"/>
      <c r="C119" s="253"/>
      <c r="D119" s="258"/>
      <c r="E119" s="449"/>
      <c r="F119" s="450"/>
      <c r="G119" s="451"/>
    </row>
    <row r="120" spans="2:7" x14ac:dyDescent="0.25">
      <c r="B120" s="86"/>
      <c r="C120" s="87"/>
      <c r="D120" s="452" t="s">
        <v>276</v>
      </c>
      <c r="E120" s="452"/>
      <c r="F120" s="452"/>
      <c r="G120" s="453"/>
    </row>
    <row r="121" spans="2:7" x14ac:dyDescent="0.25">
      <c r="B121" s="88"/>
      <c r="C121" s="77"/>
      <c r="D121" s="454"/>
      <c r="E121" s="454"/>
      <c r="F121" s="454"/>
      <c r="G121" s="455"/>
    </row>
    <row r="122" spans="2:7" x14ac:dyDescent="0.25">
      <c r="B122" s="88"/>
      <c r="C122" s="77"/>
      <c r="D122" s="454"/>
      <c r="E122" s="454"/>
      <c r="F122" s="454"/>
      <c r="G122" s="455"/>
    </row>
    <row r="123" spans="2:7" x14ac:dyDescent="0.25">
      <c r="B123" s="88"/>
      <c r="C123" s="77"/>
      <c r="D123" s="454"/>
      <c r="E123" s="454"/>
      <c r="F123" s="454"/>
      <c r="G123" s="455"/>
    </row>
    <row r="124" spans="2:7" x14ac:dyDescent="0.25">
      <c r="B124" s="89"/>
      <c r="C124" s="90"/>
      <c r="D124" s="456"/>
      <c r="E124" s="456"/>
      <c r="F124" s="456"/>
      <c r="G124" s="457"/>
    </row>
    <row r="125" spans="2:7" ht="15.75" thickBot="1" x14ac:dyDescent="0.3">
      <c r="B125" s="108"/>
      <c r="C125" s="109"/>
      <c r="D125" s="109"/>
      <c r="E125" s="423"/>
      <c r="F125" s="423"/>
      <c r="G125" s="423"/>
    </row>
    <row r="126" spans="2:7" x14ac:dyDescent="0.25">
      <c r="B126" s="115" t="str">
        <f>IF('CAT 963C LOADER'!C3="",'CAT 963C LOADER'!B4,'CAT 963C LOADER'!B3)</f>
        <v>CUSTOMER:</v>
      </c>
      <c r="C126" s="122">
        <f>IF('CAT 963C LOADER'!C3="",'CAT 963C LOADER'!C4,'CAT 963C LOADER'!C3)</f>
        <v>0</v>
      </c>
      <c r="D126" s="119" t="s">
        <v>33</v>
      </c>
      <c r="E126" s="413">
        <f>'CAT 963C LOADER'!C2</f>
        <v>0</v>
      </c>
      <c r="F126" s="430"/>
      <c r="G126" s="414"/>
    </row>
    <row r="127" spans="2:7" ht="15.75" thickBot="1" x14ac:dyDescent="0.3">
      <c r="B127" s="108"/>
      <c r="C127" s="109"/>
      <c r="D127" s="109"/>
      <c r="E127" s="423" t="str">
        <f>'CAT 963C LOADER'!K17</f>
        <v>CAD $</v>
      </c>
      <c r="F127" s="423"/>
      <c r="G127" s="423"/>
    </row>
    <row r="128" spans="2:7" ht="15.75" thickBot="1" x14ac:dyDescent="0.3">
      <c r="B128" s="111" t="s">
        <v>90</v>
      </c>
      <c r="C128" s="112" t="s">
        <v>91</v>
      </c>
      <c r="D128" s="113" t="s">
        <v>93</v>
      </c>
      <c r="E128" s="113" t="s">
        <v>273</v>
      </c>
      <c r="F128" s="113" t="s">
        <v>274</v>
      </c>
      <c r="G128" s="114" t="s">
        <v>254</v>
      </c>
    </row>
    <row r="129" spans="2:7" x14ac:dyDescent="0.25">
      <c r="B129" s="107">
        <f>'CAT 963C LOADER'!B99</f>
        <v>0</v>
      </c>
      <c r="C129" s="107">
        <f>'CAT 963C LOADER'!C99</f>
        <v>0</v>
      </c>
      <c r="D129" s="149">
        <f>'CAT 963C LOADER'!E99</f>
        <v>0</v>
      </c>
      <c r="E129" s="10">
        <f>IFERROR('CAT 963C LOADER'!H99/'CAT 963C LOADER'!E99,0)</f>
        <v>0</v>
      </c>
      <c r="F129" s="9">
        <f>'CAT 963C LOADER'!K99</f>
        <v>0</v>
      </c>
      <c r="G129" s="8">
        <f t="shared" ref="G129:G135" si="5">D129*F129</f>
        <v>0</v>
      </c>
    </row>
    <row r="130" spans="2:7" x14ac:dyDescent="0.25">
      <c r="B130" s="107">
        <f>'CAT 963C LOADER'!B100</f>
        <v>0</v>
      </c>
      <c r="C130" s="107">
        <f>'CAT 963C LOADER'!C100</f>
        <v>0</v>
      </c>
      <c r="D130" s="149">
        <f>'CAT 963C LOADER'!E100</f>
        <v>0</v>
      </c>
      <c r="E130" s="10">
        <f>IFERROR('CAT 963C LOADER'!H100/'CAT 963C LOADER'!E100,0)</f>
        <v>0</v>
      </c>
      <c r="F130" s="9">
        <f>'CAT 963C LOADER'!K100</f>
        <v>0</v>
      </c>
      <c r="G130" s="8">
        <f t="shared" si="5"/>
        <v>0</v>
      </c>
    </row>
    <row r="131" spans="2:7" x14ac:dyDescent="0.25">
      <c r="B131" s="107">
        <f>'CAT 963C LOADER'!B101</f>
        <v>0</v>
      </c>
      <c r="C131" s="107">
        <f>'CAT 963C LOADER'!C101</f>
        <v>0</v>
      </c>
      <c r="D131" s="149">
        <f>'CAT 963C LOADER'!E101</f>
        <v>0</v>
      </c>
      <c r="E131" s="10">
        <f>IFERROR('CAT 963C LOADER'!H101/'CAT 963C LOADER'!E101,0)</f>
        <v>0</v>
      </c>
      <c r="F131" s="9">
        <f>'CAT 963C LOADER'!K101</f>
        <v>0</v>
      </c>
      <c r="G131" s="8">
        <f t="shared" si="5"/>
        <v>0</v>
      </c>
    </row>
    <row r="132" spans="2:7" x14ac:dyDescent="0.25">
      <c r="B132" s="107">
        <f>'CAT 963C LOADER'!B102</f>
        <v>0</v>
      </c>
      <c r="C132" s="107">
        <f>'CAT 963C LOADER'!C102</f>
        <v>0</v>
      </c>
      <c r="D132" s="149">
        <f>'CAT 963C LOADER'!E102</f>
        <v>0</v>
      </c>
      <c r="E132" s="10">
        <f>IFERROR('CAT 963C LOADER'!H102/'CAT 963C LOADER'!E102,0)</f>
        <v>0</v>
      </c>
      <c r="F132" s="9">
        <f>'CAT 963C LOADER'!K102</f>
        <v>0</v>
      </c>
      <c r="G132" s="8">
        <f t="shared" si="5"/>
        <v>0</v>
      </c>
    </row>
    <row r="133" spans="2:7" x14ac:dyDescent="0.25">
      <c r="B133" s="107">
        <f>'CAT 963C LOADER'!B103</f>
        <v>0</v>
      </c>
      <c r="C133" s="107">
        <f>'CAT 963C LOADER'!C103</f>
        <v>0</v>
      </c>
      <c r="D133" s="149">
        <f>'CAT 963C LOADER'!E103</f>
        <v>0</v>
      </c>
      <c r="E133" s="10">
        <f>IFERROR('CAT 963C LOADER'!H103/'CAT 963C LOADER'!E103,0)</f>
        <v>0</v>
      </c>
      <c r="F133" s="9">
        <f>'CAT 963C LOADER'!K103</f>
        <v>0</v>
      </c>
      <c r="G133" s="8">
        <f t="shared" si="5"/>
        <v>0</v>
      </c>
    </row>
    <row r="134" spans="2:7" x14ac:dyDescent="0.25">
      <c r="B134" s="107">
        <f>'CAT 963C LOADER'!B104</f>
        <v>0</v>
      </c>
      <c r="C134" s="107">
        <f>'CAT 963C LOADER'!C104</f>
        <v>0</v>
      </c>
      <c r="D134" s="149">
        <f>'CAT 963C LOADER'!E104</f>
        <v>0</v>
      </c>
      <c r="E134" s="10">
        <f>IFERROR('CAT 963C LOADER'!H104/'CAT 963C LOADER'!E104,0)</f>
        <v>0</v>
      </c>
      <c r="F134" s="9">
        <f>'CAT 963C LOADER'!K104</f>
        <v>0</v>
      </c>
      <c r="G134" s="8">
        <f t="shared" si="5"/>
        <v>0</v>
      </c>
    </row>
    <row r="135" spans="2:7" x14ac:dyDescent="0.25">
      <c r="B135" s="107">
        <f>'CAT 963C LOADER'!B105</f>
        <v>0</v>
      </c>
      <c r="C135" s="107">
        <f>'CAT 963C LOADER'!C105</f>
        <v>0</v>
      </c>
      <c r="D135" s="149">
        <f>'CAT 963C LOADER'!E105</f>
        <v>0</v>
      </c>
      <c r="E135" s="10">
        <f>IFERROR('CAT 963C LOADER'!H105/'CAT 963C LOADER'!E105,0)</f>
        <v>0</v>
      </c>
      <c r="F135" s="9">
        <f>'CAT 963C LOADER'!K105</f>
        <v>0</v>
      </c>
      <c r="G135" s="8">
        <f t="shared" si="5"/>
        <v>0</v>
      </c>
    </row>
    <row r="136" spans="2:7" x14ac:dyDescent="0.25">
      <c r="B136" s="107">
        <f>'CAT 963C LOADER'!B106</f>
        <v>0</v>
      </c>
      <c r="C136" s="107">
        <f>'CAT 963C LOADER'!C106</f>
        <v>0</v>
      </c>
      <c r="D136" s="149">
        <f>'CAT 963C LOADER'!E106</f>
        <v>0</v>
      </c>
      <c r="E136" s="10">
        <f>IFERROR('CAT 963C LOADER'!H106/'CAT 963C LOADER'!E106,0)</f>
        <v>0</v>
      </c>
      <c r="F136" s="9">
        <f>'CAT 963C LOADER'!K106</f>
        <v>0</v>
      </c>
      <c r="G136" s="8">
        <f t="shared" ref="G136:G167" si="6">D136*F136</f>
        <v>0</v>
      </c>
    </row>
    <row r="137" spans="2:7" x14ac:dyDescent="0.25">
      <c r="B137" s="107">
        <f>'CAT 963C LOADER'!B107</f>
        <v>0</v>
      </c>
      <c r="C137" s="107">
        <f>'CAT 963C LOADER'!C107</f>
        <v>0</v>
      </c>
      <c r="D137" s="149">
        <f>'CAT 963C LOADER'!E107</f>
        <v>0</v>
      </c>
      <c r="E137" s="10">
        <f>IFERROR('CAT 963C LOADER'!H107/'CAT 963C LOADER'!E107,0)</f>
        <v>0</v>
      </c>
      <c r="F137" s="9">
        <f>'CAT 963C LOADER'!K107</f>
        <v>0</v>
      </c>
      <c r="G137" s="8">
        <f t="shared" si="6"/>
        <v>0</v>
      </c>
    </row>
    <row r="138" spans="2:7" x14ac:dyDescent="0.25">
      <c r="B138" s="107">
        <f>'CAT 963C LOADER'!B108</f>
        <v>0</v>
      </c>
      <c r="C138" s="107">
        <f>'CAT 963C LOADER'!C108</f>
        <v>0</v>
      </c>
      <c r="D138" s="149">
        <f>'CAT 963C LOADER'!E108</f>
        <v>0</v>
      </c>
      <c r="E138" s="10">
        <f>IFERROR('CAT 963C LOADER'!H108/'CAT 963C LOADER'!E108,0)</f>
        <v>0</v>
      </c>
      <c r="F138" s="9">
        <f>'CAT 963C LOADER'!K108</f>
        <v>0</v>
      </c>
      <c r="G138" s="8">
        <f t="shared" si="6"/>
        <v>0</v>
      </c>
    </row>
    <row r="139" spans="2:7" x14ac:dyDescent="0.25">
      <c r="B139" s="107">
        <f>'CAT 963C LOADER'!B109</f>
        <v>0</v>
      </c>
      <c r="C139" s="107">
        <f>'CAT 963C LOADER'!C109</f>
        <v>0</v>
      </c>
      <c r="D139" s="149">
        <f>'CAT 963C LOADER'!E109</f>
        <v>0</v>
      </c>
      <c r="E139" s="10">
        <f>IFERROR('CAT 963C LOADER'!H109/'CAT 963C LOADER'!E109,0)</f>
        <v>0</v>
      </c>
      <c r="F139" s="9">
        <f>'CAT 963C LOADER'!K109</f>
        <v>0</v>
      </c>
      <c r="G139" s="8">
        <f t="shared" si="6"/>
        <v>0</v>
      </c>
    </row>
    <row r="140" spans="2:7" x14ac:dyDescent="0.25">
      <c r="B140" s="107">
        <f>'CAT 963C LOADER'!B110</f>
        <v>0</v>
      </c>
      <c r="C140" s="107">
        <f>'CAT 963C LOADER'!C110</f>
        <v>0</v>
      </c>
      <c r="D140" s="149">
        <f>'CAT 963C LOADER'!E110</f>
        <v>0</v>
      </c>
      <c r="E140" s="10">
        <f>IFERROR('CAT 963C LOADER'!H110/'CAT 963C LOADER'!E110,0)</f>
        <v>0</v>
      </c>
      <c r="F140" s="9">
        <f>'CAT 963C LOADER'!K110</f>
        <v>0</v>
      </c>
      <c r="G140" s="8">
        <f t="shared" si="6"/>
        <v>0</v>
      </c>
    </row>
    <row r="141" spans="2:7" x14ac:dyDescent="0.25">
      <c r="B141" s="107">
        <f>'CAT 963C LOADER'!B111</f>
        <v>0</v>
      </c>
      <c r="C141" s="107">
        <f>'CAT 963C LOADER'!C111</f>
        <v>0</v>
      </c>
      <c r="D141" s="149">
        <f>'CAT 963C LOADER'!E111</f>
        <v>0</v>
      </c>
      <c r="E141" s="10">
        <f>IFERROR('CAT 963C LOADER'!H111/'CAT 963C LOADER'!E111,0)</f>
        <v>0</v>
      </c>
      <c r="F141" s="9">
        <f>'CAT 963C LOADER'!K111</f>
        <v>0</v>
      </c>
      <c r="G141" s="8">
        <f t="shared" si="6"/>
        <v>0</v>
      </c>
    </row>
    <row r="142" spans="2:7" x14ac:dyDescent="0.25">
      <c r="B142" s="107">
        <f>'CAT 963C LOADER'!B112</f>
        <v>0</v>
      </c>
      <c r="C142" s="107">
        <f>'CAT 963C LOADER'!C112</f>
        <v>0</v>
      </c>
      <c r="D142" s="149">
        <f>'CAT 963C LOADER'!E112</f>
        <v>0</v>
      </c>
      <c r="E142" s="10">
        <f>IFERROR('CAT 963C LOADER'!H112/'CAT 963C LOADER'!E112,0)</f>
        <v>0</v>
      </c>
      <c r="F142" s="9">
        <f>'CAT 963C LOADER'!K112</f>
        <v>0</v>
      </c>
      <c r="G142" s="8">
        <f t="shared" si="6"/>
        <v>0</v>
      </c>
    </row>
    <row r="143" spans="2:7" x14ac:dyDescent="0.25">
      <c r="B143" s="107">
        <f>'CAT 963C LOADER'!B113</f>
        <v>0</v>
      </c>
      <c r="C143" s="107">
        <f>'CAT 963C LOADER'!C113</f>
        <v>0</v>
      </c>
      <c r="D143" s="149">
        <f>'CAT 963C LOADER'!E113</f>
        <v>0</v>
      </c>
      <c r="E143" s="10">
        <f>IFERROR('CAT 963C LOADER'!H113/'CAT 963C LOADER'!E113,0)</f>
        <v>0</v>
      </c>
      <c r="F143" s="9">
        <f>'CAT 963C LOADER'!K113</f>
        <v>0</v>
      </c>
      <c r="G143" s="8">
        <f t="shared" si="6"/>
        <v>0</v>
      </c>
    </row>
    <row r="144" spans="2:7" x14ac:dyDescent="0.25">
      <c r="B144" s="107">
        <f>'CAT 963C LOADER'!B114</f>
        <v>0</v>
      </c>
      <c r="C144" s="107">
        <f>'CAT 963C LOADER'!C114</f>
        <v>0</v>
      </c>
      <c r="D144" s="149">
        <f>'CAT 963C LOADER'!E114</f>
        <v>0</v>
      </c>
      <c r="E144" s="10">
        <f>IFERROR('CAT 963C LOADER'!H114/'CAT 963C LOADER'!E114,0)</f>
        <v>0</v>
      </c>
      <c r="F144" s="9">
        <f>'CAT 963C LOADER'!K114</f>
        <v>0</v>
      </c>
      <c r="G144" s="8">
        <f t="shared" si="6"/>
        <v>0</v>
      </c>
    </row>
    <row r="145" spans="2:7" x14ac:dyDescent="0.25">
      <c r="B145" s="107">
        <f>'CAT 963C LOADER'!B115</f>
        <v>0</v>
      </c>
      <c r="C145" s="107">
        <f>'CAT 963C LOADER'!C115</f>
        <v>0</v>
      </c>
      <c r="D145" s="149">
        <f>'CAT 963C LOADER'!E115</f>
        <v>0</v>
      </c>
      <c r="E145" s="10">
        <f>IFERROR('CAT 963C LOADER'!H115/'CAT 963C LOADER'!E115,0)</f>
        <v>0</v>
      </c>
      <c r="F145" s="9">
        <f>'CAT 963C LOADER'!K115</f>
        <v>0</v>
      </c>
      <c r="G145" s="8">
        <f t="shared" si="6"/>
        <v>0</v>
      </c>
    </row>
    <row r="146" spans="2:7" x14ac:dyDescent="0.25">
      <c r="B146" s="107">
        <f>'CAT 963C LOADER'!B116</f>
        <v>0</v>
      </c>
      <c r="C146" s="107">
        <f>'CAT 963C LOADER'!C116</f>
        <v>0</v>
      </c>
      <c r="D146" s="149">
        <f>'CAT 963C LOADER'!E116</f>
        <v>0</v>
      </c>
      <c r="E146" s="10">
        <f>IFERROR('CAT 963C LOADER'!H116/'CAT 963C LOADER'!E116,0)</f>
        <v>0</v>
      </c>
      <c r="F146" s="9">
        <f>'CAT 963C LOADER'!K116</f>
        <v>0</v>
      </c>
      <c r="G146" s="8">
        <f t="shared" si="6"/>
        <v>0</v>
      </c>
    </row>
    <row r="147" spans="2:7" x14ac:dyDescent="0.25">
      <c r="B147" s="107">
        <f>'CAT 963C LOADER'!B117</f>
        <v>0</v>
      </c>
      <c r="C147" s="107">
        <f>'CAT 963C LOADER'!C117</f>
        <v>0</v>
      </c>
      <c r="D147" s="149">
        <f>'CAT 963C LOADER'!E117</f>
        <v>0</v>
      </c>
      <c r="E147" s="10">
        <f>IFERROR('CAT 963C LOADER'!H117/'CAT 963C LOADER'!E117,0)</f>
        <v>0</v>
      </c>
      <c r="F147" s="9">
        <f>'CAT 963C LOADER'!K117</f>
        <v>0</v>
      </c>
      <c r="G147" s="8">
        <f t="shared" si="6"/>
        <v>0</v>
      </c>
    </row>
    <row r="148" spans="2:7" x14ac:dyDescent="0.25">
      <c r="B148" s="107">
        <f>'CAT 963C LOADER'!B118</f>
        <v>0</v>
      </c>
      <c r="C148" s="107">
        <f>'CAT 963C LOADER'!C118</f>
        <v>0</v>
      </c>
      <c r="D148" s="149">
        <f>'CAT 963C LOADER'!E118</f>
        <v>0</v>
      </c>
      <c r="E148" s="10">
        <f>IFERROR('CAT 963C LOADER'!H118/'CAT 963C LOADER'!E118,0)</f>
        <v>0</v>
      </c>
      <c r="F148" s="9">
        <f>'CAT 963C LOADER'!K118</f>
        <v>0</v>
      </c>
      <c r="G148" s="8">
        <f t="shared" si="6"/>
        <v>0</v>
      </c>
    </row>
    <row r="149" spans="2:7" x14ac:dyDescent="0.25">
      <c r="B149" s="107">
        <f>'CAT 963C LOADER'!B119</f>
        <v>0</v>
      </c>
      <c r="C149" s="107">
        <f>'CAT 963C LOADER'!C119</f>
        <v>0</v>
      </c>
      <c r="D149" s="149">
        <f>'CAT 963C LOADER'!E119</f>
        <v>0</v>
      </c>
      <c r="E149" s="10">
        <f>IFERROR('CAT 963C LOADER'!H119/'CAT 963C LOADER'!E119,0)</f>
        <v>0</v>
      </c>
      <c r="F149" s="9">
        <f>'CAT 963C LOADER'!K119</f>
        <v>0</v>
      </c>
      <c r="G149" s="8">
        <f t="shared" si="6"/>
        <v>0</v>
      </c>
    </row>
    <row r="150" spans="2:7" x14ac:dyDescent="0.25">
      <c r="B150" s="107">
        <f>'CAT 963C LOADER'!B120</f>
        <v>0</v>
      </c>
      <c r="C150" s="107">
        <f>'CAT 963C LOADER'!C120</f>
        <v>0</v>
      </c>
      <c r="D150" s="149">
        <f>'CAT 963C LOADER'!E120</f>
        <v>0</v>
      </c>
      <c r="E150" s="10">
        <f>IFERROR('CAT 963C LOADER'!H120/'CAT 963C LOADER'!E120,0)</f>
        <v>0</v>
      </c>
      <c r="F150" s="9">
        <f>'CAT 963C LOADER'!K120</f>
        <v>0</v>
      </c>
      <c r="G150" s="8">
        <f t="shared" si="6"/>
        <v>0</v>
      </c>
    </row>
    <row r="151" spans="2:7" x14ac:dyDescent="0.25">
      <c r="B151" s="107">
        <f>'CAT 963C LOADER'!B121</f>
        <v>0</v>
      </c>
      <c r="C151" s="107">
        <f>'CAT 963C LOADER'!C121</f>
        <v>0</v>
      </c>
      <c r="D151" s="149">
        <f>'CAT 963C LOADER'!E121</f>
        <v>0</v>
      </c>
      <c r="E151" s="10">
        <f>IFERROR('CAT 963C LOADER'!H121/'CAT 963C LOADER'!E121,0)</f>
        <v>0</v>
      </c>
      <c r="F151" s="9">
        <f>'CAT 963C LOADER'!K121</f>
        <v>0</v>
      </c>
      <c r="G151" s="8">
        <f t="shared" si="6"/>
        <v>0</v>
      </c>
    </row>
    <row r="152" spans="2:7" x14ac:dyDescent="0.25">
      <c r="B152" s="107">
        <f>'CAT 963C LOADER'!B122</f>
        <v>0</v>
      </c>
      <c r="C152" s="107">
        <f>'CAT 963C LOADER'!C122</f>
        <v>0</v>
      </c>
      <c r="D152" s="149">
        <f>'CAT 963C LOADER'!E122</f>
        <v>0</v>
      </c>
      <c r="E152" s="10">
        <f>IFERROR('CAT 963C LOADER'!H122/'CAT 963C LOADER'!E122,0)</f>
        <v>0</v>
      </c>
      <c r="F152" s="9">
        <f>'CAT 963C LOADER'!K122</f>
        <v>0</v>
      </c>
      <c r="G152" s="8">
        <f t="shared" si="6"/>
        <v>0</v>
      </c>
    </row>
    <row r="153" spans="2:7" x14ac:dyDescent="0.25">
      <c r="B153" s="107">
        <f>'CAT 963C LOADER'!B123</f>
        <v>0</v>
      </c>
      <c r="C153" s="107">
        <f>'CAT 963C LOADER'!C123</f>
        <v>0</v>
      </c>
      <c r="D153" s="149">
        <f>'CAT 963C LOADER'!E123</f>
        <v>0</v>
      </c>
      <c r="E153" s="10">
        <f>IFERROR('CAT 963C LOADER'!H123/'CAT 963C LOADER'!E123,0)</f>
        <v>0</v>
      </c>
      <c r="F153" s="9">
        <f>'CAT 963C LOADER'!K123</f>
        <v>0</v>
      </c>
      <c r="G153" s="8">
        <f t="shared" si="6"/>
        <v>0</v>
      </c>
    </row>
    <row r="154" spans="2:7" x14ac:dyDescent="0.25">
      <c r="B154" s="107">
        <f>'CAT 963C LOADER'!B124</f>
        <v>0</v>
      </c>
      <c r="C154" s="107">
        <f>'CAT 963C LOADER'!C124</f>
        <v>0</v>
      </c>
      <c r="D154" s="149">
        <f>'CAT 963C LOADER'!E124</f>
        <v>0</v>
      </c>
      <c r="E154" s="10">
        <f>IFERROR('CAT 963C LOADER'!H124/'CAT 963C LOADER'!E124,0)</f>
        <v>0</v>
      </c>
      <c r="F154" s="9">
        <f>'CAT 963C LOADER'!K124</f>
        <v>0</v>
      </c>
      <c r="G154" s="8">
        <f t="shared" si="6"/>
        <v>0</v>
      </c>
    </row>
    <row r="155" spans="2:7" x14ac:dyDescent="0.25">
      <c r="B155" s="107">
        <f>'CAT 963C LOADER'!B125</f>
        <v>0</v>
      </c>
      <c r="C155" s="107">
        <f>'CAT 963C LOADER'!C125</f>
        <v>0</v>
      </c>
      <c r="D155" s="149">
        <f>'CAT 963C LOADER'!E125</f>
        <v>0</v>
      </c>
      <c r="E155" s="10">
        <f>IFERROR('CAT 963C LOADER'!H125/'CAT 963C LOADER'!E125,0)</f>
        <v>0</v>
      </c>
      <c r="F155" s="9">
        <f>'CAT 963C LOADER'!K125</f>
        <v>0</v>
      </c>
      <c r="G155" s="8">
        <f t="shared" si="6"/>
        <v>0</v>
      </c>
    </row>
    <row r="156" spans="2:7" x14ac:dyDescent="0.25">
      <c r="B156" s="107">
        <f>'CAT 963C LOADER'!B126</f>
        <v>0</v>
      </c>
      <c r="C156" s="107">
        <f>'CAT 963C LOADER'!C126</f>
        <v>0</v>
      </c>
      <c r="D156" s="149">
        <f>'CAT 963C LOADER'!E126</f>
        <v>0</v>
      </c>
      <c r="E156" s="10">
        <f>IFERROR('CAT 963C LOADER'!H126/'CAT 963C LOADER'!E126,0)</f>
        <v>0</v>
      </c>
      <c r="F156" s="9">
        <f>'CAT 963C LOADER'!K126</f>
        <v>0</v>
      </c>
      <c r="G156" s="8">
        <f t="shared" si="6"/>
        <v>0</v>
      </c>
    </row>
    <row r="157" spans="2:7" x14ac:dyDescent="0.25">
      <c r="B157" s="107">
        <f>'CAT 963C LOADER'!B127</f>
        <v>0</v>
      </c>
      <c r="C157" s="107">
        <f>'CAT 963C LOADER'!C127</f>
        <v>0</v>
      </c>
      <c r="D157" s="149">
        <f>'CAT 963C LOADER'!E127</f>
        <v>0</v>
      </c>
      <c r="E157" s="10">
        <f>IFERROR('CAT 963C LOADER'!H127/'CAT 963C LOADER'!E127,0)</f>
        <v>0</v>
      </c>
      <c r="F157" s="9">
        <f>'CAT 963C LOADER'!K127</f>
        <v>0</v>
      </c>
      <c r="G157" s="8">
        <f t="shared" si="6"/>
        <v>0</v>
      </c>
    </row>
    <row r="158" spans="2:7" x14ac:dyDescent="0.25">
      <c r="B158" s="107">
        <f>'CAT 963C LOADER'!B128</f>
        <v>0</v>
      </c>
      <c r="C158" s="107">
        <f>'CAT 963C LOADER'!C128</f>
        <v>0</v>
      </c>
      <c r="D158" s="149">
        <f>'CAT 963C LOADER'!E128</f>
        <v>0</v>
      </c>
      <c r="E158" s="10">
        <f>IFERROR('CAT 963C LOADER'!H128/'CAT 963C LOADER'!E128,0)</f>
        <v>0</v>
      </c>
      <c r="F158" s="9">
        <f>'CAT 963C LOADER'!K128</f>
        <v>0</v>
      </c>
      <c r="G158" s="8">
        <f t="shared" si="6"/>
        <v>0</v>
      </c>
    </row>
    <row r="159" spans="2:7" x14ac:dyDescent="0.25">
      <c r="B159" s="107">
        <f>'CAT 963C LOADER'!B129</f>
        <v>0</v>
      </c>
      <c r="C159" s="107">
        <f>'CAT 963C LOADER'!C129</f>
        <v>0</v>
      </c>
      <c r="D159" s="149"/>
      <c r="E159" s="10"/>
      <c r="F159" s="9"/>
      <c r="G159" s="8">
        <f t="shared" si="6"/>
        <v>0</v>
      </c>
    </row>
    <row r="160" spans="2:7" x14ac:dyDescent="0.25">
      <c r="B160" s="107">
        <f>'CAT 963C LOADER'!B130</f>
        <v>0</v>
      </c>
      <c r="C160" s="107">
        <f>'CAT 963C LOADER'!C130</f>
        <v>0</v>
      </c>
      <c r="D160" s="149"/>
      <c r="E160" s="10"/>
      <c r="F160" s="9"/>
      <c r="G160" s="8">
        <f t="shared" si="6"/>
        <v>0</v>
      </c>
    </row>
    <row r="161" spans="2:7" x14ac:dyDescent="0.25">
      <c r="B161" s="107">
        <f>'CAT 963C LOADER'!B131</f>
        <v>0</v>
      </c>
      <c r="C161" s="107">
        <f>'CAT 963C LOADER'!C131</f>
        <v>0</v>
      </c>
      <c r="D161" s="149"/>
      <c r="E161" s="10"/>
      <c r="F161" s="9"/>
      <c r="G161" s="8">
        <f t="shared" si="6"/>
        <v>0</v>
      </c>
    </row>
    <row r="162" spans="2:7" x14ac:dyDescent="0.25">
      <c r="B162" s="107">
        <f>'CAT 963C LOADER'!B132</f>
        <v>0</v>
      </c>
      <c r="C162" s="107">
        <f>'CAT 963C LOADER'!C132</f>
        <v>0</v>
      </c>
      <c r="D162" s="149"/>
      <c r="E162" s="10"/>
      <c r="F162" s="9"/>
      <c r="G162" s="8">
        <f t="shared" si="6"/>
        <v>0</v>
      </c>
    </row>
    <row r="163" spans="2:7" x14ac:dyDescent="0.25">
      <c r="B163" s="107">
        <f>'CAT 963C LOADER'!B133</f>
        <v>0</v>
      </c>
      <c r="C163" s="107">
        <f>'CAT 963C LOADER'!C133</f>
        <v>0</v>
      </c>
      <c r="D163" s="149"/>
      <c r="E163" s="10"/>
      <c r="F163" s="9"/>
      <c r="G163" s="8">
        <f t="shared" si="6"/>
        <v>0</v>
      </c>
    </row>
    <row r="164" spans="2:7" x14ac:dyDescent="0.25">
      <c r="B164" s="107">
        <f>'CAT 963C LOADER'!B134</f>
        <v>0</v>
      </c>
      <c r="C164" s="107">
        <f>'CAT 963C LOADER'!C134</f>
        <v>0</v>
      </c>
      <c r="D164" s="149"/>
      <c r="E164" s="10"/>
      <c r="F164" s="9"/>
      <c r="G164" s="8">
        <f t="shared" si="6"/>
        <v>0</v>
      </c>
    </row>
    <row r="165" spans="2:7" x14ac:dyDescent="0.25">
      <c r="B165" s="107">
        <f>'CAT 963C LOADER'!B135</f>
        <v>0</v>
      </c>
      <c r="C165" s="107">
        <f>'CAT 963C LOADER'!C135</f>
        <v>0</v>
      </c>
      <c r="D165" s="149"/>
      <c r="E165" s="10"/>
      <c r="F165" s="9"/>
      <c r="G165" s="8">
        <f t="shared" si="6"/>
        <v>0</v>
      </c>
    </row>
    <row r="166" spans="2:7" x14ac:dyDescent="0.25">
      <c r="B166" s="107">
        <f>'CAT 963C LOADER'!B136</f>
        <v>0</v>
      </c>
      <c r="C166" s="107">
        <f>'CAT 963C LOADER'!C136</f>
        <v>0</v>
      </c>
      <c r="D166" s="149"/>
      <c r="E166" s="10"/>
      <c r="F166" s="9"/>
      <c r="G166" s="8">
        <f t="shared" si="6"/>
        <v>0</v>
      </c>
    </row>
    <row r="167" spans="2:7" ht="15.75" thickBot="1" x14ac:dyDescent="0.3">
      <c r="B167" s="107">
        <f>'CAT 963C LOADER'!B137</f>
        <v>0</v>
      </c>
      <c r="C167" s="107">
        <f>'CAT 963C LOADER'!C137</f>
        <v>0</v>
      </c>
      <c r="D167" s="149"/>
      <c r="E167" s="10"/>
      <c r="F167" s="9"/>
      <c r="G167" s="8">
        <f t="shared" si="6"/>
        <v>0</v>
      </c>
    </row>
    <row r="168" spans="2:7" x14ac:dyDescent="0.25">
      <c r="B168" s="145"/>
      <c r="C168" s="140"/>
      <c r="D168" s="141"/>
      <c r="E168" s="142"/>
      <c r="F168" s="136" t="s">
        <v>277</v>
      </c>
      <c r="G168" s="138">
        <f>SUM(G18:G167)</f>
        <v>0</v>
      </c>
    </row>
    <row r="169" spans="2:7" x14ac:dyDescent="0.25">
      <c r="B169" s="146"/>
      <c r="C169" s="143"/>
      <c r="D169" s="438"/>
      <c r="E169" s="439"/>
      <c r="F169" s="133" t="s">
        <v>278</v>
      </c>
      <c r="G169" s="17">
        <v>0</v>
      </c>
    </row>
    <row r="170" spans="2:7" x14ac:dyDescent="0.25">
      <c r="B170" s="146"/>
      <c r="C170" s="143" t="s">
        <v>279</v>
      </c>
      <c r="D170" s="438">
        <f>'CAT 963C LOADER'!O2</f>
        <v>0</v>
      </c>
      <c r="E170" s="439"/>
      <c r="F170" s="137" t="s">
        <v>280</v>
      </c>
      <c r="G170" s="17">
        <v>0</v>
      </c>
    </row>
    <row r="171" spans="2:7" x14ac:dyDescent="0.25">
      <c r="B171" s="146"/>
      <c r="C171" s="143" t="s">
        <v>281</v>
      </c>
      <c r="D171" s="438">
        <f>'CAT 963C LOADER'!O3</f>
        <v>0</v>
      </c>
      <c r="E171" s="439"/>
      <c r="F171" s="133" t="s">
        <v>282</v>
      </c>
      <c r="G171" s="134">
        <f>SUM(G168:G170)</f>
        <v>0</v>
      </c>
    </row>
    <row r="172" spans="2:7" x14ac:dyDescent="0.25">
      <c r="B172" s="146"/>
      <c r="C172" s="143" t="s">
        <v>283</v>
      </c>
      <c r="D172" s="440">
        <f>'CAT 963C LOADER'!O4</f>
        <v>0</v>
      </c>
      <c r="E172" s="441"/>
      <c r="F172" s="133" t="str">
        <f>IF(C177=TRUE,("GST"),("GST 5%"))</f>
        <v>GST 5%</v>
      </c>
      <c r="G172" s="134">
        <f>ROUND(IF(C177=FALSE,(G171*0.05),0),2)</f>
        <v>0</v>
      </c>
    </row>
    <row r="173" spans="2:7" ht="15" customHeight="1" x14ac:dyDescent="0.25">
      <c r="B173" s="146"/>
      <c r="C173" s="144"/>
      <c r="D173" s="144"/>
      <c r="E173" s="139"/>
      <c r="F173" s="133" t="s">
        <v>263</v>
      </c>
      <c r="G173" s="17"/>
    </row>
    <row r="174" spans="2:7" ht="15" customHeight="1" x14ac:dyDescent="0.25">
      <c r="B174" s="147"/>
      <c r="C174" s="442" t="s">
        <v>284</v>
      </c>
      <c r="D174" s="442"/>
      <c r="E174" s="131"/>
      <c r="F174" s="133" t="s">
        <v>285</v>
      </c>
      <c r="G174" s="134">
        <f>SUM(G171:G173)</f>
        <v>0</v>
      </c>
    </row>
    <row r="175" spans="2:7" x14ac:dyDescent="0.25">
      <c r="B175" s="148"/>
      <c r="C175" s="442" t="s">
        <v>286</v>
      </c>
      <c r="D175" s="442"/>
      <c r="E175" s="78"/>
      <c r="F175" s="135" t="s">
        <v>287</v>
      </c>
      <c r="G175" s="18">
        <f>IF(B177=TRUE,(G174*0.025),0)</f>
        <v>0</v>
      </c>
    </row>
    <row r="176" spans="2:7" ht="19.5" customHeight="1" thickBot="1" x14ac:dyDescent="0.3">
      <c r="B176" s="435" t="s">
        <v>288</v>
      </c>
      <c r="C176" s="436"/>
      <c r="D176" s="436"/>
      <c r="E176" s="437"/>
      <c r="F176" s="132" t="s">
        <v>289</v>
      </c>
      <c r="G176" s="65">
        <f>G174+G175</f>
        <v>0</v>
      </c>
    </row>
    <row r="177" spans="2:7" hidden="1" x14ac:dyDescent="0.25">
      <c r="B177" s="81" t="b">
        <v>0</v>
      </c>
      <c r="C177" s="80" t="b">
        <v>0</v>
      </c>
      <c r="D177" s="77"/>
      <c r="E177" s="77"/>
      <c r="F177" s="77"/>
      <c r="G177" s="79"/>
    </row>
  </sheetData>
  <sheetProtection algorithmName="SHA-512" hashValue="RJi+OrjUYUIoeuhgjGhVnfGadT9EBqeWC5ktQncDpB+JW1sFyObU371Id42lm6Pfwz7ArRfnjYKaP+PczcagcA==" saltValue="y77UesglFN9PAxFmmy3m0w==" spinCount="100000" sheet="1" selectLockedCells="1"/>
  <mergeCells count="27">
    <mergeCell ref="E54:G59"/>
    <mergeCell ref="D120:G124"/>
    <mergeCell ref="E125:G125"/>
    <mergeCell ref="E126:G126"/>
    <mergeCell ref="E127:G127"/>
    <mergeCell ref="E114:G119"/>
    <mergeCell ref="D60:G64"/>
    <mergeCell ref="E65:G65"/>
    <mergeCell ref="E66:G66"/>
    <mergeCell ref="E67:G67"/>
    <mergeCell ref="B176:E176"/>
    <mergeCell ref="D169:E169"/>
    <mergeCell ref="D170:E170"/>
    <mergeCell ref="D171:E171"/>
    <mergeCell ref="D172:E172"/>
    <mergeCell ref="C174:D174"/>
    <mergeCell ref="C175:D175"/>
    <mergeCell ref="E15:G15"/>
    <mergeCell ref="E16:G16"/>
    <mergeCell ref="D1:G5"/>
    <mergeCell ref="D8:G8"/>
    <mergeCell ref="E7:G7"/>
    <mergeCell ref="E10:G10"/>
    <mergeCell ref="E11:G11"/>
    <mergeCell ref="E12:G12"/>
    <mergeCell ref="E14:G14"/>
    <mergeCell ref="E13:G13"/>
  </mergeCells>
  <conditionalFormatting sqref="E175">
    <cfRule type="expression" dxfId="9" priority="202">
      <formula>$C$177=TRUE</formula>
    </cfRule>
  </conditionalFormatting>
  <printOptions horizontalCentered="1"/>
  <pageMargins left="0.23622047244094491" right="0.23622047244094491" top="0.23622047244094491" bottom="0.23622047244094491" header="0.31496062992125984" footer="0.31496062992125984"/>
  <pageSetup scale="82" fitToHeight="3" orientation="portrait" r:id="rId1"/>
  <headerFooter>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074" r:id="rId4" name="Check Box 2">
              <controlPr locked="0" defaultSize="0" autoFill="0" autoLine="0" autoPict="0">
                <anchor moveWithCells="1">
                  <from>
                    <xdr:col>5</xdr:col>
                    <xdr:colOff>914400</xdr:colOff>
                    <xdr:row>173</xdr:row>
                    <xdr:rowOff>171450</xdr:rowOff>
                  </from>
                  <to>
                    <xdr:col>5</xdr:col>
                    <xdr:colOff>1190625</xdr:colOff>
                    <xdr:row>175</xdr:row>
                    <xdr:rowOff>38100</xdr:rowOff>
                  </to>
                </anchor>
              </controlPr>
            </control>
          </mc:Choice>
        </mc:AlternateContent>
        <mc:AlternateContent xmlns:mc="http://schemas.openxmlformats.org/markup-compatibility/2006">
          <mc:Choice Requires="x14">
            <control shapeId="3081" r:id="rId5" name="Check Box 9">
              <controlPr locked="0" defaultSize="0" autoFill="0" autoLine="0" autoPict="0">
                <anchor moveWithCells="1">
                  <from>
                    <xdr:col>3</xdr:col>
                    <xdr:colOff>657225</xdr:colOff>
                    <xdr:row>173</xdr:row>
                    <xdr:rowOff>0</xdr:rowOff>
                  </from>
                  <to>
                    <xdr:col>4</xdr:col>
                    <xdr:colOff>200025</xdr:colOff>
                    <xdr:row>174</xdr:row>
                    <xdr:rowOff>9525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7" id="{539181AA-2C4F-42FA-A5F8-10CC35D0FA2E}">
            <xm:f>'CAT 963C LOADER'!$H$13="NO"</xm:f>
            <x14:dxf>
              <font>
                <color theme="2"/>
              </font>
            </x14:dxf>
          </x14:cfRule>
          <xm:sqref>C170:E172</xm:sqref>
        </x14:conditionalFormatting>
        <x14:conditionalFormatting xmlns:xm="http://schemas.microsoft.com/office/excel/2006/main">
          <x14:cfRule type="expression" priority="5" id="{5B8E14C5-5EA7-4D5E-8760-B5621FDFCB2A}">
            <xm:f>'CAT 963C LOADER'!$H$13="NO"</xm:f>
            <x14:dxf>
              <font>
                <color theme="0"/>
              </font>
            </x14:dxf>
          </x14:cfRule>
          <xm:sqref>E17:E53 E68:E113</xm:sqref>
        </x14:conditionalFormatting>
        <x14:conditionalFormatting xmlns:xm="http://schemas.microsoft.com/office/excel/2006/main">
          <x14:cfRule type="expression" priority="3" id="{E9F8AC32-54C6-4747-912C-AAA1941B497E}">
            <xm:f>'CAT 963C LOADER'!$H$13="NO"</xm:f>
            <x14:dxf>
              <font>
                <color theme="0"/>
              </font>
            </x14:dxf>
          </x14:cfRule>
          <xm:sqref>E128:E167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2985-DC82-4F4D-86A7-534DAA68C397}">
  <sheetPr codeName="Sheet3">
    <pageSetUpPr fitToPage="1"/>
  </sheetPr>
  <dimension ref="B1:H183"/>
  <sheetViews>
    <sheetView topLeftCell="A146" zoomScale="115" zoomScaleNormal="115" workbookViewId="0">
      <selection activeCell="C11" sqref="C11"/>
    </sheetView>
  </sheetViews>
  <sheetFormatPr defaultRowHeight="15" x14ac:dyDescent="0.25"/>
  <cols>
    <col min="1" max="1" width="2.7109375" customWidth="1"/>
    <col min="2" max="2" width="18.7109375" customWidth="1"/>
    <col min="3" max="3" width="36" customWidth="1"/>
    <col min="4" max="4" width="12.7109375" bestFit="1" customWidth="1"/>
    <col min="5" max="5" width="16.7109375" customWidth="1"/>
    <col min="6" max="6" width="18.7109375" customWidth="1"/>
    <col min="7" max="7" width="20.7109375" customWidth="1"/>
    <col min="8" max="8" width="3.140625" customWidth="1"/>
  </cols>
  <sheetData>
    <row r="1" spans="2:8" x14ac:dyDescent="0.25">
      <c r="B1" s="86"/>
      <c r="C1" s="87"/>
      <c r="D1" s="452" t="s">
        <v>276</v>
      </c>
      <c r="E1" s="452"/>
      <c r="F1" s="452"/>
      <c r="G1" s="453"/>
    </row>
    <row r="2" spans="2:8" x14ac:dyDescent="0.25">
      <c r="B2" s="88"/>
      <c r="C2" s="77"/>
      <c r="D2" s="454"/>
      <c r="E2" s="454"/>
      <c r="F2" s="454"/>
      <c r="G2" s="455"/>
    </row>
    <row r="3" spans="2:8" x14ac:dyDescent="0.25">
      <c r="B3" s="88"/>
      <c r="C3" s="77"/>
      <c r="D3" s="454"/>
      <c r="E3" s="454"/>
      <c r="F3" s="454"/>
      <c r="G3" s="455"/>
    </row>
    <row r="4" spans="2:8" x14ac:dyDescent="0.25">
      <c r="B4" s="88"/>
      <c r="C4" s="77"/>
      <c r="D4" s="454"/>
      <c r="E4" s="454"/>
      <c r="F4" s="454"/>
      <c r="G4" s="455"/>
    </row>
    <row r="5" spans="2:8" x14ac:dyDescent="0.25">
      <c r="B5" s="89"/>
      <c r="C5" s="90"/>
      <c r="D5" s="456"/>
      <c r="E5" s="456"/>
      <c r="F5" s="456"/>
      <c r="G5" s="457"/>
    </row>
    <row r="6" spans="2:8" ht="27.95" customHeight="1" x14ac:dyDescent="0.55000000000000004">
      <c r="B6" s="91"/>
      <c r="C6" s="92"/>
      <c r="D6" s="93"/>
      <c r="E6" s="93"/>
      <c r="F6" s="93"/>
      <c r="G6" s="93"/>
    </row>
    <row r="7" spans="2:8" x14ac:dyDescent="0.25">
      <c r="B7" s="115" t="s">
        <v>38</v>
      </c>
      <c r="C7" s="122">
        <f>'CAT 963C LOADER'!C3</f>
        <v>0</v>
      </c>
      <c r="D7" s="119" t="s">
        <v>33</v>
      </c>
      <c r="E7" s="413">
        <f>'CAT 963C LOADER'!C2</f>
        <v>0</v>
      </c>
      <c r="F7" s="430"/>
      <c r="G7" s="414"/>
    </row>
    <row r="8" spans="2:8" x14ac:dyDescent="0.25">
      <c r="B8" s="115" t="s">
        <v>43</v>
      </c>
      <c r="C8" s="118">
        <f>'CAT 963C LOADER'!C4</f>
        <v>0</v>
      </c>
      <c r="D8" s="415" t="s">
        <v>29</v>
      </c>
      <c r="E8" s="416"/>
      <c r="F8" s="416"/>
      <c r="G8" s="417"/>
      <c r="H8" s="95"/>
    </row>
    <row r="9" spans="2:8" x14ac:dyDescent="0.25">
      <c r="B9" s="115" t="s">
        <v>246</v>
      </c>
      <c r="C9" s="117">
        <f>'CAT 963C LOADER'!C5</f>
        <v>0</v>
      </c>
      <c r="D9" s="115" t="s">
        <v>266</v>
      </c>
      <c r="E9" s="117">
        <f>'CAT 963C LOADER'!F3</f>
        <v>0</v>
      </c>
      <c r="F9" s="150" t="s">
        <v>267</v>
      </c>
      <c r="G9" s="117">
        <f>'CAT 963C LOADER'!F2</f>
        <v>0</v>
      </c>
    </row>
    <row r="10" spans="2:8" x14ac:dyDescent="0.25">
      <c r="B10" s="115" t="s">
        <v>247</v>
      </c>
      <c r="C10" s="4">
        <f>'CAT 963C LOADER'!C6</f>
        <v>0</v>
      </c>
      <c r="D10" s="115" t="s">
        <v>268</v>
      </c>
      <c r="E10" s="431">
        <f>'CAT 963C LOADER'!F4</f>
        <v>0</v>
      </c>
      <c r="F10" s="432"/>
      <c r="G10" s="433"/>
    </row>
    <row r="11" spans="2:8" x14ac:dyDescent="0.25">
      <c r="B11" s="115" t="s">
        <v>248</v>
      </c>
      <c r="C11" s="5"/>
      <c r="D11" s="115" t="s">
        <v>269</v>
      </c>
      <c r="E11" s="418">
        <f>'CAT 963C LOADER'!F5</f>
        <v>0</v>
      </c>
      <c r="F11" s="434"/>
      <c r="G11" s="419"/>
    </row>
    <row r="12" spans="2:8" x14ac:dyDescent="0.25">
      <c r="B12" s="120"/>
      <c r="C12" s="5"/>
      <c r="D12" s="115" t="s">
        <v>270</v>
      </c>
      <c r="E12" s="418">
        <f>'CAT 963C LOADER'!F6</f>
        <v>0</v>
      </c>
      <c r="F12" s="434"/>
      <c r="G12" s="419"/>
    </row>
    <row r="13" spans="2:8" x14ac:dyDescent="0.25">
      <c r="B13" s="120"/>
      <c r="C13" s="5"/>
      <c r="D13" s="115" t="s">
        <v>271</v>
      </c>
      <c r="E13" s="418">
        <f>'CAT 963C LOADER'!F8</f>
        <v>0</v>
      </c>
      <c r="F13" s="434"/>
      <c r="G13" s="419"/>
    </row>
    <row r="14" spans="2:8" x14ac:dyDescent="0.25">
      <c r="B14" s="115" t="s">
        <v>251</v>
      </c>
      <c r="C14" s="5"/>
      <c r="D14" s="115" t="s">
        <v>58</v>
      </c>
      <c r="E14" s="434">
        <f>'CAT 963C LOADER'!C7</f>
        <v>0</v>
      </c>
      <c r="F14" s="434"/>
      <c r="G14" s="419"/>
    </row>
    <row r="15" spans="2:8" x14ac:dyDescent="0.25">
      <c r="B15" s="121"/>
      <c r="C15" s="5"/>
      <c r="D15" s="115" t="s">
        <v>272</v>
      </c>
      <c r="E15" s="420"/>
      <c r="F15" s="421"/>
      <c r="G15" s="422"/>
    </row>
    <row r="16" spans="2:8" ht="15.75" thickBot="1" x14ac:dyDescent="0.3">
      <c r="B16" s="108"/>
      <c r="C16" s="109"/>
      <c r="D16" s="109"/>
      <c r="E16" s="423" t="str">
        <f>'CAT 963C LOADER'!K17</f>
        <v>CAD $</v>
      </c>
      <c r="F16" s="423"/>
      <c r="G16" s="423"/>
    </row>
    <row r="17" spans="2:7" ht="15.75" thickBot="1" x14ac:dyDescent="0.3">
      <c r="B17" s="111" t="s">
        <v>90</v>
      </c>
      <c r="C17" s="112" t="s">
        <v>91</v>
      </c>
      <c r="D17" s="113" t="s">
        <v>93</v>
      </c>
      <c r="E17" s="113" t="s">
        <v>273</v>
      </c>
      <c r="F17" s="113" t="s">
        <v>274</v>
      </c>
      <c r="G17" s="114" t="s">
        <v>254</v>
      </c>
    </row>
    <row r="18" spans="2:7" x14ac:dyDescent="0.25">
      <c r="B18" s="107">
        <f>'CAT 963C LOADER'!B18</f>
        <v>0</v>
      </c>
      <c r="C18" s="107" t="str">
        <f>'CAT 963C LOADER'!C18</f>
        <v>ENGINE OIL FILTER</v>
      </c>
      <c r="D18" s="149">
        <f>'CAT 963C LOADER'!E18</f>
        <v>0</v>
      </c>
      <c r="E18" s="10">
        <f>IFERROR('CAT 963C LOADER'!H18/'CAT 963C LOADER'!E18,0)</f>
        <v>0</v>
      </c>
      <c r="F18" s="9">
        <f>'CAT 963C LOADER'!K18</f>
        <v>0</v>
      </c>
      <c r="G18" s="8">
        <f>D18*F18</f>
        <v>0</v>
      </c>
    </row>
    <row r="19" spans="2:7" x14ac:dyDescent="0.25">
      <c r="B19" s="107">
        <f>'CAT 963C LOADER'!B19</f>
        <v>0</v>
      </c>
      <c r="C19" s="107" t="str">
        <f>'CAT 963C LOADER'!C19</f>
        <v>FUEL FILTER</v>
      </c>
      <c r="D19" s="149">
        <f>'CAT 963C LOADER'!E19</f>
        <v>0</v>
      </c>
      <c r="E19" s="10">
        <f>IFERROR('CAT 963C LOADER'!H19/'CAT 963C LOADER'!E19,0)</f>
        <v>0</v>
      </c>
      <c r="F19" s="9">
        <f>'CAT 963C LOADER'!K19</f>
        <v>0</v>
      </c>
      <c r="G19" s="8">
        <f t="shared" ref="G19:G38" si="0">D19*F19</f>
        <v>0</v>
      </c>
    </row>
    <row r="20" spans="2:7" x14ac:dyDescent="0.25">
      <c r="B20" s="107">
        <f>'CAT 963C LOADER'!B20</f>
        <v>0</v>
      </c>
      <c r="C20" s="107" t="str">
        <f>'CAT 963C LOADER'!C20</f>
        <v>FUEL WATER SEPARATOR FILTER</v>
      </c>
      <c r="D20" s="149">
        <f>'CAT 963C LOADER'!E20</f>
        <v>0</v>
      </c>
      <c r="E20" s="10">
        <f>IFERROR('CAT 963C LOADER'!H20/'CAT 963C LOADER'!E20,0)</f>
        <v>0</v>
      </c>
      <c r="F20" s="9">
        <f>'CAT 963C LOADER'!K20</f>
        <v>0</v>
      </c>
      <c r="G20" s="8">
        <f t="shared" si="0"/>
        <v>0</v>
      </c>
    </row>
    <row r="21" spans="2:7" x14ac:dyDescent="0.25">
      <c r="B21" s="107">
        <f>'CAT 963C LOADER'!B21</f>
        <v>0</v>
      </c>
      <c r="C21" s="107" t="str">
        <f>'CAT 963C LOADER'!C21</f>
        <v>HYDRAULIC FILTER</v>
      </c>
      <c r="D21" s="149">
        <f>'CAT 963C LOADER'!E21</f>
        <v>0</v>
      </c>
      <c r="E21" s="10">
        <f>IFERROR('CAT 963C LOADER'!H21/'CAT 963C LOADER'!E21,0)</f>
        <v>0</v>
      </c>
      <c r="F21" s="9">
        <f>'CAT 963C LOADER'!K21</f>
        <v>0</v>
      </c>
      <c r="G21" s="8">
        <f t="shared" si="0"/>
        <v>0</v>
      </c>
    </row>
    <row r="22" spans="2:7" x14ac:dyDescent="0.25">
      <c r="B22" s="107">
        <f>'CAT 963C LOADER'!B22</f>
        <v>0</v>
      </c>
      <c r="C22" s="107" t="str">
        <f>'CAT 963C LOADER'!C22</f>
        <v>HYDRAULIC TRANSMISSION OIL FILTER</v>
      </c>
      <c r="D22" s="149">
        <f>'CAT 963C LOADER'!E22</f>
        <v>0</v>
      </c>
      <c r="E22" s="10">
        <f>IFERROR('CAT 963C LOADER'!H22/'CAT 963C LOADER'!E22,0)</f>
        <v>0</v>
      </c>
      <c r="F22" s="9">
        <f>'CAT 963C LOADER'!K22</f>
        <v>0</v>
      </c>
      <c r="G22" s="8">
        <f t="shared" si="0"/>
        <v>0</v>
      </c>
    </row>
    <row r="23" spans="2:7" x14ac:dyDescent="0.25">
      <c r="B23" s="107">
        <f>'CAT 963C LOADER'!B23</f>
        <v>0</v>
      </c>
      <c r="C23" s="107" t="str">
        <f>'CAT 963C LOADER'!C23</f>
        <v>PRIMARY AIR FILTER</v>
      </c>
      <c r="D23" s="149">
        <f>'CAT 963C LOADER'!E23</f>
        <v>0</v>
      </c>
      <c r="E23" s="10">
        <f>IFERROR('CAT 963C LOADER'!H23/'CAT 963C LOADER'!E23,0)</f>
        <v>0</v>
      </c>
      <c r="F23" s="9">
        <f>'CAT 963C LOADER'!K23</f>
        <v>0</v>
      </c>
      <c r="G23" s="8">
        <f t="shared" si="0"/>
        <v>0</v>
      </c>
    </row>
    <row r="24" spans="2:7" x14ac:dyDescent="0.25">
      <c r="B24" s="107">
        <f>'CAT 963C LOADER'!B24</f>
        <v>0</v>
      </c>
      <c r="C24" s="107" t="str">
        <f>'CAT 963C LOADER'!C24</f>
        <v>SECONDARY AIR FILTER ELEMENT</v>
      </c>
      <c r="D24" s="149">
        <f>'CAT 963C LOADER'!E24</f>
        <v>0</v>
      </c>
      <c r="E24" s="10">
        <f>IFERROR('CAT 963C LOADER'!H24/'CAT 963C LOADER'!E24,0)</f>
        <v>0</v>
      </c>
      <c r="F24" s="9">
        <f>'CAT 963C LOADER'!K24</f>
        <v>0</v>
      </c>
      <c r="G24" s="8">
        <f t="shared" si="0"/>
        <v>0</v>
      </c>
    </row>
    <row r="25" spans="2:7" x14ac:dyDescent="0.25">
      <c r="B25" s="107">
        <f>'CAT 963C LOADER'!B25</f>
        <v>0</v>
      </c>
      <c r="C25" s="107" t="str">
        <f>'CAT 963C LOADER'!C25</f>
        <v>CABIN AIR FILTER ELEMENT</v>
      </c>
      <c r="D25" s="149">
        <f>'CAT 963C LOADER'!E25</f>
        <v>0</v>
      </c>
      <c r="E25" s="10">
        <f>IFERROR('CAT 963C LOADER'!H25/'CAT 963C LOADER'!E25,0)</f>
        <v>0</v>
      </c>
      <c r="F25" s="9">
        <f>'CAT 963C LOADER'!K25</f>
        <v>0</v>
      </c>
      <c r="G25" s="8">
        <f t="shared" si="0"/>
        <v>0</v>
      </c>
    </row>
    <row r="26" spans="2:7" x14ac:dyDescent="0.25">
      <c r="B26" s="107">
        <f>'CAT 963C LOADER'!B26</f>
        <v>0</v>
      </c>
      <c r="C26" s="107" t="str">
        <f>'CAT 963C LOADER'!C26</f>
        <v>12V 4D BCI BATTERY (19.3" X 8.6" X 9.9")</v>
      </c>
      <c r="D26" s="149">
        <f>'CAT 963C LOADER'!E26</f>
        <v>0</v>
      </c>
      <c r="E26" s="10">
        <f>IFERROR('CAT 963C LOADER'!H26/'CAT 963C LOADER'!E26,0)</f>
        <v>0</v>
      </c>
      <c r="F26" s="9">
        <f>'CAT 963C LOADER'!K26</f>
        <v>0</v>
      </c>
      <c r="G26" s="8">
        <f t="shared" si="0"/>
        <v>0</v>
      </c>
    </row>
    <row r="27" spans="2:7" x14ac:dyDescent="0.25">
      <c r="B27" s="107">
        <f>'CAT 963C LOADER'!B27</f>
        <v>0</v>
      </c>
      <c r="C27" s="107">
        <f>'CAT 963C LOADER'!C27</f>
        <v>0</v>
      </c>
      <c r="D27" s="149">
        <f>'CAT 963C LOADER'!E27</f>
        <v>0</v>
      </c>
      <c r="E27" s="10">
        <f>IFERROR('CAT 963C LOADER'!H27/'CAT 963C LOADER'!E27,0)</f>
        <v>0</v>
      </c>
      <c r="F27" s="9">
        <f>'CAT 963C LOADER'!K27</f>
        <v>0</v>
      </c>
      <c r="G27" s="8">
        <f t="shared" si="0"/>
        <v>0</v>
      </c>
    </row>
    <row r="28" spans="2:7" x14ac:dyDescent="0.25">
      <c r="B28" s="107">
        <f>'CAT 963C LOADER'!B28</f>
        <v>0</v>
      </c>
      <c r="C28" s="107" t="str">
        <f>'CAT 963C LOADER'!C28</f>
        <v>ENGINE OVERHAUL KIT</v>
      </c>
      <c r="D28" s="149">
        <f>'CAT 963C LOADER'!E28</f>
        <v>0</v>
      </c>
      <c r="E28" s="10">
        <f>IFERROR('CAT 963C LOADER'!H28/'CAT 963C LOADER'!E28,0)</f>
        <v>0</v>
      </c>
      <c r="F28" s="9">
        <f>'CAT 963C LOADER'!K28</f>
        <v>0</v>
      </c>
      <c r="G28" s="8">
        <f t="shared" si="0"/>
        <v>0</v>
      </c>
    </row>
    <row r="29" spans="2:7" x14ac:dyDescent="0.25">
      <c r="B29" s="107">
        <f>'CAT 963C LOADER'!B29</f>
        <v>0</v>
      </c>
      <c r="C29" s="107" t="str">
        <f>'CAT 963C LOADER'!C29</f>
        <v>CAMSHAFT</v>
      </c>
      <c r="D29" s="149">
        <f>'CAT 963C LOADER'!E29</f>
        <v>0</v>
      </c>
      <c r="E29" s="10">
        <f>IFERROR('CAT 963C LOADER'!H29/'CAT 963C LOADER'!E29,0)</f>
        <v>0</v>
      </c>
      <c r="F29" s="9">
        <f>'CAT 963C LOADER'!K29</f>
        <v>0</v>
      </c>
      <c r="G29" s="8">
        <f t="shared" si="0"/>
        <v>0</v>
      </c>
    </row>
    <row r="30" spans="2:7" x14ac:dyDescent="0.25">
      <c r="B30" s="107">
        <f>'CAT 963C LOADER'!B30</f>
        <v>0</v>
      </c>
      <c r="C30" s="107" t="str">
        <f>'CAT 963C LOADER'!C30</f>
        <v>CRANKSHAFT</v>
      </c>
      <c r="D30" s="149">
        <f>'CAT 963C LOADER'!E30</f>
        <v>0</v>
      </c>
      <c r="E30" s="10">
        <f>IFERROR('CAT 963C LOADER'!H30/'CAT 963C LOADER'!E30,0)</f>
        <v>0</v>
      </c>
      <c r="F30" s="9">
        <f>'CAT 963C LOADER'!K30</f>
        <v>0</v>
      </c>
      <c r="G30" s="8">
        <f t="shared" si="0"/>
        <v>0</v>
      </c>
    </row>
    <row r="31" spans="2:7" x14ac:dyDescent="0.25">
      <c r="B31" s="107">
        <f>'CAT 963C LOADER'!B31</f>
        <v>0</v>
      </c>
      <c r="C31" s="107" t="str">
        <f>'CAT 963C LOADER'!C31</f>
        <v>CYLINDER HEAD</v>
      </c>
      <c r="D31" s="149">
        <f>'CAT 963C LOADER'!E31</f>
        <v>0</v>
      </c>
      <c r="E31" s="10">
        <f>IFERROR('CAT 963C LOADER'!H31/'CAT 963C LOADER'!E31,0)</f>
        <v>0</v>
      </c>
      <c r="F31" s="9">
        <f>'CAT 963C LOADER'!K31</f>
        <v>0</v>
      </c>
      <c r="G31" s="8">
        <f t="shared" si="0"/>
        <v>0</v>
      </c>
    </row>
    <row r="32" spans="2:7" x14ac:dyDescent="0.25">
      <c r="B32" s="107">
        <f>'CAT 963C LOADER'!B32</f>
        <v>0</v>
      </c>
      <c r="C32" s="107" t="str">
        <f>'CAT 963C LOADER'!C32</f>
        <v>TURBOCHARGER</v>
      </c>
      <c r="D32" s="149">
        <f>'CAT 963C LOADER'!E32</f>
        <v>0</v>
      </c>
      <c r="E32" s="10">
        <f>IFERROR('CAT 963C LOADER'!H32/'CAT 963C LOADER'!E32,0)</f>
        <v>0</v>
      </c>
      <c r="F32" s="9">
        <f>'CAT 963C LOADER'!K32</f>
        <v>0</v>
      </c>
      <c r="G32" s="8">
        <f t="shared" si="0"/>
        <v>0</v>
      </c>
    </row>
    <row r="33" spans="2:7" x14ac:dyDescent="0.25">
      <c r="B33" s="107">
        <f>'CAT 963C LOADER'!B33</f>
        <v>0</v>
      </c>
      <c r="C33" s="107" t="str">
        <f>'CAT 963C LOADER'!C33</f>
        <v>INJECTOR</v>
      </c>
      <c r="D33" s="149">
        <f>'CAT 963C LOADER'!E33</f>
        <v>0</v>
      </c>
      <c r="E33" s="10">
        <f>IFERROR('CAT 963C LOADER'!H33/'CAT 963C LOADER'!E33,0)</f>
        <v>0</v>
      </c>
      <c r="F33" s="9">
        <f>'CAT 963C LOADER'!K33</f>
        <v>0</v>
      </c>
      <c r="G33" s="8">
        <f t="shared" si="0"/>
        <v>0</v>
      </c>
    </row>
    <row r="34" spans="2:7" x14ac:dyDescent="0.25">
      <c r="B34" s="107">
        <f>'CAT 963C LOADER'!B34</f>
        <v>0</v>
      </c>
      <c r="C34" s="107">
        <f>'CAT 963C LOADER'!C34</f>
        <v>0</v>
      </c>
      <c r="D34" s="149">
        <f>'CAT 963C LOADER'!E34</f>
        <v>0</v>
      </c>
      <c r="E34" s="10">
        <f>IFERROR('CAT 963C LOADER'!H34/'CAT 963C LOADER'!E34,0)</f>
        <v>0</v>
      </c>
      <c r="F34" s="9">
        <f>'CAT 963C LOADER'!K34</f>
        <v>0</v>
      </c>
      <c r="G34" s="8">
        <f>D34*F34</f>
        <v>0</v>
      </c>
    </row>
    <row r="35" spans="2:7" x14ac:dyDescent="0.25">
      <c r="B35" s="107">
        <f>'CAT 963C LOADER'!B35</f>
        <v>0</v>
      </c>
      <c r="C35" s="107" t="str">
        <f>'CAT 963C LOADER'!C35</f>
        <v>BUCKET AS GENERAL PURPOSE</v>
      </c>
      <c r="D35" s="149">
        <f>'CAT 963C LOADER'!E35</f>
        <v>0</v>
      </c>
      <c r="E35" s="10">
        <f>IFERROR('CAT 963C LOADER'!H35/'CAT 963C LOADER'!E35,0)</f>
        <v>0</v>
      </c>
      <c r="F35" s="9">
        <f>'CAT 963C LOADER'!K35</f>
        <v>0</v>
      </c>
      <c r="G35" s="8">
        <f t="shared" si="0"/>
        <v>0</v>
      </c>
    </row>
    <row r="36" spans="2:7" x14ac:dyDescent="0.25">
      <c r="B36" s="107">
        <f>'CAT 963C LOADER'!B36</f>
        <v>0</v>
      </c>
      <c r="C36" s="107" t="str">
        <f>'CAT 963C LOADER'!C36</f>
        <v>TILT CYLINDER</v>
      </c>
      <c r="D36" s="149">
        <f>'CAT 963C LOADER'!E36</f>
        <v>0</v>
      </c>
      <c r="E36" s="10">
        <f>IFERROR('CAT 963C LOADER'!H36/'CAT 963C LOADER'!E36,0)</f>
        <v>0</v>
      </c>
      <c r="F36" s="9">
        <f>'CAT 963C LOADER'!K36</f>
        <v>0</v>
      </c>
      <c r="G36" s="8">
        <f t="shared" si="0"/>
        <v>0</v>
      </c>
    </row>
    <row r="37" spans="2:7" x14ac:dyDescent="0.25">
      <c r="B37" s="107">
        <f>'CAT 963C LOADER'!B37</f>
        <v>0</v>
      </c>
      <c r="C37" s="107" t="str">
        <f>'CAT 963C LOADER'!C37</f>
        <v>LIFT CYLINDER</v>
      </c>
      <c r="D37" s="149">
        <f>'CAT 963C LOADER'!E37</f>
        <v>0</v>
      </c>
      <c r="E37" s="10">
        <f>IFERROR('CAT 963C LOADER'!H37/'CAT 963C LOADER'!E37,0)</f>
        <v>0</v>
      </c>
      <c r="F37" s="9">
        <f>'CAT 963C LOADER'!K37</f>
        <v>0</v>
      </c>
      <c r="G37" s="8">
        <f t="shared" si="0"/>
        <v>0</v>
      </c>
    </row>
    <row r="38" spans="2:7" x14ac:dyDescent="0.25">
      <c r="B38" s="107">
        <f>'CAT 963C LOADER'!B38</f>
        <v>0</v>
      </c>
      <c r="C38" s="107" t="str">
        <f>'CAT 963C LOADER'!C38</f>
        <v>CUTTING EDGE</v>
      </c>
      <c r="D38" s="149">
        <f>'CAT 963C LOADER'!E38</f>
        <v>0</v>
      </c>
      <c r="E38" s="10">
        <f>IFERROR('CAT 963C LOADER'!H38/'CAT 963C LOADER'!E38,0)</f>
        <v>0</v>
      </c>
      <c r="F38" s="9">
        <f>'CAT 963C LOADER'!K38</f>
        <v>0</v>
      </c>
      <c r="G38" s="8">
        <f t="shared" si="0"/>
        <v>0</v>
      </c>
    </row>
    <row r="39" spans="2:7" x14ac:dyDescent="0.25">
      <c r="B39" s="107">
        <f>'CAT 963C LOADER'!B39</f>
        <v>0</v>
      </c>
      <c r="C39" s="107" t="str">
        <f>'CAT 963C LOADER'!C39</f>
        <v>CUTTING EDGE</v>
      </c>
      <c r="D39" s="149">
        <f>'CAT 963C LOADER'!E39</f>
        <v>0</v>
      </c>
      <c r="E39" s="10">
        <f>IFERROR('CAT 963C LOADER'!H39/'CAT 963C LOADER'!E39,0)</f>
        <v>0</v>
      </c>
      <c r="F39" s="9">
        <f>'CAT 963C LOADER'!K39</f>
        <v>0</v>
      </c>
      <c r="G39" s="8">
        <f t="shared" ref="G39:G131" si="1">D39*F39</f>
        <v>0</v>
      </c>
    </row>
    <row r="40" spans="2:7" x14ac:dyDescent="0.25">
      <c r="B40" s="107">
        <f>'CAT 963C LOADER'!B40</f>
        <v>0</v>
      </c>
      <c r="C40" s="107" t="str">
        <f>'CAT 963C LOADER'!C40</f>
        <v>CUTTING EDGE</v>
      </c>
      <c r="D40" s="149">
        <f>'CAT 963C LOADER'!E40</f>
        <v>0</v>
      </c>
      <c r="E40" s="10">
        <f>IFERROR('CAT 963C LOADER'!H40/'CAT 963C LOADER'!E40,0)</f>
        <v>0</v>
      </c>
      <c r="F40" s="9">
        <f>'CAT 963C LOADER'!K40</f>
        <v>0</v>
      </c>
      <c r="G40" s="8">
        <f t="shared" si="1"/>
        <v>0</v>
      </c>
    </row>
    <row r="41" spans="2:7" x14ac:dyDescent="0.25">
      <c r="B41" s="107">
        <f>'CAT 963C LOADER'!B41</f>
        <v>0</v>
      </c>
      <c r="C41" s="107" t="str">
        <f>'CAT 963C LOADER'!C41</f>
        <v>CUTTING EDGE</v>
      </c>
      <c r="D41" s="149">
        <f>'CAT 963C LOADER'!E41</f>
        <v>0</v>
      </c>
      <c r="E41" s="10">
        <f>IFERROR('CAT 963C LOADER'!H41/'CAT 963C LOADER'!E41,0)</f>
        <v>0</v>
      </c>
      <c r="F41" s="9">
        <f>'CAT 963C LOADER'!K41</f>
        <v>0</v>
      </c>
      <c r="G41" s="8">
        <f t="shared" si="1"/>
        <v>0</v>
      </c>
    </row>
    <row r="42" spans="2:7" x14ac:dyDescent="0.25">
      <c r="B42" s="107">
        <f>'CAT 963C LOADER'!B42</f>
        <v>0</v>
      </c>
      <c r="C42" s="107" t="str">
        <f>'CAT 963C LOADER'!C42</f>
        <v>CUTTING EDGE</v>
      </c>
      <c r="D42" s="149">
        <f>'CAT 963C LOADER'!E42</f>
        <v>0</v>
      </c>
      <c r="E42" s="10">
        <f>IFERROR('CAT 963C LOADER'!H42/'CAT 963C LOADER'!E42,0)</f>
        <v>0</v>
      </c>
      <c r="F42" s="9">
        <f>'CAT 963C LOADER'!K42</f>
        <v>0</v>
      </c>
      <c r="G42" s="8">
        <f t="shared" si="1"/>
        <v>0</v>
      </c>
    </row>
    <row r="43" spans="2:7" x14ac:dyDescent="0.25">
      <c r="B43" s="107">
        <f>'CAT 963C LOADER'!B43</f>
        <v>0</v>
      </c>
      <c r="C43" s="107" t="str">
        <f>'CAT 963C LOADER'!C43</f>
        <v>PLOW BOLT</v>
      </c>
      <c r="D43" s="149">
        <f>'CAT 963C LOADER'!E43</f>
        <v>0</v>
      </c>
      <c r="E43" s="10">
        <f>IFERROR('CAT 963C LOADER'!H43/'CAT 963C LOADER'!E43,0)</f>
        <v>0</v>
      </c>
      <c r="F43" s="9">
        <f>'CAT 963C LOADER'!K43</f>
        <v>0</v>
      </c>
      <c r="G43" s="8">
        <f t="shared" si="1"/>
        <v>0</v>
      </c>
    </row>
    <row r="44" spans="2:7" x14ac:dyDescent="0.25">
      <c r="B44" s="107">
        <f>'CAT 963C LOADER'!B44</f>
        <v>0</v>
      </c>
      <c r="C44" s="107" t="str">
        <f>'CAT 963C LOADER'!C44</f>
        <v>NUT FULL</v>
      </c>
      <c r="D44" s="149">
        <f>'CAT 963C LOADER'!E44</f>
        <v>0</v>
      </c>
      <c r="E44" s="10">
        <f>IFERROR('CAT 963C LOADER'!H44/'CAT 963C LOADER'!E44,0)</f>
        <v>0</v>
      </c>
      <c r="F44" s="9">
        <f>'CAT 963C LOADER'!K44</f>
        <v>0</v>
      </c>
      <c r="G44" s="8">
        <f t="shared" si="1"/>
        <v>0</v>
      </c>
    </row>
    <row r="45" spans="2:7" x14ac:dyDescent="0.25">
      <c r="B45" s="107">
        <f>'CAT 963C LOADER'!B45</f>
        <v>0</v>
      </c>
      <c r="C45" s="107" t="str">
        <f>'CAT 963C LOADER'!C45</f>
        <v>WASHER</v>
      </c>
      <c r="D45" s="149">
        <f>'CAT 963C LOADER'!E45</f>
        <v>0</v>
      </c>
      <c r="E45" s="10">
        <f>IFERROR('CAT 963C LOADER'!H45/'CAT 963C LOADER'!E45,0)</f>
        <v>0</v>
      </c>
      <c r="F45" s="9">
        <f>'CAT 963C LOADER'!K45</f>
        <v>0</v>
      </c>
      <c r="G45" s="8">
        <f t="shared" si="1"/>
        <v>0</v>
      </c>
    </row>
    <row r="46" spans="2:7" x14ac:dyDescent="0.25">
      <c r="B46" s="107">
        <f>'CAT 963C LOADER'!B46</f>
        <v>0</v>
      </c>
      <c r="C46" s="107" t="str">
        <f>'CAT 963C LOADER'!C46</f>
        <v xml:space="preserve">TIP RETAINER </v>
      </c>
      <c r="D46" s="149">
        <f>'CAT 963C LOADER'!E46</f>
        <v>0</v>
      </c>
      <c r="E46" s="10">
        <f>IFERROR('CAT 963C LOADER'!H46/'CAT 963C LOADER'!E46,0)</f>
        <v>0</v>
      </c>
      <c r="F46" s="9">
        <f>'CAT 963C LOADER'!K46</f>
        <v>0</v>
      </c>
      <c r="G46" s="8">
        <f t="shared" si="1"/>
        <v>0</v>
      </c>
    </row>
    <row r="47" spans="2:7" x14ac:dyDescent="0.25">
      <c r="B47" s="107">
        <f>'CAT 963C LOADER'!B47</f>
        <v>0</v>
      </c>
      <c r="C47" s="107" t="str">
        <f>'CAT 963C LOADER'!C47</f>
        <v>TIP</v>
      </c>
      <c r="D47" s="149">
        <f>'CAT 963C LOADER'!E47</f>
        <v>0</v>
      </c>
      <c r="E47" s="10">
        <f>IFERROR('CAT 963C LOADER'!H47/'CAT 963C LOADER'!E47,0)</f>
        <v>0</v>
      </c>
      <c r="F47" s="9">
        <f>'CAT 963C LOADER'!K47</f>
        <v>0</v>
      </c>
      <c r="G47" s="8">
        <f t="shared" si="1"/>
        <v>0</v>
      </c>
    </row>
    <row r="48" spans="2:7" x14ac:dyDescent="0.25">
      <c r="B48" s="107">
        <f>'CAT 963C LOADER'!B48</f>
        <v>0</v>
      </c>
      <c r="C48" s="107">
        <f>'CAT 963C LOADER'!C48</f>
        <v>0</v>
      </c>
      <c r="D48" s="149">
        <f>'CAT 963C LOADER'!E48</f>
        <v>0</v>
      </c>
      <c r="E48" s="10">
        <f>IFERROR('CAT 963C LOADER'!H48/'CAT 963C LOADER'!E48,0)</f>
        <v>0</v>
      </c>
      <c r="F48" s="9">
        <f>'CAT 963C LOADER'!K48</f>
        <v>0</v>
      </c>
      <c r="G48" s="8">
        <f t="shared" si="1"/>
        <v>0</v>
      </c>
    </row>
    <row r="49" spans="2:7" x14ac:dyDescent="0.25">
      <c r="B49" s="107">
        <f>'CAT 963C LOADER'!B49</f>
        <v>0</v>
      </c>
      <c r="C49" s="107" t="str">
        <f>'CAT 963C LOADER'!C49</f>
        <v>SEAT GP</v>
      </c>
      <c r="D49" s="149">
        <f>'CAT 963C LOADER'!E49</f>
        <v>0</v>
      </c>
      <c r="E49" s="10">
        <f>IFERROR('CAT 963C LOADER'!H49/'CAT 963C LOADER'!E49,0)</f>
        <v>0</v>
      </c>
      <c r="F49" s="9">
        <f>'CAT 963C LOADER'!K49</f>
        <v>0</v>
      </c>
      <c r="G49" s="8">
        <f t="shared" si="1"/>
        <v>0</v>
      </c>
    </row>
    <row r="50" spans="2:7" x14ac:dyDescent="0.25">
      <c r="B50" s="107">
        <f>'CAT 963C LOADER'!B50</f>
        <v>0</v>
      </c>
      <c r="C50" s="107" t="str">
        <f>'CAT 963C LOADER'!C50</f>
        <v>SEAT SUSPENSION</v>
      </c>
      <c r="D50" s="149">
        <f>'CAT 963C LOADER'!E50</f>
        <v>0</v>
      </c>
      <c r="E50" s="10">
        <f>IFERROR('CAT 963C LOADER'!H50/'CAT 963C LOADER'!E50,0)</f>
        <v>0</v>
      </c>
      <c r="F50" s="9">
        <f>'CAT 963C LOADER'!K50</f>
        <v>0</v>
      </c>
      <c r="G50" s="8">
        <f t="shared" si="1"/>
        <v>0</v>
      </c>
    </row>
    <row r="51" spans="2:7" x14ac:dyDescent="0.25">
      <c r="B51" s="107">
        <f>'CAT 963C LOADER'!B51</f>
        <v>0</v>
      </c>
      <c r="C51" s="107">
        <f>'CAT 963C LOADER'!C51</f>
        <v>0</v>
      </c>
      <c r="D51" s="149">
        <f>'CAT 963C LOADER'!E51</f>
        <v>0</v>
      </c>
      <c r="E51" s="10">
        <f>IFERROR('CAT 963C LOADER'!H51/'CAT 963C LOADER'!E51,0)</f>
        <v>0</v>
      </c>
      <c r="F51" s="9">
        <f>'CAT 963C LOADER'!K51</f>
        <v>0</v>
      </c>
      <c r="G51" s="8">
        <f t="shared" si="1"/>
        <v>0</v>
      </c>
    </row>
    <row r="52" spans="2:7" x14ac:dyDescent="0.25">
      <c r="B52" s="107">
        <f>'CAT 963C LOADER'!B52</f>
        <v>0</v>
      </c>
      <c r="C52" s="107">
        <f>'CAT 963C LOADER'!C52</f>
        <v>0</v>
      </c>
      <c r="D52" s="149">
        <f>'CAT 963C LOADER'!E52</f>
        <v>0</v>
      </c>
      <c r="E52" s="10">
        <f>IFERROR('CAT 963C LOADER'!H52/'CAT 963C LOADER'!E52,0)</f>
        <v>0</v>
      </c>
      <c r="F52" s="9">
        <f>'CAT 963C LOADER'!K52</f>
        <v>0</v>
      </c>
      <c r="G52" s="8">
        <f t="shared" si="1"/>
        <v>0</v>
      </c>
    </row>
    <row r="53" spans="2:7" x14ac:dyDescent="0.25">
      <c r="B53" s="107">
        <f>'CAT 963C LOADER'!B53</f>
        <v>0</v>
      </c>
      <c r="C53" s="107">
        <f>'CAT 963C LOADER'!C53</f>
        <v>0</v>
      </c>
      <c r="D53" s="149">
        <f>'CAT 963C LOADER'!E53</f>
        <v>0</v>
      </c>
      <c r="E53" s="10">
        <f>IFERROR('CAT 963C LOADER'!H53/'CAT 963C LOADER'!E53,0)</f>
        <v>0</v>
      </c>
      <c r="F53" s="9">
        <f>'CAT 963C LOADER'!K53</f>
        <v>0</v>
      </c>
      <c r="G53" s="8">
        <f t="shared" si="1"/>
        <v>0</v>
      </c>
    </row>
    <row r="54" spans="2:7" ht="15.75" thickBot="1" x14ac:dyDescent="0.3">
      <c r="B54" s="107">
        <f>'CAT 963C LOADER'!B54</f>
        <v>0</v>
      </c>
      <c r="C54" s="107">
        <f>'CAT 963C LOADER'!C54</f>
        <v>0</v>
      </c>
      <c r="D54" s="149">
        <f>'CAT 963C LOADER'!E54</f>
        <v>0</v>
      </c>
      <c r="E54" s="10">
        <f>IFERROR('CAT 963C LOADER'!H54/'CAT 963C LOADER'!E54,0)</f>
        <v>0</v>
      </c>
      <c r="F54" s="9">
        <f>'CAT 963C LOADER'!K54</f>
        <v>0</v>
      </c>
      <c r="G54" s="251">
        <f t="shared" si="1"/>
        <v>0</v>
      </c>
    </row>
    <row r="55" spans="2:7" x14ac:dyDescent="0.25">
      <c r="B55" s="254"/>
      <c r="C55" s="255"/>
      <c r="D55" s="256"/>
      <c r="E55" s="443" t="s">
        <v>275</v>
      </c>
      <c r="F55" s="444"/>
      <c r="G55" s="445"/>
    </row>
    <row r="56" spans="2:7" x14ac:dyDescent="0.25">
      <c r="B56" s="248"/>
      <c r="C56" s="250"/>
      <c r="D56" s="257"/>
      <c r="E56" s="446"/>
      <c r="F56" s="447"/>
      <c r="G56" s="448"/>
    </row>
    <row r="57" spans="2:7" x14ac:dyDescent="0.25">
      <c r="B57" s="248"/>
      <c r="C57" s="250"/>
      <c r="D57" s="257"/>
      <c r="E57" s="446"/>
      <c r="F57" s="447"/>
      <c r="G57" s="448"/>
    </row>
    <row r="58" spans="2:7" x14ac:dyDescent="0.25">
      <c r="B58" s="248"/>
      <c r="C58" s="250"/>
      <c r="D58" s="257"/>
      <c r="E58" s="446"/>
      <c r="F58" s="447"/>
      <c r="G58" s="448"/>
    </row>
    <row r="59" spans="2:7" x14ac:dyDescent="0.25">
      <c r="B59" s="248"/>
      <c r="C59" s="250"/>
      <c r="D59" s="257"/>
      <c r="E59" s="446"/>
      <c r="F59" s="447"/>
      <c r="G59" s="448"/>
    </row>
    <row r="60" spans="2:7" ht="15.75" thickBot="1" x14ac:dyDescent="0.3">
      <c r="B60" s="252"/>
      <c r="C60" s="253"/>
      <c r="D60" s="258"/>
      <c r="E60" s="449"/>
      <c r="F60" s="450"/>
      <c r="G60" s="451"/>
    </row>
    <row r="61" spans="2:7" x14ac:dyDescent="0.25">
      <c r="B61" s="86"/>
      <c r="C61" s="87"/>
      <c r="D61" s="452" t="s">
        <v>276</v>
      </c>
      <c r="E61" s="452"/>
      <c r="F61" s="452"/>
      <c r="G61" s="453"/>
    </row>
    <row r="62" spans="2:7" x14ac:dyDescent="0.25">
      <c r="B62" s="88"/>
      <c r="C62" s="77"/>
      <c r="D62" s="454"/>
      <c r="E62" s="454"/>
      <c r="F62" s="454"/>
      <c r="G62" s="455"/>
    </row>
    <row r="63" spans="2:7" x14ac:dyDescent="0.25">
      <c r="B63" s="88"/>
      <c r="C63" s="77"/>
      <c r="D63" s="454"/>
      <c r="E63" s="454"/>
      <c r="F63" s="454"/>
      <c r="G63" s="455"/>
    </row>
    <row r="64" spans="2:7" x14ac:dyDescent="0.25">
      <c r="B64" s="88"/>
      <c r="C64" s="77"/>
      <c r="D64" s="454"/>
      <c r="E64" s="454"/>
      <c r="F64" s="454"/>
      <c r="G64" s="455"/>
    </row>
    <row r="65" spans="2:7" x14ac:dyDescent="0.25">
      <c r="B65" s="89"/>
      <c r="C65" s="90"/>
      <c r="D65" s="456"/>
      <c r="E65" s="456"/>
      <c r="F65" s="456"/>
      <c r="G65" s="457"/>
    </row>
    <row r="66" spans="2:7" ht="15.75" thickBot="1" x14ac:dyDescent="0.3">
      <c r="B66" s="108"/>
      <c r="C66" s="109"/>
      <c r="D66" s="109"/>
      <c r="E66" s="423"/>
      <c r="F66" s="423"/>
      <c r="G66" s="423"/>
    </row>
    <row r="67" spans="2:7" x14ac:dyDescent="0.25">
      <c r="B67" s="115" t="str">
        <f>IF('CAT 963C LOADER'!C3="",'CAT 963C LOADER'!B4,'CAT 963C LOADER'!B3)</f>
        <v>CUSTOMER:</v>
      </c>
      <c r="C67" s="122">
        <f>IF('CAT 963C LOADER'!C3="",'CAT 963C LOADER'!C4,'CAT 963C LOADER'!C3)</f>
        <v>0</v>
      </c>
      <c r="D67" s="119" t="s">
        <v>33</v>
      </c>
      <c r="E67" s="413">
        <f>'CAT 963C LOADER'!C2</f>
        <v>0</v>
      </c>
      <c r="F67" s="430"/>
      <c r="G67" s="414"/>
    </row>
    <row r="68" spans="2:7" ht="15.75" thickBot="1" x14ac:dyDescent="0.3">
      <c r="B68" s="108"/>
      <c r="C68" s="109"/>
      <c r="D68" s="109"/>
      <c r="E68" s="423" t="str">
        <f>'CAT 963C LOADER'!K17</f>
        <v>CAD $</v>
      </c>
      <c r="F68" s="423"/>
      <c r="G68" s="423"/>
    </row>
    <row r="69" spans="2:7" ht="15.75" thickBot="1" x14ac:dyDescent="0.3">
      <c r="B69" s="111" t="s">
        <v>90</v>
      </c>
      <c r="C69" s="112" t="s">
        <v>91</v>
      </c>
      <c r="D69" s="113" t="s">
        <v>93</v>
      </c>
      <c r="E69" s="113" t="s">
        <v>273</v>
      </c>
      <c r="F69" s="113" t="s">
        <v>274</v>
      </c>
      <c r="G69" s="114" t="s">
        <v>254</v>
      </c>
    </row>
    <row r="70" spans="2:7" x14ac:dyDescent="0.25">
      <c r="B70" s="107">
        <f>'CAT 963C LOADER'!B55</f>
        <v>0</v>
      </c>
      <c r="C70" s="107">
        <f>'CAT 963C LOADER'!C55</f>
        <v>0</v>
      </c>
      <c r="D70" s="149">
        <f>'CAT 963C LOADER'!E55</f>
        <v>0</v>
      </c>
      <c r="E70" s="10">
        <f>IFERROR('CAT 963C LOADER'!H55/'CAT 963C LOADER'!E55,0)</f>
        <v>0</v>
      </c>
      <c r="F70" s="9">
        <f>'CAT 963C LOADER'!K55</f>
        <v>0</v>
      </c>
      <c r="G70" s="8">
        <f t="shared" ref="G70" si="2">D70*F70</f>
        <v>0</v>
      </c>
    </row>
    <row r="71" spans="2:7" x14ac:dyDescent="0.25">
      <c r="B71" s="107">
        <f>'CAT 963C LOADER'!B56</f>
        <v>0</v>
      </c>
      <c r="C71" s="107">
        <f>'CAT 963C LOADER'!C56</f>
        <v>0</v>
      </c>
      <c r="D71" s="149">
        <f>'CAT 963C LOADER'!E56</f>
        <v>0</v>
      </c>
      <c r="E71" s="10">
        <f>IFERROR('CAT 963C LOADER'!H56/'CAT 963C LOADER'!E56,0)</f>
        <v>0</v>
      </c>
      <c r="F71" s="9">
        <f>'CAT 963C LOADER'!K56</f>
        <v>0</v>
      </c>
      <c r="G71" s="8">
        <f t="shared" ref="G71:G106" si="3">D71*F71</f>
        <v>0</v>
      </c>
    </row>
    <row r="72" spans="2:7" x14ac:dyDescent="0.25">
      <c r="B72" s="107">
        <f>'CAT 963C LOADER'!B57</f>
        <v>0</v>
      </c>
      <c r="C72" s="107">
        <f>'CAT 963C LOADER'!C57</f>
        <v>0</v>
      </c>
      <c r="D72" s="149">
        <f>'CAT 963C LOADER'!E57</f>
        <v>0</v>
      </c>
      <c r="E72" s="10">
        <f>IFERROR('CAT 963C LOADER'!H57/'CAT 963C LOADER'!E57,0)</f>
        <v>0</v>
      </c>
      <c r="F72" s="9">
        <f>'CAT 963C LOADER'!K57</f>
        <v>0</v>
      </c>
      <c r="G72" s="8">
        <f t="shared" si="3"/>
        <v>0</v>
      </c>
    </row>
    <row r="73" spans="2:7" x14ac:dyDescent="0.25">
      <c r="B73" s="107">
        <f>'CAT 963C LOADER'!B58</f>
        <v>0</v>
      </c>
      <c r="C73" s="107">
        <f>'CAT 963C LOADER'!C58</f>
        <v>0</v>
      </c>
      <c r="D73" s="149">
        <f>'CAT 963C LOADER'!E58</f>
        <v>0</v>
      </c>
      <c r="E73" s="10">
        <f>IFERROR('CAT 963C LOADER'!H58/'CAT 963C LOADER'!E58,0)</f>
        <v>0</v>
      </c>
      <c r="F73" s="9">
        <f>'CAT 963C LOADER'!K58</f>
        <v>0</v>
      </c>
      <c r="G73" s="8">
        <f t="shared" si="3"/>
        <v>0</v>
      </c>
    </row>
    <row r="74" spans="2:7" x14ac:dyDescent="0.25">
      <c r="B74" s="107">
        <f>'CAT 963C LOADER'!B59</f>
        <v>0</v>
      </c>
      <c r="C74" s="107">
        <f>'CAT 963C LOADER'!C59</f>
        <v>0</v>
      </c>
      <c r="D74" s="149">
        <f>'CAT 963C LOADER'!E59</f>
        <v>0</v>
      </c>
      <c r="E74" s="10">
        <f>IFERROR('CAT 963C LOADER'!H59/'CAT 963C LOADER'!E59,0)</f>
        <v>0</v>
      </c>
      <c r="F74" s="9">
        <f>'CAT 963C LOADER'!K59</f>
        <v>0</v>
      </c>
      <c r="G74" s="8">
        <f t="shared" si="3"/>
        <v>0</v>
      </c>
    </row>
    <row r="75" spans="2:7" x14ac:dyDescent="0.25">
      <c r="B75" s="107">
        <f>'CAT 963C LOADER'!B60</f>
        <v>0</v>
      </c>
      <c r="C75" s="107">
        <f>'CAT 963C LOADER'!C60</f>
        <v>0</v>
      </c>
      <c r="D75" s="149">
        <f>'CAT 963C LOADER'!E60</f>
        <v>0</v>
      </c>
      <c r="E75" s="10">
        <f>IFERROR('CAT 963C LOADER'!H60/'CAT 963C LOADER'!E60,0)</f>
        <v>0</v>
      </c>
      <c r="F75" s="9">
        <f>'CAT 963C LOADER'!K60</f>
        <v>0</v>
      </c>
      <c r="G75" s="8">
        <f t="shared" si="3"/>
        <v>0</v>
      </c>
    </row>
    <row r="76" spans="2:7" x14ac:dyDescent="0.25">
      <c r="B76" s="107">
        <f>'CAT 963C LOADER'!B61</f>
        <v>0</v>
      </c>
      <c r="C76" s="107">
        <f>'CAT 963C LOADER'!C61</f>
        <v>0</v>
      </c>
      <c r="D76" s="149">
        <f>'CAT 963C LOADER'!E61</f>
        <v>0</v>
      </c>
      <c r="E76" s="10">
        <f>IFERROR('CAT 963C LOADER'!H61/'CAT 963C LOADER'!E61,0)</f>
        <v>0</v>
      </c>
      <c r="F76" s="9">
        <f>'CAT 963C LOADER'!K61</f>
        <v>0</v>
      </c>
      <c r="G76" s="8">
        <f t="shared" si="3"/>
        <v>0</v>
      </c>
    </row>
    <row r="77" spans="2:7" x14ac:dyDescent="0.25">
      <c r="B77" s="107">
        <f>'CAT 963C LOADER'!B62</f>
        <v>0</v>
      </c>
      <c r="C77" s="107">
        <f>'CAT 963C LOADER'!C62</f>
        <v>0</v>
      </c>
      <c r="D77" s="149">
        <f>'CAT 963C LOADER'!E62</f>
        <v>0</v>
      </c>
      <c r="E77" s="10">
        <f>IFERROR('CAT 963C LOADER'!H62/'CAT 963C LOADER'!E62,0)</f>
        <v>0</v>
      </c>
      <c r="F77" s="9">
        <f>'CAT 963C LOADER'!K62</f>
        <v>0</v>
      </c>
      <c r="G77" s="8">
        <f t="shared" si="3"/>
        <v>0</v>
      </c>
    </row>
    <row r="78" spans="2:7" x14ac:dyDescent="0.25">
      <c r="B78" s="107">
        <f>'CAT 963C LOADER'!B63</f>
        <v>0</v>
      </c>
      <c r="C78" s="107">
        <f>'CAT 963C LOADER'!C63</f>
        <v>0</v>
      </c>
      <c r="D78" s="149">
        <f>'CAT 963C LOADER'!E63</f>
        <v>0</v>
      </c>
      <c r="E78" s="10">
        <f>IFERROR('CAT 963C LOADER'!H63/'CAT 963C LOADER'!E63,0)</f>
        <v>0</v>
      </c>
      <c r="F78" s="9">
        <f>'CAT 963C LOADER'!K63</f>
        <v>0</v>
      </c>
      <c r="G78" s="8">
        <f t="shared" si="3"/>
        <v>0</v>
      </c>
    </row>
    <row r="79" spans="2:7" x14ac:dyDescent="0.25">
      <c r="B79" s="107">
        <f>'CAT 963C LOADER'!B64</f>
        <v>0</v>
      </c>
      <c r="C79" s="107">
        <f>'CAT 963C LOADER'!C64</f>
        <v>0</v>
      </c>
      <c r="D79" s="149">
        <f>'CAT 963C LOADER'!E64</f>
        <v>0</v>
      </c>
      <c r="E79" s="10">
        <f>IFERROR('CAT 963C LOADER'!H64/'CAT 963C LOADER'!E64,0)</f>
        <v>0</v>
      </c>
      <c r="F79" s="9">
        <f>'CAT 963C LOADER'!K64</f>
        <v>0</v>
      </c>
      <c r="G79" s="8">
        <f t="shared" si="3"/>
        <v>0</v>
      </c>
    </row>
    <row r="80" spans="2:7" x14ac:dyDescent="0.25">
      <c r="B80" s="107">
        <f>'CAT 963C LOADER'!B65</f>
        <v>0</v>
      </c>
      <c r="C80" s="107">
        <f>'CAT 963C LOADER'!C65</f>
        <v>0</v>
      </c>
      <c r="D80" s="149">
        <f>'CAT 963C LOADER'!E65</f>
        <v>0</v>
      </c>
      <c r="E80" s="10">
        <f>IFERROR('CAT 963C LOADER'!H65/'CAT 963C LOADER'!E65,0)</f>
        <v>0</v>
      </c>
      <c r="F80" s="9">
        <f>'CAT 963C LOADER'!K65</f>
        <v>0</v>
      </c>
      <c r="G80" s="8">
        <f t="shared" si="3"/>
        <v>0</v>
      </c>
    </row>
    <row r="81" spans="2:7" x14ac:dyDescent="0.25">
      <c r="B81" s="107">
        <f>'CAT 963C LOADER'!B66</f>
        <v>0</v>
      </c>
      <c r="C81" s="107">
        <f>'CAT 963C LOADER'!C66</f>
        <v>0</v>
      </c>
      <c r="D81" s="149">
        <f>'CAT 963C LOADER'!E66</f>
        <v>0</v>
      </c>
      <c r="E81" s="10">
        <f>IFERROR('CAT 963C LOADER'!H66/'CAT 963C LOADER'!E66,0)</f>
        <v>0</v>
      </c>
      <c r="F81" s="9">
        <f>'CAT 963C LOADER'!K66</f>
        <v>0</v>
      </c>
      <c r="G81" s="8">
        <f t="shared" si="3"/>
        <v>0</v>
      </c>
    </row>
    <row r="82" spans="2:7" x14ac:dyDescent="0.25">
      <c r="B82" s="107">
        <f>'CAT 963C LOADER'!B67</f>
        <v>0</v>
      </c>
      <c r="C82" s="107">
        <f>'CAT 963C LOADER'!C67</f>
        <v>0</v>
      </c>
      <c r="D82" s="149">
        <f>'CAT 963C LOADER'!E67</f>
        <v>0</v>
      </c>
      <c r="E82" s="10">
        <f>IFERROR('CAT 963C LOADER'!H67/'CAT 963C LOADER'!E67,0)</f>
        <v>0</v>
      </c>
      <c r="F82" s="9">
        <f>'CAT 963C LOADER'!K67</f>
        <v>0</v>
      </c>
      <c r="G82" s="8">
        <f t="shared" si="3"/>
        <v>0</v>
      </c>
    </row>
    <row r="83" spans="2:7" x14ac:dyDescent="0.25">
      <c r="B83" s="107">
        <f>'CAT 963C LOADER'!B68</f>
        <v>0</v>
      </c>
      <c r="C83" s="107">
        <f>'CAT 963C LOADER'!C68</f>
        <v>0</v>
      </c>
      <c r="D83" s="149">
        <f>'CAT 963C LOADER'!E68</f>
        <v>0</v>
      </c>
      <c r="E83" s="10">
        <f>IFERROR('CAT 963C LOADER'!H68/'CAT 963C LOADER'!E68,0)</f>
        <v>0</v>
      </c>
      <c r="F83" s="9">
        <f>'CAT 963C LOADER'!K68</f>
        <v>0</v>
      </c>
      <c r="G83" s="8">
        <f t="shared" si="3"/>
        <v>0</v>
      </c>
    </row>
    <row r="84" spans="2:7" x14ac:dyDescent="0.25">
      <c r="B84" s="107">
        <f>'CAT 963C LOADER'!B69</f>
        <v>0</v>
      </c>
      <c r="C84" s="107">
        <f>'CAT 963C LOADER'!C69</f>
        <v>0</v>
      </c>
      <c r="D84" s="149">
        <f>'CAT 963C LOADER'!E69</f>
        <v>0</v>
      </c>
      <c r="E84" s="10">
        <f>IFERROR('CAT 963C LOADER'!H69/'CAT 963C LOADER'!E69,0)</f>
        <v>0</v>
      </c>
      <c r="F84" s="9">
        <f>'CAT 963C LOADER'!K69</f>
        <v>0</v>
      </c>
      <c r="G84" s="8">
        <f t="shared" si="3"/>
        <v>0</v>
      </c>
    </row>
    <row r="85" spans="2:7" x14ac:dyDescent="0.25">
      <c r="B85" s="107">
        <f>'CAT 963C LOADER'!B70</f>
        <v>0</v>
      </c>
      <c r="C85" s="107">
        <f>'CAT 963C LOADER'!C70</f>
        <v>0</v>
      </c>
      <c r="D85" s="149">
        <f>'CAT 963C LOADER'!E70</f>
        <v>0</v>
      </c>
      <c r="E85" s="10">
        <f>IFERROR('CAT 963C LOADER'!H70/'CAT 963C LOADER'!E70,0)</f>
        <v>0</v>
      </c>
      <c r="F85" s="9">
        <f>'CAT 963C LOADER'!K70</f>
        <v>0</v>
      </c>
      <c r="G85" s="8">
        <f t="shared" si="3"/>
        <v>0</v>
      </c>
    </row>
    <row r="86" spans="2:7" x14ac:dyDescent="0.25">
      <c r="B86" s="107">
        <f>'CAT 963C LOADER'!B71</f>
        <v>0</v>
      </c>
      <c r="C86" s="107">
        <f>'CAT 963C LOADER'!C71</f>
        <v>0</v>
      </c>
      <c r="D86" s="149">
        <f>'CAT 963C LOADER'!E71</f>
        <v>0</v>
      </c>
      <c r="E86" s="10">
        <f>IFERROR('CAT 963C LOADER'!H71/'CAT 963C LOADER'!E71,0)</f>
        <v>0</v>
      </c>
      <c r="F86" s="9">
        <f>'CAT 963C LOADER'!K71</f>
        <v>0</v>
      </c>
      <c r="G86" s="8">
        <f t="shared" si="3"/>
        <v>0</v>
      </c>
    </row>
    <row r="87" spans="2:7" x14ac:dyDescent="0.25">
      <c r="B87" s="107">
        <f>'CAT 963C LOADER'!B72</f>
        <v>0</v>
      </c>
      <c r="C87" s="107">
        <f>'CAT 963C LOADER'!C72</f>
        <v>0</v>
      </c>
      <c r="D87" s="149">
        <f>'CAT 963C LOADER'!E72</f>
        <v>0</v>
      </c>
      <c r="E87" s="10">
        <f>IFERROR('CAT 963C LOADER'!H72/'CAT 963C LOADER'!E72,0)</f>
        <v>0</v>
      </c>
      <c r="F87" s="9">
        <f>'CAT 963C LOADER'!K72</f>
        <v>0</v>
      </c>
      <c r="G87" s="8">
        <f t="shared" si="3"/>
        <v>0</v>
      </c>
    </row>
    <row r="88" spans="2:7" x14ac:dyDescent="0.25">
      <c r="B88" s="107">
        <f>'CAT 963C LOADER'!B73</f>
        <v>0</v>
      </c>
      <c r="C88" s="107">
        <f>'CAT 963C LOADER'!C73</f>
        <v>0</v>
      </c>
      <c r="D88" s="149">
        <f>'CAT 963C LOADER'!E73</f>
        <v>0</v>
      </c>
      <c r="E88" s="10">
        <f>IFERROR('CAT 963C LOADER'!H73/'CAT 963C LOADER'!E73,0)</f>
        <v>0</v>
      </c>
      <c r="F88" s="9">
        <f>'CAT 963C LOADER'!K73</f>
        <v>0</v>
      </c>
      <c r="G88" s="8">
        <f t="shared" si="3"/>
        <v>0</v>
      </c>
    </row>
    <row r="89" spans="2:7" x14ac:dyDescent="0.25">
      <c r="B89" s="107">
        <f>'CAT 963C LOADER'!B74</f>
        <v>0</v>
      </c>
      <c r="C89" s="107">
        <f>'CAT 963C LOADER'!C74</f>
        <v>0</v>
      </c>
      <c r="D89" s="149">
        <f>'CAT 963C LOADER'!E74</f>
        <v>0</v>
      </c>
      <c r="E89" s="10">
        <f>IFERROR('CAT 963C LOADER'!H74/'CAT 963C LOADER'!E74,0)</f>
        <v>0</v>
      </c>
      <c r="F89" s="9">
        <f>'CAT 963C LOADER'!K74</f>
        <v>0</v>
      </c>
      <c r="G89" s="8">
        <f t="shared" si="3"/>
        <v>0</v>
      </c>
    </row>
    <row r="90" spans="2:7" x14ac:dyDescent="0.25">
      <c r="B90" s="107">
        <f>'CAT 963C LOADER'!B75</f>
        <v>0</v>
      </c>
      <c r="C90" s="107">
        <f>'CAT 963C LOADER'!C75</f>
        <v>0</v>
      </c>
      <c r="D90" s="149">
        <f>'CAT 963C LOADER'!E75</f>
        <v>0</v>
      </c>
      <c r="E90" s="10">
        <f>IFERROR('CAT 963C LOADER'!H75/'CAT 963C LOADER'!E75,0)</f>
        <v>0</v>
      </c>
      <c r="F90" s="9">
        <f>'CAT 963C LOADER'!K75</f>
        <v>0</v>
      </c>
      <c r="G90" s="8">
        <f t="shared" si="3"/>
        <v>0</v>
      </c>
    </row>
    <row r="91" spans="2:7" x14ac:dyDescent="0.25">
      <c r="B91" s="107">
        <f>'CAT 963C LOADER'!B76</f>
        <v>0</v>
      </c>
      <c r="C91" s="107">
        <f>'CAT 963C LOADER'!C76</f>
        <v>0</v>
      </c>
      <c r="D91" s="149">
        <f>'CAT 963C LOADER'!E76</f>
        <v>0</v>
      </c>
      <c r="E91" s="10">
        <f>IFERROR('CAT 963C LOADER'!H76/'CAT 963C LOADER'!E76,0)</f>
        <v>0</v>
      </c>
      <c r="F91" s="9">
        <f>'CAT 963C LOADER'!K76</f>
        <v>0</v>
      </c>
      <c r="G91" s="8">
        <f t="shared" si="3"/>
        <v>0</v>
      </c>
    </row>
    <row r="92" spans="2:7" x14ac:dyDescent="0.25">
      <c r="B92" s="107">
        <f>'CAT 963C LOADER'!B77</f>
        <v>0</v>
      </c>
      <c r="C92" s="107">
        <f>'CAT 963C LOADER'!C77</f>
        <v>0</v>
      </c>
      <c r="D92" s="149">
        <f>'CAT 963C LOADER'!E77</f>
        <v>0</v>
      </c>
      <c r="E92" s="10">
        <f>IFERROR('CAT 963C LOADER'!H77/'CAT 963C LOADER'!E77,0)</f>
        <v>0</v>
      </c>
      <c r="F92" s="9">
        <f>'CAT 963C LOADER'!K77</f>
        <v>0</v>
      </c>
      <c r="G92" s="8">
        <f t="shared" si="3"/>
        <v>0</v>
      </c>
    </row>
    <row r="93" spans="2:7" x14ac:dyDescent="0.25">
      <c r="B93" s="107">
        <f>'CAT 963C LOADER'!B78</f>
        <v>0</v>
      </c>
      <c r="C93" s="107">
        <f>'CAT 963C LOADER'!C78</f>
        <v>0</v>
      </c>
      <c r="D93" s="149">
        <f>'CAT 963C LOADER'!E78</f>
        <v>0</v>
      </c>
      <c r="E93" s="10">
        <f>IFERROR('CAT 963C LOADER'!H78/'CAT 963C LOADER'!E78,0)</f>
        <v>0</v>
      </c>
      <c r="F93" s="9">
        <f>'CAT 963C LOADER'!K78</f>
        <v>0</v>
      </c>
      <c r="G93" s="8">
        <f t="shared" si="3"/>
        <v>0</v>
      </c>
    </row>
    <row r="94" spans="2:7" x14ac:dyDescent="0.25">
      <c r="B94" s="107">
        <f>'CAT 963C LOADER'!B79</f>
        <v>0</v>
      </c>
      <c r="C94" s="107">
        <f>'CAT 963C LOADER'!C79</f>
        <v>0</v>
      </c>
      <c r="D94" s="149">
        <f>'CAT 963C LOADER'!E79</f>
        <v>0</v>
      </c>
      <c r="E94" s="10">
        <f>IFERROR('CAT 963C LOADER'!H79/'CAT 963C LOADER'!E79,0)</f>
        <v>0</v>
      </c>
      <c r="F94" s="9">
        <f>'CAT 963C LOADER'!K79</f>
        <v>0</v>
      </c>
      <c r="G94" s="8">
        <f t="shared" si="3"/>
        <v>0</v>
      </c>
    </row>
    <row r="95" spans="2:7" x14ac:dyDescent="0.25">
      <c r="B95" s="107">
        <f>'CAT 963C LOADER'!B80</f>
        <v>0</v>
      </c>
      <c r="C95" s="107">
        <f>'CAT 963C LOADER'!C80</f>
        <v>0</v>
      </c>
      <c r="D95" s="149">
        <f>'CAT 963C LOADER'!E80</f>
        <v>0</v>
      </c>
      <c r="E95" s="10">
        <f>IFERROR('CAT 963C LOADER'!H80/'CAT 963C LOADER'!E80,0)</f>
        <v>0</v>
      </c>
      <c r="F95" s="9">
        <f>'CAT 963C LOADER'!K80</f>
        <v>0</v>
      </c>
      <c r="G95" s="8">
        <f t="shared" si="3"/>
        <v>0</v>
      </c>
    </row>
    <row r="96" spans="2:7" x14ac:dyDescent="0.25">
      <c r="B96" s="107">
        <f>'CAT 963C LOADER'!B81</f>
        <v>0</v>
      </c>
      <c r="C96" s="107">
        <f>'CAT 963C LOADER'!C81</f>
        <v>0</v>
      </c>
      <c r="D96" s="149">
        <f>'CAT 963C LOADER'!E81</f>
        <v>0</v>
      </c>
      <c r="E96" s="10">
        <f>IFERROR('CAT 963C LOADER'!H81/'CAT 963C LOADER'!E81,0)</f>
        <v>0</v>
      </c>
      <c r="F96" s="9">
        <f>'CAT 963C LOADER'!K81</f>
        <v>0</v>
      </c>
      <c r="G96" s="8">
        <f t="shared" si="3"/>
        <v>0</v>
      </c>
    </row>
    <row r="97" spans="2:7" x14ac:dyDescent="0.25">
      <c r="B97" s="107">
        <f>'CAT 963C LOADER'!B82</f>
        <v>0</v>
      </c>
      <c r="C97" s="107">
        <f>'CAT 963C LOADER'!C82</f>
        <v>0</v>
      </c>
      <c r="D97" s="149">
        <f>'CAT 963C LOADER'!E82</f>
        <v>0</v>
      </c>
      <c r="E97" s="10">
        <f>IFERROR('CAT 963C LOADER'!H82/'CAT 963C LOADER'!E82,0)</f>
        <v>0</v>
      </c>
      <c r="F97" s="9">
        <f>'CAT 963C LOADER'!K82</f>
        <v>0</v>
      </c>
      <c r="G97" s="8">
        <f t="shared" si="3"/>
        <v>0</v>
      </c>
    </row>
    <row r="98" spans="2:7" x14ac:dyDescent="0.25">
      <c r="B98" s="107">
        <f>'CAT 963C LOADER'!B83</f>
        <v>0</v>
      </c>
      <c r="C98" s="107">
        <f>'CAT 963C LOADER'!C83</f>
        <v>0</v>
      </c>
      <c r="D98" s="149">
        <f>'CAT 963C LOADER'!E83</f>
        <v>0</v>
      </c>
      <c r="E98" s="10">
        <f>IFERROR('CAT 963C LOADER'!H83/'CAT 963C LOADER'!E83,0)</f>
        <v>0</v>
      </c>
      <c r="F98" s="9">
        <f>'CAT 963C LOADER'!K83</f>
        <v>0</v>
      </c>
      <c r="G98" s="8">
        <f t="shared" si="3"/>
        <v>0</v>
      </c>
    </row>
    <row r="99" spans="2:7" x14ac:dyDescent="0.25">
      <c r="B99" s="107">
        <f>'CAT 963C LOADER'!B84</f>
        <v>0</v>
      </c>
      <c r="C99" s="107">
        <f>'CAT 963C LOADER'!C84</f>
        <v>0</v>
      </c>
      <c r="D99" s="149">
        <f>'CAT 963C LOADER'!E84</f>
        <v>0</v>
      </c>
      <c r="E99" s="10">
        <f>IFERROR('CAT 963C LOADER'!H84/'CAT 963C LOADER'!E84,0)</f>
        <v>0</v>
      </c>
      <c r="F99" s="9">
        <f>'CAT 963C LOADER'!K84</f>
        <v>0</v>
      </c>
      <c r="G99" s="8">
        <f t="shared" si="3"/>
        <v>0</v>
      </c>
    </row>
    <row r="100" spans="2:7" x14ac:dyDescent="0.25">
      <c r="B100" s="107">
        <f>'CAT 963C LOADER'!B85</f>
        <v>0</v>
      </c>
      <c r="C100" s="107">
        <f>'CAT 963C LOADER'!C85</f>
        <v>0</v>
      </c>
      <c r="D100" s="149">
        <f>'CAT 963C LOADER'!E85</f>
        <v>0</v>
      </c>
      <c r="E100" s="10">
        <f>IFERROR('CAT 963C LOADER'!H85/'CAT 963C LOADER'!E85,0)</f>
        <v>0</v>
      </c>
      <c r="F100" s="9">
        <f>'CAT 963C LOADER'!K85</f>
        <v>0</v>
      </c>
      <c r="G100" s="8">
        <f t="shared" si="3"/>
        <v>0</v>
      </c>
    </row>
    <row r="101" spans="2:7" x14ac:dyDescent="0.25">
      <c r="B101" s="107">
        <f>'CAT 963C LOADER'!B86</f>
        <v>0</v>
      </c>
      <c r="C101" s="107">
        <f>'CAT 963C LOADER'!C86</f>
        <v>0</v>
      </c>
      <c r="D101" s="149">
        <f>'CAT 963C LOADER'!E86</f>
        <v>0</v>
      </c>
      <c r="E101" s="10">
        <f>IFERROR('CAT 963C LOADER'!H86/'CAT 963C LOADER'!E86,0)</f>
        <v>0</v>
      </c>
      <c r="F101" s="9">
        <f>'CAT 963C LOADER'!K86</f>
        <v>0</v>
      </c>
      <c r="G101" s="8">
        <f t="shared" si="3"/>
        <v>0</v>
      </c>
    </row>
    <row r="102" spans="2:7" x14ac:dyDescent="0.25">
      <c r="B102" s="107">
        <f>'CAT 963C LOADER'!B87</f>
        <v>0</v>
      </c>
      <c r="C102" s="107">
        <f>'CAT 963C LOADER'!C87</f>
        <v>0</v>
      </c>
      <c r="D102" s="149">
        <f>'CAT 963C LOADER'!E87</f>
        <v>0</v>
      </c>
      <c r="E102" s="10">
        <f>IFERROR('CAT 963C LOADER'!H87/'CAT 963C LOADER'!E87,0)</f>
        <v>0</v>
      </c>
      <c r="F102" s="9">
        <f>'CAT 963C LOADER'!K87</f>
        <v>0</v>
      </c>
      <c r="G102" s="8">
        <f t="shared" si="3"/>
        <v>0</v>
      </c>
    </row>
    <row r="103" spans="2:7" x14ac:dyDescent="0.25">
      <c r="B103" s="107">
        <f>'CAT 963C LOADER'!B88</f>
        <v>0</v>
      </c>
      <c r="C103" s="107">
        <f>'CAT 963C LOADER'!C88</f>
        <v>0</v>
      </c>
      <c r="D103" s="149">
        <f>'CAT 963C LOADER'!E88</f>
        <v>0</v>
      </c>
      <c r="E103" s="10">
        <f>IFERROR('CAT 963C LOADER'!H88/'CAT 963C LOADER'!E88,0)</f>
        <v>0</v>
      </c>
      <c r="F103" s="9">
        <f>'CAT 963C LOADER'!K88</f>
        <v>0</v>
      </c>
      <c r="G103" s="8">
        <f t="shared" si="3"/>
        <v>0</v>
      </c>
    </row>
    <row r="104" spans="2:7" x14ac:dyDescent="0.25">
      <c r="B104" s="107">
        <f>'CAT 963C LOADER'!B89</f>
        <v>0</v>
      </c>
      <c r="C104" s="107">
        <f>'CAT 963C LOADER'!C89</f>
        <v>0</v>
      </c>
      <c r="D104" s="149">
        <f>'CAT 963C LOADER'!E89</f>
        <v>0</v>
      </c>
      <c r="E104" s="10">
        <f>IFERROR('CAT 963C LOADER'!H89/'CAT 963C LOADER'!E89,0)</f>
        <v>0</v>
      </c>
      <c r="F104" s="9">
        <f>'CAT 963C LOADER'!K89</f>
        <v>0</v>
      </c>
      <c r="G104" s="8">
        <f t="shared" si="3"/>
        <v>0</v>
      </c>
    </row>
    <row r="105" spans="2:7" x14ac:dyDescent="0.25">
      <c r="B105" s="107">
        <f>'CAT 963C LOADER'!B90</f>
        <v>0</v>
      </c>
      <c r="C105" s="107">
        <f>'CAT 963C LOADER'!C90</f>
        <v>0</v>
      </c>
      <c r="D105" s="149">
        <f>'CAT 963C LOADER'!E90</f>
        <v>0</v>
      </c>
      <c r="E105" s="10">
        <f>IFERROR('CAT 963C LOADER'!H90/'CAT 963C LOADER'!E90,0)</f>
        <v>0</v>
      </c>
      <c r="F105" s="9">
        <f>'CAT 963C LOADER'!K90</f>
        <v>0</v>
      </c>
      <c r="G105" s="8">
        <f t="shared" si="3"/>
        <v>0</v>
      </c>
    </row>
    <row r="106" spans="2:7" x14ac:dyDescent="0.25">
      <c r="B106" s="107">
        <f>'CAT 963C LOADER'!B91</f>
        <v>0</v>
      </c>
      <c r="C106" s="107">
        <f>'CAT 963C LOADER'!C91</f>
        <v>0</v>
      </c>
      <c r="D106" s="149">
        <f>'CAT 963C LOADER'!E91</f>
        <v>0</v>
      </c>
      <c r="E106" s="10">
        <f>IFERROR('CAT 963C LOADER'!H91/'CAT 963C LOADER'!E91,0)</f>
        <v>0</v>
      </c>
      <c r="F106" s="9">
        <f>'CAT 963C LOADER'!K91</f>
        <v>0</v>
      </c>
      <c r="G106" s="8">
        <f t="shared" si="3"/>
        <v>0</v>
      </c>
    </row>
    <row r="107" spans="2:7" x14ac:dyDescent="0.25">
      <c r="B107" s="107">
        <f>'CAT 963C LOADER'!B92</f>
        <v>0</v>
      </c>
      <c r="C107" s="107">
        <f>'CAT 963C LOADER'!C92</f>
        <v>0</v>
      </c>
      <c r="D107" s="149">
        <f>'CAT 963C LOADER'!E92</f>
        <v>0</v>
      </c>
      <c r="E107" s="10">
        <f>IFERROR('CAT 963C LOADER'!H92/'CAT 963C LOADER'!E92,0)</f>
        <v>0</v>
      </c>
      <c r="F107" s="9">
        <f>'CAT 963C LOADER'!K92</f>
        <v>0</v>
      </c>
      <c r="G107" s="8">
        <f t="shared" ref="G107:G115" si="4">D107*F107</f>
        <v>0</v>
      </c>
    </row>
    <row r="108" spans="2:7" x14ac:dyDescent="0.25">
      <c r="B108" s="107">
        <f>'CAT 963C LOADER'!B93</f>
        <v>0</v>
      </c>
      <c r="C108" s="107">
        <f>'CAT 963C LOADER'!C93</f>
        <v>0</v>
      </c>
      <c r="D108" s="149">
        <f>'CAT 963C LOADER'!E93</f>
        <v>0</v>
      </c>
      <c r="E108" s="10">
        <f>IFERROR('CAT 963C LOADER'!H93/'CAT 963C LOADER'!E93,0)</f>
        <v>0</v>
      </c>
      <c r="F108" s="9">
        <f>'CAT 963C LOADER'!K93</f>
        <v>0</v>
      </c>
      <c r="G108" s="8">
        <f t="shared" si="4"/>
        <v>0</v>
      </c>
    </row>
    <row r="109" spans="2:7" x14ac:dyDescent="0.25">
      <c r="B109" s="107">
        <f>'CAT 963C LOADER'!B94</f>
        <v>0</v>
      </c>
      <c r="C109" s="107">
        <f>'CAT 963C LOADER'!C94</f>
        <v>0</v>
      </c>
      <c r="D109" s="149">
        <f>'CAT 963C LOADER'!E94</f>
        <v>0</v>
      </c>
      <c r="E109" s="10">
        <f>IFERROR('CAT 963C LOADER'!H94/'CAT 963C LOADER'!E94,0)</f>
        <v>0</v>
      </c>
      <c r="F109" s="9">
        <f>'CAT 963C LOADER'!K94</f>
        <v>0</v>
      </c>
      <c r="G109" s="8">
        <f t="shared" si="4"/>
        <v>0</v>
      </c>
    </row>
    <row r="110" spans="2:7" x14ac:dyDescent="0.25">
      <c r="B110" s="107">
        <f>'CAT 963C LOADER'!B95</f>
        <v>0</v>
      </c>
      <c r="C110" s="107">
        <f>'CAT 963C LOADER'!C95</f>
        <v>0</v>
      </c>
      <c r="D110" s="149">
        <f>'CAT 963C LOADER'!E95</f>
        <v>0</v>
      </c>
      <c r="E110" s="10">
        <f>IFERROR('CAT 963C LOADER'!H95/'CAT 963C LOADER'!E95,0)</f>
        <v>0</v>
      </c>
      <c r="F110" s="9">
        <f>'CAT 963C LOADER'!K95</f>
        <v>0</v>
      </c>
      <c r="G110" s="8">
        <f t="shared" si="4"/>
        <v>0</v>
      </c>
    </row>
    <row r="111" spans="2:7" x14ac:dyDescent="0.25">
      <c r="B111" s="107">
        <f>'CAT 963C LOADER'!B96</f>
        <v>0</v>
      </c>
      <c r="C111" s="107">
        <f>'CAT 963C LOADER'!C96</f>
        <v>0</v>
      </c>
      <c r="D111" s="149">
        <f>'CAT 963C LOADER'!E96</f>
        <v>0</v>
      </c>
      <c r="E111" s="10">
        <f>IFERROR('CAT 963C LOADER'!H96/'CAT 963C LOADER'!E96,0)</f>
        <v>0</v>
      </c>
      <c r="F111" s="9">
        <f>'CAT 963C LOADER'!K96</f>
        <v>0</v>
      </c>
      <c r="G111" s="8">
        <f t="shared" si="4"/>
        <v>0</v>
      </c>
    </row>
    <row r="112" spans="2:7" x14ac:dyDescent="0.25">
      <c r="B112" s="107">
        <f>'CAT 963C LOADER'!B97</f>
        <v>0</v>
      </c>
      <c r="C112" s="107">
        <f>'CAT 963C LOADER'!C97</f>
        <v>0</v>
      </c>
      <c r="D112" s="149">
        <f>'CAT 963C LOADER'!E97</f>
        <v>0</v>
      </c>
      <c r="E112" s="10">
        <f>IFERROR('CAT 963C LOADER'!H97/'CAT 963C LOADER'!E97,0)</f>
        <v>0</v>
      </c>
      <c r="F112" s="9">
        <f>'CAT 963C LOADER'!K97</f>
        <v>0</v>
      </c>
      <c r="G112" s="8">
        <f t="shared" si="4"/>
        <v>0</v>
      </c>
    </row>
    <row r="113" spans="2:7" x14ac:dyDescent="0.25">
      <c r="B113" s="107">
        <f>'CAT 963C LOADER'!B98</f>
        <v>0</v>
      </c>
      <c r="C113" s="107">
        <f>'CAT 963C LOADER'!C98</f>
        <v>0</v>
      </c>
      <c r="D113" s="149">
        <f>'CAT 963C LOADER'!E98</f>
        <v>0</v>
      </c>
      <c r="E113" s="10">
        <f>IFERROR('CAT 963C LOADER'!H98/'CAT 963C LOADER'!E98,0)</f>
        <v>0</v>
      </c>
      <c r="F113" s="9">
        <f>'CAT 963C LOADER'!K98</f>
        <v>0</v>
      </c>
      <c r="G113" s="8">
        <f t="shared" si="4"/>
        <v>0</v>
      </c>
    </row>
    <row r="114" spans="2:7" x14ac:dyDescent="0.25">
      <c r="B114" s="107">
        <f>'CAT 963C LOADER'!B99</f>
        <v>0</v>
      </c>
      <c r="C114" s="107">
        <f>'CAT 963C LOADER'!C99</f>
        <v>0</v>
      </c>
      <c r="D114" s="149">
        <f>'CAT 963C LOADER'!E99</f>
        <v>0</v>
      </c>
      <c r="E114" s="10">
        <f>IFERROR('CAT 963C LOADER'!H99/'CAT 963C LOADER'!E99,0)</f>
        <v>0</v>
      </c>
      <c r="F114" s="9">
        <f>'CAT 963C LOADER'!K99</f>
        <v>0</v>
      </c>
      <c r="G114" s="8">
        <f t="shared" si="4"/>
        <v>0</v>
      </c>
    </row>
    <row r="115" spans="2:7" ht="15.75" thickBot="1" x14ac:dyDescent="0.3">
      <c r="B115" s="107">
        <f>'CAT 963C LOADER'!B100</f>
        <v>0</v>
      </c>
      <c r="C115" s="107">
        <f>'CAT 963C LOADER'!C100</f>
        <v>0</v>
      </c>
      <c r="D115" s="149">
        <f>'CAT 963C LOADER'!E100</f>
        <v>0</v>
      </c>
      <c r="E115" s="10">
        <f>IFERROR('CAT 963C LOADER'!H100/'CAT 963C LOADER'!E100,0)</f>
        <v>0</v>
      </c>
      <c r="F115" s="9">
        <f>'CAT 963C LOADER'!K100</f>
        <v>0</v>
      </c>
      <c r="G115" s="8">
        <f t="shared" si="4"/>
        <v>0</v>
      </c>
    </row>
    <row r="116" spans="2:7" x14ac:dyDescent="0.25">
      <c r="B116" s="254"/>
      <c r="C116" s="255"/>
      <c r="D116" s="256"/>
      <c r="E116" s="443" t="s">
        <v>275</v>
      </c>
      <c r="F116" s="444"/>
      <c r="G116" s="445"/>
    </row>
    <row r="117" spans="2:7" x14ac:dyDescent="0.25">
      <c r="B117" s="248"/>
      <c r="C117" s="250"/>
      <c r="D117" s="257"/>
      <c r="E117" s="446"/>
      <c r="F117" s="447"/>
      <c r="G117" s="448"/>
    </row>
    <row r="118" spans="2:7" x14ac:dyDescent="0.25">
      <c r="B118" s="248"/>
      <c r="C118" s="250"/>
      <c r="D118" s="257"/>
      <c r="E118" s="446"/>
      <c r="F118" s="447"/>
      <c r="G118" s="448"/>
    </row>
    <row r="119" spans="2:7" x14ac:dyDescent="0.25">
      <c r="B119" s="248"/>
      <c r="C119" s="250"/>
      <c r="D119" s="257"/>
      <c r="E119" s="446"/>
      <c r="F119" s="447"/>
      <c r="G119" s="448"/>
    </row>
    <row r="120" spans="2:7" x14ac:dyDescent="0.25">
      <c r="B120" s="248"/>
      <c r="C120" s="250"/>
      <c r="D120" s="257"/>
      <c r="E120" s="446"/>
      <c r="F120" s="447"/>
      <c r="G120" s="448"/>
    </row>
    <row r="121" spans="2:7" ht="15.75" thickBot="1" x14ac:dyDescent="0.3">
      <c r="B121" s="252"/>
      <c r="C121" s="253"/>
      <c r="D121" s="258"/>
      <c r="E121" s="449"/>
      <c r="F121" s="450"/>
      <c r="G121" s="451"/>
    </row>
    <row r="122" spans="2:7" x14ac:dyDescent="0.25">
      <c r="B122" s="86"/>
      <c r="C122" s="87"/>
      <c r="D122" s="452" t="s">
        <v>276</v>
      </c>
      <c r="E122" s="452"/>
      <c r="F122" s="452"/>
      <c r="G122" s="453"/>
    </row>
    <row r="123" spans="2:7" x14ac:dyDescent="0.25">
      <c r="B123" s="88"/>
      <c r="C123" s="77"/>
      <c r="D123" s="454"/>
      <c r="E123" s="454"/>
      <c r="F123" s="454"/>
      <c r="G123" s="455"/>
    </row>
    <row r="124" spans="2:7" x14ac:dyDescent="0.25">
      <c r="B124" s="88"/>
      <c r="C124" s="77"/>
      <c r="D124" s="454"/>
      <c r="E124" s="454"/>
      <c r="F124" s="454"/>
      <c r="G124" s="455"/>
    </row>
    <row r="125" spans="2:7" x14ac:dyDescent="0.25">
      <c r="B125" s="88"/>
      <c r="C125" s="77"/>
      <c r="D125" s="454"/>
      <c r="E125" s="454"/>
      <c r="F125" s="454"/>
      <c r="G125" s="455"/>
    </row>
    <row r="126" spans="2:7" x14ac:dyDescent="0.25">
      <c r="B126" s="89"/>
      <c r="C126" s="90"/>
      <c r="D126" s="456"/>
      <c r="E126" s="456"/>
      <c r="F126" s="456"/>
      <c r="G126" s="457"/>
    </row>
    <row r="127" spans="2:7" ht="15.75" thickBot="1" x14ac:dyDescent="0.3">
      <c r="B127" s="108"/>
      <c r="C127" s="109"/>
      <c r="D127" s="109"/>
      <c r="E127" s="423"/>
      <c r="F127" s="423"/>
      <c r="G127" s="423"/>
    </row>
    <row r="128" spans="2:7" x14ac:dyDescent="0.25">
      <c r="B128" s="115" t="str">
        <f>IF('CAT 963C LOADER'!C3="",'CAT 963C LOADER'!B4,'CAT 963C LOADER'!B3)</f>
        <v>CUSTOMER:</v>
      </c>
      <c r="C128" s="122">
        <f>IF('CAT 963C LOADER'!C3="",'CAT 963C LOADER'!C4,'CAT 963C LOADER'!C3)</f>
        <v>0</v>
      </c>
      <c r="D128" s="119" t="s">
        <v>33</v>
      </c>
      <c r="E128" s="413">
        <f>'CAT 963C LOADER'!C2</f>
        <v>0</v>
      </c>
      <c r="F128" s="430"/>
      <c r="G128" s="414"/>
    </row>
    <row r="129" spans="2:7" ht="15.75" thickBot="1" x14ac:dyDescent="0.3">
      <c r="B129" s="108"/>
      <c r="C129" s="109"/>
      <c r="D129" s="109"/>
      <c r="E129" s="423" t="str">
        <f>'CAT 963C LOADER'!K17</f>
        <v>CAD $</v>
      </c>
      <c r="F129" s="423"/>
      <c r="G129" s="423"/>
    </row>
    <row r="130" spans="2:7" ht="15.75" thickBot="1" x14ac:dyDescent="0.3">
      <c r="B130" s="111" t="s">
        <v>90</v>
      </c>
      <c r="C130" s="112" t="s">
        <v>91</v>
      </c>
      <c r="D130" s="113" t="s">
        <v>93</v>
      </c>
      <c r="E130" s="113" t="s">
        <v>273</v>
      </c>
      <c r="F130" s="113" t="s">
        <v>274</v>
      </c>
      <c r="G130" s="114" t="s">
        <v>254</v>
      </c>
    </row>
    <row r="131" spans="2:7" x14ac:dyDescent="0.25">
      <c r="B131" s="107">
        <f>'CAT 963C LOADER'!B101</f>
        <v>0</v>
      </c>
      <c r="C131" s="107">
        <f>'CAT 963C LOADER'!C101</f>
        <v>0</v>
      </c>
      <c r="D131" s="149">
        <f>'CAT 963C LOADER'!E101</f>
        <v>0</v>
      </c>
      <c r="E131" s="10">
        <f>IFERROR('CAT 963C LOADER'!H101/'CAT 963C LOADER'!E101,0)</f>
        <v>0</v>
      </c>
      <c r="F131" s="9">
        <f>'CAT 963C LOADER'!K101</f>
        <v>0</v>
      </c>
      <c r="G131" s="8">
        <f t="shared" si="1"/>
        <v>0</v>
      </c>
    </row>
    <row r="132" spans="2:7" x14ac:dyDescent="0.25">
      <c r="B132" s="107">
        <f>'CAT 963C LOADER'!B102</f>
        <v>0</v>
      </c>
      <c r="C132" s="107">
        <f>'CAT 963C LOADER'!C102</f>
        <v>0</v>
      </c>
      <c r="D132" s="149">
        <f>'CAT 963C LOADER'!E102</f>
        <v>0</v>
      </c>
      <c r="E132" s="10">
        <f>IFERROR('CAT 963C LOADER'!H102/'CAT 963C LOADER'!E102,0)</f>
        <v>0</v>
      </c>
      <c r="F132" s="9">
        <f>'CAT 963C LOADER'!K102</f>
        <v>0</v>
      </c>
      <c r="G132" s="8">
        <f t="shared" ref="G132:G158" si="5">D132*F132</f>
        <v>0</v>
      </c>
    </row>
    <row r="133" spans="2:7" x14ac:dyDescent="0.25">
      <c r="B133" s="107">
        <f>'CAT 963C LOADER'!B103</f>
        <v>0</v>
      </c>
      <c r="C133" s="107">
        <f>'CAT 963C LOADER'!C103</f>
        <v>0</v>
      </c>
      <c r="D133" s="149">
        <f>'CAT 963C LOADER'!E103</f>
        <v>0</v>
      </c>
      <c r="E133" s="10">
        <f>IFERROR('CAT 963C LOADER'!H103/'CAT 963C LOADER'!E103,0)</f>
        <v>0</v>
      </c>
      <c r="F133" s="9">
        <f>'CAT 963C LOADER'!K103</f>
        <v>0</v>
      </c>
      <c r="G133" s="8">
        <f t="shared" si="5"/>
        <v>0</v>
      </c>
    </row>
    <row r="134" spans="2:7" x14ac:dyDescent="0.25">
      <c r="B134" s="107">
        <f>'CAT 963C LOADER'!B104</f>
        <v>0</v>
      </c>
      <c r="C134" s="107">
        <f>'CAT 963C LOADER'!C104</f>
        <v>0</v>
      </c>
      <c r="D134" s="149">
        <f>'CAT 963C LOADER'!E104</f>
        <v>0</v>
      </c>
      <c r="E134" s="10">
        <f>IFERROR('CAT 963C LOADER'!H104/'CAT 963C LOADER'!E104,0)</f>
        <v>0</v>
      </c>
      <c r="F134" s="9">
        <f>'CAT 963C LOADER'!K104</f>
        <v>0</v>
      </c>
      <c r="G134" s="8">
        <f t="shared" si="5"/>
        <v>0</v>
      </c>
    </row>
    <row r="135" spans="2:7" x14ac:dyDescent="0.25">
      <c r="B135" s="107">
        <f>'CAT 963C LOADER'!B105</f>
        <v>0</v>
      </c>
      <c r="C135" s="107">
        <f>'CAT 963C LOADER'!C105</f>
        <v>0</v>
      </c>
      <c r="D135" s="149">
        <f>'CAT 963C LOADER'!E105</f>
        <v>0</v>
      </c>
      <c r="E135" s="10">
        <f>IFERROR('CAT 963C LOADER'!H105/'CAT 963C LOADER'!E105,0)</f>
        <v>0</v>
      </c>
      <c r="F135" s="9">
        <f>'CAT 963C LOADER'!K105</f>
        <v>0</v>
      </c>
      <c r="G135" s="8">
        <f t="shared" si="5"/>
        <v>0</v>
      </c>
    </row>
    <row r="136" spans="2:7" x14ac:dyDescent="0.25">
      <c r="B136" s="107">
        <f>'CAT 963C LOADER'!B106</f>
        <v>0</v>
      </c>
      <c r="C136" s="107">
        <f>'CAT 963C LOADER'!C106</f>
        <v>0</v>
      </c>
      <c r="D136" s="149">
        <f>'CAT 963C LOADER'!E106</f>
        <v>0</v>
      </c>
      <c r="E136" s="10">
        <f>IFERROR('CAT 963C LOADER'!H106/'CAT 963C LOADER'!E106,0)</f>
        <v>0</v>
      </c>
      <c r="F136" s="9">
        <f>'CAT 963C LOADER'!K106</f>
        <v>0</v>
      </c>
      <c r="G136" s="8">
        <f t="shared" si="5"/>
        <v>0</v>
      </c>
    </row>
    <row r="137" spans="2:7" x14ac:dyDescent="0.25">
      <c r="B137" s="107">
        <f>'CAT 963C LOADER'!B107</f>
        <v>0</v>
      </c>
      <c r="C137" s="107">
        <f>'CAT 963C LOADER'!C107</f>
        <v>0</v>
      </c>
      <c r="D137" s="149">
        <f>'CAT 963C LOADER'!E107</f>
        <v>0</v>
      </c>
      <c r="E137" s="10">
        <f>IFERROR('CAT 963C LOADER'!H107/'CAT 963C LOADER'!E107,0)</f>
        <v>0</v>
      </c>
      <c r="F137" s="9">
        <f>'CAT 963C LOADER'!K107</f>
        <v>0</v>
      </c>
      <c r="G137" s="8">
        <f t="shared" si="5"/>
        <v>0</v>
      </c>
    </row>
    <row r="138" spans="2:7" x14ac:dyDescent="0.25">
      <c r="B138" s="107">
        <f>'CAT 963C LOADER'!B108</f>
        <v>0</v>
      </c>
      <c r="C138" s="107">
        <f>'CAT 963C LOADER'!C108</f>
        <v>0</v>
      </c>
      <c r="D138" s="149">
        <f>'CAT 963C LOADER'!E108</f>
        <v>0</v>
      </c>
      <c r="E138" s="10">
        <f>IFERROR('CAT 963C LOADER'!H108/'CAT 963C LOADER'!E108,0)</f>
        <v>0</v>
      </c>
      <c r="F138" s="9">
        <f>'CAT 963C LOADER'!K108</f>
        <v>0</v>
      </c>
      <c r="G138" s="8">
        <f t="shared" si="5"/>
        <v>0</v>
      </c>
    </row>
    <row r="139" spans="2:7" x14ac:dyDescent="0.25">
      <c r="B139" s="107">
        <f>'CAT 963C LOADER'!B109</f>
        <v>0</v>
      </c>
      <c r="C139" s="107">
        <f>'CAT 963C LOADER'!C109</f>
        <v>0</v>
      </c>
      <c r="D139" s="149">
        <f>'CAT 963C LOADER'!E109</f>
        <v>0</v>
      </c>
      <c r="E139" s="10">
        <f>IFERROR('CAT 963C LOADER'!H109/'CAT 963C LOADER'!E109,0)</f>
        <v>0</v>
      </c>
      <c r="F139" s="9">
        <f>'CAT 963C LOADER'!K109</f>
        <v>0</v>
      </c>
      <c r="G139" s="8">
        <f t="shared" si="5"/>
        <v>0</v>
      </c>
    </row>
    <row r="140" spans="2:7" x14ac:dyDescent="0.25">
      <c r="B140" s="107">
        <f>'CAT 963C LOADER'!B110</f>
        <v>0</v>
      </c>
      <c r="C140" s="107">
        <f>'CAT 963C LOADER'!C110</f>
        <v>0</v>
      </c>
      <c r="D140" s="149">
        <f>'CAT 963C LOADER'!E110</f>
        <v>0</v>
      </c>
      <c r="E140" s="10">
        <f>IFERROR('CAT 963C LOADER'!H110/'CAT 963C LOADER'!E110,0)</f>
        <v>0</v>
      </c>
      <c r="F140" s="9">
        <f>'CAT 963C LOADER'!K110</f>
        <v>0</v>
      </c>
      <c r="G140" s="8">
        <f t="shared" si="5"/>
        <v>0</v>
      </c>
    </row>
    <row r="141" spans="2:7" x14ac:dyDescent="0.25">
      <c r="B141" s="107">
        <f>'CAT 963C LOADER'!B111</f>
        <v>0</v>
      </c>
      <c r="C141" s="107">
        <f>'CAT 963C LOADER'!C111</f>
        <v>0</v>
      </c>
      <c r="D141" s="149">
        <f>'CAT 963C LOADER'!E111</f>
        <v>0</v>
      </c>
      <c r="E141" s="10">
        <f>IFERROR('CAT 963C LOADER'!H111/'CAT 963C LOADER'!E111,0)</f>
        <v>0</v>
      </c>
      <c r="F141" s="9">
        <f>'CAT 963C LOADER'!K111</f>
        <v>0</v>
      </c>
      <c r="G141" s="8">
        <f t="shared" si="5"/>
        <v>0</v>
      </c>
    </row>
    <row r="142" spans="2:7" x14ac:dyDescent="0.25">
      <c r="B142" s="107">
        <f>'CAT 963C LOADER'!B112</f>
        <v>0</v>
      </c>
      <c r="C142" s="107">
        <f>'CAT 963C LOADER'!C112</f>
        <v>0</v>
      </c>
      <c r="D142" s="149">
        <f>'CAT 963C LOADER'!E112</f>
        <v>0</v>
      </c>
      <c r="E142" s="10">
        <f>IFERROR('CAT 963C LOADER'!H112/'CAT 963C LOADER'!E112,0)</f>
        <v>0</v>
      </c>
      <c r="F142" s="9">
        <f>'CAT 963C LOADER'!K112</f>
        <v>0</v>
      </c>
      <c r="G142" s="8">
        <f t="shared" si="5"/>
        <v>0</v>
      </c>
    </row>
    <row r="143" spans="2:7" x14ac:dyDescent="0.25">
      <c r="B143" s="107">
        <f>'CAT 963C LOADER'!B113</f>
        <v>0</v>
      </c>
      <c r="C143" s="107">
        <f>'CAT 963C LOADER'!C113</f>
        <v>0</v>
      </c>
      <c r="D143" s="149">
        <f>'CAT 963C LOADER'!E113</f>
        <v>0</v>
      </c>
      <c r="E143" s="10">
        <f>IFERROR('CAT 963C LOADER'!H113/'CAT 963C LOADER'!E113,0)</f>
        <v>0</v>
      </c>
      <c r="F143" s="9">
        <f>'CAT 963C LOADER'!K113</f>
        <v>0</v>
      </c>
      <c r="G143" s="8">
        <f t="shared" si="5"/>
        <v>0</v>
      </c>
    </row>
    <row r="144" spans="2:7" x14ac:dyDescent="0.25">
      <c r="B144" s="107">
        <f>'CAT 963C LOADER'!B114</f>
        <v>0</v>
      </c>
      <c r="C144" s="107">
        <f>'CAT 963C LOADER'!C114</f>
        <v>0</v>
      </c>
      <c r="D144" s="149">
        <f>'CAT 963C LOADER'!E114</f>
        <v>0</v>
      </c>
      <c r="E144" s="10">
        <f>IFERROR('CAT 963C LOADER'!H114/'CAT 963C LOADER'!E114,0)</f>
        <v>0</v>
      </c>
      <c r="F144" s="9">
        <f>'CAT 963C LOADER'!K114</f>
        <v>0</v>
      </c>
      <c r="G144" s="8">
        <f t="shared" si="5"/>
        <v>0</v>
      </c>
    </row>
    <row r="145" spans="2:7" x14ac:dyDescent="0.25">
      <c r="B145" s="107">
        <f>'CAT 963C LOADER'!B115</f>
        <v>0</v>
      </c>
      <c r="C145" s="107">
        <f>'CAT 963C LOADER'!C115</f>
        <v>0</v>
      </c>
      <c r="D145" s="149">
        <f>'CAT 963C LOADER'!E115</f>
        <v>0</v>
      </c>
      <c r="E145" s="10">
        <f>IFERROR('CAT 963C LOADER'!H115/'CAT 963C LOADER'!E115,0)</f>
        <v>0</v>
      </c>
      <c r="F145" s="9">
        <f>'CAT 963C LOADER'!K115</f>
        <v>0</v>
      </c>
      <c r="G145" s="8">
        <f t="shared" si="5"/>
        <v>0</v>
      </c>
    </row>
    <row r="146" spans="2:7" x14ac:dyDescent="0.25">
      <c r="B146" s="107">
        <f>'CAT 963C LOADER'!B116</f>
        <v>0</v>
      </c>
      <c r="C146" s="107">
        <f>'CAT 963C LOADER'!C116</f>
        <v>0</v>
      </c>
      <c r="D146" s="149">
        <f>'CAT 963C LOADER'!E116</f>
        <v>0</v>
      </c>
      <c r="E146" s="10">
        <f>IFERROR('CAT 963C LOADER'!H116/'CAT 963C LOADER'!E116,0)</f>
        <v>0</v>
      </c>
      <c r="F146" s="9">
        <f>'CAT 963C LOADER'!K116</f>
        <v>0</v>
      </c>
      <c r="G146" s="8">
        <f t="shared" si="5"/>
        <v>0</v>
      </c>
    </row>
    <row r="147" spans="2:7" x14ac:dyDescent="0.25">
      <c r="B147" s="107">
        <f>'CAT 963C LOADER'!B117</f>
        <v>0</v>
      </c>
      <c r="C147" s="107">
        <f>'CAT 963C LOADER'!C117</f>
        <v>0</v>
      </c>
      <c r="D147" s="149">
        <f>'CAT 963C LOADER'!E117</f>
        <v>0</v>
      </c>
      <c r="E147" s="10">
        <f>IFERROR('CAT 963C LOADER'!H117/'CAT 963C LOADER'!E117,0)</f>
        <v>0</v>
      </c>
      <c r="F147" s="9">
        <f>'CAT 963C LOADER'!K117</f>
        <v>0</v>
      </c>
      <c r="G147" s="8">
        <f t="shared" si="5"/>
        <v>0</v>
      </c>
    </row>
    <row r="148" spans="2:7" x14ac:dyDescent="0.25">
      <c r="B148" s="107">
        <f>'CAT 963C LOADER'!B118</f>
        <v>0</v>
      </c>
      <c r="C148" s="107">
        <f>'CAT 963C LOADER'!C118</f>
        <v>0</v>
      </c>
      <c r="D148" s="149">
        <f>'CAT 963C LOADER'!E118</f>
        <v>0</v>
      </c>
      <c r="E148" s="10">
        <f>IFERROR('CAT 963C LOADER'!H118/'CAT 963C LOADER'!E118,0)</f>
        <v>0</v>
      </c>
      <c r="F148" s="9">
        <f>'CAT 963C LOADER'!K118</f>
        <v>0</v>
      </c>
      <c r="G148" s="8">
        <f t="shared" si="5"/>
        <v>0</v>
      </c>
    </row>
    <row r="149" spans="2:7" x14ac:dyDescent="0.25">
      <c r="B149" s="107">
        <f>'CAT 963C LOADER'!B119</f>
        <v>0</v>
      </c>
      <c r="C149" s="107">
        <f>'CAT 963C LOADER'!C119</f>
        <v>0</v>
      </c>
      <c r="D149" s="149">
        <f>'CAT 963C LOADER'!E119</f>
        <v>0</v>
      </c>
      <c r="E149" s="10">
        <f>IFERROR('CAT 963C LOADER'!H119/'CAT 963C LOADER'!E119,0)</f>
        <v>0</v>
      </c>
      <c r="F149" s="9">
        <f>'CAT 963C LOADER'!K119</f>
        <v>0</v>
      </c>
      <c r="G149" s="8">
        <f t="shared" si="5"/>
        <v>0</v>
      </c>
    </row>
    <row r="150" spans="2:7" x14ac:dyDescent="0.25">
      <c r="B150" s="107">
        <f>'CAT 963C LOADER'!B120</f>
        <v>0</v>
      </c>
      <c r="C150" s="107">
        <f>'CAT 963C LOADER'!C120</f>
        <v>0</v>
      </c>
      <c r="D150" s="149">
        <f>'CAT 963C LOADER'!E120</f>
        <v>0</v>
      </c>
      <c r="E150" s="10">
        <f>IFERROR('CAT 963C LOADER'!H120/'CAT 963C LOADER'!E120,0)</f>
        <v>0</v>
      </c>
      <c r="F150" s="9">
        <f>'CAT 963C LOADER'!K120</f>
        <v>0</v>
      </c>
      <c r="G150" s="8">
        <f t="shared" si="5"/>
        <v>0</v>
      </c>
    </row>
    <row r="151" spans="2:7" x14ac:dyDescent="0.25">
      <c r="B151" s="107">
        <f>'CAT 963C LOADER'!B121</f>
        <v>0</v>
      </c>
      <c r="C151" s="107">
        <f>'CAT 963C LOADER'!C121</f>
        <v>0</v>
      </c>
      <c r="D151" s="149">
        <f>'CAT 963C LOADER'!E121</f>
        <v>0</v>
      </c>
      <c r="E151" s="10">
        <f>IFERROR('CAT 963C LOADER'!H121/'CAT 963C LOADER'!E121,0)</f>
        <v>0</v>
      </c>
      <c r="F151" s="9">
        <f>'CAT 963C LOADER'!K121</f>
        <v>0</v>
      </c>
      <c r="G151" s="8">
        <f t="shared" si="5"/>
        <v>0</v>
      </c>
    </row>
    <row r="152" spans="2:7" x14ac:dyDescent="0.25">
      <c r="B152" s="107">
        <f>'CAT 963C LOADER'!B122</f>
        <v>0</v>
      </c>
      <c r="C152" s="107">
        <f>'CAT 963C LOADER'!C122</f>
        <v>0</v>
      </c>
      <c r="D152" s="149">
        <f>'CAT 963C LOADER'!E122</f>
        <v>0</v>
      </c>
      <c r="E152" s="10">
        <f>IFERROR('CAT 963C LOADER'!H122/'CAT 963C LOADER'!E122,0)</f>
        <v>0</v>
      </c>
      <c r="F152" s="9">
        <f>'CAT 963C LOADER'!K122</f>
        <v>0</v>
      </c>
      <c r="G152" s="8">
        <f t="shared" si="5"/>
        <v>0</v>
      </c>
    </row>
    <row r="153" spans="2:7" x14ac:dyDescent="0.25">
      <c r="B153" s="107">
        <f>'CAT 963C LOADER'!B123</f>
        <v>0</v>
      </c>
      <c r="C153" s="107">
        <f>'CAT 963C LOADER'!C123</f>
        <v>0</v>
      </c>
      <c r="D153" s="149">
        <f>'CAT 963C LOADER'!E123</f>
        <v>0</v>
      </c>
      <c r="E153" s="10">
        <f>IFERROR('CAT 963C LOADER'!H123/'CAT 963C LOADER'!E123,0)</f>
        <v>0</v>
      </c>
      <c r="F153" s="9">
        <f>'CAT 963C LOADER'!K123</f>
        <v>0</v>
      </c>
      <c r="G153" s="8">
        <f t="shared" si="5"/>
        <v>0</v>
      </c>
    </row>
    <row r="154" spans="2:7" x14ac:dyDescent="0.25">
      <c r="B154" s="107">
        <f>'CAT 963C LOADER'!B124</f>
        <v>0</v>
      </c>
      <c r="C154" s="107">
        <f>'CAT 963C LOADER'!C124</f>
        <v>0</v>
      </c>
      <c r="D154" s="149">
        <f>'CAT 963C LOADER'!E124</f>
        <v>0</v>
      </c>
      <c r="E154" s="10">
        <f>IFERROR('CAT 963C LOADER'!H124/'CAT 963C LOADER'!E124,0)</f>
        <v>0</v>
      </c>
      <c r="F154" s="9">
        <f>'CAT 963C LOADER'!K124</f>
        <v>0</v>
      </c>
      <c r="G154" s="8">
        <f t="shared" si="5"/>
        <v>0</v>
      </c>
    </row>
    <row r="155" spans="2:7" x14ac:dyDescent="0.25">
      <c r="B155" s="107">
        <f>'CAT 963C LOADER'!B125</f>
        <v>0</v>
      </c>
      <c r="C155" s="107">
        <f>'CAT 963C LOADER'!C125</f>
        <v>0</v>
      </c>
      <c r="D155" s="149">
        <f>'CAT 963C LOADER'!E125</f>
        <v>0</v>
      </c>
      <c r="E155" s="10">
        <f>IFERROR('CAT 963C LOADER'!H125/'CAT 963C LOADER'!E125,0)</f>
        <v>0</v>
      </c>
      <c r="F155" s="9">
        <f>'CAT 963C LOADER'!K125</f>
        <v>0</v>
      </c>
      <c r="G155" s="8">
        <f t="shared" si="5"/>
        <v>0</v>
      </c>
    </row>
    <row r="156" spans="2:7" x14ac:dyDescent="0.25">
      <c r="B156" s="107">
        <f>'CAT 963C LOADER'!B126</f>
        <v>0</v>
      </c>
      <c r="C156" s="107">
        <f>'CAT 963C LOADER'!C126</f>
        <v>0</v>
      </c>
      <c r="D156" s="149">
        <f>'CAT 963C LOADER'!E126</f>
        <v>0</v>
      </c>
      <c r="E156" s="10">
        <f>IFERROR('CAT 963C LOADER'!H126/'CAT 963C LOADER'!E126,0)</f>
        <v>0</v>
      </c>
      <c r="F156" s="9">
        <f>'CAT 963C LOADER'!K126</f>
        <v>0</v>
      </c>
      <c r="G156" s="8">
        <f t="shared" si="5"/>
        <v>0</v>
      </c>
    </row>
    <row r="157" spans="2:7" x14ac:dyDescent="0.25">
      <c r="B157" s="107">
        <f>'CAT 963C LOADER'!B127</f>
        <v>0</v>
      </c>
      <c r="C157" s="107">
        <f>'CAT 963C LOADER'!C127</f>
        <v>0</v>
      </c>
      <c r="D157" s="149">
        <f>'CAT 963C LOADER'!E127</f>
        <v>0</v>
      </c>
      <c r="E157" s="10">
        <f>IFERROR('CAT 963C LOADER'!H127/'CAT 963C LOADER'!E127,0)</f>
        <v>0</v>
      </c>
      <c r="F157" s="9">
        <f>'CAT 963C LOADER'!K127</f>
        <v>0</v>
      </c>
      <c r="G157" s="8">
        <f t="shared" si="5"/>
        <v>0</v>
      </c>
    </row>
    <row r="158" spans="2:7" x14ac:dyDescent="0.25">
      <c r="B158" s="107">
        <f>'CAT 963C LOADER'!B128</f>
        <v>0</v>
      </c>
      <c r="C158" s="107">
        <f>'CAT 963C LOADER'!C128</f>
        <v>0</v>
      </c>
      <c r="D158" s="149">
        <f>'CAT 963C LOADER'!E128</f>
        <v>0</v>
      </c>
      <c r="E158" s="10">
        <f>IFERROR('CAT 963C LOADER'!H128/'CAT 963C LOADER'!E128,0)</f>
        <v>0</v>
      </c>
      <c r="F158" s="9">
        <f>'CAT 963C LOADER'!K128</f>
        <v>0</v>
      </c>
      <c r="G158" s="8">
        <f t="shared" si="5"/>
        <v>0</v>
      </c>
    </row>
    <row r="159" spans="2:7" x14ac:dyDescent="0.25">
      <c r="B159" s="170"/>
      <c r="C159" s="171"/>
      <c r="D159" s="172"/>
      <c r="E159" s="471" t="s">
        <v>290</v>
      </c>
      <c r="F159" s="472"/>
      <c r="G159" s="101">
        <f>SUM(G18:G158)</f>
        <v>0</v>
      </c>
    </row>
    <row r="160" spans="2:7" x14ac:dyDescent="0.25">
      <c r="B160" s="166"/>
      <c r="C160" s="167" t="s">
        <v>291</v>
      </c>
      <c r="D160" s="168"/>
      <c r="E160" s="11"/>
      <c r="F160" s="12"/>
      <c r="G160" s="169"/>
    </row>
    <row r="161" spans="2:7" x14ac:dyDescent="0.25">
      <c r="B161" s="473" t="s">
        <v>292</v>
      </c>
      <c r="C161" s="474"/>
      <c r="D161" s="13" t="s">
        <v>293</v>
      </c>
      <c r="E161" s="13" t="s">
        <v>294</v>
      </c>
      <c r="F161" s="13" t="s">
        <v>295</v>
      </c>
      <c r="G161" s="13" t="s">
        <v>259</v>
      </c>
    </row>
    <row r="162" spans="2:7" x14ac:dyDescent="0.25">
      <c r="B162" s="462"/>
      <c r="C162" s="463"/>
      <c r="D162" s="247"/>
      <c r="E162" s="14"/>
      <c r="F162" s="14"/>
      <c r="G162" s="8">
        <f>ROUND(F162*D162,2)</f>
        <v>0</v>
      </c>
    </row>
    <row r="163" spans="2:7" x14ac:dyDescent="0.25">
      <c r="B163" s="462"/>
      <c r="C163" s="463"/>
      <c r="D163" s="247"/>
      <c r="E163" s="14"/>
      <c r="F163" s="14"/>
      <c r="G163" s="8">
        <f t="shared" ref="G163:G167" si="6">ROUND(F163*D163,2)</f>
        <v>0</v>
      </c>
    </row>
    <row r="164" spans="2:7" x14ac:dyDescent="0.25">
      <c r="B164" s="462"/>
      <c r="C164" s="463"/>
      <c r="D164" s="247"/>
      <c r="E164" s="14"/>
      <c r="F164" s="14"/>
      <c r="G164" s="8">
        <f t="shared" si="6"/>
        <v>0</v>
      </c>
    </row>
    <row r="165" spans="2:7" x14ac:dyDescent="0.25">
      <c r="B165" s="462"/>
      <c r="C165" s="463"/>
      <c r="D165" s="247"/>
      <c r="E165" s="14"/>
      <c r="F165" s="14"/>
      <c r="G165" s="8">
        <f t="shared" si="6"/>
        <v>0</v>
      </c>
    </row>
    <row r="166" spans="2:7" x14ac:dyDescent="0.25">
      <c r="B166" s="462"/>
      <c r="C166" s="463"/>
      <c r="D166" s="247"/>
      <c r="E166" s="14"/>
      <c r="F166" s="14"/>
      <c r="G166" s="8">
        <f t="shared" si="6"/>
        <v>0</v>
      </c>
    </row>
    <row r="167" spans="2:7" x14ac:dyDescent="0.25">
      <c r="B167" s="462"/>
      <c r="C167" s="463"/>
      <c r="D167" s="247"/>
      <c r="E167" s="14"/>
      <c r="F167" s="14"/>
      <c r="G167" s="8">
        <f t="shared" si="6"/>
        <v>0</v>
      </c>
    </row>
    <row r="168" spans="2:7" ht="12.75" customHeight="1" x14ac:dyDescent="0.25">
      <c r="B168" s="165"/>
      <c r="C168" s="164" t="s">
        <v>296</v>
      </c>
      <c r="D168" s="163"/>
      <c r="E168" s="163"/>
      <c r="F168" s="163"/>
      <c r="G168" s="162"/>
    </row>
    <row r="169" spans="2:7" x14ac:dyDescent="0.25">
      <c r="B169" s="464"/>
      <c r="C169" s="464"/>
      <c r="D169" s="464"/>
      <c r="E169" s="464"/>
      <c r="F169" s="464"/>
      <c r="G169" s="15">
        <v>0</v>
      </c>
    </row>
    <row r="170" spans="2:7" x14ac:dyDescent="0.25">
      <c r="B170" s="464"/>
      <c r="C170" s="464"/>
      <c r="D170" s="464"/>
      <c r="E170" s="464"/>
      <c r="F170" s="464"/>
      <c r="G170" s="15">
        <v>0</v>
      </c>
    </row>
    <row r="171" spans="2:7" ht="15.75" thickBot="1" x14ac:dyDescent="0.3">
      <c r="B171" s="458"/>
      <c r="C171" s="459"/>
      <c r="D171" s="459"/>
      <c r="E171" s="459"/>
      <c r="F171" s="460"/>
      <c r="G171" s="67">
        <v>0</v>
      </c>
    </row>
    <row r="172" spans="2:7" x14ac:dyDescent="0.25">
      <c r="B172" s="248"/>
      <c r="C172" s="160"/>
      <c r="D172" s="438"/>
      <c r="E172" s="461"/>
      <c r="F172" s="249" t="s">
        <v>297</v>
      </c>
      <c r="G172" s="68">
        <f>SUM(G162:G171)</f>
        <v>0</v>
      </c>
    </row>
    <row r="173" spans="2:7" x14ac:dyDescent="0.25">
      <c r="B173" s="161"/>
      <c r="C173" s="160" t="s">
        <v>279</v>
      </c>
      <c r="D173" s="438">
        <f>'CAT 963C LOADER'!O2</f>
        <v>0</v>
      </c>
      <c r="E173" s="439"/>
      <c r="F173" s="153" t="s">
        <v>259</v>
      </c>
      <c r="G173" s="16">
        <f>G159+G172</f>
        <v>0</v>
      </c>
    </row>
    <row r="174" spans="2:7" x14ac:dyDescent="0.25">
      <c r="B174" s="102"/>
      <c r="C174" s="160" t="s">
        <v>281</v>
      </c>
      <c r="D174" s="438">
        <f>'CAT 963C LOADER'!O3</f>
        <v>0</v>
      </c>
      <c r="E174" s="439"/>
      <c r="F174" s="153" t="s">
        <v>298</v>
      </c>
      <c r="G174" s="16">
        <f>ROUND(G172*0.09,2)</f>
        <v>0</v>
      </c>
    </row>
    <row r="175" spans="2:7" x14ac:dyDescent="0.25">
      <c r="B175" s="161"/>
      <c r="C175" s="160" t="s">
        <v>283</v>
      </c>
      <c r="D175" s="440">
        <f>D173-D174</f>
        <v>0</v>
      </c>
      <c r="E175" s="441"/>
      <c r="F175" s="153" t="s">
        <v>257</v>
      </c>
      <c r="G175" s="7">
        <v>0</v>
      </c>
    </row>
    <row r="176" spans="2:7" x14ac:dyDescent="0.25">
      <c r="B176" s="161"/>
      <c r="C176" s="160" t="s">
        <v>299</v>
      </c>
      <c r="D176" s="440">
        <f>(D162*E162+D163*E163+D164*E164+D165*E165+D166*E166+D167*E167)-SUM(G162:G167)</f>
        <v>0</v>
      </c>
      <c r="E176" s="441" t="b">
        <v>0</v>
      </c>
      <c r="F176" s="133" t="s">
        <v>300</v>
      </c>
      <c r="G176" s="7">
        <v>0</v>
      </c>
    </row>
    <row r="177" spans="2:7" x14ac:dyDescent="0.25">
      <c r="B177" s="161"/>
      <c r="C177" s="160" t="s">
        <v>301</v>
      </c>
      <c r="D177" s="440">
        <f>D175+D176</f>
        <v>0</v>
      </c>
      <c r="E177" s="441"/>
      <c r="F177" s="153" t="s">
        <v>302</v>
      </c>
      <c r="G177" s="100">
        <f>SUM(G173:G176)</f>
        <v>0</v>
      </c>
    </row>
    <row r="178" spans="2:7" x14ac:dyDescent="0.25">
      <c r="B178" s="161"/>
      <c r="C178" s="160"/>
      <c r="D178" s="440"/>
      <c r="E178" s="441"/>
      <c r="F178" s="153" t="str">
        <f>IF(B183=TRUE,("GST"),("GST 5%"))</f>
        <v>GST 5%</v>
      </c>
      <c r="G178" s="100">
        <f>ROUND(IF(B183=FALSE,(G177*0.05),0),2)</f>
        <v>0</v>
      </c>
    </row>
    <row r="179" spans="2:7" ht="15" customHeight="1" x14ac:dyDescent="0.25">
      <c r="B179" s="465" t="s">
        <v>275</v>
      </c>
      <c r="C179" s="466"/>
      <c r="D179" s="159"/>
      <c r="E179" s="158"/>
      <c r="F179" s="151" t="s">
        <v>263</v>
      </c>
      <c r="G179" s="7"/>
    </row>
    <row r="180" spans="2:7" ht="15" customHeight="1" x14ac:dyDescent="0.25">
      <c r="B180" s="467"/>
      <c r="C180" s="468"/>
      <c r="D180" s="156" t="s">
        <v>284</v>
      </c>
      <c r="E180" s="157"/>
      <c r="F180" s="151" t="s">
        <v>264</v>
      </c>
      <c r="G180" s="96">
        <f>SUM(G177:G179)</f>
        <v>0</v>
      </c>
    </row>
    <row r="181" spans="2:7" x14ac:dyDescent="0.25">
      <c r="B181" s="467"/>
      <c r="C181" s="468"/>
      <c r="D181" s="156" t="s">
        <v>303</v>
      </c>
      <c r="E181" s="83"/>
      <c r="F181" s="151" t="s">
        <v>304</v>
      </c>
      <c r="G181" s="18">
        <f>IF(C183=TRUE,(G180*0.025),0)</f>
        <v>0</v>
      </c>
    </row>
    <row r="182" spans="2:7" ht="15.75" thickBot="1" x14ac:dyDescent="0.3">
      <c r="B182" s="469"/>
      <c r="C182" s="470"/>
      <c r="D182" s="155"/>
      <c r="E182" s="154"/>
      <c r="F182" s="152" t="s">
        <v>289</v>
      </c>
      <c r="G182" s="65">
        <f>G180+G181</f>
        <v>0</v>
      </c>
    </row>
    <row r="183" spans="2:7" hidden="1" x14ac:dyDescent="0.25">
      <c r="B183" s="84" t="b">
        <v>0</v>
      </c>
      <c r="C183" s="82" t="b">
        <v>0</v>
      </c>
      <c r="D183" s="77"/>
      <c r="E183" s="77"/>
      <c r="F183" s="77"/>
      <c r="G183" s="77"/>
    </row>
  </sheetData>
  <sheetProtection algorithmName="SHA-512" hashValue="XSp8MNhGFmNbJn8ToG8hcGdYhkPI5Zq0iiF/I2zk8UHkRaCNpqcMWe1n0vL7lGkEFeVNEc+un+GwOXi/jDcPMA==" saltValue="MlMxKsGMEYH5YVmxPlmFUw==" spinCount="100000" sheet="1" selectLockedCells="1"/>
  <mergeCells count="39">
    <mergeCell ref="B179:C182"/>
    <mergeCell ref="E12:G12"/>
    <mergeCell ref="D1:G5"/>
    <mergeCell ref="E7:G7"/>
    <mergeCell ref="D8:G8"/>
    <mergeCell ref="E10:G10"/>
    <mergeCell ref="E11:G11"/>
    <mergeCell ref="E13:G13"/>
    <mergeCell ref="E14:G14"/>
    <mergeCell ref="E15:G15"/>
    <mergeCell ref="E16:G16"/>
    <mergeCell ref="E159:F159"/>
    <mergeCell ref="B165:C165"/>
    <mergeCell ref="B166:C166"/>
    <mergeCell ref="B169:F169"/>
    <mergeCell ref="B161:C161"/>
    <mergeCell ref="B162:C162"/>
    <mergeCell ref="B163:C163"/>
    <mergeCell ref="B164:C164"/>
    <mergeCell ref="B167:C167"/>
    <mergeCell ref="B170:F170"/>
    <mergeCell ref="B171:F171"/>
    <mergeCell ref="D175:E175"/>
    <mergeCell ref="D176:E176"/>
    <mergeCell ref="D178:E178"/>
    <mergeCell ref="D174:E174"/>
    <mergeCell ref="D173:E173"/>
    <mergeCell ref="D172:E172"/>
    <mergeCell ref="D177:E177"/>
    <mergeCell ref="E55:G60"/>
    <mergeCell ref="D122:G126"/>
    <mergeCell ref="E128:G128"/>
    <mergeCell ref="E129:G129"/>
    <mergeCell ref="E127:G127"/>
    <mergeCell ref="D61:G65"/>
    <mergeCell ref="E66:G66"/>
    <mergeCell ref="E67:G67"/>
    <mergeCell ref="E68:G68"/>
    <mergeCell ref="E116:G121"/>
  </mergeCells>
  <conditionalFormatting sqref="E181">
    <cfRule type="expression" dxfId="0" priority="278">
      <formula>$B$183=TRUE</formula>
    </cfRule>
  </conditionalFormatting>
  <printOptions horizontalCentered="1"/>
  <pageMargins left="0.23622047244094488" right="0.23622047244094488" top="0.23622047244094488" bottom="0.23622047244094488" header="0.31496062992125984" footer="0.31496062992125984"/>
  <pageSetup scale="80" fitToHeight="0" orientation="portrait" r:id="rId1"/>
  <headerFooter>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098" r:id="rId4" name="Check Box 2">
              <controlPr locked="0" defaultSize="0" autoFill="0" autoLine="0" autoPict="0">
                <anchor moveWithCells="1">
                  <from>
                    <xdr:col>5</xdr:col>
                    <xdr:colOff>790575</xdr:colOff>
                    <xdr:row>179</xdr:row>
                    <xdr:rowOff>171450</xdr:rowOff>
                  </from>
                  <to>
                    <xdr:col>5</xdr:col>
                    <xdr:colOff>1066800</xdr:colOff>
                    <xdr:row>181</xdr:row>
                    <xdr:rowOff>38100</xdr:rowOff>
                  </to>
                </anchor>
              </controlPr>
            </control>
          </mc:Choice>
        </mc:AlternateContent>
        <mc:AlternateContent xmlns:mc="http://schemas.openxmlformats.org/markup-compatibility/2006">
          <mc:Choice Requires="x14">
            <control shapeId="4100" r:id="rId5" name="Check Box 4">
              <controlPr defaultSize="0" autoFill="0" autoLine="0" autoPict="0">
                <anchor moveWithCells="1">
                  <from>
                    <xdr:col>4</xdr:col>
                    <xdr:colOff>19050</xdr:colOff>
                    <xdr:row>178</xdr:row>
                    <xdr:rowOff>180975</xdr:rowOff>
                  </from>
                  <to>
                    <xdr:col>4</xdr:col>
                    <xdr:colOff>323850</xdr:colOff>
                    <xdr:row>180</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54" id="{016A9AD4-042F-49A0-B1CB-8E74EBFEED15}">
            <xm:f>'CAT 963C LOADER'!H14="NO"</xm:f>
            <x14:dxf>
              <font>
                <color theme="0"/>
              </font>
            </x14:dxf>
          </x14:cfRule>
          <xm:sqref>C183</xm:sqref>
        </x14:conditionalFormatting>
        <x14:conditionalFormatting xmlns:xm="http://schemas.microsoft.com/office/excel/2006/main">
          <x14:cfRule type="expression" priority="11" id="{E24546A3-3F06-492B-94EC-455CD13BFB4C}">
            <xm:f>'CAT 963C LOADER'!$H$13="NO"</xm:f>
            <x14:dxf>
              <font>
                <color theme="2"/>
              </font>
            </x14:dxf>
          </x14:cfRule>
          <xm:sqref>C172:E177</xm:sqref>
        </x14:conditionalFormatting>
        <x14:conditionalFormatting xmlns:xm="http://schemas.microsoft.com/office/excel/2006/main">
          <x14:cfRule type="expression" priority="20" id="{658C141F-C75D-45E9-9231-537FECC56428}">
            <xm:f>'CAT 963C LOADER'!H11="NO"</xm:f>
            <x14:dxf>
              <font>
                <color theme="2"/>
              </font>
            </x14:dxf>
          </x14:cfRule>
          <xm:sqref>D172</xm:sqref>
        </x14:conditionalFormatting>
        <x14:conditionalFormatting xmlns:xm="http://schemas.microsoft.com/office/excel/2006/main">
          <x14:cfRule type="expression" priority="4" id="{5ADBDBF9-16CC-4C70-8A17-9797E64B391A}">
            <xm:f>'CAT 963C LOADER'!$H$13="NO"</xm:f>
            <x14:dxf>
              <font>
                <color theme="0"/>
              </font>
            </x14:dxf>
          </x14:cfRule>
          <xm:sqref>E17:E54</xm:sqref>
        </x14:conditionalFormatting>
        <x14:conditionalFormatting xmlns:xm="http://schemas.microsoft.com/office/excel/2006/main">
          <x14:cfRule type="expression" priority="1" id="{DAF03F0E-FB2F-4192-A565-9265D74F00E8}">
            <xm:f>'CAT 963C LOADER'!$H$13="NO"</xm:f>
            <x14:dxf>
              <font>
                <color theme="0"/>
              </font>
            </x14:dxf>
          </x14:cfRule>
          <xm:sqref>E69:E115</xm:sqref>
        </x14:conditionalFormatting>
        <x14:conditionalFormatting xmlns:xm="http://schemas.microsoft.com/office/excel/2006/main">
          <x14:cfRule type="expression" priority="3" id="{863622C1-D459-487F-8238-A5586B13ED4A}">
            <xm:f>'CAT 963C LOADER'!$H$13="NO"</xm:f>
            <x14:dxf>
              <font>
                <color theme="0"/>
              </font>
            </x14:dxf>
          </x14:cfRule>
          <xm:sqref>E130:E158</xm:sqref>
        </x14:conditionalFormatting>
        <x14:conditionalFormatting xmlns:xm="http://schemas.microsoft.com/office/excel/2006/main">
          <x14:cfRule type="expression" priority="12" id="{4607694E-8876-413D-94C5-CD14A7A56FB9}">
            <xm:f>'CAT 963C LOADER'!$H$13="NO"</xm:f>
            <x14:dxf>
              <font>
                <color theme="2"/>
              </font>
            </x14:dxf>
          </x14:cfRule>
          <xm:sqref>E161</xm:sqref>
        </x14:conditionalFormatting>
        <x14:conditionalFormatting xmlns:xm="http://schemas.microsoft.com/office/excel/2006/main">
          <x14:cfRule type="expression" priority="7" id="{0A16BE14-C4D6-48D6-B7EE-6F708013C05E}">
            <xm:f>'CAT 963C LOADER'!$H$13="NO"</xm:f>
            <x14:dxf>
              <font>
                <color theme="0"/>
              </font>
            </x14:dxf>
          </x14:cfRule>
          <xm:sqref>E162:E167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41493898DC8D4BB0CF2B66B9CF7986" ma:contentTypeVersion="15" ma:contentTypeDescription="Create a new document." ma:contentTypeScope="" ma:versionID="c5af85add62a6a06dc06d1449726ad72">
  <xsd:schema xmlns:xsd="http://www.w3.org/2001/XMLSchema" xmlns:xs="http://www.w3.org/2001/XMLSchema" xmlns:p="http://schemas.microsoft.com/office/2006/metadata/properties" xmlns:ns3="8f237737-8718-4c1d-9211-2dc4cdc78419" xmlns:ns4="8150cdb7-f93c-46d3-ae30-e4e64636280f" targetNamespace="http://schemas.microsoft.com/office/2006/metadata/properties" ma:root="true" ma:fieldsID="b42ba3b7d2d8a919ab19722f0374b72e" ns3:_="" ns4:_="">
    <xsd:import namespace="8f237737-8718-4c1d-9211-2dc4cdc78419"/>
    <xsd:import namespace="8150cdb7-f93c-46d3-ae30-e4e64636280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ObjectDetectorVersions" minOccurs="0"/>
                <xsd:element ref="ns4:MediaServiceSearchProperties" minOccurs="0"/>
                <xsd:element ref="ns4:MediaServiceDateTaken" minOccurs="0"/>
                <xsd:element ref="ns4:MediaServiceSystemTags" minOccurs="0"/>
                <xsd:element ref="ns4:MediaServiceGenerationTime" minOccurs="0"/>
                <xsd:element ref="ns4:MediaServiceEventHashCode" minOccurs="0"/>
                <xsd:element ref="ns4:MediaServiceOCR" minOccurs="0"/>
                <xsd:element ref="ns4:MediaServiceLocatio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237737-8718-4c1d-9211-2dc4cdc7841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50cdb7-f93c-46d3-ae30-e4e64636280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150cdb7-f93c-46d3-ae30-e4e64636280f" xsi:nil="true"/>
  </documentManagement>
</p:properties>
</file>

<file path=customXml/itemProps1.xml><?xml version="1.0" encoding="utf-8"?>
<ds:datastoreItem xmlns:ds="http://schemas.openxmlformats.org/officeDocument/2006/customXml" ds:itemID="{2B4B5D81-DCC8-47D8-B3A8-2182B3D577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237737-8718-4c1d-9211-2dc4cdc78419"/>
    <ds:schemaRef ds:uri="8150cdb7-f93c-46d3-ae30-e4e6463628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4F3EBB-F45C-45B1-A045-4CDC999C4F48}">
  <ds:schemaRefs>
    <ds:schemaRef ds:uri="http://schemas.microsoft.com/sharepoint/v3/contenttype/forms"/>
  </ds:schemaRefs>
</ds:datastoreItem>
</file>

<file path=customXml/itemProps3.xml><?xml version="1.0" encoding="utf-8"?>
<ds:datastoreItem xmlns:ds="http://schemas.openxmlformats.org/officeDocument/2006/customXml" ds:itemID="{1D5F4BE1-2EE6-457A-AC09-2B381CE15809}">
  <ds:schemaRefs>
    <ds:schemaRef ds:uri="http://purl.org/dc/dcmitype/"/>
    <ds:schemaRef ds:uri="http://purl.org/dc/elements/1.1/"/>
    <ds:schemaRef ds:uri="8150cdb7-f93c-46d3-ae30-e4e64636280f"/>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 ds:uri="8f237737-8718-4c1d-9211-2dc4cdc78419"/>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CAT 325 EXCAVATOR</vt:lpstr>
      <vt:lpstr>CAT D7R</vt:lpstr>
      <vt:lpstr>CAT 160M GRADER</vt:lpstr>
      <vt:lpstr>CAT 950H LOADER</vt:lpstr>
      <vt:lpstr>CAT 963C LOADER</vt:lpstr>
      <vt:lpstr>RFQ</vt:lpstr>
      <vt:lpstr>QUOTE</vt:lpstr>
      <vt:lpstr>SERVICE QUOTE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Budgen</dc:creator>
  <cp:keywords/>
  <dc:description/>
  <cp:lastModifiedBy>Noman Shaikh</cp:lastModifiedBy>
  <cp:revision/>
  <dcterms:created xsi:type="dcterms:W3CDTF">2024-03-27T02:49:14Z</dcterms:created>
  <dcterms:modified xsi:type="dcterms:W3CDTF">2025-06-10T05:52:42Z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0x0101007841493898DC8D4BB0CF2B66B9CF7986</vt:lpwstr>
  </property>
</Properties>
</file>