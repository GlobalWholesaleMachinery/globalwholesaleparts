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5DBFDB27-7C81-40FA-9019-10EA7C2FB2ED}" xr6:coauthVersionLast="47" xr6:coauthVersionMax="47" xr10:uidLastSave="{00000000-0000-0000-0000-000000000000}"/>
  <bookViews>
    <workbookView xWindow="-120" yWindow="-120" windowWidth="20640" windowHeight="11160" firstSheet="1" activeTab="1" xr2:uid="{00000000-000D-0000-FFFF-FFFF00000000}"/>
  </bookViews>
  <sheets>
    <sheet name="Instructions" sheetId="1" r:id="rId1"/>
    <sheet name="CAT 16G MOTOR GRAD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2" l="1"/>
  <c r="P11" i="2" s="1"/>
  <c r="G50" i="2"/>
  <c r="H50" i="2"/>
  <c r="I50" i="2"/>
  <c r="K50" i="2"/>
  <c r="L50" i="2"/>
  <c r="M50" i="2"/>
  <c r="Q50" i="2"/>
  <c r="R50" i="2"/>
  <c r="S50" i="2"/>
  <c r="T50" i="2"/>
  <c r="R18" i="2"/>
  <c r="I18" i="2"/>
  <c r="H18" i="2"/>
  <c r="E16" i="2"/>
  <c r="P1" i="2"/>
  <c r="P8" i="2" s="1"/>
  <c r="P3" i="2" l="1"/>
  <c r="P7" i="2" l="1"/>
  <c r="V15" i="2"/>
  <c r="P9" i="2" s="1"/>
  <c r="P2" i="2"/>
  <c r="S9" i="2" l="1"/>
  <c r="P6" i="2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<sst xmlns="http://schemas.openxmlformats.org/spreadsheetml/2006/main" count="170" uniqueCount="162">
  <si>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</si>
  <si>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</si>
  <si>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</si>
  <si>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</si>
  <si>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</si>
  <si>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</si>
  <si>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</si>
  <si>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</si>
  <si>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</si>
  <si>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</si>
  <si>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</si>
  <si>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</si>
  <si>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</si>
  <si>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</si>
  <si>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</si>
  <si>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</si>
  <si>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</si>
  <si>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</si>
  <si>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</si>
  <si>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</si>
  <si>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</si>
  <si>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</si>
  <si>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</si>
  <si>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</si>
  <si>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</si>
  <si>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</si>
  <si>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</si>
  <si>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</si>
  <si>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</si>
  <si>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</si>
  <si>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</si>
  <si>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</si>
  <si>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</si>
  <si>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</si>
  <si>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</si>
  <si>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</si>
  <si>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</si>
  <si>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</si>
  <si>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</si>
  <si>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</si>
  <si>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</si>
  <si>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</si>
  <si>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</si>
  <si>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</si>
  <si>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</si>
  <si>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</si>
  <si>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</si>
  <si>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</si>
  <si>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</si>
  <si>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</si>
  <si>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</si>
  <si>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</si>
  <si>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</si>
  <si>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</si>
  <si>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</si>
  <si>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</si>
  <si>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</si>
  <si>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</si>
  <si>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</si>
  <si>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</si>
  <si>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</si>
  <si>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</si>
  <si>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</si>
  <si>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</si>
  <si>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</si>
  <si>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</si>
  <si>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</si>
  <si>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</si>
  <si>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</si>
  <si>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</si>
  <si>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</si>
  <si>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</si>
  <si>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</si>
  <si>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</si>
  <si>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</si>
  <si>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</si>
  <si>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</si>
  <si>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</si>
  <si>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</si>
  <si>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</si>
  <si>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</si>
  <si>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</si>
  <si>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</si>
  <si>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</si>
  <si>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</si>
  <si>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</si>
  <si>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</si>
  <si>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</si>
  <si>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</si>
  <si>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</si>
  <si>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</si>
  <si>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</si>
  <si>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</si>
  <si>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</si>
  <si>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</si>
  <si>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</si>
  <si>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</si>
  <si>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</si>
  <si>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</si>
  <si>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</si>
  <si>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</si>
  <si>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</si>
  <si>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</si>
  <si>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</si>
  <si>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</si>
  <si>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</si>
  <si>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</si>
  <si>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</si>
  <si>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Caterpiller</t>
  </si>
  <si>
    <t>Excavactor</t>
  </si>
  <si>
    <t>1R-1807</t>
  </si>
  <si>
    <t>OIL FILTER</t>
  </si>
  <si>
    <t>179-9806</t>
  </si>
  <si>
    <t>Hydraulic Filter</t>
  </si>
  <si>
    <t>126-1813</t>
  </si>
  <si>
    <t>HYDRAULIC/TRANSMISSION OIL FILTER</t>
  </si>
  <si>
    <t>1R7062</t>
  </si>
  <si>
    <t>FUEL FILTER</t>
  </si>
  <si>
    <t>6I-2504</t>
  </si>
  <si>
    <t>SECONDARY AIR FILTER</t>
  </si>
  <si>
    <t>6I-2503</t>
  </si>
  <si>
    <t>PRIMARY AIR FILTER</t>
  </si>
  <si>
    <t>326-1644</t>
  </si>
  <si>
    <t>WATER/FUEL SEPARATOR</t>
  </si>
  <si>
    <t>177-4754</t>
  </si>
  <si>
    <t>INJECTOR</t>
  </si>
  <si>
    <t>3T-5760</t>
  </si>
  <si>
    <t>BATTERY</t>
  </si>
  <si>
    <t>177-0440</t>
  </si>
  <si>
    <t>TURBOCHARGER</t>
  </si>
  <si>
    <t>205-1259</t>
  </si>
  <si>
    <t>CAMSHAFT</t>
  </si>
  <si>
    <t>CRANKSHAFT</t>
  </si>
  <si>
    <t>CUSTOM</t>
  </si>
  <si>
    <t>UNDERCARRIAGE TRACK GROUP ASSY</t>
  </si>
  <si>
    <t>213-1932</t>
  </si>
  <si>
    <t>LINK AS- TRACK</t>
  </si>
  <si>
    <t>6I-8651</t>
  </si>
  <si>
    <t>TRACK SHOE 36INCH</t>
  </si>
  <si>
    <t>6Y-0846</t>
  </si>
  <si>
    <t>TRACK BOLT</t>
  </si>
  <si>
    <t>9W-3361</t>
  </si>
  <si>
    <t>TRACK NUT</t>
  </si>
  <si>
    <t>602-9393</t>
  </si>
  <si>
    <t>FRONT WHEEL IDLER ASSY</t>
  </si>
  <si>
    <t>300-4545</t>
  </si>
  <si>
    <t>CARRIER ROLLER</t>
  </si>
  <si>
    <t>114-6099</t>
  </si>
  <si>
    <t>CARRIER ROLLER NUT</t>
  </si>
  <si>
    <t>503-1353</t>
  </si>
  <si>
    <t>SINGLE FLANGE ROLER</t>
  </si>
  <si>
    <t>7X-2565</t>
  </si>
  <si>
    <t>8T-4123</t>
  </si>
  <si>
    <t>WASHER</t>
  </si>
  <si>
    <t>347-6708</t>
  </si>
  <si>
    <t>BUCKET GP</t>
  </si>
  <si>
    <t>6Y-7409</t>
  </si>
  <si>
    <t>BUCKET TIP</t>
  </si>
  <si>
    <t>116-7408</t>
  </si>
  <si>
    <t>GROOVED PIN</t>
  </si>
  <si>
    <t>116-7409</t>
  </si>
  <si>
    <t>RETAINER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</si>
</sst>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tabSelected="1" zoomScale="55" zoomScaleNormal="55" workbookViewId="0">
      <pane ySplit="18" topLeftCell="A19" activePane="bottomLeft" state="frozen"/>
      <selection pane="bottomLeft" activeCell="Q48" sqref="Q4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200" t="s">
        <v>29</v>
      </c>
      <c r="C1" s="201"/>
      <c r="D1" s="202" t="s">
        <v>30</v>
      </c>
      <c r="E1" s="203"/>
      <c r="F1" s="203"/>
      <c r="G1" s="203"/>
      <c r="H1" s="152"/>
      <c r="I1" s="200" t="s">
        <v>31</v>
      </c>
      <c r="J1" s="204"/>
      <c r="K1" s="204"/>
      <c r="L1" s="178"/>
      <c r="M1" s="205" t="s">
        <v>32</v>
      </c>
      <c r="N1" s="206"/>
      <c r="O1" s="207"/>
      <c r="P1" s="208" t="str">
        <f>L18</f>
        <v>CAD $</v>
      </c>
      <c r="Q1" s="204"/>
      <c r="R1" s="178"/>
      <c r="S1" s="200" t="s">
        <v>33</v>
      </c>
      <c r="T1" s="204"/>
      <c r="U1" s="204"/>
      <c r="V1" s="204"/>
      <c r="W1" s="178"/>
      <c r="X1" s="6"/>
      <c r="Y1" s="7"/>
    </row>
    <row r="2" spans="2:25" ht="15" customHeight="1">
      <c r="B2" s="9" t="s">
        <v>34</v>
      </c>
      <c r="C2" s="10"/>
      <c r="D2" s="131" t="s">
        <v>35</v>
      </c>
      <c r="E2" s="132"/>
      <c r="F2" s="133"/>
      <c r="G2" s="134"/>
      <c r="H2" s="133"/>
      <c r="I2" s="210" t="s">
        <v>36</v>
      </c>
      <c r="J2" s="139"/>
      <c r="K2" s="140"/>
      <c r="L2" s="12"/>
      <c r="M2" s="209" t="s">
        <v>37</v>
      </c>
      <c r="N2" s="140"/>
      <c r="O2" s="13"/>
      <c r="P2" s="220">
        <f>I50</f>
        <v>210310.33</v>
      </c>
      <c r="Q2" s="139"/>
      <c r="R2" s="140"/>
      <c r="S2" s="209" t="s">
        <v>38</v>
      </c>
      <c r="T2" s="140"/>
      <c r="U2" s="219"/>
      <c r="V2" s="140"/>
      <c r="W2" s="14"/>
      <c r="X2" s="15"/>
      <c r="Y2" s="7"/>
    </row>
    <row r="3" spans="2:25" ht="15" customHeight="1">
      <c r="B3" s="16" t="s">
        <v>39</v>
      </c>
      <c r="C3" s="11"/>
      <c r="D3" s="131" t="s">
        <v>40</v>
      </c>
      <c r="E3" s="132"/>
      <c r="F3" s="133"/>
      <c r="G3" s="134"/>
      <c r="H3" s="133"/>
      <c r="I3" s="131" t="s">
        <v>41</v>
      </c>
      <c r="J3" s="132"/>
      <c r="K3" s="133"/>
      <c r="L3" s="17"/>
      <c r="M3" s="180" t="s">
        <v>42</v>
      </c>
      <c r="N3" s="133"/>
      <c r="O3" s="13"/>
      <c r="P3" s="221">
        <f>M50</f>
        <v>105158.1</v>
      </c>
      <c r="Q3" s="132"/>
      <c r="R3" s="133"/>
      <c r="S3" s="180" t="s">
        <v>43</v>
      </c>
      <c r="T3" s="133"/>
      <c r="U3" s="213"/>
      <c r="V3" s="133"/>
      <c r="W3" s="18"/>
      <c r="X3" s="5"/>
      <c r="Y3" s="19"/>
    </row>
    <row r="4" spans="2:25" ht="15" customHeight="1">
      <c r="B4" s="20" t="s">
        <v>44</v>
      </c>
      <c r="C4" s="11"/>
      <c r="D4" s="131" t="s">
        <v>45</v>
      </c>
      <c r="E4" s="132"/>
      <c r="F4" s="133"/>
      <c r="G4" s="134" t="s">
        <v>108</v>
      </c>
      <c r="H4" s="133"/>
      <c r="I4" s="131" t="s">
        <v>46</v>
      </c>
      <c r="J4" s="132"/>
      <c r="K4" s="133"/>
      <c r="L4" s="17"/>
      <c r="M4" s="180" t="s">
        <v>47</v>
      </c>
      <c r="N4" s="133"/>
      <c r="O4" s="13"/>
      <c r="P4" s="221">
        <f>P2-P3</f>
        <v>105152.22999999998</v>
      </c>
      <c r="Q4" s="132"/>
      <c r="R4" s="133"/>
      <c r="S4" s="180" t="s">
        <v>48</v>
      </c>
      <c r="T4" s="133"/>
      <c r="U4" s="213"/>
      <c r="V4" s="133"/>
      <c r="W4" s="18"/>
      <c r="X4" s="5"/>
      <c r="Y4" s="19"/>
    </row>
    <row r="5" spans="2:25" ht="15" customHeight="1">
      <c r="B5" s="20" t="s">
        <v>49</v>
      </c>
      <c r="C5" s="11"/>
      <c r="D5" s="131" t="s">
        <v>50</v>
      </c>
      <c r="E5" s="132"/>
      <c r="F5" s="133"/>
      <c r="G5" s="134">
        <v>325</v>
      </c>
      <c r="H5" s="133"/>
      <c r="I5" s="131" t="s">
        <v>51</v>
      </c>
      <c r="J5" s="132"/>
      <c r="K5" s="133"/>
      <c r="L5" s="17"/>
      <c r="M5" s="215" t="s">
        <v>52</v>
      </c>
      <c r="N5" s="216"/>
      <c r="O5" s="13"/>
      <c r="P5" s="222">
        <f>IFERROR((P2-P3)/P2,"")</f>
        <v>0.4999860444325297</v>
      </c>
      <c r="Q5" s="223"/>
      <c r="R5" s="216"/>
      <c r="S5" s="180" t="s">
        <v>53</v>
      </c>
      <c r="T5" s="133"/>
      <c r="U5" s="213"/>
      <c r="V5" s="133"/>
      <c r="W5" s="18"/>
      <c r="X5" s="5"/>
      <c r="Y5" s="19"/>
    </row>
    <row r="6" spans="2:25" ht="15" customHeight="1">
      <c r="B6" s="20" t="s">
        <v>54</v>
      </c>
      <c r="C6" s="21"/>
      <c r="D6" s="131" t="s">
        <v>55</v>
      </c>
      <c r="E6" s="132"/>
      <c r="F6" s="133"/>
      <c r="G6" s="134"/>
      <c r="H6" s="133"/>
      <c r="I6" s="131" t="s">
        <v>56</v>
      </c>
      <c r="J6" s="132"/>
      <c r="K6" s="133"/>
      <c r="L6" s="17"/>
      <c r="M6" s="217" t="s">
        <v>57</v>
      </c>
      <c r="N6" s="218"/>
      <c r="O6" s="13"/>
      <c r="P6" s="224">
        <f>T50</f>
        <v>105158.1</v>
      </c>
      <c r="Q6" s="225"/>
      <c r="R6" s="218"/>
      <c r="S6" s="180" t="s">
        <v>58</v>
      </c>
      <c r="T6" s="133"/>
      <c r="U6" s="213"/>
      <c r="V6" s="133"/>
      <c r="W6" s="22"/>
      <c r="X6" s="23"/>
      <c r="Y6" s="24"/>
    </row>
    <row r="7" spans="2:25" ht="15" customHeight="1">
      <c r="B7" s="20" t="s">
        <v>59</v>
      </c>
      <c r="C7" s="11"/>
      <c r="D7" s="131" t="s">
        <v>60</v>
      </c>
      <c r="E7" s="132"/>
      <c r="F7" s="133"/>
      <c r="G7" s="25"/>
      <c r="H7" s="25"/>
      <c r="I7" s="131" t="s">
        <v>61</v>
      </c>
      <c r="J7" s="132"/>
      <c r="K7" s="133"/>
      <c r="L7" s="17"/>
      <c r="M7" s="141" t="s">
        <v>62</v>
      </c>
      <c r="N7" s="133"/>
      <c r="O7" s="13"/>
      <c r="P7" s="179">
        <f>R50</f>
        <v>0</v>
      </c>
      <c r="Q7" s="132"/>
      <c r="R7" s="133"/>
      <c r="S7" s="211" t="s">
        <v>63</v>
      </c>
      <c r="T7" s="212"/>
      <c r="U7" s="214"/>
      <c r="V7" s="212"/>
      <c r="W7" s="22"/>
      <c r="X7" s="26"/>
      <c r="Y7" s="8"/>
    </row>
    <row r="8" spans="2:25" ht="15" customHeight="1">
      <c r="B8" s="27"/>
      <c r="C8" s="28"/>
      <c r="D8" s="131" t="s">
        <v>64</v>
      </c>
      <c r="E8" s="132"/>
      <c r="F8" s="133"/>
      <c r="G8" s="134"/>
      <c r="H8" s="133"/>
      <c r="I8" s="131" t="s">
        <v>65</v>
      </c>
      <c r="J8" s="132"/>
      <c r="K8" s="133"/>
      <c r="L8" s="17"/>
      <c r="M8" s="141" t="s">
        <v>66</v>
      </c>
      <c r="N8" s="133"/>
      <c r="O8" s="13"/>
      <c r="P8" s="179">
        <f>IF(P1=Q15,R15,IF(Q15="CAD $",R15*E16,IF(Q15="USD $",R15*F16,0)))</f>
        <v>0</v>
      </c>
      <c r="Q8" s="132"/>
      <c r="R8" s="133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1" t="s">
        <v>71</v>
      </c>
      <c r="E9" s="132"/>
      <c r="F9" s="133"/>
      <c r="G9" s="134"/>
      <c r="H9" s="133"/>
      <c r="I9" s="35"/>
      <c r="J9" s="36"/>
      <c r="K9" s="36"/>
      <c r="L9" s="37"/>
      <c r="M9" s="141" t="s">
        <v>72</v>
      </c>
      <c r="N9" s="133"/>
      <c r="O9" s="13"/>
      <c r="P9" s="187">
        <f>V15</f>
        <v>0</v>
      </c>
      <c r="Q9" s="132"/>
      <c r="R9" s="133"/>
      <c r="S9" s="188">
        <f>P7+P8+P9</f>
        <v>0</v>
      </c>
      <c r="T9" s="188">
        <f>P3-S9</f>
        <v>105158.1</v>
      </c>
      <c r="U9" s="181">
        <f>IFERROR(((P3-S9)/S9),0)</f>
        <v>0</v>
      </c>
      <c r="V9" s="181">
        <f>IFERROR(T9/P3,0)</f>
        <v>1</v>
      </c>
      <c r="W9" s="184"/>
      <c r="X9" s="33"/>
      <c r="Y9" s="8"/>
    </row>
    <row r="10" spans="2:25" ht="15" customHeight="1">
      <c r="B10" s="34"/>
      <c r="C10" s="28"/>
      <c r="D10" s="131" t="s">
        <v>73</v>
      </c>
      <c r="E10" s="132"/>
      <c r="F10" s="133"/>
      <c r="G10" s="134" t="s">
        <v>109</v>
      </c>
      <c r="H10" s="133"/>
      <c r="I10" s="35"/>
      <c r="J10" s="36"/>
      <c r="K10" s="36"/>
      <c r="L10" s="37"/>
      <c r="M10" s="141"/>
      <c r="N10" s="133"/>
      <c r="O10" s="13"/>
      <c r="P10" s="187"/>
      <c r="Q10" s="132"/>
      <c r="R10" s="133"/>
      <c r="S10" s="182"/>
      <c r="T10" s="182"/>
      <c r="U10" s="182"/>
      <c r="V10" s="182"/>
      <c r="W10" s="185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80" t="s">
        <v>74</v>
      </c>
      <c r="N11" s="133"/>
      <c r="O11" s="13"/>
      <c r="P11" s="189">
        <f>F50</f>
        <v>1061</v>
      </c>
      <c r="Q11" s="132"/>
      <c r="R11" s="133"/>
      <c r="S11" s="183"/>
      <c r="T11" s="183"/>
      <c r="U11" s="183"/>
      <c r="V11" s="183"/>
      <c r="W11" s="186"/>
      <c r="X11" s="33"/>
      <c r="Y11" s="8"/>
    </row>
    <row r="12" spans="2:25" ht="15" customHeight="1">
      <c r="B12" s="167"/>
      <c r="C12" s="168"/>
      <c r="D12" s="41"/>
      <c r="E12" s="173" t="s">
        <v>75</v>
      </c>
      <c r="F12" s="174"/>
      <c r="G12" s="176" t="s">
        <v>37</v>
      </c>
      <c r="H12" s="143"/>
      <c r="I12" s="144"/>
      <c r="J12" s="42"/>
      <c r="K12" s="142" t="s">
        <v>76</v>
      </c>
      <c r="L12" s="143"/>
      <c r="M12" s="143"/>
      <c r="N12" s="144"/>
      <c r="O12" s="13"/>
      <c r="P12" s="190" t="s">
        <v>77</v>
      </c>
      <c r="Q12" s="143"/>
      <c r="R12" s="143"/>
      <c r="S12" s="143"/>
      <c r="T12" s="143"/>
      <c r="U12" s="143"/>
      <c r="V12" s="174"/>
      <c r="W12" s="43"/>
      <c r="X12" s="44"/>
      <c r="Y12" s="8" t="s">
        <v>78</v>
      </c>
    </row>
    <row r="13" spans="2:25" ht="15" customHeight="1">
      <c r="B13" s="169"/>
      <c r="C13" s="170"/>
      <c r="D13" s="45"/>
      <c r="E13" s="145"/>
      <c r="F13" s="175"/>
      <c r="G13" s="171"/>
      <c r="H13" s="149"/>
      <c r="I13" s="150"/>
      <c r="J13" s="46"/>
      <c r="K13" s="145"/>
      <c r="L13" s="146"/>
      <c r="M13" s="146"/>
      <c r="N13" s="147"/>
      <c r="O13" s="47"/>
      <c r="P13" s="145"/>
      <c r="Q13" s="146"/>
      <c r="R13" s="146"/>
      <c r="S13" s="146"/>
      <c r="T13" s="146"/>
      <c r="U13" s="146"/>
      <c r="V13" s="175"/>
      <c r="W13" s="48"/>
      <c r="X13" s="44"/>
      <c r="Y13" s="8" t="s">
        <v>79</v>
      </c>
    </row>
    <row r="14" spans="2:25" ht="15" customHeight="1">
      <c r="B14" s="169"/>
      <c r="C14" s="170"/>
      <c r="D14" s="45"/>
      <c r="E14" s="148"/>
      <c r="F14" s="153"/>
      <c r="G14" s="177" t="s">
        <v>80</v>
      </c>
      <c r="H14" s="178"/>
      <c r="I14" s="49" t="s">
        <v>81</v>
      </c>
      <c r="J14" s="50"/>
      <c r="K14" s="148"/>
      <c r="L14" s="149"/>
      <c r="M14" s="149"/>
      <c r="N14" s="150"/>
      <c r="O14" s="47"/>
      <c r="P14" s="191"/>
      <c r="Q14" s="192"/>
      <c r="R14" s="192"/>
      <c r="S14" s="192"/>
      <c r="T14" s="192"/>
      <c r="U14" s="192"/>
      <c r="V14" s="193"/>
      <c r="W14" s="51"/>
      <c r="X14" s="44"/>
      <c r="Y14" s="8" t="s">
        <v>81</v>
      </c>
    </row>
    <row r="15" spans="2:25" ht="30" customHeight="1">
      <c r="B15" s="169"/>
      <c r="C15" s="170"/>
      <c r="D15" s="45"/>
      <c r="E15" s="52" t="s">
        <v>82</v>
      </c>
      <c r="F15" s="53" t="s">
        <v>83</v>
      </c>
      <c r="G15" s="138" t="s">
        <v>84</v>
      </c>
      <c r="H15" s="139"/>
      <c r="I15" s="140"/>
      <c r="J15" s="54"/>
      <c r="K15" s="151" t="s">
        <v>85</v>
      </c>
      <c r="L15" s="152"/>
      <c r="M15" s="154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>
      <c r="B16" s="171"/>
      <c r="C16" s="172"/>
      <c r="D16" s="45"/>
      <c r="E16" s="63">
        <f>1/F16</f>
        <v>0.7246376811594204</v>
      </c>
      <c r="F16" s="64">
        <v>1.38</v>
      </c>
      <c r="G16" s="135"/>
      <c r="H16" s="132"/>
      <c r="I16" s="133"/>
      <c r="J16" s="65"/>
      <c r="K16" s="148"/>
      <c r="L16" s="153"/>
      <c r="M16" s="155"/>
      <c r="N16" s="156" t="s">
        <v>90</v>
      </c>
      <c r="O16" s="56"/>
      <c r="P16" s="194" t="s">
        <v>91</v>
      </c>
      <c r="Q16" s="195"/>
      <c r="R16" s="195"/>
      <c r="S16" s="195"/>
      <c r="T16" s="195"/>
      <c r="U16" s="195"/>
      <c r="V16" s="196"/>
      <c r="W16" s="66"/>
      <c r="X16" s="67"/>
      <c r="Y16" s="8"/>
    </row>
    <row r="17" spans="2:26" ht="15" customHeight="1">
      <c r="B17" s="162" t="s">
        <v>92</v>
      </c>
      <c r="C17" s="163" t="s">
        <v>93</v>
      </c>
      <c r="D17" s="68"/>
      <c r="E17" s="165" t="s">
        <v>94</v>
      </c>
      <c r="F17" s="166" t="s">
        <v>95</v>
      </c>
      <c r="G17" s="136" t="s">
        <v>96</v>
      </c>
      <c r="H17" s="137"/>
      <c r="I17" s="69" t="s">
        <v>97</v>
      </c>
      <c r="J17" s="70"/>
      <c r="K17" s="159" t="s">
        <v>95</v>
      </c>
      <c r="L17" s="71" t="s">
        <v>98</v>
      </c>
      <c r="M17" s="72" t="s">
        <v>99</v>
      </c>
      <c r="N17" s="157"/>
      <c r="O17" s="73"/>
      <c r="P17" s="197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5"/>
      <c r="C18" s="164"/>
      <c r="D18" s="78"/>
      <c r="E18" s="160"/>
      <c r="F18" s="155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60"/>
      <c r="L18" s="161" t="s">
        <v>78</v>
      </c>
      <c r="M18" s="140"/>
      <c r="N18" s="158"/>
      <c r="O18" s="82"/>
      <c r="P18" s="198"/>
      <c r="Q18" s="58" t="s">
        <v>79</v>
      </c>
      <c r="R18" s="199" t="str">
        <f>L18</f>
        <v>CAD $</v>
      </c>
      <c r="S18" s="139"/>
      <c r="T18" s="139"/>
      <c r="U18" s="139"/>
      <c r="V18" s="140"/>
      <c r="W18" s="83"/>
      <c r="X18" s="84"/>
      <c r="Y18" s="85"/>
      <c r="Z18" s="85"/>
    </row>
    <row r="19" spans="2:26">
      <c r="B19" t="s">
        <v>110</v>
      </c>
      <c r="C19" t="s">
        <v>111</v>
      </c>
      <c r="D19" s="87"/>
      <c r="E19" s="88"/>
      <c r="F19">
        <v>1</v>
      </c>
      <c r="G19" s="226">
        <v>44.09</v>
      </c>
      <c r="H19" s="226">
        <v>60.84</v>
      </c>
      <c r="I19" s="226">
        <v>60.84</v>
      </c>
      <c r="J19" s="92"/>
      <c r="K19">
        <v>1</v>
      </c>
      <c r="L19" s="226">
        <v>30.42</v>
      </c>
      <c r="M19" s="226">
        <v>30.42</v>
      </c>
      <c r="N19" s="93"/>
      <c r="O19" s="94"/>
      <c r="P19" s="86"/>
      <c r="Q19" s="95"/>
      <c r="R19" s="95"/>
      <c r="S19" s="226">
        <v>30.42</v>
      </c>
      <c r="T19" s="226">
        <v>30.42</v>
      </c>
      <c r="U19" s="227">
        <v>0</v>
      </c>
      <c r="V19" s="227">
        <v>1</v>
      </c>
      <c r="W19" s="97"/>
      <c r="X19" s="98"/>
      <c r="Y19" s="8"/>
      <c r="Z19" s="8"/>
    </row>
    <row r="20" spans="2:26">
      <c r="B20" t="s">
        <v>112</v>
      </c>
      <c r="C20" t="s">
        <v>113</v>
      </c>
      <c r="D20" s="87"/>
      <c r="E20" s="101"/>
      <c r="F20">
        <v>1</v>
      </c>
      <c r="G20" s="226">
        <v>229</v>
      </c>
      <c r="H20" s="226">
        <v>316.02</v>
      </c>
      <c r="I20" s="226">
        <v>316.02</v>
      </c>
      <c r="J20" s="106"/>
      <c r="K20">
        <v>1</v>
      </c>
      <c r="L20" s="226">
        <v>158.01</v>
      </c>
      <c r="M20" s="226">
        <v>158.01</v>
      </c>
      <c r="N20" s="108"/>
      <c r="O20" s="94"/>
      <c r="P20" s="99"/>
      <c r="Q20" s="103"/>
      <c r="R20" s="109"/>
      <c r="S20" s="226">
        <v>158.01</v>
      </c>
      <c r="T20" s="226">
        <v>158.01</v>
      </c>
      <c r="U20" s="227">
        <v>0</v>
      </c>
      <c r="V20" s="227">
        <v>1</v>
      </c>
      <c r="W20" s="112"/>
      <c r="X20" s="98"/>
      <c r="Y20" s="8"/>
      <c r="Z20" s="8"/>
    </row>
    <row r="21" spans="2:26">
      <c r="B21" t="s">
        <v>114</v>
      </c>
      <c r="C21" t="s">
        <v>115</v>
      </c>
      <c r="D21" s="87"/>
      <c r="E21" s="88"/>
      <c r="F21">
        <v>1</v>
      </c>
      <c r="G21" s="226">
        <v>170.36</v>
      </c>
      <c r="H21" s="226">
        <v>235.1</v>
      </c>
      <c r="I21" s="226">
        <v>235.1</v>
      </c>
      <c r="J21" s="106"/>
      <c r="K21">
        <v>1</v>
      </c>
      <c r="L21" s="226">
        <v>117.55</v>
      </c>
      <c r="M21" s="226">
        <v>117.55</v>
      </c>
      <c r="N21" s="115"/>
      <c r="O21" s="94"/>
      <c r="P21" s="116"/>
      <c r="Q21" s="95"/>
      <c r="R21" s="95"/>
      <c r="S21" s="226">
        <v>117.55</v>
      </c>
      <c r="T21" s="226">
        <v>117.55</v>
      </c>
      <c r="U21" s="227">
        <v>0</v>
      </c>
      <c r="V21" s="227">
        <v>1</v>
      </c>
      <c r="W21" s="97"/>
      <c r="X21" s="98"/>
      <c r="Y21" s="8"/>
      <c r="Z21" s="8"/>
    </row>
    <row r="22" spans="2:26" ht="15.75" customHeight="1">
      <c r="B22" t="s">
        <v>116</v>
      </c>
      <c r="C22" t="s">
        <v>117</v>
      </c>
      <c r="D22" s="87"/>
      <c r="E22" s="101"/>
      <c r="F22">
        <v>1</v>
      </c>
      <c r="G22" s="226">
        <v>67.44</v>
      </c>
      <c r="H22" s="226">
        <v>93.07</v>
      </c>
      <c r="I22" s="226">
        <v>93.07</v>
      </c>
      <c r="J22" s="106"/>
      <c r="K22">
        <v>1</v>
      </c>
      <c r="L22" s="226">
        <v>46.54</v>
      </c>
      <c r="M22" s="226">
        <v>46.54</v>
      </c>
      <c r="N22" s="108"/>
      <c r="O22" s="94"/>
      <c r="P22" s="99"/>
      <c r="Q22" s="103"/>
      <c r="R22" s="109"/>
      <c r="S22" s="226">
        <v>46.54</v>
      </c>
      <c r="T22" s="226">
        <v>46.54</v>
      </c>
      <c r="U22" s="227">
        <v>0</v>
      </c>
      <c r="V22" s="227">
        <v>1</v>
      </c>
      <c r="W22" s="112"/>
      <c r="X22" s="98"/>
      <c r="Y22" s="8"/>
      <c r="Z22" s="8"/>
    </row>
    <row r="23" spans="2:26" ht="15.75" customHeight="1">
      <c r="B23" t="s">
        <v>118</v>
      </c>
      <c r="C23" t="s">
        <v>119</v>
      </c>
      <c r="D23" s="87"/>
      <c r="E23" s="88"/>
      <c r="F23">
        <v>1</v>
      </c>
      <c r="G23" s="226">
        <v>117.3</v>
      </c>
      <c r="H23" s="226">
        <v>161.87</v>
      </c>
      <c r="I23" s="226">
        <v>161.87</v>
      </c>
      <c r="J23" s="106"/>
      <c r="K23">
        <v>1</v>
      </c>
      <c r="L23" s="226">
        <v>80.94</v>
      </c>
      <c r="M23" s="226">
        <v>80.94</v>
      </c>
      <c r="N23" s="115"/>
      <c r="O23" s="94"/>
      <c r="P23" s="116"/>
      <c r="Q23" s="95"/>
      <c r="R23" s="95"/>
      <c r="S23" s="226">
        <v>80.94</v>
      </c>
      <c r="T23" s="226">
        <v>80.94</v>
      </c>
      <c r="U23" s="227">
        <v>0</v>
      </c>
      <c r="V23" s="227">
        <v>1</v>
      </c>
      <c r="W23" s="97"/>
      <c r="X23" s="98"/>
      <c r="Y23" s="8"/>
      <c r="Z23" s="8"/>
    </row>
    <row r="24" spans="2:26" ht="15.75" customHeight="1">
      <c r="B24" t="s">
        <v>120</v>
      </c>
      <c r="C24" t="s">
        <v>121</v>
      </c>
      <c r="D24" s="87"/>
      <c r="E24" s="101"/>
      <c r="F24">
        <v>1</v>
      </c>
      <c r="G24" s="226">
        <v>165.83</v>
      </c>
      <c r="H24" s="226">
        <v>228.85</v>
      </c>
      <c r="I24" s="226">
        <v>228.85</v>
      </c>
      <c r="J24" s="106"/>
      <c r="K24">
        <v>1</v>
      </c>
      <c r="L24" s="226">
        <v>114.43</v>
      </c>
      <c r="M24" s="226">
        <v>114.43</v>
      </c>
      <c r="N24" s="108"/>
      <c r="O24" s="94"/>
      <c r="P24" s="99"/>
      <c r="Q24" s="103"/>
      <c r="R24" s="109"/>
      <c r="S24" s="226">
        <v>114.43</v>
      </c>
      <c r="T24" s="226">
        <v>114.43</v>
      </c>
      <c r="U24" s="227">
        <v>0</v>
      </c>
      <c r="V24" s="227">
        <v>1</v>
      </c>
      <c r="W24" s="112"/>
      <c r="X24" s="98"/>
      <c r="Y24" s="8"/>
      <c r="Z24" s="8"/>
    </row>
    <row r="25" spans="2:26" ht="15.75" customHeight="1">
      <c r="B25" t="s">
        <v>122</v>
      </c>
      <c r="C25" t="s">
        <v>123</v>
      </c>
      <c r="D25" s="87"/>
      <c r="E25" s="88"/>
      <c r="F25">
        <v>1</v>
      </c>
      <c r="G25" s="226">
        <v>85.6</v>
      </c>
      <c r="H25" s="226">
        <v>118.13</v>
      </c>
      <c r="I25" s="226">
        <v>118.13</v>
      </c>
      <c r="J25" s="106"/>
      <c r="K25">
        <v>1</v>
      </c>
      <c r="L25" s="226">
        <v>59.07</v>
      </c>
      <c r="M25" s="226">
        <v>59.07</v>
      </c>
      <c r="N25" s="115"/>
      <c r="O25" s="94"/>
      <c r="P25" s="116"/>
      <c r="Q25" s="95"/>
      <c r="R25" s="95"/>
      <c r="S25" s="226">
        <v>59.07</v>
      </c>
      <c r="T25" s="226">
        <v>59.07</v>
      </c>
      <c r="U25" s="227">
        <v>0</v>
      </c>
      <c r="V25" s="227">
        <v>1</v>
      </c>
      <c r="W25" s="97"/>
      <c r="X25" s="98"/>
      <c r="Y25" s="8"/>
      <c r="Z25" s="8"/>
    </row>
    <row r="26" spans="2:26" ht="15.75" customHeight="1">
      <c r="B26" t="s">
        <v>124</v>
      </c>
      <c r="C26" t="s">
        <v>125</v>
      </c>
      <c r="D26" s="87"/>
      <c r="E26" s="101"/>
      <c r="F26">
        <v>6</v>
      </c>
      <c r="G26" s="226">
        <v>1834.86</v>
      </c>
      <c r="H26" s="226">
        <v>2532.11</v>
      </c>
      <c r="I26" s="226">
        <v>15192.66</v>
      </c>
      <c r="J26" s="106"/>
      <c r="K26">
        <v>6</v>
      </c>
      <c r="L26" s="226">
        <v>1266.06</v>
      </c>
      <c r="M26" s="226">
        <v>7596.36</v>
      </c>
      <c r="N26" s="108"/>
      <c r="O26" s="94"/>
      <c r="P26" s="99"/>
      <c r="Q26" s="103"/>
      <c r="R26" s="109"/>
      <c r="S26" s="226">
        <v>1266.06</v>
      </c>
      <c r="T26" s="226">
        <v>7596.36</v>
      </c>
      <c r="U26" s="227">
        <v>0</v>
      </c>
      <c r="V26" s="227">
        <v>1</v>
      </c>
      <c r="W26" s="112"/>
      <c r="X26" s="98"/>
      <c r="Y26" s="8"/>
      <c r="Z26" s="8"/>
    </row>
    <row r="27" spans="2:26" ht="15.75" customHeight="1">
      <c r="B27" t="s">
        <v>126</v>
      </c>
      <c r="C27" t="s">
        <v>127</v>
      </c>
      <c r="D27" s="87"/>
      <c r="E27" s="88"/>
      <c r="F27">
        <v>1</v>
      </c>
      <c r="G27" s="226">
        <v>451.85</v>
      </c>
      <c r="H27" s="226">
        <v>623.54999999999995</v>
      </c>
      <c r="I27" s="226">
        <v>623.54999999999995</v>
      </c>
      <c r="J27" s="106"/>
      <c r="K27">
        <v>1</v>
      </c>
      <c r="L27" s="226">
        <v>311.77999999999997</v>
      </c>
      <c r="M27" s="226">
        <v>311.77999999999997</v>
      </c>
      <c r="N27" s="115"/>
      <c r="O27" s="94"/>
      <c r="P27" s="116"/>
      <c r="Q27" s="95"/>
      <c r="R27" s="95"/>
      <c r="S27" s="226">
        <v>311.77999999999997</v>
      </c>
      <c r="T27" s="226">
        <v>311.77999999999997</v>
      </c>
      <c r="U27" s="227">
        <v>0</v>
      </c>
      <c r="V27" s="227">
        <v>1</v>
      </c>
      <c r="W27" s="97"/>
      <c r="X27" s="98"/>
      <c r="Y27" s="8"/>
      <c r="Z27" s="8"/>
    </row>
    <row r="28" spans="2:26" ht="15.75" customHeight="1">
      <c r="B28" t="s">
        <v>128</v>
      </c>
      <c r="C28" t="s">
        <v>129</v>
      </c>
      <c r="D28" s="87"/>
      <c r="E28" s="101"/>
      <c r="F28">
        <v>1</v>
      </c>
      <c r="G28" s="226">
        <v>6839.06</v>
      </c>
      <c r="H28" s="226">
        <v>9437.9</v>
      </c>
      <c r="I28" s="226">
        <v>9437.9</v>
      </c>
      <c r="J28" s="106"/>
      <c r="K28">
        <v>1</v>
      </c>
      <c r="L28" s="226">
        <v>4718.95</v>
      </c>
      <c r="M28" s="226">
        <v>4718.95</v>
      </c>
      <c r="N28" s="108"/>
      <c r="O28" s="94"/>
      <c r="P28" s="99"/>
      <c r="Q28" s="103"/>
      <c r="R28" s="109"/>
      <c r="S28" s="226">
        <v>4718.95</v>
      </c>
      <c r="T28" s="226">
        <v>4718.95</v>
      </c>
      <c r="U28" s="227">
        <v>0</v>
      </c>
      <c r="V28" s="227">
        <v>1</v>
      </c>
      <c r="W28" s="112"/>
      <c r="X28" s="98"/>
      <c r="Y28" s="8"/>
      <c r="Z28" s="117"/>
    </row>
    <row r="29" spans="2:26" ht="15.75" customHeight="1">
      <c r="B29" t="s">
        <v>130</v>
      </c>
      <c r="C29" t="s">
        <v>131</v>
      </c>
      <c r="D29" s="87"/>
      <c r="E29" s="88"/>
      <c r="F29">
        <v>1</v>
      </c>
      <c r="G29" s="226">
        <v>4419.09</v>
      </c>
      <c r="H29" s="226">
        <v>6098.34</v>
      </c>
      <c r="I29" s="226">
        <v>6098.34</v>
      </c>
      <c r="J29" s="106"/>
      <c r="K29">
        <v>1</v>
      </c>
      <c r="L29" s="226">
        <v>3049.17</v>
      </c>
      <c r="M29" s="226">
        <v>3049.17</v>
      </c>
      <c r="N29" s="115"/>
      <c r="O29" s="94"/>
      <c r="P29" s="116"/>
      <c r="Q29" s="95"/>
      <c r="R29" s="95"/>
      <c r="S29" s="226">
        <v>3049.17</v>
      </c>
      <c r="T29" s="226">
        <v>3049.17</v>
      </c>
      <c r="U29" s="227">
        <v>0</v>
      </c>
      <c r="V29" s="227">
        <v>1</v>
      </c>
      <c r="W29" s="97"/>
      <c r="X29" s="98"/>
      <c r="Y29" s="8"/>
      <c r="Z29" s="8"/>
    </row>
    <row r="30" spans="2:26" ht="15.75" customHeight="1">
      <c r="B30">
        <v>4892731</v>
      </c>
      <c r="C30" t="s">
        <v>132</v>
      </c>
      <c r="D30" s="87"/>
      <c r="E30" s="101"/>
      <c r="F30">
        <v>1</v>
      </c>
      <c r="G30" s="226">
        <v>14944.09</v>
      </c>
      <c r="H30" s="226">
        <v>20622.84</v>
      </c>
      <c r="I30" s="226">
        <v>20622.84</v>
      </c>
      <c r="J30" s="106"/>
      <c r="K30">
        <v>1</v>
      </c>
      <c r="L30" s="226">
        <v>10311.42</v>
      </c>
      <c r="M30" s="226">
        <v>10311.42</v>
      </c>
      <c r="N30" s="108"/>
      <c r="O30" s="94"/>
      <c r="P30" s="99"/>
      <c r="Q30" s="103"/>
      <c r="R30" s="109"/>
      <c r="S30" s="226">
        <v>10311.42</v>
      </c>
      <c r="T30" s="226">
        <v>10311.42</v>
      </c>
      <c r="U30" s="227">
        <v>0</v>
      </c>
      <c r="V30" s="227">
        <v>1</v>
      </c>
      <c r="W30" s="112"/>
      <c r="X30" s="98"/>
      <c r="Y30" s="8"/>
      <c r="Z30" s="8"/>
    </row>
    <row r="31" spans="2:26" ht="15.75" customHeight="1">
      <c r="B31" t="s">
        <v>133</v>
      </c>
      <c r="C31" t="s">
        <v>134</v>
      </c>
      <c r="D31" s="87"/>
      <c r="E31" s="88"/>
      <c r="F31">
        <v>2</v>
      </c>
      <c r="G31" s="226">
        <v>10726.82</v>
      </c>
      <c r="H31" s="226">
        <v>14803.01</v>
      </c>
      <c r="I31" s="226">
        <v>29606.02</v>
      </c>
      <c r="J31" s="106"/>
      <c r="K31">
        <v>2</v>
      </c>
      <c r="L31" s="226">
        <v>7401.51</v>
      </c>
      <c r="M31" s="226">
        <v>14803.02</v>
      </c>
      <c r="N31" s="115"/>
      <c r="O31" s="94"/>
      <c r="P31" s="116"/>
      <c r="Q31" s="95"/>
      <c r="R31" s="95"/>
      <c r="S31" s="226">
        <v>7401.51</v>
      </c>
      <c r="T31" s="226">
        <v>14803.02</v>
      </c>
      <c r="U31" s="227">
        <v>0</v>
      </c>
      <c r="V31" s="227">
        <v>1</v>
      </c>
      <c r="W31" s="97"/>
      <c r="X31" s="98"/>
      <c r="Y31" s="8"/>
      <c r="Z31" s="8"/>
    </row>
    <row r="32" spans="2:26" ht="15.75" customHeight="1">
      <c r="B32" t="s">
        <v>135</v>
      </c>
      <c r="C32" t="s">
        <v>136</v>
      </c>
      <c r="D32" s="87"/>
      <c r="E32" s="101"/>
      <c r="F32">
        <v>2</v>
      </c>
      <c r="G32" s="226">
        <v>10460.700000000001</v>
      </c>
      <c r="H32" s="226">
        <v>14435.77</v>
      </c>
      <c r="I32" s="226">
        <v>28871.54</v>
      </c>
      <c r="J32" s="106"/>
      <c r="K32">
        <v>2</v>
      </c>
      <c r="L32" s="226">
        <v>7217.89</v>
      </c>
      <c r="M32" s="226">
        <v>14435.78</v>
      </c>
      <c r="N32" s="108"/>
      <c r="O32" s="94"/>
      <c r="P32" s="99"/>
      <c r="Q32" s="103"/>
      <c r="R32" s="109"/>
      <c r="S32" s="226">
        <v>7217.89</v>
      </c>
      <c r="T32" s="226">
        <v>14435.78</v>
      </c>
      <c r="U32" s="227">
        <v>0</v>
      </c>
      <c r="V32" s="227">
        <v>1</v>
      </c>
      <c r="W32" s="112"/>
      <c r="X32" s="98"/>
      <c r="Y32" s="8"/>
      <c r="Z32" s="8"/>
    </row>
    <row r="33" spans="2:23" ht="15.75" customHeight="1">
      <c r="B33" t="s">
        <v>137</v>
      </c>
      <c r="C33" t="s">
        <v>138</v>
      </c>
      <c r="D33" s="87"/>
      <c r="E33" s="88"/>
      <c r="F33">
        <v>96</v>
      </c>
      <c r="G33" s="226">
        <v>256.66000000000003</v>
      </c>
      <c r="H33" s="226">
        <v>354.19</v>
      </c>
      <c r="I33" s="226">
        <v>34002.239999999998</v>
      </c>
      <c r="J33" s="106"/>
      <c r="K33">
        <v>96</v>
      </c>
      <c r="L33" s="226">
        <v>177.1</v>
      </c>
      <c r="M33" s="226">
        <v>17001.599999999999</v>
      </c>
      <c r="N33" s="115"/>
      <c r="O33" s="94"/>
      <c r="P33" s="116"/>
      <c r="Q33" s="95"/>
      <c r="R33" s="95"/>
      <c r="S33" s="226">
        <v>177.1</v>
      </c>
      <c r="T33" s="226">
        <v>17001.599999999999</v>
      </c>
      <c r="U33" s="227">
        <v>0</v>
      </c>
      <c r="V33" s="227">
        <v>1</v>
      </c>
      <c r="W33" s="97"/>
    </row>
    <row r="34" spans="2:23" ht="15.75" customHeight="1">
      <c r="B34" t="s">
        <v>139</v>
      </c>
      <c r="C34" t="s">
        <v>140</v>
      </c>
      <c r="D34" s="87"/>
      <c r="E34" s="101"/>
      <c r="F34">
        <v>384</v>
      </c>
      <c r="G34" s="226">
        <v>6.32</v>
      </c>
      <c r="H34" s="226">
        <v>8.7200000000000006</v>
      </c>
      <c r="I34" s="226">
        <v>3348.48</v>
      </c>
      <c r="J34" s="106"/>
      <c r="K34">
        <v>384</v>
      </c>
      <c r="L34" s="226">
        <v>4.3600000000000003</v>
      </c>
      <c r="M34" s="226">
        <v>1674.24</v>
      </c>
      <c r="N34" s="108"/>
      <c r="O34" s="94"/>
      <c r="P34" s="99"/>
      <c r="Q34" s="103"/>
      <c r="R34" s="109"/>
      <c r="S34" s="226">
        <v>4.3600000000000003</v>
      </c>
      <c r="T34" s="226">
        <v>1674.24</v>
      </c>
      <c r="U34" s="227">
        <v>0</v>
      </c>
      <c r="V34" s="227">
        <v>1</v>
      </c>
      <c r="W34" s="112"/>
    </row>
    <row r="35" spans="2:23" ht="15.75" customHeight="1">
      <c r="B35" t="s">
        <v>141</v>
      </c>
      <c r="C35" t="s">
        <v>142</v>
      </c>
      <c r="D35" s="87"/>
      <c r="E35" s="88"/>
      <c r="F35">
        <v>384</v>
      </c>
      <c r="G35" s="226">
        <v>3.14</v>
      </c>
      <c r="H35" s="226">
        <v>4.33</v>
      </c>
      <c r="I35" s="226">
        <v>1662.72</v>
      </c>
      <c r="J35" s="106"/>
      <c r="K35">
        <v>384</v>
      </c>
      <c r="L35" s="226">
        <v>2.17</v>
      </c>
      <c r="M35" s="226">
        <v>833.28</v>
      </c>
      <c r="N35" s="115"/>
      <c r="O35" s="94"/>
      <c r="P35" s="116"/>
      <c r="Q35" s="95"/>
      <c r="R35" s="95"/>
      <c r="S35" s="226">
        <v>2.17</v>
      </c>
      <c r="T35" s="226">
        <v>833.28</v>
      </c>
      <c r="U35" s="227">
        <v>0</v>
      </c>
      <c r="V35" s="227">
        <v>1</v>
      </c>
      <c r="W35" s="97"/>
    </row>
    <row r="36" spans="2:23" ht="15.75" customHeight="1">
      <c r="B36" t="s">
        <v>143</v>
      </c>
      <c r="C36" t="s">
        <v>144</v>
      </c>
      <c r="D36" s="87"/>
      <c r="E36" s="101"/>
      <c r="F36">
        <v>2</v>
      </c>
      <c r="G36" s="226">
        <v>3159.07</v>
      </c>
      <c r="H36" s="226">
        <v>4359.5200000000004</v>
      </c>
      <c r="I36" s="226">
        <v>8719.0400000000009</v>
      </c>
      <c r="J36" s="106"/>
      <c r="K36">
        <v>2</v>
      </c>
      <c r="L36" s="226">
        <v>2179.7600000000002</v>
      </c>
      <c r="M36" s="226">
        <v>4359.5200000000004</v>
      </c>
      <c r="N36" s="108"/>
      <c r="O36" s="94"/>
      <c r="P36" s="99"/>
      <c r="Q36" s="103"/>
      <c r="R36" s="109"/>
      <c r="S36" s="226">
        <v>2179.7600000000002</v>
      </c>
      <c r="T36" s="226">
        <v>4359.5200000000004</v>
      </c>
      <c r="U36" s="227">
        <v>0</v>
      </c>
      <c r="V36" s="227">
        <v>1</v>
      </c>
      <c r="W36" s="112"/>
    </row>
    <row r="37" spans="2:23" ht="15.75" customHeight="1">
      <c r="B37" t="s">
        <v>145</v>
      </c>
      <c r="C37" t="s">
        <v>146</v>
      </c>
      <c r="D37" s="87"/>
      <c r="E37" s="88"/>
      <c r="F37">
        <v>4</v>
      </c>
      <c r="G37" s="226">
        <v>635.41999999999996</v>
      </c>
      <c r="H37" s="226">
        <v>876.88</v>
      </c>
      <c r="I37" s="226">
        <v>3507.52</v>
      </c>
      <c r="J37" s="106"/>
      <c r="K37">
        <v>4</v>
      </c>
      <c r="L37" s="226">
        <v>438.44</v>
      </c>
      <c r="M37" s="226">
        <v>1753.76</v>
      </c>
      <c r="N37" s="115"/>
      <c r="O37" s="94"/>
      <c r="P37" s="116"/>
      <c r="Q37" s="95"/>
      <c r="R37" s="95"/>
      <c r="S37" s="226">
        <v>438.44</v>
      </c>
      <c r="T37" s="226">
        <v>1753.76</v>
      </c>
      <c r="U37" s="227">
        <v>0</v>
      </c>
      <c r="V37" s="227">
        <v>1</v>
      </c>
      <c r="W37" s="97"/>
    </row>
    <row r="38" spans="2:23" ht="15.75" customHeight="1">
      <c r="B38" t="s">
        <v>147</v>
      </c>
      <c r="C38" t="s">
        <v>148</v>
      </c>
      <c r="D38" s="87"/>
      <c r="E38" s="101"/>
      <c r="F38">
        <v>4</v>
      </c>
      <c r="G38" s="226">
        <v>31.9</v>
      </c>
      <c r="H38" s="226">
        <v>44.02</v>
      </c>
      <c r="I38" s="226">
        <v>176.08</v>
      </c>
      <c r="J38" s="106"/>
      <c r="K38">
        <v>4</v>
      </c>
      <c r="L38" s="226">
        <v>22.01</v>
      </c>
      <c r="M38" s="226">
        <v>88.04</v>
      </c>
      <c r="N38" s="108"/>
      <c r="O38" s="94"/>
      <c r="P38" s="99"/>
      <c r="Q38" s="103"/>
      <c r="R38" s="109"/>
      <c r="S38" s="226">
        <v>22.01</v>
      </c>
      <c r="T38" s="226">
        <v>88.04</v>
      </c>
      <c r="U38" s="227">
        <v>0</v>
      </c>
      <c r="V38" s="227">
        <v>1</v>
      </c>
      <c r="W38" s="112"/>
    </row>
    <row r="39" spans="2:23" ht="15.75" customHeight="1">
      <c r="B39" t="s">
        <v>149</v>
      </c>
      <c r="C39" t="s">
        <v>150</v>
      </c>
      <c r="D39" s="87"/>
      <c r="E39" s="88"/>
      <c r="F39">
        <v>18</v>
      </c>
      <c r="G39" s="226">
        <v>862.15</v>
      </c>
      <c r="H39" s="226">
        <v>1189.77</v>
      </c>
      <c r="I39" s="226">
        <v>21415.86</v>
      </c>
      <c r="J39" s="106"/>
      <c r="K39">
        <v>18</v>
      </c>
      <c r="L39" s="226">
        <v>594.89</v>
      </c>
      <c r="M39" s="226">
        <v>10708.02</v>
      </c>
      <c r="N39" s="115"/>
      <c r="O39" s="94"/>
      <c r="P39" s="116"/>
      <c r="Q39" s="95"/>
      <c r="R39" s="95"/>
      <c r="S39" s="226">
        <v>594.89</v>
      </c>
      <c r="T39" s="226">
        <v>10708.02</v>
      </c>
      <c r="U39" s="227">
        <v>0</v>
      </c>
      <c r="V39" s="227">
        <v>1</v>
      </c>
      <c r="W39" s="112"/>
    </row>
    <row r="40" spans="2:23" ht="15.75" customHeight="1">
      <c r="B40" t="s">
        <v>151</v>
      </c>
      <c r="C40" t="s">
        <v>142</v>
      </c>
      <c r="D40" s="87"/>
      <c r="E40" s="101"/>
      <c r="F40">
        <v>72</v>
      </c>
      <c r="G40" s="226">
        <v>24.16</v>
      </c>
      <c r="H40" s="226">
        <v>33.340000000000003</v>
      </c>
      <c r="I40" s="226">
        <v>2400.48</v>
      </c>
      <c r="J40" s="106"/>
      <c r="K40">
        <v>72</v>
      </c>
      <c r="L40" s="226">
        <v>16.670000000000002</v>
      </c>
      <c r="M40" s="226">
        <v>1200.24</v>
      </c>
      <c r="N40" s="108"/>
      <c r="O40" s="94"/>
      <c r="P40" s="99"/>
      <c r="Q40" s="103"/>
      <c r="R40" s="109"/>
      <c r="S40" s="226">
        <v>16.670000000000002</v>
      </c>
      <c r="T40" s="226">
        <v>1200.24</v>
      </c>
      <c r="U40" s="227">
        <v>0</v>
      </c>
      <c r="V40" s="227">
        <v>1</v>
      </c>
      <c r="W40" s="112"/>
    </row>
    <row r="41" spans="2:23" ht="15.75" customHeight="1">
      <c r="B41" t="s">
        <v>152</v>
      </c>
      <c r="C41" t="s">
        <v>153</v>
      </c>
      <c r="D41" s="87"/>
      <c r="E41" s="88"/>
      <c r="F41">
        <v>72</v>
      </c>
      <c r="G41" s="226">
        <v>3.56</v>
      </c>
      <c r="H41" s="226">
        <v>4.91</v>
      </c>
      <c r="I41" s="226">
        <v>353.52</v>
      </c>
      <c r="J41" s="106"/>
      <c r="K41">
        <v>72</v>
      </c>
      <c r="L41" s="226">
        <v>2.46</v>
      </c>
      <c r="M41" s="226">
        <v>177.12</v>
      </c>
      <c r="N41" s="115"/>
      <c r="O41" s="94"/>
      <c r="P41" s="116"/>
      <c r="Q41" s="95"/>
      <c r="R41" s="95"/>
      <c r="S41" s="226">
        <v>2.46</v>
      </c>
      <c r="T41" s="226">
        <v>177.12</v>
      </c>
      <c r="U41" s="227">
        <v>0</v>
      </c>
      <c r="V41" s="227">
        <v>1</v>
      </c>
      <c r="W41" s="112"/>
    </row>
    <row r="42" spans="2:23" ht="15.75" customHeight="1">
      <c r="B42" t="s">
        <v>154</v>
      </c>
      <c r="C42" t="s">
        <v>155</v>
      </c>
      <c r="D42" s="87"/>
      <c r="E42" s="101"/>
      <c r="F42">
        <v>1</v>
      </c>
      <c r="G42" s="226">
        <v>16503.46</v>
      </c>
      <c r="H42" s="226">
        <v>22774.77</v>
      </c>
      <c r="I42" s="226">
        <v>22774.77</v>
      </c>
      <c r="J42" s="106"/>
      <c r="K42">
        <v>1</v>
      </c>
      <c r="L42" s="226">
        <v>11387.39</v>
      </c>
      <c r="M42" s="226">
        <v>11387.39</v>
      </c>
      <c r="N42" s="108"/>
      <c r="O42" s="94"/>
      <c r="P42" s="99"/>
      <c r="Q42" s="103"/>
      <c r="R42" s="109"/>
      <c r="S42" s="226">
        <v>11387.39</v>
      </c>
      <c r="T42" s="226">
        <v>11387.39</v>
      </c>
      <c r="U42" s="227">
        <v>0</v>
      </c>
      <c r="V42" s="227">
        <v>1</v>
      </c>
      <c r="W42" s="112"/>
    </row>
    <row r="43" spans="2:23" ht="15.75" customHeight="1">
      <c r="B43" t="s">
        <v>156</v>
      </c>
      <c r="C43" t="s">
        <v>157</v>
      </c>
      <c r="D43" s="87"/>
      <c r="E43" s="88"/>
      <c r="F43">
        <v>1</v>
      </c>
      <c r="G43" s="226">
        <v>162.68</v>
      </c>
      <c r="H43" s="226">
        <v>224.5</v>
      </c>
      <c r="I43" s="226">
        <v>224.5</v>
      </c>
      <c r="J43" s="106"/>
      <c r="K43">
        <v>1</v>
      </c>
      <c r="L43" s="226">
        <v>112.25</v>
      </c>
      <c r="M43" s="226">
        <v>112.25</v>
      </c>
      <c r="N43" s="115"/>
      <c r="O43" s="94"/>
      <c r="P43" s="116"/>
      <c r="Q43" s="95"/>
      <c r="R43" s="95"/>
      <c r="S43" s="226">
        <v>112.25</v>
      </c>
      <c r="T43" s="226">
        <v>112.25</v>
      </c>
      <c r="U43" s="227">
        <v>0</v>
      </c>
      <c r="V43" s="227">
        <v>1</v>
      </c>
      <c r="W43" s="112"/>
    </row>
    <row r="44" spans="2:23" ht="15.75" customHeight="1">
      <c r="B44" t="s">
        <v>158</v>
      </c>
      <c r="C44" t="s">
        <v>159</v>
      </c>
      <c r="D44" s="87"/>
      <c r="E44" s="101"/>
      <c r="F44">
        <v>1</v>
      </c>
      <c r="G44" s="226">
        <v>18.28</v>
      </c>
      <c r="H44" s="226">
        <v>25.23</v>
      </c>
      <c r="I44" s="226">
        <v>25.23</v>
      </c>
      <c r="J44" s="106"/>
      <c r="K44">
        <v>1</v>
      </c>
      <c r="L44" s="226">
        <v>12.62</v>
      </c>
      <c r="M44" s="226">
        <v>12.62</v>
      </c>
      <c r="N44" s="108"/>
      <c r="O44" s="94"/>
      <c r="P44" s="99"/>
      <c r="Q44" s="103"/>
      <c r="R44" s="109"/>
      <c r="S44" s="226">
        <v>12.62</v>
      </c>
      <c r="T44" s="226">
        <v>12.62</v>
      </c>
      <c r="U44" s="227">
        <v>0</v>
      </c>
      <c r="V44" s="227">
        <v>1</v>
      </c>
      <c r="W44" s="112"/>
    </row>
    <row r="45" spans="2:23" ht="15.75" customHeight="1">
      <c r="B45" t="s">
        <v>160</v>
      </c>
      <c r="C45" t="s">
        <v>161</v>
      </c>
      <c r="D45" s="87"/>
      <c r="E45" s="88"/>
      <c r="F45">
        <v>1</v>
      </c>
      <c r="G45" s="226">
        <v>24.03</v>
      </c>
      <c r="H45" s="226">
        <v>33.159999999999997</v>
      </c>
      <c r="I45" s="226">
        <v>33.159999999999997</v>
      </c>
      <c r="J45" s="106"/>
      <c r="K45">
        <v>1</v>
      </c>
      <c r="L45" s="226">
        <v>16.579999999999998</v>
      </c>
      <c r="M45" s="226">
        <v>16.579999999999998</v>
      </c>
      <c r="N45" s="115"/>
      <c r="O45" s="94"/>
      <c r="P45" s="116"/>
      <c r="Q45" s="95"/>
      <c r="R45" s="95"/>
      <c r="S45" s="226">
        <v>16.579999999999998</v>
      </c>
      <c r="T45" s="226">
        <v>16.579999999999998</v>
      </c>
      <c r="U45" s="227">
        <v>0</v>
      </c>
      <c r="V45" s="227">
        <v>1</v>
      </c>
      <c r="W45" s="112"/>
    </row>
    <row r="46" spans="2:23" ht="15.75" customHeight="1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>
      <c r="B50" s="118"/>
      <c r="C50" s="118"/>
      <c r="D50" s="119"/>
      <c r="E50" s="120" t="s">
        <v>107</v>
      </c>
      <c r="F50" s="121">
        <f t="shared" ref="F50:I50" si="0">SUM(F19:F49)</f>
        <v>1061</v>
      </c>
      <c r="G50" s="122">
        <f t="shared" si="0"/>
        <v>72246.919999999984</v>
      </c>
      <c r="H50" s="123">
        <f t="shared" si="0"/>
        <v>99700.74000000002</v>
      </c>
      <c r="I50" s="124">
        <f t="shared" si="0"/>
        <v>210310.33</v>
      </c>
      <c r="J50" s="125"/>
      <c r="K50" s="126">
        <f t="shared" ref="K50:M50" si="1">SUM(K19:K49)</f>
        <v>1061</v>
      </c>
      <c r="L50" s="123">
        <f t="shared" si="1"/>
        <v>49850.44</v>
      </c>
      <c r="M50" s="124">
        <f t="shared" si="1"/>
        <v>105158.1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49850.44</v>
      </c>
      <c r="T50" s="124">
        <f t="shared" si="2"/>
        <v>105158.1</v>
      </c>
      <c r="U50" s="129"/>
      <c r="V50" s="129"/>
      <c r="W50" s="130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CAT 16G MOTOR GRADER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2025-06-10T14:30:25Z</dcterms:modified>
</cp:coreProperties>
</file>