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CA7FB7F2-CBD1-499A-A848-C4A078BC3198}" xr6:coauthVersionLast="47" xr6:coauthVersionMax="47" xr10:uidLastSave="{00000000-0000-0000-0000-000000000000}"/>
  <bookViews>
    <workbookView xWindow="-120" yWindow="-120" windowWidth="20640" windowHeight="11160" firstSheet="1" activeTab="1" xr2:uid="{00000000-000D-0000-FFFF-FFFF00000000}"/>
  </bookViews>
  <sheets>
    <sheet name="Instructions" sheetId="1" r:id="rId1"/>
    <sheet name="CAT 950H LOADER" sheetId="13" r:id="rId2"/>
    <sheet name="CAT 160M GRADER" sheetId="12" r:id="rId3"/>
    <sheet name="CAT D7R Dozer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0" i="13" l="1"/>
  <c r="P6" i="13" s="1"/>
  <c r="S60" i="13"/>
  <c r="R60" i="13"/>
  <c r="V15" i="13" s="1"/>
  <c r="P9" i="13" s="1"/>
  <c r="Q60" i="13"/>
  <c r="M60" i="13"/>
  <c r="P3" i="13" s="1"/>
  <c r="L60" i="13"/>
  <c r="K60" i="13"/>
  <c r="I60" i="13"/>
  <c r="P2" i="13" s="1"/>
  <c r="H60" i="13"/>
  <c r="G60" i="13"/>
  <c r="F60" i="13"/>
  <c r="P11" i="13" s="1"/>
  <c r="R18" i="13"/>
  <c r="I18" i="13"/>
  <c r="H18" i="13"/>
  <c r="E16" i="13"/>
  <c r="P1" i="13"/>
  <c r="P8" i="13" s="1"/>
  <c r="T61" i="12"/>
  <c r="S61" i="12"/>
  <c r="R61" i="12"/>
  <c r="Q61" i="12"/>
  <c r="M61" i="12"/>
  <c r="L61" i="12"/>
  <c r="K61" i="12"/>
  <c r="I61" i="12"/>
  <c r="P2" i="12" s="1"/>
  <c r="H61" i="12"/>
  <c r="G61" i="12"/>
  <c r="F61" i="12"/>
  <c r="P11" i="12" s="1"/>
  <c r="R18" i="12"/>
  <c r="I18" i="12"/>
  <c r="H18" i="12"/>
  <c r="E16" i="12"/>
  <c r="V15" i="12"/>
  <c r="P9" i="12" s="1"/>
  <c r="P7" i="12"/>
  <c r="P6" i="12"/>
  <c r="P3" i="12"/>
  <c r="P1" i="12"/>
  <c r="P8" i="12" s="1"/>
  <c r="F70" i="2"/>
  <c r="P11" i="2" s="1"/>
  <c r="G70" i="2"/>
  <c r="H70" i="2"/>
  <c r="I70" i="2"/>
  <c r="K70" i="2"/>
  <c r="L70" i="2"/>
  <c r="M70" i="2"/>
  <c r="Q70" i="2"/>
  <c r="R70" i="2"/>
  <c r="S70" i="2"/>
  <c r="T70" i="2"/>
  <c r="R18" i="2"/>
  <c r="I18" i="2"/>
  <c r="H18" i="2"/>
  <c r="E16" i="2"/>
  <c r="P1" i="2"/>
  <c r="P8" i="2" s="1"/>
  <c r="P7" i="13" l="1"/>
  <c r="P4" i="13"/>
  <c r="P5" i="13"/>
  <c r="S9" i="13"/>
  <c r="T9" i="13" s="1"/>
  <c r="V9" i="13" s="1"/>
  <c r="U9" i="13"/>
  <c r="P4" i="12"/>
  <c r="P5" i="12"/>
  <c r="S9" i="12"/>
  <c r="T9" i="12" s="1"/>
  <c r="V9" i="12" s="1"/>
  <c r="U9" i="12"/>
  <c r="P3" i="2"/>
  <c r="P7" i="2" l="1"/>
  <c r="V15" i="2"/>
  <c r="P9" i="2" s="1"/>
  <c r="P2" i="2"/>
  <c r="S9" i="2" l="1"/>
  <c r="P6" i="2"/>
  <c r="P5" i="2"/>
  <c r="P4" i="2"/>
  <c r="T9" i="2" l="1"/>
  <c r="V9" i="2" s="1"/>
  <c r="U9" i="2"/>
</calcChain>
</file>

<file path=xl/sharedStrings.xml><?xml version="1.0" encoding="utf-8"?>
<sst xmlns="http://schemas.openxmlformats.org/spreadsheetml/2006/main" count="500" uniqueCount="291">
  <si>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</si>
  <si>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</si>
  <si>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</si>
  <si>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</si>
  <si>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</si>
  <si>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</si>
  <si>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</si>
  <si>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</si>
  <si>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</si>
  <si>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</si>
  <si>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</si>
  <si>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</si>
  <si>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</si>
  <si>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</si>
  <si>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</si>
  <si>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</si>
  <si>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</si>
  <si>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</si>
  <si>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</si>
  <si>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</si>
  <si>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</si>
  <si>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</si>
  <si>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</si>
  <si>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</si>
  <si>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</si>
  <si>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</si>
  <si>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</si>
  <si>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</si>
  <si>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</si>
  <si>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</si>
  <si>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</si>
  <si>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</si>
  <si>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</si>
  <si>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</si>
  <si>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</si>
  <si>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</si>
  <si>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</si>
  <si>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</si>
  <si>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</si>
  <si>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</si>
  <si>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</si>
  <si>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</si>
  <si>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</si>
  <si>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</si>
  <si>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</si>
  <si>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</si>
  <si>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</si>
  <si>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</si>
  <si>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</si>
  <si>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</si>
  <si>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</si>
  <si>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</si>
  <si>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</si>
  <si>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</si>
  <si>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</si>
  <si>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</si>
  <si>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</si>
  <si>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</si>
  <si>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</si>
  <si>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</si>
  <si>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</si>
  <si>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</si>
  <si>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</si>
  <si>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</si>
  <si>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</si>
  <si>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</si>
  <si>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</si>
  <si>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</si>
  <si>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</si>
  <si>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</si>
  <si>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</si>
  <si>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</si>
  <si>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</si>
  <si>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</si>
  <si>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</si>
  <si>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</si>
  <si>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</si>
  <si>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</si>
  <si>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</si>
  <si>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</si>
  <si>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</si>
  <si>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</si>
  <si>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</si>
  <si>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</si>
  <si>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</si>
  <si>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</si>
  <si>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</si>
  <si>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</si>
  <si>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</si>
  <si>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</si>
  <si>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</si>
  <si>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</si>
  <si>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</si>
  <si>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</si>
  <si>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</si>
  <si>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</si>
  <si>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</si>
  <si>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</si>
  <si>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</si>
  <si>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</si>
  <si>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</si>
  <si>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</si>
  <si>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</si>
  <si>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</si>
  <si>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</si>
  <si>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</si>
  <si>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</si>
  <si>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</si>
  <si>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Motor Grader</t>
  </si>
  <si>
    <t>Caterpiller</t>
  </si>
  <si>
    <t>1R-1807</t>
  </si>
  <si>
    <t>FUEL FILTER</t>
  </si>
  <si>
    <t>SECONDARY AIR FILTER</t>
  </si>
  <si>
    <t>PRIMARY AIR FILTER</t>
  </si>
  <si>
    <t>326-1644</t>
  </si>
  <si>
    <t>TURBOCHARGER</t>
  </si>
  <si>
    <t>CAMSHAFT</t>
  </si>
  <si>
    <t>CRANKSHAFT</t>
  </si>
  <si>
    <t>CUSTOM</t>
  </si>
  <si>
    <t>CARRIER ROLLER</t>
  </si>
  <si>
    <t>114-6099</t>
  </si>
  <si>
    <t>D7R</t>
  </si>
  <si>
    <t>Dozer</t>
  </si>
  <si>
    <t>160M</t>
  </si>
  <si>
    <t>950H</t>
  </si>
  <si>
    <t>Wheel Loader</t>
  </si>
  <si>
    <t>1R-0716</t>
  </si>
  <si>
    <t>ENGINE OIL FILTER</t>
  </si>
  <si>
    <t>326-1643</t>
  </si>
  <si>
    <t>fuel filter</t>
  </si>
  <si>
    <t>1R-0749</t>
  </si>
  <si>
    <t xml:space="preserve">SECONDARY FUEL FILTER </t>
  </si>
  <si>
    <t>326-1642</t>
  </si>
  <si>
    <t>FUEL WATER SEPARATOR FILTER</t>
  </si>
  <si>
    <t>1R-0735</t>
  </si>
  <si>
    <t>HYDRAULIC FILTER</t>
  </si>
  <si>
    <t>1R-0719</t>
  </si>
  <si>
    <t>HYDRAULIC TRANSMISSION OIL FILTER</t>
  </si>
  <si>
    <t>6I-0273</t>
  </si>
  <si>
    <t>6I-0274</t>
  </si>
  <si>
    <t>SECONDARY AIR FILTER ELEMENT</t>
  </si>
  <si>
    <t>6T-0988</t>
  </si>
  <si>
    <t>CABIN AIR FILTER ELEMENT</t>
  </si>
  <si>
    <t>153-5710</t>
  </si>
  <si>
    <t>12V 4D BCI BATTERY (19.3" X 8.6" X 9.9")</t>
  </si>
  <si>
    <t>317-5278</t>
  </si>
  <si>
    <t xml:space="preserve">FUEL INJECTOR </t>
  </si>
  <si>
    <t>4P-8730</t>
  </si>
  <si>
    <t>TURBOCHARGER ASSEMBLY</t>
  </si>
  <si>
    <t>278-2363</t>
  </si>
  <si>
    <t>TRACK SPROCKET SEGMENT</t>
  </si>
  <si>
    <t>5P-7665</t>
  </si>
  <si>
    <t>SPROCKET BOLT</t>
  </si>
  <si>
    <t>6V-5841</t>
  </si>
  <si>
    <t>FLAT WASHER</t>
  </si>
  <si>
    <t>7H-3608</t>
  </si>
  <si>
    <t>SPROCKET NUT</t>
  </si>
  <si>
    <t>420-9357</t>
  </si>
  <si>
    <t>FRONT IDLER</t>
  </si>
  <si>
    <t>428-0056</t>
  </si>
  <si>
    <t>CARRIER BOLT</t>
  </si>
  <si>
    <t>422-1054</t>
  </si>
  <si>
    <t>SINGLE FLANGE TRACK ROLLER</t>
  </si>
  <si>
    <t>1D-4630</t>
  </si>
  <si>
    <t>ROLLER BOLT</t>
  </si>
  <si>
    <t>9H-1031</t>
  </si>
  <si>
    <t>422-1051</t>
  </si>
  <si>
    <t>DOUBLE FLANGE ROLLER</t>
  </si>
  <si>
    <t>273-3996</t>
  </si>
  <si>
    <t>ROLLER CAP</t>
  </si>
  <si>
    <t>422-1130</t>
  </si>
  <si>
    <t>41 LINK 24" TRACK GROUP</t>
  </si>
  <si>
    <t>6I-8381</t>
  </si>
  <si>
    <t>BLADE AS SEMI UNIVERSAL</t>
  </si>
  <si>
    <t>7T-6936</t>
  </si>
  <si>
    <t>DOZER CUTTING EDGE</t>
  </si>
  <si>
    <t>7T-6678</t>
  </si>
  <si>
    <t>CUTTING EDGE</t>
  </si>
  <si>
    <t>9W-6198</t>
  </si>
  <si>
    <t>LH END BIT</t>
  </si>
  <si>
    <t>9W-6199</t>
  </si>
  <si>
    <t>RH END BIT</t>
  </si>
  <si>
    <t>6F-0196</t>
  </si>
  <si>
    <t>Plow Bolt</t>
  </si>
  <si>
    <t>5P-8249</t>
  </si>
  <si>
    <t>Washer</t>
  </si>
  <si>
    <t>2J-3505</t>
  </si>
  <si>
    <t>Nut</t>
  </si>
  <si>
    <t>614-7778</t>
  </si>
  <si>
    <t>RIPPER SHANK</t>
  </si>
  <si>
    <t>4T-4501</t>
  </si>
  <si>
    <t>RIPPER TIP</t>
  </si>
  <si>
    <t>114-0358</t>
  </si>
  <si>
    <t>PIN</t>
  </si>
  <si>
    <t>114-0359</t>
  </si>
  <si>
    <t>RETAINER</t>
  </si>
  <si>
    <t>1J-2919</t>
  </si>
  <si>
    <t>COTTER PIN</t>
  </si>
  <si>
    <t>4J-5240</t>
  </si>
  <si>
    <t>RIPPER PIN</t>
  </si>
  <si>
    <t>579-9358</t>
  </si>
  <si>
    <t>RIPPER CYLINDER TILT</t>
  </si>
  <si>
    <t>164-7320</t>
  </si>
  <si>
    <t>RIPPER CYLINDER TLIFT</t>
  </si>
  <si>
    <t>GQP OVERHAUL SILVER KIT</t>
  </si>
  <si>
    <t>171-3063</t>
  </si>
  <si>
    <t>326-278</t>
  </si>
  <si>
    <t>CRANKSAHFT</t>
  </si>
  <si>
    <t>148-2149</t>
  </si>
  <si>
    <t>CYLINDER HEAD</t>
  </si>
  <si>
    <t>526-7416</t>
  </si>
  <si>
    <t>SEAT ASSEMBLY</t>
  </si>
  <si>
    <t>160-7165</t>
  </si>
  <si>
    <t>SEAT SUSPENSION</t>
  </si>
  <si>
    <t>1R-1809</t>
  </si>
  <si>
    <t>338-3540</t>
  </si>
  <si>
    <t>571-5253</t>
  </si>
  <si>
    <t>245-6375</t>
  </si>
  <si>
    <t>245-6376</t>
  </si>
  <si>
    <t>211-2660</t>
  </si>
  <si>
    <t>153-5700</t>
  </si>
  <si>
    <t>12V 4D BCI BATTERY (20" X 8.6" X 8.7")</t>
  </si>
  <si>
    <t>658-0254</t>
  </si>
  <si>
    <t xml:space="preserve">ENGINE OVERHAUL KIT </t>
  </si>
  <si>
    <t>242-0673</t>
  </si>
  <si>
    <t>261-1544</t>
  </si>
  <si>
    <t>344-2149</t>
  </si>
  <si>
    <t>352-2395</t>
  </si>
  <si>
    <t>282-4577</t>
  </si>
  <si>
    <t>STRAIGHT BLADE AS</t>
  </si>
  <si>
    <t>519-2885</t>
  </si>
  <si>
    <t>CYLINDER</t>
  </si>
  <si>
    <t>1J-6762</t>
  </si>
  <si>
    <t>PLOW BOLT</t>
  </si>
  <si>
    <t>2J-3506</t>
  </si>
  <si>
    <t>NUT</t>
  </si>
  <si>
    <t>8E-5529</t>
  </si>
  <si>
    <t>END BIT</t>
  </si>
  <si>
    <t>5J-4773</t>
  </si>
  <si>
    <t>END BIT BOLT</t>
  </si>
  <si>
    <t>END BIT NUT</t>
  </si>
  <si>
    <t>4T-3028</t>
  </si>
  <si>
    <t>605-8830</t>
  </si>
  <si>
    <t>RIPPER CYLINDER</t>
  </si>
  <si>
    <t>9J-6586</t>
  </si>
  <si>
    <t>6Y-0309</t>
  </si>
  <si>
    <t>3B-5325</t>
  </si>
  <si>
    <t>COTTER</t>
  </si>
  <si>
    <t>2K-6413</t>
  </si>
  <si>
    <t>RETAINER AS</t>
  </si>
  <si>
    <t>136-8308</t>
  </si>
  <si>
    <t>489-6480</t>
  </si>
  <si>
    <t>SEAT AS</t>
  </si>
  <si>
    <t>Oil Filter</t>
  </si>
  <si>
    <t>330-9358</t>
  </si>
  <si>
    <t>Hydarulic Oil Filter</t>
  </si>
  <si>
    <t>Fuel/Water Separator Filter (Primary)</t>
  </si>
  <si>
    <t>PRIMAERY AIR FILTER</t>
  </si>
  <si>
    <t>7X-6041</t>
  </si>
  <si>
    <t>CABIN AIR FILTER</t>
  </si>
  <si>
    <t>1G-8878</t>
  </si>
  <si>
    <t>TRANSMISSION FILTER</t>
  </si>
  <si>
    <t>1R-0762</t>
  </si>
  <si>
    <t>SECONDARY FUEL FILTER</t>
  </si>
  <si>
    <t>134-4483</t>
  </si>
  <si>
    <t>MAJOR ENGINE OVERHAUL KIT</t>
  </si>
  <si>
    <t>212-4288</t>
  </si>
  <si>
    <t>Camshaft Assembly</t>
  </si>
  <si>
    <t>134-0734</t>
  </si>
  <si>
    <t>Crankshaft Group</t>
  </si>
  <si>
    <t>Cylinder Block</t>
  </si>
  <si>
    <t>Cylinder Head GP</t>
  </si>
  <si>
    <t>557-7627</t>
  </si>
  <si>
    <t>Fuel Injector</t>
  </si>
  <si>
    <t>250-0841</t>
  </si>
  <si>
    <t>Turbo Charger</t>
  </si>
  <si>
    <t>528-9582</t>
  </si>
  <si>
    <t>SEAT-SUSPENSION AS</t>
  </si>
  <si>
    <t>Battery (L:11.9" x W:7.5" x H:7.5")</t>
  </si>
  <si>
    <t>311-6949</t>
  </si>
  <si>
    <t>Bucket As</t>
  </si>
  <si>
    <t>273-3761</t>
  </si>
  <si>
    <t>Bucket Cutting Edge</t>
  </si>
  <si>
    <t>4F-7827</t>
  </si>
  <si>
    <t>5P-8248</t>
  </si>
  <si>
    <t>7T-5961</t>
  </si>
  <si>
    <t>Edge LH</t>
  </si>
  <si>
    <t>7T-5963</t>
  </si>
  <si>
    <t>Edge RH</t>
  </si>
  <si>
    <t>109-9052</t>
  </si>
  <si>
    <t>Sidebar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</si>
</sst>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8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FF0000"/>
      <name val="Aptos Narrow"/>
    </font>
    <font>
      <b/>
      <u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8" fillId="2" borderId="1" xfId="0" applyFont="1" applyFill="1" applyBorder="1"/>
    <xf numFmtId="0" fontId="9" fillId="0" borderId="0" xfId="0" applyFont="1" applyAlignment="1">
      <alignment vertical="center"/>
    </xf>
    <xf numFmtId="0" fontId="5" fillId="0" borderId="0" xfId="0" applyFont="1"/>
    <xf numFmtId="0" fontId="8" fillId="4" borderId="13" xfId="0" applyFont="1" applyFill="1" applyBorder="1" applyAlignment="1">
      <alignment horizontal="right"/>
    </xf>
    <xf numFmtId="164" fontId="5" fillId="5" borderId="14" xfId="0" applyNumberFormat="1" applyFont="1" applyFill="1" applyBorder="1" applyAlignment="1">
      <alignment horizontal="left"/>
    </xf>
    <xf numFmtId="0" fontId="5" fillId="5" borderId="15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 vertical="center" wrapText="1"/>
    </xf>
    <xf numFmtId="164" fontId="5" fillId="5" borderId="22" xfId="0" applyNumberFormat="1" applyFont="1" applyFill="1" applyBorder="1"/>
    <xf numFmtId="164" fontId="5" fillId="2" borderId="1" xfId="0" applyNumberFormat="1" applyFont="1" applyFill="1" applyBorder="1"/>
    <xf numFmtId="0" fontId="8" fillId="4" borderId="23" xfId="0" applyFont="1" applyFill="1" applyBorder="1" applyAlignment="1">
      <alignment horizontal="right"/>
    </xf>
    <xf numFmtId="0" fontId="5" fillId="5" borderId="23" xfId="0" applyFont="1" applyFill="1" applyBorder="1" applyAlignment="1">
      <alignment horizontal="center"/>
    </xf>
    <xf numFmtId="0" fontId="5" fillId="5" borderId="22" xfId="0" applyFont="1" applyFill="1" applyBorder="1"/>
    <xf numFmtId="165" fontId="10" fillId="0" borderId="0" xfId="0" applyNumberFormat="1" applyFont="1"/>
    <xf numFmtId="0" fontId="8" fillId="4" borderId="24" xfId="0" applyFont="1" applyFill="1" applyBorder="1" applyAlignment="1">
      <alignment horizontal="right"/>
    </xf>
    <xf numFmtId="1" fontId="11" fillId="5" borderId="15" xfId="0" applyNumberFormat="1" applyFont="1" applyFill="1" applyBorder="1" applyAlignment="1">
      <alignment horizontal="left"/>
    </xf>
    <xf numFmtId="0" fontId="12" fillId="5" borderId="22" xfId="0" applyFont="1" applyFill="1" applyBorder="1"/>
    <xf numFmtId="0" fontId="13" fillId="2" borderId="1" xfId="0" applyFont="1" applyFill="1" applyBorder="1"/>
    <xf numFmtId="9" fontId="10" fillId="0" borderId="0" xfId="0" applyNumberFormat="1" applyFont="1"/>
    <xf numFmtId="0" fontId="5" fillId="0" borderId="24" xfId="0" applyFont="1" applyBorder="1"/>
    <xf numFmtId="0" fontId="14" fillId="2" borderId="1" xfId="0" applyFont="1" applyFill="1" applyBorder="1"/>
    <xf numFmtId="0" fontId="8" fillId="8" borderId="33" xfId="0" applyFont="1" applyFill="1" applyBorder="1" applyAlignment="1">
      <alignment horizontal="right"/>
    </xf>
    <xf numFmtId="0" fontId="5" fillId="8" borderId="34" xfId="0" applyFont="1" applyFill="1" applyBorder="1"/>
    <xf numFmtId="0" fontId="15" fillId="9" borderId="35" xfId="0" applyFont="1" applyFill="1" applyBorder="1" applyAlignment="1">
      <alignment horizontal="center"/>
    </xf>
    <xf numFmtId="0" fontId="15" fillId="9" borderId="36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/>
    </xf>
    <xf numFmtId="0" fontId="5" fillId="5" borderId="1" xfId="0" applyFont="1" applyFill="1" applyBorder="1"/>
    <xf numFmtId="165" fontId="8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38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9" fontId="5" fillId="8" borderId="1" xfId="0" applyNumberFormat="1" applyFont="1" applyFill="1" applyBorder="1" applyAlignment="1">
      <alignment horizontal="center"/>
    </xf>
    <xf numFmtId="0" fontId="8" fillId="8" borderId="43" xfId="0" applyFont="1" applyFill="1" applyBorder="1" applyAlignment="1">
      <alignment horizontal="right"/>
    </xf>
    <xf numFmtId="0" fontId="5" fillId="8" borderId="43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center"/>
    </xf>
    <xf numFmtId="0" fontId="18" fillId="7" borderId="21" xfId="0" applyFont="1" applyFill="1" applyBorder="1" applyAlignment="1">
      <alignment horizontal="center" vertical="center"/>
    </xf>
    <xf numFmtId="0" fontId="18" fillId="0" borderId="52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/>
    </xf>
    <xf numFmtId="0" fontId="18" fillId="7" borderId="22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/>
    </xf>
    <xf numFmtId="0" fontId="8" fillId="5" borderId="63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18" fillId="0" borderId="67" xfId="0" applyFont="1" applyBorder="1" applyAlignment="1">
      <alignment vertical="center"/>
    </xf>
    <xf numFmtId="0" fontId="8" fillId="4" borderId="68" xfId="0" applyFont="1" applyFill="1" applyBorder="1" applyAlignment="1">
      <alignment horizontal="center" vertical="center"/>
    </xf>
    <xf numFmtId="0" fontId="8" fillId="4" borderId="69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21" fillId="11" borderId="72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horizontal="center"/>
    </xf>
    <xf numFmtId="0" fontId="20" fillId="4" borderId="73" xfId="0" applyFont="1" applyFill="1" applyBorder="1" applyAlignment="1">
      <alignment horizontal="center" vertical="center" wrapText="1"/>
    </xf>
    <xf numFmtId="0" fontId="8" fillId="5" borderId="74" xfId="0" applyFont="1" applyFill="1" applyBorder="1" applyAlignment="1">
      <alignment horizontal="center" vertical="center" wrapText="1"/>
    </xf>
    <xf numFmtId="44" fontId="8" fillId="5" borderId="73" xfId="0" applyNumberFormat="1" applyFont="1" applyFill="1" applyBorder="1" applyAlignment="1">
      <alignment horizontal="center" vertical="center"/>
    </xf>
    <xf numFmtId="10" fontId="10" fillId="5" borderId="73" xfId="0" applyNumberFormat="1" applyFont="1" applyFill="1" applyBorder="1" applyAlignment="1">
      <alignment horizontal="center" vertical="center"/>
    </xf>
    <xf numFmtId="44" fontId="10" fillId="12" borderId="35" xfId="0" applyNumberFormat="1" applyFont="1" applyFill="1" applyBorder="1" applyAlignment="1">
      <alignment vertical="center"/>
    </xf>
    <xf numFmtId="0" fontId="5" fillId="0" borderId="1" xfId="0" applyFont="1" applyBorder="1"/>
    <xf numFmtId="2" fontId="22" fillId="0" borderId="24" xfId="0" applyNumberFormat="1" applyFont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/>
    </xf>
    <xf numFmtId="0" fontId="24" fillId="0" borderId="17" xfId="0" applyFont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8" fillId="2" borderId="83" xfId="0" applyFont="1" applyFill="1" applyBorder="1" applyAlignment="1">
      <alignment horizontal="center" vertical="center" wrapText="1"/>
    </xf>
    <xf numFmtId="0" fontId="15" fillId="11" borderId="88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15" fillId="11" borderId="90" xfId="0" applyFont="1" applyFill="1" applyBorder="1" applyAlignment="1">
      <alignment horizontal="center" vertical="center" wrapText="1"/>
    </xf>
    <xf numFmtId="0" fontId="23" fillId="11" borderId="90" xfId="0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25" fillId="11" borderId="93" xfId="0" applyFont="1" applyFill="1" applyBorder="1" applyAlignment="1">
      <alignment horizontal="center" vertical="center" wrapText="1"/>
    </xf>
    <xf numFmtId="0" fontId="26" fillId="11" borderId="9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7" borderId="97" xfId="0" applyFont="1" applyFill="1" applyBorder="1" applyAlignment="1">
      <alignment horizontal="center" vertical="center" wrapText="1"/>
    </xf>
    <xf numFmtId="0" fontId="20" fillId="7" borderId="9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44" xfId="0" applyFont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0" borderId="67" xfId="0" applyFont="1" applyBorder="1" applyAlignment="1">
      <alignment horizontal="center"/>
    </xf>
    <xf numFmtId="3" fontId="5" fillId="0" borderId="44" xfId="0" applyNumberFormat="1" applyFont="1" applyBorder="1" applyAlignment="1">
      <alignment horizontal="center"/>
    </xf>
    <xf numFmtId="44" fontId="5" fillId="0" borderId="44" xfId="0" applyNumberFormat="1" applyFont="1" applyBorder="1"/>
    <xf numFmtId="44" fontId="5" fillId="0" borderId="96" xfId="0" applyNumberFormat="1" applyFont="1" applyBorder="1"/>
    <xf numFmtId="44" fontId="5" fillId="7" borderId="22" xfId="0" applyNumberFormat="1" applyFont="1" applyFill="1" applyBorder="1"/>
    <xf numFmtId="9" fontId="5" fillId="0" borderId="96" xfId="0" applyNumberFormat="1" applyFont="1" applyBorder="1"/>
    <xf numFmtId="9" fontId="5" fillId="7" borderId="22" xfId="0" applyNumberFormat="1" applyFont="1" applyFill="1" applyBorder="1"/>
    <xf numFmtId="44" fontId="5" fillId="0" borderId="24" xfId="0" applyNumberFormat="1" applyFont="1" applyBorder="1"/>
    <xf numFmtId="10" fontId="5" fillId="0" borderId="24" xfId="0" applyNumberFormat="1" applyFont="1" applyBorder="1"/>
    <xf numFmtId="10" fontId="5" fillId="0" borderId="0" xfId="0" applyNumberFormat="1" applyFont="1"/>
    <xf numFmtId="10" fontId="5" fillId="2" borderId="1" xfId="0" applyNumberFormat="1" applyFont="1" applyFill="1" applyBorder="1"/>
    <xf numFmtId="0" fontId="5" fillId="5" borderId="24" xfId="0" applyFont="1" applyFill="1" applyBorder="1" applyAlignment="1">
      <alignment horizontal="left"/>
    </xf>
    <xf numFmtId="0" fontId="5" fillId="5" borderId="23" xfId="0" applyFont="1" applyFill="1" applyBorder="1" applyAlignment="1">
      <alignment horizontal="left"/>
    </xf>
    <xf numFmtId="0" fontId="5" fillId="5" borderId="74" xfId="0" applyFont="1" applyFill="1" applyBorder="1" applyAlignment="1">
      <alignment horizontal="center"/>
    </xf>
    <xf numFmtId="3" fontId="5" fillId="5" borderId="24" xfId="0" applyNumberFormat="1" applyFont="1" applyFill="1" applyBorder="1" applyAlignment="1">
      <alignment horizontal="center"/>
    </xf>
    <xf numFmtId="44" fontId="5" fillId="5" borderId="24" xfId="0" applyNumberFormat="1" applyFont="1" applyFill="1" applyBorder="1"/>
    <xf numFmtId="44" fontId="5" fillId="12" borderId="97" xfId="0" applyNumberFormat="1" applyFont="1" applyFill="1" applyBorder="1"/>
    <xf numFmtId="44" fontId="5" fillId="12" borderId="13" xfId="0" applyNumberFormat="1" applyFont="1" applyFill="1" applyBorder="1"/>
    <xf numFmtId="44" fontId="5" fillId="2" borderId="22" xfId="0" applyNumberFormat="1" applyFont="1" applyFill="1" applyBorder="1"/>
    <xf numFmtId="3" fontId="5" fillId="12" borderId="97" xfId="0" applyNumberFormat="1" applyFont="1" applyFill="1" applyBorder="1" applyAlignment="1">
      <alignment horizontal="center"/>
    </xf>
    <xf numFmtId="9" fontId="5" fillId="5" borderId="23" xfId="0" applyNumberFormat="1" applyFont="1" applyFill="1" applyBorder="1"/>
    <xf numFmtId="44" fontId="5" fillId="12" borderId="24" xfId="0" applyNumberFormat="1" applyFont="1" applyFill="1" applyBorder="1"/>
    <xf numFmtId="44" fontId="5" fillId="13" borderId="24" xfId="0" applyNumberFormat="1" applyFont="1" applyFill="1" applyBorder="1"/>
    <xf numFmtId="10" fontId="5" fillId="12" borderId="24" xfId="0" applyNumberFormat="1" applyFont="1" applyFill="1" applyBorder="1"/>
    <xf numFmtId="10" fontId="5" fillId="5" borderId="1" xfId="0" applyNumberFormat="1" applyFont="1" applyFill="1" applyBorder="1"/>
    <xf numFmtId="0" fontId="5" fillId="0" borderId="15" xfId="0" applyFont="1" applyBorder="1" applyAlignment="1">
      <alignment horizontal="left"/>
    </xf>
    <xf numFmtId="3" fontId="5" fillId="0" borderId="24" xfId="0" applyNumberFormat="1" applyFont="1" applyBorder="1" applyAlignment="1">
      <alignment horizontal="center"/>
    </xf>
    <xf numFmtId="9" fontId="5" fillId="0" borderId="15" xfId="0" applyNumberFormat="1" applyFont="1" applyBorder="1"/>
    <xf numFmtId="0" fontId="5" fillId="0" borderId="24" xfId="0" applyFont="1" applyBorder="1" applyAlignment="1">
      <alignment horizontal="left"/>
    </xf>
    <xf numFmtId="3" fontId="5" fillId="0" borderId="0" xfId="0" applyNumberFormat="1" applyFont="1"/>
    <xf numFmtId="0" fontId="5" fillId="12" borderId="100" xfId="0" applyFont="1" applyFill="1" applyBorder="1"/>
    <xf numFmtId="0" fontId="10" fillId="2" borderId="24" xfId="0" applyFont="1" applyFill="1" applyBorder="1"/>
    <xf numFmtId="0" fontId="10" fillId="12" borderId="24" xfId="0" applyFont="1" applyFill="1" applyBorder="1" applyAlignment="1">
      <alignment horizontal="right"/>
    </xf>
    <xf numFmtId="3" fontId="8" fillId="12" borderId="24" xfId="0" applyNumberFormat="1" applyFont="1" applyFill="1" applyBorder="1"/>
    <xf numFmtId="44" fontId="8" fillId="12" borderId="24" xfId="0" applyNumberFormat="1" applyFont="1" applyFill="1" applyBorder="1" applyAlignment="1">
      <alignment horizontal="center"/>
    </xf>
    <xf numFmtId="44" fontId="8" fillId="12" borderId="24" xfId="0" applyNumberFormat="1" applyFont="1" applyFill="1" applyBorder="1" applyAlignment="1">
      <alignment horizontal="right"/>
    </xf>
    <xf numFmtId="44" fontId="8" fillId="12" borderId="24" xfId="0" applyNumberFormat="1" applyFont="1" applyFill="1" applyBorder="1"/>
    <xf numFmtId="44" fontId="27" fillId="2" borderId="24" xfId="0" applyNumberFormat="1" applyFont="1" applyFill="1" applyBorder="1"/>
    <xf numFmtId="3" fontId="8" fillId="12" borderId="24" xfId="0" applyNumberFormat="1" applyFont="1" applyFill="1" applyBorder="1" applyAlignment="1">
      <alignment horizontal="center"/>
    </xf>
    <xf numFmtId="44" fontId="8" fillId="2" borderId="24" xfId="0" applyNumberFormat="1" applyFont="1" applyFill="1" applyBorder="1"/>
    <xf numFmtId="0" fontId="10" fillId="12" borderId="100" xfId="0" applyFont="1" applyFill="1" applyBorder="1"/>
    <xf numFmtId="10" fontId="8" fillId="12" borderId="24" xfId="0" applyNumberFormat="1" applyFont="1" applyFill="1" applyBorder="1" applyAlignment="1">
      <alignment horizontal="center"/>
    </xf>
    <xf numFmtId="10" fontId="10" fillId="12" borderId="24" xfId="0" applyNumberFormat="1" applyFont="1" applyFill="1" applyBorder="1" applyAlignment="1">
      <alignment horizontal="center"/>
    </xf>
    <xf numFmtId="0" fontId="8" fillId="4" borderId="15" xfId="0" applyFont="1" applyFill="1" applyBorder="1" applyAlignment="1">
      <alignment horizontal="right"/>
    </xf>
    <xf numFmtId="0" fontId="7" fillId="0" borderId="16" xfId="0" applyFont="1" applyBorder="1"/>
    <xf numFmtId="0" fontId="7" fillId="0" borderId="17" xfId="0" applyFont="1" applyBorder="1"/>
    <xf numFmtId="0" fontId="5" fillId="5" borderId="15" xfId="0" applyFont="1" applyFill="1" applyBorder="1" applyAlignment="1">
      <alignment horizontal="left"/>
    </xf>
    <xf numFmtId="0" fontId="22" fillId="5" borderId="15" xfId="0" applyFont="1" applyFill="1" applyBorder="1" applyAlignment="1">
      <alignment horizontal="center" vertical="center"/>
    </xf>
    <xf numFmtId="0" fontId="15" fillId="11" borderId="86" xfId="0" applyFont="1" applyFill="1" applyBorder="1" applyAlignment="1">
      <alignment horizontal="center" vertical="center" wrapText="1"/>
    </xf>
    <xf numFmtId="0" fontId="7" fillId="0" borderId="87" xfId="0" applyFont="1" applyBorder="1"/>
    <xf numFmtId="0" fontId="17" fillId="11" borderId="70" xfId="0" applyFont="1" applyFill="1" applyBorder="1" applyAlignment="1">
      <alignment horizontal="center" vertical="center"/>
    </xf>
    <xf numFmtId="0" fontId="7" fillId="0" borderId="19" xfId="0" applyFont="1" applyBorder="1"/>
    <xf numFmtId="0" fontId="7" fillId="0" borderId="20" xfId="0" applyFont="1" applyBorder="1"/>
    <xf numFmtId="0" fontId="8" fillId="6" borderId="15" xfId="0" applyFont="1" applyFill="1" applyBorder="1" applyAlignment="1">
      <alignment horizontal="center" vertical="center"/>
    </xf>
    <xf numFmtId="0" fontId="19" fillId="11" borderId="48" xfId="0" applyFont="1" applyFill="1" applyBorder="1" applyAlignment="1">
      <alignment horizontal="center" vertical="center" wrapText="1"/>
    </xf>
    <xf numFmtId="0" fontId="7" fillId="0" borderId="50" xfId="0" applyFont="1" applyBorder="1"/>
    <xf numFmtId="0" fontId="7" fillId="0" borderId="51" xfId="0" applyFont="1" applyBorder="1"/>
    <xf numFmtId="0" fontId="7" fillId="0" borderId="55" xfId="0" applyFont="1" applyBorder="1"/>
    <xf numFmtId="0" fontId="0" fillId="0" borderId="0" xfId="0"/>
    <xf numFmtId="0" fontId="7" fillId="0" borderId="60" xfId="0" applyFont="1" applyBorder="1"/>
    <xf numFmtId="0" fontId="7" fillId="0" borderId="61" xfId="0" applyFont="1" applyBorder="1"/>
    <xf numFmtId="0" fontId="7" fillId="0" borderId="58" xfId="0" applyFont="1" applyBorder="1"/>
    <xf numFmtId="0" fontId="7" fillId="0" borderId="59" xfId="0" applyFont="1" applyBorder="1"/>
    <xf numFmtId="0" fontId="6" fillId="11" borderId="4" xfId="0" applyFont="1" applyFill="1" applyBorder="1" applyAlignment="1">
      <alignment horizontal="center" vertical="center" wrapText="1"/>
    </xf>
    <xf numFmtId="0" fontId="7" fillId="0" borderId="6" xfId="0" applyFont="1" applyBorder="1"/>
    <xf numFmtId="0" fontId="7" fillId="0" borderId="62" xfId="0" applyFont="1" applyBorder="1"/>
    <xf numFmtId="9" fontId="9" fillId="5" borderId="71" xfId="0" applyNumberFormat="1" applyFont="1" applyFill="1" applyBorder="1" applyAlignment="1">
      <alignment horizontal="center" vertical="center" wrapText="1"/>
    </xf>
    <xf numFmtId="0" fontId="7" fillId="0" borderId="76" xfId="0" applyFont="1" applyBorder="1"/>
    <xf numFmtId="0" fontId="21" fillId="11" borderId="77" xfId="0" applyFont="1" applyFill="1" applyBorder="1" applyAlignment="1">
      <alignment horizontal="center" vertical="center" wrapText="1"/>
    </xf>
    <xf numFmtId="0" fontId="7" fillId="0" borderId="91" xfId="0" applyFont="1" applyBorder="1"/>
    <xf numFmtId="0" fontId="7" fillId="0" borderId="98" xfId="0" applyFont="1" applyBorder="1"/>
    <xf numFmtId="0" fontId="15" fillId="11" borderId="89" xfId="0" applyFont="1" applyFill="1" applyBorder="1" applyAlignment="1">
      <alignment horizontal="center" vertical="center" wrapText="1"/>
    </xf>
    <xf numFmtId="0" fontId="7" fillId="0" borderId="95" xfId="0" applyFont="1" applyBorder="1"/>
    <xf numFmtId="0" fontId="8" fillId="5" borderId="70" xfId="0" applyFont="1" applyFill="1" applyBorder="1" applyAlignment="1">
      <alignment horizontal="center" vertical="center" wrapText="1"/>
    </xf>
    <xf numFmtId="0" fontId="15" fillId="11" borderId="81" xfId="0" applyFont="1" applyFill="1" applyBorder="1" applyAlignment="1">
      <alignment horizontal="center" vertical="center" wrapText="1"/>
    </xf>
    <xf numFmtId="0" fontId="15" fillId="11" borderId="82" xfId="0" applyFont="1" applyFill="1" applyBorder="1" applyAlignment="1">
      <alignment horizontal="center" vertical="center" wrapText="1"/>
    </xf>
    <xf numFmtId="0" fontId="7" fillId="0" borderId="94" xfId="0" applyFont="1" applyBorder="1"/>
    <xf numFmtId="0" fontId="23" fillId="11" borderId="84" xfId="0" applyFont="1" applyFill="1" applyBorder="1" applyAlignment="1">
      <alignment horizontal="center" vertical="center" wrapText="1"/>
    </xf>
    <xf numFmtId="0" fontId="15" fillId="11" borderId="85" xfId="0" applyFont="1" applyFill="1" applyBorder="1" applyAlignment="1">
      <alignment horizontal="center" vertical="center" wrapText="1"/>
    </xf>
    <xf numFmtId="0" fontId="16" fillId="9" borderId="46" xfId="0" applyFont="1" applyFill="1" applyBorder="1" applyAlignment="1">
      <alignment horizontal="center"/>
    </xf>
    <xf numFmtId="0" fontId="7" fillId="0" borderId="47" xfId="0" applyFont="1" applyBorder="1"/>
    <xf numFmtId="0" fontId="7" fillId="0" borderId="53" xfId="0" applyFont="1" applyBorder="1"/>
    <xf numFmtId="0" fontId="7" fillId="0" borderId="54" xfId="0" applyFont="1" applyBorder="1"/>
    <xf numFmtId="0" fontId="7" fillId="0" borderId="57" xfId="0" applyFont="1" applyBorder="1"/>
    <xf numFmtId="0" fontId="7" fillId="0" borderId="75" xfId="0" applyFont="1" applyBorder="1"/>
    <xf numFmtId="0" fontId="6" fillId="11" borderId="48" xfId="0" applyFont="1" applyFill="1" applyBorder="1" applyAlignment="1">
      <alignment horizontal="center" vertical="center" wrapText="1"/>
    </xf>
    <xf numFmtId="0" fontId="7" fillId="0" borderId="49" xfId="0" applyFont="1" applyBorder="1"/>
    <xf numFmtId="0" fontId="7" fillId="0" borderId="56" xfId="0" applyFont="1" applyBorder="1"/>
    <xf numFmtId="0" fontId="17" fillId="11" borderId="46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right" vertical="center"/>
    </xf>
    <xf numFmtId="0" fontId="7" fillId="0" borderId="8" xfId="0" applyFont="1" applyBorder="1"/>
    <xf numFmtId="165" fontId="8" fillId="0" borderId="16" xfId="0" applyNumberFormat="1" applyFont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9" fontId="10" fillId="0" borderId="39" xfId="0" applyNumberFormat="1" applyFont="1" applyBorder="1" applyAlignment="1">
      <alignment horizontal="center" vertical="center"/>
    </xf>
    <xf numFmtId="0" fontId="7" fillId="0" borderId="41" xfId="0" applyFont="1" applyBorder="1"/>
    <xf numFmtId="0" fontId="7" fillId="0" borderId="44" xfId="0" applyFont="1" applyBorder="1"/>
    <xf numFmtId="0" fontId="5" fillId="5" borderId="40" xfId="0" applyFont="1" applyFill="1" applyBorder="1" applyAlignment="1">
      <alignment horizontal="center"/>
    </xf>
    <xf numFmtId="0" fontId="7" fillId="0" borderId="42" xfId="0" applyFont="1" applyBorder="1"/>
    <xf numFmtId="0" fontId="7" fillId="0" borderId="45" xfId="0" applyFont="1" applyBorder="1"/>
    <xf numFmtId="165" fontId="8" fillId="0" borderId="16" xfId="0" applyNumberFormat="1" applyFont="1" applyBorder="1" applyAlignment="1">
      <alignment horizontal="center" vertical="center"/>
    </xf>
    <xf numFmtId="165" fontId="8" fillId="10" borderId="39" xfId="0" applyNumberFormat="1" applyFont="1" applyFill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/>
    </xf>
    <xf numFmtId="0" fontId="17" fillId="11" borderId="48" xfId="0" applyFont="1" applyFill="1" applyBorder="1" applyAlignment="1">
      <alignment horizontal="center" vertical="center"/>
    </xf>
    <xf numFmtId="0" fontId="7" fillId="0" borderId="64" xfId="0" applyFont="1" applyBorder="1"/>
    <xf numFmtId="0" fontId="7" fillId="0" borderId="65" xfId="0" applyFont="1" applyBorder="1"/>
    <xf numFmtId="0" fontId="7" fillId="0" borderId="66" xfId="0" applyFont="1" applyBorder="1"/>
    <xf numFmtId="0" fontId="23" fillId="11" borderId="78" xfId="0" applyFont="1" applyFill="1" applyBorder="1" applyAlignment="1">
      <alignment horizontal="center" vertical="center"/>
    </xf>
    <xf numFmtId="0" fontId="7" fillId="0" borderId="79" xfId="0" applyFont="1" applyBorder="1"/>
    <xf numFmtId="0" fontId="7" fillId="0" borderId="80" xfId="0" applyFont="1" applyBorder="1"/>
    <xf numFmtId="0" fontId="15" fillId="11" borderId="92" xfId="0" applyFont="1" applyFill="1" applyBorder="1" applyAlignment="1">
      <alignment horizontal="center" vertical="center"/>
    </xf>
    <xf numFmtId="0" fontId="7" fillId="0" borderId="99" xfId="0" applyFont="1" applyBorder="1"/>
    <xf numFmtId="0" fontId="8" fillId="0" borderId="18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/>
    </xf>
    <xf numFmtId="0" fontId="7" fillId="0" borderId="3" xfId="0" applyFont="1" applyBorder="1"/>
    <xf numFmtId="0" fontId="6" fillId="3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7" xfId="0" applyFont="1" applyBorder="1"/>
    <xf numFmtId="0" fontId="6" fillId="3" borderId="9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6" fillId="3" borderId="12" xfId="0" applyFont="1" applyFill="1" applyBorder="1" applyAlignment="1">
      <alignment horizontal="center"/>
    </xf>
    <xf numFmtId="0" fontId="8" fillId="6" borderId="18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right"/>
    </xf>
    <xf numFmtId="0" fontId="8" fillId="6" borderId="31" xfId="0" applyFont="1" applyFill="1" applyBorder="1" applyAlignment="1">
      <alignment horizontal="center"/>
    </xf>
    <xf numFmtId="0" fontId="7" fillId="0" borderId="32" xfId="0" applyFont="1" applyBorder="1"/>
    <xf numFmtId="0" fontId="8" fillId="5" borderId="15" xfId="0" applyFont="1" applyFill="1" applyBorder="1" applyAlignment="1">
      <alignment horizontal="left"/>
    </xf>
    <xf numFmtId="0" fontId="8" fillId="5" borderId="31" xfId="0" applyFont="1" applyFill="1" applyBorder="1" applyAlignment="1">
      <alignment horizontal="left"/>
    </xf>
    <xf numFmtId="0" fontId="8" fillId="6" borderId="25" xfId="0" applyFont="1" applyFill="1" applyBorder="1" applyAlignment="1">
      <alignment horizontal="center"/>
    </xf>
    <xf numFmtId="0" fontId="7" fillId="0" borderId="26" xfId="0" applyFont="1" applyBorder="1"/>
    <xf numFmtId="0" fontId="8" fillId="6" borderId="28" xfId="0" applyFont="1" applyFill="1" applyBorder="1" applyAlignment="1">
      <alignment horizontal="center" vertical="center"/>
    </xf>
    <xf numFmtId="0" fontId="7" fillId="0" borderId="29" xfId="0" applyFont="1" applyBorder="1"/>
    <xf numFmtId="0" fontId="8" fillId="5" borderId="18" xfId="0" applyFont="1" applyFill="1" applyBorder="1" applyAlignment="1">
      <alignment horizontal="left"/>
    </xf>
    <xf numFmtId="165" fontId="10" fillId="0" borderId="19" xfId="0" applyNumberFormat="1" applyFont="1" applyBorder="1" applyAlignment="1">
      <alignment horizontal="center"/>
    </xf>
    <xf numFmtId="165" fontId="10" fillId="0" borderId="16" xfId="0" applyNumberFormat="1" applyFont="1" applyBorder="1" applyAlignment="1">
      <alignment horizontal="center"/>
    </xf>
    <xf numFmtId="9" fontId="10" fillId="0" borderId="27" xfId="0" applyNumberFormat="1" applyFont="1" applyBorder="1" applyAlignment="1">
      <alignment horizontal="center"/>
    </xf>
    <xf numFmtId="0" fontId="7" fillId="0" borderId="27" xfId="0" applyFont="1" applyBorder="1"/>
    <xf numFmtId="165" fontId="8" fillId="0" borderId="30" xfId="0" applyNumberFormat="1" applyFont="1" applyBorder="1" applyAlignment="1">
      <alignment horizontal="center" vertical="center"/>
    </xf>
    <xf numFmtId="0" fontId="7" fillId="0" borderId="30" xfId="0" applyFont="1" applyBorder="1"/>
    <xf numFmtId="8" fontId="0" fillId="0" borderId="0" xfId="0" applyNumberFormat="1"/>
    <xf numFmtId="1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12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56</xdr:row>
      <xdr:rowOff>0</xdr:rowOff>
    </xdr:from>
    <xdr:ext cx="3676650" cy="1400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3438525" cy="8667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381250" cy="542925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27</xdr:row>
      <xdr:rowOff>123825</xdr:rowOff>
    </xdr:from>
    <xdr:ext cx="2628900" cy="33147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27</xdr:row>
      <xdr:rowOff>171450</xdr:rowOff>
    </xdr:from>
    <xdr:ext cx="3067050" cy="31337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F5C619F3-0C6C-4EB6-89B0-F3DAB32A73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C38506F-9611-42B6-AE17-4626E492DA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workbookViewId="0"/>
  </sheetViews>
  <sheetFormatPr defaultColWidth="12.5703125" defaultRowHeight="15" customHeight="1"/>
  <cols>
    <col min="1" max="1" width="5.42578125" customWidth="1"/>
    <col min="2" max="26" width="8.5703125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2" t="s">
        <v>2</v>
      </c>
    </row>
    <row r="5" spans="1:2">
      <c r="A5" s="2" t="s">
        <v>3</v>
      </c>
    </row>
    <row r="7" spans="1:2">
      <c r="A7" s="3" t="s">
        <v>4</v>
      </c>
    </row>
    <row r="8" spans="1:2">
      <c r="B8" s="2" t="s">
        <v>5</v>
      </c>
    </row>
    <row r="10" spans="1:2">
      <c r="A10" s="3" t="s">
        <v>6</v>
      </c>
    </row>
    <row r="11" spans="1:2">
      <c r="B11" s="4" t="s">
        <v>7</v>
      </c>
    </row>
    <row r="12" spans="1:2">
      <c r="B12" s="4" t="s">
        <v>8</v>
      </c>
    </row>
    <row r="13" spans="1:2">
      <c r="B13" s="4" t="s">
        <v>9</v>
      </c>
    </row>
    <row r="15" spans="1:2">
      <c r="A15" s="3" t="s">
        <v>10</v>
      </c>
    </row>
    <row r="16" spans="1:2">
      <c r="B16" s="4" t="s">
        <v>11</v>
      </c>
    </row>
    <row r="17" spans="1:10">
      <c r="B17" s="4" t="s">
        <v>12</v>
      </c>
    </row>
    <row r="19" spans="1:10">
      <c r="A19" s="3" t="s">
        <v>13</v>
      </c>
    </row>
    <row r="20" spans="1:10">
      <c r="B20" s="4" t="s">
        <v>14</v>
      </c>
    </row>
    <row r="21" spans="1:10" ht="15.75" customHeight="1">
      <c r="B21" s="4" t="s">
        <v>15</v>
      </c>
    </row>
    <row r="22" spans="1:10" ht="15.75" customHeight="1">
      <c r="B22" s="4" t="s">
        <v>16</v>
      </c>
    </row>
    <row r="23" spans="1:10" ht="15.75" customHeight="1">
      <c r="B23" s="4" t="s">
        <v>17</v>
      </c>
    </row>
    <row r="24" spans="1:10" ht="15.75" customHeight="1">
      <c r="B24" s="4" t="s">
        <v>18</v>
      </c>
    </row>
    <row r="25" spans="1:10" ht="15.75" customHeight="1"/>
    <row r="26" spans="1:10" ht="15.75" customHeight="1">
      <c r="A26" s="3" t="s">
        <v>19</v>
      </c>
    </row>
    <row r="27" spans="1:10" ht="15.75" customHeight="1">
      <c r="A27" s="2"/>
      <c r="B27" s="4" t="s">
        <v>20</v>
      </c>
      <c r="J27" s="4" t="s">
        <v>21</v>
      </c>
    </row>
    <row r="47" spans="1:1" ht="15.75" customHeight="1">
      <c r="A47" s="3" t="s">
        <v>22</v>
      </c>
    </row>
    <row r="48" spans="1:1" ht="15.75" customHeight="1">
      <c r="A48" s="4" t="s">
        <v>23</v>
      </c>
    </row>
    <row r="49" spans="1:2" ht="15.75" customHeight="1">
      <c r="B49" s="4" t="s">
        <v>24</v>
      </c>
    </row>
    <row r="50" spans="1:2" ht="15.75" customHeight="1"/>
    <row r="51" spans="1:2" ht="15.75" customHeight="1"/>
    <row r="52" spans="1:2" ht="15.75" customHeight="1"/>
    <row r="53" spans="1:2" ht="15.75" customHeight="1"/>
    <row r="54" spans="1:2" ht="15.75" customHeight="1"/>
    <row r="55" spans="1:2" ht="15.75" customHeight="1">
      <c r="A55" s="4" t="s">
        <v>25</v>
      </c>
    </row>
    <row r="56" spans="1:2" ht="15.75" customHeight="1">
      <c r="B56" s="4" t="s">
        <v>26</v>
      </c>
    </row>
    <row r="65" spans="1:2" ht="15.75" customHeight="1">
      <c r="A65" s="4" t="s">
        <v>27</v>
      </c>
    </row>
    <row r="66" spans="1:2" ht="15.75" customHeight="1">
      <c r="B66" s="4" t="s">
        <v>28</v>
      </c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93546-6E90-40C3-8F02-1D71408D5E3F}">
  <sheetPr>
    <pageSetUpPr fitToPage="1"/>
  </sheetPr>
  <dimension ref="B1:Z60"/>
  <sheetViews>
    <sheetView tabSelected="1" zoomScale="55" zoomScaleNormal="55" workbookViewId="0">
      <pane ySplit="18" topLeftCell="A30" activePane="bottomLeft" state="frozen"/>
      <selection pane="bottomLeft" activeCell="B34" sqref="B34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00" t="s">
        <v>29</v>
      </c>
      <c r="C1" s="201"/>
      <c r="D1" s="202" t="s">
        <v>30</v>
      </c>
      <c r="E1" s="203"/>
      <c r="F1" s="203"/>
      <c r="G1" s="203"/>
      <c r="H1" s="152"/>
      <c r="I1" s="200" t="s">
        <v>31</v>
      </c>
      <c r="J1" s="204"/>
      <c r="K1" s="204"/>
      <c r="L1" s="178"/>
      <c r="M1" s="205" t="s">
        <v>32</v>
      </c>
      <c r="N1" s="206"/>
      <c r="O1" s="207"/>
      <c r="P1" s="208" t="str">
        <f>L18</f>
        <v>CAD $</v>
      </c>
      <c r="Q1" s="204"/>
      <c r="R1" s="178"/>
      <c r="S1" s="200" t="s">
        <v>33</v>
      </c>
      <c r="T1" s="204"/>
      <c r="U1" s="204"/>
      <c r="V1" s="204"/>
      <c r="W1" s="178"/>
      <c r="X1" s="6"/>
      <c r="Y1" s="7"/>
    </row>
    <row r="2" spans="2:25" ht="15" customHeight="1">
      <c r="B2" s="9" t="s">
        <v>34</v>
      </c>
      <c r="C2" s="10"/>
      <c r="D2" s="131" t="s">
        <v>35</v>
      </c>
      <c r="E2" s="132"/>
      <c r="F2" s="133"/>
      <c r="G2" s="134"/>
      <c r="H2" s="133"/>
      <c r="I2" s="210" t="s">
        <v>36</v>
      </c>
      <c r="J2" s="139"/>
      <c r="K2" s="140"/>
      <c r="L2" s="12"/>
      <c r="M2" s="209" t="s">
        <v>37</v>
      </c>
      <c r="N2" s="140"/>
      <c r="O2" s="13"/>
      <c r="P2" s="220">
        <f>I60</f>
        <v>114313.26</v>
      </c>
      <c r="Q2" s="139"/>
      <c r="R2" s="140"/>
      <c r="S2" s="209" t="s">
        <v>38</v>
      </c>
      <c r="T2" s="140"/>
      <c r="U2" s="219"/>
      <c r="V2" s="140"/>
      <c r="W2" s="14"/>
      <c r="X2" s="15"/>
      <c r="Y2" s="7"/>
    </row>
    <row r="3" spans="2:25" ht="15" customHeight="1">
      <c r="B3" s="16" t="s">
        <v>39</v>
      </c>
      <c r="C3" s="11"/>
      <c r="D3" s="131" t="s">
        <v>40</v>
      </c>
      <c r="E3" s="132"/>
      <c r="F3" s="133"/>
      <c r="G3" s="134"/>
      <c r="H3" s="133"/>
      <c r="I3" s="131" t="s">
        <v>41</v>
      </c>
      <c r="J3" s="132"/>
      <c r="K3" s="133"/>
      <c r="L3" s="17"/>
      <c r="M3" s="180" t="s">
        <v>42</v>
      </c>
      <c r="N3" s="133"/>
      <c r="O3" s="13"/>
      <c r="P3" s="221">
        <f>M60</f>
        <v>57156.779999999984</v>
      </c>
      <c r="Q3" s="132"/>
      <c r="R3" s="133"/>
      <c r="S3" s="180" t="s">
        <v>43</v>
      </c>
      <c r="T3" s="133"/>
      <c r="U3" s="213"/>
      <c r="V3" s="133"/>
      <c r="W3" s="18"/>
      <c r="X3" s="5"/>
      <c r="Y3" s="19"/>
    </row>
    <row r="4" spans="2:25" ht="15" customHeight="1">
      <c r="B4" s="20" t="s">
        <v>44</v>
      </c>
      <c r="C4" s="11"/>
      <c r="D4" s="131" t="s">
        <v>45</v>
      </c>
      <c r="E4" s="132"/>
      <c r="F4" s="133"/>
      <c r="G4" s="134" t="s">
        <v>109</v>
      </c>
      <c r="H4" s="133"/>
      <c r="I4" s="131" t="s">
        <v>46</v>
      </c>
      <c r="J4" s="132"/>
      <c r="K4" s="133"/>
      <c r="L4" s="17"/>
      <c r="M4" s="180" t="s">
        <v>47</v>
      </c>
      <c r="N4" s="133"/>
      <c r="O4" s="13"/>
      <c r="P4" s="221">
        <f>P2-P3</f>
        <v>57156.48000000001</v>
      </c>
      <c r="Q4" s="132"/>
      <c r="R4" s="133"/>
      <c r="S4" s="180" t="s">
        <v>48</v>
      </c>
      <c r="T4" s="133"/>
      <c r="U4" s="213"/>
      <c r="V4" s="133"/>
      <c r="W4" s="18"/>
      <c r="X4" s="5"/>
      <c r="Y4" s="19"/>
    </row>
    <row r="5" spans="2:25" ht="15" customHeight="1" thickBot="1">
      <c r="B5" s="20" t="s">
        <v>49</v>
      </c>
      <c r="C5" s="11"/>
      <c r="D5" s="131" t="s">
        <v>50</v>
      </c>
      <c r="E5" s="132"/>
      <c r="F5" s="133"/>
      <c r="G5" s="134" t="s">
        <v>124</v>
      </c>
      <c r="H5" s="133"/>
      <c r="I5" s="131" t="s">
        <v>51</v>
      </c>
      <c r="J5" s="132"/>
      <c r="K5" s="133"/>
      <c r="L5" s="17"/>
      <c r="M5" s="215" t="s">
        <v>52</v>
      </c>
      <c r="N5" s="216"/>
      <c r="O5" s="13"/>
      <c r="P5" s="222">
        <f>IFERROR((P2-P3)/P2,"")</f>
        <v>0.49999868781626922</v>
      </c>
      <c r="Q5" s="223"/>
      <c r="R5" s="216"/>
      <c r="S5" s="180" t="s">
        <v>53</v>
      </c>
      <c r="T5" s="133"/>
      <c r="U5" s="213"/>
      <c r="V5" s="133"/>
      <c r="W5" s="18"/>
      <c r="X5" s="5"/>
      <c r="Y5" s="19"/>
    </row>
    <row r="6" spans="2:25" ht="15" customHeight="1">
      <c r="B6" s="20" t="s">
        <v>54</v>
      </c>
      <c r="C6" s="21"/>
      <c r="D6" s="131" t="s">
        <v>55</v>
      </c>
      <c r="E6" s="132"/>
      <c r="F6" s="133"/>
      <c r="G6" s="134"/>
      <c r="H6" s="133"/>
      <c r="I6" s="131" t="s">
        <v>56</v>
      </c>
      <c r="J6" s="132"/>
      <c r="K6" s="133"/>
      <c r="L6" s="17"/>
      <c r="M6" s="217" t="s">
        <v>57</v>
      </c>
      <c r="N6" s="218"/>
      <c r="O6" s="13"/>
      <c r="P6" s="224">
        <f>T60</f>
        <v>57156.779999999984</v>
      </c>
      <c r="Q6" s="225"/>
      <c r="R6" s="218"/>
      <c r="S6" s="180" t="s">
        <v>58</v>
      </c>
      <c r="T6" s="133"/>
      <c r="U6" s="213"/>
      <c r="V6" s="133"/>
      <c r="W6" s="22"/>
      <c r="X6" s="23"/>
      <c r="Y6" s="24"/>
    </row>
    <row r="7" spans="2:25" ht="15" customHeight="1">
      <c r="B7" s="20" t="s">
        <v>59</v>
      </c>
      <c r="C7" s="11"/>
      <c r="D7" s="131" t="s">
        <v>60</v>
      </c>
      <c r="E7" s="132"/>
      <c r="F7" s="133"/>
      <c r="G7" s="25"/>
      <c r="H7" s="25"/>
      <c r="I7" s="131" t="s">
        <v>61</v>
      </c>
      <c r="J7" s="132"/>
      <c r="K7" s="133"/>
      <c r="L7" s="17"/>
      <c r="M7" s="141" t="s">
        <v>62</v>
      </c>
      <c r="N7" s="133"/>
      <c r="O7" s="13"/>
      <c r="P7" s="179">
        <f>R60</f>
        <v>0</v>
      </c>
      <c r="Q7" s="132"/>
      <c r="R7" s="133"/>
      <c r="S7" s="211" t="s">
        <v>63</v>
      </c>
      <c r="T7" s="212"/>
      <c r="U7" s="214"/>
      <c r="V7" s="212"/>
      <c r="W7" s="22"/>
      <c r="X7" s="26"/>
      <c r="Y7" s="8"/>
    </row>
    <row r="8" spans="2:25" ht="15" customHeight="1">
      <c r="B8" s="27"/>
      <c r="C8" s="28"/>
      <c r="D8" s="131" t="s">
        <v>64</v>
      </c>
      <c r="E8" s="132"/>
      <c r="F8" s="133"/>
      <c r="G8" s="134"/>
      <c r="H8" s="133"/>
      <c r="I8" s="131" t="s">
        <v>65</v>
      </c>
      <c r="J8" s="132"/>
      <c r="K8" s="133"/>
      <c r="L8" s="17"/>
      <c r="M8" s="141" t="s">
        <v>66</v>
      </c>
      <c r="N8" s="133"/>
      <c r="O8" s="13"/>
      <c r="P8" s="179">
        <f>IF(P1=Q15,R15,IF(Q15="CAD $",R15*E16,IF(Q15="USD $",R15*F16,0)))</f>
        <v>0</v>
      </c>
      <c r="Q8" s="132"/>
      <c r="R8" s="133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1" t="s">
        <v>71</v>
      </c>
      <c r="E9" s="132"/>
      <c r="F9" s="133"/>
      <c r="G9" s="134"/>
      <c r="H9" s="133"/>
      <c r="I9" s="35"/>
      <c r="J9" s="36"/>
      <c r="K9" s="36"/>
      <c r="L9" s="37"/>
      <c r="M9" s="141" t="s">
        <v>72</v>
      </c>
      <c r="N9" s="133"/>
      <c r="O9" s="13"/>
      <c r="P9" s="187">
        <f>V15</f>
        <v>0</v>
      </c>
      <c r="Q9" s="132"/>
      <c r="R9" s="133"/>
      <c r="S9" s="188">
        <f>P7+P8+P9</f>
        <v>0</v>
      </c>
      <c r="T9" s="188">
        <f>P3-S9</f>
        <v>57156.779999999984</v>
      </c>
      <c r="U9" s="181">
        <f>IFERROR(((P3-S9)/S9),0)</f>
        <v>0</v>
      </c>
      <c r="V9" s="181">
        <f>IFERROR(T9/P3,0)</f>
        <v>1</v>
      </c>
      <c r="W9" s="184"/>
      <c r="X9" s="33"/>
      <c r="Y9" s="8"/>
    </row>
    <row r="10" spans="2:25" ht="15" customHeight="1">
      <c r="B10" s="34"/>
      <c r="C10" s="28"/>
      <c r="D10" s="131" t="s">
        <v>73</v>
      </c>
      <c r="E10" s="132"/>
      <c r="F10" s="133"/>
      <c r="G10" s="134" t="s">
        <v>125</v>
      </c>
      <c r="H10" s="133"/>
      <c r="I10" s="35"/>
      <c r="J10" s="36"/>
      <c r="K10" s="36"/>
      <c r="L10" s="37"/>
      <c r="M10" s="141"/>
      <c r="N10" s="133"/>
      <c r="O10" s="13"/>
      <c r="P10" s="187"/>
      <c r="Q10" s="132"/>
      <c r="R10" s="133"/>
      <c r="S10" s="182"/>
      <c r="T10" s="182"/>
      <c r="U10" s="182"/>
      <c r="V10" s="182"/>
      <c r="W10" s="185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80" t="s">
        <v>74</v>
      </c>
      <c r="N11" s="133"/>
      <c r="O11" s="13"/>
      <c r="P11" s="189">
        <f>F60</f>
        <v>49</v>
      </c>
      <c r="Q11" s="132"/>
      <c r="R11" s="133"/>
      <c r="S11" s="183"/>
      <c r="T11" s="183"/>
      <c r="U11" s="183"/>
      <c r="V11" s="183"/>
      <c r="W11" s="186"/>
      <c r="X11" s="33"/>
      <c r="Y11" s="8"/>
    </row>
    <row r="12" spans="2:25" ht="15" customHeight="1">
      <c r="B12" s="167"/>
      <c r="C12" s="168"/>
      <c r="D12" s="41"/>
      <c r="E12" s="173" t="s">
        <v>75</v>
      </c>
      <c r="F12" s="174"/>
      <c r="G12" s="176" t="s">
        <v>37</v>
      </c>
      <c r="H12" s="143"/>
      <c r="I12" s="144"/>
      <c r="J12" s="42"/>
      <c r="K12" s="142" t="s">
        <v>76</v>
      </c>
      <c r="L12" s="143"/>
      <c r="M12" s="143"/>
      <c r="N12" s="144"/>
      <c r="O12" s="13"/>
      <c r="P12" s="190" t="s">
        <v>77</v>
      </c>
      <c r="Q12" s="143"/>
      <c r="R12" s="143"/>
      <c r="S12" s="143"/>
      <c r="T12" s="143"/>
      <c r="U12" s="143"/>
      <c r="V12" s="174"/>
      <c r="W12" s="43"/>
      <c r="X12" s="44"/>
      <c r="Y12" s="8" t="s">
        <v>78</v>
      </c>
    </row>
    <row r="13" spans="2:25" ht="15" customHeight="1">
      <c r="B13" s="169"/>
      <c r="C13" s="170"/>
      <c r="D13" s="45"/>
      <c r="E13" s="145"/>
      <c r="F13" s="175"/>
      <c r="G13" s="171"/>
      <c r="H13" s="149"/>
      <c r="I13" s="150"/>
      <c r="J13" s="46"/>
      <c r="K13" s="145"/>
      <c r="L13" s="146"/>
      <c r="M13" s="146"/>
      <c r="N13" s="147"/>
      <c r="O13" s="47"/>
      <c r="P13" s="145"/>
      <c r="Q13" s="146"/>
      <c r="R13" s="146"/>
      <c r="S13" s="146"/>
      <c r="T13" s="146"/>
      <c r="U13" s="146"/>
      <c r="V13" s="175"/>
      <c r="W13" s="48"/>
      <c r="X13" s="44"/>
      <c r="Y13" s="8" t="s">
        <v>79</v>
      </c>
    </row>
    <row r="14" spans="2:25" ht="15" customHeight="1">
      <c r="B14" s="169"/>
      <c r="C14" s="170"/>
      <c r="D14" s="45"/>
      <c r="E14" s="148"/>
      <c r="F14" s="153"/>
      <c r="G14" s="177" t="s">
        <v>80</v>
      </c>
      <c r="H14" s="178"/>
      <c r="I14" s="49" t="s">
        <v>81</v>
      </c>
      <c r="J14" s="50"/>
      <c r="K14" s="148"/>
      <c r="L14" s="149"/>
      <c r="M14" s="149"/>
      <c r="N14" s="150"/>
      <c r="O14" s="47"/>
      <c r="P14" s="191"/>
      <c r="Q14" s="192"/>
      <c r="R14" s="192"/>
      <c r="S14" s="192"/>
      <c r="T14" s="192"/>
      <c r="U14" s="192"/>
      <c r="V14" s="193"/>
      <c r="W14" s="51"/>
      <c r="X14" s="44"/>
      <c r="Y14" s="8" t="s">
        <v>81</v>
      </c>
    </row>
    <row r="15" spans="2:25" ht="30" customHeight="1">
      <c r="B15" s="169"/>
      <c r="C15" s="170"/>
      <c r="D15" s="45"/>
      <c r="E15" s="52" t="s">
        <v>82</v>
      </c>
      <c r="F15" s="53" t="s">
        <v>83</v>
      </c>
      <c r="G15" s="138" t="s">
        <v>84</v>
      </c>
      <c r="H15" s="139"/>
      <c r="I15" s="140"/>
      <c r="J15" s="54"/>
      <c r="K15" s="151" t="s">
        <v>85</v>
      </c>
      <c r="L15" s="152"/>
      <c r="M15" s="15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ROUND(R60*T15,2)</f>
        <v>0</v>
      </c>
      <c r="W15" s="62"/>
      <c r="X15" s="44"/>
      <c r="Y15" s="8" t="s">
        <v>89</v>
      </c>
    </row>
    <row r="16" spans="2:25" ht="15" customHeight="1">
      <c r="B16" s="171"/>
      <c r="C16" s="172"/>
      <c r="D16" s="45"/>
      <c r="E16" s="63">
        <f>1/F16</f>
        <v>0.7246376811594204</v>
      </c>
      <c r="F16" s="64">
        <v>1.38</v>
      </c>
      <c r="G16" s="135"/>
      <c r="H16" s="132"/>
      <c r="I16" s="133"/>
      <c r="J16" s="65"/>
      <c r="K16" s="148"/>
      <c r="L16" s="153"/>
      <c r="M16" s="155"/>
      <c r="N16" s="156" t="s">
        <v>90</v>
      </c>
      <c r="O16" s="56"/>
      <c r="P16" s="194" t="s">
        <v>91</v>
      </c>
      <c r="Q16" s="195"/>
      <c r="R16" s="195"/>
      <c r="S16" s="195"/>
      <c r="T16" s="195"/>
      <c r="U16" s="195"/>
      <c r="V16" s="196"/>
      <c r="W16" s="66"/>
      <c r="X16" s="67"/>
      <c r="Y16" s="8"/>
    </row>
    <row r="17" spans="2:26" ht="15" customHeight="1">
      <c r="B17" s="162" t="s">
        <v>92</v>
      </c>
      <c r="C17" s="163" t="s">
        <v>93</v>
      </c>
      <c r="D17" s="68"/>
      <c r="E17" s="165" t="s">
        <v>94</v>
      </c>
      <c r="F17" s="166" t="s">
        <v>95</v>
      </c>
      <c r="G17" s="136" t="s">
        <v>96</v>
      </c>
      <c r="H17" s="137"/>
      <c r="I17" s="69" t="s">
        <v>97</v>
      </c>
      <c r="J17" s="70"/>
      <c r="K17" s="159" t="s">
        <v>95</v>
      </c>
      <c r="L17" s="71" t="s">
        <v>98</v>
      </c>
      <c r="M17" s="72" t="s">
        <v>99</v>
      </c>
      <c r="N17" s="157"/>
      <c r="O17" s="73"/>
      <c r="P17" s="197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5"/>
      <c r="C18" s="164"/>
      <c r="D18" s="78"/>
      <c r="E18" s="160"/>
      <c r="F18" s="155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60"/>
      <c r="L18" s="161" t="s">
        <v>78</v>
      </c>
      <c r="M18" s="140"/>
      <c r="N18" s="158"/>
      <c r="O18" s="82"/>
      <c r="P18" s="198"/>
      <c r="Q18" s="58" t="s">
        <v>79</v>
      </c>
      <c r="R18" s="199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t="s">
        <v>110</v>
      </c>
      <c r="C19" t="s">
        <v>253</v>
      </c>
      <c r="D19" s="87"/>
      <c r="E19" s="88"/>
      <c r="F19">
        <v>1</v>
      </c>
      <c r="G19" s="226">
        <v>44.09</v>
      </c>
      <c r="H19" s="226">
        <v>60.84</v>
      </c>
      <c r="I19" s="226">
        <v>60.84</v>
      </c>
      <c r="J19" s="92"/>
      <c r="K19">
        <v>1</v>
      </c>
      <c r="L19" s="226">
        <v>30.42</v>
      </c>
      <c r="M19" s="226">
        <v>30.42</v>
      </c>
      <c r="N19" s="93"/>
      <c r="O19" s="94"/>
      <c r="P19" s="86"/>
      <c r="Q19" s="95"/>
      <c r="R19" s="95"/>
      <c r="S19" s="226">
        <v>30.42</v>
      </c>
      <c r="T19" s="226">
        <v>30.42</v>
      </c>
      <c r="U19" s="227">
        <v>0</v>
      </c>
      <c r="V19" s="227">
        <v>1</v>
      </c>
      <c r="W19" s="97"/>
      <c r="X19" s="98"/>
      <c r="Y19" s="8"/>
      <c r="Z19" s="8"/>
    </row>
    <row r="20" spans="2:26">
      <c r="B20" t="s">
        <v>254</v>
      </c>
      <c r="C20" t="s">
        <v>255</v>
      </c>
      <c r="D20" s="87"/>
      <c r="E20" s="101"/>
      <c r="F20">
        <v>1</v>
      </c>
      <c r="G20" s="226">
        <v>1227.31</v>
      </c>
      <c r="H20" s="226">
        <v>1693.69</v>
      </c>
      <c r="I20" s="226">
        <v>1693.69</v>
      </c>
      <c r="J20" s="106"/>
      <c r="K20">
        <v>1</v>
      </c>
      <c r="L20" s="226">
        <v>846.85</v>
      </c>
      <c r="M20" s="226">
        <v>846.85</v>
      </c>
      <c r="N20" s="108"/>
      <c r="O20" s="94"/>
      <c r="P20" s="99"/>
      <c r="Q20" s="103"/>
      <c r="R20" s="109"/>
      <c r="S20" s="226">
        <v>846.85</v>
      </c>
      <c r="T20" s="226">
        <v>846.85</v>
      </c>
      <c r="U20" s="227">
        <v>0</v>
      </c>
      <c r="V20" s="227">
        <v>1</v>
      </c>
      <c r="W20" s="112"/>
      <c r="X20" s="98"/>
      <c r="Y20" s="8"/>
      <c r="Z20" s="8"/>
    </row>
    <row r="21" spans="2:26">
      <c r="B21" t="s">
        <v>114</v>
      </c>
      <c r="C21" t="s">
        <v>256</v>
      </c>
      <c r="D21" s="87"/>
      <c r="E21" s="88"/>
      <c r="F21">
        <v>1</v>
      </c>
      <c r="G21" s="226">
        <v>85.6</v>
      </c>
      <c r="H21" s="226">
        <v>118.13</v>
      </c>
      <c r="I21" s="226">
        <v>118.13</v>
      </c>
      <c r="J21" s="106"/>
      <c r="K21">
        <v>1</v>
      </c>
      <c r="L21" s="226">
        <v>59.07</v>
      </c>
      <c r="M21" s="226">
        <v>59.07</v>
      </c>
      <c r="N21" s="115"/>
      <c r="O21" s="94"/>
      <c r="P21" s="116"/>
      <c r="Q21" s="95"/>
      <c r="R21" s="95"/>
      <c r="S21" s="226">
        <v>59.07</v>
      </c>
      <c r="T21" s="226">
        <v>59.07</v>
      </c>
      <c r="U21" s="227">
        <v>0</v>
      </c>
      <c r="V21" s="227">
        <v>1</v>
      </c>
      <c r="W21" s="97"/>
      <c r="X21" s="98"/>
      <c r="Y21" s="8"/>
      <c r="Z21" s="8"/>
    </row>
    <row r="22" spans="2:26" ht="15.75" customHeight="1">
      <c r="B22" t="s">
        <v>217</v>
      </c>
      <c r="C22" t="s">
        <v>257</v>
      </c>
      <c r="D22" s="87"/>
      <c r="E22" s="101"/>
      <c r="F22">
        <v>1</v>
      </c>
      <c r="G22" s="226">
        <v>167.02</v>
      </c>
      <c r="H22" s="226">
        <v>230.49</v>
      </c>
      <c r="I22" s="226">
        <v>230.49</v>
      </c>
      <c r="J22" s="106"/>
      <c r="K22">
        <v>1</v>
      </c>
      <c r="L22" s="226">
        <v>115.25</v>
      </c>
      <c r="M22" s="226">
        <v>115.25</v>
      </c>
      <c r="N22" s="108"/>
      <c r="O22" s="94"/>
      <c r="P22" s="99"/>
      <c r="Q22" s="103"/>
      <c r="R22" s="109"/>
      <c r="S22" s="226">
        <v>115.25</v>
      </c>
      <c r="T22" s="226">
        <v>115.25</v>
      </c>
      <c r="U22" s="227">
        <v>0</v>
      </c>
      <c r="V22" s="227">
        <v>1</v>
      </c>
      <c r="W22" s="112"/>
      <c r="X22" s="98"/>
      <c r="Y22" s="8"/>
      <c r="Z22" s="8"/>
    </row>
    <row r="23" spans="2:26" ht="15.75" customHeight="1">
      <c r="B23" t="s">
        <v>218</v>
      </c>
      <c r="C23" t="s">
        <v>112</v>
      </c>
      <c r="D23" s="87"/>
      <c r="E23" s="88"/>
      <c r="F23">
        <v>1</v>
      </c>
      <c r="G23" s="226">
        <v>109.74</v>
      </c>
      <c r="H23" s="226">
        <v>151.44</v>
      </c>
      <c r="I23" s="226">
        <v>151.44</v>
      </c>
      <c r="J23" s="106"/>
      <c r="K23">
        <v>1</v>
      </c>
      <c r="L23" s="226">
        <v>75.72</v>
      </c>
      <c r="M23" s="226">
        <v>75.72</v>
      </c>
      <c r="N23" s="115"/>
      <c r="O23" s="94"/>
      <c r="P23" s="116"/>
      <c r="Q23" s="95"/>
      <c r="R23" s="95"/>
      <c r="S23" s="226">
        <v>75.72</v>
      </c>
      <c r="T23" s="226">
        <v>75.72</v>
      </c>
      <c r="U23" s="227">
        <v>0</v>
      </c>
      <c r="V23" s="227">
        <v>1</v>
      </c>
      <c r="W23" s="97"/>
      <c r="X23" s="98"/>
      <c r="Y23" s="8"/>
      <c r="Z23" s="8"/>
    </row>
    <row r="24" spans="2:26" ht="15.75" customHeight="1">
      <c r="B24" t="s">
        <v>258</v>
      </c>
      <c r="C24" t="s">
        <v>259</v>
      </c>
      <c r="D24" s="87"/>
      <c r="E24" s="101"/>
      <c r="F24">
        <v>1</v>
      </c>
      <c r="G24" s="226">
        <v>92</v>
      </c>
      <c r="H24" s="226">
        <v>126.96</v>
      </c>
      <c r="I24" s="226">
        <v>126.96</v>
      </c>
      <c r="J24" s="106"/>
      <c r="K24">
        <v>1</v>
      </c>
      <c r="L24" s="226">
        <v>63.48</v>
      </c>
      <c r="M24" s="226">
        <v>63.48</v>
      </c>
      <c r="N24" s="108"/>
      <c r="O24" s="94"/>
      <c r="P24" s="99"/>
      <c r="Q24" s="103"/>
      <c r="R24" s="109"/>
      <c r="S24" s="226">
        <v>63.48</v>
      </c>
      <c r="T24" s="226">
        <v>63.48</v>
      </c>
      <c r="U24" s="227">
        <v>0</v>
      </c>
      <c r="V24" s="227">
        <v>1</v>
      </c>
      <c r="W24" s="112"/>
      <c r="X24" s="98"/>
      <c r="Y24" s="8"/>
      <c r="Z24" s="8"/>
    </row>
    <row r="25" spans="2:26" ht="15.75" customHeight="1">
      <c r="B25" t="s">
        <v>260</v>
      </c>
      <c r="C25" t="s">
        <v>261</v>
      </c>
      <c r="D25" s="87"/>
      <c r="E25" s="88"/>
      <c r="F25">
        <v>1</v>
      </c>
      <c r="G25" s="226">
        <v>150.47</v>
      </c>
      <c r="H25" s="226">
        <v>207.65</v>
      </c>
      <c r="I25" s="226">
        <v>207.65</v>
      </c>
      <c r="J25" s="106"/>
      <c r="K25">
        <v>1</v>
      </c>
      <c r="L25" s="226">
        <v>103.83</v>
      </c>
      <c r="M25" s="226">
        <v>103.83</v>
      </c>
      <c r="N25" s="115"/>
      <c r="O25" s="94"/>
      <c r="P25" s="116"/>
      <c r="Q25" s="95"/>
      <c r="R25" s="95"/>
      <c r="S25" s="226">
        <v>103.83</v>
      </c>
      <c r="T25" s="226">
        <v>103.83</v>
      </c>
      <c r="U25" s="227">
        <v>0</v>
      </c>
      <c r="V25" s="227">
        <v>1</v>
      </c>
      <c r="W25" s="97"/>
      <c r="X25" s="98"/>
      <c r="Y25" s="8"/>
      <c r="Z25" s="8"/>
    </row>
    <row r="26" spans="2:26" ht="15.75" customHeight="1">
      <c r="B26" t="s">
        <v>262</v>
      </c>
      <c r="C26" t="s">
        <v>263</v>
      </c>
      <c r="D26" s="87"/>
      <c r="E26" s="101"/>
      <c r="F26">
        <v>1</v>
      </c>
      <c r="G26" s="226">
        <v>67.44</v>
      </c>
      <c r="H26" s="226">
        <v>93.07</v>
      </c>
      <c r="I26" s="226">
        <v>93.07</v>
      </c>
      <c r="J26" s="106"/>
      <c r="K26">
        <v>1</v>
      </c>
      <c r="L26" s="226">
        <v>46.54</v>
      </c>
      <c r="M26" s="226">
        <v>46.54</v>
      </c>
      <c r="N26" s="108"/>
      <c r="O26" s="94"/>
      <c r="P26" s="99"/>
      <c r="Q26" s="103"/>
      <c r="R26" s="109"/>
      <c r="S26" s="226">
        <v>46.54</v>
      </c>
      <c r="T26" s="226">
        <v>46.54</v>
      </c>
      <c r="U26" s="227">
        <v>0</v>
      </c>
      <c r="V26" s="227">
        <v>1</v>
      </c>
      <c r="W26" s="112"/>
      <c r="X26" s="98"/>
      <c r="Y26" s="8"/>
      <c r="Z26" s="8"/>
    </row>
    <row r="27" spans="2:26" ht="15.75" customHeight="1">
      <c r="B27" t="s">
        <v>264</v>
      </c>
      <c r="C27" t="s">
        <v>265</v>
      </c>
      <c r="D27" s="87"/>
      <c r="E27" s="88"/>
      <c r="F27">
        <v>1</v>
      </c>
      <c r="G27" s="226">
        <v>11907.74</v>
      </c>
      <c r="H27" s="226">
        <v>16432.68</v>
      </c>
      <c r="I27" s="226">
        <v>16432.68</v>
      </c>
      <c r="J27" s="106"/>
      <c r="K27">
        <v>1</v>
      </c>
      <c r="L27" s="226">
        <v>8216.34</v>
      </c>
      <c r="M27" s="226">
        <v>8216.34</v>
      </c>
      <c r="N27" s="115"/>
      <c r="O27" s="94"/>
      <c r="P27" s="116"/>
      <c r="Q27" s="95"/>
      <c r="R27" s="95"/>
      <c r="S27" s="226">
        <v>8216.34</v>
      </c>
      <c r="T27" s="226">
        <v>8216.34</v>
      </c>
      <c r="U27" s="227">
        <v>0</v>
      </c>
      <c r="V27" s="227">
        <v>1</v>
      </c>
      <c r="W27" s="97"/>
      <c r="X27" s="98"/>
      <c r="Y27" s="8"/>
      <c r="Z27" s="8"/>
    </row>
    <row r="28" spans="2:26" ht="15.75" customHeight="1">
      <c r="B28" t="s">
        <v>266</v>
      </c>
      <c r="C28" t="s">
        <v>267</v>
      </c>
      <c r="D28" s="87"/>
      <c r="E28" s="101"/>
      <c r="F28">
        <v>1</v>
      </c>
      <c r="G28" s="226">
        <v>3804.56</v>
      </c>
      <c r="H28" s="226">
        <v>5250.29</v>
      </c>
      <c r="I28" s="226">
        <v>5250.29</v>
      </c>
      <c r="J28" s="106"/>
      <c r="K28">
        <v>1</v>
      </c>
      <c r="L28" s="226">
        <v>2625.15</v>
      </c>
      <c r="M28" s="226">
        <v>2625.15</v>
      </c>
      <c r="N28" s="108"/>
      <c r="O28" s="94"/>
      <c r="P28" s="99"/>
      <c r="Q28" s="103"/>
      <c r="R28" s="109"/>
      <c r="S28" s="226">
        <v>2625.15</v>
      </c>
      <c r="T28" s="226">
        <v>2625.15</v>
      </c>
      <c r="U28" s="227">
        <v>0</v>
      </c>
      <c r="V28" s="227">
        <v>1</v>
      </c>
      <c r="W28" s="112"/>
      <c r="X28" s="98"/>
      <c r="Y28" s="8"/>
      <c r="Z28" s="117"/>
    </row>
    <row r="29" spans="2:26" ht="15.75" customHeight="1">
      <c r="B29" t="s">
        <v>268</v>
      </c>
      <c r="C29" t="s">
        <v>269</v>
      </c>
      <c r="D29" s="87"/>
      <c r="E29" s="88"/>
      <c r="F29">
        <v>1</v>
      </c>
      <c r="G29" s="226">
        <v>5410.74</v>
      </c>
      <c r="H29" s="226">
        <v>7466.82</v>
      </c>
      <c r="I29" s="226">
        <v>7466.82</v>
      </c>
      <c r="J29" s="106"/>
      <c r="K29">
        <v>1</v>
      </c>
      <c r="L29" s="226">
        <v>3733.41</v>
      </c>
      <c r="M29" s="226">
        <v>3733.41</v>
      </c>
      <c r="N29" s="115"/>
      <c r="O29" s="94"/>
      <c r="P29" s="116"/>
      <c r="Q29" s="95"/>
      <c r="R29" s="95"/>
      <c r="S29" s="226">
        <v>3733.41</v>
      </c>
      <c r="T29" s="226">
        <v>3733.41</v>
      </c>
      <c r="U29" s="227">
        <v>0</v>
      </c>
      <c r="V29" s="227">
        <v>1</v>
      </c>
      <c r="W29" s="97"/>
      <c r="X29" s="98"/>
      <c r="Y29" s="8"/>
      <c r="Z29" s="8"/>
    </row>
    <row r="30" spans="2:26" ht="15.75" customHeight="1">
      <c r="B30">
        <v>3058141</v>
      </c>
      <c r="C30" t="s">
        <v>270</v>
      </c>
      <c r="D30" s="87"/>
      <c r="E30" s="101"/>
      <c r="F30">
        <v>1</v>
      </c>
      <c r="G30" s="226">
        <v>18371.68</v>
      </c>
      <c r="H30" s="226">
        <v>25352.92</v>
      </c>
      <c r="I30" s="226">
        <v>25352.92</v>
      </c>
      <c r="J30" s="106"/>
      <c r="K30">
        <v>1</v>
      </c>
      <c r="L30" s="226">
        <v>12676.46</v>
      </c>
      <c r="M30" s="226">
        <v>12676.46</v>
      </c>
      <c r="N30" s="108"/>
      <c r="O30" s="94"/>
      <c r="P30" s="99"/>
      <c r="Q30" s="103"/>
      <c r="R30" s="109"/>
      <c r="S30" s="226">
        <v>12676.46</v>
      </c>
      <c r="T30" s="226">
        <v>12676.46</v>
      </c>
      <c r="U30" s="227">
        <v>0</v>
      </c>
      <c r="V30" s="227">
        <v>1</v>
      </c>
      <c r="W30" s="112"/>
      <c r="X30" s="98"/>
      <c r="Y30" s="8"/>
      <c r="Z30" s="8"/>
    </row>
    <row r="31" spans="2:26" ht="15.75" customHeight="1">
      <c r="B31">
        <v>4872807</v>
      </c>
      <c r="C31" t="s">
        <v>271</v>
      </c>
      <c r="D31" s="87"/>
      <c r="E31" s="88"/>
      <c r="F31">
        <v>1</v>
      </c>
      <c r="G31" s="226">
        <v>10196.18</v>
      </c>
      <c r="H31" s="226">
        <v>14070.73</v>
      </c>
      <c r="I31" s="226">
        <v>14070.73</v>
      </c>
      <c r="J31" s="106"/>
      <c r="K31">
        <v>1</v>
      </c>
      <c r="L31" s="226">
        <v>7035.37</v>
      </c>
      <c r="M31" s="226">
        <v>7035.37</v>
      </c>
      <c r="N31" s="115"/>
      <c r="O31" s="94"/>
      <c r="P31" s="116"/>
      <c r="Q31" s="95"/>
      <c r="R31" s="95"/>
      <c r="S31" s="226">
        <v>7035.37</v>
      </c>
      <c r="T31" s="226">
        <v>7035.37</v>
      </c>
      <c r="U31" s="227">
        <v>0</v>
      </c>
      <c r="V31" s="227">
        <v>1</v>
      </c>
      <c r="W31" s="97"/>
      <c r="X31" s="98"/>
      <c r="Y31" s="8"/>
      <c r="Z31" s="8"/>
    </row>
    <row r="32" spans="2:26" ht="15.75" customHeight="1">
      <c r="B32" t="s">
        <v>272</v>
      </c>
      <c r="C32" t="s">
        <v>273</v>
      </c>
      <c r="D32" s="87"/>
      <c r="E32" s="101"/>
      <c r="F32">
        <v>4</v>
      </c>
      <c r="G32" s="226">
        <v>1906.27</v>
      </c>
      <c r="H32" s="226">
        <v>2630.65</v>
      </c>
      <c r="I32" s="226">
        <v>10522.6</v>
      </c>
      <c r="J32" s="106"/>
      <c r="K32">
        <v>4</v>
      </c>
      <c r="L32" s="226">
        <v>1315.33</v>
      </c>
      <c r="M32" s="226">
        <v>5261.32</v>
      </c>
      <c r="N32" s="108"/>
      <c r="O32" s="94"/>
      <c r="P32" s="99"/>
      <c r="Q32" s="103"/>
      <c r="R32" s="109"/>
      <c r="S32" s="226">
        <v>1315.33</v>
      </c>
      <c r="T32" s="226">
        <v>5261.32</v>
      </c>
      <c r="U32" s="227">
        <v>0</v>
      </c>
      <c r="V32" s="227">
        <v>1</v>
      </c>
      <c r="W32" s="112"/>
      <c r="X32" s="98"/>
      <c r="Y32" s="8"/>
      <c r="Z32" s="8"/>
    </row>
    <row r="33" spans="2:23" ht="15.75" customHeight="1">
      <c r="B33" t="s">
        <v>274</v>
      </c>
      <c r="C33" t="s">
        <v>275</v>
      </c>
      <c r="D33" s="87"/>
      <c r="E33" s="88"/>
      <c r="F33">
        <v>1</v>
      </c>
      <c r="G33" s="226">
        <v>6920.52</v>
      </c>
      <c r="H33" s="226">
        <v>9550.32</v>
      </c>
      <c r="I33" s="226">
        <v>9550.32</v>
      </c>
      <c r="J33" s="106"/>
      <c r="K33">
        <v>1</v>
      </c>
      <c r="L33" s="226">
        <v>4775.16</v>
      </c>
      <c r="M33" s="226">
        <v>4775.16</v>
      </c>
      <c r="N33" s="115"/>
      <c r="O33" s="94"/>
      <c r="P33" s="116"/>
      <c r="Q33" s="95"/>
      <c r="R33" s="95"/>
      <c r="S33" s="226">
        <v>4775.16</v>
      </c>
      <c r="T33" s="226">
        <v>4775.16</v>
      </c>
      <c r="U33" s="227">
        <v>0</v>
      </c>
      <c r="V33" s="227">
        <v>1</v>
      </c>
      <c r="W33" s="97"/>
    </row>
    <row r="34" spans="2:23" ht="15.75" customHeight="1">
      <c r="B34" t="s">
        <v>276</v>
      </c>
      <c r="C34" t="s">
        <v>277</v>
      </c>
      <c r="D34" s="87"/>
      <c r="E34" s="101"/>
      <c r="F34">
        <v>1</v>
      </c>
      <c r="G34" s="226">
        <v>9037.67</v>
      </c>
      <c r="H34" s="226">
        <v>12471.98</v>
      </c>
      <c r="I34" s="226">
        <v>12471.98</v>
      </c>
      <c r="J34" s="106"/>
      <c r="K34">
        <v>1</v>
      </c>
      <c r="L34" s="226">
        <v>6235.99</v>
      </c>
      <c r="M34" s="226">
        <v>6235.99</v>
      </c>
      <c r="N34" s="108"/>
      <c r="O34" s="94"/>
      <c r="P34" s="99"/>
      <c r="Q34" s="103"/>
      <c r="R34" s="109"/>
      <c r="S34" s="226">
        <v>6235.99</v>
      </c>
      <c r="T34" s="226">
        <v>6235.99</v>
      </c>
      <c r="U34" s="227">
        <v>0</v>
      </c>
      <c r="V34" s="227">
        <v>1</v>
      </c>
      <c r="W34" s="112"/>
    </row>
    <row r="35" spans="2:23" ht="15.75" customHeight="1">
      <c r="B35" t="s">
        <v>143</v>
      </c>
      <c r="C35" t="s">
        <v>278</v>
      </c>
      <c r="D35" s="87"/>
      <c r="E35" s="88"/>
      <c r="F35">
        <v>1</v>
      </c>
      <c r="G35" s="226">
        <v>811.6</v>
      </c>
      <c r="H35" s="226">
        <v>1120.01</v>
      </c>
      <c r="I35" s="226">
        <v>1120.01</v>
      </c>
      <c r="J35" s="106"/>
      <c r="K35">
        <v>1</v>
      </c>
      <c r="L35" s="226">
        <v>560.01</v>
      </c>
      <c r="M35" s="226">
        <v>560.01</v>
      </c>
      <c r="N35" s="115"/>
      <c r="O35" s="94"/>
      <c r="P35" s="116"/>
      <c r="Q35" s="95"/>
      <c r="R35" s="95"/>
      <c r="S35" s="226">
        <v>560.01</v>
      </c>
      <c r="T35" s="226">
        <v>560.01</v>
      </c>
      <c r="U35" s="227">
        <v>0</v>
      </c>
      <c r="V35" s="227">
        <v>1</v>
      </c>
      <c r="W35" s="97"/>
    </row>
    <row r="36" spans="2:23" ht="15.75" customHeight="1">
      <c r="B36" t="s">
        <v>279</v>
      </c>
      <c r="C36" t="s">
        <v>280</v>
      </c>
      <c r="D36" s="87"/>
      <c r="E36" s="101"/>
      <c r="F36">
        <v>1</v>
      </c>
      <c r="G36" s="226">
        <v>6221.62</v>
      </c>
      <c r="H36" s="226">
        <v>8585.84</v>
      </c>
      <c r="I36" s="226">
        <v>8585.84</v>
      </c>
      <c r="J36" s="106"/>
      <c r="K36">
        <v>1</v>
      </c>
      <c r="L36" s="226">
        <v>4292.92</v>
      </c>
      <c r="M36" s="226">
        <v>4292.92</v>
      </c>
      <c r="N36" s="108"/>
      <c r="O36" s="94"/>
      <c r="P36" s="99"/>
      <c r="Q36" s="103"/>
      <c r="R36" s="109"/>
      <c r="S36" s="226">
        <v>4292.92</v>
      </c>
      <c r="T36" s="226">
        <v>4292.92</v>
      </c>
      <c r="U36" s="227">
        <v>0</v>
      </c>
      <c r="V36" s="227">
        <v>1</v>
      </c>
      <c r="W36" s="112"/>
    </row>
    <row r="37" spans="2:23" ht="15.75" customHeight="1">
      <c r="B37" t="s">
        <v>281</v>
      </c>
      <c r="C37" t="s">
        <v>282</v>
      </c>
      <c r="D37" s="87"/>
      <c r="E37" s="88"/>
      <c r="F37">
        <v>1</v>
      </c>
      <c r="G37" s="226">
        <v>269.92</v>
      </c>
      <c r="H37" s="226">
        <v>372.49</v>
      </c>
      <c r="I37" s="226">
        <v>372.49</v>
      </c>
      <c r="J37" s="106"/>
      <c r="K37">
        <v>1</v>
      </c>
      <c r="L37" s="226">
        <v>186.25</v>
      </c>
      <c r="M37" s="226">
        <v>186.25</v>
      </c>
      <c r="N37" s="115"/>
      <c r="O37" s="94"/>
      <c r="P37" s="116"/>
      <c r="Q37" s="95"/>
      <c r="R37" s="95"/>
      <c r="S37" s="226">
        <v>186.25</v>
      </c>
      <c r="T37" s="226">
        <v>186.25</v>
      </c>
      <c r="U37" s="227">
        <v>0</v>
      </c>
      <c r="V37" s="227">
        <v>1</v>
      </c>
      <c r="W37" s="97"/>
    </row>
    <row r="38" spans="2:23" ht="15.75" customHeight="1">
      <c r="B38" t="s">
        <v>283</v>
      </c>
      <c r="C38" t="s">
        <v>183</v>
      </c>
      <c r="D38" s="87"/>
      <c r="E38" s="101"/>
      <c r="F38">
        <v>8</v>
      </c>
      <c r="G38" s="226">
        <v>3.22</v>
      </c>
      <c r="H38" s="226">
        <v>4.4400000000000004</v>
      </c>
      <c r="I38" s="226">
        <v>35.520000000000003</v>
      </c>
      <c r="J38" s="106"/>
      <c r="K38">
        <v>8</v>
      </c>
      <c r="L38" s="226">
        <v>2.2200000000000002</v>
      </c>
      <c r="M38" s="226">
        <v>17.760000000000002</v>
      </c>
      <c r="N38" s="108"/>
      <c r="O38" s="94"/>
      <c r="P38" s="99"/>
      <c r="Q38" s="103"/>
      <c r="R38" s="109"/>
      <c r="S38" s="226">
        <v>2.2200000000000002</v>
      </c>
      <c r="T38" s="226">
        <v>17.760000000000002</v>
      </c>
      <c r="U38" s="227">
        <v>0</v>
      </c>
      <c r="V38" s="227">
        <v>1</v>
      </c>
      <c r="W38" s="112"/>
    </row>
    <row r="39" spans="2:23" ht="15.75" customHeight="1">
      <c r="B39" t="s">
        <v>234</v>
      </c>
      <c r="C39" t="s">
        <v>187</v>
      </c>
      <c r="D39" s="87"/>
      <c r="E39" s="88"/>
      <c r="F39">
        <v>8</v>
      </c>
      <c r="G39" s="226">
        <v>2.44</v>
      </c>
      <c r="H39" s="226">
        <v>3.37</v>
      </c>
      <c r="I39" s="226">
        <v>26.96</v>
      </c>
      <c r="J39" s="106"/>
      <c r="K39">
        <v>8</v>
      </c>
      <c r="L39" s="226">
        <v>1.69</v>
      </c>
      <c r="M39" s="226">
        <v>13.52</v>
      </c>
      <c r="N39" s="115"/>
      <c r="O39" s="94"/>
      <c r="P39" s="116"/>
      <c r="Q39" s="95"/>
      <c r="R39" s="95"/>
      <c r="S39" s="226">
        <v>1.69</v>
      </c>
      <c r="T39" s="226">
        <v>13.52</v>
      </c>
      <c r="U39" s="227">
        <v>0</v>
      </c>
      <c r="V39" s="227">
        <v>1</v>
      </c>
      <c r="W39" s="112"/>
    </row>
    <row r="40" spans="2:23" ht="15.75" customHeight="1">
      <c r="B40" t="s">
        <v>284</v>
      </c>
      <c r="C40" t="s">
        <v>185</v>
      </c>
      <c r="D40" s="87"/>
      <c r="E40" s="101"/>
      <c r="F40">
        <v>8</v>
      </c>
      <c r="G40" s="226">
        <v>3.56</v>
      </c>
      <c r="H40" s="226">
        <v>4.91</v>
      </c>
      <c r="I40" s="226">
        <v>39.28</v>
      </c>
      <c r="J40" s="106"/>
      <c r="K40">
        <v>8</v>
      </c>
      <c r="L40" s="226">
        <v>2.46</v>
      </c>
      <c r="M40" s="226">
        <v>19.68</v>
      </c>
      <c r="N40" s="108"/>
      <c r="O40" s="94"/>
      <c r="P40" s="99"/>
      <c r="Q40" s="103"/>
      <c r="R40" s="109"/>
      <c r="S40" s="226">
        <v>2.46</v>
      </c>
      <c r="T40" s="226">
        <v>19.68</v>
      </c>
      <c r="U40" s="227">
        <v>0</v>
      </c>
      <c r="V40" s="227">
        <v>1</v>
      </c>
      <c r="W40" s="112"/>
    </row>
    <row r="41" spans="2:23" ht="15.75" customHeight="1">
      <c r="B41" t="s">
        <v>285</v>
      </c>
      <c r="C41" t="s">
        <v>286</v>
      </c>
      <c r="D41" s="87"/>
      <c r="E41" s="88"/>
      <c r="F41">
        <v>1</v>
      </c>
      <c r="G41" s="226">
        <v>64.260000000000005</v>
      </c>
      <c r="H41" s="226">
        <v>88.68</v>
      </c>
      <c r="I41" s="226">
        <v>88.68</v>
      </c>
      <c r="J41" s="106"/>
      <c r="K41">
        <v>1</v>
      </c>
      <c r="L41" s="226">
        <v>44.34</v>
      </c>
      <c r="M41" s="226">
        <v>44.34</v>
      </c>
      <c r="N41" s="115"/>
      <c r="O41" s="94"/>
      <c r="P41" s="116"/>
      <c r="Q41" s="95"/>
      <c r="R41" s="95"/>
      <c r="S41" s="226">
        <v>44.34</v>
      </c>
      <c r="T41" s="226">
        <v>44.34</v>
      </c>
      <c r="U41" s="227">
        <v>0</v>
      </c>
      <c r="V41" s="227">
        <v>1</v>
      </c>
      <c r="W41" s="112"/>
    </row>
    <row r="42" spans="2:23" ht="15.75" customHeight="1">
      <c r="B42" t="s">
        <v>287</v>
      </c>
      <c r="C42" t="s">
        <v>288</v>
      </c>
      <c r="D42" s="87"/>
      <c r="E42" s="101"/>
      <c r="F42">
        <v>1</v>
      </c>
      <c r="G42" s="226">
        <v>64.260000000000005</v>
      </c>
      <c r="H42" s="226">
        <v>88.68</v>
      </c>
      <c r="I42" s="226">
        <v>88.68</v>
      </c>
      <c r="J42" s="106"/>
      <c r="K42">
        <v>1</v>
      </c>
      <c r="L42" s="226">
        <v>44.34</v>
      </c>
      <c r="M42" s="226">
        <v>44.34</v>
      </c>
      <c r="N42" s="108"/>
      <c r="O42" s="94"/>
      <c r="P42" s="99"/>
      <c r="Q42" s="103"/>
      <c r="R42" s="109"/>
      <c r="S42" s="226">
        <v>44.34</v>
      </c>
      <c r="T42" s="226">
        <v>44.34</v>
      </c>
      <c r="U42" s="227">
        <v>0</v>
      </c>
      <c r="V42" s="227">
        <v>1</v>
      </c>
      <c r="W42" s="112"/>
    </row>
    <row r="43" spans="2:23" ht="15.75" customHeight="1">
      <c r="B43" t="s">
        <v>289</v>
      </c>
      <c r="C43" t="s">
        <v>290</v>
      </c>
      <c r="D43" s="87"/>
      <c r="E43" s="88"/>
      <c r="F43">
        <v>1</v>
      </c>
      <c r="G43" s="226">
        <v>112.46</v>
      </c>
      <c r="H43" s="226">
        <v>155.19</v>
      </c>
      <c r="I43" s="226">
        <v>155.19</v>
      </c>
      <c r="J43" s="106"/>
      <c r="K43">
        <v>1</v>
      </c>
      <c r="L43" s="226">
        <v>77.599999999999994</v>
      </c>
      <c r="M43" s="226">
        <v>77.599999999999994</v>
      </c>
      <c r="N43" s="115"/>
      <c r="O43" s="94"/>
      <c r="P43" s="116"/>
      <c r="Q43" s="95"/>
      <c r="R43" s="95"/>
      <c r="S43" s="226">
        <v>77.599999999999994</v>
      </c>
      <c r="T43" s="226">
        <v>77.599999999999994</v>
      </c>
      <c r="U43" s="227">
        <v>0</v>
      </c>
      <c r="V43" s="227">
        <v>1</v>
      </c>
      <c r="W43" s="112"/>
    </row>
    <row r="44" spans="2:23" ht="15.75" customHeight="1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>
      <c r="D48" s="87"/>
      <c r="E48" s="101"/>
      <c r="G48" s="226"/>
      <c r="H48" s="226"/>
      <c r="I48" s="226"/>
      <c r="J48" s="106"/>
      <c r="L48" s="226"/>
      <c r="M48" s="226"/>
      <c r="N48" s="108"/>
      <c r="O48" s="94"/>
      <c r="P48" s="99"/>
      <c r="Q48" s="103"/>
      <c r="R48" s="109"/>
      <c r="S48" s="226"/>
      <c r="T48" s="226"/>
      <c r="U48" s="227"/>
      <c r="V48" s="227"/>
      <c r="W48" s="112"/>
    </row>
    <row r="49" spans="2:23" ht="15.75" customHeight="1">
      <c r="D49" s="87"/>
      <c r="E49" s="88"/>
      <c r="G49" s="226"/>
      <c r="H49" s="226"/>
      <c r="I49" s="226"/>
      <c r="J49" s="106"/>
      <c r="L49" s="226"/>
      <c r="M49" s="226"/>
      <c r="N49" s="115"/>
      <c r="O49" s="94"/>
      <c r="P49" s="116"/>
      <c r="Q49" s="95"/>
      <c r="R49" s="95"/>
      <c r="S49" s="226"/>
      <c r="T49" s="226"/>
      <c r="U49" s="227"/>
      <c r="V49" s="227"/>
      <c r="W49" s="112"/>
    </row>
    <row r="50" spans="2:23" ht="15.75" customHeight="1">
      <c r="D50" s="87"/>
      <c r="E50" s="101"/>
      <c r="G50" s="226"/>
      <c r="H50" s="226"/>
      <c r="I50" s="226"/>
      <c r="J50" s="106"/>
      <c r="L50" s="226"/>
      <c r="M50" s="226"/>
      <c r="N50" s="108"/>
      <c r="O50" s="94"/>
      <c r="P50" s="99"/>
      <c r="Q50" s="103"/>
      <c r="R50" s="109"/>
      <c r="S50" s="226"/>
      <c r="T50" s="226"/>
      <c r="U50" s="227"/>
      <c r="V50" s="227"/>
      <c r="W50" s="112"/>
    </row>
    <row r="51" spans="2:23" ht="15.75" customHeight="1">
      <c r="D51" s="87"/>
      <c r="E51" s="88"/>
      <c r="G51" s="226"/>
      <c r="H51" s="226"/>
      <c r="I51" s="226"/>
      <c r="J51" s="106"/>
      <c r="L51" s="226"/>
      <c r="M51" s="226"/>
      <c r="N51" s="115"/>
      <c r="O51" s="94"/>
      <c r="P51" s="116"/>
      <c r="Q51" s="95"/>
      <c r="R51" s="95"/>
      <c r="S51" s="226"/>
      <c r="T51" s="226"/>
      <c r="U51" s="227"/>
      <c r="V51" s="227"/>
      <c r="W51" s="112"/>
    </row>
    <row r="52" spans="2:23" ht="15.75" customHeight="1">
      <c r="D52" s="87"/>
      <c r="E52" s="101"/>
      <c r="G52" s="226"/>
      <c r="H52" s="226"/>
      <c r="I52" s="226"/>
      <c r="J52" s="106"/>
      <c r="L52" s="226"/>
      <c r="M52" s="226"/>
      <c r="N52" s="108"/>
      <c r="O52" s="94"/>
      <c r="P52" s="99"/>
      <c r="Q52" s="103"/>
      <c r="R52" s="109"/>
      <c r="S52" s="226"/>
      <c r="T52" s="226"/>
      <c r="U52" s="227"/>
      <c r="V52" s="227"/>
      <c r="W52" s="112"/>
    </row>
    <row r="53" spans="2:23" ht="15.75" customHeight="1">
      <c r="D53" s="87"/>
      <c r="E53" s="88"/>
      <c r="G53" s="226"/>
      <c r="H53" s="226"/>
      <c r="I53" s="226"/>
      <c r="J53" s="106"/>
      <c r="L53" s="226"/>
      <c r="M53" s="226"/>
      <c r="N53" s="115"/>
      <c r="O53" s="94"/>
      <c r="P53" s="116"/>
      <c r="Q53" s="95"/>
      <c r="R53" s="95"/>
      <c r="S53" s="226"/>
      <c r="T53" s="226"/>
      <c r="U53" s="227"/>
      <c r="V53" s="227"/>
      <c r="W53" s="112"/>
    </row>
    <row r="54" spans="2:23" ht="15.75" customHeight="1">
      <c r="D54" s="87"/>
      <c r="E54" s="101"/>
      <c r="G54" s="226"/>
      <c r="H54" s="226"/>
      <c r="I54" s="226"/>
      <c r="J54" s="106"/>
      <c r="L54" s="226"/>
      <c r="M54" s="226"/>
      <c r="N54" s="108"/>
      <c r="O54" s="94"/>
      <c r="P54" s="99"/>
      <c r="Q54" s="103"/>
      <c r="R54" s="109"/>
      <c r="S54" s="226"/>
      <c r="T54" s="226"/>
      <c r="U54" s="227"/>
      <c r="V54" s="227"/>
      <c r="W54" s="112"/>
    </row>
    <row r="55" spans="2:23" ht="15.75" customHeight="1">
      <c r="D55" s="87"/>
      <c r="E55" s="88"/>
      <c r="G55" s="226"/>
      <c r="H55" s="226"/>
      <c r="I55" s="226"/>
      <c r="J55" s="106"/>
      <c r="L55" s="226"/>
      <c r="M55" s="226"/>
      <c r="N55" s="115"/>
      <c r="O55" s="94"/>
      <c r="P55" s="116"/>
      <c r="Q55" s="95"/>
      <c r="R55" s="95"/>
      <c r="S55" s="226"/>
      <c r="T55" s="226"/>
      <c r="U55" s="227"/>
      <c r="V55" s="227"/>
      <c r="W55" s="112"/>
    </row>
    <row r="56" spans="2:23" ht="15.75" customHeight="1">
      <c r="B56" s="99"/>
      <c r="C56" s="100"/>
      <c r="D56" s="87"/>
      <c r="E56" s="101"/>
      <c r="F56" s="102"/>
      <c r="G56" s="103"/>
      <c r="H56" s="104"/>
      <c r="I56" s="105"/>
      <c r="J56" s="106"/>
      <c r="K56" s="107"/>
      <c r="L56" s="104"/>
      <c r="M56" s="104"/>
      <c r="N56" s="108"/>
      <c r="O56" s="94"/>
      <c r="P56" s="99"/>
      <c r="Q56" s="103"/>
      <c r="R56" s="109"/>
      <c r="S56" s="110"/>
      <c r="T56" s="110"/>
      <c r="U56" s="111"/>
      <c r="V56" s="111"/>
      <c r="W56" s="112"/>
    </row>
    <row r="57" spans="2:23" ht="15.75" customHeight="1">
      <c r="B57" s="86"/>
      <c r="C57" s="113"/>
      <c r="D57" s="87"/>
      <c r="E57" s="88"/>
      <c r="F57" s="114"/>
      <c r="G57" s="95"/>
      <c r="H57" s="90"/>
      <c r="I57" s="91"/>
      <c r="J57" s="106"/>
      <c r="K57" s="89"/>
      <c r="L57" s="90"/>
      <c r="M57" s="90"/>
      <c r="N57" s="115"/>
      <c r="O57" s="94"/>
      <c r="P57" s="116"/>
      <c r="Q57" s="95"/>
      <c r="R57" s="95"/>
      <c r="S57" s="95"/>
      <c r="T57" s="95"/>
      <c r="U57" s="96"/>
      <c r="V57" s="96"/>
      <c r="W57" s="112"/>
    </row>
    <row r="58" spans="2:23" ht="15.75" customHeight="1">
      <c r="B58" s="99"/>
      <c r="C58" s="100"/>
      <c r="D58" s="87"/>
      <c r="E58" s="101"/>
      <c r="F58" s="102"/>
      <c r="G58" s="103"/>
      <c r="H58" s="104"/>
      <c r="I58" s="105"/>
      <c r="J58" s="106"/>
      <c r="K58" s="107"/>
      <c r="L58" s="104"/>
      <c r="M58" s="104"/>
      <c r="N58" s="108"/>
      <c r="O58" s="94"/>
      <c r="P58" s="99"/>
      <c r="Q58" s="103"/>
      <c r="R58" s="109"/>
      <c r="S58" s="110"/>
      <c r="T58" s="110"/>
      <c r="U58" s="111"/>
      <c r="V58" s="111"/>
      <c r="W58" s="112"/>
    </row>
    <row r="59" spans="2:23" ht="15.75" customHeight="1">
      <c r="B59" s="86"/>
      <c r="C59" s="113"/>
      <c r="D59" s="87"/>
      <c r="E59" s="88"/>
      <c r="F59" s="114"/>
      <c r="G59" s="95"/>
      <c r="H59" s="90"/>
      <c r="I59" s="91"/>
      <c r="J59" s="106"/>
      <c r="K59" s="89"/>
      <c r="L59" s="90"/>
      <c r="M59" s="90"/>
      <c r="N59" s="115"/>
      <c r="O59" s="94"/>
      <c r="P59" s="116"/>
      <c r="Q59" s="95"/>
      <c r="R59" s="95"/>
      <c r="S59" s="95"/>
      <c r="T59" s="95"/>
      <c r="U59" s="96"/>
      <c r="V59" s="96"/>
      <c r="W59" s="112"/>
    </row>
    <row r="60" spans="2:23" ht="20.25" customHeight="1">
      <c r="B60" s="118"/>
      <c r="C60" s="118"/>
      <c r="D60" s="119"/>
      <c r="E60" s="120" t="s">
        <v>107</v>
      </c>
      <c r="F60" s="121">
        <f t="shared" ref="F60:I60" si="0">SUM(F19:F59)</f>
        <v>49</v>
      </c>
      <c r="G60" s="122">
        <f t="shared" si="0"/>
        <v>77052.37</v>
      </c>
      <c r="H60" s="123">
        <f t="shared" si="0"/>
        <v>106332.26999999997</v>
      </c>
      <c r="I60" s="124">
        <f t="shared" si="0"/>
        <v>114313.26</v>
      </c>
      <c r="J60" s="125"/>
      <c r="K60" s="126">
        <f t="shared" ref="K60:M60" si="1">SUM(K19:K59)</f>
        <v>49</v>
      </c>
      <c r="L60" s="123">
        <f t="shared" si="1"/>
        <v>53166.2</v>
      </c>
      <c r="M60" s="124">
        <f t="shared" si="1"/>
        <v>57156.779999999984</v>
      </c>
      <c r="N60" s="124"/>
      <c r="O60" s="127"/>
      <c r="P60" s="128"/>
      <c r="Q60" s="123">
        <f t="shared" ref="Q60:T60" si="2">SUM(Q19:Q59)</f>
        <v>0</v>
      </c>
      <c r="R60" s="123">
        <f t="shared" si="2"/>
        <v>0</v>
      </c>
      <c r="S60" s="124">
        <f t="shared" si="2"/>
        <v>53166.2</v>
      </c>
      <c r="T60" s="124">
        <f t="shared" si="2"/>
        <v>57156.779999999984</v>
      </c>
      <c r="U60" s="129"/>
      <c r="V60" s="129"/>
      <c r="W60" s="130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1" priority="1" stopIfTrue="1">
      <formula>$U$9&gt;100%</formula>
    </cfRule>
    <cfRule type="expression" dxfId="10" priority="2">
      <formula>$U$9&lt;50%</formula>
    </cfRule>
  </conditionalFormatting>
  <conditionalFormatting sqref="V9:V11">
    <cfRule type="expression" dxfId="9" priority="3">
      <formula>$V$9&lt;50%</formula>
    </cfRule>
    <cfRule type="expression" dxfId="8" priority="4">
      <formula>$V$9&gt;50%</formula>
    </cfRule>
  </conditionalFormatting>
  <dataValidations count="4">
    <dataValidation type="list" allowBlank="1" showErrorMessage="1" sqref="E19:E59" xr:uid="{C0E45BFF-1823-478D-91FF-B88DDAF23985}">
      <formula1>$Z$19:$Z$30</formula1>
    </dataValidation>
    <dataValidation type="list" allowBlank="1" showErrorMessage="1" sqref="I14" xr:uid="{27592E84-77AF-4F30-844F-D91B1E1EC724}">
      <formula1>$Y$14:$Y$15</formula1>
    </dataValidation>
    <dataValidation type="list" allowBlank="1" showErrorMessage="1" sqref="J14" xr:uid="{DB6BE1DD-00F6-49BD-8B15-1B9F7919889C}">
      <formula1>$L$9</formula1>
    </dataValidation>
    <dataValidation type="list" allowBlank="1" showErrorMessage="1" sqref="Q15 G18 L18 Q18" xr:uid="{351AD206-4BBA-4649-9D31-11FBC6BD5FA5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2DAF7-901E-48D9-9979-623655A7A358}">
  <sheetPr>
    <pageSetUpPr fitToPage="1"/>
  </sheetPr>
  <dimension ref="B1:Z61"/>
  <sheetViews>
    <sheetView zoomScale="55" zoomScaleNormal="55" workbookViewId="0">
      <pane ySplit="18" topLeftCell="A19" activePane="bottomLeft" state="frozen"/>
      <selection pane="bottomLeft" activeCell="S19" sqref="S19:V49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00" t="s">
        <v>29</v>
      </c>
      <c r="C1" s="201"/>
      <c r="D1" s="202" t="s">
        <v>30</v>
      </c>
      <c r="E1" s="203"/>
      <c r="F1" s="203"/>
      <c r="G1" s="203"/>
      <c r="H1" s="152"/>
      <c r="I1" s="200" t="s">
        <v>31</v>
      </c>
      <c r="J1" s="204"/>
      <c r="K1" s="204"/>
      <c r="L1" s="178"/>
      <c r="M1" s="205" t="s">
        <v>32</v>
      </c>
      <c r="N1" s="206"/>
      <c r="O1" s="207"/>
      <c r="P1" s="208" t="str">
        <f>L18</f>
        <v>CAD $</v>
      </c>
      <c r="Q1" s="204"/>
      <c r="R1" s="178"/>
      <c r="S1" s="200" t="s">
        <v>33</v>
      </c>
      <c r="T1" s="204"/>
      <c r="U1" s="204"/>
      <c r="V1" s="204"/>
      <c r="W1" s="178"/>
      <c r="X1" s="6"/>
      <c r="Y1" s="7"/>
    </row>
    <row r="2" spans="2:25" ht="15" customHeight="1">
      <c r="B2" s="9" t="s">
        <v>34</v>
      </c>
      <c r="C2" s="10"/>
      <c r="D2" s="131" t="s">
        <v>35</v>
      </c>
      <c r="E2" s="132"/>
      <c r="F2" s="133"/>
      <c r="G2" s="134"/>
      <c r="H2" s="133"/>
      <c r="I2" s="210" t="s">
        <v>36</v>
      </c>
      <c r="J2" s="139"/>
      <c r="K2" s="140"/>
      <c r="L2" s="12"/>
      <c r="M2" s="209" t="s">
        <v>37</v>
      </c>
      <c r="N2" s="140"/>
      <c r="O2" s="13"/>
      <c r="P2" s="220">
        <f>I61</f>
        <v>127177.97000000003</v>
      </c>
      <c r="Q2" s="139"/>
      <c r="R2" s="140"/>
      <c r="S2" s="209" t="s">
        <v>38</v>
      </c>
      <c r="T2" s="140"/>
      <c r="U2" s="219"/>
      <c r="V2" s="140"/>
      <c r="W2" s="14"/>
      <c r="X2" s="15"/>
      <c r="Y2" s="7"/>
    </row>
    <row r="3" spans="2:25" ht="15" customHeight="1">
      <c r="B3" s="16" t="s">
        <v>39</v>
      </c>
      <c r="C3" s="11"/>
      <c r="D3" s="131" t="s">
        <v>40</v>
      </c>
      <c r="E3" s="132"/>
      <c r="F3" s="133"/>
      <c r="G3" s="134"/>
      <c r="H3" s="133"/>
      <c r="I3" s="131" t="s">
        <v>41</v>
      </c>
      <c r="J3" s="132"/>
      <c r="K3" s="133"/>
      <c r="L3" s="17"/>
      <c r="M3" s="180" t="s">
        <v>42</v>
      </c>
      <c r="N3" s="133"/>
      <c r="O3" s="13"/>
      <c r="P3" s="221">
        <f>M61</f>
        <v>63589.410000000018</v>
      </c>
      <c r="Q3" s="132"/>
      <c r="R3" s="133"/>
      <c r="S3" s="180" t="s">
        <v>43</v>
      </c>
      <c r="T3" s="133"/>
      <c r="U3" s="213"/>
      <c r="V3" s="133"/>
      <c r="W3" s="18"/>
      <c r="X3" s="5"/>
      <c r="Y3" s="19"/>
    </row>
    <row r="4" spans="2:25" ht="15" customHeight="1">
      <c r="B4" s="20" t="s">
        <v>44</v>
      </c>
      <c r="C4" s="11"/>
      <c r="D4" s="131" t="s">
        <v>45</v>
      </c>
      <c r="E4" s="132"/>
      <c r="F4" s="133"/>
      <c r="G4" s="134" t="s">
        <v>109</v>
      </c>
      <c r="H4" s="133"/>
      <c r="I4" s="131" t="s">
        <v>46</v>
      </c>
      <c r="J4" s="132"/>
      <c r="K4" s="133"/>
      <c r="L4" s="17"/>
      <c r="M4" s="180" t="s">
        <v>47</v>
      </c>
      <c r="N4" s="133"/>
      <c r="O4" s="13"/>
      <c r="P4" s="221">
        <f>P2-P3</f>
        <v>63588.560000000012</v>
      </c>
      <c r="Q4" s="132"/>
      <c r="R4" s="133"/>
      <c r="S4" s="180" t="s">
        <v>48</v>
      </c>
      <c r="T4" s="133"/>
      <c r="U4" s="213"/>
      <c r="V4" s="133"/>
      <c r="W4" s="18"/>
      <c r="X4" s="5"/>
      <c r="Y4" s="19"/>
    </row>
    <row r="5" spans="2:25" ht="15" customHeight="1" thickBot="1">
      <c r="B5" s="20" t="s">
        <v>49</v>
      </c>
      <c r="C5" s="11"/>
      <c r="D5" s="131" t="s">
        <v>50</v>
      </c>
      <c r="E5" s="132"/>
      <c r="F5" s="133"/>
      <c r="G5" s="134" t="s">
        <v>123</v>
      </c>
      <c r="H5" s="133"/>
      <c r="I5" s="131" t="s">
        <v>51</v>
      </c>
      <c r="J5" s="132"/>
      <c r="K5" s="133"/>
      <c r="L5" s="17"/>
      <c r="M5" s="215" t="s">
        <v>52</v>
      </c>
      <c r="N5" s="216"/>
      <c r="O5" s="13"/>
      <c r="P5" s="222">
        <f>IFERROR((P2-P3)/P2,"")</f>
        <v>0.49999665822626355</v>
      </c>
      <c r="Q5" s="223"/>
      <c r="R5" s="216"/>
      <c r="S5" s="180" t="s">
        <v>53</v>
      </c>
      <c r="T5" s="133"/>
      <c r="U5" s="213"/>
      <c r="V5" s="133"/>
      <c r="W5" s="18"/>
      <c r="X5" s="5"/>
      <c r="Y5" s="19"/>
    </row>
    <row r="6" spans="2:25" ht="15" customHeight="1">
      <c r="B6" s="20" t="s">
        <v>54</v>
      </c>
      <c r="C6" s="21"/>
      <c r="D6" s="131" t="s">
        <v>55</v>
      </c>
      <c r="E6" s="132"/>
      <c r="F6" s="133"/>
      <c r="G6" s="134"/>
      <c r="H6" s="133"/>
      <c r="I6" s="131" t="s">
        <v>56</v>
      </c>
      <c r="J6" s="132"/>
      <c r="K6" s="133"/>
      <c r="L6" s="17"/>
      <c r="M6" s="217" t="s">
        <v>57</v>
      </c>
      <c r="N6" s="218"/>
      <c r="O6" s="13"/>
      <c r="P6" s="224">
        <f>T61</f>
        <v>63589.410000000018</v>
      </c>
      <c r="Q6" s="225"/>
      <c r="R6" s="218"/>
      <c r="S6" s="180" t="s">
        <v>58</v>
      </c>
      <c r="T6" s="133"/>
      <c r="U6" s="213"/>
      <c r="V6" s="133"/>
      <c r="W6" s="22"/>
      <c r="X6" s="23"/>
      <c r="Y6" s="24"/>
    </row>
    <row r="7" spans="2:25" ht="15" customHeight="1">
      <c r="B7" s="20" t="s">
        <v>59</v>
      </c>
      <c r="C7" s="11"/>
      <c r="D7" s="131" t="s">
        <v>60</v>
      </c>
      <c r="E7" s="132"/>
      <c r="F7" s="133"/>
      <c r="G7" s="25"/>
      <c r="H7" s="25"/>
      <c r="I7" s="131" t="s">
        <v>61</v>
      </c>
      <c r="J7" s="132"/>
      <c r="K7" s="133"/>
      <c r="L7" s="17"/>
      <c r="M7" s="141" t="s">
        <v>62</v>
      </c>
      <c r="N7" s="133"/>
      <c r="O7" s="13"/>
      <c r="P7" s="179">
        <f>R61</f>
        <v>0</v>
      </c>
      <c r="Q7" s="132"/>
      <c r="R7" s="133"/>
      <c r="S7" s="211" t="s">
        <v>63</v>
      </c>
      <c r="T7" s="212"/>
      <c r="U7" s="214"/>
      <c r="V7" s="212"/>
      <c r="W7" s="22"/>
      <c r="X7" s="26"/>
      <c r="Y7" s="8"/>
    </row>
    <row r="8" spans="2:25" ht="15" customHeight="1">
      <c r="B8" s="27"/>
      <c r="C8" s="28"/>
      <c r="D8" s="131" t="s">
        <v>64</v>
      </c>
      <c r="E8" s="132"/>
      <c r="F8" s="133"/>
      <c r="G8" s="134"/>
      <c r="H8" s="133"/>
      <c r="I8" s="131" t="s">
        <v>65</v>
      </c>
      <c r="J8" s="132"/>
      <c r="K8" s="133"/>
      <c r="L8" s="17"/>
      <c r="M8" s="141" t="s">
        <v>66</v>
      </c>
      <c r="N8" s="133"/>
      <c r="O8" s="13"/>
      <c r="P8" s="179">
        <f>IF(P1=Q15,R15,IF(Q15="CAD $",R15*E16,IF(Q15="USD $",R15*F16,0)))</f>
        <v>0</v>
      </c>
      <c r="Q8" s="132"/>
      <c r="R8" s="133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1" t="s">
        <v>71</v>
      </c>
      <c r="E9" s="132"/>
      <c r="F9" s="133"/>
      <c r="G9" s="134"/>
      <c r="H9" s="133"/>
      <c r="I9" s="35"/>
      <c r="J9" s="36"/>
      <c r="K9" s="36"/>
      <c r="L9" s="37"/>
      <c r="M9" s="141" t="s">
        <v>72</v>
      </c>
      <c r="N9" s="133"/>
      <c r="O9" s="13"/>
      <c r="P9" s="187">
        <f>V15</f>
        <v>0</v>
      </c>
      <c r="Q9" s="132"/>
      <c r="R9" s="133"/>
      <c r="S9" s="188">
        <f>P7+P8+P9</f>
        <v>0</v>
      </c>
      <c r="T9" s="188">
        <f>P3-S9</f>
        <v>63589.410000000018</v>
      </c>
      <c r="U9" s="181">
        <f>IFERROR(((P3-S9)/S9),0)</f>
        <v>0</v>
      </c>
      <c r="V9" s="181">
        <f>IFERROR(T9/P3,0)</f>
        <v>1</v>
      </c>
      <c r="W9" s="184"/>
      <c r="X9" s="33"/>
      <c r="Y9" s="8"/>
    </row>
    <row r="10" spans="2:25" ht="15" customHeight="1">
      <c r="B10" s="34"/>
      <c r="C10" s="28"/>
      <c r="D10" s="131" t="s">
        <v>73</v>
      </c>
      <c r="E10" s="132"/>
      <c r="F10" s="133"/>
      <c r="G10" s="134" t="s">
        <v>108</v>
      </c>
      <c r="H10" s="133"/>
      <c r="I10" s="35"/>
      <c r="J10" s="36"/>
      <c r="K10" s="36"/>
      <c r="L10" s="37"/>
      <c r="M10" s="141"/>
      <c r="N10" s="133"/>
      <c r="O10" s="13"/>
      <c r="P10" s="187"/>
      <c r="Q10" s="132"/>
      <c r="R10" s="133"/>
      <c r="S10" s="182"/>
      <c r="T10" s="182"/>
      <c r="U10" s="182"/>
      <c r="V10" s="182"/>
      <c r="W10" s="185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80" t="s">
        <v>74</v>
      </c>
      <c r="N11" s="133"/>
      <c r="O11" s="13"/>
      <c r="P11" s="189">
        <f>F61</f>
        <v>132</v>
      </c>
      <c r="Q11" s="132"/>
      <c r="R11" s="133"/>
      <c r="S11" s="183"/>
      <c r="T11" s="183"/>
      <c r="U11" s="183"/>
      <c r="V11" s="183"/>
      <c r="W11" s="186"/>
      <c r="X11" s="33"/>
      <c r="Y11" s="8"/>
    </row>
    <row r="12" spans="2:25" ht="15" customHeight="1">
      <c r="B12" s="167"/>
      <c r="C12" s="168"/>
      <c r="D12" s="41"/>
      <c r="E12" s="173" t="s">
        <v>75</v>
      </c>
      <c r="F12" s="174"/>
      <c r="G12" s="176" t="s">
        <v>37</v>
      </c>
      <c r="H12" s="143"/>
      <c r="I12" s="144"/>
      <c r="J12" s="42"/>
      <c r="K12" s="142" t="s">
        <v>76</v>
      </c>
      <c r="L12" s="143"/>
      <c r="M12" s="143"/>
      <c r="N12" s="144"/>
      <c r="O12" s="13"/>
      <c r="P12" s="190" t="s">
        <v>77</v>
      </c>
      <c r="Q12" s="143"/>
      <c r="R12" s="143"/>
      <c r="S12" s="143"/>
      <c r="T12" s="143"/>
      <c r="U12" s="143"/>
      <c r="V12" s="174"/>
      <c r="W12" s="43"/>
      <c r="X12" s="44"/>
      <c r="Y12" s="8" t="s">
        <v>78</v>
      </c>
    </row>
    <row r="13" spans="2:25" ht="15" customHeight="1">
      <c r="B13" s="169"/>
      <c r="C13" s="170"/>
      <c r="D13" s="45"/>
      <c r="E13" s="145"/>
      <c r="F13" s="175"/>
      <c r="G13" s="171"/>
      <c r="H13" s="149"/>
      <c r="I13" s="150"/>
      <c r="J13" s="46"/>
      <c r="K13" s="145"/>
      <c r="L13" s="146"/>
      <c r="M13" s="146"/>
      <c r="N13" s="147"/>
      <c r="O13" s="47"/>
      <c r="P13" s="145"/>
      <c r="Q13" s="146"/>
      <c r="R13" s="146"/>
      <c r="S13" s="146"/>
      <c r="T13" s="146"/>
      <c r="U13" s="146"/>
      <c r="V13" s="175"/>
      <c r="W13" s="48"/>
      <c r="X13" s="44"/>
      <c r="Y13" s="8" t="s">
        <v>79</v>
      </c>
    </row>
    <row r="14" spans="2:25" ht="15" customHeight="1">
      <c r="B14" s="169"/>
      <c r="C14" s="170"/>
      <c r="D14" s="45"/>
      <c r="E14" s="148"/>
      <c r="F14" s="153"/>
      <c r="G14" s="177" t="s">
        <v>80</v>
      </c>
      <c r="H14" s="178"/>
      <c r="I14" s="49" t="s">
        <v>81</v>
      </c>
      <c r="J14" s="50"/>
      <c r="K14" s="148"/>
      <c r="L14" s="149"/>
      <c r="M14" s="149"/>
      <c r="N14" s="150"/>
      <c r="O14" s="47"/>
      <c r="P14" s="191"/>
      <c r="Q14" s="192"/>
      <c r="R14" s="192"/>
      <c r="S14" s="192"/>
      <c r="T14" s="192"/>
      <c r="U14" s="192"/>
      <c r="V14" s="193"/>
      <c r="W14" s="51"/>
      <c r="X14" s="44"/>
      <c r="Y14" s="8" t="s">
        <v>81</v>
      </c>
    </row>
    <row r="15" spans="2:25" ht="30" customHeight="1">
      <c r="B15" s="169"/>
      <c r="C15" s="170"/>
      <c r="D15" s="45"/>
      <c r="E15" s="52" t="s">
        <v>82</v>
      </c>
      <c r="F15" s="53" t="s">
        <v>83</v>
      </c>
      <c r="G15" s="138" t="s">
        <v>84</v>
      </c>
      <c r="H15" s="139"/>
      <c r="I15" s="140"/>
      <c r="J15" s="54"/>
      <c r="K15" s="151" t="s">
        <v>85</v>
      </c>
      <c r="L15" s="152"/>
      <c r="M15" s="15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ROUND(R61*T15,2)</f>
        <v>0</v>
      </c>
      <c r="W15" s="62"/>
      <c r="X15" s="44"/>
      <c r="Y15" s="8" t="s">
        <v>89</v>
      </c>
    </row>
    <row r="16" spans="2:25" ht="15" customHeight="1">
      <c r="B16" s="171"/>
      <c r="C16" s="172"/>
      <c r="D16" s="45"/>
      <c r="E16" s="63">
        <f>1/F16</f>
        <v>0.7246376811594204</v>
      </c>
      <c r="F16" s="64">
        <v>1.38</v>
      </c>
      <c r="G16" s="135"/>
      <c r="H16" s="132"/>
      <c r="I16" s="133"/>
      <c r="J16" s="65"/>
      <c r="K16" s="148"/>
      <c r="L16" s="153"/>
      <c r="M16" s="155"/>
      <c r="N16" s="156" t="s">
        <v>90</v>
      </c>
      <c r="O16" s="56"/>
      <c r="P16" s="194" t="s">
        <v>91</v>
      </c>
      <c r="Q16" s="195"/>
      <c r="R16" s="195"/>
      <c r="S16" s="195"/>
      <c r="T16" s="195"/>
      <c r="U16" s="195"/>
      <c r="V16" s="196"/>
      <c r="W16" s="66"/>
      <c r="X16" s="67"/>
      <c r="Y16" s="8"/>
    </row>
    <row r="17" spans="2:26" ht="15" customHeight="1">
      <c r="B17" s="162" t="s">
        <v>92</v>
      </c>
      <c r="C17" s="163" t="s">
        <v>93</v>
      </c>
      <c r="D17" s="68"/>
      <c r="E17" s="165" t="s">
        <v>94</v>
      </c>
      <c r="F17" s="166" t="s">
        <v>95</v>
      </c>
      <c r="G17" s="136" t="s">
        <v>96</v>
      </c>
      <c r="H17" s="137"/>
      <c r="I17" s="69" t="s">
        <v>97</v>
      </c>
      <c r="J17" s="70"/>
      <c r="K17" s="159" t="s">
        <v>95</v>
      </c>
      <c r="L17" s="71" t="s">
        <v>98</v>
      </c>
      <c r="M17" s="72" t="s">
        <v>99</v>
      </c>
      <c r="N17" s="157"/>
      <c r="O17" s="73"/>
      <c r="P17" s="197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5"/>
      <c r="C18" s="164"/>
      <c r="D18" s="78"/>
      <c r="E18" s="160"/>
      <c r="F18" s="155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60"/>
      <c r="L18" s="161" t="s">
        <v>78</v>
      </c>
      <c r="M18" s="140"/>
      <c r="N18" s="158"/>
      <c r="O18" s="82"/>
      <c r="P18" s="198"/>
      <c r="Q18" s="58" t="s">
        <v>79</v>
      </c>
      <c r="R18" s="199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t="s">
        <v>214</v>
      </c>
      <c r="C19" t="s">
        <v>127</v>
      </c>
      <c r="D19" s="87"/>
      <c r="E19" s="88"/>
      <c r="F19">
        <v>1</v>
      </c>
      <c r="G19" s="226">
        <v>95.68</v>
      </c>
      <c r="H19" s="226">
        <v>69.33</v>
      </c>
      <c r="I19" s="226">
        <v>95.68</v>
      </c>
      <c r="J19" s="92"/>
      <c r="K19">
        <v>1</v>
      </c>
      <c r="L19" s="226">
        <v>47.84</v>
      </c>
      <c r="M19" s="226">
        <v>47.84</v>
      </c>
      <c r="N19" s="93"/>
      <c r="O19" s="94"/>
      <c r="P19" s="86"/>
      <c r="Q19" s="95"/>
      <c r="R19" s="95"/>
      <c r="S19" s="226">
        <v>47.84</v>
      </c>
      <c r="T19" s="226">
        <v>47.84</v>
      </c>
      <c r="U19" s="227">
        <v>0</v>
      </c>
      <c r="V19" s="227">
        <v>1</v>
      </c>
      <c r="W19" s="97"/>
      <c r="X19" s="98"/>
      <c r="Y19" s="8"/>
      <c r="Z19" s="8"/>
    </row>
    <row r="20" spans="2:26">
      <c r="B20" t="s">
        <v>130</v>
      </c>
      <c r="C20" t="s">
        <v>111</v>
      </c>
      <c r="D20" s="87"/>
      <c r="E20" s="101"/>
      <c r="F20">
        <v>1</v>
      </c>
      <c r="G20" s="226">
        <v>51.52</v>
      </c>
      <c r="H20" s="226">
        <v>37.33</v>
      </c>
      <c r="I20" s="226">
        <v>51.52</v>
      </c>
      <c r="J20" s="106"/>
      <c r="K20">
        <v>1</v>
      </c>
      <c r="L20" s="226">
        <v>25.76</v>
      </c>
      <c r="M20" s="226">
        <v>25.76</v>
      </c>
      <c r="N20" s="108"/>
      <c r="O20" s="94"/>
      <c r="P20" s="99"/>
      <c r="Q20" s="103"/>
      <c r="R20" s="109"/>
      <c r="S20" s="226">
        <v>25.76</v>
      </c>
      <c r="T20" s="226">
        <v>25.76</v>
      </c>
      <c r="U20" s="227">
        <v>0</v>
      </c>
      <c r="V20" s="227">
        <v>1</v>
      </c>
      <c r="W20" s="112"/>
      <c r="X20" s="98"/>
      <c r="Y20" s="8"/>
      <c r="Z20" s="8"/>
    </row>
    <row r="21" spans="2:26">
      <c r="B21" t="s">
        <v>114</v>
      </c>
      <c r="C21" t="s">
        <v>133</v>
      </c>
      <c r="D21" s="87"/>
      <c r="E21" s="88"/>
      <c r="F21">
        <v>1</v>
      </c>
      <c r="G21" s="226">
        <v>85.6</v>
      </c>
      <c r="H21" s="226">
        <v>62.03</v>
      </c>
      <c r="I21" s="226">
        <v>85.6</v>
      </c>
      <c r="J21" s="106"/>
      <c r="K21">
        <v>1</v>
      </c>
      <c r="L21" s="226">
        <v>42.8</v>
      </c>
      <c r="M21" s="226">
        <v>42.8</v>
      </c>
      <c r="N21" s="115"/>
      <c r="O21" s="94"/>
      <c r="P21" s="116"/>
      <c r="Q21" s="95"/>
      <c r="R21" s="95"/>
      <c r="S21" s="226">
        <v>42.8</v>
      </c>
      <c r="T21" s="226">
        <v>42.8</v>
      </c>
      <c r="U21" s="227">
        <v>0</v>
      </c>
      <c r="V21" s="227">
        <v>1</v>
      </c>
      <c r="W21" s="97"/>
      <c r="X21" s="98"/>
      <c r="Y21" s="8"/>
      <c r="Z21" s="8"/>
    </row>
    <row r="22" spans="2:26" ht="15.75" customHeight="1">
      <c r="B22" t="s">
        <v>215</v>
      </c>
      <c r="C22" t="s">
        <v>135</v>
      </c>
      <c r="D22" s="87"/>
      <c r="E22" s="101"/>
      <c r="F22">
        <v>1</v>
      </c>
      <c r="G22" s="226">
        <v>255.48</v>
      </c>
      <c r="H22" s="226">
        <v>185.13</v>
      </c>
      <c r="I22" s="226">
        <v>255.48</v>
      </c>
      <c r="J22" s="106"/>
      <c r="K22">
        <v>1</v>
      </c>
      <c r="L22" s="226">
        <v>127.74</v>
      </c>
      <c r="M22" s="226">
        <v>127.74</v>
      </c>
      <c r="N22" s="108"/>
      <c r="O22" s="94"/>
      <c r="P22" s="99"/>
      <c r="Q22" s="103"/>
      <c r="R22" s="109"/>
      <c r="S22" s="226">
        <v>127.74</v>
      </c>
      <c r="T22" s="226">
        <v>127.74</v>
      </c>
      <c r="U22" s="227">
        <v>0</v>
      </c>
      <c r="V22" s="227">
        <v>1</v>
      </c>
      <c r="W22" s="112"/>
      <c r="X22" s="98"/>
      <c r="Y22" s="8"/>
      <c r="Z22" s="8"/>
    </row>
    <row r="23" spans="2:26" ht="15.75" customHeight="1">
      <c r="B23" t="s">
        <v>216</v>
      </c>
      <c r="C23" t="s">
        <v>137</v>
      </c>
      <c r="D23" s="87"/>
      <c r="E23" s="88"/>
      <c r="F23">
        <v>1</v>
      </c>
      <c r="G23" s="226">
        <v>171.55</v>
      </c>
      <c r="H23" s="226">
        <v>124.31</v>
      </c>
      <c r="I23" s="226">
        <v>171.55</v>
      </c>
      <c r="J23" s="106"/>
      <c r="K23">
        <v>1</v>
      </c>
      <c r="L23" s="226">
        <v>85.78</v>
      </c>
      <c r="M23" s="226">
        <v>85.78</v>
      </c>
      <c r="N23" s="115"/>
      <c r="O23" s="94"/>
      <c r="P23" s="116"/>
      <c r="Q23" s="95"/>
      <c r="R23" s="95"/>
      <c r="S23" s="226">
        <v>85.78</v>
      </c>
      <c r="T23" s="226">
        <v>85.78</v>
      </c>
      <c r="U23" s="227">
        <v>0</v>
      </c>
      <c r="V23" s="227">
        <v>1</v>
      </c>
      <c r="W23" s="97"/>
      <c r="X23" s="98"/>
      <c r="Y23" s="8"/>
      <c r="Z23" s="8"/>
    </row>
    <row r="24" spans="2:26" ht="15.75" customHeight="1">
      <c r="B24" t="s">
        <v>217</v>
      </c>
      <c r="C24" t="s">
        <v>113</v>
      </c>
      <c r="D24" s="87"/>
      <c r="E24" s="101"/>
      <c r="F24">
        <v>1</v>
      </c>
      <c r="G24" s="226">
        <v>167.02</v>
      </c>
      <c r="H24" s="226">
        <v>121.03</v>
      </c>
      <c r="I24" s="226">
        <v>167.02</v>
      </c>
      <c r="J24" s="106"/>
      <c r="K24">
        <v>1</v>
      </c>
      <c r="L24" s="226">
        <v>83.51</v>
      </c>
      <c r="M24" s="226">
        <v>83.51</v>
      </c>
      <c r="N24" s="108"/>
      <c r="O24" s="94"/>
      <c r="P24" s="99"/>
      <c r="Q24" s="103"/>
      <c r="R24" s="109"/>
      <c r="S24" s="226">
        <v>83.51</v>
      </c>
      <c r="T24" s="226">
        <v>83.51</v>
      </c>
      <c r="U24" s="227">
        <v>0</v>
      </c>
      <c r="V24" s="227">
        <v>1</v>
      </c>
      <c r="W24" s="112"/>
      <c r="X24" s="98"/>
      <c r="Y24" s="8"/>
      <c r="Z24" s="8"/>
    </row>
    <row r="25" spans="2:26" ht="15.75" customHeight="1">
      <c r="B25" t="s">
        <v>218</v>
      </c>
      <c r="C25" t="s">
        <v>140</v>
      </c>
      <c r="D25" s="87"/>
      <c r="E25" s="88"/>
      <c r="F25">
        <v>1</v>
      </c>
      <c r="G25" s="226">
        <v>109.74</v>
      </c>
      <c r="H25" s="226">
        <v>79.52</v>
      </c>
      <c r="I25" s="226">
        <v>109.74</v>
      </c>
      <c r="J25" s="106"/>
      <c r="K25">
        <v>1</v>
      </c>
      <c r="L25" s="226">
        <v>54.87</v>
      </c>
      <c r="M25" s="226">
        <v>54.87</v>
      </c>
      <c r="N25" s="115"/>
      <c r="O25" s="94"/>
      <c r="P25" s="116"/>
      <c r="Q25" s="95"/>
      <c r="R25" s="95"/>
      <c r="S25" s="226">
        <v>54.87</v>
      </c>
      <c r="T25" s="226">
        <v>54.87</v>
      </c>
      <c r="U25" s="227">
        <v>0</v>
      </c>
      <c r="V25" s="227">
        <v>1</v>
      </c>
      <c r="W25" s="97"/>
      <c r="X25" s="98"/>
      <c r="Y25" s="8"/>
      <c r="Z25" s="8"/>
    </row>
    <row r="26" spans="2:26" ht="15.75" customHeight="1">
      <c r="B26" t="s">
        <v>219</v>
      </c>
      <c r="C26" t="s">
        <v>142</v>
      </c>
      <c r="D26" s="87"/>
      <c r="E26" s="101"/>
      <c r="F26">
        <v>1</v>
      </c>
      <c r="G26" s="226">
        <v>77.400000000000006</v>
      </c>
      <c r="H26" s="226">
        <v>56.09</v>
      </c>
      <c r="I26" s="226">
        <v>77.400000000000006</v>
      </c>
      <c r="J26" s="106"/>
      <c r="K26">
        <v>1</v>
      </c>
      <c r="L26" s="226">
        <v>38.700000000000003</v>
      </c>
      <c r="M26" s="226">
        <v>38.700000000000003</v>
      </c>
      <c r="N26" s="108"/>
      <c r="O26" s="94"/>
      <c r="P26" s="99"/>
      <c r="Q26" s="103"/>
      <c r="R26" s="109"/>
      <c r="S26" s="226">
        <v>38.700000000000003</v>
      </c>
      <c r="T26" s="226">
        <v>38.700000000000003</v>
      </c>
      <c r="U26" s="227">
        <v>0</v>
      </c>
      <c r="V26" s="227">
        <v>1</v>
      </c>
      <c r="W26" s="112"/>
      <c r="X26" s="98"/>
      <c r="Y26" s="8"/>
      <c r="Z26" s="8"/>
    </row>
    <row r="27" spans="2:26" ht="15.75" customHeight="1">
      <c r="B27" t="s">
        <v>220</v>
      </c>
      <c r="C27" t="s">
        <v>221</v>
      </c>
      <c r="D27" s="87"/>
      <c r="E27" s="88"/>
      <c r="F27">
        <v>2</v>
      </c>
      <c r="G27" s="226">
        <v>726.37</v>
      </c>
      <c r="H27" s="226">
        <v>526.36</v>
      </c>
      <c r="I27" s="226">
        <v>1452.74</v>
      </c>
      <c r="J27" s="106"/>
      <c r="K27">
        <v>2</v>
      </c>
      <c r="L27" s="226">
        <v>363.19</v>
      </c>
      <c r="M27" s="226">
        <v>726.38</v>
      </c>
      <c r="N27" s="115"/>
      <c r="O27" s="94"/>
      <c r="P27" s="116"/>
      <c r="Q27" s="95"/>
      <c r="R27" s="95"/>
      <c r="S27" s="226">
        <v>363.19</v>
      </c>
      <c r="T27" s="226">
        <v>726.38</v>
      </c>
      <c r="U27" s="227">
        <v>0</v>
      </c>
      <c r="V27" s="227">
        <v>1</v>
      </c>
      <c r="W27" s="97"/>
      <c r="X27" s="98"/>
      <c r="Y27" s="8"/>
      <c r="Z27" s="8"/>
    </row>
    <row r="28" spans="2:26" ht="15.75" customHeight="1">
      <c r="B28" t="s">
        <v>222</v>
      </c>
      <c r="C28" t="s">
        <v>223</v>
      </c>
      <c r="D28" s="87"/>
      <c r="E28" s="101"/>
      <c r="F28">
        <v>1</v>
      </c>
      <c r="G28" s="226">
        <v>10386.33</v>
      </c>
      <c r="H28" s="226">
        <v>7526.33</v>
      </c>
      <c r="I28" s="226">
        <v>10386.33</v>
      </c>
      <c r="J28" s="106"/>
      <c r="K28">
        <v>1</v>
      </c>
      <c r="L28" s="226">
        <v>5193.17</v>
      </c>
      <c r="M28" s="226">
        <v>5193.17</v>
      </c>
      <c r="N28" s="108"/>
      <c r="O28" s="94"/>
      <c r="P28" s="99"/>
      <c r="Q28" s="103"/>
      <c r="R28" s="109"/>
      <c r="S28" s="226">
        <v>5193.17</v>
      </c>
      <c r="T28" s="226">
        <v>5193.17</v>
      </c>
      <c r="U28" s="227">
        <v>0</v>
      </c>
      <c r="V28" s="227">
        <v>1</v>
      </c>
      <c r="W28" s="112"/>
      <c r="X28" s="98"/>
      <c r="Y28" s="8"/>
      <c r="Z28" s="117"/>
    </row>
    <row r="29" spans="2:26" ht="15.75" customHeight="1">
      <c r="B29" t="s">
        <v>224</v>
      </c>
      <c r="C29" t="s">
        <v>116</v>
      </c>
      <c r="D29" s="87"/>
      <c r="E29" s="88"/>
      <c r="F29">
        <v>1</v>
      </c>
      <c r="G29" s="226">
        <v>4483.87</v>
      </c>
      <c r="H29" s="226">
        <v>3249.18</v>
      </c>
      <c r="I29" s="226">
        <v>4483.87</v>
      </c>
      <c r="J29" s="106"/>
      <c r="K29">
        <v>1</v>
      </c>
      <c r="L29" s="226">
        <v>2241.94</v>
      </c>
      <c r="M29" s="226">
        <v>2241.94</v>
      </c>
      <c r="N29" s="115"/>
      <c r="O29" s="94"/>
      <c r="P29" s="116"/>
      <c r="Q29" s="95"/>
      <c r="R29" s="95"/>
      <c r="S29" s="226">
        <v>2241.94</v>
      </c>
      <c r="T29" s="226">
        <v>2241.94</v>
      </c>
      <c r="U29" s="227">
        <v>0</v>
      </c>
      <c r="V29" s="227">
        <v>1</v>
      </c>
      <c r="W29" s="97"/>
      <c r="X29" s="98"/>
      <c r="Y29" s="8"/>
      <c r="Z29" s="8"/>
    </row>
    <row r="30" spans="2:26" ht="15.75" customHeight="1">
      <c r="B30" t="s">
        <v>225</v>
      </c>
      <c r="C30" t="s">
        <v>117</v>
      </c>
      <c r="D30" s="87"/>
      <c r="E30" s="101"/>
      <c r="F30">
        <v>1</v>
      </c>
      <c r="G30" s="226">
        <v>16109.08</v>
      </c>
      <c r="H30" s="226">
        <v>11673.25</v>
      </c>
      <c r="I30" s="226">
        <v>16109.08</v>
      </c>
      <c r="J30" s="106"/>
      <c r="K30">
        <v>1</v>
      </c>
      <c r="L30" s="226">
        <v>8054.54</v>
      </c>
      <c r="M30" s="226">
        <v>8054.54</v>
      </c>
      <c r="N30" s="108"/>
      <c r="O30" s="94"/>
      <c r="P30" s="99"/>
      <c r="Q30" s="103"/>
      <c r="R30" s="109"/>
      <c r="S30" s="226">
        <v>8054.54</v>
      </c>
      <c r="T30" s="226">
        <v>8054.54</v>
      </c>
      <c r="U30" s="227">
        <v>0</v>
      </c>
      <c r="V30" s="227">
        <v>1</v>
      </c>
      <c r="W30" s="112"/>
      <c r="X30" s="98"/>
      <c r="Y30" s="8"/>
      <c r="Z30" s="8"/>
    </row>
    <row r="31" spans="2:26" ht="15.75" customHeight="1">
      <c r="B31" t="s">
        <v>226</v>
      </c>
      <c r="C31" t="s">
        <v>209</v>
      </c>
      <c r="D31" s="87"/>
      <c r="E31" s="88"/>
      <c r="F31">
        <v>1</v>
      </c>
      <c r="G31" s="226">
        <v>13237.86</v>
      </c>
      <c r="H31" s="226">
        <v>9592.65</v>
      </c>
      <c r="I31" s="226">
        <v>13237.86</v>
      </c>
      <c r="J31" s="106"/>
      <c r="K31">
        <v>1</v>
      </c>
      <c r="L31" s="226">
        <v>6618.93</v>
      </c>
      <c r="M31" s="226">
        <v>6618.93</v>
      </c>
      <c r="N31" s="115"/>
      <c r="O31" s="94"/>
      <c r="P31" s="116"/>
      <c r="Q31" s="95"/>
      <c r="R31" s="95"/>
      <c r="S31" s="226">
        <v>6618.93</v>
      </c>
      <c r="T31" s="226">
        <v>6618.93</v>
      </c>
      <c r="U31" s="227">
        <v>0</v>
      </c>
      <c r="V31" s="227">
        <v>1</v>
      </c>
      <c r="W31" s="97"/>
      <c r="X31" s="98"/>
      <c r="Y31" s="8"/>
      <c r="Z31" s="8"/>
    </row>
    <row r="32" spans="2:26" ht="15.75" customHeight="1">
      <c r="B32" t="s">
        <v>227</v>
      </c>
      <c r="C32" t="s">
        <v>115</v>
      </c>
      <c r="D32" s="87"/>
      <c r="E32" s="101"/>
      <c r="F32">
        <v>1</v>
      </c>
      <c r="G32" s="226">
        <v>6920.52</v>
      </c>
      <c r="H32" s="226">
        <v>5014.87</v>
      </c>
      <c r="I32" s="226">
        <v>6920.52</v>
      </c>
      <c r="J32" s="106"/>
      <c r="K32">
        <v>1</v>
      </c>
      <c r="L32" s="226">
        <v>3460.26</v>
      </c>
      <c r="M32" s="226">
        <v>3460.26</v>
      </c>
      <c r="N32" s="108"/>
      <c r="O32" s="94"/>
      <c r="P32" s="99"/>
      <c r="Q32" s="103"/>
      <c r="R32" s="109"/>
      <c r="S32" s="226">
        <v>3460.26</v>
      </c>
      <c r="T32" s="226">
        <v>3460.26</v>
      </c>
      <c r="U32" s="227">
        <v>0</v>
      </c>
      <c r="V32" s="227">
        <v>1</v>
      </c>
      <c r="W32" s="112"/>
      <c r="X32" s="98"/>
      <c r="Y32" s="8"/>
      <c r="Z32" s="8"/>
    </row>
    <row r="33" spans="2:23" ht="15.75" customHeight="1">
      <c r="B33" t="s">
        <v>228</v>
      </c>
      <c r="C33" t="s">
        <v>229</v>
      </c>
      <c r="D33" s="87"/>
      <c r="E33" s="88"/>
      <c r="F33">
        <v>1</v>
      </c>
      <c r="G33" s="226">
        <v>19075.97</v>
      </c>
      <c r="H33" s="226">
        <v>13823.17</v>
      </c>
      <c r="I33" s="226">
        <v>19075.97</v>
      </c>
      <c r="J33" s="106"/>
      <c r="K33">
        <v>1</v>
      </c>
      <c r="L33" s="226">
        <v>9537.99</v>
      </c>
      <c r="M33" s="226">
        <v>9537.99</v>
      </c>
      <c r="N33" s="115"/>
      <c r="O33" s="94"/>
      <c r="P33" s="116"/>
      <c r="Q33" s="95"/>
      <c r="R33" s="95"/>
      <c r="S33" s="226">
        <v>9537.99</v>
      </c>
      <c r="T33" s="226">
        <v>9537.99</v>
      </c>
      <c r="U33" s="227">
        <v>0</v>
      </c>
      <c r="V33" s="227">
        <v>1</v>
      </c>
      <c r="W33" s="97"/>
    </row>
    <row r="34" spans="2:23" ht="15.75" customHeight="1">
      <c r="B34" t="s">
        <v>230</v>
      </c>
      <c r="C34" t="s">
        <v>231</v>
      </c>
      <c r="D34" s="87"/>
      <c r="E34" s="101"/>
      <c r="F34">
        <v>2</v>
      </c>
      <c r="G34" s="226">
        <v>15107.68</v>
      </c>
      <c r="H34" s="226">
        <v>10947.59</v>
      </c>
      <c r="I34" s="226">
        <v>30215.360000000001</v>
      </c>
      <c r="J34" s="106"/>
      <c r="K34">
        <v>2</v>
      </c>
      <c r="L34" s="226">
        <v>7553.84</v>
      </c>
      <c r="M34" s="226">
        <v>15107.68</v>
      </c>
      <c r="N34" s="108"/>
      <c r="O34" s="94"/>
      <c r="P34" s="99"/>
      <c r="Q34" s="103"/>
      <c r="R34" s="109"/>
      <c r="S34" s="226">
        <v>7553.84</v>
      </c>
      <c r="T34" s="226">
        <v>15107.68</v>
      </c>
      <c r="U34" s="227">
        <v>0</v>
      </c>
      <c r="V34" s="227">
        <v>1</v>
      </c>
      <c r="W34" s="112"/>
    </row>
    <row r="35" spans="2:23" ht="15.75" customHeight="1">
      <c r="B35" t="s">
        <v>232</v>
      </c>
      <c r="C35" t="s">
        <v>233</v>
      </c>
      <c r="D35" s="87"/>
      <c r="E35" s="88"/>
      <c r="F35">
        <v>34</v>
      </c>
      <c r="G35" s="226">
        <v>5.66</v>
      </c>
      <c r="H35" s="226">
        <v>4.0999999999999996</v>
      </c>
      <c r="I35" s="226">
        <v>192.44</v>
      </c>
      <c r="J35" s="106"/>
      <c r="K35">
        <v>34</v>
      </c>
      <c r="L35" s="226">
        <v>2.83</v>
      </c>
      <c r="M35" s="226">
        <v>96.22</v>
      </c>
      <c r="N35" s="115"/>
      <c r="O35" s="94"/>
      <c r="P35" s="116"/>
      <c r="Q35" s="95"/>
      <c r="R35" s="95"/>
      <c r="S35" s="226">
        <v>2.83</v>
      </c>
      <c r="T35" s="226">
        <v>96.22</v>
      </c>
      <c r="U35" s="227">
        <v>0</v>
      </c>
      <c r="V35" s="227">
        <v>1</v>
      </c>
      <c r="W35" s="97"/>
    </row>
    <row r="36" spans="2:23" ht="15.75" customHeight="1">
      <c r="B36" t="s">
        <v>234</v>
      </c>
      <c r="C36" t="s">
        <v>235</v>
      </c>
      <c r="D36" s="87"/>
      <c r="E36" s="88"/>
      <c r="F36">
        <v>34</v>
      </c>
      <c r="G36" s="226">
        <v>3.65</v>
      </c>
      <c r="H36" s="226">
        <v>2.64</v>
      </c>
      <c r="I36" s="226">
        <v>124.1</v>
      </c>
      <c r="J36" s="106"/>
      <c r="K36">
        <v>34</v>
      </c>
      <c r="L36" s="226">
        <v>1.83</v>
      </c>
      <c r="M36" s="226">
        <v>62.22</v>
      </c>
      <c r="N36" s="115"/>
      <c r="O36" s="94"/>
      <c r="P36" s="116"/>
      <c r="Q36" s="95"/>
      <c r="R36" s="95"/>
      <c r="S36" s="226">
        <v>1.83</v>
      </c>
      <c r="T36" s="226">
        <v>62.22</v>
      </c>
      <c r="U36" s="227">
        <v>0</v>
      </c>
      <c r="V36" s="227">
        <v>1</v>
      </c>
      <c r="W36" s="112"/>
    </row>
    <row r="37" spans="2:23" ht="15.75" customHeight="1">
      <c r="B37" s="228" t="s">
        <v>236</v>
      </c>
      <c r="C37" t="s">
        <v>237</v>
      </c>
      <c r="D37" s="87"/>
      <c r="E37" s="101"/>
      <c r="F37">
        <v>2</v>
      </c>
      <c r="G37" s="226">
        <v>220.93</v>
      </c>
      <c r="H37" s="226">
        <v>160.09</v>
      </c>
      <c r="I37" s="226">
        <v>441.86</v>
      </c>
      <c r="J37" s="106"/>
      <c r="K37">
        <v>2</v>
      </c>
      <c r="L37" s="226">
        <v>110.47</v>
      </c>
      <c r="M37" s="226">
        <v>220.94</v>
      </c>
      <c r="N37" s="108"/>
      <c r="O37" s="94"/>
      <c r="P37" s="99"/>
      <c r="Q37" s="103"/>
      <c r="R37" s="109"/>
      <c r="S37" s="226">
        <v>110.47</v>
      </c>
      <c r="T37" s="226">
        <v>220.94</v>
      </c>
      <c r="U37" s="227">
        <v>0</v>
      </c>
      <c r="V37" s="227">
        <v>1</v>
      </c>
      <c r="W37" s="112"/>
    </row>
    <row r="38" spans="2:23" ht="15.75" customHeight="1">
      <c r="B38" t="s">
        <v>238</v>
      </c>
      <c r="C38" t="s">
        <v>239</v>
      </c>
      <c r="D38" s="87"/>
      <c r="E38" s="88"/>
      <c r="F38">
        <v>10</v>
      </c>
      <c r="G38" s="226">
        <v>4.51</v>
      </c>
      <c r="H38" s="226">
        <v>3.27</v>
      </c>
      <c r="I38" s="226">
        <v>45.1</v>
      </c>
      <c r="J38" s="106"/>
      <c r="K38">
        <v>10</v>
      </c>
      <c r="L38" s="226">
        <v>2.2599999999999998</v>
      </c>
      <c r="M38" s="226">
        <v>22.6</v>
      </c>
      <c r="N38" s="115"/>
      <c r="O38" s="94"/>
      <c r="P38" s="116"/>
      <c r="Q38" s="95"/>
      <c r="R38" s="95"/>
      <c r="S38" s="226">
        <v>2.2599999999999998</v>
      </c>
      <c r="T38" s="226">
        <v>22.6</v>
      </c>
      <c r="U38" s="227">
        <v>0</v>
      </c>
      <c r="V38" s="227">
        <v>1</v>
      </c>
      <c r="W38" s="112"/>
    </row>
    <row r="39" spans="2:23" ht="15.75" customHeight="1">
      <c r="B39" t="s">
        <v>234</v>
      </c>
      <c r="C39" t="s">
        <v>240</v>
      </c>
      <c r="D39" s="87"/>
      <c r="E39" s="101"/>
      <c r="F39">
        <v>10</v>
      </c>
      <c r="G39" s="226">
        <v>3.65</v>
      </c>
      <c r="H39" s="226">
        <v>2.64</v>
      </c>
      <c r="I39" s="226">
        <v>36.5</v>
      </c>
      <c r="J39" s="106"/>
      <c r="K39">
        <v>10</v>
      </c>
      <c r="L39" s="226">
        <v>1.83</v>
      </c>
      <c r="M39" s="226">
        <v>18.3</v>
      </c>
      <c r="N39" s="108"/>
      <c r="O39" s="94"/>
      <c r="P39" s="99"/>
      <c r="Q39" s="103"/>
      <c r="R39" s="109"/>
      <c r="S39" s="226">
        <v>1.83</v>
      </c>
      <c r="T39" s="226">
        <v>18.3</v>
      </c>
      <c r="U39" s="227">
        <v>0</v>
      </c>
      <c r="V39" s="227">
        <v>1</v>
      </c>
      <c r="W39" s="112"/>
    </row>
    <row r="40" spans="2:23" ht="15.75" customHeight="1">
      <c r="B40" t="s">
        <v>241</v>
      </c>
      <c r="C40" t="s">
        <v>177</v>
      </c>
      <c r="D40" s="87"/>
      <c r="E40" s="88"/>
      <c r="F40">
        <v>3</v>
      </c>
      <c r="G40" s="226">
        <v>209.93</v>
      </c>
      <c r="H40" s="226">
        <v>152.12</v>
      </c>
      <c r="I40" s="226">
        <v>629.79</v>
      </c>
      <c r="J40" s="106"/>
      <c r="K40">
        <v>3</v>
      </c>
      <c r="L40" s="226">
        <v>104.97</v>
      </c>
      <c r="M40" s="226">
        <v>314.91000000000003</v>
      </c>
      <c r="N40" s="115"/>
      <c r="O40" s="94"/>
      <c r="P40" s="116"/>
      <c r="Q40" s="95"/>
      <c r="R40" s="95"/>
      <c r="S40" s="226">
        <v>104.97</v>
      </c>
      <c r="T40" s="226">
        <v>314.91000000000003</v>
      </c>
      <c r="U40" s="227">
        <v>0</v>
      </c>
      <c r="V40" s="227">
        <v>1</v>
      </c>
      <c r="W40" s="112"/>
    </row>
    <row r="41" spans="2:23" ht="15.75" customHeight="1">
      <c r="B41" t="s">
        <v>242</v>
      </c>
      <c r="C41" t="s">
        <v>243</v>
      </c>
      <c r="D41" s="87"/>
      <c r="E41" s="101"/>
      <c r="F41">
        <v>1</v>
      </c>
      <c r="G41" s="226">
        <v>9436.24</v>
      </c>
      <c r="H41" s="226">
        <v>6837.86</v>
      </c>
      <c r="I41" s="226">
        <v>9436.24</v>
      </c>
      <c r="J41" s="106"/>
      <c r="K41">
        <v>1</v>
      </c>
      <c r="L41" s="226">
        <v>4718.12</v>
      </c>
      <c r="M41" s="226">
        <v>4718.12</v>
      </c>
      <c r="N41" s="108"/>
      <c r="O41" s="94"/>
      <c r="P41" s="99"/>
      <c r="Q41" s="103"/>
      <c r="R41" s="109"/>
      <c r="S41" s="226">
        <v>4718.12</v>
      </c>
      <c r="T41" s="226">
        <v>4718.12</v>
      </c>
      <c r="U41" s="227">
        <v>0</v>
      </c>
      <c r="V41" s="227">
        <v>1</v>
      </c>
      <c r="W41" s="112"/>
    </row>
    <row r="42" spans="2:23" ht="15.75" customHeight="1">
      <c r="B42" t="s">
        <v>244</v>
      </c>
      <c r="C42" t="s">
        <v>189</v>
      </c>
      <c r="D42" s="87"/>
      <c r="E42" s="88"/>
      <c r="F42">
        <v>3</v>
      </c>
      <c r="G42" s="226">
        <v>1135.71</v>
      </c>
      <c r="H42" s="226">
        <v>822.98</v>
      </c>
      <c r="I42" s="226">
        <v>3407.13</v>
      </c>
      <c r="J42" s="106"/>
      <c r="K42">
        <v>3</v>
      </c>
      <c r="L42" s="226">
        <v>567.86</v>
      </c>
      <c r="M42" s="226">
        <v>1703.58</v>
      </c>
      <c r="N42" s="115"/>
      <c r="O42" s="94"/>
      <c r="P42" s="116"/>
      <c r="Q42" s="95"/>
      <c r="R42" s="95"/>
      <c r="S42" s="226">
        <v>567.86</v>
      </c>
      <c r="T42" s="226">
        <v>1703.58</v>
      </c>
      <c r="U42" s="227">
        <v>0</v>
      </c>
      <c r="V42" s="227">
        <v>1</v>
      </c>
      <c r="W42" s="112"/>
    </row>
    <row r="43" spans="2:23" ht="15.75" customHeight="1">
      <c r="B43" t="s">
        <v>245</v>
      </c>
      <c r="C43" t="s">
        <v>191</v>
      </c>
      <c r="D43" s="87"/>
      <c r="E43" s="101"/>
      <c r="F43">
        <v>3</v>
      </c>
      <c r="G43" s="226">
        <v>144.57</v>
      </c>
      <c r="H43" s="226">
        <v>104.76</v>
      </c>
      <c r="I43" s="226">
        <v>433.71</v>
      </c>
      <c r="J43" s="106"/>
      <c r="K43">
        <v>3</v>
      </c>
      <c r="L43" s="226">
        <v>72.290000000000006</v>
      </c>
      <c r="M43" s="226">
        <v>216.87</v>
      </c>
      <c r="N43" s="108"/>
      <c r="O43" s="94"/>
      <c r="P43" s="99"/>
      <c r="Q43" s="103"/>
      <c r="R43" s="109"/>
      <c r="S43" s="226">
        <v>72.290000000000006</v>
      </c>
      <c r="T43" s="226">
        <v>216.87</v>
      </c>
      <c r="U43" s="227">
        <v>0</v>
      </c>
      <c r="V43" s="227">
        <v>1</v>
      </c>
      <c r="W43" s="112"/>
    </row>
    <row r="44" spans="2:23" ht="15.75" customHeight="1">
      <c r="B44" t="s">
        <v>246</v>
      </c>
      <c r="C44" t="s">
        <v>247</v>
      </c>
      <c r="D44" s="87"/>
      <c r="E44" s="88"/>
      <c r="F44">
        <v>3</v>
      </c>
      <c r="G44" s="226">
        <v>7.67</v>
      </c>
      <c r="H44" s="226">
        <v>5.56</v>
      </c>
      <c r="I44" s="226">
        <v>23.01</v>
      </c>
      <c r="J44" s="106"/>
      <c r="K44">
        <v>3</v>
      </c>
      <c r="L44" s="226">
        <v>3.84</v>
      </c>
      <c r="M44" s="226">
        <v>11.52</v>
      </c>
      <c r="N44" s="115"/>
      <c r="O44" s="94"/>
      <c r="P44" s="116"/>
      <c r="Q44" s="95"/>
      <c r="R44" s="95"/>
      <c r="S44" s="226">
        <v>3.84</v>
      </c>
      <c r="T44" s="226">
        <v>11.52</v>
      </c>
      <c r="U44" s="227">
        <v>0</v>
      </c>
      <c r="V44" s="227">
        <v>1</v>
      </c>
      <c r="W44" s="112"/>
    </row>
    <row r="45" spans="2:23" ht="15.75" customHeight="1">
      <c r="B45" t="s">
        <v>248</v>
      </c>
      <c r="C45" t="s">
        <v>193</v>
      </c>
      <c r="D45" s="87"/>
      <c r="E45" s="101"/>
      <c r="F45">
        <v>3</v>
      </c>
      <c r="G45" s="226">
        <v>127.19</v>
      </c>
      <c r="H45" s="226">
        <v>92.17</v>
      </c>
      <c r="I45" s="226">
        <v>381.57</v>
      </c>
      <c r="J45" s="106"/>
      <c r="K45">
        <v>3</v>
      </c>
      <c r="L45" s="226">
        <v>63.6</v>
      </c>
      <c r="M45" s="226">
        <v>190.8</v>
      </c>
      <c r="N45" s="108"/>
      <c r="O45" s="94"/>
      <c r="P45" s="99"/>
      <c r="Q45" s="103"/>
      <c r="R45" s="109"/>
      <c r="S45" s="226">
        <v>63.6</v>
      </c>
      <c r="T45" s="226">
        <v>190.8</v>
      </c>
      <c r="U45" s="227">
        <v>0</v>
      </c>
      <c r="V45" s="227">
        <v>1</v>
      </c>
      <c r="W45" s="112"/>
    </row>
    <row r="46" spans="2:23" ht="15.75" customHeight="1">
      <c r="B46" t="s">
        <v>194</v>
      </c>
      <c r="C46" t="s">
        <v>249</v>
      </c>
      <c r="D46" s="87"/>
      <c r="E46" s="88"/>
      <c r="F46">
        <v>3</v>
      </c>
      <c r="G46" s="226">
        <v>22.39</v>
      </c>
      <c r="H46" s="226">
        <v>16.22</v>
      </c>
      <c r="I46" s="226">
        <v>67.17</v>
      </c>
      <c r="J46" s="106"/>
      <c r="K46">
        <v>3</v>
      </c>
      <c r="L46" s="226">
        <v>11.2</v>
      </c>
      <c r="M46" s="226">
        <v>33.6</v>
      </c>
      <c r="N46" s="115"/>
      <c r="O46" s="94"/>
      <c r="P46" s="116"/>
      <c r="Q46" s="95"/>
      <c r="R46" s="95"/>
      <c r="S46" s="226">
        <v>11.2</v>
      </c>
      <c r="T46" s="226">
        <v>33.6</v>
      </c>
      <c r="U46" s="227">
        <v>0</v>
      </c>
      <c r="V46" s="227">
        <v>1</v>
      </c>
      <c r="W46" s="112"/>
    </row>
    <row r="47" spans="2:23" ht="15.75" customHeight="1">
      <c r="B47" t="s">
        <v>250</v>
      </c>
      <c r="C47" t="s">
        <v>193</v>
      </c>
      <c r="D47" s="87"/>
      <c r="E47" s="101"/>
      <c r="F47">
        <v>3</v>
      </c>
      <c r="G47" s="226">
        <v>10.35</v>
      </c>
      <c r="H47" s="226">
        <v>7.5</v>
      </c>
      <c r="I47" s="226">
        <v>31.05</v>
      </c>
      <c r="J47" s="106"/>
      <c r="K47">
        <v>3</v>
      </c>
      <c r="L47" s="226">
        <v>5.18</v>
      </c>
      <c r="M47" s="226">
        <v>15.54</v>
      </c>
      <c r="N47" s="108"/>
      <c r="O47" s="94"/>
      <c r="P47" s="99"/>
      <c r="Q47" s="103"/>
      <c r="R47" s="109"/>
      <c r="S47" s="226">
        <v>5.18</v>
      </c>
      <c r="T47" s="226">
        <v>15.54</v>
      </c>
      <c r="U47" s="227">
        <v>0</v>
      </c>
      <c r="V47" s="227">
        <v>1</v>
      </c>
      <c r="W47" s="112"/>
    </row>
    <row r="48" spans="2:23" ht="15.75" customHeight="1">
      <c r="B48" t="s">
        <v>251</v>
      </c>
      <c r="C48" t="s">
        <v>252</v>
      </c>
      <c r="D48" s="87"/>
      <c r="E48" s="88"/>
      <c r="F48">
        <v>1</v>
      </c>
      <c r="G48" s="226">
        <v>5668.45</v>
      </c>
      <c r="H48" s="226">
        <v>4107.57</v>
      </c>
      <c r="I48" s="226">
        <v>5668.45</v>
      </c>
      <c r="J48" s="106"/>
      <c r="K48">
        <v>1</v>
      </c>
      <c r="L48" s="226">
        <v>2834.23</v>
      </c>
      <c r="M48" s="226">
        <v>2834.23</v>
      </c>
      <c r="N48" s="115"/>
      <c r="O48" s="94"/>
      <c r="P48" s="116"/>
      <c r="Q48" s="95"/>
      <c r="R48" s="95"/>
      <c r="S48" s="226">
        <v>2834.23</v>
      </c>
      <c r="T48" s="226">
        <v>2834.23</v>
      </c>
      <c r="U48" s="227">
        <v>0</v>
      </c>
      <c r="V48" s="227">
        <v>1</v>
      </c>
      <c r="W48" s="97"/>
    </row>
    <row r="49" spans="2:23" ht="15.75" customHeight="1">
      <c r="B49" t="s">
        <v>212</v>
      </c>
      <c r="C49" t="s">
        <v>213</v>
      </c>
      <c r="D49" s="87"/>
      <c r="E49" s="101"/>
      <c r="F49">
        <v>1</v>
      </c>
      <c r="G49" s="226">
        <v>3364.13</v>
      </c>
      <c r="H49" s="226">
        <v>2437.7800000000002</v>
      </c>
      <c r="I49" s="226">
        <v>3364.13</v>
      </c>
      <c r="J49" s="106"/>
      <c r="K49">
        <v>1</v>
      </c>
      <c r="L49" s="226">
        <v>1682.07</v>
      </c>
      <c r="M49" s="226">
        <v>1682.07</v>
      </c>
      <c r="N49" s="108"/>
      <c r="O49" s="94"/>
      <c r="P49" s="99"/>
      <c r="Q49" s="103"/>
      <c r="R49" s="109"/>
      <c r="S49" s="226">
        <v>1682.07</v>
      </c>
      <c r="T49" s="226">
        <v>1682.07</v>
      </c>
      <c r="U49" s="227">
        <v>0</v>
      </c>
      <c r="V49" s="227">
        <v>1</v>
      </c>
      <c r="W49" s="112"/>
    </row>
    <row r="50" spans="2:23" ht="15.75" customHeight="1">
      <c r="D50" s="87"/>
      <c r="E50" s="88"/>
      <c r="G50" s="226"/>
      <c r="H50" s="226"/>
      <c r="I50" s="226"/>
      <c r="J50" s="106"/>
      <c r="L50" s="226"/>
      <c r="M50" s="226"/>
      <c r="N50" s="115"/>
      <c r="O50" s="94"/>
      <c r="P50" s="116"/>
      <c r="Q50" s="95"/>
      <c r="R50" s="95"/>
      <c r="S50" s="226"/>
      <c r="T50" s="226"/>
      <c r="U50" s="227"/>
      <c r="V50" s="227"/>
      <c r="W50" s="112"/>
    </row>
    <row r="51" spans="2:23" ht="15.75" customHeight="1">
      <c r="D51" s="87"/>
      <c r="E51" s="101"/>
      <c r="G51" s="226"/>
      <c r="H51" s="226"/>
      <c r="I51" s="226"/>
      <c r="J51" s="106"/>
      <c r="L51" s="226"/>
      <c r="M51" s="226"/>
      <c r="N51" s="108"/>
      <c r="O51" s="94"/>
      <c r="P51" s="99"/>
      <c r="Q51" s="103"/>
      <c r="R51" s="109"/>
      <c r="S51" s="226"/>
      <c r="T51" s="226"/>
      <c r="U51" s="227"/>
      <c r="V51" s="227"/>
      <c r="W51" s="112"/>
    </row>
    <row r="52" spans="2:23" ht="15.75" customHeight="1">
      <c r="D52" s="87"/>
      <c r="E52" s="88"/>
      <c r="G52" s="226"/>
      <c r="H52" s="226"/>
      <c r="I52" s="226"/>
      <c r="J52" s="106"/>
      <c r="L52" s="226"/>
      <c r="M52" s="226"/>
      <c r="N52" s="115"/>
      <c r="O52" s="94"/>
      <c r="P52" s="116"/>
      <c r="Q52" s="95"/>
      <c r="R52" s="95"/>
      <c r="S52" s="226"/>
      <c r="T52" s="226"/>
      <c r="U52" s="227"/>
      <c r="V52" s="227"/>
      <c r="W52" s="112"/>
    </row>
    <row r="53" spans="2:23" ht="15.75" customHeight="1">
      <c r="D53" s="87"/>
      <c r="E53" s="101"/>
      <c r="G53" s="226"/>
      <c r="H53" s="226"/>
      <c r="I53" s="226"/>
      <c r="J53" s="106"/>
      <c r="L53" s="226"/>
      <c r="M53" s="226"/>
      <c r="N53" s="108"/>
      <c r="O53" s="94"/>
      <c r="P53" s="99"/>
      <c r="Q53" s="103"/>
      <c r="R53" s="109"/>
      <c r="S53" s="226"/>
      <c r="T53" s="226"/>
      <c r="U53" s="227"/>
      <c r="V53" s="227"/>
      <c r="W53" s="112"/>
    </row>
    <row r="54" spans="2:23" ht="15.75" customHeight="1">
      <c r="D54" s="87"/>
      <c r="E54" s="88"/>
      <c r="G54" s="226"/>
      <c r="H54" s="226"/>
      <c r="I54" s="226"/>
      <c r="J54" s="106"/>
      <c r="L54" s="226"/>
      <c r="M54" s="226"/>
      <c r="N54" s="115"/>
      <c r="O54" s="94"/>
      <c r="P54" s="116"/>
      <c r="Q54" s="95"/>
      <c r="R54" s="95"/>
      <c r="S54" s="226"/>
      <c r="T54" s="226"/>
      <c r="U54" s="227"/>
      <c r="V54" s="227"/>
      <c r="W54" s="112"/>
    </row>
    <row r="55" spans="2:23" ht="15.75" customHeight="1">
      <c r="D55" s="87"/>
      <c r="E55" s="101"/>
      <c r="G55" s="226"/>
      <c r="H55" s="226"/>
      <c r="I55" s="226"/>
      <c r="J55" s="106"/>
      <c r="L55" s="226"/>
      <c r="M55" s="226"/>
      <c r="N55" s="108"/>
      <c r="O55" s="94"/>
      <c r="P55" s="99"/>
      <c r="Q55" s="103"/>
      <c r="R55" s="109"/>
      <c r="S55" s="226"/>
      <c r="T55" s="226"/>
      <c r="U55" s="227"/>
      <c r="V55" s="227"/>
      <c r="W55" s="112"/>
    </row>
    <row r="56" spans="2:23" ht="15.75" customHeight="1">
      <c r="D56" s="87"/>
      <c r="E56" s="88"/>
      <c r="G56" s="226"/>
      <c r="H56" s="226"/>
      <c r="I56" s="226"/>
      <c r="J56" s="106"/>
      <c r="L56" s="226"/>
      <c r="M56" s="226"/>
      <c r="N56" s="115"/>
      <c r="O56" s="94"/>
      <c r="P56" s="116"/>
      <c r="Q56" s="95"/>
      <c r="R56" s="95"/>
      <c r="S56" s="226"/>
      <c r="T56" s="226"/>
      <c r="U56" s="227"/>
      <c r="V56" s="227"/>
      <c r="W56" s="112"/>
    </row>
    <row r="57" spans="2:23" ht="15.75" customHeight="1">
      <c r="B57" s="99"/>
      <c r="C57" s="100"/>
      <c r="D57" s="87"/>
      <c r="E57" s="101"/>
      <c r="F57" s="102"/>
      <c r="G57" s="103"/>
      <c r="H57" s="104"/>
      <c r="I57" s="105"/>
      <c r="J57" s="106"/>
      <c r="K57" s="107"/>
      <c r="L57" s="104"/>
      <c r="M57" s="104"/>
      <c r="N57" s="108"/>
      <c r="O57" s="94"/>
      <c r="P57" s="99"/>
      <c r="Q57" s="103"/>
      <c r="R57" s="109"/>
      <c r="S57" s="110"/>
      <c r="T57" s="110"/>
      <c r="U57" s="111"/>
      <c r="V57" s="111"/>
      <c r="W57" s="112"/>
    </row>
    <row r="58" spans="2:23" ht="15.75" customHeight="1">
      <c r="B58" s="86"/>
      <c r="C58" s="113"/>
      <c r="D58" s="87"/>
      <c r="E58" s="88"/>
      <c r="F58" s="114"/>
      <c r="G58" s="95"/>
      <c r="H58" s="90"/>
      <c r="I58" s="91"/>
      <c r="J58" s="106"/>
      <c r="K58" s="89"/>
      <c r="L58" s="90"/>
      <c r="M58" s="90"/>
      <c r="N58" s="115"/>
      <c r="O58" s="94"/>
      <c r="P58" s="116"/>
      <c r="Q58" s="95"/>
      <c r="R58" s="95"/>
      <c r="S58" s="95"/>
      <c r="T58" s="95"/>
      <c r="U58" s="96"/>
      <c r="V58" s="96"/>
      <c r="W58" s="112"/>
    </row>
    <row r="59" spans="2:23" ht="15.75" customHeight="1">
      <c r="B59" s="99"/>
      <c r="C59" s="100"/>
      <c r="D59" s="87"/>
      <c r="E59" s="101"/>
      <c r="F59" s="102"/>
      <c r="G59" s="103"/>
      <c r="H59" s="104"/>
      <c r="I59" s="105"/>
      <c r="J59" s="106"/>
      <c r="K59" s="107"/>
      <c r="L59" s="104"/>
      <c r="M59" s="104"/>
      <c r="N59" s="108"/>
      <c r="O59" s="94"/>
      <c r="P59" s="99"/>
      <c r="Q59" s="103"/>
      <c r="R59" s="109"/>
      <c r="S59" s="110"/>
      <c r="T59" s="110"/>
      <c r="U59" s="111"/>
      <c r="V59" s="111"/>
      <c r="W59" s="112"/>
    </row>
    <row r="60" spans="2:23" ht="15.75" customHeight="1">
      <c r="B60" s="86"/>
      <c r="C60" s="113"/>
      <c r="D60" s="87"/>
      <c r="E60" s="88"/>
      <c r="F60" s="114"/>
      <c r="G60" s="95"/>
      <c r="H60" s="90"/>
      <c r="I60" s="91"/>
      <c r="J60" s="106"/>
      <c r="K60" s="89"/>
      <c r="L60" s="90"/>
      <c r="M60" s="90"/>
      <c r="N60" s="115"/>
      <c r="O60" s="94"/>
      <c r="P60" s="116"/>
      <c r="Q60" s="95"/>
      <c r="R60" s="95"/>
      <c r="S60" s="95"/>
      <c r="T60" s="95"/>
      <c r="U60" s="96"/>
      <c r="V60" s="96"/>
      <c r="W60" s="112"/>
    </row>
    <row r="61" spans="2:23" ht="20.25" customHeight="1">
      <c r="B61" s="118"/>
      <c r="C61" s="118"/>
      <c r="D61" s="119"/>
      <c r="E61" s="120" t="s">
        <v>107</v>
      </c>
      <c r="F61" s="121">
        <f t="shared" ref="F61:I61" si="0">SUM(F19:F60)</f>
        <v>132</v>
      </c>
      <c r="G61" s="122">
        <f t="shared" si="0"/>
        <v>107426.70000000001</v>
      </c>
      <c r="H61" s="123">
        <f t="shared" si="0"/>
        <v>77845.429999999964</v>
      </c>
      <c r="I61" s="124">
        <f t="shared" si="0"/>
        <v>127177.97000000003</v>
      </c>
      <c r="J61" s="125"/>
      <c r="K61" s="126">
        <f t="shared" ref="K61:M61" si="1">SUM(K19:K60)</f>
        <v>132</v>
      </c>
      <c r="L61" s="123">
        <f t="shared" si="1"/>
        <v>53713.44000000001</v>
      </c>
      <c r="M61" s="124">
        <f t="shared" si="1"/>
        <v>63589.410000000018</v>
      </c>
      <c r="N61" s="124"/>
      <c r="O61" s="127"/>
      <c r="P61" s="128"/>
      <c r="Q61" s="123">
        <f t="shared" ref="Q61:T61" si="2">SUM(Q19:Q60)</f>
        <v>0</v>
      </c>
      <c r="R61" s="123">
        <f t="shared" si="2"/>
        <v>0</v>
      </c>
      <c r="S61" s="124">
        <f t="shared" si="2"/>
        <v>53713.44000000001</v>
      </c>
      <c r="T61" s="124">
        <f t="shared" si="2"/>
        <v>63589.410000000018</v>
      </c>
      <c r="U61" s="129"/>
      <c r="V61" s="129"/>
      <c r="W61" s="130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7" priority="1" stopIfTrue="1">
      <formula>$U$9&gt;100%</formula>
    </cfRule>
    <cfRule type="expression" dxfId="6" priority="2">
      <formula>$U$9&lt;50%</formula>
    </cfRule>
  </conditionalFormatting>
  <conditionalFormatting sqref="V9:V11">
    <cfRule type="expression" dxfId="5" priority="3">
      <formula>$V$9&lt;50%</formula>
    </cfRule>
    <cfRule type="expression" dxfId="4" priority="4">
      <formula>$V$9&gt;50%</formula>
    </cfRule>
  </conditionalFormatting>
  <dataValidations count="4">
    <dataValidation type="list" allowBlank="1" showErrorMessage="1" sqref="Q15 G18 L18 Q18" xr:uid="{28C16C33-6D63-4866-A590-A95DBE777010}">
      <formula1>$Y$12:$Y$13</formula1>
    </dataValidation>
    <dataValidation type="list" allowBlank="1" showErrorMessage="1" sqref="J14" xr:uid="{999779AF-F5A6-4D03-B07C-3D592539A657}">
      <formula1>$L$9</formula1>
    </dataValidation>
    <dataValidation type="list" allowBlank="1" showErrorMessage="1" sqref="I14" xr:uid="{4A698CDB-4918-499B-A2B1-B3738BC9AC3F}">
      <formula1>$Y$14:$Y$15</formula1>
    </dataValidation>
    <dataValidation type="list" allowBlank="1" showErrorMessage="1" sqref="E19:E60" xr:uid="{A42C9D8F-385C-4BB9-B24A-4A53AE72E28D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70"/>
  <sheetViews>
    <sheetView zoomScale="55" zoomScaleNormal="55" workbookViewId="0">
      <pane ySplit="18" topLeftCell="A55" activePane="bottomLeft" state="frozen"/>
      <selection pane="bottomLeft" activeCell="S19" sqref="S19:V6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00" t="s">
        <v>29</v>
      </c>
      <c r="C1" s="201"/>
      <c r="D1" s="202" t="s">
        <v>30</v>
      </c>
      <c r="E1" s="203"/>
      <c r="F1" s="203"/>
      <c r="G1" s="203"/>
      <c r="H1" s="152"/>
      <c r="I1" s="200" t="s">
        <v>31</v>
      </c>
      <c r="J1" s="204"/>
      <c r="K1" s="204"/>
      <c r="L1" s="178"/>
      <c r="M1" s="205" t="s">
        <v>32</v>
      </c>
      <c r="N1" s="206"/>
      <c r="O1" s="207"/>
      <c r="P1" s="208" t="str">
        <f>L18</f>
        <v>CAD $</v>
      </c>
      <c r="Q1" s="204"/>
      <c r="R1" s="178"/>
      <c r="S1" s="200" t="s">
        <v>33</v>
      </c>
      <c r="T1" s="204"/>
      <c r="U1" s="204"/>
      <c r="V1" s="204"/>
      <c r="W1" s="178"/>
      <c r="X1" s="6"/>
      <c r="Y1" s="7"/>
    </row>
    <row r="2" spans="2:25" ht="15" customHeight="1">
      <c r="B2" s="9" t="s">
        <v>34</v>
      </c>
      <c r="C2" s="10"/>
      <c r="D2" s="131" t="s">
        <v>35</v>
      </c>
      <c r="E2" s="132"/>
      <c r="F2" s="133"/>
      <c r="G2" s="134"/>
      <c r="H2" s="133"/>
      <c r="I2" s="210" t="s">
        <v>36</v>
      </c>
      <c r="J2" s="139"/>
      <c r="K2" s="140"/>
      <c r="L2" s="12"/>
      <c r="M2" s="209" t="s">
        <v>37</v>
      </c>
      <c r="N2" s="140"/>
      <c r="O2" s="13"/>
      <c r="P2" s="220">
        <f>I70</f>
        <v>315127.21000000002</v>
      </c>
      <c r="Q2" s="139"/>
      <c r="R2" s="140"/>
      <c r="S2" s="209" t="s">
        <v>38</v>
      </c>
      <c r="T2" s="140"/>
      <c r="U2" s="219"/>
      <c r="V2" s="140"/>
      <c r="W2" s="14"/>
      <c r="X2" s="15"/>
      <c r="Y2" s="7"/>
    </row>
    <row r="3" spans="2:25" ht="15" customHeight="1">
      <c r="B3" s="16" t="s">
        <v>39</v>
      </c>
      <c r="C3" s="11"/>
      <c r="D3" s="131" t="s">
        <v>40</v>
      </c>
      <c r="E3" s="132"/>
      <c r="F3" s="133"/>
      <c r="G3" s="134"/>
      <c r="H3" s="133"/>
      <c r="I3" s="131" t="s">
        <v>41</v>
      </c>
      <c r="J3" s="132"/>
      <c r="K3" s="133"/>
      <c r="L3" s="17"/>
      <c r="M3" s="180" t="s">
        <v>42</v>
      </c>
      <c r="N3" s="133"/>
      <c r="O3" s="13"/>
      <c r="P3" s="221">
        <f>M70</f>
        <v>157565.34999999995</v>
      </c>
      <c r="Q3" s="132"/>
      <c r="R3" s="133"/>
      <c r="S3" s="180" t="s">
        <v>43</v>
      </c>
      <c r="T3" s="133"/>
      <c r="U3" s="213"/>
      <c r="V3" s="133"/>
      <c r="W3" s="18"/>
      <c r="X3" s="5"/>
      <c r="Y3" s="19"/>
    </row>
    <row r="4" spans="2:25" ht="15" customHeight="1">
      <c r="B4" s="20" t="s">
        <v>44</v>
      </c>
      <c r="C4" s="11"/>
      <c r="D4" s="131" t="s">
        <v>45</v>
      </c>
      <c r="E4" s="132"/>
      <c r="F4" s="133"/>
      <c r="G4" s="134" t="s">
        <v>109</v>
      </c>
      <c r="H4" s="133"/>
      <c r="I4" s="131" t="s">
        <v>46</v>
      </c>
      <c r="J4" s="132"/>
      <c r="K4" s="133"/>
      <c r="L4" s="17"/>
      <c r="M4" s="180" t="s">
        <v>47</v>
      </c>
      <c r="N4" s="133"/>
      <c r="O4" s="13"/>
      <c r="P4" s="221">
        <f>P2-P3</f>
        <v>157561.86000000007</v>
      </c>
      <c r="Q4" s="132"/>
      <c r="R4" s="133"/>
      <c r="S4" s="180" t="s">
        <v>48</v>
      </c>
      <c r="T4" s="133"/>
      <c r="U4" s="213"/>
      <c r="V4" s="133"/>
      <c r="W4" s="18"/>
      <c r="X4" s="5"/>
      <c r="Y4" s="19"/>
    </row>
    <row r="5" spans="2:25" ht="15" customHeight="1">
      <c r="B5" s="20" t="s">
        <v>49</v>
      </c>
      <c r="C5" s="11"/>
      <c r="D5" s="131" t="s">
        <v>50</v>
      </c>
      <c r="E5" s="132"/>
      <c r="F5" s="133"/>
      <c r="G5" s="134" t="s">
        <v>121</v>
      </c>
      <c r="H5" s="133"/>
      <c r="I5" s="131" t="s">
        <v>51</v>
      </c>
      <c r="J5" s="132"/>
      <c r="K5" s="133"/>
      <c r="L5" s="17"/>
      <c r="M5" s="215" t="s">
        <v>52</v>
      </c>
      <c r="N5" s="216"/>
      <c r="O5" s="13"/>
      <c r="P5" s="222">
        <f>IFERROR((P2-P3)/P2,"")</f>
        <v>0.49999446255370988</v>
      </c>
      <c r="Q5" s="223"/>
      <c r="R5" s="216"/>
      <c r="S5" s="180" t="s">
        <v>53</v>
      </c>
      <c r="T5" s="133"/>
      <c r="U5" s="213"/>
      <c r="V5" s="133"/>
      <c r="W5" s="18"/>
      <c r="X5" s="5"/>
      <c r="Y5" s="19"/>
    </row>
    <row r="6" spans="2:25" ht="15" customHeight="1">
      <c r="B6" s="20" t="s">
        <v>54</v>
      </c>
      <c r="C6" s="21"/>
      <c r="D6" s="131" t="s">
        <v>55</v>
      </c>
      <c r="E6" s="132"/>
      <c r="F6" s="133"/>
      <c r="G6" s="134"/>
      <c r="H6" s="133"/>
      <c r="I6" s="131" t="s">
        <v>56</v>
      </c>
      <c r="J6" s="132"/>
      <c r="K6" s="133"/>
      <c r="L6" s="17"/>
      <c r="M6" s="217" t="s">
        <v>57</v>
      </c>
      <c r="N6" s="218"/>
      <c r="O6" s="13"/>
      <c r="P6" s="224">
        <f>T70</f>
        <v>157565.34999999995</v>
      </c>
      <c r="Q6" s="225"/>
      <c r="R6" s="218"/>
      <c r="S6" s="180" t="s">
        <v>58</v>
      </c>
      <c r="T6" s="133"/>
      <c r="U6" s="213"/>
      <c r="V6" s="133"/>
      <c r="W6" s="22"/>
      <c r="X6" s="23"/>
      <c r="Y6" s="24"/>
    </row>
    <row r="7" spans="2:25" ht="15" customHeight="1">
      <c r="B7" s="20" t="s">
        <v>59</v>
      </c>
      <c r="C7" s="11"/>
      <c r="D7" s="131" t="s">
        <v>60</v>
      </c>
      <c r="E7" s="132"/>
      <c r="F7" s="133"/>
      <c r="G7" s="25"/>
      <c r="H7" s="25"/>
      <c r="I7" s="131" t="s">
        <v>61</v>
      </c>
      <c r="J7" s="132"/>
      <c r="K7" s="133"/>
      <c r="L7" s="17"/>
      <c r="M7" s="141" t="s">
        <v>62</v>
      </c>
      <c r="N7" s="133"/>
      <c r="O7" s="13"/>
      <c r="P7" s="179">
        <f>R70</f>
        <v>0</v>
      </c>
      <c r="Q7" s="132"/>
      <c r="R7" s="133"/>
      <c r="S7" s="211" t="s">
        <v>63</v>
      </c>
      <c r="T7" s="212"/>
      <c r="U7" s="214"/>
      <c r="V7" s="212"/>
      <c r="W7" s="22"/>
      <c r="X7" s="26"/>
      <c r="Y7" s="8"/>
    </row>
    <row r="8" spans="2:25" ht="15" customHeight="1">
      <c r="B8" s="27"/>
      <c r="C8" s="28"/>
      <c r="D8" s="131" t="s">
        <v>64</v>
      </c>
      <c r="E8" s="132"/>
      <c r="F8" s="133"/>
      <c r="G8" s="134"/>
      <c r="H8" s="133"/>
      <c r="I8" s="131" t="s">
        <v>65</v>
      </c>
      <c r="J8" s="132"/>
      <c r="K8" s="133"/>
      <c r="L8" s="17"/>
      <c r="M8" s="141" t="s">
        <v>66</v>
      </c>
      <c r="N8" s="133"/>
      <c r="O8" s="13"/>
      <c r="P8" s="179">
        <f>IF(P1=Q15,R15,IF(Q15="CAD $",R15*E16,IF(Q15="USD $",R15*F16,0)))</f>
        <v>0</v>
      </c>
      <c r="Q8" s="132"/>
      <c r="R8" s="133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1" t="s">
        <v>71</v>
      </c>
      <c r="E9" s="132"/>
      <c r="F9" s="133"/>
      <c r="G9" s="134"/>
      <c r="H9" s="133"/>
      <c r="I9" s="35"/>
      <c r="J9" s="36"/>
      <c r="K9" s="36"/>
      <c r="L9" s="37"/>
      <c r="M9" s="141" t="s">
        <v>72</v>
      </c>
      <c r="N9" s="133"/>
      <c r="O9" s="13"/>
      <c r="P9" s="187">
        <f>V15</f>
        <v>0</v>
      </c>
      <c r="Q9" s="132"/>
      <c r="R9" s="133"/>
      <c r="S9" s="188">
        <f>P7+P8+P9</f>
        <v>0</v>
      </c>
      <c r="T9" s="188">
        <f>P3-S9</f>
        <v>157565.34999999995</v>
      </c>
      <c r="U9" s="181">
        <f>IFERROR(((P3-S9)/S9),0)</f>
        <v>0</v>
      </c>
      <c r="V9" s="181">
        <f>IFERROR(T9/P3,0)</f>
        <v>1</v>
      </c>
      <c r="W9" s="184"/>
      <c r="X9" s="33"/>
      <c r="Y9" s="8"/>
    </row>
    <row r="10" spans="2:25" ht="15" customHeight="1">
      <c r="B10" s="34"/>
      <c r="C10" s="28"/>
      <c r="D10" s="131" t="s">
        <v>73</v>
      </c>
      <c r="E10" s="132"/>
      <c r="F10" s="133"/>
      <c r="G10" s="134" t="s">
        <v>122</v>
      </c>
      <c r="H10" s="133"/>
      <c r="I10" s="35"/>
      <c r="J10" s="36"/>
      <c r="K10" s="36"/>
      <c r="L10" s="37"/>
      <c r="M10" s="141"/>
      <c r="N10" s="133"/>
      <c r="O10" s="13"/>
      <c r="P10" s="187"/>
      <c r="Q10" s="132"/>
      <c r="R10" s="133"/>
      <c r="S10" s="182"/>
      <c r="T10" s="182"/>
      <c r="U10" s="182"/>
      <c r="V10" s="182"/>
      <c r="W10" s="185"/>
      <c r="X10" s="33"/>
      <c r="Y10" s="8"/>
    </row>
    <row r="11" spans="2:25" ht="15" customHeigh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80" t="s">
        <v>74</v>
      </c>
      <c r="N11" s="133"/>
      <c r="O11" s="13"/>
      <c r="P11" s="189">
        <f>F70</f>
        <v>487</v>
      </c>
      <c r="Q11" s="132"/>
      <c r="R11" s="133"/>
      <c r="S11" s="183"/>
      <c r="T11" s="183"/>
      <c r="U11" s="183"/>
      <c r="V11" s="183"/>
      <c r="W11" s="186"/>
      <c r="X11" s="33"/>
      <c r="Y11" s="8"/>
    </row>
    <row r="12" spans="2:25" ht="15" customHeight="1">
      <c r="B12" s="167"/>
      <c r="C12" s="168"/>
      <c r="D12" s="41"/>
      <c r="E12" s="173" t="s">
        <v>75</v>
      </c>
      <c r="F12" s="174"/>
      <c r="G12" s="176" t="s">
        <v>37</v>
      </c>
      <c r="H12" s="143"/>
      <c r="I12" s="144"/>
      <c r="J12" s="42"/>
      <c r="K12" s="142" t="s">
        <v>76</v>
      </c>
      <c r="L12" s="143"/>
      <c r="M12" s="143"/>
      <c r="N12" s="144"/>
      <c r="O12" s="13"/>
      <c r="P12" s="190" t="s">
        <v>77</v>
      </c>
      <c r="Q12" s="143"/>
      <c r="R12" s="143"/>
      <c r="S12" s="143"/>
      <c r="T12" s="143"/>
      <c r="U12" s="143"/>
      <c r="V12" s="174"/>
      <c r="W12" s="43"/>
      <c r="X12" s="44"/>
      <c r="Y12" s="8" t="s">
        <v>78</v>
      </c>
    </row>
    <row r="13" spans="2:25" ht="15" customHeight="1">
      <c r="B13" s="169"/>
      <c r="C13" s="170"/>
      <c r="D13" s="45"/>
      <c r="E13" s="145"/>
      <c r="F13" s="175"/>
      <c r="G13" s="171"/>
      <c r="H13" s="149"/>
      <c r="I13" s="150"/>
      <c r="J13" s="46"/>
      <c r="K13" s="145"/>
      <c r="L13" s="146"/>
      <c r="M13" s="146"/>
      <c r="N13" s="147"/>
      <c r="O13" s="47"/>
      <c r="P13" s="145"/>
      <c r="Q13" s="146"/>
      <c r="R13" s="146"/>
      <c r="S13" s="146"/>
      <c r="T13" s="146"/>
      <c r="U13" s="146"/>
      <c r="V13" s="175"/>
      <c r="W13" s="48"/>
      <c r="X13" s="44"/>
      <c r="Y13" s="8" t="s">
        <v>79</v>
      </c>
    </row>
    <row r="14" spans="2:25" ht="15" customHeight="1">
      <c r="B14" s="169"/>
      <c r="C14" s="170"/>
      <c r="D14" s="45"/>
      <c r="E14" s="148"/>
      <c r="F14" s="153"/>
      <c r="G14" s="177" t="s">
        <v>80</v>
      </c>
      <c r="H14" s="178"/>
      <c r="I14" s="49" t="s">
        <v>81</v>
      </c>
      <c r="J14" s="50"/>
      <c r="K14" s="148"/>
      <c r="L14" s="149"/>
      <c r="M14" s="149"/>
      <c r="N14" s="150"/>
      <c r="O14" s="47"/>
      <c r="P14" s="191"/>
      <c r="Q14" s="192"/>
      <c r="R14" s="192"/>
      <c r="S14" s="192"/>
      <c r="T14" s="192"/>
      <c r="U14" s="192"/>
      <c r="V14" s="193"/>
      <c r="W14" s="51"/>
      <c r="X14" s="44"/>
      <c r="Y14" s="8" t="s">
        <v>81</v>
      </c>
    </row>
    <row r="15" spans="2:25" ht="30" customHeight="1">
      <c r="B15" s="169"/>
      <c r="C15" s="170"/>
      <c r="D15" s="45"/>
      <c r="E15" s="52" t="s">
        <v>82</v>
      </c>
      <c r="F15" s="53" t="s">
        <v>83</v>
      </c>
      <c r="G15" s="138" t="s">
        <v>84</v>
      </c>
      <c r="H15" s="139"/>
      <c r="I15" s="140"/>
      <c r="J15" s="54"/>
      <c r="K15" s="151" t="s">
        <v>85</v>
      </c>
      <c r="L15" s="152"/>
      <c r="M15" s="15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ROUND(R70*T15,2)</f>
        <v>0</v>
      </c>
      <c r="W15" s="62"/>
      <c r="X15" s="44"/>
      <c r="Y15" s="8" t="s">
        <v>89</v>
      </c>
    </row>
    <row r="16" spans="2:25" ht="15" customHeight="1">
      <c r="B16" s="171"/>
      <c r="C16" s="172"/>
      <c r="D16" s="45"/>
      <c r="E16" s="63">
        <f>1/F16</f>
        <v>0.7246376811594204</v>
      </c>
      <c r="F16" s="64">
        <v>1.38</v>
      </c>
      <c r="G16" s="135"/>
      <c r="H16" s="132"/>
      <c r="I16" s="133"/>
      <c r="J16" s="65"/>
      <c r="K16" s="148"/>
      <c r="L16" s="153"/>
      <c r="M16" s="155"/>
      <c r="N16" s="156" t="s">
        <v>90</v>
      </c>
      <c r="O16" s="56"/>
      <c r="P16" s="194" t="s">
        <v>91</v>
      </c>
      <c r="Q16" s="195"/>
      <c r="R16" s="195"/>
      <c r="S16" s="195"/>
      <c r="T16" s="195"/>
      <c r="U16" s="195"/>
      <c r="V16" s="196"/>
      <c r="W16" s="66"/>
      <c r="X16" s="67"/>
      <c r="Y16" s="8"/>
    </row>
    <row r="17" spans="2:26" ht="15" customHeight="1">
      <c r="B17" s="162" t="s">
        <v>92</v>
      </c>
      <c r="C17" s="163" t="s">
        <v>93</v>
      </c>
      <c r="D17" s="68"/>
      <c r="E17" s="165" t="s">
        <v>94</v>
      </c>
      <c r="F17" s="166" t="s">
        <v>95</v>
      </c>
      <c r="G17" s="136" t="s">
        <v>96</v>
      </c>
      <c r="H17" s="137"/>
      <c r="I17" s="69" t="s">
        <v>97</v>
      </c>
      <c r="J17" s="70"/>
      <c r="K17" s="159" t="s">
        <v>95</v>
      </c>
      <c r="L17" s="71" t="s">
        <v>98</v>
      </c>
      <c r="M17" s="72" t="s">
        <v>99</v>
      </c>
      <c r="N17" s="157"/>
      <c r="O17" s="73"/>
      <c r="P17" s="197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5"/>
      <c r="C18" s="164"/>
      <c r="D18" s="78"/>
      <c r="E18" s="160"/>
      <c r="F18" s="155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60"/>
      <c r="L18" s="161" t="s">
        <v>78</v>
      </c>
      <c r="M18" s="140"/>
      <c r="N18" s="158"/>
      <c r="O18" s="82"/>
      <c r="P18" s="198"/>
      <c r="Q18" s="58" t="s">
        <v>79</v>
      </c>
      <c r="R18" s="199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t="s">
        <v>126</v>
      </c>
      <c r="C19" t="s">
        <v>127</v>
      </c>
      <c r="F19">
        <v>1</v>
      </c>
      <c r="G19" s="226">
        <v>61.62</v>
      </c>
      <c r="H19" s="226">
        <v>44.65</v>
      </c>
      <c r="I19" s="226">
        <v>61.62</v>
      </c>
      <c r="J19" s="92"/>
      <c r="K19">
        <v>1</v>
      </c>
      <c r="L19" s="226">
        <v>30.81</v>
      </c>
      <c r="M19" s="226">
        <v>30.81</v>
      </c>
      <c r="N19" s="93"/>
      <c r="O19" s="94"/>
      <c r="P19" s="86"/>
      <c r="Q19" s="95"/>
      <c r="R19" s="95"/>
      <c r="S19" s="226">
        <v>30.81</v>
      </c>
      <c r="T19" s="226">
        <v>30.81</v>
      </c>
      <c r="U19" s="227">
        <v>0</v>
      </c>
      <c r="V19" s="227">
        <v>1</v>
      </c>
      <c r="W19" s="97"/>
      <c r="X19" s="98"/>
      <c r="Y19" s="8"/>
      <c r="Z19" s="8"/>
    </row>
    <row r="20" spans="2:26">
      <c r="B20" t="s">
        <v>128</v>
      </c>
      <c r="C20" t="s">
        <v>129</v>
      </c>
      <c r="F20">
        <v>1</v>
      </c>
      <c r="G20" s="226">
        <v>104.86</v>
      </c>
      <c r="H20" s="226">
        <v>75.989999999999995</v>
      </c>
      <c r="I20" s="226">
        <v>104.86</v>
      </c>
      <c r="J20" s="106"/>
      <c r="K20">
        <v>1</v>
      </c>
      <c r="L20" s="226">
        <v>52.43</v>
      </c>
      <c r="M20" s="226">
        <v>52.43</v>
      </c>
      <c r="N20" s="108"/>
      <c r="O20" s="94"/>
      <c r="P20" s="99"/>
      <c r="Q20" s="103"/>
      <c r="R20" s="109"/>
      <c r="S20" s="226">
        <v>52.43</v>
      </c>
      <c r="T20" s="226">
        <v>52.43</v>
      </c>
      <c r="U20" s="227">
        <v>0</v>
      </c>
      <c r="V20" s="227">
        <v>1</v>
      </c>
      <c r="W20" s="112"/>
      <c r="X20" s="98"/>
      <c r="Y20" s="8"/>
      <c r="Z20" s="8"/>
    </row>
    <row r="21" spans="2:26">
      <c r="B21" t="s">
        <v>130</v>
      </c>
      <c r="C21" t="s">
        <v>131</v>
      </c>
      <c r="F21">
        <v>1</v>
      </c>
      <c r="G21" s="226">
        <v>51.52</v>
      </c>
      <c r="H21" s="226">
        <v>37.33</v>
      </c>
      <c r="I21" s="226">
        <v>51.52</v>
      </c>
      <c r="J21" s="106"/>
      <c r="K21">
        <v>1</v>
      </c>
      <c r="L21" s="226">
        <v>25.76</v>
      </c>
      <c r="M21" s="226">
        <v>25.76</v>
      </c>
      <c r="N21" s="115"/>
      <c r="O21" s="94"/>
      <c r="P21" s="116"/>
      <c r="Q21" s="95"/>
      <c r="R21" s="95"/>
      <c r="S21" s="226">
        <v>25.76</v>
      </c>
      <c r="T21" s="226">
        <v>25.76</v>
      </c>
      <c r="U21" s="227">
        <v>0</v>
      </c>
      <c r="V21" s="227">
        <v>1</v>
      </c>
      <c r="W21" s="97"/>
      <c r="X21" s="98"/>
      <c r="Y21" s="8"/>
      <c r="Z21" s="8"/>
    </row>
    <row r="22" spans="2:26" ht="15.75" customHeight="1">
      <c r="B22" t="s">
        <v>132</v>
      </c>
      <c r="C22" t="s">
        <v>133</v>
      </c>
      <c r="F22">
        <v>1</v>
      </c>
      <c r="G22" s="226">
        <v>79.42</v>
      </c>
      <c r="H22" s="226">
        <v>57.55</v>
      </c>
      <c r="I22" s="226">
        <v>79.42</v>
      </c>
      <c r="J22" s="106"/>
      <c r="K22">
        <v>1</v>
      </c>
      <c r="L22" s="226">
        <v>39.71</v>
      </c>
      <c r="M22" s="226">
        <v>39.71</v>
      </c>
      <c r="N22" s="108"/>
      <c r="O22" s="94"/>
      <c r="P22" s="99"/>
      <c r="Q22" s="103"/>
      <c r="R22" s="109"/>
      <c r="S22" s="226">
        <v>39.71</v>
      </c>
      <c r="T22" s="226">
        <v>39.71</v>
      </c>
      <c r="U22" s="227">
        <v>0</v>
      </c>
      <c r="V22" s="227">
        <v>1</v>
      </c>
      <c r="W22" s="112"/>
      <c r="X22" s="98"/>
      <c r="Y22" s="8"/>
      <c r="Z22" s="8"/>
    </row>
    <row r="23" spans="2:26" ht="15.75" customHeight="1">
      <c r="B23" t="s">
        <v>134</v>
      </c>
      <c r="C23" t="s">
        <v>135</v>
      </c>
      <c r="F23">
        <v>1</v>
      </c>
      <c r="G23" s="226">
        <v>86.67</v>
      </c>
      <c r="H23" s="226">
        <v>62.8</v>
      </c>
      <c r="I23" s="226">
        <v>86.67</v>
      </c>
      <c r="J23" s="106"/>
      <c r="K23">
        <v>1</v>
      </c>
      <c r="L23" s="226">
        <v>43.34</v>
      </c>
      <c r="M23" s="226">
        <v>43.34</v>
      </c>
      <c r="N23" s="115"/>
      <c r="O23" s="94"/>
      <c r="P23" s="116"/>
      <c r="Q23" s="95"/>
      <c r="R23" s="95"/>
      <c r="S23" s="226">
        <v>43.34</v>
      </c>
      <c r="T23" s="226">
        <v>43.34</v>
      </c>
      <c r="U23" s="227">
        <v>0</v>
      </c>
      <c r="V23" s="227">
        <v>1</v>
      </c>
      <c r="W23" s="97"/>
      <c r="X23" s="98"/>
      <c r="Y23" s="8"/>
      <c r="Z23" s="8"/>
    </row>
    <row r="24" spans="2:26" ht="15.75" customHeight="1">
      <c r="B24" t="s">
        <v>136</v>
      </c>
      <c r="C24" t="s">
        <v>137</v>
      </c>
      <c r="F24">
        <v>1</v>
      </c>
      <c r="G24" s="226">
        <v>30.32</v>
      </c>
      <c r="H24" s="226">
        <v>21.97</v>
      </c>
      <c r="I24" s="226">
        <v>30.32</v>
      </c>
      <c r="J24" s="106"/>
      <c r="K24">
        <v>1</v>
      </c>
      <c r="L24" s="226">
        <v>15.16</v>
      </c>
      <c r="M24" s="226">
        <v>15.16</v>
      </c>
      <c r="N24" s="108"/>
      <c r="O24" s="94"/>
      <c r="P24" s="99"/>
      <c r="Q24" s="103"/>
      <c r="R24" s="109"/>
      <c r="S24" s="226">
        <v>15.16</v>
      </c>
      <c r="T24" s="226">
        <v>15.16</v>
      </c>
      <c r="U24" s="227">
        <v>0</v>
      </c>
      <c r="V24" s="227">
        <v>1</v>
      </c>
      <c r="W24" s="112"/>
      <c r="X24" s="98"/>
      <c r="Y24" s="8"/>
      <c r="Z24" s="8"/>
    </row>
    <row r="25" spans="2:26" ht="15.75" customHeight="1">
      <c r="B25" t="s">
        <v>138</v>
      </c>
      <c r="C25" t="s">
        <v>113</v>
      </c>
      <c r="F25">
        <v>1</v>
      </c>
      <c r="G25" s="226">
        <v>155.46</v>
      </c>
      <c r="H25" s="226">
        <v>112.65</v>
      </c>
      <c r="I25" s="226">
        <v>155.46</v>
      </c>
      <c r="J25" s="106"/>
      <c r="K25">
        <v>1</v>
      </c>
      <c r="L25" s="226">
        <v>77.73</v>
      </c>
      <c r="M25" s="226">
        <v>77.73</v>
      </c>
      <c r="N25" s="115"/>
      <c r="O25" s="94"/>
      <c r="P25" s="116"/>
      <c r="Q25" s="95"/>
      <c r="R25" s="95"/>
      <c r="S25" s="226">
        <v>77.73</v>
      </c>
      <c r="T25" s="226">
        <v>77.73</v>
      </c>
      <c r="U25" s="227">
        <v>0</v>
      </c>
      <c r="V25" s="227">
        <v>1</v>
      </c>
      <c r="W25" s="97"/>
      <c r="X25" s="98"/>
      <c r="Y25" s="8"/>
      <c r="Z25" s="8"/>
    </row>
    <row r="26" spans="2:26" ht="15.75" customHeight="1">
      <c r="B26" t="s">
        <v>139</v>
      </c>
      <c r="C26" t="s">
        <v>140</v>
      </c>
      <c r="F26">
        <v>1</v>
      </c>
      <c r="G26" s="226">
        <v>118.89</v>
      </c>
      <c r="H26" s="226">
        <v>86.15</v>
      </c>
      <c r="I26" s="226">
        <v>118.89</v>
      </c>
      <c r="J26" s="106"/>
      <c r="K26">
        <v>1</v>
      </c>
      <c r="L26" s="226">
        <v>59.45</v>
      </c>
      <c r="M26" s="226">
        <v>59.45</v>
      </c>
      <c r="N26" s="108"/>
      <c r="O26" s="94"/>
      <c r="P26" s="99"/>
      <c r="Q26" s="103"/>
      <c r="R26" s="109"/>
      <c r="S26" s="226">
        <v>59.45</v>
      </c>
      <c r="T26" s="226">
        <v>59.45</v>
      </c>
      <c r="U26" s="227">
        <v>0</v>
      </c>
      <c r="V26" s="227">
        <v>1</v>
      </c>
      <c r="W26" s="112"/>
      <c r="X26" s="98"/>
      <c r="Y26" s="8"/>
      <c r="Z26" s="8"/>
    </row>
    <row r="27" spans="2:26" ht="15.75" customHeight="1">
      <c r="B27" t="s">
        <v>141</v>
      </c>
      <c r="C27" t="s">
        <v>142</v>
      </c>
      <c r="F27">
        <v>1</v>
      </c>
      <c r="G27" s="226">
        <v>102.6</v>
      </c>
      <c r="H27" s="226">
        <v>74.349999999999994</v>
      </c>
      <c r="I27" s="226">
        <v>102.6</v>
      </c>
      <c r="J27" s="106"/>
      <c r="K27">
        <v>1</v>
      </c>
      <c r="L27" s="226">
        <v>51.3</v>
      </c>
      <c r="M27" s="226">
        <v>51.3</v>
      </c>
      <c r="N27" s="115"/>
      <c r="O27" s="94"/>
      <c r="P27" s="116"/>
      <c r="Q27" s="95"/>
      <c r="R27" s="95"/>
      <c r="S27" s="226">
        <v>51.3</v>
      </c>
      <c r="T27" s="226">
        <v>51.3</v>
      </c>
      <c r="U27" s="227">
        <v>0</v>
      </c>
      <c r="V27" s="227">
        <v>1</v>
      </c>
      <c r="W27" s="97"/>
      <c r="X27" s="98"/>
      <c r="Y27" s="8"/>
      <c r="Z27" s="8"/>
    </row>
    <row r="28" spans="2:26" ht="15.75" customHeight="1">
      <c r="B28" t="s">
        <v>143</v>
      </c>
      <c r="C28" t="s">
        <v>144</v>
      </c>
      <c r="F28">
        <v>2</v>
      </c>
      <c r="G28" s="226">
        <v>811.6</v>
      </c>
      <c r="H28" s="226">
        <v>588.12</v>
      </c>
      <c r="I28" s="226">
        <v>1623.2</v>
      </c>
      <c r="J28" s="106"/>
      <c r="K28">
        <v>2</v>
      </c>
      <c r="L28" s="226">
        <v>405.8</v>
      </c>
      <c r="M28" s="226">
        <v>811.6</v>
      </c>
      <c r="N28" s="108"/>
      <c r="O28" s="94"/>
      <c r="P28" s="99"/>
      <c r="Q28" s="103"/>
      <c r="R28" s="109"/>
      <c r="S28" s="226">
        <v>405.8</v>
      </c>
      <c r="T28" s="226">
        <v>811.6</v>
      </c>
      <c r="U28" s="227">
        <v>0</v>
      </c>
      <c r="V28" s="227">
        <v>1</v>
      </c>
      <c r="W28" s="112"/>
      <c r="X28" s="98"/>
      <c r="Y28" s="8"/>
      <c r="Z28" s="8"/>
    </row>
    <row r="29" spans="2:26" ht="15.75" customHeight="1">
      <c r="B29" t="s">
        <v>145</v>
      </c>
      <c r="C29" t="s">
        <v>146</v>
      </c>
      <c r="F29">
        <v>6</v>
      </c>
      <c r="G29" s="226">
        <v>1949.47</v>
      </c>
      <c r="H29" s="226">
        <v>1412.66</v>
      </c>
      <c r="I29" s="226">
        <v>11696.82</v>
      </c>
      <c r="J29" s="106"/>
      <c r="K29">
        <v>6</v>
      </c>
      <c r="L29" s="226">
        <v>974.74</v>
      </c>
      <c r="M29" s="226">
        <v>5848.44</v>
      </c>
      <c r="N29" s="115"/>
      <c r="O29" s="94"/>
      <c r="P29" s="116"/>
      <c r="Q29" s="95"/>
      <c r="R29" s="95"/>
      <c r="S29" s="226">
        <v>974.74</v>
      </c>
      <c r="T29" s="226">
        <v>5848.44</v>
      </c>
      <c r="U29" s="227">
        <v>0</v>
      </c>
      <c r="V29" s="227">
        <v>1</v>
      </c>
      <c r="W29" s="97"/>
      <c r="X29" s="98"/>
      <c r="Y29" s="8"/>
      <c r="Z29" s="8"/>
    </row>
    <row r="30" spans="2:26" ht="15.75" customHeight="1">
      <c r="B30" t="s">
        <v>147</v>
      </c>
      <c r="C30" t="s">
        <v>148</v>
      </c>
      <c r="F30">
        <v>1</v>
      </c>
      <c r="G30" s="226">
        <v>7023.15</v>
      </c>
      <c r="H30" s="226">
        <v>5089.24</v>
      </c>
      <c r="I30" s="226">
        <v>7023.15</v>
      </c>
      <c r="J30" s="106"/>
      <c r="K30">
        <v>1</v>
      </c>
      <c r="L30" s="226">
        <v>3511.57</v>
      </c>
      <c r="M30" s="226">
        <v>3511.57</v>
      </c>
      <c r="N30" s="108"/>
      <c r="O30" s="94"/>
      <c r="P30" s="99"/>
      <c r="Q30" s="103"/>
      <c r="R30" s="109"/>
      <c r="S30" s="226">
        <v>3511.57</v>
      </c>
      <c r="T30" s="226">
        <v>3511.57</v>
      </c>
      <c r="U30" s="227">
        <v>0</v>
      </c>
      <c r="V30" s="227">
        <v>1</v>
      </c>
      <c r="W30" s="112"/>
      <c r="X30" s="98"/>
      <c r="Y30" s="8"/>
      <c r="Z30" s="8"/>
    </row>
    <row r="31" spans="2:26" ht="15.75" customHeight="1">
      <c r="B31" t="s">
        <v>149</v>
      </c>
      <c r="C31" t="s">
        <v>150</v>
      </c>
      <c r="F31">
        <v>10</v>
      </c>
      <c r="G31" s="226">
        <v>395.87</v>
      </c>
      <c r="H31" s="226">
        <v>286.86</v>
      </c>
      <c r="I31" s="226">
        <v>3958.7</v>
      </c>
      <c r="J31" s="106"/>
      <c r="K31">
        <v>10</v>
      </c>
      <c r="L31" s="226">
        <v>197.94</v>
      </c>
      <c r="M31" s="226">
        <v>1979.4</v>
      </c>
      <c r="N31" s="115"/>
      <c r="O31" s="94"/>
      <c r="P31" s="116"/>
      <c r="Q31" s="95"/>
      <c r="R31" s="95"/>
      <c r="S31" s="226">
        <v>197.94</v>
      </c>
      <c r="T31" s="226">
        <v>1979.4</v>
      </c>
      <c r="U31" s="227">
        <v>0</v>
      </c>
      <c r="V31" s="227">
        <v>1</v>
      </c>
      <c r="W31" s="97"/>
    </row>
    <row r="32" spans="2:26" ht="15.75" customHeight="1">
      <c r="B32" t="s">
        <v>151</v>
      </c>
      <c r="C32" t="s">
        <v>152</v>
      </c>
      <c r="F32">
        <v>50</v>
      </c>
      <c r="G32" s="226">
        <v>5.51</v>
      </c>
      <c r="H32" s="226">
        <v>3.99</v>
      </c>
      <c r="I32" s="226">
        <v>275.5</v>
      </c>
      <c r="J32" s="106"/>
      <c r="K32">
        <v>50</v>
      </c>
      <c r="L32" s="226">
        <v>2.76</v>
      </c>
      <c r="M32" s="226">
        <v>138</v>
      </c>
      <c r="N32" s="108"/>
      <c r="O32" s="94"/>
      <c r="P32" s="99"/>
      <c r="Q32" s="103"/>
      <c r="R32" s="109"/>
      <c r="S32" s="226">
        <v>2.76</v>
      </c>
      <c r="T32" s="226">
        <v>138</v>
      </c>
      <c r="U32" s="227">
        <v>0</v>
      </c>
      <c r="V32" s="227">
        <v>1</v>
      </c>
      <c r="W32" s="112"/>
    </row>
    <row r="33" spans="2:26" ht="15.75" customHeight="1">
      <c r="B33" t="s">
        <v>153</v>
      </c>
      <c r="C33" t="s">
        <v>154</v>
      </c>
      <c r="F33">
        <v>50</v>
      </c>
      <c r="G33" s="226">
        <v>4.01</v>
      </c>
      <c r="H33" s="226">
        <v>2.91</v>
      </c>
      <c r="I33" s="226">
        <v>200.5</v>
      </c>
      <c r="J33" s="106"/>
      <c r="K33">
        <v>50</v>
      </c>
      <c r="L33" s="226">
        <v>2.0099999999999998</v>
      </c>
      <c r="M33" s="226">
        <v>100.5</v>
      </c>
      <c r="N33" s="115"/>
      <c r="O33" s="94"/>
      <c r="P33" s="116"/>
      <c r="Q33" s="95"/>
      <c r="R33" s="95"/>
      <c r="S33" s="226">
        <v>2.0099999999999998</v>
      </c>
      <c r="T33" s="226">
        <v>100.5</v>
      </c>
      <c r="U33" s="227">
        <v>0</v>
      </c>
      <c r="V33" s="227">
        <v>1</v>
      </c>
      <c r="W33" s="97"/>
    </row>
    <row r="34" spans="2:26" ht="15.75" customHeight="1">
      <c r="B34" t="s">
        <v>155</v>
      </c>
      <c r="C34" t="s">
        <v>156</v>
      </c>
      <c r="F34">
        <v>50</v>
      </c>
      <c r="G34" s="226">
        <v>5.35</v>
      </c>
      <c r="H34" s="226">
        <v>3.88</v>
      </c>
      <c r="I34" s="226">
        <v>267.5</v>
      </c>
      <c r="J34" s="106"/>
      <c r="K34">
        <v>50</v>
      </c>
      <c r="L34" s="226">
        <v>2.68</v>
      </c>
      <c r="M34" s="226">
        <v>134</v>
      </c>
      <c r="N34" s="108"/>
      <c r="O34" s="94"/>
      <c r="P34" s="99"/>
      <c r="Q34" s="103"/>
      <c r="R34" s="109"/>
      <c r="S34" s="226">
        <v>2.68</v>
      </c>
      <c r="T34" s="226">
        <v>134</v>
      </c>
      <c r="U34" s="227">
        <v>0</v>
      </c>
      <c r="V34" s="227">
        <v>1</v>
      </c>
      <c r="W34" s="112"/>
    </row>
    <row r="35" spans="2:26" ht="15.75" customHeight="1">
      <c r="B35" t="s">
        <v>157</v>
      </c>
      <c r="C35" t="s">
        <v>158</v>
      </c>
      <c r="F35">
        <v>2</v>
      </c>
      <c r="G35" s="226">
        <v>3842.24</v>
      </c>
      <c r="H35" s="226">
        <v>2784.23</v>
      </c>
      <c r="I35" s="226">
        <v>7684.48</v>
      </c>
      <c r="J35" s="106"/>
      <c r="K35">
        <v>2</v>
      </c>
      <c r="L35" s="226">
        <v>1921.12</v>
      </c>
      <c r="M35" s="226">
        <v>3842.24</v>
      </c>
      <c r="N35" s="115"/>
      <c r="O35" s="94"/>
      <c r="P35" s="116"/>
      <c r="Q35" s="95"/>
      <c r="R35" s="95"/>
      <c r="S35" s="226">
        <v>1921.12</v>
      </c>
      <c r="T35" s="226">
        <v>3842.24</v>
      </c>
      <c r="U35" s="227">
        <v>0</v>
      </c>
      <c r="V35" s="227">
        <v>1</v>
      </c>
      <c r="W35" s="97"/>
    </row>
    <row r="36" spans="2:26" ht="15.75" customHeight="1">
      <c r="B36" t="s">
        <v>159</v>
      </c>
      <c r="C36" t="s">
        <v>119</v>
      </c>
      <c r="F36">
        <v>4</v>
      </c>
      <c r="G36" s="226">
        <v>722.36</v>
      </c>
      <c r="H36" s="226">
        <v>523.45000000000005</v>
      </c>
      <c r="I36" s="226">
        <v>2889.44</v>
      </c>
      <c r="J36" s="106"/>
      <c r="K36">
        <v>4</v>
      </c>
      <c r="L36" s="226">
        <v>361.18</v>
      </c>
      <c r="M36" s="226">
        <v>1444.72</v>
      </c>
      <c r="N36" s="108"/>
      <c r="O36" s="94"/>
      <c r="P36" s="99"/>
      <c r="Q36" s="103"/>
      <c r="R36" s="109"/>
      <c r="S36" s="226">
        <v>361.18</v>
      </c>
      <c r="T36" s="226">
        <v>1444.72</v>
      </c>
      <c r="U36" s="227">
        <v>0</v>
      </c>
      <c r="V36" s="227">
        <v>1</v>
      </c>
      <c r="W36" s="112"/>
    </row>
    <row r="37" spans="2:26" ht="15.75" customHeight="1">
      <c r="B37" t="s">
        <v>120</v>
      </c>
      <c r="C37" t="s">
        <v>160</v>
      </c>
      <c r="F37">
        <v>4</v>
      </c>
      <c r="G37" s="226">
        <v>31.9</v>
      </c>
      <c r="H37" s="226">
        <v>23.12</v>
      </c>
      <c r="I37" s="226">
        <v>127.6</v>
      </c>
      <c r="J37" s="106"/>
      <c r="K37">
        <v>4</v>
      </c>
      <c r="L37" s="226">
        <v>15.95</v>
      </c>
      <c r="M37" s="226">
        <v>63.8</v>
      </c>
      <c r="N37" s="115"/>
      <c r="O37" s="94"/>
      <c r="P37" s="116"/>
      <c r="Q37" s="95"/>
      <c r="R37" s="95"/>
      <c r="S37" s="226">
        <v>15.95</v>
      </c>
      <c r="T37" s="226">
        <v>63.8</v>
      </c>
      <c r="U37" s="227">
        <v>0</v>
      </c>
      <c r="V37" s="227">
        <v>1</v>
      </c>
      <c r="W37" s="112"/>
    </row>
    <row r="38" spans="2:26" ht="15.75" customHeight="1">
      <c r="B38" t="s">
        <v>161</v>
      </c>
      <c r="C38" t="s">
        <v>162</v>
      </c>
      <c r="F38">
        <v>8</v>
      </c>
      <c r="G38" s="226">
        <v>860.3</v>
      </c>
      <c r="H38" s="226">
        <v>623.41</v>
      </c>
      <c r="I38" s="226">
        <v>6882.4</v>
      </c>
      <c r="J38" s="106"/>
      <c r="K38">
        <v>8</v>
      </c>
      <c r="L38" s="226">
        <v>430.15</v>
      </c>
      <c r="M38" s="226">
        <v>3441.2</v>
      </c>
      <c r="N38" s="108"/>
      <c r="O38" s="94"/>
      <c r="P38" s="99"/>
      <c r="Q38" s="103"/>
      <c r="R38" s="109"/>
      <c r="S38" s="226">
        <v>430.15</v>
      </c>
      <c r="T38" s="226">
        <v>3441.2</v>
      </c>
      <c r="U38" s="227">
        <v>0</v>
      </c>
      <c r="V38" s="227">
        <v>1</v>
      </c>
      <c r="W38" s="112"/>
    </row>
    <row r="39" spans="2:26" ht="15.75" customHeight="1">
      <c r="B39" t="s">
        <v>163</v>
      </c>
      <c r="C39" t="s">
        <v>164</v>
      </c>
      <c r="F39">
        <v>64</v>
      </c>
      <c r="G39" s="226">
        <v>24.13</v>
      </c>
      <c r="H39" s="226">
        <v>17.489999999999998</v>
      </c>
      <c r="I39" s="226">
        <v>1544.32</v>
      </c>
      <c r="J39" s="106"/>
      <c r="K39">
        <v>64</v>
      </c>
      <c r="L39" s="226">
        <v>12.07</v>
      </c>
      <c r="M39" s="226">
        <v>772.48</v>
      </c>
      <c r="N39" s="115"/>
      <c r="O39" s="94"/>
      <c r="P39" s="116"/>
      <c r="Q39" s="95"/>
      <c r="R39" s="95"/>
      <c r="S39" s="226">
        <v>12.07</v>
      </c>
      <c r="T39" s="226">
        <v>772.48</v>
      </c>
      <c r="U39" s="227">
        <v>0</v>
      </c>
      <c r="V39" s="227">
        <v>1</v>
      </c>
      <c r="W39" s="112"/>
    </row>
    <row r="40" spans="2:26" ht="15.75" customHeight="1">
      <c r="B40" t="s">
        <v>165</v>
      </c>
      <c r="C40" t="s">
        <v>154</v>
      </c>
      <c r="F40">
        <v>64</v>
      </c>
      <c r="G40" s="226">
        <v>6.39</v>
      </c>
      <c r="H40" s="226">
        <v>4.63</v>
      </c>
      <c r="I40" s="226">
        <v>408.96</v>
      </c>
      <c r="J40" s="106"/>
      <c r="K40">
        <v>64</v>
      </c>
      <c r="L40" s="226">
        <v>3.2</v>
      </c>
      <c r="M40" s="226">
        <v>204.8</v>
      </c>
      <c r="N40" s="108"/>
      <c r="O40" s="94"/>
      <c r="P40" s="99"/>
      <c r="Q40" s="103"/>
      <c r="R40" s="109"/>
      <c r="S40" s="226">
        <v>3.2</v>
      </c>
      <c r="T40" s="226">
        <v>204.8</v>
      </c>
      <c r="U40" s="227">
        <v>0</v>
      </c>
      <c r="V40" s="227">
        <v>1</v>
      </c>
      <c r="W40" s="112"/>
    </row>
    <row r="41" spans="2:26" ht="15.75" customHeight="1">
      <c r="B41" t="s">
        <v>166</v>
      </c>
      <c r="C41" t="s">
        <v>167</v>
      </c>
      <c r="F41">
        <v>8</v>
      </c>
      <c r="G41" s="226">
        <v>911.71</v>
      </c>
      <c r="H41" s="226">
        <v>660.66</v>
      </c>
      <c r="I41" s="226">
        <v>7293.68</v>
      </c>
      <c r="J41" s="106"/>
      <c r="K41">
        <v>8</v>
      </c>
      <c r="L41" s="226">
        <v>455.86</v>
      </c>
      <c r="M41" s="226">
        <v>3646.88</v>
      </c>
      <c r="N41" s="115"/>
      <c r="O41" s="94"/>
      <c r="P41" s="116"/>
      <c r="Q41" s="95"/>
      <c r="R41" s="95"/>
      <c r="S41" s="226">
        <v>455.86</v>
      </c>
      <c r="T41" s="226">
        <v>3646.88</v>
      </c>
      <c r="U41" s="227">
        <v>0</v>
      </c>
      <c r="V41" s="227">
        <v>1</v>
      </c>
      <c r="W41" s="112"/>
    </row>
    <row r="42" spans="2:26" ht="15.75" customHeight="1">
      <c r="B42" t="s">
        <v>168</v>
      </c>
      <c r="C42" t="s">
        <v>169</v>
      </c>
      <c r="F42">
        <v>32</v>
      </c>
      <c r="G42" s="226">
        <v>90.66</v>
      </c>
      <c r="H42" s="226">
        <v>65.7</v>
      </c>
      <c r="I42" s="226">
        <v>2901.12</v>
      </c>
      <c r="J42" s="106"/>
      <c r="K42">
        <v>32</v>
      </c>
      <c r="L42" s="226">
        <v>45.33</v>
      </c>
      <c r="M42" s="226">
        <v>1450.56</v>
      </c>
      <c r="N42" s="108"/>
      <c r="O42" s="94"/>
      <c r="P42" s="99"/>
      <c r="Q42" s="103"/>
      <c r="R42" s="109"/>
      <c r="S42" s="226">
        <v>45.33</v>
      </c>
      <c r="T42" s="226">
        <v>1450.56</v>
      </c>
      <c r="U42" s="227">
        <v>0</v>
      </c>
      <c r="V42" s="227">
        <v>1</v>
      </c>
      <c r="W42" s="112"/>
    </row>
    <row r="43" spans="2:26" ht="15.75" customHeight="1">
      <c r="B43" t="s">
        <v>170</v>
      </c>
      <c r="C43" t="s">
        <v>171</v>
      </c>
      <c r="F43">
        <v>2</v>
      </c>
      <c r="G43" s="226">
        <v>17017.28</v>
      </c>
      <c r="H43" s="226">
        <v>12331.36</v>
      </c>
      <c r="I43" s="226">
        <v>34034.559999999998</v>
      </c>
      <c r="J43" s="106"/>
      <c r="K43">
        <v>2</v>
      </c>
      <c r="L43" s="226">
        <v>8508.64</v>
      </c>
      <c r="M43" s="226">
        <v>17017.28</v>
      </c>
      <c r="N43" s="115"/>
      <c r="O43" s="94"/>
      <c r="P43" s="116"/>
      <c r="Q43" s="95"/>
      <c r="R43" s="95"/>
      <c r="S43" s="226">
        <v>8508.64</v>
      </c>
      <c r="T43" s="226">
        <v>17017.28</v>
      </c>
      <c r="U43" s="227">
        <v>0</v>
      </c>
      <c r="V43" s="227">
        <v>1</v>
      </c>
      <c r="W43" s="112"/>
    </row>
    <row r="44" spans="2:26" ht="15.75" customHeight="1">
      <c r="B44" t="s">
        <v>172</v>
      </c>
      <c r="C44" t="s">
        <v>173</v>
      </c>
      <c r="F44">
        <v>1</v>
      </c>
      <c r="G44" s="226">
        <v>77155.73</v>
      </c>
      <c r="H44" s="226">
        <v>55909.95</v>
      </c>
      <c r="I44" s="226">
        <v>77155.73</v>
      </c>
      <c r="J44" s="106"/>
      <c r="K44">
        <v>1</v>
      </c>
      <c r="L44" s="226">
        <v>38577.870000000003</v>
      </c>
      <c r="M44" s="226">
        <v>38577.870000000003</v>
      </c>
      <c r="N44" s="108"/>
      <c r="O44" s="94"/>
      <c r="P44" s="99"/>
      <c r="Q44" s="103"/>
      <c r="R44" s="109"/>
      <c r="S44" s="226">
        <v>38577.870000000003</v>
      </c>
      <c r="T44" s="226">
        <v>38577.870000000003</v>
      </c>
      <c r="U44" s="227">
        <v>0</v>
      </c>
      <c r="V44" s="227">
        <v>1</v>
      </c>
      <c r="W44" s="112"/>
    </row>
    <row r="45" spans="2:26" ht="15.75" customHeight="1">
      <c r="B45" t="s">
        <v>174</v>
      </c>
      <c r="C45" t="s">
        <v>175</v>
      </c>
      <c r="F45">
        <v>2</v>
      </c>
      <c r="G45" s="226">
        <v>453.17</v>
      </c>
      <c r="H45" s="226">
        <v>328.38</v>
      </c>
      <c r="I45" s="226">
        <v>906.34</v>
      </c>
      <c r="J45" s="106"/>
      <c r="K45">
        <v>2</v>
      </c>
      <c r="L45" s="226">
        <v>226.59</v>
      </c>
      <c r="M45" s="226">
        <v>453.18</v>
      </c>
      <c r="N45" s="115"/>
      <c r="O45" s="94"/>
      <c r="P45" s="116"/>
      <c r="Q45" s="95"/>
      <c r="R45" s="95"/>
      <c r="S45" s="226">
        <v>226.59</v>
      </c>
      <c r="T45" s="226">
        <v>453.18</v>
      </c>
      <c r="U45" s="227">
        <v>0</v>
      </c>
      <c r="V45" s="227">
        <v>1</v>
      </c>
      <c r="W45" s="112"/>
    </row>
    <row r="46" spans="2:26" ht="15.75" customHeight="1">
      <c r="B46" t="s">
        <v>176</v>
      </c>
      <c r="C46" t="s">
        <v>177</v>
      </c>
      <c r="F46">
        <v>1</v>
      </c>
      <c r="G46" s="226">
        <v>446.82</v>
      </c>
      <c r="H46" s="226">
        <v>323.77999999999997</v>
      </c>
      <c r="I46" s="226">
        <v>446.82</v>
      </c>
      <c r="J46" s="106"/>
      <c r="K46">
        <v>1</v>
      </c>
      <c r="L46" s="226">
        <v>223.41</v>
      </c>
      <c r="M46" s="226">
        <v>223.41</v>
      </c>
      <c r="N46" s="108"/>
      <c r="O46" s="94"/>
      <c r="P46" s="99"/>
      <c r="Q46" s="103"/>
      <c r="R46" s="109"/>
      <c r="S46" s="226">
        <v>223.41</v>
      </c>
      <c r="T46" s="226">
        <v>223.41</v>
      </c>
      <c r="U46" s="227">
        <v>0</v>
      </c>
      <c r="V46" s="227">
        <v>1</v>
      </c>
      <c r="W46" s="112"/>
    </row>
    <row r="47" spans="2:26" ht="15.75" customHeight="1">
      <c r="B47" t="s">
        <v>178</v>
      </c>
      <c r="C47" t="s">
        <v>179</v>
      </c>
      <c r="F47">
        <v>1</v>
      </c>
      <c r="G47" s="226">
        <v>556.86</v>
      </c>
      <c r="H47" s="226">
        <v>403.52</v>
      </c>
      <c r="I47" s="226">
        <v>556.86</v>
      </c>
      <c r="J47" s="106"/>
      <c r="K47">
        <v>1</v>
      </c>
      <c r="L47" s="226">
        <v>278.43</v>
      </c>
      <c r="M47" s="226">
        <v>278.43</v>
      </c>
      <c r="N47" s="115"/>
      <c r="O47" s="94"/>
      <c r="P47" s="116"/>
      <c r="Q47" s="95"/>
      <c r="R47" s="95"/>
      <c r="S47" s="226">
        <v>278.43</v>
      </c>
      <c r="T47" s="226">
        <v>278.43</v>
      </c>
      <c r="U47" s="227">
        <v>0</v>
      </c>
      <c r="V47" s="227">
        <v>1</v>
      </c>
      <c r="W47" s="112"/>
    </row>
    <row r="48" spans="2:26" ht="15.75" customHeight="1">
      <c r="B48" t="s">
        <v>180</v>
      </c>
      <c r="C48" t="s">
        <v>181</v>
      </c>
      <c r="F48">
        <v>1</v>
      </c>
      <c r="G48" s="226">
        <v>556.86</v>
      </c>
      <c r="H48" s="226">
        <v>403.52</v>
      </c>
      <c r="I48" s="226">
        <v>556.86</v>
      </c>
      <c r="J48" s="106"/>
      <c r="K48">
        <v>1</v>
      </c>
      <c r="L48" s="226">
        <v>278.43</v>
      </c>
      <c r="M48" s="226">
        <v>278.43</v>
      </c>
      <c r="N48" s="108"/>
      <c r="O48" s="94"/>
      <c r="P48" s="99"/>
      <c r="Q48" s="103"/>
      <c r="R48" s="109"/>
      <c r="S48" s="226">
        <v>278.43</v>
      </c>
      <c r="T48" s="226">
        <v>278.43</v>
      </c>
      <c r="U48" s="227">
        <v>0</v>
      </c>
      <c r="V48" s="227">
        <v>1</v>
      </c>
      <c r="W48" s="112"/>
      <c r="X48" s="98"/>
      <c r="Y48" s="8"/>
      <c r="Z48" s="117"/>
    </row>
    <row r="49" spans="2:26" ht="15.75" customHeight="1">
      <c r="B49" t="s">
        <v>182</v>
      </c>
      <c r="C49" t="s">
        <v>183</v>
      </c>
      <c r="F49">
        <v>32</v>
      </c>
      <c r="G49" s="226">
        <v>6.64</v>
      </c>
      <c r="H49" s="226">
        <v>4.8099999999999996</v>
      </c>
      <c r="I49" s="226">
        <v>212.48</v>
      </c>
      <c r="J49" s="106"/>
      <c r="K49">
        <v>32</v>
      </c>
      <c r="L49" s="226">
        <v>3.32</v>
      </c>
      <c r="M49" s="226">
        <v>106.24</v>
      </c>
      <c r="N49" s="115"/>
      <c r="O49" s="94"/>
      <c r="P49" s="116"/>
      <c r="Q49" s="95"/>
      <c r="R49" s="95"/>
      <c r="S49" s="226">
        <v>3.32</v>
      </c>
      <c r="T49" s="226">
        <v>106.24</v>
      </c>
      <c r="U49" s="227">
        <v>0</v>
      </c>
      <c r="V49" s="227">
        <v>1</v>
      </c>
      <c r="W49" s="97"/>
      <c r="X49" s="98"/>
      <c r="Y49" s="8"/>
      <c r="Z49" s="8"/>
    </row>
    <row r="50" spans="2:26" ht="15.75" customHeight="1">
      <c r="B50" t="s">
        <v>184</v>
      </c>
      <c r="C50" t="s">
        <v>185</v>
      </c>
      <c r="F50">
        <v>32</v>
      </c>
      <c r="G50" s="226">
        <v>4.7699999999999996</v>
      </c>
      <c r="H50" s="226">
        <v>3.46</v>
      </c>
      <c r="I50" s="226">
        <v>152.63999999999999</v>
      </c>
      <c r="J50" s="106"/>
      <c r="K50">
        <v>32</v>
      </c>
      <c r="L50" s="226">
        <v>2.39</v>
      </c>
      <c r="M50" s="226">
        <v>76.48</v>
      </c>
      <c r="N50" s="108"/>
      <c r="O50" s="94"/>
      <c r="P50" s="99"/>
      <c r="Q50" s="103"/>
      <c r="R50" s="109"/>
      <c r="S50" s="226">
        <v>2.39</v>
      </c>
      <c r="T50" s="226">
        <v>76.48</v>
      </c>
      <c r="U50" s="227">
        <v>0</v>
      </c>
      <c r="V50" s="227">
        <v>1</v>
      </c>
      <c r="W50" s="112"/>
      <c r="X50" s="98"/>
      <c r="Y50" s="8"/>
      <c r="Z50" s="8"/>
    </row>
    <row r="51" spans="2:26" ht="15.75" customHeight="1">
      <c r="B51" t="s">
        <v>186</v>
      </c>
      <c r="C51" t="s">
        <v>187</v>
      </c>
      <c r="F51">
        <v>32</v>
      </c>
      <c r="G51" s="226">
        <v>6.24</v>
      </c>
      <c r="H51" s="226">
        <v>4.5199999999999996</v>
      </c>
      <c r="I51" s="226">
        <v>199.68</v>
      </c>
      <c r="J51" s="106"/>
      <c r="K51">
        <v>32</v>
      </c>
      <c r="L51" s="226">
        <v>3.12</v>
      </c>
      <c r="M51" s="226">
        <v>99.84</v>
      </c>
      <c r="N51" s="115"/>
      <c r="O51" s="94"/>
      <c r="P51" s="116"/>
      <c r="Q51" s="95"/>
      <c r="R51" s="95"/>
      <c r="S51" s="226">
        <v>3.12</v>
      </c>
      <c r="T51" s="226">
        <v>99.84</v>
      </c>
      <c r="U51" s="227">
        <v>0</v>
      </c>
      <c r="V51" s="227">
        <v>1</v>
      </c>
      <c r="W51" s="97"/>
      <c r="X51" s="98"/>
      <c r="Y51" s="8"/>
      <c r="Z51" s="8"/>
    </row>
    <row r="52" spans="2:26" ht="15.75" customHeight="1">
      <c r="B52" t="s">
        <v>188</v>
      </c>
      <c r="C52" t="s">
        <v>189</v>
      </c>
      <c r="F52">
        <v>1</v>
      </c>
      <c r="G52" s="226">
        <v>6515.49</v>
      </c>
      <c r="H52" s="226">
        <v>4721.37</v>
      </c>
      <c r="I52" s="226">
        <v>6515.49</v>
      </c>
      <c r="J52" s="106"/>
      <c r="K52">
        <v>1</v>
      </c>
      <c r="L52" s="226">
        <v>3257.75</v>
      </c>
      <c r="M52" s="226">
        <v>3257.75</v>
      </c>
      <c r="N52" s="108"/>
      <c r="O52" s="94"/>
      <c r="P52" s="99"/>
      <c r="Q52" s="103"/>
      <c r="R52" s="109"/>
      <c r="S52" s="226">
        <v>3257.75</v>
      </c>
      <c r="T52" s="226">
        <v>3257.75</v>
      </c>
      <c r="U52" s="227">
        <v>0</v>
      </c>
      <c r="V52" s="227">
        <v>1</v>
      </c>
      <c r="W52" s="112"/>
      <c r="X52" s="98"/>
      <c r="Y52" s="8"/>
      <c r="Z52" s="8"/>
    </row>
    <row r="53" spans="2:26" ht="15.75" customHeight="1">
      <c r="B53" t="s">
        <v>190</v>
      </c>
      <c r="C53" t="s">
        <v>191</v>
      </c>
      <c r="F53">
        <v>1</v>
      </c>
      <c r="G53" s="226">
        <v>460.99</v>
      </c>
      <c r="H53" s="226">
        <v>334.05</v>
      </c>
      <c r="I53" s="226">
        <v>460.99</v>
      </c>
      <c r="J53" s="106"/>
      <c r="K53">
        <v>1</v>
      </c>
      <c r="L53" s="226">
        <v>230.5</v>
      </c>
      <c r="M53" s="226">
        <v>230.5</v>
      </c>
      <c r="N53" s="115"/>
      <c r="O53" s="94"/>
      <c r="P53" s="116"/>
      <c r="Q53" s="95"/>
      <c r="R53" s="95"/>
      <c r="S53" s="226">
        <v>230.5</v>
      </c>
      <c r="T53" s="226">
        <v>230.5</v>
      </c>
      <c r="U53" s="227">
        <v>0</v>
      </c>
      <c r="V53" s="227">
        <v>1</v>
      </c>
      <c r="W53" s="97"/>
    </row>
    <row r="54" spans="2:26" ht="15.75" customHeight="1">
      <c r="B54" t="s">
        <v>192</v>
      </c>
      <c r="C54" t="s">
        <v>193</v>
      </c>
      <c r="F54">
        <v>2</v>
      </c>
      <c r="G54" s="226">
        <v>12.96</v>
      </c>
      <c r="H54" s="226">
        <v>9.39</v>
      </c>
      <c r="I54" s="226">
        <v>25.92</v>
      </c>
      <c r="J54" s="106"/>
      <c r="K54">
        <v>2</v>
      </c>
      <c r="L54" s="226">
        <v>6.48</v>
      </c>
      <c r="M54" s="226">
        <v>12.96</v>
      </c>
      <c r="N54" s="108"/>
      <c r="O54" s="94"/>
      <c r="P54" s="99"/>
      <c r="Q54" s="103"/>
      <c r="R54" s="109"/>
      <c r="S54" s="226">
        <v>6.48</v>
      </c>
      <c r="T54" s="226">
        <v>12.96</v>
      </c>
      <c r="U54" s="227">
        <v>0</v>
      </c>
      <c r="V54" s="227">
        <v>1</v>
      </c>
      <c r="W54" s="112"/>
    </row>
    <row r="55" spans="2:26" ht="15.75" customHeight="1">
      <c r="B55" t="s">
        <v>194</v>
      </c>
      <c r="C55" t="s">
        <v>195</v>
      </c>
      <c r="F55">
        <v>2</v>
      </c>
      <c r="G55" s="226">
        <v>22.39</v>
      </c>
      <c r="H55" s="226">
        <v>16.22</v>
      </c>
      <c r="I55" s="226">
        <v>44.78</v>
      </c>
      <c r="J55" s="106"/>
      <c r="K55">
        <v>2</v>
      </c>
      <c r="L55" s="226">
        <v>11.2</v>
      </c>
      <c r="M55" s="226">
        <v>22.4</v>
      </c>
      <c r="N55" s="115"/>
      <c r="O55" s="94"/>
      <c r="P55" s="116"/>
      <c r="Q55" s="95"/>
      <c r="R55" s="95"/>
      <c r="S55" s="226">
        <v>11.2</v>
      </c>
      <c r="T55" s="226">
        <v>22.4</v>
      </c>
      <c r="U55" s="227">
        <v>0</v>
      </c>
      <c r="V55" s="227">
        <v>1</v>
      </c>
      <c r="W55" s="97"/>
    </row>
    <row r="56" spans="2:26" ht="15.75" customHeight="1">
      <c r="B56" t="s">
        <v>196</v>
      </c>
      <c r="C56" t="s">
        <v>197</v>
      </c>
      <c r="F56">
        <v>2</v>
      </c>
      <c r="G56" s="226">
        <v>11.83</v>
      </c>
      <c r="H56" s="226">
        <v>8.57</v>
      </c>
      <c r="I56" s="226">
        <v>23.66</v>
      </c>
      <c r="J56" s="106"/>
      <c r="K56">
        <v>2</v>
      </c>
      <c r="L56" s="226">
        <v>5.92</v>
      </c>
      <c r="M56" s="226">
        <v>11.84</v>
      </c>
      <c r="N56" s="108"/>
      <c r="O56" s="94"/>
      <c r="P56" s="99"/>
      <c r="Q56" s="103"/>
      <c r="R56" s="109"/>
      <c r="S56" s="226">
        <v>5.92</v>
      </c>
      <c r="T56" s="226">
        <v>11.84</v>
      </c>
      <c r="U56" s="227">
        <v>0</v>
      </c>
      <c r="V56" s="227">
        <v>1</v>
      </c>
      <c r="W56" s="112"/>
    </row>
    <row r="57" spans="2:26" ht="15.75" customHeight="1">
      <c r="B57" t="s">
        <v>198</v>
      </c>
      <c r="C57" t="s">
        <v>199</v>
      </c>
      <c r="F57">
        <v>1</v>
      </c>
      <c r="G57" s="226">
        <v>188.46</v>
      </c>
      <c r="H57" s="226">
        <v>136.57</v>
      </c>
      <c r="I57" s="226">
        <v>188.46</v>
      </c>
      <c r="J57" s="106"/>
      <c r="K57">
        <v>1</v>
      </c>
      <c r="L57" s="226">
        <v>94.23</v>
      </c>
      <c r="M57" s="226">
        <v>94.23</v>
      </c>
      <c r="N57" s="115"/>
      <c r="O57" s="94"/>
      <c r="P57" s="116"/>
      <c r="Q57" s="95"/>
      <c r="R57" s="95"/>
      <c r="S57" s="226">
        <v>94.23</v>
      </c>
      <c r="T57" s="226">
        <v>94.23</v>
      </c>
      <c r="U57" s="227">
        <v>0</v>
      </c>
      <c r="V57" s="227">
        <v>1</v>
      </c>
      <c r="W57" s="97"/>
    </row>
    <row r="58" spans="2:26" ht="15.75" customHeight="1">
      <c r="B58" t="s">
        <v>200</v>
      </c>
      <c r="C58" t="s">
        <v>201</v>
      </c>
      <c r="F58">
        <v>2</v>
      </c>
      <c r="G58" s="226">
        <v>25270.36</v>
      </c>
      <c r="H58" s="226">
        <v>18311.86</v>
      </c>
      <c r="I58" s="226">
        <v>50540.72</v>
      </c>
      <c r="J58" s="106"/>
      <c r="K58">
        <v>2</v>
      </c>
      <c r="L58" s="226">
        <v>12635.18</v>
      </c>
      <c r="M58" s="226">
        <v>25270.36</v>
      </c>
      <c r="N58" s="108"/>
      <c r="O58" s="94"/>
      <c r="P58" s="99"/>
      <c r="Q58" s="103"/>
      <c r="R58" s="109"/>
      <c r="S58" s="226">
        <v>12635.18</v>
      </c>
      <c r="T58" s="226">
        <v>25270.36</v>
      </c>
      <c r="U58" s="227">
        <v>0</v>
      </c>
      <c r="V58" s="227">
        <v>1</v>
      </c>
      <c r="W58" s="112"/>
    </row>
    <row r="59" spans="2:26" ht="15.75" customHeight="1">
      <c r="B59" t="s">
        <v>202</v>
      </c>
      <c r="C59" t="s">
        <v>203</v>
      </c>
      <c r="F59">
        <v>2</v>
      </c>
      <c r="G59" s="226">
        <v>11979.51</v>
      </c>
      <c r="H59" s="226">
        <v>8680.7999999999993</v>
      </c>
      <c r="I59" s="226">
        <v>23959.02</v>
      </c>
      <c r="J59" s="106"/>
      <c r="K59">
        <v>2</v>
      </c>
      <c r="L59" s="226">
        <v>5989.76</v>
      </c>
      <c r="M59" s="226">
        <v>11979.52</v>
      </c>
      <c r="N59" s="115"/>
      <c r="O59" s="94"/>
      <c r="P59" s="116"/>
      <c r="Q59" s="95"/>
      <c r="R59" s="95"/>
      <c r="S59" s="226">
        <v>5989.76</v>
      </c>
      <c r="T59" s="226">
        <v>11979.52</v>
      </c>
      <c r="U59" s="227">
        <v>0</v>
      </c>
      <c r="V59" s="227">
        <v>1</v>
      </c>
      <c r="W59" s="112"/>
    </row>
    <row r="60" spans="2:26" ht="15.75" customHeight="1">
      <c r="B60" t="s">
        <v>118</v>
      </c>
      <c r="C60" t="s">
        <v>204</v>
      </c>
      <c r="F60">
        <v>1</v>
      </c>
      <c r="G60" s="226">
        <v>16189.54</v>
      </c>
      <c r="H60" s="226">
        <v>11731.55</v>
      </c>
      <c r="I60" s="226">
        <v>16189.54</v>
      </c>
      <c r="J60" s="106"/>
      <c r="K60">
        <v>1</v>
      </c>
      <c r="L60" s="226">
        <v>8094.77</v>
      </c>
      <c r="M60" s="226">
        <v>8094.77</v>
      </c>
      <c r="N60" s="108"/>
      <c r="O60" s="94"/>
      <c r="P60" s="99"/>
      <c r="Q60" s="103"/>
      <c r="R60" s="109"/>
      <c r="S60" s="226">
        <v>8094.77</v>
      </c>
      <c r="T60" s="226">
        <v>8094.77</v>
      </c>
      <c r="U60" s="227">
        <v>0</v>
      </c>
      <c r="V60" s="227">
        <v>1</v>
      </c>
      <c r="W60" s="112"/>
    </row>
    <row r="61" spans="2:26" ht="15.75" customHeight="1">
      <c r="B61" t="s">
        <v>205</v>
      </c>
      <c r="C61" t="s">
        <v>116</v>
      </c>
      <c r="F61">
        <v>1</v>
      </c>
      <c r="G61" s="226">
        <v>6963.59</v>
      </c>
      <c r="H61" s="226">
        <v>5046.08</v>
      </c>
      <c r="I61" s="226">
        <v>6963.59</v>
      </c>
      <c r="J61" s="106"/>
      <c r="K61">
        <v>1</v>
      </c>
      <c r="L61" s="226">
        <v>3481.8</v>
      </c>
      <c r="M61" s="226">
        <v>3481.8</v>
      </c>
      <c r="N61" s="115"/>
      <c r="O61" s="94"/>
      <c r="P61" s="116"/>
      <c r="Q61" s="95"/>
      <c r="R61" s="95"/>
      <c r="S61" s="226">
        <v>3481.8</v>
      </c>
      <c r="T61" s="226">
        <v>3481.8</v>
      </c>
      <c r="U61" s="227">
        <v>0</v>
      </c>
      <c r="V61" s="227">
        <v>1</v>
      </c>
      <c r="W61" s="112"/>
    </row>
    <row r="62" spans="2:26" ht="15.75" customHeight="1">
      <c r="B62" t="s">
        <v>206</v>
      </c>
      <c r="C62" t="s">
        <v>207</v>
      </c>
      <c r="F62">
        <v>1</v>
      </c>
      <c r="G62" s="226">
        <v>20827.759999999998</v>
      </c>
      <c r="H62" s="226">
        <v>15092.58</v>
      </c>
      <c r="I62" s="226">
        <v>20827.759999999998</v>
      </c>
      <c r="J62" s="106"/>
      <c r="K62">
        <v>1</v>
      </c>
      <c r="L62" s="226">
        <v>10413.879999999999</v>
      </c>
      <c r="M62" s="226">
        <v>10413.879999999999</v>
      </c>
      <c r="N62" s="108"/>
      <c r="O62" s="94"/>
      <c r="P62" s="99"/>
      <c r="Q62" s="103"/>
      <c r="R62" s="109"/>
      <c r="S62" s="226">
        <v>10413.879999999999</v>
      </c>
      <c r="T62" s="226">
        <v>10413.879999999999</v>
      </c>
      <c r="U62" s="227">
        <v>0</v>
      </c>
      <c r="V62" s="227">
        <v>1</v>
      </c>
      <c r="W62" s="112"/>
    </row>
    <row r="63" spans="2:26" ht="15.75" customHeight="1">
      <c r="B63" t="s">
        <v>208</v>
      </c>
      <c r="C63" t="s">
        <v>209</v>
      </c>
      <c r="F63">
        <v>1</v>
      </c>
      <c r="G63" s="226">
        <v>13749.8</v>
      </c>
      <c r="H63" s="226">
        <v>9963.6200000000008</v>
      </c>
      <c r="I63" s="226">
        <v>13749.8</v>
      </c>
      <c r="J63" s="106"/>
      <c r="K63">
        <v>1</v>
      </c>
      <c r="L63" s="226">
        <v>6874.9</v>
      </c>
      <c r="M63" s="226">
        <v>6874.9</v>
      </c>
      <c r="N63" s="115"/>
      <c r="O63" s="94"/>
      <c r="P63" s="116"/>
      <c r="Q63" s="95"/>
      <c r="R63" s="95"/>
      <c r="S63" s="226">
        <v>6874.9</v>
      </c>
      <c r="T63" s="226">
        <v>6874.9</v>
      </c>
      <c r="U63" s="227">
        <v>0</v>
      </c>
      <c r="V63" s="227">
        <v>1</v>
      </c>
      <c r="W63" s="112"/>
    </row>
    <row r="64" spans="2:26" ht="15.75" customHeight="1">
      <c r="B64" t="s">
        <v>210</v>
      </c>
      <c r="C64" t="s">
        <v>211</v>
      </c>
      <c r="F64">
        <v>1</v>
      </c>
      <c r="G64" s="226">
        <v>2482.65</v>
      </c>
      <c r="H64" s="226">
        <v>1799.02</v>
      </c>
      <c r="I64" s="226">
        <v>2482.65</v>
      </c>
      <c r="J64" s="106"/>
      <c r="K64">
        <v>1</v>
      </c>
      <c r="L64" s="226">
        <v>1241.33</v>
      </c>
      <c r="M64" s="226">
        <v>1241.33</v>
      </c>
      <c r="N64" s="108"/>
      <c r="O64" s="94"/>
      <c r="P64" s="99"/>
      <c r="Q64" s="103"/>
      <c r="R64" s="109"/>
      <c r="S64" s="226">
        <v>1241.33</v>
      </c>
      <c r="T64" s="226">
        <v>1241.33</v>
      </c>
      <c r="U64" s="227">
        <v>0</v>
      </c>
      <c r="V64" s="227">
        <v>1</v>
      </c>
      <c r="W64" s="112"/>
    </row>
    <row r="65" spans="2:23" ht="15.75" customHeight="1">
      <c r="B65" t="s">
        <v>212</v>
      </c>
      <c r="C65" t="s">
        <v>213</v>
      </c>
      <c r="F65">
        <v>1</v>
      </c>
      <c r="G65" s="226">
        <v>3364.13</v>
      </c>
      <c r="H65" s="226">
        <v>2437.7800000000002</v>
      </c>
      <c r="I65" s="226">
        <v>3364.13</v>
      </c>
      <c r="J65" s="106"/>
      <c r="K65">
        <v>1</v>
      </c>
      <c r="L65" s="226">
        <v>1682.07</v>
      </c>
      <c r="M65" s="226">
        <v>1682.07</v>
      </c>
      <c r="N65" s="115"/>
      <c r="O65" s="94"/>
      <c r="P65" s="116"/>
      <c r="Q65" s="95"/>
      <c r="R65" s="95"/>
      <c r="S65" s="226">
        <v>1682.07</v>
      </c>
      <c r="T65" s="226">
        <v>1682.07</v>
      </c>
      <c r="U65" s="227">
        <v>0</v>
      </c>
      <c r="V65" s="227">
        <v>1</v>
      </c>
      <c r="W65" s="112"/>
    </row>
    <row r="66" spans="2:23" ht="15.75" customHeight="1">
      <c r="B66" s="99"/>
      <c r="C66" s="100"/>
      <c r="D66" s="87"/>
      <c r="E66" s="101"/>
      <c r="F66" s="102"/>
      <c r="G66" s="103"/>
      <c r="H66" s="104"/>
      <c r="I66" s="105"/>
      <c r="J66" s="106"/>
      <c r="K66" s="107"/>
      <c r="L66" s="104"/>
      <c r="M66" s="104"/>
      <c r="N66" s="108"/>
      <c r="O66" s="94"/>
      <c r="P66" s="99"/>
      <c r="Q66" s="103"/>
      <c r="R66" s="109"/>
      <c r="S66" s="110"/>
      <c r="T66" s="110"/>
      <c r="U66" s="111"/>
      <c r="V66" s="111"/>
      <c r="W66" s="112"/>
    </row>
    <row r="67" spans="2:23" ht="15.75" customHeight="1">
      <c r="B67" s="86"/>
      <c r="C67" s="113"/>
      <c r="D67" s="87"/>
      <c r="E67" s="88"/>
      <c r="F67" s="114"/>
      <c r="G67" s="95"/>
      <c r="H67" s="90"/>
      <c r="I67" s="91"/>
      <c r="J67" s="106"/>
      <c r="K67" s="89"/>
      <c r="L67" s="90"/>
      <c r="M67" s="90"/>
      <c r="N67" s="115"/>
      <c r="O67" s="94"/>
      <c r="P67" s="116"/>
      <c r="Q67" s="95"/>
      <c r="R67" s="95"/>
      <c r="S67" s="95"/>
      <c r="T67" s="95"/>
      <c r="U67" s="96"/>
      <c r="V67" s="96"/>
      <c r="W67" s="112"/>
    </row>
    <row r="68" spans="2:23" ht="15.75" customHeight="1">
      <c r="B68" s="99"/>
      <c r="C68" s="100"/>
      <c r="D68" s="87"/>
      <c r="E68" s="101"/>
      <c r="F68" s="102"/>
      <c r="G68" s="103"/>
      <c r="H68" s="104"/>
      <c r="I68" s="105"/>
      <c r="J68" s="106"/>
      <c r="K68" s="107"/>
      <c r="L68" s="104"/>
      <c r="M68" s="104"/>
      <c r="N68" s="108"/>
      <c r="O68" s="94"/>
      <c r="P68" s="99"/>
      <c r="Q68" s="103"/>
      <c r="R68" s="109"/>
      <c r="S68" s="110"/>
      <c r="T68" s="110"/>
      <c r="U68" s="111"/>
      <c r="V68" s="111"/>
      <c r="W68" s="112"/>
    </row>
    <row r="69" spans="2:23" ht="15.75" customHeight="1">
      <c r="B69" s="86"/>
      <c r="C69" s="113"/>
      <c r="D69" s="87"/>
      <c r="E69" s="88"/>
      <c r="F69" s="114"/>
      <c r="G69" s="95"/>
      <c r="H69" s="90"/>
      <c r="I69" s="91"/>
      <c r="J69" s="106"/>
      <c r="K69" s="89"/>
      <c r="L69" s="90"/>
      <c r="M69" s="90"/>
      <c r="N69" s="115"/>
      <c r="O69" s="94"/>
      <c r="P69" s="116"/>
      <c r="Q69" s="95"/>
      <c r="R69" s="95"/>
      <c r="S69" s="95"/>
      <c r="T69" s="95"/>
      <c r="U69" s="96"/>
      <c r="V69" s="96"/>
      <c r="W69" s="112"/>
    </row>
    <row r="70" spans="2:23" ht="20.25" customHeight="1">
      <c r="B70" s="118"/>
      <c r="C70" s="118"/>
      <c r="D70" s="119"/>
      <c r="E70" s="120" t="s">
        <v>107</v>
      </c>
      <c r="F70" s="121">
        <f>SUM(F19:F69)</f>
        <v>487</v>
      </c>
      <c r="G70" s="122">
        <f t="shared" ref="F70:I70" si="0">SUM(G19:G69)</f>
        <v>221719.84000000005</v>
      </c>
      <c r="H70" s="123">
        <f t="shared" si="0"/>
        <v>160666.55000000002</v>
      </c>
      <c r="I70" s="124">
        <f t="shared" si="0"/>
        <v>315127.21000000002</v>
      </c>
      <c r="J70" s="125"/>
      <c r="K70" s="126">
        <f t="shared" ref="K70:M70" si="1">SUM(K19:K69)</f>
        <v>487</v>
      </c>
      <c r="L70" s="123">
        <f t="shared" si="1"/>
        <v>110860.02000000002</v>
      </c>
      <c r="M70" s="124">
        <f t="shared" si="1"/>
        <v>157565.34999999995</v>
      </c>
      <c r="N70" s="124"/>
      <c r="O70" s="127"/>
      <c r="P70" s="128"/>
      <c r="Q70" s="123">
        <f t="shared" ref="Q70:T70" si="2">SUM(Q19:Q69)</f>
        <v>0</v>
      </c>
      <c r="R70" s="123">
        <f t="shared" si="2"/>
        <v>0</v>
      </c>
      <c r="S70" s="124">
        <f t="shared" si="2"/>
        <v>110860.02000000002</v>
      </c>
      <c r="T70" s="124">
        <f t="shared" si="2"/>
        <v>157565.34999999995</v>
      </c>
      <c r="U70" s="129"/>
      <c r="V70" s="129"/>
      <c r="W70" s="130"/>
    </row>
  </sheetData>
  <mergeCells count="88">
    <mergeCell ref="P2:R2"/>
    <mergeCell ref="P3:R3"/>
    <mergeCell ref="P4:R4"/>
    <mergeCell ref="P5:R5"/>
    <mergeCell ref="P6:R6"/>
    <mergeCell ref="S2:T2"/>
    <mergeCell ref="U2:V2"/>
    <mergeCell ref="S3:T3"/>
    <mergeCell ref="U3:V3"/>
    <mergeCell ref="S4:T4"/>
    <mergeCell ref="U4:V4"/>
    <mergeCell ref="M4:N4"/>
    <mergeCell ref="S5:T5"/>
    <mergeCell ref="S6:T6"/>
    <mergeCell ref="S7:T7"/>
    <mergeCell ref="U6:V6"/>
    <mergeCell ref="U7:V7"/>
    <mergeCell ref="U5:V5"/>
    <mergeCell ref="P7:R7"/>
    <mergeCell ref="M5:N5"/>
    <mergeCell ref="M6:N6"/>
    <mergeCell ref="M7:N7"/>
    <mergeCell ref="D2:F2"/>
    <mergeCell ref="M2:N2"/>
    <mergeCell ref="G2:H2"/>
    <mergeCell ref="I2:K2"/>
    <mergeCell ref="D3:F3"/>
    <mergeCell ref="G3:H3"/>
    <mergeCell ref="I3:K3"/>
    <mergeCell ref="M3:N3"/>
    <mergeCell ref="B1:C1"/>
    <mergeCell ref="D1:H1"/>
    <mergeCell ref="I1:L1"/>
    <mergeCell ref="M1:O1"/>
    <mergeCell ref="S1:W1"/>
    <mergeCell ref="P1:R1"/>
    <mergeCell ref="P12:V14"/>
    <mergeCell ref="P16:V16"/>
    <mergeCell ref="P17:P18"/>
    <mergeCell ref="R18:V18"/>
    <mergeCell ref="S9:S11"/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B17:B18"/>
    <mergeCell ref="C17:C18"/>
    <mergeCell ref="E17:E18"/>
    <mergeCell ref="F17:F18"/>
    <mergeCell ref="B12:C16"/>
    <mergeCell ref="E12:F14"/>
    <mergeCell ref="M9:N9"/>
    <mergeCell ref="M10:N10"/>
    <mergeCell ref="M8:N8"/>
    <mergeCell ref="K12:N14"/>
    <mergeCell ref="K15:L16"/>
    <mergeCell ref="M15:M16"/>
    <mergeCell ref="N16:N18"/>
    <mergeCell ref="K17:K18"/>
    <mergeCell ref="L18:M18"/>
    <mergeCell ref="I7:K7"/>
    <mergeCell ref="I8:K8"/>
    <mergeCell ref="G16:I16"/>
    <mergeCell ref="G17:H17"/>
    <mergeCell ref="D7:F7"/>
    <mergeCell ref="G8:H8"/>
    <mergeCell ref="G15:I15"/>
    <mergeCell ref="G12:I13"/>
    <mergeCell ref="G14:H14"/>
    <mergeCell ref="D10:F10"/>
    <mergeCell ref="G10:H10"/>
    <mergeCell ref="D8:F8"/>
    <mergeCell ref="D9:F9"/>
    <mergeCell ref="G9:H9"/>
    <mergeCell ref="D6:F6"/>
    <mergeCell ref="G6:H6"/>
    <mergeCell ref="I6:K6"/>
    <mergeCell ref="G4:H4"/>
    <mergeCell ref="I4:K4"/>
    <mergeCell ref="I5:K5"/>
    <mergeCell ref="D4:F4"/>
    <mergeCell ref="D5:F5"/>
    <mergeCell ref="G5:H5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I14" xr:uid="{00000000-0002-0000-0100-000001000000}">
      <formula1>$Y$14:$Y$15</formula1>
    </dataValidation>
    <dataValidation type="list" allowBlank="1" showErrorMessage="1" sqref="J14" xr:uid="{00000000-0002-0000-0100-000002000000}">
      <formula1>$L$9</formula1>
    </dataValidation>
    <dataValidation type="list" allowBlank="1" showErrorMessage="1" sqref="Q15 G18 L18 Q18" xr:uid="{00000000-0002-0000-0100-000003000000}">
      <formula1>$Y$12:$Y$13</formula1>
    </dataValidation>
    <dataValidation type="list" allowBlank="1" showErrorMessage="1" sqref="E66:E69 F19:F65" xr:uid="{00000000-0002-0000-0100-000000000000}">
      <formula1>$Z$19:$Z$50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CAT 950H LOADER</vt:lpstr>
      <vt:lpstr>CAT 160M GRADER</vt:lpstr>
      <vt:lpstr>CAT D7R Dozer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2025-06-10T14:45:07Z</dcterms:modified>
</cp:coreProperties>
</file>