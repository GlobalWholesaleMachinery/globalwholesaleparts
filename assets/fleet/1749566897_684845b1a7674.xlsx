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1F85D95F-07EB-45EB-8E3B-1527FA8BF413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structions" sheetId="1" r:id="rId1"/>
    <sheet name="CAT D7R Doz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2" l="1"/>
  <c r="P11" i="2" s="1"/>
  <c r="G70" i="2"/>
  <c r="H70" i="2"/>
  <c r="I70" i="2"/>
  <c r="K70" i="2"/>
  <c r="L70" i="2"/>
  <c r="M70" i="2"/>
  <c r="Q70" i="2"/>
  <c r="R70" i="2"/>
  <c r="S70" i="2"/>
  <c r="T70" i="2"/>
  <c r="R18" i="2"/>
  <c r="I18" i="2"/>
  <c r="H18" i="2"/>
  <c r="E16" i="2"/>
  <c r="P1" i="2"/>
  <c r="P8" i="2" s="1"/>
  <c r="P3" i="2" l="1"/>
  <c r="P7" i="2" l="1"/>
  <c r="V15" i="2"/>
  <c r="P9" i="2" s="1"/>
  <c r="P2" i="2"/>
  <c r="S9" i="2" l="1"/>
  <c r="P6" i="2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<sst xmlns="http://schemas.openxmlformats.org/spreadsheetml/2006/main" count="212" uniqueCount="204">
  <si>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</si>
  <si>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</si>
  <si>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</si>
  <si>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</si>
  <si>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</si>
  <si>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</si>
  <si>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</si>
  <si>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</si>
  <si>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</si>
  <si>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</si>
  <si>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</si>
  <si>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</si>
  <si>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</si>
  <si>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</si>
  <si>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</si>
  <si>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</si>
  <si>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</si>
  <si>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</si>
  <si>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</si>
  <si>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</si>
  <si>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</si>
  <si>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</si>
  <si>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</si>
  <si>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</si>
  <si>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</si>
  <si>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</si>
  <si>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</si>
  <si>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</si>
  <si>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</si>
  <si>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</si>
  <si>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</si>
  <si>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</si>
  <si>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</si>
  <si>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</si>
  <si>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</si>
  <si>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</si>
  <si>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</si>
  <si>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</si>
  <si>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</si>
  <si>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</si>
  <si>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</si>
  <si>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</si>
  <si>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</si>
  <si>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</si>
  <si>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</si>
  <si>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</si>
  <si>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</si>
  <si>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</si>
  <si>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</si>
  <si>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</si>
  <si>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</si>
  <si>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</si>
  <si>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</si>
  <si>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</si>
  <si>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</si>
  <si>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</si>
  <si>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</si>
  <si>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</si>
  <si>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</si>
  <si>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</si>
  <si>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</si>
  <si>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</si>
  <si>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</si>
  <si>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</si>
  <si>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</si>
  <si>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</si>
  <si>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</si>
  <si>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</si>
  <si>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</si>
  <si>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</si>
  <si>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</si>
  <si>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</si>
  <si>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</si>
  <si>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</si>
  <si>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</si>
  <si>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</si>
  <si>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</si>
  <si>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</si>
  <si>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</si>
  <si>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</si>
  <si>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</si>
  <si>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</si>
  <si>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</si>
  <si>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</si>
  <si>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</si>
  <si>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</si>
  <si>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</si>
  <si>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</si>
  <si>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</si>
  <si>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</si>
  <si>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</si>
  <si>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</si>
  <si>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</si>
  <si>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</si>
  <si>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</si>
  <si>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</si>
  <si>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</si>
  <si>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</si>
  <si>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</si>
  <si>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</si>
  <si>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</si>
  <si>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</si>
  <si>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</si>
  <si>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</si>
  <si>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</si>
  <si>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</si>
  <si>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</si>
  <si>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</si>
  <si>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Caterpiller</t>
  </si>
  <si>
    <t>PRIMARY AIR FILTER</t>
  </si>
  <si>
    <t>CAMSHAFT</t>
  </si>
  <si>
    <t>CUSTOM</t>
  </si>
  <si>
    <t>CARRIER ROLLER</t>
  </si>
  <si>
    <t>114-6099</t>
  </si>
  <si>
    <t>D7R</t>
  </si>
  <si>
    <t>Dozer</t>
  </si>
  <si>
    <t>1R-0716</t>
  </si>
  <si>
    <t>ENGINE OIL FILTER</t>
  </si>
  <si>
    <t>326-1643</t>
  </si>
  <si>
    <t>fuel filter</t>
  </si>
  <si>
    <t>1R-0749</t>
  </si>
  <si>
    <t xml:space="preserve">SECONDARY FUEL FILTER </t>
  </si>
  <si>
    <t>326-1642</t>
  </si>
  <si>
    <t>FUEL WATER SEPARATOR FILTER</t>
  </si>
  <si>
    <t>1R-0735</t>
  </si>
  <si>
    <t>HYDRAULIC FILTER</t>
  </si>
  <si>
    <t>1R-0719</t>
  </si>
  <si>
    <t>HYDRAULIC TRANSMISSION OIL FILTER</t>
  </si>
  <si>
    <t>6I-0273</t>
  </si>
  <si>
    <t>6I-0274</t>
  </si>
  <si>
    <t>SECONDARY AIR FILTER ELEMENT</t>
  </si>
  <si>
    <t>6T-0988</t>
  </si>
  <si>
    <t>CABIN AIR FILTER ELEMENT</t>
  </si>
  <si>
    <t>153-5710</t>
  </si>
  <si>
    <t>12V 4D BCI BATTERY (19.3" X 8.6" X 9.9")</t>
  </si>
  <si>
    <t>317-5278</t>
  </si>
  <si>
    <t xml:space="preserve">FUEL INJECTOR </t>
  </si>
  <si>
    <t>4P-8730</t>
  </si>
  <si>
    <t>TURBOCHARGER ASSEMBLY</t>
  </si>
  <si>
    <t>278-2363</t>
  </si>
  <si>
    <t>TRACK SPROCKET SEGMENT</t>
  </si>
  <si>
    <t>5P-7665</t>
  </si>
  <si>
    <t>SPROCKET BOLT</t>
  </si>
  <si>
    <t>6V-5841</t>
  </si>
  <si>
    <t>FLAT WASHER</t>
  </si>
  <si>
    <t>7H-3608</t>
  </si>
  <si>
    <t>SPROCKET NUT</t>
  </si>
  <si>
    <t>420-9357</t>
  </si>
  <si>
    <t>FRONT IDLER</t>
  </si>
  <si>
    <t>428-0056</t>
  </si>
  <si>
    <t>CARRIER BOLT</t>
  </si>
  <si>
    <t>422-1054</t>
  </si>
  <si>
    <t>SINGLE FLANGE TRACK ROLLER</t>
  </si>
  <si>
    <t>1D-4630</t>
  </si>
  <si>
    <t>ROLLER BOLT</t>
  </si>
  <si>
    <t>9H-1031</t>
  </si>
  <si>
    <t>422-1051</t>
  </si>
  <si>
    <t>DOUBLE FLANGE ROLLER</t>
  </si>
  <si>
    <t>273-3996</t>
  </si>
  <si>
    <t>ROLLER CAP</t>
  </si>
  <si>
    <t>422-1130</t>
  </si>
  <si>
    <t>41 LINK 24" TRACK GROUP</t>
  </si>
  <si>
    <t>6I-8381</t>
  </si>
  <si>
    <t>BLADE AS SEMI UNIVERSAL</t>
  </si>
  <si>
    <t>7T-6936</t>
  </si>
  <si>
    <t>DOZER CUTTING EDGE</t>
  </si>
  <si>
    <t>7T-6678</t>
  </si>
  <si>
    <t>CUTTING EDGE</t>
  </si>
  <si>
    <t>9W-6198</t>
  </si>
  <si>
    <t>LH END BIT</t>
  </si>
  <si>
    <t>9W-6199</t>
  </si>
  <si>
    <t>RH END BIT</t>
  </si>
  <si>
    <t>6F-0196</t>
  </si>
  <si>
    <t>Plow Bolt</t>
  </si>
  <si>
    <t>5P-8249</t>
  </si>
  <si>
    <t>Washer</t>
  </si>
  <si>
    <t>2J-3505</t>
  </si>
  <si>
    <t>Nut</t>
  </si>
  <si>
    <t>614-7778</t>
  </si>
  <si>
    <t>RIPPER SHANK</t>
  </si>
  <si>
    <t>4T-4501</t>
  </si>
  <si>
    <t>RIPPER TIP</t>
  </si>
  <si>
    <t>114-0358</t>
  </si>
  <si>
    <t>PIN</t>
  </si>
  <si>
    <t>114-0359</t>
  </si>
  <si>
    <t>RETAINER</t>
  </si>
  <si>
    <t>1J-2919</t>
  </si>
  <si>
    <t>COTTER PIN</t>
  </si>
  <si>
    <t>4J-5240</t>
  </si>
  <si>
    <t>RIPPER PIN</t>
  </si>
  <si>
    <t>579-9358</t>
  </si>
  <si>
    <t>RIPPER CYLINDER TILT</t>
  </si>
  <si>
    <t>164-7320</t>
  </si>
  <si>
    <t>RIPPER CYLINDER TLIFT</t>
  </si>
  <si>
    <t>GQP OVERHAUL SILVER KIT</t>
  </si>
  <si>
    <t>171-3063</t>
  </si>
  <si>
    <t>326-278</t>
  </si>
  <si>
    <t>CRANKSAHFT</t>
  </si>
  <si>
    <t>148-2149</t>
  </si>
  <si>
    <t>CYLINDER HEAD</t>
  </si>
  <si>
    <t>526-7416</t>
  </si>
  <si>
    <t>SEAT ASSEMBLY</t>
  </si>
  <si>
    <t>160-7165</t>
  </si>
  <si>
    <t>SEAT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</si>
</sst>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70"/>
  <sheetViews>
    <sheetView tabSelected="1" zoomScale="70" zoomScaleNormal="70" workbookViewId="0">
      <pane ySplit="18" topLeftCell="A19" activePane="bottomLeft" state="frozen"/>
      <selection pane="bottomLeft" activeCell="L7" sqref="L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>
      <c r="B2" s="9" t="s">
        <v>34</v>
      </c>
      <c r="C2" s="10"/>
      <c r="D2" s="131" t="s">
        <v>35</v>
      </c>
      <c r="E2" s="132"/>
      <c r="F2" s="133"/>
      <c r="G2" s="134"/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I70</f>
        <v>315127.21000000002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M70</f>
        <v>157565.34999999995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>
      <c r="B4" s="20" t="s">
        <v>44</v>
      </c>
      <c r="C4" s="11"/>
      <c r="D4" s="131" t="s">
        <v>45</v>
      </c>
      <c r="E4" s="132"/>
      <c r="F4" s="133"/>
      <c r="G4" s="134" t="s">
        <v>108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157561.86000000007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>
      <c r="B5" s="20" t="s">
        <v>49</v>
      </c>
      <c r="C5" s="11"/>
      <c r="D5" s="131" t="s">
        <v>50</v>
      </c>
      <c r="E5" s="132"/>
      <c r="F5" s="133"/>
      <c r="G5" s="134" t="s">
        <v>114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>
        <f>IFERROR((P2-P3)/P2,"")</f>
        <v>0.49999446255370988</v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>
      <c r="B6" s="20" t="s">
        <v>54</v>
      </c>
      <c r="C6" s="21"/>
      <c r="D6" s="131" t="s">
        <v>55</v>
      </c>
      <c r="E6" s="132"/>
      <c r="F6" s="133"/>
      <c r="G6" s="134"/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T70</f>
        <v>157565.34999999995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R70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157565.34999999995</v>
      </c>
      <c r="U9" s="181">
        <f>IFERROR(((P3-S9)/S9),0)</f>
        <v>0</v>
      </c>
      <c r="V9" s="181">
        <f>IFERROR(T9/P3,0)</f>
        <v>1</v>
      </c>
      <c r="W9" s="184"/>
      <c r="X9" s="33"/>
      <c r="Y9" s="8"/>
    </row>
    <row r="10" spans="2:25" ht="15" customHeight="1">
      <c r="B10" s="34"/>
      <c r="C10" s="28"/>
      <c r="D10" s="131" t="s">
        <v>73</v>
      </c>
      <c r="E10" s="132"/>
      <c r="F10" s="133"/>
      <c r="G10" s="134" t="s">
        <v>115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F70</f>
        <v>487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ROUND(R70*T15,2)</f>
        <v>0</v>
      </c>
      <c r="W15" s="62"/>
      <c r="X15" s="44"/>
      <c r="Y15" s="8" t="s">
        <v>89</v>
      </c>
    </row>
    <row r="16" spans="2:25" ht="15" customHeight="1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t="s">
        <v>116</v>
      </c>
      <c r="C19" t="s">
        <v>117</v>
      </c>
      <c r="F19">
        <v>1</v>
      </c>
      <c r="G19" s="226">
        <v>61.62</v>
      </c>
      <c r="H19" s="226">
        <v>44.65</v>
      </c>
      <c r="I19" s="226">
        <v>61.62</v>
      </c>
      <c r="J19" s="92"/>
      <c r="K19">
        <v>1</v>
      </c>
      <c r="L19" s="226">
        <v>30.81</v>
      </c>
      <c r="M19" s="226">
        <v>30.81</v>
      </c>
      <c r="N19" s="93"/>
      <c r="O19" s="94"/>
      <c r="P19" s="86"/>
      <c r="Q19" s="95"/>
      <c r="R19" s="95"/>
      <c r="S19" s="226">
        <v>30.81</v>
      </c>
      <c r="T19" s="226">
        <v>30.81</v>
      </c>
      <c r="U19" s="227">
        <v>0</v>
      </c>
      <c r="V19" s="227">
        <v>1</v>
      </c>
      <c r="W19" s="97"/>
      <c r="X19" s="98"/>
      <c r="Y19" s="8"/>
      <c r="Z19" s="8"/>
    </row>
    <row r="20" spans="2:26">
      <c r="B20" t="s">
        <v>118</v>
      </c>
      <c r="C20" t="s">
        <v>119</v>
      </c>
      <c r="F20">
        <v>1</v>
      </c>
      <c r="G20" s="226">
        <v>104.86</v>
      </c>
      <c r="H20" s="226">
        <v>75.989999999999995</v>
      </c>
      <c r="I20" s="226">
        <v>104.86</v>
      </c>
      <c r="J20" s="106"/>
      <c r="K20">
        <v>1</v>
      </c>
      <c r="L20" s="226">
        <v>52.43</v>
      </c>
      <c r="M20" s="226">
        <v>52.43</v>
      </c>
      <c r="N20" s="108"/>
      <c r="O20" s="94"/>
      <c r="P20" s="99"/>
      <c r="Q20" s="103"/>
      <c r="R20" s="109"/>
      <c r="S20" s="226">
        <v>52.43</v>
      </c>
      <c r="T20" s="226">
        <v>52.43</v>
      </c>
      <c r="U20" s="227">
        <v>0</v>
      </c>
      <c r="V20" s="227">
        <v>1</v>
      </c>
      <c r="W20" s="112"/>
      <c r="X20" s="98"/>
      <c r="Y20" s="8"/>
      <c r="Z20" s="8"/>
    </row>
    <row r="21" spans="2:26">
      <c r="B21" t="s">
        <v>120</v>
      </c>
      <c r="C21" t="s">
        <v>121</v>
      </c>
      <c r="F21">
        <v>1</v>
      </c>
      <c r="G21" s="226">
        <v>51.52</v>
      </c>
      <c r="H21" s="226">
        <v>37.33</v>
      </c>
      <c r="I21" s="226">
        <v>51.52</v>
      </c>
      <c r="J21" s="106"/>
      <c r="K21">
        <v>1</v>
      </c>
      <c r="L21" s="226">
        <v>25.76</v>
      </c>
      <c r="M21" s="226">
        <v>25.76</v>
      </c>
      <c r="N21" s="115"/>
      <c r="O21" s="94"/>
      <c r="P21" s="116"/>
      <c r="Q21" s="95"/>
      <c r="R21" s="95"/>
      <c r="S21" s="226">
        <v>25.76</v>
      </c>
      <c r="T21" s="226">
        <v>25.76</v>
      </c>
      <c r="U21" s="227">
        <v>0</v>
      </c>
      <c r="V21" s="227">
        <v>1</v>
      </c>
      <c r="W21" s="97"/>
      <c r="X21" s="98"/>
      <c r="Y21" s="8"/>
      <c r="Z21" s="8"/>
    </row>
    <row r="22" spans="2:26" ht="15.75" customHeight="1">
      <c r="B22" t="s">
        <v>122</v>
      </c>
      <c r="C22" t="s">
        <v>123</v>
      </c>
      <c r="F22">
        <v>1</v>
      </c>
      <c r="G22" s="226">
        <v>79.42</v>
      </c>
      <c r="H22" s="226">
        <v>57.55</v>
      </c>
      <c r="I22" s="226">
        <v>79.42</v>
      </c>
      <c r="J22" s="106"/>
      <c r="K22">
        <v>1</v>
      </c>
      <c r="L22" s="226">
        <v>39.71</v>
      </c>
      <c r="M22" s="226">
        <v>39.71</v>
      </c>
      <c r="N22" s="108"/>
      <c r="O22" s="94"/>
      <c r="P22" s="99"/>
      <c r="Q22" s="103"/>
      <c r="R22" s="109"/>
      <c r="S22" s="226">
        <v>39.71</v>
      </c>
      <c r="T22" s="226">
        <v>39.71</v>
      </c>
      <c r="U22" s="227">
        <v>0</v>
      </c>
      <c r="V22" s="227">
        <v>1</v>
      </c>
      <c r="W22" s="112"/>
      <c r="X22" s="98"/>
      <c r="Y22" s="8"/>
      <c r="Z22" s="8"/>
    </row>
    <row r="23" spans="2:26" ht="15.75" customHeight="1">
      <c r="B23" t="s">
        <v>124</v>
      </c>
      <c r="C23" t="s">
        <v>125</v>
      </c>
      <c r="F23">
        <v>1</v>
      </c>
      <c r="G23" s="226">
        <v>86.67</v>
      </c>
      <c r="H23" s="226">
        <v>62.8</v>
      </c>
      <c r="I23" s="226">
        <v>86.67</v>
      </c>
      <c r="J23" s="106"/>
      <c r="K23">
        <v>1</v>
      </c>
      <c r="L23" s="226">
        <v>43.34</v>
      </c>
      <c r="M23" s="226">
        <v>43.34</v>
      </c>
      <c r="N23" s="115"/>
      <c r="O23" s="94"/>
      <c r="P23" s="116"/>
      <c r="Q23" s="95"/>
      <c r="R23" s="95"/>
      <c r="S23" s="226">
        <v>43.34</v>
      </c>
      <c r="T23" s="226">
        <v>43.34</v>
      </c>
      <c r="U23" s="227">
        <v>0</v>
      </c>
      <c r="V23" s="227">
        <v>1</v>
      </c>
      <c r="W23" s="97"/>
      <c r="X23" s="98"/>
      <c r="Y23" s="8"/>
      <c r="Z23" s="8"/>
    </row>
    <row r="24" spans="2:26" ht="15.75" customHeight="1">
      <c r="B24" t="s">
        <v>126</v>
      </c>
      <c r="C24" t="s">
        <v>127</v>
      </c>
      <c r="F24">
        <v>1</v>
      </c>
      <c r="G24" s="226">
        <v>30.32</v>
      </c>
      <c r="H24" s="226">
        <v>21.97</v>
      </c>
      <c r="I24" s="226">
        <v>30.32</v>
      </c>
      <c r="J24" s="106"/>
      <c r="K24">
        <v>1</v>
      </c>
      <c r="L24" s="226">
        <v>15.16</v>
      </c>
      <c r="M24" s="226">
        <v>15.16</v>
      </c>
      <c r="N24" s="108"/>
      <c r="O24" s="94"/>
      <c r="P24" s="99"/>
      <c r="Q24" s="103"/>
      <c r="R24" s="109"/>
      <c r="S24" s="226">
        <v>15.16</v>
      </c>
      <c r="T24" s="226">
        <v>15.16</v>
      </c>
      <c r="U24" s="227">
        <v>0</v>
      </c>
      <c r="V24" s="227">
        <v>1</v>
      </c>
      <c r="W24" s="112"/>
      <c r="X24" s="98"/>
      <c r="Y24" s="8"/>
      <c r="Z24" s="8"/>
    </row>
    <row r="25" spans="2:26" ht="15.75" customHeight="1">
      <c r="B25" t="s">
        <v>128</v>
      </c>
      <c r="C25" t="s">
        <v>109</v>
      </c>
      <c r="F25">
        <v>1</v>
      </c>
      <c r="G25" s="226">
        <v>155.46</v>
      </c>
      <c r="H25" s="226">
        <v>112.65</v>
      </c>
      <c r="I25" s="226">
        <v>155.46</v>
      </c>
      <c r="J25" s="106"/>
      <c r="K25">
        <v>1</v>
      </c>
      <c r="L25" s="226">
        <v>77.73</v>
      </c>
      <c r="M25" s="226">
        <v>77.73</v>
      </c>
      <c r="N25" s="115"/>
      <c r="O25" s="94"/>
      <c r="P25" s="116"/>
      <c r="Q25" s="95"/>
      <c r="R25" s="95"/>
      <c r="S25" s="226">
        <v>77.73</v>
      </c>
      <c r="T25" s="226">
        <v>77.73</v>
      </c>
      <c r="U25" s="227">
        <v>0</v>
      </c>
      <c r="V25" s="227">
        <v>1</v>
      </c>
      <c r="W25" s="97"/>
      <c r="X25" s="98"/>
      <c r="Y25" s="8"/>
      <c r="Z25" s="8"/>
    </row>
    <row r="26" spans="2:26" ht="15.75" customHeight="1">
      <c r="B26" t="s">
        <v>129</v>
      </c>
      <c r="C26" t="s">
        <v>130</v>
      </c>
      <c r="F26">
        <v>1</v>
      </c>
      <c r="G26" s="226">
        <v>118.89</v>
      </c>
      <c r="H26" s="226">
        <v>86.15</v>
      </c>
      <c r="I26" s="226">
        <v>118.89</v>
      </c>
      <c r="J26" s="106"/>
      <c r="K26">
        <v>1</v>
      </c>
      <c r="L26" s="226">
        <v>59.45</v>
      </c>
      <c r="M26" s="226">
        <v>59.45</v>
      </c>
      <c r="N26" s="108"/>
      <c r="O26" s="94"/>
      <c r="P26" s="99"/>
      <c r="Q26" s="103"/>
      <c r="R26" s="109"/>
      <c r="S26" s="226">
        <v>59.45</v>
      </c>
      <c r="T26" s="226">
        <v>59.45</v>
      </c>
      <c r="U26" s="227">
        <v>0</v>
      </c>
      <c r="V26" s="227">
        <v>1</v>
      </c>
      <c r="W26" s="112"/>
      <c r="X26" s="98"/>
      <c r="Y26" s="8"/>
      <c r="Z26" s="8"/>
    </row>
    <row r="27" spans="2:26" ht="15.75" customHeight="1">
      <c r="B27" t="s">
        <v>131</v>
      </c>
      <c r="C27" t="s">
        <v>132</v>
      </c>
      <c r="F27">
        <v>1</v>
      </c>
      <c r="G27" s="226">
        <v>102.6</v>
      </c>
      <c r="H27" s="226">
        <v>74.349999999999994</v>
      </c>
      <c r="I27" s="226">
        <v>102.6</v>
      </c>
      <c r="J27" s="106"/>
      <c r="K27">
        <v>1</v>
      </c>
      <c r="L27" s="226">
        <v>51.3</v>
      </c>
      <c r="M27" s="226">
        <v>51.3</v>
      </c>
      <c r="N27" s="115"/>
      <c r="O27" s="94"/>
      <c r="P27" s="116"/>
      <c r="Q27" s="95"/>
      <c r="R27" s="95"/>
      <c r="S27" s="226">
        <v>51.3</v>
      </c>
      <c r="T27" s="226">
        <v>51.3</v>
      </c>
      <c r="U27" s="227">
        <v>0</v>
      </c>
      <c r="V27" s="227">
        <v>1</v>
      </c>
      <c r="W27" s="97"/>
      <c r="X27" s="98"/>
      <c r="Y27" s="8"/>
      <c r="Z27" s="8"/>
    </row>
    <row r="28" spans="2:26" ht="15.75" customHeight="1">
      <c r="B28" t="s">
        <v>133</v>
      </c>
      <c r="C28" t="s">
        <v>134</v>
      </c>
      <c r="F28">
        <v>2</v>
      </c>
      <c r="G28" s="226">
        <v>811.6</v>
      </c>
      <c r="H28" s="226">
        <v>588.12</v>
      </c>
      <c r="I28" s="226">
        <v>1623.2</v>
      </c>
      <c r="J28" s="106"/>
      <c r="K28">
        <v>2</v>
      </c>
      <c r="L28" s="226">
        <v>405.8</v>
      </c>
      <c r="M28" s="226">
        <v>811.6</v>
      </c>
      <c r="N28" s="108"/>
      <c r="O28" s="94"/>
      <c r="P28" s="99"/>
      <c r="Q28" s="103"/>
      <c r="R28" s="109"/>
      <c r="S28" s="226">
        <v>405.8</v>
      </c>
      <c r="T28" s="226">
        <v>811.6</v>
      </c>
      <c r="U28" s="227">
        <v>0</v>
      </c>
      <c r="V28" s="227">
        <v>1</v>
      </c>
      <c r="W28" s="112"/>
      <c r="X28" s="98"/>
      <c r="Y28" s="8"/>
      <c r="Z28" s="8"/>
    </row>
    <row r="29" spans="2:26" ht="15.75" customHeight="1">
      <c r="B29" t="s">
        <v>135</v>
      </c>
      <c r="C29" t="s">
        <v>136</v>
      </c>
      <c r="F29">
        <v>6</v>
      </c>
      <c r="G29" s="226">
        <v>1949.47</v>
      </c>
      <c r="H29" s="226">
        <v>1412.66</v>
      </c>
      <c r="I29" s="226">
        <v>11696.82</v>
      </c>
      <c r="J29" s="106"/>
      <c r="K29">
        <v>6</v>
      </c>
      <c r="L29" s="226">
        <v>974.74</v>
      </c>
      <c r="M29" s="226">
        <v>5848.44</v>
      </c>
      <c r="N29" s="115"/>
      <c r="O29" s="94"/>
      <c r="P29" s="116"/>
      <c r="Q29" s="95"/>
      <c r="R29" s="95"/>
      <c r="S29" s="226">
        <v>974.74</v>
      </c>
      <c r="T29" s="226">
        <v>5848.44</v>
      </c>
      <c r="U29" s="227">
        <v>0</v>
      </c>
      <c r="V29" s="227">
        <v>1</v>
      </c>
      <c r="W29" s="97"/>
      <c r="X29" s="98"/>
      <c r="Y29" s="8"/>
      <c r="Z29" s="8"/>
    </row>
    <row r="30" spans="2:26" ht="15.75" customHeight="1">
      <c r="B30" t="s">
        <v>137</v>
      </c>
      <c r="C30" t="s">
        <v>138</v>
      </c>
      <c r="F30">
        <v>1</v>
      </c>
      <c r="G30" s="226">
        <v>7023.15</v>
      </c>
      <c r="H30" s="226">
        <v>5089.24</v>
      </c>
      <c r="I30" s="226">
        <v>7023.15</v>
      </c>
      <c r="J30" s="106"/>
      <c r="K30">
        <v>1</v>
      </c>
      <c r="L30" s="226">
        <v>3511.57</v>
      </c>
      <c r="M30" s="226">
        <v>3511.57</v>
      </c>
      <c r="N30" s="108"/>
      <c r="O30" s="94"/>
      <c r="P30" s="99"/>
      <c r="Q30" s="103"/>
      <c r="R30" s="109"/>
      <c r="S30" s="226">
        <v>3511.57</v>
      </c>
      <c r="T30" s="226">
        <v>3511.57</v>
      </c>
      <c r="U30" s="227">
        <v>0</v>
      </c>
      <c r="V30" s="227">
        <v>1</v>
      </c>
      <c r="W30" s="112"/>
      <c r="X30" s="98"/>
      <c r="Y30" s="8"/>
      <c r="Z30" s="8"/>
    </row>
    <row r="31" spans="2:26" ht="15.75" customHeight="1">
      <c r="B31" t="s">
        <v>139</v>
      </c>
      <c r="C31" t="s">
        <v>140</v>
      </c>
      <c r="F31">
        <v>10</v>
      </c>
      <c r="G31" s="226">
        <v>395.87</v>
      </c>
      <c r="H31" s="226">
        <v>286.86</v>
      </c>
      <c r="I31" s="226">
        <v>3958.7</v>
      </c>
      <c r="J31" s="106"/>
      <c r="K31">
        <v>10</v>
      </c>
      <c r="L31" s="226">
        <v>197.94</v>
      </c>
      <c r="M31" s="226">
        <v>1979.4</v>
      </c>
      <c r="N31" s="115"/>
      <c r="O31" s="94"/>
      <c r="P31" s="116"/>
      <c r="Q31" s="95"/>
      <c r="R31" s="95"/>
      <c r="S31" s="226">
        <v>197.94</v>
      </c>
      <c r="T31" s="226">
        <v>1979.4</v>
      </c>
      <c r="U31" s="227">
        <v>0</v>
      </c>
      <c r="V31" s="227">
        <v>1</v>
      </c>
      <c r="W31" s="97"/>
    </row>
    <row r="32" spans="2:26" ht="15.75" customHeight="1">
      <c r="B32" t="s">
        <v>141</v>
      </c>
      <c r="C32" t="s">
        <v>142</v>
      </c>
      <c r="F32">
        <v>50</v>
      </c>
      <c r="G32" s="226">
        <v>5.51</v>
      </c>
      <c r="H32" s="226">
        <v>3.99</v>
      </c>
      <c r="I32" s="226">
        <v>275.5</v>
      </c>
      <c r="J32" s="106"/>
      <c r="K32">
        <v>50</v>
      </c>
      <c r="L32" s="226">
        <v>2.76</v>
      </c>
      <c r="M32" s="226">
        <v>138</v>
      </c>
      <c r="N32" s="108"/>
      <c r="O32" s="94"/>
      <c r="P32" s="99"/>
      <c r="Q32" s="103"/>
      <c r="R32" s="109"/>
      <c r="S32" s="226">
        <v>2.76</v>
      </c>
      <c r="T32" s="226">
        <v>138</v>
      </c>
      <c r="U32" s="227">
        <v>0</v>
      </c>
      <c r="V32" s="227">
        <v>1</v>
      </c>
      <c r="W32" s="112"/>
    </row>
    <row r="33" spans="2:26" ht="15.75" customHeight="1">
      <c r="B33" t="s">
        <v>143</v>
      </c>
      <c r="C33" t="s">
        <v>144</v>
      </c>
      <c r="F33">
        <v>50</v>
      </c>
      <c r="G33" s="226">
        <v>4.01</v>
      </c>
      <c r="H33" s="226">
        <v>2.91</v>
      </c>
      <c r="I33" s="226">
        <v>200.5</v>
      </c>
      <c r="J33" s="106"/>
      <c r="K33">
        <v>50</v>
      </c>
      <c r="L33" s="226">
        <v>2.0099999999999998</v>
      </c>
      <c r="M33" s="226">
        <v>100.5</v>
      </c>
      <c r="N33" s="115"/>
      <c r="O33" s="94"/>
      <c r="P33" s="116"/>
      <c r="Q33" s="95"/>
      <c r="R33" s="95"/>
      <c r="S33" s="226">
        <v>2.0099999999999998</v>
      </c>
      <c r="T33" s="226">
        <v>100.5</v>
      </c>
      <c r="U33" s="227">
        <v>0</v>
      </c>
      <c r="V33" s="227">
        <v>1</v>
      </c>
      <c r="W33" s="97"/>
    </row>
    <row r="34" spans="2:26" ht="15.75" customHeight="1">
      <c r="B34" t="s">
        <v>145</v>
      </c>
      <c r="C34" t="s">
        <v>146</v>
      </c>
      <c r="F34">
        <v>50</v>
      </c>
      <c r="G34" s="226">
        <v>5.35</v>
      </c>
      <c r="H34" s="226">
        <v>3.88</v>
      </c>
      <c r="I34" s="226">
        <v>267.5</v>
      </c>
      <c r="J34" s="106"/>
      <c r="K34">
        <v>50</v>
      </c>
      <c r="L34" s="226">
        <v>2.68</v>
      </c>
      <c r="M34" s="226">
        <v>134</v>
      </c>
      <c r="N34" s="108"/>
      <c r="O34" s="94"/>
      <c r="P34" s="99"/>
      <c r="Q34" s="103"/>
      <c r="R34" s="109"/>
      <c r="S34" s="226">
        <v>2.68</v>
      </c>
      <c r="T34" s="226">
        <v>134</v>
      </c>
      <c r="U34" s="227">
        <v>0</v>
      </c>
      <c r="V34" s="227">
        <v>1</v>
      </c>
      <c r="W34" s="112"/>
    </row>
    <row r="35" spans="2:26" ht="15.75" customHeight="1">
      <c r="B35" t="s">
        <v>147</v>
      </c>
      <c r="C35" t="s">
        <v>148</v>
      </c>
      <c r="F35">
        <v>2</v>
      </c>
      <c r="G35" s="226">
        <v>3842.24</v>
      </c>
      <c r="H35" s="226">
        <v>2784.23</v>
      </c>
      <c r="I35" s="226">
        <v>7684.48</v>
      </c>
      <c r="J35" s="106"/>
      <c r="K35">
        <v>2</v>
      </c>
      <c r="L35" s="226">
        <v>1921.12</v>
      </c>
      <c r="M35" s="226">
        <v>3842.24</v>
      </c>
      <c r="N35" s="115"/>
      <c r="O35" s="94"/>
      <c r="P35" s="116"/>
      <c r="Q35" s="95"/>
      <c r="R35" s="95"/>
      <c r="S35" s="226">
        <v>1921.12</v>
      </c>
      <c r="T35" s="226">
        <v>3842.24</v>
      </c>
      <c r="U35" s="227">
        <v>0</v>
      </c>
      <c r="V35" s="227">
        <v>1</v>
      </c>
      <c r="W35" s="97"/>
    </row>
    <row r="36" spans="2:26" ht="15.75" customHeight="1">
      <c r="B36" t="s">
        <v>149</v>
      </c>
      <c r="C36" t="s">
        <v>112</v>
      </c>
      <c r="F36">
        <v>4</v>
      </c>
      <c r="G36" s="226">
        <v>722.36</v>
      </c>
      <c r="H36" s="226">
        <v>523.45000000000005</v>
      </c>
      <c r="I36" s="226">
        <v>2889.44</v>
      </c>
      <c r="J36" s="106"/>
      <c r="K36">
        <v>4</v>
      </c>
      <c r="L36" s="226">
        <v>361.18</v>
      </c>
      <c r="M36" s="226">
        <v>1444.72</v>
      </c>
      <c r="N36" s="108"/>
      <c r="O36" s="94"/>
      <c r="P36" s="99"/>
      <c r="Q36" s="103"/>
      <c r="R36" s="109"/>
      <c r="S36" s="226">
        <v>361.18</v>
      </c>
      <c r="T36" s="226">
        <v>1444.72</v>
      </c>
      <c r="U36" s="227">
        <v>0</v>
      </c>
      <c r="V36" s="227">
        <v>1</v>
      </c>
      <c r="W36" s="112"/>
    </row>
    <row r="37" spans="2:26" ht="15.75" customHeight="1">
      <c r="B37" t="s">
        <v>113</v>
      </c>
      <c r="C37" t="s">
        <v>150</v>
      </c>
      <c r="F37">
        <v>4</v>
      </c>
      <c r="G37" s="226">
        <v>31.9</v>
      </c>
      <c r="H37" s="226">
        <v>23.12</v>
      </c>
      <c r="I37" s="226">
        <v>127.6</v>
      </c>
      <c r="J37" s="106"/>
      <c r="K37">
        <v>4</v>
      </c>
      <c r="L37" s="226">
        <v>15.95</v>
      </c>
      <c r="M37" s="226">
        <v>63.8</v>
      </c>
      <c r="N37" s="115"/>
      <c r="O37" s="94"/>
      <c r="P37" s="116"/>
      <c r="Q37" s="95"/>
      <c r="R37" s="95"/>
      <c r="S37" s="226">
        <v>15.95</v>
      </c>
      <c r="T37" s="226">
        <v>63.8</v>
      </c>
      <c r="U37" s="227">
        <v>0</v>
      </c>
      <c r="V37" s="227">
        <v>1</v>
      </c>
      <c r="W37" s="112"/>
    </row>
    <row r="38" spans="2:26" ht="15.75" customHeight="1">
      <c r="B38" t="s">
        <v>151</v>
      </c>
      <c r="C38" t="s">
        <v>152</v>
      </c>
      <c r="F38">
        <v>8</v>
      </c>
      <c r="G38" s="226">
        <v>860.3</v>
      </c>
      <c r="H38" s="226">
        <v>623.41</v>
      </c>
      <c r="I38" s="226">
        <v>6882.4</v>
      </c>
      <c r="J38" s="106"/>
      <c r="K38">
        <v>8</v>
      </c>
      <c r="L38" s="226">
        <v>430.15</v>
      </c>
      <c r="M38" s="226">
        <v>3441.2</v>
      </c>
      <c r="N38" s="108"/>
      <c r="O38" s="94"/>
      <c r="P38" s="99"/>
      <c r="Q38" s="103"/>
      <c r="R38" s="109"/>
      <c r="S38" s="226">
        <v>430.15</v>
      </c>
      <c r="T38" s="226">
        <v>3441.2</v>
      </c>
      <c r="U38" s="227">
        <v>0</v>
      </c>
      <c r="V38" s="227">
        <v>1</v>
      </c>
      <c r="W38" s="112"/>
    </row>
    <row r="39" spans="2:26" ht="15.75" customHeight="1">
      <c r="B39" t="s">
        <v>153</v>
      </c>
      <c r="C39" t="s">
        <v>154</v>
      </c>
      <c r="F39">
        <v>64</v>
      </c>
      <c r="G39" s="226">
        <v>24.13</v>
      </c>
      <c r="H39" s="226">
        <v>17.489999999999998</v>
      </c>
      <c r="I39" s="226">
        <v>1544.32</v>
      </c>
      <c r="J39" s="106"/>
      <c r="K39">
        <v>64</v>
      </c>
      <c r="L39" s="226">
        <v>12.07</v>
      </c>
      <c r="M39" s="226">
        <v>772.48</v>
      </c>
      <c r="N39" s="115"/>
      <c r="O39" s="94"/>
      <c r="P39" s="116"/>
      <c r="Q39" s="95"/>
      <c r="R39" s="95"/>
      <c r="S39" s="226">
        <v>12.07</v>
      </c>
      <c r="T39" s="226">
        <v>772.48</v>
      </c>
      <c r="U39" s="227">
        <v>0</v>
      </c>
      <c r="V39" s="227">
        <v>1</v>
      </c>
      <c r="W39" s="112"/>
    </row>
    <row r="40" spans="2:26" ht="15.75" customHeight="1">
      <c r="B40" t="s">
        <v>155</v>
      </c>
      <c r="C40" t="s">
        <v>144</v>
      </c>
      <c r="F40">
        <v>64</v>
      </c>
      <c r="G40" s="226">
        <v>6.39</v>
      </c>
      <c r="H40" s="226">
        <v>4.63</v>
      </c>
      <c r="I40" s="226">
        <v>408.96</v>
      </c>
      <c r="J40" s="106"/>
      <c r="K40">
        <v>64</v>
      </c>
      <c r="L40" s="226">
        <v>3.2</v>
      </c>
      <c r="M40" s="226">
        <v>204.8</v>
      </c>
      <c r="N40" s="108"/>
      <c r="O40" s="94"/>
      <c r="P40" s="99"/>
      <c r="Q40" s="103"/>
      <c r="R40" s="109"/>
      <c r="S40" s="226">
        <v>3.2</v>
      </c>
      <c r="T40" s="226">
        <v>204.8</v>
      </c>
      <c r="U40" s="227">
        <v>0</v>
      </c>
      <c r="V40" s="227">
        <v>1</v>
      </c>
      <c r="W40" s="112"/>
    </row>
    <row r="41" spans="2:26" ht="15.75" customHeight="1">
      <c r="B41" t="s">
        <v>156</v>
      </c>
      <c r="C41" t="s">
        <v>157</v>
      </c>
      <c r="F41">
        <v>8</v>
      </c>
      <c r="G41" s="226">
        <v>911.71</v>
      </c>
      <c r="H41" s="226">
        <v>660.66</v>
      </c>
      <c r="I41" s="226">
        <v>7293.68</v>
      </c>
      <c r="J41" s="106"/>
      <c r="K41">
        <v>8</v>
      </c>
      <c r="L41" s="226">
        <v>455.86</v>
      </c>
      <c r="M41" s="226">
        <v>3646.88</v>
      </c>
      <c r="N41" s="115"/>
      <c r="O41" s="94"/>
      <c r="P41" s="116"/>
      <c r="Q41" s="95"/>
      <c r="R41" s="95"/>
      <c r="S41" s="226">
        <v>455.86</v>
      </c>
      <c r="T41" s="226">
        <v>3646.88</v>
      </c>
      <c r="U41" s="227">
        <v>0</v>
      </c>
      <c r="V41" s="227">
        <v>1</v>
      </c>
      <c r="W41" s="112"/>
    </row>
    <row r="42" spans="2:26" ht="15.75" customHeight="1">
      <c r="B42" t="s">
        <v>158</v>
      </c>
      <c r="C42" t="s">
        <v>159</v>
      </c>
      <c r="F42">
        <v>32</v>
      </c>
      <c r="G42" s="226">
        <v>90.66</v>
      </c>
      <c r="H42" s="226">
        <v>65.7</v>
      </c>
      <c r="I42" s="226">
        <v>2901.12</v>
      </c>
      <c r="J42" s="106"/>
      <c r="K42">
        <v>32</v>
      </c>
      <c r="L42" s="226">
        <v>45.33</v>
      </c>
      <c r="M42" s="226">
        <v>1450.56</v>
      </c>
      <c r="N42" s="108"/>
      <c r="O42" s="94"/>
      <c r="P42" s="99"/>
      <c r="Q42" s="103"/>
      <c r="R42" s="109"/>
      <c r="S42" s="226">
        <v>45.33</v>
      </c>
      <c r="T42" s="226">
        <v>1450.56</v>
      </c>
      <c r="U42" s="227">
        <v>0</v>
      </c>
      <c r="V42" s="227">
        <v>1</v>
      </c>
      <c r="W42" s="112"/>
    </row>
    <row r="43" spans="2:26" ht="15.75" customHeight="1">
      <c r="B43" t="s">
        <v>160</v>
      </c>
      <c r="C43" t="s">
        <v>161</v>
      </c>
      <c r="F43">
        <v>2</v>
      </c>
      <c r="G43" s="226">
        <v>17017.28</v>
      </c>
      <c r="H43" s="226">
        <v>12331.36</v>
      </c>
      <c r="I43" s="226">
        <v>34034.559999999998</v>
      </c>
      <c r="J43" s="106"/>
      <c r="K43">
        <v>2</v>
      </c>
      <c r="L43" s="226">
        <v>8508.64</v>
      </c>
      <c r="M43" s="226">
        <v>17017.28</v>
      </c>
      <c r="N43" s="115"/>
      <c r="O43" s="94"/>
      <c r="P43" s="116"/>
      <c r="Q43" s="95"/>
      <c r="R43" s="95"/>
      <c r="S43" s="226">
        <v>8508.64</v>
      </c>
      <c r="T43" s="226">
        <v>17017.28</v>
      </c>
      <c r="U43" s="227">
        <v>0</v>
      </c>
      <c r="V43" s="227">
        <v>1</v>
      </c>
      <c r="W43" s="112"/>
    </row>
    <row r="44" spans="2:26" ht="15.75" customHeight="1">
      <c r="B44" t="s">
        <v>162</v>
      </c>
      <c r="C44" t="s">
        <v>163</v>
      </c>
      <c r="F44">
        <v>1</v>
      </c>
      <c r="G44" s="226">
        <v>77155.73</v>
      </c>
      <c r="H44" s="226">
        <v>55909.95</v>
      </c>
      <c r="I44" s="226">
        <v>77155.73</v>
      </c>
      <c r="J44" s="106"/>
      <c r="K44">
        <v>1</v>
      </c>
      <c r="L44" s="226">
        <v>38577.870000000003</v>
      </c>
      <c r="M44" s="226">
        <v>38577.870000000003</v>
      </c>
      <c r="N44" s="108"/>
      <c r="O44" s="94"/>
      <c r="P44" s="99"/>
      <c r="Q44" s="103"/>
      <c r="R44" s="109"/>
      <c r="S44" s="226">
        <v>38577.870000000003</v>
      </c>
      <c r="T44" s="226">
        <v>38577.870000000003</v>
      </c>
      <c r="U44" s="227">
        <v>0</v>
      </c>
      <c r="V44" s="227">
        <v>1</v>
      </c>
      <c r="W44" s="112"/>
    </row>
    <row r="45" spans="2:26" ht="15.75" customHeight="1">
      <c r="B45" t="s">
        <v>164</v>
      </c>
      <c r="C45" t="s">
        <v>165</v>
      </c>
      <c r="F45">
        <v>2</v>
      </c>
      <c r="G45" s="226">
        <v>453.17</v>
      </c>
      <c r="H45" s="226">
        <v>328.38</v>
      </c>
      <c r="I45" s="226">
        <v>906.34</v>
      </c>
      <c r="J45" s="106"/>
      <c r="K45">
        <v>2</v>
      </c>
      <c r="L45" s="226">
        <v>226.59</v>
      </c>
      <c r="M45" s="226">
        <v>453.18</v>
      </c>
      <c r="N45" s="115"/>
      <c r="O45" s="94"/>
      <c r="P45" s="116"/>
      <c r="Q45" s="95"/>
      <c r="R45" s="95"/>
      <c r="S45" s="226">
        <v>226.59</v>
      </c>
      <c r="T45" s="226">
        <v>453.18</v>
      </c>
      <c r="U45" s="227">
        <v>0</v>
      </c>
      <c r="V45" s="227">
        <v>1</v>
      </c>
      <c r="W45" s="112"/>
    </row>
    <row r="46" spans="2:26" ht="15.75" customHeight="1">
      <c r="B46" t="s">
        <v>166</v>
      </c>
      <c r="C46" t="s">
        <v>167</v>
      </c>
      <c r="F46">
        <v>1</v>
      </c>
      <c r="G46" s="226">
        <v>446.82</v>
      </c>
      <c r="H46" s="226">
        <v>323.77999999999997</v>
      </c>
      <c r="I46" s="226">
        <v>446.82</v>
      </c>
      <c r="J46" s="106"/>
      <c r="K46">
        <v>1</v>
      </c>
      <c r="L46" s="226">
        <v>223.41</v>
      </c>
      <c r="M46" s="226">
        <v>223.41</v>
      </c>
      <c r="N46" s="108"/>
      <c r="O46" s="94"/>
      <c r="P46" s="99"/>
      <c r="Q46" s="103"/>
      <c r="R46" s="109"/>
      <c r="S46" s="226">
        <v>223.41</v>
      </c>
      <c r="T46" s="226">
        <v>223.41</v>
      </c>
      <c r="U46" s="227">
        <v>0</v>
      </c>
      <c r="V46" s="227">
        <v>1</v>
      </c>
      <c r="W46" s="112"/>
    </row>
    <row r="47" spans="2:26" ht="15.75" customHeight="1">
      <c r="B47" t="s">
        <v>168</v>
      </c>
      <c r="C47" t="s">
        <v>169</v>
      </c>
      <c r="F47">
        <v>1</v>
      </c>
      <c r="G47" s="226">
        <v>556.86</v>
      </c>
      <c r="H47" s="226">
        <v>403.52</v>
      </c>
      <c r="I47" s="226">
        <v>556.86</v>
      </c>
      <c r="J47" s="106"/>
      <c r="K47">
        <v>1</v>
      </c>
      <c r="L47" s="226">
        <v>278.43</v>
      </c>
      <c r="M47" s="226">
        <v>278.43</v>
      </c>
      <c r="N47" s="115"/>
      <c r="O47" s="94"/>
      <c r="P47" s="116"/>
      <c r="Q47" s="95"/>
      <c r="R47" s="95"/>
      <c r="S47" s="226">
        <v>278.43</v>
      </c>
      <c r="T47" s="226">
        <v>278.43</v>
      </c>
      <c r="U47" s="227">
        <v>0</v>
      </c>
      <c r="V47" s="227">
        <v>1</v>
      </c>
      <c r="W47" s="112"/>
    </row>
    <row r="48" spans="2:26" ht="15.75" customHeight="1">
      <c r="B48" t="s">
        <v>170</v>
      </c>
      <c r="C48" t="s">
        <v>171</v>
      </c>
      <c r="F48">
        <v>1</v>
      </c>
      <c r="G48" s="226">
        <v>556.86</v>
      </c>
      <c r="H48" s="226">
        <v>403.52</v>
      </c>
      <c r="I48" s="226">
        <v>556.86</v>
      </c>
      <c r="J48" s="106"/>
      <c r="K48">
        <v>1</v>
      </c>
      <c r="L48" s="226">
        <v>278.43</v>
      </c>
      <c r="M48" s="226">
        <v>278.43</v>
      </c>
      <c r="N48" s="108"/>
      <c r="O48" s="94"/>
      <c r="P48" s="99"/>
      <c r="Q48" s="103"/>
      <c r="R48" s="109"/>
      <c r="S48" s="226">
        <v>278.43</v>
      </c>
      <c r="T48" s="226">
        <v>278.43</v>
      </c>
      <c r="U48" s="227">
        <v>0</v>
      </c>
      <c r="V48" s="227">
        <v>1</v>
      </c>
      <c r="W48" s="112"/>
      <c r="X48" s="98"/>
      <c r="Y48" s="8"/>
      <c r="Z48" s="117"/>
    </row>
    <row r="49" spans="2:26" ht="15.75" customHeight="1">
      <c r="B49" t="s">
        <v>172</v>
      </c>
      <c r="C49" t="s">
        <v>173</v>
      </c>
      <c r="F49">
        <v>32</v>
      </c>
      <c r="G49" s="226">
        <v>6.64</v>
      </c>
      <c r="H49" s="226">
        <v>4.8099999999999996</v>
      </c>
      <c r="I49" s="226">
        <v>212.48</v>
      </c>
      <c r="J49" s="106"/>
      <c r="K49">
        <v>32</v>
      </c>
      <c r="L49" s="226">
        <v>3.32</v>
      </c>
      <c r="M49" s="226">
        <v>106.24</v>
      </c>
      <c r="N49" s="115"/>
      <c r="O49" s="94"/>
      <c r="P49" s="116"/>
      <c r="Q49" s="95"/>
      <c r="R49" s="95"/>
      <c r="S49" s="226">
        <v>3.32</v>
      </c>
      <c r="T49" s="226">
        <v>106.24</v>
      </c>
      <c r="U49" s="227">
        <v>0</v>
      </c>
      <c r="V49" s="227">
        <v>1</v>
      </c>
      <c r="W49" s="97"/>
      <c r="X49" s="98"/>
      <c r="Y49" s="8"/>
      <c r="Z49" s="8"/>
    </row>
    <row r="50" spans="2:26" ht="15.75" customHeight="1">
      <c r="B50" t="s">
        <v>174</v>
      </c>
      <c r="C50" t="s">
        <v>175</v>
      </c>
      <c r="F50">
        <v>32</v>
      </c>
      <c r="G50" s="226">
        <v>4.7699999999999996</v>
      </c>
      <c r="H50" s="226">
        <v>3.46</v>
      </c>
      <c r="I50" s="226">
        <v>152.63999999999999</v>
      </c>
      <c r="J50" s="106"/>
      <c r="K50">
        <v>32</v>
      </c>
      <c r="L50" s="226">
        <v>2.39</v>
      </c>
      <c r="M50" s="226">
        <v>76.48</v>
      </c>
      <c r="N50" s="108"/>
      <c r="O50" s="94"/>
      <c r="P50" s="99"/>
      <c r="Q50" s="103"/>
      <c r="R50" s="109"/>
      <c r="S50" s="226">
        <v>2.39</v>
      </c>
      <c r="T50" s="226">
        <v>76.48</v>
      </c>
      <c r="U50" s="227">
        <v>0</v>
      </c>
      <c r="V50" s="227">
        <v>1</v>
      </c>
      <c r="W50" s="112"/>
      <c r="X50" s="98"/>
      <c r="Y50" s="8"/>
      <c r="Z50" s="8"/>
    </row>
    <row r="51" spans="2:26" ht="15.75" customHeight="1">
      <c r="B51" t="s">
        <v>176</v>
      </c>
      <c r="C51" t="s">
        <v>177</v>
      </c>
      <c r="F51">
        <v>32</v>
      </c>
      <c r="G51" s="226">
        <v>6.24</v>
      </c>
      <c r="H51" s="226">
        <v>4.5199999999999996</v>
      </c>
      <c r="I51" s="226">
        <v>199.68</v>
      </c>
      <c r="J51" s="106"/>
      <c r="K51">
        <v>32</v>
      </c>
      <c r="L51" s="226">
        <v>3.12</v>
      </c>
      <c r="M51" s="226">
        <v>99.84</v>
      </c>
      <c r="N51" s="115"/>
      <c r="O51" s="94"/>
      <c r="P51" s="116"/>
      <c r="Q51" s="95"/>
      <c r="R51" s="95"/>
      <c r="S51" s="226">
        <v>3.12</v>
      </c>
      <c r="T51" s="226">
        <v>99.84</v>
      </c>
      <c r="U51" s="227">
        <v>0</v>
      </c>
      <c r="V51" s="227">
        <v>1</v>
      </c>
      <c r="W51" s="97"/>
      <c r="X51" s="98"/>
      <c r="Y51" s="8"/>
      <c r="Z51" s="8"/>
    </row>
    <row r="52" spans="2:26" ht="15.75" customHeight="1">
      <c r="B52" t="s">
        <v>178</v>
      </c>
      <c r="C52" t="s">
        <v>179</v>
      </c>
      <c r="F52">
        <v>1</v>
      </c>
      <c r="G52" s="226">
        <v>6515.49</v>
      </c>
      <c r="H52" s="226">
        <v>4721.37</v>
      </c>
      <c r="I52" s="226">
        <v>6515.49</v>
      </c>
      <c r="J52" s="106"/>
      <c r="K52">
        <v>1</v>
      </c>
      <c r="L52" s="226">
        <v>3257.75</v>
      </c>
      <c r="M52" s="226">
        <v>3257.75</v>
      </c>
      <c r="N52" s="108"/>
      <c r="O52" s="94"/>
      <c r="P52" s="99"/>
      <c r="Q52" s="103"/>
      <c r="R52" s="109"/>
      <c r="S52" s="226">
        <v>3257.75</v>
      </c>
      <c r="T52" s="226">
        <v>3257.75</v>
      </c>
      <c r="U52" s="227">
        <v>0</v>
      </c>
      <c r="V52" s="227">
        <v>1</v>
      </c>
      <c r="W52" s="112"/>
      <c r="X52" s="98"/>
      <c r="Y52" s="8"/>
      <c r="Z52" s="8"/>
    </row>
    <row r="53" spans="2:26" ht="15.75" customHeight="1">
      <c r="B53" t="s">
        <v>180</v>
      </c>
      <c r="C53" t="s">
        <v>181</v>
      </c>
      <c r="F53">
        <v>1</v>
      </c>
      <c r="G53" s="226">
        <v>460.99</v>
      </c>
      <c r="H53" s="226">
        <v>334.05</v>
      </c>
      <c r="I53" s="226">
        <v>460.99</v>
      </c>
      <c r="J53" s="106"/>
      <c r="K53">
        <v>1</v>
      </c>
      <c r="L53" s="226">
        <v>230.5</v>
      </c>
      <c r="M53" s="226">
        <v>230.5</v>
      </c>
      <c r="N53" s="115"/>
      <c r="O53" s="94"/>
      <c r="P53" s="116"/>
      <c r="Q53" s="95"/>
      <c r="R53" s="95"/>
      <c r="S53" s="226">
        <v>230.5</v>
      </c>
      <c r="T53" s="226">
        <v>230.5</v>
      </c>
      <c r="U53" s="227">
        <v>0</v>
      </c>
      <c r="V53" s="227">
        <v>1</v>
      </c>
      <c r="W53" s="97"/>
    </row>
    <row r="54" spans="2:26" ht="15.75" customHeight="1">
      <c r="B54" t="s">
        <v>182</v>
      </c>
      <c r="C54" t="s">
        <v>183</v>
      </c>
      <c r="F54">
        <v>2</v>
      </c>
      <c r="G54" s="226">
        <v>12.96</v>
      </c>
      <c r="H54" s="226">
        <v>9.39</v>
      </c>
      <c r="I54" s="226">
        <v>25.92</v>
      </c>
      <c r="J54" s="106"/>
      <c r="K54">
        <v>2</v>
      </c>
      <c r="L54" s="226">
        <v>6.48</v>
      </c>
      <c r="M54" s="226">
        <v>12.96</v>
      </c>
      <c r="N54" s="108"/>
      <c r="O54" s="94"/>
      <c r="P54" s="99"/>
      <c r="Q54" s="103"/>
      <c r="R54" s="109"/>
      <c r="S54" s="226">
        <v>6.48</v>
      </c>
      <c r="T54" s="226">
        <v>12.96</v>
      </c>
      <c r="U54" s="227">
        <v>0</v>
      </c>
      <c r="V54" s="227">
        <v>1</v>
      </c>
      <c r="W54" s="112"/>
    </row>
    <row r="55" spans="2:26" ht="15.75" customHeight="1">
      <c r="B55" t="s">
        <v>184</v>
      </c>
      <c r="C55" t="s">
        <v>185</v>
      </c>
      <c r="F55">
        <v>2</v>
      </c>
      <c r="G55" s="226">
        <v>22.39</v>
      </c>
      <c r="H55" s="226">
        <v>16.22</v>
      </c>
      <c r="I55" s="226">
        <v>44.78</v>
      </c>
      <c r="J55" s="106"/>
      <c r="K55">
        <v>2</v>
      </c>
      <c r="L55" s="226">
        <v>11.2</v>
      </c>
      <c r="M55" s="226">
        <v>22.4</v>
      </c>
      <c r="N55" s="115"/>
      <c r="O55" s="94"/>
      <c r="P55" s="116"/>
      <c r="Q55" s="95"/>
      <c r="R55" s="95"/>
      <c r="S55" s="226">
        <v>11.2</v>
      </c>
      <c r="T55" s="226">
        <v>22.4</v>
      </c>
      <c r="U55" s="227">
        <v>0</v>
      </c>
      <c r="V55" s="227">
        <v>1</v>
      </c>
      <c r="W55" s="97"/>
    </row>
    <row r="56" spans="2:26" ht="15.75" customHeight="1">
      <c r="B56" t="s">
        <v>186</v>
      </c>
      <c r="C56" t="s">
        <v>187</v>
      </c>
      <c r="F56">
        <v>2</v>
      </c>
      <c r="G56" s="226">
        <v>11.83</v>
      </c>
      <c r="H56" s="226">
        <v>8.57</v>
      </c>
      <c r="I56" s="226">
        <v>23.66</v>
      </c>
      <c r="J56" s="106"/>
      <c r="K56">
        <v>2</v>
      </c>
      <c r="L56" s="226">
        <v>5.92</v>
      </c>
      <c r="M56" s="226">
        <v>11.84</v>
      </c>
      <c r="N56" s="108"/>
      <c r="O56" s="94"/>
      <c r="P56" s="99"/>
      <c r="Q56" s="103"/>
      <c r="R56" s="109"/>
      <c r="S56" s="226">
        <v>5.92</v>
      </c>
      <c r="T56" s="226">
        <v>11.84</v>
      </c>
      <c r="U56" s="227">
        <v>0</v>
      </c>
      <c r="V56" s="227">
        <v>1</v>
      </c>
      <c r="W56" s="112"/>
    </row>
    <row r="57" spans="2:26" ht="15.75" customHeight="1">
      <c r="B57" t="s">
        <v>188</v>
      </c>
      <c r="C57" t="s">
        <v>189</v>
      </c>
      <c r="F57">
        <v>1</v>
      </c>
      <c r="G57" s="226">
        <v>188.46</v>
      </c>
      <c r="H57" s="226">
        <v>136.57</v>
      </c>
      <c r="I57" s="226">
        <v>188.46</v>
      </c>
      <c r="J57" s="106"/>
      <c r="K57">
        <v>1</v>
      </c>
      <c r="L57" s="226">
        <v>94.23</v>
      </c>
      <c r="M57" s="226">
        <v>94.23</v>
      </c>
      <c r="N57" s="115"/>
      <c r="O57" s="94"/>
      <c r="P57" s="116"/>
      <c r="Q57" s="95"/>
      <c r="R57" s="95"/>
      <c r="S57" s="226">
        <v>94.23</v>
      </c>
      <c r="T57" s="226">
        <v>94.23</v>
      </c>
      <c r="U57" s="227">
        <v>0</v>
      </c>
      <c r="V57" s="227">
        <v>1</v>
      </c>
      <c r="W57" s="97"/>
    </row>
    <row r="58" spans="2:26" ht="15.75" customHeight="1">
      <c r="B58" t="s">
        <v>190</v>
      </c>
      <c r="C58" t="s">
        <v>191</v>
      </c>
      <c r="F58">
        <v>2</v>
      </c>
      <c r="G58" s="226">
        <v>25270.36</v>
      </c>
      <c r="H58" s="226">
        <v>18311.86</v>
      </c>
      <c r="I58" s="226">
        <v>50540.72</v>
      </c>
      <c r="J58" s="106"/>
      <c r="K58">
        <v>2</v>
      </c>
      <c r="L58" s="226">
        <v>12635.18</v>
      </c>
      <c r="M58" s="226">
        <v>25270.36</v>
      </c>
      <c r="N58" s="108"/>
      <c r="O58" s="94"/>
      <c r="P58" s="99"/>
      <c r="Q58" s="103"/>
      <c r="R58" s="109"/>
      <c r="S58" s="226">
        <v>12635.18</v>
      </c>
      <c r="T58" s="226">
        <v>25270.36</v>
      </c>
      <c r="U58" s="227">
        <v>0</v>
      </c>
      <c r="V58" s="227">
        <v>1</v>
      </c>
      <c r="W58" s="112"/>
    </row>
    <row r="59" spans="2:26" ht="15.75" customHeight="1">
      <c r="B59" t="s">
        <v>192</v>
      </c>
      <c r="C59" t="s">
        <v>193</v>
      </c>
      <c r="F59">
        <v>2</v>
      </c>
      <c r="G59" s="226">
        <v>11979.51</v>
      </c>
      <c r="H59" s="226">
        <v>8680.7999999999993</v>
      </c>
      <c r="I59" s="226">
        <v>23959.02</v>
      </c>
      <c r="J59" s="106"/>
      <c r="K59">
        <v>2</v>
      </c>
      <c r="L59" s="226">
        <v>5989.76</v>
      </c>
      <c r="M59" s="226">
        <v>11979.52</v>
      </c>
      <c r="N59" s="115"/>
      <c r="O59" s="94"/>
      <c r="P59" s="116"/>
      <c r="Q59" s="95"/>
      <c r="R59" s="95"/>
      <c r="S59" s="226">
        <v>5989.76</v>
      </c>
      <c r="T59" s="226">
        <v>11979.52</v>
      </c>
      <c r="U59" s="227">
        <v>0</v>
      </c>
      <c r="V59" s="227">
        <v>1</v>
      </c>
      <c r="W59" s="112"/>
    </row>
    <row r="60" spans="2:26" ht="15.75" customHeight="1">
      <c r="B60" t="s">
        <v>111</v>
      </c>
      <c r="C60" t="s">
        <v>194</v>
      </c>
      <c r="F60">
        <v>1</v>
      </c>
      <c r="G60" s="226">
        <v>16189.54</v>
      </c>
      <c r="H60" s="226">
        <v>11731.55</v>
      </c>
      <c r="I60" s="226">
        <v>16189.54</v>
      </c>
      <c r="J60" s="106"/>
      <c r="K60">
        <v>1</v>
      </c>
      <c r="L60" s="226">
        <v>8094.77</v>
      </c>
      <c r="M60" s="226">
        <v>8094.77</v>
      </c>
      <c r="N60" s="108"/>
      <c r="O60" s="94"/>
      <c r="P60" s="99"/>
      <c r="Q60" s="103"/>
      <c r="R60" s="109"/>
      <c r="S60" s="226">
        <v>8094.77</v>
      </c>
      <c r="T60" s="226">
        <v>8094.77</v>
      </c>
      <c r="U60" s="227">
        <v>0</v>
      </c>
      <c r="V60" s="227">
        <v>1</v>
      </c>
      <c r="W60" s="112"/>
    </row>
    <row r="61" spans="2:26" ht="15.75" customHeight="1">
      <c r="B61" t="s">
        <v>195</v>
      </c>
      <c r="C61" t="s">
        <v>110</v>
      </c>
      <c r="F61">
        <v>1</v>
      </c>
      <c r="G61" s="226">
        <v>6963.59</v>
      </c>
      <c r="H61" s="226">
        <v>5046.08</v>
      </c>
      <c r="I61" s="226">
        <v>6963.59</v>
      </c>
      <c r="J61" s="106"/>
      <c r="K61">
        <v>1</v>
      </c>
      <c r="L61" s="226">
        <v>3481.8</v>
      </c>
      <c r="M61" s="226">
        <v>3481.8</v>
      </c>
      <c r="N61" s="115"/>
      <c r="O61" s="94"/>
      <c r="P61" s="116"/>
      <c r="Q61" s="95"/>
      <c r="R61" s="95"/>
      <c r="S61" s="226">
        <v>3481.8</v>
      </c>
      <c r="T61" s="226">
        <v>3481.8</v>
      </c>
      <c r="U61" s="227">
        <v>0</v>
      </c>
      <c r="V61" s="227">
        <v>1</v>
      </c>
      <c r="W61" s="112"/>
    </row>
    <row r="62" spans="2:26" ht="15.75" customHeight="1">
      <c r="B62" t="s">
        <v>196</v>
      </c>
      <c r="C62" t="s">
        <v>197</v>
      </c>
      <c r="F62">
        <v>1</v>
      </c>
      <c r="G62" s="226">
        <v>20827.759999999998</v>
      </c>
      <c r="H62" s="226">
        <v>15092.58</v>
      </c>
      <c r="I62" s="226">
        <v>20827.759999999998</v>
      </c>
      <c r="J62" s="106"/>
      <c r="K62">
        <v>1</v>
      </c>
      <c r="L62" s="226">
        <v>10413.879999999999</v>
      </c>
      <c r="M62" s="226">
        <v>10413.879999999999</v>
      </c>
      <c r="N62" s="108"/>
      <c r="O62" s="94"/>
      <c r="P62" s="99"/>
      <c r="Q62" s="103"/>
      <c r="R62" s="109"/>
      <c r="S62" s="226">
        <v>10413.879999999999</v>
      </c>
      <c r="T62" s="226">
        <v>10413.879999999999</v>
      </c>
      <c r="U62" s="227">
        <v>0</v>
      </c>
      <c r="V62" s="227">
        <v>1</v>
      </c>
      <c r="W62" s="112"/>
    </row>
    <row r="63" spans="2:26" ht="15.75" customHeight="1">
      <c r="B63" t="s">
        <v>198</v>
      </c>
      <c r="C63" t="s">
        <v>199</v>
      </c>
      <c r="F63">
        <v>1</v>
      </c>
      <c r="G63" s="226">
        <v>13749.8</v>
      </c>
      <c r="H63" s="226">
        <v>9963.6200000000008</v>
      </c>
      <c r="I63" s="226">
        <v>13749.8</v>
      </c>
      <c r="J63" s="106"/>
      <c r="K63">
        <v>1</v>
      </c>
      <c r="L63" s="226">
        <v>6874.9</v>
      </c>
      <c r="M63" s="226">
        <v>6874.9</v>
      </c>
      <c r="N63" s="115"/>
      <c r="O63" s="94"/>
      <c r="P63" s="116"/>
      <c r="Q63" s="95"/>
      <c r="R63" s="95"/>
      <c r="S63" s="226">
        <v>6874.9</v>
      </c>
      <c r="T63" s="226">
        <v>6874.9</v>
      </c>
      <c r="U63" s="227">
        <v>0</v>
      </c>
      <c r="V63" s="227">
        <v>1</v>
      </c>
      <c r="W63" s="112"/>
    </row>
    <row r="64" spans="2:26" ht="15.75" customHeight="1">
      <c r="B64" t="s">
        <v>200</v>
      </c>
      <c r="C64" t="s">
        <v>201</v>
      </c>
      <c r="F64">
        <v>1</v>
      </c>
      <c r="G64" s="226">
        <v>2482.65</v>
      </c>
      <c r="H64" s="226">
        <v>1799.02</v>
      </c>
      <c r="I64" s="226">
        <v>2482.65</v>
      </c>
      <c r="J64" s="106"/>
      <c r="K64">
        <v>1</v>
      </c>
      <c r="L64" s="226">
        <v>1241.33</v>
      </c>
      <c r="M64" s="226">
        <v>1241.33</v>
      </c>
      <c r="N64" s="108"/>
      <c r="O64" s="94"/>
      <c r="P64" s="99"/>
      <c r="Q64" s="103"/>
      <c r="R64" s="109"/>
      <c r="S64" s="226">
        <v>1241.33</v>
      </c>
      <c r="T64" s="226">
        <v>1241.33</v>
      </c>
      <c r="U64" s="227">
        <v>0</v>
      </c>
      <c r="V64" s="227">
        <v>1</v>
      </c>
      <c r="W64" s="112"/>
    </row>
    <row r="65" spans="2:23" ht="15.75" customHeight="1">
      <c r="B65" t="s">
        <v>202</v>
      </c>
      <c r="C65" t="s">
        <v>203</v>
      </c>
      <c r="F65">
        <v>1</v>
      </c>
      <c r="G65" s="226">
        <v>3364.13</v>
      </c>
      <c r="H65" s="226">
        <v>2437.7800000000002</v>
      </c>
      <c r="I65" s="226">
        <v>3364.13</v>
      </c>
      <c r="J65" s="106"/>
      <c r="K65">
        <v>1</v>
      </c>
      <c r="L65" s="226">
        <v>1682.07</v>
      </c>
      <c r="M65" s="226">
        <v>1682.07</v>
      </c>
      <c r="N65" s="115"/>
      <c r="O65" s="94"/>
      <c r="P65" s="116"/>
      <c r="Q65" s="95"/>
      <c r="R65" s="95"/>
      <c r="S65" s="226">
        <v>1682.07</v>
      </c>
      <c r="T65" s="226">
        <v>1682.07</v>
      </c>
      <c r="U65" s="227">
        <v>0</v>
      </c>
      <c r="V65" s="227">
        <v>1</v>
      </c>
      <c r="W65" s="112"/>
    </row>
    <row r="66" spans="2:23" ht="15.75" customHeight="1">
      <c r="B66" s="99"/>
      <c r="C66" s="100"/>
      <c r="D66" s="87"/>
      <c r="E66" s="101"/>
      <c r="F66" s="102"/>
      <c r="G66" s="103"/>
      <c r="H66" s="104"/>
      <c r="I66" s="105"/>
      <c r="J66" s="106"/>
      <c r="K66" s="107"/>
      <c r="L66" s="104"/>
      <c r="M66" s="104"/>
      <c r="N66" s="108"/>
      <c r="O66" s="94"/>
      <c r="P66" s="99"/>
      <c r="Q66" s="103"/>
      <c r="R66" s="109"/>
      <c r="S66" s="110"/>
      <c r="T66" s="110"/>
      <c r="U66" s="111"/>
      <c r="V66" s="111"/>
      <c r="W66" s="112"/>
    </row>
    <row r="67" spans="2:23" ht="15.75" customHeight="1">
      <c r="B67" s="86"/>
      <c r="C67" s="113"/>
      <c r="D67" s="87"/>
      <c r="E67" s="88"/>
      <c r="F67" s="114"/>
      <c r="G67" s="95"/>
      <c r="H67" s="90"/>
      <c r="I67" s="91"/>
      <c r="J67" s="106"/>
      <c r="K67" s="89"/>
      <c r="L67" s="90"/>
      <c r="M67" s="90"/>
      <c r="N67" s="115"/>
      <c r="O67" s="94"/>
      <c r="P67" s="116"/>
      <c r="Q67" s="95"/>
      <c r="R67" s="95"/>
      <c r="S67" s="95"/>
      <c r="T67" s="95"/>
      <c r="U67" s="96"/>
      <c r="V67" s="96"/>
      <c r="W67" s="112"/>
    </row>
    <row r="68" spans="2:23" ht="15.75" customHeight="1">
      <c r="B68" s="99"/>
      <c r="C68" s="100"/>
      <c r="D68" s="87"/>
      <c r="E68" s="101"/>
      <c r="F68" s="102"/>
      <c r="G68" s="103"/>
      <c r="H68" s="104"/>
      <c r="I68" s="105"/>
      <c r="J68" s="106"/>
      <c r="K68" s="107"/>
      <c r="L68" s="104"/>
      <c r="M68" s="104"/>
      <c r="N68" s="108"/>
      <c r="O68" s="94"/>
      <c r="P68" s="99"/>
      <c r="Q68" s="103"/>
      <c r="R68" s="109"/>
      <c r="S68" s="110"/>
      <c r="T68" s="110"/>
      <c r="U68" s="111"/>
      <c r="V68" s="111"/>
      <c r="W68" s="112"/>
    </row>
    <row r="69" spans="2:23" ht="15.75" customHeight="1">
      <c r="B69" s="86"/>
      <c r="C69" s="113"/>
      <c r="D69" s="87"/>
      <c r="E69" s="88"/>
      <c r="F69" s="114"/>
      <c r="G69" s="95"/>
      <c r="H69" s="90"/>
      <c r="I69" s="91"/>
      <c r="J69" s="106"/>
      <c r="K69" s="89"/>
      <c r="L69" s="90"/>
      <c r="M69" s="90"/>
      <c r="N69" s="115"/>
      <c r="O69" s="94"/>
      <c r="P69" s="116"/>
      <c r="Q69" s="95"/>
      <c r="R69" s="95"/>
      <c r="S69" s="95"/>
      <c r="T69" s="95"/>
      <c r="U69" s="96"/>
      <c r="V69" s="96"/>
      <c r="W69" s="112"/>
    </row>
    <row r="70" spans="2:23" ht="20.25" customHeight="1">
      <c r="B70" s="118"/>
      <c r="C70" s="118"/>
      <c r="D70" s="119"/>
      <c r="E70" s="120" t="s">
        <v>107</v>
      </c>
      <c r="F70" s="121">
        <f>SUM(F19:F69)</f>
        <v>487</v>
      </c>
      <c r="G70" s="122">
        <f t="shared" ref="F70:I70" si="0">SUM(G19:G69)</f>
        <v>221719.84000000005</v>
      </c>
      <c r="H70" s="123">
        <f t="shared" si="0"/>
        <v>160666.55000000002</v>
      </c>
      <c r="I70" s="124">
        <f t="shared" si="0"/>
        <v>315127.21000000002</v>
      </c>
      <c r="J70" s="125"/>
      <c r="K70" s="126">
        <f t="shared" ref="K70:M70" si="1">SUM(K19:K69)</f>
        <v>487</v>
      </c>
      <c r="L70" s="123">
        <f t="shared" si="1"/>
        <v>110860.02000000002</v>
      </c>
      <c r="M70" s="124">
        <f t="shared" si="1"/>
        <v>157565.34999999995</v>
      </c>
      <c r="N70" s="124"/>
      <c r="O70" s="127"/>
      <c r="P70" s="128"/>
      <c r="Q70" s="123">
        <f t="shared" ref="Q70:T70" si="2">SUM(Q19:Q69)</f>
        <v>0</v>
      </c>
      <c r="R70" s="123">
        <f t="shared" si="2"/>
        <v>0</v>
      </c>
      <c r="S70" s="124">
        <f t="shared" si="2"/>
        <v>110860.02000000002</v>
      </c>
      <c r="T70" s="124">
        <f t="shared" si="2"/>
        <v>157565.34999999995</v>
      </c>
      <c r="U70" s="129"/>
      <c r="V70" s="129"/>
      <c r="W70" s="130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  <dataValidation type="list" allowBlank="1" showErrorMessage="1" sqref="E66:E69 F19:F65" xr:uid="{00000000-0002-0000-0100-000000000000}">
      <formula1>$Z$19:$Z$50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 D7R Dozer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2025-06-10T14:48:01Z</dcterms:modified>
</cp:coreProperties>
</file>