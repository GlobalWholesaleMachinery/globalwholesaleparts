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CAA30DFA-1FC8-489F-867B-AF55F7248326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Sheet1" sheetId="12" r:id="rId1"/>
    <sheet name="CAT 140H MOTOR GRAD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3" l="1"/>
  <c r="L50" i="3"/>
  <c r="G50" i="3"/>
  <c r="F50" i="3"/>
  <c r="P11" i="3" s="1"/>
  <c r="K50" i="3"/>
  <c r="R18" i="3"/>
  <c r="I18" i="3"/>
  <c r="H18" i="3"/>
  <c r="E16" i="3"/>
  <c r="P8" i="3"/>
  <c r="P1" i="3"/>
  <c r="R50" i="3" l="1"/>
  <c r="H50" i="3"/>
  <c r="I50" i="3"/>
  <c r="P2" i="3" s="1"/>
  <c r="M50" i="3"/>
  <c r="P3" i="3" s="1"/>
  <c r="S50" i="3" l="1"/>
  <c r="T50" i="3"/>
  <c r="P6" i="3" s="1"/>
  <c r="V15" i="3"/>
  <c r="P9" i="3" s="1"/>
  <c r="P7" i="3"/>
  <c r="P5" i="3"/>
  <c r="P4" i="3"/>
  <c r="S9" i="3" l="1"/>
  <c r="U9" i="3" l="1"/>
  <c r="T9" i="3"/>
  <c r="V9" i="3" s="1"/>
</calcChain>
</file>

<file path=xl/sharedStrings.xml><?xml version="1.0" encoding="utf-8"?>
<sst xmlns="http://schemas.openxmlformats.org/spreadsheetml/2006/main" count="143" uniqueCount="124">
  <si>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</si>
  <si>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</si>
  <si>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</si>
  <si>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</si>
  <si>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</si>
  <si>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</si>
  <si>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</si>
  <si>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</si>
  <si>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</si>
  <si>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</si>
  <si>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</si>
  <si>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</si>
  <si>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</si>
  <si>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</si>
  <si>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</si>
  <si>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</si>
  <si>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</si>
  <si>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</si>
  <si>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</si>
  <si>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</si>
  <si>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</si>
  <si>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</si>
  <si>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</si>
  <si>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</si>
  <si>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</si>
  <si>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</si>
  <si>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</si>
  <si>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</si>
  <si>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</si>
  <si>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</si>
  <si>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</si>
  <si>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</si>
  <si>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</si>
  <si>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</si>
  <si>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</si>
  <si>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</si>
  <si>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</si>
  <si>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</si>
  <si>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</si>
  <si>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</si>
  <si>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</si>
  <si>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</si>
  <si>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</si>
  <si>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</si>
  <si>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</si>
  <si>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</si>
  <si>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</si>
  <si>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</si>
  <si>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</si>
  <si>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</si>
  <si>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</si>
  <si>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</si>
  <si>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</si>
  <si>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</si>
  <si>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</si>
  <si>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</si>
  <si>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</si>
  <si>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</si>
  <si>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</si>
  <si>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</si>
  <si>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</si>
  <si>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</si>
  <si>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</si>
  <si>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</si>
  <si>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</si>
  <si>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</si>
  <si>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</si>
  <si>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</si>
  <si>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</si>
  <si>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</si>
  <si>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</si>
  <si>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</si>
  <si>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</si>
  <si>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</si>
  <si>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</si>
  <si>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</si>
  <si>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</si>
  <si>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</si>
  <si>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</si>
  <si>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</si>
  <si>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Cat</t>
  </si>
  <si>
    <t>1R-1808</t>
  </si>
  <si>
    <t>ENGINE OIL FILTER</t>
  </si>
  <si>
    <t>1R-0762</t>
  </si>
  <si>
    <t>FUEL FILTER</t>
  </si>
  <si>
    <t>432-8525</t>
  </si>
  <si>
    <t>FUEL WATER SEPARATOR FILTER</t>
  </si>
  <si>
    <t>338-3540</t>
  </si>
  <si>
    <t>HYDRAULIC FILTER</t>
  </si>
  <si>
    <t>HYDRAULIC TRANSMISSION OIL FILTER</t>
  </si>
  <si>
    <t>380-3941</t>
  </si>
  <si>
    <t>PRIMARY AIR FILTER</t>
  </si>
  <si>
    <t>380-3942</t>
  </si>
  <si>
    <t>SECONDARY AIR FILTER ELEMENT</t>
  </si>
  <si>
    <t>211-2660</t>
  </si>
  <si>
    <t>CABIN AIR FILTER ELEMENT</t>
  </si>
  <si>
    <t>153-5700</t>
  </si>
  <si>
    <t>12V 4D BCI BATTERY (21" X 8.3" X 8.9")</t>
  </si>
  <si>
    <t>652-0820</t>
  </si>
  <si>
    <t xml:space="preserve">ENGINE OVERHAUL KIT </t>
  </si>
  <si>
    <t>223-7468</t>
  </si>
  <si>
    <t>CAMSHAFT</t>
  </si>
  <si>
    <t>313-3996</t>
  </si>
  <si>
    <t>CRANKSHAFT</t>
  </si>
  <si>
    <t>594-5181</t>
  </si>
  <si>
    <t>CYLINDER HEAD</t>
  </si>
  <si>
    <t>247-2956</t>
  </si>
  <si>
    <t>TURBOCHARGER</t>
  </si>
  <si>
    <t>282-4577</t>
  </si>
  <si>
    <t>STRAIGHT BLADE AS</t>
  </si>
  <si>
    <t>519-2885</t>
  </si>
  <si>
    <t>CYLINDER</t>
  </si>
  <si>
    <t>283-1068</t>
  </si>
  <si>
    <t>SERRATED CUTTING EDGE</t>
  </si>
  <si>
    <t>1J-6762</t>
  </si>
  <si>
    <t>PLOW BOLT</t>
  </si>
  <si>
    <t>2J-3506</t>
  </si>
  <si>
    <t>NUT</t>
  </si>
  <si>
    <t>8E-5529</t>
  </si>
  <si>
    <t>END BIT</t>
  </si>
  <si>
    <t>5J-4773</t>
  </si>
  <si>
    <t>END BIT BOLT</t>
  </si>
  <si>
    <t>END BIT NUT</t>
  </si>
  <si>
    <t xml:space="preserve"> $-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</si>
</sst>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4"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97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vertical="center"/>
    </xf>
    <xf numFmtId="0" fontId="1" fillId="0" borderId="0" xfId="0" applyFont="1"/>
    <xf numFmtId="0" fontId="4" fillId="4" borderId="12" xfId="0" applyFont="1" applyFill="1" applyBorder="1" applyAlignment="1">
      <alignment horizontal="right"/>
    </xf>
    <xf numFmtId="0" fontId="1" fillId="5" borderId="12" xfId="0" applyFont="1" applyFill="1" applyBorder="1" applyAlignment="1">
      <alignment horizontal="center"/>
    </xf>
    <xf numFmtId="0" fontId="5" fillId="7" borderId="19" xfId="0" applyFont="1" applyFill="1" applyBorder="1" applyAlignment="1">
      <alignment horizontal="center" vertical="center" wrapText="1"/>
    </xf>
    <xf numFmtId="164" fontId="1" fillId="5" borderId="20" xfId="0" applyNumberFormat="1" applyFont="1" applyFill="1" applyBorder="1"/>
    <xf numFmtId="164" fontId="1" fillId="2" borderId="1" xfId="0" applyNumberFormat="1" applyFont="1" applyFill="1" applyBorder="1"/>
    <xf numFmtId="0" fontId="4" fillId="4" borderId="21" xfId="0" applyFont="1" applyFill="1" applyBorder="1" applyAlignment="1">
      <alignment horizontal="right"/>
    </xf>
    <xf numFmtId="0" fontId="1" fillId="5" borderId="21" xfId="0" applyFont="1" applyFill="1" applyBorder="1" applyAlignment="1">
      <alignment horizontal="center"/>
    </xf>
    <xf numFmtId="0" fontId="1" fillId="5" borderId="20" xfId="0" applyFont="1" applyFill="1" applyBorder="1"/>
    <xf numFmtId="165" fontId="6" fillId="0" borderId="0" xfId="0" applyNumberFormat="1" applyFont="1"/>
    <xf numFmtId="0" fontId="4" fillId="4" borderId="22" xfId="0" applyFont="1" applyFill="1" applyBorder="1" applyAlignment="1">
      <alignment horizontal="right"/>
    </xf>
    <xf numFmtId="0" fontId="8" fillId="5" borderId="20" xfId="0" applyFont="1" applyFill="1" applyBorder="1"/>
    <xf numFmtId="0" fontId="9" fillId="2" borderId="1" xfId="0" applyFont="1" applyFill="1" applyBorder="1"/>
    <xf numFmtId="9" fontId="6" fillId="0" borderId="0" xfId="0" applyNumberFormat="1" applyFont="1"/>
    <xf numFmtId="0" fontId="10" fillId="2" borderId="1" xfId="0" applyFont="1" applyFill="1" applyBorder="1"/>
    <xf numFmtId="0" fontId="4" fillId="8" borderId="31" xfId="0" applyFont="1" applyFill="1" applyBorder="1" applyAlignment="1">
      <alignment horizontal="right"/>
    </xf>
    <xf numFmtId="0" fontId="11" fillId="9" borderId="32" xfId="0" applyFont="1" applyFill="1" applyBorder="1" applyAlignment="1">
      <alignment horizontal="center"/>
    </xf>
    <xf numFmtId="0" fontId="11" fillId="9" borderId="33" xfId="0" applyFont="1" applyFill="1" applyBorder="1" applyAlignment="1">
      <alignment horizontal="center" vertical="center"/>
    </xf>
    <xf numFmtId="0" fontId="11" fillId="9" borderId="34" xfId="0" applyFont="1" applyFill="1" applyBorder="1" applyAlignment="1">
      <alignment horizontal="center" vertical="center"/>
    </xf>
    <xf numFmtId="0" fontId="1" fillId="5" borderId="1" xfId="0" applyFont="1" applyFill="1" applyBorder="1"/>
    <xf numFmtId="165" fontId="4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/>
    <xf numFmtId="0" fontId="6" fillId="8" borderId="1" xfId="0" applyFont="1" applyFill="1" applyBorder="1" applyAlignment="1">
      <alignment horizontal="center"/>
    </xf>
    <xf numFmtId="9" fontId="1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center"/>
    </xf>
    <xf numFmtId="0" fontId="14" fillId="7" borderId="19" xfId="0" applyFont="1" applyFill="1" applyBorder="1" applyAlignment="1">
      <alignment horizontal="center" vertical="center"/>
    </xf>
    <xf numFmtId="0" fontId="14" fillId="0" borderId="47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/>
    </xf>
    <xf numFmtId="0" fontId="14" fillId="7" borderId="20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 wrapText="1"/>
    </xf>
    <xf numFmtId="0" fontId="14" fillId="0" borderId="55" xfId="0" applyFont="1" applyBorder="1" applyAlignment="1">
      <alignment vertical="center"/>
    </xf>
    <xf numFmtId="0" fontId="4" fillId="5" borderId="58" xfId="0" applyFont="1" applyFill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14" fillId="0" borderId="62" xfId="0" applyFont="1" applyBorder="1" applyAlignment="1">
      <alignment vertical="center"/>
    </xf>
    <xf numFmtId="0" fontId="4" fillId="4" borderId="63" xfId="0" applyFont="1" applyFill="1" applyBorder="1" applyAlignment="1">
      <alignment horizontal="center" vertical="center"/>
    </xf>
    <xf numFmtId="0" fontId="4" fillId="4" borderId="64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17" fillId="11" borderId="67" xfId="0" applyFont="1" applyFill="1" applyBorder="1" applyAlignment="1">
      <alignment vertical="center" wrapText="1"/>
    </xf>
    <xf numFmtId="0" fontId="1" fillId="7" borderId="20" xfId="0" applyFont="1" applyFill="1" applyBorder="1" applyAlignment="1">
      <alignment horizontal="center"/>
    </xf>
    <xf numFmtId="0" fontId="16" fillId="4" borderId="68" xfId="0" applyFont="1" applyFill="1" applyBorder="1" applyAlignment="1">
      <alignment horizontal="center" vertical="center" wrapText="1"/>
    </xf>
    <xf numFmtId="0" fontId="4" fillId="5" borderId="69" xfId="0" applyFont="1" applyFill="1" applyBorder="1" applyAlignment="1">
      <alignment horizontal="center" vertical="center" wrapText="1"/>
    </xf>
    <xf numFmtId="44" fontId="4" fillId="5" borderId="68" xfId="0" applyNumberFormat="1" applyFont="1" applyFill="1" applyBorder="1" applyAlignment="1">
      <alignment horizontal="center" vertical="center"/>
    </xf>
    <xf numFmtId="10" fontId="6" fillId="5" borderId="68" xfId="0" applyNumberFormat="1" applyFont="1" applyFill="1" applyBorder="1" applyAlignment="1">
      <alignment horizontal="center" vertical="center"/>
    </xf>
    <xf numFmtId="44" fontId="6" fillId="12" borderId="32" xfId="0" applyNumberFormat="1" applyFont="1" applyFill="1" applyBorder="1" applyAlignment="1">
      <alignment vertical="center"/>
    </xf>
    <xf numFmtId="0" fontId="1" fillId="0" borderId="1" xfId="0" applyFont="1" applyBorder="1"/>
    <xf numFmtId="2" fontId="18" fillId="0" borderId="22" xfId="0" applyNumberFormat="1" applyFont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4" fillId="2" borderId="78" xfId="0" applyFont="1" applyFill="1" applyBorder="1" applyAlignment="1">
      <alignment horizontal="center" vertical="center" wrapText="1"/>
    </xf>
    <xf numFmtId="0" fontId="11" fillId="11" borderId="83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 wrapText="1"/>
    </xf>
    <xf numFmtId="0" fontId="11" fillId="11" borderId="85" xfId="0" applyFont="1" applyFill="1" applyBorder="1" applyAlignment="1">
      <alignment horizontal="center" vertical="center" wrapText="1"/>
    </xf>
    <xf numFmtId="0" fontId="19" fillId="11" borderId="85" xfId="0" applyFont="1" applyFill="1" applyBorder="1" applyAlignment="1">
      <alignment horizontal="center" vertical="center" wrapText="1"/>
    </xf>
    <xf numFmtId="0" fontId="16" fillId="7" borderId="20" xfId="0" applyFont="1" applyFill="1" applyBorder="1" applyAlignment="1">
      <alignment horizontal="center" vertical="center" wrapText="1"/>
    </xf>
    <xf numFmtId="0" fontId="21" fillId="11" borderId="88" xfId="0" applyFont="1" applyFill="1" applyBorder="1" applyAlignment="1">
      <alignment horizontal="center" vertical="center" wrapText="1"/>
    </xf>
    <xf numFmtId="0" fontId="22" fillId="11" borderId="8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2" borderId="69" xfId="0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91" xfId="0" applyFont="1" applyBorder="1" applyAlignment="1">
      <alignment horizontal="center" vertical="center" wrapText="1"/>
    </xf>
    <xf numFmtId="0" fontId="4" fillId="7" borderId="92" xfId="0" applyFont="1" applyFill="1" applyBorder="1" applyAlignment="1">
      <alignment horizontal="center" vertical="center" wrapText="1"/>
    </xf>
    <xf numFmtId="0" fontId="16" fillId="7" borderId="9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39" xfId="0" applyFont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0" borderId="62" xfId="0" applyFont="1" applyBorder="1" applyAlignment="1">
      <alignment horizontal="center"/>
    </xf>
    <xf numFmtId="3" fontId="1" fillId="0" borderId="39" xfId="0" applyNumberFormat="1" applyFont="1" applyBorder="1" applyAlignment="1">
      <alignment horizontal="center"/>
    </xf>
    <xf numFmtId="44" fontId="1" fillId="0" borderId="39" xfId="0" applyNumberFormat="1" applyFont="1" applyBorder="1"/>
    <xf numFmtId="44" fontId="1" fillId="0" borderId="91" xfId="0" applyNumberFormat="1" applyFont="1" applyBorder="1"/>
    <xf numFmtId="44" fontId="1" fillId="7" borderId="20" xfId="0" applyNumberFormat="1" applyFont="1" applyFill="1" applyBorder="1"/>
    <xf numFmtId="9" fontId="1" fillId="7" borderId="20" xfId="0" applyNumberFormat="1" applyFont="1" applyFill="1" applyBorder="1"/>
    <xf numFmtId="44" fontId="1" fillId="0" borderId="22" xfId="0" applyNumberFormat="1" applyFont="1" applyBorder="1"/>
    <xf numFmtId="10" fontId="1" fillId="0" borderId="22" xfId="0" applyNumberFormat="1" applyFont="1" applyBorder="1"/>
    <xf numFmtId="10" fontId="1" fillId="0" borderId="0" xfId="0" applyNumberFormat="1" applyFont="1"/>
    <xf numFmtId="10" fontId="1" fillId="2" borderId="1" xfId="0" applyNumberFormat="1" applyFont="1" applyFill="1" applyBorder="1"/>
    <xf numFmtId="0" fontId="1" fillId="5" borderId="22" xfId="0" applyFont="1" applyFill="1" applyBorder="1" applyAlignment="1">
      <alignment horizontal="left"/>
    </xf>
    <xf numFmtId="0" fontId="1" fillId="5" borderId="21" xfId="0" applyFont="1" applyFill="1" applyBorder="1" applyAlignment="1">
      <alignment horizontal="left"/>
    </xf>
    <xf numFmtId="0" fontId="1" fillId="5" borderId="69" xfId="0" applyFont="1" applyFill="1" applyBorder="1" applyAlignment="1">
      <alignment horizontal="center"/>
    </xf>
    <xf numFmtId="3" fontId="1" fillId="5" borderId="22" xfId="0" applyNumberFormat="1" applyFont="1" applyFill="1" applyBorder="1" applyAlignment="1">
      <alignment horizontal="center"/>
    </xf>
    <xf numFmtId="44" fontId="1" fillId="5" borderId="22" xfId="0" applyNumberFormat="1" applyFont="1" applyFill="1" applyBorder="1"/>
    <xf numFmtId="44" fontId="1" fillId="12" borderId="92" xfId="0" applyNumberFormat="1" applyFont="1" applyFill="1" applyBorder="1"/>
    <xf numFmtId="44" fontId="1" fillId="12" borderId="12" xfId="0" applyNumberFormat="1" applyFont="1" applyFill="1" applyBorder="1"/>
    <xf numFmtId="44" fontId="1" fillId="2" borderId="20" xfId="0" applyNumberFormat="1" applyFont="1" applyFill="1" applyBorder="1"/>
    <xf numFmtId="3" fontId="1" fillId="12" borderId="92" xfId="0" applyNumberFormat="1" applyFont="1" applyFill="1" applyBorder="1" applyAlignment="1">
      <alignment horizontal="center"/>
    </xf>
    <xf numFmtId="9" fontId="1" fillId="5" borderId="21" xfId="0" applyNumberFormat="1" applyFont="1" applyFill="1" applyBorder="1"/>
    <xf numFmtId="44" fontId="1" fillId="12" borderId="22" xfId="0" applyNumberFormat="1" applyFont="1" applyFill="1" applyBorder="1"/>
    <xf numFmtId="44" fontId="1" fillId="13" borderId="22" xfId="0" applyNumberFormat="1" applyFont="1" applyFill="1" applyBorder="1"/>
    <xf numFmtId="10" fontId="1" fillId="12" borderId="22" xfId="0" applyNumberFormat="1" applyFont="1" applyFill="1" applyBorder="1"/>
    <xf numFmtId="10" fontId="1" fillId="5" borderId="1" xfId="0" applyNumberFormat="1" applyFont="1" applyFill="1" applyBorder="1"/>
    <xf numFmtId="0" fontId="1" fillId="0" borderId="13" xfId="0" applyFont="1" applyBorder="1" applyAlignment="1">
      <alignment horizontal="left"/>
    </xf>
    <xf numFmtId="3" fontId="1" fillId="0" borderId="22" xfId="0" applyNumberFormat="1" applyFont="1" applyBorder="1" applyAlignment="1">
      <alignment horizontal="center"/>
    </xf>
    <xf numFmtId="9" fontId="1" fillId="0" borderId="13" xfId="0" applyNumberFormat="1" applyFont="1" applyBorder="1"/>
    <xf numFmtId="0" fontId="1" fillId="0" borderId="22" xfId="0" applyFont="1" applyBorder="1" applyAlignment="1">
      <alignment horizontal="left"/>
    </xf>
    <xf numFmtId="3" fontId="1" fillId="0" borderId="0" xfId="0" applyNumberFormat="1" applyFont="1"/>
    <xf numFmtId="0" fontId="1" fillId="12" borderId="95" xfId="0" applyFont="1" applyFill="1" applyBorder="1"/>
    <xf numFmtId="0" fontId="6" fillId="2" borderId="22" xfId="0" applyFont="1" applyFill="1" applyBorder="1"/>
    <xf numFmtId="0" fontId="6" fillId="12" borderId="22" xfId="0" applyFont="1" applyFill="1" applyBorder="1" applyAlignment="1">
      <alignment horizontal="right"/>
    </xf>
    <xf numFmtId="3" fontId="4" fillId="12" borderId="22" xfId="0" applyNumberFormat="1" applyFont="1" applyFill="1" applyBorder="1"/>
    <xf numFmtId="44" fontId="4" fillId="12" borderId="22" xfId="0" applyNumberFormat="1" applyFont="1" applyFill="1" applyBorder="1" applyAlignment="1">
      <alignment horizontal="center"/>
    </xf>
    <xf numFmtId="44" fontId="4" fillId="12" borderId="22" xfId="0" applyNumberFormat="1" applyFont="1" applyFill="1" applyBorder="1" applyAlignment="1">
      <alignment horizontal="right"/>
    </xf>
    <xf numFmtId="44" fontId="4" fillId="12" borderId="22" xfId="0" applyNumberFormat="1" applyFont="1" applyFill="1" applyBorder="1"/>
    <xf numFmtId="44" fontId="23" fillId="2" borderId="22" xfId="0" applyNumberFormat="1" applyFont="1" applyFill="1" applyBorder="1"/>
    <xf numFmtId="3" fontId="4" fillId="12" borderId="22" xfId="0" applyNumberFormat="1" applyFont="1" applyFill="1" applyBorder="1" applyAlignment="1">
      <alignment horizontal="center"/>
    </xf>
    <xf numFmtId="44" fontId="4" fillId="2" borderId="22" xfId="0" applyNumberFormat="1" applyFont="1" applyFill="1" applyBorder="1"/>
    <xf numFmtId="0" fontId="6" fillId="12" borderId="95" xfId="0" applyFont="1" applyFill="1" applyBorder="1"/>
    <xf numFmtId="10" fontId="4" fillId="12" borderId="22" xfId="0" applyNumberFormat="1" applyFont="1" applyFill="1" applyBorder="1" applyAlignment="1">
      <alignment horizontal="center"/>
    </xf>
    <xf numFmtId="10" fontId="6" fillId="12" borderId="22" xfId="0" applyNumberFormat="1" applyFont="1" applyFill="1" applyBorder="1" applyAlignment="1">
      <alignment horizontal="center"/>
    </xf>
    <xf numFmtId="164" fontId="1" fillId="5" borderId="12" xfId="0" applyNumberFormat="1" applyFont="1" applyFill="1" applyBorder="1" applyAlignment="1">
      <alignment horizontal="left"/>
    </xf>
    <xf numFmtId="1" fontId="7" fillId="5" borderId="2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right"/>
    </xf>
    <xf numFmtId="0" fontId="4" fillId="4" borderId="13" xfId="0" applyFont="1" applyFill="1" applyBorder="1" applyAlignment="1">
      <alignment horizontal="right"/>
    </xf>
    <xf numFmtId="0" fontId="3" fillId="0" borderId="14" xfId="0" applyFont="1" applyBorder="1"/>
    <xf numFmtId="0" fontId="3" fillId="0" borderId="15" xfId="0" applyFont="1" applyBorder="1"/>
    <xf numFmtId="0" fontId="1" fillId="5" borderId="13" xfId="0" applyFont="1" applyFill="1" applyBorder="1" applyAlignment="1">
      <alignment horizontal="left"/>
    </xf>
    <xf numFmtId="0" fontId="18" fillId="5" borderId="13" xfId="0" applyFont="1" applyFill="1" applyBorder="1" applyAlignment="1">
      <alignment horizontal="center" vertical="center"/>
    </xf>
    <xf numFmtId="0" fontId="11" fillId="11" borderId="81" xfId="0" applyFont="1" applyFill="1" applyBorder="1" applyAlignment="1">
      <alignment horizontal="center" vertical="center" wrapText="1"/>
    </xf>
    <xf numFmtId="0" fontId="3" fillId="0" borderId="82" xfId="0" applyFont="1" applyBorder="1"/>
    <xf numFmtId="0" fontId="13" fillId="11" borderId="65" xfId="0" applyFont="1" applyFill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0" fontId="4" fillId="6" borderId="13" xfId="0" applyFont="1" applyFill="1" applyBorder="1" applyAlignment="1">
      <alignment horizontal="center" vertical="center"/>
    </xf>
    <xf numFmtId="0" fontId="15" fillId="11" borderId="43" xfId="0" applyFont="1" applyFill="1" applyBorder="1" applyAlignment="1">
      <alignment horizontal="center" vertical="center" wrapText="1"/>
    </xf>
    <xf numFmtId="0" fontId="3" fillId="0" borderId="45" xfId="0" applyFont="1" applyBorder="1"/>
    <xf numFmtId="0" fontId="3" fillId="0" borderId="46" xfId="0" applyFont="1" applyBorder="1"/>
    <xf numFmtId="0" fontId="3" fillId="0" borderId="50" xfId="0" applyFont="1" applyBorder="1"/>
    <xf numFmtId="0" fontId="0" fillId="0" borderId="0" xfId="0"/>
    <xf numFmtId="0" fontId="3" fillId="0" borderId="55" xfId="0" applyFont="1" applyBorder="1"/>
    <xf numFmtId="0" fontId="3" fillId="0" borderId="56" xfId="0" applyFont="1" applyBorder="1"/>
    <xf numFmtId="0" fontId="3" fillId="0" borderId="53" xfId="0" applyFont="1" applyBorder="1"/>
    <xf numFmtId="0" fontId="3" fillId="0" borderId="54" xfId="0" applyFont="1" applyBorder="1"/>
    <xf numFmtId="0" fontId="2" fillId="11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57" xfId="0" applyFont="1" applyBorder="1"/>
    <xf numFmtId="9" fontId="5" fillId="5" borderId="66" xfId="0" applyNumberFormat="1" applyFont="1" applyFill="1" applyBorder="1" applyAlignment="1">
      <alignment horizontal="center" vertical="center" wrapText="1"/>
    </xf>
    <xf numFmtId="0" fontId="3" fillId="0" borderId="71" xfId="0" applyFont="1" applyBorder="1"/>
    <xf numFmtId="0" fontId="17" fillId="11" borderId="72" xfId="0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93" xfId="0" applyFont="1" applyBorder="1"/>
    <xf numFmtId="0" fontId="11" fillId="11" borderId="84" xfId="0" applyFont="1" applyFill="1" applyBorder="1" applyAlignment="1">
      <alignment horizontal="center" vertical="center" wrapText="1"/>
    </xf>
    <xf numFmtId="0" fontId="3" fillId="0" borderId="90" xfId="0" applyFont="1" applyBorder="1"/>
    <xf numFmtId="0" fontId="4" fillId="5" borderId="65" xfId="0" applyFont="1" applyFill="1" applyBorder="1" applyAlignment="1">
      <alignment horizontal="center" vertical="center" wrapText="1"/>
    </xf>
    <xf numFmtId="0" fontId="11" fillId="11" borderId="76" xfId="0" applyFont="1" applyFill="1" applyBorder="1" applyAlignment="1">
      <alignment horizontal="center" vertical="center" wrapText="1"/>
    </xf>
    <xf numFmtId="0" fontId="11" fillId="11" borderId="77" xfId="0" applyFont="1" applyFill="1" applyBorder="1" applyAlignment="1">
      <alignment horizontal="center" vertical="center" wrapText="1"/>
    </xf>
    <xf numFmtId="0" fontId="3" fillId="0" borderId="89" xfId="0" applyFont="1" applyBorder="1"/>
    <xf numFmtId="0" fontId="19" fillId="11" borderId="79" xfId="0" applyFont="1" applyFill="1" applyBorder="1" applyAlignment="1">
      <alignment horizontal="center" vertical="center" wrapText="1"/>
    </xf>
    <xf numFmtId="0" fontId="11" fillId="11" borderId="80" xfId="0" applyFont="1" applyFill="1" applyBorder="1" applyAlignment="1">
      <alignment horizontal="center" vertical="center" wrapText="1"/>
    </xf>
    <xf numFmtId="0" fontId="12" fillId="9" borderId="41" xfId="0" applyFont="1" applyFill="1" applyBorder="1" applyAlignment="1">
      <alignment horizontal="center"/>
    </xf>
    <xf numFmtId="0" fontId="3" fillId="0" borderId="42" xfId="0" applyFont="1" applyBorder="1"/>
    <xf numFmtId="0" fontId="3" fillId="0" borderId="48" xfId="0" applyFont="1" applyBorder="1"/>
    <xf numFmtId="0" fontId="3" fillId="0" borderId="49" xfId="0" applyFont="1" applyBorder="1"/>
    <xf numFmtId="0" fontId="3" fillId="0" borderId="52" xfId="0" applyFont="1" applyBorder="1"/>
    <xf numFmtId="0" fontId="3" fillId="0" borderId="70" xfId="0" applyFont="1" applyBorder="1"/>
    <xf numFmtId="0" fontId="2" fillId="11" borderId="43" xfId="0" applyFont="1" applyFill="1" applyBorder="1" applyAlignment="1">
      <alignment horizontal="center" vertical="center" wrapText="1"/>
    </xf>
    <xf numFmtId="0" fontId="3" fillId="0" borderId="44" xfId="0" applyFont="1" applyBorder="1"/>
    <xf numFmtId="0" fontId="3" fillId="0" borderId="51" xfId="0" applyFont="1" applyBorder="1"/>
    <xf numFmtId="0" fontId="13" fillId="11" borderId="41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right" vertical="center"/>
    </xf>
    <xf numFmtId="0" fontId="3" fillId="0" borderId="7" xfId="0" applyFont="1" applyBorder="1"/>
    <xf numFmtId="165" fontId="4" fillId="0" borderId="14" xfId="0" applyNumberFormat="1" applyFont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9" fontId="6" fillId="0" borderId="35" xfId="0" applyNumberFormat="1" applyFont="1" applyBorder="1" applyAlignment="1">
      <alignment horizontal="center" vertical="center"/>
    </xf>
    <xf numFmtId="0" fontId="3" fillId="0" borderId="37" xfId="0" applyFont="1" applyBorder="1"/>
    <xf numFmtId="0" fontId="3" fillId="0" borderId="39" xfId="0" applyFont="1" applyBorder="1"/>
    <xf numFmtId="0" fontId="1" fillId="5" borderId="36" xfId="0" applyFont="1" applyFill="1" applyBorder="1" applyAlignment="1">
      <alignment horizontal="center"/>
    </xf>
    <xf numFmtId="0" fontId="3" fillId="0" borderId="38" xfId="0" applyFont="1" applyBorder="1"/>
    <xf numFmtId="0" fontId="3" fillId="0" borderId="40" xfId="0" applyFont="1" applyBorder="1"/>
    <xf numFmtId="165" fontId="4" fillId="0" borderId="14" xfId="0" applyNumberFormat="1" applyFont="1" applyBorder="1" applyAlignment="1">
      <alignment horizontal="center" vertical="center"/>
    </xf>
    <xf numFmtId="165" fontId="4" fillId="10" borderId="35" xfId="0" applyNumberFormat="1" applyFont="1" applyFill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/>
    </xf>
    <xf numFmtId="0" fontId="13" fillId="11" borderId="43" xfId="0" applyFont="1" applyFill="1" applyBorder="1" applyAlignment="1">
      <alignment horizontal="center" vertical="center"/>
    </xf>
    <xf numFmtId="0" fontId="3" fillId="0" borderId="59" xfId="0" applyFont="1" applyBorder="1"/>
    <xf numFmtId="0" fontId="3" fillId="0" borderId="60" xfId="0" applyFont="1" applyBorder="1"/>
    <xf numFmtId="0" fontId="3" fillId="0" borderId="61" xfId="0" applyFont="1" applyBorder="1"/>
    <xf numFmtId="0" fontId="19" fillId="11" borderId="73" xfId="0" applyFont="1" applyFill="1" applyBorder="1" applyAlignment="1">
      <alignment horizontal="center" vertical="center"/>
    </xf>
    <xf numFmtId="0" fontId="3" fillId="0" borderId="74" xfId="0" applyFont="1" applyBorder="1"/>
    <xf numFmtId="0" fontId="3" fillId="0" borderId="75" xfId="0" applyFont="1" applyBorder="1"/>
    <xf numFmtId="0" fontId="11" fillId="11" borderId="87" xfId="0" applyFont="1" applyFill="1" applyBorder="1" applyAlignment="1">
      <alignment horizontal="center" vertical="center"/>
    </xf>
    <xf numFmtId="0" fontId="3" fillId="0" borderId="94" xfId="0" applyFont="1" applyBorder="1"/>
    <xf numFmtId="0" fontId="4" fillId="0" borderId="16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6" xfId="0" applyFont="1" applyBorder="1"/>
    <xf numFmtId="0" fontId="2" fillId="3" borderId="8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2" fillId="3" borderId="11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right"/>
    </xf>
    <xf numFmtId="0" fontId="4" fillId="6" borderId="29" xfId="0" applyFont="1" applyFill="1" applyBorder="1" applyAlignment="1">
      <alignment horizontal="center"/>
    </xf>
    <xf numFmtId="0" fontId="3" fillId="0" borderId="30" xfId="0" applyFont="1" applyBorder="1"/>
    <xf numFmtId="0" fontId="4" fillId="5" borderId="13" xfId="0" applyFont="1" applyFill="1" applyBorder="1" applyAlignment="1">
      <alignment horizontal="left"/>
    </xf>
    <xf numFmtId="0" fontId="4" fillId="5" borderId="29" xfId="0" applyFont="1" applyFill="1" applyBorder="1" applyAlignment="1">
      <alignment horizontal="left"/>
    </xf>
    <xf numFmtId="0" fontId="4" fillId="6" borderId="23" xfId="0" applyFont="1" applyFill="1" applyBorder="1" applyAlignment="1">
      <alignment horizontal="center"/>
    </xf>
    <xf numFmtId="0" fontId="3" fillId="0" borderId="24" xfId="0" applyFont="1" applyBorder="1"/>
    <xf numFmtId="0" fontId="4" fillId="6" borderId="26" xfId="0" applyFont="1" applyFill="1" applyBorder="1" applyAlignment="1">
      <alignment horizontal="center" vertical="center"/>
    </xf>
    <xf numFmtId="0" fontId="3" fillId="0" borderId="27" xfId="0" applyFont="1" applyBorder="1"/>
    <xf numFmtId="0" fontId="4" fillId="5" borderId="16" xfId="0" applyFont="1" applyFill="1" applyBorder="1" applyAlignment="1">
      <alignment horizontal="left"/>
    </xf>
    <xf numFmtId="165" fontId="6" fillId="0" borderId="17" xfId="0" applyNumberFormat="1" applyFont="1" applyBorder="1" applyAlignment="1">
      <alignment horizontal="center"/>
    </xf>
    <xf numFmtId="165" fontId="6" fillId="0" borderId="14" xfId="0" applyNumberFormat="1" applyFont="1" applyBorder="1" applyAlignment="1">
      <alignment horizontal="center"/>
    </xf>
    <xf numFmtId="9" fontId="6" fillId="0" borderId="25" xfId="0" applyNumberFormat="1" applyFont="1" applyBorder="1" applyAlignment="1">
      <alignment horizontal="center"/>
    </xf>
    <xf numFmtId="0" fontId="3" fillId="0" borderId="25" xfId="0" applyFont="1" applyBorder="1"/>
    <xf numFmtId="165" fontId="4" fillId="0" borderId="28" xfId="0" applyNumberFormat="1" applyFont="1" applyBorder="1" applyAlignment="1">
      <alignment horizontal="center" vertical="center"/>
    </xf>
    <xf numFmtId="0" fontId="3" fillId="0" borderId="28" xfId="0" applyFont="1" applyBorder="1"/>
    <xf numFmtId="0" fontId="2" fillId="3" borderId="96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left"/>
    </xf>
    <xf numFmtId="11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5693-4498-4C9B-9BB1-341F32C614D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Z50"/>
  <sheetViews>
    <sheetView tabSelected="1" topLeftCell="E1" zoomScale="70" zoomScaleNormal="70" workbookViewId="0">
      <pane ySplit="18" topLeftCell="A19" activePane="bottomLeft" state="frozen"/>
      <selection pane="bottomLeft" activeCell="S19" sqref="S19:V42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0" t="s">
        <v>0</v>
      </c>
      <c r="C1" s="191"/>
      <c r="D1" s="214" t="s">
        <v>1</v>
      </c>
      <c r="E1" s="192"/>
      <c r="F1" s="192"/>
      <c r="G1" s="192"/>
      <c r="H1" s="168"/>
      <c r="I1" s="190" t="s">
        <v>2</v>
      </c>
      <c r="J1" s="192"/>
      <c r="K1" s="192"/>
      <c r="L1" s="168"/>
      <c r="M1" s="193" t="s">
        <v>3</v>
      </c>
      <c r="N1" s="194"/>
      <c r="O1" s="195"/>
      <c r="P1" s="196" t="str">
        <f>L18</f>
        <v>CAD $</v>
      </c>
      <c r="Q1" s="192"/>
      <c r="R1" s="168"/>
      <c r="S1" s="190" t="s">
        <v>4</v>
      </c>
      <c r="T1" s="192"/>
      <c r="U1" s="192"/>
      <c r="V1" s="192"/>
      <c r="W1" s="168"/>
      <c r="X1" s="2"/>
      <c r="Y1" s="3"/>
    </row>
    <row r="2" spans="2:25" ht="15" customHeight="1">
      <c r="B2" s="5" t="s">
        <v>5</v>
      </c>
      <c r="C2" s="118"/>
      <c r="D2" s="198" t="s">
        <v>6</v>
      </c>
      <c r="E2" s="129"/>
      <c r="F2" s="130"/>
      <c r="G2" s="215"/>
      <c r="H2" s="130"/>
      <c r="I2" s="198" t="s">
        <v>7</v>
      </c>
      <c r="J2" s="129"/>
      <c r="K2" s="130"/>
      <c r="L2" s="6"/>
      <c r="M2" s="197" t="s">
        <v>8</v>
      </c>
      <c r="N2" s="130"/>
      <c r="O2" s="7"/>
      <c r="P2" s="208">
        <f>I50</f>
        <v>113592.81000000001</v>
      </c>
      <c r="Q2" s="129"/>
      <c r="R2" s="130"/>
      <c r="S2" s="197" t="s">
        <v>9</v>
      </c>
      <c r="T2" s="130"/>
      <c r="U2" s="207"/>
      <c r="V2" s="130"/>
      <c r="W2" s="8"/>
      <c r="X2" s="9"/>
      <c r="Y2" s="3"/>
    </row>
    <row r="3" spans="2:25" ht="15" customHeight="1">
      <c r="B3" s="10" t="s">
        <v>10</v>
      </c>
      <c r="C3" s="87"/>
      <c r="D3" s="121" t="s">
        <v>11</v>
      </c>
      <c r="E3" s="122"/>
      <c r="F3" s="123"/>
      <c r="G3" s="124"/>
      <c r="H3" s="123"/>
      <c r="I3" s="121" t="s">
        <v>12</v>
      </c>
      <c r="J3" s="122"/>
      <c r="K3" s="123"/>
      <c r="L3" s="11"/>
      <c r="M3" s="170" t="s">
        <v>13</v>
      </c>
      <c r="N3" s="123"/>
      <c r="O3" s="7"/>
      <c r="P3" s="209">
        <f>M50</f>
        <v>56859.14</v>
      </c>
      <c r="Q3" s="122"/>
      <c r="R3" s="123"/>
      <c r="S3" s="170" t="s">
        <v>14</v>
      </c>
      <c r="T3" s="123"/>
      <c r="U3" s="201"/>
      <c r="V3" s="123"/>
      <c r="W3" s="12"/>
      <c r="X3" s="1"/>
      <c r="Y3" s="13"/>
    </row>
    <row r="4" spans="2:25" ht="15" customHeight="1">
      <c r="B4" s="14" t="s">
        <v>15</v>
      </c>
      <c r="C4" s="87"/>
      <c r="D4" s="121" t="s">
        <v>16</v>
      </c>
      <c r="E4" s="122"/>
      <c r="F4" s="123"/>
      <c r="G4" s="124" t="s">
        <v>80</v>
      </c>
      <c r="H4" s="123"/>
      <c r="I4" s="121" t="s">
        <v>17</v>
      </c>
      <c r="J4" s="122"/>
      <c r="K4" s="123"/>
      <c r="L4" s="11"/>
      <c r="M4" s="170" t="s">
        <v>18</v>
      </c>
      <c r="N4" s="123"/>
      <c r="O4" s="7"/>
      <c r="P4" s="209">
        <f>P2-P3</f>
        <v>56733.670000000013</v>
      </c>
      <c r="Q4" s="122"/>
      <c r="R4" s="123"/>
      <c r="S4" s="170" t="s">
        <v>19</v>
      </c>
      <c r="T4" s="123"/>
      <c r="U4" s="201"/>
      <c r="V4" s="123"/>
      <c r="W4" s="12"/>
      <c r="X4" s="1"/>
      <c r="Y4" s="13"/>
    </row>
    <row r="5" spans="2:25" ht="15" customHeight="1">
      <c r="B5" s="14" t="s">
        <v>20</v>
      </c>
      <c r="C5" s="87"/>
      <c r="D5" s="121" t="s">
        <v>21</v>
      </c>
      <c r="E5" s="122"/>
      <c r="F5" s="123"/>
      <c r="G5" s="124">
        <v>14</v>
      </c>
      <c r="H5" s="123"/>
      <c r="I5" s="121" t="s">
        <v>22</v>
      </c>
      <c r="J5" s="122"/>
      <c r="K5" s="123"/>
      <c r="L5" s="11"/>
      <c r="M5" s="203" t="s">
        <v>23</v>
      </c>
      <c r="N5" s="204"/>
      <c r="O5" s="7"/>
      <c r="P5" s="210">
        <f>IFERROR((P2-P3)/P2,"")</f>
        <v>0.49944772032666512</v>
      </c>
      <c r="Q5" s="211"/>
      <c r="R5" s="204"/>
      <c r="S5" s="170" t="s">
        <v>24</v>
      </c>
      <c r="T5" s="123"/>
      <c r="U5" s="201"/>
      <c r="V5" s="123"/>
      <c r="W5" s="12"/>
      <c r="X5" s="1"/>
      <c r="Y5" s="13"/>
    </row>
    <row r="6" spans="2:25" ht="15" customHeight="1">
      <c r="B6" s="14" t="s">
        <v>25</v>
      </c>
      <c r="C6" s="119"/>
      <c r="D6" s="121" t="s">
        <v>26</v>
      </c>
      <c r="E6" s="122"/>
      <c r="F6" s="123"/>
      <c r="G6" s="124"/>
      <c r="H6" s="123"/>
      <c r="I6" s="121" t="s">
        <v>27</v>
      </c>
      <c r="J6" s="122"/>
      <c r="K6" s="123"/>
      <c r="L6" s="11"/>
      <c r="M6" s="205" t="s">
        <v>28</v>
      </c>
      <c r="N6" s="206"/>
      <c r="O6" s="7"/>
      <c r="P6" s="212">
        <f>T50</f>
        <v>56859.14</v>
      </c>
      <c r="Q6" s="213"/>
      <c r="R6" s="206"/>
      <c r="S6" s="170" t="s">
        <v>29</v>
      </c>
      <c r="T6" s="123"/>
      <c r="U6" s="201"/>
      <c r="V6" s="123"/>
      <c r="W6" s="15"/>
      <c r="X6" s="16"/>
      <c r="Y6" s="17"/>
    </row>
    <row r="7" spans="2:25" ht="15" customHeight="1">
      <c r="B7" s="14" t="s">
        <v>30</v>
      </c>
      <c r="C7" s="87"/>
      <c r="D7" s="121" t="s">
        <v>31</v>
      </c>
      <c r="E7" s="122"/>
      <c r="F7" s="123"/>
      <c r="G7" s="124"/>
      <c r="H7" s="123"/>
      <c r="I7" s="121" t="s">
        <v>32</v>
      </c>
      <c r="J7" s="122"/>
      <c r="K7" s="123"/>
      <c r="L7" s="11"/>
      <c r="M7" s="131" t="s">
        <v>33</v>
      </c>
      <c r="N7" s="123"/>
      <c r="O7" s="7"/>
      <c r="P7" s="169">
        <f>R50</f>
        <v>0</v>
      </c>
      <c r="Q7" s="122"/>
      <c r="R7" s="123"/>
      <c r="S7" s="199" t="s">
        <v>34</v>
      </c>
      <c r="T7" s="200"/>
      <c r="U7" s="202"/>
      <c r="V7" s="200"/>
      <c r="W7" s="15"/>
      <c r="X7" s="18"/>
      <c r="Y7" s="4"/>
    </row>
    <row r="8" spans="2:25" ht="15" customHeight="1">
      <c r="B8" s="19"/>
      <c r="C8" s="25"/>
      <c r="D8" s="121" t="s">
        <v>35</v>
      </c>
      <c r="E8" s="122"/>
      <c r="F8" s="123"/>
      <c r="G8" s="124"/>
      <c r="H8" s="123"/>
      <c r="I8" s="121" t="s">
        <v>36</v>
      </c>
      <c r="J8" s="122"/>
      <c r="K8" s="123"/>
      <c r="L8" s="11"/>
      <c r="M8" s="131" t="s">
        <v>37</v>
      </c>
      <c r="N8" s="123"/>
      <c r="O8" s="7"/>
      <c r="P8" s="169">
        <f>IF(P1=Q15,R15,IF(Q15="CAD $",R15*E16,IF(Q15="USD $",R15*F16,0)))</f>
        <v>0</v>
      </c>
      <c r="Q8" s="122"/>
      <c r="R8" s="123"/>
      <c r="S8" s="20" t="s">
        <v>38</v>
      </c>
      <c r="T8" s="21" t="s">
        <v>39</v>
      </c>
      <c r="U8" s="21" t="s">
        <v>40</v>
      </c>
      <c r="V8" s="22" t="s">
        <v>41</v>
      </c>
      <c r="W8" s="23"/>
      <c r="X8" s="24"/>
      <c r="Y8" s="4"/>
    </row>
    <row r="9" spans="2:25" ht="15" customHeight="1">
      <c r="B9" s="25"/>
      <c r="C9" s="25"/>
      <c r="D9" s="121" t="s">
        <v>42</v>
      </c>
      <c r="E9" s="122"/>
      <c r="F9" s="123"/>
      <c r="G9" s="124"/>
      <c r="H9" s="123"/>
      <c r="I9" s="28"/>
      <c r="J9" s="26"/>
      <c r="K9" s="26"/>
      <c r="L9" s="27"/>
      <c r="M9" s="131" t="s">
        <v>43</v>
      </c>
      <c r="N9" s="123"/>
      <c r="O9" s="7"/>
      <c r="P9" s="177">
        <f>V15</f>
        <v>0</v>
      </c>
      <c r="Q9" s="122"/>
      <c r="R9" s="123"/>
      <c r="S9" s="178">
        <f>P7+P8+P9</f>
        <v>0</v>
      </c>
      <c r="T9" s="178">
        <f>P3-S9</f>
        <v>56859.14</v>
      </c>
      <c r="U9" s="171">
        <f>IFERROR(((P3-S9)/S9),0)</f>
        <v>0</v>
      </c>
      <c r="V9" s="171">
        <f>IFERROR(T9/P3,0)</f>
        <v>1</v>
      </c>
      <c r="W9" s="174"/>
      <c r="X9" s="24"/>
      <c r="Y9" s="4"/>
    </row>
    <row r="10" spans="2:25" ht="15" customHeight="1">
      <c r="B10" s="25"/>
      <c r="C10" s="25"/>
      <c r="D10" s="121" t="s">
        <v>44</v>
      </c>
      <c r="E10" s="122"/>
      <c r="F10" s="123"/>
      <c r="G10" s="124" t="s">
        <v>79</v>
      </c>
      <c r="H10" s="123"/>
      <c r="I10" s="28"/>
      <c r="J10" s="26"/>
      <c r="K10" s="26"/>
      <c r="L10" s="27"/>
      <c r="M10" s="131"/>
      <c r="N10" s="123"/>
      <c r="O10" s="7"/>
      <c r="P10" s="177"/>
      <c r="Q10" s="122"/>
      <c r="R10" s="123"/>
      <c r="S10" s="172"/>
      <c r="T10" s="172"/>
      <c r="U10" s="172"/>
      <c r="V10" s="172"/>
      <c r="W10" s="175"/>
      <c r="X10" s="24"/>
      <c r="Y10" s="4"/>
    </row>
    <row r="11" spans="2:25" ht="15" customHeight="1">
      <c r="B11" s="25"/>
      <c r="C11" s="25"/>
      <c r="D11" s="120"/>
      <c r="E11" s="120"/>
      <c r="F11" s="120"/>
      <c r="G11" s="28"/>
      <c r="H11" s="28"/>
      <c r="I11" s="28"/>
      <c r="J11" s="26"/>
      <c r="K11" s="26"/>
      <c r="L11" s="27"/>
      <c r="M11" s="170" t="s">
        <v>45</v>
      </c>
      <c r="N11" s="123"/>
      <c r="O11" s="7"/>
      <c r="P11" s="179">
        <f>F50</f>
        <v>109</v>
      </c>
      <c r="Q11" s="122"/>
      <c r="R11" s="123"/>
      <c r="S11" s="173"/>
      <c r="T11" s="173"/>
      <c r="U11" s="173"/>
      <c r="V11" s="173"/>
      <c r="W11" s="176"/>
      <c r="X11" s="24"/>
      <c r="Y11" s="4"/>
    </row>
    <row r="12" spans="2:25" ht="15" customHeight="1">
      <c r="B12" s="157"/>
      <c r="C12" s="158"/>
      <c r="D12" s="29"/>
      <c r="E12" s="163" t="s">
        <v>46</v>
      </c>
      <c r="F12" s="164"/>
      <c r="G12" s="166" t="s">
        <v>8</v>
      </c>
      <c r="H12" s="133"/>
      <c r="I12" s="134"/>
      <c r="J12" s="30"/>
      <c r="K12" s="132" t="s">
        <v>47</v>
      </c>
      <c r="L12" s="133"/>
      <c r="M12" s="133"/>
      <c r="N12" s="134"/>
      <c r="O12" s="7"/>
      <c r="P12" s="180" t="s">
        <v>48</v>
      </c>
      <c r="Q12" s="133"/>
      <c r="R12" s="133"/>
      <c r="S12" s="133"/>
      <c r="T12" s="133"/>
      <c r="U12" s="133"/>
      <c r="V12" s="164"/>
      <c r="W12" s="31"/>
      <c r="X12" s="32"/>
      <c r="Y12" s="4" t="s">
        <v>49</v>
      </c>
    </row>
    <row r="13" spans="2:25" ht="15" customHeight="1">
      <c r="B13" s="159"/>
      <c r="C13" s="160"/>
      <c r="D13" s="33"/>
      <c r="E13" s="135"/>
      <c r="F13" s="165"/>
      <c r="G13" s="161"/>
      <c r="H13" s="139"/>
      <c r="I13" s="140"/>
      <c r="J13" s="34"/>
      <c r="K13" s="135"/>
      <c r="L13" s="136"/>
      <c r="M13" s="136"/>
      <c r="N13" s="137"/>
      <c r="O13" s="35"/>
      <c r="P13" s="135"/>
      <c r="Q13" s="136"/>
      <c r="R13" s="136"/>
      <c r="S13" s="136"/>
      <c r="T13" s="136"/>
      <c r="U13" s="136"/>
      <c r="V13" s="165"/>
      <c r="W13" s="36"/>
      <c r="X13" s="32"/>
      <c r="Y13" s="4" t="s">
        <v>50</v>
      </c>
    </row>
    <row r="14" spans="2:25" ht="15" customHeight="1">
      <c r="B14" s="159"/>
      <c r="C14" s="160"/>
      <c r="D14" s="33"/>
      <c r="E14" s="138"/>
      <c r="F14" s="143"/>
      <c r="G14" s="167" t="s">
        <v>51</v>
      </c>
      <c r="H14" s="168"/>
      <c r="I14" s="37" t="s">
        <v>52</v>
      </c>
      <c r="J14" s="38"/>
      <c r="K14" s="138"/>
      <c r="L14" s="139"/>
      <c r="M14" s="139"/>
      <c r="N14" s="140"/>
      <c r="O14" s="35"/>
      <c r="P14" s="181"/>
      <c r="Q14" s="182"/>
      <c r="R14" s="182"/>
      <c r="S14" s="182"/>
      <c r="T14" s="182"/>
      <c r="U14" s="182"/>
      <c r="V14" s="183"/>
      <c r="W14" s="39"/>
      <c r="X14" s="32"/>
      <c r="Y14" s="4" t="s">
        <v>52</v>
      </c>
    </row>
    <row r="15" spans="2:25" ht="30" customHeight="1">
      <c r="B15" s="159"/>
      <c r="C15" s="160"/>
      <c r="D15" s="33"/>
      <c r="E15" s="40" t="s">
        <v>53</v>
      </c>
      <c r="F15" s="41" t="s">
        <v>54</v>
      </c>
      <c r="G15" s="128" t="s">
        <v>55</v>
      </c>
      <c r="H15" s="129"/>
      <c r="I15" s="130"/>
      <c r="J15" s="42"/>
      <c r="K15" s="141" t="s">
        <v>56</v>
      </c>
      <c r="L15" s="142"/>
      <c r="M15" s="144">
        <v>0.5</v>
      </c>
      <c r="N15" s="43"/>
      <c r="O15" s="44"/>
      <c r="P15" s="45" t="s">
        <v>57</v>
      </c>
      <c r="Q15" s="46" t="s">
        <v>50</v>
      </c>
      <c r="R15" s="47"/>
      <c r="S15" s="45" t="s">
        <v>58</v>
      </c>
      <c r="T15" s="48">
        <v>2.5000000000000001E-2</v>
      </c>
      <c r="U15" s="45" t="s">
        <v>59</v>
      </c>
      <c r="V15" s="49">
        <f>ROUND(R50*T15,2)</f>
        <v>0</v>
      </c>
      <c r="W15" s="50"/>
      <c r="X15" s="32"/>
      <c r="Y15" s="4" t="s">
        <v>60</v>
      </c>
    </row>
    <row r="16" spans="2:25" ht="15" customHeight="1">
      <c r="B16" s="161"/>
      <c r="C16" s="162"/>
      <c r="D16" s="33"/>
      <c r="E16" s="51">
        <f>1/F16</f>
        <v>0.7246376811594204</v>
      </c>
      <c r="F16" s="52">
        <v>1.38</v>
      </c>
      <c r="G16" s="125"/>
      <c r="H16" s="122"/>
      <c r="I16" s="123"/>
      <c r="J16" s="53"/>
      <c r="K16" s="138"/>
      <c r="L16" s="143"/>
      <c r="M16" s="145"/>
      <c r="N16" s="146" t="s">
        <v>61</v>
      </c>
      <c r="O16" s="44"/>
      <c r="P16" s="184" t="s">
        <v>62</v>
      </c>
      <c r="Q16" s="185"/>
      <c r="R16" s="185"/>
      <c r="S16" s="185"/>
      <c r="T16" s="185"/>
      <c r="U16" s="185"/>
      <c r="V16" s="186"/>
      <c r="W16" s="54"/>
      <c r="X16" s="55"/>
      <c r="Y16" s="4"/>
    </row>
    <row r="17" spans="2:26" ht="15" customHeight="1">
      <c r="B17" s="152" t="s">
        <v>63</v>
      </c>
      <c r="C17" s="153" t="s">
        <v>64</v>
      </c>
      <c r="D17" s="56"/>
      <c r="E17" s="155" t="s">
        <v>65</v>
      </c>
      <c r="F17" s="156" t="s">
        <v>66</v>
      </c>
      <c r="G17" s="126" t="s">
        <v>67</v>
      </c>
      <c r="H17" s="127"/>
      <c r="I17" s="57" t="s">
        <v>68</v>
      </c>
      <c r="J17" s="58"/>
      <c r="K17" s="149" t="s">
        <v>66</v>
      </c>
      <c r="L17" s="59" t="s">
        <v>69</v>
      </c>
      <c r="M17" s="60" t="s">
        <v>70</v>
      </c>
      <c r="N17" s="147"/>
      <c r="O17" s="61"/>
      <c r="P17" s="187" t="s">
        <v>71</v>
      </c>
      <c r="Q17" s="62" t="s">
        <v>72</v>
      </c>
      <c r="R17" s="62" t="s">
        <v>73</v>
      </c>
      <c r="S17" s="63" t="s">
        <v>74</v>
      </c>
      <c r="T17" s="63" t="s">
        <v>75</v>
      </c>
      <c r="U17" s="60" t="s">
        <v>76</v>
      </c>
      <c r="V17" s="60" t="s">
        <v>77</v>
      </c>
      <c r="W17" s="64"/>
      <c r="X17" s="65"/>
      <c r="Y17" s="4"/>
      <c r="Z17" s="4"/>
    </row>
    <row r="18" spans="2:26" ht="15" customHeight="1">
      <c r="B18" s="145"/>
      <c r="C18" s="154"/>
      <c r="D18" s="66"/>
      <c r="E18" s="150"/>
      <c r="F18" s="145"/>
      <c r="G18" s="46" t="s">
        <v>49</v>
      </c>
      <c r="H18" s="67" t="str">
        <f>IF(G18="USD $", "CAD $", "USD $")</f>
        <v>USD $</v>
      </c>
      <c r="I18" s="68" t="str">
        <f>L18</f>
        <v>CAD $</v>
      </c>
      <c r="J18" s="69"/>
      <c r="K18" s="150"/>
      <c r="L18" s="151" t="s">
        <v>49</v>
      </c>
      <c r="M18" s="130"/>
      <c r="N18" s="148"/>
      <c r="O18" s="70"/>
      <c r="P18" s="188"/>
      <c r="Q18" s="46" t="s">
        <v>50</v>
      </c>
      <c r="R18" s="189" t="str">
        <f>L18</f>
        <v>CAD $</v>
      </c>
      <c r="S18" s="129"/>
      <c r="T18" s="129"/>
      <c r="U18" s="129"/>
      <c r="V18" s="130"/>
      <c r="W18" s="71"/>
      <c r="X18" s="72"/>
      <c r="Y18" s="73"/>
      <c r="Z18" s="73"/>
    </row>
    <row r="19" spans="2:26">
      <c r="B19" t="s">
        <v>81</v>
      </c>
      <c r="C19" t="s">
        <v>82</v>
      </c>
      <c r="D19" s="75"/>
      <c r="E19" s="76"/>
      <c r="F19">
        <v>1</v>
      </c>
      <c r="G19" s="217">
        <v>82.08</v>
      </c>
      <c r="H19" s="217">
        <v>59.48</v>
      </c>
      <c r="I19" s="217">
        <v>82.08</v>
      </c>
      <c r="J19" s="80"/>
      <c r="K19">
        <v>1</v>
      </c>
      <c r="L19" s="217">
        <v>41.04</v>
      </c>
      <c r="M19" s="217">
        <v>41.04</v>
      </c>
      <c r="O19" s="81"/>
      <c r="P19" s="74"/>
      <c r="Q19" s="82"/>
      <c r="R19" s="82"/>
      <c r="S19" s="217">
        <v>41.04</v>
      </c>
      <c r="T19" s="217">
        <v>41.04</v>
      </c>
      <c r="U19" s="219">
        <v>0</v>
      </c>
      <c r="V19" s="219">
        <v>1</v>
      </c>
      <c r="W19" s="84"/>
      <c r="X19" s="85"/>
      <c r="Y19" s="4"/>
      <c r="Z19" s="4"/>
    </row>
    <row r="20" spans="2:26">
      <c r="B20" t="s">
        <v>83</v>
      </c>
      <c r="C20" t="s">
        <v>84</v>
      </c>
      <c r="D20" s="75"/>
      <c r="E20" s="88"/>
      <c r="F20">
        <v>1</v>
      </c>
      <c r="G20" s="217">
        <v>67.44</v>
      </c>
      <c r="H20" s="217">
        <v>48.87</v>
      </c>
      <c r="I20" s="217">
        <v>67.44</v>
      </c>
      <c r="J20" s="93"/>
      <c r="K20">
        <v>1</v>
      </c>
      <c r="L20" s="217">
        <v>33.72</v>
      </c>
      <c r="M20" s="217">
        <v>33.72</v>
      </c>
      <c r="O20" s="81"/>
      <c r="P20" s="86"/>
      <c r="Q20" s="90"/>
      <c r="R20" s="96"/>
      <c r="S20" s="217">
        <v>33.72</v>
      </c>
      <c r="T20" s="217">
        <v>33.72</v>
      </c>
      <c r="U20" s="219">
        <v>0</v>
      </c>
      <c r="V20" s="219">
        <v>1</v>
      </c>
      <c r="W20" s="99"/>
      <c r="X20" s="85"/>
      <c r="Y20" s="4"/>
      <c r="Z20" s="4"/>
    </row>
    <row r="21" spans="2:26">
      <c r="B21" t="s">
        <v>85</v>
      </c>
      <c r="C21" t="s">
        <v>86</v>
      </c>
      <c r="D21" s="75"/>
      <c r="E21" s="76"/>
      <c r="F21">
        <v>1</v>
      </c>
      <c r="G21" s="217">
        <v>103.09</v>
      </c>
      <c r="H21" s="217">
        <v>74.7</v>
      </c>
      <c r="I21" s="217">
        <v>103.09</v>
      </c>
      <c r="J21" s="93"/>
      <c r="K21">
        <v>1</v>
      </c>
      <c r="L21" s="217">
        <v>51.55</v>
      </c>
      <c r="M21" s="217">
        <v>51.55</v>
      </c>
      <c r="O21" s="81"/>
      <c r="P21" s="103"/>
      <c r="Q21" s="82"/>
      <c r="R21" s="82"/>
      <c r="S21" s="217">
        <v>51.55</v>
      </c>
      <c r="T21" s="217">
        <v>51.55</v>
      </c>
      <c r="U21" s="219">
        <v>0</v>
      </c>
      <c r="V21" s="219">
        <v>1</v>
      </c>
      <c r="W21" s="84"/>
      <c r="X21" s="85"/>
      <c r="Y21" s="4"/>
      <c r="Z21" s="4"/>
    </row>
    <row r="22" spans="2:26" ht="15.75" customHeight="1">
      <c r="B22" t="s">
        <v>87</v>
      </c>
      <c r="C22" t="s">
        <v>88</v>
      </c>
      <c r="D22" s="75"/>
      <c r="E22" s="88"/>
      <c r="F22">
        <v>1</v>
      </c>
      <c r="G22" s="217">
        <v>255.48</v>
      </c>
      <c r="H22" s="217">
        <v>185.13</v>
      </c>
      <c r="I22" s="217">
        <v>255.48</v>
      </c>
      <c r="J22" s="93"/>
      <c r="K22">
        <v>1</v>
      </c>
      <c r="L22" s="217">
        <v>127.74</v>
      </c>
      <c r="M22" s="217">
        <v>127.74</v>
      </c>
      <c r="O22" s="81"/>
      <c r="P22" s="86"/>
      <c r="Q22" s="90"/>
      <c r="R22" s="96"/>
      <c r="S22" s="217">
        <v>127.74</v>
      </c>
      <c r="T22" s="217">
        <v>127.74</v>
      </c>
      <c r="U22" s="219">
        <v>0</v>
      </c>
      <c r="V22" s="219">
        <v>1</v>
      </c>
      <c r="W22" s="99"/>
      <c r="X22" s="85"/>
      <c r="Y22" s="4"/>
      <c r="Z22" s="4"/>
    </row>
    <row r="23" spans="2:26" ht="15.75" customHeight="1">
      <c r="B23">
        <v>3283655</v>
      </c>
      <c r="C23" t="s">
        <v>89</v>
      </c>
      <c r="D23" s="75"/>
      <c r="E23" s="76"/>
      <c r="F23">
        <v>1</v>
      </c>
      <c r="G23" s="217">
        <v>204.36</v>
      </c>
      <c r="H23" s="217">
        <v>148.09</v>
      </c>
      <c r="I23" s="217">
        <v>204.36</v>
      </c>
      <c r="J23" s="93"/>
      <c r="K23">
        <v>1</v>
      </c>
      <c r="L23" s="217">
        <v>102.18</v>
      </c>
      <c r="M23" s="217">
        <v>102.18</v>
      </c>
      <c r="O23" s="81"/>
      <c r="P23" s="103"/>
      <c r="Q23" s="82"/>
      <c r="R23" s="82"/>
      <c r="S23" s="217">
        <v>102.18</v>
      </c>
      <c r="T23" s="217">
        <v>102.18</v>
      </c>
      <c r="U23" s="219">
        <v>0</v>
      </c>
      <c r="V23" s="219">
        <v>1</v>
      </c>
      <c r="W23" s="84"/>
      <c r="X23" s="85"/>
      <c r="Y23" s="4"/>
      <c r="Z23" s="4"/>
    </row>
    <row r="24" spans="2:26" ht="15.75" customHeight="1">
      <c r="B24" t="s">
        <v>90</v>
      </c>
      <c r="C24" t="s">
        <v>91</v>
      </c>
      <c r="D24" s="75"/>
      <c r="E24" s="88"/>
      <c r="F24">
        <v>1</v>
      </c>
      <c r="G24" s="217">
        <v>215.07</v>
      </c>
      <c r="H24" s="217">
        <v>155.85</v>
      </c>
      <c r="I24" s="217">
        <v>215.07</v>
      </c>
      <c r="J24" s="93"/>
      <c r="K24">
        <v>1</v>
      </c>
      <c r="L24" s="217">
        <v>139.80000000000001</v>
      </c>
      <c r="M24" s="217">
        <v>139.80000000000001</v>
      </c>
      <c r="N24" s="218">
        <v>-0.15</v>
      </c>
      <c r="O24" s="81"/>
      <c r="P24" s="86"/>
      <c r="Q24" s="90"/>
      <c r="R24" s="96"/>
      <c r="S24" s="217">
        <v>139.80000000000001</v>
      </c>
      <c r="T24" s="217">
        <v>139.80000000000001</v>
      </c>
      <c r="U24" s="219">
        <v>0</v>
      </c>
      <c r="V24" s="219">
        <v>1</v>
      </c>
      <c r="W24" s="99"/>
      <c r="X24" s="85"/>
      <c r="Y24" s="4"/>
      <c r="Z24" s="4"/>
    </row>
    <row r="25" spans="2:26" ht="15.75" customHeight="1">
      <c r="B25" t="s">
        <v>92</v>
      </c>
      <c r="C25" t="s">
        <v>93</v>
      </c>
      <c r="D25" s="75"/>
      <c r="E25" s="76"/>
      <c r="F25">
        <v>1</v>
      </c>
      <c r="G25" s="217">
        <v>123.59</v>
      </c>
      <c r="H25" s="217">
        <v>89.56</v>
      </c>
      <c r="I25" s="217">
        <v>123.59</v>
      </c>
      <c r="J25" s="93"/>
      <c r="K25">
        <v>1</v>
      </c>
      <c r="L25" s="217">
        <v>80.33</v>
      </c>
      <c r="M25" s="217">
        <v>80.33</v>
      </c>
      <c r="N25" s="218">
        <v>-0.15</v>
      </c>
      <c r="O25" s="81"/>
      <c r="P25" s="103"/>
      <c r="Q25" s="82"/>
      <c r="R25" s="82"/>
      <c r="S25" s="217">
        <v>80.33</v>
      </c>
      <c r="T25" s="217">
        <v>80.33</v>
      </c>
      <c r="U25" s="219">
        <v>0</v>
      </c>
      <c r="V25" s="219">
        <v>1</v>
      </c>
      <c r="W25" s="84"/>
      <c r="X25" s="85"/>
      <c r="Y25" s="4"/>
      <c r="Z25" s="4"/>
    </row>
    <row r="26" spans="2:26" ht="15.75" customHeight="1">
      <c r="B26" t="s">
        <v>94</v>
      </c>
      <c r="C26" t="s">
        <v>95</v>
      </c>
      <c r="D26" s="75"/>
      <c r="E26" s="88"/>
      <c r="F26">
        <v>1</v>
      </c>
      <c r="G26" s="217">
        <v>77.48</v>
      </c>
      <c r="H26" s="217">
        <v>56.14</v>
      </c>
      <c r="I26" s="217">
        <v>77.48</v>
      </c>
      <c r="J26" s="93"/>
      <c r="K26">
        <v>1</v>
      </c>
      <c r="L26" s="217">
        <v>50.36</v>
      </c>
      <c r="M26" s="217">
        <v>50.36</v>
      </c>
      <c r="N26" s="218">
        <v>-0.15</v>
      </c>
      <c r="O26" s="81"/>
      <c r="P26" s="86"/>
      <c r="Q26" s="90"/>
      <c r="R26" s="96"/>
      <c r="S26" s="217">
        <v>50.36</v>
      </c>
      <c r="T26" s="217">
        <v>50.36</v>
      </c>
      <c r="U26" s="219">
        <v>0</v>
      </c>
      <c r="V26" s="219">
        <v>1</v>
      </c>
      <c r="W26" s="99"/>
      <c r="X26" s="85"/>
      <c r="Y26" s="4"/>
      <c r="Z26" s="4"/>
    </row>
    <row r="27" spans="2:26" ht="15.75" customHeight="1">
      <c r="B27" t="s">
        <v>96</v>
      </c>
      <c r="C27" t="s">
        <v>97</v>
      </c>
      <c r="D27" s="75"/>
      <c r="E27" s="76"/>
      <c r="F27">
        <v>2</v>
      </c>
      <c r="G27" s="217">
        <v>726.37</v>
      </c>
      <c r="H27" s="217">
        <v>526.36</v>
      </c>
      <c r="I27" s="217">
        <v>1452.74</v>
      </c>
      <c r="J27" s="93"/>
      <c r="K27">
        <v>2</v>
      </c>
      <c r="L27" s="217">
        <v>363.19</v>
      </c>
      <c r="M27" s="217">
        <v>726.38</v>
      </c>
      <c r="O27" s="81"/>
      <c r="P27" s="103"/>
      <c r="Q27" s="82"/>
      <c r="R27" s="82"/>
      <c r="S27" s="217">
        <v>363.19</v>
      </c>
      <c r="T27" s="217">
        <v>726.38</v>
      </c>
      <c r="U27" s="219">
        <v>0</v>
      </c>
      <c r="V27" s="219">
        <v>1</v>
      </c>
      <c r="W27" s="84"/>
      <c r="X27" s="85"/>
      <c r="Y27" s="4"/>
      <c r="Z27" s="4"/>
    </row>
    <row r="28" spans="2:26" ht="15.75" customHeight="1">
      <c r="D28" s="75"/>
      <c r="E28" s="88"/>
      <c r="H28" t="s">
        <v>123</v>
      </c>
      <c r="I28" t="s">
        <v>123</v>
      </c>
      <c r="J28" s="93"/>
      <c r="K28">
        <v>0</v>
      </c>
      <c r="L28" t="s">
        <v>123</v>
      </c>
      <c r="M28" t="s">
        <v>123</v>
      </c>
      <c r="O28" s="81"/>
      <c r="P28" s="86"/>
      <c r="Q28" s="90"/>
      <c r="R28" s="96"/>
      <c r="S28" t="s">
        <v>123</v>
      </c>
      <c r="T28" t="s">
        <v>123</v>
      </c>
      <c r="U28" s="219">
        <v>0</v>
      </c>
      <c r="V28" s="219">
        <v>0</v>
      </c>
      <c r="W28" s="99"/>
      <c r="X28" s="85"/>
      <c r="Y28" s="4"/>
      <c r="Z28" s="104"/>
    </row>
    <row r="29" spans="2:26" ht="15.75" customHeight="1">
      <c r="B29" t="s">
        <v>98</v>
      </c>
      <c r="C29" t="s">
        <v>99</v>
      </c>
      <c r="D29" s="75"/>
      <c r="E29" s="76"/>
      <c r="F29">
        <v>1</v>
      </c>
      <c r="G29" s="217">
        <v>15032.11</v>
      </c>
      <c r="H29" s="217">
        <v>10892.83</v>
      </c>
      <c r="I29" s="217">
        <v>15032.11</v>
      </c>
      <c r="J29" s="93"/>
      <c r="K29">
        <v>1</v>
      </c>
      <c r="L29" s="217">
        <v>7516.06</v>
      </c>
      <c r="M29" s="217">
        <v>7516.06</v>
      </c>
      <c r="O29" s="81"/>
      <c r="P29" s="103"/>
      <c r="Q29" s="82"/>
      <c r="R29" s="82"/>
      <c r="S29" s="217">
        <v>7516.06</v>
      </c>
      <c r="T29" s="217">
        <v>7516.06</v>
      </c>
      <c r="U29" s="219">
        <v>0</v>
      </c>
      <c r="V29" s="219">
        <v>1</v>
      </c>
      <c r="W29" s="84"/>
      <c r="X29" s="85"/>
      <c r="Y29" s="4"/>
      <c r="Z29" s="4"/>
    </row>
    <row r="30" spans="2:26" ht="15.75" customHeight="1">
      <c r="B30" t="s">
        <v>100</v>
      </c>
      <c r="C30" t="s">
        <v>101</v>
      </c>
      <c r="D30" s="75"/>
      <c r="E30" s="88"/>
      <c r="F30">
        <v>1</v>
      </c>
      <c r="G30" s="217">
        <v>6842.24</v>
      </c>
      <c r="H30" s="217">
        <v>4958.1400000000003</v>
      </c>
      <c r="I30" s="217">
        <v>6842.24</v>
      </c>
      <c r="J30" s="93"/>
      <c r="K30">
        <v>1</v>
      </c>
      <c r="L30" s="217">
        <v>3421.12</v>
      </c>
      <c r="M30" s="217">
        <v>3421.12</v>
      </c>
      <c r="O30" s="81"/>
      <c r="P30" s="86"/>
      <c r="Q30" s="90"/>
      <c r="R30" s="96"/>
      <c r="S30" s="217">
        <v>3421.12</v>
      </c>
      <c r="T30" s="217">
        <v>3421.12</v>
      </c>
      <c r="U30" s="219">
        <v>0</v>
      </c>
      <c r="V30" s="219">
        <v>1</v>
      </c>
      <c r="W30" s="99"/>
      <c r="X30" s="85"/>
      <c r="Y30" s="4"/>
      <c r="Z30" s="4"/>
    </row>
    <row r="31" spans="2:26" ht="15.75" customHeight="1">
      <c r="B31" t="s">
        <v>102</v>
      </c>
      <c r="C31" t="s">
        <v>103</v>
      </c>
      <c r="D31" s="75"/>
      <c r="E31" s="76"/>
      <c r="F31">
        <v>1</v>
      </c>
      <c r="G31" s="217">
        <v>19919.41</v>
      </c>
      <c r="H31" s="217">
        <v>14434.36</v>
      </c>
      <c r="I31" s="217">
        <v>19919.41</v>
      </c>
      <c r="J31" s="93"/>
      <c r="K31">
        <v>1</v>
      </c>
      <c r="L31" s="217">
        <v>9959.7099999999991</v>
      </c>
      <c r="M31" s="217">
        <v>9959.7099999999991</v>
      </c>
      <c r="O31" s="81"/>
      <c r="P31" s="103"/>
      <c r="Q31" s="82"/>
      <c r="R31" s="82"/>
      <c r="S31" s="217">
        <v>9959.7099999999991</v>
      </c>
      <c r="T31" s="217">
        <v>9959.7099999999991</v>
      </c>
      <c r="U31" s="219">
        <v>0</v>
      </c>
      <c r="V31" s="219">
        <v>1</v>
      </c>
      <c r="W31" s="84"/>
      <c r="X31" s="85"/>
      <c r="Y31" s="4"/>
      <c r="Z31" s="4"/>
    </row>
    <row r="32" spans="2:26" ht="15.75" customHeight="1">
      <c r="B32" t="s">
        <v>104</v>
      </c>
      <c r="C32" t="s">
        <v>105</v>
      </c>
      <c r="D32" s="75"/>
      <c r="E32" s="88"/>
      <c r="F32">
        <v>1</v>
      </c>
      <c r="G32" s="217">
        <v>10003.44</v>
      </c>
      <c r="H32" s="217">
        <v>7248.87</v>
      </c>
      <c r="I32" s="217">
        <v>10003.44</v>
      </c>
      <c r="J32" s="93"/>
      <c r="K32">
        <v>1</v>
      </c>
      <c r="L32" s="217">
        <v>5001.72</v>
      </c>
      <c r="M32" s="217">
        <v>5001.72</v>
      </c>
      <c r="O32" s="81"/>
      <c r="P32" s="86"/>
      <c r="Q32" s="90"/>
      <c r="R32" s="96"/>
      <c r="S32" s="217">
        <v>5001.72</v>
      </c>
      <c r="T32" s="217">
        <v>5001.72</v>
      </c>
      <c r="U32" s="219">
        <v>0</v>
      </c>
      <c r="V32" s="219">
        <v>1</v>
      </c>
      <c r="W32" s="99"/>
      <c r="X32" s="85"/>
      <c r="Y32" s="4"/>
      <c r="Z32" s="4"/>
    </row>
    <row r="33" spans="2:23" ht="15.75" customHeight="1">
      <c r="B33" t="s">
        <v>106</v>
      </c>
      <c r="C33" t="s">
        <v>107</v>
      </c>
      <c r="D33" s="75"/>
      <c r="E33" s="76"/>
      <c r="F33">
        <v>1</v>
      </c>
      <c r="G33" s="217">
        <v>8705.42</v>
      </c>
      <c r="H33" s="217">
        <v>6308.28</v>
      </c>
      <c r="I33" s="217">
        <v>8705.42</v>
      </c>
      <c r="J33" s="93"/>
      <c r="K33">
        <v>1</v>
      </c>
      <c r="L33" s="217">
        <v>4352.71</v>
      </c>
      <c r="M33" s="217">
        <v>4352.71</v>
      </c>
      <c r="O33" s="81"/>
      <c r="P33" s="103"/>
      <c r="Q33" s="82"/>
      <c r="R33" s="82"/>
      <c r="S33" s="217">
        <v>4352.71</v>
      </c>
      <c r="T33" s="217">
        <v>4352.71</v>
      </c>
      <c r="U33" s="219">
        <v>0</v>
      </c>
      <c r="V33" s="219">
        <v>1</v>
      </c>
      <c r="W33" s="84"/>
    </row>
    <row r="34" spans="2:23" ht="15.75" customHeight="1">
      <c r="D34" s="75"/>
      <c r="E34" s="88"/>
      <c r="H34" t="s">
        <v>123</v>
      </c>
      <c r="I34" t="s">
        <v>123</v>
      </c>
      <c r="J34" s="93"/>
      <c r="K34">
        <v>0</v>
      </c>
      <c r="L34" t="s">
        <v>123</v>
      </c>
      <c r="M34" t="s">
        <v>123</v>
      </c>
      <c r="O34" s="81"/>
      <c r="P34" s="86"/>
      <c r="Q34" s="90"/>
      <c r="R34" s="96"/>
      <c r="S34" t="s">
        <v>123</v>
      </c>
      <c r="T34" t="s">
        <v>123</v>
      </c>
      <c r="U34" s="219">
        <v>0</v>
      </c>
      <c r="V34" s="219">
        <v>0</v>
      </c>
      <c r="W34" s="99"/>
    </row>
    <row r="35" spans="2:23" ht="15.75" customHeight="1">
      <c r="B35" t="s">
        <v>108</v>
      </c>
      <c r="C35" t="s">
        <v>109</v>
      </c>
      <c r="D35" s="75"/>
      <c r="E35" s="76"/>
      <c r="F35">
        <v>1</v>
      </c>
      <c r="G35" s="217">
        <v>19075.97</v>
      </c>
      <c r="H35" s="217">
        <v>13823.17</v>
      </c>
      <c r="I35" s="217">
        <v>19075.97</v>
      </c>
      <c r="J35" s="93"/>
      <c r="K35">
        <v>1</v>
      </c>
      <c r="L35" s="217">
        <v>9537.99</v>
      </c>
      <c r="M35" s="217">
        <v>9537.99</v>
      </c>
      <c r="O35" s="81"/>
      <c r="P35" s="103"/>
      <c r="Q35" s="82"/>
      <c r="R35" s="82"/>
      <c r="S35" s="217">
        <v>9537.99</v>
      </c>
      <c r="T35" s="217">
        <v>9537.99</v>
      </c>
      <c r="U35" s="219">
        <v>0</v>
      </c>
      <c r="V35" s="219">
        <v>1</v>
      </c>
      <c r="W35" s="84"/>
    </row>
    <row r="36" spans="2:23" ht="15.75" customHeight="1">
      <c r="B36" t="s">
        <v>110</v>
      </c>
      <c r="C36" t="s">
        <v>111</v>
      </c>
      <c r="D36" s="75"/>
      <c r="E36" s="88"/>
      <c r="F36">
        <v>2</v>
      </c>
      <c r="G36" s="217">
        <v>15107.68</v>
      </c>
      <c r="H36" s="217">
        <v>10947.59</v>
      </c>
      <c r="I36" s="217">
        <v>30215.360000000001</v>
      </c>
      <c r="J36" s="93"/>
      <c r="K36">
        <v>2</v>
      </c>
      <c r="L36" s="217">
        <v>7553.84</v>
      </c>
      <c r="M36" s="217">
        <v>15107.68</v>
      </c>
      <c r="O36" s="81"/>
      <c r="P36" s="86"/>
      <c r="Q36" s="90"/>
      <c r="R36" s="96"/>
      <c r="S36" s="217">
        <v>7553.84</v>
      </c>
      <c r="T36" s="217">
        <v>15107.68</v>
      </c>
      <c r="U36" s="219">
        <v>0</v>
      </c>
      <c r="V36" s="219">
        <v>1</v>
      </c>
      <c r="W36" s="99"/>
    </row>
    <row r="37" spans="2:23" ht="15.75" customHeight="1">
      <c r="B37" t="s">
        <v>112</v>
      </c>
      <c r="C37" t="s">
        <v>113</v>
      </c>
      <c r="D37" s="75"/>
      <c r="E37" s="76"/>
      <c r="F37">
        <v>1</v>
      </c>
      <c r="G37" s="217">
        <v>377.53</v>
      </c>
      <c r="H37" s="217">
        <v>273.57</v>
      </c>
      <c r="I37" s="217">
        <v>377.53</v>
      </c>
      <c r="J37" s="93"/>
      <c r="K37">
        <v>1</v>
      </c>
      <c r="L37" s="217">
        <v>188.77</v>
      </c>
      <c r="M37" s="217">
        <v>188.77</v>
      </c>
      <c r="O37" s="81"/>
      <c r="P37" s="103"/>
      <c r="Q37" s="82"/>
      <c r="R37" s="82"/>
      <c r="S37" s="217">
        <v>188.77</v>
      </c>
      <c r="T37" s="217">
        <v>188.77</v>
      </c>
      <c r="U37" s="219">
        <v>0</v>
      </c>
      <c r="V37" s="219">
        <v>1</v>
      </c>
      <c r="W37" s="84"/>
    </row>
    <row r="38" spans="2:23" ht="15.75" customHeight="1">
      <c r="B38" t="s">
        <v>114</v>
      </c>
      <c r="C38" t="s">
        <v>115</v>
      </c>
      <c r="D38" s="75"/>
      <c r="E38" s="88"/>
      <c r="F38">
        <v>34</v>
      </c>
      <c r="G38" s="217">
        <v>5.66</v>
      </c>
      <c r="H38" s="217">
        <v>4.0999999999999996</v>
      </c>
      <c r="I38" s="217">
        <v>192.44</v>
      </c>
      <c r="J38" s="93"/>
      <c r="K38">
        <v>34</v>
      </c>
      <c r="L38" s="217">
        <v>2.83</v>
      </c>
      <c r="M38" s="217">
        <v>96.22</v>
      </c>
      <c r="O38" s="81"/>
      <c r="P38" s="86"/>
      <c r="Q38" s="90"/>
      <c r="R38" s="96"/>
      <c r="S38" s="217">
        <v>2.83</v>
      </c>
      <c r="T38" s="217">
        <v>96.22</v>
      </c>
      <c r="U38" s="219">
        <v>0</v>
      </c>
      <c r="V38" s="219">
        <v>1</v>
      </c>
      <c r="W38" s="99"/>
    </row>
    <row r="39" spans="2:23" ht="15.75" customHeight="1">
      <c r="B39" t="s">
        <v>116</v>
      </c>
      <c r="C39" t="s">
        <v>117</v>
      </c>
      <c r="D39" s="75"/>
      <c r="E39" s="76"/>
      <c r="F39">
        <v>34</v>
      </c>
      <c r="G39" s="217">
        <v>3.65</v>
      </c>
      <c r="H39" s="217">
        <v>2.64</v>
      </c>
      <c r="I39" s="217">
        <v>124.1</v>
      </c>
      <c r="J39" s="93"/>
      <c r="K39">
        <v>34</v>
      </c>
      <c r="L39" s="217">
        <v>1.83</v>
      </c>
      <c r="M39" s="217">
        <v>62.22</v>
      </c>
      <c r="O39" s="81"/>
      <c r="P39" s="103"/>
      <c r="Q39" s="82"/>
      <c r="R39" s="82"/>
      <c r="S39" s="217">
        <v>1.83</v>
      </c>
      <c r="T39" s="217">
        <v>62.22</v>
      </c>
      <c r="U39" s="219">
        <v>0</v>
      </c>
      <c r="V39" s="219">
        <v>1</v>
      </c>
      <c r="W39" s="99"/>
    </row>
    <row r="40" spans="2:23" ht="15.75" customHeight="1">
      <c r="B40" s="216" t="s">
        <v>118</v>
      </c>
      <c r="C40" t="s">
        <v>119</v>
      </c>
      <c r="D40" s="75"/>
      <c r="E40" s="88"/>
      <c r="F40">
        <v>2</v>
      </c>
      <c r="G40" s="217">
        <v>220.93</v>
      </c>
      <c r="H40" s="217">
        <v>160.09</v>
      </c>
      <c r="I40" s="217">
        <v>441.86</v>
      </c>
      <c r="J40" s="93"/>
      <c r="K40">
        <v>2</v>
      </c>
      <c r="L40" s="217">
        <v>110.47</v>
      </c>
      <c r="M40" s="217">
        <v>220.94</v>
      </c>
      <c r="O40" s="81"/>
      <c r="P40" s="86"/>
      <c r="Q40" s="90"/>
      <c r="R40" s="96"/>
      <c r="S40" s="217">
        <v>110.47</v>
      </c>
      <c r="T40" s="217">
        <v>220.94</v>
      </c>
      <c r="U40" s="219">
        <v>0</v>
      </c>
      <c r="V40" s="219">
        <v>1</v>
      </c>
      <c r="W40" s="99"/>
    </row>
    <row r="41" spans="2:23" ht="15.75" customHeight="1">
      <c r="B41" t="s">
        <v>120</v>
      </c>
      <c r="C41" t="s">
        <v>121</v>
      </c>
      <c r="D41" s="75"/>
      <c r="E41" s="76"/>
      <c r="F41">
        <v>10</v>
      </c>
      <c r="G41" s="217">
        <v>4.51</v>
      </c>
      <c r="H41" s="217">
        <v>3.27</v>
      </c>
      <c r="I41" s="217">
        <v>45.1</v>
      </c>
      <c r="J41" s="93"/>
      <c r="K41">
        <v>10</v>
      </c>
      <c r="L41" s="217">
        <v>2.2599999999999998</v>
      </c>
      <c r="M41" s="217">
        <v>22.6</v>
      </c>
      <c r="O41" s="81"/>
      <c r="P41" s="103"/>
      <c r="Q41" s="82"/>
      <c r="R41" s="82"/>
      <c r="S41" s="217">
        <v>2.2599999999999998</v>
      </c>
      <c r="T41" s="217">
        <v>22.6</v>
      </c>
      <c r="U41" s="219">
        <v>0</v>
      </c>
      <c r="V41" s="219">
        <v>1</v>
      </c>
      <c r="W41" s="99"/>
    </row>
    <row r="42" spans="2:23" ht="15.75" customHeight="1">
      <c r="B42" t="s">
        <v>116</v>
      </c>
      <c r="C42" t="s">
        <v>122</v>
      </c>
      <c r="D42" s="75"/>
      <c r="E42" s="88"/>
      <c r="F42">
        <v>10</v>
      </c>
      <c r="G42" s="217">
        <v>3.65</v>
      </c>
      <c r="H42" s="217">
        <v>2.64</v>
      </c>
      <c r="I42" s="217">
        <v>36.5</v>
      </c>
      <c r="J42" s="93"/>
      <c r="K42">
        <v>10</v>
      </c>
      <c r="L42" s="217">
        <v>1.83</v>
      </c>
      <c r="M42" s="217">
        <v>18.3</v>
      </c>
      <c r="O42" s="81"/>
      <c r="P42" s="86"/>
      <c r="Q42" s="90"/>
      <c r="R42" s="96"/>
      <c r="S42" s="217">
        <v>1.83</v>
      </c>
      <c r="T42" s="217">
        <v>18.3</v>
      </c>
      <c r="U42" s="219">
        <v>0</v>
      </c>
      <c r="V42" s="219">
        <v>1</v>
      </c>
      <c r="W42" s="99"/>
    </row>
    <row r="43" spans="2:23" ht="15.75" customHeight="1">
      <c r="B43" s="74"/>
      <c r="C43" s="100"/>
      <c r="D43" s="75"/>
      <c r="E43" s="76"/>
      <c r="F43" s="101"/>
      <c r="G43" s="82"/>
      <c r="H43" s="78"/>
      <c r="I43" s="79"/>
      <c r="J43" s="93"/>
      <c r="K43" s="77"/>
      <c r="L43" s="78"/>
      <c r="M43" s="78"/>
      <c r="N43" s="102"/>
      <c r="O43" s="81"/>
      <c r="P43" s="103"/>
      <c r="Q43" s="82"/>
      <c r="R43" s="82"/>
      <c r="S43" s="82"/>
      <c r="T43" s="82"/>
      <c r="U43" s="83"/>
      <c r="V43" s="83"/>
      <c r="W43" s="99"/>
    </row>
    <row r="44" spans="2:23" ht="15.75" customHeight="1">
      <c r="B44" s="86"/>
      <c r="C44" s="87"/>
      <c r="D44" s="75"/>
      <c r="E44" s="88"/>
      <c r="F44" s="89"/>
      <c r="G44" s="90"/>
      <c r="H44" s="91"/>
      <c r="I44" s="92"/>
      <c r="J44" s="93"/>
      <c r="K44" s="94"/>
      <c r="L44" s="91"/>
      <c r="M44" s="91"/>
      <c r="N44" s="95"/>
      <c r="O44" s="81"/>
      <c r="P44" s="86"/>
      <c r="Q44" s="90"/>
      <c r="R44" s="96"/>
      <c r="S44" s="97"/>
      <c r="T44" s="97"/>
      <c r="U44" s="98"/>
      <c r="V44" s="98"/>
      <c r="W44" s="99"/>
    </row>
    <row r="45" spans="2:23" ht="15.75" customHeight="1">
      <c r="B45" s="74"/>
      <c r="C45" s="100"/>
      <c r="D45" s="75"/>
      <c r="E45" s="76"/>
      <c r="F45" s="101"/>
      <c r="G45" s="82"/>
      <c r="H45" s="78"/>
      <c r="I45" s="79"/>
      <c r="J45" s="93"/>
      <c r="K45" s="77"/>
      <c r="L45" s="78"/>
      <c r="M45" s="78"/>
      <c r="N45" s="102"/>
      <c r="O45" s="81"/>
      <c r="P45" s="103"/>
      <c r="Q45" s="82"/>
      <c r="R45" s="82"/>
      <c r="S45" s="82"/>
      <c r="T45" s="82"/>
      <c r="U45" s="83"/>
      <c r="V45" s="83"/>
      <c r="W45" s="99"/>
    </row>
    <row r="46" spans="2:23" ht="15.75" customHeight="1">
      <c r="B46" s="86"/>
      <c r="C46" s="87"/>
      <c r="D46" s="75"/>
      <c r="E46" s="88"/>
      <c r="F46" s="89"/>
      <c r="G46" s="90"/>
      <c r="H46" s="91"/>
      <c r="I46" s="92"/>
      <c r="J46" s="93"/>
      <c r="K46" s="94"/>
      <c r="L46" s="91"/>
      <c r="M46" s="91"/>
      <c r="N46" s="95"/>
      <c r="O46" s="81"/>
      <c r="P46" s="86"/>
      <c r="Q46" s="90"/>
      <c r="R46" s="96"/>
      <c r="S46" s="97"/>
      <c r="T46" s="97"/>
      <c r="U46" s="98"/>
      <c r="V46" s="98"/>
      <c r="W46" s="99"/>
    </row>
    <row r="47" spans="2:23" ht="15.75" customHeight="1">
      <c r="B47" s="74"/>
      <c r="C47" s="100"/>
      <c r="D47" s="75"/>
      <c r="E47" s="76"/>
      <c r="F47" s="101"/>
      <c r="G47" s="82"/>
      <c r="H47" s="78"/>
      <c r="I47" s="79"/>
      <c r="J47" s="93"/>
      <c r="K47" s="77"/>
      <c r="L47" s="78"/>
      <c r="M47" s="78"/>
      <c r="N47" s="102"/>
      <c r="O47" s="81"/>
      <c r="P47" s="103"/>
      <c r="Q47" s="82"/>
      <c r="R47" s="82"/>
      <c r="S47" s="82"/>
      <c r="T47" s="82"/>
      <c r="U47" s="83"/>
      <c r="V47" s="83"/>
      <c r="W47" s="99"/>
    </row>
    <row r="48" spans="2:23" ht="15.75" customHeight="1">
      <c r="B48" s="86"/>
      <c r="C48" s="87"/>
      <c r="D48" s="75"/>
      <c r="E48" s="88"/>
      <c r="F48" s="89"/>
      <c r="G48" s="90"/>
      <c r="H48" s="91"/>
      <c r="I48" s="92"/>
      <c r="J48" s="93"/>
      <c r="K48" s="94"/>
      <c r="L48" s="91"/>
      <c r="M48" s="91"/>
      <c r="N48" s="95"/>
      <c r="O48" s="81"/>
      <c r="P48" s="86"/>
      <c r="Q48" s="90"/>
      <c r="R48" s="96"/>
      <c r="S48" s="97"/>
      <c r="T48" s="97"/>
      <c r="U48" s="98"/>
      <c r="V48" s="98"/>
      <c r="W48" s="99"/>
    </row>
    <row r="49" spans="2:23" ht="15.75" customHeight="1">
      <c r="B49" s="74"/>
      <c r="C49" s="100"/>
      <c r="D49" s="75"/>
      <c r="E49" s="76"/>
      <c r="F49" s="101"/>
      <c r="G49" s="82"/>
      <c r="H49" s="78"/>
      <c r="I49" s="79"/>
      <c r="J49" s="93"/>
      <c r="K49" s="77"/>
      <c r="L49" s="78"/>
      <c r="M49" s="78"/>
      <c r="N49" s="102"/>
      <c r="O49" s="81"/>
      <c r="P49" s="103"/>
      <c r="Q49" s="82"/>
      <c r="R49" s="82"/>
      <c r="S49" s="82"/>
      <c r="T49" s="82"/>
      <c r="U49" s="83"/>
      <c r="V49" s="83"/>
      <c r="W49" s="99"/>
    </row>
    <row r="50" spans="2:23" ht="20.25" customHeight="1">
      <c r="B50" s="105"/>
      <c r="C50" s="105"/>
      <c r="D50" s="106"/>
      <c r="E50" s="107" t="s">
        <v>78</v>
      </c>
      <c r="F50" s="108">
        <f t="shared" ref="F50:I50" si="0">SUM(F19:F49)</f>
        <v>109</v>
      </c>
      <c r="G50" s="109">
        <f t="shared" si="0"/>
        <v>97157.159999999989</v>
      </c>
      <c r="H50" s="110">
        <f t="shared" si="0"/>
        <v>70403.73000000001</v>
      </c>
      <c r="I50" s="111">
        <f t="shared" si="0"/>
        <v>113592.81000000001</v>
      </c>
      <c r="J50" s="112"/>
      <c r="K50" s="113">
        <f t="shared" ref="K50:M50" si="1">SUM(K19:K49)</f>
        <v>109</v>
      </c>
      <c r="L50" s="110">
        <f t="shared" si="1"/>
        <v>48641.05</v>
      </c>
      <c r="M50" s="111">
        <f t="shared" si="1"/>
        <v>56859.14</v>
      </c>
      <c r="N50" s="111"/>
      <c r="O50" s="114"/>
      <c r="P50" s="115"/>
      <c r="Q50" s="110">
        <f t="shared" ref="Q50:T50" si="2">SUM(Q19:Q49)</f>
        <v>0</v>
      </c>
      <c r="R50" s="110">
        <f t="shared" si="2"/>
        <v>0</v>
      </c>
      <c r="S50" s="111">
        <f t="shared" si="2"/>
        <v>48641.05</v>
      </c>
      <c r="T50" s="111">
        <f t="shared" si="2"/>
        <v>56859.14</v>
      </c>
      <c r="U50" s="116"/>
      <c r="V50" s="116"/>
      <c r="W50" s="117"/>
    </row>
  </sheetData>
  <mergeCells count="89">
    <mergeCell ref="P1:R1"/>
    <mergeCell ref="P2:R2"/>
    <mergeCell ref="P3:R3"/>
    <mergeCell ref="P4:R4"/>
    <mergeCell ref="P5:R5"/>
    <mergeCell ref="D8:F8"/>
    <mergeCell ref="G8:H8"/>
    <mergeCell ref="I8:K8"/>
    <mergeCell ref="M8:N8"/>
    <mergeCell ref="D9:F9"/>
    <mergeCell ref="G9:H9"/>
    <mergeCell ref="M9:N9"/>
    <mergeCell ref="U6:V6"/>
    <mergeCell ref="U7:V7"/>
    <mergeCell ref="S2:T2"/>
    <mergeCell ref="U2:V2"/>
    <mergeCell ref="S3:T3"/>
    <mergeCell ref="U3:V3"/>
    <mergeCell ref="S4:T4"/>
    <mergeCell ref="U4:V4"/>
    <mergeCell ref="U5:V5"/>
    <mergeCell ref="M3:N3"/>
    <mergeCell ref="M4:N4"/>
    <mergeCell ref="S5:T5"/>
    <mergeCell ref="S6:T6"/>
    <mergeCell ref="S7:T7"/>
    <mergeCell ref="P6:R6"/>
    <mergeCell ref="P7:R7"/>
    <mergeCell ref="P12:V14"/>
    <mergeCell ref="P16:V16"/>
    <mergeCell ref="P17:P18"/>
    <mergeCell ref="R18:V18"/>
    <mergeCell ref="B1:C1"/>
    <mergeCell ref="D1:H1"/>
    <mergeCell ref="I1:L1"/>
    <mergeCell ref="M1:O1"/>
    <mergeCell ref="S1:W1"/>
    <mergeCell ref="D2:F2"/>
    <mergeCell ref="M2:N2"/>
    <mergeCell ref="G2:H2"/>
    <mergeCell ref="I2:K2"/>
    <mergeCell ref="D3:F3"/>
    <mergeCell ref="G3:H3"/>
    <mergeCell ref="I3:K3"/>
    <mergeCell ref="V9:V11"/>
    <mergeCell ref="W9:W11"/>
    <mergeCell ref="P10:R10"/>
    <mergeCell ref="P9:R9"/>
    <mergeCell ref="P11:R11"/>
    <mergeCell ref="P8:R8"/>
    <mergeCell ref="M11:N11"/>
    <mergeCell ref="S9:S11"/>
    <mergeCell ref="T9:T11"/>
    <mergeCell ref="U9:U11"/>
    <mergeCell ref="D4:F4"/>
    <mergeCell ref="D5:F5"/>
    <mergeCell ref="G5:H5"/>
    <mergeCell ref="D6:F6"/>
    <mergeCell ref="G6:H6"/>
    <mergeCell ref="G4:H4"/>
    <mergeCell ref="B17:B18"/>
    <mergeCell ref="C17:C18"/>
    <mergeCell ref="E17:E18"/>
    <mergeCell ref="F17:F18"/>
    <mergeCell ref="K15:L16"/>
    <mergeCell ref="K17:K18"/>
    <mergeCell ref="G17:H17"/>
    <mergeCell ref="L18:M18"/>
    <mergeCell ref="I7:K7"/>
    <mergeCell ref="M7:N7"/>
    <mergeCell ref="G15:I15"/>
    <mergeCell ref="G16:I16"/>
    <mergeCell ref="B12:C16"/>
    <mergeCell ref="E12:F14"/>
    <mergeCell ref="G12:I13"/>
    <mergeCell ref="K12:N14"/>
    <mergeCell ref="G14:H14"/>
    <mergeCell ref="M15:M16"/>
    <mergeCell ref="N16:N18"/>
    <mergeCell ref="D10:F10"/>
    <mergeCell ref="G10:H10"/>
    <mergeCell ref="M10:N10"/>
    <mergeCell ref="D7:F7"/>
    <mergeCell ref="G7:H7"/>
    <mergeCell ref="I4:K4"/>
    <mergeCell ref="I5:K5"/>
    <mergeCell ref="M5:N5"/>
    <mergeCell ref="I6:K6"/>
    <mergeCell ref="M6:N6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49" xr:uid="{00000000-0002-0000-0200-000000000000}">
      <formula1>$Z$19:$Z$30</formula1>
    </dataValidation>
    <dataValidation type="list" allowBlank="1" showErrorMessage="1" sqref="I14" xr:uid="{00000000-0002-0000-0200-000001000000}">
      <formula1>$Y$14:$Y$15</formula1>
    </dataValidation>
    <dataValidation type="list" allowBlank="1" showErrorMessage="1" sqref="J14" xr:uid="{00000000-0002-0000-0200-000002000000}">
      <formula1>$L$9</formula1>
    </dataValidation>
    <dataValidation type="list" allowBlank="1" showErrorMessage="1" sqref="Q15 G18 L18 Q18" xr:uid="{00000000-0002-0000-02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 140H MOTOR GRADER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2025-06-11T16:03:46Z</dcterms:modified>
</cp:coreProperties>
</file>