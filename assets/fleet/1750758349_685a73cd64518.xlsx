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5E9E31CB-F1CA-42BA-8032-63435E05F44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AT CS11 VIBRATORY SOIL COMPACT" sheetId="15" r:id="rId1"/>
    <sheet name="CAT 966 WHEEL LOADER" sheetId="14" r:id="rId2"/>
    <sheet name="CAT 14 MOTOR GRADER" sheetId="13" r:id="rId3"/>
    <sheet name="CAT D8R DOZER" sheetId="12" r:id="rId4"/>
    <sheet name="CAT 350 EXCAVATOR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4" i="15" l="1"/>
  <c r="P6" i="15" s="1"/>
  <c r="S114" i="15"/>
  <c r="R114" i="15"/>
  <c r="P7" i="15" s="1"/>
  <c r="Q114" i="15"/>
  <c r="M114" i="15"/>
  <c r="P3" i="15" s="1"/>
  <c r="L114" i="15"/>
  <c r="K114" i="15"/>
  <c r="I114" i="15"/>
  <c r="P2" i="15" s="1"/>
  <c r="H114" i="15"/>
  <c r="G114" i="15"/>
  <c r="F114" i="15"/>
  <c r="P11" i="15" s="1"/>
  <c r="R18" i="15"/>
  <c r="I18" i="15"/>
  <c r="H18" i="15"/>
  <c r="E16" i="15"/>
  <c r="V15" i="15"/>
  <c r="P9" i="15" s="1"/>
  <c r="P8" i="15"/>
  <c r="P1" i="15"/>
  <c r="T114" i="14"/>
  <c r="S114" i="14"/>
  <c r="R114" i="14"/>
  <c r="Q114" i="14"/>
  <c r="M114" i="14"/>
  <c r="L114" i="14"/>
  <c r="K114" i="14"/>
  <c r="I114" i="14"/>
  <c r="P2" i="14" s="1"/>
  <c r="H114" i="14"/>
  <c r="G114" i="14"/>
  <c r="F114" i="14"/>
  <c r="P11" i="14" s="1"/>
  <c r="R18" i="14"/>
  <c r="I18" i="14"/>
  <c r="H18" i="14"/>
  <c r="E16" i="14"/>
  <c r="V15" i="14"/>
  <c r="P9" i="14" s="1"/>
  <c r="P8" i="14"/>
  <c r="P7" i="14"/>
  <c r="P6" i="14"/>
  <c r="P3" i="14"/>
  <c r="P1" i="14"/>
  <c r="T114" i="13"/>
  <c r="P6" i="13" s="1"/>
  <c r="S114" i="13"/>
  <c r="R114" i="13"/>
  <c r="P7" i="13" s="1"/>
  <c r="Q114" i="13"/>
  <c r="M114" i="13"/>
  <c r="L114" i="13"/>
  <c r="K114" i="13"/>
  <c r="I114" i="13"/>
  <c r="P2" i="13" s="1"/>
  <c r="H114" i="13"/>
  <c r="G114" i="13"/>
  <c r="F114" i="13"/>
  <c r="P11" i="13" s="1"/>
  <c r="R18" i="13"/>
  <c r="I18" i="13"/>
  <c r="H18" i="13"/>
  <c r="E16" i="13"/>
  <c r="V15" i="13"/>
  <c r="P9" i="13" s="1"/>
  <c r="P8" i="13"/>
  <c r="P3" i="13"/>
  <c r="P1" i="13"/>
  <c r="F114" i="12"/>
  <c r="G114" i="12"/>
  <c r="H114" i="12"/>
  <c r="I114" i="12"/>
  <c r="P2" i="12" s="1"/>
  <c r="K114" i="12"/>
  <c r="L114" i="12"/>
  <c r="M114" i="12"/>
  <c r="P3" i="12" s="1"/>
  <c r="S114" i="12"/>
  <c r="T114" i="12"/>
  <c r="P6" i="12" s="1"/>
  <c r="R114" i="12"/>
  <c r="Q114" i="12"/>
  <c r="P11" i="12"/>
  <c r="R18" i="12"/>
  <c r="I18" i="12"/>
  <c r="H18" i="12"/>
  <c r="E16" i="12"/>
  <c r="V15" i="12"/>
  <c r="P9" i="12" s="1"/>
  <c r="P7" i="12"/>
  <c r="P1" i="12"/>
  <c r="P8" i="12" s="1"/>
  <c r="Q69" i="2"/>
  <c r="G69" i="2"/>
  <c r="F69" i="2"/>
  <c r="P11" i="2" s="1"/>
  <c r="L69" i="2"/>
  <c r="K69" i="2"/>
  <c r="R18" i="2"/>
  <c r="I18" i="2"/>
  <c r="H18" i="2"/>
  <c r="E16" i="2"/>
  <c r="P1" i="2"/>
  <c r="P8" i="2" s="1"/>
  <c r="P5" i="15" l="1"/>
  <c r="P4" i="15"/>
  <c r="S9" i="15"/>
  <c r="U9" i="15" s="1"/>
  <c r="P4" i="14"/>
  <c r="P5" i="14"/>
  <c r="S9" i="14"/>
  <c r="U9" i="14" s="1"/>
  <c r="S9" i="13"/>
  <c r="U9" i="13" s="1"/>
  <c r="P4" i="13"/>
  <c r="P5" i="13"/>
  <c r="P5" i="12"/>
  <c r="P4" i="12"/>
  <c r="S9" i="12"/>
  <c r="U9" i="12" s="1"/>
  <c r="M69" i="2"/>
  <c r="P3" i="2" s="1"/>
  <c r="R69" i="2"/>
  <c r="T9" i="15" l="1"/>
  <c r="V9" i="15" s="1"/>
  <c r="T9" i="14"/>
  <c r="V9" i="14" s="1"/>
  <c r="T9" i="13"/>
  <c r="V9" i="13" s="1"/>
  <c r="T9" i="12"/>
  <c r="V9" i="12" s="1"/>
  <c r="P7" i="2"/>
  <c r="V15" i="2"/>
  <c r="P9" i="2" s="1"/>
  <c r="I69" i="2"/>
  <c r="P2" i="2" s="1"/>
  <c r="H69" i="2"/>
  <c r="S9" i="2" l="1"/>
  <c r="S69" i="2"/>
  <c r="T69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<sst xmlns="http://schemas.openxmlformats.org/spreadsheetml/2006/main" count="940" uniqueCount="305">
  <si>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</si>
  <si>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</si>
  <si>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</si>
  <si>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</si>
  <si>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</si>
  <si>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</si>
  <si>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</si>
  <si>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</si>
  <si>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</si>
  <si>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</si>
  <si>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</si>
  <si>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</si>
  <si>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</si>
  <si>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</si>
  <si>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</si>
  <si>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</si>
  <si>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</si>
  <si>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</si>
  <si>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</si>
  <si>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</si>
  <si>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</si>
  <si>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</si>
  <si>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</si>
  <si>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</si>
  <si>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</si>
  <si>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</si>
  <si>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</si>
  <si>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</si>
  <si>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</si>
  <si>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</si>
  <si>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</si>
  <si>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</si>
  <si>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</si>
  <si>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</si>
  <si>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</si>
  <si>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</si>
  <si>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</si>
  <si>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</si>
  <si>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</si>
  <si>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</si>
  <si>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</si>
  <si>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</si>
  <si>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</si>
  <si>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</si>
  <si>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</si>
  <si>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</si>
  <si>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</si>
  <si>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</si>
  <si>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</si>
  <si>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</si>
  <si>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</si>
  <si>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</si>
  <si>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</si>
  <si>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</si>
  <si>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</si>
  <si>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</si>
  <si>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</si>
  <si>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</si>
  <si>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</si>
  <si>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</si>
  <si>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</si>
  <si>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</si>
  <si>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</si>
  <si>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</si>
  <si>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</si>
  <si>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</si>
  <si>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</si>
  <si>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</si>
  <si>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</si>
  <si>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</si>
  <si>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</si>
  <si>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</si>
  <si>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</si>
  <si>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</si>
  <si>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</si>
  <si>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</si>
  <si>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</si>
  <si>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</si>
  <si>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</si>
  <si>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</si>
  <si>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Excavator</t>
  </si>
  <si>
    <t>500-0483</t>
  </si>
  <si>
    <t>ENGINE OIL FILTER</t>
  </si>
  <si>
    <t>570-1623</t>
  </si>
  <si>
    <t xml:space="preserve">FUEL FILTER </t>
  </si>
  <si>
    <t>500-0481</t>
  </si>
  <si>
    <t>FUEL WATER SEPARATOR FILTER</t>
  </si>
  <si>
    <t>590-9787</t>
  </si>
  <si>
    <t>HYDRAULIC FILTER</t>
  </si>
  <si>
    <t>200-3549</t>
  </si>
  <si>
    <t>HYDRAULIC TRANSMISSION OIL FILTER</t>
  </si>
  <si>
    <t>496-9841</t>
  </si>
  <si>
    <t>PRIMARY AIR FILTER</t>
  </si>
  <si>
    <t>496-9842</t>
  </si>
  <si>
    <t>SECONDARY AIR FILTER ELEMENT</t>
  </si>
  <si>
    <t>580-5439</t>
  </si>
  <si>
    <t>CABIN AIR FILTER ELEMENT</t>
  </si>
  <si>
    <t>9X-3404</t>
  </si>
  <si>
    <t>12V 4D BCI BATTERY (21" X 8.3" X 8.9")</t>
  </si>
  <si>
    <t>617-1905</t>
  </si>
  <si>
    <t xml:space="preserve">FUEL INJECTOR </t>
  </si>
  <si>
    <t>594-7756</t>
  </si>
  <si>
    <t>TURBOCHARGER ASSEMBLY</t>
  </si>
  <si>
    <t>622-9220</t>
  </si>
  <si>
    <t>TRACK SPROCKET SEGMENT</t>
  </si>
  <si>
    <t>520-7951</t>
  </si>
  <si>
    <t>SPROCKET BOLT</t>
  </si>
  <si>
    <t>264-9821</t>
  </si>
  <si>
    <t>FRONT IDLER</t>
  </si>
  <si>
    <t>447-1716</t>
  </si>
  <si>
    <t>IDLER BOLT</t>
  </si>
  <si>
    <t>300-4610</t>
  </si>
  <si>
    <t>CARRIER ROLLER</t>
  </si>
  <si>
    <t>447-1724</t>
  </si>
  <si>
    <t>CARRIER BOLT</t>
  </si>
  <si>
    <t>603-8540</t>
  </si>
  <si>
    <t>SINGLE FLANGE TRACK ROLLER</t>
  </si>
  <si>
    <t>ROLLER BOLT</t>
  </si>
  <si>
    <t>451-2177</t>
  </si>
  <si>
    <t>FLAT WASHER</t>
  </si>
  <si>
    <t>CUSTOM</t>
  </si>
  <si>
    <t>GQP TRACK GROUP</t>
  </si>
  <si>
    <t>633-9327</t>
  </si>
  <si>
    <t>LINK ASSY</t>
  </si>
  <si>
    <t>150-4766</t>
  </si>
  <si>
    <t xml:space="preserve">30" TRACK SHOE  </t>
  </si>
  <si>
    <t>301-2299</t>
  </si>
  <si>
    <t>TRACK BOLT</t>
  </si>
  <si>
    <t>150-4742</t>
  </si>
  <si>
    <t>TRACK NUT</t>
  </si>
  <si>
    <t>36 INCH BUCKET</t>
  </si>
  <si>
    <t>597-6036</t>
  </si>
  <si>
    <t>TIP</t>
  </si>
  <si>
    <t>603-6649</t>
  </si>
  <si>
    <t>ENGINE OVERHAUL KIT BRONZE</t>
  </si>
  <si>
    <t>516-8215</t>
  </si>
  <si>
    <t>CAMSHAFT</t>
  </si>
  <si>
    <t>463-1704</t>
  </si>
  <si>
    <t>CRANKSHAFT</t>
  </si>
  <si>
    <t>507-2701</t>
  </si>
  <si>
    <t>CYLINDER HEAD</t>
  </si>
  <si>
    <t xml:space="preserve"> $-   </t>
  </si>
  <si>
    <t>Cat</t>
  </si>
  <si>
    <t>D8R</t>
  </si>
  <si>
    <t>Dozer</t>
  </si>
  <si>
    <t>1R-0716</t>
  </si>
  <si>
    <t>1R-0749</t>
  </si>
  <si>
    <t xml:space="preserve">SECONDARY FUEL FILTER </t>
  </si>
  <si>
    <t>326-1642</t>
  </si>
  <si>
    <t>1R-0735</t>
  </si>
  <si>
    <t>132-8875</t>
  </si>
  <si>
    <t>6I-2505</t>
  </si>
  <si>
    <t>6I-2506</t>
  </si>
  <si>
    <t>396-7087</t>
  </si>
  <si>
    <t>355-6110</t>
  </si>
  <si>
    <t>7C-7582</t>
  </si>
  <si>
    <t>314-5462</t>
  </si>
  <si>
    <t>5P-7665</t>
  </si>
  <si>
    <t>6V-5841</t>
  </si>
  <si>
    <t>7H-3608</t>
  </si>
  <si>
    <t>SPROCKET NUT</t>
  </si>
  <si>
    <t>111-1730</t>
  </si>
  <si>
    <t>8T-4934</t>
  </si>
  <si>
    <t>246-0775</t>
  </si>
  <si>
    <t>6V-0937</t>
  </si>
  <si>
    <t>620-6403</t>
  </si>
  <si>
    <t>DOUBLE FLANGE TRACK ROLLER</t>
  </si>
  <si>
    <t>241-1855</t>
  </si>
  <si>
    <t>451-2182</t>
  </si>
  <si>
    <t>272-6009</t>
  </si>
  <si>
    <t>330-0582</t>
  </si>
  <si>
    <t xml:space="preserve">38" TRACK SHOE  </t>
  </si>
  <si>
    <t>6V-1723</t>
  </si>
  <si>
    <t>7G-6442</t>
  </si>
  <si>
    <t>6V-1724</t>
  </si>
  <si>
    <t>MASTER TRACK BOLT</t>
  </si>
  <si>
    <t>6V-1725</t>
  </si>
  <si>
    <t>602-4737</t>
  </si>
  <si>
    <t>BLADE AS SEMI UNIVERSAL</t>
  </si>
  <si>
    <t>4T-6659</t>
  </si>
  <si>
    <t>DOZER CUTTING EDGE</t>
  </si>
  <si>
    <t>4T-6698</t>
  </si>
  <si>
    <t>CUTTING EDGE</t>
  </si>
  <si>
    <t>4T-6695</t>
  </si>
  <si>
    <t>LH END BIT</t>
  </si>
  <si>
    <t>308-4325</t>
  </si>
  <si>
    <t>RH END BIT</t>
  </si>
  <si>
    <t>4J-9058</t>
  </si>
  <si>
    <t>Plow Bolt</t>
  </si>
  <si>
    <t>8T-4896</t>
  </si>
  <si>
    <t>Washer</t>
  </si>
  <si>
    <t>8E-5346</t>
  </si>
  <si>
    <t>RIPPER SHANK</t>
  </si>
  <si>
    <t>9W-2452</t>
  </si>
  <si>
    <t>RIPPER TIP</t>
  </si>
  <si>
    <t>6Y-3394</t>
  </si>
  <si>
    <t>RIPPER PIN</t>
  </si>
  <si>
    <t>8E-4743</t>
  </si>
  <si>
    <t>RETAINER</t>
  </si>
  <si>
    <t>585-6314</t>
  </si>
  <si>
    <t>Ripper Cylinder</t>
  </si>
  <si>
    <t>ENGINE MAJOR OVERHAUL KIT</t>
  </si>
  <si>
    <t>310-7612</t>
  </si>
  <si>
    <t>337-0201</t>
  </si>
  <si>
    <t>CRANKSAHFT</t>
  </si>
  <si>
    <t>4P-5662</t>
  </si>
  <si>
    <t>9X-7700</t>
  </si>
  <si>
    <t>SEAT ASSEMBLY</t>
  </si>
  <si>
    <t>9X-7711</t>
  </si>
  <si>
    <t>SEAT SUSPENSION</t>
  </si>
  <si>
    <t>328-3655</t>
  </si>
  <si>
    <t>1R-0762</t>
  </si>
  <si>
    <t>FUEL FILTER</t>
  </si>
  <si>
    <t>326-1644</t>
  </si>
  <si>
    <t>338-3540</t>
  </si>
  <si>
    <t>245-6375</t>
  </si>
  <si>
    <t>245-6376</t>
  </si>
  <si>
    <t>211-2660</t>
  </si>
  <si>
    <t>153-5700</t>
  </si>
  <si>
    <t>12V 4D BCI BATTERY (20" X 8.6" X 8.7")</t>
  </si>
  <si>
    <t>GQP ENGINE OVERHAUL KIT</t>
  </si>
  <si>
    <t>223-7468</t>
  </si>
  <si>
    <t>313-3996</t>
  </si>
  <si>
    <t>344-2149</t>
  </si>
  <si>
    <t>247-2956</t>
  </si>
  <si>
    <t>TURBOCHARGER</t>
  </si>
  <si>
    <t>557-7633</t>
  </si>
  <si>
    <t>FUEL INJECTOR</t>
  </si>
  <si>
    <t>282-4577</t>
  </si>
  <si>
    <t>STRAIGHT BLADE AS</t>
  </si>
  <si>
    <t>519-2885</t>
  </si>
  <si>
    <t>CYLINDER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</si>
  <si>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</si>
  <si>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</si>
  <si>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</si>
  <si>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</si>
  <si>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</si>
  <si>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</si>
  <si>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</si>
  <si>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</si>
  <si>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</si>
  <si>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>7D-1577</t>
  </si>
  <si>
    <t>605-8830</t>
  </si>
  <si>
    <t>9J-6586</t>
  </si>
  <si>
    <t>6Y-0309</t>
  </si>
  <si>
    <t>3B-5325</t>
  </si>
  <si>
    <t>COTTER</t>
  </si>
  <si>
    <t>2K-6413</t>
  </si>
  <si>
    <t>PIN</t>
  </si>
  <si>
    <t>114-0359</t>
  </si>
  <si>
    <t>RETAINER AS</t>
  </si>
  <si>
    <t>136-8308</t>
  </si>
  <si>
    <t>504-4302</t>
  </si>
  <si>
    <t>SEAT GROUP</t>
  </si>
  <si>
    <t>1R-1808</t>
  </si>
  <si>
    <t>1R-0726</t>
  </si>
  <si>
    <t>9T-8578</t>
  </si>
  <si>
    <t>245-3818</t>
  </si>
  <si>
    <t>245-3819</t>
  </si>
  <si>
    <t>7X-6041</t>
  </si>
  <si>
    <t>153-5710</t>
  </si>
  <si>
    <t>12V 4D BCI BATTERY (19.3" X 8.6" X 9.9")</t>
  </si>
  <si>
    <t>652-1390</t>
  </si>
  <si>
    <t>ENGINE OVERHAUL KIT</t>
  </si>
  <si>
    <t>305-0617</t>
  </si>
  <si>
    <t>247-2957</t>
  </si>
  <si>
    <t>249-0712</t>
  </si>
  <si>
    <t>INJECTOR</t>
  </si>
  <si>
    <t>133-1677</t>
  </si>
  <si>
    <t>BUCKET AS GENERAL PURPOSE</t>
  </si>
  <si>
    <t>357-1147</t>
  </si>
  <si>
    <t>TILT CYLINDER</t>
  </si>
  <si>
    <t>244-7030</t>
  </si>
  <si>
    <t>LIFT CYLINDER</t>
  </si>
  <si>
    <t>9V-6575</t>
  </si>
  <si>
    <t>8T-9079</t>
  </si>
  <si>
    <t>3K-9770</t>
  </si>
  <si>
    <t>NUT FULL</t>
  </si>
  <si>
    <t>4K-0684</t>
  </si>
  <si>
    <t>WASHER</t>
  </si>
  <si>
    <t>220-9090</t>
  </si>
  <si>
    <t xml:space="preserve">TIP RETAINER </t>
  </si>
  <si>
    <t>475-5480</t>
  </si>
  <si>
    <t>489-6536</t>
  </si>
  <si>
    <t>SEAT GP</t>
  </si>
  <si>
    <t>191-2933</t>
  </si>
  <si>
    <t>Wheel Loader</t>
  </si>
  <si>
    <t>Vibratory Soil Compactor</t>
  </si>
  <si>
    <t>CS11</t>
  </si>
  <si>
    <t>7W-2326</t>
  </si>
  <si>
    <t>460-0663</t>
  </si>
  <si>
    <t>FUEL FILTER GP</t>
  </si>
  <si>
    <t>460-0310</t>
  </si>
  <si>
    <t>192-0717</t>
  </si>
  <si>
    <t>1G-8878</t>
  </si>
  <si>
    <t>222-9020</t>
  </si>
  <si>
    <t>222-9021</t>
  </si>
  <si>
    <t>293-1184</t>
  </si>
  <si>
    <t>350-2433</t>
  </si>
  <si>
    <t>359-0715</t>
  </si>
  <si>
    <t>315-3389</t>
  </si>
  <si>
    <t>519-1083</t>
  </si>
  <si>
    <t>316-7987</t>
  </si>
  <si>
    <t>563-8813</t>
  </si>
  <si>
    <t>563-8812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</si>
</sst>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4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0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ED247AE-0F56-4624-B4C3-A5068DBDFE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A065821-0BD6-4403-9F59-8E52875A1D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B3A7ABB3-7D23-4C71-A9A0-9B9BDF99DB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9A214B5-636F-4E91-A675-FEEA5254C8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503E-E13D-4524-A942-BCCCFC5A22DA}">
  <sheetPr>
    <pageSetUpPr fitToPage="1"/>
  </sheetPr>
  <dimension ref="B1:Z114"/>
  <sheetViews>
    <sheetView tabSelected="1" zoomScale="55" zoomScaleNormal="55" workbookViewId="0">
      <pane ySplit="18" topLeftCell="A19" activePane="bottomLeft" state="frozen"/>
      <selection pane="bottomLeft" activeCell="S19" sqref="S19:V3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426538.79000000004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213269.47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130" t="s">
        <v>142</v>
      </c>
      <c r="H4" s="129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213269.32000000004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130" t="s">
        <v>288</v>
      </c>
      <c r="H5" s="129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0.49999982416605071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130"/>
      <c r="H6" s="129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213269.47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213269.47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287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23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289</v>
      </c>
      <c r="C19" t="s">
        <v>82</v>
      </c>
      <c r="D19" s="83"/>
      <c r="E19" s="84"/>
      <c r="F19">
        <v>1</v>
      </c>
      <c r="G19" s="222">
        <v>87.5</v>
      </c>
      <c r="H19" s="222">
        <v>328.13</v>
      </c>
      <c r="I19" s="222">
        <v>328.13</v>
      </c>
      <c r="J19" s="88"/>
      <c r="K19">
        <v>1</v>
      </c>
      <c r="L19" s="222">
        <v>164.07</v>
      </c>
      <c r="M19" s="222">
        <v>164.07</v>
      </c>
      <c r="N19" s="89"/>
      <c r="O19" s="90"/>
      <c r="P19" s="82"/>
      <c r="Q19" s="91"/>
      <c r="R19" s="91"/>
      <c r="S19" s="222">
        <v>164.07</v>
      </c>
      <c r="T19" s="222">
        <v>164.07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290</v>
      </c>
      <c r="C20" t="s">
        <v>291</v>
      </c>
      <c r="D20" s="83"/>
      <c r="E20" s="97"/>
      <c r="F20">
        <v>1</v>
      </c>
      <c r="G20" s="222">
        <v>1525.5</v>
      </c>
      <c r="H20" s="222">
        <v>5720.63</v>
      </c>
      <c r="I20" s="222">
        <v>5720.63</v>
      </c>
      <c r="J20" s="102"/>
      <c r="K20">
        <v>1</v>
      </c>
      <c r="L20" s="222">
        <v>2860.32</v>
      </c>
      <c r="M20" s="222">
        <v>2860.32</v>
      </c>
      <c r="N20" s="104"/>
      <c r="O20" s="90"/>
      <c r="P20" s="95"/>
      <c r="Q20" s="99"/>
      <c r="R20" s="105"/>
      <c r="S20" s="222">
        <v>2860.32</v>
      </c>
      <c r="T20" s="222">
        <v>2860.32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292</v>
      </c>
      <c r="C21" t="s">
        <v>86</v>
      </c>
      <c r="D21" s="83"/>
      <c r="E21" s="84"/>
      <c r="F21">
        <v>1</v>
      </c>
      <c r="G21" s="222">
        <v>196</v>
      </c>
      <c r="H21" s="222">
        <v>735</v>
      </c>
      <c r="I21" s="222">
        <v>735</v>
      </c>
      <c r="J21" s="102"/>
      <c r="K21">
        <v>1</v>
      </c>
      <c r="L21" s="222">
        <v>367.5</v>
      </c>
      <c r="M21" s="222">
        <v>367.5</v>
      </c>
      <c r="N21" s="111"/>
      <c r="O21" s="90"/>
      <c r="P21" s="112"/>
      <c r="Q21" s="91"/>
      <c r="R21" s="91"/>
      <c r="S21" s="222">
        <v>367.5</v>
      </c>
      <c r="T21" s="222">
        <v>367.5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293</v>
      </c>
      <c r="C22" t="s">
        <v>88</v>
      </c>
      <c r="D22" s="83"/>
      <c r="E22" s="97"/>
      <c r="F22">
        <v>1</v>
      </c>
      <c r="G22" s="222">
        <v>2434</v>
      </c>
      <c r="H22" s="222">
        <v>9127.5</v>
      </c>
      <c r="I22" s="222">
        <v>9127.5</v>
      </c>
      <c r="J22" s="102"/>
      <c r="K22">
        <v>1</v>
      </c>
      <c r="L22" s="222">
        <v>4563.75</v>
      </c>
      <c r="M22" s="222">
        <v>4563.75</v>
      </c>
      <c r="N22" s="104"/>
      <c r="O22" s="90"/>
      <c r="P22" s="95"/>
      <c r="Q22" s="99"/>
      <c r="R22" s="105"/>
      <c r="S22" s="222">
        <v>4563.75</v>
      </c>
      <c r="T22" s="222">
        <v>4563.75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294</v>
      </c>
      <c r="C23" t="s">
        <v>90</v>
      </c>
      <c r="D23" s="83"/>
      <c r="E23" s="84"/>
      <c r="F23">
        <v>1</v>
      </c>
      <c r="G23" s="222">
        <v>295.67</v>
      </c>
      <c r="H23" s="222">
        <v>1108.76</v>
      </c>
      <c r="I23" s="222">
        <v>1108.76</v>
      </c>
      <c r="J23" s="102"/>
      <c r="K23">
        <v>1</v>
      </c>
      <c r="L23" s="222">
        <v>554.38</v>
      </c>
      <c r="M23" s="222">
        <v>554.38</v>
      </c>
      <c r="N23" s="111"/>
      <c r="O23" s="90"/>
      <c r="P23" s="112"/>
      <c r="Q23" s="91"/>
      <c r="R23" s="91"/>
      <c r="S23" s="222">
        <v>554.38</v>
      </c>
      <c r="T23" s="222">
        <v>554.38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295</v>
      </c>
      <c r="C24" t="s">
        <v>92</v>
      </c>
      <c r="D24" s="83"/>
      <c r="E24" s="97"/>
      <c r="F24">
        <v>1</v>
      </c>
      <c r="G24" s="222">
        <v>289.5</v>
      </c>
      <c r="H24" s="222">
        <v>1085.6300000000001</v>
      </c>
      <c r="I24" s="222">
        <v>1085.6300000000001</v>
      </c>
      <c r="J24" s="102"/>
      <c r="K24">
        <v>1</v>
      </c>
      <c r="L24" s="222">
        <v>542.82000000000005</v>
      </c>
      <c r="M24" s="222">
        <v>542.82000000000005</v>
      </c>
      <c r="N24" s="104"/>
      <c r="O24" s="90"/>
      <c r="P24" s="95"/>
      <c r="Q24" s="99"/>
      <c r="R24" s="105"/>
      <c r="S24" s="222">
        <v>542.82000000000005</v>
      </c>
      <c r="T24" s="222">
        <v>542.82000000000005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296</v>
      </c>
      <c r="C25" t="s">
        <v>94</v>
      </c>
      <c r="D25" s="83"/>
      <c r="E25" s="84"/>
      <c r="F25">
        <v>1</v>
      </c>
      <c r="G25" s="222">
        <v>236.5</v>
      </c>
      <c r="H25" s="222">
        <v>886.88</v>
      </c>
      <c r="I25" s="222">
        <v>886.88</v>
      </c>
      <c r="J25" s="102"/>
      <c r="K25">
        <v>1</v>
      </c>
      <c r="L25" s="222">
        <v>443.44</v>
      </c>
      <c r="M25" s="222">
        <v>443.44</v>
      </c>
      <c r="N25" s="111"/>
      <c r="O25" s="90"/>
      <c r="P25" s="112"/>
      <c r="Q25" s="91"/>
      <c r="R25" s="91"/>
      <c r="S25" s="222">
        <v>443.44</v>
      </c>
      <c r="T25" s="222">
        <v>443.44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297</v>
      </c>
      <c r="C26" t="s">
        <v>96</v>
      </c>
      <c r="D26" s="83"/>
      <c r="E26" s="97"/>
      <c r="F26">
        <v>1</v>
      </c>
      <c r="G26" s="222">
        <v>170</v>
      </c>
      <c r="H26" s="222">
        <v>637.5</v>
      </c>
      <c r="I26" s="222">
        <v>637.5</v>
      </c>
      <c r="J26" s="102"/>
      <c r="K26">
        <v>1</v>
      </c>
      <c r="L26" s="222">
        <v>318.75</v>
      </c>
      <c r="M26" s="222">
        <v>318.75</v>
      </c>
      <c r="N26" s="104"/>
      <c r="O26" s="90"/>
      <c r="P26" s="95"/>
      <c r="Q26" s="99"/>
      <c r="R26" s="105"/>
      <c r="S26" s="222">
        <v>318.75</v>
      </c>
      <c r="T26" s="222">
        <v>318.75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97</v>
      </c>
      <c r="C27" t="s">
        <v>261</v>
      </c>
      <c r="D27" s="83"/>
      <c r="E27" s="84"/>
      <c r="F27">
        <v>2</v>
      </c>
      <c r="G27" s="222">
        <v>921</v>
      </c>
      <c r="H27" s="222">
        <v>3453.75</v>
      </c>
      <c r="I27" s="222">
        <v>6907.5</v>
      </c>
      <c r="J27" s="102"/>
      <c r="K27">
        <v>2</v>
      </c>
      <c r="L27" s="222">
        <v>1726.88</v>
      </c>
      <c r="M27" s="222">
        <v>3453.76</v>
      </c>
      <c r="N27" s="111"/>
      <c r="O27" s="90"/>
      <c r="P27" s="112"/>
      <c r="Q27" s="91"/>
      <c r="R27" s="91"/>
      <c r="S27" s="222">
        <v>1726.88</v>
      </c>
      <c r="T27" s="222">
        <v>3453.76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141</v>
      </c>
      <c r="I28" t="s">
        <v>141</v>
      </c>
      <c r="J28" s="102"/>
      <c r="K28">
        <v>0</v>
      </c>
      <c r="L28" t="s">
        <v>141</v>
      </c>
      <c r="M28" t="s">
        <v>141</v>
      </c>
      <c r="N28" s="111"/>
      <c r="O28" s="90"/>
      <c r="P28" s="112"/>
      <c r="Q28" s="91"/>
      <c r="R28" s="91"/>
      <c r="S28" t="s">
        <v>141</v>
      </c>
      <c r="T28" t="s">
        <v>141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120</v>
      </c>
      <c r="C29" t="s">
        <v>220</v>
      </c>
      <c r="D29" s="83"/>
      <c r="E29" s="97"/>
      <c r="F29">
        <v>1</v>
      </c>
      <c r="G29" s="222">
        <v>10195.5</v>
      </c>
      <c r="H29" s="222">
        <v>38233.129999999997</v>
      </c>
      <c r="I29" s="222">
        <v>38233.129999999997</v>
      </c>
      <c r="J29" s="102"/>
      <c r="K29">
        <v>1</v>
      </c>
      <c r="L29" s="222">
        <v>19116.57</v>
      </c>
      <c r="M29" s="222">
        <v>19116.57</v>
      </c>
      <c r="N29" s="104"/>
      <c r="O29" s="90"/>
      <c r="P29" s="95"/>
      <c r="Q29" s="99"/>
      <c r="R29" s="105"/>
      <c r="S29" s="222">
        <v>19116.57</v>
      </c>
      <c r="T29" s="222">
        <v>19116.57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298</v>
      </c>
      <c r="C30" t="s">
        <v>136</v>
      </c>
      <c r="D30" s="83"/>
      <c r="E30" s="84"/>
      <c r="F30">
        <v>1</v>
      </c>
      <c r="G30" s="222">
        <v>7540</v>
      </c>
      <c r="H30" s="222">
        <v>28275</v>
      </c>
      <c r="I30" s="222">
        <v>28275</v>
      </c>
      <c r="J30" s="102"/>
      <c r="K30">
        <v>1</v>
      </c>
      <c r="L30" s="222">
        <v>14137.5</v>
      </c>
      <c r="M30" s="222">
        <v>14137.5</v>
      </c>
      <c r="N30" s="111"/>
      <c r="O30" s="90"/>
      <c r="P30" s="112"/>
      <c r="Q30" s="91"/>
      <c r="R30" s="91"/>
      <c r="S30" s="222">
        <v>14137.5</v>
      </c>
      <c r="T30" s="222">
        <v>14137.5</v>
      </c>
      <c r="U30" s="223">
        <v>0</v>
      </c>
      <c r="V30" s="223">
        <v>1</v>
      </c>
      <c r="W30" s="93"/>
    </row>
    <row r="31" spans="2:26" ht="15.75" customHeight="1">
      <c r="B31" t="s">
        <v>299</v>
      </c>
      <c r="C31" t="s">
        <v>138</v>
      </c>
      <c r="D31" s="83"/>
      <c r="E31" s="97"/>
      <c r="F31">
        <v>1</v>
      </c>
      <c r="G31" s="222">
        <v>17423</v>
      </c>
      <c r="H31" s="222">
        <v>65336.25</v>
      </c>
      <c r="I31" s="222">
        <v>65336.25</v>
      </c>
      <c r="J31" s="102"/>
      <c r="K31">
        <v>1</v>
      </c>
      <c r="L31" s="222">
        <v>32668.13</v>
      </c>
      <c r="M31" s="222">
        <v>32668.13</v>
      </c>
      <c r="N31" s="104"/>
      <c r="O31" s="90"/>
      <c r="P31" s="95"/>
      <c r="Q31" s="99"/>
      <c r="R31" s="105"/>
      <c r="S31" s="222">
        <v>32668.13</v>
      </c>
      <c r="T31" s="222">
        <v>32668.13</v>
      </c>
      <c r="U31" s="223">
        <v>0</v>
      </c>
      <c r="V31" s="223">
        <v>1</v>
      </c>
      <c r="W31" s="108"/>
    </row>
    <row r="32" spans="2:26" ht="15.75" customHeight="1">
      <c r="B32" t="s">
        <v>300</v>
      </c>
      <c r="C32" t="s">
        <v>140</v>
      </c>
      <c r="D32" s="83"/>
      <c r="E32" s="84"/>
      <c r="F32">
        <v>1</v>
      </c>
      <c r="G32" s="222">
        <v>24711.5</v>
      </c>
      <c r="H32" s="222">
        <v>92668.13</v>
      </c>
      <c r="I32" s="222">
        <v>92668.13</v>
      </c>
      <c r="J32" s="102"/>
      <c r="K32">
        <v>1</v>
      </c>
      <c r="L32" s="222">
        <v>46334.07</v>
      </c>
      <c r="M32" s="222">
        <v>46334.07</v>
      </c>
      <c r="N32" s="111"/>
      <c r="O32" s="90"/>
      <c r="P32" s="112"/>
      <c r="Q32" s="91"/>
      <c r="R32" s="91"/>
      <c r="S32" s="222">
        <v>46334.07</v>
      </c>
      <c r="T32" s="222">
        <v>46334.07</v>
      </c>
      <c r="U32" s="223">
        <v>0</v>
      </c>
      <c r="V32" s="223">
        <v>1</v>
      </c>
      <c r="W32" s="93"/>
    </row>
    <row r="33" spans="2:26" ht="15.75" customHeight="1">
      <c r="B33" t="s">
        <v>301</v>
      </c>
      <c r="C33" t="s">
        <v>225</v>
      </c>
      <c r="D33" s="83"/>
      <c r="E33" s="97"/>
      <c r="F33">
        <v>1</v>
      </c>
      <c r="G33" s="222">
        <v>8571</v>
      </c>
      <c r="H33" s="222">
        <v>32141.25</v>
      </c>
      <c r="I33" s="222">
        <v>32141.25</v>
      </c>
      <c r="J33" s="102"/>
      <c r="K33">
        <v>1</v>
      </c>
      <c r="L33" s="222">
        <v>16070.63</v>
      </c>
      <c r="M33" s="222">
        <v>16070.63</v>
      </c>
      <c r="N33" s="104"/>
      <c r="O33" s="90"/>
      <c r="P33" s="95"/>
      <c r="Q33" s="99"/>
      <c r="R33" s="105"/>
      <c r="S33" s="222">
        <v>16070.63</v>
      </c>
      <c r="T33" s="222">
        <v>16070.63</v>
      </c>
      <c r="U33" s="223">
        <v>0</v>
      </c>
      <c r="V33" s="223">
        <v>1</v>
      </c>
      <c r="W33" s="108"/>
    </row>
    <row r="34" spans="2:26" ht="15.75" customHeight="1">
      <c r="B34" t="s">
        <v>302</v>
      </c>
      <c r="C34" t="s">
        <v>267</v>
      </c>
      <c r="D34" s="83"/>
      <c r="E34" s="84"/>
      <c r="F34">
        <v>6</v>
      </c>
      <c r="G34" s="222">
        <v>1463</v>
      </c>
      <c r="H34" s="222">
        <v>5486.25</v>
      </c>
      <c r="I34" s="222">
        <v>32917.5</v>
      </c>
      <c r="J34" s="102"/>
      <c r="K34">
        <v>6</v>
      </c>
      <c r="L34" s="222">
        <v>2743.13</v>
      </c>
      <c r="M34" s="222">
        <v>16458.78</v>
      </c>
      <c r="N34" s="111"/>
      <c r="O34" s="90"/>
      <c r="P34" s="112"/>
      <c r="Q34" s="91"/>
      <c r="R34" s="91"/>
      <c r="S34" s="222">
        <v>2743.13</v>
      </c>
      <c r="T34" s="222">
        <v>16458.78</v>
      </c>
      <c r="U34" s="223">
        <v>0</v>
      </c>
      <c r="V34" s="223">
        <v>1</v>
      </c>
      <c r="W34" s="93"/>
    </row>
    <row r="35" spans="2:26" ht="15.75" customHeight="1">
      <c r="D35" s="83"/>
      <c r="E35" s="97"/>
      <c r="H35" t="s">
        <v>141</v>
      </c>
      <c r="I35" t="s">
        <v>141</v>
      </c>
      <c r="J35" s="102"/>
      <c r="K35">
        <v>0</v>
      </c>
      <c r="L35" t="s">
        <v>141</v>
      </c>
      <c r="M35" t="s">
        <v>141</v>
      </c>
      <c r="N35" s="104"/>
      <c r="O35" s="90"/>
      <c r="P35" s="95"/>
      <c r="Q35" s="99"/>
      <c r="R35" s="105"/>
      <c r="S35" t="s">
        <v>141</v>
      </c>
      <c r="T35" t="s">
        <v>141</v>
      </c>
      <c r="U35" s="223">
        <v>0</v>
      </c>
      <c r="V35" s="223">
        <v>0</v>
      </c>
      <c r="W35" s="108"/>
    </row>
    <row r="36" spans="2:26" ht="15.75" customHeight="1">
      <c r="B36" t="s">
        <v>303</v>
      </c>
      <c r="C36" t="s">
        <v>284</v>
      </c>
      <c r="D36" s="83"/>
      <c r="E36" s="84"/>
      <c r="F36">
        <v>1</v>
      </c>
      <c r="G36" s="222">
        <v>12108</v>
      </c>
      <c r="H36" s="222">
        <v>45405</v>
      </c>
      <c r="I36" s="222">
        <v>45405</v>
      </c>
      <c r="J36" s="102"/>
      <c r="K36">
        <v>1</v>
      </c>
      <c r="L36" s="222">
        <v>22702.5</v>
      </c>
      <c r="M36" s="222">
        <v>22702.5</v>
      </c>
      <c r="N36" s="111"/>
      <c r="O36" s="90"/>
      <c r="P36" s="112"/>
      <c r="Q36" s="91"/>
      <c r="R36" s="91"/>
      <c r="S36" s="222">
        <v>22702.5</v>
      </c>
      <c r="T36" s="222">
        <v>22702.5</v>
      </c>
      <c r="U36" s="223">
        <v>0</v>
      </c>
      <c r="V36" s="223">
        <v>1</v>
      </c>
      <c r="W36" s="108"/>
    </row>
    <row r="37" spans="2:26" ht="15.75" customHeight="1">
      <c r="B37" t="s">
        <v>304</v>
      </c>
      <c r="C37" t="s">
        <v>209</v>
      </c>
      <c r="D37" s="83"/>
      <c r="E37" s="97"/>
      <c r="F37">
        <v>1</v>
      </c>
      <c r="G37" s="222">
        <v>17340</v>
      </c>
      <c r="H37" s="222">
        <v>65025</v>
      </c>
      <c r="I37" s="222">
        <v>65025</v>
      </c>
      <c r="J37" s="102"/>
      <c r="K37">
        <v>1</v>
      </c>
      <c r="L37" s="222">
        <v>32512.5</v>
      </c>
      <c r="M37" s="222">
        <v>32512.5</v>
      </c>
      <c r="N37" s="104"/>
      <c r="O37" s="90"/>
      <c r="P37" s="95"/>
      <c r="Q37" s="99"/>
      <c r="R37" s="105"/>
      <c r="S37" s="222">
        <v>32512.5</v>
      </c>
      <c r="T37" s="222">
        <v>32512.5</v>
      </c>
      <c r="U37" s="223">
        <v>0</v>
      </c>
      <c r="V37" s="223">
        <v>1</v>
      </c>
      <c r="W37" s="108"/>
    </row>
    <row r="38" spans="2:26" ht="15.75" customHeight="1">
      <c r="D38" s="83"/>
      <c r="E38" s="84"/>
      <c r="G38" s="222"/>
      <c r="H38" s="222"/>
      <c r="I38" s="222"/>
      <c r="J38" s="102"/>
      <c r="L38" s="222"/>
      <c r="M38" s="222"/>
      <c r="N38" s="111"/>
      <c r="O38" s="90"/>
      <c r="P38" s="112"/>
      <c r="Q38" s="91"/>
      <c r="R38" s="91"/>
      <c r="S38" s="222"/>
      <c r="T38" s="222"/>
      <c r="U38" s="223"/>
      <c r="V38" s="223"/>
      <c r="W38" s="108"/>
    </row>
    <row r="39" spans="2:26" ht="15.75" customHeight="1">
      <c r="D39" s="83"/>
      <c r="E39" s="97"/>
      <c r="G39" s="222"/>
      <c r="H39" s="222"/>
      <c r="I39" s="222"/>
      <c r="J39" s="102"/>
      <c r="L39" s="222"/>
      <c r="M39" s="222"/>
      <c r="N39" s="104"/>
      <c r="O39" s="90"/>
      <c r="P39" s="95"/>
      <c r="Q39" s="99"/>
      <c r="R39" s="105"/>
      <c r="S39" s="222"/>
      <c r="T39" s="222"/>
      <c r="U39" s="223"/>
      <c r="V39" s="223"/>
      <c r="W39" s="108"/>
    </row>
    <row r="40" spans="2:26" ht="15.75" customHeight="1">
      <c r="D40" s="83"/>
      <c r="E40" s="84"/>
      <c r="G40" s="222"/>
      <c r="H40" s="222"/>
      <c r="I40" s="222"/>
      <c r="J40" s="102"/>
      <c r="L40" s="222"/>
      <c r="M40" s="222"/>
      <c r="N40" s="111"/>
      <c r="O40" s="90"/>
      <c r="P40" s="112"/>
      <c r="Q40" s="91"/>
      <c r="R40" s="91"/>
      <c r="S40" s="222"/>
      <c r="T40" s="222"/>
      <c r="U40" s="223"/>
      <c r="V40" s="223"/>
      <c r="W40" s="108"/>
    </row>
    <row r="41" spans="2:26" ht="15.75" customHeight="1">
      <c r="D41" s="83"/>
      <c r="E41" s="97"/>
      <c r="G41" s="222"/>
      <c r="H41" s="222"/>
      <c r="I41" s="222"/>
      <c r="J41" s="102"/>
      <c r="L41" s="222"/>
      <c r="M41" s="222"/>
      <c r="N41" s="104"/>
      <c r="O41" s="90"/>
      <c r="P41" s="95"/>
      <c r="Q41" s="99"/>
      <c r="R41" s="105"/>
      <c r="S41" s="222"/>
      <c r="T41" s="222"/>
      <c r="U41" s="223"/>
      <c r="V41" s="223"/>
      <c r="W41" s="108"/>
    </row>
    <row r="42" spans="2:26" ht="15.75" customHeight="1">
      <c r="D42" s="83"/>
      <c r="E42" s="84"/>
      <c r="G42" s="222"/>
      <c r="H42" s="222"/>
      <c r="I42" s="222"/>
      <c r="J42" s="102"/>
      <c r="L42" s="222"/>
      <c r="M42" s="222"/>
      <c r="N42" s="111"/>
      <c r="O42" s="90"/>
      <c r="P42" s="112"/>
      <c r="Q42" s="91"/>
      <c r="R42" s="91"/>
      <c r="S42" s="222"/>
      <c r="T42" s="222"/>
      <c r="U42" s="223"/>
      <c r="V42" s="223"/>
      <c r="W42" s="108"/>
    </row>
    <row r="43" spans="2:26" ht="15.75" customHeight="1">
      <c r="D43" s="83"/>
      <c r="E43" s="97"/>
      <c r="G43" s="222"/>
      <c r="H43" s="222"/>
      <c r="I43" s="222"/>
      <c r="J43" s="102"/>
      <c r="L43" s="222"/>
      <c r="M43" s="222"/>
      <c r="N43" s="104"/>
      <c r="O43" s="90"/>
      <c r="P43" s="95"/>
      <c r="Q43" s="99"/>
      <c r="R43" s="105"/>
      <c r="S43" s="222"/>
      <c r="T43" s="222"/>
      <c r="U43" s="223"/>
      <c r="V43" s="223"/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J45" s="102"/>
      <c r="N45" s="104"/>
      <c r="O45" s="90"/>
      <c r="P45" s="95"/>
      <c r="Q45" s="99"/>
      <c r="R45" s="105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223"/>
      <c r="V52" s="223"/>
      <c r="W52" s="93"/>
    </row>
    <row r="53" spans="2:26" ht="15.75" customHeight="1">
      <c r="D53" s="83"/>
      <c r="E53" s="97"/>
      <c r="G53" s="222"/>
      <c r="H53" s="222"/>
      <c r="I53" s="222"/>
      <c r="J53" s="102"/>
      <c r="L53" s="222"/>
      <c r="M53" s="222"/>
      <c r="N53" s="104"/>
      <c r="O53" s="90"/>
      <c r="P53" s="95"/>
      <c r="Q53" s="99"/>
      <c r="R53" s="105"/>
      <c r="S53" s="222"/>
      <c r="T53" s="222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23</v>
      </c>
      <c r="G114" s="118">
        <f>SUM(G19:G113)</f>
        <v>105507.67</v>
      </c>
      <c r="H114" s="119">
        <f>SUM(H19:H113)</f>
        <v>395653.79000000004</v>
      </c>
      <c r="I114" s="120">
        <f>SUM(I19:I113)</f>
        <v>426538.79000000004</v>
      </c>
      <c r="J114" s="121"/>
      <c r="K114" s="122">
        <f>SUM(K19:K113)</f>
        <v>23</v>
      </c>
      <c r="L114" s="119">
        <f>SUM(L19:L113)</f>
        <v>197826.94</v>
      </c>
      <c r="M114" s="120">
        <f>SUM(M19:M113)</f>
        <v>213269.47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197826.94</v>
      </c>
      <c r="T114" s="120">
        <f>SUM(T19:T113)</f>
        <v>213269.47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113" xr:uid="{5B16767C-195B-467E-8D87-5713473F01E4}">
      <formula1>$Z$19:$Z$94</formula1>
    </dataValidation>
    <dataValidation type="list" allowBlank="1" showErrorMessage="1" sqref="I14" xr:uid="{894B3D58-5137-422B-A556-B82EB0C36B64}">
      <formula1>$Y$14:$Y$15</formula1>
    </dataValidation>
    <dataValidation type="list" allowBlank="1" showErrorMessage="1" sqref="J14" xr:uid="{85A85DD7-29A1-44D2-A79B-54D1A75D6E7C}">
      <formula1>$L$9</formula1>
    </dataValidation>
    <dataValidation type="list" allowBlank="1" showErrorMessage="1" sqref="Q15 G18 L18 Q18" xr:uid="{EBBF13B4-50DF-4CED-9998-710430062BD1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E5E8-5292-49F1-8ACD-F7A98A576269}">
  <sheetPr>
    <pageSetUpPr fitToPage="1"/>
  </sheetPr>
  <dimension ref="B1:Z114"/>
  <sheetViews>
    <sheetView zoomScale="55" zoomScaleNormal="55" workbookViewId="0">
      <pane ySplit="18" topLeftCell="A19" activePane="bottomLeft" state="frozen"/>
      <selection pane="bottomLeft" activeCell="S19" sqref="S19:V4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1553174.18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776587.24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130" t="s">
        <v>142</v>
      </c>
      <c r="H4" s="129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776586.94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130">
        <v>966</v>
      </c>
      <c r="H5" s="129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0.49999990342358125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130"/>
      <c r="H6" s="129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776587.24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776587.24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286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104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254</v>
      </c>
      <c r="C19" t="s">
        <v>82</v>
      </c>
      <c r="D19" s="83"/>
      <c r="E19" s="84"/>
      <c r="F19">
        <v>1</v>
      </c>
      <c r="G19" s="222">
        <v>232</v>
      </c>
      <c r="H19" s="222">
        <v>870</v>
      </c>
      <c r="I19" s="222">
        <v>870</v>
      </c>
      <c r="J19" s="88"/>
      <c r="K19">
        <v>1</v>
      </c>
      <c r="L19" s="222">
        <v>435</v>
      </c>
      <c r="M19" s="222">
        <v>435</v>
      </c>
      <c r="N19" s="89"/>
      <c r="O19" s="90"/>
      <c r="P19" s="82"/>
      <c r="Q19" s="91"/>
      <c r="R19" s="91"/>
      <c r="S19" s="222">
        <v>435</v>
      </c>
      <c r="T19" s="222">
        <v>435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255</v>
      </c>
      <c r="C20" t="s">
        <v>212</v>
      </c>
      <c r="D20" s="83"/>
      <c r="E20" s="97"/>
      <c r="F20">
        <v>1</v>
      </c>
      <c r="G20" s="222">
        <v>269</v>
      </c>
      <c r="H20" s="222">
        <v>1008.75</v>
      </c>
      <c r="I20" s="222">
        <v>1008.75</v>
      </c>
      <c r="J20" s="102"/>
      <c r="K20">
        <v>1</v>
      </c>
      <c r="L20" s="222">
        <v>504.38</v>
      </c>
      <c r="M20" s="222">
        <v>504.38</v>
      </c>
      <c r="N20" s="104"/>
      <c r="O20" s="90"/>
      <c r="P20" s="95"/>
      <c r="Q20" s="99"/>
      <c r="R20" s="105"/>
      <c r="S20" s="222">
        <v>504.38</v>
      </c>
      <c r="T20" s="222">
        <v>504.38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213</v>
      </c>
      <c r="C21" t="s">
        <v>86</v>
      </c>
      <c r="D21" s="83"/>
      <c r="E21" s="84"/>
      <c r="F21">
        <v>1</v>
      </c>
      <c r="G21" s="222">
        <v>238</v>
      </c>
      <c r="H21" s="222">
        <v>892.5</v>
      </c>
      <c r="I21" s="222">
        <v>892.5</v>
      </c>
      <c r="J21" s="102"/>
      <c r="K21">
        <v>1</v>
      </c>
      <c r="L21" s="222">
        <v>446.25</v>
      </c>
      <c r="M21" s="222">
        <v>446.25</v>
      </c>
      <c r="N21" s="111"/>
      <c r="O21" s="90"/>
      <c r="P21" s="112"/>
      <c r="Q21" s="91"/>
      <c r="R21" s="91"/>
      <c r="S21" s="222">
        <v>446.25</v>
      </c>
      <c r="T21" s="222">
        <v>446.25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256</v>
      </c>
      <c r="C22" t="s">
        <v>88</v>
      </c>
      <c r="D22" s="83"/>
      <c r="E22" s="97"/>
      <c r="F22">
        <v>1</v>
      </c>
      <c r="G22" s="222">
        <v>342.5</v>
      </c>
      <c r="H22" s="222">
        <v>1284.3800000000001</v>
      </c>
      <c r="I22" s="222">
        <v>1284.3800000000001</v>
      </c>
      <c r="J22" s="102"/>
      <c r="K22">
        <v>1</v>
      </c>
      <c r="L22" s="222">
        <v>642.19000000000005</v>
      </c>
      <c r="M22" s="222">
        <v>642.19000000000005</v>
      </c>
      <c r="N22" s="104"/>
      <c r="O22" s="90"/>
      <c r="P22" s="95"/>
      <c r="Q22" s="99"/>
      <c r="R22" s="105"/>
      <c r="S22" s="222">
        <v>642.19000000000005</v>
      </c>
      <c r="T22" s="222">
        <v>642.19000000000005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210</v>
      </c>
      <c r="C23" t="s">
        <v>90</v>
      </c>
      <c r="D23" s="83"/>
      <c r="E23" s="84"/>
      <c r="F23">
        <v>1</v>
      </c>
      <c r="G23" s="222">
        <v>567.5</v>
      </c>
      <c r="H23" s="222">
        <v>2128.13</v>
      </c>
      <c r="I23" s="222">
        <v>2128.13</v>
      </c>
      <c r="J23" s="102"/>
      <c r="K23">
        <v>1</v>
      </c>
      <c r="L23" s="222">
        <v>1064.07</v>
      </c>
      <c r="M23" s="222">
        <v>1064.07</v>
      </c>
      <c r="N23" s="111"/>
      <c r="O23" s="90"/>
      <c r="P23" s="112"/>
      <c r="Q23" s="91"/>
      <c r="R23" s="91"/>
      <c r="S23" s="222">
        <v>1064.07</v>
      </c>
      <c r="T23" s="222">
        <v>1064.07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257</v>
      </c>
      <c r="C24" t="s">
        <v>92</v>
      </c>
      <c r="D24" s="83"/>
      <c r="E24" s="97"/>
      <c r="F24">
        <v>1</v>
      </c>
      <c r="G24" s="222">
        <v>617</v>
      </c>
      <c r="H24" s="222">
        <v>2313.75</v>
      </c>
      <c r="I24" s="222">
        <v>2313.75</v>
      </c>
      <c r="J24" s="102"/>
      <c r="K24">
        <v>1</v>
      </c>
      <c r="L24" s="222">
        <v>1156.8800000000001</v>
      </c>
      <c r="M24" s="222">
        <v>1156.8800000000001</v>
      </c>
      <c r="N24" s="104"/>
      <c r="O24" s="90"/>
      <c r="P24" s="95"/>
      <c r="Q24" s="99"/>
      <c r="R24" s="105"/>
      <c r="S24" s="222">
        <v>1156.8800000000001</v>
      </c>
      <c r="T24" s="222">
        <v>1156.8800000000001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258</v>
      </c>
      <c r="C25" t="s">
        <v>94</v>
      </c>
      <c r="D25" s="83"/>
      <c r="E25" s="84"/>
      <c r="F25">
        <v>1</v>
      </c>
      <c r="G25" s="222">
        <v>337.5</v>
      </c>
      <c r="H25" s="222">
        <v>1265.6300000000001</v>
      </c>
      <c r="I25" s="222">
        <v>1265.6300000000001</v>
      </c>
      <c r="J25" s="102"/>
      <c r="K25">
        <v>1</v>
      </c>
      <c r="L25" s="222">
        <v>632.82000000000005</v>
      </c>
      <c r="M25" s="222">
        <v>632.82000000000005</v>
      </c>
      <c r="N25" s="111"/>
      <c r="O25" s="90"/>
      <c r="P25" s="112"/>
      <c r="Q25" s="91"/>
      <c r="R25" s="91"/>
      <c r="S25" s="222">
        <v>632.82000000000005</v>
      </c>
      <c r="T25" s="222">
        <v>632.82000000000005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259</v>
      </c>
      <c r="C26" t="s">
        <v>96</v>
      </c>
      <c r="D26" s="83"/>
      <c r="E26" s="97"/>
      <c r="F26">
        <v>1</v>
      </c>
      <c r="G26" s="222">
        <v>266.5</v>
      </c>
      <c r="H26" s="222">
        <v>999.38</v>
      </c>
      <c r="I26" s="222">
        <v>999.38</v>
      </c>
      <c r="J26" s="102"/>
      <c r="K26">
        <v>1</v>
      </c>
      <c r="L26" s="222">
        <v>499.69</v>
      </c>
      <c r="M26" s="222">
        <v>499.69</v>
      </c>
      <c r="N26" s="104"/>
      <c r="O26" s="90"/>
      <c r="P26" s="95"/>
      <c r="Q26" s="99"/>
      <c r="R26" s="105"/>
      <c r="S26" s="222">
        <v>499.69</v>
      </c>
      <c r="T26" s="222">
        <v>499.69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260</v>
      </c>
      <c r="C27" t="s">
        <v>261</v>
      </c>
      <c r="D27" s="83"/>
      <c r="E27" s="84"/>
      <c r="F27">
        <v>2</v>
      </c>
      <c r="G27" s="222">
        <v>1483</v>
      </c>
      <c r="H27" s="222">
        <v>5561.25</v>
      </c>
      <c r="I27" s="222">
        <v>11122.5</v>
      </c>
      <c r="J27" s="102"/>
      <c r="K27">
        <v>2</v>
      </c>
      <c r="L27" s="222">
        <v>2780.63</v>
      </c>
      <c r="M27" s="222">
        <v>5561.26</v>
      </c>
      <c r="N27" s="111"/>
      <c r="O27" s="90"/>
      <c r="P27" s="112"/>
      <c r="Q27" s="91"/>
      <c r="R27" s="91"/>
      <c r="S27" s="222">
        <v>2780.63</v>
      </c>
      <c r="T27" s="222">
        <v>5561.26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141</v>
      </c>
      <c r="I28" t="s">
        <v>141</v>
      </c>
      <c r="J28" s="102"/>
      <c r="K28">
        <v>0</v>
      </c>
      <c r="L28" t="s">
        <v>141</v>
      </c>
      <c r="M28" t="s">
        <v>141</v>
      </c>
      <c r="N28" s="111"/>
      <c r="O28" s="90"/>
      <c r="P28" s="112"/>
      <c r="Q28" s="91"/>
      <c r="R28" s="91"/>
      <c r="S28" t="s">
        <v>141</v>
      </c>
      <c r="T28" t="s">
        <v>141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262</v>
      </c>
      <c r="C29" t="s">
        <v>263</v>
      </c>
      <c r="D29" s="83"/>
      <c r="E29" s="97"/>
      <c r="F29">
        <v>1</v>
      </c>
      <c r="G29" s="222">
        <v>44250.5</v>
      </c>
      <c r="H29" s="222">
        <v>165939.38</v>
      </c>
      <c r="I29" s="222">
        <v>165939.38</v>
      </c>
      <c r="J29" s="102"/>
      <c r="K29">
        <v>1</v>
      </c>
      <c r="L29" s="222">
        <v>82969.69</v>
      </c>
      <c r="M29" s="222">
        <v>82969.69</v>
      </c>
      <c r="N29" s="104"/>
      <c r="O29" s="90"/>
      <c r="P29" s="95"/>
      <c r="Q29" s="99"/>
      <c r="R29" s="105"/>
      <c r="S29" s="222">
        <v>82969.69</v>
      </c>
      <c r="T29" s="222">
        <v>82969.69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221</v>
      </c>
      <c r="C30" t="s">
        <v>136</v>
      </c>
      <c r="D30" s="83"/>
      <c r="E30" s="84"/>
      <c r="F30">
        <v>1</v>
      </c>
      <c r="G30" s="222">
        <v>22444.5</v>
      </c>
      <c r="H30" s="222">
        <v>84166.88</v>
      </c>
      <c r="I30" s="222">
        <v>84166.88</v>
      </c>
      <c r="J30" s="102"/>
      <c r="K30">
        <v>1</v>
      </c>
      <c r="L30" s="222">
        <v>42083.44</v>
      </c>
      <c r="M30" s="222">
        <v>42083.44</v>
      </c>
      <c r="N30" s="111"/>
      <c r="O30" s="90"/>
      <c r="P30" s="112"/>
      <c r="Q30" s="91"/>
      <c r="R30" s="91"/>
      <c r="S30" s="222">
        <v>42083.44</v>
      </c>
      <c r="T30" s="222">
        <v>42083.44</v>
      </c>
      <c r="U30" s="223">
        <v>0</v>
      </c>
      <c r="V30" s="223">
        <v>1</v>
      </c>
      <c r="W30" s="93"/>
    </row>
    <row r="31" spans="2:26" ht="15.75" customHeight="1">
      <c r="B31" t="s">
        <v>222</v>
      </c>
      <c r="C31" t="s">
        <v>138</v>
      </c>
      <c r="D31" s="83"/>
      <c r="E31" s="97"/>
      <c r="F31">
        <v>1</v>
      </c>
      <c r="G31" s="222">
        <v>64140.5</v>
      </c>
      <c r="H31" s="222">
        <v>240526.88</v>
      </c>
      <c r="I31" s="222">
        <v>240526.88</v>
      </c>
      <c r="J31" s="102"/>
      <c r="K31">
        <v>1</v>
      </c>
      <c r="L31" s="222">
        <v>120263.44</v>
      </c>
      <c r="M31" s="222">
        <v>120263.44</v>
      </c>
      <c r="N31" s="104"/>
      <c r="O31" s="90"/>
      <c r="P31" s="95"/>
      <c r="Q31" s="99"/>
      <c r="R31" s="105"/>
      <c r="S31" s="222">
        <v>120263.44</v>
      </c>
      <c r="T31" s="222">
        <v>120263.44</v>
      </c>
      <c r="U31" s="223">
        <v>0</v>
      </c>
      <c r="V31" s="223">
        <v>1</v>
      </c>
      <c r="W31" s="108"/>
    </row>
    <row r="32" spans="2:26" ht="15.75" customHeight="1">
      <c r="B32" t="s">
        <v>264</v>
      </c>
      <c r="C32" t="s">
        <v>140</v>
      </c>
      <c r="D32" s="83"/>
      <c r="E32" s="84"/>
      <c r="F32">
        <v>1</v>
      </c>
      <c r="G32" s="222">
        <v>52221</v>
      </c>
      <c r="H32" s="222">
        <v>195828.75</v>
      </c>
      <c r="I32" s="222">
        <v>195828.75</v>
      </c>
      <c r="J32" s="102"/>
      <c r="K32">
        <v>1</v>
      </c>
      <c r="L32" s="222">
        <v>97914.38</v>
      </c>
      <c r="M32" s="222">
        <v>97914.38</v>
      </c>
      <c r="N32" s="111"/>
      <c r="O32" s="90"/>
      <c r="P32" s="112"/>
      <c r="Q32" s="91"/>
      <c r="R32" s="91"/>
      <c r="S32" s="222">
        <v>97914.38</v>
      </c>
      <c r="T32" s="222">
        <v>97914.38</v>
      </c>
      <c r="U32" s="223">
        <v>0</v>
      </c>
      <c r="V32" s="223">
        <v>1</v>
      </c>
      <c r="W32" s="93"/>
    </row>
    <row r="33" spans="2:26" ht="15.75" customHeight="1">
      <c r="B33" t="s">
        <v>265</v>
      </c>
      <c r="C33" t="s">
        <v>225</v>
      </c>
      <c r="D33" s="83"/>
      <c r="E33" s="97"/>
      <c r="F33">
        <v>1</v>
      </c>
      <c r="G33" s="222">
        <v>22356.5</v>
      </c>
      <c r="H33" s="222">
        <v>83836.88</v>
      </c>
      <c r="I33" s="222">
        <v>83836.88</v>
      </c>
      <c r="J33" s="102"/>
      <c r="K33">
        <v>1</v>
      </c>
      <c r="L33" s="222">
        <v>41918.44</v>
      </c>
      <c r="M33" s="222">
        <v>41918.44</v>
      </c>
      <c r="N33" s="104"/>
      <c r="O33" s="90"/>
      <c r="P33" s="95"/>
      <c r="Q33" s="99"/>
      <c r="R33" s="105"/>
      <c r="S33" s="222">
        <v>41918.44</v>
      </c>
      <c r="T33" s="222">
        <v>41918.44</v>
      </c>
      <c r="U33" s="223">
        <v>0</v>
      </c>
      <c r="V33" s="223">
        <v>1</v>
      </c>
      <c r="W33" s="108"/>
    </row>
    <row r="34" spans="2:26" ht="15.75" customHeight="1">
      <c r="B34" t="s">
        <v>266</v>
      </c>
      <c r="C34" t="s">
        <v>267</v>
      </c>
      <c r="D34" s="83"/>
      <c r="E34" s="84"/>
      <c r="F34">
        <v>6</v>
      </c>
      <c r="G34" s="222">
        <v>4500</v>
      </c>
      <c r="H34" s="222">
        <v>16875</v>
      </c>
      <c r="I34" s="222">
        <v>101250</v>
      </c>
      <c r="J34" s="102"/>
      <c r="K34">
        <v>6</v>
      </c>
      <c r="L34" s="222">
        <v>8437.5</v>
      </c>
      <c r="M34" s="222">
        <v>50625</v>
      </c>
      <c r="N34" s="111"/>
      <c r="O34" s="90"/>
      <c r="P34" s="112"/>
      <c r="Q34" s="91"/>
      <c r="R34" s="91"/>
      <c r="S34" s="222">
        <v>8437.5</v>
      </c>
      <c r="T34" s="222">
        <v>50625</v>
      </c>
      <c r="U34" s="223">
        <v>0</v>
      </c>
      <c r="V34" s="223">
        <v>1</v>
      </c>
      <c r="W34" s="93"/>
    </row>
    <row r="35" spans="2:26" ht="15.75" customHeight="1">
      <c r="D35" s="83"/>
      <c r="E35" s="97"/>
      <c r="H35" t="s">
        <v>141</v>
      </c>
      <c r="I35" t="s">
        <v>141</v>
      </c>
      <c r="J35" s="102"/>
      <c r="K35">
        <v>0</v>
      </c>
      <c r="L35" t="s">
        <v>141</v>
      </c>
      <c r="M35" t="s">
        <v>141</v>
      </c>
      <c r="N35" s="104"/>
      <c r="O35" s="90"/>
      <c r="P35" s="95"/>
      <c r="Q35" s="99"/>
      <c r="R35" s="105"/>
      <c r="S35" t="s">
        <v>141</v>
      </c>
      <c r="T35" t="s">
        <v>141</v>
      </c>
      <c r="U35" s="223">
        <v>0</v>
      </c>
      <c r="V35" s="223">
        <v>0</v>
      </c>
      <c r="W35" s="108"/>
    </row>
    <row r="36" spans="2:26" ht="15.75" customHeight="1">
      <c r="B36" t="s">
        <v>268</v>
      </c>
      <c r="C36" t="s">
        <v>269</v>
      </c>
      <c r="D36" s="83"/>
      <c r="E36" s="84"/>
      <c r="F36">
        <v>1</v>
      </c>
      <c r="G36" s="222">
        <v>66431.27</v>
      </c>
      <c r="H36" s="222">
        <v>249117.26</v>
      </c>
      <c r="I36" s="222">
        <v>249117.26</v>
      </c>
      <c r="J36" s="102"/>
      <c r="K36">
        <v>1</v>
      </c>
      <c r="L36" s="222">
        <v>124558.63</v>
      </c>
      <c r="M36" s="222">
        <v>124558.63</v>
      </c>
      <c r="N36" s="111"/>
      <c r="O36" s="90"/>
      <c r="P36" s="112"/>
      <c r="Q36" s="91"/>
      <c r="R36" s="91"/>
      <c r="S36" s="222">
        <v>124558.63</v>
      </c>
      <c r="T36" s="222">
        <v>124558.63</v>
      </c>
      <c r="U36" s="223">
        <v>0</v>
      </c>
      <c r="V36" s="223">
        <v>1</v>
      </c>
      <c r="W36" s="108"/>
    </row>
    <row r="37" spans="2:26" ht="15.75" customHeight="1">
      <c r="B37" t="s">
        <v>270</v>
      </c>
      <c r="C37" t="s">
        <v>271</v>
      </c>
      <c r="D37" s="83"/>
      <c r="E37" s="97"/>
      <c r="F37">
        <v>2</v>
      </c>
      <c r="G37" s="222">
        <v>22882</v>
      </c>
      <c r="H37" s="222">
        <v>85807.5</v>
      </c>
      <c r="I37" s="222">
        <v>171615</v>
      </c>
      <c r="J37" s="102"/>
      <c r="K37">
        <v>2</v>
      </c>
      <c r="L37" s="222">
        <v>42903.75</v>
      </c>
      <c r="M37" s="222">
        <v>85807.5</v>
      </c>
      <c r="N37" s="104"/>
      <c r="O37" s="90"/>
      <c r="P37" s="95"/>
      <c r="Q37" s="99"/>
      <c r="R37" s="105"/>
      <c r="S37" s="222">
        <v>42903.75</v>
      </c>
      <c r="T37" s="222">
        <v>85807.5</v>
      </c>
      <c r="U37" s="223">
        <v>0</v>
      </c>
      <c r="V37" s="223">
        <v>1</v>
      </c>
      <c r="W37" s="108"/>
    </row>
    <row r="38" spans="2:26" ht="15.75" customHeight="1">
      <c r="B38" t="s">
        <v>272</v>
      </c>
      <c r="C38" t="s">
        <v>273</v>
      </c>
      <c r="D38" s="83"/>
      <c r="E38" s="84"/>
      <c r="F38">
        <v>1</v>
      </c>
      <c r="G38" s="222">
        <v>28801</v>
      </c>
      <c r="H38" s="222">
        <v>108003.75</v>
      </c>
      <c r="I38" s="222">
        <v>108003.75</v>
      </c>
      <c r="J38" s="102"/>
      <c r="K38">
        <v>1</v>
      </c>
      <c r="L38" s="222">
        <v>54001.88</v>
      </c>
      <c r="M38" s="222">
        <v>54001.88</v>
      </c>
      <c r="N38" s="111"/>
      <c r="O38" s="90"/>
      <c r="P38" s="112"/>
      <c r="Q38" s="91"/>
      <c r="R38" s="91"/>
      <c r="S38" s="222">
        <v>54001.88</v>
      </c>
      <c r="T38" s="222">
        <v>54001.88</v>
      </c>
      <c r="U38" s="223">
        <v>0</v>
      </c>
      <c r="V38" s="223">
        <v>1</v>
      </c>
      <c r="W38" s="108"/>
    </row>
    <row r="39" spans="2:26" ht="15.75" customHeight="1">
      <c r="B39" t="s">
        <v>274</v>
      </c>
      <c r="C39" t="s">
        <v>182</v>
      </c>
      <c r="D39" s="83"/>
      <c r="E39" s="97"/>
      <c r="F39">
        <v>1</v>
      </c>
      <c r="G39" s="222">
        <v>8603</v>
      </c>
      <c r="H39" s="222">
        <v>32261.25</v>
      </c>
      <c r="I39" s="222">
        <v>32261.25</v>
      </c>
      <c r="J39" s="102"/>
      <c r="K39">
        <v>1</v>
      </c>
      <c r="L39" s="222">
        <v>16130.63</v>
      </c>
      <c r="M39" s="222">
        <v>16130.63</v>
      </c>
      <c r="N39" s="104"/>
      <c r="O39" s="90"/>
      <c r="P39" s="95"/>
      <c r="Q39" s="99"/>
      <c r="R39" s="105"/>
      <c r="S39" s="222">
        <v>16130.63</v>
      </c>
      <c r="T39" s="222">
        <v>16130.63</v>
      </c>
      <c r="U39" s="223">
        <v>0</v>
      </c>
      <c r="V39" s="223">
        <v>1</v>
      </c>
      <c r="W39" s="108"/>
    </row>
    <row r="40" spans="2:26" ht="15.75" customHeight="1">
      <c r="B40" t="s">
        <v>275</v>
      </c>
      <c r="C40" t="s">
        <v>233</v>
      </c>
      <c r="D40" s="83"/>
      <c r="E40" s="84"/>
      <c r="F40">
        <v>20</v>
      </c>
      <c r="G40" s="222">
        <v>47</v>
      </c>
      <c r="H40" s="222">
        <v>176.25</v>
      </c>
      <c r="I40" s="222">
        <v>3525</v>
      </c>
      <c r="J40" s="102"/>
      <c r="K40">
        <v>20</v>
      </c>
      <c r="L40" s="222">
        <v>88.13</v>
      </c>
      <c r="M40" s="222">
        <v>1762.6</v>
      </c>
      <c r="N40" s="111"/>
      <c r="O40" s="90"/>
      <c r="P40" s="112"/>
      <c r="Q40" s="91"/>
      <c r="R40" s="91"/>
      <c r="S40" s="222">
        <v>88.13</v>
      </c>
      <c r="T40" s="222">
        <v>1762.6</v>
      </c>
      <c r="U40" s="223">
        <v>0</v>
      </c>
      <c r="V40" s="223">
        <v>1</v>
      </c>
      <c r="W40" s="108"/>
    </row>
    <row r="41" spans="2:26" ht="15.75" customHeight="1">
      <c r="B41" t="s">
        <v>276</v>
      </c>
      <c r="C41" t="s">
        <v>277</v>
      </c>
      <c r="D41" s="83"/>
      <c r="E41" s="97"/>
      <c r="F41">
        <v>20</v>
      </c>
      <c r="G41" s="222">
        <v>40</v>
      </c>
      <c r="H41" s="222">
        <v>150</v>
      </c>
      <c r="I41" s="222">
        <v>3000</v>
      </c>
      <c r="J41" s="102"/>
      <c r="K41">
        <v>20</v>
      </c>
      <c r="L41" s="222">
        <v>75</v>
      </c>
      <c r="M41" s="222">
        <v>1500</v>
      </c>
      <c r="N41" s="104"/>
      <c r="O41" s="90"/>
      <c r="P41" s="95"/>
      <c r="Q41" s="99"/>
      <c r="R41" s="105"/>
      <c r="S41" s="222">
        <v>75</v>
      </c>
      <c r="T41" s="222">
        <v>1500</v>
      </c>
      <c r="U41" s="223">
        <v>0</v>
      </c>
      <c r="V41" s="223">
        <v>1</v>
      </c>
      <c r="W41" s="108"/>
    </row>
    <row r="42" spans="2:26" ht="15.75" customHeight="1">
      <c r="B42" t="s">
        <v>278</v>
      </c>
      <c r="C42" t="s">
        <v>279</v>
      </c>
      <c r="D42" s="83"/>
      <c r="E42" s="84"/>
      <c r="F42">
        <v>20</v>
      </c>
      <c r="G42" s="222">
        <v>26</v>
      </c>
      <c r="H42" s="222">
        <v>97.5</v>
      </c>
      <c r="I42" s="222">
        <v>1950</v>
      </c>
      <c r="J42" s="102"/>
      <c r="K42">
        <v>20</v>
      </c>
      <c r="L42" s="222">
        <v>48.75</v>
      </c>
      <c r="M42" s="222">
        <v>975</v>
      </c>
      <c r="N42" s="111"/>
      <c r="O42" s="90"/>
      <c r="P42" s="112"/>
      <c r="Q42" s="91"/>
      <c r="R42" s="91"/>
      <c r="S42" s="222">
        <v>48.75</v>
      </c>
      <c r="T42" s="222">
        <v>975</v>
      </c>
      <c r="U42" s="223">
        <v>0</v>
      </c>
      <c r="V42" s="223">
        <v>1</v>
      </c>
      <c r="W42" s="108"/>
    </row>
    <row r="43" spans="2:26" ht="15.75" customHeight="1">
      <c r="B43" t="s">
        <v>280</v>
      </c>
      <c r="C43" t="s">
        <v>281</v>
      </c>
      <c r="D43" s="83"/>
      <c r="E43" s="97"/>
      <c r="F43">
        <v>8</v>
      </c>
      <c r="G43" s="222">
        <v>82</v>
      </c>
      <c r="H43" s="222">
        <v>307.5</v>
      </c>
      <c r="I43" s="222">
        <v>2460</v>
      </c>
      <c r="J43" s="102"/>
      <c r="K43">
        <v>8</v>
      </c>
      <c r="L43" s="222">
        <v>153.75</v>
      </c>
      <c r="M43" s="222">
        <v>1230</v>
      </c>
      <c r="N43" s="104"/>
      <c r="O43" s="90"/>
      <c r="P43" s="95"/>
      <c r="Q43" s="99"/>
      <c r="R43" s="105"/>
      <c r="S43" s="222">
        <v>153.75</v>
      </c>
      <c r="T43" s="222">
        <v>1230</v>
      </c>
      <c r="U43" s="223">
        <v>0</v>
      </c>
      <c r="V43" s="223">
        <v>1</v>
      </c>
      <c r="W43" s="108"/>
    </row>
    <row r="44" spans="2:26" ht="15.75" customHeight="1">
      <c r="B44" t="s">
        <v>282</v>
      </c>
      <c r="C44" t="s">
        <v>132</v>
      </c>
      <c r="D44" s="83"/>
      <c r="E44" s="84"/>
      <c r="F44">
        <v>8</v>
      </c>
      <c r="G44" s="222">
        <v>376</v>
      </c>
      <c r="H44" s="222">
        <v>1410</v>
      </c>
      <c r="I44" s="222">
        <v>11280</v>
      </c>
      <c r="J44" s="102"/>
      <c r="K44">
        <v>8</v>
      </c>
      <c r="L44" s="222">
        <v>705</v>
      </c>
      <c r="M44" s="222">
        <v>5640</v>
      </c>
      <c r="N44" s="111"/>
      <c r="O44" s="90"/>
      <c r="P44" s="112"/>
      <c r="Q44" s="91"/>
      <c r="R44" s="91"/>
      <c r="S44" s="222">
        <v>705</v>
      </c>
      <c r="T44" s="222">
        <v>5640</v>
      </c>
      <c r="U44" s="223">
        <v>0</v>
      </c>
      <c r="V44" s="223">
        <v>1</v>
      </c>
      <c r="W44" s="108"/>
    </row>
    <row r="45" spans="2:26" ht="15.75" customHeight="1">
      <c r="D45" s="83"/>
      <c r="E45" s="97"/>
      <c r="H45" t="s">
        <v>141</v>
      </c>
      <c r="I45" t="s">
        <v>141</v>
      </c>
      <c r="J45" s="102"/>
      <c r="K45">
        <v>0</v>
      </c>
      <c r="L45" t="s">
        <v>141</v>
      </c>
      <c r="M45" t="s">
        <v>141</v>
      </c>
      <c r="N45" s="104"/>
      <c r="O45" s="90"/>
      <c r="P45" s="95"/>
      <c r="Q45" s="99"/>
      <c r="R45" s="105"/>
      <c r="S45" t="s">
        <v>141</v>
      </c>
      <c r="T45" t="s">
        <v>141</v>
      </c>
      <c r="U45" s="223">
        <v>0</v>
      </c>
      <c r="V45" s="223">
        <v>0</v>
      </c>
      <c r="W45" s="108"/>
    </row>
    <row r="46" spans="2:26" ht="15.75" customHeight="1">
      <c r="B46" t="s">
        <v>283</v>
      </c>
      <c r="C46" t="s">
        <v>284</v>
      </c>
      <c r="D46" s="83"/>
      <c r="E46" s="84"/>
      <c r="F46">
        <v>1</v>
      </c>
      <c r="G46" s="222">
        <v>10607.5</v>
      </c>
      <c r="H46" s="222">
        <v>39778.129999999997</v>
      </c>
      <c r="I46" s="222">
        <v>39778.129999999997</v>
      </c>
      <c r="J46" s="102"/>
      <c r="K46">
        <v>1</v>
      </c>
      <c r="L46" s="222">
        <v>19889.07</v>
      </c>
      <c r="M46" s="222">
        <v>19889.07</v>
      </c>
      <c r="N46" s="111"/>
      <c r="O46" s="90"/>
      <c r="P46" s="112"/>
      <c r="Q46" s="91"/>
      <c r="R46" s="91"/>
      <c r="S46" s="222">
        <v>19889.07</v>
      </c>
      <c r="T46" s="222">
        <v>19889.07</v>
      </c>
      <c r="U46" s="223">
        <v>0</v>
      </c>
      <c r="V46" s="223">
        <v>1</v>
      </c>
      <c r="W46" s="108"/>
    </row>
    <row r="47" spans="2:26" ht="15.75" customHeight="1">
      <c r="B47" t="s">
        <v>285</v>
      </c>
      <c r="C47" t="s">
        <v>209</v>
      </c>
      <c r="D47" s="83"/>
      <c r="E47" s="97"/>
      <c r="F47">
        <v>1</v>
      </c>
      <c r="G47" s="222">
        <v>9800</v>
      </c>
      <c r="H47" s="222">
        <v>36750</v>
      </c>
      <c r="I47" s="222">
        <v>36750</v>
      </c>
      <c r="J47" s="102"/>
      <c r="K47">
        <v>1</v>
      </c>
      <c r="L47" s="222">
        <v>18375</v>
      </c>
      <c r="M47" s="222">
        <v>18375</v>
      </c>
      <c r="N47" s="104"/>
      <c r="O47" s="90"/>
      <c r="P47" s="95"/>
      <c r="Q47" s="99"/>
      <c r="R47" s="105"/>
      <c r="S47" s="222">
        <v>18375</v>
      </c>
      <c r="T47" s="222">
        <v>18375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223"/>
      <c r="V52" s="223"/>
      <c r="W52" s="93"/>
    </row>
    <row r="53" spans="2:26" ht="15.75" customHeight="1">
      <c r="D53" s="83"/>
      <c r="E53" s="97"/>
      <c r="G53" s="222"/>
      <c r="H53" s="222"/>
      <c r="I53" s="222"/>
      <c r="J53" s="102"/>
      <c r="L53" s="222"/>
      <c r="M53" s="222"/>
      <c r="N53" s="104"/>
      <c r="O53" s="90"/>
      <c r="P53" s="95"/>
      <c r="Q53" s="99"/>
      <c r="R53" s="105"/>
      <c r="S53" s="222"/>
      <c r="T53" s="222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104</v>
      </c>
      <c r="G114" s="118">
        <f>SUM(G19:G113)</f>
        <v>361961.77</v>
      </c>
      <c r="H114" s="119">
        <f>SUM(H19:H113)</f>
        <v>1357356.68</v>
      </c>
      <c r="I114" s="120">
        <f>SUM(I19:I113)</f>
        <v>1553174.18</v>
      </c>
      <c r="J114" s="121"/>
      <c r="K114" s="122">
        <f>SUM(K19:K113)</f>
        <v>104</v>
      </c>
      <c r="L114" s="119">
        <f>SUM(L19:L113)</f>
        <v>678678.3899999999</v>
      </c>
      <c r="M114" s="120">
        <f>SUM(M19:M113)</f>
        <v>776587.24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678678.3899999999</v>
      </c>
      <c r="T114" s="120">
        <f>SUM(T19:T113)</f>
        <v>776587.24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7133B30B-FE4A-49A4-8A23-3A3056BD782F}">
      <formula1>$Y$12:$Y$13</formula1>
    </dataValidation>
    <dataValidation type="list" allowBlank="1" showErrorMessage="1" sqref="J14" xr:uid="{02FACEA3-B152-4879-9F83-3E4ED058492A}">
      <formula1>$L$9</formula1>
    </dataValidation>
    <dataValidation type="list" allowBlank="1" showErrorMessage="1" sqref="I14" xr:uid="{8F550DAF-D486-4E43-8D51-62C9A94B0960}">
      <formula1>$Y$14:$Y$15</formula1>
    </dataValidation>
    <dataValidation type="list" allowBlank="1" showErrorMessage="1" sqref="E19:E113" xr:uid="{B8F03821-3B9A-4A25-91FE-55343FB91D3C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5308-C2EB-4959-84DE-9970478CF87D}">
  <sheetPr>
    <pageSetUpPr fitToPage="1"/>
  </sheetPr>
  <dimension ref="B1:Z114"/>
  <sheetViews>
    <sheetView zoomScale="55" zoomScaleNormal="55" workbookViewId="0">
      <pane ySplit="18" topLeftCell="A57" activePane="bottomLeft" state="frozen"/>
      <selection pane="bottomLeft" activeCell="S19" sqref="S19:V5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425711.5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212855.75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130" t="s">
        <v>142</v>
      </c>
      <c r="H4" s="129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212855.75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130">
        <v>14</v>
      </c>
      <c r="H5" s="129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0.5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130"/>
      <c r="H6" s="129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212855.75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212855.75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79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141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210</v>
      </c>
      <c r="C19" t="s">
        <v>82</v>
      </c>
      <c r="D19" s="83"/>
      <c r="E19" s="84"/>
      <c r="F19">
        <v>1</v>
      </c>
      <c r="G19" s="222">
        <v>567.5</v>
      </c>
      <c r="H19" s="222">
        <v>151.33000000000001</v>
      </c>
      <c r="I19" s="222">
        <v>567.5</v>
      </c>
      <c r="J19" s="88"/>
      <c r="K19">
        <v>1</v>
      </c>
      <c r="L19" s="222">
        <v>283.75</v>
      </c>
      <c r="M19" s="222">
        <v>283.75</v>
      </c>
      <c r="N19" s="89"/>
      <c r="O19" s="90"/>
      <c r="P19" s="82"/>
      <c r="Q19" s="91"/>
      <c r="R19" s="91"/>
      <c r="S19" s="222">
        <v>283.75</v>
      </c>
      <c r="T19" s="222">
        <v>283.75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211</v>
      </c>
      <c r="C20" t="s">
        <v>212</v>
      </c>
      <c r="D20" s="83"/>
      <c r="E20" s="97"/>
      <c r="F20">
        <v>1</v>
      </c>
      <c r="G20" s="222">
        <v>195.5</v>
      </c>
      <c r="H20" s="222">
        <v>52.13</v>
      </c>
      <c r="I20" s="222">
        <v>195.5</v>
      </c>
      <c r="J20" s="102"/>
      <c r="K20">
        <v>1</v>
      </c>
      <c r="L20" s="222">
        <v>97.75</v>
      </c>
      <c r="M20" s="222">
        <v>97.75</v>
      </c>
      <c r="N20" s="104"/>
      <c r="O20" s="90"/>
      <c r="P20" s="95"/>
      <c r="Q20" s="99"/>
      <c r="R20" s="105"/>
      <c r="S20" s="222">
        <v>97.75</v>
      </c>
      <c r="T20" s="222">
        <v>97.75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213</v>
      </c>
      <c r="C21" t="s">
        <v>86</v>
      </c>
      <c r="D21" s="83"/>
      <c r="E21" s="84"/>
      <c r="F21">
        <v>1</v>
      </c>
      <c r="G21" s="222">
        <v>238</v>
      </c>
      <c r="H21" s="222">
        <v>63.47</v>
      </c>
      <c r="I21" s="222">
        <v>238</v>
      </c>
      <c r="J21" s="102"/>
      <c r="K21">
        <v>1</v>
      </c>
      <c r="L21" s="222">
        <v>119</v>
      </c>
      <c r="M21" s="222">
        <v>119</v>
      </c>
      <c r="N21" s="111"/>
      <c r="O21" s="90"/>
      <c r="P21" s="112"/>
      <c r="Q21" s="91"/>
      <c r="R21" s="91"/>
      <c r="S21" s="222">
        <v>119</v>
      </c>
      <c r="T21" s="222">
        <v>119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214</v>
      </c>
      <c r="C22" t="s">
        <v>88</v>
      </c>
      <c r="D22" s="83"/>
      <c r="E22" s="97"/>
      <c r="F22">
        <v>1</v>
      </c>
      <c r="G22" s="222">
        <v>709.5</v>
      </c>
      <c r="H22" s="222">
        <v>189.2</v>
      </c>
      <c r="I22" s="222">
        <v>709.5</v>
      </c>
      <c r="J22" s="102"/>
      <c r="K22">
        <v>1</v>
      </c>
      <c r="L22" s="222">
        <v>354.75</v>
      </c>
      <c r="M22" s="222">
        <v>354.75</v>
      </c>
      <c r="N22" s="104"/>
      <c r="O22" s="90"/>
      <c r="P22" s="95"/>
      <c r="Q22" s="99"/>
      <c r="R22" s="105"/>
      <c r="S22" s="222">
        <v>354.75</v>
      </c>
      <c r="T22" s="222">
        <v>354.75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210</v>
      </c>
      <c r="C23" t="s">
        <v>90</v>
      </c>
      <c r="D23" s="83"/>
      <c r="E23" s="84"/>
      <c r="F23">
        <v>1</v>
      </c>
      <c r="G23" s="222">
        <v>567.5</v>
      </c>
      <c r="H23" s="222">
        <v>151.33000000000001</v>
      </c>
      <c r="I23" s="222">
        <v>567.5</v>
      </c>
      <c r="J23" s="102"/>
      <c r="K23">
        <v>1</v>
      </c>
      <c r="L23" s="222">
        <v>283.75</v>
      </c>
      <c r="M23" s="222">
        <v>283.75</v>
      </c>
      <c r="N23" s="111"/>
      <c r="O23" s="90"/>
      <c r="P23" s="112"/>
      <c r="Q23" s="91"/>
      <c r="R23" s="91"/>
      <c r="S23" s="222">
        <v>283.75</v>
      </c>
      <c r="T23" s="222">
        <v>283.75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215</v>
      </c>
      <c r="C24" t="s">
        <v>92</v>
      </c>
      <c r="D24" s="83"/>
      <c r="E24" s="97"/>
      <c r="F24">
        <v>1</v>
      </c>
      <c r="G24" s="222">
        <v>464</v>
      </c>
      <c r="H24" s="222">
        <v>123.73</v>
      </c>
      <c r="I24" s="222">
        <v>464</v>
      </c>
      <c r="J24" s="102"/>
      <c r="K24">
        <v>1</v>
      </c>
      <c r="L24" s="222">
        <v>232</v>
      </c>
      <c r="M24" s="222">
        <v>232</v>
      </c>
      <c r="N24" s="104"/>
      <c r="O24" s="90"/>
      <c r="P24" s="95"/>
      <c r="Q24" s="99"/>
      <c r="R24" s="105"/>
      <c r="S24" s="222">
        <v>232</v>
      </c>
      <c r="T24" s="222">
        <v>232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216</v>
      </c>
      <c r="C25" t="s">
        <v>94</v>
      </c>
      <c r="D25" s="83"/>
      <c r="E25" s="84"/>
      <c r="F25">
        <v>1</v>
      </c>
      <c r="G25" s="222">
        <v>305</v>
      </c>
      <c r="H25" s="222">
        <v>81.33</v>
      </c>
      <c r="I25" s="222">
        <v>305</v>
      </c>
      <c r="J25" s="102"/>
      <c r="K25">
        <v>1</v>
      </c>
      <c r="L25" s="222">
        <v>152.5</v>
      </c>
      <c r="M25" s="222">
        <v>152.5</v>
      </c>
      <c r="N25" s="111"/>
      <c r="O25" s="90"/>
      <c r="P25" s="112"/>
      <c r="Q25" s="91"/>
      <c r="R25" s="91"/>
      <c r="S25" s="222">
        <v>152.5</v>
      </c>
      <c r="T25" s="222">
        <v>152.5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217</v>
      </c>
      <c r="C26" t="s">
        <v>96</v>
      </c>
      <c r="D26" s="83"/>
      <c r="E26" s="97"/>
      <c r="F26">
        <v>1</v>
      </c>
      <c r="G26" s="222">
        <v>217.5</v>
      </c>
      <c r="H26" s="222">
        <v>58</v>
      </c>
      <c r="I26" s="222">
        <v>217.5</v>
      </c>
      <c r="J26" s="102"/>
      <c r="K26">
        <v>1</v>
      </c>
      <c r="L26" s="222">
        <v>108.75</v>
      </c>
      <c r="M26" s="222">
        <v>108.75</v>
      </c>
      <c r="N26" s="104"/>
      <c r="O26" s="90"/>
      <c r="P26" s="95"/>
      <c r="Q26" s="99"/>
      <c r="R26" s="105"/>
      <c r="S26" s="222">
        <v>108.75</v>
      </c>
      <c r="T26" s="222">
        <v>108.75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218</v>
      </c>
      <c r="C27" t="s">
        <v>219</v>
      </c>
      <c r="D27" s="83"/>
      <c r="E27" s="84"/>
      <c r="F27">
        <v>2</v>
      </c>
      <c r="G27" s="222">
        <v>1327</v>
      </c>
      <c r="H27" s="222">
        <v>353.87</v>
      </c>
      <c r="I27" s="222">
        <v>2654</v>
      </c>
      <c r="J27" s="102"/>
      <c r="K27">
        <v>2</v>
      </c>
      <c r="L27" s="222">
        <v>663.5</v>
      </c>
      <c r="M27" s="222">
        <v>1327</v>
      </c>
      <c r="N27" s="111"/>
      <c r="O27" s="90"/>
      <c r="P27" s="112"/>
      <c r="Q27" s="91"/>
      <c r="R27" s="91"/>
      <c r="S27" s="222">
        <v>663.5</v>
      </c>
      <c r="T27" s="222">
        <v>1327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141</v>
      </c>
      <c r="I28" t="s">
        <v>141</v>
      </c>
      <c r="J28" s="102"/>
      <c r="K28">
        <v>0</v>
      </c>
      <c r="L28" t="s">
        <v>141</v>
      </c>
      <c r="M28" t="s">
        <v>141</v>
      </c>
      <c r="N28" s="111"/>
      <c r="O28" s="90"/>
      <c r="P28" s="112"/>
      <c r="Q28" s="91"/>
      <c r="R28" s="91"/>
      <c r="S28" t="s">
        <v>141</v>
      </c>
      <c r="T28" t="s">
        <v>141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120</v>
      </c>
      <c r="C29" t="s">
        <v>220</v>
      </c>
      <c r="D29" s="83"/>
      <c r="E29" s="97"/>
      <c r="F29">
        <v>1</v>
      </c>
      <c r="G29" s="222">
        <v>31300.5</v>
      </c>
      <c r="H29" s="222">
        <v>8346.7999999999993</v>
      </c>
      <c r="I29" s="222">
        <v>31300.5</v>
      </c>
      <c r="J29" s="102"/>
      <c r="K29">
        <v>1</v>
      </c>
      <c r="L29" s="222">
        <v>15650.25</v>
      </c>
      <c r="M29" s="222">
        <v>15650.25</v>
      </c>
      <c r="N29" s="104"/>
      <c r="O29" s="90"/>
      <c r="P29" s="95"/>
      <c r="Q29" s="99"/>
      <c r="R29" s="105"/>
      <c r="S29" s="222">
        <v>15650.25</v>
      </c>
      <c r="T29" s="222">
        <v>15650.25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221</v>
      </c>
      <c r="C30" t="s">
        <v>136</v>
      </c>
      <c r="D30" s="83"/>
      <c r="E30" s="84"/>
      <c r="F30">
        <v>1</v>
      </c>
      <c r="G30" s="222">
        <v>22444.5</v>
      </c>
      <c r="H30" s="222">
        <v>5985.2</v>
      </c>
      <c r="I30" s="222">
        <v>22444.5</v>
      </c>
      <c r="J30" s="102"/>
      <c r="K30">
        <v>1</v>
      </c>
      <c r="L30" s="222">
        <v>11222.25</v>
      </c>
      <c r="M30" s="222">
        <v>11222.25</v>
      </c>
      <c r="N30" s="111"/>
      <c r="O30" s="90"/>
      <c r="P30" s="112"/>
      <c r="Q30" s="91"/>
      <c r="R30" s="91"/>
      <c r="S30" s="222">
        <v>11222.25</v>
      </c>
      <c r="T30" s="222">
        <v>11222.25</v>
      </c>
      <c r="U30" s="223">
        <v>0</v>
      </c>
      <c r="V30" s="223">
        <v>1</v>
      </c>
      <c r="W30" s="93"/>
    </row>
    <row r="31" spans="2:26" ht="15.75" customHeight="1">
      <c r="B31" t="s">
        <v>222</v>
      </c>
      <c r="C31" t="s">
        <v>138</v>
      </c>
      <c r="D31" s="83"/>
      <c r="E31" s="97"/>
      <c r="F31">
        <v>1</v>
      </c>
      <c r="G31" s="222">
        <v>64140.5</v>
      </c>
      <c r="H31" s="222">
        <v>17104.13</v>
      </c>
      <c r="I31" s="222">
        <v>64140.5</v>
      </c>
      <c r="J31" s="102"/>
      <c r="K31">
        <v>1</v>
      </c>
      <c r="L31" s="222">
        <v>32070.25</v>
      </c>
      <c r="M31" s="222">
        <v>32070.25</v>
      </c>
      <c r="N31" s="104"/>
      <c r="O31" s="90"/>
      <c r="P31" s="95"/>
      <c r="Q31" s="99"/>
      <c r="R31" s="105"/>
      <c r="S31" s="222">
        <v>32070.25</v>
      </c>
      <c r="T31" s="222">
        <v>32070.25</v>
      </c>
      <c r="U31" s="223">
        <v>0</v>
      </c>
      <c r="V31" s="223">
        <v>1</v>
      </c>
      <c r="W31" s="108"/>
    </row>
    <row r="32" spans="2:26" ht="15.75" customHeight="1">
      <c r="B32" t="s">
        <v>223</v>
      </c>
      <c r="C32" t="s">
        <v>140</v>
      </c>
      <c r="D32" s="83"/>
      <c r="E32" s="84"/>
      <c r="F32">
        <v>1</v>
      </c>
      <c r="G32" s="222">
        <v>40601.5</v>
      </c>
      <c r="H32" s="222">
        <v>10827.07</v>
      </c>
      <c r="I32" s="222">
        <v>40601.5</v>
      </c>
      <c r="J32" s="102"/>
      <c r="K32">
        <v>1</v>
      </c>
      <c r="L32" s="222">
        <v>20300.75</v>
      </c>
      <c r="M32" s="222">
        <v>20300.75</v>
      </c>
      <c r="N32" s="111"/>
      <c r="O32" s="90"/>
      <c r="P32" s="112"/>
      <c r="Q32" s="91"/>
      <c r="R32" s="91"/>
      <c r="S32" s="222">
        <v>20300.75</v>
      </c>
      <c r="T32" s="222">
        <v>20300.75</v>
      </c>
      <c r="U32" s="223">
        <v>0</v>
      </c>
      <c r="V32" s="223">
        <v>1</v>
      </c>
      <c r="W32" s="93"/>
    </row>
    <row r="33" spans="2:26" ht="15.75" customHeight="1">
      <c r="B33" t="s">
        <v>224</v>
      </c>
      <c r="C33" t="s">
        <v>225</v>
      </c>
      <c r="D33" s="83"/>
      <c r="E33" s="97"/>
      <c r="F33">
        <v>1</v>
      </c>
      <c r="G33" s="222">
        <v>21806.5</v>
      </c>
      <c r="H33" s="222">
        <v>5815.07</v>
      </c>
      <c r="I33" s="222">
        <v>21806.5</v>
      </c>
      <c r="J33" s="102"/>
      <c r="K33">
        <v>1</v>
      </c>
      <c r="L33" s="222">
        <v>10903.25</v>
      </c>
      <c r="M33" s="222">
        <v>10903.25</v>
      </c>
      <c r="N33" s="104"/>
      <c r="O33" s="90"/>
      <c r="P33" s="95"/>
      <c r="Q33" s="99"/>
      <c r="R33" s="105"/>
      <c r="S33" s="222">
        <v>10903.25</v>
      </c>
      <c r="T33" s="222">
        <v>10903.25</v>
      </c>
      <c r="U33" s="223">
        <v>0</v>
      </c>
      <c r="V33" s="223">
        <v>1</v>
      </c>
      <c r="W33" s="108"/>
    </row>
    <row r="34" spans="2:26" ht="15.75" customHeight="1">
      <c r="B34" t="s">
        <v>226</v>
      </c>
      <c r="C34" t="s">
        <v>227</v>
      </c>
      <c r="D34" s="83"/>
      <c r="E34" s="84"/>
      <c r="F34">
        <v>1</v>
      </c>
      <c r="G34" s="222">
        <v>6613.5</v>
      </c>
      <c r="H34" s="222">
        <v>1763.6</v>
      </c>
      <c r="I34" s="222">
        <v>6613.5</v>
      </c>
      <c r="J34" s="102"/>
      <c r="K34">
        <v>1</v>
      </c>
      <c r="L34" s="222">
        <v>3306.75</v>
      </c>
      <c r="M34" s="222">
        <v>3306.75</v>
      </c>
      <c r="N34" s="111"/>
      <c r="O34" s="90"/>
      <c r="P34" s="112"/>
      <c r="Q34" s="91"/>
      <c r="R34" s="91"/>
      <c r="S34" s="222">
        <v>3306.75</v>
      </c>
      <c r="T34" s="222">
        <v>3306.75</v>
      </c>
      <c r="U34" s="223">
        <v>0</v>
      </c>
      <c r="V34" s="223">
        <v>1</v>
      </c>
      <c r="W34" s="93"/>
    </row>
    <row r="35" spans="2:26" ht="15.75" customHeight="1">
      <c r="B35" t="s">
        <v>228</v>
      </c>
      <c r="C35" t="s">
        <v>229</v>
      </c>
      <c r="D35" s="83"/>
      <c r="E35" s="97"/>
      <c r="F35">
        <v>1</v>
      </c>
      <c r="G35" s="222">
        <v>80809.5</v>
      </c>
      <c r="H35" s="222">
        <v>21549.200000000001</v>
      </c>
      <c r="I35" s="222">
        <v>80809.5</v>
      </c>
      <c r="J35" s="102"/>
      <c r="K35">
        <v>1</v>
      </c>
      <c r="L35" s="222">
        <v>40404.75</v>
      </c>
      <c r="M35" s="222">
        <v>40404.75</v>
      </c>
      <c r="N35" s="104"/>
      <c r="O35" s="90"/>
      <c r="P35" s="95"/>
      <c r="Q35" s="99"/>
      <c r="R35" s="105"/>
      <c r="S35" s="222">
        <v>40404.75</v>
      </c>
      <c r="T35" s="222">
        <v>40404.75</v>
      </c>
      <c r="U35" s="223">
        <v>0</v>
      </c>
      <c r="V35" s="223">
        <v>1</v>
      </c>
      <c r="W35" s="108"/>
    </row>
    <row r="36" spans="2:26" ht="15.75" customHeight="1">
      <c r="B36" t="s">
        <v>230</v>
      </c>
      <c r="C36" t="s">
        <v>231</v>
      </c>
      <c r="D36" s="83"/>
      <c r="E36" s="84"/>
      <c r="F36">
        <v>2</v>
      </c>
      <c r="G36" s="222">
        <v>44735.5</v>
      </c>
      <c r="H36" s="222">
        <v>11929.47</v>
      </c>
      <c r="I36" s="222">
        <v>89471</v>
      </c>
      <c r="J36" s="102"/>
      <c r="K36">
        <v>2</v>
      </c>
      <c r="L36" s="222">
        <v>22367.75</v>
      </c>
      <c r="M36" s="222">
        <v>44735.5</v>
      </c>
      <c r="N36" s="111"/>
      <c r="O36" s="90"/>
      <c r="P36" s="112"/>
      <c r="Q36" s="91"/>
      <c r="R36" s="91"/>
      <c r="S36" s="222">
        <v>22367.75</v>
      </c>
      <c r="T36" s="222">
        <v>44735.5</v>
      </c>
      <c r="U36" s="223">
        <v>0</v>
      </c>
      <c r="V36" s="223">
        <v>1</v>
      </c>
      <c r="W36" s="108"/>
    </row>
    <row r="37" spans="2:26" ht="15.75" customHeight="1">
      <c r="B37" t="s">
        <v>232</v>
      </c>
      <c r="C37" t="s">
        <v>233</v>
      </c>
      <c r="D37" s="83"/>
      <c r="E37" s="97"/>
      <c r="F37">
        <v>34</v>
      </c>
      <c r="G37" s="222">
        <v>12</v>
      </c>
      <c r="H37" s="222">
        <v>3.2</v>
      </c>
      <c r="I37" s="222">
        <v>408</v>
      </c>
      <c r="J37" s="102"/>
      <c r="K37">
        <v>34</v>
      </c>
      <c r="L37" s="222">
        <v>6</v>
      </c>
      <c r="M37" s="222">
        <v>204</v>
      </c>
      <c r="N37" s="104"/>
      <c r="O37" s="90"/>
      <c r="P37" s="95"/>
      <c r="Q37" s="99"/>
      <c r="R37" s="105"/>
      <c r="S37" s="222">
        <v>6</v>
      </c>
      <c r="T37" s="222">
        <v>204</v>
      </c>
      <c r="U37" s="223">
        <v>0</v>
      </c>
      <c r="V37" s="223">
        <v>1</v>
      </c>
      <c r="W37" s="108"/>
    </row>
    <row r="38" spans="2:26" ht="15.75" customHeight="1">
      <c r="B38" t="s">
        <v>234</v>
      </c>
      <c r="C38" t="s">
        <v>235</v>
      </c>
      <c r="D38" s="83"/>
      <c r="E38" s="84"/>
      <c r="F38">
        <v>34</v>
      </c>
      <c r="G38" s="222">
        <v>9.5</v>
      </c>
      <c r="H38" s="222">
        <v>2.5299999999999998</v>
      </c>
      <c r="I38" s="222">
        <v>323</v>
      </c>
      <c r="J38" s="102"/>
      <c r="K38">
        <v>34</v>
      </c>
      <c r="L38" s="222">
        <v>4.75</v>
      </c>
      <c r="M38" s="222">
        <v>161.5</v>
      </c>
      <c r="N38" s="111"/>
      <c r="O38" s="90"/>
      <c r="P38" s="112"/>
      <c r="Q38" s="91"/>
      <c r="R38" s="91"/>
      <c r="S38" s="222">
        <v>4.75</v>
      </c>
      <c r="T38" s="222">
        <v>161.5</v>
      </c>
      <c r="U38" s="223">
        <v>0</v>
      </c>
      <c r="V38" s="223">
        <v>1</v>
      </c>
      <c r="W38" s="108"/>
    </row>
    <row r="39" spans="2:26" ht="15.75" customHeight="1">
      <c r="B39" s="224" t="s">
        <v>236</v>
      </c>
      <c r="C39" t="s">
        <v>237</v>
      </c>
      <c r="D39" s="83"/>
      <c r="E39" s="97"/>
      <c r="F39">
        <v>2</v>
      </c>
      <c r="G39" s="222">
        <v>415</v>
      </c>
      <c r="H39" s="222">
        <v>110.67</v>
      </c>
      <c r="I39" s="222">
        <v>830</v>
      </c>
      <c r="J39" s="102"/>
      <c r="K39">
        <v>2</v>
      </c>
      <c r="L39" s="222">
        <v>207.5</v>
      </c>
      <c r="M39" s="222">
        <v>415</v>
      </c>
      <c r="N39" s="104"/>
      <c r="O39" s="90"/>
      <c r="P39" s="95"/>
      <c r="Q39" s="99"/>
      <c r="R39" s="105"/>
      <c r="S39" s="222">
        <v>207.5</v>
      </c>
      <c r="T39" s="222">
        <v>415</v>
      </c>
      <c r="U39" s="223">
        <v>0</v>
      </c>
      <c r="V39" s="223">
        <v>1</v>
      </c>
      <c r="W39" s="108"/>
    </row>
    <row r="40" spans="2:26" ht="15.75" customHeight="1">
      <c r="B40" t="s">
        <v>238</v>
      </c>
      <c r="C40" t="s">
        <v>239</v>
      </c>
      <c r="D40" s="83"/>
      <c r="E40" s="84"/>
      <c r="F40">
        <v>10</v>
      </c>
      <c r="G40" s="222">
        <v>10</v>
      </c>
      <c r="H40" s="222">
        <v>2.67</v>
      </c>
      <c r="I40" s="222">
        <v>100</v>
      </c>
      <c r="J40" s="102"/>
      <c r="K40">
        <v>10</v>
      </c>
      <c r="L40" s="222">
        <v>5</v>
      </c>
      <c r="M40" s="222">
        <v>50</v>
      </c>
      <c r="N40" s="111"/>
      <c r="O40" s="90"/>
      <c r="P40" s="112"/>
      <c r="Q40" s="91"/>
      <c r="R40" s="91"/>
      <c r="S40" s="222">
        <v>5</v>
      </c>
      <c r="T40" s="222">
        <v>50</v>
      </c>
      <c r="U40" s="223">
        <v>0</v>
      </c>
      <c r="V40" s="223">
        <v>1</v>
      </c>
      <c r="W40" s="108"/>
    </row>
    <row r="41" spans="2:26" ht="15.75" customHeight="1">
      <c r="B41" t="s">
        <v>234</v>
      </c>
      <c r="C41" t="s">
        <v>240</v>
      </c>
      <c r="D41" s="83"/>
      <c r="E41" s="97"/>
      <c r="F41">
        <v>10</v>
      </c>
      <c r="G41" s="222">
        <v>9.5</v>
      </c>
      <c r="H41" s="222">
        <v>2.5299999999999998</v>
      </c>
      <c r="I41" s="222">
        <v>95</v>
      </c>
      <c r="J41" s="102"/>
      <c r="K41">
        <v>10</v>
      </c>
      <c r="L41" s="222">
        <v>4.75</v>
      </c>
      <c r="M41" s="222">
        <v>47.5</v>
      </c>
      <c r="N41" s="104"/>
      <c r="O41" s="90"/>
      <c r="P41" s="95"/>
      <c r="Q41" s="99"/>
      <c r="R41" s="105"/>
      <c r="S41" s="222">
        <v>4.75</v>
      </c>
      <c r="T41" s="222">
        <v>47.5</v>
      </c>
      <c r="U41" s="223">
        <v>0</v>
      </c>
      <c r="V41" s="223">
        <v>1</v>
      </c>
      <c r="W41" s="108"/>
    </row>
    <row r="42" spans="2:26" ht="15.75" customHeight="1">
      <c r="B42" t="s">
        <v>234</v>
      </c>
      <c r="C42" t="s">
        <v>240</v>
      </c>
      <c r="D42" s="83"/>
      <c r="E42" s="84"/>
      <c r="F42">
        <v>10</v>
      </c>
      <c r="G42" s="222">
        <v>9.5</v>
      </c>
      <c r="H42" s="222">
        <v>2.5299999999999998</v>
      </c>
      <c r="I42" s="222">
        <v>95</v>
      </c>
      <c r="J42" s="102"/>
      <c r="K42">
        <v>10</v>
      </c>
      <c r="L42" s="222">
        <v>4.75</v>
      </c>
      <c r="M42" s="222">
        <v>47.5</v>
      </c>
      <c r="N42" s="111"/>
      <c r="O42" s="90"/>
      <c r="P42" s="112"/>
      <c r="Q42" s="91"/>
      <c r="R42" s="91"/>
      <c r="S42" s="222">
        <v>4.75</v>
      </c>
      <c r="T42" s="222">
        <v>47.5</v>
      </c>
      <c r="U42" s="223">
        <v>0</v>
      </c>
      <c r="V42" s="223">
        <v>1</v>
      </c>
      <c r="W42" s="108"/>
    </row>
    <row r="43" spans="2:26" ht="15.75" customHeight="1">
      <c r="B43" t="s">
        <v>241</v>
      </c>
      <c r="C43" t="s">
        <v>182</v>
      </c>
      <c r="D43" s="83"/>
      <c r="E43" s="97"/>
      <c r="F43">
        <v>2</v>
      </c>
      <c r="G43" s="222">
        <v>343</v>
      </c>
      <c r="H43" s="222">
        <v>91.47</v>
      </c>
      <c r="I43" s="222">
        <v>686</v>
      </c>
      <c r="J43" s="102"/>
      <c r="K43">
        <v>2</v>
      </c>
      <c r="L43" s="222">
        <v>171.5</v>
      </c>
      <c r="M43" s="222">
        <v>343</v>
      </c>
      <c r="N43" s="104"/>
      <c r="O43" s="90"/>
      <c r="P43" s="95"/>
      <c r="Q43" s="99"/>
      <c r="R43" s="105"/>
      <c r="S43" s="222">
        <v>171.5</v>
      </c>
      <c r="T43" s="222">
        <v>343</v>
      </c>
      <c r="U43" s="223">
        <v>0</v>
      </c>
      <c r="V43" s="223">
        <v>1</v>
      </c>
      <c r="W43" s="108"/>
    </row>
    <row r="44" spans="2:26" ht="15.75" customHeight="1">
      <c r="D44" s="83"/>
      <c r="E44" s="84"/>
      <c r="H44" t="s">
        <v>141</v>
      </c>
      <c r="I44" t="s">
        <v>141</v>
      </c>
      <c r="J44" s="102"/>
      <c r="K44">
        <v>0</v>
      </c>
      <c r="L44" t="s">
        <v>141</v>
      </c>
      <c r="M44" t="s">
        <v>141</v>
      </c>
      <c r="N44" s="111"/>
      <c r="O44" s="90"/>
      <c r="P44" s="112"/>
      <c r="Q44" s="91"/>
      <c r="R44" s="91"/>
      <c r="S44" t="s">
        <v>141</v>
      </c>
      <c r="T44" t="s">
        <v>141</v>
      </c>
      <c r="U44" s="223">
        <v>0</v>
      </c>
      <c r="V44" s="223">
        <v>0</v>
      </c>
      <c r="W44" s="108"/>
    </row>
    <row r="45" spans="2:26" ht="15.75" customHeight="1">
      <c r="B45" t="s">
        <v>242</v>
      </c>
      <c r="C45" t="s">
        <v>231</v>
      </c>
      <c r="D45" s="83"/>
      <c r="E45" s="97"/>
      <c r="F45">
        <v>1</v>
      </c>
      <c r="G45" s="222">
        <v>27794.5</v>
      </c>
      <c r="H45" s="222">
        <v>7411.87</v>
      </c>
      <c r="I45" s="222">
        <v>27794.5</v>
      </c>
      <c r="J45" s="102"/>
      <c r="K45">
        <v>1</v>
      </c>
      <c r="L45" s="222">
        <v>13897.25</v>
      </c>
      <c r="M45" s="222">
        <v>13897.25</v>
      </c>
      <c r="N45" s="104"/>
      <c r="O45" s="90"/>
      <c r="P45" s="95"/>
      <c r="Q45" s="99"/>
      <c r="R45" s="105"/>
      <c r="S45" s="222">
        <v>13897.25</v>
      </c>
      <c r="T45" s="222">
        <v>13897.25</v>
      </c>
      <c r="U45" s="223">
        <v>0</v>
      </c>
      <c r="V45" s="223">
        <v>1</v>
      </c>
      <c r="W45" s="108"/>
    </row>
    <row r="46" spans="2:26" ht="15.75" customHeight="1">
      <c r="B46" t="s">
        <v>243</v>
      </c>
      <c r="C46" t="s">
        <v>192</v>
      </c>
      <c r="D46" s="83"/>
      <c r="E46" s="84"/>
      <c r="F46">
        <v>3</v>
      </c>
      <c r="G46" s="222">
        <v>2322</v>
      </c>
      <c r="H46" s="222">
        <v>619.20000000000005</v>
      </c>
      <c r="I46" s="222">
        <v>6966</v>
      </c>
      <c r="J46" s="102"/>
      <c r="K46">
        <v>3</v>
      </c>
      <c r="L46" s="222">
        <v>1161</v>
      </c>
      <c r="M46" s="222">
        <v>3483</v>
      </c>
      <c r="N46" s="111"/>
      <c r="O46" s="90"/>
      <c r="P46" s="112"/>
      <c r="Q46" s="91"/>
      <c r="R46" s="91"/>
      <c r="S46" s="222">
        <v>1161</v>
      </c>
      <c r="T46" s="222">
        <v>3483</v>
      </c>
      <c r="U46" s="223">
        <v>0</v>
      </c>
      <c r="V46" s="223">
        <v>1</v>
      </c>
      <c r="W46" s="108"/>
    </row>
    <row r="47" spans="2:26" ht="15.75" customHeight="1">
      <c r="B47" t="s">
        <v>244</v>
      </c>
      <c r="C47" t="s">
        <v>194</v>
      </c>
      <c r="D47" s="83"/>
      <c r="E47" s="97"/>
      <c r="F47">
        <v>3</v>
      </c>
      <c r="G47" s="222">
        <v>312</v>
      </c>
      <c r="H47" s="222">
        <v>83.2</v>
      </c>
      <c r="I47" s="222">
        <v>936</v>
      </c>
      <c r="J47" s="102"/>
      <c r="K47">
        <v>3</v>
      </c>
      <c r="L47" s="222">
        <v>156</v>
      </c>
      <c r="M47" s="222">
        <v>468</v>
      </c>
      <c r="N47" s="104"/>
      <c r="O47" s="90"/>
      <c r="P47" s="95"/>
      <c r="Q47" s="99"/>
      <c r="R47" s="105"/>
      <c r="S47" s="222">
        <v>156</v>
      </c>
      <c r="T47" s="222">
        <v>468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245</v>
      </c>
      <c r="C48" t="s">
        <v>246</v>
      </c>
      <c r="D48" s="83"/>
      <c r="E48" s="84"/>
      <c r="F48">
        <v>3</v>
      </c>
      <c r="G48" s="222">
        <v>20</v>
      </c>
      <c r="H48" s="222">
        <v>5.33</v>
      </c>
      <c r="I48" s="222">
        <v>60</v>
      </c>
      <c r="J48" s="102"/>
      <c r="K48">
        <v>3</v>
      </c>
      <c r="L48" s="222">
        <v>10</v>
      </c>
      <c r="M48" s="222">
        <v>30</v>
      </c>
      <c r="N48" s="111"/>
      <c r="O48" s="90"/>
      <c r="P48" s="112"/>
      <c r="Q48" s="91"/>
      <c r="R48" s="91"/>
      <c r="S48" s="222">
        <v>10</v>
      </c>
      <c r="T48" s="222">
        <v>30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247</v>
      </c>
      <c r="C49" t="s">
        <v>248</v>
      </c>
      <c r="D49" s="83"/>
      <c r="E49" s="97"/>
      <c r="F49">
        <v>3</v>
      </c>
      <c r="G49" s="222">
        <v>545.5</v>
      </c>
      <c r="H49" s="222">
        <v>145.47</v>
      </c>
      <c r="I49" s="222">
        <v>1636.5</v>
      </c>
      <c r="J49" s="102"/>
      <c r="K49">
        <v>3</v>
      </c>
      <c r="L49" s="222">
        <v>272.75</v>
      </c>
      <c r="M49" s="222">
        <v>818.25</v>
      </c>
      <c r="N49" s="104"/>
      <c r="O49" s="90"/>
      <c r="P49" s="95"/>
      <c r="Q49" s="99"/>
      <c r="R49" s="105"/>
      <c r="S49" s="222">
        <v>272.75</v>
      </c>
      <c r="T49" s="222">
        <v>818.25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t="s">
        <v>249</v>
      </c>
      <c r="C50" t="s">
        <v>250</v>
      </c>
      <c r="D50" s="83"/>
      <c r="E50" s="84"/>
      <c r="F50">
        <v>3</v>
      </c>
      <c r="G50" s="222">
        <v>48</v>
      </c>
      <c r="H50" s="222">
        <v>12.8</v>
      </c>
      <c r="I50" s="222">
        <v>144</v>
      </c>
      <c r="J50" s="102"/>
      <c r="K50">
        <v>3</v>
      </c>
      <c r="L50" s="222">
        <v>24</v>
      </c>
      <c r="M50" s="222">
        <v>72</v>
      </c>
      <c r="N50" s="111"/>
      <c r="O50" s="90"/>
      <c r="P50" s="112"/>
      <c r="Q50" s="91"/>
      <c r="R50" s="91"/>
      <c r="S50" s="222">
        <v>24</v>
      </c>
      <c r="T50" s="222">
        <v>72</v>
      </c>
      <c r="U50" s="223">
        <v>0</v>
      </c>
      <c r="V50" s="223">
        <v>1</v>
      </c>
      <c r="W50" s="93"/>
    </row>
    <row r="51" spans="2:26" ht="15.75" customHeight="1">
      <c r="B51" t="s">
        <v>251</v>
      </c>
      <c r="C51" t="s">
        <v>248</v>
      </c>
      <c r="D51" s="83"/>
      <c r="E51" s="97"/>
      <c r="F51">
        <v>3</v>
      </c>
      <c r="G51" s="222">
        <v>44.5</v>
      </c>
      <c r="H51" s="222">
        <v>11.87</v>
      </c>
      <c r="I51" s="222">
        <v>133.5</v>
      </c>
      <c r="J51" s="102"/>
      <c r="K51">
        <v>3</v>
      </c>
      <c r="L51" s="222">
        <v>22.25</v>
      </c>
      <c r="M51" s="222">
        <v>66.75</v>
      </c>
      <c r="N51" s="104"/>
      <c r="O51" s="90"/>
      <c r="P51" s="95"/>
      <c r="Q51" s="99"/>
      <c r="R51" s="105"/>
      <c r="S51" s="222">
        <v>22.25</v>
      </c>
      <c r="T51" s="222">
        <v>66.75</v>
      </c>
      <c r="U51" s="223">
        <v>0</v>
      </c>
      <c r="V51" s="223">
        <v>1</v>
      </c>
      <c r="W51" s="108"/>
    </row>
    <row r="52" spans="2:26" ht="15.75" customHeight="1">
      <c r="D52" s="83"/>
      <c r="E52" s="84"/>
      <c r="H52" t="s">
        <v>141</v>
      </c>
      <c r="I52" t="s">
        <v>141</v>
      </c>
      <c r="J52" s="102"/>
      <c r="K52">
        <v>0</v>
      </c>
      <c r="L52" t="s">
        <v>141</v>
      </c>
      <c r="M52" t="s">
        <v>141</v>
      </c>
      <c r="N52" s="111"/>
      <c r="O52" s="90"/>
      <c r="P52" s="112"/>
      <c r="Q52" s="91"/>
      <c r="R52" s="91"/>
      <c r="S52" t="s">
        <v>141</v>
      </c>
      <c r="T52" t="s">
        <v>141</v>
      </c>
      <c r="U52" s="223">
        <v>0</v>
      </c>
      <c r="V52" s="223">
        <v>0</v>
      </c>
      <c r="W52" s="93"/>
    </row>
    <row r="53" spans="2:26" ht="15.75" customHeight="1">
      <c r="B53" t="s">
        <v>252</v>
      </c>
      <c r="C53" t="s">
        <v>253</v>
      </c>
      <c r="D53" s="83"/>
      <c r="E53" s="97"/>
      <c r="F53">
        <v>1</v>
      </c>
      <c r="G53" s="222">
        <v>22398</v>
      </c>
      <c r="H53" s="222">
        <v>5972.8</v>
      </c>
      <c r="I53" s="222">
        <v>22398</v>
      </c>
      <c r="J53" s="102"/>
      <c r="K53">
        <v>1</v>
      </c>
      <c r="L53" s="222">
        <v>11199</v>
      </c>
      <c r="M53" s="222">
        <v>11199</v>
      </c>
      <c r="N53" s="104"/>
      <c r="O53" s="90"/>
      <c r="P53" s="95"/>
      <c r="Q53" s="99"/>
      <c r="R53" s="105"/>
      <c r="S53" s="222">
        <v>11199</v>
      </c>
      <c r="T53" s="222">
        <v>11199</v>
      </c>
      <c r="U53" s="223">
        <v>0</v>
      </c>
      <c r="V53" s="223">
        <v>1</v>
      </c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141</v>
      </c>
      <c r="G114" s="118">
        <f>SUM(G19:G113)</f>
        <v>371336.5</v>
      </c>
      <c r="H114" s="119">
        <f>SUM(H19:H113)</f>
        <v>99023.069999999978</v>
      </c>
      <c r="I114" s="120">
        <f>SUM(I19:I113)</f>
        <v>425711.5</v>
      </c>
      <c r="J114" s="121"/>
      <c r="K114" s="122">
        <f>SUM(K19:K113)</f>
        <v>141</v>
      </c>
      <c r="L114" s="119">
        <f>SUM(L19:L113)</f>
        <v>185668.25</v>
      </c>
      <c r="M114" s="120">
        <f>SUM(M19:M113)</f>
        <v>212855.75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185668.25</v>
      </c>
      <c r="T114" s="120">
        <f>SUM(T19:T113)</f>
        <v>212855.75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113" xr:uid="{9B42CB3D-92D3-4C85-A927-E183818CBF34}">
      <formula1>$Z$19:$Z$94</formula1>
    </dataValidation>
    <dataValidation type="list" allowBlank="1" showErrorMessage="1" sqref="I14" xr:uid="{5D6132A2-17DB-453E-80B4-6B500D8DBAEE}">
      <formula1>$Y$14:$Y$15</formula1>
    </dataValidation>
    <dataValidation type="list" allowBlank="1" showErrorMessage="1" sqref="J14" xr:uid="{09D8F03C-4B73-41BB-9846-03CC99B184D8}">
      <formula1>$L$9</formula1>
    </dataValidation>
    <dataValidation type="list" allowBlank="1" showErrorMessage="1" sqref="Q15 G18 L18 Q18" xr:uid="{DFD2AC26-9A20-41A0-B3FB-BE43C8790294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3952-B2F0-4748-9D2C-58F4B9EE2FF6}">
  <sheetPr>
    <pageSetUpPr fitToPage="1"/>
  </sheetPr>
  <dimension ref="B1:Z114"/>
  <sheetViews>
    <sheetView zoomScale="55" zoomScaleNormal="55" workbookViewId="0">
      <pane ySplit="18" topLeftCell="A107" activePane="bottomLeft" state="frozen"/>
      <selection pane="bottomLeft" activeCell="S19" sqref="S19:V77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5794665.5899999999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2897335.2699999996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130" t="s">
        <v>142</v>
      </c>
      <c r="H4" s="129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2897330.3200000003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130" t="s">
        <v>143</v>
      </c>
      <c r="H5" s="129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0.4999995728830316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130"/>
      <c r="H6" s="129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2897335.2699999996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2897335.2699999996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144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1283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145</v>
      </c>
      <c r="C19" t="s">
        <v>82</v>
      </c>
      <c r="D19" s="83"/>
      <c r="E19" s="84"/>
      <c r="F19">
        <v>1</v>
      </c>
      <c r="G19" s="222">
        <v>173.5</v>
      </c>
      <c r="H19" s="222">
        <v>650.63</v>
      </c>
      <c r="I19" s="222">
        <v>650.63</v>
      </c>
      <c r="J19" s="88"/>
      <c r="K19">
        <v>1</v>
      </c>
      <c r="L19" s="222">
        <v>325.32</v>
      </c>
      <c r="M19" s="222">
        <v>325.32</v>
      </c>
      <c r="N19" s="89"/>
      <c r="O19" s="90"/>
      <c r="P19" s="82"/>
      <c r="Q19" s="91"/>
      <c r="R19" s="91"/>
      <c r="S19" s="222">
        <v>325.32</v>
      </c>
      <c r="T19" s="222">
        <v>325.32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146</v>
      </c>
      <c r="C20" t="s">
        <v>147</v>
      </c>
      <c r="D20" s="83"/>
      <c r="E20" s="97"/>
      <c r="F20">
        <v>1</v>
      </c>
      <c r="G20" s="222">
        <v>147</v>
      </c>
      <c r="H20" s="222">
        <v>551.25</v>
      </c>
      <c r="I20" s="222">
        <v>551.25</v>
      </c>
      <c r="J20" s="102"/>
      <c r="K20">
        <v>1</v>
      </c>
      <c r="L20" s="222">
        <v>275.63</v>
      </c>
      <c r="M20" s="222">
        <v>275.63</v>
      </c>
      <c r="N20" s="104"/>
      <c r="O20" s="90"/>
      <c r="P20" s="95"/>
      <c r="Q20" s="99"/>
      <c r="R20" s="105"/>
      <c r="S20" s="222">
        <v>275.63</v>
      </c>
      <c r="T20" s="222">
        <v>275.63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148</v>
      </c>
      <c r="C21" t="s">
        <v>86</v>
      </c>
      <c r="D21" s="83"/>
      <c r="E21" s="84"/>
      <c r="F21">
        <v>1</v>
      </c>
      <c r="G21" s="222">
        <v>220.5</v>
      </c>
      <c r="H21" s="222">
        <v>826.88</v>
      </c>
      <c r="I21" s="222">
        <v>826.88</v>
      </c>
      <c r="J21" s="102"/>
      <c r="K21">
        <v>1</v>
      </c>
      <c r="L21" s="222">
        <v>413.44</v>
      </c>
      <c r="M21" s="222">
        <v>413.44</v>
      </c>
      <c r="N21" s="111"/>
      <c r="O21" s="90"/>
      <c r="P21" s="112"/>
      <c r="Q21" s="91"/>
      <c r="R21" s="91"/>
      <c r="S21" s="222">
        <v>413.44</v>
      </c>
      <c r="T21" s="222">
        <v>413.44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149</v>
      </c>
      <c r="C22" t="s">
        <v>88</v>
      </c>
      <c r="D22" s="83"/>
      <c r="E22" s="97"/>
      <c r="F22">
        <v>2</v>
      </c>
      <c r="G22" s="222">
        <v>251.5</v>
      </c>
      <c r="H22" s="222">
        <v>943.13</v>
      </c>
      <c r="I22" s="222">
        <v>1886.26</v>
      </c>
      <c r="J22" s="102"/>
      <c r="K22">
        <v>2</v>
      </c>
      <c r="L22" s="222">
        <v>471.57</v>
      </c>
      <c r="M22" s="222">
        <v>943.14</v>
      </c>
      <c r="N22" s="104"/>
      <c r="O22" s="90"/>
      <c r="P22" s="95"/>
      <c r="Q22" s="99"/>
      <c r="R22" s="105"/>
      <c r="S22" s="222">
        <v>471.57</v>
      </c>
      <c r="T22" s="222">
        <v>943.14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150</v>
      </c>
      <c r="C23" t="s">
        <v>90</v>
      </c>
      <c r="D23" s="83"/>
      <c r="E23" s="84"/>
      <c r="F23">
        <v>2</v>
      </c>
      <c r="G23" s="222">
        <v>344.5</v>
      </c>
      <c r="H23" s="222">
        <v>1291.8800000000001</v>
      </c>
      <c r="I23" s="222">
        <v>2583.7600000000002</v>
      </c>
      <c r="J23" s="102"/>
      <c r="K23">
        <v>2</v>
      </c>
      <c r="L23" s="222">
        <v>645.94000000000005</v>
      </c>
      <c r="M23" s="222">
        <v>1291.8800000000001</v>
      </c>
      <c r="N23" s="111"/>
      <c r="O23" s="90"/>
      <c r="P23" s="112"/>
      <c r="Q23" s="91"/>
      <c r="R23" s="91"/>
      <c r="S23" s="222">
        <v>645.94000000000005</v>
      </c>
      <c r="T23" s="222">
        <v>1291.8800000000001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151</v>
      </c>
      <c r="C24" t="s">
        <v>92</v>
      </c>
      <c r="D24" s="83"/>
      <c r="E24" s="97"/>
      <c r="F24">
        <v>1</v>
      </c>
      <c r="G24" s="222">
        <v>550</v>
      </c>
      <c r="H24" s="222">
        <v>2062.5</v>
      </c>
      <c r="I24" s="222">
        <v>2062.5</v>
      </c>
      <c r="J24" s="102"/>
      <c r="K24">
        <v>1</v>
      </c>
      <c r="L24" s="222">
        <v>1031.25</v>
      </c>
      <c r="M24" s="222">
        <v>1031.25</v>
      </c>
      <c r="N24" s="104"/>
      <c r="O24" s="90"/>
      <c r="P24" s="95"/>
      <c r="Q24" s="99"/>
      <c r="R24" s="105"/>
      <c r="S24" s="222">
        <v>1031.25</v>
      </c>
      <c r="T24" s="222">
        <v>1031.25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152</v>
      </c>
      <c r="C25" t="s">
        <v>94</v>
      </c>
      <c r="D25" s="83"/>
      <c r="E25" s="84"/>
      <c r="F25">
        <v>1</v>
      </c>
      <c r="G25" s="222">
        <v>487.5</v>
      </c>
      <c r="H25" s="222">
        <v>1828.13</v>
      </c>
      <c r="I25" s="222">
        <v>1828.13</v>
      </c>
      <c r="J25" s="102"/>
      <c r="K25">
        <v>1</v>
      </c>
      <c r="L25" s="222">
        <v>914.07</v>
      </c>
      <c r="M25" s="222">
        <v>914.07</v>
      </c>
      <c r="N25" s="111"/>
      <c r="O25" s="90"/>
      <c r="P25" s="112"/>
      <c r="Q25" s="91"/>
      <c r="R25" s="91"/>
      <c r="S25" s="222">
        <v>914.07</v>
      </c>
      <c r="T25" s="222">
        <v>914.07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153</v>
      </c>
      <c r="C26" t="s">
        <v>96</v>
      </c>
      <c r="D26" s="83"/>
      <c r="E26" s="97"/>
      <c r="F26">
        <v>1</v>
      </c>
      <c r="G26" s="222">
        <v>258.5</v>
      </c>
      <c r="H26" s="222">
        <v>969.38</v>
      </c>
      <c r="I26" s="222">
        <v>969.38</v>
      </c>
      <c r="J26" s="102"/>
      <c r="K26">
        <v>1</v>
      </c>
      <c r="L26" s="222">
        <v>484.69</v>
      </c>
      <c r="M26" s="222">
        <v>484.69</v>
      </c>
      <c r="N26" s="104"/>
      <c r="O26" s="90"/>
      <c r="P26" s="95"/>
      <c r="Q26" s="99"/>
      <c r="R26" s="105"/>
      <c r="S26" s="222">
        <v>484.69</v>
      </c>
      <c r="T26" s="222">
        <v>484.69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97</v>
      </c>
      <c r="C27" t="s">
        <v>98</v>
      </c>
      <c r="D27" s="83"/>
      <c r="E27" s="84"/>
      <c r="F27">
        <v>2</v>
      </c>
      <c r="G27" s="222">
        <v>921</v>
      </c>
      <c r="H27" s="222">
        <v>3453.75</v>
      </c>
      <c r="I27" s="222">
        <v>6907.5</v>
      </c>
      <c r="J27" s="102"/>
      <c r="K27">
        <v>2</v>
      </c>
      <c r="L27" s="222">
        <v>1726.88</v>
      </c>
      <c r="M27" s="222">
        <v>3453.76</v>
      </c>
      <c r="N27" s="111"/>
      <c r="O27" s="90"/>
      <c r="P27" s="112"/>
      <c r="Q27" s="91"/>
      <c r="R27" s="91"/>
      <c r="S27" s="222">
        <v>1726.88</v>
      </c>
      <c r="T27" s="222">
        <v>3453.76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141</v>
      </c>
      <c r="I28" t="s">
        <v>141</v>
      </c>
      <c r="J28" s="102"/>
      <c r="K28">
        <v>0</v>
      </c>
      <c r="L28" t="s">
        <v>141</v>
      </c>
      <c r="M28" t="s">
        <v>141</v>
      </c>
      <c r="N28" s="111"/>
      <c r="O28" s="90"/>
      <c r="P28" s="112"/>
      <c r="Q28" s="91"/>
      <c r="R28" s="91"/>
      <c r="S28" t="s">
        <v>141</v>
      </c>
      <c r="T28" t="s">
        <v>141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D29" s="83"/>
      <c r="E29" s="97"/>
      <c r="H29" t="s">
        <v>141</v>
      </c>
      <c r="I29" t="s">
        <v>141</v>
      </c>
      <c r="J29" s="102"/>
      <c r="K29">
        <v>0</v>
      </c>
      <c r="L29" t="s">
        <v>141</v>
      </c>
      <c r="M29" t="s">
        <v>141</v>
      </c>
      <c r="N29" s="104"/>
      <c r="O29" s="90"/>
      <c r="P29" s="95"/>
      <c r="Q29" s="99"/>
      <c r="R29" s="105"/>
      <c r="S29" t="s">
        <v>141</v>
      </c>
      <c r="T29" t="s">
        <v>141</v>
      </c>
      <c r="U29" s="223">
        <v>0</v>
      </c>
      <c r="V29" s="223">
        <v>0</v>
      </c>
      <c r="W29" s="108"/>
      <c r="X29" s="94"/>
      <c r="Y29" s="4"/>
      <c r="Z29" s="4"/>
    </row>
    <row r="30" spans="2:26" ht="15.75" customHeight="1">
      <c r="B30" t="s">
        <v>154</v>
      </c>
      <c r="C30" t="s">
        <v>100</v>
      </c>
      <c r="D30" s="83"/>
      <c r="E30" s="84"/>
      <c r="F30">
        <v>6</v>
      </c>
      <c r="G30" s="222">
        <v>7298</v>
      </c>
      <c r="H30" s="222">
        <v>27367.5</v>
      </c>
      <c r="I30" s="222">
        <v>164205</v>
      </c>
      <c r="J30" s="102"/>
      <c r="K30">
        <v>6</v>
      </c>
      <c r="L30" s="222">
        <v>13683.75</v>
      </c>
      <c r="M30" s="222">
        <v>82102.5</v>
      </c>
      <c r="N30" s="111"/>
      <c r="O30" s="90"/>
      <c r="P30" s="112"/>
      <c r="Q30" s="91"/>
      <c r="R30" s="91"/>
      <c r="S30" s="222">
        <v>13683.75</v>
      </c>
      <c r="T30" s="222">
        <v>82102.5</v>
      </c>
      <c r="U30" s="223">
        <v>0</v>
      </c>
      <c r="V30" s="223">
        <v>1</v>
      </c>
      <c r="W30" s="93"/>
    </row>
    <row r="31" spans="2:26" ht="15.75" customHeight="1">
      <c r="B31" t="s">
        <v>155</v>
      </c>
      <c r="C31" t="s">
        <v>102</v>
      </c>
      <c r="D31" s="83"/>
      <c r="E31" s="97"/>
      <c r="F31">
        <v>1</v>
      </c>
      <c r="G31" s="222">
        <v>24059</v>
      </c>
      <c r="H31" s="222">
        <v>90221.25</v>
      </c>
      <c r="I31" s="222">
        <v>90221.25</v>
      </c>
      <c r="J31" s="102"/>
      <c r="K31">
        <v>1</v>
      </c>
      <c r="L31" s="222">
        <v>45110.63</v>
      </c>
      <c r="M31" s="222">
        <v>45110.63</v>
      </c>
      <c r="N31" s="104"/>
      <c r="O31" s="90"/>
      <c r="P31" s="95"/>
      <c r="Q31" s="99"/>
      <c r="R31" s="105"/>
      <c r="S31" s="222">
        <v>45110.63</v>
      </c>
      <c r="T31" s="222">
        <v>45110.63</v>
      </c>
      <c r="U31" s="223">
        <v>0</v>
      </c>
      <c r="V31" s="223">
        <v>1</v>
      </c>
      <c r="W31" s="108"/>
    </row>
    <row r="32" spans="2:26" ht="15.75" customHeight="1">
      <c r="D32" s="83"/>
      <c r="E32" s="84"/>
      <c r="H32" t="s">
        <v>141</v>
      </c>
      <c r="I32" t="s">
        <v>141</v>
      </c>
      <c r="J32" s="102"/>
      <c r="K32">
        <v>0</v>
      </c>
      <c r="L32" t="s">
        <v>141</v>
      </c>
      <c r="M32" t="s">
        <v>141</v>
      </c>
      <c r="N32" s="111"/>
      <c r="O32" s="90"/>
      <c r="P32" s="112"/>
      <c r="Q32" s="91"/>
      <c r="R32" s="91"/>
      <c r="S32" t="s">
        <v>141</v>
      </c>
      <c r="T32" t="s">
        <v>141</v>
      </c>
      <c r="U32" s="223">
        <v>0</v>
      </c>
      <c r="V32" s="223">
        <v>0</v>
      </c>
      <c r="W32" s="93"/>
    </row>
    <row r="33" spans="2:26" ht="15.75" customHeight="1">
      <c r="B33" t="s">
        <v>156</v>
      </c>
      <c r="C33" t="s">
        <v>104</v>
      </c>
      <c r="D33" s="83"/>
      <c r="E33" s="97"/>
      <c r="F33">
        <v>10</v>
      </c>
      <c r="H33" t="s">
        <v>141</v>
      </c>
      <c r="I33" t="s">
        <v>141</v>
      </c>
      <c r="J33" s="102"/>
      <c r="K33">
        <v>10</v>
      </c>
      <c r="L33" t="s">
        <v>141</v>
      </c>
      <c r="M33" t="s">
        <v>141</v>
      </c>
      <c r="N33" s="104"/>
      <c r="O33" s="90"/>
      <c r="P33" s="95"/>
      <c r="Q33" s="99"/>
      <c r="R33" s="105"/>
      <c r="S33" t="s">
        <v>141</v>
      </c>
      <c r="T33" t="s">
        <v>141</v>
      </c>
      <c r="U33" s="223">
        <v>0</v>
      </c>
      <c r="V33" s="223">
        <v>0</v>
      </c>
      <c r="W33" s="108"/>
    </row>
    <row r="34" spans="2:26" ht="15.75" customHeight="1">
      <c r="B34" t="s">
        <v>157</v>
      </c>
      <c r="C34" t="s">
        <v>106</v>
      </c>
      <c r="D34" s="83"/>
      <c r="E34" s="84"/>
      <c r="F34">
        <v>70</v>
      </c>
      <c r="H34" t="s">
        <v>141</v>
      </c>
      <c r="I34" t="s">
        <v>141</v>
      </c>
      <c r="J34" s="102"/>
      <c r="K34">
        <v>70</v>
      </c>
      <c r="L34" t="s">
        <v>141</v>
      </c>
      <c r="M34" t="s">
        <v>141</v>
      </c>
      <c r="N34" s="111"/>
      <c r="O34" s="90"/>
      <c r="P34" s="112"/>
      <c r="Q34" s="91"/>
      <c r="R34" s="91"/>
      <c r="S34" t="s">
        <v>141</v>
      </c>
      <c r="T34" t="s">
        <v>141</v>
      </c>
      <c r="U34" s="223">
        <v>0</v>
      </c>
      <c r="V34" s="223">
        <v>0</v>
      </c>
      <c r="W34" s="93"/>
    </row>
    <row r="35" spans="2:26" ht="15.75" customHeight="1">
      <c r="B35" t="s">
        <v>158</v>
      </c>
      <c r="C35" t="s">
        <v>119</v>
      </c>
      <c r="D35" s="83"/>
      <c r="E35" s="97"/>
      <c r="F35">
        <v>70</v>
      </c>
      <c r="H35" t="s">
        <v>141</v>
      </c>
      <c r="I35" t="s">
        <v>141</v>
      </c>
      <c r="J35" s="102"/>
      <c r="K35">
        <v>70</v>
      </c>
      <c r="L35" t="s">
        <v>141</v>
      </c>
      <c r="M35" t="s">
        <v>141</v>
      </c>
      <c r="N35" s="104"/>
      <c r="O35" s="90"/>
      <c r="P35" s="95"/>
      <c r="Q35" s="99"/>
      <c r="R35" s="105"/>
      <c r="S35" t="s">
        <v>141</v>
      </c>
      <c r="T35" t="s">
        <v>141</v>
      </c>
      <c r="U35" s="223">
        <v>0</v>
      </c>
      <c r="V35" s="223">
        <v>0</v>
      </c>
      <c r="W35" s="108"/>
    </row>
    <row r="36" spans="2:26" ht="15.75" customHeight="1">
      <c r="B36" t="s">
        <v>159</v>
      </c>
      <c r="C36" t="s">
        <v>160</v>
      </c>
      <c r="D36" s="83"/>
      <c r="E36" s="84"/>
      <c r="F36">
        <v>70</v>
      </c>
      <c r="H36" t="s">
        <v>141</v>
      </c>
      <c r="I36" t="s">
        <v>141</v>
      </c>
      <c r="J36" s="102"/>
      <c r="K36">
        <v>70</v>
      </c>
      <c r="L36" t="s">
        <v>141</v>
      </c>
      <c r="M36" t="s">
        <v>141</v>
      </c>
      <c r="N36" s="111"/>
      <c r="O36" s="90"/>
      <c r="P36" s="112"/>
      <c r="Q36" s="91"/>
      <c r="R36" s="91"/>
      <c r="S36" t="s">
        <v>141</v>
      </c>
      <c r="T36" t="s">
        <v>141</v>
      </c>
      <c r="U36" s="223">
        <v>0</v>
      </c>
      <c r="V36" s="223">
        <v>0</v>
      </c>
      <c r="W36" s="108"/>
    </row>
    <row r="37" spans="2:26" ht="15.75" customHeight="1">
      <c r="B37" t="s">
        <v>161</v>
      </c>
      <c r="C37" t="s">
        <v>108</v>
      </c>
      <c r="D37" s="83"/>
      <c r="E37" s="97"/>
      <c r="F37">
        <v>2</v>
      </c>
      <c r="G37" s="222">
        <v>13690</v>
      </c>
      <c r="H37" s="222">
        <v>51337.5</v>
      </c>
      <c r="I37" s="222">
        <v>102675</v>
      </c>
      <c r="J37" s="102"/>
      <c r="K37">
        <v>2</v>
      </c>
      <c r="L37" s="222">
        <v>25668.75</v>
      </c>
      <c r="M37" s="222">
        <v>51337.5</v>
      </c>
      <c r="N37" s="104"/>
      <c r="O37" s="90"/>
      <c r="P37" s="95"/>
      <c r="Q37" s="99"/>
      <c r="R37" s="105"/>
      <c r="S37" s="222">
        <v>25668.75</v>
      </c>
      <c r="T37" s="222">
        <v>51337.5</v>
      </c>
      <c r="U37" s="223">
        <v>0</v>
      </c>
      <c r="V37" s="223">
        <v>1</v>
      </c>
      <c r="W37" s="108"/>
    </row>
    <row r="38" spans="2:26" ht="15.75" customHeight="1">
      <c r="B38" t="s">
        <v>162</v>
      </c>
      <c r="C38" t="s">
        <v>110</v>
      </c>
      <c r="D38" s="83"/>
      <c r="E38" s="84"/>
      <c r="F38">
        <v>8</v>
      </c>
      <c r="G38" s="222">
        <v>163</v>
      </c>
      <c r="H38" s="222">
        <v>611.25</v>
      </c>
      <c r="I38" s="222">
        <v>4890</v>
      </c>
      <c r="J38" s="102"/>
      <c r="K38">
        <v>8</v>
      </c>
      <c r="L38" s="222">
        <v>305.63</v>
      </c>
      <c r="M38" s="222">
        <v>2445.04</v>
      </c>
      <c r="N38" s="111"/>
      <c r="O38" s="90"/>
      <c r="P38" s="112"/>
      <c r="Q38" s="91"/>
      <c r="R38" s="91"/>
      <c r="S38" s="222">
        <v>305.63</v>
      </c>
      <c r="T38" s="222">
        <v>2445.04</v>
      </c>
      <c r="U38" s="223">
        <v>0</v>
      </c>
      <c r="V38" s="223">
        <v>1</v>
      </c>
      <c r="W38" s="108"/>
    </row>
    <row r="39" spans="2:26" ht="15.75" customHeight="1">
      <c r="B39" t="s">
        <v>163</v>
      </c>
      <c r="C39" t="s">
        <v>112</v>
      </c>
      <c r="D39" s="83"/>
      <c r="E39" s="97"/>
      <c r="F39">
        <v>4</v>
      </c>
      <c r="G39" s="222">
        <v>5601</v>
      </c>
      <c r="H39" s="222">
        <v>21003.75</v>
      </c>
      <c r="I39" s="222">
        <v>84015</v>
      </c>
      <c r="J39" s="102"/>
      <c r="K39">
        <v>4</v>
      </c>
      <c r="L39" s="222">
        <v>10501.88</v>
      </c>
      <c r="M39" s="222">
        <v>42007.519999999997</v>
      </c>
      <c r="N39" s="104"/>
      <c r="O39" s="90"/>
      <c r="P39" s="95"/>
      <c r="Q39" s="99"/>
      <c r="R39" s="105"/>
      <c r="S39" s="222">
        <v>10501.88</v>
      </c>
      <c r="T39" s="222">
        <v>42007.519999999997</v>
      </c>
      <c r="U39" s="223">
        <v>0</v>
      </c>
      <c r="V39" s="223">
        <v>1</v>
      </c>
      <c r="W39" s="108"/>
    </row>
    <row r="40" spans="2:26" ht="15.75" customHeight="1">
      <c r="B40" t="s">
        <v>164</v>
      </c>
      <c r="C40" t="s">
        <v>114</v>
      </c>
      <c r="D40" s="83"/>
      <c r="E40" s="84"/>
      <c r="F40">
        <v>16</v>
      </c>
      <c r="G40" s="222">
        <v>73</v>
      </c>
      <c r="H40" s="222">
        <v>273.75</v>
      </c>
      <c r="I40" s="222">
        <v>4380</v>
      </c>
      <c r="J40" s="102"/>
      <c r="K40">
        <v>16</v>
      </c>
      <c r="L40" s="222">
        <v>136.88</v>
      </c>
      <c r="M40" s="222">
        <v>2190.08</v>
      </c>
      <c r="N40" s="111"/>
      <c r="O40" s="90"/>
      <c r="P40" s="112"/>
      <c r="Q40" s="91"/>
      <c r="R40" s="91"/>
      <c r="S40" s="222">
        <v>136.88</v>
      </c>
      <c r="T40" s="222">
        <v>2190.08</v>
      </c>
      <c r="U40" s="223">
        <v>0</v>
      </c>
      <c r="V40" s="223">
        <v>1</v>
      </c>
      <c r="W40" s="108"/>
    </row>
    <row r="41" spans="2:26" ht="15.75" customHeight="1">
      <c r="B41" t="s">
        <v>165</v>
      </c>
      <c r="C41" t="s">
        <v>166</v>
      </c>
      <c r="D41" s="83"/>
      <c r="E41" s="97"/>
      <c r="F41">
        <v>12</v>
      </c>
      <c r="G41" s="222">
        <v>5160.5</v>
      </c>
      <c r="H41" s="222">
        <v>19351.88</v>
      </c>
      <c r="I41" s="222">
        <v>232222.56</v>
      </c>
      <c r="J41" s="102"/>
      <c r="K41">
        <v>12</v>
      </c>
      <c r="L41" s="222">
        <v>9675.94</v>
      </c>
      <c r="M41" s="222">
        <v>116111.28</v>
      </c>
      <c r="N41" s="104"/>
      <c r="O41" s="90"/>
      <c r="P41" s="95"/>
      <c r="Q41" s="99"/>
      <c r="R41" s="105"/>
      <c r="S41" s="222">
        <v>9675.94</v>
      </c>
      <c r="T41" s="222">
        <v>116111.28</v>
      </c>
      <c r="U41" s="223">
        <v>0</v>
      </c>
      <c r="V41" s="223">
        <v>1</v>
      </c>
      <c r="W41" s="108"/>
    </row>
    <row r="42" spans="2:26" ht="15.75" customHeight="1">
      <c r="B42" t="s">
        <v>167</v>
      </c>
      <c r="C42" t="s">
        <v>117</v>
      </c>
      <c r="D42" s="83"/>
      <c r="E42" s="84"/>
      <c r="F42">
        <v>24</v>
      </c>
      <c r="G42" s="222">
        <v>10</v>
      </c>
      <c r="H42" s="222">
        <v>37.5</v>
      </c>
      <c r="I42" s="222">
        <v>900</v>
      </c>
      <c r="J42" s="102"/>
      <c r="K42">
        <v>24</v>
      </c>
      <c r="L42" s="222">
        <v>18.75</v>
      </c>
      <c r="M42" s="222">
        <v>450</v>
      </c>
      <c r="N42" s="111"/>
      <c r="O42" s="90"/>
      <c r="P42" s="112"/>
      <c r="Q42" s="91"/>
      <c r="R42" s="91"/>
      <c r="S42" s="222">
        <v>18.75</v>
      </c>
      <c r="T42" s="222">
        <v>450</v>
      </c>
      <c r="U42" s="223">
        <v>0</v>
      </c>
      <c r="V42" s="223">
        <v>1</v>
      </c>
      <c r="W42" s="108"/>
    </row>
    <row r="43" spans="2:26" ht="15.75" customHeight="1">
      <c r="B43" t="s">
        <v>168</v>
      </c>
      <c r="C43" t="s">
        <v>119</v>
      </c>
      <c r="D43" s="83"/>
      <c r="E43" s="97"/>
      <c r="F43">
        <v>24</v>
      </c>
      <c r="G43" s="222">
        <v>5</v>
      </c>
      <c r="H43" s="222">
        <v>18.75</v>
      </c>
      <c r="I43" s="222">
        <v>450</v>
      </c>
      <c r="J43" s="102"/>
      <c r="K43">
        <v>24</v>
      </c>
      <c r="L43" s="222">
        <v>9.3800000000000008</v>
      </c>
      <c r="M43" s="222">
        <v>225.12</v>
      </c>
      <c r="N43" s="104"/>
      <c r="O43" s="90"/>
      <c r="P43" s="95"/>
      <c r="Q43" s="99"/>
      <c r="R43" s="105"/>
      <c r="S43" s="222">
        <v>9.3800000000000008</v>
      </c>
      <c r="T43" s="222">
        <v>225.12</v>
      </c>
      <c r="U43" s="223">
        <v>0</v>
      </c>
      <c r="V43" s="223">
        <v>1</v>
      </c>
      <c r="W43" s="108"/>
    </row>
    <row r="44" spans="2:26" ht="15.75" customHeight="1">
      <c r="D44" s="83"/>
      <c r="E44" s="84"/>
      <c r="H44" t="s">
        <v>141</v>
      </c>
      <c r="I44" t="s">
        <v>141</v>
      </c>
      <c r="J44" s="102"/>
      <c r="K44">
        <v>0</v>
      </c>
      <c r="L44" t="s">
        <v>141</v>
      </c>
      <c r="M44" t="s">
        <v>141</v>
      </c>
      <c r="N44" s="111"/>
      <c r="O44" s="90"/>
      <c r="P44" s="112"/>
      <c r="Q44" s="91"/>
      <c r="R44" s="91"/>
      <c r="S44" t="s">
        <v>141</v>
      </c>
      <c r="T44" t="s">
        <v>141</v>
      </c>
      <c r="U44" s="223">
        <v>0</v>
      </c>
      <c r="V44" s="223">
        <v>0</v>
      </c>
      <c r="W44" s="108"/>
    </row>
    <row r="45" spans="2:26" ht="15.75" customHeight="1">
      <c r="B45" t="s">
        <v>120</v>
      </c>
      <c r="C45" t="s">
        <v>121</v>
      </c>
      <c r="D45" s="83"/>
      <c r="E45" s="97"/>
      <c r="F45">
        <v>2</v>
      </c>
      <c r="G45" s="222">
        <v>111562.5</v>
      </c>
      <c r="H45" s="222">
        <v>418359.38</v>
      </c>
      <c r="I45" s="222">
        <v>836718.76</v>
      </c>
      <c r="J45" s="102"/>
      <c r="K45">
        <v>2</v>
      </c>
      <c r="L45" s="222">
        <v>209179.69</v>
      </c>
      <c r="M45" s="222">
        <v>418359.38</v>
      </c>
      <c r="N45" s="104"/>
      <c r="O45" s="90"/>
      <c r="P45" s="95"/>
      <c r="Q45" s="99"/>
      <c r="R45" s="105"/>
      <c r="S45" s="222">
        <v>209179.69</v>
      </c>
      <c r="T45" s="222">
        <v>418359.38</v>
      </c>
      <c r="U45" s="223">
        <v>0</v>
      </c>
      <c r="V45" s="223">
        <v>1</v>
      </c>
      <c r="W45" s="108"/>
    </row>
    <row r="46" spans="2:26" ht="15.75" customHeight="1">
      <c r="B46" t="s">
        <v>169</v>
      </c>
      <c r="C46" t="s">
        <v>123</v>
      </c>
      <c r="D46" s="83"/>
      <c r="E46" s="84"/>
      <c r="F46">
        <v>2</v>
      </c>
      <c r="G46" s="222">
        <v>32988</v>
      </c>
      <c r="H46" s="222">
        <v>123705</v>
      </c>
      <c r="I46" s="222">
        <v>247410</v>
      </c>
      <c r="J46" s="102"/>
      <c r="K46">
        <v>2</v>
      </c>
      <c r="L46" s="222">
        <v>61852.5</v>
      </c>
      <c r="M46" s="222">
        <v>123705</v>
      </c>
      <c r="N46" s="111"/>
      <c r="O46" s="90"/>
      <c r="P46" s="112"/>
      <c r="Q46" s="91"/>
      <c r="R46" s="91"/>
      <c r="S46" s="222">
        <v>61852.5</v>
      </c>
      <c r="T46" s="222">
        <v>123705</v>
      </c>
      <c r="U46" s="223">
        <v>0</v>
      </c>
      <c r="V46" s="223">
        <v>1</v>
      </c>
      <c r="W46" s="108"/>
    </row>
    <row r="47" spans="2:26" ht="15.75" customHeight="1">
      <c r="B47" t="s">
        <v>170</v>
      </c>
      <c r="C47" t="s">
        <v>171</v>
      </c>
      <c r="D47" s="83"/>
      <c r="E47" s="97"/>
      <c r="F47">
        <v>88</v>
      </c>
      <c r="G47" s="222">
        <v>1748.5</v>
      </c>
      <c r="H47" s="222">
        <v>6556.88</v>
      </c>
      <c r="I47" s="222">
        <v>577005.43999999994</v>
      </c>
      <c r="J47" s="102"/>
      <c r="K47">
        <v>88</v>
      </c>
      <c r="L47" s="222">
        <v>3278.44</v>
      </c>
      <c r="M47" s="222">
        <v>288502.71999999997</v>
      </c>
      <c r="N47" s="104"/>
      <c r="O47" s="90"/>
      <c r="P47" s="95"/>
      <c r="Q47" s="99"/>
      <c r="R47" s="105"/>
      <c r="S47" s="222">
        <v>3278.44</v>
      </c>
      <c r="T47" s="222">
        <v>288502.71999999997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172</v>
      </c>
      <c r="C48" t="s">
        <v>127</v>
      </c>
      <c r="D48" s="83"/>
      <c r="E48" s="84"/>
      <c r="F48">
        <v>344</v>
      </c>
      <c r="G48" s="222">
        <v>23</v>
      </c>
      <c r="H48" s="222">
        <v>86.25</v>
      </c>
      <c r="I48" s="222">
        <v>29670</v>
      </c>
      <c r="J48" s="102"/>
      <c r="K48">
        <v>344</v>
      </c>
      <c r="L48" s="222">
        <v>43.13</v>
      </c>
      <c r="M48" s="222">
        <v>14836.72</v>
      </c>
      <c r="N48" s="111"/>
      <c r="O48" s="90"/>
      <c r="P48" s="112"/>
      <c r="Q48" s="91"/>
      <c r="R48" s="91"/>
      <c r="S48" s="222">
        <v>43.13</v>
      </c>
      <c r="T48" s="222">
        <v>14836.72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173</v>
      </c>
      <c r="C49" t="s">
        <v>129</v>
      </c>
      <c r="D49" s="83"/>
      <c r="E49" s="97"/>
      <c r="F49">
        <v>344</v>
      </c>
      <c r="G49" s="222">
        <v>8</v>
      </c>
      <c r="H49" s="222">
        <v>30</v>
      </c>
      <c r="I49" s="222">
        <v>10320</v>
      </c>
      <c r="J49" s="102"/>
      <c r="K49">
        <v>344</v>
      </c>
      <c r="L49" s="222">
        <v>15</v>
      </c>
      <c r="M49" s="222">
        <v>5160</v>
      </c>
      <c r="N49" s="104"/>
      <c r="O49" s="90"/>
      <c r="P49" s="95"/>
      <c r="Q49" s="99"/>
      <c r="R49" s="105"/>
      <c r="S49" s="222">
        <v>15</v>
      </c>
      <c r="T49" s="222">
        <v>5160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t="s">
        <v>174</v>
      </c>
      <c r="C50" t="s">
        <v>175</v>
      </c>
      <c r="D50" s="83"/>
      <c r="E50" s="84"/>
      <c r="F50">
        <v>4</v>
      </c>
      <c r="G50" s="222">
        <v>43.5</v>
      </c>
      <c r="H50" s="222">
        <v>163.13</v>
      </c>
      <c r="I50" s="222">
        <v>652.52</v>
      </c>
      <c r="J50" s="102"/>
      <c r="K50">
        <v>4</v>
      </c>
      <c r="L50" s="222">
        <v>81.569999999999993</v>
      </c>
      <c r="M50" s="222">
        <v>326.27999999999997</v>
      </c>
      <c r="N50" s="111"/>
      <c r="O50" s="90"/>
      <c r="P50" s="112"/>
      <c r="Q50" s="91"/>
      <c r="R50" s="91"/>
      <c r="S50" s="222">
        <v>81.569999999999993</v>
      </c>
      <c r="T50" s="222">
        <v>326.27999999999997</v>
      </c>
      <c r="U50" s="223">
        <v>0</v>
      </c>
      <c r="V50" s="223">
        <v>1</v>
      </c>
      <c r="W50" s="93"/>
    </row>
    <row r="51" spans="2:26" ht="15.75" customHeight="1">
      <c r="B51" t="s">
        <v>176</v>
      </c>
      <c r="C51" t="s">
        <v>175</v>
      </c>
      <c r="D51" s="83"/>
      <c r="E51" s="97"/>
      <c r="F51">
        <v>4</v>
      </c>
      <c r="G51" s="222">
        <v>34</v>
      </c>
      <c r="H51" s="222">
        <v>127.5</v>
      </c>
      <c r="I51" s="222">
        <v>510</v>
      </c>
      <c r="J51" s="102"/>
      <c r="K51">
        <v>4</v>
      </c>
      <c r="L51" s="222">
        <v>63.75</v>
      </c>
      <c r="M51" s="222">
        <v>255</v>
      </c>
      <c r="N51" s="104"/>
      <c r="O51" s="90"/>
      <c r="P51" s="95"/>
      <c r="Q51" s="99"/>
      <c r="R51" s="105"/>
      <c r="S51" s="222">
        <v>63.75</v>
      </c>
      <c r="T51" s="222">
        <v>255</v>
      </c>
      <c r="U51" s="223">
        <v>0</v>
      </c>
      <c r="V51" s="223">
        <v>1</v>
      </c>
      <c r="W51" s="108"/>
    </row>
    <row r="52" spans="2:26" ht="15.75" customHeight="1">
      <c r="D52" s="83"/>
      <c r="E52" s="84"/>
      <c r="H52" t="s">
        <v>141</v>
      </c>
      <c r="I52" t="s">
        <v>141</v>
      </c>
      <c r="J52" s="102"/>
      <c r="K52">
        <v>0</v>
      </c>
      <c r="L52" t="s">
        <v>141</v>
      </c>
      <c r="M52" t="s">
        <v>141</v>
      </c>
      <c r="N52" s="111"/>
      <c r="O52" s="90"/>
      <c r="P52" s="112"/>
      <c r="Q52" s="91"/>
      <c r="R52" s="91"/>
      <c r="S52" t="s">
        <v>141</v>
      </c>
      <c r="T52" t="s">
        <v>141</v>
      </c>
      <c r="U52" s="223">
        <v>0</v>
      </c>
      <c r="V52" s="223">
        <v>0</v>
      </c>
      <c r="W52" s="93"/>
    </row>
    <row r="53" spans="2:26" ht="15.75" customHeight="1">
      <c r="D53" s="83"/>
      <c r="E53" s="97"/>
      <c r="H53" t="s">
        <v>141</v>
      </c>
      <c r="I53" t="s">
        <v>141</v>
      </c>
      <c r="J53" s="102"/>
      <c r="K53">
        <v>0</v>
      </c>
      <c r="L53" t="s">
        <v>141</v>
      </c>
      <c r="M53" t="s">
        <v>141</v>
      </c>
      <c r="N53" s="104"/>
      <c r="O53" s="90"/>
      <c r="P53" s="95"/>
      <c r="Q53" s="99"/>
      <c r="R53" s="105"/>
      <c r="S53" t="s">
        <v>141</v>
      </c>
      <c r="T53" t="s">
        <v>141</v>
      </c>
      <c r="U53" s="223">
        <v>0</v>
      </c>
      <c r="V53" s="223">
        <v>0</v>
      </c>
      <c r="W53" s="108"/>
    </row>
    <row r="54" spans="2:26" ht="15.75" customHeight="1">
      <c r="B54" t="s">
        <v>177</v>
      </c>
      <c r="C54" t="s">
        <v>178</v>
      </c>
      <c r="D54" s="83"/>
      <c r="E54" s="84"/>
      <c r="F54">
        <v>1</v>
      </c>
      <c r="G54" s="222">
        <v>497539</v>
      </c>
      <c r="H54" s="222">
        <v>1865771.25</v>
      </c>
      <c r="I54" s="222">
        <v>1865771.25</v>
      </c>
      <c r="J54" s="102"/>
      <c r="K54">
        <v>1</v>
      </c>
      <c r="L54" s="222">
        <v>932885.63</v>
      </c>
      <c r="M54" s="222">
        <v>932885.63</v>
      </c>
      <c r="N54" s="111"/>
      <c r="O54" s="90"/>
      <c r="P54" s="112"/>
      <c r="Q54" s="91"/>
      <c r="R54" s="91"/>
      <c r="S54" s="222">
        <v>932885.63</v>
      </c>
      <c r="T54" s="222">
        <v>932885.63</v>
      </c>
      <c r="U54" s="223">
        <v>0</v>
      </c>
      <c r="V54" s="223">
        <v>1</v>
      </c>
      <c r="W54" s="93"/>
    </row>
    <row r="55" spans="2:26" ht="15.75" customHeight="1">
      <c r="B55" t="s">
        <v>179</v>
      </c>
      <c r="C55" t="s">
        <v>180</v>
      </c>
      <c r="D55" s="83"/>
      <c r="E55" s="97"/>
      <c r="F55">
        <v>1</v>
      </c>
      <c r="G55" s="222">
        <v>1223</v>
      </c>
      <c r="H55" s="222">
        <v>4586.25</v>
      </c>
      <c r="I55" s="222">
        <v>4586.25</v>
      </c>
      <c r="J55" s="102"/>
      <c r="K55">
        <v>1</v>
      </c>
      <c r="L55" s="222">
        <v>2293.13</v>
      </c>
      <c r="M55" s="222">
        <v>2293.13</v>
      </c>
      <c r="N55" s="104"/>
      <c r="O55" s="90"/>
      <c r="P55" s="95"/>
      <c r="Q55" s="99"/>
      <c r="R55" s="105"/>
      <c r="S55" s="222">
        <v>2293.13</v>
      </c>
      <c r="T55" s="222">
        <v>2293.13</v>
      </c>
      <c r="U55" s="223">
        <v>0</v>
      </c>
      <c r="V55" s="223">
        <v>1</v>
      </c>
      <c r="W55" s="108"/>
    </row>
    <row r="56" spans="2:26" ht="15.75" customHeight="1">
      <c r="B56" t="s">
        <v>181</v>
      </c>
      <c r="C56" t="s">
        <v>182</v>
      </c>
      <c r="D56" s="83"/>
      <c r="E56" s="84"/>
      <c r="F56">
        <v>2</v>
      </c>
      <c r="G56" s="222">
        <v>690</v>
      </c>
      <c r="H56" s="222">
        <v>2587.5</v>
      </c>
      <c r="I56" s="222">
        <v>5175</v>
      </c>
      <c r="J56" s="102"/>
      <c r="K56">
        <v>2</v>
      </c>
      <c r="L56" s="222">
        <v>1293.75</v>
      </c>
      <c r="M56" s="222">
        <v>2587.5</v>
      </c>
      <c r="N56" s="111"/>
      <c r="O56" s="90"/>
      <c r="P56" s="112"/>
      <c r="Q56" s="91"/>
      <c r="R56" s="91"/>
      <c r="S56" s="222">
        <v>1293.75</v>
      </c>
      <c r="T56" s="222">
        <v>2587.5</v>
      </c>
      <c r="U56" s="223">
        <v>0</v>
      </c>
      <c r="V56" s="223">
        <v>1</v>
      </c>
      <c r="W56" s="108"/>
    </row>
    <row r="57" spans="2:26" ht="15.75" customHeight="1">
      <c r="B57" t="s">
        <v>183</v>
      </c>
      <c r="C57" t="s">
        <v>184</v>
      </c>
      <c r="D57" s="83"/>
      <c r="E57" s="97"/>
      <c r="F57">
        <v>1</v>
      </c>
      <c r="G57" s="222">
        <v>318</v>
      </c>
      <c r="H57" s="222">
        <v>1192.5</v>
      </c>
      <c r="I57" s="222">
        <v>1192.5</v>
      </c>
      <c r="J57" s="102"/>
      <c r="K57">
        <v>1</v>
      </c>
      <c r="L57" s="222">
        <v>596.25</v>
      </c>
      <c r="M57" s="222">
        <v>596.25</v>
      </c>
      <c r="N57" s="104"/>
      <c r="O57" s="90"/>
      <c r="P57" s="95"/>
      <c r="Q57" s="99"/>
      <c r="R57" s="105"/>
      <c r="S57" s="222">
        <v>596.25</v>
      </c>
      <c r="T57" s="222">
        <v>596.25</v>
      </c>
      <c r="U57" s="223">
        <v>0</v>
      </c>
      <c r="V57" s="223">
        <v>1</v>
      </c>
      <c r="W57" s="108"/>
    </row>
    <row r="58" spans="2:26" ht="15.75" customHeight="1">
      <c r="B58" t="s">
        <v>185</v>
      </c>
      <c r="C58" t="s">
        <v>186</v>
      </c>
      <c r="D58" s="83"/>
      <c r="E58" s="84"/>
      <c r="F58">
        <v>1</v>
      </c>
      <c r="G58" s="222">
        <v>533.5</v>
      </c>
      <c r="H58" s="222">
        <v>2000.63</v>
      </c>
      <c r="I58" s="222">
        <v>2000.63</v>
      </c>
      <c r="J58" s="102"/>
      <c r="K58">
        <v>1</v>
      </c>
      <c r="L58" s="222">
        <v>1000.32</v>
      </c>
      <c r="M58" s="222">
        <v>1000.32</v>
      </c>
      <c r="N58" s="111"/>
      <c r="O58" s="90"/>
      <c r="P58" s="112"/>
      <c r="Q58" s="91"/>
      <c r="R58" s="91"/>
      <c r="S58" s="222">
        <v>1000.32</v>
      </c>
      <c r="T58" s="222">
        <v>1000.32</v>
      </c>
      <c r="U58" s="223">
        <v>0</v>
      </c>
      <c r="V58" s="223">
        <v>1</v>
      </c>
      <c r="W58" s="108"/>
    </row>
    <row r="59" spans="2:26" ht="15.75" customHeight="1">
      <c r="B59" t="s">
        <v>187</v>
      </c>
      <c r="C59" t="s">
        <v>188</v>
      </c>
      <c r="D59" s="83"/>
      <c r="E59" s="97"/>
      <c r="F59">
        <v>72</v>
      </c>
      <c r="G59" s="222">
        <v>28</v>
      </c>
      <c r="H59" s="222">
        <v>105</v>
      </c>
      <c r="I59" s="222">
        <v>7560</v>
      </c>
      <c r="J59" s="102"/>
      <c r="K59">
        <v>72</v>
      </c>
      <c r="L59" s="222">
        <v>52.5</v>
      </c>
      <c r="M59" s="222">
        <v>3780</v>
      </c>
      <c r="N59" s="104"/>
      <c r="O59" s="90"/>
      <c r="P59" s="95"/>
      <c r="Q59" s="99"/>
      <c r="R59" s="105"/>
      <c r="S59" s="222">
        <v>52.5</v>
      </c>
      <c r="T59" s="222">
        <v>3780</v>
      </c>
      <c r="U59" s="223">
        <v>0</v>
      </c>
      <c r="V59" s="223">
        <v>1</v>
      </c>
      <c r="W59" s="108"/>
    </row>
    <row r="60" spans="2:26" ht="15.75" customHeight="1">
      <c r="B60" t="s">
        <v>189</v>
      </c>
      <c r="C60" t="s">
        <v>190</v>
      </c>
      <c r="D60" s="83"/>
      <c r="E60" s="84"/>
      <c r="F60">
        <v>72</v>
      </c>
      <c r="G60" s="222">
        <v>3</v>
      </c>
      <c r="H60" s="222">
        <v>11.25</v>
      </c>
      <c r="I60" s="222">
        <v>810</v>
      </c>
      <c r="J60" s="102"/>
      <c r="K60">
        <v>72</v>
      </c>
      <c r="L60" s="222">
        <v>5.63</v>
      </c>
      <c r="M60" s="222">
        <v>405.36</v>
      </c>
      <c r="N60" s="111"/>
      <c r="O60" s="90"/>
      <c r="P60" s="112"/>
      <c r="Q60" s="91"/>
      <c r="R60" s="91"/>
      <c r="S60" s="222">
        <v>5.63</v>
      </c>
      <c r="T60" s="222">
        <v>405.36</v>
      </c>
      <c r="U60" s="223">
        <v>0</v>
      </c>
      <c r="V60" s="223">
        <v>1</v>
      </c>
      <c r="W60" s="108"/>
    </row>
    <row r="61" spans="2:26" ht="15.75" customHeight="1">
      <c r="D61" s="83"/>
      <c r="E61" s="97"/>
      <c r="H61" t="s">
        <v>141</v>
      </c>
      <c r="I61" t="s">
        <v>141</v>
      </c>
      <c r="J61" s="102"/>
      <c r="K61">
        <v>0</v>
      </c>
      <c r="L61" t="s">
        <v>141</v>
      </c>
      <c r="M61" t="s">
        <v>141</v>
      </c>
      <c r="N61" s="104"/>
      <c r="O61" s="90"/>
      <c r="P61" s="95"/>
      <c r="Q61" s="99"/>
      <c r="R61" s="105"/>
      <c r="S61" t="s">
        <v>141</v>
      </c>
      <c r="T61" t="s">
        <v>141</v>
      </c>
      <c r="U61" s="223">
        <v>0</v>
      </c>
      <c r="V61" s="223">
        <v>0</v>
      </c>
      <c r="W61" s="108"/>
    </row>
    <row r="62" spans="2:26" ht="15.75" customHeight="1">
      <c r="D62" s="83"/>
      <c r="E62" s="84"/>
      <c r="H62" t="s">
        <v>141</v>
      </c>
      <c r="I62" t="s">
        <v>141</v>
      </c>
      <c r="J62" s="102"/>
      <c r="K62">
        <v>0</v>
      </c>
      <c r="L62" t="s">
        <v>141</v>
      </c>
      <c r="M62" t="s">
        <v>141</v>
      </c>
      <c r="N62" s="111"/>
      <c r="O62" s="90"/>
      <c r="P62" s="112"/>
      <c r="Q62" s="91"/>
      <c r="R62" s="91"/>
      <c r="S62" t="s">
        <v>141</v>
      </c>
      <c r="T62" t="s">
        <v>141</v>
      </c>
      <c r="U62" s="223">
        <v>0</v>
      </c>
      <c r="V62" s="223">
        <v>0</v>
      </c>
      <c r="W62" s="108"/>
    </row>
    <row r="63" spans="2:26" ht="15.75" customHeight="1">
      <c r="B63" s="224" t="s">
        <v>191</v>
      </c>
      <c r="C63" t="s">
        <v>192</v>
      </c>
      <c r="D63" s="83"/>
      <c r="E63" s="97"/>
      <c r="F63">
        <v>1</v>
      </c>
      <c r="G63" s="222">
        <v>57933.5</v>
      </c>
      <c r="H63" s="222">
        <v>217250.63</v>
      </c>
      <c r="I63" s="222">
        <v>217250.63</v>
      </c>
      <c r="J63" s="102"/>
      <c r="K63">
        <v>1</v>
      </c>
      <c r="L63" s="222">
        <v>108625.32</v>
      </c>
      <c r="M63" s="222">
        <v>108625.32</v>
      </c>
      <c r="N63" s="104"/>
      <c r="O63" s="90"/>
      <c r="P63" s="95"/>
      <c r="Q63" s="99"/>
      <c r="R63" s="105"/>
      <c r="S63" s="222">
        <v>108625.32</v>
      </c>
      <c r="T63" s="222">
        <v>108625.32</v>
      </c>
      <c r="U63" s="223">
        <v>0</v>
      </c>
      <c r="V63" s="223">
        <v>1</v>
      </c>
      <c r="W63" s="108"/>
    </row>
    <row r="64" spans="2:26" ht="15.75" customHeight="1">
      <c r="B64" t="s">
        <v>193</v>
      </c>
      <c r="C64" t="s">
        <v>194</v>
      </c>
      <c r="D64" s="83"/>
      <c r="E64" s="84"/>
      <c r="F64">
        <v>1</v>
      </c>
      <c r="G64" s="222">
        <v>280</v>
      </c>
      <c r="H64" s="222">
        <v>1050</v>
      </c>
      <c r="I64" s="222">
        <v>1050</v>
      </c>
      <c r="J64" s="102"/>
      <c r="K64">
        <v>1</v>
      </c>
      <c r="L64" s="222">
        <v>525</v>
      </c>
      <c r="M64" s="222">
        <v>525</v>
      </c>
      <c r="N64" s="111"/>
      <c r="O64" s="90"/>
      <c r="P64" s="112"/>
      <c r="Q64" s="91"/>
      <c r="R64" s="91"/>
      <c r="S64" s="222">
        <v>525</v>
      </c>
      <c r="T64" s="222">
        <v>525</v>
      </c>
      <c r="U64" s="223">
        <v>0</v>
      </c>
      <c r="V64" s="223">
        <v>1</v>
      </c>
      <c r="W64" s="108"/>
    </row>
    <row r="65" spans="2:26" ht="15.75" customHeight="1">
      <c r="B65" t="s">
        <v>195</v>
      </c>
      <c r="C65" t="s">
        <v>196</v>
      </c>
      <c r="D65" s="83"/>
      <c r="E65" s="97"/>
      <c r="F65">
        <v>3</v>
      </c>
      <c r="G65" s="222">
        <v>105</v>
      </c>
      <c r="H65" s="222">
        <v>393.75</v>
      </c>
      <c r="I65" s="222">
        <v>1181.25</v>
      </c>
      <c r="J65" s="102"/>
      <c r="K65">
        <v>3</v>
      </c>
      <c r="L65" s="222">
        <v>196.88</v>
      </c>
      <c r="M65" s="222">
        <v>590.64</v>
      </c>
      <c r="N65" s="104"/>
      <c r="O65" s="90"/>
      <c r="P65" s="95"/>
      <c r="Q65" s="99"/>
      <c r="R65" s="105"/>
      <c r="S65" s="222">
        <v>196.88</v>
      </c>
      <c r="T65" s="222">
        <v>590.64</v>
      </c>
      <c r="U65" s="223">
        <v>0</v>
      </c>
      <c r="V65" s="223">
        <v>1</v>
      </c>
      <c r="W65" s="108"/>
    </row>
    <row r="66" spans="2:26">
      <c r="B66" s="224" t="s">
        <v>197</v>
      </c>
      <c r="C66" t="s">
        <v>198</v>
      </c>
      <c r="D66" s="83"/>
      <c r="E66" s="84"/>
      <c r="F66">
        <v>3</v>
      </c>
      <c r="G66" s="222">
        <v>55</v>
      </c>
      <c r="H66" s="222">
        <v>206.25</v>
      </c>
      <c r="I66" s="222">
        <v>618.75</v>
      </c>
      <c r="J66" s="102"/>
      <c r="K66">
        <v>3</v>
      </c>
      <c r="L66" s="222">
        <v>103.13</v>
      </c>
      <c r="M66" s="222">
        <v>309.39</v>
      </c>
      <c r="N66" s="111"/>
      <c r="O66" s="90"/>
      <c r="P66" s="112"/>
      <c r="Q66" s="91"/>
      <c r="R66" s="91"/>
      <c r="S66" s="222">
        <v>103.13</v>
      </c>
      <c r="T66" s="222">
        <v>309.39</v>
      </c>
      <c r="U66" s="223">
        <v>0</v>
      </c>
      <c r="V66" s="223">
        <v>1</v>
      </c>
      <c r="W66" s="93"/>
      <c r="X66" s="94"/>
      <c r="Y66" s="4"/>
      <c r="Z66" s="4"/>
    </row>
    <row r="67" spans="2:26" ht="15.75" customHeight="1">
      <c r="B67" t="s">
        <v>199</v>
      </c>
      <c r="C67" t="s">
        <v>200</v>
      </c>
      <c r="D67" s="83"/>
      <c r="E67" s="97"/>
      <c r="F67">
        <v>2</v>
      </c>
      <c r="G67" s="222">
        <v>73393</v>
      </c>
      <c r="H67" s="222">
        <v>275223.75</v>
      </c>
      <c r="I67" s="222">
        <v>550447.5</v>
      </c>
      <c r="J67" s="102"/>
      <c r="K67">
        <v>2</v>
      </c>
      <c r="L67" s="222">
        <v>137611.88</v>
      </c>
      <c r="M67" s="222">
        <v>275223.76</v>
      </c>
      <c r="N67" s="104"/>
      <c r="O67" s="90"/>
      <c r="P67" s="95"/>
      <c r="Q67" s="99"/>
      <c r="R67" s="105"/>
      <c r="S67" s="222">
        <v>137611.88</v>
      </c>
      <c r="T67" s="222">
        <v>275223.76</v>
      </c>
      <c r="U67" s="223">
        <v>0</v>
      </c>
      <c r="V67" s="223">
        <v>1</v>
      </c>
      <c r="W67" s="108"/>
      <c r="X67" s="94"/>
      <c r="Y67" s="4"/>
      <c r="Z67" s="4"/>
    </row>
    <row r="68" spans="2:26" ht="15.75" customHeight="1">
      <c r="D68" s="83"/>
      <c r="E68" s="84"/>
      <c r="H68" t="s">
        <v>141</v>
      </c>
      <c r="I68" t="s">
        <v>141</v>
      </c>
      <c r="J68" s="102"/>
      <c r="K68">
        <v>0</v>
      </c>
      <c r="L68" t="s">
        <v>141</v>
      </c>
      <c r="M68" t="s">
        <v>141</v>
      </c>
      <c r="N68" s="111"/>
      <c r="O68" s="90"/>
      <c r="P68" s="112"/>
      <c r="Q68" s="91"/>
      <c r="R68" s="91"/>
      <c r="S68" t="s">
        <v>141</v>
      </c>
      <c r="T68" t="s">
        <v>141</v>
      </c>
      <c r="U68" s="223">
        <v>0</v>
      </c>
      <c r="V68" s="223">
        <v>0</v>
      </c>
      <c r="W68" s="93"/>
      <c r="X68" s="94"/>
      <c r="Y68" s="4"/>
      <c r="Z68" s="4"/>
    </row>
    <row r="69" spans="2:26" ht="15.75" customHeight="1">
      <c r="D69" s="83"/>
      <c r="E69" s="97"/>
      <c r="H69" t="s">
        <v>141</v>
      </c>
      <c r="I69" t="s">
        <v>141</v>
      </c>
      <c r="J69" s="102"/>
      <c r="K69">
        <v>0</v>
      </c>
      <c r="L69" t="s">
        <v>141</v>
      </c>
      <c r="M69" t="s">
        <v>141</v>
      </c>
      <c r="N69" s="104"/>
      <c r="O69" s="90"/>
      <c r="P69" s="95"/>
      <c r="Q69" s="99"/>
      <c r="R69" s="105"/>
      <c r="S69" t="s">
        <v>141</v>
      </c>
      <c r="T69" t="s">
        <v>141</v>
      </c>
      <c r="U69" s="223">
        <v>0</v>
      </c>
      <c r="V69" s="223">
        <v>0</v>
      </c>
      <c r="W69" s="108"/>
      <c r="X69" s="94"/>
      <c r="Y69" s="4"/>
      <c r="Z69" s="4"/>
    </row>
    <row r="70" spans="2:26" ht="15.75" customHeight="1">
      <c r="B70" t="s">
        <v>120</v>
      </c>
      <c r="C70" t="s">
        <v>201</v>
      </c>
      <c r="D70" s="83"/>
      <c r="E70" s="84"/>
      <c r="F70">
        <v>1</v>
      </c>
      <c r="G70" s="222">
        <v>25725</v>
      </c>
      <c r="H70" s="222">
        <v>96468.75</v>
      </c>
      <c r="I70" s="222">
        <v>96468.75</v>
      </c>
      <c r="J70" s="102"/>
      <c r="K70">
        <v>1</v>
      </c>
      <c r="L70" s="222">
        <v>48234.38</v>
      </c>
      <c r="M70" s="222">
        <v>48234.38</v>
      </c>
      <c r="N70" s="111"/>
      <c r="O70" s="90"/>
      <c r="P70" s="112"/>
      <c r="Q70" s="91"/>
      <c r="R70" s="91"/>
      <c r="S70" s="222">
        <v>48234.38</v>
      </c>
      <c r="T70" s="222">
        <v>48234.38</v>
      </c>
      <c r="U70" s="223">
        <v>0</v>
      </c>
      <c r="V70" s="223">
        <v>1</v>
      </c>
      <c r="W70" s="93"/>
      <c r="X70" s="94"/>
      <c r="Y70" s="4"/>
      <c r="Z70" s="4"/>
    </row>
    <row r="71" spans="2:26" ht="15.75" customHeight="1">
      <c r="B71" t="s">
        <v>202</v>
      </c>
      <c r="C71" t="s">
        <v>136</v>
      </c>
      <c r="D71" s="83"/>
      <c r="E71" s="97"/>
      <c r="F71">
        <v>1</v>
      </c>
      <c r="G71" s="222">
        <v>17248</v>
      </c>
      <c r="H71" s="222">
        <v>64680</v>
      </c>
      <c r="I71" s="222">
        <v>64680</v>
      </c>
      <c r="J71" s="102"/>
      <c r="K71">
        <v>1</v>
      </c>
      <c r="L71" s="222">
        <v>32340</v>
      </c>
      <c r="M71" s="222">
        <v>32340</v>
      </c>
      <c r="N71" s="104"/>
      <c r="O71" s="90"/>
      <c r="P71" s="95"/>
      <c r="Q71" s="99"/>
      <c r="R71" s="105"/>
      <c r="S71" s="222">
        <v>32340</v>
      </c>
      <c r="T71" s="222">
        <v>32340</v>
      </c>
      <c r="U71" s="223">
        <v>0</v>
      </c>
      <c r="V71" s="223">
        <v>1</v>
      </c>
      <c r="W71" s="108"/>
      <c r="X71" s="94"/>
      <c r="Y71" s="4"/>
      <c r="Z71" s="4"/>
    </row>
    <row r="72" spans="2:26" ht="15.75" customHeight="1">
      <c r="B72" t="s">
        <v>203</v>
      </c>
      <c r="C72" t="s">
        <v>204</v>
      </c>
      <c r="D72" s="83"/>
      <c r="E72" s="84"/>
      <c r="F72">
        <v>1</v>
      </c>
      <c r="G72" s="222">
        <v>66474.5</v>
      </c>
      <c r="H72" s="222">
        <v>249279.38</v>
      </c>
      <c r="I72" s="222">
        <v>249279.38</v>
      </c>
      <c r="J72" s="102"/>
      <c r="K72">
        <v>1</v>
      </c>
      <c r="L72" s="222">
        <v>124639.69</v>
      </c>
      <c r="M72" s="222">
        <v>124639.69</v>
      </c>
      <c r="N72" s="111"/>
      <c r="O72" s="90"/>
      <c r="P72" s="112"/>
      <c r="Q72" s="91"/>
      <c r="R72" s="91"/>
      <c r="S72" s="222">
        <v>124639.69</v>
      </c>
      <c r="T72" s="222">
        <v>124639.69</v>
      </c>
      <c r="U72" s="223">
        <v>0</v>
      </c>
      <c r="V72" s="223">
        <v>1</v>
      </c>
      <c r="W72" s="93"/>
      <c r="X72" s="94"/>
      <c r="Y72" s="4"/>
      <c r="Z72" s="4"/>
    </row>
    <row r="73" spans="2:26" ht="15.75" customHeight="1">
      <c r="B73" t="s">
        <v>205</v>
      </c>
      <c r="C73" t="s">
        <v>140</v>
      </c>
      <c r="D73" s="83"/>
      <c r="E73" s="97"/>
      <c r="F73">
        <v>1</v>
      </c>
      <c r="G73" s="222">
        <v>63255.5</v>
      </c>
      <c r="H73" s="222">
        <v>237208.13</v>
      </c>
      <c r="I73" s="222">
        <v>237208.13</v>
      </c>
      <c r="J73" s="102"/>
      <c r="K73">
        <v>1</v>
      </c>
      <c r="L73" s="222">
        <v>118604.07</v>
      </c>
      <c r="M73" s="222">
        <v>118604.07</v>
      </c>
      <c r="N73" s="104"/>
      <c r="O73" s="90"/>
      <c r="P73" s="95"/>
      <c r="Q73" s="99"/>
      <c r="R73" s="105"/>
      <c r="S73" s="222">
        <v>118604.07</v>
      </c>
      <c r="T73" s="222">
        <v>118604.07</v>
      </c>
      <c r="U73" s="223">
        <v>0</v>
      </c>
      <c r="V73" s="223">
        <v>1</v>
      </c>
      <c r="W73" s="108"/>
      <c r="X73" s="94"/>
      <c r="Y73" s="4"/>
      <c r="Z73" s="113"/>
    </row>
    <row r="74" spans="2:26" ht="15.75" customHeight="1">
      <c r="D74" s="83"/>
      <c r="E74" s="84"/>
      <c r="H74" t="s">
        <v>141</v>
      </c>
      <c r="I74" t="s">
        <v>141</v>
      </c>
      <c r="J74" s="102"/>
      <c r="K74">
        <v>0</v>
      </c>
      <c r="L74" t="s">
        <v>141</v>
      </c>
      <c r="M74" t="s">
        <v>141</v>
      </c>
      <c r="N74" s="111"/>
      <c r="O74" s="90"/>
      <c r="P74" s="112"/>
      <c r="Q74" s="91"/>
      <c r="R74" s="91"/>
      <c r="S74" t="s">
        <v>141</v>
      </c>
      <c r="T74" t="s">
        <v>141</v>
      </c>
      <c r="U74" s="223">
        <v>0</v>
      </c>
      <c r="V74" s="223">
        <v>0</v>
      </c>
      <c r="W74" s="93"/>
      <c r="X74" s="94"/>
      <c r="Y74" s="4"/>
      <c r="Z74" s="4"/>
    </row>
    <row r="75" spans="2:26" ht="15.75" customHeight="1">
      <c r="D75" s="83"/>
      <c r="E75" s="84"/>
      <c r="H75" t="s">
        <v>141</v>
      </c>
      <c r="I75" t="s">
        <v>141</v>
      </c>
      <c r="J75" s="102"/>
      <c r="K75">
        <v>0</v>
      </c>
      <c r="L75" t="s">
        <v>141</v>
      </c>
      <c r="M75" t="s">
        <v>141</v>
      </c>
      <c r="N75" s="111"/>
      <c r="O75" s="90"/>
      <c r="P75" s="112"/>
      <c r="Q75" s="91"/>
      <c r="R75" s="91"/>
      <c r="S75" t="s">
        <v>141</v>
      </c>
      <c r="T75" t="s">
        <v>141</v>
      </c>
      <c r="U75" s="223">
        <v>0</v>
      </c>
      <c r="V75" s="223">
        <v>0</v>
      </c>
      <c r="W75" s="93"/>
      <c r="X75" s="94"/>
      <c r="Y75" s="4"/>
      <c r="Z75" s="4"/>
    </row>
    <row r="76" spans="2:26" ht="15.75" customHeight="1">
      <c r="B76" t="s">
        <v>206</v>
      </c>
      <c r="C76" t="s">
        <v>207</v>
      </c>
      <c r="D76" s="83"/>
      <c r="E76" s="97"/>
      <c r="F76">
        <v>1</v>
      </c>
      <c r="G76" s="222">
        <v>12833</v>
      </c>
      <c r="H76" s="222">
        <v>48123.75</v>
      </c>
      <c r="I76" s="222">
        <v>48123.75</v>
      </c>
      <c r="J76" s="102"/>
      <c r="K76">
        <v>1</v>
      </c>
      <c r="L76" s="222">
        <v>24061.88</v>
      </c>
      <c r="M76" s="222">
        <v>24061.88</v>
      </c>
      <c r="N76" s="104"/>
      <c r="O76" s="90"/>
      <c r="P76" s="95"/>
      <c r="Q76" s="99"/>
      <c r="R76" s="105"/>
      <c r="S76" s="222">
        <v>24061.88</v>
      </c>
      <c r="T76" s="222">
        <v>24061.88</v>
      </c>
      <c r="U76" s="223">
        <v>0</v>
      </c>
      <c r="V76" s="223">
        <v>1</v>
      </c>
      <c r="W76" s="108"/>
      <c r="X76" s="94"/>
      <c r="Y76" s="4"/>
      <c r="Z76" s="4"/>
    </row>
    <row r="77" spans="2:26" ht="15.75" customHeight="1">
      <c r="B77" t="s">
        <v>208</v>
      </c>
      <c r="C77" t="s">
        <v>209</v>
      </c>
      <c r="D77" s="83"/>
      <c r="E77" s="84"/>
      <c r="F77">
        <v>1</v>
      </c>
      <c r="G77" s="222">
        <v>9800</v>
      </c>
      <c r="H77" s="222">
        <v>36750</v>
      </c>
      <c r="I77" s="222">
        <v>36750</v>
      </c>
      <c r="J77" s="102"/>
      <c r="K77">
        <v>1</v>
      </c>
      <c r="L77" s="222">
        <v>18375</v>
      </c>
      <c r="M77" s="222">
        <v>18375</v>
      </c>
      <c r="N77" s="111"/>
      <c r="O77" s="90"/>
      <c r="P77" s="112"/>
      <c r="Q77" s="91"/>
      <c r="R77" s="91"/>
      <c r="S77" s="222">
        <v>18375</v>
      </c>
      <c r="T77" s="222">
        <v>18375</v>
      </c>
      <c r="U77" s="223">
        <v>0</v>
      </c>
      <c r="V77" s="223">
        <v>1</v>
      </c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1283</v>
      </c>
      <c r="G114" s="118">
        <f>SUM(G19:G113)</f>
        <v>1033258</v>
      </c>
      <c r="H114" s="119">
        <f>SUM(H19:H113)</f>
        <v>3874717.5699999994</v>
      </c>
      <c r="I114" s="120">
        <f>SUM(I19:I113)</f>
        <v>5794665.5899999999</v>
      </c>
      <c r="J114" s="121"/>
      <c r="K114" s="122">
        <f>SUM(K19:K113)</f>
        <v>1283</v>
      </c>
      <c r="L114" s="119">
        <f>SUM(L19:L113)</f>
        <v>1937358.8999999997</v>
      </c>
      <c r="M114" s="120">
        <f>SUM(M19:M113)</f>
        <v>2897335.2699999996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1937358.8999999997</v>
      </c>
      <c r="T114" s="120">
        <f>SUM(T19:T113)</f>
        <v>2897335.2699999996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Q15 G18 L18 Q18" xr:uid="{7CA4629F-6ABB-4824-86D5-0E4EBE5CFE5F}">
      <formula1>$Y$12:$Y$13</formula1>
    </dataValidation>
    <dataValidation type="list" allowBlank="1" showErrorMessage="1" sqref="J14" xr:uid="{7219E4CB-4851-444B-9B70-8AF26A6224CF}">
      <formula1>$L$9</formula1>
    </dataValidation>
    <dataValidation type="list" allowBlank="1" showErrorMessage="1" sqref="I14" xr:uid="{C80ABC23-33FC-4C84-B26C-0259B565D506}">
      <formula1>$Y$14:$Y$15</formula1>
    </dataValidation>
    <dataValidation type="list" allowBlank="1" showErrorMessage="1" sqref="E19:E113" xr:uid="{22BAFCDF-7776-4C88-9AD4-5A891FFBF60C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69"/>
  <sheetViews>
    <sheetView zoomScale="70" zoomScaleNormal="70"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I69</f>
        <v>1923321.4500000002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M69</f>
        <v>961664.0399999998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130" t="s">
        <v>142</v>
      </c>
      <c r="H4" s="129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961657.41000000038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>
      <c r="B5" s="16" t="s">
        <v>20</v>
      </c>
      <c r="C5" s="7"/>
      <c r="D5" s="127" t="s">
        <v>21</v>
      </c>
      <c r="E5" s="128"/>
      <c r="F5" s="129"/>
      <c r="G5" s="130">
        <v>350</v>
      </c>
      <c r="H5" s="129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0.49999827641916034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130"/>
      <c r="H6" s="129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T69</f>
        <v>961664.0399999998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R69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961664.0399999998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80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F69</f>
        <v>1195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ROUND(R69*T15,2)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81</v>
      </c>
      <c r="C19" t="s">
        <v>82</v>
      </c>
      <c r="D19" s="83"/>
      <c r="E19" s="84"/>
      <c r="F19">
        <v>1</v>
      </c>
      <c r="G19" s="222">
        <v>220.5</v>
      </c>
      <c r="H19" s="222">
        <v>826.88</v>
      </c>
      <c r="I19" s="222">
        <v>826.88</v>
      </c>
      <c r="J19" s="88"/>
      <c r="K19">
        <v>1</v>
      </c>
      <c r="L19" s="222">
        <v>413.44</v>
      </c>
      <c r="M19" s="222">
        <v>413.44</v>
      </c>
      <c r="N19" s="89"/>
      <c r="O19" s="90"/>
      <c r="P19" s="82"/>
      <c r="Q19" s="91"/>
      <c r="R19" s="91"/>
      <c r="S19" s="222">
        <v>413.44</v>
      </c>
      <c r="T19" s="222">
        <v>413.44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83</v>
      </c>
      <c r="C20" t="s">
        <v>84</v>
      </c>
      <c r="D20" s="83"/>
      <c r="E20" s="97"/>
      <c r="F20">
        <v>1</v>
      </c>
      <c r="G20" s="222">
        <v>298.5</v>
      </c>
      <c r="H20" s="222">
        <v>1119.3800000000001</v>
      </c>
      <c r="I20" s="222">
        <v>1119.3800000000001</v>
      </c>
      <c r="J20" s="102"/>
      <c r="K20">
        <v>1</v>
      </c>
      <c r="L20" s="222">
        <v>559.69000000000005</v>
      </c>
      <c r="M20" s="222">
        <v>559.69000000000005</v>
      </c>
      <c r="N20" s="104"/>
      <c r="O20" s="90"/>
      <c r="P20" s="95"/>
      <c r="Q20" s="99"/>
      <c r="R20" s="105"/>
      <c r="S20" s="222">
        <v>559.69000000000005</v>
      </c>
      <c r="T20" s="222">
        <v>559.69000000000005</v>
      </c>
      <c r="U20" s="223">
        <v>0</v>
      </c>
      <c r="V20" s="223">
        <v>1</v>
      </c>
      <c r="W20" s="108"/>
      <c r="X20" s="94"/>
      <c r="Y20" s="4"/>
      <c r="Z20" s="4"/>
    </row>
    <row r="21" spans="2:26">
      <c r="B21" t="s">
        <v>85</v>
      </c>
      <c r="C21" t="s">
        <v>86</v>
      </c>
      <c r="D21" s="83"/>
      <c r="E21" s="84"/>
      <c r="F21">
        <v>1</v>
      </c>
      <c r="G21" s="222">
        <v>359</v>
      </c>
      <c r="H21" s="222">
        <v>1346.25</v>
      </c>
      <c r="I21" s="222">
        <v>1346.25</v>
      </c>
      <c r="J21" s="102"/>
      <c r="K21">
        <v>1</v>
      </c>
      <c r="L21" s="222">
        <v>673.13</v>
      </c>
      <c r="M21" s="222">
        <v>673.13</v>
      </c>
      <c r="N21" s="111"/>
      <c r="O21" s="90"/>
      <c r="P21" s="112"/>
      <c r="Q21" s="91"/>
      <c r="R21" s="91"/>
      <c r="S21" s="222">
        <v>673.13</v>
      </c>
      <c r="T21" s="222">
        <v>673.13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87</v>
      </c>
      <c r="C22" t="s">
        <v>88</v>
      </c>
      <c r="D22" s="83"/>
      <c r="E22" s="97"/>
      <c r="F22">
        <v>2</v>
      </c>
      <c r="G22" s="222">
        <v>788</v>
      </c>
      <c r="H22" s="222">
        <v>2955</v>
      </c>
      <c r="I22" s="222">
        <v>5910</v>
      </c>
      <c r="J22" s="102"/>
      <c r="K22">
        <v>2</v>
      </c>
      <c r="L22" s="222">
        <v>1477.5</v>
      </c>
      <c r="M22" s="222">
        <v>2955</v>
      </c>
      <c r="N22" s="104"/>
      <c r="O22" s="90"/>
      <c r="P22" s="95"/>
      <c r="Q22" s="99"/>
      <c r="R22" s="105"/>
      <c r="S22" s="222">
        <v>1477.5</v>
      </c>
      <c r="T22" s="222">
        <v>2955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89</v>
      </c>
      <c r="C23" t="s">
        <v>90</v>
      </c>
      <c r="D23" s="83"/>
      <c r="E23" s="84"/>
      <c r="F23">
        <v>2</v>
      </c>
      <c r="G23" s="222">
        <v>1166.5</v>
      </c>
      <c r="H23" s="222">
        <v>4374.38</v>
      </c>
      <c r="I23" s="222">
        <v>8748.76</v>
      </c>
      <c r="J23" s="102"/>
      <c r="K23">
        <v>2</v>
      </c>
      <c r="L23" s="222">
        <v>2187.19</v>
      </c>
      <c r="M23" s="222">
        <v>4374.38</v>
      </c>
      <c r="N23" s="111"/>
      <c r="O23" s="90"/>
      <c r="P23" s="112"/>
      <c r="Q23" s="91"/>
      <c r="R23" s="91"/>
      <c r="S23" s="222">
        <v>2187.19</v>
      </c>
      <c r="T23" s="222">
        <v>4374.38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91</v>
      </c>
      <c r="C24" t="s">
        <v>92</v>
      </c>
      <c r="D24" s="83"/>
      <c r="E24" s="97"/>
      <c r="F24">
        <v>1</v>
      </c>
      <c r="G24" s="222">
        <v>17340</v>
      </c>
      <c r="H24" s="222">
        <v>65025</v>
      </c>
      <c r="I24" s="222">
        <v>65025</v>
      </c>
      <c r="J24" s="102"/>
      <c r="K24">
        <v>1</v>
      </c>
      <c r="L24" s="222">
        <v>32512.5</v>
      </c>
      <c r="M24" s="222">
        <v>32512.5</v>
      </c>
      <c r="N24" s="104"/>
      <c r="O24" s="90"/>
      <c r="P24" s="95"/>
      <c r="Q24" s="99"/>
      <c r="R24" s="105"/>
      <c r="S24" s="222">
        <v>32512.5</v>
      </c>
      <c r="T24" s="222">
        <v>32512.5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93</v>
      </c>
      <c r="C25" t="s">
        <v>94</v>
      </c>
      <c r="D25" s="83"/>
      <c r="E25" s="84"/>
      <c r="F25">
        <v>1</v>
      </c>
      <c r="G25" s="222">
        <v>392</v>
      </c>
      <c r="H25" s="222">
        <v>1470</v>
      </c>
      <c r="I25" s="222">
        <v>1470</v>
      </c>
      <c r="J25" s="102"/>
      <c r="K25">
        <v>1</v>
      </c>
      <c r="L25" s="222">
        <v>735</v>
      </c>
      <c r="M25" s="222">
        <v>735</v>
      </c>
      <c r="N25" s="111"/>
      <c r="O25" s="90"/>
      <c r="P25" s="112"/>
      <c r="Q25" s="91"/>
      <c r="R25" s="91"/>
      <c r="S25" s="222">
        <v>735</v>
      </c>
      <c r="T25" s="222">
        <v>735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95</v>
      </c>
      <c r="C26" t="s">
        <v>96</v>
      </c>
      <c r="D26" s="83"/>
      <c r="E26" s="97"/>
      <c r="F26">
        <v>1</v>
      </c>
      <c r="G26" s="222">
        <v>272.5</v>
      </c>
      <c r="H26" s="222">
        <v>1021.88</v>
      </c>
      <c r="I26" s="222">
        <v>1021.88</v>
      </c>
      <c r="J26" s="102"/>
      <c r="K26">
        <v>1</v>
      </c>
      <c r="L26" s="222">
        <v>510.94</v>
      </c>
      <c r="M26" s="222">
        <v>510.94</v>
      </c>
      <c r="N26" s="104"/>
      <c r="O26" s="90"/>
      <c r="P26" s="95"/>
      <c r="Q26" s="99"/>
      <c r="R26" s="105"/>
      <c r="S26" s="222">
        <v>510.94</v>
      </c>
      <c r="T26" s="222">
        <v>510.94</v>
      </c>
      <c r="U26" s="223">
        <v>0</v>
      </c>
      <c r="V26" s="223">
        <v>1</v>
      </c>
      <c r="W26" s="108"/>
      <c r="X26" s="94"/>
      <c r="Y26" s="4"/>
      <c r="Z26" s="4"/>
    </row>
    <row r="27" spans="2:26" ht="15.75" customHeight="1">
      <c r="B27" t="s">
        <v>97</v>
      </c>
      <c r="C27" t="s">
        <v>98</v>
      </c>
      <c r="D27" s="83"/>
      <c r="E27" s="84"/>
      <c r="F27">
        <v>2</v>
      </c>
      <c r="G27" s="222">
        <v>921</v>
      </c>
      <c r="H27" s="222">
        <v>3453.75</v>
      </c>
      <c r="I27" s="222">
        <v>6907.5</v>
      </c>
      <c r="J27" s="102"/>
      <c r="K27">
        <v>2</v>
      </c>
      <c r="L27" s="222">
        <v>1726.88</v>
      </c>
      <c r="M27" s="222">
        <v>3453.76</v>
      </c>
      <c r="N27" s="111"/>
      <c r="O27" s="90"/>
      <c r="P27" s="112"/>
      <c r="Q27" s="91"/>
      <c r="R27" s="91"/>
      <c r="S27" s="222">
        <v>1726.88</v>
      </c>
      <c r="T27" s="222">
        <v>3453.76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97"/>
      <c r="H28" t="s">
        <v>141</v>
      </c>
      <c r="I28" t="s">
        <v>141</v>
      </c>
      <c r="J28" s="102"/>
      <c r="K28">
        <v>0</v>
      </c>
      <c r="L28" t="s">
        <v>141</v>
      </c>
      <c r="M28" t="s">
        <v>141</v>
      </c>
      <c r="N28" s="104"/>
      <c r="O28" s="90"/>
      <c r="P28" s="95"/>
      <c r="Q28" s="99"/>
      <c r="R28" s="105"/>
      <c r="S28" t="s">
        <v>141</v>
      </c>
      <c r="T28" t="s">
        <v>141</v>
      </c>
      <c r="U28" s="223">
        <v>0</v>
      </c>
      <c r="V28" s="223">
        <v>0</v>
      </c>
      <c r="W28" s="108"/>
      <c r="X28" s="94"/>
      <c r="Y28" s="4"/>
      <c r="Z28" s="113"/>
    </row>
    <row r="29" spans="2:26" ht="15.75" customHeight="1">
      <c r="B29" t="s">
        <v>99</v>
      </c>
      <c r="C29" t="s">
        <v>100</v>
      </c>
      <c r="D29" s="83"/>
      <c r="E29" s="84"/>
      <c r="F29">
        <v>6</v>
      </c>
      <c r="G29" s="222">
        <v>5114</v>
      </c>
      <c r="H29" s="222">
        <v>19177.5</v>
      </c>
      <c r="I29" s="222">
        <v>115065</v>
      </c>
      <c r="J29" s="102"/>
      <c r="K29">
        <v>6</v>
      </c>
      <c r="L29" s="222">
        <v>9588.75</v>
      </c>
      <c r="M29" s="222">
        <v>57532.5</v>
      </c>
      <c r="N29" s="111"/>
      <c r="O29" s="90"/>
      <c r="P29" s="112"/>
      <c r="Q29" s="91"/>
      <c r="R29" s="91"/>
      <c r="S29" s="222">
        <v>9588.75</v>
      </c>
      <c r="T29" s="222">
        <v>57532.5</v>
      </c>
      <c r="U29" s="223">
        <v>0</v>
      </c>
      <c r="V29" s="223">
        <v>1</v>
      </c>
      <c r="W29" s="93"/>
      <c r="X29" s="94"/>
      <c r="Y29" s="4"/>
      <c r="Z29" s="4"/>
    </row>
    <row r="30" spans="2:26" ht="15.75" customHeight="1">
      <c r="B30" t="s">
        <v>101</v>
      </c>
      <c r="C30" t="s">
        <v>102</v>
      </c>
      <c r="D30" s="83"/>
      <c r="E30" s="84"/>
      <c r="F30">
        <v>1</v>
      </c>
      <c r="G30" s="222">
        <v>20021.5</v>
      </c>
      <c r="H30" s="222">
        <v>75080.63</v>
      </c>
      <c r="I30" s="222">
        <v>75080.63</v>
      </c>
      <c r="J30" s="102"/>
      <c r="K30">
        <v>1</v>
      </c>
      <c r="L30" s="222">
        <v>37540.32</v>
      </c>
      <c r="M30" s="222">
        <v>37540.32</v>
      </c>
      <c r="N30" s="111"/>
      <c r="O30" s="90"/>
      <c r="P30" s="112"/>
      <c r="Q30" s="91"/>
      <c r="R30" s="91"/>
      <c r="S30" s="222">
        <v>37540.32</v>
      </c>
      <c r="T30" s="222">
        <v>37540.32</v>
      </c>
      <c r="U30" s="223">
        <v>0</v>
      </c>
      <c r="V30" s="223">
        <v>1</v>
      </c>
      <c r="W30" s="93"/>
      <c r="X30" s="94"/>
      <c r="Y30" s="4"/>
      <c r="Z30" s="4"/>
    </row>
    <row r="31" spans="2:26" ht="15.75" customHeight="1">
      <c r="D31" s="83"/>
      <c r="E31" s="97"/>
      <c r="H31" t="s">
        <v>141</v>
      </c>
      <c r="I31" t="s">
        <v>141</v>
      </c>
      <c r="J31" s="102"/>
      <c r="K31">
        <v>0</v>
      </c>
      <c r="L31" t="s">
        <v>141</v>
      </c>
      <c r="M31" t="s">
        <v>141</v>
      </c>
      <c r="N31" s="104"/>
      <c r="O31" s="90"/>
      <c r="P31" s="95"/>
      <c r="Q31" s="99"/>
      <c r="R31" s="105"/>
      <c r="S31" t="s">
        <v>141</v>
      </c>
      <c r="T31" t="s">
        <v>141</v>
      </c>
      <c r="U31" s="223">
        <v>0</v>
      </c>
      <c r="V31" s="223">
        <v>0</v>
      </c>
      <c r="W31" s="108"/>
      <c r="X31" s="94"/>
      <c r="Y31" s="4"/>
      <c r="Z31" s="4"/>
    </row>
    <row r="32" spans="2:26" ht="15.75" customHeight="1">
      <c r="D32" s="83"/>
      <c r="E32" s="84"/>
      <c r="H32" t="s">
        <v>141</v>
      </c>
      <c r="I32" t="s">
        <v>141</v>
      </c>
      <c r="J32" s="102"/>
      <c r="K32">
        <v>0</v>
      </c>
      <c r="L32" t="s">
        <v>141</v>
      </c>
      <c r="M32" t="s">
        <v>141</v>
      </c>
      <c r="N32" s="111"/>
      <c r="O32" s="90"/>
      <c r="P32" s="112"/>
      <c r="Q32" s="91"/>
      <c r="R32" s="91"/>
      <c r="S32" t="s">
        <v>141</v>
      </c>
      <c r="T32" t="s">
        <v>141</v>
      </c>
      <c r="U32" s="223">
        <v>0</v>
      </c>
      <c r="V32" s="223">
        <v>0</v>
      </c>
      <c r="W32" s="93"/>
    </row>
    <row r="33" spans="2:23" ht="15.75" customHeight="1">
      <c r="B33" t="s">
        <v>103</v>
      </c>
      <c r="C33" t="s">
        <v>104</v>
      </c>
      <c r="D33" s="83"/>
      <c r="E33" s="97"/>
      <c r="F33">
        <v>2</v>
      </c>
      <c r="G33" s="222">
        <v>1220</v>
      </c>
      <c r="H33" s="222">
        <v>4575</v>
      </c>
      <c r="I33" s="222">
        <v>9150</v>
      </c>
      <c r="J33" s="102"/>
      <c r="K33">
        <v>2</v>
      </c>
      <c r="L33" s="222">
        <v>2287.5</v>
      </c>
      <c r="M33" s="222">
        <v>4575</v>
      </c>
      <c r="N33" s="104"/>
      <c r="O33" s="90"/>
      <c r="P33" s="95"/>
      <c r="Q33" s="99"/>
      <c r="R33" s="105"/>
      <c r="S33" s="222">
        <v>2287.5</v>
      </c>
      <c r="T33" s="222">
        <v>4575</v>
      </c>
      <c r="U33" s="223">
        <v>0</v>
      </c>
      <c r="V33" s="223">
        <v>1</v>
      </c>
      <c r="W33" s="108"/>
    </row>
    <row r="34" spans="2:23" ht="15.75" customHeight="1">
      <c r="B34" t="s">
        <v>105</v>
      </c>
      <c r="C34" t="s">
        <v>106</v>
      </c>
      <c r="D34" s="83"/>
      <c r="E34" s="84"/>
      <c r="F34">
        <v>48</v>
      </c>
      <c r="G34" s="222">
        <v>57</v>
      </c>
      <c r="H34" s="222">
        <v>213.75</v>
      </c>
      <c r="I34" s="222">
        <v>10260</v>
      </c>
      <c r="J34" s="102"/>
      <c r="K34">
        <v>48</v>
      </c>
      <c r="L34" s="222">
        <v>106.88</v>
      </c>
      <c r="M34" s="222">
        <v>5130.24</v>
      </c>
      <c r="N34" s="111"/>
      <c r="O34" s="90"/>
      <c r="P34" s="112"/>
      <c r="Q34" s="91"/>
      <c r="R34" s="91"/>
      <c r="S34" s="222">
        <v>106.88</v>
      </c>
      <c r="T34" s="222">
        <v>5130.24</v>
      </c>
      <c r="U34" s="223">
        <v>0</v>
      </c>
      <c r="V34" s="223">
        <v>1</v>
      </c>
      <c r="W34" s="93"/>
    </row>
    <row r="35" spans="2:23" ht="15.75" customHeight="1">
      <c r="D35" s="83"/>
      <c r="E35" s="97"/>
      <c r="H35" t="s">
        <v>141</v>
      </c>
      <c r="I35" t="s">
        <v>141</v>
      </c>
      <c r="J35" s="102"/>
      <c r="K35">
        <v>0</v>
      </c>
      <c r="L35" t="s">
        <v>141</v>
      </c>
      <c r="M35" t="s">
        <v>141</v>
      </c>
      <c r="N35" s="104"/>
      <c r="O35" s="90"/>
      <c r="P35" s="95"/>
      <c r="Q35" s="99"/>
      <c r="R35" s="105"/>
      <c r="S35" t="s">
        <v>141</v>
      </c>
      <c r="T35" t="s">
        <v>141</v>
      </c>
      <c r="U35" s="223">
        <v>0</v>
      </c>
      <c r="V35" s="223">
        <v>0</v>
      </c>
      <c r="W35" s="108"/>
    </row>
    <row r="36" spans="2:23" ht="15.75" customHeight="1">
      <c r="D36" s="83"/>
      <c r="E36" s="84"/>
      <c r="H36" t="s">
        <v>141</v>
      </c>
      <c r="I36" t="s">
        <v>141</v>
      </c>
      <c r="J36" s="102"/>
      <c r="K36">
        <v>0</v>
      </c>
      <c r="L36" t="s">
        <v>141</v>
      </c>
      <c r="M36" t="s">
        <v>141</v>
      </c>
      <c r="N36" s="111"/>
      <c r="O36" s="90"/>
      <c r="P36" s="112"/>
      <c r="Q36" s="91"/>
      <c r="R36" s="91"/>
      <c r="S36" t="s">
        <v>141</v>
      </c>
      <c r="T36" t="s">
        <v>141</v>
      </c>
      <c r="U36" s="223">
        <v>0</v>
      </c>
      <c r="V36" s="223">
        <v>0</v>
      </c>
      <c r="W36" s="93"/>
    </row>
    <row r="37" spans="2:23" ht="15.75" customHeight="1">
      <c r="B37" t="s">
        <v>107</v>
      </c>
      <c r="C37" t="s">
        <v>108</v>
      </c>
      <c r="D37" s="83"/>
      <c r="E37" s="97"/>
      <c r="F37">
        <v>2</v>
      </c>
      <c r="G37" s="222">
        <v>9871</v>
      </c>
      <c r="H37" s="222">
        <v>37016.25</v>
      </c>
      <c r="I37" s="222">
        <v>74032.5</v>
      </c>
      <c r="J37" s="102"/>
      <c r="K37">
        <v>2</v>
      </c>
      <c r="L37" s="222">
        <v>18508.13</v>
      </c>
      <c r="M37" s="222">
        <v>37016.26</v>
      </c>
      <c r="N37" s="104"/>
      <c r="O37" s="90"/>
      <c r="P37" s="95"/>
      <c r="Q37" s="99"/>
      <c r="R37" s="105"/>
      <c r="S37" s="222">
        <v>18508.13</v>
      </c>
      <c r="T37" s="222">
        <v>37016.26</v>
      </c>
      <c r="U37" s="223">
        <v>0</v>
      </c>
      <c r="V37" s="223">
        <v>1</v>
      </c>
      <c r="W37" s="108"/>
    </row>
    <row r="38" spans="2:23" ht="15.75" customHeight="1">
      <c r="B38" t="s">
        <v>109</v>
      </c>
      <c r="C38" t="s">
        <v>110</v>
      </c>
      <c r="D38" s="83"/>
      <c r="E38" s="84"/>
      <c r="F38">
        <v>8</v>
      </c>
      <c r="G38" s="222">
        <v>41</v>
      </c>
      <c r="H38" s="222">
        <v>153.75</v>
      </c>
      <c r="I38" s="222">
        <v>1230</v>
      </c>
      <c r="J38" s="102"/>
      <c r="K38">
        <v>8</v>
      </c>
      <c r="L38" s="222">
        <v>76.88</v>
      </c>
      <c r="M38" s="222">
        <v>615.04</v>
      </c>
      <c r="N38" s="111"/>
      <c r="O38" s="90"/>
      <c r="P38" s="112"/>
      <c r="Q38" s="91"/>
      <c r="R38" s="91"/>
      <c r="S38" s="222">
        <v>76.88</v>
      </c>
      <c r="T38" s="222">
        <v>615.04</v>
      </c>
      <c r="U38" s="223">
        <v>0</v>
      </c>
      <c r="V38" s="223">
        <v>1</v>
      </c>
      <c r="W38" s="108"/>
    </row>
    <row r="39" spans="2:23" ht="15.75" customHeight="1">
      <c r="B39" t="s">
        <v>111</v>
      </c>
      <c r="C39" t="s">
        <v>112</v>
      </c>
      <c r="D39" s="83"/>
      <c r="E39" s="97"/>
      <c r="F39">
        <v>4</v>
      </c>
      <c r="G39" s="222">
        <v>1152</v>
      </c>
      <c r="H39" s="222">
        <v>4320</v>
      </c>
      <c r="I39" s="222">
        <v>17280</v>
      </c>
      <c r="J39" s="102"/>
      <c r="K39">
        <v>4</v>
      </c>
      <c r="L39" s="222">
        <v>2160</v>
      </c>
      <c r="M39" s="222">
        <v>8640</v>
      </c>
      <c r="N39" s="104"/>
      <c r="O39" s="90"/>
      <c r="P39" s="95"/>
      <c r="Q39" s="99"/>
      <c r="R39" s="105"/>
      <c r="S39" s="222">
        <v>2160</v>
      </c>
      <c r="T39" s="222">
        <v>8640</v>
      </c>
      <c r="U39" s="223">
        <v>0</v>
      </c>
      <c r="V39" s="223">
        <v>1</v>
      </c>
      <c r="W39" s="108"/>
    </row>
    <row r="40" spans="2:23" ht="15.75" customHeight="1">
      <c r="B40" t="s">
        <v>113</v>
      </c>
      <c r="C40" t="s">
        <v>114</v>
      </c>
      <c r="D40" s="83"/>
      <c r="E40" s="84"/>
      <c r="F40">
        <v>4</v>
      </c>
      <c r="G40" s="222">
        <v>87.5</v>
      </c>
      <c r="H40" s="222">
        <v>328.13</v>
      </c>
      <c r="I40" s="222">
        <v>1312.52</v>
      </c>
      <c r="J40" s="102"/>
      <c r="K40">
        <v>4</v>
      </c>
      <c r="L40" s="222">
        <v>164.07</v>
      </c>
      <c r="M40" s="222">
        <v>656.28</v>
      </c>
      <c r="N40" s="111"/>
      <c r="O40" s="90"/>
      <c r="P40" s="112"/>
      <c r="Q40" s="91"/>
      <c r="R40" s="91"/>
      <c r="S40" s="222">
        <v>164.07</v>
      </c>
      <c r="T40" s="222">
        <v>656.28</v>
      </c>
      <c r="U40" s="223">
        <v>0</v>
      </c>
      <c r="V40" s="223">
        <v>1</v>
      </c>
      <c r="W40" s="108"/>
    </row>
    <row r="41" spans="2:23" ht="15.75" customHeight="1">
      <c r="B41" t="s">
        <v>115</v>
      </c>
      <c r="C41" t="s">
        <v>116</v>
      </c>
      <c r="D41" s="83"/>
      <c r="E41" s="97"/>
      <c r="F41">
        <v>18</v>
      </c>
      <c r="G41" s="222">
        <v>2154</v>
      </c>
      <c r="H41" s="222">
        <v>8077.5</v>
      </c>
      <c r="I41" s="222">
        <v>145395</v>
      </c>
      <c r="J41" s="102"/>
      <c r="K41">
        <v>18</v>
      </c>
      <c r="L41" s="222">
        <v>4038.75</v>
      </c>
      <c r="M41" s="222">
        <v>72697.5</v>
      </c>
      <c r="N41" s="104"/>
      <c r="O41" s="90"/>
      <c r="P41" s="95"/>
      <c r="Q41" s="99"/>
      <c r="R41" s="105"/>
      <c r="S41" s="222">
        <v>4038.75</v>
      </c>
      <c r="T41" s="222">
        <v>72697.5</v>
      </c>
      <c r="U41" s="223">
        <v>0</v>
      </c>
      <c r="V41" s="223">
        <v>1</v>
      </c>
      <c r="W41" s="108"/>
    </row>
    <row r="42" spans="2:23" ht="15.75" customHeight="1">
      <c r="B42" t="s">
        <v>113</v>
      </c>
      <c r="C42" t="s">
        <v>117</v>
      </c>
      <c r="D42" s="83"/>
      <c r="E42" s="84"/>
      <c r="F42">
        <v>72</v>
      </c>
      <c r="G42" s="222">
        <v>87.5</v>
      </c>
      <c r="H42" s="222">
        <v>328.13</v>
      </c>
      <c r="I42" s="222">
        <v>23625.360000000001</v>
      </c>
      <c r="J42" s="102"/>
      <c r="K42">
        <v>72</v>
      </c>
      <c r="L42" s="222">
        <v>164.07</v>
      </c>
      <c r="M42" s="222">
        <v>11813.04</v>
      </c>
      <c r="N42" s="111"/>
      <c r="O42" s="90"/>
      <c r="P42" s="112"/>
      <c r="Q42" s="91"/>
      <c r="R42" s="91"/>
      <c r="S42" s="222">
        <v>164.07</v>
      </c>
      <c r="T42" s="222">
        <v>11813.04</v>
      </c>
      <c r="U42" s="223">
        <v>0</v>
      </c>
      <c r="V42" s="223">
        <v>1</v>
      </c>
      <c r="W42" s="108"/>
    </row>
    <row r="43" spans="2:23" ht="15.75" customHeight="1">
      <c r="B43" t="s">
        <v>118</v>
      </c>
      <c r="C43" t="s">
        <v>119</v>
      </c>
      <c r="D43" s="83"/>
      <c r="E43" s="97"/>
      <c r="F43">
        <v>72</v>
      </c>
      <c r="G43" s="222">
        <v>12.5</v>
      </c>
      <c r="H43" s="222">
        <v>46.88</v>
      </c>
      <c r="I43" s="222">
        <v>3375.36</v>
      </c>
      <c r="J43" s="102"/>
      <c r="K43">
        <v>72</v>
      </c>
      <c r="L43" s="222">
        <v>23.44</v>
      </c>
      <c r="M43" s="222">
        <v>1687.68</v>
      </c>
      <c r="N43" s="104"/>
      <c r="O43" s="90"/>
      <c r="P43" s="95"/>
      <c r="Q43" s="99"/>
      <c r="R43" s="105"/>
      <c r="S43" s="222">
        <v>23.44</v>
      </c>
      <c r="T43" s="222">
        <v>1687.68</v>
      </c>
      <c r="U43" s="223">
        <v>0</v>
      </c>
      <c r="V43" s="223">
        <v>1</v>
      </c>
      <c r="W43" s="108"/>
    </row>
    <row r="44" spans="2:23" ht="15.75" customHeight="1">
      <c r="D44" s="83"/>
      <c r="E44" s="84"/>
      <c r="H44" t="s">
        <v>141</v>
      </c>
      <c r="I44" t="s">
        <v>141</v>
      </c>
      <c r="J44" s="102"/>
      <c r="K44">
        <v>0</v>
      </c>
      <c r="L44" t="s">
        <v>141</v>
      </c>
      <c r="M44" t="s">
        <v>141</v>
      </c>
      <c r="N44" s="111"/>
      <c r="O44" s="90"/>
      <c r="P44" s="112"/>
      <c r="Q44" s="91"/>
      <c r="R44" s="91"/>
      <c r="S44" t="s">
        <v>141</v>
      </c>
      <c r="T44" t="s">
        <v>141</v>
      </c>
      <c r="U44" s="223">
        <v>0</v>
      </c>
      <c r="V44" s="223">
        <v>0</v>
      </c>
      <c r="W44" s="108"/>
    </row>
    <row r="45" spans="2:23" ht="15.75" customHeight="1">
      <c r="B45" t="s">
        <v>120</v>
      </c>
      <c r="C45" t="s">
        <v>121</v>
      </c>
      <c r="D45" s="83"/>
      <c r="E45" s="97"/>
      <c r="F45">
        <v>2</v>
      </c>
      <c r="G45" s="222">
        <v>25748.5</v>
      </c>
      <c r="H45" s="222">
        <v>96556.88</v>
      </c>
      <c r="I45" s="222">
        <v>193113.76</v>
      </c>
      <c r="J45" s="102"/>
      <c r="K45">
        <v>2</v>
      </c>
      <c r="L45" s="222">
        <v>48278.44</v>
      </c>
      <c r="M45" s="222">
        <v>96556.88</v>
      </c>
      <c r="N45" s="104"/>
      <c r="O45" s="90"/>
      <c r="P45" s="95"/>
      <c r="Q45" s="99"/>
      <c r="R45" s="105"/>
      <c r="S45" s="222">
        <v>48278.44</v>
      </c>
      <c r="T45" s="222">
        <v>96556.88</v>
      </c>
      <c r="U45" s="223">
        <v>0</v>
      </c>
      <c r="V45" s="223">
        <v>1</v>
      </c>
      <c r="W45" s="108"/>
    </row>
    <row r="46" spans="2:23" ht="15.75" customHeight="1">
      <c r="B46" t="s">
        <v>122</v>
      </c>
      <c r="C46" t="s">
        <v>123</v>
      </c>
      <c r="D46" s="83"/>
      <c r="E46" s="84"/>
      <c r="F46">
        <v>2</v>
      </c>
      <c r="G46" s="222">
        <v>24792</v>
      </c>
      <c r="H46" s="222">
        <v>92970</v>
      </c>
      <c r="I46" s="222">
        <v>185940</v>
      </c>
      <c r="J46" s="102"/>
      <c r="K46">
        <v>2</v>
      </c>
      <c r="L46" s="222">
        <v>46485</v>
      </c>
      <c r="M46" s="222">
        <v>92970</v>
      </c>
      <c r="N46" s="111"/>
      <c r="O46" s="90"/>
      <c r="P46" s="112"/>
      <c r="Q46" s="91"/>
      <c r="R46" s="91"/>
      <c r="S46" s="222">
        <v>46485</v>
      </c>
      <c r="T46" s="222">
        <v>92970</v>
      </c>
      <c r="U46" s="223">
        <v>0</v>
      </c>
      <c r="V46" s="223">
        <v>1</v>
      </c>
      <c r="W46" s="108"/>
    </row>
    <row r="47" spans="2:23" ht="15.75" customHeight="1">
      <c r="B47" t="s">
        <v>124</v>
      </c>
      <c r="C47" t="s">
        <v>125</v>
      </c>
      <c r="D47" s="83"/>
      <c r="E47" s="97"/>
      <c r="F47">
        <v>104</v>
      </c>
      <c r="G47" s="222">
        <v>905.5</v>
      </c>
      <c r="H47" s="222">
        <v>3395.63</v>
      </c>
      <c r="I47" s="222">
        <v>353145.52</v>
      </c>
      <c r="J47" s="102"/>
      <c r="K47">
        <v>104</v>
      </c>
      <c r="L47" s="222">
        <v>1697.82</v>
      </c>
      <c r="M47" s="222">
        <v>176573.28</v>
      </c>
      <c r="N47" s="104"/>
      <c r="O47" s="90"/>
      <c r="P47" s="95"/>
      <c r="Q47" s="99"/>
      <c r="R47" s="105"/>
      <c r="S47" s="222">
        <v>1697.82</v>
      </c>
      <c r="T47" s="222">
        <v>176573.28</v>
      </c>
      <c r="U47" s="223">
        <v>0</v>
      </c>
      <c r="V47" s="223">
        <v>1</v>
      </c>
      <c r="W47" s="108"/>
    </row>
    <row r="48" spans="2:23" ht="15.75" customHeight="1">
      <c r="B48" t="s">
        <v>126</v>
      </c>
      <c r="C48" t="s">
        <v>127</v>
      </c>
      <c r="D48" s="83"/>
      <c r="E48" s="84"/>
      <c r="F48">
        <v>416</v>
      </c>
      <c r="G48" s="222">
        <v>37</v>
      </c>
      <c r="H48" s="222">
        <v>138.75</v>
      </c>
      <c r="I48" s="222">
        <v>57720</v>
      </c>
      <c r="J48" s="102"/>
      <c r="K48">
        <v>416</v>
      </c>
      <c r="L48" s="222">
        <v>69.38</v>
      </c>
      <c r="M48" s="222">
        <v>28862.080000000002</v>
      </c>
      <c r="N48" s="111"/>
      <c r="O48" s="90"/>
      <c r="P48" s="112"/>
      <c r="Q48" s="91"/>
      <c r="R48" s="91"/>
      <c r="S48" s="222">
        <v>69.38</v>
      </c>
      <c r="T48" s="222">
        <v>28862.080000000002</v>
      </c>
      <c r="U48" s="223">
        <v>0</v>
      </c>
      <c r="V48" s="223">
        <v>1</v>
      </c>
      <c r="W48" s="108"/>
    </row>
    <row r="49" spans="2:26" ht="15.75" customHeight="1">
      <c r="B49" t="s">
        <v>128</v>
      </c>
      <c r="C49" t="s">
        <v>129</v>
      </c>
      <c r="D49" s="83"/>
      <c r="E49" s="97"/>
      <c r="F49">
        <v>416</v>
      </c>
      <c r="G49" s="222">
        <v>14</v>
      </c>
      <c r="H49" s="222">
        <v>52.5</v>
      </c>
      <c r="I49" s="222">
        <v>21840</v>
      </c>
      <c r="J49" s="102"/>
      <c r="K49">
        <v>416</v>
      </c>
      <c r="L49" s="222">
        <v>26.25</v>
      </c>
      <c r="M49" s="222">
        <v>10920</v>
      </c>
      <c r="N49" s="104"/>
      <c r="O49" s="90"/>
      <c r="P49" s="95"/>
      <c r="Q49" s="99"/>
      <c r="R49" s="105"/>
      <c r="S49" s="222">
        <v>26.25</v>
      </c>
      <c r="T49" s="222">
        <v>10920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D50" s="83"/>
      <c r="E50" s="84"/>
      <c r="H50" t="s">
        <v>141</v>
      </c>
      <c r="I50" t="s">
        <v>141</v>
      </c>
      <c r="J50" s="102"/>
      <c r="K50">
        <v>0</v>
      </c>
      <c r="L50" t="s">
        <v>141</v>
      </c>
      <c r="M50" t="s">
        <v>141</v>
      </c>
      <c r="N50" s="111"/>
      <c r="O50" s="90"/>
      <c r="P50" s="112"/>
      <c r="Q50" s="91"/>
      <c r="R50" s="91"/>
      <c r="S50" t="s">
        <v>141</v>
      </c>
      <c r="T50" t="s">
        <v>141</v>
      </c>
      <c r="U50" s="223">
        <v>0</v>
      </c>
      <c r="V50" s="223">
        <v>0</v>
      </c>
      <c r="W50" s="93"/>
      <c r="X50" s="94"/>
      <c r="Y50" s="4"/>
      <c r="Z50" s="4"/>
    </row>
    <row r="51" spans="2:26" ht="15.75" customHeight="1">
      <c r="B51" t="s">
        <v>120</v>
      </c>
      <c r="C51" t="s">
        <v>130</v>
      </c>
      <c r="D51" s="83"/>
      <c r="E51" s="97"/>
      <c r="F51">
        <v>1</v>
      </c>
      <c r="G51" s="222">
        <v>28911.5</v>
      </c>
      <c r="H51" s="222">
        <v>108418.13</v>
      </c>
      <c r="I51" s="222">
        <v>108418.13</v>
      </c>
      <c r="J51" s="102"/>
      <c r="K51">
        <v>1</v>
      </c>
      <c r="L51" s="222">
        <v>54209.07</v>
      </c>
      <c r="M51" s="222">
        <v>54209.07</v>
      </c>
      <c r="N51" s="104"/>
      <c r="O51" s="90"/>
      <c r="P51" s="95"/>
      <c r="Q51" s="99"/>
      <c r="R51" s="105"/>
      <c r="S51" s="222">
        <v>54209.07</v>
      </c>
      <c r="T51" s="222">
        <v>54209.07</v>
      </c>
      <c r="U51" s="223">
        <v>0</v>
      </c>
      <c r="V51" s="223">
        <v>1</v>
      </c>
      <c r="W51" s="108"/>
      <c r="X51" s="94"/>
      <c r="Y51" s="4"/>
      <c r="Z51" s="4"/>
    </row>
    <row r="52" spans="2:26" ht="15.75" customHeight="1">
      <c r="B52" t="s">
        <v>131</v>
      </c>
      <c r="C52" t="s">
        <v>132</v>
      </c>
      <c r="D52" s="83"/>
      <c r="E52" s="84"/>
      <c r="F52">
        <v>1</v>
      </c>
      <c r="G52" s="222">
        <v>1279</v>
      </c>
      <c r="H52" s="222">
        <v>4796.25</v>
      </c>
      <c r="I52" s="222">
        <v>4796.25</v>
      </c>
      <c r="J52" s="102"/>
      <c r="K52">
        <v>1</v>
      </c>
      <c r="L52" s="222">
        <v>2398.13</v>
      </c>
      <c r="M52" s="222">
        <v>2398.13</v>
      </c>
      <c r="N52" s="111"/>
      <c r="O52" s="90"/>
      <c r="P52" s="112"/>
      <c r="Q52" s="91"/>
      <c r="R52" s="91"/>
      <c r="S52" s="222">
        <v>2398.13</v>
      </c>
      <c r="T52" s="222">
        <v>2398.13</v>
      </c>
      <c r="U52" s="223">
        <v>0</v>
      </c>
      <c r="V52" s="223">
        <v>1</v>
      </c>
      <c r="W52" s="93"/>
    </row>
    <row r="53" spans="2:26" ht="15.75" customHeight="1">
      <c r="D53" s="83"/>
      <c r="E53" s="97"/>
      <c r="H53" t="s">
        <v>141</v>
      </c>
      <c r="I53" t="s">
        <v>141</v>
      </c>
      <c r="J53" s="102"/>
      <c r="K53">
        <v>0</v>
      </c>
      <c r="L53" t="s">
        <v>141</v>
      </c>
      <c r="M53" t="s">
        <v>141</v>
      </c>
      <c r="N53" s="104"/>
      <c r="O53" s="90"/>
      <c r="P53" s="95"/>
      <c r="Q53" s="99"/>
      <c r="R53" s="105"/>
      <c r="S53" t="s">
        <v>141</v>
      </c>
      <c r="T53" t="s">
        <v>141</v>
      </c>
      <c r="U53" s="223">
        <v>0</v>
      </c>
      <c r="V53" s="223">
        <v>0</v>
      </c>
      <c r="W53" s="108"/>
    </row>
    <row r="54" spans="2:26" ht="15.75" customHeight="1">
      <c r="B54" t="s">
        <v>133</v>
      </c>
      <c r="C54" t="s">
        <v>134</v>
      </c>
      <c r="D54" s="83"/>
      <c r="E54" s="84"/>
      <c r="F54">
        <v>1</v>
      </c>
      <c r="G54" s="222">
        <v>4668.37</v>
      </c>
      <c r="H54" s="222">
        <v>17506.39</v>
      </c>
      <c r="I54" s="222">
        <v>17506.39</v>
      </c>
      <c r="J54" s="102"/>
      <c r="K54">
        <v>1</v>
      </c>
      <c r="L54" s="222">
        <v>8753.2000000000007</v>
      </c>
      <c r="M54" s="222">
        <v>8753.2000000000007</v>
      </c>
      <c r="N54" s="111"/>
      <c r="O54" s="90"/>
      <c r="P54" s="112"/>
      <c r="Q54" s="91"/>
      <c r="R54" s="91"/>
      <c r="S54" s="222">
        <v>8753.2000000000007</v>
      </c>
      <c r="T54" s="222">
        <v>8753.2000000000007</v>
      </c>
      <c r="U54" s="223">
        <v>0</v>
      </c>
      <c r="V54" s="223">
        <v>1</v>
      </c>
      <c r="W54" s="93"/>
    </row>
    <row r="55" spans="2:26" ht="15.75" customHeight="1">
      <c r="B55" t="s">
        <v>135</v>
      </c>
      <c r="C55" t="s">
        <v>136</v>
      </c>
      <c r="D55" s="83"/>
      <c r="E55" s="97"/>
      <c r="F55">
        <v>1</v>
      </c>
      <c r="G55" s="222">
        <v>17564</v>
      </c>
      <c r="H55" s="222">
        <v>65865</v>
      </c>
      <c r="I55" s="222">
        <v>65865</v>
      </c>
      <c r="J55" s="102"/>
      <c r="K55">
        <v>1</v>
      </c>
      <c r="L55" s="222">
        <v>32932.5</v>
      </c>
      <c r="M55" s="222">
        <v>32932.5</v>
      </c>
      <c r="N55" s="104"/>
      <c r="O55" s="90"/>
      <c r="P55" s="95"/>
      <c r="Q55" s="99"/>
      <c r="R55" s="105"/>
      <c r="S55" s="222">
        <v>32932.5</v>
      </c>
      <c r="T55" s="222">
        <v>32932.5</v>
      </c>
      <c r="U55" s="223">
        <v>0</v>
      </c>
      <c r="V55" s="223">
        <v>1</v>
      </c>
      <c r="W55" s="108"/>
    </row>
    <row r="56" spans="2:26" ht="15.75" customHeight="1">
      <c r="B56" t="s">
        <v>137</v>
      </c>
      <c r="C56" t="s">
        <v>138</v>
      </c>
      <c r="D56" s="83"/>
      <c r="E56" s="84"/>
      <c r="F56">
        <v>1</v>
      </c>
      <c r="G56" s="222">
        <v>51877</v>
      </c>
      <c r="H56" s="222">
        <v>194538.75</v>
      </c>
      <c r="I56" s="222">
        <v>194538.75</v>
      </c>
      <c r="J56" s="102"/>
      <c r="K56">
        <v>1</v>
      </c>
      <c r="L56" s="222">
        <v>97269.38</v>
      </c>
      <c r="M56" s="222">
        <v>97269.38</v>
      </c>
      <c r="N56" s="111"/>
      <c r="O56" s="90"/>
      <c r="P56" s="112"/>
      <c r="Q56" s="91"/>
      <c r="R56" s="91"/>
      <c r="S56" s="222">
        <v>97269.38</v>
      </c>
      <c r="T56" s="222">
        <v>97269.38</v>
      </c>
      <c r="U56" s="223">
        <v>0</v>
      </c>
      <c r="V56" s="223">
        <v>1</v>
      </c>
      <c r="W56" s="93"/>
    </row>
    <row r="57" spans="2:26" ht="15.75" customHeight="1">
      <c r="B57" t="s">
        <v>139</v>
      </c>
      <c r="C57" t="s">
        <v>140</v>
      </c>
      <c r="D57" s="83"/>
      <c r="E57" s="97"/>
      <c r="F57">
        <v>1</v>
      </c>
      <c r="G57" s="222">
        <v>40601.5</v>
      </c>
      <c r="H57" s="222">
        <v>152255.63</v>
      </c>
      <c r="I57" s="222">
        <v>152255.63</v>
      </c>
      <c r="J57" s="102"/>
      <c r="K57">
        <v>1</v>
      </c>
      <c r="L57" s="222">
        <v>76127.820000000007</v>
      </c>
      <c r="M57" s="222">
        <v>76127.820000000007</v>
      </c>
      <c r="N57" s="104"/>
      <c r="O57" s="90"/>
      <c r="P57" s="95"/>
      <c r="Q57" s="99"/>
      <c r="R57" s="105"/>
      <c r="S57" s="222">
        <v>76127.820000000007</v>
      </c>
      <c r="T57" s="222">
        <v>76127.820000000007</v>
      </c>
      <c r="U57" s="223">
        <v>0</v>
      </c>
      <c r="V57" s="223">
        <v>1</v>
      </c>
      <c r="W57" s="108"/>
    </row>
    <row r="58" spans="2:26" ht="15.75" customHeight="1">
      <c r="B58" s="82"/>
      <c r="C58" s="109"/>
      <c r="D58" s="83"/>
      <c r="E58" s="84"/>
      <c r="F58" s="110"/>
      <c r="G58" s="91"/>
      <c r="H58" s="86"/>
      <c r="I58" s="87"/>
      <c r="J58" s="102"/>
      <c r="K58" s="85"/>
      <c r="L58" s="86"/>
      <c r="M58" s="86"/>
      <c r="N58" s="111"/>
      <c r="O58" s="90"/>
      <c r="P58" s="112"/>
      <c r="Q58" s="91"/>
      <c r="R58" s="91"/>
      <c r="S58" s="91"/>
      <c r="T58" s="91"/>
      <c r="U58" s="92"/>
      <c r="V58" s="92"/>
      <c r="W58" s="108"/>
    </row>
    <row r="59" spans="2:26" ht="15.75" customHeight="1">
      <c r="B59" s="95"/>
      <c r="C59" s="96"/>
      <c r="D59" s="83"/>
      <c r="E59" s="97"/>
      <c r="F59" s="98"/>
      <c r="G59" s="99"/>
      <c r="H59" s="100"/>
      <c r="I59" s="101"/>
      <c r="J59" s="102"/>
      <c r="K59" s="103"/>
      <c r="L59" s="100"/>
      <c r="M59" s="100"/>
      <c r="N59" s="104"/>
      <c r="O59" s="90"/>
      <c r="P59" s="95"/>
      <c r="Q59" s="99"/>
      <c r="R59" s="105"/>
      <c r="S59" s="106"/>
      <c r="T59" s="106"/>
      <c r="U59" s="107"/>
      <c r="V59" s="107"/>
      <c r="W59" s="108"/>
    </row>
    <row r="60" spans="2:26" ht="15.75" customHeight="1">
      <c r="B60" s="82"/>
      <c r="C60" s="109"/>
      <c r="D60" s="83"/>
      <c r="E60" s="84"/>
      <c r="F60" s="110"/>
      <c r="G60" s="91"/>
      <c r="H60" s="86"/>
      <c r="I60" s="87"/>
      <c r="J60" s="102"/>
      <c r="K60" s="85"/>
      <c r="L60" s="86"/>
      <c r="M60" s="86"/>
      <c r="N60" s="111"/>
      <c r="O60" s="90"/>
      <c r="P60" s="112"/>
      <c r="Q60" s="91"/>
      <c r="R60" s="91"/>
      <c r="S60" s="91"/>
      <c r="T60" s="91"/>
      <c r="U60" s="92"/>
      <c r="V60" s="92"/>
      <c r="W60" s="108"/>
    </row>
    <row r="61" spans="2:26" ht="15.75" customHeight="1">
      <c r="B61" s="95"/>
      <c r="C61" s="96"/>
      <c r="D61" s="83"/>
      <c r="E61" s="97"/>
      <c r="F61" s="98"/>
      <c r="G61" s="99"/>
      <c r="H61" s="100"/>
      <c r="I61" s="101"/>
      <c r="J61" s="102"/>
      <c r="K61" s="103"/>
      <c r="L61" s="100"/>
      <c r="M61" s="100"/>
      <c r="N61" s="104"/>
      <c r="O61" s="90"/>
      <c r="P61" s="95"/>
      <c r="Q61" s="99"/>
      <c r="R61" s="105"/>
      <c r="S61" s="106"/>
      <c r="T61" s="106"/>
      <c r="U61" s="107"/>
      <c r="V61" s="107"/>
      <c r="W61" s="108"/>
    </row>
    <row r="62" spans="2:26" ht="15.75" customHeight="1">
      <c r="B62" s="82"/>
      <c r="C62" s="109"/>
      <c r="D62" s="83"/>
      <c r="E62" s="84"/>
      <c r="F62" s="110"/>
      <c r="G62" s="91"/>
      <c r="H62" s="86"/>
      <c r="I62" s="87"/>
      <c r="J62" s="102"/>
      <c r="K62" s="85"/>
      <c r="L62" s="86"/>
      <c r="M62" s="86"/>
      <c r="N62" s="111"/>
      <c r="O62" s="90"/>
      <c r="P62" s="112"/>
      <c r="Q62" s="91"/>
      <c r="R62" s="91"/>
      <c r="S62" s="91"/>
      <c r="T62" s="91"/>
      <c r="U62" s="92"/>
      <c r="V62" s="92"/>
      <c r="W62" s="108"/>
    </row>
    <row r="63" spans="2:26" ht="15.75" customHeight="1">
      <c r="B63" s="95"/>
      <c r="C63" s="96"/>
      <c r="D63" s="83"/>
      <c r="E63" s="97"/>
      <c r="F63" s="98"/>
      <c r="G63" s="99"/>
      <c r="H63" s="100"/>
      <c r="I63" s="101"/>
      <c r="J63" s="102"/>
      <c r="K63" s="103"/>
      <c r="L63" s="100"/>
      <c r="M63" s="100"/>
      <c r="N63" s="104"/>
      <c r="O63" s="90"/>
      <c r="P63" s="95"/>
      <c r="Q63" s="99"/>
      <c r="R63" s="105"/>
      <c r="S63" s="106"/>
      <c r="T63" s="106"/>
      <c r="U63" s="107"/>
      <c r="V63" s="107"/>
      <c r="W63" s="108"/>
    </row>
    <row r="64" spans="2:26" ht="15.75" customHeight="1">
      <c r="B64" s="82"/>
      <c r="C64" s="109"/>
      <c r="D64" s="83"/>
      <c r="E64" s="84"/>
      <c r="F64" s="110"/>
      <c r="G64" s="91"/>
      <c r="H64" s="86"/>
      <c r="I64" s="87"/>
      <c r="J64" s="102"/>
      <c r="K64" s="85"/>
      <c r="L64" s="86"/>
      <c r="M64" s="86"/>
      <c r="N64" s="111"/>
      <c r="O64" s="90"/>
      <c r="P64" s="112"/>
      <c r="Q64" s="91"/>
      <c r="R64" s="91"/>
      <c r="S64" s="91"/>
      <c r="T64" s="91"/>
      <c r="U64" s="92"/>
      <c r="V64" s="92"/>
      <c r="W64" s="108"/>
    </row>
    <row r="65" spans="2:23" ht="15.75" customHeight="1">
      <c r="B65" s="95"/>
      <c r="C65" s="96"/>
      <c r="D65" s="83"/>
      <c r="E65" s="97"/>
      <c r="F65" s="98"/>
      <c r="G65" s="99"/>
      <c r="H65" s="100"/>
      <c r="I65" s="101"/>
      <c r="J65" s="102"/>
      <c r="K65" s="103"/>
      <c r="L65" s="100"/>
      <c r="M65" s="100"/>
      <c r="N65" s="104"/>
      <c r="O65" s="90"/>
      <c r="P65" s="95"/>
      <c r="Q65" s="99"/>
      <c r="R65" s="105"/>
      <c r="S65" s="106"/>
      <c r="T65" s="106"/>
      <c r="U65" s="107"/>
      <c r="V65" s="107"/>
      <c r="W65" s="108"/>
    </row>
    <row r="66" spans="2:23" ht="15.75" customHeight="1">
      <c r="B66" s="82"/>
      <c r="C66" s="109"/>
      <c r="D66" s="83"/>
      <c r="E66" s="84"/>
      <c r="F66" s="110"/>
      <c r="G66" s="91"/>
      <c r="H66" s="86"/>
      <c r="I66" s="87"/>
      <c r="J66" s="102"/>
      <c r="K66" s="85"/>
      <c r="L66" s="86"/>
      <c r="M66" s="86"/>
      <c r="N66" s="111"/>
      <c r="O66" s="90"/>
      <c r="P66" s="112"/>
      <c r="Q66" s="91"/>
      <c r="R66" s="91"/>
      <c r="S66" s="91"/>
      <c r="T66" s="91"/>
      <c r="U66" s="92"/>
      <c r="V66" s="92"/>
      <c r="W66" s="108"/>
    </row>
    <row r="67" spans="2:23" ht="15.75" customHeight="1">
      <c r="B67" s="95"/>
      <c r="C67" s="96"/>
      <c r="D67" s="83"/>
      <c r="E67" s="97"/>
      <c r="F67" s="98"/>
      <c r="G67" s="99"/>
      <c r="H67" s="100"/>
      <c r="I67" s="101"/>
      <c r="J67" s="102"/>
      <c r="K67" s="103"/>
      <c r="L67" s="100"/>
      <c r="M67" s="100"/>
      <c r="N67" s="104"/>
      <c r="O67" s="90"/>
      <c r="P67" s="95"/>
      <c r="Q67" s="99"/>
      <c r="R67" s="105"/>
      <c r="S67" s="106"/>
      <c r="T67" s="106"/>
      <c r="U67" s="107"/>
      <c r="V67" s="107"/>
      <c r="W67" s="108"/>
    </row>
    <row r="68" spans="2:23" ht="15.75" customHeight="1">
      <c r="B68" s="82"/>
      <c r="C68" s="109"/>
      <c r="D68" s="83"/>
      <c r="E68" s="84"/>
      <c r="F68" s="110"/>
      <c r="G68" s="91"/>
      <c r="H68" s="86"/>
      <c r="I68" s="87"/>
      <c r="J68" s="102"/>
      <c r="K68" s="85"/>
      <c r="L68" s="86"/>
      <c r="M68" s="86"/>
      <c r="N68" s="111"/>
      <c r="O68" s="90"/>
      <c r="P68" s="112"/>
      <c r="Q68" s="91"/>
      <c r="R68" s="91"/>
      <c r="S68" s="91"/>
      <c r="T68" s="91"/>
      <c r="U68" s="92"/>
      <c r="V68" s="92"/>
      <c r="W68" s="108"/>
    </row>
    <row r="69" spans="2:23" ht="20.25" customHeight="1">
      <c r="B69" s="114"/>
      <c r="C69" s="114"/>
      <c r="D69" s="115"/>
      <c r="E69" s="116" t="s">
        <v>78</v>
      </c>
      <c r="F69" s="117">
        <f>SUM(F19:F68)</f>
        <v>1195</v>
      </c>
      <c r="G69" s="118">
        <f>SUM(G19:G68)</f>
        <v>257974.37</v>
      </c>
      <c r="H69" s="119">
        <f>SUM(H19:H68)</f>
        <v>967403.95000000007</v>
      </c>
      <c r="I69" s="120">
        <f>SUM(I19:I68)</f>
        <v>1923321.4500000002</v>
      </c>
      <c r="J69" s="121"/>
      <c r="K69" s="122">
        <f>SUM(K19:K68)</f>
        <v>1195</v>
      </c>
      <c r="L69" s="119">
        <f>SUM(L19:L68)</f>
        <v>483702.05000000005</v>
      </c>
      <c r="M69" s="120">
        <f>SUM(M19:M68)</f>
        <v>961664.0399999998</v>
      </c>
      <c r="N69" s="120"/>
      <c r="O69" s="123"/>
      <c r="P69" s="124"/>
      <c r="Q69" s="119">
        <f>SUM(Q19:Q68)</f>
        <v>0</v>
      </c>
      <c r="R69" s="119">
        <f>SUM(R19:R68)</f>
        <v>0</v>
      </c>
      <c r="S69" s="120">
        <f>SUM(S19:S68)</f>
        <v>483702.05000000005</v>
      </c>
      <c r="T69" s="120">
        <f>SUM(T19:T68)</f>
        <v>961664.0399999998</v>
      </c>
      <c r="U69" s="125"/>
      <c r="V69" s="125"/>
      <c r="W69" s="126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68" xr:uid="{00000000-0002-0000-0100-000000000000}">
      <formula1>$Z$19:$Z$49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 CS11 VIBRATORY SOIL COMPACT</vt:lpstr>
      <vt:lpstr>CAT 966 WHEEL LOADER</vt:lpstr>
      <vt:lpstr>CAT 14 MOTOR GRADER</vt:lpstr>
      <vt:lpstr>CAT D8R DOZER</vt:lpstr>
      <vt:lpstr>CAT 350 EXCAVATOR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2025-06-24T09:44:26Z</dcterms:modified>
</cp:coreProperties>
</file>