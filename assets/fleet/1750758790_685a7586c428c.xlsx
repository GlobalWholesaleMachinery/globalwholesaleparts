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E5CF4981-CCD5-4D1D-A8CF-B67056AE505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AT CS11 COMPACTOR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4" i="15" l="1"/>
  <c r="P6" i="15" s="1"/>
  <c r="S114" i="15"/>
  <c r="R114" i="15"/>
  <c r="P7" i="15" s="1"/>
  <c r="Q114" i="15"/>
  <c r="M114" i="15"/>
  <c r="P3" i="15" s="1"/>
  <c r="L114" i="15"/>
  <c r="K114" i="15"/>
  <c r="I114" i="15"/>
  <c r="P2" i="15" s="1"/>
  <c r="H114" i="15"/>
  <c r="G114" i="15"/>
  <c r="F114" i="15"/>
  <c r="P11" i="15" s="1"/>
  <c r="R18" i="15"/>
  <c r="I18" i="15"/>
  <c r="H18" i="15"/>
  <c r="E16" i="15"/>
  <c r="V15" i="15"/>
  <c r="P9" i="15" s="1"/>
  <c r="P8" i="15"/>
  <c r="P1" i="15"/>
  <c r="P5" i="15" l="1"/>
  <c r="P4" i="15"/>
  <c r="S9" i="15"/>
  <c r="U9" i="15" s="1"/>
  <c r="T9" i="15" l="1"/>
  <c r="V9" i="15" s="1"/>
</calcChain>
</file>

<file path=xl/sharedStrings.xml><?xml version="1.0" encoding="utf-8"?>
<sst xmlns="http://schemas.openxmlformats.org/spreadsheetml/2006/main" count="135" uniqueCount="117">
  <si>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</si>
  <si>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</si>
  <si>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</si>
  <si>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</si>
  <si>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</si>
  <si>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</si>
  <si>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</si>
  <si>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</si>
  <si>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</si>
  <si>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</si>
  <si>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</si>
  <si>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</si>
  <si>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</si>
  <si>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</si>
  <si>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</si>
  <si>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</si>
  <si>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</si>
  <si>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</si>
  <si>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</si>
  <si>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</si>
  <si>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</si>
  <si>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</si>
  <si>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</si>
  <si>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</si>
  <si>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</si>
  <si>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</si>
  <si>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</si>
  <si>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</si>
  <si>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</si>
  <si>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</si>
  <si>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</si>
  <si>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</si>
  <si>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</si>
  <si>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</si>
  <si>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</si>
  <si>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</si>
  <si>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</si>
  <si>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</si>
  <si>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</si>
  <si>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</si>
  <si>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</si>
  <si>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</si>
  <si>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</si>
  <si>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</si>
  <si>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</si>
  <si>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</si>
  <si>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</si>
  <si>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</si>
  <si>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</si>
  <si>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</si>
  <si>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</si>
  <si>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</si>
  <si>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</si>
  <si>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</si>
  <si>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</si>
  <si>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</si>
  <si>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</si>
  <si>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</si>
  <si>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</si>
  <si>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</si>
  <si>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</si>
  <si>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</si>
  <si>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</si>
  <si>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</si>
  <si>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</si>
  <si>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</si>
  <si>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</si>
  <si>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</si>
  <si>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</si>
  <si>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</si>
  <si>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</si>
  <si>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</si>
  <si>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</si>
  <si>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</si>
  <si>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</si>
  <si>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</si>
  <si>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</si>
  <si>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</si>
  <si>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</si>
  <si>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ENGINE OIL FILTER</t>
  </si>
  <si>
    <t>FUEL WATER SEPARATOR FILTER</t>
  </si>
  <si>
    <t>HYDRAULIC FILTER</t>
  </si>
  <si>
    <t>HYDRAULIC TRANSMISSION OIL FILTER</t>
  </si>
  <si>
    <t>PRIMARY AIR FILTER</t>
  </si>
  <si>
    <t>SECONDARY AIR FILTER ELEMENT</t>
  </si>
  <si>
    <t>CABIN AIR FILTER ELEMENT</t>
  </si>
  <si>
    <t>9X-3404</t>
  </si>
  <si>
    <t>CUSTOM</t>
  </si>
  <si>
    <t>CAMSHAFT</t>
  </si>
  <si>
    <t>CRANKSHAFT</t>
  </si>
  <si>
    <t>CYLINDER HEAD</t>
  </si>
  <si>
    <t xml:space="preserve"> $-   </t>
  </si>
  <si>
    <t>Cat</t>
  </si>
  <si>
    <t>SEAT SUSPENSION</t>
  </si>
  <si>
    <t>GQP ENGINE OVERHAUL KIT</t>
  </si>
  <si>
    <t>TURBOCHARGER</t>
  </si>
  <si>
    <t>12V 4D BCI BATTERY (19.3" X 8.6" X 9.9")</t>
  </si>
  <si>
    <t>INJECTOR</t>
  </si>
  <si>
    <t>SEAT GP</t>
  </si>
  <si>
    <t>Vibratory Soil Compactor</t>
  </si>
  <si>
    <t>CS11</t>
  </si>
  <si>
    <t>7W-2326</t>
  </si>
  <si>
    <t>460-0663</t>
  </si>
  <si>
    <t>FUEL FILTER GP</t>
  </si>
  <si>
    <t>460-0310</t>
  </si>
  <si>
    <t>192-0717</t>
  </si>
  <si>
    <t>1G-8878</t>
  </si>
  <si>
    <t>222-9020</t>
  </si>
  <si>
    <t>222-9021</t>
  </si>
  <si>
    <t>293-1184</t>
  </si>
  <si>
    <t>350-2433</t>
  </si>
  <si>
    <t>359-0715</t>
  </si>
  <si>
    <t>315-3389</t>
  </si>
  <si>
    <t>519-1083</t>
  </si>
  <si>
    <t>316-7987</t>
  </si>
  <si>
    <t>563-8813</t>
  </si>
  <si>
    <t>563-8812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</si>
</sst>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4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3" fontId="1" fillId="0" borderId="0" xfId="0" applyNumberFormat="1" applyFont="1"/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3" fillId="11" borderId="70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4" fillId="6" borderId="15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1" xfId="0" applyFont="1" applyBorder="1"/>
    <xf numFmtId="0" fontId="3" fillId="0" borderId="55" xfId="0" applyFont="1" applyBorder="1"/>
    <xf numFmtId="0" fontId="0" fillId="0" borderId="0" xfId="0"/>
    <xf numFmtId="0" fontId="3" fillId="0" borderId="60" xfId="0" applyFont="1" applyBorder="1"/>
    <xf numFmtId="0" fontId="3" fillId="0" borderId="61" xfId="0" applyFont="1" applyBorder="1"/>
    <xf numFmtId="0" fontId="3" fillId="0" borderId="58" xfId="0" applyFont="1" applyBorder="1"/>
    <xf numFmtId="0" fontId="3" fillId="0" borderId="5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2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5" borderId="7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6" xfId="0" applyFont="1" applyBorder="1"/>
    <xf numFmtId="0" fontId="13" fillId="11" borderId="4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165" fontId="4" fillId="0" borderId="16" xfId="0" applyNumberFormat="1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6" fillId="0" borderId="39" xfId="0" applyNumberFormat="1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165" fontId="4" fillId="0" borderId="16" xfId="0" applyNumberFormat="1" applyFont="1" applyBorder="1" applyAlignment="1">
      <alignment horizontal="center" vertical="center"/>
    </xf>
    <xf numFmtId="165" fontId="4" fillId="10" borderId="39" xfId="0" applyNumberFormat="1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0" fontId="4" fillId="0" borderId="1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15" xfId="0" applyFont="1" applyFill="1" applyBorder="1" applyAlignment="1">
      <alignment horizontal="left"/>
    </xf>
    <xf numFmtId="0" fontId="4" fillId="5" borderId="31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4" fillId="5" borderId="18" xfId="0" applyFont="1" applyFill="1" applyBorder="1" applyAlignment="1">
      <alignment horizontal="left"/>
    </xf>
    <xf numFmtId="165" fontId="6" fillId="0" borderId="19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ED247AE-0F56-4624-B4C3-A5068DBDFE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503E-E13D-4524-A942-BCCCFC5A22DA}">
  <sheetPr>
    <pageSetUpPr fitToPage="1"/>
  </sheetPr>
  <dimension ref="B1:Z114"/>
  <sheetViews>
    <sheetView tabSelected="1" zoomScale="70" zoomScaleNormal="70" workbookViewId="0">
      <pane ySplit="18" topLeftCell="A111" activePane="bottomLeft" state="frozen"/>
      <selection pane="bottomLeft" activeCell="C113" sqref="C113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426538.79000000004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213269.47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130" t="s">
        <v>92</v>
      </c>
      <c r="H4" s="129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213269.32000000004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130" t="s">
        <v>100</v>
      </c>
      <c r="H5" s="129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0.49999982416605071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130"/>
      <c r="H6" s="129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213269.47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213269.47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99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23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101</v>
      </c>
      <c r="C19" t="s">
        <v>79</v>
      </c>
      <c r="D19" s="83"/>
      <c r="E19" s="84"/>
      <c r="F19">
        <v>1</v>
      </c>
      <c r="G19" s="222">
        <v>87.5</v>
      </c>
      <c r="H19" s="222">
        <v>328.13</v>
      </c>
      <c r="I19" s="222">
        <v>328.13</v>
      </c>
      <c r="J19" s="88"/>
      <c r="K19">
        <v>1</v>
      </c>
      <c r="L19" s="222">
        <v>164.07</v>
      </c>
      <c r="M19" s="222">
        <v>164.07</v>
      </c>
      <c r="N19" s="89"/>
      <c r="O19" s="90"/>
      <c r="P19" s="82"/>
      <c r="Q19" s="91"/>
      <c r="R19" s="91"/>
      <c r="S19" s="222">
        <v>164.07</v>
      </c>
      <c r="T19" s="222">
        <v>164.07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102</v>
      </c>
      <c r="C20" t="s">
        <v>103</v>
      </c>
      <c r="D20" s="83"/>
      <c r="E20" s="97"/>
      <c r="F20">
        <v>1</v>
      </c>
      <c r="G20" s="222">
        <v>1525.5</v>
      </c>
      <c r="H20" s="222">
        <v>5720.63</v>
      </c>
      <c r="I20" s="222">
        <v>5720.63</v>
      </c>
      <c r="J20" s="102"/>
      <c r="K20">
        <v>1</v>
      </c>
      <c r="L20" s="222">
        <v>2860.32</v>
      </c>
      <c r="M20" s="222">
        <v>2860.32</v>
      </c>
      <c r="N20" s="104"/>
      <c r="O20" s="90"/>
      <c r="P20" s="95"/>
      <c r="Q20" s="99"/>
      <c r="R20" s="105"/>
      <c r="S20" s="222">
        <v>2860.32</v>
      </c>
      <c r="T20" s="222">
        <v>2860.32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104</v>
      </c>
      <c r="C21" t="s">
        <v>80</v>
      </c>
      <c r="D21" s="83"/>
      <c r="E21" s="84"/>
      <c r="F21">
        <v>1</v>
      </c>
      <c r="G21" s="222">
        <v>196</v>
      </c>
      <c r="H21" s="222">
        <v>735</v>
      </c>
      <c r="I21" s="222">
        <v>735</v>
      </c>
      <c r="J21" s="102"/>
      <c r="K21">
        <v>1</v>
      </c>
      <c r="L21" s="222">
        <v>367.5</v>
      </c>
      <c r="M21" s="222">
        <v>367.5</v>
      </c>
      <c r="N21" s="111"/>
      <c r="O21" s="90"/>
      <c r="P21" s="112"/>
      <c r="Q21" s="91"/>
      <c r="R21" s="91"/>
      <c r="S21" s="222">
        <v>367.5</v>
      </c>
      <c r="T21" s="222">
        <v>367.5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105</v>
      </c>
      <c r="C22" t="s">
        <v>81</v>
      </c>
      <c r="D22" s="83"/>
      <c r="E22" s="97"/>
      <c r="F22">
        <v>1</v>
      </c>
      <c r="G22" s="222">
        <v>2434</v>
      </c>
      <c r="H22" s="222">
        <v>9127.5</v>
      </c>
      <c r="I22" s="222">
        <v>9127.5</v>
      </c>
      <c r="J22" s="102"/>
      <c r="K22">
        <v>1</v>
      </c>
      <c r="L22" s="222">
        <v>4563.75</v>
      </c>
      <c r="M22" s="222">
        <v>4563.75</v>
      </c>
      <c r="N22" s="104"/>
      <c r="O22" s="90"/>
      <c r="P22" s="95"/>
      <c r="Q22" s="99"/>
      <c r="R22" s="105"/>
      <c r="S22" s="222">
        <v>4563.75</v>
      </c>
      <c r="T22" s="222">
        <v>4563.75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106</v>
      </c>
      <c r="C23" t="s">
        <v>82</v>
      </c>
      <c r="D23" s="83"/>
      <c r="E23" s="84"/>
      <c r="F23">
        <v>1</v>
      </c>
      <c r="G23" s="222">
        <v>295.67</v>
      </c>
      <c r="H23" s="222">
        <v>1108.76</v>
      </c>
      <c r="I23" s="222">
        <v>1108.76</v>
      </c>
      <c r="J23" s="102"/>
      <c r="K23">
        <v>1</v>
      </c>
      <c r="L23" s="222">
        <v>554.38</v>
      </c>
      <c r="M23" s="222">
        <v>554.38</v>
      </c>
      <c r="N23" s="111"/>
      <c r="O23" s="90"/>
      <c r="P23" s="112"/>
      <c r="Q23" s="91"/>
      <c r="R23" s="91"/>
      <c r="S23" s="222">
        <v>554.38</v>
      </c>
      <c r="T23" s="222">
        <v>554.38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107</v>
      </c>
      <c r="C24" t="s">
        <v>83</v>
      </c>
      <c r="D24" s="83"/>
      <c r="E24" s="97"/>
      <c r="F24">
        <v>1</v>
      </c>
      <c r="G24" s="222">
        <v>289.5</v>
      </c>
      <c r="H24" s="222">
        <v>1085.6300000000001</v>
      </c>
      <c r="I24" s="222">
        <v>1085.6300000000001</v>
      </c>
      <c r="J24" s="102"/>
      <c r="K24">
        <v>1</v>
      </c>
      <c r="L24" s="222">
        <v>542.82000000000005</v>
      </c>
      <c r="M24" s="222">
        <v>542.82000000000005</v>
      </c>
      <c r="N24" s="104"/>
      <c r="O24" s="90"/>
      <c r="P24" s="95"/>
      <c r="Q24" s="99"/>
      <c r="R24" s="105"/>
      <c r="S24" s="222">
        <v>542.82000000000005</v>
      </c>
      <c r="T24" s="222">
        <v>542.82000000000005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108</v>
      </c>
      <c r="C25" t="s">
        <v>84</v>
      </c>
      <c r="D25" s="83"/>
      <c r="E25" s="84"/>
      <c r="F25">
        <v>1</v>
      </c>
      <c r="G25" s="222">
        <v>236.5</v>
      </c>
      <c r="H25" s="222">
        <v>886.88</v>
      </c>
      <c r="I25" s="222">
        <v>886.88</v>
      </c>
      <c r="J25" s="102"/>
      <c r="K25">
        <v>1</v>
      </c>
      <c r="L25" s="222">
        <v>443.44</v>
      </c>
      <c r="M25" s="222">
        <v>443.44</v>
      </c>
      <c r="N25" s="111"/>
      <c r="O25" s="90"/>
      <c r="P25" s="112"/>
      <c r="Q25" s="91"/>
      <c r="R25" s="91"/>
      <c r="S25" s="222">
        <v>443.44</v>
      </c>
      <c r="T25" s="222">
        <v>443.44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109</v>
      </c>
      <c r="C26" t="s">
        <v>85</v>
      </c>
      <c r="D26" s="83"/>
      <c r="E26" s="97"/>
      <c r="F26">
        <v>1</v>
      </c>
      <c r="G26" s="222">
        <v>170</v>
      </c>
      <c r="H26" s="222">
        <v>637.5</v>
      </c>
      <c r="I26" s="222">
        <v>637.5</v>
      </c>
      <c r="J26" s="102"/>
      <c r="K26">
        <v>1</v>
      </c>
      <c r="L26" s="222">
        <v>318.75</v>
      </c>
      <c r="M26" s="222">
        <v>318.75</v>
      </c>
      <c r="N26" s="104"/>
      <c r="O26" s="90"/>
      <c r="P26" s="95"/>
      <c r="Q26" s="99"/>
      <c r="R26" s="105"/>
      <c r="S26" s="222">
        <v>318.75</v>
      </c>
      <c r="T26" s="222">
        <v>318.75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86</v>
      </c>
      <c r="C27" t="s">
        <v>96</v>
      </c>
      <c r="D27" s="83"/>
      <c r="E27" s="84"/>
      <c r="F27">
        <v>2</v>
      </c>
      <c r="G27" s="222">
        <v>921</v>
      </c>
      <c r="H27" s="222">
        <v>3453.75</v>
      </c>
      <c r="I27" s="222">
        <v>6907.5</v>
      </c>
      <c r="J27" s="102"/>
      <c r="K27">
        <v>2</v>
      </c>
      <c r="L27" s="222">
        <v>1726.88</v>
      </c>
      <c r="M27" s="222">
        <v>3453.76</v>
      </c>
      <c r="N27" s="111"/>
      <c r="O27" s="90"/>
      <c r="P27" s="112"/>
      <c r="Q27" s="91"/>
      <c r="R27" s="91"/>
      <c r="S27" s="222">
        <v>1726.88</v>
      </c>
      <c r="T27" s="222">
        <v>3453.76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91</v>
      </c>
      <c r="I28" t="s">
        <v>91</v>
      </c>
      <c r="J28" s="102"/>
      <c r="K28">
        <v>0</v>
      </c>
      <c r="L28" t="s">
        <v>91</v>
      </c>
      <c r="M28" t="s">
        <v>91</v>
      </c>
      <c r="N28" s="111"/>
      <c r="O28" s="90"/>
      <c r="P28" s="112"/>
      <c r="Q28" s="91"/>
      <c r="R28" s="91"/>
      <c r="S28" t="s">
        <v>91</v>
      </c>
      <c r="T28" t="s">
        <v>91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87</v>
      </c>
      <c r="C29" t="s">
        <v>94</v>
      </c>
      <c r="D29" s="83"/>
      <c r="E29" s="97"/>
      <c r="F29">
        <v>1</v>
      </c>
      <c r="G29" s="222">
        <v>10195.5</v>
      </c>
      <c r="H29" s="222">
        <v>38233.129999999997</v>
      </c>
      <c r="I29" s="222">
        <v>38233.129999999997</v>
      </c>
      <c r="J29" s="102"/>
      <c r="K29">
        <v>1</v>
      </c>
      <c r="L29" s="222">
        <v>19116.57</v>
      </c>
      <c r="M29" s="222">
        <v>19116.57</v>
      </c>
      <c r="N29" s="104"/>
      <c r="O29" s="90"/>
      <c r="P29" s="95"/>
      <c r="Q29" s="99"/>
      <c r="R29" s="105"/>
      <c r="S29" s="222">
        <v>19116.57</v>
      </c>
      <c r="T29" s="222">
        <v>19116.57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110</v>
      </c>
      <c r="C30" t="s">
        <v>88</v>
      </c>
      <c r="D30" s="83"/>
      <c r="E30" s="84"/>
      <c r="F30">
        <v>1</v>
      </c>
      <c r="G30" s="222">
        <v>7540</v>
      </c>
      <c r="H30" s="222">
        <v>28275</v>
      </c>
      <c r="I30" s="222">
        <v>28275</v>
      </c>
      <c r="J30" s="102"/>
      <c r="K30">
        <v>1</v>
      </c>
      <c r="L30" s="222">
        <v>14137.5</v>
      </c>
      <c r="M30" s="222">
        <v>14137.5</v>
      </c>
      <c r="N30" s="111"/>
      <c r="O30" s="90"/>
      <c r="P30" s="112"/>
      <c r="Q30" s="91"/>
      <c r="R30" s="91"/>
      <c r="S30" s="222">
        <v>14137.5</v>
      </c>
      <c r="T30" s="222">
        <v>14137.5</v>
      </c>
      <c r="U30" s="223">
        <v>0</v>
      </c>
      <c r="V30" s="223">
        <v>1</v>
      </c>
      <c r="W30" s="93"/>
    </row>
    <row r="31" spans="2:26" ht="15.75" customHeight="1">
      <c r="B31" t="s">
        <v>111</v>
      </c>
      <c r="C31" t="s">
        <v>89</v>
      </c>
      <c r="D31" s="83"/>
      <c r="E31" s="97"/>
      <c r="F31">
        <v>1</v>
      </c>
      <c r="G31" s="222">
        <v>17423</v>
      </c>
      <c r="H31" s="222">
        <v>65336.25</v>
      </c>
      <c r="I31" s="222">
        <v>65336.25</v>
      </c>
      <c r="J31" s="102"/>
      <c r="K31">
        <v>1</v>
      </c>
      <c r="L31" s="222">
        <v>32668.13</v>
      </c>
      <c r="M31" s="222">
        <v>32668.13</v>
      </c>
      <c r="N31" s="104"/>
      <c r="O31" s="90"/>
      <c r="P31" s="95"/>
      <c r="Q31" s="99"/>
      <c r="R31" s="105"/>
      <c r="S31" s="222">
        <v>32668.13</v>
      </c>
      <c r="T31" s="222">
        <v>32668.13</v>
      </c>
      <c r="U31" s="223">
        <v>0</v>
      </c>
      <c r="V31" s="223">
        <v>1</v>
      </c>
      <c r="W31" s="108"/>
    </row>
    <row r="32" spans="2:26" ht="15.75" customHeight="1">
      <c r="B32" t="s">
        <v>112</v>
      </c>
      <c r="C32" t="s">
        <v>90</v>
      </c>
      <c r="D32" s="83"/>
      <c r="E32" s="84"/>
      <c r="F32">
        <v>1</v>
      </c>
      <c r="G32" s="222">
        <v>24711.5</v>
      </c>
      <c r="H32" s="222">
        <v>92668.13</v>
      </c>
      <c r="I32" s="222">
        <v>92668.13</v>
      </c>
      <c r="J32" s="102"/>
      <c r="K32">
        <v>1</v>
      </c>
      <c r="L32" s="222">
        <v>46334.07</v>
      </c>
      <c r="M32" s="222">
        <v>46334.07</v>
      </c>
      <c r="N32" s="111"/>
      <c r="O32" s="90"/>
      <c r="P32" s="112"/>
      <c r="Q32" s="91"/>
      <c r="R32" s="91"/>
      <c r="S32" s="222">
        <v>46334.07</v>
      </c>
      <c r="T32" s="222">
        <v>46334.07</v>
      </c>
      <c r="U32" s="223">
        <v>0</v>
      </c>
      <c r="V32" s="223">
        <v>1</v>
      </c>
      <c r="W32" s="93"/>
    </row>
    <row r="33" spans="2:26" ht="15.75" customHeight="1">
      <c r="B33" t="s">
        <v>113</v>
      </c>
      <c r="C33" t="s">
        <v>95</v>
      </c>
      <c r="D33" s="83"/>
      <c r="E33" s="97"/>
      <c r="F33">
        <v>1</v>
      </c>
      <c r="G33" s="222">
        <v>8571</v>
      </c>
      <c r="H33" s="222">
        <v>32141.25</v>
      </c>
      <c r="I33" s="222">
        <v>32141.25</v>
      </c>
      <c r="J33" s="102"/>
      <c r="K33">
        <v>1</v>
      </c>
      <c r="L33" s="222">
        <v>16070.63</v>
      </c>
      <c r="M33" s="222">
        <v>16070.63</v>
      </c>
      <c r="N33" s="104"/>
      <c r="O33" s="90"/>
      <c r="P33" s="95"/>
      <c r="Q33" s="99"/>
      <c r="R33" s="105"/>
      <c r="S33" s="222">
        <v>16070.63</v>
      </c>
      <c r="T33" s="222">
        <v>16070.63</v>
      </c>
      <c r="U33" s="223">
        <v>0</v>
      </c>
      <c r="V33" s="223">
        <v>1</v>
      </c>
      <c r="W33" s="108"/>
    </row>
    <row r="34" spans="2:26" ht="15.75" customHeight="1">
      <c r="B34" t="s">
        <v>114</v>
      </c>
      <c r="C34" t="s">
        <v>97</v>
      </c>
      <c r="D34" s="83"/>
      <c r="E34" s="84"/>
      <c r="F34">
        <v>6</v>
      </c>
      <c r="G34" s="222">
        <v>1463</v>
      </c>
      <c r="H34" s="222">
        <v>5486.25</v>
      </c>
      <c r="I34" s="222">
        <v>32917.5</v>
      </c>
      <c r="J34" s="102"/>
      <c r="K34">
        <v>6</v>
      </c>
      <c r="L34" s="222">
        <v>2743.13</v>
      </c>
      <c r="M34" s="222">
        <v>16458.78</v>
      </c>
      <c r="N34" s="111"/>
      <c r="O34" s="90"/>
      <c r="P34" s="112"/>
      <c r="Q34" s="91"/>
      <c r="R34" s="91"/>
      <c r="S34" s="222">
        <v>2743.13</v>
      </c>
      <c r="T34" s="222">
        <v>16458.78</v>
      </c>
      <c r="U34" s="223">
        <v>0</v>
      </c>
      <c r="V34" s="223">
        <v>1</v>
      </c>
      <c r="W34" s="93"/>
    </row>
    <row r="35" spans="2:26" ht="15.75" customHeight="1">
      <c r="D35" s="83"/>
      <c r="E35" s="97"/>
      <c r="H35" t="s">
        <v>91</v>
      </c>
      <c r="I35" t="s">
        <v>91</v>
      </c>
      <c r="J35" s="102"/>
      <c r="K35">
        <v>0</v>
      </c>
      <c r="L35" t="s">
        <v>91</v>
      </c>
      <c r="M35" t="s">
        <v>91</v>
      </c>
      <c r="N35" s="104"/>
      <c r="O35" s="90"/>
      <c r="P35" s="95"/>
      <c r="Q35" s="99"/>
      <c r="R35" s="105"/>
      <c r="S35" t="s">
        <v>91</v>
      </c>
      <c r="T35" t="s">
        <v>91</v>
      </c>
      <c r="U35" s="223">
        <v>0</v>
      </c>
      <c r="V35" s="223">
        <v>0</v>
      </c>
      <c r="W35" s="108"/>
    </row>
    <row r="36" spans="2:26" ht="15.75" customHeight="1">
      <c r="B36" t="s">
        <v>115</v>
      </c>
      <c r="C36" t="s">
        <v>98</v>
      </c>
      <c r="D36" s="83"/>
      <c r="E36" s="84"/>
      <c r="F36">
        <v>1</v>
      </c>
      <c r="G36" s="222">
        <v>12108</v>
      </c>
      <c r="H36" s="222">
        <v>45405</v>
      </c>
      <c r="I36" s="222">
        <v>45405</v>
      </c>
      <c r="J36" s="102"/>
      <c r="K36">
        <v>1</v>
      </c>
      <c r="L36" s="222">
        <v>22702.5</v>
      </c>
      <c r="M36" s="222">
        <v>22702.5</v>
      </c>
      <c r="N36" s="111"/>
      <c r="O36" s="90"/>
      <c r="P36" s="112"/>
      <c r="Q36" s="91"/>
      <c r="R36" s="91"/>
      <c r="S36" s="222">
        <v>22702.5</v>
      </c>
      <c r="T36" s="222">
        <v>22702.5</v>
      </c>
      <c r="U36" s="223">
        <v>0</v>
      </c>
      <c r="V36" s="223">
        <v>1</v>
      </c>
      <c r="W36" s="108"/>
    </row>
    <row r="37" spans="2:26" ht="15.75" customHeight="1">
      <c r="B37" t="s">
        <v>116</v>
      </c>
      <c r="C37" t="s">
        <v>93</v>
      </c>
      <c r="D37" s="83"/>
      <c r="E37" s="97"/>
      <c r="F37">
        <v>1</v>
      </c>
      <c r="G37" s="222">
        <v>17340</v>
      </c>
      <c r="H37" s="222">
        <v>65025</v>
      </c>
      <c r="I37" s="222">
        <v>65025</v>
      </c>
      <c r="J37" s="102"/>
      <c r="K37">
        <v>1</v>
      </c>
      <c r="L37" s="222">
        <v>32512.5</v>
      </c>
      <c r="M37" s="222">
        <v>32512.5</v>
      </c>
      <c r="N37" s="104"/>
      <c r="O37" s="90"/>
      <c r="P37" s="95"/>
      <c r="Q37" s="99"/>
      <c r="R37" s="105"/>
      <c r="S37" s="222">
        <v>32512.5</v>
      </c>
      <c r="T37" s="222">
        <v>32512.5</v>
      </c>
      <c r="U37" s="223">
        <v>0</v>
      </c>
      <c r="V37" s="223">
        <v>1</v>
      </c>
      <c r="W37" s="108"/>
    </row>
    <row r="38" spans="2:26" ht="15.75" customHeight="1">
      <c r="D38" s="83"/>
      <c r="E38" s="84"/>
      <c r="G38" s="222"/>
      <c r="H38" s="222"/>
      <c r="I38" s="222"/>
      <c r="J38" s="102"/>
      <c r="L38" s="222"/>
      <c r="M38" s="222"/>
      <c r="N38" s="111"/>
      <c r="O38" s="90"/>
      <c r="P38" s="112"/>
      <c r="Q38" s="91"/>
      <c r="R38" s="91"/>
      <c r="S38" s="222"/>
      <c r="T38" s="222"/>
      <c r="U38" s="223"/>
      <c r="V38" s="223"/>
      <c r="W38" s="108"/>
    </row>
    <row r="39" spans="2:26" ht="15.75" customHeight="1">
      <c r="D39" s="83"/>
      <c r="E39" s="97"/>
      <c r="G39" s="222"/>
      <c r="H39" s="222"/>
      <c r="I39" s="222"/>
      <c r="J39" s="102"/>
      <c r="L39" s="222"/>
      <c r="M39" s="222"/>
      <c r="N39" s="104"/>
      <c r="O39" s="90"/>
      <c r="P39" s="95"/>
      <c r="Q39" s="99"/>
      <c r="R39" s="105"/>
      <c r="S39" s="222"/>
      <c r="T39" s="222"/>
      <c r="U39" s="223"/>
      <c r="V39" s="223"/>
      <c r="W39" s="108"/>
    </row>
    <row r="40" spans="2:26" ht="15.75" customHeight="1">
      <c r="D40" s="83"/>
      <c r="E40" s="84"/>
      <c r="G40" s="222"/>
      <c r="H40" s="222"/>
      <c r="I40" s="222"/>
      <c r="J40" s="102"/>
      <c r="L40" s="222"/>
      <c r="M40" s="222"/>
      <c r="N40" s="111"/>
      <c r="O40" s="90"/>
      <c r="P40" s="112"/>
      <c r="Q40" s="91"/>
      <c r="R40" s="91"/>
      <c r="S40" s="222"/>
      <c r="T40" s="222"/>
      <c r="U40" s="223"/>
      <c r="V40" s="223"/>
      <c r="W40" s="108"/>
    </row>
    <row r="41" spans="2:26" ht="15.75" customHeight="1">
      <c r="D41" s="83"/>
      <c r="E41" s="97"/>
      <c r="G41" s="222"/>
      <c r="H41" s="222"/>
      <c r="I41" s="222"/>
      <c r="J41" s="102"/>
      <c r="L41" s="222"/>
      <c r="M41" s="222"/>
      <c r="N41" s="104"/>
      <c r="O41" s="90"/>
      <c r="P41" s="95"/>
      <c r="Q41" s="99"/>
      <c r="R41" s="105"/>
      <c r="S41" s="222"/>
      <c r="T41" s="222"/>
      <c r="U41" s="223"/>
      <c r="V41" s="223"/>
      <c r="W41" s="108"/>
    </row>
    <row r="42" spans="2:26" ht="15.75" customHeight="1">
      <c r="D42" s="83"/>
      <c r="E42" s="84"/>
      <c r="G42" s="222"/>
      <c r="H42" s="222"/>
      <c r="I42" s="222"/>
      <c r="J42" s="102"/>
      <c r="L42" s="222"/>
      <c r="M42" s="222"/>
      <c r="N42" s="111"/>
      <c r="O42" s="90"/>
      <c r="P42" s="112"/>
      <c r="Q42" s="91"/>
      <c r="R42" s="91"/>
      <c r="S42" s="222"/>
      <c r="T42" s="222"/>
      <c r="U42" s="223"/>
      <c r="V42" s="223"/>
      <c r="W42" s="108"/>
    </row>
    <row r="43" spans="2:26" ht="15.75" customHeight="1">
      <c r="D43" s="83"/>
      <c r="E43" s="97"/>
      <c r="G43" s="222"/>
      <c r="H43" s="222"/>
      <c r="I43" s="222"/>
      <c r="J43" s="102"/>
      <c r="L43" s="222"/>
      <c r="M43" s="222"/>
      <c r="N43" s="104"/>
      <c r="O43" s="90"/>
      <c r="P43" s="95"/>
      <c r="Q43" s="99"/>
      <c r="R43" s="105"/>
      <c r="S43" s="222"/>
      <c r="T43" s="222"/>
      <c r="U43" s="223"/>
      <c r="V43" s="223"/>
      <c r="W43" s="108"/>
    </row>
    <row r="44" spans="2:26" ht="15.75" customHeight="1">
      <c r="D44" s="83"/>
      <c r="E44" s="84"/>
      <c r="G44" s="222"/>
      <c r="H44" s="222"/>
      <c r="I44" s="222"/>
      <c r="J44" s="102"/>
      <c r="L44" s="222"/>
      <c r="M44" s="222"/>
      <c r="N44" s="111"/>
      <c r="O44" s="90"/>
      <c r="P44" s="112"/>
      <c r="Q44" s="91"/>
      <c r="R44" s="91"/>
      <c r="S44" s="222"/>
      <c r="T44" s="222"/>
      <c r="U44" s="223"/>
      <c r="V44" s="223"/>
      <c r="W44" s="108"/>
    </row>
    <row r="45" spans="2:26" ht="15.75" customHeight="1">
      <c r="D45" s="83"/>
      <c r="E45" s="97"/>
      <c r="J45" s="102"/>
      <c r="N45" s="104"/>
      <c r="O45" s="90"/>
      <c r="P45" s="95"/>
      <c r="Q45" s="99"/>
      <c r="R45" s="105"/>
      <c r="U45" s="223"/>
      <c r="V45" s="223"/>
      <c r="W45" s="108"/>
    </row>
    <row r="46" spans="2:26" ht="15.75" customHeight="1">
      <c r="D46" s="83"/>
      <c r="E46" s="84"/>
      <c r="G46" s="222"/>
      <c r="H46" s="222"/>
      <c r="I46" s="222"/>
      <c r="J46" s="102"/>
      <c r="L46" s="222"/>
      <c r="M46" s="222"/>
      <c r="N46" s="111"/>
      <c r="O46" s="90"/>
      <c r="P46" s="112"/>
      <c r="Q46" s="91"/>
      <c r="R46" s="91"/>
      <c r="S46" s="222"/>
      <c r="T46" s="222"/>
      <c r="U46" s="223"/>
      <c r="V46" s="223"/>
      <c r="W46" s="108"/>
    </row>
    <row r="47" spans="2:26" ht="15.75" customHeight="1">
      <c r="D47" s="83"/>
      <c r="E47" s="97"/>
      <c r="G47" s="222"/>
      <c r="H47" s="222"/>
      <c r="I47" s="222"/>
      <c r="J47" s="102"/>
      <c r="L47" s="222"/>
      <c r="M47" s="222"/>
      <c r="N47" s="104"/>
      <c r="O47" s="90"/>
      <c r="P47" s="95"/>
      <c r="Q47" s="99"/>
      <c r="R47" s="105"/>
      <c r="S47" s="222"/>
      <c r="T47" s="222"/>
      <c r="U47" s="223"/>
      <c r="V47" s="223"/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223"/>
      <c r="V52" s="223"/>
      <c r="W52" s="93"/>
    </row>
    <row r="53" spans="2:26" ht="15.75" customHeight="1">
      <c r="D53" s="83"/>
      <c r="E53" s="97"/>
      <c r="G53" s="222"/>
      <c r="H53" s="222"/>
      <c r="I53" s="222"/>
      <c r="J53" s="102"/>
      <c r="L53" s="222"/>
      <c r="M53" s="222"/>
      <c r="N53" s="104"/>
      <c r="O53" s="90"/>
      <c r="P53" s="95"/>
      <c r="Q53" s="99"/>
      <c r="R53" s="105"/>
      <c r="S53" s="222"/>
      <c r="T53" s="222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23</v>
      </c>
      <c r="G114" s="118">
        <f>SUM(G19:G113)</f>
        <v>105507.67</v>
      </c>
      <c r="H114" s="119">
        <f>SUM(H19:H113)</f>
        <v>395653.79000000004</v>
      </c>
      <c r="I114" s="120">
        <f>SUM(I19:I113)</f>
        <v>426538.79000000004</v>
      </c>
      <c r="J114" s="121"/>
      <c r="K114" s="122">
        <f>SUM(K19:K113)</f>
        <v>23</v>
      </c>
      <c r="L114" s="119">
        <f>SUM(L19:L113)</f>
        <v>197826.94</v>
      </c>
      <c r="M114" s="120">
        <f>SUM(M19:M113)</f>
        <v>213269.47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197826.94</v>
      </c>
      <c r="T114" s="120">
        <f>SUM(T19:T113)</f>
        <v>213269.47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113" xr:uid="{5B16767C-195B-467E-8D87-5713473F01E4}">
      <formula1>$Z$19:$Z$94</formula1>
    </dataValidation>
    <dataValidation type="list" allowBlank="1" showErrorMessage="1" sqref="I14" xr:uid="{894B3D58-5137-422B-A556-B82EB0C36B64}">
      <formula1>$Y$14:$Y$15</formula1>
    </dataValidation>
    <dataValidation type="list" allowBlank="1" showErrorMessage="1" sqref="J14" xr:uid="{85A85DD7-29A1-44D2-A79B-54D1A75D6E7C}">
      <formula1>$L$9</formula1>
    </dataValidation>
    <dataValidation type="list" allowBlank="1" showErrorMessage="1" sqref="Q15 G18 L18 Q18" xr:uid="{EBBF13B4-50DF-4CED-9998-710430062BD1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 CS11 COMPACTOR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2025-06-24T09:52:58Z</dcterms:modified>
</cp:coreProperties>
</file>