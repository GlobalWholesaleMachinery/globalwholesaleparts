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9444C0D3-65E2-4637-9C18-FBD6387D5D46}" xr6:coauthVersionLast="47" xr6:coauthVersionMax="47" xr10:uidLastSave="{00000000-0000-0000-0000-000000000000}"/>
  <bookViews>
    <workbookView xWindow="-120" yWindow="-120" windowWidth="20640" windowHeight="11160" activeTab="1" xr2:uid="{00000000-000D-0000-FFFF-FFFF00000000}"/>
  </bookViews>
  <sheets>
    <sheet name="Instructions" sheetId="16" r:id="rId1"/>
    <sheet name="CAT CS11 VIBRATORY SOIL COMPACT" sheetId="1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4" i="15" l="1"/>
  <c r="P6" i="15" s="1"/>
  <c r="S114" i="15"/>
  <c r="R114" i="15"/>
  <c r="P7" i="15" s="1"/>
  <c r="Q114" i="15"/>
  <c r="M114" i="15"/>
  <c r="P3" i="15" s="1"/>
  <c r="L114" i="15"/>
  <c r="K114" i="15"/>
  <c r="I114" i="15"/>
  <c r="P2" i="15" s="1"/>
  <c r="H114" i="15"/>
  <c r="G114" i="15"/>
  <c r="F114" i="15"/>
  <c r="P11" i="15" s="1"/>
  <c r="R18" i="15"/>
  <c r="I18" i="15"/>
  <c r="H18" i="15"/>
  <c r="E16" i="15"/>
  <c r="V15" i="15"/>
  <c r="P9" i="15" s="1"/>
  <c r="P8" i="15"/>
  <c r="P1" i="15"/>
  <c r="P5" i="15" l="1"/>
  <c r="P4" i="15"/>
  <c r="S9" i="15"/>
  <c r="U9" i="15" s="1"/>
  <c r="T9" i="15" l="1"/>
  <c r="V9" i="15" s="1"/>
</calcChain>
</file>

<file path=xl/sharedStrings.xml><?xml version="1.0" encoding="utf-8"?>
<sst xmlns="http://schemas.openxmlformats.org/spreadsheetml/2006/main" count="136" uniqueCount="118">
  <si>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</si>
  <si>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</si>
  <si>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</si>
  <si>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</si>
  <si>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</si>
  <si>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</si>
  <si>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</si>
  <si>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</si>
  <si>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</si>
  <si>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</si>
  <si>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</si>
  <si>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</si>
  <si>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</si>
  <si>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</si>
  <si>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</si>
  <si>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</si>
  <si>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</si>
  <si>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</si>
  <si>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</si>
  <si>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</si>
  <si>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</si>
  <si>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</si>
  <si>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</si>
  <si>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</si>
  <si>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</si>
  <si>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</si>
  <si>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</si>
  <si>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</si>
  <si>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</si>
  <si>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</si>
  <si>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</si>
  <si>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</si>
  <si>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</si>
  <si>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</si>
  <si>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</si>
  <si>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</si>
  <si>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</si>
  <si>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</si>
  <si>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</si>
  <si>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</si>
  <si>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</si>
  <si>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</si>
  <si>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</si>
  <si>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</si>
  <si>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</si>
  <si>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</si>
  <si>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</si>
  <si>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</si>
  <si>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</si>
  <si>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</si>
  <si>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</si>
  <si>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</si>
  <si>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</si>
  <si>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</si>
  <si>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</si>
  <si>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</si>
  <si>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</si>
  <si>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</si>
  <si>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</si>
  <si>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</si>
  <si>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</si>
  <si>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</si>
  <si>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</si>
  <si>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</si>
  <si>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</si>
  <si>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</si>
  <si>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</si>
  <si>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</si>
  <si>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</si>
  <si>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</si>
  <si>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</si>
  <si>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</si>
  <si>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</si>
  <si>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</si>
  <si>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</si>
  <si>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</si>
  <si>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</si>
  <si>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</si>
  <si>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TOTALS</t>
  </si>
  <si>
    <t>ENGINE OIL FILTER</t>
  </si>
  <si>
    <t>FUEL WATER SEPARATOR FILTER</t>
  </si>
  <si>
    <t>HYDRAULIC FILTER</t>
  </si>
  <si>
    <t>HYDRAULIC TRANSMISSION OIL FILTER</t>
  </si>
  <si>
    <t>PRIMARY AIR FILTER</t>
  </si>
  <si>
    <t>SECONDARY AIR FILTER ELEMENT</t>
  </si>
  <si>
    <t>CABIN AIR FILTER ELEMENT</t>
  </si>
  <si>
    <t>9X-3404</t>
  </si>
  <si>
    <t>CUSTOM</t>
  </si>
  <si>
    <t>CAMSHAFT</t>
  </si>
  <si>
    <t>CRANKSHAFT</t>
  </si>
  <si>
    <t>CYLINDER HEAD</t>
  </si>
  <si>
    <t xml:space="preserve"> $-   </t>
  </si>
  <si>
    <t>Cat</t>
  </si>
  <si>
    <t>SEAT SUSPENSION</t>
  </si>
  <si>
    <t>GQP ENGINE OVERHAUL KIT</t>
  </si>
  <si>
    <t>TURBOCHARGER</t>
  </si>
  <si>
    <t>12V 4D BCI BATTERY (19.3" X 8.6" X 9.9")</t>
  </si>
  <si>
    <t>INJECTOR</t>
  </si>
  <si>
    <t>SEAT GP</t>
  </si>
  <si>
    <t>Vibratory Soil Compactor</t>
  </si>
  <si>
    <t>CS11</t>
  </si>
  <si>
    <t>7W-2326</t>
  </si>
  <si>
    <t>460-0663</t>
  </si>
  <si>
    <t>FUEL FILTER GP</t>
  </si>
  <si>
    <t>460-0310</t>
  </si>
  <si>
    <t>192-0717</t>
  </si>
  <si>
    <t>1G-8878</t>
  </si>
  <si>
    <t>222-9020</t>
  </si>
  <si>
    <t>222-9021</t>
  </si>
  <si>
    <t>293-1184</t>
  </si>
  <si>
    <t>350-2433</t>
  </si>
  <si>
    <t>359-0715</t>
  </si>
  <si>
    <t>315-3389</t>
  </si>
  <si>
    <t>519-1083</t>
  </si>
  <si>
    <t>316-7987</t>
  </si>
  <si>
    <t>563-8813</t>
  </si>
  <si>
    <t>563-8812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</si>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</sst>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mmmm\ d\,\ yyyy"/>
    <numFmt numFmtId="165" formatCode="&quot;$&quot;#,##0.00"/>
  </numFmts>
  <fonts count="24"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</fills>
  <borders count="101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5">
    <xf numFmtId="0" fontId="0" fillId="0" borderId="0" xfId="0"/>
    <xf numFmtId="0" fontId="1" fillId="2" borderId="1" xfId="0" applyFont="1" applyFill="1" applyBorder="1"/>
    <xf numFmtId="0" fontId="4" fillId="2" borderId="1" xfId="0" applyFont="1" applyFill="1" applyBorder="1"/>
    <xf numFmtId="0" fontId="5" fillId="0" borderId="0" xfId="0" applyFont="1" applyAlignment="1">
      <alignment vertical="center"/>
    </xf>
    <xf numFmtId="0" fontId="1" fillId="0" borderId="0" xfId="0" applyFont="1"/>
    <xf numFmtId="0" fontId="4" fillId="4" borderId="13" xfId="0" applyFont="1" applyFill="1" applyBorder="1" applyAlignment="1">
      <alignment horizontal="right"/>
    </xf>
    <xf numFmtId="164" fontId="1" fillId="5" borderId="14" xfId="0" applyNumberFormat="1" applyFont="1" applyFill="1" applyBorder="1" applyAlignment="1">
      <alignment horizontal="left"/>
    </xf>
    <xf numFmtId="0" fontId="1" fillId="5" borderId="15" xfId="0" applyFont="1" applyFill="1" applyBorder="1" applyAlignment="1">
      <alignment horizontal="left"/>
    </xf>
    <xf numFmtId="0" fontId="1" fillId="5" borderId="13" xfId="0" applyFont="1" applyFill="1" applyBorder="1" applyAlignment="1">
      <alignment horizontal="center"/>
    </xf>
    <xf numFmtId="0" fontId="5" fillId="7" borderId="21" xfId="0" applyFont="1" applyFill="1" applyBorder="1" applyAlignment="1">
      <alignment horizontal="center" vertical="center" wrapText="1"/>
    </xf>
    <xf numFmtId="164" fontId="1" fillId="5" borderId="22" xfId="0" applyNumberFormat="1" applyFont="1" applyFill="1" applyBorder="1"/>
    <xf numFmtId="164" fontId="1" fillId="2" borderId="1" xfId="0" applyNumberFormat="1" applyFont="1" applyFill="1" applyBorder="1"/>
    <xf numFmtId="0" fontId="4" fillId="4" borderId="23" xfId="0" applyFont="1" applyFill="1" applyBorder="1" applyAlignment="1">
      <alignment horizontal="right"/>
    </xf>
    <xf numFmtId="0" fontId="1" fillId="5" borderId="23" xfId="0" applyFont="1" applyFill="1" applyBorder="1" applyAlignment="1">
      <alignment horizontal="center"/>
    </xf>
    <xf numFmtId="0" fontId="1" fillId="5" borderId="22" xfId="0" applyFont="1" applyFill="1" applyBorder="1"/>
    <xf numFmtId="165" fontId="6" fillId="0" borderId="0" xfId="0" applyNumberFormat="1" applyFont="1"/>
    <xf numFmtId="0" fontId="4" fillId="4" borderId="24" xfId="0" applyFont="1" applyFill="1" applyBorder="1" applyAlignment="1">
      <alignment horizontal="right"/>
    </xf>
    <xf numFmtId="1" fontId="7" fillId="5" borderId="15" xfId="0" applyNumberFormat="1" applyFont="1" applyFill="1" applyBorder="1" applyAlignment="1">
      <alignment horizontal="left"/>
    </xf>
    <xf numFmtId="0" fontId="8" fillId="5" borderId="22" xfId="0" applyFont="1" applyFill="1" applyBorder="1"/>
    <xf numFmtId="0" fontId="9" fillId="2" borderId="1" xfId="0" applyFont="1" applyFill="1" applyBorder="1"/>
    <xf numFmtId="9" fontId="6" fillId="0" borderId="0" xfId="0" applyNumberFormat="1" applyFont="1"/>
    <xf numFmtId="0" fontId="1" fillId="0" borderId="24" xfId="0" applyFont="1" applyBorder="1"/>
    <xf numFmtId="0" fontId="10" fillId="2" borderId="1" xfId="0" applyFont="1" applyFill="1" applyBorder="1"/>
    <xf numFmtId="0" fontId="4" fillId="8" borderId="33" xfId="0" applyFont="1" applyFill="1" applyBorder="1" applyAlignment="1">
      <alignment horizontal="right"/>
    </xf>
    <xf numFmtId="0" fontId="1" fillId="8" borderId="34" xfId="0" applyFont="1" applyFill="1" applyBorder="1"/>
    <xf numFmtId="0" fontId="11" fillId="9" borderId="35" xfId="0" applyFont="1" applyFill="1" applyBorder="1" applyAlignment="1">
      <alignment horizontal="center"/>
    </xf>
    <xf numFmtId="0" fontId="11" fillId="9" borderId="36" xfId="0" applyFont="1" applyFill="1" applyBorder="1" applyAlignment="1">
      <alignment horizontal="center" vertical="center"/>
    </xf>
    <xf numFmtId="0" fontId="11" fillId="9" borderId="37" xfId="0" applyFont="1" applyFill="1" applyBorder="1" applyAlignment="1">
      <alignment horizontal="center" vertical="center"/>
    </xf>
    <xf numFmtId="0" fontId="1" fillId="5" borderId="1" xfId="0" applyFont="1" applyFill="1" applyBorder="1"/>
    <xf numFmtId="165" fontId="4" fillId="2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/>
    <xf numFmtId="0" fontId="1" fillId="8" borderId="38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center"/>
    </xf>
    <xf numFmtId="9" fontId="1" fillId="8" borderId="1" xfId="0" applyNumberFormat="1" applyFont="1" applyFill="1" applyBorder="1" applyAlignment="1">
      <alignment horizontal="center"/>
    </xf>
    <xf numFmtId="0" fontId="4" fillId="8" borderId="43" xfId="0" applyFont="1" applyFill="1" applyBorder="1" applyAlignment="1">
      <alignment horizontal="right"/>
    </xf>
    <xf numFmtId="0" fontId="1" fillId="8" borderId="43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1" fillId="2" borderId="21" xfId="0" applyFont="1" applyFill="1" applyBorder="1" applyAlignment="1">
      <alignment horizontal="center"/>
    </xf>
    <xf numFmtId="0" fontId="14" fillId="7" borderId="21" xfId="0" applyFont="1" applyFill="1" applyBorder="1" applyAlignment="1">
      <alignment horizontal="center" vertical="center"/>
    </xf>
    <xf numFmtId="0" fontId="14" fillId="0" borderId="52" xfId="0" applyFont="1" applyBorder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/>
    </xf>
    <xf numFmtId="0" fontId="14" fillId="7" borderId="22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 wrapText="1"/>
    </xf>
    <xf numFmtId="0" fontId="14" fillId="0" borderId="60" xfId="0" applyFont="1" applyBorder="1" applyAlignment="1">
      <alignment vertical="center"/>
    </xf>
    <xf numFmtId="0" fontId="4" fillId="5" borderId="63" xfId="0" applyFont="1" applyFill="1" applyBorder="1" applyAlignment="1">
      <alignment horizontal="center"/>
    </xf>
    <xf numFmtId="0" fontId="4" fillId="7" borderId="22" xfId="0" applyFont="1" applyFill="1" applyBorder="1" applyAlignment="1">
      <alignment horizontal="center"/>
    </xf>
    <xf numFmtId="0" fontId="14" fillId="0" borderId="67" xfId="0" applyFont="1" applyBorder="1" applyAlignment="1">
      <alignment vertical="center"/>
    </xf>
    <xf numFmtId="0" fontId="4" fillId="4" borderId="68" xfId="0" applyFont="1" applyFill="1" applyBorder="1" applyAlignment="1">
      <alignment horizontal="center" vertical="center"/>
    </xf>
    <xf numFmtId="0" fontId="4" fillId="4" borderId="69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0" fontId="17" fillId="11" borderId="72" xfId="0" applyFont="1" applyFill="1" applyBorder="1" applyAlignment="1">
      <alignment vertical="center" wrapText="1"/>
    </xf>
    <xf numFmtId="0" fontId="1" fillId="7" borderId="22" xfId="0" applyFont="1" applyFill="1" applyBorder="1" applyAlignment="1">
      <alignment horizontal="center"/>
    </xf>
    <xf numFmtId="0" fontId="16" fillId="4" borderId="73" xfId="0" applyFont="1" applyFill="1" applyBorder="1" applyAlignment="1">
      <alignment horizontal="center" vertical="center" wrapText="1"/>
    </xf>
    <xf numFmtId="0" fontId="4" fillId="5" borderId="74" xfId="0" applyFont="1" applyFill="1" applyBorder="1" applyAlignment="1">
      <alignment horizontal="center" vertical="center" wrapText="1"/>
    </xf>
    <xf numFmtId="44" fontId="4" fillId="5" borderId="73" xfId="0" applyNumberFormat="1" applyFont="1" applyFill="1" applyBorder="1" applyAlignment="1">
      <alignment horizontal="center" vertical="center"/>
    </xf>
    <xf numFmtId="10" fontId="6" fillId="5" borderId="73" xfId="0" applyNumberFormat="1" applyFont="1" applyFill="1" applyBorder="1" applyAlignment="1">
      <alignment horizontal="center" vertical="center"/>
    </xf>
    <xf numFmtId="44" fontId="6" fillId="12" borderId="35" xfId="0" applyNumberFormat="1" applyFont="1" applyFill="1" applyBorder="1" applyAlignment="1">
      <alignment vertical="center"/>
    </xf>
    <xf numFmtId="0" fontId="1" fillId="0" borderId="1" xfId="0" applyFont="1" applyBorder="1"/>
    <xf numFmtId="2" fontId="18" fillId="0" borderId="24" xfId="0" applyNumberFormat="1" applyFont="1" applyBorder="1" applyAlignment="1">
      <alignment horizontal="center" vertical="center"/>
    </xf>
    <xf numFmtId="0" fontId="18" fillId="5" borderId="24" xfId="0" applyFont="1" applyFill="1" applyBorder="1" applyAlignment="1">
      <alignment horizontal="center" vertical="center"/>
    </xf>
    <xf numFmtId="0" fontId="18" fillId="7" borderId="22" xfId="0" applyFont="1" applyFill="1" applyBorder="1" applyAlignment="1">
      <alignment horizontal="center" vertical="center"/>
    </xf>
    <xf numFmtId="0" fontId="20" fillId="0" borderId="17" xfId="0" applyFont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4" fillId="2" borderId="83" xfId="0" applyFont="1" applyFill="1" applyBorder="1" applyAlignment="1">
      <alignment horizontal="center" vertical="center" wrapText="1"/>
    </xf>
    <xf numFmtId="0" fontId="11" fillId="11" borderId="88" xfId="0" applyFont="1" applyFill="1" applyBorder="1" applyAlignment="1">
      <alignment horizontal="center" vertical="center" wrapText="1"/>
    </xf>
    <xf numFmtId="0" fontId="4" fillId="7" borderId="22" xfId="0" applyFont="1" applyFill="1" applyBorder="1" applyAlignment="1">
      <alignment horizontal="center" vertical="center" wrapText="1"/>
    </xf>
    <xf numFmtId="0" fontId="11" fillId="11" borderId="90" xfId="0" applyFont="1" applyFill="1" applyBorder="1" applyAlignment="1">
      <alignment horizontal="center" vertical="center" wrapText="1"/>
    </xf>
    <xf numFmtId="0" fontId="19" fillId="11" borderId="90" xfId="0" applyFont="1" applyFill="1" applyBorder="1" applyAlignment="1">
      <alignment horizontal="center" vertical="center" wrapText="1"/>
    </xf>
    <xf numFmtId="0" fontId="16" fillId="7" borderId="22" xfId="0" applyFont="1" applyFill="1" applyBorder="1" applyAlignment="1">
      <alignment horizontal="center" vertical="center" wrapText="1"/>
    </xf>
    <xf numFmtId="0" fontId="21" fillId="11" borderId="93" xfId="0" applyFont="1" applyFill="1" applyBorder="1" applyAlignment="1">
      <alignment horizontal="center" vertical="center" wrapText="1"/>
    </xf>
    <xf numFmtId="0" fontId="22" fillId="11" borderId="90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4" fillId="2" borderId="74" xfId="0" applyFont="1" applyFill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96" xfId="0" applyFont="1" applyBorder="1" applyAlignment="1">
      <alignment horizontal="center" vertical="center" wrapText="1"/>
    </xf>
    <xf numFmtId="0" fontId="4" fillId="7" borderId="97" xfId="0" applyFont="1" applyFill="1" applyBorder="1" applyAlignment="1">
      <alignment horizontal="center" vertical="center" wrapText="1"/>
    </xf>
    <xf numFmtId="0" fontId="16" fillId="7" borderId="97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44" xfId="0" applyFont="1" applyBorder="1" applyAlignment="1">
      <alignment horizontal="left"/>
    </xf>
    <xf numFmtId="0" fontId="1" fillId="2" borderId="22" xfId="0" applyFont="1" applyFill="1" applyBorder="1" applyAlignment="1">
      <alignment horizontal="left"/>
    </xf>
    <xf numFmtId="0" fontId="1" fillId="0" borderId="67" xfId="0" applyFont="1" applyBorder="1" applyAlignment="1">
      <alignment horizontal="center"/>
    </xf>
    <xf numFmtId="3" fontId="1" fillId="0" borderId="44" xfId="0" applyNumberFormat="1" applyFont="1" applyBorder="1" applyAlignment="1">
      <alignment horizontal="center"/>
    </xf>
    <xf numFmtId="44" fontId="1" fillId="0" borderId="44" xfId="0" applyNumberFormat="1" applyFont="1" applyBorder="1"/>
    <xf numFmtId="44" fontId="1" fillId="0" borderId="96" xfId="0" applyNumberFormat="1" applyFont="1" applyBorder="1"/>
    <xf numFmtId="44" fontId="1" fillId="7" borderId="22" xfId="0" applyNumberFormat="1" applyFont="1" applyFill="1" applyBorder="1"/>
    <xf numFmtId="9" fontId="1" fillId="0" borderId="96" xfId="0" applyNumberFormat="1" applyFont="1" applyBorder="1"/>
    <xf numFmtId="9" fontId="1" fillId="7" borderId="22" xfId="0" applyNumberFormat="1" applyFont="1" applyFill="1" applyBorder="1"/>
    <xf numFmtId="44" fontId="1" fillId="0" borderId="24" xfId="0" applyNumberFormat="1" applyFont="1" applyBorder="1"/>
    <xf numFmtId="10" fontId="1" fillId="0" borderId="24" xfId="0" applyNumberFormat="1" applyFont="1" applyBorder="1"/>
    <xf numFmtId="10" fontId="1" fillId="0" borderId="0" xfId="0" applyNumberFormat="1" applyFont="1"/>
    <xf numFmtId="10" fontId="1" fillId="2" borderId="1" xfId="0" applyNumberFormat="1" applyFont="1" applyFill="1" applyBorder="1"/>
    <xf numFmtId="0" fontId="1" fillId="5" borderId="24" xfId="0" applyFont="1" applyFill="1" applyBorder="1" applyAlignment="1">
      <alignment horizontal="left"/>
    </xf>
    <xf numFmtId="0" fontId="1" fillId="5" borderId="23" xfId="0" applyFont="1" applyFill="1" applyBorder="1" applyAlignment="1">
      <alignment horizontal="left"/>
    </xf>
    <xf numFmtId="0" fontId="1" fillId="5" borderId="74" xfId="0" applyFont="1" applyFill="1" applyBorder="1" applyAlignment="1">
      <alignment horizontal="center"/>
    </xf>
    <xf numFmtId="3" fontId="1" fillId="5" borderId="24" xfId="0" applyNumberFormat="1" applyFont="1" applyFill="1" applyBorder="1" applyAlignment="1">
      <alignment horizontal="center"/>
    </xf>
    <xf numFmtId="44" fontId="1" fillId="5" borderId="24" xfId="0" applyNumberFormat="1" applyFont="1" applyFill="1" applyBorder="1"/>
    <xf numFmtId="44" fontId="1" fillId="12" borderId="97" xfId="0" applyNumberFormat="1" applyFont="1" applyFill="1" applyBorder="1"/>
    <xf numFmtId="44" fontId="1" fillId="12" borderId="13" xfId="0" applyNumberFormat="1" applyFont="1" applyFill="1" applyBorder="1"/>
    <xf numFmtId="44" fontId="1" fillId="2" borderId="22" xfId="0" applyNumberFormat="1" applyFont="1" applyFill="1" applyBorder="1"/>
    <xf numFmtId="3" fontId="1" fillId="12" borderId="97" xfId="0" applyNumberFormat="1" applyFont="1" applyFill="1" applyBorder="1" applyAlignment="1">
      <alignment horizontal="center"/>
    </xf>
    <xf numFmtId="9" fontId="1" fillId="5" borderId="23" xfId="0" applyNumberFormat="1" applyFont="1" applyFill="1" applyBorder="1"/>
    <xf numFmtId="44" fontId="1" fillId="12" borderId="24" xfId="0" applyNumberFormat="1" applyFont="1" applyFill="1" applyBorder="1"/>
    <xf numFmtId="44" fontId="1" fillId="13" borderId="24" xfId="0" applyNumberFormat="1" applyFont="1" applyFill="1" applyBorder="1"/>
    <xf numFmtId="10" fontId="1" fillId="12" borderId="24" xfId="0" applyNumberFormat="1" applyFont="1" applyFill="1" applyBorder="1"/>
    <xf numFmtId="10" fontId="1" fillId="5" borderId="1" xfId="0" applyNumberFormat="1" applyFont="1" applyFill="1" applyBorder="1"/>
    <xf numFmtId="0" fontId="1" fillId="0" borderId="15" xfId="0" applyFont="1" applyBorder="1" applyAlignment="1">
      <alignment horizontal="left"/>
    </xf>
    <xf numFmtId="3" fontId="1" fillId="0" borderId="24" xfId="0" applyNumberFormat="1" applyFont="1" applyBorder="1" applyAlignment="1">
      <alignment horizontal="center"/>
    </xf>
    <xf numFmtId="9" fontId="1" fillId="0" borderId="15" xfId="0" applyNumberFormat="1" applyFont="1" applyBorder="1"/>
    <xf numFmtId="0" fontId="1" fillId="0" borderId="24" xfId="0" applyFont="1" applyBorder="1" applyAlignment="1">
      <alignment horizontal="left"/>
    </xf>
    <xf numFmtId="3" fontId="1" fillId="0" borderId="0" xfId="0" applyNumberFormat="1" applyFont="1"/>
    <xf numFmtId="0" fontId="1" fillId="12" borderId="100" xfId="0" applyFont="1" applyFill="1" applyBorder="1"/>
    <xf numFmtId="0" fontId="6" fillId="2" borderId="24" xfId="0" applyFont="1" applyFill="1" applyBorder="1"/>
    <xf numFmtId="0" fontId="6" fillId="12" borderId="24" xfId="0" applyFont="1" applyFill="1" applyBorder="1" applyAlignment="1">
      <alignment horizontal="right"/>
    </xf>
    <xf numFmtId="3" fontId="4" fillId="12" borderId="24" xfId="0" applyNumberFormat="1" applyFont="1" applyFill="1" applyBorder="1"/>
    <xf numFmtId="44" fontId="4" fillId="12" borderId="24" xfId="0" applyNumberFormat="1" applyFont="1" applyFill="1" applyBorder="1" applyAlignment="1">
      <alignment horizontal="center"/>
    </xf>
    <xf numFmtId="44" fontId="4" fillId="12" borderId="24" xfId="0" applyNumberFormat="1" applyFont="1" applyFill="1" applyBorder="1" applyAlignment="1">
      <alignment horizontal="right"/>
    </xf>
    <xf numFmtId="44" fontId="4" fillId="12" borderId="24" xfId="0" applyNumberFormat="1" applyFont="1" applyFill="1" applyBorder="1"/>
    <xf numFmtId="44" fontId="23" fillId="2" borderId="24" xfId="0" applyNumberFormat="1" applyFont="1" applyFill="1" applyBorder="1"/>
    <xf numFmtId="3" fontId="4" fillId="12" borderId="24" xfId="0" applyNumberFormat="1" applyFont="1" applyFill="1" applyBorder="1" applyAlignment="1">
      <alignment horizontal="center"/>
    </xf>
    <xf numFmtId="44" fontId="4" fillId="2" borderId="24" xfId="0" applyNumberFormat="1" applyFont="1" applyFill="1" applyBorder="1"/>
    <xf numFmtId="0" fontId="6" fillId="12" borderId="100" xfId="0" applyFont="1" applyFill="1" applyBorder="1"/>
    <xf numFmtId="10" fontId="4" fillId="12" borderId="24" xfId="0" applyNumberFormat="1" applyFont="1" applyFill="1" applyBorder="1" applyAlignment="1">
      <alignment horizontal="center"/>
    </xf>
    <xf numFmtId="10" fontId="6" fillId="12" borderId="24" xfId="0" applyNumberFormat="1" applyFont="1" applyFill="1" applyBorder="1" applyAlignment="1">
      <alignment horizontal="center"/>
    </xf>
    <xf numFmtId="0" fontId="4" fillId="4" borderId="15" xfId="0" applyFont="1" applyFill="1" applyBorder="1" applyAlignment="1">
      <alignment horizontal="right"/>
    </xf>
    <xf numFmtId="0" fontId="3" fillId="0" borderId="16" xfId="0" applyFont="1" applyBorder="1"/>
    <xf numFmtId="0" fontId="3" fillId="0" borderId="17" xfId="0" applyFont="1" applyBorder="1"/>
    <xf numFmtId="0" fontId="1" fillId="5" borderId="15" xfId="0" applyFont="1" applyFill="1" applyBorder="1" applyAlignment="1">
      <alignment horizontal="left"/>
    </xf>
    <xf numFmtId="0" fontId="18" fillId="5" borderId="15" xfId="0" applyFont="1" applyFill="1" applyBorder="1" applyAlignment="1">
      <alignment horizontal="center" vertical="center"/>
    </xf>
    <xf numFmtId="0" fontId="11" fillId="11" borderId="86" xfId="0" applyFont="1" applyFill="1" applyBorder="1" applyAlignment="1">
      <alignment horizontal="center" vertical="center" wrapText="1"/>
    </xf>
    <xf numFmtId="0" fontId="3" fillId="0" borderId="87" xfId="0" applyFont="1" applyBorder="1"/>
    <xf numFmtId="0" fontId="13" fillId="11" borderId="70" xfId="0" applyFont="1" applyFill="1" applyBorder="1" applyAlignment="1">
      <alignment horizontal="center" vertical="center"/>
    </xf>
    <xf numFmtId="0" fontId="3" fillId="0" borderId="19" xfId="0" applyFont="1" applyBorder="1"/>
    <xf numFmtId="0" fontId="3" fillId="0" borderId="20" xfId="0" applyFont="1" applyBorder="1"/>
    <xf numFmtId="0" fontId="4" fillId="6" borderId="15" xfId="0" applyFont="1" applyFill="1" applyBorder="1" applyAlignment="1">
      <alignment horizontal="center" vertical="center"/>
    </xf>
    <xf numFmtId="0" fontId="15" fillId="11" borderId="48" xfId="0" applyFont="1" applyFill="1" applyBorder="1" applyAlignment="1">
      <alignment horizontal="center" vertical="center" wrapText="1"/>
    </xf>
    <xf numFmtId="0" fontId="3" fillId="0" borderId="50" xfId="0" applyFont="1" applyBorder="1"/>
    <xf numFmtId="0" fontId="3" fillId="0" borderId="51" xfId="0" applyFont="1" applyBorder="1"/>
    <xf numFmtId="0" fontId="3" fillId="0" borderId="55" xfId="0" applyFont="1" applyBorder="1"/>
    <xf numFmtId="0" fontId="0" fillId="0" borderId="0" xfId="0"/>
    <xf numFmtId="0" fontId="3" fillId="0" borderId="60" xfId="0" applyFont="1" applyBorder="1"/>
    <xf numFmtId="0" fontId="3" fillId="0" borderId="61" xfId="0" applyFont="1" applyBorder="1"/>
    <xf numFmtId="0" fontId="3" fillId="0" borderId="58" xfId="0" applyFont="1" applyBorder="1"/>
    <xf numFmtId="0" fontId="3" fillId="0" borderId="59" xfId="0" applyFont="1" applyBorder="1"/>
    <xf numFmtId="0" fontId="2" fillId="11" borderId="4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3" fillId="0" borderId="62" xfId="0" applyFont="1" applyBorder="1"/>
    <xf numFmtId="9" fontId="5" fillId="5" borderId="71" xfId="0" applyNumberFormat="1" applyFont="1" applyFill="1" applyBorder="1" applyAlignment="1">
      <alignment horizontal="center" vertical="center" wrapText="1"/>
    </xf>
    <xf numFmtId="0" fontId="3" fillId="0" borderId="76" xfId="0" applyFont="1" applyBorder="1"/>
    <xf numFmtId="0" fontId="17" fillId="11" borderId="77" xfId="0" applyFont="1" applyFill="1" applyBorder="1" applyAlignment="1">
      <alignment horizontal="center" vertical="center" wrapText="1"/>
    </xf>
    <xf numFmtId="0" fontId="3" fillId="0" borderId="91" xfId="0" applyFont="1" applyBorder="1"/>
    <xf numFmtId="0" fontId="3" fillId="0" borderId="98" xfId="0" applyFont="1" applyBorder="1"/>
    <xf numFmtId="0" fontId="11" fillId="11" borderId="89" xfId="0" applyFont="1" applyFill="1" applyBorder="1" applyAlignment="1">
      <alignment horizontal="center" vertical="center" wrapText="1"/>
    </xf>
    <xf numFmtId="0" fontId="3" fillId="0" borderId="95" xfId="0" applyFont="1" applyBorder="1"/>
    <xf numFmtId="0" fontId="4" fillId="5" borderId="70" xfId="0" applyFont="1" applyFill="1" applyBorder="1" applyAlignment="1">
      <alignment horizontal="center" vertical="center" wrapText="1"/>
    </xf>
    <xf numFmtId="0" fontId="11" fillId="11" borderId="81" xfId="0" applyFont="1" applyFill="1" applyBorder="1" applyAlignment="1">
      <alignment horizontal="center" vertical="center" wrapText="1"/>
    </xf>
    <xf numFmtId="0" fontId="11" fillId="11" borderId="82" xfId="0" applyFont="1" applyFill="1" applyBorder="1" applyAlignment="1">
      <alignment horizontal="center" vertical="center" wrapText="1"/>
    </xf>
    <xf numFmtId="0" fontId="3" fillId="0" borderId="94" xfId="0" applyFont="1" applyBorder="1"/>
    <xf numFmtId="0" fontId="19" fillId="11" borderId="84" xfId="0" applyFont="1" applyFill="1" applyBorder="1" applyAlignment="1">
      <alignment horizontal="center" vertical="center" wrapText="1"/>
    </xf>
    <xf numFmtId="0" fontId="11" fillId="11" borderId="85" xfId="0" applyFont="1" applyFill="1" applyBorder="1" applyAlignment="1">
      <alignment horizontal="center" vertical="center" wrapText="1"/>
    </xf>
    <xf numFmtId="0" fontId="12" fillId="9" borderId="46" xfId="0" applyFont="1" applyFill="1" applyBorder="1" applyAlignment="1">
      <alignment horizontal="center"/>
    </xf>
    <xf numFmtId="0" fontId="3" fillId="0" borderId="47" xfId="0" applyFont="1" applyBorder="1"/>
    <xf numFmtId="0" fontId="3" fillId="0" borderId="53" xfId="0" applyFont="1" applyBorder="1"/>
    <xf numFmtId="0" fontId="3" fillId="0" borderId="54" xfId="0" applyFont="1" applyBorder="1"/>
    <xf numFmtId="0" fontId="3" fillId="0" borderId="57" xfId="0" applyFont="1" applyBorder="1"/>
    <xf numFmtId="0" fontId="3" fillId="0" borderId="75" xfId="0" applyFont="1" applyBorder="1"/>
    <xf numFmtId="0" fontId="2" fillId="11" borderId="48" xfId="0" applyFont="1" applyFill="1" applyBorder="1" applyAlignment="1">
      <alignment horizontal="center" vertical="center" wrapText="1"/>
    </xf>
    <xf numFmtId="0" fontId="3" fillId="0" borderId="49" xfId="0" applyFont="1" applyBorder="1"/>
    <xf numFmtId="0" fontId="3" fillId="0" borderId="56" xfId="0" applyFont="1" applyBorder="1"/>
    <xf numFmtId="0" fontId="13" fillId="11" borderId="46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right" vertical="center"/>
    </xf>
    <xf numFmtId="0" fontId="3" fillId="0" borderId="8" xfId="0" applyFont="1" applyBorder="1"/>
    <xf numFmtId="165" fontId="4" fillId="0" borderId="16" xfId="0" applyNumberFormat="1" applyFont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9" fontId="6" fillId="0" borderId="39" xfId="0" applyNumberFormat="1" applyFont="1" applyBorder="1" applyAlignment="1">
      <alignment horizontal="center" vertical="center"/>
    </xf>
    <xf numFmtId="0" fontId="3" fillId="0" borderId="41" xfId="0" applyFont="1" applyBorder="1"/>
    <xf numFmtId="0" fontId="3" fillId="0" borderId="44" xfId="0" applyFont="1" applyBorder="1"/>
    <xf numFmtId="0" fontId="1" fillId="5" borderId="40" xfId="0" applyFont="1" applyFill="1" applyBorder="1" applyAlignment="1">
      <alignment horizontal="center"/>
    </xf>
    <xf numFmtId="0" fontId="3" fillId="0" borderId="42" xfId="0" applyFont="1" applyBorder="1"/>
    <xf numFmtId="0" fontId="3" fillId="0" borderId="45" xfId="0" applyFont="1" applyBorder="1"/>
    <xf numFmtId="165" fontId="4" fillId="0" borderId="16" xfId="0" applyNumberFormat="1" applyFont="1" applyBorder="1" applyAlignment="1">
      <alignment horizontal="center" vertical="center"/>
    </xf>
    <xf numFmtId="165" fontId="4" fillId="10" borderId="39" xfId="0" applyNumberFormat="1" applyFont="1" applyFill="1" applyBorder="1" applyAlignment="1">
      <alignment horizontal="center" vertical="center"/>
    </xf>
    <xf numFmtId="3" fontId="4" fillId="0" borderId="16" xfId="0" applyNumberFormat="1" applyFont="1" applyBorder="1" applyAlignment="1">
      <alignment horizontal="center"/>
    </xf>
    <xf numFmtId="0" fontId="13" fillId="11" borderId="48" xfId="0" applyFont="1" applyFill="1" applyBorder="1" applyAlignment="1">
      <alignment horizontal="center" vertical="center"/>
    </xf>
    <xf numFmtId="0" fontId="3" fillId="0" borderId="64" xfId="0" applyFont="1" applyBorder="1"/>
    <xf numFmtId="0" fontId="3" fillId="0" borderId="65" xfId="0" applyFont="1" applyBorder="1"/>
    <xf numFmtId="0" fontId="3" fillId="0" borderId="66" xfId="0" applyFont="1" applyBorder="1"/>
    <xf numFmtId="0" fontId="19" fillId="11" borderId="78" xfId="0" applyFont="1" applyFill="1" applyBorder="1" applyAlignment="1">
      <alignment horizontal="center" vertical="center"/>
    </xf>
    <xf numFmtId="0" fontId="3" fillId="0" borderId="79" xfId="0" applyFont="1" applyBorder="1"/>
    <xf numFmtId="0" fontId="3" fillId="0" borderId="80" xfId="0" applyFont="1" applyBorder="1"/>
    <xf numFmtId="0" fontId="11" fillId="11" borderId="92" xfId="0" applyFont="1" applyFill="1" applyBorder="1" applyAlignment="1">
      <alignment horizontal="center" vertical="center"/>
    </xf>
    <xf numFmtId="0" fontId="3" fillId="0" borderId="99" xfId="0" applyFont="1" applyBorder="1"/>
    <xf numFmtId="0" fontId="4" fillId="0" borderId="18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3" fillId="0" borderId="3" xfId="0" applyFont="1" applyBorder="1"/>
    <xf numFmtId="0" fontId="2" fillId="3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7" xfId="0" applyFont="1" applyBorder="1"/>
    <xf numFmtId="0" fontId="2" fillId="3" borderId="9" xfId="0" applyFont="1" applyFill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2" fillId="3" borderId="12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0" fontId="4" fillId="4" borderId="18" xfId="0" applyFont="1" applyFill="1" applyBorder="1" applyAlignment="1">
      <alignment horizontal="right"/>
    </xf>
    <xf numFmtId="0" fontId="4" fillId="6" borderId="31" xfId="0" applyFont="1" applyFill="1" applyBorder="1" applyAlignment="1">
      <alignment horizontal="center"/>
    </xf>
    <xf numFmtId="0" fontId="3" fillId="0" borderId="32" xfId="0" applyFont="1" applyBorder="1"/>
    <xf numFmtId="0" fontId="4" fillId="5" borderId="15" xfId="0" applyFont="1" applyFill="1" applyBorder="1" applyAlignment="1">
      <alignment horizontal="left"/>
    </xf>
    <xf numFmtId="0" fontId="4" fillId="5" borderId="31" xfId="0" applyFont="1" applyFill="1" applyBorder="1" applyAlignment="1">
      <alignment horizontal="left"/>
    </xf>
    <xf numFmtId="0" fontId="4" fillId="6" borderId="25" xfId="0" applyFont="1" applyFill="1" applyBorder="1" applyAlignment="1">
      <alignment horizontal="center"/>
    </xf>
    <xf numFmtId="0" fontId="3" fillId="0" borderId="26" xfId="0" applyFont="1" applyBorder="1"/>
    <xf numFmtId="0" fontId="4" fillId="6" borderId="28" xfId="0" applyFont="1" applyFill="1" applyBorder="1" applyAlignment="1">
      <alignment horizontal="center" vertical="center"/>
    </xf>
    <xf numFmtId="0" fontId="3" fillId="0" borderId="29" xfId="0" applyFont="1" applyBorder="1"/>
    <xf numFmtId="0" fontId="4" fillId="5" borderId="18" xfId="0" applyFont="1" applyFill="1" applyBorder="1" applyAlignment="1">
      <alignment horizontal="left"/>
    </xf>
    <xf numFmtId="165" fontId="6" fillId="0" borderId="19" xfId="0" applyNumberFormat="1" applyFont="1" applyBorder="1" applyAlignment="1">
      <alignment horizontal="center"/>
    </xf>
    <xf numFmtId="165" fontId="6" fillId="0" borderId="16" xfId="0" applyNumberFormat="1" applyFont="1" applyBorder="1" applyAlignment="1">
      <alignment horizontal="center"/>
    </xf>
    <xf numFmtId="9" fontId="6" fillId="0" borderId="27" xfId="0" applyNumberFormat="1" applyFont="1" applyBorder="1" applyAlignment="1">
      <alignment horizontal="center"/>
    </xf>
    <xf numFmtId="0" fontId="3" fillId="0" borderId="27" xfId="0" applyFont="1" applyBorder="1"/>
    <xf numFmtId="165" fontId="4" fillId="0" borderId="30" xfId="0" applyNumberFormat="1" applyFont="1" applyBorder="1" applyAlignment="1">
      <alignment horizontal="center" vertical="center"/>
    </xf>
    <xf numFmtId="0" fontId="3" fillId="0" borderId="30" xfId="0" applyFont="1" applyBorder="1"/>
    <xf numFmtId="8" fontId="0" fillId="0" borderId="0" xfId="0" applyNumberFormat="1"/>
    <xf numFmtId="10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4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8ED247AE-0F56-4624-B4C3-A5068DBDFE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254BF-852C-4FF5-BFFC-5C61813FAC8E}">
  <dimension ref="A1"/>
  <sheetViews>
    <sheetView workbookViewId="0">
      <selection activeCell="A2" sqref="A2"/>
    </sheetView>
  </sheetViews>
  <sheetFormatPr defaultRowHeight="15"/>
  <sheetData>
    <row r="1" spans="1:1">
      <c r="A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5503E-E13D-4524-A942-BCCCFC5A22DA}">
  <sheetPr>
    <pageSetUpPr fitToPage="1"/>
  </sheetPr>
  <dimension ref="B1:Z114"/>
  <sheetViews>
    <sheetView tabSelected="1" zoomScale="85" zoomScaleNormal="85" workbookViewId="0">
      <pane ySplit="18" topLeftCell="A19" activePane="bottomLeft" state="frozen"/>
      <selection pane="bottomLeft" activeCell="B19" sqref="B19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6" t="s">
        <v>0</v>
      </c>
      <c r="C1" s="197"/>
      <c r="D1" s="198" t="s">
        <v>1</v>
      </c>
      <c r="E1" s="199"/>
      <c r="F1" s="199"/>
      <c r="G1" s="199"/>
      <c r="H1" s="148"/>
      <c r="I1" s="196" t="s">
        <v>2</v>
      </c>
      <c r="J1" s="200"/>
      <c r="K1" s="200"/>
      <c r="L1" s="174"/>
      <c r="M1" s="201" t="s">
        <v>3</v>
      </c>
      <c r="N1" s="202"/>
      <c r="O1" s="203"/>
      <c r="P1" s="204" t="str">
        <f>L18</f>
        <v>CAD $</v>
      </c>
      <c r="Q1" s="200"/>
      <c r="R1" s="174"/>
      <c r="S1" s="196" t="s">
        <v>4</v>
      </c>
      <c r="T1" s="200"/>
      <c r="U1" s="200"/>
      <c r="V1" s="200"/>
      <c r="W1" s="174"/>
      <c r="X1" s="2"/>
      <c r="Y1" s="3"/>
    </row>
    <row r="2" spans="2:25" ht="15" customHeight="1">
      <c r="B2" s="5" t="s">
        <v>5</v>
      </c>
      <c r="C2" s="6"/>
      <c r="D2" s="127" t="s">
        <v>6</v>
      </c>
      <c r="E2" s="128"/>
      <c r="F2" s="129"/>
      <c r="G2" s="130"/>
      <c r="H2" s="129"/>
      <c r="I2" s="206" t="s">
        <v>7</v>
      </c>
      <c r="J2" s="135"/>
      <c r="K2" s="136"/>
      <c r="L2" s="8"/>
      <c r="M2" s="205" t="s">
        <v>8</v>
      </c>
      <c r="N2" s="136"/>
      <c r="O2" s="9"/>
      <c r="P2" s="216">
        <f>I114</f>
        <v>426538.79000000004</v>
      </c>
      <c r="Q2" s="135"/>
      <c r="R2" s="136"/>
      <c r="S2" s="205" t="s">
        <v>9</v>
      </c>
      <c r="T2" s="136"/>
      <c r="U2" s="215"/>
      <c r="V2" s="136"/>
      <c r="W2" s="10"/>
      <c r="X2" s="11"/>
      <c r="Y2" s="3"/>
    </row>
    <row r="3" spans="2:25" ht="15" customHeight="1">
      <c r="B3" s="12" t="s">
        <v>10</v>
      </c>
      <c r="C3" s="7"/>
      <c r="D3" s="127" t="s">
        <v>11</v>
      </c>
      <c r="E3" s="128"/>
      <c r="F3" s="129"/>
      <c r="G3" s="130"/>
      <c r="H3" s="129"/>
      <c r="I3" s="127" t="s">
        <v>12</v>
      </c>
      <c r="J3" s="128"/>
      <c r="K3" s="129"/>
      <c r="L3" s="13"/>
      <c r="M3" s="176" t="s">
        <v>13</v>
      </c>
      <c r="N3" s="129"/>
      <c r="O3" s="9"/>
      <c r="P3" s="217">
        <f>M114</f>
        <v>213269.47</v>
      </c>
      <c r="Q3" s="128"/>
      <c r="R3" s="129"/>
      <c r="S3" s="176" t="s">
        <v>14</v>
      </c>
      <c r="T3" s="129"/>
      <c r="U3" s="209"/>
      <c r="V3" s="129"/>
      <c r="W3" s="14"/>
      <c r="X3" s="1"/>
      <c r="Y3" s="15"/>
    </row>
    <row r="4" spans="2:25" ht="15" customHeight="1">
      <c r="B4" s="16" t="s">
        <v>15</v>
      </c>
      <c r="C4" s="7"/>
      <c r="D4" s="127" t="s">
        <v>16</v>
      </c>
      <c r="E4" s="128"/>
      <c r="F4" s="129"/>
      <c r="G4" s="130" t="s">
        <v>92</v>
      </c>
      <c r="H4" s="129"/>
      <c r="I4" s="127" t="s">
        <v>17</v>
      </c>
      <c r="J4" s="128"/>
      <c r="K4" s="129"/>
      <c r="L4" s="13"/>
      <c r="M4" s="176" t="s">
        <v>18</v>
      </c>
      <c r="N4" s="129"/>
      <c r="O4" s="9"/>
      <c r="P4" s="217">
        <f>P2-P3</f>
        <v>213269.32000000004</v>
      </c>
      <c r="Q4" s="128"/>
      <c r="R4" s="129"/>
      <c r="S4" s="176" t="s">
        <v>19</v>
      </c>
      <c r="T4" s="129"/>
      <c r="U4" s="209"/>
      <c r="V4" s="129"/>
      <c r="W4" s="14"/>
      <c r="X4" s="1"/>
      <c r="Y4" s="15"/>
    </row>
    <row r="5" spans="2:25" ht="15" customHeight="1" thickBot="1">
      <c r="B5" s="16" t="s">
        <v>20</v>
      </c>
      <c r="C5" s="7"/>
      <c r="D5" s="127" t="s">
        <v>21</v>
      </c>
      <c r="E5" s="128"/>
      <c r="F5" s="129"/>
      <c r="G5" s="130" t="s">
        <v>100</v>
      </c>
      <c r="H5" s="129"/>
      <c r="I5" s="127" t="s">
        <v>22</v>
      </c>
      <c r="J5" s="128"/>
      <c r="K5" s="129"/>
      <c r="L5" s="13"/>
      <c r="M5" s="211" t="s">
        <v>23</v>
      </c>
      <c r="N5" s="212"/>
      <c r="O5" s="9"/>
      <c r="P5" s="218">
        <f>IFERROR((P2-P3)/P2,"")</f>
        <v>0.49999982416605071</v>
      </c>
      <c r="Q5" s="219"/>
      <c r="R5" s="212"/>
      <c r="S5" s="176" t="s">
        <v>24</v>
      </c>
      <c r="T5" s="129"/>
      <c r="U5" s="209"/>
      <c r="V5" s="129"/>
      <c r="W5" s="14"/>
      <c r="X5" s="1"/>
      <c r="Y5" s="15"/>
    </row>
    <row r="6" spans="2:25" ht="15" customHeight="1">
      <c r="B6" s="16" t="s">
        <v>25</v>
      </c>
      <c r="C6" s="17"/>
      <c r="D6" s="127" t="s">
        <v>26</v>
      </c>
      <c r="E6" s="128"/>
      <c r="F6" s="129"/>
      <c r="G6" s="130"/>
      <c r="H6" s="129"/>
      <c r="I6" s="127" t="s">
        <v>27</v>
      </c>
      <c r="J6" s="128"/>
      <c r="K6" s="129"/>
      <c r="L6" s="13"/>
      <c r="M6" s="213" t="s">
        <v>28</v>
      </c>
      <c r="N6" s="214"/>
      <c r="O6" s="9"/>
      <c r="P6" s="220">
        <f>T114</f>
        <v>213269.47</v>
      </c>
      <c r="Q6" s="221"/>
      <c r="R6" s="214"/>
      <c r="S6" s="176" t="s">
        <v>29</v>
      </c>
      <c r="T6" s="129"/>
      <c r="U6" s="209"/>
      <c r="V6" s="129"/>
      <c r="W6" s="18"/>
      <c r="X6" s="19"/>
      <c r="Y6" s="20"/>
    </row>
    <row r="7" spans="2:25" ht="15" customHeight="1">
      <c r="B7" s="16" t="s">
        <v>30</v>
      </c>
      <c r="C7" s="7"/>
      <c r="D7" s="127" t="s">
        <v>31</v>
      </c>
      <c r="E7" s="128"/>
      <c r="F7" s="129"/>
      <c r="G7" s="21"/>
      <c r="H7" s="21"/>
      <c r="I7" s="127" t="s">
        <v>32</v>
      </c>
      <c r="J7" s="128"/>
      <c r="K7" s="129"/>
      <c r="L7" s="13"/>
      <c r="M7" s="137" t="s">
        <v>33</v>
      </c>
      <c r="N7" s="129"/>
      <c r="O7" s="9"/>
      <c r="P7" s="175">
        <f>R114</f>
        <v>0</v>
      </c>
      <c r="Q7" s="128"/>
      <c r="R7" s="129"/>
      <c r="S7" s="207" t="s">
        <v>34</v>
      </c>
      <c r="T7" s="208"/>
      <c r="U7" s="210"/>
      <c r="V7" s="208"/>
      <c r="W7" s="18"/>
      <c r="X7" s="22"/>
      <c r="Y7" s="4"/>
    </row>
    <row r="8" spans="2:25" ht="15" customHeight="1">
      <c r="B8" s="23"/>
      <c r="C8" s="24"/>
      <c r="D8" s="127" t="s">
        <v>35</v>
      </c>
      <c r="E8" s="128"/>
      <c r="F8" s="129"/>
      <c r="G8" s="130"/>
      <c r="H8" s="129"/>
      <c r="I8" s="127" t="s">
        <v>36</v>
      </c>
      <c r="J8" s="128"/>
      <c r="K8" s="129"/>
      <c r="L8" s="13"/>
      <c r="M8" s="137" t="s">
        <v>37</v>
      </c>
      <c r="N8" s="129"/>
      <c r="O8" s="9"/>
      <c r="P8" s="175">
        <f>IF(P1=Q15,R15,IF(Q15="CAD $",R15*E16,IF(Q15="USD $",R15*F16,0)))</f>
        <v>0</v>
      </c>
      <c r="Q8" s="128"/>
      <c r="R8" s="129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24"/>
      <c r="D9" s="127" t="s">
        <v>42</v>
      </c>
      <c r="E9" s="128"/>
      <c r="F9" s="129"/>
      <c r="G9" s="130"/>
      <c r="H9" s="129"/>
      <c r="I9" s="31"/>
      <c r="J9" s="32"/>
      <c r="K9" s="32"/>
      <c r="L9" s="33"/>
      <c r="M9" s="137" t="s">
        <v>43</v>
      </c>
      <c r="N9" s="129"/>
      <c r="O9" s="9"/>
      <c r="P9" s="183">
        <f>V15</f>
        <v>0</v>
      </c>
      <c r="Q9" s="128"/>
      <c r="R9" s="129"/>
      <c r="S9" s="184">
        <f>P7+P8+P9</f>
        <v>0</v>
      </c>
      <c r="T9" s="184">
        <f>P3-S9</f>
        <v>213269.47</v>
      </c>
      <c r="U9" s="177">
        <f>IFERROR(((P3-S9)/S9),0)</f>
        <v>0</v>
      </c>
      <c r="V9" s="177">
        <f>IFERROR(T9/P3,0)</f>
        <v>1</v>
      </c>
      <c r="W9" s="180"/>
      <c r="X9" s="29"/>
      <c r="Y9" s="4"/>
    </row>
    <row r="10" spans="2:25" ht="15" customHeight="1">
      <c r="B10" s="30"/>
      <c r="C10" s="24"/>
      <c r="D10" s="127" t="s">
        <v>44</v>
      </c>
      <c r="E10" s="128"/>
      <c r="F10" s="129"/>
      <c r="G10" s="130" t="s">
        <v>99</v>
      </c>
      <c r="H10" s="129"/>
      <c r="I10" s="31"/>
      <c r="J10" s="32"/>
      <c r="K10" s="32"/>
      <c r="L10" s="33"/>
      <c r="M10" s="137"/>
      <c r="N10" s="129"/>
      <c r="O10" s="9"/>
      <c r="P10" s="183"/>
      <c r="Q10" s="128"/>
      <c r="R10" s="129"/>
      <c r="S10" s="178"/>
      <c r="T10" s="178"/>
      <c r="U10" s="178"/>
      <c r="V10" s="178"/>
      <c r="W10" s="181"/>
      <c r="X10" s="29"/>
      <c r="Y10" s="4"/>
    </row>
    <row r="11" spans="2:25" ht="15" customHeight="1" thickBot="1">
      <c r="B11" s="30"/>
      <c r="C11" s="30"/>
      <c r="D11" s="34"/>
      <c r="E11" s="34"/>
      <c r="F11" s="34"/>
      <c r="G11" s="35"/>
      <c r="H11" s="35"/>
      <c r="I11" s="36"/>
      <c r="J11" s="32"/>
      <c r="K11" s="32"/>
      <c r="L11" s="33"/>
      <c r="M11" s="176" t="s">
        <v>45</v>
      </c>
      <c r="N11" s="129"/>
      <c r="O11" s="9"/>
      <c r="P11" s="185">
        <f>F114</f>
        <v>23</v>
      </c>
      <c r="Q11" s="128"/>
      <c r="R11" s="129"/>
      <c r="S11" s="179"/>
      <c r="T11" s="179"/>
      <c r="U11" s="179"/>
      <c r="V11" s="179"/>
      <c r="W11" s="182"/>
      <c r="X11" s="29"/>
      <c r="Y11" s="4"/>
    </row>
    <row r="12" spans="2:25" ht="15" customHeight="1">
      <c r="B12" s="163"/>
      <c r="C12" s="164"/>
      <c r="D12" s="37"/>
      <c r="E12" s="169" t="s">
        <v>46</v>
      </c>
      <c r="F12" s="170"/>
      <c r="G12" s="172" t="s">
        <v>8</v>
      </c>
      <c r="H12" s="139"/>
      <c r="I12" s="140"/>
      <c r="J12" s="38"/>
      <c r="K12" s="138" t="s">
        <v>47</v>
      </c>
      <c r="L12" s="139"/>
      <c r="M12" s="139"/>
      <c r="N12" s="140"/>
      <c r="O12" s="9"/>
      <c r="P12" s="186" t="s">
        <v>48</v>
      </c>
      <c r="Q12" s="139"/>
      <c r="R12" s="139"/>
      <c r="S12" s="139"/>
      <c r="T12" s="139"/>
      <c r="U12" s="139"/>
      <c r="V12" s="170"/>
      <c r="W12" s="39"/>
      <c r="X12" s="40"/>
      <c r="Y12" s="4" t="s">
        <v>49</v>
      </c>
    </row>
    <row r="13" spans="2:25" ht="15" customHeight="1">
      <c r="B13" s="165"/>
      <c r="C13" s="166"/>
      <c r="D13" s="41"/>
      <c r="E13" s="141"/>
      <c r="F13" s="171"/>
      <c r="G13" s="167"/>
      <c r="H13" s="145"/>
      <c r="I13" s="146"/>
      <c r="J13" s="42"/>
      <c r="K13" s="141"/>
      <c r="L13" s="142"/>
      <c r="M13" s="142"/>
      <c r="N13" s="143"/>
      <c r="O13" s="43"/>
      <c r="P13" s="141"/>
      <c r="Q13" s="142"/>
      <c r="R13" s="142"/>
      <c r="S13" s="142"/>
      <c r="T13" s="142"/>
      <c r="U13" s="142"/>
      <c r="V13" s="171"/>
      <c r="W13" s="44"/>
      <c r="X13" s="40"/>
      <c r="Y13" s="4" t="s">
        <v>50</v>
      </c>
    </row>
    <row r="14" spans="2:25" ht="15" customHeight="1">
      <c r="B14" s="165"/>
      <c r="C14" s="166"/>
      <c r="D14" s="41"/>
      <c r="E14" s="144"/>
      <c r="F14" s="149"/>
      <c r="G14" s="173" t="s">
        <v>51</v>
      </c>
      <c r="H14" s="174"/>
      <c r="I14" s="45" t="s">
        <v>52</v>
      </c>
      <c r="J14" s="46"/>
      <c r="K14" s="144"/>
      <c r="L14" s="145"/>
      <c r="M14" s="145"/>
      <c r="N14" s="146"/>
      <c r="O14" s="43"/>
      <c r="P14" s="187"/>
      <c r="Q14" s="188"/>
      <c r="R14" s="188"/>
      <c r="S14" s="188"/>
      <c r="T14" s="188"/>
      <c r="U14" s="188"/>
      <c r="V14" s="189"/>
      <c r="W14" s="47"/>
      <c r="X14" s="40"/>
      <c r="Y14" s="4" t="s">
        <v>52</v>
      </c>
    </row>
    <row r="15" spans="2:25" ht="30" customHeight="1">
      <c r="B15" s="165"/>
      <c r="C15" s="166"/>
      <c r="D15" s="41"/>
      <c r="E15" s="48" t="s">
        <v>53</v>
      </c>
      <c r="F15" s="49" t="s">
        <v>54</v>
      </c>
      <c r="G15" s="134" t="s">
        <v>55</v>
      </c>
      <c r="H15" s="135"/>
      <c r="I15" s="136"/>
      <c r="J15" s="50"/>
      <c r="K15" s="147" t="s">
        <v>56</v>
      </c>
      <c r="L15" s="148"/>
      <c r="M15" s="150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ROUND(R114*T15,2)</f>
        <v>0</v>
      </c>
      <c r="W15" s="58"/>
      <c r="X15" s="40"/>
      <c r="Y15" s="4" t="s">
        <v>60</v>
      </c>
    </row>
    <row r="16" spans="2:25" ht="15" customHeight="1">
      <c r="B16" s="167"/>
      <c r="C16" s="168"/>
      <c r="D16" s="41"/>
      <c r="E16" s="59">
        <f>1/F16</f>
        <v>0.7246376811594204</v>
      </c>
      <c r="F16" s="60">
        <v>1.38</v>
      </c>
      <c r="G16" s="131"/>
      <c r="H16" s="128"/>
      <c r="I16" s="129"/>
      <c r="J16" s="61"/>
      <c r="K16" s="144"/>
      <c r="L16" s="149"/>
      <c r="M16" s="151"/>
      <c r="N16" s="152" t="s">
        <v>61</v>
      </c>
      <c r="O16" s="52"/>
      <c r="P16" s="190" t="s">
        <v>62</v>
      </c>
      <c r="Q16" s="191"/>
      <c r="R16" s="191"/>
      <c r="S16" s="191"/>
      <c r="T16" s="191"/>
      <c r="U16" s="191"/>
      <c r="V16" s="192"/>
      <c r="W16" s="62"/>
      <c r="X16" s="63"/>
      <c r="Y16" s="4"/>
    </row>
    <row r="17" spans="2:26" ht="15" customHeight="1">
      <c r="B17" s="158" t="s">
        <v>63</v>
      </c>
      <c r="C17" s="159" t="s">
        <v>64</v>
      </c>
      <c r="D17" s="64"/>
      <c r="E17" s="161" t="s">
        <v>65</v>
      </c>
      <c r="F17" s="162" t="s">
        <v>66</v>
      </c>
      <c r="G17" s="132" t="s">
        <v>67</v>
      </c>
      <c r="H17" s="133"/>
      <c r="I17" s="65" t="s">
        <v>68</v>
      </c>
      <c r="J17" s="66"/>
      <c r="K17" s="155" t="s">
        <v>66</v>
      </c>
      <c r="L17" s="67" t="s">
        <v>69</v>
      </c>
      <c r="M17" s="68" t="s">
        <v>70</v>
      </c>
      <c r="N17" s="153"/>
      <c r="O17" s="69"/>
      <c r="P17" s="193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51"/>
      <c r="C18" s="160"/>
      <c r="D18" s="74"/>
      <c r="E18" s="156"/>
      <c r="F18" s="151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56"/>
      <c r="L18" s="157" t="s">
        <v>49</v>
      </c>
      <c r="M18" s="136"/>
      <c r="N18" s="154"/>
      <c r="O18" s="78"/>
      <c r="P18" s="194"/>
      <c r="Q18" s="54" t="s">
        <v>50</v>
      </c>
      <c r="R18" s="195" t="str">
        <f>L18</f>
        <v>CAD $</v>
      </c>
      <c r="S18" s="135"/>
      <c r="T18" s="135"/>
      <c r="U18" s="135"/>
      <c r="V18" s="136"/>
      <c r="W18" s="79"/>
      <c r="X18" s="80"/>
      <c r="Y18" s="81"/>
      <c r="Z18" s="81"/>
    </row>
    <row r="19" spans="2:26">
      <c r="B19" t="s">
        <v>101</v>
      </c>
      <c r="C19" t="s">
        <v>79</v>
      </c>
      <c r="D19" s="83"/>
      <c r="E19" s="84"/>
      <c r="F19">
        <v>1</v>
      </c>
      <c r="G19" s="222">
        <v>87.5</v>
      </c>
      <c r="H19" s="222">
        <v>328.13</v>
      </c>
      <c r="I19" s="222">
        <v>328.13</v>
      </c>
      <c r="J19" s="88"/>
      <c r="K19">
        <v>1</v>
      </c>
      <c r="L19" s="222">
        <v>164.07</v>
      </c>
      <c r="M19" s="222">
        <v>164.07</v>
      </c>
      <c r="N19" s="89"/>
      <c r="O19" s="90"/>
      <c r="P19" s="82"/>
      <c r="Q19" s="91"/>
      <c r="R19" s="91"/>
      <c r="S19" s="222">
        <v>164.07</v>
      </c>
      <c r="T19" s="222">
        <v>164.07</v>
      </c>
      <c r="U19" s="223">
        <v>0</v>
      </c>
      <c r="V19" s="223">
        <v>1</v>
      </c>
      <c r="W19" s="93"/>
      <c r="X19" s="94"/>
      <c r="Y19" s="4"/>
      <c r="Z19" s="4"/>
    </row>
    <row r="20" spans="2:26">
      <c r="B20" t="s">
        <v>102</v>
      </c>
      <c r="C20" t="s">
        <v>103</v>
      </c>
      <c r="D20" s="83"/>
      <c r="E20" s="97"/>
      <c r="F20">
        <v>1</v>
      </c>
      <c r="G20" s="222">
        <v>1525.5</v>
      </c>
      <c r="H20" s="222">
        <v>5720.63</v>
      </c>
      <c r="I20" s="222">
        <v>5720.63</v>
      </c>
      <c r="J20" s="102"/>
      <c r="K20">
        <v>1</v>
      </c>
      <c r="L20" s="222">
        <v>2860.32</v>
      </c>
      <c r="M20" s="222">
        <v>2860.32</v>
      </c>
      <c r="N20" s="104"/>
      <c r="O20" s="90"/>
      <c r="P20" s="95"/>
      <c r="Q20" s="99"/>
      <c r="R20" s="105"/>
      <c r="S20" s="222">
        <v>2860.32</v>
      </c>
      <c r="T20" s="222">
        <v>2860.32</v>
      </c>
      <c r="U20" s="223">
        <v>0</v>
      </c>
      <c r="V20" s="223">
        <v>1</v>
      </c>
      <c r="W20" s="108"/>
      <c r="X20" s="94"/>
      <c r="Y20" s="4"/>
      <c r="Z20" s="4"/>
    </row>
    <row r="21" spans="2:26" ht="15.75" customHeight="1">
      <c r="B21" t="s">
        <v>104</v>
      </c>
      <c r="C21" t="s">
        <v>80</v>
      </c>
      <c r="D21" s="83"/>
      <c r="E21" s="84"/>
      <c r="F21">
        <v>1</v>
      </c>
      <c r="G21" s="222">
        <v>196</v>
      </c>
      <c r="H21" s="222">
        <v>735</v>
      </c>
      <c r="I21" s="222">
        <v>735</v>
      </c>
      <c r="J21" s="102"/>
      <c r="K21">
        <v>1</v>
      </c>
      <c r="L21" s="222">
        <v>367.5</v>
      </c>
      <c r="M21" s="222">
        <v>367.5</v>
      </c>
      <c r="N21" s="111"/>
      <c r="O21" s="90"/>
      <c r="P21" s="112"/>
      <c r="Q21" s="91"/>
      <c r="R21" s="91"/>
      <c r="S21" s="222">
        <v>367.5</v>
      </c>
      <c r="T21" s="222">
        <v>367.5</v>
      </c>
      <c r="U21" s="223">
        <v>0</v>
      </c>
      <c r="V21" s="223">
        <v>1</v>
      </c>
      <c r="W21" s="93"/>
      <c r="X21" s="94"/>
      <c r="Y21" s="4"/>
      <c r="Z21" s="4"/>
    </row>
    <row r="22" spans="2:26" ht="15.75" customHeight="1">
      <c r="B22" t="s">
        <v>105</v>
      </c>
      <c r="C22" t="s">
        <v>81</v>
      </c>
      <c r="D22" s="83"/>
      <c r="E22" s="97"/>
      <c r="F22">
        <v>1</v>
      </c>
      <c r="G22" s="222">
        <v>2434</v>
      </c>
      <c r="H22" s="222">
        <v>9127.5</v>
      </c>
      <c r="I22" s="222">
        <v>9127.5</v>
      </c>
      <c r="J22" s="102"/>
      <c r="K22">
        <v>1</v>
      </c>
      <c r="L22" s="222">
        <v>4563.75</v>
      </c>
      <c r="M22" s="222">
        <v>4563.75</v>
      </c>
      <c r="N22" s="104"/>
      <c r="O22" s="90"/>
      <c r="P22" s="95"/>
      <c r="Q22" s="99"/>
      <c r="R22" s="105"/>
      <c r="S22" s="222">
        <v>4563.75</v>
      </c>
      <c r="T22" s="222">
        <v>4563.75</v>
      </c>
      <c r="U22" s="223">
        <v>0</v>
      </c>
      <c r="V22" s="223">
        <v>1</v>
      </c>
      <c r="W22" s="108"/>
      <c r="X22" s="94"/>
      <c r="Y22" s="4"/>
      <c r="Z22" s="4"/>
    </row>
    <row r="23" spans="2:26" ht="15.75" customHeight="1">
      <c r="B23" t="s">
        <v>106</v>
      </c>
      <c r="C23" t="s">
        <v>82</v>
      </c>
      <c r="D23" s="83"/>
      <c r="E23" s="84"/>
      <c r="F23">
        <v>1</v>
      </c>
      <c r="G23" s="222">
        <v>295.67</v>
      </c>
      <c r="H23" s="222">
        <v>1108.76</v>
      </c>
      <c r="I23" s="222">
        <v>1108.76</v>
      </c>
      <c r="J23" s="102"/>
      <c r="K23">
        <v>1</v>
      </c>
      <c r="L23" s="222">
        <v>554.38</v>
      </c>
      <c r="M23" s="222">
        <v>554.38</v>
      </c>
      <c r="N23" s="111"/>
      <c r="O23" s="90"/>
      <c r="P23" s="112"/>
      <c r="Q23" s="91"/>
      <c r="R23" s="91"/>
      <c r="S23" s="222">
        <v>554.38</v>
      </c>
      <c r="T23" s="222">
        <v>554.38</v>
      </c>
      <c r="U23" s="223">
        <v>0</v>
      </c>
      <c r="V23" s="223">
        <v>1</v>
      </c>
      <c r="W23" s="93"/>
      <c r="X23" s="94"/>
      <c r="Y23" s="4"/>
      <c r="Z23" s="4"/>
    </row>
    <row r="24" spans="2:26" ht="15.75" customHeight="1">
      <c r="B24" t="s">
        <v>107</v>
      </c>
      <c r="C24" t="s">
        <v>83</v>
      </c>
      <c r="D24" s="83"/>
      <c r="E24" s="97"/>
      <c r="F24">
        <v>1</v>
      </c>
      <c r="G24" s="222">
        <v>289.5</v>
      </c>
      <c r="H24" s="222">
        <v>1085.6300000000001</v>
      </c>
      <c r="I24" s="222">
        <v>1085.6300000000001</v>
      </c>
      <c r="J24" s="102"/>
      <c r="K24">
        <v>1</v>
      </c>
      <c r="L24" s="222">
        <v>542.82000000000005</v>
      </c>
      <c r="M24" s="222">
        <v>542.82000000000005</v>
      </c>
      <c r="N24" s="104"/>
      <c r="O24" s="90"/>
      <c r="P24" s="95"/>
      <c r="Q24" s="99"/>
      <c r="R24" s="105"/>
      <c r="S24" s="222">
        <v>542.82000000000005</v>
      </c>
      <c r="T24" s="222">
        <v>542.82000000000005</v>
      </c>
      <c r="U24" s="223">
        <v>0</v>
      </c>
      <c r="V24" s="223">
        <v>1</v>
      </c>
      <c r="W24" s="108"/>
      <c r="X24" s="94"/>
      <c r="Y24" s="4"/>
      <c r="Z24" s="4"/>
    </row>
    <row r="25" spans="2:26" ht="15.75" customHeight="1">
      <c r="B25" t="s">
        <v>108</v>
      </c>
      <c r="C25" t="s">
        <v>84</v>
      </c>
      <c r="D25" s="83"/>
      <c r="E25" s="84"/>
      <c r="F25">
        <v>1</v>
      </c>
      <c r="G25" s="222">
        <v>236.5</v>
      </c>
      <c r="H25" s="222">
        <v>886.88</v>
      </c>
      <c r="I25" s="222">
        <v>886.88</v>
      </c>
      <c r="J25" s="102"/>
      <c r="K25">
        <v>1</v>
      </c>
      <c r="L25" s="222">
        <v>443.44</v>
      </c>
      <c r="M25" s="222">
        <v>443.44</v>
      </c>
      <c r="N25" s="111"/>
      <c r="O25" s="90"/>
      <c r="P25" s="112"/>
      <c r="Q25" s="91"/>
      <c r="R25" s="91"/>
      <c r="S25" s="222">
        <v>443.44</v>
      </c>
      <c r="T25" s="222">
        <v>443.44</v>
      </c>
      <c r="U25" s="223">
        <v>0</v>
      </c>
      <c r="V25" s="223">
        <v>1</v>
      </c>
      <c r="W25" s="93"/>
      <c r="X25" s="94"/>
      <c r="Y25" s="4"/>
      <c r="Z25" s="4"/>
    </row>
    <row r="26" spans="2:26" ht="15.75" customHeight="1">
      <c r="B26" t="s">
        <v>109</v>
      </c>
      <c r="C26" t="s">
        <v>85</v>
      </c>
      <c r="D26" s="83"/>
      <c r="E26" s="97"/>
      <c r="F26">
        <v>1</v>
      </c>
      <c r="G26" s="222">
        <v>170</v>
      </c>
      <c r="H26" s="222">
        <v>637.5</v>
      </c>
      <c r="I26" s="222">
        <v>637.5</v>
      </c>
      <c r="J26" s="102"/>
      <c r="K26">
        <v>1</v>
      </c>
      <c r="L26" s="222">
        <v>318.75</v>
      </c>
      <c r="M26" s="222">
        <v>318.75</v>
      </c>
      <c r="N26" s="104"/>
      <c r="O26" s="90"/>
      <c r="P26" s="95"/>
      <c r="Q26" s="99"/>
      <c r="R26" s="105"/>
      <c r="S26" s="222">
        <v>318.75</v>
      </c>
      <c r="T26" s="222">
        <v>318.75</v>
      </c>
      <c r="U26" s="223">
        <v>0</v>
      </c>
      <c r="V26" s="223">
        <v>1</v>
      </c>
      <c r="W26" s="108"/>
      <c r="X26" s="94"/>
      <c r="Y26" s="4"/>
      <c r="Z26" s="113"/>
    </row>
    <row r="27" spans="2:26" ht="15.75" customHeight="1">
      <c r="B27" t="s">
        <v>86</v>
      </c>
      <c r="C27" t="s">
        <v>96</v>
      </c>
      <c r="D27" s="83"/>
      <c r="E27" s="84"/>
      <c r="F27">
        <v>2</v>
      </c>
      <c r="G27" s="222">
        <v>921</v>
      </c>
      <c r="H27" s="222">
        <v>3453.75</v>
      </c>
      <c r="I27" s="222">
        <v>6907.5</v>
      </c>
      <c r="J27" s="102"/>
      <c r="K27">
        <v>2</v>
      </c>
      <c r="L27" s="222">
        <v>1726.88</v>
      </c>
      <c r="M27" s="222">
        <v>3453.76</v>
      </c>
      <c r="N27" s="111"/>
      <c r="O27" s="90"/>
      <c r="P27" s="112"/>
      <c r="Q27" s="91"/>
      <c r="R27" s="91"/>
      <c r="S27" s="222">
        <v>1726.88</v>
      </c>
      <c r="T27" s="222">
        <v>3453.76</v>
      </c>
      <c r="U27" s="223">
        <v>0</v>
      </c>
      <c r="V27" s="223">
        <v>1</v>
      </c>
      <c r="W27" s="93"/>
      <c r="X27" s="94"/>
      <c r="Y27" s="4"/>
      <c r="Z27" s="4"/>
    </row>
    <row r="28" spans="2:26" ht="15.75" customHeight="1">
      <c r="D28" s="83"/>
      <c r="E28" s="84"/>
      <c r="H28" t="s">
        <v>91</v>
      </c>
      <c r="I28" t="s">
        <v>91</v>
      </c>
      <c r="J28" s="102"/>
      <c r="K28">
        <v>0</v>
      </c>
      <c r="L28" t="s">
        <v>91</v>
      </c>
      <c r="M28" t="s">
        <v>91</v>
      </c>
      <c r="N28" s="111"/>
      <c r="O28" s="90"/>
      <c r="P28" s="112"/>
      <c r="Q28" s="91"/>
      <c r="R28" s="91"/>
      <c r="S28" t="s">
        <v>91</v>
      </c>
      <c r="T28" t="s">
        <v>91</v>
      </c>
      <c r="U28" s="223">
        <v>0</v>
      </c>
      <c r="V28" s="223">
        <v>0</v>
      </c>
      <c r="W28" s="93"/>
      <c r="X28" s="94"/>
      <c r="Y28" s="4"/>
      <c r="Z28" s="4"/>
    </row>
    <row r="29" spans="2:26" ht="15.75" customHeight="1">
      <c r="B29" t="s">
        <v>87</v>
      </c>
      <c r="C29" t="s">
        <v>94</v>
      </c>
      <c r="D29" s="83"/>
      <c r="E29" s="97"/>
      <c r="F29">
        <v>1</v>
      </c>
      <c r="G29" s="222">
        <v>10195.5</v>
      </c>
      <c r="H29" s="222">
        <v>38233.129999999997</v>
      </c>
      <c r="I29" s="222">
        <v>38233.129999999997</v>
      </c>
      <c r="J29" s="102"/>
      <c r="K29">
        <v>1</v>
      </c>
      <c r="L29" s="222">
        <v>19116.57</v>
      </c>
      <c r="M29" s="222">
        <v>19116.57</v>
      </c>
      <c r="N29" s="104"/>
      <c r="O29" s="90"/>
      <c r="P29" s="95"/>
      <c r="Q29" s="99"/>
      <c r="R29" s="105"/>
      <c r="S29" s="222">
        <v>19116.57</v>
      </c>
      <c r="T29" s="222">
        <v>19116.57</v>
      </c>
      <c r="U29" s="223">
        <v>0</v>
      </c>
      <c r="V29" s="223">
        <v>1</v>
      </c>
      <c r="W29" s="108"/>
      <c r="X29" s="94"/>
      <c r="Y29" s="4"/>
      <c r="Z29" s="4"/>
    </row>
    <row r="30" spans="2:26" ht="15.75" customHeight="1">
      <c r="B30" t="s">
        <v>110</v>
      </c>
      <c r="C30" t="s">
        <v>88</v>
      </c>
      <c r="D30" s="83"/>
      <c r="E30" s="84"/>
      <c r="F30">
        <v>1</v>
      </c>
      <c r="G30" s="222">
        <v>7540</v>
      </c>
      <c r="H30" s="222">
        <v>28275</v>
      </c>
      <c r="I30" s="222">
        <v>28275</v>
      </c>
      <c r="J30" s="102"/>
      <c r="K30">
        <v>1</v>
      </c>
      <c r="L30" s="222">
        <v>14137.5</v>
      </c>
      <c r="M30" s="222">
        <v>14137.5</v>
      </c>
      <c r="N30" s="111"/>
      <c r="O30" s="90"/>
      <c r="P30" s="112"/>
      <c r="Q30" s="91"/>
      <c r="R30" s="91"/>
      <c r="S30" s="222">
        <v>14137.5</v>
      </c>
      <c r="T30" s="222">
        <v>14137.5</v>
      </c>
      <c r="U30" s="223">
        <v>0</v>
      </c>
      <c r="V30" s="223">
        <v>1</v>
      </c>
      <c r="W30" s="93"/>
    </row>
    <row r="31" spans="2:26" ht="15.75" customHeight="1">
      <c r="B31" t="s">
        <v>111</v>
      </c>
      <c r="C31" t="s">
        <v>89</v>
      </c>
      <c r="D31" s="83"/>
      <c r="E31" s="97"/>
      <c r="F31">
        <v>1</v>
      </c>
      <c r="G31" s="222">
        <v>17423</v>
      </c>
      <c r="H31" s="222">
        <v>65336.25</v>
      </c>
      <c r="I31" s="222">
        <v>65336.25</v>
      </c>
      <c r="J31" s="102"/>
      <c r="K31">
        <v>1</v>
      </c>
      <c r="L31" s="222">
        <v>32668.13</v>
      </c>
      <c r="M31" s="222">
        <v>32668.13</v>
      </c>
      <c r="N31" s="104"/>
      <c r="O31" s="90"/>
      <c r="P31" s="95"/>
      <c r="Q31" s="99"/>
      <c r="R31" s="105"/>
      <c r="S31" s="222">
        <v>32668.13</v>
      </c>
      <c r="T31" s="222">
        <v>32668.13</v>
      </c>
      <c r="U31" s="223">
        <v>0</v>
      </c>
      <c r="V31" s="223">
        <v>1</v>
      </c>
      <c r="W31" s="108"/>
    </row>
    <row r="32" spans="2:26" ht="15.75" customHeight="1">
      <c r="B32" t="s">
        <v>112</v>
      </c>
      <c r="C32" t="s">
        <v>90</v>
      </c>
      <c r="D32" s="83"/>
      <c r="E32" s="84"/>
      <c r="F32">
        <v>1</v>
      </c>
      <c r="G32" s="222">
        <v>24711.5</v>
      </c>
      <c r="H32" s="222">
        <v>92668.13</v>
      </c>
      <c r="I32" s="222">
        <v>92668.13</v>
      </c>
      <c r="J32" s="102"/>
      <c r="K32">
        <v>1</v>
      </c>
      <c r="L32" s="222">
        <v>46334.07</v>
      </c>
      <c r="M32" s="222">
        <v>46334.07</v>
      </c>
      <c r="N32" s="111"/>
      <c r="O32" s="90"/>
      <c r="P32" s="112"/>
      <c r="Q32" s="91"/>
      <c r="R32" s="91"/>
      <c r="S32" s="222">
        <v>46334.07</v>
      </c>
      <c r="T32" s="222">
        <v>46334.07</v>
      </c>
      <c r="U32" s="223">
        <v>0</v>
      </c>
      <c r="V32" s="223">
        <v>1</v>
      </c>
      <c r="W32" s="93"/>
    </row>
    <row r="33" spans="2:26" ht="15.75" customHeight="1">
      <c r="B33" t="s">
        <v>113</v>
      </c>
      <c r="C33" t="s">
        <v>95</v>
      </c>
      <c r="D33" s="83"/>
      <c r="E33" s="97"/>
      <c r="F33">
        <v>1</v>
      </c>
      <c r="G33" s="222">
        <v>8571</v>
      </c>
      <c r="H33" s="222">
        <v>32141.25</v>
      </c>
      <c r="I33" s="222">
        <v>32141.25</v>
      </c>
      <c r="J33" s="102"/>
      <c r="K33">
        <v>1</v>
      </c>
      <c r="L33" s="222">
        <v>16070.63</v>
      </c>
      <c r="M33" s="222">
        <v>16070.63</v>
      </c>
      <c r="N33" s="104"/>
      <c r="O33" s="90"/>
      <c r="P33" s="95"/>
      <c r="Q33" s="99"/>
      <c r="R33" s="105"/>
      <c r="S33" s="222">
        <v>16070.63</v>
      </c>
      <c r="T33" s="222">
        <v>16070.63</v>
      </c>
      <c r="U33" s="223">
        <v>0</v>
      </c>
      <c r="V33" s="223">
        <v>1</v>
      </c>
      <c r="W33" s="108"/>
    </row>
    <row r="34" spans="2:26" ht="15.75" customHeight="1">
      <c r="B34" t="s">
        <v>114</v>
      </c>
      <c r="C34" t="s">
        <v>97</v>
      </c>
      <c r="D34" s="83"/>
      <c r="E34" s="84"/>
      <c r="F34">
        <v>6</v>
      </c>
      <c r="G34" s="222">
        <v>1463</v>
      </c>
      <c r="H34" s="222">
        <v>5486.25</v>
      </c>
      <c r="I34" s="222">
        <v>32917.5</v>
      </c>
      <c r="J34" s="102"/>
      <c r="K34">
        <v>6</v>
      </c>
      <c r="L34" s="222">
        <v>2743.13</v>
      </c>
      <c r="M34" s="222">
        <v>16458.78</v>
      </c>
      <c r="N34" s="111"/>
      <c r="O34" s="90"/>
      <c r="P34" s="112"/>
      <c r="Q34" s="91"/>
      <c r="R34" s="91"/>
      <c r="S34" s="222">
        <v>2743.13</v>
      </c>
      <c r="T34" s="222">
        <v>16458.78</v>
      </c>
      <c r="U34" s="223">
        <v>0</v>
      </c>
      <c r="V34" s="223">
        <v>1</v>
      </c>
      <c r="W34" s="93"/>
    </row>
    <row r="35" spans="2:26" ht="15.75" customHeight="1">
      <c r="D35" s="83"/>
      <c r="E35" s="97"/>
      <c r="H35" t="s">
        <v>91</v>
      </c>
      <c r="I35" t="s">
        <v>91</v>
      </c>
      <c r="J35" s="102"/>
      <c r="K35">
        <v>0</v>
      </c>
      <c r="L35" t="s">
        <v>91</v>
      </c>
      <c r="M35" t="s">
        <v>91</v>
      </c>
      <c r="N35" s="104"/>
      <c r="O35" s="90"/>
      <c r="P35" s="95"/>
      <c r="Q35" s="99"/>
      <c r="R35" s="105"/>
      <c r="S35" t="s">
        <v>91</v>
      </c>
      <c r="T35" t="s">
        <v>91</v>
      </c>
      <c r="U35" s="223">
        <v>0</v>
      </c>
      <c r="V35" s="223">
        <v>0</v>
      </c>
      <c r="W35" s="108"/>
    </row>
    <row r="36" spans="2:26" ht="15.75" customHeight="1">
      <c r="B36" t="s">
        <v>115</v>
      </c>
      <c r="C36" t="s">
        <v>98</v>
      </c>
      <c r="D36" s="83"/>
      <c r="E36" s="84"/>
      <c r="F36">
        <v>1</v>
      </c>
      <c r="G36" s="222">
        <v>12108</v>
      </c>
      <c r="H36" s="222">
        <v>45405</v>
      </c>
      <c r="I36" s="222">
        <v>45405</v>
      </c>
      <c r="J36" s="102"/>
      <c r="K36">
        <v>1</v>
      </c>
      <c r="L36" s="222">
        <v>22702.5</v>
      </c>
      <c r="M36" s="222">
        <v>22702.5</v>
      </c>
      <c r="N36" s="111"/>
      <c r="O36" s="90"/>
      <c r="P36" s="112"/>
      <c r="Q36" s="91"/>
      <c r="R36" s="91"/>
      <c r="S36" s="222">
        <v>22702.5</v>
      </c>
      <c r="T36" s="222">
        <v>22702.5</v>
      </c>
      <c r="U36" s="223">
        <v>0</v>
      </c>
      <c r="V36" s="223">
        <v>1</v>
      </c>
      <c r="W36" s="108"/>
    </row>
    <row r="37" spans="2:26" ht="15.75" customHeight="1">
      <c r="B37" t="s">
        <v>116</v>
      </c>
      <c r="C37" t="s">
        <v>93</v>
      </c>
      <c r="D37" s="83"/>
      <c r="E37" s="97"/>
      <c r="F37">
        <v>1</v>
      </c>
      <c r="G37" s="222">
        <v>17340</v>
      </c>
      <c r="H37" s="222">
        <v>65025</v>
      </c>
      <c r="I37" s="222">
        <v>65025</v>
      </c>
      <c r="J37" s="102"/>
      <c r="K37">
        <v>1</v>
      </c>
      <c r="L37" s="222">
        <v>32512.5</v>
      </c>
      <c r="M37" s="222">
        <v>32512.5</v>
      </c>
      <c r="N37" s="104"/>
      <c r="O37" s="90"/>
      <c r="P37" s="95"/>
      <c r="Q37" s="99"/>
      <c r="R37" s="105"/>
      <c r="S37" s="222">
        <v>32512.5</v>
      </c>
      <c r="T37" s="222">
        <v>32512.5</v>
      </c>
      <c r="U37" s="223">
        <v>0</v>
      </c>
      <c r="V37" s="223">
        <v>1</v>
      </c>
      <c r="W37" s="108"/>
    </row>
    <row r="38" spans="2:26" ht="15.75" customHeight="1">
      <c r="D38" s="83"/>
      <c r="E38" s="84"/>
      <c r="G38" s="222"/>
      <c r="H38" s="222"/>
      <c r="I38" s="222"/>
      <c r="J38" s="102"/>
      <c r="L38" s="222"/>
      <c r="M38" s="222"/>
      <c r="N38" s="111"/>
      <c r="O38" s="90"/>
      <c r="P38" s="112"/>
      <c r="Q38" s="91"/>
      <c r="R38" s="91"/>
      <c r="S38" s="222"/>
      <c r="T38" s="222"/>
      <c r="U38" s="223"/>
      <c r="V38" s="223"/>
      <c r="W38" s="108"/>
    </row>
    <row r="39" spans="2:26" ht="15.75" customHeight="1">
      <c r="D39" s="83"/>
      <c r="E39" s="97"/>
      <c r="G39" s="222"/>
      <c r="H39" s="222"/>
      <c r="I39" s="222"/>
      <c r="J39" s="102"/>
      <c r="L39" s="222"/>
      <c r="M39" s="222"/>
      <c r="N39" s="104"/>
      <c r="O39" s="90"/>
      <c r="P39" s="95"/>
      <c r="Q39" s="99"/>
      <c r="R39" s="105"/>
      <c r="S39" s="222"/>
      <c r="T39" s="222"/>
      <c r="U39" s="223"/>
      <c r="V39" s="223"/>
      <c r="W39" s="108"/>
    </row>
    <row r="40" spans="2:26" ht="15.75" customHeight="1">
      <c r="D40" s="83"/>
      <c r="E40" s="84"/>
      <c r="G40" s="222"/>
      <c r="H40" s="222"/>
      <c r="I40" s="222"/>
      <c r="J40" s="102"/>
      <c r="L40" s="222"/>
      <c r="M40" s="222"/>
      <c r="N40" s="111"/>
      <c r="O40" s="90"/>
      <c r="P40" s="112"/>
      <c r="Q40" s="91"/>
      <c r="R40" s="91"/>
      <c r="S40" s="222"/>
      <c r="T40" s="222"/>
      <c r="U40" s="223"/>
      <c r="V40" s="223"/>
      <c r="W40" s="108"/>
    </row>
    <row r="41" spans="2:26" ht="15.75" customHeight="1">
      <c r="D41" s="83"/>
      <c r="E41" s="97"/>
      <c r="G41" s="222"/>
      <c r="H41" s="222"/>
      <c r="I41" s="222"/>
      <c r="J41" s="102"/>
      <c r="L41" s="222"/>
      <c r="M41" s="222"/>
      <c r="N41" s="104"/>
      <c r="O41" s="90"/>
      <c r="P41" s="95"/>
      <c r="Q41" s="99"/>
      <c r="R41" s="105"/>
      <c r="S41" s="222"/>
      <c r="T41" s="222"/>
      <c r="U41" s="223"/>
      <c r="V41" s="223"/>
      <c r="W41" s="108"/>
    </row>
    <row r="42" spans="2:26" ht="15.75" customHeight="1">
      <c r="D42" s="83"/>
      <c r="E42" s="84"/>
      <c r="G42" s="222"/>
      <c r="H42" s="222"/>
      <c r="I42" s="222"/>
      <c r="J42" s="102"/>
      <c r="L42" s="222"/>
      <c r="M42" s="222"/>
      <c r="N42" s="111"/>
      <c r="O42" s="90"/>
      <c r="P42" s="112"/>
      <c r="Q42" s="91"/>
      <c r="R42" s="91"/>
      <c r="S42" s="222"/>
      <c r="T42" s="222"/>
      <c r="U42" s="223"/>
      <c r="V42" s="223"/>
      <c r="W42" s="108"/>
    </row>
    <row r="43" spans="2:26" ht="15.75" customHeight="1">
      <c r="D43" s="83"/>
      <c r="E43" s="97"/>
      <c r="G43" s="222"/>
      <c r="H43" s="222"/>
      <c r="I43" s="222"/>
      <c r="J43" s="102"/>
      <c r="L43" s="222"/>
      <c r="M43" s="222"/>
      <c r="N43" s="104"/>
      <c r="O43" s="90"/>
      <c r="P43" s="95"/>
      <c r="Q43" s="99"/>
      <c r="R43" s="105"/>
      <c r="S43" s="222"/>
      <c r="T43" s="222"/>
      <c r="U43" s="223"/>
      <c r="V43" s="223"/>
      <c r="W43" s="108"/>
    </row>
    <row r="44" spans="2:26" ht="15.75" customHeight="1">
      <c r="D44" s="83"/>
      <c r="E44" s="84"/>
      <c r="G44" s="222"/>
      <c r="H44" s="222"/>
      <c r="I44" s="222"/>
      <c r="J44" s="102"/>
      <c r="L44" s="222"/>
      <c r="M44" s="222"/>
      <c r="N44" s="111"/>
      <c r="O44" s="90"/>
      <c r="P44" s="112"/>
      <c r="Q44" s="91"/>
      <c r="R44" s="91"/>
      <c r="S44" s="222"/>
      <c r="T44" s="222"/>
      <c r="U44" s="223"/>
      <c r="V44" s="223"/>
      <c r="W44" s="108"/>
    </row>
    <row r="45" spans="2:26" ht="15.75" customHeight="1">
      <c r="D45" s="83"/>
      <c r="E45" s="97"/>
      <c r="J45" s="102"/>
      <c r="N45" s="104"/>
      <c r="O45" s="90"/>
      <c r="P45" s="95"/>
      <c r="Q45" s="99"/>
      <c r="R45" s="105"/>
      <c r="U45" s="223"/>
      <c r="V45" s="223"/>
      <c r="W45" s="108"/>
    </row>
    <row r="46" spans="2:26" ht="15.75" customHeight="1">
      <c r="D46" s="83"/>
      <c r="E46" s="84"/>
      <c r="G46" s="222"/>
      <c r="H46" s="222"/>
      <c r="I46" s="222"/>
      <c r="J46" s="102"/>
      <c r="L46" s="222"/>
      <c r="M46" s="222"/>
      <c r="N46" s="111"/>
      <c r="O46" s="90"/>
      <c r="P46" s="112"/>
      <c r="Q46" s="91"/>
      <c r="R46" s="91"/>
      <c r="S46" s="222"/>
      <c r="T46" s="222"/>
      <c r="U46" s="223"/>
      <c r="V46" s="223"/>
      <c r="W46" s="108"/>
    </row>
    <row r="47" spans="2:26" ht="15.75" customHeight="1">
      <c r="D47" s="83"/>
      <c r="E47" s="97"/>
      <c r="G47" s="222"/>
      <c r="H47" s="222"/>
      <c r="I47" s="222"/>
      <c r="J47" s="102"/>
      <c r="L47" s="222"/>
      <c r="M47" s="222"/>
      <c r="N47" s="104"/>
      <c r="O47" s="90"/>
      <c r="P47" s="95"/>
      <c r="Q47" s="99"/>
      <c r="R47" s="105"/>
      <c r="S47" s="222"/>
      <c r="T47" s="222"/>
      <c r="U47" s="223"/>
      <c r="V47" s="223"/>
      <c r="W47" s="108"/>
      <c r="X47" s="94"/>
      <c r="Y47" s="4"/>
      <c r="Z47" s="4"/>
    </row>
    <row r="48" spans="2:26" ht="15.75" customHeight="1">
      <c r="D48" s="83"/>
      <c r="E48" s="84"/>
      <c r="G48" s="222"/>
      <c r="H48" s="222"/>
      <c r="I48" s="222"/>
      <c r="J48" s="102"/>
      <c r="L48" s="222"/>
      <c r="M48" s="222"/>
      <c r="N48" s="111"/>
      <c r="O48" s="90"/>
      <c r="P48" s="112"/>
      <c r="Q48" s="91"/>
      <c r="R48" s="91"/>
      <c r="S48" s="222"/>
      <c r="T48" s="222"/>
      <c r="U48" s="223"/>
      <c r="V48" s="223"/>
      <c r="W48" s="93"/>
      <c r="X48" s="94"/>
      <c r="Y48" s="4"/>
      <c r="Z48" s="4"/>
    </row>
    <row r="49" spans="2:26" ht="15.75" customHeight="1">
      <c r="D49" s="83"/>
      <c r="E49" s="97"/>
      <c r="G49" s="222"/>
      <c r="H49" s="222"/>
      <c r="I49" s="222"/>
      <c r="J49" s="102"/>
      <c r="L49" s="222"/>
      <c r="M49" s="222"/>
      <c r="N49" s="104"/>
      <c r="O49" s="90"/>
      <c r="P49" s="95"/>
      <c r="Q49" s="99"/>
      <c r="R49" s="105"/>
      <c r="S49" s="222"/>
      <c r="T49" s="222"/>
      <c r="U49" s="223"/>
      <c r="V49" s="223"/>
      <c r="W49" s="108"/>
      <c r="X49" s="94"/>
      <c r="Y49" s="4"/>
      <c r="Z49" s="4"/>
    </row>
    <row r="50" spans="2:26" ht="15.75" customHeight="1">
      <c r="D50" s="83"/>
      <c r="E50" s="84"/>
      <c r="G50" s="222"/>
      <c r="H50" s="222"/>
      <c r="I50" s="222"/>
      <c r="J50" s="102"/>
      <c r="L50" s="222"/>
      <c r="M50" s="222"/>
      <c r="N50" s="111"/>
      <c r="O50" s="90"/>
      <c r="P50" s="112"/>
      <c r="Q50" s="91"/>
      <c r="R50" s="91"/>
      <c r="S50" s="222"/>
      <c r="T50" s="222"/>
      <c r="U50" s="223"/>
      <c r="V50" s="223"/>
      <c r="W50" s="93"/>
    </row>
    <row r="51" spans="2:26" ht="15.75" customHeight="1">
      <c r="D51" s="83"/>
      <c r="E51" s="97"/>
      <c r="G51" s="222"/>
      <c r="H51" s="222"/>
      <c r="I51" s="222"/>
      <c r="J51" s="102"/>
      <c r="L51" s="222"/>
      <c r="M51" s="222"/>
      <c r="N51" s="104"/>
      <c r="O51" s="90"/>
      <c r="P51" s="95"/>
      <c r="Q51" s="99"/>
      <c r="R51" s="105"/>
      <c r="S51" s="222"/>
      <c r="T51" s="222"/>
      <c r="U51" s="223"/>
      <c r="V51" s="223"/>
      <c r="W51" s="108"/>
    </row>
    <row r="52" spans="2:26" ht="15.75" customHeight="1">
      <c r="D52" s="83"/>
      <c r="E52" s="84"/>
      <c r="J52" s="102"/>
      <c r="N52" s="111"/>
      <c r="O52" s="90"/>
      <c r="P52" s="112"/>
      <c r="Q52" s="91"/>
      <c r="R52" s="91"/>
      <c r="U52" s="223"/>
      <c r="V52" s="223"/>
      <c r="W52" s="93"/>
    </row>
    <row r="53" spans="2:26" ht="15.75" customHeight="1">
      <c r="D53" s="83"/>
      <c r="E53" s="97"/>
      <c r="G53" s="222"/>
      <c r="H53" s="222"/>
      <c r="I53" s="222"/>
      <c r="J53" s="102"/>
      <c r="L53" s="222"/>
      <c r="M53" s="222"/>
      <c r="N53" s="104"/>
      <c r="O53" s="90"/>
      <c r="P53" s="95"/>
      <c r="Q53" s="99"/>
      <c r="R53" s="105"/>
      <c r="S53" s="222"/>
      <c r="T53" s="222"/>
      <c r="U53" s="223"/>
      <c r="V53" s="223"/>
      <c r="W53" s="108"/>
    </row>
    <row r="54" spans="2:26" ht="15.75" customHeight="1">
      <c r="D54" s="83"/>
      <c r="E54" s="84"/>
      <c r="G54" s="222"/>
      <c r="H54" s="222"/>
      <c r="I54" s="222"/>
      <c r="J54" s="102"/>
      <c r="L54" s="222"/>
      <c r="M54" s="222"/>
      <c r="N54" s="111"/>
      <c r="O54" s="90"/>
      <c r="P54" s="112"/>
      <c r="Q54" s="91"/>
      <c r="R54" s="91"/>
      <c r="S54" s="222"/>
      <c r="T54" s="222"/>
      <c r="U54" s="223"/>
      <c r="V54" s="223"/>
      <c r="W54" s="93"/>
    </row>
    <row r="55" spans="2:26" ht="15.75" customHeight="1">
      <c r="D55" s="83"/>
      <c r="E55" s="97"/>
      <c r="G55" s="222"/>
      <c r="H55" s="222"/>
      <c r="I55" s="222"/>
      <c r="J55" s="102"/>
      <c r="L55" s="222"/>
      <c r="M55" s="222"/>
      <c r="N55" s="104"/>
      <c r="O55" s="90"/>
      <c r="P55" s="95"/>
      <c r="Q55" s="99"/>
      <c r="R55" s="105"/>
      <c r="S55" s="222"/>
      <c r="T55" s="222"/>
      <c r="U55" s="223"/>
      <c r="V55" s="223"/>
      <c r="W55" s="108"/>
    </row>
    <row r="56" spans="2:26" ht="15.75" customHeight="1">
      <c r="D56" s="83"/>
      <c r="E56" s="84"/>
      <c r="G56" s="222"/>
      <c r="H56" s="222"/>
      <c r="I56" s="222"/>
      <c r="J56" s="102"/>
      <c r="L56" s="222"/>
      <c r="M56" s="222"/>
      <c r="N56" s="111"/>
      <c r="O56" s="90"/>
      <c r="P56" s="112"/>
      <c r="Q56" s="91"/>
      <c r="R56" s="91"/>
      <c r="S56" s="222"/>
      <c r="T56" s="222"/>
      <c r="U56" s="223"/>
      <c r="V56" s="223"/>
      <c r="W56" s="108"/>
    </row>
    <row r="57" spans="2:26" ht="15.75" customHeight="1">
      <c r="D57" s="83"/>
      <c r="E57" s="97"/>
      <c r="G57" s="222"/>
      <c r="H57" s="222"/>
      <c r="I57" s="222"/>
      <c r="J57" s="102"/>
      <c r="L57" s="222"/>
      <c r="M57" s="222"/>
      <c r="N57" s="104"/>
      <c r="O57" s="90"/>
      <c r="P57" s="95"/>
      <c r="Q57" s="99"/>
      <c r="R57" s="105"/>
      <c r="S57" s="222"/>
      <c r="T57" s="222"/>
      <c r="U57" s="223"/>
      <c r="V57" s="223"/>
      <c r="W57" s="108"/>
    </row>
    <row r="58" spans="2:26" ht="15.75" customHeight="1">
      <c r="D58" s="83"/>
      <c r="E58" s="84"/>
      <c r="G58" s="222"/>
      <c r="H58" s="222"/>
      <c r="I58" s="222"/>
      <c r="J58" s="102"/>
      <c r="L58" s="222"/>
      <c r="M58" s="222"/>
      <c r="N58" s="111"/>
      <c r="O58" s="90"/>
      <c r="P58" s="112"/>
      <c r="Q58" s="91"/>
      <c r="R58" s="91"/>
      <c r="S58" s="222"/>
      <c r="T58" s="222"/>
      <c r="U58" s="223"/>
      <c r="V58" s="223"/>
      <c r="W58" s="108"/>
    </row>
    <row r="59" spans="2:26" ht="15.75" customHeight="1">
      <c r="D59" s="83"/>
      <c r="E59" s="97"/>
      <c r="G59" s="222"/>
      <c r="H59" s="222"/>
      <c r="I59" s="222"/>
      <c r="J59" s="102"/>
      <c r="L59" s="222"/>
      <c r="M59" s="222"/>
      <c r="N59" s="104"/>
      <c r="O59" s="90"/>
      <c r="P59" s="95"/>
      <c r="Q59" s="99"/>
      <c r="R59" s="105"/>
      <c r="S59" s="222"/>
      <c r="T59" s="222"/>
      <c r="U59" s="223"/>
      <c r="V59" s="223"/>
      <c r="W59" s="108"/>
    </row>
    <row r="60" spans="2:26" ht="15.75" customHeight="1">
      <c r="D60" s="83"/>
      <c r="E60" s="84"/>
      <c r="G60" s="222"/>
      <c r="H60" s="222"/>
      <c r="I60" s="222"/>
      <c r="J60" s="102"/>
      <c r="L60" s="222"/>
      <c r="M60" s="222"/>
      <c r="N60" s="111"/>
      <c r="O60" s="90"/>
      <c r="P60" s="112"/>
      <c r="Q60" s="91"/>
      <c r="R60" s="91"/>
      <c r="S60" s="222"/>
      <c r="T60" s="222"/>
      <c r="U60" s="223"/>
      <c r="V60" s="223"/>
      <c r="W60" s="108"/>
    </row>
    <row r="61" spans="2:26" ht="15.75" customHeight="1">
      <c r="D61" s="83"/>
      <c r="E61" s="97"/>
      <c r="J61" s="102"/>
      <c r="N61" s="104"/>
      <c r="O61" s="90"/>
      <c r="P61" s="95"/>
      <c r="Q61" s="99"/>
      <c r="R61" s="105"/>
      <c r="U61" s="223"/>
      <c r="V61" s="223"/>
      <c r="W61" s="108"/>
    </row>
    <row r="62" spans="2:26" ht="15.75" customHeight="1">
      <c r="D62" s="83"/>
      <c r="E62" s="84"/>
      <c r="J62" s="102"/>
      <c r="N62" s="111"/>
      <c r="O62" s="90"/>
      <c r="P62" s="112"/>
      <c r="Q62" s="91"/>
      <c r="R62" s="91"/>
      <c r="U62" s="223"/>
      <c r="V62" s="223"/>
      <c r="W62" s="108"/>
    </row>
    <row r="63" spans="2:26" ht="15.75" customHeight="1">
      <c r="B63" s="224"/>
      <c r="D63" s="83"/>
      <c r="E63" s="97"/>
      <c r="G63" s="222"/>
      <c r="H63" s="222"/>
      <c r="I63" s="222"/>
      <c r="J63" s="102"/>
      <c r="L63" s="222"/>
      <c r="M63" s="222"/>
      <c r="N63" s="104"/>
      <c r="O63" s="90"/>
      <c r="P63" s="95"/>
      <c r="Q63" s="99"/>
      <c r="R63" s="105"/>
      <c r="S63" s="222"/>
      <c r="T63" s="222"/>
      <c r="U63" s="223"/>
      <c r="V63" s="223"/>
      <c r="W63" s="108"/>
    </row>
    <row r="64" spans="2:26" ht="15.75" customHeight="1">
      <c r="D64" s="83"/>
      <c r="E64" s="84"/>
      <c r="G64" s="222"/>
      <c r="H64" s="222"/>
      <c r="I64" s="222"/>
      <c r="J64" s="102"/>
      <c r="L64" s="222"/>
      <c r="M64" s="222"/>
      <c r="N64" s="111"/>
      <c r="O64" s="90"/>
      <c r="P64" s="112"/>
      <c r="Q64" s="91"/>
      <c r="R64" s="91"/>
      <c r="S64" s="222"/>
      <c r="T64" s="222"/>
      <c r="U64" s="223"/>
      <c r="V64" s="223"/>
      <c r="W64" s="108"/>
    </row>
    <row r="65" spans="2:26" ht="15.75" customHeight="1">
      <c r="D65" s="83"/>
      <c r="E65" s="97"/>
      <c r="G65" s="222"/>
      <c r="H65" s="222"/>
      <c r="I65" s="222"/>
      <c r="J65" s="102"/>
      <c r="L65" s="222"/>
      <c r="M65" s="222"/>
      <c r="N65" s="104"/>
      <c r="O65" s="90"/>
      <c r="P65" s="95"/>
      <c r="Q65" s="99"/>
      <c r="R65" s="105"/>
      <c r="S65" s="222"/>
      <c r="T65" s="222"/>
      <c r="U65" s="223"/>
      <c r="V65" s="223"/>
      <c r="W65" s="108"/>
    </row>
    <row r="66" spans="2:26">
      <c r="B66" s="224"/>
      <c r="D66" s="83"/>
      <c r="E66" s="84"/>
      <c r="G66" s="222"/>
      <c r="H66" s="222"/>
      <c r="I66" s="222"/>
      <c r="J66" s="102"/>
      <c r="L66" s="222"/>
      <c r="M66" s="222"/>
      <c r="N66" s="111"/>
      <c r="O66" s="90"/>
      <c r="P66" s="112"/>
      <c r="Q66" s="91"/>
      <c r="R66" s="91"/>
      <c r="S66" s="222"/>
      <c r="T66" s="222"/>
      <c r="U66" s="223"/>
      <c r="V66" s="223"/>
      <c r="W66" s="93"/>
      <c r="X66" s="94"/>
      <c r="Y66" s="4"/>
      <c r="Z66" s="4"/>
    </row>
    <row r="67" spans="2:26" ht="15.75" customHeight="1">
      <c r="D67" s="83"/>
      <c r="E67" s="97"/>
      <c r="G67" s="222"/>
      <c r="H67" s="222"/>
      <c r="I67" s="222"/>
      <c r="J67" s="102"/>
      <c r="L67" s="222"/>
      <c r="M67" s="222"/>
      <c r="N67" s="104"/>
      <c r="O67" s="90"/>
      <c r="P67" s="95"/>
      <c r="Q67" s="99"/>
      <c r="R67" s="105"/>
      <c r="S67" s="222"/>
      <c r="T67" s="222"/>
      <c r="U67" s="223"/>
      <c r="V67" s="223"/>
      <c r="W67" s="108"/>
      <c r="X67" s="94"/>
      <c r="Y67" s="4"/>
      <c r="Z67" s="4"/>
    </row>
    <row r="68" spans="2:26" ht="15.75" customHeight="1">
      <c r="D68" s="83"/>
      <c r="E68" s="84"/>
      <c r="J68" s="102"/>
      <c r="N68" s="111"/>
      <c r="O68" s="90"/>
      <c r="P68" s="112"/>
      <c r="Q68" s="91"/>
      <c r="R68" s="91"/>
      <c r="U68" s="223"/>
      <c r="V68" s="223"/>
      <c r="W68" s="93"/>
      <c r="X68" s="94"/>
      <c r="Y68" s="4"/>
      <c r="Z68" s="4"/>
    </row>
    <row r="69" spans="2:26" ht="15.75" customHeight="1">
      <c r="D69" s="83"/>
      <c r="E69" s="97"/>
      <c r="J69" s="102"/>
      <c r="N69" s="104"/>
      <c r="O69" s="90"/>
      <c r="P69" s="95"/>
      <c r="Q69" s="99"/>
      <c r="R69" s="105"/>
      <c r="U69" s="223"/>
      <c r="V69" s="223"/>
      <c r="W69" s="108"/>
      <c r="X69" s="94"/>
      <c r="Y69" s="4"/>
      <c r="Z69" s="4"/>
    </row>
    <row r="70" spans="2:26" ht="15.75" customHeight="1">
      <c r="D70" s="83"/>
      <c r="E70" s="84"/>
      <c r="G70" s="222"/>
      <c r="H70" s="222"/>
      <c r="I70" s="222"/>
      <c r="J70" s="102"/>
      <c r="L70" s="222"/>
      <c r="M70" s="222"/>
      <c r="N70" s="111"/>
      <c r="O70" s="90"/>
      <c r="P70" s="112"/>
      <c r="Q70" s="91"/>
      <c r="R70" s="91"/>
      <c r="S70" s="222"/>
      <c r="T70" s="222"/>
      <c r="U70" s="223"/>
      <c r="V70" s="223"/>
      <c r="W70" s="93"/>
      <c r="X70" s="94"/>
      <c r="Y70" s="4"/>
      <c r="Z70" s="4"/>
    </row>
    <row r="71" spans="2:26" ht="15.75" customHeight="1">
      <c r="D71" s="83"/>
      <c r="E71" s="97"/>
      <c r="G71" s="222"/>
      <c r="H71" s="222"/>
      <c r="I71" s="222"/>
      <c r="J71" s="102"/>
      <c r="L71" s="222"/>
      <c r="M71" s="222"/>
      <c r="N71" s="104"/>
      <c r="O71" s="90"/>
      <c r="P71" s="95"/>
      <c r="Q71" s="99"/>
      <c r="R71" s="105"/>
      <c r="S71" s="222"/>
      <c r="T71" s="222"/>
      <c r="U71" s="223"/>
      <c r="V71" s="223"/>
      <c r="W71" s="108"/>
      <c r="X71" s="94"/>
      <c r="Y71" s="4"/>
      <c r="Z71" s="4"/>
    </row>
    <row r="72" spans="2:26" ht="15.75" customHeight="1">
      <c r="D72" s="83"/>
      <c r="E72" s="84"/>
      <c r="G72" s="222"/>
      <c r="H72" s="222"/>
      <c r="I72" s="222"/>
      <c r="J72" s="102"/>
      <c r="L72" s="222"/>
      <c r="M72" s="222"/>
      <c r="N72" s="111"/>
      <c r="O72" s="90"/>
      <c r="P72" s="112"/>
      <c r="Q72" s="91"/>
      <c r="R72" s="91"/>
      <c r="S72" s="222"/>
      <c r="T72" s="222"/>
      <c r="U72" s="223"/>
      <c r="V72" s="223"/>
      <c r="W72" s="93"/>
      <c r="X72" s="94"/>
      <c r="Y72" s="4"/>
      <c r="Z72" s="4"/>
    </row>
    <row r="73" spans="2:26" ht="15.75" customHeight="1">
      <c r="D73" s="83"/>
      <c r="E73" s="97"/>
      <c r="G73" s="222"/>
      <c r="H73" s="222"/>
      <c r="I73" s="222"/>
      <c r="J73" s="102"/>
      <c r="L73" s="222"/>
      <c r="M73" s="222"/>
      <c r="N73" s="104"/>
      <c r="O73" s="90"/>
      <c r="P73" s="95"/>
      <c r="Q73" s="99"/>
      <c r="R73" s="105"/>
      <c r="S73" s="222"/>
      <c r="T73" s="222"/>
      <c r="U73" s="223"/>
      <c r="V73" s="223"/>
      <c r="W73" s="108"/>
      <c r="X73" s="94"/>
      <c r="Y73" s="4"/>
      <c r="Z73" s="113"/>
    </row>
    <row r="74" spans="2:26" ht="15.75" customHeight="1">
      <c r="D74" s="83"/>
      <c r="E74" s="84"/>
      <c r="J74" s="102"/>
      <c r="N74" s="111"/>
      <c r="O74" s="90"/>
      <c r="P74" s="112"/>
      <c r="Q74" s="91"/>
      <c r="R74" s="91"/>
      <c r="U74" s="223"/>
      <c r="V74" s="223"/>
      <c r="W74" s="93"/>
      <c r="X74" s="94"/>
      <c r="Y74" s="4"/>
      <c r="Z74" s="4"/>
    </row>
    <row r="75" spans="2:26" ht="15.75" customHeight="1">
      <c r="D75" s="83"/>
      <c r="E75" s="84"/>
      <c r="J75" s="102"/>
      <c r="N75" s="111"/>
      <c r="O75" s="90"/>
      <c r="P75" s="112"/>
      <c r="Q75" s="91"/>
      <c r="R75" s="91"/>
      <c r="U75" s="223"/>
      <c r="V75" s="223"/>
      <c r="W75" s="93"/>
      <c r="X75" s="94"/>
      <c r="Y75" s="4"/>
      <c r="Z75" s="4"/>
    </row>
    <row r="76" spans="2:26" ht="15.75" customHeight="1">
      <c r="D76" s="83"/>
      <c r="E76" s="97"/>
      <c r="G76" s="222"/>
      <c r="H76" s="222"/>
      <c r="I76" s="222"/>
      <c r="J76" s="102"/>
      <c r="L76" s="222"/>
      <c r="M76" s="222"/>
      <c r="N76" s="104"/>
      <c r="O76" s="90"/>
      <c r="P76" s="95"/>
      <c r="Q76" s="99"/>
      <c r="R76" s="105"/>
      <c r="S76" s="222"/>
      <c r="T76" s="222"/>
      <c r="U76" s="223"/>
      <c r="V76" s="223"/>
      <c r="W76" s="108"/>
      <c r="X76" s="94"/>
      <c r="Y76" s="4"/>
      <c r="Z76" s="4"/>
    </row>
    <row r="77" spans="2:26" ht="15.75" customHeight="1">
      <c r="D77" s="83"/>
      <c r="E77" s="84"/>
      <c r="G77" s="222"/>
      <c r="H77" s="222"/>
      <c r="I77" s="222"/>
      <c r="J77" s="102"/>
      <c r="L77" s="222"/>
      <c r="M77" s="222"/>
      <c r="N77" s="111"/>
      <c r="O77" s="90"/>
      <c r="P77" s="112"/>
      <c r="Q77" s="91"/>
      <c r="R77" s="91"/>
      <c r="S77" s="222"/>
      <c r="T77" s="222"/>
      <c r="U77" s="223"/>
      <c r="V77" s="223"/>
      <c r="W77" s="93"/>
    </row>
    <row r="78" spans="2:26" ht="15.75" customHeight="1">
      <c r="D78" s="83"/>
      <c r="E78" s="97"/>
      <c r="G78" s="222"/>
      <c r="H78" s="222"/>
      <c r="I78" s="222"/>
      <c r="J78" s="102"/>
      <c r="L78" s="222"/>
      <c r="M78" s="222"/>
      <c r="N78" s="104"/>
      <c r="O78" s="90"/>
      <c r="P78" s="95"/>
      <c r="Q78" s="99"/>
      <c r="R78" s="105"/>
      <c r="S78" s="222"/>
      <c r="T78" s="222"/>
      <c r="U78" s="223"/>
      <c r="V78" s="223"/>
      <c r="W78" s="108"/>
    </row>
    <row r="79" spans="2:26" ht="15.75" customHeight="1">
      <c r="D79" s="83"/>
      <c r="E79" s="84"/>
      <c r="G79" s="222"/>
      <c r="H79" s="222"/>
      <c r="I79" s="222"/>
      <c r="J79" s="102"/>
      <c r="L79" s="222"/>
      <c r="M79" s="222"/>
      <c r="N79" s="111"/>
      <c r="O79" s="90"/>
      <c r="P79" s="112"/>
      <c r="Q79" s="91"/>
      <c r="R79" s="91"/>
      <c r="S79" s="222"/>
      <c r="T79" s="222"/>
      <c r="U79" s="223"/>
      <c r="V79" s="223"/>
      <c r="W79" s="93"/>
    </row>
    <row r="80" spans="2:26" ht="15.75" customHeight="1">
      <c r="D80" s="83"/>
      <c r="E80" s="97"/>
      <c r="J80" s="102"/>
      <c r="N80" s="104"/>
      <c r="O80" s="90"/>
      <c r="P80" s="95"/>
      <c r="Q80" s="99"/>
      <c r="R80" s="105"/>
      <c r="U80" s="223"/>
      <c r="V80" s="223"/>
      <c r="W80" s="108"/>
    </row>
    <row r="81" spans="4:26" ht="15.75" customHeight="1">
      <c r="D81" s="83"/>
      <c r="E81" s="84"/>
      <c r="J81" s="102"/>
      <c r="N81" s="111"/>
      <c r="O81" s="90"/>
      <c r="P81" s="112"/>
      <c r="Q81" s="91"/>
      <c r="R81" s="91"/>
      <c r="U81" s="223"/>
      <c r="V81" s="223"/>
      <c r="W81" s="93"/>
    </row>
    <row r="82" spans="4:26" ht="15.75" customHeight="1">
      <c r="D82" s="83"/>
      <c r="E82" s="97"/>
      <c r="G82" s="222"/>
      <c r="H82" s="222"/>
      <c r="I82" s="222"/>
      <c r="J82" s="102"/>
      <c r="L82" s="222"/>
      <c r="M82" s="222"/>
      <c r="N82" s="104"/>
      <c r="O82" s="90"/>
      <c r="P82" s="95"/>
      <c r="Q82" s="99"/>
      <c r="R82" s="105"/>
      <c r="S82" s="222"/>
      <c r="T82" s="222"/>
      <c r="U82" s="223"/>
      <c r="V82" s="223"/>
      <c r="W82" s="108"/>
    </row>
    <row r="83" spans="4:26" ht="15.75" customHeight="1">
      <c r="D83" s="83"/>
      <c r="E83" s="84"/>
      <c r="G83" s="222"/>
      <c r="H83" s="222"/>
      <c r="I83" s="222"/>
      <c r="J83" s="102"/>
      <c r="L83" s="222"/>
      <c r="M83" s="222"/>
      <c r="N83" s="111"/>
      <c r="O83" s="90"/>
      <c r="P83" s="112"/>
      <c r="Q83" s="91"/>
      <c r="R83" s="91"/>
      <c r="S83" s="222"/>
      <c r="T83" s="222"/>
      <c r="U83" s="223"/>
      <c r="V83" s="223"/>
      <c r="W83" s="108"/>
    </row>
    <row r="84" spans="4:26" ht="15.75" customHeight="1">
      <c r="D84" s="83"/>
      <c r="E84" s="97"/>
      <c r="G84" s="222"/>
      <c r="H84" s="222"/>
      <c r="I84" s="222"/>
      <c r="J84" s="102"/>
      <c r="L84" s="222"/>
      <c r="M84" s="222"/>
      <c r="N84" s="104"/>
      <c r="O84" s="90"/>
      <c r="P84" s="95"/>
      <c r="Q84" s="99"/>
      <c r="R84" s="105"/>
      <c r="S84" s="222"/>
      <c r="T84" s="222"/>
      <c r="U84" s="223"/>
      <c r="V84" s="223"/>
      <c r="W84" s="108"/>
    </row>
    <row r="85" spans="4:26" ht="15.75" customHeight="1">
      <c r="D85" s="83"/>
      <c r="E85" s="84"/>
      <c r="G85" s="222"/>
      <c r="H85" s="222"/>
      <c r="I85" s="222"/>
      <c r="J85" s="102"/>
      <c r="L85" s="222"/>
      <c r="M85" s="222"/>
      <c r="N85" s="111"/>
      <c r="O85" s="90"/>
      <c r="P85" s="112"/>
      <c r="Q85" s="91"/>
      <c r="R85" s="91"/>
      <c r="S85" s="222"/>
      <c r="T85" s="222"/>
      <c r="U85" s="223"/>
      <c r="V85" s="223"/>
      <c r="W85" s="108"/>
    </row>
    <row r="86" spans="4:26" ht="15.75" customHeight="1">
      <c r="D86" s="83"/>
      <c r="E86" s="97"/>
      <c r="G86" s="222"/>
      <c r="H86" s="222"/>
      <c r="I86" s="222"/>
      <c r="J86" s="102"/>
      <c r="L86" s="222"/>
      <c r="M86" s="222"/>
      <c r="N86" s="104"/>
      <c r="O86" s="90"/>
      <c r="P86" s="95"/>
      <c r="Q86" s="99"/>
      <c r="R86" s="105"/>
      <c r="S86" s="222"/>
      <c r="T86" s="222"/>
      <c r="U86" s="223"/>
      <c r="V86" s="223"/>
      <c r="W86" s="108"/>
    </row>
    <row r="87" spans="4:26" ht="15.75" customHeight="1">
      <c r="D87" s="83"/>
      <c r="E87" s="84"/>
      <c r="G87" s="222"/>
      <c r="H87" s="222"/>
      <c r="I87" s="222"/>
      <c r="J87" s="102"/>
      <c r="L87" s="222"/>
      <c r="M87" s="222"/>
      <c r="N87" s="111"/>
      <c r="O87" s="90"/>
      <c r="P87" s="112"/>
      <c r="Q87" s="91"/>
      <c r="R87" s="91"/>
      <c r="S87" s="222"/>
      <c r="T87" s="222"/>
      <c r="U87" s="223"/>
      <c r="V87" s="223"/>
      <c r="W87" s="108"/>
    </row>
    <row r="88" spans="4:26" ht="15.75" customHeight="1">
      <c r="D88" s="83"/>
      <c r="E88" s="97"/>
      <c r="G88" s="222"/>
      <c r="H88" s="222"/>
      <c r="I88" s="222"/>
      <c r="J88" s="102"/>
      <c r="L88" s="222"/>
      <c r="M88" s="222"/>
      <c r="N88" s="104"/>
      <c r="O88" s="90"/>
      <c r="P88" s="95"/>
      <c r="Q88" s="99"/>
      <c r="R88" s="105"/>
      <c r="S88" s="222"/>
      <c r="T88" s="222"/>
      <c r="U88" s="223"/>
      <c r="V88" s="223"/>
      <c r="W88" s="108"/>
    </row>
    <row r="89" spans="4:26" ht="15.75" customHeight="1">
      <c r="D89" s="83"/>
      <c r="E89" s="84"/>
      <c r="J89" s="102"/>
      <c r="N89" s="111"/>
      <c r="O89" s="90"/>
      <c r="P89" s="112"/>
      <c r="Q89" s="91"/>
      <c r="R89" s="91"/>
      <c r="U89" s="223"/>
      <c r="V89" s="223"/>
      <c r="W89" s="108"/>
    </row>
    <row r="90" spans="4:26" ht="15.75" customHeight="1">
      <c r="D90" s="83"/>
      <c r="E90" s="97"/>
      <c r="G90" s="222"/>
      <c r="H90" s="222"/>
      <c r="I90" s="222"/>
      <c r="J90" s="102"/>
      <c r="L90" s="222"/>
      <c r="M90" s="222"/>
      <c r="N90" s="104"/>
      <c r="O90" s="90"/>
      <c r="P90" s="95"/>
      <c r="Q90" s="99"/>
      <c r="R90" s="105"/>
      <c r="S90" s="222"/>
      <c r="T90" s="222"/>
      <c r="U90" s="223"/>
      <c r="V90" s="223"/>
      <c r="W90" s="108"/>
    </row>
    <row r="91" spans="4:26" ht="15.75" customHeight="1">
      <c r="D91" s="83"/>
      <c r="E91" s="84"/>
      <c r="G91" s="222"/>
      <c r="H91" s="222"/>
      <c r="I91" s="222"/>
      <c r="J91" s="102"/>
      <c r="L91" s="222"/>
      <c r="M91" s="222"/>
      <c r="N91" s="111"/>
      <c r="O91" s="90"/>
      <c r="P91" s="112"/>
      <c r="Q91" s="91"/>
      <c r="R91" s="91"/>
      <c r="S91" s="222"/>
      <c r="T91" s="222"/>
      <c r="U91" s="223"/>
      <c r="V91" s="223"/>
      <c r="W91" s="108"/>
    </row>
    <row r="92" spans="4:26" ht="15.75" customHeight="1">
      <c r="D92" s="83"/>
      <c r="E92" s="97"/>
      <c r="G92" s="222"/>
      <c r="H92" s="222"/>
      <c r="I92" s="222"/>
      <c r="J92" s="102"/>
      <c r="L92" s="222"/>
      <c r="M92" s="222"/>
      <c r="N92" s="104"/>
      <c r="O92" s="90"/>
      <c r="P92" s="95"/>
      <c r="Q92" s="99"/>
      <c r="R92" s="105"/>
      <c r="S92" s="222"/>
      <c r="T92" s="222"/>
      <c r="U92" s="223"/>
      <c r="V92" s="223"/>
      <c r="W92" s="108"/>
    </row>
    <row r="93" spans="4:26" ht="15.75" customHeight="1">
      <c r="D93" s="83"/>
      <c r="E93" s="84"/>
      <c r="G93" s="222"/>
      <c r="H93" s="222"/>
      <c r="I93" s="222"/>
      <c r="J93" s="102"/>
      <c r="L93" s="222"/>
      <c r="M93" s="222"/>
      <c r="N93" s="111"/>
      <c r="O93" s="90"/>
      <c r="P93" s="112"/>
      <c r="Q93" s="91"/>
      <c r="R93" s="91"/>
      <c r="S93" s="222"/>
      <c r="T93" s="222"/>
      <c r="U93" s="223"/>
      <c r="V93" s="223"/>
      <c r="W93" s="108"/>
    </row>
    <row r="94" spans="4:26" ht="15.75" customHeight="1">
      <c r="D94" s="83"/>
      <c r="E94" s="97"/>
      <c r="G94" s="222"/>
      <c r="H94" s="222"/>
      <c r="I94" s="222"/>
      <c r="J94" s="102"/>
      <c r="L94" s="222"/>
      <c r="M94" s="222"/>
      <c r="N94" s="104"/>
      <c r="O94" s="90"/>
      <c r="P94" s="95"/>
      <c r="Q94" s="99"/>
      <c r="R94" s="105"/>
      <c r="S94" s="222"/>
      <c r="T94" s="222"/>
      <c r="U94" s="223"/>
      <c r="V94" s="223"/>
      <c r="W94" s="108"/>
      <c r="X94" s="94"/>
      <c r="Y94" s="4"/>
      <c r="Z94" s="4"/>
    </row>
    <row r="95" spans="4:26" ht="15.75" customHeight="1">
      <c r="D95" s="83"/>
      <c r="E95" s="84"/>
      <c r="J95" s="102"/>
      <c r="N95" s="111"/>
      <c r="O95" s="90"/>
      <c r="P95" s="112"/>
      <c r="Q95" s="91"/>
      <c r="R95" s="91"/>
      <c r="U95" s="223"/>
      <c r="V95" s="223"/>
      <c r="W95" s="93"/>
      <c r="X95" s="94"/>
      <c r="Y95" s="4"/>
      <c r="Z95" s="4"/>
    </row>
    <row r="96" spans="4:26" ht="15.75" customHeight="1">
      <c r="D96" s="83"/>
      <c r="E96" s="97"/>
      <c r="G96" s="222"/>
      <c r="H96" s="222"/>
      <c r="I96" s="222"/>
      <c r="J96" s="102"/>
      <c r="L96" s="222"/>
      <c r="M96" s="222"/>
      <c r="N96" s="104"/>
      <c r="O96" s="90"/>
      <c r="P96" s="95"/>
      <c r="Q96" s="99"/>
      <c r="R96" s="105"/>
      <c r="S96" s="222"/>
      <c r="T96" s="222"/>
      <c r="U96" s="223"/>
      <c r="V96" s="223"/>
      <c r="W96" s="108"/>
      <c r="X96" s="94"/>
      <c r="Y96" s="4"/>
      <c r="Z96" s="4"/>
    </row>
    <row r="97" spans="2:23" ht="15.75" customHeight="1">
      <c r="D97" s="83"/>
      <c r="E97" s="84"/>
      <c r="G97" s="222"/>
      <c r="H97" s="222"/>
      <c r="I97" s="222"/>
      <c r="J97" s="102"/>
      <c r="L97" s="222"/>
      <c r="M97" s="222"/>
      <c r="N97" s="111"/>
      <c r="O97" s="90"/>
      <c r="P97" s="112"/>
      <c r="Q97" s="91"/>
      <c r="R97" s="91"/>
      <c r="S97" s="222"/>
      <c r="T97" s="222"/>
      <c r="U97" s="223"/>
      <c r="V97" s="223"/>
      <c r="W97" s="93"/>
    </row>
    <row r="98" spans="2:23" ht="15.75" customHeight="1">
      <c r="D98" s="83"/>
      <c r="E98" s="97"/>
      <c r="J98" s="102"/>
      <c r="N98" s="104"/>
      <c r="O98" s="90"/>
      <c r="P98" s="95"/>
      <c r="Q98" s="99"/>
      <c r="R98" s="105"/>
      <c r="U98" s="223"/>
      <c r="V98" s="223"/>
      <c r="W98" s="108"/>
    </row>
    <row r="99" spans="2:23" ht="15.75" customHeight="1">
      <c r="D99" s="83"/>
      <c r="E99" s="84"/>
      <c r="G99" s="222"/>
      <c r="H99" s="222"/>
      <c r="I99" s="222"/>
      <c r="J99" s="102"/>
      <c r="L99" s="222"/>
      <c r="M99" s="222"/>
      <c r="N99" s="111"/>
      <c r="O99" s="90"/>
      <c r="P99" s="112"/>
      <c r="Q99" s="91"/>
      <c r="R99" s="91"/>
      <c r="S99" s="222"/>
      <c r="T99" s="222"/>
      <c r="U99" s="223"/>
      <c r="V99" s="223"/>
      <c r="W99" s="93"/>
    </row>
    <row r="100" spans="2:23" ht="15.75" customHeight="1">
      <c r="D100" s="83"/>
      <c r="E100" s="97"/>
      <c r="G100" s="222"/>
      <c r="H100" s="222"/>
      <c r="I100" s="222"/>
      <c r="J100" s="102"/>
      <c r="L100" s="222"/>
      <c r="M100" s="222"/>
      <c r="N100" s="104"/>
      <c r="O100" s="90"/>
      <c r="P100" s="95"/>
      <c r="Q100" s="99"/>
      <c r="R100" s="105"/>
      <c r="S100" s="222"/>
      <c r="T100" s="222"/>
      <c r="U100" s="223"/>
      <c r="V100" s="223"/>
      <c r="W100" s="108"/>
    </row>
    <row r="101" spans="2:23" ht="15.75" customHeight="1">
      <c r="D101" s="83"/>
      <c r="E101" s="84"/>
      <c r="G101" s="222"/>
      <c r="H101" s="222"/>
      <c r="I101" s="222"/>
      <c r="J101" s="102"/>
      <c r="L101" s="222"/>
      <c r="M101" s="222"/>
      <c r="N101" s="111"/>
      <c r="O101" s="90"/>
      <c r="P101" s="112"/>
      <c r="Q101" s="91"/>
      <c r="R101" s="91"/>
      <c r="S101" s="222"/>
      <c r="T101" s="222"/>
      <c r="U101" s="223"/>
      <c r="V101" s="223"/>
      <c r="W101" s="93"/>
    </row>
    <row r="102" spans="2:23" ht="15.75" customHeight="1">
      <c r="D102" s="83"/>
      <c r="E102" s="97"/>
      <c r="G102" s="222"/>
      <c r="H102" s="222"/>
      <c r="I102" s="222"/>
      <c r="J102" s="102"/>
      <c r="L102" s="222"/>
      <c r="M102" s="222"/>
      <c r="N102" s="104"/>
      <c r="O102" s="90"/>
      <c r="P102" s="95"/>
      <c r="Q102" s="99"/>
      <c r="R102" s="105"/>
      <c r="S102" s="222"/>
      <c r="T102" s="222"/>
      <c r="U102" s="223"/>
      <c r="V102" s="223"/>
      <c r="W102" s="108"/>
    </row>
    <row r="103" spans="2:23" ht="15.75" customHeight="1">
      <c r="B103" s="82"/>
      <c r="C103" s="109"/>
      <c r="D103" s="83"/>
      <c r="E103" s="84"/>
      <c r="F103" s="110"/>
      <c r="G103" s="91"/>
      <c r="H103" s="86"/>
      <c r="I103" s="87"/>
      <c r="J103" s="102"/>
      <c r="K103" s="85"/>
      <c r="L103" s="86"/>
      <c r="M103" s="86"/>
      <c r="N103" s="111"/>
      <c r="O103" s="90"/>
      <c r="P103" s="112"/>
      <c r="Q103" s="91"/>
      <c r="R103" s="91"/>
      <c r="S103" s="91"/>
      <c r="T103" s="91"/>
      <c r="U103" s="92"/>
      <c r="V103" s="92"/>
      <c r="W103" s="108"/>
    </row>
    <row r="104" spans="2:23" ht="15.75" customHeight="1">
      <c r="B104" s="95"/>
      <c r="C104" s="96"/>
      <c r="D104" s="83"/>
      <c r="E104" s="97"/>
      <c r="F104" s="98"/>
      <c r="G104" s="99"/>
      <c r="H104" s="100"/>
      <c r="I104" s="101"/>
      <c r="J104" s="102"/>
      <c r="K104" s="103"/>
      <c r="L104" s="100"/>
      <c r="M104" s="100"/>
      <c r="N104" s="104"/>
      <c r="O104" s="90"/>
      <c r="P104" s="95"/>
      <c r="Q104" s="99"/>
      <c r="R104" s="105"/>
      <c r="S104" s="106"/>
      <c r="T104" s="106"/>
      <c r="U104" s="107"/>
      <c r="V104" s="107"/>
      <c r="W104" s="108"/>
    </row>
    <row r="105" spans="2:23" ht="15.75" customHeight="1">
      <c r="B105" s="82"/>
      <c r="C105" s="109"/>
      <c r="D105" s="83"/>
      <c r="E105" s="84"/>
      <c r="F105" s="110"/>
      <c r="G105" s="91"/>
      <c r="H105" s="86"/>
      <c r="I105" s="87"/>
      <c r="J105" s="102"/>
      <c r="K105" s="85"/>
      <c r="L105" s="86"/>
      <c r="M105" s="86"/>
      <c r="N105" s="111"/>
      <c r="O105" s="90"/>
      <c r="P105" s="112"/>
      <c r="Q105" s="91"/>
      <c r="R105" s="91"/>
      <c r="S105" s="91"/>
      <c r="T105" s="91"/>
      <c r="U105" s="92"/>
      <c r="V105" s="92"/>
      <c r="W105" s="108"/>
    </row>
    <row r="106" spans="2:23" ht="15.75" customHeight="1">
      <c r="B106" s="95"/>
      <c r="C106" s="96"/>
      <c r="D106" s="83"/>
      <c r="E106" s="97"/>
      <c r="F106" s="98"/>
      <c r="G106" s="99"/>
      <c r="H106" s="100"/>
      <c r="I106" s="101"/>
      <c r="J106" s="102"/>
      <c r="K106" s="103"/>
      <c r="L106" s="100"/>
      <c r="M106" s="100"/>
      <c r="N106" s="104"/>
      <c r="O106" s="90"/>
      <c r="P106" s="95"/>
      <c r="Q106" s="99"/>
      <c r="R106" s="105"/>
      <c r="S106" s="106"/>
      <c r="T106" s="106"/>
      <c r="U106" s="107"/>
      <c r="V106" s="107"/>
      <c r="W106" s="108"/>
    </row>
    <row r="107" spans="2:23" ht="15.75" customHeight="1">
      <c r="B107" s="82"/>
      <c r="C107" s="109"/>
      <c r="D107" s="83"/>
      <c r="E107" s="84"/>
      <c r="F107" s="110"/>
      <c r="G107" s="91"/>
      <c r="H107" s="86"/>
      <c r="I107" s="87"/>
      <c r="J107" s="102"/>
      <c r="K107" s="85"/>
      <c r="L107" s="86"/>
      <c r="M107" s="86"/>
      <c r="N107" s="111"/>
      <c r="O107" s="90"/>
      <c r="P107" s="112"/>
      <c r="Q107" s="91"/>
      <c r="R107" s="91"/>
      <c r="S107" s="91"/>
      <c r="T107" s="91"/>
      <c r="U107" s="92"/>
      <c r="V107" s="92"/>
      <c r="W107" s="108"/>
    </row>
    <row r="108" spans="2:23" ht="15.75" customHeight="1">
      <c r="B108" s="95"/>
      <c r="C108" s="96"/>
      <c r="D108" s="83"/>
      <c r="E108" s="97"/>
      <c r="F108" s="98"/>
      <c r="G108" s="99"/>
      <c r="H108" s="100"/>
      <c r="I108" s="101"/>
      <c r="J108" s="102"/>
      <c r="K108" s="103"/>
      <c r="L108" s="100"/>
      <c r="M108" s="100"/>
      <c r="N108" s="104"/>
      <c r="O108" s="90"/>
      <c r="P108" s="95"/>
      <c r="Q108" s="99"/>
      <c r="R108" s="105"/>
      <c r="S108" s="106"/>
      <c r="T108" s="106"/>
      <c r="U108" s="107"/>
      <c r="V108" s="107"/>
      <c r="W108" s="108"/>
    </row>
    <row r="109" spans="2:23" ht="15.75" customHeight="1">
      <c r="B109" s="82"/>
      <c r="C109" s="109"/>
      <c r="D109" s="83"/>
      <c r="E109" s="84"/>
      <c r="F109" s="110"/>
      <c r="G109" s="91"/>
      <c r="H109" s="86"/>
      <c r="I109" s="87"/>
      <c r="J109" s="102"/>
      <c r="K109" s="85"/>
      <c r="L109" s="86"/>
      <c r="M109" s="86"/>
      <c r="N109" s="111"/>
      <c r="O109" s="90"/>
      <c r="P109" s="112"/>
      <c r="Q109" s="91"/>
      <c r="R109" s="91"/>
      <c r="S109" s="91"/>
      <c r="T109" s="91"/>
      <c r="U109" s="92"/>
      <c r="V109" s="92"/>
      <c r="W109" s="108"/>
    </row>
    <row r="110" spans="2:23" ht="15.75" customHeight="1">
      <c r="B110" s="95"/>
      <c r="C110" s="96"/>
      <c r="D110" s="83"/>
      <c r="E110" s="97"/>
      <c r="F110" s="98"/>
      <c r="G110" s="99"/>
      <c r="H110" s="100"/>
      <c r="I110" s="101"/>
      <c r="J110" s="102"/>
      <c r="K110" s="103"/>
      <c r="L110" s="100"/>
      <c r="M110" s="100"/>
      <c r="N110" s="104"/>
      <c r="O110" s="90"/>
      <c r="P110" s="95"/>
      <c r="Q110" s="99"/>
      <c r="R110" s="105"/>
      <c r="S110" s="106"/>
      <c r="T110" s="106"/>
      <c r="U110" s="107"/>
      <c r="V110" s="107"/>
      <c r="W110" s="108"/>
    </row>
    <row r="111" spans="2:23" ht="15.75" customHeight="1">
      <c r="B111" s="82"/>
      <c r="C111" s="109"/>
      <c r="D111" s="83"/>
      <c r="E111" s="84"/>
      <c r="F111" s="110"/>
      <c r="G111" s="91"/>
      <c r="H111" s="86"/>
      <c r="I111" s="87"/>
      <c r="J111" s="102"/>
      <c r="K111" s="85"/>
      <c r="L111" s="86"/>
      <c r="M111" s="86"/>
      <c r="N111" s="111"/>
      <c r="O111" s="90"/>
      <c r="P111" s="112"/>
      <c r="Q111" s="91"/>
      <c r="R111" s="91"/>
      <c r="S111" s="91"/>
      <c r="T111" s="91"/>
      <c r="U111" s="92"/>
      <c r="V111" s="92"/>
      <c r="W111" s="108"/>
    </row>
    <row r="112" spans="2:23" ht="15.75" customHeight="1">
      <c r="B112" s="95"/>
      <c r="C112" s="96"/>
      <c r="D112" s="83"/>
      <c r="E112" s="97"/>
      <c r="F112" s="98"/>
      <c r="G112" s="99"/>
      <c r="H112" s="100"/>
      <c r="I112" s="101"/>
      <c r="J112" s="102"/>
      <c r="K112" s="103"/>
      <c r="L112" s="100"/>
      <c r="M112" s="100"/>
      <c r="N112" s="104"/>
      <c r="O112" s="90"/>
      <c r="P112" s="95"/>
      <c r="Q112" s="99"/>
      <c r="R112" s="105"/>
      <c r="S112" s="106"/>
      <c r="T112" s="106"/>
      <c r="U112" s="107"/>
      <c r="V112" s="107"/>
      <c r="W112" s="108"/>
    </row>
    <row r="113" spans="2:23" ht="15.75" customHeight="1">
      <c r="B113" s="82"/>
      <c r="C113" s="109"/>
      <c r="D113" s="83"/>
      <c r="E113" s="84"/>
      <c r="F113" s="110"/>
      <c r="G113" s="91"/>
      <c r="H113" s="86"/>
      <c r="I113" s="87"/>
      <c r="J113" s="102"/>
      <c r="K113" s="85"/>
      <c r="L113" s="86"/>
      <c r="M113" s="86"/>
      <c r="N113" s="111"/>
      <c r="O113" s="90"/>
      <c r="P113" s="112"/>
      <c r="Q113" s="91"/>
      <c r="R113" s="91"/>
      <c r="S113" s="91"/>
      <c r="T113" s="91"/>
      <c r="U113" s="92"/>
      <c r="V113" s="92"/>
      <c r="W113" s="108"/>
    </row>
    <row r="114" spans="2:23" ht="20.25" customHeight="1">
      <c r="B114" s="114"/>
      <c r="C114" s="114"/>
      <c r="D114" s="115"/>
      <c r="E114" s="116" t="s">
        <v>78</v>
      </c>
      <c r="F114" s="117">
        <f>SUM(F19:F113)</f>
        <v>23</v>
      </c>
      <c r="G114" s="118">
        <f>SUM(G19:G113)</f>
        <v>105507.67</v>
      </c>
      <c r="H114" s="119">
        <f>SUM(H19:H113)</f>
        <v>395653.79000000004</v>
      </c>
      <c r="I114" s="120">
        <f>SUM(I19:I113)</f>
        <v>426538.79000000004</v>
      </c>
      <c r="J114" s="121"/>
      <c r="K114" s="122">
        <f>SUM(K19:K113)</f>
        <v>23</v>
      </c>
      <c r="L114" s="119">
        <f>SUM(L19:L113)</f>
        <v>197826.94</v>
      </c>
      <c r="M114" s="120">
        <f>SUM(M19:M113)</f>
        <v>213269.47</v>
      </c>
      <c r="N114" s="120"/>
      <c r="O114" s="123"/>
      <c r="P114" s="124"/>
      <c r="Q114" s="119">
        <f>SUM(Q19:Q113)</f>
        <v>0</v>
      </c>
      <c r="R114" s="119">
        <f>SUM(R19:R113)</f>
        <v>0</v>
      </c>
      <c r="S114" s="120">
        <f>SUM(S19:S113)</f>
        <v>197826.94</v>
      </c>
      <c r="T114" s="120">
        <f>SUM(T19:T113)</f>
        <v>213269.47</v>
      </c>
      <c r="U114" s="125"/>
      <c r="V114" s="125"/>
      <c r="W114" s="126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E19:E113" xr:uid="{5B16767C-195B-467E-8D87-5713473F01E4}">
      <formula1>$Z$19:$Z$94</formula1>
    </dataValidation>
    <dataValidation type="list" allowBlank="1" showErrorMessage="1" sqref="I14" xr:uid="{894B3D58-5137-422B-A556-B82EB0C36B64}">
      <formula1>$Y$14:$Y$15</formula1>
    </dataValidation>
    <dataValidation type="list" allowBlank="1" showErrorMessage="1" sqref="J14" xr:uid="{85A85DD7-29A1-44D2-A79B-54D1A75D6E7C}">
      <formula1>$L$9</formula1>
    </dataValidation>
    <dataValidation type="list" allowBlank="1" showErrorMessage="1" sqref="Q15 G18 L18 Q18" xr:uid="{EBBF13B4-50DF-4CED-9998-710430062BD1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CAT CS11 VIBRATORY SOIL COMPACT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Tska0734</cp:lastModifiedBy>
  <dcterms:modified xsi:type="dcterms:W3CDTF">2025-06-24T09:54:42Z</dcterms:modified>
</cp:coreProperties>
</file>