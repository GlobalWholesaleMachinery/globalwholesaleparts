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7C19D2BD-2EE4-41E1-A02E-98FDE9397DF0}" xr6:coauthVersionLast="47" xr6:coauthVersionMax="47" xr10:uidLastSave="{00000000-0000-0000-0000-000000000000}"/>
  <bookViews>
    <workbookView xWindow="-120" yWindow="-120" windowWidth="20640" windowHeight="11160" firstSheet="4" activeTab="6" xr2:uid="{00000000-000D-0000-FFFF-FFFF00000000}"/>
  </bookViews>
  <sheets>
    <sheet name="Instructions" sheetId="16" r:id="rId1"/>
    <sheet name="CAT 349 EXCAVATOR" sheetId="17" r:id="rId2"/>
    <sheet name="CAT 14M MOTOR GRADER" sheetId="19" r:id="rId3"/>
    <sheet name="CAT 160M MOTOR GRADER" sheetId="20" r:id="rId4"/>
    <sheet name="CAT D9C DOZER" sheetId="18" r:id="rId5"/>
    <sheet name="CAT 216 SKID STEER" sheetId="21" r:id="rId6"/>
    <sheet name="CAT 320 EXCAVATOR" sheetId="15" r:id="rId7"/>
    <sheet name="CAT 422 LOADER" sheetId="23" r:id="rId8"/>
    <sheet name="CAT 966 LOADER" sheetId="24" r:id="rId9"/>
    <sheet name="CAT 246 SMALL LOADER" sheetId="2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4" i="24" l="1"/>
  <c r="S114" i="24"/>
  <c r="R114" i="24"/>
  <c r="Q114" i="24"/>
  <c r="M114" i="24"/>
  <c r="L114" i="24"/>
  <c r="K114" i="24"/>
  <c r="I114" i="24"/>
  <c r="P2" i="24" s="1"/>
  <c r="H114" i="24"/>
  <c r="G114" i="24"/>
  <c r="F114" i="24"/>
  <c r="P11" i="24" s="1"/>
  <c r="R18" i="24"/>
  <c r="I18" i="24"/>
  <c r="H18" i="24"/>
  <c r="E16" i="24"/>
  <c r="V15" i="24"/>
  <c r="P9" i="24" s="1"/>
  <c r="P8" i="24"/>
  <c r="P7" i="24"/>
  <c r="P6" i="24"/>
  <c r="P3" i="24"/>
  <c r="P1" i="24"/>
  <c r="T114" i="23"/>
  <c r="S114" i="23"/>
  <c r="R114" i="23"/>
  <c r="Q114" i="23"/>
  <c r="M114" i="23"/>
  <c r="L114" i="23"/>
  <c r="K114" i="23"/>
  <c r="I114" i="23"/>
  <c r="P2" i="23" s="1"/>
  <c r="H114" i="23"/>
  <c r="G114" i="23"/>
  <c r="F114" i="23"/>
  <c r="P11" i="23" s="1"/>
  <c r="R18" i="23"/>
  <c r="I18" i="23"/>
  <c r="H18" i="23"/>
  <c r="E16" i="23"/>
  <c r="V15" i="23"/>
  <c r="P9" i="23" s="1"/>
  <c r="P8" i="23"/>
  <c r="P7" i="23"/>
  <c r="P6" i="23"/>
  <c r="P3" i="23"/>
  <c r="P1" i="23"/>
  <c r="T114" i="22"/>
  <c r="S114" i="22"/>
  <c r="R114" i="22"/>
  <c r="P7" i="22" s="1"/>
  <c r="Q114" i="22"/>
  <c r="M114" i="22"/>
  <c r="L114" i="22"/>
  <c r="K114" i="22"/>
  <c r="I114" i="22"/>
  <c r="P2" i="22" s="1"/>
  <c r="H114" i="22"/>
  <c r="G114" i="22"/>
  <c r="F114" i="22"/>
  <c r="P11" i="22" s="1"/>
  <c r="R18" i="22"/>
  <c r="I18" i="22"/>
  <c r="H18" i="22"/>
  <c r="E16" i="22"/>
  <c r="V15" i="22"/>
  <c r="P9" i="22" s="1"/>
  <c r="P8" i="22"/>
  <c r="P6" i="22"/>
  <c r="P3" i="22"/>
  <c r="P1" i="22"/>
  <c r="T114" i="21"/>
  <c r="S114" i="21"/>
  <c r="R114" i="21"/>
  <c r="P7" i="21" s="1"/>
  <c r="Q114" i="21"/>
  <c r="M114" i="21"/>
  <c r="L114" i="21"/>
  <c r="K114" i="21"/>
  <c r="I114" i="21"/>
  <c r="P2" i="21" s="1"/>
  <c r="H114" i="21"/>
  <c r="G114" i="21"/>
  <c r="F114" i="21"/>
  <c r="P11" i="21" s="1"/>
  <c r="R18" i="21"/>
  <c r="I18" i="21"/>
  <c r="H18" i="21"/>
  <c r="E16" i="21"/>
  <c r="V15" i="21"/>
  <c r="P9" i="21" s="1"/>
  <c r="P8" i="21"/>
  <c r="P6" i="21"/>
  <c r="P3" i="21"/>
  <c r="P1" i="21"/>
  <c r="T114" i="20"/>
  <c r="S114" i="20"/>
  <c r="R114" i="20"/>
  <c r="Q114" i="20"/>
  <c r="M114" i="20"/>
  <c r="L114" i="20"/>
  <c r="K114" i="20"/>
  <c r="I114" i="20"/>
  <c r="P2" i="20" s="1"/>
  <c r="H114" i="20"/>
  <c r="G114" i="20"/>
  <c r="F114" i="20"/>
  <c r="P11" i="20" s="1"/>
  <c r="R18" i="20"/>
  <c r="I18" i="20"/>
  <c r="H18" i="20"/>
  <c r="E16" i="20"/>
  <c r="V15" i="20"/>
  <c r="P9" i="20" s="1"/>
  <c r="P8" i="20"/>
  <c r="P7" i="20"/>
  <c r="P6" i="20"/>
  <c r="P3" i="20"/>
  <c r="P1" i="20"/>
  <c r="T114" i="19"/>
  <c r="P6" i="19" s="1"/>
  <c r="S114" i="19"/>
  <c r="R114" i="19"/>
  <c r="Q114" i="19"/>
  <c r="M114" i="19"/>
  <c r="L114" i="19"/>
  <c r="K114" i="19"/>
  <c r="I114" i="19"/>
  <c r="P2" i="19" s="1"/>
  <c r="H114" i="19"/>
  <c r="G114" i="19"/>
  <c r="F114" i="19"/>
  <c r="P11" i="19" s="1"/>
  <c r="R18" i="19"/>
  <c r="I18" i="19"/>
  <c r="H18" i="19"/>
  <c r="E16" i="19"/>
  <c r="V15" i="19"/>
  <c r="P9" i="19" s="1"/>
  <c r="P8" i="19"/>
  <c r="P7" i="19"/>
  <c r="P3" i="19"/>
  <c r="P1" i="19"/>
  <c r="T114" i="18"/>
  <c r="S114" i="18"/>
  <c r="R114" i="18"/>
  <c r="Q114" i="18"/>
  <c r="M114" i="18"/>
  <c r="L114" i="18"/>
  <c r="K114" i="18"/>
  <c r="I114" i="18"/>
  <c r="P2" i="18" s="1"/>
  <c r="H114" i="18"/>
  <c r="G114" i="18"/>
  <c r="F114" i="18"/>
  <c r="P11" i="18" s="1"/>
  <c r="R18" i="18"/>
  <c r="I18" i="18"/>
  <c r="H18" i="18"/>
  <c r="E16" i="18"/>
  <c r="V15" i="18"/>
  <c r="P9" i="18" s="1"/>
  <c r="P7" i="18"/>
  <c r="P6" i="18"/>
  <c r="P3" i="18"/>
  <c r="P1" i="18"/>
  <c r="P8" i="18" s="1"/>
  <c r="T114" i="17"/>
  <c r="P6" i="17" s="1"/>
  <c r="S114" i="17"/>
  <c r="R114" i="17"/>
  <c r="P7" i="17" s="1"/>
  <c r="Q114" i="17"/>
  <c r="M114" i="17"/>
  <c r="L114" i="17"/>
  <c r="K114" i="17"/>
  <c r="I114" i="17"/>
  <c r="P2" i="17" s="1"/>
  <c r="H114" i="17"/>
  <c r="G114" i="17"/>
  <c r="F114" i="17"/>
  <c r="P11" i="17" s="1"/>
  <c r="R18" i="17"/>
  <c r="I18" i="17"/>
  <c r="H18" i="17"/>
  <c r="E16" i="17"/>
  <c r="V15" i="17"/>
  <c r="P9" i="17" s="1"/>
  <c r="P8" i="17"/>
  <c r="P3" i="17"/>
  <c r="P1" i="17"/>
  <c r="S9" i="24" l="1"/>
  <c r="T9" i="24" s="1"/>
  <c r="V9" i="24" s="1"/>
  <c r="P5" i="24"/>
  <c r="P4" i="24"/>
  <c r="P4" i="23"/>
  <c r="P5" i="23"/>
  <c r="S9" i="23"/>
  <c r="U9" i="23" s="1"/>
  <c r="P4" i="22"/>
  <c r="P5" i="22"/>
  <c r="S9" i="22"/>
  <c r="U9" i="22" s="1"/>
  <c r="P4" i="21"/>
  <c r="P5" i="21"/>
  <c r="S9" i="21"/>
  <c r="T9" i="21" s="1"/>
  <c r="V9" i="21" s="1"/>
  <c r="P4" i="20"/>
  <c r="P5" i="20"/>
  <c r="S9" i="20"/>
  <c r="U9" i="20" s="1"/>
  <c r="P5" i="19"/>
  <c r="P4" i="19"/>
  <c r="S9" i="19"/>
  <c r="T9" i="19" s="1"/>
  <c r="V9" i="19" s="1"/>
  <c r="P5" i="18"/>
  <c r="P4" i="18"/>
  <c r="S9" i="18"/>
  <c r="U9" i="18" s="1"/>
  <c r="P5" i="17"/>
  <c r="P4" i="17"/>
  <c r="S9" i="17"/>
  <c r="T9" i="17" s="1"/>
  <c r="V9" i="17" s="1"/>
  <c r="T114" i="15"/>
  <c r="P6" i="15" s="1"/>
  <c r="S114" i="15"/>
  <c r="R114" i="15"/>
  <c r="P7" i="15" s="1"/>
  <c r="Q114" i="15"/>
  <c r="M114" i="15"/>
  <c r="P3" i="15" s="1"/>
  <c r="L114" i="15"/>
  <c r="K114" i="15"/>
  <c r="I114" i="15"/>
  <c r="P2" i="15" s="1"/>
  <c r="H114" i="15"/>
  <c r="G114" i="15"/>
  <c r="F114" i="15"/>
  <c r="P11" i="15" s="1"/>
  <c r="R18" i="15"/>
  <c r="I18" i="15"/>
  <c r="H18" i="15"/>
  <c r="E16" i="15"/>
  <c r="P8" i="15"/>
  <c r="P1" i="15"/>
  <c r="U9" i="24" l="1"/>
  <c r="T9" i="23"/>
  <c r="V9" i="23" s="1"/>
  <c r="T9" i="22"/>
  <c r="V9" i="22" s="1"/>
  <c r="U9" i="21"/>
  <c r="T9" i="20"/>
  <c r="V9" i="20" s="1"/>
  <c r="U9" i="19"/>
  <c r="T9" i="18"/>
  <c r="V9" i="18" s="1"/>
  <c r="U9" i="17"/>
  <c r="V15" i="15"/>
  <c r="P9" i="15" s="1"/>
  <c r="P5" i="15"/>
  <c r="P4" i="15"/>
  <c r="S9" i="15"/>
  <c r="U9" i="15" s="1"/>
  <c r="T9" i="15" l="1"/>
  <c r="V9" i="15" s="1"/>
</calcChain>
</file>

<file path=xl/sharedStrings.xml><?xml version="1.0" encoding="utf-8"?>
<sst xmlns="http://schemas.openxmlformats.org/spreadsheetml/2006/main" count="1524" uniqueCount="500">
  <si>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</si>
  <si>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</si>
  <si>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</si>
  <si>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</si>
  <si>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</si>
  <si>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</si>
  <si>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</si>
  <si>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</si>
  <si>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</si>
  <si>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</si>
  <si>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</si>
  <si>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</si>
  <si>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</si>
  <si>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</si>
  <si>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</si>
  <si>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</si>
  <si>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</si>
  <si>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</si>
  <si>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</si>
  <si>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</si>
  <si>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</si>
  <si>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</si>
  <si>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</si>
  <si>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</si>
  <si>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</si>
  <si>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</si>
  <si>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</si>
  <si>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</si>
  <si>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</si>
  <si>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</si>
  <si>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</si>
  <si>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</si>
  <si>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</si>
  <si>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</si>
  <si>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</si>
  <si>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</si>
  <si>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</si>
  <si>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</si>
  <si>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</si>
  <si>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</si>
  <si>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</si>
  <si>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</si>
  <si>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</si>
  <si>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</si>
  <si>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</si>
  <si>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</si>
  <si>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</si>
  <si>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</si>
  <si>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</si>
  <si>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</si>
  <si>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</si>
  <si>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</si>
  <si>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</si>
  <si>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</si>
  <si>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</si>
  <si>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</si>
  <si>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</si>
  <si>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</si>
  <si>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</si>
  <si>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</si>
  <si>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</si>
  <si>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</si>
  <si>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</si>
  <si>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</si>
  <si>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</si>
  <si>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</si>
  <si>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</si>
  <si>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</si>
  <si>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</si>
  <si>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</si>
  <si>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</si>
  <si>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</si>
  <si>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</si>
  <si>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</si>
  <si>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</si>
  <si>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</si>
  <si>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</si>
  <si>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</si>
  <si>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</si>
  <si>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Motor Grader</t>
  </si>
  <si>
    <t>Excavator</t>
  </si>
  <si>
    <t>ENGINE OIL FILTER</t>
  </si>
  <si>
    <t>500-0481</t>
  </si>
  <si>
    <t>FUEL WATER SEPARATOR FILTER</t>
  </si>
  <si>
    <t>590-9787</t>
  </si>
  <si>
    <t>HYDRAULIC FILTER</t>
  </si>
  <si>
    <t>HYDRAULIC TRANSMISSION OIL FILTER</t>
  </si>
  <si>
    <t>PRIMARY AIR FILTER</t>
  </si>
  <si>
    <t>SECONDARY AIR FILTER ELEMENT</t>
  </si>
  <si>
    <t>CABIN AIR FILTER ELEMENT</t>
  </si>
  <si>
    <t>12V 4D BCI BATTERY (21" X 8.3" X 8.9")</t>
  </si>
  <si>
    <t xml:space="preserve">FUEL INJECTOR </t>
  </si>
  <si>
    <t>TURBOCHARGER ASSEMBLY</t>
  </si>
  <si>
    <t>TRACK SPROCKET SEGMENT</t>
  </si>
  <si>
    <t>520-7951</t>
  </si>
  <si>
    <t>SPROCKET BOLT</t>
  </si>
  <si>
    <t>FRONT IDLER</t>
  </si>
  <si>
    <t>IDLER BOLT</t>
  </si>
  <si>
    <t>300-4610</t>
  </si>
  <si>
    <t>CARRIER ROLLER</t>
  </si>
  <si>
    <t>447-1724</t>
  </si>
  <si>
    <t>CARRIER BOLT</t>
  </si>
  <si>
    <t>SINGLE FLANGE TRACK ROLLER</t>
  </si>
  <si>
    <t>ROLLER BOLT</t>
  </si>
  <si>
    <t>451-2177</t>
  </si>
  <si>
    <t>FLAT WASHER</t>
  </si>
  <si>
    <t>CUSTOM</t>
  </si>
  <si>
    <t>TRACK BOLT</t>
  </si>
  <si>
    <t>TIP</t>
  </si>
  <si>
    <t>CAMSHAFT</t>
  </si>
  <si>
    <t>CRANKSHAFT</t>
  </si>
  <si>
    <t>CYLINDER HEAD</t>
  </si>
  <si>
    <t xml:space="preserve"> $-   </t>
  </si>
  <si>
    <t>Dozer</t>
  </si>
  <si>
    <t>1R-0716</t>
  </si>
  <si>
    <t>1R-0749</t>
  </si>
  <si>
    <t xml:space="preserve">SECONDARY FUEL FILTER </t>
  </si>
  <si>
    <t>1R-0735</t>
  </si>
  <si>
    <t>SPROCKET NUT</t>
  </si>
  <si>
    <t>BLADE AS SEMI UNIVERSAL</t>
  </si>
  <si>
    <t>DOZER CUTTING EDGE</t>
  </si>
  <si>
    <t>CUTTING EDGE</t>
  </si>
  <si>
    <t>LH END BIT</t>
  </si>
  <si>
    <t>RH END BIT</t>
  </si>
  <si>
    <t>Plow Bolt</t>
  </si>
  <si>
    <t>Washer</t>
  </si>
  <si>
    <t>RIPPER SHANK</t>
  </si>
  <si>
    <t>RIPPER TIP</t>
  </si>
  <si>
    <t>RIPPER PIN</t>
  </si>
  <si>
    <t>RETAINER</t>
  </si>
  <si>
    <t>Ripper Cylinder</t>
  </si>
  <si>
    <t>ENGINE MAJOR OVERHAUL KIT</t>
  </si>
  <si>
    <t>CRANKSAHFT</t>
  </si>
  <si>
    <t>SEAT ASSEMBLY</t>
  </si>
  <si>
    <t>SEAT SUSPENSION</t>
  </si>
  <si>
    <t>328-3655</t>
  </si>
  <si>
    <t>1R-0762</t>
  </si>
  <si>
    <t>FUEL FILTER</t>
  </si>
  <si>
    <t>326-1644</t>
  </si>
  <si>
    <t>338-3540</t>
  </si>
  <si>
    <t>211-2660</t>
  </si>
  <si>
    <t>153-5700</t>
  </si>
  <si>
    <t>12V 4D BCI BATTERY (20" X 8.6" X 8.7")</t>
  </si>
  <si>
    <t>223-7468</t>
  </si>
  <si>
    <t>313-3996</t>
  </si>
  <si>
    <t>247-2956</t>
  </si>
  <si>
    <t>TURBOCHARGER</t>
  </si>
  <si>
    <t>FUEL INJECTOR</t>
  </si>
  <si>
    <t>282-4577</t>
  </si>
  <si>
    <t>STRAIGHT BLADE AS</t>
  </si>
  <si>
    <t>519-2885</t>
  </si>
  <si>
    <t>CYLINDER</t>
  </si>
  <si>
    <t>1J-6762</t>
  </si>
  <si>
    <t>PLOW BOLT</t>
  </si>
  <si>
    <t>2J-3506</t>
  </si>
  <si>
    <t>NUT</t>
  </si>
  <si>
    <t>8E-5529</t>
  </si>
  <si>
    <t>END BIT</t>
  </si>
  <si>
    <t>5J-4773</t>
  </si>
  <si>
    <t>END BIT BOLT</t>
  </si>
  <si>
    <t>END BIT NUT</t>
  </si>
  <si>
    <t>605-8830</t>
  </si>
  <si>
    <t>9J-6586</t>
  </si>
  <si>
    <t>6Y-0309</t>
  </si>
  <si>
    <t>3B-5325</t>
  </si>
  <si>
    <t>COTTER</t>
  </si>
  <si>
    <t>2K-6413</t>
  </si>
  <si>
    <t>PIN</t>
  </si>
  <si>
    <t>114-0359</t>
  </si>
  <si>
    <t>RETAINER AS</t>
  </si>
  <si>
    <t>136-8308</t>
  </si>
  <si>
    <t>504-4302</t>
  </si>
  <si>
    <t>SEAT GROUP</t>
  </si>
  <si>
    <t>1R-1808</t>
  </si>
  <si>
    <t>1R-0726</t>
  </si>
  <si>
    <t>9T-8578</t>
  </si>
  <si>
    <t>245-3818</t>
  </si>
  <si>
    <t>245-3819</t>
  </si>
  <si>
    <t>7X-6041</t>
  </si>
  <si>
    <t>153-5710</t>
  </si>
  <si>
    <t>12V 4D BCI BATTERY (19.3" X 8.6" X 9.9")</t>
  </si>
  <si>
    <t>652-1390</t>
  </si>
  <si>
    <t>ENGINE OVERHAUL KIT</t>
  </si>
  <si>
    <t>305-0617</t>
  </si>
  <si>
    <t>247-2957</t>
  </si>
  <si>
    <t>249-0712</t>
  </si>
  <si>
    <t>INJECTOR</t>
  </si>
  <si>
    <t>133-1677</t>
  </si>
  <si>
    <t>BUCKET AS GENERAL PURPOSE</t>
  </si>
  <si>
    <t>357-1147</t>
  </si>
  <si>
    <t>TILT CYLINDER</t>
  </si>
  <si>
    <t>LIFT CYLINDER</t>
  </si>
  <si>
    <t>8T-9079</t>
  </si>
  <si>
    <t>3K-9770</t>
  </si>
  <si>
    <t>NUT FULL</t>
  </si>
  <si>
    <t>4K-0684</t>
  </si>
  <si>
    <t>WASHER</t>
  </si>
  <si>
    <t>220-9090</t>
  </si>
  <si>
    <t xml:space="preserve">TIP RETAINER </t>
  </si>
  <si>
    <t>475-5480</t>
  </si>
  <si>
    <t>489-6536</t>
  </si>
  <si>
    <t>SEAT GP</t>
  </si>
  <si>
    <t>191-2933</t>
  </si>
  <si>
    <t>7W-2326</t>
  </si>
  <si>
    <t>1G-8878</t>
  </si>
  <si>
    <t>293-1184</t>
  </si>
  <si>
    <t>359-0715</t>
  </si>
  <si>
    <t>Hello</t>
  </si>
  <si>
    <t>320D2</t>
  </si>
  <si>
    <t>ZCS01141</t>
  </si>
  <si>
    <t>322-3155</t>
  </si>
  <si>
    <t xml:space="preserve">ENGINE OIL FILTER ELEMENT </t>
  </si>
  <si>
    <t>360-8960</t>
  </si>
  <si>
    <t>FUEL FILTER ELEMENT</t>
  </si>
  <si>
    <t>479-4131</t>
  </si>
  <si>
    <t>FUEL WATER SEPARATOR</t>
  </si>
  <si>
    <t>179-9806</t>
  </si>
  <si>
    <t xml:space="preserve">HYDRAULIC OIL FILTER ELEMENT </t>
  </si>
  <si>
    <t>131-8822</t>
  </si>
  <si>
    <t>PRIMARY AIR FILTER ELEMENT</t>
  </si>
  <si>
    <t>131-8821</t>
  </si>
  <si>
    <t>610-2300</t>
  </si>
  <si>
    <t>615-6123</t>
  </si>
  <si>
    <t>115-2422</t>
  </si>
  <si>
    <t>12V BATTERY 1000CCA</t>
  </si>
  <si>
    <t>GQP UNDERCARRIAGE COMPLETE</t>
  </si>
  <si>
    <t>8E-9805</t>
  </si>
  <si>
    <t>TRACK SPROCKET</t>
  </si>
  <si>
    <t>219-7569</t>
  </si>
  <si>
    <t>248-7143</t>
  </si>
  <si>
    <t>TRACK IDLER</t>
  </si>
  <si>
    <t>447-1707</t>
  </si>
  <si>
    <t>8E-5600</t>
  </si>
  <si>
    <t>604-1761</t>
  </si>
  <si>
    <t>447-1725</t>
  </si>
  <si>
    <t>HEX HEAD BOLT</t>
  </si>
  <si>
    <t>447-1731</t>
  </si>
  <si>
    <t>451-2176</t>
  </si>
  <si>
    <t>596-8460</t>
  </si>
  <si>
    <t xml:space="preserve">TRACK LINK ASSEMBLY </t>
  </si>
  <si>
    <t>332-8903</t>
  </si>
  <si>
    <t>TRACK SHOE 790MM</t>
  </si>
  <si>
    <t>9W-3619</t>
  </si>
  <si>
    <t xml:space="preserve">TRACK BOLT </t>
  </si>
  <si>
    <t>9W-3361</t>
  </si>
  <si>
    <t xml:space="preserve">TRACK NUT </t>
  </si>
  <si>
    <t>347-6708</t>
  </si>
  <si>
    <t>BUCKET GP</t>
  </si>
  <si>
    <t>357-2713</t>
  </si>
  <si>
    <t>LH SIDE CUTTER</t>
  </si>
  <si>
    <t>357-2714</t>
  </si>
  <si>
    <t>RH SIDE CUTTER</t>
  </si>
  <si>
    <t>7X-0851</t>
  </si>
  <si>
    <t>8T-0664</t>
  </si>
  <si>
    <t>BOLT</t>
  </si>
  <si>
    <t>523-4008</t>
  </si>
  <si>
    <t>BOOM CYLINDER GP</t>
  </si>
  <si>
    <t>327-6512</t>
  </si>
  <si>
    <t xml:space="preserve">SEAT ASSEMBLY </t>
  </si>
  <si>
    <t>327-6520</t>
  </si>
  <si>
    <t>SUSPENSION</t>
  </si>
  <si>
    <t>350-0637</t>
  </si>
  <si>
    <t>CAMSHAFT AS</t>
  </si>
  <si>
    <t>376-4074</t>
  </si>
  <si>
    <t>CRANKSHAFT AS</t>
  </si>
  <si>
    <t>450-9263</t>
  </si>
  <si>
    <t>349D</t>
  </si>
  <si>
    <t>JGB00916</t>
  </si>
  <si>
    <t>093-7521</t>
  </si>
  <si>
    <t>OIL FILTER ELEMENT</t>
  </si>
  <si>
    <t>500-0480</t>
  </si>
  <si>
    <t>FUEL WATER SEPARATOR ELEMENT</t>
  </si>
  <si>
    <t>HYDRAULIC OIL FILTER ELEMENT</t>
  </si>
  <si>
    <t>496-9845</t>
  </si>
  <si>
    <t>496-9846</t>
  </si>
  <si>
    <t>12V BATTERY - 1000CCA</t>
  </si>
  <si>
    <t>249-0705</t>
  </si>
  <si>
    <t>608-9008</t>
  </si>
  <si>
    <t>PRIMARY TURBOCHARGER ASSEMBLY</t>
  </si>
  <si>
    <t>GQP COMPLETE UNDERCARRIAGE</t>
  </si>
  <si>
    <t>124-3296</t>
  </si>
  <si>
    <t>575-6593</t>
  </si>
  <si>
    <t>447-1718</t>
  </si>
  <si>
    <t>447-1733</t>
  </si>
  <si>
    <t>528-2933</t>
  </si>
  <si>
    <t>609-0880</t>
  </si>
  <si>
    <t>150-4767</t>
  </si>
  <si>
    <t>TRACK SHOE 900MM</t>
  </si>
  <si>
    <t>516-2634</t>
  </si>
  <si>
    <t>516-2635</t>
  </si>
  <si>
    <t>658-7523</t>
  </si>
  <si>
    <t>ENGINE OVERHAUL KIT (Bronze)</t>
  </si>
  <si>
    <t>344-9038</t>
  </si>
  <si>
    <t>361-5594</t>
  </si>
  <si>
    <t>486-6227</t>
  </si>
  <si>
    <t>Cylinder Head</t>
  </si>
  <si>
    <t>368-6385</t>
  </si>
  <si>
    <t>BUCKET AS</t>
  </si>
  <si>
    <t>HINGE PLATE</t>
  </si>
  <si>
    <t>BASE EDGE ASSEMBLY</t>
  </si>
  <si>
    <t>BUCKET TIP ADAPTER</t>
  </si>
  <si>
    <t>8P-9770</t>
  </si>
  <si>
    <t>PLATE</t>
  </si>
  <si>
    <t>365-3152</t>
  </si>
  <si>
    <t>WEAR PLATE</t>
  </si>
  <si>
    <t>368-8003</t>
  </si>
  <si>
    <t xml:space="preserve"> 368-8004</t>
  </si>
  <si>
    <t xml:space="preserve"> 368-8632</t>
  </si>
  <si>
    <t>220-9130</t>
  </si>
  <si>
    <t>TIP RETAINER</t>
  </si>
  <si>
    <t>470-7975</t>
  </si>
  <si>
    <t>357-9783</t>
  </si>
  <si>
    <t xml:space="preserve">Cylinder </t>
  </si>
  <si>
    <t>423-8521</t>
  </si>
  <si>
    <t>1R-0719</t>
  </si>
  <si>
    <t>6I-2507</t>
  </si>
  <si>
    <t>6I-2508</t>
  </si>
  <si>
    <t>7T-1890</t>
  </si>
  <si>
    <t>9X-9731</t>
  </si>
  <si>
    <t>370-7280</t>
  </si>
  <si>
    <t>4P-8730</t>
  </si>
  <si>
    <t>499-2970</t>
  </si>
  <si>
    <t>7T-1248</t>
  </si>
  <si>
    <t>5P-8249</t>
  </si>
  <si>
    <t>7H-3609</t>
  </si>
  <si>
    <t>1254655 </t>
  </si>
  <si>
    <t>5P-2546</t>
  </si>
  <si>
    <t>300-4545</t>
  </si>
  <si>
    <t>114-6099</t>
  </si>
  <si>
    <t>196-9955</t>
  </si>
  <si>
    <t>7X-0423</t>
  </si>
  <si>
    <t>7X-0531</t>
  </si>
  <si>
    <t>199-5525</t>
  </si>
  <si>
    <t>TRACK LINK ASSEMBLY</t>
  </si>
  <si>
    <t>9W-2738</t>
  </si>
  <si>
    <t>TRACK SHOE 628MM</t>
  </si>
  <si>
    <t>6T-2638</t>
  </si>
  <si>
    <t>TRACK BOLT 85MM</t>
  </si>
  <si>
    <t>608-7785</t>
  </si>
  <si>
    <t>102-1904</t>
  </si>
  <si>
    <t>7T-5702</t>
  </si>
  <si>
    <t>7T-9125</t>
  </si>
  <si>
    <t>8E-4196</t>
  </si>
  <si>
    <t>8E-4197</t>
  </si>
  <si>
    <t>4J-9208</t>
  </si>
  <si>
    <t>5P-8250</t>
  </si>
  <si>
    <t>2J-3507</t>
  </si>
  <si>
    <t>Nut</t>
  </si>
  <si>
    <t>114-4503</t>
  </si>
  <si>
    <t>4T-4501</t>
  </si>
  <si>
    <t>6Y-1204</t>
  </si>
  <si>
    <t>6Y-1202</t>
  </si>
  <si>
    <t>7M-1907</t>
  </si>
  <si>
    <t>RING LOCK</t>
  </si>
  <si>
    <t>650-8560</t>
  </si>
  <si>
    <t>655-6192</t>
  </si>
  <si>
    <t>6E-4215</t>
  </si>
  <si>
    <t>PISTON KIT</t>
  </si>
  <si>
    <t>4P-6987</t>
  </si>
  <si>
    <t>1W-5009</t>
  </si>
  <si>
    <t>143-0041</t>
  </si>
  <si>
    <t>526-7416</t>
  </si>
  <si>
    <t>160-7165</t>
  </si>
  <si>
    <t>R9J00804</t>
  </si>
  <si>
    <t>14M</t>
  </si>
  <si>
    <t>1R-1809</t>
  </si>
  <si>
    <t>432-8525</t>
  </si>
  <si>
    <t>380-3941</t>
  </si>
  <si>
    <t>380-3942</t>
  </si>
  <si>
    <t>652-0820</t>
  </si>
  <si>
    <t xml:space="preserve">ENGINE OVERHAUL KIT </t>
  </si>
  <si>
    <t>594-5181</t>
  </si>
  <si>
    <t>4T-0828</t>
  </si>
  <si>
    <t>260-1803</t>
  </si>
  <si>
    <t>TIRE 20.5-R25</t>
  </si>
  <si>
    <t>160M</t>
  </si>
  <si>
    <t>B9E00723</t>
  </si>
  <si>
    <t>Skid Steer</t>
  </si>
  <si>
    <t>216B</t>
  </si>
  <si>
    <t>RLL08886</t>
  </si>
  <si>
    <t>220-1523</t>
  </si>
  <si>
    <t>1g-7206</t>
  </si>
  <si>
    <t>144-9962</t>
  </si>
  <si>
    <t>231-0167</t>
  </si>
  <si>
    <t>231-0168</t>
  </si>
  <si>
    <t>231-8132</t>
  </si>
  <si>
    <t>153-5656</t>
  </si>
  <si>
    <t>12V 4D BCI BATTERY (10" X 6.9" X 8")</t>
  </si>
  <si>
    <t>219-4380</t>
  </si>
  <si>
    <t>ADJUSTABLE OPERATOR SEAT</t>
  </si>
  <si>
    <t>426-6545</t>
  </si>
  <si>
    <t>MULTIPURPOSE BLADE</t>
  </si>
  <si>
    <t>149-5435</t>
  </si>
  <si>
    <t>8T-4778</t>
  </si>
  <si>
    <t>LOCKNUT</t>
  </si>
  <si>
    <t>159-2953</t>
  </si>
  <si>
    <t>SCREW</t>
  </si>
  <si>
    <t>132-4720</t>
  </si>
  <si>
    <t>TOOTH</t>
  </si>
  <si>
    <t>246-4349</t>
  </si>
  <si>
    <t>236-5106</t>
  </si>
  <si>
    <t>GEAR PUMP</t>
  </si>
  <si>
    <t>513-6823</t>
  </si>
  <si>
    <t>309-6733</t>
  </si>
  <si>
    <t>CAMSHAFT ASSY</t>
  </si>
  <si>
    <t>252-1446</t>
  </si>
  <si>
    <t>185-9932</t>
  </si>
  <si>
    <t>TIRE - 10-16.5</t>
  </si>
  <si>
    <t>246D</t>
  </si>
  <si>
    <t>GM6005723</t>
  </si>
  <si>
    <t>Small Loader</t>
  </si>
  <si>
    <t>421-5479</t>
  </si>
  <si>
    <t>233-9856</t>
  </si>
  <si>
    <t>541-6956</t>
  </si>
  <si>
    <t>110-6326</t>
  </si>
  <si>
    <t>110-6331</t>
  </si>
  <si>
    <t>265-6619</t>
  </si>
  <si>
    <t>631-9965</t>
  </si>
  <si>
    <t>BUCKET- GENERAL PURPOSE</t>
  </si>
  <si>
    <t>135-9396</t>
  </si>
  <si>
    <t>420-9919</t>
  </si>
  <si>
    <t xml:space="preserve">AXLE GP </t>
  </si>
  <si>
    <t>423-0086</t>
  </si>
  <si>
    <t>HYDRAULIC PUMP</t>
  </si>
  <si>
    <t>387-9832</t>
  </si>
  <si>
    <t>113-4779</t>
  </si>
  <si>
    <t>TURBOCHARGER GP **VERIFY**</t>
  </si>
  <si>
    <t xml:space="preserve">392-0220 </t>
  </si>
  <si>
    <t>185-9933</t>
  </si>
  <si>
    <t>TIRE 12-16.5</t>
  </si>
  <si>
    <t>LRH01415</t>
  </si>
  <si>
    <t>422F</t>
  </si>
  <si>
    <t>Loader</t>
  </si>
  <si>
    <t>362-1163</t>
  </si>
  <si>
    <t>Oil Filter</t>
  </si>
  <si>
    <t>361-6768</t>
  </si>
  <si>
    <t>Hydarulic Oil Filter</t>
  </si>
  <si>
    <t>Oil Filter Assembly</t>
  </si>
  <si>
    <t>349-1063</t>
  </si>
  <si>
    <t>Electric Priming Fuel Filter Assembly</t>
  </si>
  <si>
    <t>AIR FILTER</t>
  </si>
  <si>
    <t>211-2661</t>
  </si>
  <si>
    <t>Cabin Air Filter</t>
  </si>
  <si>
    <t>471-7003</t>
  </si>
  <si>
    <t>Transmission Hydraulic Filter</t>
  </si>
  <si>
    <t>Engine Oil Filter</t>
  </si>
  <si>
    <t>346-6688</t>
  </si>
  <si>
    <t>Secondary Air Cleaner Filter</t>
  </si>
  <si>
    <t>156-1200</t>
  </si>
  <si>
    <t>Fuel/Water Separator Filter</t>
  </si>
  <si>
    <t>656-3635</t>
  </si>
  <si>
    <t>Engine Overhaul Kit</t>
  </si>
  <si>
    <t>350-1846</t>
  </si>
  <si>
    <t>Camshaft Assembly</t>
  </si>
  <si>
    <t>Crankshaft Group</t>
  </si>
  <si>
    <t>362-2190</t>
  </si>
  <si>
    <t>Cylinder Block</t>
  </si>
  <si>
    <t>247-4868</t>
  </si>
  <si>
    <t>Cylinder Head GP</t>
  </si>
  <si>
    <t>266-6830</t>
  </si>
  <si>
    <t>Fuel Injector</t>
  </si>
  <si>
    <t>558-6980</t>
  </si>
  <si>
    <t>Turbo Charger</t>
  </si>
  <si>
    <t>566-1908</t>
  </si>
  <si>
    <t>SEAT-SUSPENSION AS</t>
  </si>
  <si>
    <t>230-6368</t>
  </si>
  <si>
    <t>Battery (L:11.9" x W:7.5" x H:7.5")</t>
  </si>
  <si>
    <t>337-7392</t>
  </si>
  <si>
    <t>Bucket As</t>
  </si>
  <si>
    <t>118-7110</t>
  </si>
  <si>
    <t>Bucket Cutting Edge</t>
  </si>
  <si>
    <t>3F-5108</t>
  </si>
  <si>
    <t>4K-0367</t>
  </si>
  <si>
    <t>8T-4122</t>
  </si>
  <si>
    <t>9R-5205</t>
  </si>
  <si>
    <t>Edge LH</t>
  </si>
  <si>
    <t>9R-5206</t>
  </si>
  <si>
    <t>Edge RH</t>
  </si>
  <si>
    <t>9R-5832</t>
  </si>
  <si>
    <t>Sidebar</t>
  </si>
  <si>
    <t>249-4221</t>
  </si>
  <si>
    <t>24inch Bucket Hoe AS (Includes Teeth)</t>
  </si>
  <si>
    <t>361-0419</t>
  </si>
  <si>
    <t>Tilt Cylinder</t>
  </si>
  <si>
    <t>470-6419</t>
  </si>
  <si>
    <t>Front: 12.5/80x18</t>
  </si>
  <si>
    <t>357-1996</t>
  </si>
  <si>
    <t>REAR TIRE 16.9-28</t>
  </si>
  <si>
    <t>966H</t>
  </si>
  <si>
    <t>A6D02100</t>
  </si>
  <si>
    <t>573-7838</t>
  </si>
  <si>
    <t>573-7839</t>
  </si>
  <si>
    <t>573-7840</t>
  </si>
  <si>
    <t>573-7841</t>
  </si>
  <si>
    <t>578-7842</t>
  </si>
  <si>
    <t>165-6163</t>
  </si>
  <si>
    <t>TIRE 26.5-R25</t>
  </si>
  <si>
    <t>CAT</t>
  </si>
  <si>
    <t>D9C</t>
  </si>
  <si>
    <t>AK400433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</si>
</sst>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6"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  <font>
      <sz val="11"/>
      <name val="Calibri"/>
      <family val="2"/>
    </font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E8E8E8"/>
        <bgColor rgb="FF000000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0">
    <xf numFmtId="0" fontId="0" fillId="0" borderId="0" xfId="0"/>
    <xf numFmtId="0" fontId="1" fillId="2" borderId="1" xfId="0" applyFont="1" applyFill="1" applyBorder="1"/>
    <xf numFmtId="0" fontId="4" fillId="2" borderId="1" xfId="0" applyFont="1" applyFill="1" applyBorder="1"/>
    <xf numFmtId="0" fontId="5" fillId="0" borderId="0" xfId="0" applyFont="1" applyAlignment="1">
      <alignment vertical="center"/>
    </xf>
    <xf numFmtId="0" fontId="1" fillId="0" borderId="0" xfId="0" applyFont="1"/>
    <xf numFmtId="0" fontId="4" fillId="4" borderId="13" xfId="0" applyFont="1" applyFill="1" applyBorder="1" applyAlignment="1">
      <alignment horizontal="right"/>
    </xf>
    <xf numFmtId="164" fontId="1" fillId="5" borderId="14" xfId="0" applyNumberFormat="1" applyFont="1" applyFill="1" applyBorder="1" applyAlignment="1">
      <alignment horizontal="left"/>
    </xf>
    <xf numFmtId="0" fontId="1" fillId="5" borderId="15" xfId="0" applyFont="1" applyFill="1" applyBorder="1" applyAlignment="1">
      <alignment horizontal="left"/>
    </xf>
    <xf numFmtId="0" fontId="1" fillId="5" borderId="13" xfId="0" applyFont="1" applyFill="1" applyBorder="1" applyAlignment="1">
      <alignment horizontal="center"/>
    </xf>
    <xf numFmtId="0" fontId="5" fillId="7" borderId="21" xfId="0" applyFont="1" applyFill="1" applyBorder="1" applyAlignment="1">
      <alignment horizontal="center" vertical="center" wrapText="1"/>
    </xf>
    <xf numFmtId="164" fontId="1" fillId="5" borderId="22" xfId="0" applyNumberFormat="1" applyFont="1" applyFill="1" applyBorder="1"/>
    <xf numFmtId="164" fontId="1" fillId="2" borderId="1" xfId="0" applyNumberFormat="1" applyFont="1" applyFill="1" applyBorder="1"/>
    <xf numFmtId="0" fontId="4" fillId="4" borderId="23" xfId="0" applyFont="1" applyFill="1" applyBorder="1" applyAlignment="1">
      <alignment horizontal="right"/>
    </xf>
    <xf numFmtId="0" fontId="1" fillId="5" borderId="23" xfId="0" applyFont="1" applyFill="1" applyBorder="1" applyAlignment="1">
      <alignment horizontal="center"/>
    </xf>
    <xf numFmtId="0" fontId="1" fillId="5" borderId="22" xfId="0" applyFont="1" applyFill="1" applyBorder="1"/>
    <xf numFmtId="165" fontId="6" fillId="0" borderId="0" xfId="0" applyNumberFormat="1" applyFont="1"/>
    <xf numFmtId="0" fontId="4" fillId="4" borderId="24" xfId="0" applyFont="1" applyFill="1" applyBorder="1" applyAlignment="1">
      <alignment horizontal="right"/>
    </xf>
    <xf numFmtId="1" fontId="7" fillId="5" borderId="15" xfId="0" applyNumberFormat="1" applyFont="1" applyFill="1" applyBorder="1" applyAlignment="1">
      <alignment horizontal="left"/>
    </xf>
    <xf numFmtId="0" fontId="8" fillId="5" borderId="22" xfId="0" applyFont="1" applyFill="1" applyBorder="1"/>
    <xf numFmtId="0" fontId="9" fillId="2" borderId="1" xfId="0" applyFont="1" applyFill="1" applyBorder="1"/>
    <xf numFmtId="9" fontId="6" fillId="0" borderId="0" xfId="0" applyNumberFormat="1" applyFont="1"/>
    <xf numFmtId="0" fontId="1" fillId="0" borderId="24" xfId="0" applyFont="1" applyBorder="1"/>
    <xf numFmtId="0" fontId="10" fillId="2" borderId="1" xfId="0" applyFont="1" applyFill="1" applyBorder="1"/>
    <xf numFmtId="0" fontId="4" fillId="8" borderId="33" xfId="0" applyFont="1" applyFill="1" applyBorder="1" applyAlignment="1">
      <alignment horizontal="right"/>
    </xf>
    <xf numFmtId="0" fontId="1" fillId="8" borderId="34" xfId="0" applyFont="1" applyFill="1" applyBorder="1"/>
    <xf numFmtId="0" fontId="11" fillId="9" borderId="35" xfId="0" applyFont="1" applyFill="1" applyBorder="1" applyAlignment="1">
      <alignment horizontal="center"/>
    </xf>
    <xf numFmtId="0" fontId="11" fillId="9" borderId="36" xfId="0" applyFont="1" applyFill="1" applyBorder="1" applyAlignment="1">
      <alignment horizontal="center" vertical="center"/>
    </xf>
    <xf numFmtId="0" fontId="11" fillId="9" borderId="37" xfId="0" applyFont="1" applyFill="1" applyBorder="1" applyAlignment="1">
      <alignment horizontal="center" vertical="center"/>
    </xf>
    <xf numFmtId="0" fontId="1" fillId="5" borderId="1" xfId="0" applyFont="1" applyFill="1" applyBorder="1"/>
    <xf numFmtId="165" fontId="4" fillId="2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/>
    <xf numFmtId="0" fontId="1" fillId="8" borderId="38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center"/>
    </xf>
    <xf numFmtId="9" fontId="1" fillId="8" borderId="1" xfId="0" applyNumberFormat="1" applyFont="1" applyFill="1" applyBorder="1" applyAlignment="1">
      <alignment horizontal="center"/>
    </xf>
    <xf numFmtId="0" fontId="4" fillId="8" borderId="43" xfId="0" applyFont="1" applyFill="1" applyBorder="1" applyAlignment="1">
      <alignment horizontal="right"/>
    </xf>
    <xf numFmtId="0" fontId="1" fillId="8" borderId="43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center"/>
    </xf>
    <xf numFmtId="0" fontId="14" fillId="7" borderId="21" xfId="0" applyFont="1" applyFill="1" applyBorder="1" applyAlignment="1">
      <alignment horizontal="center" vertical="center"/>
    </xf>
    <xf numFmtId="0" fontId="14" fillId="0" borderId="52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/>
    </xf>
    <xf numFmtId="0" fontId="14" fillId="7" borderId="22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 wrapText="1"/>
    </xf>
    <xf numFmtId="0" fontId="14" fillId="0" borderId="60" xfId="0" applyFont="1" applyBorder="1" applyAlignment="1">
      <alignment vertical="center"/>
    </xf>
    <xf numFmtId="0" fontId="4" fillId="5" borderId="63" xfId="0" applyFont="1" applyFill="1" applyBorder="1" applyAlignment="1">
      <alignment horizontal="center"/>
    </xf>
    <xf numFmtId="0" fontId="4" fillId="7" borderId="22" xfId="0" applyFont="1" applyFill="1" applyBorder="1" applyAlignment="1">
      <alignment horizontal="center"/>
    </xf>
    <xf numFmtId="0" fontId="14" fillId="0" borderId="67" xfId="0" applyFont="1" applyBorder="1" applyAlignment="1">
      <alignment vertical="center"/>
    </xf>
    <xf numFmtId="0" fontId="4" fillId="4" borderId="68" xfId="0" applyFont="1" applyFill="1" applyBorder="1" applyAlignment="1">
      <alignment horizontal="center" vertical="center"/>
    </xf>
    <xf numFmtId="0" fontId="4" fillId="4" borderId="69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17" fillId="11" borderId="72" xfId="0" applyFont="1" applyFill="1" applyBorder="1" applyAlignment="1">
      <alignment vertical="center" wrapText="1"/>
    </xf>
    <xf numFmtId="0" fontId="1" fillId="7" borderId="22" xfId="0" applyFont="1" applyFill="1" applyBorder="1" applyAlignment="1">
      <alignment horizontal="center"/>
    </xf>
    <xf numFmtId="0" fontId="16" fillId="4" borderId="73" xfId="0" applyFont="1" applyFill="1" applyBorder="1" applyAlignment="1">
      <alignment horizontal="center" vertical="center" wrapText="1"/>
    </xf>
    <xf numFmtId="0" fontId="4" fillId="5" borderId="74" xfId="0" applyFont="1" applyFill="1" applyBorder="1" applyAlignment="1">
      <alignment horizontal="center" vertical="center" wrapText="1"/>
    </xf>
    <xf numFmtId="44" fontId="4" fillId="5" borderId="73" xfId="0" applyNumberFormat="1" applyFont="1" applyFill="1" applyBorder="1" applyAlignment="1">
      <alignment horizontal="center" vertical="center"/>
    </xf>
    <xf numFmtId="10" fontId="6" fillId="5" borderId="73" xfId="0" applyNumberFormat="1" applyFont="1" applyFill="1" applyBorder="1" applyAlignment="1">
      <alignment horizontal="center" vertical="center"/>
    </xf>
    <xf numFmtId="44" fontId="6" fillId="12" borderId="35" xfId="0" applyNumberFormat="1" applyFont="1" applyFill="1" applyBorder="1" applyAlignment="1">
      <alignment vertical="center"/>
    </xf>
    <xf numFmtId="0" fontId="1" fillId="0" borderId="1" xfId="0" applyFont="1" applyBorder="1"/>
    <xf numFmtId="2" fontId="18" fillId="0" borderId="24" xfId="0" applyNumberFormat="1" applyFont="1" applyBorder="1" applyAlignment="1">
      <alignment horizontal="center" vertical="center"/>
    </xf>
    <xf numFmtId="0" fontId="18" fillId="5" borderId="24" xfId="0" applyFont="1" applyFill="1" applyBorder="1" applyAlignment="1">
      <alignment horizontal="center" vertical="center"/>
    </xf>
    <xf numFmtId="0" fontId="18" fillId="7" borderId="22" xfId="0" applyFont="1" applyFill="1" applyBorder="1" applyAlignment="1">
      <alignment horizontal="center" vertical="center"/>
    </xf>
    <xf numFmtId="0" fontId="20" fillId="0" borderId="17" xfId="0" applyFont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4" fillId="2" borderId="83" xfId="0" applyFont="1" applyFill="1" applyBorder="1" applyAlignment="1">
      <alignment horizontal="center" vertical="center" wrapText="1"/>
    </xf>
    <xf numFmtId="0" fontId="11" fillId="11" borderId="88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 wrapText="1"/>
    </xf>
    <xf numFmtId="0" fontId="11" fillId="11" borderId="90" xfId="0" applyFont="1" applyFill="1" applyBorder="1" applyAlignment="1">
      <alignment horizontal="center" vertical="center" wrapText="1"/>
    </xf>
    <xf numFmtId="0" fontId="19" fillId="11" borderId="90" xfId="0" applyFont="1" applyFill="1" applyBorder="1" applyAlignment="1">
      <alignment horizontal="center" vertical="center" wrapText="1"/>
    </xf>
    <xf numFmtId="0" fontId="16" fillId="7" borderId="22" xfId="0" applyFont="1" applyFill="1" applyBorder="1" applyAlignment="1">
      <alignment horizontal="center" vertical="center" wrapText="1"/>
    </xf>
    <xf numFmtId="0" fontId="21" fillId="11" borderId="93" xfId="0" applyFont="1" applyFill="1" applyBorder="1" applyAlignment="1">
      <alignment horizontal="center" vertical="center" wrapText="1"/>
    </xf>
    <xf numFmtId="0" fontId="22" fillId="11" borderId="9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4" fillId="2" borderId="74" xfId="0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96" xfId="0" applyFont="1" applyBorder="1" applyAlignment="1">
      <alignment horizontal="center" vertical="center" wrapText="1"/>
    </xf>
    <xf numFmtId="0" fontId="4" fillId="7" borderId="97" xfId="0" applyFont="1" applyFill="1" applyBorder="1" applyAlignment="1">
      <alignment horizontal="center" vertical="center" wrapText="1"/>
    </xf>
    <xf numFmtId="0" fontId="16" fillId="7" borderId="97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44" xfId="0" applyFont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0" borderId="67" xfId="0" applyFont="1" applyBorder="1" applyAlignment="1">
      <alignment horizontal="center"/>
    </xf>
    <xf numFmtId="3" fontId="1" fillId="0" borderId="44" xfId="0" applyNumberFormat="1" applyFont="1" applyBorder="1" applyAlignment="1">
      <alignment horizontal="center"/>
    </xf>
    <xf numFmtId="44" fontId="1" fillId="0" borderId="44" xfId="0" applyNumberFormat="1" applyFont="1" applyBorder="1"/>
    <xf numFmtId="44" fontId="1" fillId="0" borderId="96" xfId="0" applyNumberFormat="1" applyFont="1" applyBorder="1"/>
    <xf numFmtId="44" fontId="1" fillId="7" borderId="22" xfId="0" applyNumberFormat="1" applyFont="1" applyFill="1" applyBorder="1"/>
    <xf numFmtId="9" fontId="1" fillId="0" borderId="96" xfId="0" applyNumberFormat="1" applyFont="1" applyBorder="1"/>
    <xf numFmtId="9" fontId="1" fillId="7" borderId="22" xfId="0" applyNumberFormat="1" applyFont="1" applyFill="1" applyBorder="1"/>
    <xf numFmtId="44" fontId="1" fillId="0" borderId="24" xfId="0" applyNumberFormat="1" applyFont="1" applyBorder="1"/>
    <xf numFmtId="10" fontId="1" fillId="0" borderId="24" xfId="0" applyNumberFormat="1" applyFont="1" applyBorder="1"/>
    <xf numFmtId="10" fontId="1" fillId="0" borderId="0" xfId="0" applyNumberFormat="1" applyFont="1"/>
    <xf numFmtId="10" fontId="1" fillId="2" borderId="1" xfId="0" applyNumberFormat="1" applyFont="1" applyFill="1" applyBorder="1"/>
    <xf numFmtId="0" fontId="1" fillId="5" borderId="24" xfId="0" applyFont="1" applyFill="1" applyBorder="1" applyAlignment="1">
      <alignment horizontal="left"/>
    </xf>
    <xf numFmtId="0" fontId="1" fillId="5" borderId="23" xfId="0" applyFont="1" applyFill="1" applyBorder="1" applyAlignment="1">
      <alignment horizontal="left"/>
    </xf>
    <xf numFmtId="0" fontId="1" fillId="5" borderId="74" xfId="0" applyFont="1" applyFill="1" applyBorder="1" applyAlignment="1">
      <alignment horizontal="center"/>
    </xf>
    <xf numFmtId="3" fontId="1" fillId="5" borderId="24" xfId="0" applyNumberFormat="1" applyFont="1" applyFill="1" applyBorder="1" applyAlignment="1">
      <alignment horizontal="center"/>
    </xf>
    <xf numFmtId="44" fontId="1" fillId="5" borderId="24" xfId="0" applyNumberFormat="1" applyFont="1" applyFill="1" applyBorder="1"/>
    <xf numFmtId="44" fontId="1" fillId="12" borderId="97" xfId="0" applyNumberFormat="1" applyFont="1" applyFill="1" applyBorder="1"/>
    <xf numFmtId="44" fontId="1" fillId="12" borderId="13" xfId="0" applyNumberFormat="1" applyFont="1" applyFill="1" applyBorder="1"/>
    <xf numFmtId="44" fontId="1" fillId="2" borderId="22" xfId="0" applyNumberFormat="1" applyFont="1" applyFill="1" applyBorder="1"/>
    <xf numFmtId="3" fontId="1" fillId="12" borderId="97" xfId="0" applyNumberFormat="1" applyFont="1" applyFill="1" applyBorder="1" applyAlignment="1">
      <alignment horizontal="center"/>
    </xf>
    <xf numFmtId="9" fontId="1" fillId="5" borderId="23" xfId="0" applyNumberFormat="1" applyFont="1" applyFill="1" applyBorder="1"/>
    <xf numFmtId="44" fontId="1" fillId="12" borderId="24" xfId="0" applyNumberFormat="1" applyFont="1" applyFill="1" applyBorder="1"/>
    <xf numFmtId="44" fontId="1" fillId="13" borderId="24" xfId="0" applyNumberFormat="1" applyFont="1" applyFill="1" applyBorder="1"/>
    <xf numFmtId="10" fontId="1" fillId="12" borderId="24" xfId="0" applyNumberFormat="1" applyFont="1" applyFill="1" applyBorder="1"/>
    <xf numFmtId="10" fontId="1" fillId="5" borderId="1" xfId="0" applyNumberFormat="1" applyFont="1" applyFill="1" applyBorder="1"/>
    <xf numFmtId="0" fontId="1" fillId="0" borderId="15" xfId="0" applyFont="1" applyBorder="1" applyAlignment="1">
      <alignment horizontal="left"/>
    </xf>
    <xf numFmtId="3" fontId="1" fillId="0" borderId="24" xfId="0" applyNumberFormat="1" applyFont="1" applyBorder="1" applyAlignment="1">
      <alignment horizontal="center"/>
    </xf>
    <xf numFmtId="9" fontId="1" fillId="0" borderId="15" xfId="0" applyNumberFormat="1" applyFont="1" applyBorder="1"/>
    <xf numFmtId="0" fontId="1" fillId="0" borderId="24" xfId="0" applyFont="1" applyBorder="1" applyAlignment="1">
      <alignment horizontal="left"/>
    </xf>
    <xf numFmtId="3" fontId="1" fillId="0" borderId="0" xfId="0" applyNumberFormat="1" applyFont="1"/>
    <xf numFmtId="0" fontId="1" fillId="12" borderId="100" xfId="0" applyFont="1" applyFill="1" applyBorder="1"/>
    <xf numFmtId="0" fontId="6" fillId="2" borderId="24" xfId="0" applyFont="1" applyFill="1" applyBorder="1"/>
    <xf numFmtId="0" fontId="6" fillId="12" borderId="24" xfId="0" applyFont="1" applyFill="1" applyBorder="1" applyAlignment="1">
      <alignment horizontal="right"/>
    </xf>
    <xf numFmtId="3" fontId="4" fillId="12" borderId="24" xfId="0" applyNumberFormat="1" applyFont="1" applyFill="1" applyBorder="1"/>
    <xf numFmtId="44" fontId="4" fillId="12" borderId="24" xfId="0" applyNumberFormat="1" applyFont="1" applyFill="1" applyBorder="1" applyAlignment="1">
      <alignment horizontal="center"/>
    </xf>
    <xf numFmtId="44" fontId="4" fillId="12" borderId="24" xfId="0" applyNumberFormat="1" applyFont="1" applyFill="1" applyBorder="1" applyAlignment="1">
      <alignment horizontal="right"/>
    </xf>
    <xf numFmtId="44" fontId="4" fillId="12" borderId="24" xfId="0" applyNumberFormat="1" applyFont="1" applyFill="1" applyBorder="1"/>
    <xf numFmtId="44" fontId="23" fillId="2" borderId="24" xfId="0" applyNumberFormat="1" applyFont="1" applyFill="1" applyBorder="1"/>
    <xf numFmtId="3" fontId="4" fillId="12" borderId="24" xfId="0" applyNumberFormat="1" applyFont="1" applyFill="1" applyBorder="1" applyAlignment="1">
      <alignment horizontal="center"/>
    </xf>
    <xf numFmtId="44" fontId="4" fillId="2" borderId="24" xfId="0" applyNumberFormat="1" applyFont="1" applyFill="1" applyBorder="1"/>
    <xf numFmtId="0" fontId="6" fillId="12" borderId="100" xfId="0" applyFont="1" applyFill="1" applyBorder="1"/>
    <xf numFmtId="10" fontId="4" fillId="12" borderId="24" xfId="0" applyNumberFormat="1" applyFont="1" applyFill="1" applyBorder="1" applyAlignment="1">
      <alignment horizontal="center"/>
    </xf>
    <xf numFmtId="10" fontId="6" fillId="12" borderId="24" xfId="0" applyNumberFormat="1" applyFont="1" applyFill="1" applyBorder="1" applyAlignment="1">
      <alignment horizontal="center"/>
    </xf>
    <xf numFmtId="8" fontId="0" fillId="0" borderId="0" xfId="0" applyNumberFormat="1"/>
    <xf numFmtId="10" fontId="0" fillId="0" borderId="0" xfId="0" applyNumberFormat="1"/>
    <xf numFmtId="11" fontId="0" fillId="0" borderId="0" xfId="0" applyNumberFormat="1"/>
    <xf numFmtId="0" fontId="4" fillId="5" borderId="70" xfId="0" applyFont="1" applyFill="1" applyBorder="1" applyAlignment="1">
      <alignment horizontal="center" vertical="center" wrapText="1"/>
    </xf>
    <xf numFmtId="0" fontId="3" fillId="0" borderId="20" xfId="0" applyFont="1" applyBorder="1"/>
    <xf numFmtId="0" fontId="4" fillId="0" borderId="18" xfId="0" applyFont="1" applyBorder="1" applyAlignment="1">
      <alignment horizontal="center" vertical="center" wrapText="1"/>
    </xf>
    <xf numFmtId="0" fontId="3" fillId="0" borderId="19" xfId="0" applyFont="1" applyBorder="1"/>
    <xf numFmtId="0" fontId="18" fillId="5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7" xfId="0" applyFont="1" applyBorder="1"/>
    <xf numFmtId="0" fontId="17" fillId="11" borderId="77" xfId="0" applyFont="1" applyFill="1" applyBorder="1" applyAlignment="1">
      <alignment horizontal="center" vertical="center" wrapText="1"/>
    </xf>
    <xf numFmtId="0" fontId="3" fillId="0" borderId="91" xfId="0" applyFont="1" applyBorder="1"/>
    <xf numFmtId="0" fontId="3" fillId="0" borderId="98" xfId="0" applyFont="1" applyBorder="1"/>
    <xf numFmtId="0" fontId="19" fillId="11" borderId="78" xfId="0" applyFont="1" applyFill="1" applyBorder="1" applyAlignment="1">
      <alignment horizontal="center" vertical="center"/>
    </xf>
    <xf numFmtId="0" fontId="3" fillId="0" borderId="79" xfId="0" applyFont="1" applyBorder="1"/>
    <xf numFmtId="0" fontId="3" fillId="0" borderId="80" xfId="0" applyFont="1" applyBorder="1"/>
    <xf numFmtId="0" fontId="11" fillId="11" borderId="81" xfId="0" applyFont="1" applyFill="1" applyBorder="1" applyAlignment="1">
      <alignment horizontal="center" vertical="center" wrapText="1"/>
    </xf>
    <xf numFmtId="0" fontId="3" fillId="0" borderId="76" xfId="0" applyFont="1" applyBorder="1"/>
    <xf numFmtId="0" fontId="11" fillId="11" borderId="82" xfId="0" applyFont="1" applyFill="1" applyBorder="1" applyAlignment="1">
      <alignment horizontal="center" vertical="center" wrapText="1"/>
    </xf>
    <xf numFmtId="0" fontId="3" fillId="0" borderId="94" xfId="0" applyFont="1" applyBorder="1"/>
    <xf numFmtId="0" fontId="19" fillId="11" borderId="84" xfId="0" applyFont="1" applyFill="1" applyBorder="1" applyAlignment="1">
      <alignment horizontal="center" vertical="center" wrapText="1"/>
    </xf>
    <xf numFmtId="0" fontId="3" fillId="0" borderId="95" xfId="0" applyFont="1" applyBorder="1"/>
    <xf numFmtId="0" fontId="11" fillId="11" borderId="85" xfId="0" applyFont="1" applyFill="1" applyBorder="1" applyAlignment="1">
      <alignment horizontal="center" vertical="center" wrapText="1"/>
    </xf>
    <xf numFmtId="0" fontId="11" fillId="11" borderId="86" xfId="0" applyFont="1" applyFill="1" applyBorder="1" applyAlignment="1">
      <alignment horizontal="center" vertical="center" wrapText="1"/>
    </xf>
    <xf numFmtId="0" fontId="3" fillId="0" borderId="87" xfId="0" applyFont="1" applyBorder="1"/>
    <xf numFmtId="0" fontId="11" fillId="11" borderId="89" xfId="0" applyFont="1" applyFill="1" applyBorder="1" applyAlignment="1">
      <alignment horizontal="center" vertical="center" wrapText="1"/>
    </xf>
    <xf numFmtId="0" fontId="11" fillId="11" borderId="92" xfId="0" applyFont="1" applyFill="1" applyBorder="1" applyAlignment="1">
      <alignment horizontal="center" vertical="center"/>
    </xf>
    <xf numFmtId="0" fontId="3" fillId="0" borderId="99" xfId="0" applyFont="1" applyBorder="1"/>
    <xf numFmtId="3" fontId="4" fillId="0" borderId="16" xfId="0" applyNumberFormat="1" applyFont="1" applyBorder="1" applyAlignment="1">
      <alignment horizontal="center"/>
    </xf>
    <xf numFmtId="0" fontId="12" fillId="9" borderId="46" xfId="0" applyFont="1" applyFill="1" applyBorder="1" applyAlignment="1">
      <alignment horizontal="center"/>
    </xf>
    <xf numFmtId="0" fontId="3" fillId="0" borderId="47" xfId="0" applyFont="1" applyBorder="1"/>
    <xf numFmtId="0" fontId="3" fillId="0" borderId="53" xfId="0" applyFont="1" applyBorder="1"/>
    <xf numFmtId="0" fontId="3" fillId="0" borderId="54" xfId="0" applyFont="1" applyBorder="1"/>
    <xf numFmtId="0" fontId="3" fillId="0" borderId="57" xfId="0" applyFont="1" applyBorder="1"/>
    <xf numFmtId="0" fontId="3" fillId="0" borderId="75" xfId="0" applyFont="1" applyBorder="1"/>
    <xf numFmtId="0" fontId="2" fillId="11" borderId="48" xfId="0" applyFont="1" applyFill="1" applyBorder="1" applyAlignment="1">
      <alignment horizontal="center" vertical="center" wrapText="1"/>
    </xf>
    <xf numFmtId="0" fontId="3" fillId="0" borderId="49" xfId="0" applyFont="1" applyBorder="1"/>
    <xf numFmtId="0" fontId="3" fillId="0" borderId="55" xfId="0" applyFont="1" applyBorder="1"/>
    <xf numFmtId="0" fontId="3" fillId="0" borderId="56" xfId="0" applyFont="1" applyBorder="1"/>
    <xf numFmtId="0" fontId="3" fillId="0" borderId="61" xfId="0" applyFont="1" applyBorder="1"/>
    <xf numFmtId="0" fontId="3" fillId="0" borderId="62" xfId="0" applyFont="1" applyBorder="1"/>
    <xf numFmtId="0" fontId="13" fillId="11" borderId="46" xfId="0" applyFont="1" applyFill="1" applyBorder="1" applyAlignment="1">
      <alignment horizontal="center" vertical="center"/>
    </xf>
    <xf numFmtId="0" fontId="3" fillId="0" borderId="50" xfId="0" applyFont="1" applyBorder="1"/>
    <xf numFmtId="0" fontId="3" fillId="0" borderId="51" xfId="0" applyFont="1" applyBorder="1"/>
    <xf numFmtId="0" fontId="3" fillId="0" borderId="58" xfId="0" applyFont="1" applyBorder="1"/>
    <xf numFmtId="0" fontId="3" fillId="0" borderId="59" xfId="0" applyFont="1" applyBorder="1"/>
    <xf numFmtId="0" fontId="15" fillId="11" borderId="48" xfId="0" applyFont="1" applyFill="1" applyBorder="1" applyAlignment="1">
      <alignment horizontal="center" vertical="center" wrapText="1"/>
    </xf>
    <xf numFmtId="0" fontId="0" fillId="0" borderId="0" xfId="0"/>
    <xf numFmtId="0" fontId="3" fillId="0" borderId="60" xfId="0" applyFont="1" applyBorder="1"/>
    <xf numFmtId="0" fontId="13" fillId="11" borderId="48" xfId="0" applyFont="1" applyFill="1" applyBorder="1" applyAlignment="1">
      <alignment horizontal="center" vertical="center"/>
    </xf>
    <xf numFmtId="0" fontId="3" fillId="0" borderId="64" xfId="0" applyFont="1" applyBorder="1"/>
    <xf numFmtId="0" fontId="3" fillId="0" borderId="65" xfId="0" applyFont="1" applyBorder="1"/>
    <xf numFmtId="0" fontId="3" fillId="0" borderId="66" xfId="0" applyFont="1" applyBorder="1"/>
    <xf numFmtId="0" fontId="16" fillId="4" borderId="2" xfId="0" applyFont="1" applyFill="1" applyBorder="1" applyAlignment="1">
      <alignment horizontal="right" vertical="center"/>
    </xf>
    <xf numFmtId="0" fontId="3" fillId="0" borderId="8" xfId="0" applyFont="1" applyBorder="1"/>
    <xf numFmtId="0" fontId="13" fillId="11" borderId="70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 wrapText="1"/>
    </xf>
    <xf numFmtId="0" fontId="3" fillId="0" borderId="6" xfId="0" applyFont="1" applyBorder="1"/>
    <xf numFmtId="9" fontId="5" fillId="5" borderId="71" xfId="0" applyNumberFormat="1" applyFont="1" applyFill="1" applyBorder="1" applyAlignment="1">
      <alignment horizontal="center" vertical="center" wrapText="1"/>
    </xf>
    <xf numFmtId="165" fontId="4" fillId="10" borderId="39" xfId="0" applyNumberFormat="1" applyFont="1" applyFill="1" applyBorder="1" applyAlignment="1">
      <alignment horizontal="center" vertical="center"/>
    </xf>
    <xf numFmtId="0" fontId="3" fillId="0" borderId="41" xfId="0" applyFont="1" applyBorder="1"/>
    <xf numFmtId="0" fontId="3" fillId="0" borderId="44" xfId="0" applyFont="1" applyBorder="1"/>
    <xf numFmtId="9" fontId="6" fillId="0" borderId="39" xfId="0" applyNumberFormat="1" applyFont="1" applyBorder="1" applyAlignment="1">
      <alignment horizontal="center" vertical="center"/>
    </xf>
    <xf numFmtId="0" fontId="1" fillId="5" borderId="40" xfId="0" applyFont="1" applyFill="1" applyBorder="1" applyAlignment="1">
      <alignment horizontal="center"/>
    </xf>
    <xf numFmtId="0" fontId="3" fillId="0" borderId="42" xfId="0" applyFont="1" applyBorder="1"/>
    <xf numFmtId="0" fontId="3" fillId="0" borderId="45" xfId="0" applyFont="1" applyBorder="1"/>
    <xf numFmtId="0" fontId="4" fillId="4" borderId="15" xfId="0" applyFont="1" applyFill="1" applyBorder="1" applyAlignment="1">
      <alignment horizontal="right"/>
    </xf>
    <xf numFmtId="0" fontId="1" fillId="5" borderId="15" xfId="0" applyFont="1" applyFill="1" applyBorder="1" applyAlignment="1">
      <alignment horizontal="left"/>
    </xf>
    <xf numFmtId="0" fontId="4" fillId="6" borderId="15" xfId="0" applyFont="1" applyFill="1" applyBorder="1" applyAlignment="1">
      <alignment horizontal="center" vertical="center"/>
    </xf>
    <xf numFmtId="165" fontId="4" fillId="0" borderId="16" xfId="0" applyNumberFormat="1" applyFont="1" applyBorder="1" applyAlignment="1">
      <alignment horizontal="center" vertical="center"/>
    </xf>
    <xf numFmtId="0" fontId="4" fillId="6" borderId="15" xfId="0" applyFont="1" applyFill="1" applyBorder="1" applyAlignment="1">
      <alignment horizontal="center"/>
    </xf>
    <xf numFmtId="165" fontId="4" fillId="0" borderId="16" xfId="0" applyNumberFormat="1" applyFont="1" applyBorder="1" applyAlignment="1">
      <alignment horizontal="center"/>
    </xf>
    <xf numFmtId="0" fontId="4" fillId="5" borderId="15" xfId="0" applyFont="1" applyFill="1" applyBorder="1" applyAlignment="1">
      <alignment horizontal="left"/>
    </xf>
    <xf numFmtId="0" fontId="4" fillId="6" borderId="31" xfId="0" applyFont="1" applyFill="1" applyBorder="1" applyAlignment="1">
      <alignment horizontal="center"/>
    </xf>
    <xf numFmtId="0" fontId="3" fillId="0" borderId="32" xfId="0" applyFont="1" applyBorder="1"/>
    <xf numFmtId="0" fontId="4" fillId="5" borderId="31" xfId="0" applyFont="1" applyFill="1" applyBorder="1" applyAlignment="1">
      <alignment horizontal="left"/>
    </xf>
    <xf numFmtId="0" fontId="24" fillId="14" borderId="23" xfId="0" applyFont="1" applyFill="1" applyBorder="1" applyAlignment="1">
      <alignment horizontal="left"/>
    </xf>
    <xf numFmtId="0" fontId="24" fillId="14" borderId="17" xfId="0" applyFont="1" applyFill="1" applyBorder="1" applyAlignment="1">
      <alignment horizontal="left"/>
    </xf>
    <xf numFmtId="0" fontId="4" fillId="6" borderId="28" xfId="0" applyFont="1" applyFill="1" applyBorder="1" applyAlignment="1">
      <alignment horizontal="center" vertical="center"/>
    </xf>
    <xf numFmtId="0" fontId="3" fillId="0" borderId="29" xfId="0" applyFont="1" applyBorder="1"/>
    <xf numFmtId="165" fontId="4" fillId="0" borderId="30" xfId="0" applyNumberFormat="1" applyFont="1" applyBorder="1" applyAlignment="1">
      <alignment horizontal="center" vertical="center"/>
    </xf>
    <xf numFmtId="0" fontId="3" fillId="0" borderId="30" xfId="0" applyFont="1" applyBorder="1"/>
    <xf numFmtId="0" fontId="4" fillId="6" borderId="25" xfId="0" applyFont="1" applyFill="1" applyBorder="1" applyAlignment="1">
      <alignment horizontal="center"/>
    </xf>
    <xf numFmtId="0" fontId="3" fillId="0" borderId="26" xfId="0" applyFont="1" applyBorder="1"/>
    <xf numFmtId="9" fontId="6" fillId="0" borderId="27" xfId="0" applyNumberFormat="1" applyFont="1" applyBorder="1" applyAlignment="1">
      <alignment horizontal="center"/>
    </xf>
    <xf numFmtId="0" fontId="3" fillId="0" borderId="27" xfId="0" applyFont="1" applyBorder="1"/>
    <xf numFmtId="165" fontId="6" fillId="0" borderId="16" xfId="0" applyNumberFormat="1" applyFont="1" applyBorder="1" applyAlignment="1">
      <alignment horizontal="center"/>
    </xf>
    <xf numFmtId="0" fontId="4" fillId="5" borderId="18" xfId="0" applyFont="1" applyFill="1" applyBorder="1" applyAlignment="1">
      <alignment horizontal="left"/>
    </xf>
    <xf numFmtId="0" fontId="4" fillId="4" borderId="18" xfId="0" applyFont="1" applyFill="1" applyBorder="1" applyAlignment="1">
      <alignment horizontal="right"/>
    </xf>
    <xf numFmtId="0" fontId="4" fillId="6" borderId="18" xfId="0" applyFont="1" applyFill="1" applyBorder="1" applyAlignment="1">
      <alignment horizontal="center"/>
    </xf>
    <xf numFmtId="165" fontId="6" fillId="0" borderId="19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2" fillId="3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7" xfId="0" applyFont="1" applyBorder="1"/>
    <xf numFmtId="0" fontId="2" fillId="3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2" fillId="3" borderId="12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left"/>
    </xf>
    <xf numFmtId="0" fontId="1" fillId="5" borderId="17" xfId="0" applyFont="1" applyFill="1" applyBorder="1" applyAlignment="1">
      <alignment horizontal="left"/>
    </xf>
    <xf numFmtId="0" fontId="25" fillId="5" borderId="23" xfId="0" applyFont="1" applyFill="1" applyBorder="1" applyAlignment="1">
      <alignment horizontal="left"/>
    </xf>
  </cellXfs>
  <cellStyles count="1">
    <cellStyle name="Normal" xfId="0" builtinId="0"/>
  </cellStyles>
  <dxfs count="36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20D2397D-26A1-48EF-B83C-131969D8C8F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124A62D2-4843-4DF5-AD4B-02F6D09127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D5D744B7-F130-4CF9-AF68-B1A17B43A3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8F5AA800-6889-4E17-9E47-97D1326DA46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F7612562-227D-41A6-8C8C-8A7767263F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8ED247AE-0F56-4624-B4C3-A5068DBDFE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A060F720-A609-490E-A042-68AC1307D7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6533FB92-2F03-47EC-B5CB-D79817AD5F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3680E68A-4DAE-4C12-8DD4-BB537BBF3A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254BF-852C-4FF5-BFFC-5C61813FAC8E}">
  <dimension ref="A1"/>
  <sheetViews>
    <sheetView workbookViewId="0">
      <selection activeCell="E8" sqref="E8"/>
    </sheetView>
  </sheetViews>
  <sheetFormatPr defaultRowHeight="15"/>
  <sheetData>
    <row r="1" spans="1:1">
      <c r="A1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4018-8DCC-4408-BCEB-5F7D9B573B12}">
  <sheetPr>
    <pageSetUpPr fitToPage="1"/>
  </sheetPr>
  <dimension ref="B1:Z114"/>
  <sheetViews>
    <sheetView zoomScale="55" zoomScaleNormal="55" workbookViewId="0">
      <pane ySplit="18" topLeftCell="A4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18" t="s">
        <v>0</v>
      </c>
      <c r="C1" s="219"/>
      <c r="D1" s="220" t="s">
        <v>1</v>
      </c>
      <c r="E1" s="221"/>
      <c r="F1" s="221"/>
      <c r="G1" s="221"/>
      <c r="H1" s="184"/>
      <c r="I1" s="218" t="s">
        <v>2</v>
      </c>
      <c r="J1" s="222"/>
      <c r="K1" s="222"/>
      <c r="L1" s="181"/>
      <c r="M1" s="223" t="s">
        <v>3</v>
      </c>
      <c r="N1" s="224"/>
      <c r="O1" s="225"/>
      <c r="P1" s="226" t="str">
        <f>L18</f>
        <v>CAD $</v>
      </c>
      <c r="Q1" s="222"/>
      <c r="R1" s="181"/>
      <c r="S1" s="218" t="s">
        <v>4</v>
      </c>
      <c r="T1" s="222"/>
      <c r="U1" s="222"/>
      <c r="V1" s="222"/>
      <c r="W1" s="181"/>
      <c r="X1" s="2"/>
      <c r="Y1" s="3"/>
    </row>
    <row r="2" spans="2:25" ht="15" customHeight="1">
      <c r="B2" s="5" t="s">
        <v>5</v>
      </c>
      <c r="C2" s="6"/>
      <c r="D2" s="193" t="s">
        <v>6</v>
      </c>
      <c r="E2" s="135"/>
      <c r="F2" s="136"/>
      <c r="G2" s="194"/>
      <c r="H2" s="136"/>
      <c r="I2" s="215" t="s">
        <v>7</v>
      </c>
      <c r="J2" s="133"/>
      <c r="K2" s="131"/>
      <c r="L2" s="8"/>
      <c r="M2" s="216" t="s">
        <v>8</v>
      </c>
      <c r="N2" s="131"/>
      <c r="O2" s="9"/>
      <c r="P2" s="217">
        <f>I114</f>
        <v>968849.97000000009</v>
      </c>
      <c r="Q2" s="133"/>
      <c r="R2" s="131"/>
      <c r="S2" s="216" t="s">
        <v>9</v>
      </c>
      <c r="T2" s="131"/>
      <c r="U2" s="214"/>
      <c r="V2" s="131"/>
      <c r="W2" s="10"/>
      <c r="X2" s="11"/>
      <c r="Y2" s="3"/>
    </row>
    <row r="3" spans="2:25" ht="15" customHeight="1">
      <c r="B3" s="12" t="s">
        <v>10</v>
      </c>
      <c r="C3" s="7"/>
      <c r="D3" s="193" t="s">
        <v>11</v>
      </c>
      <c r="E3" s="135"/>
      <c r="F3" s="136"/>
      <c r="G3" s="194"/>
      <c r="H3" s="136"/>
      <c r="I3" s="193" t="s">
        <v>12</v>
      </c>
      <c r="J3" s="135"/>
      <c r="K3" s="136"/>
      <c r="L3" s="13"/>
      <c r="M3" s="197" t="s">
        <v>13</v>
      </c>
      <c r="N3" s="136"/>
      <c r="O3" s="9"/>
      <c r="P3" s="213">
        <f>M114</f>
        <v>484425.08</v>
      </c>
      <c r="Q3" s="135"/>
      <c r="R3" s="136"/>
      <c r="S3" s="197" t="s">
        <v>14</v>
      </c>
      <c r="T3" s="136"/>
      <c r="U3" s="199"/>
      <c r="V3" s="136"/>
      <c r="W3" s="14"/>
      <c r="X3" s="1"/>
      <c r="Y3" s="15"/>
    </row>
    <row r="4" spans="2:25" ht="15" customHeight="1">
      <c r="B4" s="16" t="s">
        <v>15</v>
      </c>
      <c r="C4" s="7"/>
      <c r="D4" s="193" t="s">
        <v>16</v>
      </c>
      <c r="E4" s="135"/>
      <c r="F4" s="136"/>
      <c r="G4" s="203" t="s">
        <v>497</v>
      </c>
      <c r="H4" s="204"/>
      <c r="I4" s="193" t="s">
        <v>17</v>
      </c>
      <c r="J4" s="135"/>
      <c r="K4" s="136"/>
      <c r="L4" s="13"/>
      <c r="M4" s="197" t="s">
        <v>18</v>
      </c>
      <c r="N4" s="136"/>
      <c r="O4" s="9"/>
      <c r="P4" s="213">
        <f>P2-P3</f>
        <v>484424.89000000007</v>
      </c>
      <c r="Q4" s="135"/>
      <c r="R4" s="136"/>
      <c r="S4" s="197" t="s">
        <v>19</v>
      </c>
      <c r="T4" s="136"/>
      <c r="U4" s="199"/>
      <c r="V4" s="136"/>
      <c r="W4" s="14"/>
      <c r="X4" s="1"/>
      <c r="Y4" s="15"/>
    </row>
    <row r="5" spans="2:25" ht="15" customHeight="1" thickBot="1">
      <c r="B5" s="16" t="s">
        <v>20</v>
      </c>
      <c r="C5" s="7"/>
      <c r="D5" s="193" t="s">
        <v>21</v>
      </c>
      <c r="E5" s="135"/>
      <c r="F5" s="136"/>
      <c r="G5" s="203" t="s">
        <v>266</v>
      </c>
      <c r="H5" s="204"/>
      <c r="I5" s="193" t="s">
        <v>22</v>
      </c>
      <c r="J5" s="135"/>
      <c r="K5" s="136"/>
      <c r="L5" s="13"/>
      <c r="M5" s="209" t="s">
        <v>23</v>
      </c>
      <c r="N5" s="210"/>
      <c r="O5" s="9"/>
      <c r="P5" s="211">
        <f>IFERROR((P2-P3)/P2,"")</f>
        <v>0.49999990194560262</v>
      </c>
      <c r="Q5" s="212"/>
      <c r="R5" s="210"/>
      <c r="S5" s="197" t="s">
        <v>24</v>
      </c>
      <c r="T5" s="136"/>
      <c r="U5" s="199"/>
      <c r="V5" s="136"/>
      <c r="W5" s="14"/>
      <c r="X5" s="1"/>
      <c r="Y5" s="15"/>
    </row>
    <row r="6" spans="2:25" ht="15" customHeight="1">
      <c r="B6" s="16" t="s">
        <v>25</v>
      </c>
      <c r="C6" s="17"/>
      <c r="D6" s="193" t="s">
        <v>26</v>
      </c>
      <c r="E6" s="135"/>
      <c r="F6" s="136"/>
      <c r="G6" s="203" t="s">
        <v>267</v>
      </c>
      <c r="H6" s="204"/>
      <c r="I6" s="193" t="s">
        <v>27</v>
      </c>
      <c r="J6" s="135"/>
      <c r="K6" s="136"/>
      <c r="L6" s="13"/>
      <c r="M6" s="205" t="s">
        <v>28</v>
      </c>
      <c r="N6" s="206"/>
      <c r="O6" s="9"/>
      <c r="P6" s="207">
        <f>T114</f>
        <v>484425.08</v>
      </c>
      <c r="Q6" s="208"/>
      <c r="R6" s="206"/>
      <c r="S6" s="197" t="s">
        <v>29</v>
      </c>
      <c r="T6" s="136"/>
      <c r="U6" s="199"/>
      <c r="V6" s="136"/>
      <c r="W6" s="18"/>
      <c r="X6" s="19"/>
      <c r="Y6" s="20"/>
    </row>
    <row r="7" spans="2:25" ht="15" customHeight="1">
      <c r="B7" s="16" t="s">
        <v>30</v>
      </c>
      <c r="C7" s="7"/>
      <c r="D7" s="193" t="s">
        <v>31</v>
      </c>
      <c r="E7" s="135"/>
      <c r="F7" s="136"/>
      <c r="G7" s="21"/>
      <c r="H7" s="21"/>
      <c r="I7" s="193" t="s">
        <v>32</v>
      </c>
      <c r="J7" s="135"/>
      <c r="K7" s="136"/>
      <c r="L7" s="13"/>
      <c r="M7" s="195" t="s">
        <v>33</v>
      </c>
      <c r="N7" s="136"/>
      <c r="O7" s="9"/>
      <c r="P7" s="198">
        <f>R114</f>
        <v>0</v>
      </c>
      <c r="Q7" s="135"/>
      <c r="R7" s="136"/>
      <c r="S7" s="200" t="s">
        <v>34</v>
      </c>
      <c r="T7" s="201"/>
      <c r="U7" s="202"/>
      <c r="V7" s="201"/>
      <c r="W7" s="18"/>
      <c r="X7" s="22"/>
      <c r="Y7" s="4"/>
    </row>
    <row r="8" spans="2:25" ht="15" customHeight="1">
      <c r="B8" s="23"/>
      <c r="C8" s="24"/>
      <c r="D8" s="193" t="s">
        <v>35</v>
      </c>
      <c r="E8" s="135"/>
      <c r="F8" s="136"/>
      <c r="G8" s="194"/>
      <c r="H8" s="136"/>
      <c r="I8" s="193" t="s">
        <v>36</v>
      </c>
      <c r="J8" s="135"/>
      <c r="K8" s="136"/>
      <c r="L8" s="13"/>
      <c r="M8" s="195" t="s">
        <v>37</v>
      </c>
      <c r="N8" s="136"/>
      <c r="O8" s="9"/>
      <c r="P8" s="198">
        <f>IF(P1=Q15,R15,IF(Q15="CAD $",R15*E16,IF(Q15="USD $",R15*F16,0)))</f>
        <v>0</v>
      </c>
      <c r="Q8" s="135"/>
      <c r="R8" s="136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93" t="s">
        <v>42</v>
      </c>
      <c r="E9" s="135"/>
      <c r="F9" s="136"/>
      <c r="G9" s="194"/>
      <c r="H9" s="136"/>
      <c r="I9" s="31"/>
      <c r="J9" s="32"/>
      <c r="K9" s="32"/>
      <c r="L9" s="33"/>
      <c r="M9" s="195" t="s">
        <v>43</v>
      </c>
      <c r="N9" s="136"/>
      <c r="O9" s="9"/>
      <c r="P9" s="196">
        <f>V15</f>
        <v>0</v>
      </c>
      <c r="Q9" s="135"/>
      <c r="R9" s="136"/>
      <c r="S9" s="186">
        <f>P7+P8+P9</f>
        <v>0</v>
      </c>
      <c r="T9" s="186">
        <f>P3-S9</f>
        <v>484425.08</v>
      </c>
      <c r="U9" s="189">
        <f>IFERROR(((P3-S9)/S9),0)</f>
        <v>0</v>
      </c>
      <c r="V9" s="189">
        <f>IFERROR(T9/P3,0)</f>
        <v>1</v>
      </c>
      <c r="W9" s="190"/>
      <c r="X9" s="29"/>
      <c r="Y9" s="4"/>
    </row>
    <row r="10" spans="2:25" ht="15" customHeight="1">
      <c r="B10" s="30"/>
      <c r="C10" s="24"/>
      <c r="D10" s="193" t="s">
        <v>44</v>
      </c>
      <c r="E10" s="135"/>
      <c r="F10" s="136"/>
      <c r="G10" s="194" t="s">
        <v>80</v>
      </c>
      <c r="H10" s="136"/>
      <c r="I10" s="31"/>
      <c r="J10" s="32"/>
      <c r="K10" s="32"/>
      <c r="L10" s="33"/>
      <c r="M10" s="195"/>
      <c r="N10" s="136"/>
      <c r="O10" s="9"/>
      <c r="P10" s="196"/>
      <c r="Q10" s="135"/>
      <c r="R10" s="136"/>
      <c r="S10" s="187"/>
      <c r="T10" s="187"/>
      <c r="U10" s="187"/>
      <c r="V10" s="187"/>
      <c r="W10" s="19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97" t="s">
        <v>45</v>
      </c>
      <c r="N11" s="136"/>
      <c r="O11" s="9"/>
      <c r="P11" s="155">
        <f>F114</f>
        <v>1219</v>
      </c>
      <c r="Q11" s="135"/>
      <c r="R11" s="136"/>
      <c r="S11" s="188"/>
      <c r="T11" s="188"/>
      <c r="U11" s="188"/>
      <c r="V11" s="188"/>
      <c r="W11" s="192"/>
      <c r="X11" s="29"/>
      <c r="Y11" s="4"/>
    </row>
    <row r="12" spans="2:25" ht="15" customHeight="1">
      <c r="B12" s="156"/>
      <c r="C12" s="157"/>
      <c r="D12" s="37"/>
      <c r="E12" s="162" t="s">
        <v>46</v>
      </c>
      <c r="F12" s="163"/>
      <c r="G12" s="168" t="s">
        <v>8</v>
      </c>
      <c r="H12" s="169"/>
      <c r="I12" s="170"/>
      <c r="J12" s="38"/>
      <c r="K12" s="173" t="s">
        <v>47</v>
      </c>
      <c r="L12" s="169"/>
      <c r="M12" s="169"/>
      <c r="N12" s="170"/>
      <c r="O12" s="9"/>
      <c r="P12" s="176" t="s">
        <v>48</v>
      </c>
      <c r="Q12" s="169"/>
      <c r="R12" s="169"/>
      <c r="S12" s="169"/>
      <c r="T12" s="169"/>
      <c r="U12" s="169"/>
      <c r="V12" s="163"/>
      <c r="W12" s="39"/>
      <c r="X12" s="40"/>
      <c r="Y12" s="4" t="s">
        <v>49</v>
      </c>
    </row>
    <row r="13" spans="2:25" ht="15" customHeight="1">
      <c r="B13" s="158"/>
      <c r="C13" s="159"/>
      <c r="D13" s="41"/>
      <c r="E13" s="164"/>
      <c r="F13" s="165"/>
      <c r="G13" s="160"/>
      <c r="H13" s="171"/>
      <c r="I13" s="172"/>
      <c r="J13" s="42"/>
      <c r="K13" s="164"/>
      <c r="L13" s="174"/>
      <c r="M13" s="174"/>
      <c r="N13" s="175"/>
      <c r="O13" s="43"/>
      <c r="P13" s="164"/>
      <c r="Q13" s="174"/>
      <c r="R13" s="174"/>
      <c r="S13" s="174"/>
      <c r="T13" s="174"/>
      <c r="U13" s="174"/>
      <c r="V13" s="165"/>
      <c r="W13" s="44"/>
      <c r="X13" s="40"/>
      <c r="Y13" s="4" t="s">
        <v>50</v>
      </c>
    </row>
    <row r="14" spans="2:25" ht="15" customHeight="1">
      <c r="B14" s="158"/>
      <c r="C14" s="159"/>
      <c r="D14" s="41"/>
      <c r="E14" s="166"/>
      <c r="F14" s="167"/>
      <c r="G14" s="180" t="s">
        <v>51</v>
      </c>
      <c r="H14" s="181"/>
      <c r="I14" s="45" t="s">
        <v>52</v>
      </c>
      <c r="J14" s="46"/>
      <c r="K14" s="166"/>
      <c r="L14" s="171"/>
      <c r="M14" s="171"/>
      <c r="N14" s="172"/>
      <c r="O14" s="43"/>
      <c r="P14" s="177"/>
      <c r="Q14" s="178"/>
      <c r="R14" s="178"/>
      <c r="S14" s="178"/>
      <c r="T14" s="178"/>
      <c r="U14" s="178"/>
      <c r="V14" s="179"/>
      <c r="W14" s="47"/>
      <c r="X14" s="40"/>
      <c r="Y14" s="4" t="s">
        <v>52</v>
      </c>
    </row>
    <row r="15" spans="2:25" ht="30" customHeight="1">
      <c r="B15" s="158"/>
      <c r="C15" s="159"/>
      <c r="D15" s="41"/>
      <c r="E15" s="48" t="s">
        <v>53</v>
      </c>
      <c r="F15" s="49" t="s">
        <v>54</v>
      </c>
      <c r="G15" s="182" t="s">
        <v>55</v>
      </c>
      <c r="H15" s="133"/>
      <c r="I15" s="131"/>
      <c r="J15" s="50"/>
      <c r="K15" s="183" t="s">
        <v>56</v>
      </c>
      <c r="L15" s="184"/>
      <c r="M15" s="185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0"/>
      <c r="C16" s="161"/>
      <c r="D16" s="41"/>
      <c r="E16" s="59">
        <f>1/F16</f>
        <v>0.7246376811594204</v>
      </c>
      <c r="F16" s="60">
        <v>1.38</v>
      </c>
      <c r="G16" s="134"/>
      <c r="H16" s="135"/>
      <c r="I16" s="136"/>
      <c r="J16" s="61"/>
      <c r="K16" s="166"/>
      <c r="L16" s="167"/>
      <c r="M16" s="144"/>
      <c r="N16" s="137" t="s">
        <v>61</v>
      </c>
      <c r="O16" s="52"/>
      <c r="P16" s="140" t="s">
        <v>62</v>
      </c>
      <c r="Q16" s="141"/>
      <c r="R16" s="141"/>
      <c r="S16" s="141"/>
      <c r="T16" s="141"/>
      <c r="U16" s="141"/>
      <c r="V16" s="142"/>
      <c r="W16" s="62"/>
      <c r="X16" s="63"/>
      <c r="Y16" s="4"/>
    </row>
    <row r="17" spans="2:26" ht="15" customHeight="1">
      <c r="B17" s="143" t="s">
        <v>63</v>
      </c>
      <c r="C17" s="145" t="s">
        <v>64</v>
      </c>
      <c r="D17" s="64"/>
      <c r="E17" s="147" t="s">
        <v>65</v>
      </c>
      <c r="F17" s="149" t="s">
        <v>66</v>
      </c>
      <c r="G17" s="150" t="s">
        <v>67</v>
      </c>
      <c r="H17" s="151"/>
      <c r="I17" s="65" t="s">
        <v>68</v>
      </c>
      <c r="J17" s="66"/>
      <c r="K17" s="152" t="s">
        <v>66</v>
      </c>
      <c r="L17" s="67" t="s">
        <v>69</v>
      </c>
      <c r="M17" s="68" t="s">
        <v>70</v>
      </c>
      <c r="N17" s="138"/>
      <c r="O17" s="69"/>
      <c r="P17" s="15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44"/>
      <c r="C18" s="146"/>
      <c r="D18" s="74"/>
      <c r="E18" s="148"/>
      <c r="F18" s="144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48"/>
      <c r="L18" s="130" t="s">
        <v>49</v>
      </c>
      <c r="M18" s="131"/>
      <c r="N18" s="139"/>
      <c r="O18" s="78"/>
      <c r="P18" s="154"/>
      <c r="Q18" s="54" t="s">
        <v>50</v>
      </c>
      <c r="R18" s="132" t="str">
        <f>L18</f>
        <v>CAD $</v>
      </c>
      <c r="S18" s="133"/>
      <c r="T18" s="133"/>
      <c r="U18" s="133"/>
      <c r="V18" s="131"/>
      <c r="W18" s="79"/>
      <c r="X18" s="80"/>
      <c r="Y18" s="81"/>
      <c r="Z18" s="81"/>
    </row>
    <row r="19" spans="2:26">
      <c r="B19" t="s">
        <v>268</v>
      </c>
      <c r="C19" t="s">
        <v>269</v>
      </c>
      <c r="D19" s="83"/>
      <c r="E19" s="84"/>
      <c r="F19">
        <v>1</v>
      </c>
      <c r="G19" s="127">
        <v>292</v>
      </c>
      <c r="H19" s="127">
        <v>78.84</v>
      </c>
      <c r="I19" s="127">
        <v>292</v>
      </c>
      <c r="J19" s="88"/>
      <c r="K19">
        <v>1</v>
      </c>
      <c r="L19" s="127">
        <v>146</v>
      </c>
      <c r="M19" s="127">
        <v>146</v>
      </c>
      <c r="N19" s="89"/>
      <c r="O19" s="90"/>
      <c r="P19" s="82"/>
      <c r="Q19" s="91"/>
      <c r="R19" s="91"/>
      <c r="S19" s="127">
        <v>146</v>
      </c>
      <c r="T19" s="127">
        <v>146</v>
      </c>
      <c r="U19" s="128">
        <v>0</v>
      </c>
      <c r="V19" s="128">
        <v>1</v>
      </c>
      <c r="W19" s="93"/>
      <c r="X19" s="94"/>
      <c r="Y19" s="4"/>
      <c r="Z19" s="4"/>
    </row>
    <row r="20" spans="2:26">
      <c r="B20" t="s">
        <v>270</v>
      </c>
      <c r="C20" t="s">
        <v>213</v>
      </c>
      <c r="D20" s="83"/>
      <c r="E20" s="97"/>
      <c r="F20">
        <v>1</v>
      </c>
      <c r="G20" s="127">
        <v>142</v>
      </c>
      <c r="H20" s="127">
        <v>38.340000000000003</v>
      </c>
      <c r="I20" s="127">
        <v>142</v>
      </c>
      <c r="J20" s="102"/>
      <c r="K20">
        <v>1</v>
      </c>
      <c r="L20" s="127">
        <v>71</v>
      </c>
      <c r="M20" s="127">
        <v>71</v>
      </c>
      <c r="N20" s="104"/>
      <c r="O20" s="90"/>
      <c r="P20" s="95"/>
      <c r="Q20" s="99"/>
      <c r="R20" s="105"/>
      <c r="S20" s="127">
        <v>71</v>
      </c>
      <c r="T20" s="127">
        <v>71</v>
      </c>
      <c r="U20" s="128">
        <v>0</v>
      </c>
      <c r="V20" s="128">
        <v>1</v>
      </c>
      <c r="W20" s="108"/>
      <c r="X20" s="94"/>
      <c r="Y20" s="4"/>
      <c r="Z20" s="4"/>
    </row>
    <row r="21" spans="2:26" ht="15.75" customHeight="1">
      <c r="B21" t="s">
        <v>82</v>
      </c>
      <c r="C21" t="s">
        <v>271</v>
      </c>
      <c r="D21" s="83"/>
      <c r="E21" s="84"/>
      <c r="F21">
        <v>1</v>
      </c>
      <c r="G21" s="127">
        <v>359</v>
      </c>
      <c r="H21" s="127">
        <v>96.93</v>
      </c>
      <c r="I21" s="127">
        <v>359</v>
      </c>
      <c r="J21" s="102"/>
      <c r="K21">
        <v>1</v>
      </c>
      <c r="L21" s="127">
        <v>179.5</v>
      </c>
      <c r="M21" s="127">
        <v>179.5</v>
      </c>
      <c r="N21" s="111"/>
      <c r="O21" s="90"/>
      <c r="P21" s="112"/>
      <c r="Q21" s="91"/>
      <c r="R21" s="91"/>
      <c r="S21" s="127">
        <v>179.5</v>
      </c>
      <c r="T21" s="127">
        <v>179.5</v>
      </c>
      <c r="U21" s="128">
        <v>0</v>
      </c>
      <c r="V21" s="128">
        <v>1</v>
      </c>
      <c r="W21" s="93"/>
      <c r="X21" s="94"/>
      <c r="Y21" s="4"/>
      <c r="Z21" s="4"/>
    </row>
    <row r="22" spans="2:26" ht="15.75" customHeight="1">
      <c r="B22" t="s">
        <v>84</v>
      </c>
      <c r="C22" t="s">
        <v>272</v>
      </c>
      <c r="D22" s="83"/>
      <c r="E22" s="97"/>
      <c r="F22">
        <v>1</v>
      </c>
      <c r="G22" s="127">
        <v>788</v>
      </c>
      <c r="H22" s="127">
        <v>212.76</v>
      </c>
      <c r="I22" s="127">
        <v>788</v>
      </c>
      <c r="J22" s="102"/>
      <c r="K22">
        <v>1</v>
      </c>
      <c r="L22" s="127">
        <v>394</v>
      </c>
      <c r="M22" s="127">
        <v>394</v>
      </c>
      <c r="N22" s="104"/>
      <c r="O22" s="90"/>
      <c r="P22" s="95"/>
      <c r="Q22" s="99"/>
      <c r="R22" s="105"/>
      <c r="S22" s="127">
        <v>394</v>
      </c>
      <c r="T22" s="127">
        <v>394</v>
      </c>
      <c r="U22" s="128">
        <v>0</v>
      </c>
      <c r="V22" s="128">
        <v>1</v>
      </c>
      <c r="W22" s="108"/>
      <c r="X22" s="94"/>
      <c r="Y22" s="4"/>
      <c r="Z22" s="4"/>
    </row>
    <row r="23" spans="2:26" ht="15.75" customHeight="1">
      <c r="B23" t="s">
        <v>273</v>
      </c>
      <c r="C23" t="s">
        <v>219</v>
      </c>
      <c r="D23" s="83"/>
      <c r="E23" s="84"/>
      <c r="F23">
        <v>1</v>
      </c>
      <c r="G23" s="127">
        <v>885</v>
      </c>
      <c r="H23" s="127">
        <v>238.95</v>
      </c>
      <c r="I23" s="127">
        <v>885</v>
      </c>
      <c r="J23" s="102"/>
      <c r="K23">
        <v>1</v>
      </c>
      <c r="L23" s="127">
        <v>442.5</v>
      </c>
      <c r="M23" s="127">
        <v>442.5</v>
      </c>
      <c r="N23" s="111"/>
      <c r="O23" s="90"/>
      <c r="P23" s="112"/>
      <c r="Q23" s="91"/>
      <c r="R23" s="91"/>
      <c r="S23" s="127">
        <v>442.5</v>
      </c>
      <c r="T23" s="127">
        <v>442.5</v>
      </c>
      <c r="U23" s="128">
        <v>0</v>
      </c>
      <c r="V23" s="128">
        <v>1</v>
      </c>
      <c r="W23" s="93"/>
      <c r="X23" s="94"/>
      <c r="Y23" s="4"/>
      <c r="Z23" s="4"/>
    </row>
    <row r="24" spans="2:26" ht="15.75" customHeight="1">
      <c r="B24" t="s">
        <v>274</v>
      </c>
      <c r="C24" t="s">
        <v>88</v>
      </c>
      <c r="D24" s="83"/>
      <c r="E24" s="97"/>
      <c r="F24">
        <v>1</v>
      </c>
      <c r="G24" s="127">
        <v>390.5</v>
      </c>
      <c r="H24" s="127">
        <v>105.44</v>
      </c>
      <c r="I24" s="127">
        <v>390.5</v>
      </c>
      <c r="J24" s="102"/>
      <c r="K24">
        <v>1</v>
      </c>
      <c r="L24" s="127">
        <v>195.25</v>
      </c>
      <c r="M24" s="127">
        <v>195.25</v>
      </c>
      <c r="N24" s="104"/>
      <c r="O24" s="90"/>
      <c r="P24" s="95"/>
      <c r="Q24" s="99"/>
      <c r="R24" s="105"/>
      <c r="S24" s="127">
        <v>195.25</v>
      </c>
      <c r="T24" s="127">
        <v>195.25</v>
      </c>
      <c r="U24" s="128">
        <v>0</v>
      </c>
      <c r="V24" s="128">
        <v>1</v>
      </c>
      <c r="W24" s="108"/>
      <c r="X24" s="94"/>
      <c r="Y24" s="4"/>
      <c r="Z24" s="4"/>
    </row>
    <row r="25" spans="2:26" ht="15.75" customHeight="1">
      <c r="B25" t="s">
        <v>205</v>
      </c>
      <c r="C25" t="s">
        <v>89</v>
      </c>
      <c r="D25" s="83"/>
      <c r="E25" s="84"/>
      <c r="F25">
        <v>1</v>
      </c>
      <c r="G25" s="127">
        <v>170</v>
      </c>
      <c r="H25" s="127">
        <v>45.9</v>
      </c>
      <c r="I25" s="127">
        <v>170</v>
      </c>
      <c r="J25" s="102"/>
      <c r="K25">
        <v>1</v>
      </c>
      <c r="L25" s="127">
        <v>85</v>
      </c>
      <c r="M25" s="127">
        <v>85</v>
      </c>
      <c r="N25" s="111"/>
      <c r="O25" s="90"/>
      <c r="P25" s="112"/>
      <c r="Q25" s="91"/>
      <c r="R25" s="91"/>
      <c r="S25" s="127">
        <v>85</v>
      </c>
      <c r="T25" s="127">
        <v>85</v>
      </c>
      <c r="U25" s="128">
        <v>0</v>
      </c>
      <c r="V25" s="128">
        <v>1</v>
      </c>
      <c r="W25" s="93"/>
      <c r="X25" s="94"/>
      <c r="Y25" s="4"/>
      <c r="Z25" s="4"/>
    </row>
    <row r="26" spans="2:26" ht="15.75" customHeight="1">
      <c r="B26" t="s">
        <v>223</v>
      </c>
      <c r="C26" t="s">
        <v>275</v>
      </c>
      <c r="D26" s="83"/>
      <c r="E26" s="97"/>
      <c r="F26">
        <v>4</v>
      </c>
      <c r="G26" s="127">
        <v>1070.23</v>
      </c>
      <c r="H26" s="127">
        <v>288.95999999999998</v>
      </c>
      <c r="I26" s="127">
        <v>4280.92</v>
      </c>
      <c r="J26" s="102"/>
      <c r="K26">
        <v>4</v>
      </c>
      <c r="L26" s="127">
        <v>535.12</v>
      </c>
      <c r="M26" s="127">
        <v>2140.48</v>
      </c>
      <c r="N26" s="104"/>
      <c r="O26" s="90"/>
      <c r="P26" s="95"/>
      <c r="Q26" s="99"/>
      <c r="R26" s="105"/>
      <c r="S26" s="127">
        <v>535.12</v>
      </c>
      <c r="T26" s="127">
        <v>2140.48</v>
      </c>
      <c r="U26" s="128">
        <v>0</v>
      </c>
      <c r="V26" s="128">
        <v>1</v>
      </c>
      <c r="W26" s="108"/>
      <c r="X26" s="94"/>
      <c r="Y26" s="4"/>
      <c r="Z26" s="113"/>
    </row>
    <row r="27" spans="2:26" ht="15.75" customHeight="1">
      <c r="D27" s="83"/>
      <c r="E27" s="84"/>
      <c r="G27" t="s">
        <v>112</v>
      </c>
      <c r="H27" t="s">
        <v>112</v>
      </c>
      <c r="I27" t="s">
        <v>112</v>
      </c>
      <c r="J27" s="102"/>
      <c r="K27">
        <v>0</v>
      </c>
      <c r="L27" t="s">
        <v>112</v>
      </c>
      <c r="M27" t="s">
        <v>112</v>
      </c>
      <c r="N27" s="111"/>
      <c r="O27" s="90"/>
      <c r="P27" s="112"/>
      <c r="Q27" s="91"/>
      <c r="R27" s="91"/>
      <c r="S27" t="s">
        <v>112</v>
      </c>
      <c r="T27" t="s">
        <v>112</v>
      </c>
      <c r="U27" s="128">
        <v>0</v>
      </c>
      <c r="V27" s="128">
        <v>0</v>
      </c>
      <c r="W27" s="93"/>
      <c r="X27" s="94"/>
      <c r="Y27" s="4"/>
      <c r="Z27" s="4"/>
    </row>
    <row r="28" spans="2:26" ht="15.75" customHeight="1">
      <c r="B28" t="s">
        <v>257</v>
      </c>
      <c r="C28" t="s">
        <v>258</v>
      </c>
      <c r="D28" s="83"/>
      <c r="E28" s="84"/>
      <c r="F28">
        <v>1</v>
      </c>
      <c r="G28" s="127">
        <v>7914.5</v>
      </c>
      <c r="H28" s="127">
        <v>2136.92</v>
      </c>
      <c r="I28" s="127">
        <v>7914.5</v>
      </c>
      <c r="J28" s="102"/>
      <c r="K28">
        <v>1</v>
      </c>
      <c r="L28" s="127">
        <v>3957.25</v>
      </c>
      <c r="M28" s="127">
        <v>3957.25</v>
      </c>
      <c r="N28" s="111"/>
      <c r="O28" s="90"/>
      <c r="P28" s="112"/>
      <c r="Q28" s="91"/>
      <c r="R28" s="91"/>
      <c r="S28" s="127">
        <v>3957.25</v>
      </c>
      <c r="T28" s="127">
        <v>3957.25</v>
      </c>
      <c r="U28" s="128">
        <v>0</v>
      </c>
      <c r="V28" s="128">
        <v>1</v>
      </c>
      <c r="W28" s="93"/>
      <c r="X28" s="94"/>
      <c r="Y28" s="4"/>
      <c r="Z28" s="4"/>
    </row>
    <row r="29" spans="2:26" ht="15.75" customHeight="1">
      <c r="B29" t="s">
        <v>259</v>
      </c>
      <c r="C29" t="s">
        <v>260</v>
      </c>
      <c r="D29" s="83"/>
      <c r="E29" s="97"/>
      <c r="F29">
        <v>1</v>
      </c>
      <c r="G29" s="127">
        <v>15479.5</v>
      </c>
      <c r="H29" s="127">
        <v>4179.47</v>
      </c>
      <c r="I29" s="127">
        <v>15479.5</v>
      </c>
      <c r="J29" s="102"/>
      <c r="K29">
        <v>1</v>
      </c>
      <c r="L29" s="127">
        <v>7739.75</v>
      </c>
      <c r="M29" s="127">
        <v>7739.75</v>
      </c>
      <c r="N29" s="104"/>
      <c r="O29" s="90"/>
      <c r="P29" s="95"/>
      <c r="Q29" s="99"/>
      <c r="R29" s="105"/>
      <c r="S29" s="127">
        <v>7739.75</v>
      </c>
      <c r="T29" s="127">
        <v>7739.75</v>
      </c>
      <c r="U29" s="128">
        <v>0</v>
      </c>
      <c r="V29" s="128">
        <v>1</v>
      </c>
      <c r="W29" s="108"/>
      <c r="X29" s="94"/>
      <c r="Y29" s="4"/>
      <c r="Z29" s="4"/>
    </row>
    <row r="30" spans="2:26" ht="15.75" customHeight="1">
      <c r="B30" t="s">
        <v>276</v>
      </c>
      <c r="C30" t="s">
        <v>147</v>
      </c>
      <c r="D30" s="83"/>
      <c r="E30" s="84"/>
      <c r="F30">
        <v>6</v>
      </c>
      <c r="G30" s="127">
        <v>7147.5</v>
      </c>
      <c r="H30" s="127">
        <v>1929.83</v>
      </c>
      <c r="I30" s="127">
        <v>42885</v>
      </c>
      <c r="J30" s="102"/>
      <c r="K30">
        <v>6</v>
      </c>
      <c r="L30" s="127">
        <v>3573.75</v>
      </c>
      <c r="M30" s="127">
        <v>21442.5</v>
      </c>
      <c r="N30" s="111"/>
      <c r="O30" s="90"/>
      <c r="P30" s="112"/>
      <c r="Q30" s="91"/>
      <c r="R30" s="91"/>
      <c r="S30" s="127">
        <v>3573.75</v>
      </c>
      <c r="T30" s="127">
        <v>21442.5</v>
      </c>
      <c r="U30" s="128">
        <v>0</v>
      </c>
      <c r="V30" s="128">
        <v>1</v>
      </c>
      <c r="W30" s="93"/>
    </row>
    <row r="31" spans="2:26" ht="15.75" customHeight="1">
      <c r="B31" t="s">
        <v>277</v>
      </c>
      <c r="C31" t="s">
        <v>278</v>
      </c>
      <c r="D31" s="83"/>
      <c r="E31" s="97"/>
      <c r="F31">
        <v>1</v>
      </c>
      <c r="G31" s="127">
        <v>22487.5</v>
      </c>
      <c r="H31" s="127">
        <v>6071.63</v>
      </c>
      <c r="I31" s="127">
        <v>22487.5</v>
      </c>
      <c r="J31" s="102"/>
      <c r="K31">
        <v>1</v>
      </c>
      <c r="L31" s="127">
        <v>11243.75</v>
      </c>
      <c r="M31" s="127">
        <v>11243.75</v>
      </c>
      <c r="N31" s="104"/>
      <c r="O31" s="90"/>
      <c r="P31" s="95"/>
      <c r="Q31" s="99"/>
      <c r="R31" s="105"/>
      <c r="S31" s="127">
        <v>11243.75</v>
      </c>
      <c r="T31" s="127">
        <v>11243.75</v>
      </c>
      <c r="U31" s="128">
        <v>0</v>
      </c>
      <c r="V31" s="128">
        <v>1</v>
      </c>
      <c r="W31" s="108"/>
    </row>
    <row r="32" spans="2:26" ht="15.75" customHeight="1">
      <c r="D32" s="83"/>
      <c r="E32" s="84"/>
      <c r="H32" t="s">
        <v>112</v>
      </c>
      <c r="I32" t="s">
        <v>112</v>
      </c>
      <c r="J32" s="102"/>
      <c r="K32">
        <v>0</v>
      </c>
      <c r="L32" t="s">
        <v>112</v>
      </c>
      <c r="M32" t="s">
        <v>112</v>
      </c>
      <c r="N32" s="111"/>
      <c r="O32" s="90"/>
      <c r="P32" s="112"/>
      <c r="Q32" s="91"/>
      <c r="R32" s="91"/>
      <c r="S32" t="s">
        <v>112</v>
      </c>
      <c r="T32" t="s">
        <v>112</v>
      </c>
      <c r="U32" s="128">
        <v>0</v>
      </c>
      <c r="V32" s="128">
        <v>0</v>
      </c>
      <c r="W32" s="93"/>
    </row>
    <row r="33" spans="2:26" ht="15.75" customHeight="1">
      <c r="B33" t="s">
        <v>106</v>
      </c>
      <c r="C33" t="s">
        <v>279</v>
      </c>
      <c r="D33" s="83"/>
      <c r="E33" s="97"/>
      <c r="F33">
        <v>2</v>
      </c>
      <c r="G33" s="127">
        <v>74305.73</v>
      </c>
      <c r="H33" s="127">
        <v>20062.55</v>
      </c>
      <c r="I33" s="127">
        <v>148611.46</v>
      </c>
      <c r="J33" s="102"/>
      <c r="K33">
        <v>2</v>
      </c>
      <c r="L33" s="127">
        <v>37152.870000000003</v>
      </c>
      <c r="M33" s="127">
        <v>74305.740000000005</v>
      </c>
      <c r="N33" s="104"/>
      <c r="O33" s="90"/>
      <c r="P33" s="95"/>
      <c r="Q33" s="99"/>
      <c r="R33" s="105"/>
      <c r="S33" s="127">
        <v>37152.870000000003</v>
      </c>
      <c r="T33" s="127">
        <v>74305.740000000005</v>
      </c>
      <c r="U33" s="128">
        <v>0</v>
      </c>
      <c r="V33" s="128">
        <v>1</v>
      </c>
      <c r="W33" s="108"/>
    </row>
    <row r="34" spans="2:26" ht="15.75" customHeight="1">
      <c r="B34" t="s">
        <v>280</v>
      </c>
      <c r="C34" t="s">
        <v>227</v>
      </c>
      <c r="D34" s="83"/>
      <c r="E34" s="84"/>
      <c r="F34">
        <v>2</v>
      </c>
      <c r="G34" s="127">
        <v>2236</v>
      </c>
      <c r="H34" s="127">
        <v>603.72</v>
      </c>
      <c r="I34" s="127">
        <v>4472</v>
      </c>
      <c r="J34" s="102"/>
      <c r="K34">
        <v>2</v>
      </c>
      <c r="L34" s="127">
        <v>1118</v>
      </c>
      <c r="M34" s="127">
        <v>2236</v>
      </c>
      <c r="N34" s="111"/>
      <c r="O34" s="90"/>
      <c r="P34" s="112"/>
      <c r="Q34" s="91"/>
      <c r="R34" s="91"/>
      <c r="S34" s="127">
        <v>1118</v>
      </c>
      <c r="T34" s="127">
        <v>2236</v>
      </c>
      <c r="U34" s="128">
        <v>0</v>
      </c>
      <c r="V34" s="128">
        <v>1</v>
      </c>
      <c r="W34" s="93"/>
    </row>
    <row r="35" spans="2:26" ht="15.75" customHeight="1">
      <c r="B35" t="s">
        <v>94</v>
      </c>
      <c r="C35" t="s">
        <v>95</v>
      </c>
      <c r="D35" s="83"/>
      <c r="E35" s="97"/>
      <c r="F35">
        <v>40</v>
      </c>
      <c r="G35" s="127">
        <v>57</v>
      </c>
      <c r="H35" s="127">
        <v>15.39</v>
      </c>
      <c r="I35" s="127">
        <v>2280</v>
      </c>
      <c r="J35" s="102"/>
      <c r="K35">
        <v>40</v>
      </c>
      <c r="L35" s="127">
        <v>28.5</v>
      </c>
      <c r="M35" s="127">
        <v>1140</v>
      </c>
      <c r="N35" s="104"/>
      <c r="O35" s="90"/>
      <c r="P35" s="95"/>
      <c r="Q35" s="99"/>
      <c r="R35" s="105"/>
      <c r="S35" s="127">
        <v>28.5</v>
      </c>
      <c r="T35" s="127">
        <v>1140</v>
      </c>
      <c r="U35" s="128">
        <v>0</v>
      </c>
      <c r="V35" s="128">
        <v>1</v>
      </c>
      <c r="W35" s="108"/>
    </row>
    <row r="36" spans="2:26" ht="15.75" customHeight="1">
      <c r="B36" t="s">
        <v>281</v>
      </c>
      <c r="C36" t="s">
        <v>96</v>
      </c>
      <c r="D36" s="83"/>
      <c r="E36" s="84"/>
      <c r="F36">
        <v>2</v>
      </c>
      <c r="G36" s="127">
        <v>5213</v>
      </c>
      <c r="H36" s="127">
        <v>1407.51</v>
      </c>
      <c r="I36" s="127">
        <v>10426</v>
      </c>
      <c r="J36" s="102"/>
      <c r="K36">
        <v>2</v>
      </c>
      <c r="L36" s="127">
        <v>2606.5</v>
      </c>
      <c r="M36" s="127">
        <v>5213</v>
      </c>
      <c r="N36" s="111"/>
      <c r="O36" s="90"/>
      <c r="P36" s="112"/>
      <c r="Q36" s="91"/>
      <c r="R36" s="91"/>
      <c r="S36" s="127">
        <v>2606.5</v>
      </c>
      <c r="T36" s="127">
        <v>5213</v>
      </c>
      <c r="U36" s="128">
        <v>0</v>
      </c>
      <c r="V36" s="128">
        <v>1</v>
      </c>
      <c r="W36" s="108"/>
    </row>
    <row r="37" spans="2:26" ht="15.75" customHeight="1">
      <c r="B37" t="s">
        <v>282</v>
      </c>
      <c r="C37" t="s">
        <v>97</v>
      </c>
      <c r="D37" s="83"/>
      <c r="E37" s="97"/>
      <c r="F37">
        <v>8</v>
      </c>
      <c r="G37" s="127">
        <v>26</v>
      </c>
      <c r="H37" s="127">
        <v>7.02</v>
      </c>
      <c r="I37" s="127">
        <v>208</v>
      </c>
      <c r="J37" s="102"/>
      <c r="K37">
        <v>8</v>
      </c>
      <c r="L37" s="127">
        <v>13</v>
      </c>
      <c r="M37" s="127">
        <v>104</v>
      </c>
      <c r="N37" s="104"/>
      <c r="O37" s="90"/>
      <c r="P37" s="95"/>
      <c r="Q37" s="99"/>
      <c r="R37" s="105"/>
      <c r="S37" s="127">
        <v>13</v>
      </c>
      <c r="T37" s="127">
        <v>104</v>
      </c>
      <c r="U37" s="128">
        <v>0</v>
      </c>
      <c r="V37" s="128">
        <v>1</v>
      </c>
      <c r="W37" s="108"/>
    </row>
    <row r="38" spans="2:26" ht="15.75" customHeight="1">
      <c r="B38" t="s">
        <v>98</v>
      </c>
      <c r="C38" t="s">
        <v>99</v>
      </c>
      <c r="D38" s="83"/>
      <c r="E38" s="84"/>
      <c r="F38">
        <v>6</v>
      </c>
      <c r="G38" s="127">
        <v>1152</v>
      </c>
      <c r="H38" s="127">
        <v>311.04000000000002</v>
      </c>
      <c r="I38" s="127">
        <v>6912</v>
      </c>
      <c r="J38" s="102"/>
      <c r="K38">
        <v>6</v>
      </c>
      <c r="L38" s="127">
        <v>576</v>
      </c>
      <c r="M38" s="127">
        <v>3456</v>
      </c>
      <c r="N38" s="111"/>
      <c r="O38" s="90"/>
      <c r="P38" s="112"/>
      <c r="Q38" s="91"/>
      <c r="R38" s="91"/>
      <c r="S38" s="127">
        <v>576</v>
      </c>
      <c r="T38" s="127">
        <v>3456</v>
      </c>
      <c r="U38" s="128">
        <v>0</v>
      </c>
      <c r="V38" s="128">
        <v>1</v>
      </c>
      <c r="W38" s="108"/>
    </row>
    <row r="39" spans="2:26" ht="15.75" customHeight="1">
      <c r="B39" t="s">
        <v>283</v>
      </c>
      <c r="C39" t="s">
        <v>101</v>
      </c>
      <c r="D39" s="83"/>
      <c r="E39" s="97"/>
      <c r="F39">
        <v>6</v>
      </c>
      <c r="G39" s="127">
        <v>136.5</v>
      </c>
      <c r="H39" s="127">
        <v>36.86</v>
      </c>
      <c r="I39" s="127">
        <v>819</v>
      </c>
      <c r="J39" s="102"/>
      <c r="K39">
        <v>6</v>
      </c>
      <c r="L39" s="127">
        <v>68.25</v>
      </c>
      <c r="M39" s="127">
        <v>409.5</v>
      </c>
      <c r="N39" s="104"/>
      <c r="O39" s="90"/>
      <c r="P39" s="95"/>
      <c r="Q39" s="99"/>
      <c r="R39" s="105"/>
      <c r="S39" s="127">
        <v>68.25</v>
      </c>
      <c r="T39" s="127">
        <v>409.5</v>
      </c>
      <c r="U39" s="128">
        <v>0</v>
      </c>
      <c r="V39" s="128">
        <v>1</v>
      </c>
      <c r="W39" s="108"/>
    </row>
    <row r="40" spans="2:26" ht="15.75" customHeight="1">
      <c r="B40" t="s">
        <v>284</v>
      </c>
      <c r="C40" t="s">
        <v>102</v>
      </c>
      <c r="D40" s="83"/>
      <c r="E40" s="84"/>
      <c r="F40">
        <v>18</v>
      </c>
      <c r="G40" s="127">
        <v>2235</v>
      </c>
      <c r="H40" s="127">
        <v>603.45000000000005</v>
      </c>
      <c r="I40" s="127">
        <v>40230</v>
      </c>
      <c r="J40" s="102"/>
      <c r="K40">
        <v>18</v>
      </c>
      <c r="L40" s="127">
        <v>1117.5</v>
      </c>
      <c r="M40" s="127">
        <v>20115</v>
      </c>
      <c r="N40" s="111"/>
      <c r="O40" s="90"/>
      <c r="P40" s="112"/>
      <c r="Q40" s="91"/>
      <c r="R40" s="91"/>
      <c r="S40" s="127">
        <v>1117.5</v>
      </c>
      <c r="T40" s="127">
        <v>20115</v>
      </c>
      <c r="U40" s="128">
        <v>0</v>
      </c>
      <c r="V40" s="128">
        <v>1</v>
      </c>
      <c r="W40" s="108"/>
    </row>
    <row r="41" spans="2:26" ht="15.75" customHeight="1">
      <c r="B41" t="s">
        <v>100</v>
      </c>
      <c r="C41" t="s">
        <v>103</v>
      </c>
      <c r="D41" s="83"/>
      <c r="E41" s="97"/>
      <c r="F41">
        <v>72</v>
      </c>
      <c r="G41" s="127">
        <v>87.5</v>
      </c>
      <c r="H41" s="127">
        <v>23.63</v>
      </c>
      <c r="I41" s="127">
        <v>6300</v>
      </c>
      <c r="J41" s="102"/>
      <c r="K41">
        <v>72</v>
      </c>
      <c r="L41" s="127">
        <v>43.75</v>
      </c>
      <c r="M41" s="127">
        <v>3150</v>
      </c>
      <c r="N41" s="104"/>
      <c r="O41" s="90"/>
      <c r="P41" s="95"/>
      <c r="Q41" s="99"/>
      <c r="R41" s="105"/>
      <c r="S41" s="127">
        <v>43.75</v>
      </c>
      <c r="T41" s="127">
        <v>3150</v>
      </c>
      <c r="U41" s="128">
        <v>0</v>
      </c>
      <c r="V41" s="128">
        <v>1</v>
      </c>
      <c r="W41" s="108"/>
    </row>
    <row r="42" spans="2:26" ht="15.75" customHeight="1">
      <c r="B42" t="s">
        <v>104</v>
      </c>
      <c r="C42" t="s">
        <v>105</v>
      </c>
      <c r="D42" s="83"/>
      <c r="E42" s="84"/>
      <c r="F42">
        <v>72</v>
      </c>
      <c r="G42" s="127">
        <v>12.5</v>
      </c>
      <c r="H42" s="127">
        <v>3.38</v>
      </c>
      <c r="I42" s="127">
        <v>900</v>
      </c>
      <c r="J42" s="102"/>
      <c r="K42">
        <v>72</v>
      </c>
      <c r="L42" s="127">
        <v>6.25</v>
      </c>
      <c r="M42" s="127">
        <v>450</v>
      </c>
      <c r="N42" s="111"/>
      <c r="O42" s="90"/>
      <c r="P42" s="112"/>
      <c r="Q42" s="91"/>
      <c r="R42" s="91"/>
      <c r="S42" s="127">
        <v>6.25</v>
      </c>
      <c r="T42" s="127">
        <v>450</v>
      </c>
      <c r="U42" s="128">
        <v>0</v>
      </c>
      <c r="V42" s="128">
        <v>1</v>
      </c>
      <c r="W42" s="108"/>
    </row>
    <row r="43" spans="2:26" ht="15.75" customHeight="1">
      <c r="B43" t="s">
        <v>285</v>
      </c>
      <c r="C43" t="s">
        <v>239</v>
      </c>
      <c r="D43" s="83"/>
      <c r="E43" s="97"/>
      <c r="F43">
        <v>2</v>
      </c>
      <c r="G43" s="127">
        <v>32333</v>
      </c>
      <c r="H43" s="127">
        <v>8729.91</v>
      </c>
      <c r="I43" s="127">
        <v>64666</v>
      </c>
      <c r="J43" s="102"/>
      <c r="K43">
        <v>2</v>
      </c>
      <c r="L43" s="127">
        <v>16166.5</v>
      </c>
      <c r="M43" s="127">
        <v>32333</v>
      </c>
      <c r="N43" s="104"/>
      <c r="O43" s="90"/>
      <c r="P43" s="95"/>
      <c r="Q43" s="99"/>
      <c r="R43" s="105"/>
      <c r="S43" s="127">
        <v>16166.5</v>
      </c>
      <c r="T43" s="127">
        <v>32333</v>
      </c>
      <c r="U43" s="128">
        <v>0</v>
      </c>
      <c r="V43" s="128">
        <v>1</v>
      </c>
      <c r="W43" s="108"/>
    </row>
    <row r="44" spans="2:26" ht="15.75" customHeight="1">
      <c r="B44" t="s">
        <v>286</v>
      </c>
      <c r="C44" t="s">
        <v>287</v>
      </c>
      <c r="D44" s="83"/>
      <c r="E44" s="84"/>
      <c r="F44">
        <v>104</v>
      </c>
      <c r="G44" s="127">
        <v>1068.5</v>
      </c>
      <c r="H44" s="127">
        <v>288.5</v>
      </c>
      <c r="I44" s="127">
        <v>111124</v>
      </c>
      <c r="J44" s="102"/>
      <c r="K44">
        <v>104</v>
      </c>
      <c r="L44" s="127">
        <v>534.25</v>
      </c>
      <c r="M44" s="127">
        <v>55562</v>
      </c>
      <c r="N44" s="111"/>
      <c r="O44" s="90"/>
      <c r="P44" s="112"/>
      <c r="Q44" s="91"/>
      <c r="R44" s="91"/>
      <c r="S44" s="127">
        <v>534.25</v>
      </c>
      <c r="T44" s="127">
        <v>55562</v>
      </c>
      <c r="U44" s="128">
        <v>0</v>
      </c>
      <c r="V44" s="128">
        <v>1</v>
      </c>
      <c r="W44" s="108"/>
    </row>
    <row r="45" spans="2:26" ht="15.75" customHeight="1">
      <c r="B45" t="s">
        <v>288</v>
      </c>
      <c r="C45" t="s">
        <v>107</v>
      </c>
      <c r="D45" s="83"/>
      <c r="E45" s="97"/>
      <c r="F45">
        <v>416</v>
      </c>
      <c r="G45" s="127">
        <v>45</v>
      </c>
      <c r="H45" s="127">
        <v>12.15</v>
      </c>
      <c r="I45" s="127">
        <v>18720</v>
      </c>
      <c r="J45" s="102"/>
      <c r="K45">
        <v>416</v>
      </c>
      <c r="L45" s="127">
        <v>22.5</v>
      </c>
      <c r="M45" s="127">
        <v>9360</v>
      </c>
      <c r="N45" s="104"/>
      <c r="O45" s="90"/>
      <c r="P45" s="95"/>
      <c r="Q45" s="99"/>
      <c r="R45" s="105"/>
      <c r="S45" s="127">
        <v>22.5</v>
      </c>
      <c r="T45" s="127">
        <v>9360</v>
      </c>
      <c r="U45" s="128">
        <v>0</v>
      </c>
      <c r="V45" s="128">
        <v>1</v>
      </c>
      <c r="W45" s="108"/>
    </row>
    <row r="46" spans="2:26" ht="15.75" customHeight="1">
      <c r="B46" t="s">
        <v>289</v>
      </c>
      <c r="C46" t="s">
        <v>245</v>
      </c>
      <c r="D46" s="83"/>
      <c r="E46" s="84"/>
      <c r="F46">
        <v>416</v>
      </c>
      <c r="G46" s="127">
        <v>11.5</v>
      </c>
      <c r="H46" s="127">
        <v>3.11</v>
      </c>
      <c r="I46" s="127">
        <v>4784</v>
      </c>
      <c r="J46" s="102"/>
      <c r="K46">
        <v>416</v>
      </c>
      <c r="L46" s="127">
        <v>5.75</v>
      </c>
      <c r="M46" s="127">
        <v>2392</v>
      </c>
      <c r="N46" s="111"/>
      <c r="O46" s="90"/>
      <c r="P46" s="112"/>
      <c r="Q46" s="91"/>
      <c r="R46" s="91"/>
      <c r="S46" s="127">
        <v>5.75</v>
      </c>
      <c r="T46" s="127">
        <v>2392</v>
      </c>
      <c r="U46" s="128">
        <v>0</v>
      </c>
      <c r="V46" s="128">
        <v>1</v>
      </c>
      <c r="W46" s="108"/>
    </row>
    <row r="47" spans="2:26" ht="15.75" customHeight="1">
      <c r="D47" s="83"/>
      <c r="E47" s="97"/>
      <c r="H47" t="s">
        <v>112</v>
      </c>
      <c r="I47" t="s">
        <v>112</v>
      </c>
      <c r="J47" s="102"/>
      <c r="K47">
        <v>0</v>
      </c>
      <c r="L47" t="s">
        <v>112</v>
      </c>
      <c r="M47" t="s">
        <v>112</v>
      </c>
      <c r="N47" s="104"/>
      <c r="O47" s="90"/>
      <c r="P47" s="95"/>
      <c r="Q47" s="99"/>
      <c r="R47" s="105"/>
      <c r="S47" t="s">
        <v>112</v>
      </c>
      <c r="T47" t="s">
        <v>112</v>
      </c>
      <c r="U47" s="128">
        <v>0</v>
      </c>
      <c r="V47" s="128">
        <v>0</v>
      </c>
      <c r="W47" s="108"/>
      <c r="X47" s="94"/>
      <c r="Y47" s="4"/>
      <c r="Z47" s="4"/>
    </row>
    <row r="48" spans="2:26" ht="15.75" customHeight="1">
      <c r="B48" t="s">
        <v>290</v>
      </c>
      <c r="C48" t="s">
        <v>291</v>
      </c>
      <c r="D48" s="83"/>
      <c r="E48" s="84"/>
      <c r="F48">
        <v>1</v>
      </c>
      <c r="G48" s="127">
        <v>39443</v>
      </c>
      <c r="H48" s="127">
        <v>10649.61</v>
      </c>
      <c r="I48" s="127">
        <v>39443</v>
      </c>
      <c r="J48" s="102"/>
      <c r="K48">
        <v>1</v>
      </c>
      <c r="L48" s="127">
        <v>19721.5</v>
      </c>
      <c r="M48" s="127">
        <v>19721.5</v>
      </c>
      <c r="N48" s="111"/>
      <c r="O48" s="90"/>
      <c r="P48" s="112"/>
      <c r="Q48" s="91"/>
      <c r="R48" s="91"/>
      <c r="S48" s="127">
        <v>19721.5</v>
      </c>
      <c r="T48" s="127">
        <v>19721.5</v>
      </c>
      <c r="U48" s="128">
        <v>0</v>
      </c>
      <c r="V48" s="128">
        <v>1</v>
      </c>
      <c r="W48" s="93"/>
      <c r="X48" s="94"/>
      <c r="Y48" s="4"/>
      <c r="Z48" s="4"/>
    </row>
    <row r="49" spans="2:26" ht="15.75" customHeight="1">
      <c r="B49" t="s">
        <v>292</v>
      </c>
      <c r="C49" t="s">
        <v>262</v>
      </c>
      <c r="D49" s="83"/>
      <c r="E49" s="97"/>
      <c r="F49">
        <v>1</v>
      </c>
      <c r="G49" s="127">
        <v>14977.5</v>
      </c>
      <c r="H49" s="127">
        <v>4043.93</v>
      </c>
      <c r="I49" s="127">
        <v>14977.5</v>
      </c>
      <c r="J49" s="102"/>
      <c r="K49">
        <v>1</v>
      </c>
      <c r="L49" s="127">
        <v>7488.75</v>
      </c>
      <c r="M49" s="127">
        <v>7488.75</v>
      </c>
      <c r="N49" s="104"/>
      <c r="O49" s="90"/>
      <c r="P49" s="95"/>
      <c r="Q49" s="99"/>
      <c r="R49" s="105"/>
      <c r="S49" s="127">
        <v>7488.75</v>
      </c>
      <c r="T49" s="127">
        <v>7488.75</v>
      </c>
      <c r="U49" s="128">
        <v>0</v>
      </c>
      <c r="V49" s="128">
        <v>1</v>
      </c>
      <c r="W49" s="108"/>
      <c r="X49" s="94"/>
      <c r="Y49" s="4"/>
      <c r="Z49" s="4"/>
    </row>
    <row r="50" spans="2:26" ht="15.75" customHeight="1">
      <c r="B50" t="s">
        <v>293</v>
      </c>
      <c r="C50" t="s">
        <v>264</v>
      </c>
      <c r="D50" s="83"/>
      <c r="E50" s="84"/>
      <c r="F50">
        <v>1</v>
      </c>
      <c r="G50" s="127">
        <v>62251.5</v>
      </c>
      <c r="H50" s="127">
        <v>16807.91</v>
      </c>
      <c r="I50" s="127">
        <v>62251.5</v>
      </c>
      <c r="J50" s="102"/>
      <c r="K50">
        <v>1</v>
      </c>
      <c r="L50" s="127">
        <v>31125.75</v>
      </c>
      <c r="M50" s="127">
        <v>31125.75</v>
      </c>
      <c r="N50" s="111"/>
      <c r="O50" s="90"/>
      <c r="P50" s="112"/>
      <c r="Q50" s="91"/>
      <c r="R50" s="91"/>
      <c r="S50" s="127">
        <v>31125.75</v>
      </c>
      <c r="T50" s="127">
        <v>31125.75</v>
      </c>
      <c r="U50" s="128">
        <v>0</v>
      </c>
      <c r="V50" s="128">
        <v>1</v>
      </c>
      <c r="W50" s="93"/>
    </row>
    <row r="51" spans="2:26" ht="15.75" customHeight="1">
      <c r="B51" t="s">
        <v>294</v>
      </c>
      <c r="C51" t="s">
        <v>295</v>
      </c>
      <c r="D51" s="83"/>
      <c r="E51" s="97"/>
      <c r="F51">
        <v>1</v>
      </c>
      <c r="G51" s="127">
        <v>52221</v>
      </c>
      <c r="H51" s="127">
        <v>14099.67</v>
      </c>
      <c r="I51" s="127">
        <v>52221</v>
      </c>
      <c r="J51" s="102"/>
      <c r="K51">
        <v>1</v>
      </c>
      <c r="L51" s="127">
        <v>26110.5</v>
      </c>
      <c r="M51" s="127">
        <v>26110.5</v>
      </c>
      <c r="N51" s="104"/>
      <c r="O51" s="90"/>
      <c r="P51" s="95"/>
      <c r="Q51" s="99"/>
      <c r="R51" s="105"/>
      <c r="S51" s="127">
        <v>26110.5</v>
      </c>
      <c r="T51" s="127">
        <v>26110.5</v>
      </c>
      <c r="U51" s="128">
        <v>0</v>
      </c>
      <c r="V51" s="128">
        <v>1</v>
      </c>
      <c r="W51" s="108"/>
    </row>
    <row r="52" spans="2:26" ht="15.75" customHeight="1">
      <c r="D52" s="83"/>
      <c r="E52" s="84"/>
      <c r="H52" t="s">
        <v>112</v>
      </c>
      <c r="I52" t="s">
        <v>112</v>
      </c>
      <c r="J52" s="102"/>
      <c r="K52">
        <v>0</v>
      </c>
      <c r="L52" t="s">
        <v>112</v>
      </c>
      <c r="M52" t="s">
        <v>112</v>
      </c>
      <c r="N52" s="111"/>
      <c r="O52" s="90"/>
      <c r="P52" s="112"/>
      <c r="Q52" s="91"/>
      <c r="R52" s="91"/>
      <c r="S52" t="s">
        <v>112</v>
      </c>
      <c r="T52" t="s">
        <v>112</v>
      </c>
      <c r="U52" s="128">
        <v>0</v>
      </c>
      <c r="V52" s="128">
        <v>0</v>
      </c>
      <c r="W52" s="93"/>
    </row>
    <row r="53" spans="2:26" ht="15.75" customHeight="1">
      <c r="B53" t="s">
        <v>296</v>
      </c>
      <c r="C53" t="s">
        <v>297</v>
      </c>
      <c r="D53" s="83"/>
      <c r="E53" s="97"/>
      <c r="F53">
        <v>1</v>
      </c>
      <c r="G53" s="127">
        <v>29693.72</v>
      </c>
      <c r="H53" s="127">
        <v>8017.3</v>
      </c>
      <c r="I53" s="127">
        <v>29693.72</v>
      </c>
      <c r="J53" s="102"/>
      <c r="K53">
        <v>1</v>
      </c>
      <c r="L53" s="127">
        <v>14846.86</v>
      </c>
      <c r="M53" s="127">
        <v>14846.86</v>
      </c>
      <c r="N53" s="104"/>
      <c r="O53" s="90"/>
      <c r="P53" s="95"/>
      <c r="Q53" s="99"/>
      <c r="R53" s="105"/>
      <c r="S53" s="127">
        <v>14846.86</v>
      </c>
      <c r="T53" s="127">
        <v>14846.86</v>
      </c>
      <c r="U53" s="128">
        <v>0</v>
      </c>
      <c r="V53" s="128">
        <v>1</v>
      </c>
      <c r="W53" s="108"/>
    </row>
    <row r="54" spans="2:26" ht="15.75" customHeight="1">
      <c r="B54">
        <v>2591930</v>
      </c>
      <c r="C54" t="s">
        <v>298</v>
      </c>
      <c r="D54" s="83"/>
      <c r="E54" s="84"/>
      <c r="F54">
        <v>1</v>
      </c>
      <c r="G54" s="127">
        <v>15602.78</v>
      </c>
      <c r="H54" s="127">
        <v>4212.75</v>
      </c>
      <c r="I54" s="127">
        <v>15602.78</v>
      </c>
      <c r="J54" s="102"/>
      <c r="K54">
        <v>1</v>
      </c>
      <c r="L54" s="127">
        <v>7801.39</v>
      </c>
      <c r="M54" s="127">
        <v>7801.39</v>
      </c>
      <c r="N54" s="111"/>
      <c r="O54" s="90"/>
      <c r="P54" s="112"/>
      <c r="Q54" s="91"/>
      <c r="R54" s="91"/>
      <c r="S54" s="127">
        <v>7801.39</v>
      </c>
      <c r="T54" s="127">
        <v>7801.39</v>
      </c>
      <c r="U54" s="128">
        <v>0</v>
      </c>
      <c r="V54" s="128">
        <v>1</v>
      </c>
      <c r="W54" s="93"/>
    </row>
    <row r="55" spans="2:26" ht="15.75" customHeight="1">
      <c r="B55">
        <v>4840404</v>
      </c>
      <c r="C55" t="s">
        <v>299</v>
      </c>
      <c r="D55" s="83"/>
      <c r="E55" s="97"/>
      <c r="F55">
        <v>12</v>
      </c>
      <c r="G55" s="127">
        <v>9997.3700000000008</v>
      </c>
      <c r="H55" s="127">
        <v>2699.29</v>
      </c>
      <c r="I55" s="127">
        <v>119968.44</v>
      </c>
      <c r="J55" s="102"/>
      <c r="K55">
        <v>12</v>
      </c>
      <c r="L55" s="127">
        <v>4998.6899999999996</v>
      </c>
      <c r="M55" s="127">
        <v>59984.28</v>
      </c>
      <c r="N55" s="104"/>
      <c r="O55" s="90"/>
      <c r="P55" s="95"/>
      <c r="Q55" s="99"/>
      <c r="R55" s="105"/>
      <c r="S55" s="127">
        <v>4998.6899999999996</v>
      </c>
      <c r="T55" s="127">
        <v>59984.28</v>
      </c>
      <c r="U55" s="128">
        <v>0</v>
      </c>
      <c r="V55" s="128">
        <v>1</v>
      </c>
      <c r="W55" s="108"/>
    </row>
    <row r="56" spans="2:26" ht="15.75" customHeight="1">
      <c r="B56">
        <v>4694320</v>
      </c>
      <c r="C56" t="s">
        <v>300</v>
      </c>
      <c r="D56" s="83"/>
      <c r="E56" s="84"/>
      <c r="F56">
        <v>3</v>
      </c>
      <c r="G56" s="127">
        <v>902.04</v>
      </c>
      <c r="H56" s="127">
        <v>243.55</v>
      </c>
      <c r="I56" s="127">
        <v>2706.12</v>
      </c>
      <c r="J56" s="102"/>
      <c r="K56">
        <v>3</v>
      </c>
      <c r="L56" s="127">
        <v>451.02</v>
      </c>
      <c r="M56" s="127">
        <v>1353.06</v>
      </c>
      <c r="N56" s="111"/>
      <c r="O56" s="90"/>
      <c r="P56" s="112"/>
      <c r="Q56" s="91"/>
      <c r="R56" s="91"/>
      <c r="S56" s="127">
        <v>451.02</v>
      </c>
      <c r="T56" s="127">
        <v>1353.06</v>
      </c>
      <c r="U56" s="128">
        <v>0</v>
      </c>
      <c r="V56" s="128">
        <v>1</v>
      </c>
      <c r="W56" s="108"/>
    </row>
    <row r="57" spans="2:26" ht="15.75" customHeight="1">
      <c r="B57" t="s">
        <v>301</v>
      </c>
      <c r="C57" t="s">
        <v>302</v>
      </c>
      <c r="D57" s="83"/>
      <c r="E57" s="97"/>
      <c r="F57">
        <v>1</v>
      </c>
      <c r="G57" s="127">
        <v>13.24</v>
      </c>
      <c r="H57" s="127">
        <v>3.57</v>
      </c>
      <c r="I57" s="127">
        <v>13.24</v>
      </c>
      <c r="J57" s="102"/>
      <c r="K57">
        <v>1</v>
      </c>
      <c r="L57" s="127">
        <v>6.62</v>
      </c>
      <c r="M57" s="127">
        <v>6.62</v>
      </c>
      <c r="N57" s="104"/>
      <c r="O57" s="90"/>
      <c r="P57" s="95"/>
      <c r="Q57" s="99"/>
      <c r="R57" s="105"/>
      <c r="S57" s="127">
        <v>6.62</v>
      </c>
      <c r="T57" s="127">
        <v>6.62</v>
      </c>
      <c r="U57" s="128">
        <v>0</v>
      </c>
      <c r="V57" s="128">
        <v>1</v>
      </c>
      <c r="W57" s="108"/>
    </row>
    <row r="58" spans="2:26" ht="15.75" customHeight="1">
      <c r="B58" t="s">
        <v>303</v>
      </c>
      <c r="C58" t="s">
        <v>304</v>
      </c>
      <c r="D58" s="83"/>
      <c r="E58" s="84"/>
      <c r="F58">
        <v>1</v>
      </c>
      <c r="G58" s="127">
        <v>639.96</v>
      </c>
      <c r="H58" s="127">
        <v>172.79</v>
      </c>
      <c r="I58" s="127">
        <v>639.96</v>
      </c>
      <c r="J58" s="102"/>
      <c r="K58">
        <v>1</v>
      </c>
      <c r="L58" s="127">
        <v>319.98</v>
      </c>
      <c r="M58" s="127">
        <v>319.98</v>
      </c>
      <c r="N58" s="111"/>
      <c r="O58" s="90"/>
      <c r="P58" s="112"/>
      <c r="Q58" s="91"/>
      <c r="R58" s="91"/>
      <c r="S58" s="127">
        <v>319.98</v>
      </c>
      <c r="T58" s="127">
        <v>319.98</v>
      </c>
      <c r="U58" s="128">
        <v>0</v>
      </c>
      <c r="V58" s="128">
        <v>1</v>
      </c>
      <c r="W58" s="108"/>
    </row>
    <row r="59" spans="2:26" ht="15.75" customHeight="1">
      <c r="B59" t="s">
        <v>305</v>
      </c>
      <c r="C59" t="s">
        <v>304</v>
      </c>
      <c r="D59" s="83"/>
      <c r="E59" s="97"/>
      <c r="F59">
        <v>1</v>
      </c>
      <c r="G59" s="127">
        <v>852.18</v>
      </c>
      <c r="H59" s="127">
        <v>230.09</v>
      </c>
      <c r="I59" s="127">
        <v>852.18</v>
      </c>
      <c r="J59" s="102"/>
      <c r="K59">
        <v>1</v>
      </c>
      <c r="L59" s="127">
        <v>426.09</v>
      </c>
      <c r="M59" s="127">
        <v>426.09</v>
      </c>
      <c r="N59" s="104"/>
      <c r="O59" s="90"/>
      <c r="P59" s="95"/>
      <c r="Q59" s="99"/>
      <c r="R59" s="105"/>
      <c r="S59" s="127">
        <v>426.09</v>
      </c>
      <c r="T59" s="127">
        <v>426.09</v>
      </c>
      <c r="U59" s="128">
        <v>0</v>
      </c>
      <c r="V59" s="128">
        <v>1</v>
      </c>
      <c r="W59" s="108"/>
    </row>
    <row r="60" spans="2:26" ht="15.75" customHeight="1">
      <c r="B60" t="s">
        <v>306</v>
      </c>
      <c r="C60" t="s">
        <v>304</v>
      </c>
      <c r="D60" s="83"/>
      <c r="E60" s="84"/>
      <c r="F60">
        <v>1</v>
      </c>
      <c r="G60" s="127">
        <v>1120.8599999999999</v>
      </c>
      <c r="H60" s="127">
        <v>302.63</v>
      </c>
      <c r="I60" s="127">
        <v>1120.8599999999999</v>
      </c>
      <c r="J60" s="102"/>
      <c r="K60">
        <v>1</v>
      </c>
      <c r="L60" s="127">
        <v>560.42999999999995</v>
      </c>
      <c r="M60" s="127">
        <v>560.42999999999995</v>
      </c>
      <c r="N60" s="111"/>
      <c r="O60" s="90"/>
      <c r="P60" s="112"/>
      <c r="Q60" s="91"/>
      <c r="R60" s="91"/>
      <c r="S60" s="127">
        <v>560.42999999999995</v>
      </c>
      <c r="T60" s="127">
        <v>560.42999999999995</v>
      </c>
      <c r="U60" s="128">
        <v>0</v>
      </c>
      <c r="V60" s="128">
        <v>1</v>
      </c>
      <c r="W60" s="108"/>
    </row>
    <row r="61" spans="2:26" ht="15.75" customHeight="1">
      <c r="B61" t="s">
        <v>307</v>
      </c>
      <c r="C61" t="s">
        <v>304</v>
      </c>
      <c r="D61" s="83"/>
      <c r="E61" s="97"/>
      <c r="F61">
        <v>1</v>
      </c>
      <c r="G61" s="127">
        <v>565.29</v>
      </c>
      <c r="H61" s="127">
        <v>152.63</v>
      </c>
      <c r="I61" s="127">
        <v>565.29</v>
      </c>
      <c r="J61" s="102"/>
      <c r="K61">
        <v>1</v>
      </c>
      <c r="L61" s="127">
        <v>282.64999999999998</v>
      </c>
      <c r="M61" s="127">
        <v>282.64999999999998</v>
      </c>
      <c r="N61" s="104"/>
      <c r="O61" s="90"/>
      <c r="P61" s="95"/>
      <c r="Q61" s="99"/>
      <c r="R61" s="105"/>
      <c r="S61" s="127">
        <v>282.64999999999998</v>
      </c>
      <c r="T61" s="127">
        <v>282.64999999999998</v>
      </c>
      <c r="U61" s="128">
        <v>0</v>
      </c>
      <c r="V61" s="128">
        <v>1</v>
      </c>
      <c r="W61" s="108"/>
    </row>
    <row r="62" spans="2:26" ht="15.75" customHeight="1">
      <c r="B62" t="s">
        <v>308</v>
      </c>
      <c r="C62" t="s">
        <v>309</v>
      </c>
      <c r="D62" s="83"/>
      <c r="E62" s="84"/>
      <c r="F62">
        <v>3</v>
      </c>
      <c r="G62" s="127">
        <v>142</v>
      </c>
      <c r="H62" s="127">
        <v>38.340000000000003</v>
      </c>
      <c r="I62" s="127">
        <v>426</v>
      </c>
      <c r="J62" s="102"/>
      <c r="K62">
        <v>3</v>
      </c>
      <c r="L62" s="127">
        <v>71</v>
      </c>
      <c r="M62" s="127">
        <v>213</v>
      </c>
      <c r="N62" s="111"/>
      <c r="O62" s="90"/>
      <c r="P62" s="112"/>
      <c r="Q62" s="91"/>
      <c r="R62" s="91"/>
      <c r="S62" s="127">
        <v>71</v>
      </c>
      <c r="T62" s="127">
        <v>213</v>
      </c>
      <c r="U62" s="128">
        <v>0</v>
      </c>
      <c r="V62" s="128">
        <v>1</v>
      </c>
      <c r="W62" s="108"/>
    </row>
    <row r="63" spans="2:26" ht="15.75" customHeight="1">
      <c r="B63" t="s">
        <v>310</v>
      </c>
      <c r="C63" t="s">
        <v>108</v>
      </c>
      <c r="D63" s="83"/>
      <c r="E63" s="97"/>
      <c r="F63">
        <v>3</v>
      </c>
      <c r="G63" s="127">
        <v>984</v>
      </c>
      <c r="H63" s="127">
        <v>265.68</v>
      </c>
      <c r="I63" s="127">
        <v>2952</v>
      </c>
      <c r="J63" s="102"/>
      <c r="K63">
        <v>3</v>
      </c>
      <c r="L63" s="127">
        <v>492</v>
      </c>
      <c r="M63" s="127">
        <v>1476</v>
      </c>
      <c r="N63" s="104"/>
      <c r="O63" s="90"/>
      <c r="P63" s="95"/>
      <c r="Q63" s="99"/>
      <c r="R63" s="105"/>
      <c r="S63" s="127">
        <v>492</v>
      </c>
      <c r="T63" s="127">
        <v>1476</v>
      </c>
      <c r="U63" s="128">
        <v>0</v>
      </c>
      <c r="V63" s="128">
        <v>1</v>
      </c>
      <c r="W63" s="108"/>
    </row>
    <row r="64" spans="2:26" ht="15.75" customHeight="1">
      <c r="B64" t="s">
        <v>311</v>
      </c>
      <c r="C64" t="s">
        <v>312</v>
      </c>
      <c r="D64" s="83"/>
      <c r="E64" s="84"/>
      <c r="F64">
        <v>1</v>
      </c>
      <c r="G64" s="127">
        <v>108890</v>
      </c>
      <c r="H64" s="127">
        <v>29400.3</v>
      </c>
      <c r="I64" s="127">
        <v>108890</v>
      </c>
      <c r="J64" s="102"/>
      <c r="K64">
        <v>1</v>
      </c>
      <c r="L64" s="127">
        <v>54445</v>
      </c>
      <c r="M64" s="127">
        <v>54445</v>
      </c>
      <c r="N64" s="111"/>
      <c r="O64" s="90"/>
      <c r="P64" s="112"/>
      <c r="Q64" s="91"/>
      <c r="R64" s="91"/>
      <c r="S64" s="127">
        <v>54445</v>
      </c>
      <c r="T64" s="127">
        <v>54445</v>
      </c>
      <c r="U64" s="128">
        <v>0</v>
      </c>
      <c r="V64" s="128">
        <v>1</v>
      </c>
      <c r="W64" s="108"/>
    </row>
    <row r="65" spans="2:26" ht="15.75" customHeight="1">
      <c r="D65" s="83"/>
      <c r="E65" s="97"/>
      <c r="G65" s="127"/>
      <c r="H65" s="127"/>
      <c r="I65" s="127"/>
      <c r="J65" s="102"/>
      <c r="L65" s="127"/>
      <c r="M65" s="127"/>
      <c r="N65" s="104"/>
      <c r="O65" s="90"/>
      <c r="P65" s="95"/>
      <c r="Q65" s="99"/>
      <c r="R65" s="105"/>
      <c r="S65" s="127"/>
      <c r="T65" s="127"/>
      <c r="U65" s="128"/>
      <c r="V65" s="128"/>
      <c r="W65" s="108"/>
    </row>
    <row r="66" spans="2:26">
      <c r="B66" s="129"/>
      <c r="D66" s="83"/>
      <c r="E66" s="84"/>
      <c r="G66" s="127"/>
      <c r="H66" s="127"/>
      <c r="I66" s="127"/>
      <c r="J66" s="102"/>
      <c r="L66" s="127"/>
      <c r="M66" s="127"/>
      <c r="N66" s="111"/>
      <c r="O66" s="90"/>
      <c r="P66" s="112"/>
      <c r="Q66" s="91"/>
      <c r="R66" s="91"/>
      <c r="S66" s="127"/>
      <c r="T66" s="127"/>
      <c r="U66" s="128"/>
      <c r="V66" s="128"/>
      <c r="W66" s="93"/>
      <c r="X66" s="94"/>
      <c r="Y66" s="4"/>
      <c r="Z66" s="4"/>
    </row>
    <row r="67" spans="2:26" ht="15.75" customHeight="1">
      <c r="D67" s="83"/>
      <c r="E67" s="97"/>
      <c r="G67" s="127"/>
      <c r="H67" s="127"/>
      <c r="I67" s="127"/>
      <c r="J67" s="102"/>
      <c r="L67" s="127"/>
      <c r="M67" s="127"/>
      <c r="N67" s="104"/>
      <c r="O67" s="90"/>
      <c r="P67" s="95"/>
      <c r="Q67" s="99"/>
      <c r="R67" s="105"/>
      <c r="S67" s="127"/>
      <c r="T67" s="127"/>
      <c r="U67" s="128"/>
      <c r="V67" s="128"/>
      <c r="W67" s="108"/>
      <c r="X67" s="94"/>
      <c r="Y67" s="4"/>
      <c r="Z67" s="4"/>
    </row>
    <row r="68" spans="2:26" ht="15.75" customHeight="1">
      <c r="D68" s="83"/>
      <c r="E68" s="84"/>
      <c r="J68" s="102"/>
      <c r="N68" s="111"/>
      <c r="O68" s="90"/>
      <c r="P68" s="112"/>
      <c r="Q68" s="91"/>
      <c r="R68" s="91"/>
      <c r="U68" s="128"/>
      <c r="V68" s="128"/>
      <c r="W68" s="93"/>
      <c r="X68" s="94"/>
      <c r="Y68" s="4"/>
      <c r="Z68" s="4"/>
    </row>
    <row r="69" spans="2:26" ht="15.75" customHeight="1">
      <c r="D69" s="83"/>
      <c r="E69" s="97"/>
      <c r="J69" s="102"/>
      <c r="N69" s="104"/>
      <c r="O69" s="90"/>
      <c r="P69" s="95"/>
      <c r="Q69" s="99"/>
      <c r="R69" s="105"/>
      <c r="U69" s="128"/>
      <c r="V69" s="128"/>
      <c r="W69" s="108"/>
      <c r="X69" s="94"/>
      <c r="Y69" s="4"/>
      <c r="Z69" s="4"/>
    </row>
    <row r="70" spans="2:26" ht="15.75" customHeight="1">
      <c r="D70" s="83"/>
      <c r="E70" s="84"/>
      <c r="G70" s="127"/>
      <c r="H70" s="127"/>
      <c r="I70" s="127"/>
      <c r="J70" s="102"/>
      <c r="L70" s="127"/>
      <c r="M70" s="127"/>
      <c r="N70" s="111"/>
      <c r="O70" s="90"/>
      <c r="P70" s="112"/>
      <c r="Q70" s="91"/>
      <c r="R70" s="91"/>
      <c r="S70" s="127"/>
      <c r="T70" s="127"/>
      <c r="U70" s="128"/>
      <c r="V70" s="128"/>
      <c r="W70" s="93"/>
      <c r="X70" s="94"/>
      <c r="Y70" s="4"/>
      <c r="Z70" s="4"/>
    </row>
    <row r="71" spans="2:26" ht="15.75" customHeight="1">
      <c r="D71" s="83"/>
      <c r="E71" s="97"/>
      <c r="G71" s="127"/>
      <c r="H71" s="127"/>
      <c r="I71" s="127"/>
      <c r="J71" s="102"/>
      <c r="L71" s="127"/>
      <c r="M71" s="127"/>
      <c r="N71" s="104"/>
      <c r="O71" s="90"/>
      <c r="P71" s="95"/>
      <c r="Q71" s="99"/>
      <c r="R71" s="105"/>
      <c r="S71" s="127"/>
      <c r="T71" s="127"/>
      <c r="U71" s="128"/>
      <c r="V71" s="128"/>
      <c r="W71" s="108"/>
      <c r="X71" s="94"/>
      <c r="Y71" s="4"/>
      <c r="Z71" s="4"/>
    </row>
    <row r="72" spans="2:26" ht="15.75" customHeight="1">
      <c r="D72" s="83"/>
      <c r="E72" s="84"/>
      <c r="G72" s="127"/>
      <c r="H72" s="127"/>
      <c r="I72" s="127"/>
      <c r="J72" s="102"/>
      <c r="L72" s="127"/>
      <c r="M72" s="127"/>
      <c r="N72" s="111"/>
      <c r="O72" s="90"/>
      <c r="P72" s="112"/>
      <c r="Q72" s="91"/>
      <c r="R72" s="91"/>
      <c r="S72" s="127"/>
      <c r="T72" s="127"/>
      <c r="U72" s="128"/>
      <c r="V72" s="128"/>
      <c r="W72" s="93"/>
      <c r="X72" s="94"/>
      <c r="Y72" s="4"/>
      <c r="Z72" s="4"/>
    </row>
    <row r="73" spans="2:26" ht="15.75" customHeight="1">
      <c r="D73" s="83"/>
      <c r="E73" s="97"/>
      <c r="G73" s="127"/>
      <c r="H73" s="127"/>
      <c r="I73" s="127"/>
      <c r="J73" s="102"/>
      <c r="L73" s="127"/>
      <c r="M73" s="127"/>
      <c r="N73" s="104"/>
      <c r="O73" s="90"/>
      <c r="P73" s="95"/>
      <c r="Q73" s="99"/>
      <c r="R73" s="105"/>
      <c r="S73" s="127"/>
      <c r="T73" s="127"/>
      <c r="U73" s="128"/>
      <c r="V73" s="128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128"/>
      <c r="V74" s="128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128"/>
      <c r="V75" s="128"/>
      <c r="W75" s="93"/>
      <c r="X75" s="94"/>
      <c r="Y75" s="4"/>
      <c r="Z75" s="4"/>
    </row>
    <row r="76" spans="2:26" ht="15.75" customHeight="1">
      <c r="D76" s="83"/>
      <c r="E76" s="97"/>
      <c r="G76" s="127"/>
      <c r="H76" s="127"/>
      <c r="I76" s="127"/>
      <c r="J76" s="102"/>
      <c r="L76" s="127"/>
      <c r="M76" s="127"/>
      <c r="N76" s="104"/>
      <c r="O76" s="90"/>
      <c r="P76" s="95"/>
      <c r="Q76" s="99"/>
      <c r="R76" s="105"/>
      <c r="S76" s="127"/>
      <c r="T76" s="127"/>
      <c r="U76" s="128"/>
      <c r="V76" s="128"/>
      <c r="W76" s="108"/>
      <c r="X76" s="94"/>
      <c r="Y76" s="4"/>
      <c r="Z76" s="4"/>
    </row>
    <row r="77" spans="2:26" ht="15.75" customHeight="1">
      <c r="D77" s="83"/>
      <c r="E77" s="84"/>
      <c r="G77" s="127"/>
      <c r="H77" s="127"/>
      <c r="I77" s="127"/>
      <c r="J77" s="102"/>
      <c r="L77" s="127"/>
      <c r="M77" s="127"/>
      <c r="N77" s="111"/>
      <c r="O77" s="90"/>
      <c r="P77" s="112"/>
      <c r="Q77" s="91"/>
      <c r="R77" s="91"/>
      <c r="S77" s="127"/>
      <c r="T77" s="127"/>
      <c r="U77" s="128"/>
      <c r="V77" s="128"/>
      <c r="W77" s="93"/>
    </row>
    <row r="78" spans="2:26" ht="15.75" customHeight="1">
      <c r="D78" s="83"/>
      <c r="E78" s="97"/>
      <c r="G78" s="127"/>
      <c r="H78" s="127"/>
      <c r="I78" s="127"/>
      <c r="J78" s="102"/>
      <c r="L78" s="127"/>
      <c r="M78" s="127"/>
      <c r="N78" s="104"/>
      <c r="O78" s="90"/>
      <c r="P78" s="95"/>
      <c r="Q78" s="99"/>
      <c r="R78" s="105"/>
      <c r="S78" s="127"/>
      <c r="T78" s="127"/>
      <c r="U78" s="128"/>
      <c r="V78" s="128"/>
      <c r="W78" s="108"/>
    </row>
    <row r="79" spans="2:26" ht="15.75" customHeight="1">
      <c r="D79" s="83"/>
      <c r="E79" s="84"/>
      <c r="G79" s="127"/>
      <c r="H79" s="127"/>
      <c r="I79" s="127"/>
      <c r="J79" s="102"/>
      <c r="L79" s="127"/>
      <c r="M79" s="127"/>
      <c r="N79" s="111"/>
      <c r="O79" s="90"/>
      <c r="P79" s="112"/>
      <c r="Q79" s="91"/>
      <c r="R79" s="91"/>
      <c r="S79" s="127"/>
      <c r="T79" s="127"/>
      <c r="U79" s="128"/>
      <c r="V79" s="128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128"/>
      <c r="V80" s="128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128"/>
      <c r="V81" s="128"/>
      <c r="W81" s="93"/>
    </row>
    <row r="82" spans="4:26" ht="15.75" customHeight="1">
      <c r="D82" s="83"/>
      <c r="E82" s="97"/>
      <c r="G82" s="127"/>
      <c r="H82" s="127"/>
      <c r="I82" s="127"/>
      <c r="J82" s="102"/>
      <c r="L82" s="127"/>
      <c r="M82" s="127"/>
      <c r="N82" s="104"/>
      <c r="O82" s="90"/>
      <c r="P82" s="95"/>
      <c r="Q82" s="99"/>
      <c r="R82" s="105"/>
      <c r="S82" s="127"/>
      <c r="T82" s="127"/>
      <c r="U82" s="128"/>
      <c r="V82" s="128"/>
      <c r="W82" s="108"/>
    </row>
    <row r="83" spans="4:26" ht="15.75" customHeight="1">
      <c r="D83" s="83"/>
      <c r="E83" s="84"/>
      <c r="G83" s="127"/>
      <c r="H83" s="127"/>
      <c r="I83" s="127"/>
      <c r="J83" s="102"/>
      <c r="L83" s="127"/>
      <c r="M83" s="127"/>
      <c r="N83" s="111"/>
      <c r="O83" s="90"/>
      <c r="P83" s="112"/>
      <c r="Q83" s="91"/>
      <c r="R83" s="91"/>
      <c r="S83" s="127"/>
      <c r="T83" s="127"/>
      <c r="U83" s="128"/>
      <c r="V83" s="128"/>
      <c r="W83" s="108"/>
    </row>
    <row r="84" spans="4:26" ht="15.75" customHeight="1">
      <c r="D84" s="83"/>
      <c r="E84" s="97"/>
      <c r="G84" s="127"/>
      <c r="H84" s="127"/>
      <c r="I84" s="127"/>
      <c r="J84" s="102"/>
      <c r="L84" s="127"/>
      <c r="M84" s="127"/>
      <c r="N84" s="104"/>
      <c r="O84" s="90"/>
      <c r="P84" s="95"/>
      <c r="Q84" s="99"/>
      <c r="R84" s="105"/>
      <c r="S84" s="127"/>
      <c r="T84" s="127"/>
      <c r="U84" s="128"/>
      <c r="V84" s="128"/>
      <c r="W84" s="108"/>
    </row>
    <row r="85" spans="4:26" ht="15.75" customHeight="1">
      <c r="D85" s="83"/>
      <c r="E85" s="84"/>
      <c r="G85" s="127"/>
      <c r="H85" s="127"/>
      <c r="I85" s="127"/>
      <c r="J85" s="102"/>
      <c r="L85" s="127"/>
      <c r="M85" s="127"/>
      <c r="N85" s="111"/>
      <c r="O85" s="90"/>
      <c r="P85" s="112"/>
      <c r="Q85" s="91"/>
      <c r="R85" s="91"/>
      <c r="S85" s="127"/>
      <c r="T85" s="127"/>
      <c r="U85" s="128"/>
      <c r="V85" s="128"/>
      <c r="W85" s="108"/>
    </row>
    <row r="86" spans="4:26" ht="15.75" customHeight="1">
      <c r="D86" s="83"/>
      <c r="E86" s="97"/>
      <c r="G86" s="127"/>
      <c r="H86" s="127"/>
      <c r="I86" s="127"/>
      <c r="J86" s="102"/>
      <c r="L86" s="127"/>
      <c r="M86" s="127"/>
      <c r="N86" s="104"/>
      <c r="O86" s="90"/>
      <c r="P86" s="95"/>
      <c r="Q86" s="99"/>
      <c r="R86" s="105"/>
      <c r="S86" s="127"/>
      <c r="T86" s="127"/>
      <c r="U86" s="128"/>
      <c r="V86" s="128"/>
      <c r="W86" s="108"/>
    </row>
    <row r="87" spans="4:26" ht="15.75" customHeight="1">
      <c r="D87" s="83"/>
      <c r="E87" s="84"/>
      <c r="G87" s="127"/>
      <c r="H87" s="127"/>
      <c r="I87" s="127"/>
      <c r="J87" s="102"/>
      <c r="L87" s="127"/>
      <c r="M87" s="127"/>
      <c r="N87" s="111"/>
      <c r="O87" s="90"/>
      <c r="P87" s="112"/>
      <c r="Q87" s="91"/>
      <c r="R87" s="91"/>
      <c r="S87" s="127"/>
      <c r="T87" s="127"/>
      <c r="U87" s="128"/>
      <c r="V87" s="128"/>
      <c r="W87" s="108"/>
    </row>
    <row r="88" spans="4:26" ht="15.75" customHeight="1">
      <c r="D88" s="83"/>
      <c r="E88" s="97"/>
      <c r="G88" s="127"/>
      <c r="H88" s="127"/>
      <c r="I88" s="127"/>
      <c r="J88" s="102"/>
      <c r="L88" s="127"/>
      <c r="M88" s="127"/>
      <c r="N88" s="104"/>
      <c r="O88" s="90"/>
      <c r="P88" s="95"/>
      <c r="Q88" s="99"/>
      <c r="R88" s="105"/>
      <c r="S88" s="127"/>
      <c r="T88" s="127"/>
      <c r="U88" s="128"/>
      <c r="V88" s="128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128"/>
      <c r="V89" s="128"/>
      <c r="W89" s="108"/>
    </row>
    <row r="90" spans="4:26" ht="15.75" customHeight="1">
      <c r="D90" s="83"/>
      <c r="E90" s="97"/>
      <c r="G90" s="127"/>
      <c r="H90" s="127"/>
      <c r="I90" s="127"/>
      <c r="J90" s="102"/>
      <c r="L90" s="127"/>
      <c r="M90" s="127"/>
      <c r="N90" s="104"/>
      <c r="O90" s="90"/>
      <c r="P90" s="95"/>
      <c r="Q90" s="99"/>
      <c r="R90" s="105"/>
      <c r="S90" s="127"/>
      <c r="T90" s="127"/>
      <c r="U90" s="128"/>
      <c r="V90" s="128"/>
      <c r="W90" s="108"/>
    </row>
    <row r="91" spans="4:26" ht="15.75" customHeight="1">
      <c r="D91" s="83"/>
      <c r="E91" s="84"/>
      <c r="G91" s="127"/>
      <c r="H91" s="127"/>
      <c r="I91" s="127"/>
      <c r="J91" s="102"/>
      <c r="L91" s="127"/>
      <c r="M91" s="127"/>
      <c r="N91" s="111"/>
      <c r="O91" s="90"/>
      <c r="P91" s="112"/>
      <c r="Q91" s="91"/>
      <c r="R91" s="91"/>
      <c r="S91" s="127"/>
      <c r="T91" s="127"/>
      <c r="U91" s="128"/>
      <c r="V91" s="128"/>
      <c r="W91" s="108"/>
    </row>
    <row r="92" spans="4:26" ht="15.75" customHeight="1">
      <c r="D92" s="83"/>
      <c r="E92" s="97"/>
      <c r="G92" s="127"/>
      <c r="H92" s="127"/>
      <c r="I92" s="127"/>
      <c r="J92" s="102"/>
      <c r="L92" s="127"/>
      <c r="M92" s="127"/>
      <c r="N92" s="104"/>
      <c r="O92" s="90"/>
      <c r="P92" s="95"/>
      <c r="Q92" s="99"/>
      <c r="R92" s="105"/>
      <c r="S92" s="127"/>
      <c r="T92" s="127"/>
      <c r="U92" s="128"/>
      <c r="V92" s="128"/>
      <c r="W92" s="108"/>
    </row>
    <row r="93" spans="4:26" ht="15.75" customHeight="1">
      <c r="D93" s="83"/>
      <c r="E93" s="84"/>
      <c r="G93" s="127"/>
      <c r="H93" s="127"/>
      <c r="I93" s="127"/>
      <c r="J93" s="102"/>
      <c r="L93" s="127"/>
      <c r="M93" s="127"/>
      <c r="N93" s="111"/>
      <c r="O93" s="90"/>
      <c r="P93" s="112"/>
      <c r="Q93" s="91"/>
      <c r="R93" s="91"/>
      <c r="S93" s="127"/>
      <c r="T93" s="127"/>
      <c r="U93" s="128"/>
      <c r="V93" s="128"/>
      <c r="W93" s="108"/>
    </row>
    <row r="94" spans="4:26" ht="15.75" customHeight="1">
      <c r="D94" s="83"/>
      <c r="E94" s="97"/>
      <c r="G94" s="127"/>
      <c r="H94" s="127"/>
      <c r="I94" s="127"/>
      <c r="J94" s="102"/>
      <c r="L94" s="127"/>
      <c r="M94" s="127"/>
      <c r="N94" s="104"/>
      <c r="O94" s="90"/>
      <c r="P94" s="95"/>
      <c r="Q94" s="99"/>
      <c r="R94" s="105"/>
      <c r="S94" s="127"/>
      <c r="T94" s="127"/>
      <c r="U94" s="128"/>
      <c r="V94" s="128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128"/>
      <c r="V95" s="128"/>
      <c r="W95" s="93"/>
      <c r="X95" s="94"/>
      <c r="Y95" s="4"/>
      <c r="Z95" s="4"/>
    </row>
    <row r="96" spans="4:26" ht="15.75" customHeight="1">
      <c r="D96" s="83"/>
      <c r="E96" s="97"/>
      <c r="G96" s="127"/>
      <c r="H96" s="127"/>
      <c r="I96" s="127"/>
      <c r="J96" s="102"/>
      <c r="L96" s="127"/>
      <c r="M96" s="127"/>
      <c r="N96" s="104"/>
      <c r="O96" s="90"/>
      <c r="P96" s="95"/>
      <c r="Q96" s="99"/>
      <c r="R96" s="105"/>
      <c r="S96" s="127"/>
      <c r="T96" s="127"/>
      <c r="U96" s="128"/>
      <c r="V96" s="128"/>
      <c r="W96" s="108"/>
      <c r="X96" s="94"/>
      <c r="Y96" s="4"/>
      <c r="Z96" s="4"/>
    </row>
    <row r="97" spans="2:23" ht="15.75" customHeight="1">
      <c r="D97" s="83"/>
      <c r="E97" s="84"/>
      <c r="G97" s="127"/>
      <c r="H97" s="127"/>
      <c r="I97" s="127"/>
      <c r="J97" s="102"/>
      <c r="L97" s="127"/>
      <c r="M97" s="127"/>
      <c r="N97" s="111"/>
      <c r="O97" s="90"/>
      <c r="P97" s="112"/>
      <c r="Q97" s="91"/>
      <c r="R97" s="91"/>
      <c r="S97" s="127"/>
      <c r="T97" s="127"/>
      <c r="U97" s="128"/>
      <c r="V97" s="128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128"/>
      <c r="V98" s="128"/>
      <c r="W98" s="108"/>
    </row>
    <row r="99" spans="2:23" ht="15.75" customHeight="1">
      <c r="D99" s="83"/>
      <c r="E99" s="84"/>
      <c r="G99" s="127"/>
      <c r="H99" s="127"/>
      <c r="I99" s="127"/>
      <c r="J99" s="102"/>
      <c r="L99" s="127"/>
      <c r="M99" s="127"/>
      <c r="N99" s="111"/>
      <c r="O99" s="90"/>
      <c r="P99" s="112"/>
      <c r="Q99" s="91"/>
      <c r="R99" s="91"/>
      <c r="S99" s="127"/>
      <c r="T99" s="127"/>
      <c r="U99" s="128"/>
      <c r="V99" s="128"/>
      <c r="W99" s="93"/>
    </row>
    <row r="100" spans="2:23" ht="15.75" customHeight="1">
      <c r="D100" s="83"/>
      <c r="E100" s="97"/>
      <c r="G100" s="127"/>
      <c r="H100" s="127"/>
      <c r="I100" s="127"/>
      <c r="J100" s="102"/>
      <c r="L100" s="127"/>
      <c r="M100" s="127"/>
      <c r="N100" s="104"/>
      <c r="O100" s="90"/>
      <c r="P100" s="95"/>
      <c r="Q100" s="99"/>
      <c r="R100" s="105"/>
      <c r="S100" s="127"/>
      <c r="T100" s="127"/>
      <c r="U100" s="128"/>
      <c r="V100" s="128"/>
      <c r="W100" s="108"/>
    </row>
    <row r="101" spans="2:23" ht="15.75" customHeight="1">
      <c r="D101" s="83"/>
      <c r="E101" s="84"/>
      <c r="G101" s="127"/>
      <c r="H101" s="127"/>
      <c r="I101" s="127"/>
      <c r="J101" s="102"/>
      <c r="L101" s="127"/>
      <c r="M101" s="127"/>
      <c r="N101" s="111"/>
      <c r="O101" s="90"/>
      <c r="P101" s="112"/>
      <c r="Q101" s="91"/>
      <c r="R101" s="91"/>
      <c r="S101" s="127"/>
      <c r="T101" s="127"/>
      <c r="U101" s="128"/>
      <c r="V101" s="128"/>
      <c r="W101" s="93"/>
    </row>
    <row r="102" spans="2:23" ht="15.75" customHeight="1">
      <c r="D102" s="83"/>
      <c r="E102" s="97"/>
      <c r="G102" s="127"/>
      <c r="H102" s="127"/>
      <c r="I102" s="127"/>
      <c r="J102" s="102"/>
      <c r="L102" s="127"/>
      <c r="M102" s="127"/>
      <c r="N102" s="104"/>
      <c r="O102" s="90"/>
      <c r="P102" s="95"/>
      <c r="Q102" s="99"/>
      <c r="R102" s="105"/>
      <c r="S102" s="127"/>
      <c r="T102" s="127"/>
      <c r="U102" s="128"/>
      <c r="V102" s="128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1219</v>
      </c>
      <c r="G114" s="118">
        <f>SUM(G19:G113)</f>
        <v>514341.39999999991</v>
      </c>
      <c r="H114" s="119">
        <f>SUM(H19:H113)</f>
        <v>138872.22999999998</v>
      </c>
      <c r="I114" s="120">
        <f>SUM(I19:I113)</f>
        <v>968849.97000000009</v>
      </c>
      <c r="J114" s="121"/>
      <c r="K114" s="122">
        <f>SUM(K19:K113)</f>
        <v>1219</v>
      </c>
      <c r="L114" s="119">
        <f>SUM(L19:L113)</f>
        <v>257170.71999999997</v>
      </c>
      <c r="M114" s="120">
        <f>SUM(M19:M113)</f>
        <v>484425.08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257170.71999999997</v>
      </c>
      <c r="T114" s="120">
        <f>SUM(T19:T113)</f>
        <v>484425.08</v>
      </c>
      <c r="U114" s="125"/>
      <c r="V114" s="125"/>
      <c r="W114" s="126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35" priority="1" stopIfTrue="1">
      <formula>$U$9&gt;100%</formula>
    </cfRule>
    <cfRule type="expression" dxfId="34" priority="2">
      <formula>$U$9&lt;50%</formula>
    </cfRule>
  </conditionalFormatting>
  <conditionalFormatting sqref="V9:V11">
    <cfRule type="expression" dxfId="33" priority="3">
      <formula>$V$9&lt;50%</formula>
    </cfRule>
    <cfRule type="expression" dxfId="32" priority="4">
      <formula>$V$9&gt;50%</formula>
    </cfRule>
  </conditionalFormatting>
  <dataValidations count="4">
    <dataValidation type="list" allowBlank="1" showErrorMessage="1" sqref="Q15 G18 L18 Q18" xr:uid="{1A441A07-568D-4776-A3A1-4D970FB0E06E}">
      <formula1>$Y$12:$Y$13</formula1>
    </dataValidation>
    <dataValidation type="list" allowBlank="1" showErrorMessage="1" sqref="J14" xr:uid="{2200792D-32EA-42FB-BD0B-F48DE7F43082}">
      <formula1>$L$9</formula1>
    </dataValidation>
    <dataValidation type="list" allowBlank="1" showErrorMessage="1" sqref="I14" xr:uid="{0D663A22-1267-494D-81AA-C9664C049C48}">
      <formula1>$Y$14:$Y$15</formula1>
    </dataValidation>
    <dataValidation type="list" allowBlank="1" showErrorMessage="1" sqref="E19:E113" xr:uid="{BA101552-C30F-405B-8178-70CBDA888611}">
      <formula1>$Z$19:$Z$94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0562-DB6D-4B3B-B89F-80B30A07DDC2}">
  <sheetPr>
    <pageSetUpPr fitToPage="1"/>
  </sheetPr>
  <dimension ref="B1:Z114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18" t="s">
        <v>0</v>
      </c>
      <c r="C1" s="219"/>
      <c r="D1" s="220" t="s">
        <v>1</v>
      </c>
      <c r="E1" s="221"/>
      <c r="F1" s="221"/>
      <c r="G1" s="221"/>
      <c r="H1" s="184"/>
      <c r="I1" s="218" t="s">
        <v>2</v>
      </c>
      <c r="J1" s="222"/>
      <c r="K1" s="222"/>
      <c r="L1" s="181"/>
      <c r="M1" s="223" t="s">
        <v>3</v>
      </c>
      <c r="N1" s="224"/>
      <c r="O1" s="225"/>
      <c r="P1" s="226" t="str">
        <f>L18</f>
        <v>CAD $</v>
      </c>
      <c r="Q1" s="222"/>
      <c r="R1" s="181"/>
      <c r="S1" s="218" t="s">
        <v>4</v>
      </c>
      <c r="T1" s="222"/>
      <c r="U1" s="222"/>
      <c r="V1" s="222"/>
      <c r="W1" s="181"/>
      <c r="X1" s="2"/>
      <c r="Y1" s="3"/>
    </row>
    <row r="2" spans="2:25" ht="15" customHeight="1">
      <c r="B2" s="5" t="s">
        <v>5</v>
      </c>
      <c r="C2" s="6"/>
      <c r="D2" s="193" t="s">
        <v>6</v>
      </c>
      <c r="E2" s="135"/>
      <c r="F2" s="136"/>
      <c r="G2" s="194"/>
      <c r="H2" s="136"/>
      <c r="I2" s="215" t="s">
        <v>7</v>
      </c>
      <c r="J2" s="133"/>
      <c r="K2" s="131"/>
      <c r="L2" s="8"/>
      <c r="M2" s="216" t="s">
        <v>8</v>
      </c>
      <c r="N2" s="131"/>
      <c r="O2" s="9"/>
      <c r="P2" s="217">
        <f>I114</f>
        <v>172675.84000000003</v>
      </c>
      <c r="Q2" s="133"/>
      <c r="R2" s="131"/>
      <c r="S2" s="216" t="s">
        <v>9</v>
      </c>
      <c r="T2" s="131"/>
      <c r="U2" s="214"/>
      <c r="V2" s="131"/>
      <c r="W2" s="10"/>
      <c r="X2" s="11"/>
      <c r="Y2" s="3"/>
    </row>
    <row r="3" spans="2:25" ht="15" customHeight="1">
      <c r="B3" s="12" t="s">
        <v>10</v>
      </c>
      <c r="C3" s="7"/>
      <c r="D3" s="193" t="s">
        <v>11</v>
      </c>
      <c r="E3" s="135"/>
      <c r="F3" s="136"/>
      <c r="G3" s="194"/>
      <c r="H3" s="136"/>
      <c r="I3" s="193" t="s">
        <v>12</v>
      </c>
      <c r="J3" s="135"/>
      <c r="K3" s="136"/>
      <c r="L3" s="13"/>
      <c r="M3" s="197" t="s">
        <v>13</v>
      </c>
      <c r="N3" s="136"/>
      <c r="O3" s="9"/>
      <c r="P3" s="213">
        <f>M114</f>
        <v>86338.430000000022</v>
      </c>
      <c r="Q3" s="135"/>
      <c r="R3" s="136"/>
      <c r="S3" s="197" t="s">
        <v>14</v>
      </c>
      <c r="T3" s="136"/>
      <c r="U3" s="199"/>
      <c r="V3" s="136"/>
      <c r="W3" s="14"/>
      <c r="X3" s="1"/>
      <c r="Y3" s="15"/>
    </row>
    <row r="4" spans="2:25" ht="15" customHeight="1">
      <c r="B4" s="16" t="s">
        <v>15</v>
      </c>
      <c r="C4" s="7"/>
      <c r="D4" s="193" t="s">
        <v>16</v>
      </c>
      <c r="E4" s="135"/>
      <c r="F4" s="136"/>
      <c r="G4" s="227" t="s">
        <v>497</v>
      </c>
      <c r="H4" s="228"/>
      <c r="I4" s="193" t="s">
        <v>17</v>
      </c>
      <c r="J4" s="135"/>
      <c r="K4" s="136"/>
      <c r="L4" s="13"/>
      <c r="M4" s="197" t="s">
        <v>18</v>
      </c>
      <c r="N4" s="136"/>
      <c r="O4" s="9"/>
      <c r="P4" s="213">
        <f>P2-P3</f>
        <v>86337.41</v>
      </c>
      <c r="Q4" s="135"/>
      <c r="R4" s="136"/>
      <c r="S4" s="197" t="s">
        <v>19</v>
      </c>
      <c r="T4" s="136"/>
      <c r="U4" s="199"/>
      <c r="V4" s="136"/>
      <c r="W4" s="14"/>
      <c r="X4" s="1"/>
      <c r="Y4" s="15"/>
    </row>
    <row r="5" spans="2:25" ht="15" customHeight="1" thickBot="1">
      <c r="B5" s="16" t="s">
        <v>20</v>
      </c>
      <c r="C5" s="7"/>
      <c r="D5" s="193" t="s">
        <v>21</v>
      </c>
      <c r="E5" s="135"/>
      <c r="F5" s="136"/>
      <c r="G5" s="229" t="s">
        <v>364</v>
      </c>
      <c r="H5" s="228"/>
      <c r="I5" s="193" t="s">
        <v>22</v>
      </c>
      <c r="J5" s="135"/>
      <c r="K5" s="136"/>
      <c r="L5" s="13"/>
      <c r="M5" s="209" t="s">
        <v>23</v>
      </c>
      <c r="N5" s="210"/>
      <c r="O5" s="9"/>
      <c r="P5" s="211">
        <f>IFERROR((P2-P3)/P2,"")</f>
        <v>0.49999704648895865</v>
      </c>
      <c r="Q5" s="212"/>
      <c r="R5" s="210"/>
      <c r="S5" s="197" t="s">
        <v>24</v>
      </c>
      <c r="T5" s="136"/>
      <c r="U5" s="199"/>
      <c r="V5" s="136"/>
      <c r="W5" s="14"/>
      <c r="X5" s="1"/>
      <c r="Y5" s="15"/>
    </row>
    <row r="6" spans="2:25" ht="15" customHeight="1">
      <c r="B6" s="16" t="s">
        <v>25</v>
      </c>
      <c r="C6" s="17"/>
      <c r="D6" s="193" t="s">
        <v>26</v>
      </c>
      <c r="E6" s="135"/>
      <c r="F6" s="136"/>
      <c r="G6" s="227" t="s">
        <v>363</v>
      </c>
      <c r="H6" s="228"/>
      <c r="I6" s="193" t="s">
        <v>27</v>
      </c>
      <c r="J6" s="135"/>
      <c r="K6" s="136"/>
      <c r="L6" s="13"/>
      <c r="M6" s="205" t="s">
        <v>28</v>
      </c>
      <c r="N6" s="206"/>
      <c r="O6" s="9"/>
      <c r="P6" s="207">
        <f>T114</f>
        <v>86338.430000000022</v>
      </c>
      <c r="Q6" s="208"/>
      <c r="R6" s="206"/>
      <c r="S6" s="197" t="s">
        <v>29</v>
      </c>
      <c r="T6" s="136"/>
      <c r="U6" s="199"/>
      <c r="V6" s="136"/>
      <c r="W6" s="18"/>
      <c r="X6" s="19"/>
      <c r="Y6" s="20"/>
    </row>
    <row r="7" spans="2:25" ht="15" customHeight="1">
      <c r="B7" s="16" t="s">
        <v>30</v>
      </c>
      <c r="C7" s="7"/>
      <c r="D7" s="193" t="s">
        <v>31</v>
      </c>
      <c r="E7" s="135"/>
      <c r="F7" s="136"/>
      <c r="G7" s="21"/>
      <c r="H7" s="21"/>
      <c r="I7" s="193" t="s">
        <v>32</v>
      </c>
      <c r="J7" s="135"/>
      <c r="K7" s="136"/>
      <c r="L7" s="13"/>
      <c r="M7" s="195" t="s">
        <v>33</v>
      </c>
      <c r="N7" s="136"/>
      <c r="O7" s="9"/>
      <c r="P7" s="198">
        <f>R114</f>
        <v>0</v>
      </c>
      <c r="Q7" s="135"/>
      <c r="R7" s="136"/>
      <c r="S7" s="200" t="s">
        <v>34</v>
      </c>
      <c r="T7" s="201"/>
      <c r="U7" s="202"/>
      <c r="V7" s="201"/>
      <c r="W7" s="18"/>
      <c r="X7" s="22"/>
      <c r="Y7" s="4"/>
    </row>
    <row r="8" spans="2:25" ht="15" customHeight="1">
      <c r="B8" s="23"/>
      <c r="C8" s="24"/>
      <c r="D8" s="193" t="s">
        <v>35</v>
      </c>
      <c r="E8" s="135"/>
      <c r="F8" s="136"/>
      <c r="G8" s="194"/>
      <c r="H8" s="136"/>
      <c r="I8" s="193" t="s">
        <v>36</v>
      </c>
      <c r="J8" s="135"/>
      <c r="K8" s="136"/>
      <c r="L8" s="13"/>
      <c r="M8" s="195" t="s">
        <v>37</v>
      </c>
      <c r="N8" s="136"/>
      <c r="O8" s="9"/>
      <c r="P8" s="198">
        <f>IF(P1=Q15,R15,IF(Q15="CAD $",R15*E16,IF(Q15="USD $",R15*F16,0)))</f>
        <v>0</v>
      </c>
      <c r="Q8" s="135"/>
      <c r="R8" s="136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93" t="s">
        <v>42</v>
      </c>
      <c r="E9" s="135"/>
      <c r="F9" s="136"/>
      <c r="G9" s="194"/>
      <c r="H9" s="136"/>
      <c r="I9" s="31"/>
      <c r="J9" s="32"/>
      <c r="K9" s="32"/>
      <c r="L9" s="33"/>
      <c r="M9" s="195" t="s">
        <v>43</v>
      </c>
      <c r="N9" s="136"/>
      <c r="O9" s="9"/>
      <c r="P9" s="196">
        <f>V15</f>
        <v>0</v>
      </c>
      <c r="Q9" s="135"/>
      <c r="R9" s="136"/>
      <c r="S9" s="186">
        <f>P7+P8+P9</f>
        <v>0</v>
      </c>
      <c r="T9" s="186">
        <f>P3-S9</f>
        <v>86338.430000000022</v>
      </c>
      <c r="U9" s="189">
        <f>IFERROR(((P3-S9)/S9),0)</f>
        <v>0</v>
      </c>
      <c r="V9" s="189">
        <f>IFERROR(T9/P3,0)</f>
        <v>1</v>
      </c>
      <c r="W9" s="190"/>
      <c r="X9" s="29"/>
      <c r="Y9" s="4"/>
    </row>
    <row r="10" spans="2:25" ht="15" customHeight="1">
      <c r="B10" s="30"/>
      <c r="C10" s="24"/>
      <c r="D10" s="193" t="s">
        <v>44</v>
      </c>
      <c r="E10" s="135"/>
      <c r="F10" s="136"/>
      <c r="G10" s="194" t="s">
        <v>79</v>
      </c>
      <c r="H10" s="136"/>
      <c r="I10" s="31"/>
      <c r="J10" s="32"/>
      <c r="K10" s="32"/>
      <c r="L10" s="33"/>
      <c r="M10" s="195"/>
      <c r="N10" s="136"/>
      <c r="O10" s="9"/>
      <c r="P10" s="196"/>
      <c r="Q10" s="135"/>
      <c r="R10" s="136"/>
      <c r="S10" s="187"/>
      <c r="T10" s="187"/>
      <c r="U10" s="187"/>
      <c r="V10" s="187"/>
      <c r="W10" s="19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97" t="s">
        <v>45</v>
      </c>
      <c r="N11" s="136"/>
      <c r="O11" s="9"/>
      <c r="P11" s="155">
        <f>F114</f>
        <v>153</v>
      </c>
      <c r="Q11" s="135"/>
      <c r="R11" s="136"/>
      <c r="S11" s="188"/>
      <c r="T11" s="188"/>
      <c r="U11" s="188"/>
      <c r="V11" s="188"/>
      <c r="W11" s="192"/>
      <c r="X11" s="29"/>
      <c r="Y11" s="4"/>
    </row>
    <row r="12" spans="2:25" ht="15" customHeight="1">
      <c r="B12" s="156"/>
      <c r="C12" s="157"/>
      <c r="D12" s="37"/>
      <c r="E12" s="162" t="s">
        <v>46</v>
      </c>
      <c r="F12" s="163"/>
      <c r="G12" s="168" t="s">
        <v>8</v>
      </c>
      <c r="H12" s="169"/>
      <c r="I12" s="170"/>
      <c r="J12" s="38"/>
      <c r="K12" s="173" t="s">
        <v>47</v>
      </c>
      <c r="L12" s="169"/>
      <c r="M12" s="169"/>
      <c r="N12" s="170"/>
      <c r="O12" s="9"/>
      <c r="P12" s="176" t="s">
        <v>48</v>
      </c>
      <c r="Q12" s="169"/>
      <c r="R12" s="169"/>
      <c r="S12" s="169"/>
      <c r="T12" s="169"/>
      <c r="U12" s="169"/>
      <c r="V12" s="163"/>
      <c r="W12" s="39"/>
      <c r="X12" s="40"/>
      <c r="Y12" s="4" t="s">
        <v>49</v>
      </c>
    </row>
    <row r="13" spans="2:25" ht="15" customHeight="1">
      <c r="B13" s="158"/>
      <c r="C13" s="159"/>
      <c r="D13" s="41"/>
      <c r="E13" s="164"/>
      <c r="F13" s="165"/>
      <c r="G13" s="160"/>
      <c r="H13" s="171"/>
      <c r="I13" s="172"/>
      <c r="J13" s="42"/>
      <c r="K13" s="164"/>
      <c r="L13" s="174"/>
      <c r="M13" s="174"/>
      <c r="N13" s="175"/>
      <c r="O13" s="43"/>
      <c r="P13" s="164"/>
      <c r="Q13" s="174"/>
      <c r="R13" s="174"/>
      <c r="S13" s="174"/>
      <c r="T13" s="174"/>
      <c r="U13" s="174"/>
      <c r="V13" s="165"/>
      <c r="W13" s="44"/>
      <c r="X13" s="40"/>
      <c r="Y13" s="4" t="s">
        <v>50</v>
      </c>
    </row>
    <row r="14" spans="2:25" ht="15" customHeight="1">
      <c r="B14" s="158"/>
      <c r="C14" s="159"/>
      <c r="D14" s="41"/>
      <c r="E14" s="166"/>
      <c r="F14" s="167"/>
      <c r="G14" s="180" t="s">
        <v>51</v>
      </c>
      <c r="H14" s="181"/>
      <c r="I14" s="45" t="s">
        <v>52</v>
      </c>
      <c r="J14" s="46"/>
      <c r="K14" s="166"/>
      <c r="L14" s="171"/>
      <c r="M14" s="171"/>
      <c r="N14" s="172"/>
      <c r="O14" s="43"/>
      <c r="P14" s="177"/>
      <c r="Q14" s="178"/>
      <c r="R14" s="178"/>
      <c r="S14" s="178"/>
      <c r="T14" s="178"/>
      <c r="U14" s="178"/>
      <c r="V14" s="179"/>
      <c r="W14" s="47"/>
      <c r="X14" s="40"/>
      <c r="Y14" s="4" t="s">
        <v>52</v>
      </c>
    </row>
    <row r="15" spans="2:25" ht="30" customHeight="1">
      <c r="B15" s="158"/>
      <c r="C15" s="159"/>
      <c r="D15" s="41"/>
      <c r="E15" s="48" t="s">
        <v>53</v>
      </c>
      <c r="F15" s="49" t="s">
        <v>54</v>
      </c>
      <c r="G15" s="182" t="s">
        <v>55</v>
      </c>
      <c r="H15" s="133"/>
      <c r="I15" s="131"/>
      <c r="J15" s="50"/>
      <c r="K15" s="183" t="s">
        <v>56</v>
      </c>
      <c r="L15" s="184"/>
      <c r="M15" s="185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0"/>
      <c r="C16" s="161"/>
      <c r="D16" s="41"/>
      <c r="E16" s="59">
        <f>1/F16</f>
        <v>0.7246376811594204</v>
      </c>
      <c r="F16" s="60">
        <v>1.38</v>
      </c>
      <c r="G16" s="134"/>
      <c r="H16" s="135"/>
      <c r="I16" s="136"/>
      <c r="J16" s="61"/>
      <c r="K16" s="166"/>
      <c r="L16" s="167"/>
      <c r="M16" s="144"/>
      <c r="N16" s="137" t="s">
        <v>61</v>
      </c>
      <c r="O16" s="52"/>
      <c r="P16" s="140" t="s">
        <v>62</v>
      </c>
      <c r="Q16" s="141"/>
      <c r="R16" s="141"/>
      <c r="S16" s="141"/>
      <c r="T16" s="141"/>
      <c r="U16" s="141"/>
      <c r="V16" s="142"/>
      <c r="W16" s="62"/>
      <c r="X16" s="63"/>
      <c r="Y16" s="4"/>
    </row>
    <row r="17" spans="2:26" ht="15" customHeight="1">
      <c r="B17" s="143" t="s">
        <v>63</v>
      </c>
      <c r="C17" s="145" t="s">
        <v>64</v>
      </c>
      <c r="D17" s="64"/>
      <c r="E17" s="147" t="s">
        <v>65</v>
      </c>
      <c r="F17" s="149" t="s">
        <v>66</v>
      </c>
      <c r="G17" s="150" t="s">
        <v>67</v>
      </c>
      <c r="H17" s="151"/>
      <c r="I17" s="65" t="s">
        <v>68</v>
      </c>
      <c r="J17" s="66"/>
      <c r="K17" s="152" t="s">
        <v>66</v>
      </c>
      <c r="L17" s="67" t="s">
        <v>69</v>
      </c>
      <c r="M17" s="68" t="s">
        <v>70</v>
      </c>
      <c r="N17" s="138"/>
      <c r="O17" s="69"/>
      <c r="P17" s="15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44"/>
      <c r="C18" s="146"/>
      <c r="D18" s="74"/>
      <c r="E18" s="148"/>
      <c r="F18" s="144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48"/>
      <c r="L18" s="130" t="s">
        <v>49</v>
      </c>
      <c r="M18" s="131"/>
      <c r="N18" s="139"/>
      <c r="O18" s="78"/>
      <c r="P18" s="154"/>
      <c r="Q18" s="54" t="s">
        <v>50</v>
      </c>
      <c r="R18" s="132" t="str">
        <f>L18</f>
        <v>CAD $</v>
      </c>
      <c r="S18" s="133"/>
      <c r="T18" s="133"/>
      <c r="U18" s="133"/>
      <c r="V18" s="131"/>
      <c r="W18" s="79"/>
      <c r="X18" s="80"/>
      <c r="Y18" s="81"/>
      <c r="Z18" s="81"/>
    </row>
    <row r="19" spans="2:26">
      <c r="B19" t="s">
        <v>365</v>
      </c>
      <c r="C19" t="s">
        <v>81</v>
      </c>
      <c r="D19" s="83"/>
      <c r="E19" s="84"/>
      <c r="F19">
        <v>1</v>
      </c>
      <c r="G19" s="127">
        <v>95.68</v>
      </c>
      <c r="H19" s="127">
        <v>25.83</v>
      </c>
      <c r="I19" s="127">
        <v>95.68</v>
      </c>
      <c r="J19" s="88"/>
      <c r="K19">
        <v>1</v>
      </c>
      <c r="L19" s="127">
        <v>47.84</v>
      </c>
      <c r="M19" s="127">
        <v>47.84</v>
      </c>
      <c r="N19" s="89"/>
      <c r="O19" s="90"/>
      <c r="P19" s="82"/>
      <c r="Q19" s="91"/>
      <c r="R19" s="91"/>
      <c r="S19" s="127">
        <v>47.84</v>
      </c>
      <c r="T19" s="127">
        <v>47.84</v>
      </c>
      <c r="U19" s="128">
        <v>0</v>
      </c>
      <c r="V19" s="128">
        <v>1</v>
      </c>
      <c r="W19" s="93"/>
      <c r="X19" s="94"/>
      <c r="Y19" s="4"/>
      <c r="Z19" s="4"/>
    </row>
    <row r="20" spans="2:26">
      <c r="B20" t="s">
        <v>136</v>
      </c>
      <c r="C20" t="s">
        <v>137</v>
      </c>
      <c r="D20" s="83"/>
      <c r="E20" s="97"/>
      <c r="F20">
        <v>1</v>
      </c>
      <c r="G20" s="127">
        <v>67.44</v>
      </c>
      <c r="H20" s="127">
        <v>18.21</v>
      </c>
      <c r="I20" s="127">
        <v>67.44</v>
      </c>
      <c r="J20" s="102"/>
      <c r="K20">
        <v>1</v>
      </c>
      <c r="L20" s="127">
        <v>33.72</v>
      </c>
      <c r="M20" s="127">
        <v>33.72</v>
      </c>
      <c r="N20" s="104"/>
      <c r="O20" s="90"/>
      <c r="P20" s="95"/>
      <c r="Q20" s="99"/>
      <c r="R20" s="105"/>
      <c r="S20" s="127">
        <v>33.72</v>
      </c>
      <c r="T20" s="127">
        <v>33.72</v>
      </c>
      <c r="U20" s="128">
        <v>0</v>
      </c>
      <c r="V20" s="128">
        <v>1</v>
      </c>
      <c r="W20" s="108"/>
      <c r="X20" s="94"/>
      <c r="Y20" s="4"/>
      <c r="Z20" s="4"/>
    </row>
    <row r="21" spans="2:26" ht="15.75" customHeight="1">
      <c r="B21" t="s">
        <v>366</v>
      </c>
      <c r="C21" t="s">
        <v>83</v>
      </c>
      <c r="D21" s="83"/>
      <c r="E21" s="84"/>
      <c r="F21">
        <v>1</v>
      </c>
      <c r="G21" s="127">
        <v>103.09</v>
      </c>
      <c r="H21" s="127">
        <v>27.83</v>
      </c>
      <c r="I21" s="127">
        <v>103.09</v>
      </c>
      <c r="J21" s="102"/>
      <c r="K21">
        <v>1</v>
      </c>
      <c r="L21" s="127">
        <v>51.55</v>
      </c>
      <c r="M21" s="127">
        <v>51.55</v>
      </c>
      <c r="N21" s="111"/>
      <c r="O21" s="90"/>
      <c r="P21" s="112"/>
      <c r="Q21" s="91"/>
      <c r="R21" s="91"/>
      <c r="S21" s="127">
        <v>51.55</v>
      </c>
      <c r="T21" s="127">
        <v>51.55</v>
      </c>
      <c r="U21" s="128">
        <v>0</v>
      </c>
      <c r="V21" s="128">
        <v>1</v>
      </c>
      <c r="W21" s="93"/>
      <c r="X21" s="94"/>
      <c r="Y21" s="4"/>
      <c r="Z21" s="4"/>
    </row>
    <row r="22" spans="2:26" ht="15.75" customHeight="1">
      <c r="B22" t="s">
        <v>139</v>
      </c>
      <c r="C22" t="s">
        <v>85</v>
      </c>
      <c r="D22" s="83"/>
      <c r="E22" s="97"/>
      <c r="F22">
        <v>1</v>
      </c>
      <c r="G22" s="127">
        <v>255.48</v>
      </c>
      <c r="H22" s="127">
        <v>68.98</v>
      </c>
      <c r="I22" s="127">
        <v>255.48</v>
      </c>
      <c r="J22" s="102"/>
      <c r="K22">
        <v>1</v>
      </c>
      <c r="L22" s="127">
        <v>127.74</v>
      </c>
      <c r="M22" s="127">
        <v>127.74</v>
      </c>
      <c r="N22" s="104"/>
      <c r="O22" s="90"/>
      <c r="P22" s="95"/>
      <c r="Q22" s="99"/>
      <c r="R22" s="105"/>
      <c r="S22" s="127">
        <v>127.74</v>
      </c>
      <c r="T22" s="127">
        <v>127.74</v>
      </c>
      <c r="U22" s="128">
        <v>0</v>
      </c>
      <c r="V22" s="128">
        <v>1</v>
      </c>
      <c r="W22" s="108"/>
      <c r="X22" s="94"/>
      <c r="Y22" s="4"/>
      <c r="Z22" s="4"/>
    </row>
    <row r="23" spans="2:26" ht="15.75" customHeight="1">
      <c r="B23">
        <v>3283655</v>
      </c>
      <c r="C23" t="s">
        <v>86</v>
      </c>
      <c r="D23" s="83"/>
      <c r="E23" s="84"/>
      <c r="F23">
        <v>1</v>
      </c>
      <c r="G23" s="127">
        <v>204.36</v>
      </c>
      <c r="H23" s="127">
        <v>55.18</v>
      </c>
      <c r="I23" s="127">
        <v>204.36</v>
      </c>
      <c r="J23" s="102"/>
      <c r="K23">
        <v>1</v>
      </c>
      <c r="L23" s="127">
        <v>102.18</v>
      </c>
      <c r="M23" s="127">
        <v>102.18</v>
      </c>
      <c r="N23" s="111"/>
      <c r="O23" s="90"/>
      <c r="P23" s="112"/>
      <c r="Q23" s="91"/>
      <c r="R23" s="91"/>
      <c r="S23" s="127">
        <v>102.18</v>
      </c>
      <c r="T23" s="127">
        <v>102.18</v>
      </c>
      <c r="U23" s="128">
        <v>0</v>
      </c>
      <c r="V23" s="128">
        <v>1</v>
      </c>
      <c r="W23" s="93"/>
      <c r="X23" s="94"/>
      <c r="Y23" s="4"/>
      <c r="Z23" s="4"/>
    </row>
    <row r="24" spans="2:26" ht="15.75" customHeight="1">
      <c r="B24" t="s">
        <v>367</v>
      </c>
      <c r="C24" t="s">
        <v>87</v>
      </c>
      <c r="D24" s="83"/>
      <c r="E24" s="97"/>
      <c r="F24">
        <v>1</v>
      </c>
      <c r="G24" s="127">
        <v>215.07</v>
      </c>
      <c r="H24" s="127">
        <v>58.07</v>
      </c>
      <c r="I24" s="127">
        <v>215.07</v>
      </c>
      <c r="J24" s="102"/>
      <c r="K24">
        <v>1</v>
      </c>
      <c r="L24" s="127">
        <v>107.54</v>
      </c>
      <c r="M24" s="127">
        <v>107.54</v>
      </c>
      <c r="N24" s="104"/>
      <c r="O24" s="90"/>
      <c r="P24" s="95"/>
      <c r="Q24" s="99"/>
      <c r="R24" s="105"/>
      <c r="S24" s="127">
        <v>107.54</v>
      </c>
      <c r="T24" s="127">
        <v>107.54</v>
      </c>
      <c r="U24" s="128">
        <v>0</v>
      </c>
      <c r="V24" s="128">
        <v>1</v>
      </c>
      <c r="W24" s="108"/>
      <c r="X24" s="94"/>
      <c r="Y24" s="4"/>
      <c r="Z24" s="4"/>
    </row>
    <row r="25" spans="2:26" ht="15.75" customHeight="1">
      <c r="B25" t="s">
        <v>368</v>
      </c>
      <c r="C25" t="s">
        <v>88</v>
      </c>
      <c r="D25" s="83"/>
      <c r="E25" s="84"/>
      <c r="F25">
        <v>1</v>
      </c>
      <c r="G25" s="127">
        <v>123.59</v>
      </c>
      <c r="H25" s="127">
        <v>33.369999999999997</v>
      </c>
      <c r="I25" s="127">
        <v>123.59</v>
      </c>
      <c r="J25" s="102"/>
      <c r="K25">
        <v>1</v>
      </c>
      <c r="L25" s="127">
        <v>61.8</v>
      </c>
      <c r="M25" s="127">
        <v>61.8</v>
      </c>
      <c r="N25" s="111"/>
      <c r="O25" s="90"/>
      <c r="P25" s="112"/>
      <c r="Q25" s="91"/>
      <c r="R25" s="91"/>
      <c r="S25" s="127">
        <v>61.8</v>
      </c>
      <c r="T25" s="127">
        <v>61.8</v>
      </c>
      <c r="U25" s="128">
        <v>0</v>
      </c>
      <c r="V25" s="128">
        <v>1</v>
      </c>
      <c r="W25" s="93"/>
      <c r="X25" s="94"/>
      <c r="Y25" s="4"/>
      <c r="Z25" s="4"/>
    </row>
    <row r="26" spans="2:26" ht="15.75" customHeight="1">
      <c r="B26" t="s">
        <v>140</v>
      </c>
      <c r="C26" t="s">
        <v>89</v>
      </c>
      <c r="D26" s="83"/>
      <c r="E26" s="97"/>
      <c r="F26">
        <v>1</v>
      </c>
      <c r="G26" s="127">
        <v>77.48</v>
      </c>
      <c r="H26" s="127">
        <v>20.92</v>
      </c>
      <c r="I26" s="127">
        <v>77.48</v>
      </c>
      <c r="J26" s="102"/>
      <c r="K26">
        <v>1</v>
      </c>
      <c r="L26" s="127">
        <v>38.74</v>
      </c>
      <c r="M26" s="127">
        <v>38.74</v>
      </c>
      <c r="N26" s="104"/>
      <c r="O26" s="90"/>
      <c r="P26" s="95"/>
      <c r="Q26" s="99"/>
      <c r="R26" s="105"/>
      <c r="S26" s="127">
        <v>38.74</v>
      </c>
      <c r="T26" s="127">
        <v>38.74</v>
      </c>
      <c r="U26" s="128">
        <v>0</v>
      </c>
      <c r="V26" s="128">
        <v>1</v>
      </c>
      <c r="W26" s="108"/>
      <c r="X26" s="94"/>
      <c r="Y26" s="4"/>
      <c r="Z26" s="113"/>
    </row>
    <row r="27" spans="2:26" ht="15.75" customHeight="1">
      <c r="B27" t="s">
        <v>141</v>
      </c>
      <c r="C27" t="s">
        <v>142</v>
      </c>
      <c r="D27" s="83"/>
      <c r="E27" s="84"/>
      <c r="F27">
        <v>2</v>
      </c>
      <c r="G27" s="127">
        <v>726.37</v>
      </c>
      <c r="H27" s="127">
        <v>196.12</v>
      </c>
      <c r="I27" s="127">
        <v>1452.74</v>
      </c>
      <c r="J27" s="102"/>
      <c r="K27">
        <v>2</v>
      </c>
      <c r="L27" s="127">
        <v>363.19</v>
      </c>
      <c r="M27" s="127">
        <v>726.38</v>
      </c>
      <c r="N27" s="111"/>
      <c r="O27" s="90"/>
      <c r="P27" s="112"/>
      <c r="Q27" s="91"/>
      <c r="R27" s="91"/>
      <c r="S27" s="127">
        <v>363.19</v>
      </c>
      <c r="T27" s="127">
        <v>726.38</v>
      </c>
      <c r="U27" s="128">
        <v>0</v>
      </c>
      <c r="V27" s="128">
        <v>1</v>
      </c>
      <c r="W27" s="93"/>
      <c r="X27" s="94"/>
      <c r="Y27" s="4"/>
      <c r="Z27" s="4"/>
    </row>
    <row r="28" spans="2:26" ht="15.75" customHeight="1">
      <c r="D28" s="83"/>
      <c r="E28" s="84"/>
      <c r="H28" t="s">
        <v>112</v>
      </c>
      <c r="I28" t="s">
        <v>112</v>
      </c>
      <c r="J28" s="102"/>
      <c r="K28">
        <v>0</v>
      </c>
      <c r="L28" t="s">
        <v>112</v>
      </c>
      <c r="M28" t="s">
        <v>112</v>
      </c>
      <c r="N28" s="111"/>
      <c r="O28" s="90"/>
      <c r="P28" s="112"/>
      <c r="Q28" s="91"/>
      <c r="R28" s="91"/>
      <c r="S28" t="s">
        <v>112</v>
      </c>
      <c r="T28" t="s">
        <v>112</v>
      </c>
      <c r="U28" s="128">
        <v>0</v>
      </c>
      <c r="V28" s="128">
        <v>0</v>
      </c>
      <c r="W28" s="93"/>
      <c r="X28" s="94"/>
      <c r="Y28" s="4"/>
      <c r="Z28" s="4"/>
    </row>
    <row r="29" spans="2:26" ht="15.75" customHeight="1">
      <c r="B29" t="s">
        <v>369</v>
      </c>
      <c r="C29" t="s">
        <v>370</v>
      </c>
      <c r="D29" s="83"/>
      <c r="E29" s="97"/>
      <c r="F29">
        <v>1</v>
      </c>
      <c r="G29" s="127">
        <v>15032.11</v>
      </c>
      <c r="H29" s="127">
        <v>4058.67</v>
      </c>
      <c r="I29" s="127">
        <v>15032.11</v>
      </c>
      <c r="J29" s="102"/>
      <c r="K29">
        <v>1</v>
      </c>
      <c r="L29" s="127">
        <v>7516.06</v>
      </c>
      <c r="M29" s="127">
        <v>7516.06</v>
      </c>
      <c r="N29" s="104"/>
      <c r="O29" s="90"/>
      <c r="P29" s="95"/>
      <c r="Q29" s="99"/>
      <c r="R29" s="105"/>
      <c r="S29" s="127">
        <v>7516.06</v>
      </c>
      <c r="T29" s="127">
        <v>7516.06</v>
      </c>
      <c r="U29" s="128">
        <v>0</v>
      </c>
      <c r="V29" s="128">
        <v>1</v>
      </c>
      <c r="W29" s="108"/>
      <c r="X29" s="94"/>
      <c r="Y29" s="4"/>
      <c r="Z29" s="4"/>
    </row>
    <row r="30" spans="2:26" ht="15.75" customHeight="1">
      <c r="B30" t="s">
        <v>143</v>
      </c>
      <c r="C30" t="s">
        <v>109</v>
      </c>
      <c r="D30" s="83"/>
      <c r="E30" s="84"/>
      <c r="F30">
        <v>1</v>
      </c>
      <c r="G30" s="127">
        <v>6842.24</v>
      </c>
      <c r="H30" s="127">
        <v>1847.4</v>
      </c>
      <c r="I30" s="127">
        <v>6842.24</v>
      </c>
      <c r="J30" s="102"/>
      <c r="K30">
        <v>1</v>
      </c>
      <c r="L30" s="127">
        <v>3421.12</v>
      </c>
      <c r="M30" s="127">
        <v>3421.12</v>
      </c>
      <c r="N30" s="111"/>
      <c r="O30" s="90"/>
      <c r="P30" s="112"/>
      <c r="Q30" s="91"/>
      <c r="R30" s="91"/>
      <c r="S30" s="127">
        <v>3421.12</v>
      </c>
      <c r="T30" s="127">
        <v>3421.12</v>
      </c>
      <c r="U30" s="128">
        <v>0</v>
      </c>
      <c r="V30" s="128">
        <v>1</v>
      </c>
      <c r="W30" s="93"/>
    </row>
    <row r="31" spans="2:26" ht="15.75" customHeight="1">
      <c r="B31" t="s">
        <v>144</v>
      </c>
      <c r="C31" t="s">
        <v>110</v>
      </c>
      <c r="D31" s="83"/>
      <c r="E31" s="97"/>
      <c r="F31">
        <v>1</v>
      </c>
      <c r="G31" s="127">
        <v>19919.41</v>
      </c>
      <c r="H31" s="127">
        <v>5378.24</v>
      </c>
      <c r="I31" s="127">
        <v>19919.41</v>
      </c>
      <c r="J31" s="102"/>
      <c r="K31">
        <v>1</v>
      </c>
      <c r="L31" s="127">
        <v>9959.7099999999991</v>
      </c>
      <c r="M31" s="127">
        <v>9959.7099999999991</v>
      </c>
      <c r="N31" s="104"/>
      <c r="O31" s="90"/>
      <c r="P31" s="95"/>
      <c r="Q31" s="99"/>
      <c r="R31" s="105"/>
      <c r="S31" s="127">
        <v>9959.7099999999991</v>
      </c>
      <c r="T31" s="127">
        <v>9959.7099999999991</v>
      </c>
      <c r="U31" s="128">
        <v>0</v>
      </c>
      <c r="V31" s="128">
        <v>1</v>
      </c>
      <c r="W31" s="108"/>
    </row>
    <row r="32" spans="2:26" ht="15.75" customHeight="1">
      <c r="B32" t="s">
        <v>371</v>
      </c>
      <c r="C32" t="s">
        <v>111</v>
      </c>
      <c r="D32" s="83"/>
      <c r="E32" s="84"/>
      <c r="F32">
        <v>1</v>
      </c>
      <c r="G32" s="127">
        <v>10003.44</v>
      </c>
      <c r="H32" s="127">
        <v>2700.93</v>
      </c>
      <c r="I32" s="127">
        <v>10003.44</v>
      </c>
      <c r="J32" s="102"/>
      <c r="K32">
        <v>1</v>
      </c>
      <c r="L32" s="127">
        <v>5001.72</v>
      </c>
      <c r="M32" s="127">
        <v>5001.72</v>
      </c>
      <c r="N32" s="111"/>
      <c r="O32" s="90"/>
      <c r="P32" s="112"/>
      <c r="Q32" s="91"/>
      <c r="R32" s="91"/>
      <c r="S32" s="127">
        <v>5001.72</v>
      </c>
      <c r="T32" s="127">
        <v>5001.72</v>
      </c>
      <c r="U32" s="128">
        <v>0</v>
      </c>
      <c r="V32" s="128">
        <v>1</v>
      </c>
      <c r="W32" s="93"/>
    </row>
    <row r="33" spans="2:26" ht="15.75" customHeight="1">
      <c r="B33" t="s">
        <v>145</v>
      </c>
      <c r="C33" t="s">
        <v>146</v>
      </c>
      <c r="D33" s="83"/>
      <c r="E33" s="97"/>
      <c r="F33">
        <v>1</v>
      </c>
      <c r="G33" s="127">
        <v>8705.42</v>
      </c>
      <c r="H33" s="127">
        <v>2350.46</v>
      </c>
      <c r="I33" s="127">
        <v>8705.42</v>
      </c>
      <c r="J33" s="102"/>
      <c r="K33">
        <v>1</v>
      </c>
      <c r="L33" s="127">
        <v>4352.71</v>
      </c>
      <c r="M33" s="127">
        <v>4352.71</v>
      </c>
      <c r="N33" s="104"/>
      <c r="O33" s="90"/>
      <c r="P33" s="95"/>
      <c r="Q33" s="99"/>
      <c r="R33" s="105"/>
      <c r="S33" s="127">
        <v>4352.71</v>
      </c>
      <c r="T33" s="127">
        <v>4352.71</v>
      </c>
      <c r="U33" s="128">
        <v>0</v>
      </c>
      <c r="V33" s="128">
        <v>1</v>
      </c>
      <c r="W33" s="108"/>
    </row>
    <row r="34" spans="2:26" ht="15.75" customHeight="1">
      <c r="B34" t="s">
        <v>185</v>
      </c>
      <c r="C34" t="s">
        <v>147</v>
      </c>
      <c r="D34" s="83"/>
      <c r="E34" s="84"/>
      <c r="F34">
        <v>6</v>
      </c>
      <c r="G34" s="127">
        <v>2019.61</v>
      </c>
      <c r="H34" s="127">
        <v>545.29</v>
      </c>
      <c r="I34" s="127">
        <v>12117.66</v>
      </c>
      <c r="J34" s="102"/>
      <c r="K34">
        <v>6</v>
      </c>
      <c r="L34" s="127">
        <v>1009.81</v>
      </c>
      <c r="M34" s="127">
        <v>6058.86</v>
      </c>
      <c r="N34" s="111"/>
      <c r="O34" s="90"/>
      <c r="P34" s="112"/>
      <c r="Q34" s="91"/>
      <c r="R34" s="91"/>
      <c r="S34" s="127">
        <v>1009.81</v>
      </c>
      <c r="T34" s="127">
        <v>6058.86</v>
      </c>
      <c r="U34" s="128">
        <v>0</v>
      </c>
      <c r="V34" s="128">
        <v>1</v>
      </c>
      <c r="W34" s="93"/>
    </row>
    <row r="35" spans="2:26" ht="15.75" customHeight="1">
      <c r="D35" s="83"/>
      <c r="E35" s="97"/>
      <c r="J35" s="102"/>
      <c r="N35" s="104"/>
      <c r="O35" s="90"/>
      <c r="P35" s="95"/>
      <c r="Q35" s="99"/>
      <c r="R35" s="105"/>
      <c r="W35" s="108"/>
    </row>
    <row r="36" spans="2:26" ht="15.75" customHeight="1">
      <c r="B36" t="s">
        <v>148</v>
      </c>
      <c r="C36" t="s">
        <v>149</v>
      </c>
      <c r="D36" s="83"/>
      <c r="E36" s="84"/>
      <c r="F36">
        <v>1</v>
      </c>
      <c r="G36" s="127">
        <v>19075.97</v>
      </c>
      <c r="H36" s="127">
        <v>5150.51</v>
      </c>
      <c r="I36" s="127">
        <v>19075.97</v>
      </c>
      <c r="J36" s="102"/>
      <c r="K36">
        <v>1</v>
      </c>
      <c r="L36" s="127">
        <v>9537.99</v>
      </c>
      <c r="M36" s="127">
        <v>9537.99</v>
      </c>
      <c r="N36" s="111"/>
      <c r="O36" s="90"/>
      <c r="P36" s="112"/>
      <c r="Q36" s="91"/>
      <c r="R36" s="91"/>
      <c r="S36" s="127">
        <v>9537.99</v>
      </c>
      <c r="T36" s="127">
        <v>9537.99</v>
      </c>
      <c r="U36" s="128">
        <v>0</v>
      </c>
      <c r="V36" s="128">
        <v>1</v>
      </c>
      <c r="W36" s="108"/>
    </row>
    <row r="37" spans="2:26" ht="15.75" customHeight="1">
      <c r="B37" t="s">
        <v>150</v>
      </c>
      <c r="C37" t="s">
        <v>151</v>
      </c>
      <c r="D37" s="83"/>
      <c r="E37" s="97"/>
      <c r="F37">
        <v>2</v>
      </c>
      <c r="G37" s="127">
        <v>15107.68</v>
      </c>
      <c r="H37" s="127">
        <v>4079.07</v>
      </c>
      <c r="I37" s="127">
        <v>30215.360000000001</v>
      </c>
      <c r="J37" s="102"/>
      <c r="K37">
        <v>2</v>
      </c>
      <c r="L37" s="127">
        <v>7553.84</v>
      </c>
      <c r="M37" s="127">
        <v>15107.68</v>
      </c>
      <c r="N37" s="104"/>
      <c r="O37" s="90"/>
      <c r="P37" s="95"/>
      <c r="Q37" s="99"/>
      <c r="R37" s="105"/>
      <c r="S37" s="127">
        <v>7553.84</v>
      </c>
      <c r="T37" s="127">
        <v>15107.68</v>
      </c>
      <c r="U37" s="128">
        <v>0</v>
      </c>
      <c r="V37" s="128">
        <v>1</v>
      </c>
      <c r="W37" s="108"/>
    </row>
    <row r="38" spans="2:26" ht="15.75" customHeight="1">
      <c r="B38" t="s">
        <v>152</v>
      </c>
      <c r="C38" t="s">
        <v>153</v>
      </c>
      <c r="D38" s="83"/>
      <c r="E38" s="84"/>
      <c r="F38">
        <v>34</v>
      </c>
      <c r="G38" s="127">
        <v>5.66</v>
      </c>
      <c r="H38" s="127">
        <v>1.53</v>
      </c>
      <c r="I38" s="127">
        <v>192.44</v>
      </c>
      <c r="J38" s="102"/>
      <c r="K38">
        <v>34</v>
      </c>
      <c r="L38" s="127">
        <v>2.83</v>
      </c>
      <c r="M38" s="127">
        <v>96.22</v>
      </c>
      <c r="N38" s="111"/>
      <c r="O38" s="90"/>
      <c r="P38" s="112"/>
      <c r="Q38" s="91"/>
      <c r="R38" s="91"/>
      <c r="S38" s="127">
        <v>2.83</v>
      </c>
      <c r="T38" s="127">
        <v>96.22</v>
      </c>
      <c r="U38" s="128">
        <v>0</v>
      </c>
      <c r="V38" s="128">
        <v>1</v>
      </c>
      <c r="W38" s="108"/>
    </row>
    <row r="39" spans="2:26" ht="15.75" customHeight="1">
      <c r="B39" t="s">
        <v>154</v>
      </c>
      <c r="C39" t="s">
        <v>155</v>
      </c>
      <c r="D39" s="83"/>
      <c r="E39" s="97"/>
      <c r="F39">
        <v>34</v>
      </c>
      <c r="G39" s="127">
        <v>3.65</v>
      </c>
      <c r="H39" s="127">
        <v>0.99</v>
      </c>
      <c r="I39" s="127">
        <v>124.1</v>
      </c>
      <c r="J39" s="102"/>
      <c r="K39">
        <v>34</v>
      </c>
      <c r="L39" s="127">
        <v>1.83</v>
      </c>
      <c r="M39" s="127">
        <v>62.22</v>
      </c>
      <c r="N39" s="104"/>
      <c r="O39" s="90"/>
      <c r="P39" s="95"/>
      <c r="Q39" s="99"/>
      <c r="R39" s="105"/>
      <c r="S39" s="127">
        <v>1.83</v>
      </c>
      <c r="T39" s="127">
        <v>62.22</v>
      </c>
      <c r="U39" s="128">
        <v>0</v>
      </c>
      <c r="V39" s="128">
        <v>1</v>
      </c>
      <c r="W39" s="108"/>
    </row>
    <row r="40" spans="2:26" ht="15.75" customHeight="1">
      <c r="B40" s="129" t="s">
        <v>156</v>
      </c>
      <c r="C40" t="s">
        <v>157</v>
      </c>
      <c r="D40" s="83"/>
      <c r="E40" s="84"/>
      <c r="F40">
        <v>2</v>
      </c>
      <c r="G40" s="127">
        <v>220.93</v>
      </c>
      <c r="H40" s="127">
        <v>59.65</v>
      </c>
      <c r="I40" s="127">
        <v>441.86</v>
      </c>
      <c r="J40" s="102"/>
      <c r="K40">
        <v>2</v>
      </c>
      <c r="L40" s="127">
        <v>110.47</v>
      </c>
      <c r="M40" s="127">
        <v>220.94</v>
      </c>
      <c r="N40" s="111"/>
      <c r="O40" s="90"/>
      <c r="P40" s="112"/>
      <c r="Q40" s="91"/>
      <c r="R40" s="91"/>
      <c r="S40" s="127">
        <v>110.47</v>
      </c>
      <c r="T40" s="127">
        <v>220.94</v>
      </c>
      <c r="U40" s="128">
        <v>0</v>
      </c>
      <c r="V40" s="128">
        <v>1</v>
      </c>
      <c r="W40" s="108"/>
    </row>
    <row r="41" spans="2:26" ht="15.75" customHeight="1">
      <c r="B41" t="s">
        <v>158</v>
      </c>
      <c r="C41" t="s">
        <v>159</v>
      </c>
      <c r="D41" s="83"/>
      <c r="E41" s="97"/>
      <c r="F41">
        <v>10</v>
      </c>
      <c r="G41" s="127">
        <v>4.51</v>
      </c>
      <c r="H41" s="127">
        <v>1.22</v>
      </c>
      <c r="I41" s="127">
        <v>45.1</v>
      </c>
      <c r="J41" s="102"/>
      <c r="K41">
        <v>10</v>
      </c>
      <c r="L41" s="127">
        <v>2.2599999999999998</v>
      </c>
      <c r="M41" s="127">
        <v>22.6</v>
      </c>
      <c r="N41" s="104"/>
      <c r="O41" s="90"/>
      <c r="P41" s="95"/>
      <c r="Q41" s="99"/>
      <c r="R41" s="105"/>
      <c r="S41" s="127">
        <v>2.2599999999999998</v>
      </c>
      <c r="T41" s="127">
        <v>22.6</v>
      </c>
      <c r="U41" s="128">
        <v>0</v>
      </c>
      <c r="V41" s="128">
        <v>1</v>
      </c>
      <c r="W41" s="108"/>
    </row>
    <row r="42" spans="2:26" ht="15.75" customHeight="1">
      <c r="B42" t="s">
        <v>154</v>
      </c>
      <c r="C42" t="s">
        <v>160</v>
      </c>
      <c r="D42" s="83"/>
      <c r="E42" s="84"/>
      <c r="F42">
        <v>10</v>
      </c>
      <c r="G42" s="127">
        <v>3.65</v>
      </c>
      <c r="H42" s="127">
        <v>0.99</v>
      </c>
      <c r="I42" s="127">
        <v>36.5</v>
      </c>
      <c r="J42" s="102"/>
      <c r="K42">
        <v>10</v>
      </c>
      <c r="L42" s="127">
        <v>1.83</v>
      </c>
      <c r="M42" s="127">
        <v>18.3</v>
      </c>
      <c r="N42" s="111"/>
      <c r="O42" s="90"/>
      <c r="P42" s="112"/>
      <c r="Q42" s="91"/>
      <c r="R42" s="91"/>
      <c r="S42" s="127">
        <v>1.83</v>
      </c>
      <c r="T42" s="127">
        <v>18.3</v>
      </c>
      <c r="U42" s="128">
        <v>0</v>
      </c>
      <c r="V42" s="128">
        <v>1</v>
      </c>
      <c r="W42" s="108"/>
    </row>
    <row r="43" spans="2:26" ht="15.75" customHeight="1">
      <c r="B43" t="s">
        <v>154</v>
      </c>
      <c r="C43" t="s">
        <v>160</v>
      </c>
      <c r="D43" s="83"/>
      <c r="E43" s="97"/>
      <c r="F43">
        <v>10</v>
      </c>
      <c r="G43" s="127">
        <v>3.65</v>
      </c>
      <c r="H43" s="127">
        <v>0.99</v>
      </c>
      <c r="I43" s="127">
        <v>36.5</v>
      </c>
      <c r="J43" s="102"/>
      <c r="K43">
        <v>10</v>
      </c>
      <c r="L43" s="127">
        <v>1.83</v>
      </c>
      <c r="M43" s="127">
        <v>18.3</v>
      </c>
      <c r="N43" s="104"/>
      <c r="O43" s="90"/>
      <c r="P43" s="95"/>
      <c r="Q43" s="99"/>
      <c r="R43" s="105"/>
      <c r="S43" s="127">
        <v>1.83</v>
      </c>
      <c r="T43" s="127">
        <v>18.3</v>
      </c>
      <c r="U43" s="128">
        <v>0</v>
      </c>
      <c r="V43" s="128">
        <v>1</v>
      </c>
      <c r="W43" s="108"/>
    </row>
    <row r="44" spans="2:26" ht="15.75" customHeight="1">
      <c r="B44" t="s">
        <v>372</v>
      </c>
      <c r="C44" t="s">
        <v>121</v>
      </c>
      <c r="D44" s="83"/>
      <c r="E44" s="84"/>
      <c r="F44">
        <v>3</v>
      </c>
      <c r="G44" s="127">
        <v>209.93</v>
      </c>
      <c r="H44" s="127">
        <v>56.68</v>
      </c>
      <c r="I44" s="127">
        <v>629.79</v>
      </c>
      <c r="J44" s="102"/>
      <c r="K44">
        <v>3</v>
      </c>
      <c r="L44" s="127">
        <v>104.97</v>
      </c>
      <c r="M44" s="127">
        <v>314.91000000000003</v>
      </c>
      <c r="N44" s="111"/>
      <c r="O44" s="90"/>
      <c r="P44" s="112"/>
      <c r="Q44" s="91"/>
      <c r="R44" s="91"/>
      <c r="S44" s="127">
        <v>104.97</v>
      </c>
      <c r="T44" s="127">
        <v>314.91000000000003</v>
      </c>
      <c r="U44" s="128">
        <v>0</v>
      </c>
      <c r="V44" s="128">
        <v>1</v>
      </c>
      <c r="W44" s="108"/>
    </row>
    <row r="45" spans="2:26" ht="15.75" customHeight="1">
      <c r="D45" s="83"/>
      <c r="E45" s="97"/>
      <c r="H45" t="s">
        <v>112</v>
      </c>
      <c r="I45" t="s">
        <v>112</v>
      </c>
      <c r="J45" s="102"/>
      <c r="K45">
        <v>0</v>
      </c>
      <c r="L45" t="s">
        <v>112</v>
      </c>
      <c r="M45" t="s">
        <v>112</v>
      </c>
      <c r="N45" s="104"/>
      <c r="O45" s="90"/>
      <c r="P45" s="95"/>
      <c r="Q45" s="99"/>
      <c r="R45" s="105"/>
      <c r="S45" t="s">
        <v>112</v>
      </c>
      <c r="T45" t="s">
        <v>112</v>
      </c>
      <c r="U45" s="128">
        <v>0</v>
      </c>
      <c r="V45" s="128">
        <v>0</v>
      </c>
      <c r="W45" s="108"/>
    </row>
    <row r="46" spans="2:26" ht="15.75" customHeight="1">
      <c r="B46" t="s">
        <v>161</v>
      </c>
      <c r="C46" t="s">
        <v>151</v>
      </c>
      <c r="D46" s="83"/>
      <c r="E46" s="84"/>
      <c r="F46">
        <v>1</v>
      </c>
      <c r="G46" s="127">
        <v>9436.24</v>
      </c>
      <c r="H46" s="127">
        <v>2547.7800000000002</v>
      </c>
      <c r="I46" s="127">
        <v>9436.24</v>
      </c>
      <c r="J46" s="102"/>
      <c r="K46">
        <v>1</v>
      </c>
      <c r="L46" s="127">
        <v>4718.12</v>
      </c>
      <c r="M46" s="127">
        <v>4718.12</v>
      </c>
      <c r="N46" s="111"/>
      <c r="O46" s="90"/>
      <c r="P46" s="112"/>
      <c r="Q46" s="91"/>
      <c r="R46" s="91"/>
      <c r="S46" s="127">
        <v>4718.12</v>
      </c>
      <c r="T46" s="127">
        <v>4718.12</v>
      </c>
      <c r="U46" s="128">
        <v>0</v>
      </c>
      <c r="V46" s="128">
        <v>1</v>
      </c>
      <c r="W46" s="108"/>
    </row>
    <row r="47" spans="2:26" ht="15.75" customHeight="1">
      <c r="B47" t="s">
        <v>162</v>
      </c>
      <c r="C47" t="s">
        <v>126</v>
      </c>
      <c r="D47" s="83"/>
      <c r="E47" s="97"/>
      <c r="F47">
        <v>3</v>
      </c>
      <c r="G47" s="127">
        <v>1135.71</v>
      </c>
      <c r="H47" s="127">
        <v>306.64</v>
      </c>
      <c r="I47" s="127">
        <v>3407.13</v>
      </c>
      <c r="J47" s="102"/>
      <c r="K47">
        <v>3</v>
      </c>
      <c r="L47" s="127">
        <v>567.86</v>
      </c>
      <c r="M47" s="127">
        <v>1703.58</v>
      </c>
      <c r="N47" s="104"/>
      <c r="O47" s="90"/>
      <c r="P47" s="95"/>
      <c r="Q47" s="99"/>
      <c r="R47" s="105"/>
      <c r="S47" s="127">
        <v>567.86</v>
      </c>
      <c r="T47" s="127">
        <v>1703.58</v>
      </c>
      <c r="U47" s="128">
        <v>0</v>
      </c>
      <c r="V47" s="128">
        <v>1</v>
      </c>
      <c r="W47" s="108"/>
      <c r="X47" s="94"/>
      <c r="Y47" s="4"/>
      <c r="Z47" s="4"/>
    </row>
    <row r="48" spans="2:26" ht="15.75" customHeight="1">
      <c r="B48" t="s">
        <v>163</v>
      </c>
      <c r="C48" t="s">
        <v>127</v>
      </c>
      <c r="D48" s="83"/>
      <c r="E48" s="84"/>
      <c r="F48">
        <v>3</v>
      </c>
      <c r="G48" s="127">
        <v>144.57</v>
      </c>
      <c r="H48" s="127">
        <v>39.03</v>
      </c>
      <c r="I48" s="127">
        <v>433.71</v>
      </c>
      <c r="J48" s="102"/>
      <c r="K48">
        <v>3</v>
      </c>
      <c r="L48" s="127">
        <v>72.290000000000006</v>
      </c>
      <c r="M48" s="127">
        <v>216.87</v>
      </c>
      <c r="N48" s="111"/>
      <c r="O48" s="90"/>
      <c r="P48" s="112"/>
      <c r="Q48" s="91"/>
      <c r="R48" s="91"/>
      <c r="S48" s="127">
        <v>72.290000000000006</v>
      </c>
      <c r="T48" s="127">
        <v>216.87</v>
      </c>
      <c r="U48" s="128">
        <v>0</v>
      </c>
      <c r="V48" s="128">
        <v>1</v>
      </c>
      <c r="W48" s="93"/>
      <c r="X48" s="94"/>
      <c r="Y48" s="4"/>
      <c r="Z48" s="4"/>
    </row>
    <row r="49" spans="2:26" ht="15.75" customHeight="1">
      <c r="B49" t="s">
        <v>164</v>
      </c>
      <c r="C49" t="s">
        <v>165</v>
      </c>
      <c r="D49" s="83"/>
      <c r="E49" s="97"/>
      <c r="F49">
        <v>3</v>
      </c>
      <c r="G49" s="127">
        <v>7.67</v>
      </c>
      <c r="H49" s="127">
        <v>2.0699999999999998</v>
      </c>
      <c r="I49" s="127">
        <v>23.01</v>
      </c>
      <c r="J49" s="102"/>
      <c r="K49">
        <v>3</v>
      </c>
      <c r="L49" s="127">
        <v>3.84</v>
      </c>
      <c r="M49" s="127">
        <v>11.52</v>
      </c>
      <c r="N49" s="104"/>
      <c r="O49" s="90"/>
      <c r="P49" s="95"/>
      <c r="Q49" s="99"/>
      <c r="R49" s="105"/>
      <c r="S49" s="127">
        <v>3.84</v>
      </c>
      <c r="T49" s="127">
        <v>11.52</v>
      </c>
      <c r="U49" s="128">
        <v>0</v>
      </c>
      <c r="V49" s="128">
        <v>1</v>
      </c>
      <c r="W49" s="108"/>
      <c r="X49" s="94"/>
      <c r="Y49" s="4"/>
      <c r="Z49" s="4"/>
    </row>
    <row r="50" spans="2:26" ht="15.75" customHeight="1">
      <c r="B50" t="s">
        <v>166</v>
      </c>
      <c r="C50" t="s">
        <v>167</v>
      </c>
      <c r="D50" s="83"/>
      <c r="E50" s="84"/>
      <c r="F50">
        <v>3</v>
      </c>
      <c r="G50" s="127">
        <v>127.19</v>
      </c>
      <c r="H50" s="127">
        <v>34.340000000000003</v>
      </c>
      <c r="I50" s="127">
        <v>381.57</v>
      </c>
      <c r="J50" s="102"/>
      <c r="K50">
        <v>3</v>
      </c>
      <c r="L50" s="127">
        <v>63.6</v>
      </c>
      <c r="M50" s="127">
        <v>190.8</v>
      </c>
      <c r="N50" s="111"/>
      <c r="O50" s="90"/>
      <c r="P50" s="112"/>
      <c r="Q50" s="91"/>
      <c r="R50" s="91"/>
      <c r="S50" s="127">
        <v>63.6</v>
      </c>
      <c r="T50" s="127">
        <v>190.8</v>
      </c>
      <c r="U50" s="128">
        <v>0</v>
      </c>
      <c r="V50" s="128">
        <v>1</v>
      </c>
      <c r="W50" s="93"/>
    </row>
    <row r="51" spans="2:26" ht="15.75" customHeight="1">
      <c r="B51" t="s">
        <v>168</v>
      </c>
      <c r="C51" t="s">
        <v>169</v>
      </c>
      <c r="D51" s="83"/>
      <c r="E51" s="97"/>
      <c r="F51">
        <v>3</v>
      </c>
      <c r="G51" s="127">
        <v>22.39</v>
      </c>
      <c r="H51" s="127">
        <v>6.05</v>
      </c>
      <c r="I51" s="127">
        <v>67.17</v>
      </c>
      <c r="J51" s="102"/>
      <c r="K51">
        <v>3</v>
      </c>
      <c r="L51" s="127">
        <v>11.2</v>
      </c>
      <c r="M51" s="127">
        <v>33.6</v>
      </c>
      <c r="N51" s="104"/>
      <c r="O51" s="90"/>
      <c r="P51" s="95"/>
      <c r="Q51" s="99"/>
      <c r="R51" s="105"/>
      <c r="S51" s="127">
        <v>11.2</v>
      </c>
      <c r="T51" s="127">
        <v>33.6</v>
      </c>
      <c r="U51" s="128">
        <v>0</v>
      </c>
      <c r="V51" s="128">
        <v>1</v>
      </c>
      <c r="W51" s="108"/>
    </row>
    <row r="52" spans="2:26" ht="15.75" customHeight="1">
      <c r="B52" t="s">
        <v>170</v>
      </c>
      <c r="C52" t="s">
        <v>167</v>
      </c>
      <c r="D52" s="83"/>
      <c r="E52" s="84"/>
      <c r="F52">
        <v>3</v>
      </c>
      <c r="G52" s="127">
        <v>10.35</v>
      </c>
      <c r="H52" s="127">
        <v>2.79</v>
      </c>
      <c r="I52" s="127">
        <v>31.05</v>
      </c>
      <c r="J52" s="102"/>
      <c r="K52">
        <v>3</v>
      </c>
      <c r="L52" s="127">
        <v>5.18</v>
      </c>
      <c r="M52" s="127">
        <v>15.54</v>
      </c>
      <c r="N52" s="111"/>
      <c r="O52" s="90"/>
      <c r="P52" s="112"/>
      <c r="Q52" s="91"/>
      <c r="R52" s="91"/>
      <c r="S52" s="127">
        <v>5.18</v>
      </c>
      <c r="T52" s="127">
        <v>15.54</v>
      </c>
      <c r="U52" s="128">
        <v>0</v>
      </c>
      <c r="V52" s="128">
        <v>1</v>
      </c>
      <c r="W52" s="93"/>
    </row>
    <row r="53" spans="2:26" ht="15.75" customHeight="1">
      <c r="D53" s="83"/>
      <c r="E53" s="97"/>
      <c r="H53" t="s">
        <v>112</v>
      </c>
      <c r="I53" t="s">
        <v>112</v>
      </c>
      <c r="J53" s="102"/>
      <c r="K53">
        <v>0</v>
      </c>
      <c r="L53" t="s">
        <v>112</v>
      </c>
      <c r="M53" t="s">
        <v>112</v>
      </c>
      <c r="N53" s="104"/>
      <c r="O53" s="90"/>
      <c r="P53" s="95"/>
      <c r="Q53" s="99"/>
      <c r="R53" s="105"/>
      <c r="S53" t="s">
        <v>112</v>
      </c>
      <c r="T53" t="s">
        <v>112</v>
      </c>
      <c r="U53" s="128">
        <v>0</v>
      </c>
      <c r="V53" s="128">
        <v>0</v>
      </c>
      <c r="W53" s="108"/>
    </row>
    <row r="54" spans="2:26" ht="15.75" customHeight="1">
      <c r="B54" t="s">
        <v>171</v>
      </c>
      <c r="C54" t="s">
        <v>172</v>
      </c>
      <c r="D54" s="83"/>
      <c r="E54" s="84"/>
      <c r="F54">
        <v>1</v>
      </c>
      <c r="G54" s="127">
        <v>7086.13</v>
      </c>
      <c r="H54" s="127">
        <v>1913.26</v>
      </c>
      <c r="I54" s="127">
        <v>7086.13</v>
      </c>
      <c r="J54" s="102"/>
      <c r="K54">
        <v>1</v>
      </c>
      <c r="L54" s="127">
        <v>3543.07</v>
      </c>
      <c r="M54" s="127">
        <v>3543.07</v>
      </c>
      <c r="N54" s="111"/>
      <c r="O54" s="90"/>
      <c r="P54" s="112"/>
      <c r="Q54" s="91"/>
      <c r="R54" s="91"/>
      <c r="S54" s="127">
        <v>3543.07</v>
      </c>
      <c r="T54" s="127">
        <v>3543.07</v>
      </c>
      <c r="U54" s="128">
        <v>0</v>
      </c>
      <c r="V54" s="128">
        <v>1</v>
      </c>
      <c r="W54" s="93"/>
    </row>
    <row r="55" spans="2:26" ht="15.75" customHeight="1">
      <c r="D55" s="83"/>
      <c r="E55" s="97"/>
      <c r="H55" t="s">
        <v>112</v>
      </c>
      <c r="I55" t="s">
        <v>112</v>
      </c>
      <c r="J55" s="102"/>
      <c r="K55">
        <v>0</v>
      </c>
      <c r="L55" t="s">
        <v>112</v>
      </c>
      <c r="M55" t="s">
        <v>112</v>
      </c>
      <c r="N55" s="104"/>
      <c r="O55" s="90"/>
      <c r="P55" s="95"/>
      <c r="Q55" s="99"/>
      <c r="R55" s="105"/>
      <c r="S55" t="s">
        <v>112</v>
      </c>
      <c r="T55" t="s">
        <v>112</v>
      </c>
      <c r="U55" s="128">
        <v>0</v>
      </c>
      <c r="V55" s="128">
        <v>0</v>
      </c>
      <c r="W55" s="108"/>
    </row>
    <row r="56" spans="2:26" ht="15.75" customHeight="1">
      <c r="B56" t="s">
        <v>373</v>
      </c>
      <c r="C56" t="s">
        <v>374</v>
      </c>
      <c r="D56" s="83"/>
      <c r="E56" s="84"/>
      <c r="F56">
        <v>6</v>
      </c>
      <c r="G56" s="127">
        <v>4299.5</v>
      </c>
      <c r="H56" s="127">
        <v>1160.8699999999999</v>
      </c>
      <c r="I56" s="127">
        <v>25797</v>
      </c>
      <c r="J56" s="102"/>
      <c r="K56">
        <v>6</v>
      </c>
      <c r="L56" s="127">
        <v>2149.75</v>
      </c>
      <c r="M56" s="127">
        <v>12898.5</v>
      </c>
      <c r="N56" s="111"/>
      <c r="O56" s="90"/>
      <c r="P56" s="112"/>
      <c r="Q56" s="91"/>
      <c r="R56" s="91"/>
      <c r="S56" s="127">
        <v>2149.75</v>
      </c>
      <c r="T56" s="127">
        <v>12898.5</v>
      </c>
      <c r="U56" s="128">
        <v>0</v>
      </c>
      <c r="V56" s="128">
        <v>1</v>
      </c>
      <c r="W56" s="108"/>
    </row>
    <row r="57" spans="2:26" ht="15.75" customHeight="1">
      <c r="D57" s="83"/>
      <c r="E57" s="97"/>
      <c r="G57" s="127"/>
      <c r="H57" s="127"/>
      <c r="I57" s="127"/>
      <c r="J57" s="102"/>
      <c r="L57" s="127"/>
      <c r="M57" s="127"/>
      <c r="N57" s="104"/>
      <c r="O57" s="90"/>
      <c r="P57" s="95"/>
      <c r="Q57" s="99"/>
      <c r="R57" s="105"/>
      <c r="S57" s="127"/>
      <c r="T57" s="127"/>
      <c r="U57" s="128"/>
      <c r="V57" s="128"/>
      <c r="W57" s="108"/>
    </row>
    <row r="58" spans="2:26" ht="15.75" customHeight="1">
      <c r="D58" s="83"/>
      <c r="E58" s="84"/>
      <c r="G58" s="127"/>
      <c r="H58" s="127"/>
      <c r="I58" s="127"/>
      <c r="J58" s="102"/>
      <c r="L58" s="127"/>
      <c r="M58" s="127"/>
      <c r="N58" s="111"/>
      <c r="O58" s="90"/>
      <c r="P58" s="112"/>
      <c r="Q58" s="91"/>
      <c r="R58" s="91"/>
      <c r="S58" s="127"/>
      <c r="T58" s="127"/>
      <c r="U58" s="128"/>
      <c r="V58" s="128"/>
      <c r="W58" s="108"/>
    </row>
    <row r="59" spans="2:26" ht="15.75" customHeight="1">
      <c r="D59" s="83"/>
      <c r="E59" s="97"/>
      <c r="G59" s="127"/>
      <c r="H59" s="127"/>
      <c r="I59" s="127"/>
      <c r="J59" s="102"/>
      <c r="L59" s="127"/>
      <c r="M59" s="127"/>
      <c r="N59" s="104"/>
      <c r="O59" s="90"/>
      <c r="P59" s="95"/>
      <c r="Q59" s="99"/>
      <c r="R59" s="105"/>
      <c r="S59" s="127"/>
      <c r="T59" s="127"/>
      <c r="U59" s="128"/>
      <c r="V59" s="128"/>
      <c r="W59" s="108"/>
    </row>
    <row r="60" spans="2:26" ht="15.75" customHeight="1">
      <c r="D60" s="83"/>
      <c r="E60" s="84"/>
      <c r="G60" s="127"/>
      <c r="H60" s="127"/>
      <c r="I60" s="127"/>
      <c r="J60" s="102"/>
      <c r="L60" s="127"/>
      <c r="M60" s="127"/>
      <c r="N60" s="111"/>
      <c r="O60" s="90"/>
      <c r="P60" s="112"/>
      <c r="Q60" s="91"/>
      <c r="R60" s="91"/>
      <c r="S60" s="127"/>
      <c r="T60" s="127"/>
      <c r="U60" s="128"/>
      <c r="V60" s="128"/>
      <c r="W60" s="108"/>
    </row>
    <row r="61" spans="2:26" ht="15.75" customHeight="1">
      <c r="D61" s="83"/>
      <c r="E61" s="97"/>
      <c r="G61" s="127"/>
      <c r="H61" s="127"/>
      <c r="I61" s="127"/>
      <c r="J61" s="102"/>
      <c r="L61" s="127"/>
      <c r="M61" s="127"/>
      <c r="N61" s="104"/>
      <c r="O61" s="90"/>
      <c r="P61" s="95"/>
      <c r="Q61" s="99"/>
      <c r="R61" s="105"/>
      <c r="S61" s="127"/>
      <c r="T61" s="127"/>
      <c r="U61" s="128"/>
      <c r="V61" s="128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128"/>
      <c r="V62" s="128"/>
      <c r="W62" s="108"/>
    </row>
    <row r="63" spans="2:26" ht="15.75" customHeight="1">
      <c r="D63" s="83"/>
      <c r="E63" s="97"/>
      <c r="G63" s="127"/>
      <c r="H63" s="127"/>
      <c r="I63" s="127"/>
      <c r="J63" s="102"/>
      <c r="L63" s="127"/>
      <c r="M63" s="127"/>
      <c r="N63" s="104"/>
      <c r="O63" s="90"/>
      <c r="P63" s="95"/>
      <c r="Q63" s="99"/>
      <c r="R63" s="105"/>
      <c r="S63" s="127"/>
      <c r="T63" s="127"/>
      <c r="U63" s="128"/>
      <c r="V63" s="128"/>
      <c r="W63" s="108"/>
    </row>
    <row r="64" spans="2:26" ht="15.75" customHeight="1">
      <c r="B64" s="129"/>
      <c r="D64" s="83"/>
      <c r="E64" s="84"/>
      <c r="G64" s="127"/>
      <c r="H64" s="127"/>
      <c r="I64" s="127"/>
      <c r="J64" s="102"/>
      <c r="L64" s="127"/>
      <c r="M64" s="127"/>
      <c r="N64" s="111"/>
      <c r="O64" s="90"/>
      <c r="P64" s="112"/>
      <c r="Q64" s="91"/>
      <c r="R64" s="91"/>
      <c r="S64" s="127"/>
      <c r="T64" s="127"/>
      <c r="U64" s="128"/>
      <c r="V64" s="128"/>
      <c r="W64" s="108"/>
    </row>
    <row r="65" spans="4:26" ht="15.75" customHeight="1">
      <c r="D65" s="83"/>
      <c r="E65" s="97"/>
      <c r="G65" s="127"/>
      <c r="H65" s="127"/>
      <c r="I65" s="127"/>
      <c r="J65" s="102"/>
      <c r="L65" s="127"/>
      <c r="M65" s="127"/>
      <c r="N65" s="104"/>
      <c r="O65" s="90"/>
      <c r="P65" s="95"/>
      <c r="Q65" s="99"/>
      <c r="R65" s="105"/>
      <c r="S65" s="127"/>
      <c r="T65" s="127"/>
      <c r="U65" s="128"/>
      <c r="V65" s="128"/>
      <c r="W65" s="108"/>
    </row>
    <row r="66" spans="4:26">
      <c r="D66" s="83"/>
      <c r="E66" s="84"/>
      <c r="G66" s="127"/>
      <c r="H66" s="127"/>
      <c r="I66" s="127"/>
      <c r="J66" s="102"/>
      <c r="L66" s="127"/>
      <c r="M66" s="127"/>
      <c r="N66" s="111"/>
      <c r="O66" s="90"/>
      <c r="P66" s="112"/>
      <c r="Q66" s="91"/>
      <c r="R66" s="91"/>
      <c r="S66" s="127"/>
      <c r="T66" s="127"/>
      <c r="U66" s="128"/>
      <c r="V66" s="128"/>
      <c r="W66" s="93"/>
      <c r="X66" s="94"/>
      <c r="Y66" s="4"/>
      <c r="Z66" s="4"/>
    </row>
    <row r="67" spans="4:26" ht="15.75" customHeight="1">
      <c r="D67" s="83"/>
      <c r="E67" s="97"/>
      <c r="G67" s="127"/>
      <c r="H67" s="127"/>
      <c r="I67" s="127"/>
      <c r="J67" s="102"/>
      <c r="L67" s="127"/>
      <c r="M67" s="127"/>
      <c r="N67" s="104"/>
      <c r="O67" s="90"/>
      <c r="P67" s="95"/>
      <c r="Q67" s="99"/>
      <c r="R67" s="105"/>
      <c r="S67" s="127"/>
      <c r="T67" s="127"/>
      <c r="U67" s="128"/>
      <c r="V67" s="128"/>
      <c r="W67" s="108"/>
      <c r="X67" s="94"/>
      <c r="Y67" s="4"/>
      <c r="Z67" s="4"/>
    </row>
    <row r="68" spans="4:26" ht="15.75" customHeight="1">
      <c r="D68" s="83"/>
      <c r="E68" s="84"/>
      <c r="J68" s="102"/>
      <c r="N68" s="111"/>
      <c r="O68" s="90"/>
      <c r="P68" s="112"/>
      <c r="Q68" s="91"/>
      <c r="R68" s="91"/>
      <c r="U68" s="128"/>
      <c r="V68" s="128"/>
      <c r="W68" s="93"/>
      <c r="X68" s="94"/>
      <c r="Y68" s="4"/>
      <c r="Z68" s="4"/>
    </row>
    <row r="69" spans="4:26" ht="15.75" customHeight="1">
      <c r="D69" s="83"/>
      <c r="E69" s="97"/>
      <c r="G69" s="127"/>
      <c r="H69" s="127"/>
      <c r="I69" s="127"/>
      <c r="J69" s="102"/>
      <c r="L69" s="127"/>
      <c r="M69" s="127"/>
      <c r="N69" s="104"/>
      <c r="O69" s="90"/>
      <c r="P69" s="95"/>
      <c r="Q69" s="99"/>
      <c r="R69" s="105"/>
      <c r="S69" s="127"/>
      <c r="T69" s="127"/>
      <c r="U69" s="128"/>
      <c r="V69" s="128"/>
      <c r="W69" s="108"/>
      <c r="X69" s="94"/>
      <c r="Y69" s="4"/>
      <c r="Z69" s="4"/>
    </row>
    <row r="70" spans="4:26" ht="15.75" customHeight="1">
      <c r="D70" s="83"/>
      <c r="E70" s="84"/>
      <c r="G70" s="127"/>
      <c r="H70" s="127"/>
      <c r="I70" s="127"/>
      <c r="J70" s="102"/>
      <c r="L70" s="127"/>
      <c r="M70" s="127"/>
      <c r="N70" s="111"/>
      <c r="O70" s="90"/>
      <c r="P70" s="112"/>
      <c r="Q70" s="91"/>
      <c r="R70" s="91"/>
      <c r="S70" s="127"/>
      <c r="T70" s="127"/>
      <c r="U70" s="128"/>
      <c r="V70" s="128"/>
      <c r="W70" s="93"/>
      <c r="X70" s="94"/>
      <c r="Y70" s="4"/>
      <c r="Z70" s="4"/>
    </row>
    <row r="71" spans="4:26" ht="15.75" customHeight="1">
      <c r="D71" s="83"/>
      <c r="E71" s="97"/>
      <c r="G71" s="127"/>
      <c r="H71" s="127"/>
      <c r="I71" s="127"/>
      <c r="J71" s="102"/>
      <c r="L71" s="127"/>
      <c r="M71" s="127"/>
      <c r="N71" s="104"/>
      <c r="O71" s="90"/>
      <c r="P71" s="95"/>
      <c r="Q71" s="99"/>
      <c r="R71" s="105"/>
      <c r="S71" s="127"/>
      <c r="T71" s="127"/>
      <c r="U71" s="128"/>
      <c r="V71" s="128"/>
      <c r="W71" s="108"/>
      <c r="X71" s="94"/>
      <c r="Y71" s="4"/>
      <c r="Z71" s="4"/>
    </row>
    <row r="72" spans="4:26" ht="15.75" customHeight="1">
      <c r="D72" s="83"/>
      <c r="E72" s="84"/>
      <c r="G72" s="127"/>
      <c r="H72" s="127"/>
      <c r="I72" s="127"/>
      <c r="J72" s="102"/>
      <c r="L72" s="127"/>
      <c r="M72" s="127"/>
      <c r="N72" s="111"/>
      <c r="O72" s="90"/>
      <c r="P72" s="112"/>
      <c r="Q72" s="91"/>
      <c r="R72" s="91"/>
      <c r="S72" s="127"/>
      <c r="T72" s="127"/>
      <c r="U72" s="128"/>
      <c r="V72" s="128"/>
      <c r="W72" s="93"/>
      <c r="X72" s="94"/>
      <c r="Y72" s="4"/>
      <c r="Z72" s="4"/>
    </row>
    <row r="73" spans="4:26" ht="15.75" customHeight="1">
      <c r="D73" s="83"/>
      <c r="E73" s="97"/>
      <c r="G73" s="127"/>
      <c r="H73" s="127"/>
      <c r="I73" s="127"/>
      <c r="J73" s="102"/>
      <c r="L73" s="127"/>
      <c r="M73" s="127"/>
      <c r="N73" s="104"/>
      <c r="O73" s="90"/>
      <c r="P73" s="95"/>
      <c r="Q73" s="99"/>
      <c r="R73" s="105"/>
      <c r="S73" s="127"/>
      <c r="T73" s="127"/>
      <c r="U73" s="128"/>
      <c r="V73" s="128"/>
      <c r="W73" s="108"/>
      <c r="X73" s="94"/>
      <c r="Y73" s="4"/>
      <c r="Z73" s="113"/>
    </row>
    <row r="74" spans="4:26" ht="15.75" customHeight="1">
      <c r="D74" s="83"/>
      <c r="E74" s="84"/>
      <c r="J74" s="102"/>
      <c r="N74" s="111"/>
      <c r="O74" s="90"/>
      <c r="P74" s="112"/>
      <c r="Q74" s="91"/>
      <c r="R74" s="91"/>
      <c r="U74" s="128"/>
      <c r="V74" s="128"/>
      <c r="W74" s="93"/>
      <c r="X74" s="94"/>
      <c r="Y74" s="4"/>
      <c r="Z74" s="4"/>
    </row>
    <row r="75" spans="4:26" ht="15.75" customHeight="1">
      <c r="D75" s="83"/>
      <c r="E75" s="84"/>
      <c r="J75" s="102"/>
      <c r="N75" s="111"/>
      <c r="O75" s="90"/>
      <c r="P75" s="112"/>
      <c r="Q75" s="91"/>
      <c r="R75" s="91"/>
      <c r="U75" s="128"/>
      <c r="V75" s="128"/>
      <c r="W75" s="93"/>
      <c r="X75" s="94"/>
      <c r="Y75" s="4"/>
      <c r="Z75" s="4"/>
    </row>
    <row r="76" spans="4:26" ht="15.75" customHeight="1">
      <c r="D76" s="83"/>
      <c r="E76" s="97"/>
      <c r="G76" s="127"/>
      <c r="H76" s="127"/>
      <c r="I76" s="127"/>
      <c r="J76" s="102"/>
      <c r="L76" s="127"/>
      <c r="M76" s="127"/>
      <c r="N76" s="104"/>
      <c r="O76" s="90"/>
      <c r="P76" s="95"/>
      <c r="Q76" s="99"/>
      <c r="R76" s="105"/>
      <c r="S76" s="127"/>
      <c r="T76" s="127"/>
      <c r="U76" s="128"/>
      <c r="V76" s="128"/>
      <c r="W76" s="108"/>
      <c r="X76" s="94"/>
      <c r="Y76" s="4"/>
      <c r="Z76" s="4"/>
    </row>
    <row r="77" spans="4:26" ht="15.75" customHeight="1">
      <c r="D77" s="83"/>
      <c r="E77" s="84"/>
      <c r="G77" s="127"/>
      <c r="H77" s="127"/>
      <c r="I77" s="127"/>
      <c r="J77" s="102"/>
      <c r="L77" s="127"/>
      <c r="M77" s="127"/>
      <c r="N77" s="111"/>
      <c r="O77" s="90"/>
      <c r="P77" s="112"/>
      <c r="Q77" s="91"/>
      <c r="R77" s="91"/>
      <c r="S77" s="127"/>
      <c r="T77" s="127"/>
      <c r="U77" s="128"/>
      <c r="V77" s="128"/>
      <c r="W77" s="93"/>
    </row>
    <row r="78" spans="4:26" ht="15.75" customHeight="1">
      <c r="D78" s="83"/>
      <c r="E78" s="97"/>
      <c r="G78" s="127"/>
      <c r="H78" s="127"/>
      <c r="I78" s="127"/>
      <c r="J78" s="102"/>
      <c r="L78" s="127"/>
      <c r="M78" s="127"/>
      <c r="N78" s="104"/>
      <c r="O78" s="90"/>
      <c r="P78" s="95"/>
      <c r="Q78" s="99"/>
      <c r="R78" s="105"/>
      <c r="S78" s="127"/>
      <c r="T78" s="127"/>
      <c r="U78" s="128"/>
      <c r="V78" s="128"/>
      <c r="W78" s="108"/>
    </row>
    <row r="79" spans="4:26" ht="15.75" customHeight="1">
      <c r="D79" s="83"/>
      <c r="E79" s="84"/>
      <c r="G79" s="127"/>
      <c r="H79" s="127"/>
      <c r="I79" s="127"/>
      <c r="J79" s="102"/>
      <c r="L79" s="127"/>
      <c r="M79" s="127"/>
      <c r="N79" s="111"/>
      <c r="O79" s="90"/>
      <c r="P79" s="112"/>
      <c r="Q79" s="91"/>
      <c r="R79" s="91"/>
      <c r="S79" s="127"/>
      <c r="T79" s="127"/>
      <c r="U79" s="128"/>
      <c r="V79" s="128"/>
      <c r="W79" s="93"/>
    </row>
    <row r="80" spans="4:26" ht="15.75" customHeight="1">
      <c r="D80" s="83"/>
      <c r="E80" s="97"/>
      <c r="J80" s="102"/>
      <c r="N80" s="104"/>
      <c r="O80" s="90"/>
      <c r="P80" s="95"/>
      <c r="Q80" s="99"/>
      <c r="R80" s="105"/>
      <c r="U80" s="128"/>
      <c r="V80" s="128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128"/>
      <c r="V81" s="128"/>
      <c r="W81" s="93"/>
    </row>
    <row r="82" spans="4:26" ht="15.75" customHeight="1">
      <c r="D82" s="83"/>
      <c r="E82" s="97"/>
      <c r="G82" s="127"/>
      <c r="H82" s="127"/>
      <c r="I82" s="127"/>
      <c r="J82" s="102"/>
      <c r="L82" s="127"/>
      <c r="M82" s="127"/>
      <c r="N82" s="104"/>
      <c r="O82" s="90"/>
      <c r="P82" s="95"/>
      <c r="Q82" s="99"/>
      <c r="R82" s="105"/>
      <c r="S82" s="127"/>
      <c r="T82" s="127"/>
      <c r="U82" s="128"/>
      <c r="V82" s="128"/>
      <c r="W82" s="108"/>
    </row>
    <row r="83" spans="4:26" ht="15.75" customHeight="1">
      <c r="D83" s="83"/>
      <c r="E83" s="84"/>
      <c r="G83" s="127"/>
      <c r="H83" s="127"/>
      <c r="I83" s="127"/>
      <c r="J83" s="102"/>
      <c r="L83" s="127"/>
      <c r="M83" s="127"/>
      <c r="N83" s="111"/>
      <c r="O83" s="90"/>
      <c r="P83" s="112"/>
      <c r="Q83" s="91"/>
      <c r="R83" s="91"/>
      <c r="S83" s="127"/>
      <c r="T83" s="127"/>
      <c r="U83" s="128"/>
      <c r="V83" s="128"/>
      <c r="W83" s="108"/>
    </row>
    <row r="84" spans="4:26" ht="15.75" customHeight="1">
      <c r="D84" s="83"/>
      <c r="E84" s="97"/>
      <c r="G84" s="127"/>
      <c r="H84" s="127"/>
      <c r="I84" s="127"/>
      <c r="J84" s="102"/>
      <c r="L84" s="127"/>
      <c r="M84" s="127"/>
      <c r="N84" s="104"/>
      <c r="O84" s="90"/>
      <c r="P84" s="95"/>
      <c r="Q84" s="99"/>
      <c r="R84" s="105"/>
      <c r="S84" s="127"/>
      <c r="T84" s="127"/>
      <c r="U84" s="128"/>
      <c r="V84" s="128"/>
      <c r="W84" s="108"/>
    </row>
    <row r="85" spans="4:26" ht="15.75" customHeight="1">
      <c r="D85" s="83"/>
      <c r="E85" s="84"/>
      <c r="G85" s="127"/>
      <c r="H85" s="127"/>
      <c r="I85" s="127"/>
      <c r="J85" s="102"/>
      <c r="L85" s="127"/>
      <c r="M85" s="127"/>
      <c r="N85" s="111"/>
      <c r="O85" s="90"/>
      <c r="P85" s="112"/>
      <c r="Q85" s="91"/>
      <c r="R85" s="91"/>
      <c r="S85" s="127"/>
      <c r="T85" s="127"/>
      <c r="U85" s="128"/>
      <c r="V85" s="128"/>
      <c r="W85" s="108"/>
    </row>
    <row r="86" spans="4:26" ht="15.75" customHeight="1">
      <c r="D86" s="83"/>
      <c r="E86" s="97"/>
      <c r="G86" s="127"/>
      <c r="H86" s="127"/>
      <c r="I86" s="127"/>
      <c r="J86" s="102"/>
      <c r="L86" s="127"/>
      <c r="M86" s="127"/>
      <c r="N86" s="104"/>
      <c r="O86" s="90"/>
      <c r="P86" s="95"/>
      <c r="Q86" s="99"/>
      <c r="R86" s="105"/>
      <c r="S86" s="127"/>
      <c r="T86" s="127"/>
      <c r="U86" s="128"/>
      <c r="V86" s="128"/>
      <c r="W86" s="108"/>
    </row>
    <row r="87" spans="4:26" ht="15.75" customHeight="1">
      <c r="D87" s="83"/>
      <c r="E87" s="84"/>
      <c r="G87" s="127"/>
      <c r="H87" s="127"/>
      <c r="I87" s="127"/>
      <c r="J87" s="102"/>
      <c r="L87" s="127"/>
      <c r="M87" s="127"/>
      <c r="N87" s="111"/>
      <c r="O87" s="90"/>
      <c r="P87" s="112"/>
      <c r="Q87" s="91"/>
      <c r="R87" s="91"/>
      <c r="S87" s="127"/>
      <c r="T87" s="127"/>
      <c r="U87" s="128"/>
      <c r="V87" s="128"/>
      <c r="W87" s="108"/>
    </row>
    <row r="88" spans="4:26" ht="15.75" customHeight="1">
      <c r="D88" s="83"/>
      <c r="E88" s="97"/>
      <c r="G88" s="127"/>
      <c r="H88" s="127"/>
      <c r="I88" s="127"/>
      <c r="J88" s="102"/>
      <c r="L88" s="127"/>
      <c r="M88" s="127"/>
      <c r="N88" s="104"/>
      <c r="O88" s="90"/>
      <c r="P88" s="95"/>
      <c r="Q88" s="99"/>
      <c r="R88" s="105"/>
      <c r="S88" s="127"/>
      <c r="T88" s="127"/>
      <c r="U88" s="128"/>
      <c r="V88" s="128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128"/>
      <c r="V89" s="128"/>
      <c r="W89" s="108"/>
    </row>
    <row r="90" spans="4:26" ht="15.75" customHeight="1">
      <c r="D90" s="83"/>
      <c r="E90" s="97"/>
      <c r="G90" s="127"/>
      <c r="H90" s="127"/>
      <c r="I90" s="127"/>
      <c r="J90" s="102"/>
      <c r="L90" s="127"/>
      <c r="M90" s="127"/>
      <c r="N90" s="104"/>
      <c r="O90" s="90"/>
      <c r="P90" s="95"/>
      <c r="Q90" s="99"/>
      <c r="R90" s="105"/>
      <c r="S90" s="127"/>
      <c r="T90" s="127"/>
      <c r="U90" s="128"/>
      <c r="V90" s="128"/>
      <c r="W90" s="108"/>
    </row>
    <row r="91" spans="4:26" ht="15.75" customHeight="1">
      <c r="D91" s="83"/>
      <c r="E91" s="84"/>
      <c r="G91" s="127"/>
      <c r="H91" s="127"/>
      <c r="I91" s="127"/>
      <c r="J91" s="102"/>
      <c r="L91" s="127"/>
      <c r="M91" s="127"/>
      <c r="N91" s="111"/>
      <c r="O91" s="90"/>
      <c r="P91" s="112"/>
      <c r="Q91" s="91"/>
      <c r="R91" s="91"/>
      <c r="S91" s="127"/>
      <c r="T91" s="127"/>
      <c r="U91" s="128"/>
      <c r="V91" s="128"/>
      <c r="W91" s="108"/>
    </row>
    <row r="92" spans="4:26" ht="15.75" customHeight="1">
      <c r="D92" s="83"/>
      <c r="E92" s="97"/>
      <c r="G92" s="127"/>
      <c r="H92" s="127"/>
      <c r="I92" s="127"/>
      <c r="J92" s="102"/>
      <c r="L92" s="127"/>
      <c r="M92" s="127"/>
      <c r="N92" s="104"/>
      <c r="O92" s="90"/>
      <c r="P92" s="95"/>
      <c r="Q92" s="99"/>
      <c r="R92" s="105"/>
      <c r="S92" s="127"/>
      <c r="T92" s="127"/>
      <c r="U92" s="128"/>
      <c r="V92" s="128"/>
      <c r="W92" s="108"/>
    </row>
    <row r="93" spans="4:26" ht="15.75" customHeight="1">
      <c r="D93" s="83"/>
      <c r="E93" s="84"/>
      <c r="G93" s="127"/>
      <c r="H93" s="127"/>
      <c r="I93" s="127"/>
      <c r="J93" s="102"/>
      <c r="L93" s="127"/>
      <c r="M93" s="127"/>
      <c r="N93" s="111"/>
      <c r="O93" s="90"/>
      <c r="P93" s="112"/>
      <c r="Q93" s="91"/>
      <c r="R93" s="91"/>
      <c r="S93" s="127"/>
      <c r="T93" s="127"/>
      <c r="U93" s="128"/>
      <c r="V93" s="128"/>
      <c r="W93" s="108"/>
    </row>
    <row r="94" spans="4:26" ht="15.75" customHeight="1">
      <c r="D94" s="83"/>
      <c r="E94" s="97"/>
      <c r="G94" s="127"/>
      <c r="H94" s="127"/>
      <c r="I94" s="127"/>
      <c r="J94" s="102"/>
      <c r="L94" s="127"/>
      <c r="M94" s="127"/>
      <c r="N94" s="104"/>
      <c r="O94" s="90"/>
      <c r="P94" s="95"/>
      <c r="Q94" s="99"/>
      <c r="R94" s="105"/>
      <c r="S94" s="127"/>
      <c r="T94" s="127"/>
      <c r="U94" s="128"/>
      <c r="V94" s="128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128"/>
      <c r="V95" s="128"/>
      <c r="W95" s="93"/>
      <c r="X95" s="94"/>
      <c r="Y95" s="4"/>
      <c r="Z95" s="4"/>
    </row>
    <row r="96" spans="4:26" ht="15.75" customHeight="1">
      <c r="D96" s="83"/>
      <c r="E96" s="97"/>
      <c r="G96" s="127"/>
      <c r="H96" s="127"/>
      <c r="I96" s="127"/>
      <c r="J96" s="102"/>
      <c r="L96" s="127"/>
      <c r="M96" s="127"/>
      <c r="N96" s="104"/>
      <c r="O96" s="90"/>
      <c r="P96" s="95"/>
      <c r="Q96" s="99"/>
      <c r="R96" s="105"/>
      <c r="S96" s="127"/>
      <c r="T96" s="127"/>
      <c r="U96" s="128"/>
      <c r="V96" s="128"/>
      <c r="W96" s="108"/>
      <c r="X96" s="94"/>
      <c r="Y96" s="4"/>
      <c r="Z96" s="4"/>
    </row>
    <row r="97" spans="2:23" ht="15.75" customHeight="1">
      <c r="D97" s="83"/>
      <c r="E97" s="84"/>
      <c r="G97" s="127"/>
      <c r="H97" s="127"/>
      <c r="I97" s="127"/>
      <c r="J97" s="102"/>
      <c r="L97" s="127"/>
      <c r="M97" s="127"/>
      <c r="N97" s="111"/>
      <c r="O97" s="90"/>
      <c r="P97" s="112"/>
      <c r="Q97" s="91"/>
      <c r="R97" s="91"/>
      <c r="S97" s="127"/>
      <c r="T97" s="127"/>
      <c r="U97" s="128"/>
      <c r="V97" s="128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128"/>
      <c r="V98" s="128"/>
      <c r="W98" s="108"/>
    </row>
    <row r="99" spans="2:23" ht="15.75" customHeight="1">
      <c r="D99" s="83"/>
      <c r="E99" s="84"/>
      <c r="G99" s="127"/>
      <c r="H99" s="127"/>
      <c r="I99" s="127"/>
      <c r="J99" s="102"/>
      <c r="L99" s="127"/>
      <c r="M99" s="127"/>
      <c r="N99" s="111"/>
      <c r="O99" s="90"/>
      <c r="P99" s="112"/>
      <c r="Q99" s="91"/>
      <c r="R99" s="91"/>
      <c r="S99" s="127"/>
      <c r="T99" s="127"/>
      <c r="U99" s="128"/>
      <c r="V99" s="128"/>
      <c r="W99" s="93"/>
    </row>
    <row r="100" spans="2:23" ht="15.75" customHeight="1">
      <c r="D100" s="83"/>
      <c r="E100" s="97"/>
      <c r="G100" s="127"/>
      <c r="H100" s="127"/>
      <c r="I100" s="127"/>
      <c r="J100" s="102"/>
      <c r="L100" s="127"/>
      <c r="M100" s="127"/>
      <c r="N100" s="104"/>
      <c r="O100" s="90"/>
      <c r="P100" s="95"/>
      <c r="Q100" s="99"/>
      <c r="R100" s="105"/>
      <c r="S100" s="127"/>
      <c r="T100" s="127"/>
      <c r="U100" s="128"/>
      <c r="V100" s="128"/>
      <c r="W100" s="108"/>
    </row>
    <row r="101" spans="2:23" ht="15.75" customHeight="1">
      <c r="D101" s="83"/>
      <c r="E101" s="84"/>
      <c r="G101" s="127"/>
      <c r="H101" s="127"/>
      <c r="I101" s="127"/>
      <c r="J101" s="102"/>
      <c r="L101" s="127"/>
      <c r="M101" s="127"/>
      <c r="N101" s="111"/>
      <c r="O101" s="90"/>
      <c r="P101" s="112"/>
      <c r="Q101" s="91"/>
      <c r="R101" s="91"/>
      <c r="S101" s="127"/>
      <c r="T101" s="127"/>
      <c r="U101" s="128"/>
      <c r="V101" s="128"/>
      <c r="W101" s="93"/>
    </row>
    <row r="102" spans="2:23" ht="15.75" customHeight="1">
      <c r="D102" s="83"/>
      <c r="E102" s="97"/>
      <c r="G102" s="127"/>
      <c r="H102" s="127"/>
      <c r="I102" s="127"/>
      <c r="J102" s="102"/>
      <c r="L102" s="127"/>
      <c r="M102" s="127"/>
      <c r="N102" s="104"/>
      <c r="O102" s="90"/>
      <c r="P102" s="95"/>
      <c r="Q102" s="99"/>
      <c r="R102" s="105"/>
      <c r="S102" s="127"/>
      <c r="T102" s="127"/>
      <c r="U102" s="128"/>
      <c r="V102" s="128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153</v>
      </c>
      <c r="G114" s="118">
        <f>SUM(G19:G113)</f>
        <v>121296.17</v>
      </c>
      <c r="H114" s="119">
        <f>SUM(H19:H113)</f>
        <v>32749.960000000003</v>
      </c>
      <c r="I114" s="120">
        <f>SUM(I19:I113)</f>
        <v>172675.84000000003</v>
      </c>
      <c r="J114" s="121"/>
      <c r="K114" s="122">
        <f>SUM(K19:K113)</f>
        <v>153</v>
      </c>
      <c r="L114" s="119">
        <f>SUM(L19:L113)</f>
        <v>60648.19</v>
      </c>
      <c r="M114" s="120">
        <f>SUM(M19:M113)</f>
        <v>86338.430000000022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60648.19</v>
      </c>
      <c r="T114" s="120">
        <f>SUM(T19:T113)</f>
        <v>86338.430000000022</v>
      </c>
      <c r="U114" s="125"/>
      <c r="V114" s="125"/>
      <c r="W114" s="126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31" priority="1" stopIfTrue="1">
      <formula>$U$9&gt;100%</formula>
    </cfRule>
    <cfRule type="expression" dxfId="30" priority="2">
      <formula>$U$9&lt;50%</formula>
    </cfRule>
  </conditionalFormatting>
  <conditionalFormatting sqref="V9:V11">
    <cfRule type="expression" dxfId="29" priority="3">
      <formula>$V$9&lt;50%</formula>
    </cfRule>
    <cfRule type="expression" dxfId="28" priority="4">
      <formula>$V$9&gt;50%</formula>
    </cfRule>
  </conditionalFormatting>
  <dataValidations count="4">
    <dataValidation type="list" allowBlank="1" showErrorMessage="1" sqref="E19:E113" xr:uid="{3847EBEB-42F3-44C4-92B5-24220D0708A0}">
      <formula1>$Z$19:$Z$94</formula1>
    </dataValidation>
    <dataValidation type="list" allowBlank="1" showErrorMessage="1" sqref="I14" xr:uid="{B95640C3-9DED-4B07-9479-B65AC7D285A9}">
      <formula1>$Y$14:$Y$15</formula1>
    </dataValidation>
    <dataValidation type="list" allowBlank="1" showErrorMessage="1" sqref="J14" xr:uid="{32D3BC96-CBF6-4069-ADCC-A947A2DC708E}">
      <formula1>$L$9</formula1>
    </dataValidation>
    <dataValidation type="list" allowBlank="1" showErrorMessage="1" sqref="Q15 G18 L18 Q18" xr:uid="{40142E96-BA9B-485D-8330-C8BC6DEA103D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4DA4-0172-4916-A5FB-7E5F834C379F}">
  <sheetPr>
    <pageSetUpPr fitToPage="1"/>
  </sheetPr>
  <dimension ref="B1:Z114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18" t="s">
        <v>0</v>
      </c>
      <c r="C1" s="219"/>
      <c r="D1" s="220" t="s">
        <v>1</v>
      </c>
      <c r="E1" s="221"/>
      <c r="F1" s="221"/>
      <c r="G1" s="221"/>
      <c r="H1" s="184"/>
      <c r="I1" s="218" t="s">
        <v>2</v>
      </c>
      <c r="J1" s="222"/>
      <c r="K1" s="222"/>
      <c r="L1" s="181"/>
      <c r="M1" s="223" t="s">
        <v>3</v>
      </c>
      <c r="N1" s="224"/>
      <c r="O1" s="225"/>
      <c r="P1" s="226" t="str">
        <f>L18</f>
        <v>CAD $</v>
      </c>
      <c r="Q1" s="222"/>
      <c r="R1" s="181"/>
      <c r="S1" s="218" t="s">
        <v>4</v>
      </c>
      <c r="T1" s="222"/>
      <c r="U1" s="222"/>
      <c r="V1" s="222"/>
      <c r="W1" s="181"/>
      <c r="X1" s="2"/>
      <c r="Y1" s="3"/>
    </row>
    <row r="2" spans="2:25" ht="15" customHeight="1">
      <c r="B2" s="5" t="s">
        <v>5</v>
      </c>
      <c r="C2" s="6"/>
      <c r="D2" s="193" t="s">
        <v>6</v>
      </c>
      <c r="E2" s="135"/>
      <c r="F2" s="136"/>
      <c r="G2" s="194"/>
      <c r="H2" s="136"/>
      <c r="I2" s="215" t="s">
        <v>7</v>
      </c>
      <c r="J2" s="133"/>
      <c r="K2" s="131"/>
      <c r="L2" s="8"/>
      <c r="M2" s="216" t="s">
        <v>8</v>
      </c>
      <c r="N2" s="131"/>
      <c r="O2" s="9"/>
      <c r="P2" s="217">
        <f>I114</f>
        <v>0</v>
      </c>
      <c r="Q2" s="133"/>
      <c r="R2" s="131"/>
      <c r="S2" s="216" t="s">
        <v>9</v>
      </c>
      <c r="T2" s="131"/>
      <c r="U2" s="214"/>
      <c r="V2" s="131"/>
      <c r="W2" s="10"/>
      <c r="X2" s="11"/>
      <c r="Y2" s="3"/>
    </row>
    <row r="3" spans="2:25" ht="15" customHeight="1">
      <c r="B3" s="12" t="s">
        <v>10</v>
      </c>
      <c r="C3" s="7"/>
      <c r="D3" s="193" t="s">
        <v>11</v>
      </c>
      <c r="E3" s="135"/>
      <c r="F3" s="136"/>
      <c r="G3" s="194"/>
      <c r="H3" s="136"/>
      <c r="I3" s="193" t="s">
        <v>12</v>
      </c>
      <c r="J3" s="135"/>
      <c r="K3" s="136"/>
      <c r="L3" s="13"/>
      <c r="M3" s="197" t="s">
        <v>13</v>
      </c>
      <c r="N3" s="136"/>
      <c r="O3" s="9"/>
      <c r="P3" s="213">
        <f>M114</f>
        <v>0</v>
      </c>
      <c r="Q3" s="135"/>
      <c r="R3" s="136"/>
      <c r="S3" s="197" t="s">
        <v>14</v>
      </c>
      <c r="T3" s="136"/>
      <c r="U3" s="199"/>
      <c r="V3" s="136"/>
      <c r="W3" s="14"/>
      <c r="X3" s="1"/>
      <c r="Y3" s="15"/>
    </row>
    <row r="4" spans="2:25" ht="15" customHeight="1">
      <c r="B4" s="16" t="s">
        <v>15</v>
      </c>
      <c r="C4" s="7"/>
      <c r="D4" s="193" t="s">
        <v>16</v>
      </c>
      <c r="E4" s="135"/>
      <c r="F4" s="136"/>
      <c r="G4" s="227" t="s">
        <v>497</v>
      </c>
      <c r="H4" s="228"/>
      <c r="I4" s="193" t="s">
        <v>17</v>
      </c>
      <c r="J4" s="135"/>
      <c r="K4" s="136"/>
      <c r="L4" s="13"/>
      <c r="M4" s="197" t="s">
        <v>18</v>
      </c>
      <c r="N4" s="136"/>
      <c r="O4" s="9"/>
      <c r="P4" s="213">
        <f>P2-P3</f>
        <v>0</v>
      </c>
      <c r="Q4" s="135"/>
      <c r="R4" s="136"/>
      <c r="S4" s="197" t="s">
        <v>19</v>
      </c>
      <c r="T4" s="136"/>
      <c r="U4" s="199"/>
      <c r="V4" s="136"/>
      <c r="W4" s="14"/>
      <c r="X4" s="1"/>
      <c r="Y4" s="15"/>
    </row>
    <row r="5" spans="2:25" ht="15" customHeight="1" thickBot="1">
      <c r="B5" s="16" t="s">
        <v>20</v>
      </c>
      <c r="C5" s="7"/>
      <c r="D5" s="193" t="s">
        <v>21</v>
      </c>
      <c r="E5" s="135"/>
      <c r="F5" s="136"/>
      <c r="G5" s="229" t="s">
        <v>375</v>
      </c>
      <c r="H5" s="228"/>
      <c r="I5" s="193" t="s">
        <v>22</v>
      </c>
      <c r="J5" s="135"/>
      <c r="K5" s="136"/>
      <c r="L5" s="13"/>
      <c r="M5" s="209" t="s">
        <v>23</v>
      </c>
      <c r="N5" s="210"/>
      <c r="O5" s="9"/>
      <c r="P5" s="211" t="str">
        <f>IFERROR((P2-P3)/P2,"")</f>
        <v/>
      </c>
      <c r="Q5" s="212"/>
      <c r="R5" s="210"/>
      <c r="S5" s="197" t="s">
        <v>24</v>
      </c>
      <c r="T5" s="136"/>
      <c r="U5" s="199"/>
      <c r="V5" s="136"/>
      <c r="W5" s="14"/>
      <c r="X5" s="1"/>
      <c r="Y5" s="15"/>
    </row>
    <row r="6" spans="2:25" ht="15" customHeight="1">
      <c r="B6" s="16" t="s">
        <v>25</v>
      </c>
      <c r="C6" s="17"/>
      <c r="D6" s="193" t="s">
        <v>26</v>
      </c>
      <c r="E6" s="135"/>
      <c r="F6" s="136"/>
      <c r="G6" s="227" t="s">
        <v>376</v>
      </c>
      <c r="H6" s="228"/>
      <c r="I6" s="193" t="s">
        <v>27</v>
      </c>
      <c r="J6" s="135"/>
      <c r="K6" s="136"/>
      <c r="L6" s="13"/>
      <c r="M6" s="205" t="s">
        <v>28</v>
      </c>
      <c r="N6" s="206"/>
      <c r="O6" s="9"/>
      <c r="P6" s="207">
        <f>T114</f>
        <v>0</v>
      </c>
      <c r="Q6" s="208"/>
      <c r="R6" s="206"/>
      <c r="S6" s="197" t="s">
        <v>29</v>
      </c>
      <c r="T6" s="136"/>
      <c r="U6" s="199"/>
      <c r="V6" s="136"/>
      <c r="W6" s="18"/>
      <c r="X6" s="19"/>
      <c r="Y6" s="20"/>
    </row>
    <row r="7" spans="2:25" ht="15" customHeight="1">
      <c r="B7" s="16" t="s">
        <v>30</v>
      </c>
      <c r="C7" s="7"/>
      <c r="D7" s="193" t="s">
        <v>31</v>
      </c>
      <c r="E7" s="135"/>
      <c r="F7" s="136"/>
      <c r="G7" s="21"/>
      <c r="H7" s="21"/>
      <c r="I7" s="193" t="s">
        <v>32</v>
      </c>
      <c r="J7" s="135"/>
      <c r="K7" s="136"/>
      <c r="L7" s="13"/>
      <c r="M7" s="195" t="s">
        <v>33</v>
      </c>
      <c r="N7" s="136"/>
      <c r="O7" s="9"/>
      <c r="P7" s="198">
        <f>R114</f>
        <v>0</v>
      </c>
      <c r="Q7" s="135"/>
      <c r="R7" s="136"/>
      <c r="S7" s="200" t="s">
        <v>34</v>
      </c>
      <c r="T7" s="201"/>
      <c r="U7" s="202"/>
      <c r="V7" s="201"/>
      <c r="W7" s="18"/>
      <c r="X7" s="22"/>
      <c r="Y7" s="4"/>
    </row>
    <row r="8" spans="2:25" ht="15" customHeight="1">
      <c r="B8" s="23"/>
      <c r="C8" s="24"/>
      <c r="D8" s="193" t="s">
        <v>35</v>
      </c>
      <c r="E8" s="135"/>
      <c r="F8" s="136"/>
      <c r="G8" s="194"/>
      <c r="H8" s="136"/>
      <c r="I8" s="193" t="s">
        <v>36</v>
      </c>
      <c r="J8" s="135"/>
      <c r="K8" s="136"/>
      <c r="L8" s="13"/>
      <c r="M8" s="195" t="s">
        <v>37</v>
      </c>
      <c r="N8" s="136"/>
      <c r="O8" s="9"/>
      <c r="P8" s="198">
        <f>IF(P1=Q15,R15,IF(Q15="CAD $",R15*E16,IF(Q15="USD $",R15*F16,0)))</f>
        <v>0</v>
      </c>
      <c r="Q8" s="135"/>
      <c r="R8" s="136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93" t="s">
        <v>42</v>
      </c>
      <c r="E9" s="135"/>
      <c r="F9" s="136"/>
      <c r="G9" s="194"/>
      <c r="H9" s="136"/>
      <c r="I9" s="31"/>
      <c r="J9" s="32"/>
      <c r="K9" s="32"/>
      <c r="L9" s="33"/>
      <c r="M9" s="195" t="s">
        <v>43</v>
      </c>
      <c r="N9" s="136"/>
      <c r="O9" s="9"/>
      <c r="P9" s="196">
        <f>V15</f>
        <v>0</v>
      </c>
      <c r="Q9" s="135"/>
      <c r="R9" s="136"/>
      <c r="S9" s="186">
        <f>P7+P8+P9</f>
        <v>0</v>
      </c>
      <c r="T9" s="186">
        <f>P3-S9</f>
        <v>0</v>
      </c>
      <c r="U9" s="189">
        <f>IFERROR(((P3-S9)/S9),0)</f>
        <v>0</v>
      </c>
      <c r="V9" s="189">
        <f>IFERROR(T9/P3,0)</f>
        <v>0</v>
      </c>
      <c r="W9" s="190"/>
      <c r="X9" s="29"/>
      <c r="Y9" s="4"/>
    </row>
    <row r="10" spans="2:25" ht="15" customHeight="1">
      <c r="B10" s="30"/>
      <c r="C10" s="24"/>
      <c r="D10" s="193" t="s">
        <v>44</v>
      </c>
      <c r="E10" s="135"/>
      <c r="F10" s="136"/>
      <c r="G10" s="194" t="s">
        <v>79</v>
      </c>
      <c r="H10" s="136"/>
      <c r="I10" s="31"/>
      <c r="J10" s="32"/>
      <c r="K10" s="32"/>
      <c r="L10" s="33"/>
      <c r="M10" s="195"/>
      <c r="N10" s="136"/>
      <c r="O10" s="9"/>
      <c r="P10" s="196"/>
      <c r="Q10" s="135"/>
      <c r="R10" s="136"/>
      <c r="S10" s="187"/>
      <c r="T10" s="187"/>
      <c r="U10" s="187"/>
      <c r="V10" s="187"/>
      <c r="W10" s="19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97" t="s">
        <v>45</v>
      </c>
      <c r="N11" s="136"/>
      <c r="O11" s="9"/>
      <c r="P11" s="155">
        <f>F114</f>
        <v>0</v>
      </c>
      <c r="Q11" s="135"/>
      <c r="R11" s="136"/>
      <c r="S11" s="188"/>
      <c r="T11" s="188"/>
      <c r="U11" s="188"/>
      <c r="V11" s="188"/>
      <c r="W11" s="192"/>
      <c r="X11" s="29"/>
      <c r="Y11" s="4"/>
    </row>
    <row r="12" spans="2:25" ht="15" customHeight="1">
      <c r="B12" s="156"/>
      <c r="C12" s="157"/>
      <c r="D12" s="37"/>
      <c r="E12" s="162" t="s">
        <v>46</v>
      </c>
      <c r="F12" s="163"/>
      <c r="G12" s="168" t="s">
        <v>8</v>
      </c>
      <c r="H12" s="169"/>
      <c r="I12" s="170"/>
      <c r="J12" s="38"/>
      <c r="K12" s="173" t="s">
        <v>47</v>
      </c>
      <c r="L12" s="169"/>
      <c r="M12" s="169"/>
      <c r="N12" s="170"/>
      <c r="O12" s="9"/>
      <c r="P12" s="176" t="s">
        <v>48</v>
      </c>
      <c r="Q12" s="169"/>
      <c r="R12" s="169"/>
      <c r="S12" s="169"/>
      <c r="T12" s="169"/>
      <c r="U12" s="169"/>
      <c r="V12" s="163"/>
      <c r="W12" s="39"/>
      <c r="X12" s="40"/>
      <c r="Y12" s="4" t="s">
        <v>49</v>
      </c>
    </row>
    <row r="13" spans="2:25" ht="15" customHeight="1">
      <c r="B13" s="158"/>
      <c r="C13" s="159"/>
      <c r="D13" s="41"/>
      <c r="E13" s="164"/>
      <c r="F13" s="165"/>
      <c r="G13" s="160"/>
      <c r="H13" s="171"/>
      <c r="I13" s="172"/>
      <c r="J13" s="42"/>
      <c r="K13" s="164"/>
      <c r="L13" s="174"/>
      <c r="M13" s="174"/>
      <c r="N13" s="175"/>
      <c r="O13" s="43"/>
      <c r="P13" s="164"/>
      <c r="Q13" s="174"/>
      <c r="R13" s="174"/>
      <c r="S13" s="174"/>
      <c r="T13" s="174"/>
      <c r="U13" s="174"/>
      <c r="V13" s="165"/>
      <c r="W13" s="44"/>
      <c r="X13" s="40"/>
      <c r="Y13" s="4" t="s">
        <v>50</v>
      </c>
    </row>
    <row r="14" spans="2:25" ht="15" customHeight="1">
      <c r="B14" s="158"/>
      <c r="C14" s="159"/>
      <c r="D14" s="41"/>
      <c r="E14" s="166"/>
      <c r="F14" s="167"/>
      <c r="G14" s="180" t="s">
        <v>51</v>
      </c>
      <c r="H14" s="181"/>
      <c r="I14" s="45" t="s">
        <v>52</v>
      </c>
      <c r="J14" s="46"/>
      <c r="K14" s="166"/>
      <c r="L14" s="171"/>
      <c r="M14" s="171"/>
      <c r="N14" s="172"/>
      <c r="O14" s="43"/>
      <c r="P14" s="177"/>
      <c r="Q14" s="178"/>
      <c r="R14" s="178"/>
      <c r="S14" s="178"/>
      <c r="T14" s="178"/>
      <c r="U14" s="178"/>
      <c r="V14" s="179"/>
      <c r="W14" s="47"/>
      <c r="X14" s="40"/>
      <c r="Y14" s="4" t="s">
        <v>52</v>
      </c>
    </row>
    <row r="15" spans="2:25" ht="30" customHeight="1">
      <c r="B15" s="158"/>
      <c r="C15" s="159"/>
      <c r="D15" s="41"/>
      <c r="E15" s="48" t="s">
        <v>53</v>
      </c>
      <c r="F15" s="49" t="s">
        <v>54</v>
      </c>
      <c r="G15" s="182" t="s">
        <v>55</v>
      </c>
      <c r="H15" s="133"/>
      <c r="I15" s="131"/>
      <c r="J15" s="50"/>
      <c r="K15" s="183" t="s">
        <v>56</v>
      </c>
      <c r="L15" s="184"/>
      <c r="M15" s="185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0"/>
      <c r="C16" s="161"/>
      <c r="D16" s="41"/>
      <c r="E16" s="59">
        <f>1/F16</f>
        <v>0.7246376811594204</v>
      </c>
      <c r="F16" s="60">
        <v>1.38</v>
      </c>
      <c r="G16" s="134"/>
      <c r="H16" s="135"/>
      <c r="I16" s="136"/>
      <c r="J16" s="61"/>
      <c r="K16" s="166"/>
      <c r="L16" s="167"/>
      <c r="M16" s="144"/>
      <c r="N16" s="137" t="s">
        <v>61</v>
      </c>
      <c r="O16" s="52"/>
      <c r="P16" s="140" t="s">
        <v>62</v>
      </c>
      <c r="Q16" s="141"/>
      <c r="R16" s="141"/>
      <c r="S16" s="141"/>
      <c r="T16" s="141"/>
      <c r="U16" s="141"/>
      <c r="V16" s="142"/>
      <c r="W16" s="62"/>
      <c r="X16" s="63"/>
      <c r="Y16" s="4"/>
    </row>
    <row r="17" spans="2:26" ht="15" customHeight="1">
      <c r="B17" s="143" t="s">
        <v>63</v>
      </c>
      <c r="C17" s="145" t="s">
        <v>64</v>
      </c>
      <c r="D17" s="64"/>
      <c r="E17" s="147" t="s">
        <v>65</v>
      </c>
      <c r="F17" s="149" t="s">
        <v>66</v>
      </c>
      <c r="G17" s="150" t="s">
        <v>67</v>
      </c>
      <c r="H17" s="151"/>
      <c r="I17" s="65" t="s">
        <v>68</v>
      </c>
      <c r="J17" s="66"/>
      <c r="K17" s="152" t="s">
        <v>66</v>
      </c>
      <c r="L17" s="67" t="s">
        <v>69</v>
      </c>
      <c r="M17" s="68" t="s">
        <v>70</v>
      </c>
      <c r="N17" s="138"/>
      <c r="O17" s="69"/>
      <c r="P17" s="15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44"/>
      <c r="C18" s="146"/>
      <c r="D18" s="74"/>
      <c r="E18" s="148"/>
      <c r="F18" s="144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48"/>
      <c r="L18" s="130" t="s">
        <v>49</v>
      </c>
      <c r="M18" s="131"/>
      <c r="N18" s="139"/>
      <c r="O18" s="78"/>
      <c r="P18" s="154"/>
      <c r="Q18" s="54" t="s">
        <v>50</v>
      </c>
      <c r="R18" s="132" t="str">
        <f>L18</f>
        <v>CAD $</v>
      </c>
      <c r="S18" s="133"/>
      <c r="T18" s="133"/>
      <c r="U18" s="133"/>
      <c r="V18" s="131"/>
      <c r="W18" s="79"/>
      <c r="X18" s="80"/>
      <c r="Y18" s="81"/>
      <c r="Z18" s="81"/>
    </row>
    <row r="19" spans="2:26">
      <c r="D19" s="83"/>
      <c r="E19" s="84"/>
      <c r="G19" s="127"/>
      <c r="H19" s="127"/>
      <c r="I19" s="127"/>
      <c r="J19" s="88"/>
      <c r="L19" s="127"/>
      <c r="M19" s="127"/>
      <c r="N19" s="89"/>
      <c r="O19" s="90"/>
      <c r="P19" s="82"/>
      <c r="Q19" s="91"/>
      <c r="R19" s="91"/>
      <c r="S19" s="127"/>
      <c r="T19" s="127"/>
      <c r="U19" s="128"/>
      <c r="V19" s="128"/>
      <c r="W19" s="93"/>
      <c r="X19" s="94"/>
      <c r="Y19" s="4"/>
      <c r="Z19" s="4"/>
    </row>
    <row r="20" spans="2:26">
      <c r="D20" s="83"/>
      <c r="E20" s="97"/>
      <c r="G20" s="127"/>
      <c r="H20" s="127"/>
      <c r="I20" s="127"/>
      <c r="J20" s="102"/>
      <c r="L20" s="127"/>
      <c r="M20" s="127"/>
      <c r="N20" s="104"/>
      <c r="O20" s="90"/>
      <c r="P20" s="95"/>
      <c r="Q20" s="99"/>
      <c r="R20" s="105"/>
      <c r="S20" s="127"/>
      <c r="T20" s="127"/>
      <c r="U20" s="128"/>
      <c r="V20" s="128"/>
      <c r="W20" s="108"/>
      <c r="X20" s="94"/>
      <c r="Y20" s="4"/>
      <c r="Z20" s="4"/>
    </row>
    <row r="21" spans="2:26" ht="15.75" customHeight="1">
      <c r="D21" s="83"/>
      <c r="E21" s="84"/>
      <c r="G21" s="127"/>
      <c r="H21" s="127"/>
      <c r="I21" s="127"/>
      <c r="J21" s="102"/>
      <c r="L21" s="127"/>
      <c r="M21" s="127"/>
      <c r="N21" s="111"/>
      <c r="O21" s="90"/>
      <c r="P21" s="112"/>
      <c r="Q21" s="91"/>
      <c r="R21" s="91"/>
      <c r="S21" s="127"/>
      <c r="T21" s="127"/>
      <c r="U21" s="128"/>
      <c r="V21" s="128"/>
      <c r="W21" s="93"/>
      <c r="X21" s="94"/>
      <c r="Y21" s="4"/>
      <c r="Z21" s="4"/>
    </row>
    <row r="22" spans="2:26" ht="15.75" customHeight="1">
      <c r="D22" s="83"/>
      <c r="E22" s="97"/>
      <c r="G22" s="127"/>
      <c r="H22" s="127"/>
      <c r="I22" s="127"/>
      <c r="J22" s="102"/>
      <c r="L22" s="127"/>
      <c r="M22" s="127"/>
      <c r="N22" s="104"/>
      <c r="O22" s="90"/>
      <c r="P22" s="95"/>
      <c r="Q22" s="99"/>
      <c r="R22" s="105"/>
      <c r="S22" s="127"/>
      <c r="T22" s="127"/>
      <c r="U22" s="128"/>
      <c r="V22" s="128"/>
      <c r="W22" s="108"/>
      <c r="X22" s="94"/>
      <c r="Y22" s="4"/>
      <c r="Z22" s="4"/>
    </row>
    <row r="23" spans="2:26" ht="15.75" customHeight="1">
      <c r="D23" s="83"/>
      <c r="E23" s="84"/>
      <c r="G23" s="127"/>
      <c r="H23" s="127"/>
      <c r="I23" s="127"/>
      <c r="J23" s="102"/>
      <c r="L23" s="127"/>
      <c r="M23" s="127"/>
      <c r="N23" s="111"/>
      <c r="O23" s="90"/>
      <c r="P23" s="112"/>
      <c r="Q23" s="91"/>
      <c r="R23" s="91"/>
      <c r="S23" s="127"/>
      <c r="T23" s="127"/>
      <c r="U23" s="128"/>
      <c r="V23" s="128"/>
      <c r="W23" s="93"/>
      <c r="X23" s="94"/>
      <c r="Y23" s="4"/>
      <c r="Z23" s="4"/>
    </row>
    <row r="24" spans="2:26" ht="15.75" customHeight="1">
      <c r="D24" s="83"/>
      <c r="E24" s="97"/>
      <c r="G24" s="127"/>
      <c r="H24" s="127"/>
      <c r="I24" s="127"/>
      <c r="J24" s="102"/>
      <c r="L24" s="127"/>
      <c r="M24" s="127"/>
      <c r="N24" s="104"/>
      <c r="O24" s="90"/>
      <c r="P24" s="95"/>
      <c r="Q24" s="99"/>
      <c r="R24" s="105"/>
      <c r="S24" s="127"/>
      <c r="T24" s="127"/>
      <c r="U24" s="128"/>
      <c r="V24" s="128"/>
      <c r="W24" s="108"/>
      <c r="X24" s="94"/>
      <c r="Y24" s="4"/>
      <c r="Z24" s="4"/>
    </row>
    <row r="25" spans="2:26" ht="15.75" customHeight="1">
      <c r="D25" s="83"/>
      <c r="E25" s="84"/>
      <c r="G25" s="127"/>
      <c r="H25" s="127"/>
      <c r="I25" s="127"/>
      <c r="J25" s="102"/>
      <c r="L25" s="127"/>
      <c r="M25" s="127"/>
      <c r="N25" s="111"/>
      <c r="O25" s="90"/>
      <c r="P25" s="112"/>
      <c r="Q25" s="91"/>
      <c r="R25" s="91"/>
      <c r="S25" s="127"/>
      <c r="T25" s="127"/>
      <c r="U25" s="128"/>
      <c r="V25" s="128"/>
      <c r="W25" s="93"/>
      <c r="X25" s="94"/>
      <c r="Y25" s="4"/>
      <c r="Z25" s="4"/>
    </row>
    <row r="26" spans="2:26" ht="15.75" customHeight="1">
      <c r="D26" s="83"/>
      <c r="E26" s="97"/>
      <c r="G26" s="127"/>
      <c r="H26" s="127"/>
      <c r="I26" s="127"/>
      <c r="J26" s="102"/>
      <c r="L26" s="127"/>
      <c r="M26" s="127"/>
      <c r="N26" s="104"/>
      <c r="O26" s="90"/>
      <c r="P26" s="95"/>
      <c r="Q26" s="99"/>
      <c r="R26" s="105"/>
      <c r="S26" s="127"/>
      <c r="T26" s="127"/>
      <c r="U26" s="128"/>
      <c r="V26" s="128"/>
      <c r="W26" s="108"/>
      <c r="X26" s="94"/>
      <c r="Y26" s="4"/>
      <c r="Z26" s="113"/>
    </row>
    <row r="27" spans="2:26" ht="15.75" customHeight="1">
      <c r="D27" s="83"/>
      <c r="E27" s="84"/>
      <c r="G27" s="127"/>
      <c r="H27" s="127"/>
      <c r="I27" s="127"/>
      <c r="J27" s="102"/>
      <c r="L27" s="127"/>
      <c r="M27" s="127"/>
      <c r="N27" s="111"/>
      <c r="O27" s="90"/>
      <c r="P27" s="112"/>
      <c r="Q27" s="91"/>
      <c r="R27" s="91"/>
      <c r="S27" s="127"/>
      <c r="T27" s="127"/>
      <c r="U27" s="128"/>
      <c r="V27" s="128"/>
      <c r="W27" s="93"/>
      <c r="X27" s="94"/>
      <c r="Y27" s="4"/>
      <c r="Z27" s="4"/>
    </row>
    <row r="28" spans="2:26" ht="15.75" customHeight="1">
      <c r="D28" s="83"/>
      <c r="E28" s="84"/>
      <c r="J28" s="102"/>
      <c r="N28" s="111"/>
      <c r="O28" s="90"/>
      <c r="P28" s="112"/>
      <c r="Q28" s="91"/>
      <c r="R28" s="91"/>
      <c r="U28" s="128"/>
      <c r="V28" s="128"/>
      <c r="W28" s="93"/>
      <c r="X28" s="94"/>
      <c r="Y28" s="4"/>
      <c r="Z28" s="4"/>
    </row>
    <row r="29" spans="2:26" ht="15.75" customHeight="1">
      <c r="D29" s="83"/>
      <c r="E29" s="97"/>
      <c r="G29" s="127"/>
      <c r="H29" s="127"/>
      <c r="I29" s="127"/>
      <c r="J29" s="102"/>
      <c r="L29" s="127"/>
      <c r="M29" s="127"/>
      <c r="N29" s="104"/>
      <c r="O29" s="90"/>
      <c r="P29" s="95"/>
      <c r="Q29" s="99"/>
      <c r="R29" s="105"/>
      <c r="S29" s="127"/>
      <c r="T29" s="127"/>
      <c r="U29" s="128"/>
      <c r="V29" s="128"/>
      <c r="W29" s="108"/>
      <c r="X29" s="94"/>
      <c r="Y29" s="4"/>
      <c r="Z29" s="4"/>
    </row>
    <row r="30" spans="2:26" ht="15.75" customHeight="1">
      <c r="D30" s="83"/>
      <c r="E30" s="84"/>
      <c r="G30" s="127"/>
      <c r="H30" s="127"/>
      <c r="I30" s="127"/>
      <c r="J30" s="102"/>
      <c r="L30" s="127"/>
      <c r="M30" s="127"/>
      <c r="N30" s="111"/>
      <c r="O30" s="90"/>
      <c r="P30" s="112"/>
      <c r="Q30" s="91"/>
      <c r="R30" s="91"/>
      <c r="S30" s="127"/>
      <c r="T30" s="127"/>
      <c r="U30" s="128"/>
      <c r="V30" s="128"/>
      <c r="W30" s="93"/>
    </row>
    <row r="31" spans="2:26" ht="15.75" customHeight="1">
      <c r="D31" s="83"/>
      <c r="E31" s="97"/>
      <c r="G31" s="127"/>
      <c r="H31" s="127"/>
      <c r="I31" s="127"/>
      <c r="J31" s="102"/>
      <c r="L31" s="127"/>
      <c r="M31" s="127"/>
      <c r="N31" s="104"/>
      <c r="O31" s="90"/>
      <c r="P31" s="95"/>
      <c r="Q31" s="99"/>
      <c r="R31" s="105"/>
      <c r="S31" s="127"/>
      <c r="T31" s="127"/>
      <c r="U31" s="128"/>
      <c r="V31" s="128"/>
      <c r="W31" s="108"/>
    </row>
    <row r="32" spans="2:26" ht="15.75" customHeight="1">
      <c r="D32" s="83"/>
      <c r="E32" s="84"/>
      <c r="G32" s="127"/>
      <c r="H32" s="127"/>
      <c r="I32" s="127"/>
      <c r="J32" s="102"/>
      <c r="L32" s="127"/>
      <c r="M32" s="127"/>
      <c r="N32" s="111"/>
      <c r="O32" s="90"/>
      <c r="P32" s="112"/>
      <c r="Q32" s="91"/>
      <c r="R32" s="91"/>
      <c r="S32" s="127"/>
      <c r="T32" s="127"/>
      <c r="U32" s="128"/>
      <c r="V32" s="128"/>
      <c r="W32" s="93"/>
    </row>
    <row r="33" spans="2:26" ht="15.75" customHeight="1">
      <c r="D33" s="83"/>
      <c r="E33" s="97"/>
      <c r="G33" s="127"/>
      <c r="H33" s="127"/>
      <c r="I33" s="127"/>
      <c r="J33" s="102"/>
      <c r="L33" s="127"/>
      <c r="M33" s="127"/>
      <c r="N33" s="104"/>
      <c r="O33" s="90"/>
      <c r="P33" s="95"/>
      <c r="Q33" s="99"/>
      <c r="R33" s="105"/>
      <c r="S33" s="127"/>
      <c r="T33" s="127"/>
      <c r="U33" s="128"/>
      <c r="V33" s="128"/>
      <c r="W33" s="108"/>
    </row>
    <row r="34" spans="2:26" ht="15.75" customHeight="1">
      <c r="D34" s="83"/>
      <c r="E34" s="84"/>
      <c r="G34" s="127"/>
      <c r="H34" s="127"/>
      <c r="I34" s="127"/>
      <c r="J34" s="102"/>
      <c r="L34" s="127"/>
      <c r="M34" s="127"/>
      <c r="N34" s="111"/>
      <c r="O34" s="90"/>
      <c r="P34" s="112"/>
      <c r="Q34" s="91"/>
      <c r="R34" s="91"/>
      <c r="S34" s="127"/>
      <c r="T34" s="127"/>
      <c r="U34" s="128"/>
      <c r="V34" s="128"/>
      <c r="W34" s="93"/>
    </row>
    <row r="35" spans="2:26" ht="15.75" customHeight="1">
      <c r="D35" s="83"/>
      <c r="E35" s="97"/>
      <c r="J35" s="102"/>
      <c r="N35" s="104"/>
      <c r="O35" s="90"/>
      <c r="P35" s="95"/>
      <c r="Q35" s="99"/>
      <c r="R35" s="105"/>
      <c r="W35" s="108"/>
    </row>
    <row r="36" spans="2:26" ht="15.75" customHeight="1">
      <c r="D36" s="83"/>
      <c r="E36" s="84"/>
      <c r="G36" s="127"/>
      <c r="H36" s="127"/>
      <c r="I36" s="127"/>
      <c r="J36" s="102"/>
      <c r="L36" s="127"/>
      <c r="M36" s="127"/>
      <c r="N36" s="111"/>
      <c r="O36" s="90"/>
      <c r="P36" s="112"/>
      <c r="Q36" s="91"/>
      <c r="R36" s="91"/>
      <c r="S36" s="127"/>
      <c r="T36" s="127"/>
      <c r="U36" s="128"/>
      <c r="V36" s="128"/>
      <c r="W36" s="108"/>
    </row>
    <row r="37" spans="2:26" ht="15.75" customHeight="1">
      <c r="D37" s="83"/>
      <c r="E37" s="97"/>
      <c r="G37" s="127"/>
      <c r="H37" s="127"/>
      <c r="I37" s="127"/>
      <c r="J37" s="102"/>
      <c r="L37" s="127"/>
      <c r="M37" s="127"/>
      <c r="N37" s="104"/>
      <c r="O37" s="90"/>
      <c r="P37" s="95"/>
      <c r="Q37" s="99"/>
      <c r="R37" s="105"/>
      <c r="S37" s="127"/>
      <c r="T37" s="127"/>
      <c r="U37" s="128"/>
      <c r="V37" s="128"/>
      <c r="W37" s="108"/>
    </row>
    <row r="38" spans="2:26" ht="15.75" customHeight="1">
      <c r="D38" s="83"/>
      <c r="E38" s="84"/>
      <c r="G38" s="127"/>
      <c r="H38" s="127"/>
      <c r="I38" s="127"/>
      <c r="J38" s="102"/>
      <c r="L38" s="127"/>
      <c r="M38" s="127"/>
      <c r="N38" s="111"/>
      <c r="O38" s="90"/>
      <c r="P38" s="112"/>
      <c r="Q38" s="91"/>
      <c r="R38" s="91"/>
      <c r="S38" s="127"/>
      <c r="T38" s="127"/>
      <c r="U38" s="128"/>
      <c r="V38" s="128"/>
      <c r="W38" s="108"/>
    </row>
    <row r="39" spans="2:26" ht="15.75" customHeight="1">
      <c r="D39" s="83"/>
      <c r="E39" s="97"/>
      <c r="G39" s="127"/>
      <c r="H39" s="127"/>
      <c r="I39" s="127"/>
      <c r="J39" s="102"/>
      <c r="L39" s="127"/>
      <c r="M39" s="127"/>
      <c r="N39" s="104"/>
      <c r="O39" s="90"/>
      <c r="P39" s="95"/>
      <c r="Q39" s="99"/>
      <c r="R39" s="105"/>
      <c r="S39" s="127"/>
      <c r="T39" s="127"/>
      <c r="U39" s="128"/>
      <c r="V39" s="128"/>
      <c r="W39" s="108"/>
    </row>
    <row r="40" spans="2:26" ht="15.75" customHeight="1">
      <c r="B40" s="129"/>
      <c r="D40" s="83"/>
      <c r="E40" s="84"/>
      <c r="G40" s="127"/>
      <c r="H40" s="127"/>
      <c r="I40" s="127"/>
      <c r="J40" s="102"/>
      <c r="L40" s="127"/>
      <c r="M40" s="127"/>
      <c r="N40" s="111"/>
      <c r="O40" s="90"/>
      <c r="P40" s="112"/>
      <c r="Q40" s="91"/>
      <c r="R40" s="91"/>
      <c r="S40" s="127"/>
      <c r="T40" s="127"/>
      <c r="U40" s="128"/>
      <c r="V40" s="128"/>
      <c r="W40" s="108"/>
    </row>
    <row r="41" spans="2:26" ht="15.75" customHeight="1">
      <c r="D41" s="83"/>
      <c r="E41" s="97"/>
      <c r="G41" s="127"/>
      <c r="H41" s="127"/>
      <c r="I41" s="127"/>
      <c r="J41" s="102"/>
      <c r="L41" s="127"/>
      <c r="M41" s="127"/>
      <c r="N41" s="104"/>
      <c r="O41" s="90"/>
      <c r="P41" s="95"/>
      <c r="Q41" s="99"/>
      <c r="R41" s="105"/>
      <c r="S41" s="127"/>
      <c r="T41" s="127"/>
      <c r="U41" s="128"/>
      <c r="V41" s="128"/>
      <c r="W41" s="108"/>
    </row>
    <row r="42" spans="2:26" ht="15.75" customHeight="1">
      <c r="D42" s="83"/>
      <c r="E42" s="84"/>
      <c r="G42" s="127"/>
      <c r="H42" s="127"/>
      <c r="I42" s="127"/>
      <c r="J42" s="102"/>
      <c r="L42" s="127"/>
      <c r="M42" s="127"/>
      <c r="N42" s="111"/>
      <c r="O42" s="90"/>
      <c r="P42" s="112"/>
      <c r="Q42" s="91"/>
      <c r="R42" s="91"/>
      <c r="S42" s="127"/>
      <c r="T42" s="127"/>
      <c r="U42" s="128"/>
      <c r="V42" s="128"/>
      <c r="W42" s="108"/>
    </row>
    <row r="43" spans="2:26" ht="15.75" customHeight="1">
      <c r="D43" s="83"/>
      <c r="E43" s="97"/>
      <c r="G43" s="127"/>
      <c r="H43" s="127"/>
      <c r="I43" s="127"/>
      <c r="J43" s="102"/>
      <c r="L43" s="127"/>
      <c r="M43" s="127"/>
      <c r="N43" s="104"/>
      <c r="O43" s="90"/>
      <c r="P43" s="95"/>
      <c r="Q43" s="99"/>
      <c r="R43" s="105"/>
      <c r="S43" s="127"/>
      <c r="T43" s="127"/>
      <c r="U43" s="128"/>
      <c r="V43" s="128"/>
      <c r="W43" s="108"/>
    </row>
    <row r="44" spans="2:26" ht="15.75" customHeight="1">
      <c r="D44" s="83"/>
      <c r="E44" s="84"/>
      <c r="G44" s="127"/>
      <c r="H44" s="127"/>
      <c r="I44" s="127"/>
      <c r="J44" s="102"/>
      <c r="L44" s="127"/>
      <c r="M44" s="127"/>
      <c r="N44" s="111"/>
      <c r="O44" s="90"/>
      <c r="P44" s="112"/>
      <c r="Q44" s="91"/>
      <c r="R44" s="91"/>
      <c r="S44" s="127"/>
      <c r="T44" s="127"/>
      <c r="U44" s="128"/>
      <c r="V44" s="128"/>
      <c r="W44" s="108"/>
    </row>
    <row r="45" spans="2:26" ht="15.75" customHeight="1">
      <c r="D45" s="83"/>
      <c r="E45" s="97"/>
      <c r="J45" s="102"/>
      <c r="N45" s="104"/>
      <c r="O45" s="90"/>
      <c r="P45" s="95"/>
      <c r="Q45" s="99"/>
      <c r="R45" s="105"/>
      <c r="U45" s="128"/>
      <c r="V45" s="128"/>
      <c r="W45" s="108"/>
    </row>
    <row r="46" spans="2:26" ht="15.75" customHeight="1">
      <c r="D46" s="83"/>
      <c r="E46" s="84"/>
      <c r="G46" s="127"/>
      <c r="H46" s="127"/>
      <c r="I46" s="127"/>
      <c r="J46" s="102"/>
      <c r="L46" s="127"/>
      <c r="M46" s="127"/>
      <c r="N46" s="111"/>
      <c r="O46" s="90"/>
      <c r="P46" s="112"/>
      <c r="Q46" s="91"/>
      <c r="R46" s="91"/>
      <c r="S46" s="127"/>
      <c r="T46" s="127"/>
      <c r="U46" s="128"/>
      <c r="V46" s="128"/>
      <c r="W46" s="108"/>
    </row>
    <row r="47" spans="2:26" ht="15.75" customHeight="1">
      <c r="D47" s="83"/>
      <c r="E47" s="97"/>
      <c r="G47" s="127"/>
      <c r="H47" s="127"/>
      <c r="I47" s="127"/>
      <c r="J47" s="102"/>
      <c r="L47" s="127"/>
      <c r="M47" s="127"/>
      <c r="N47" s="104"/>
      <c r="O47" s="90"/>
      <c r="P47" s="95"/>
      <c r="Q47" s="99"/>
      <c r="R47" s="105"/>
      <c r="S47" s="127"/>
      <c r="T47" s="127"/>
      <c r="U47" s="128"/>
      <c r="V47" s="128"/>
      <c r="W47" s="108"/>
      <c r="X47" s="94"/>
      <c r="Y47" s="4"/>
      <c r="Z47" s="4"/>
    </row>
    <row r="48" spans="2:26" ht="15.75" customHeight="1">
      <c r="D48" s="83"/>
      <c r="E48" s="84"/>
      <c r="G48" s="127"/>
      <c r="H48" s="127"/>
      <c r="I48" s="127"/>
      <c r="J48" s="102"/>
      <c r="L48" s="127"/>
      <c r="M48" s="127"/>
      <c r="N48" s="111"/>
      <c r="O48" s="90"/>
      <c r="P48" s="112"/>
      <c r="Q48" s="91"/>
      <c r="R48" s="91"/>
      <c r="S48" s="127"/>
      <c r="T48" s="127"/>
      <c r="U48" s="128"/>
      <c r="V48" s="128"/>
      <c r="W48" s="93"/>
      <c r="X48" s="94"/>
      <c r="Y48" s="4"/>
      <c r="Z48" s="4"/>
    </row>
    <row r="49" spans="2:26" ht="15.75" customHeight="1">
      <c r="D49" s="83"/>
      <c r="E49" s="97"/>
      <c r="G49" s="127"/>
      <c r="H49" s="127"/>
      <c r="I49" s="127"/>
      <c r="J49" s="102"/>
      <c r="L49" s="127"/>
      <c r="M49" s="127"/>
      <c r="N49" s="104"/>
      <c r="O49" s="90"/>
      <c r="P49" s="95"/>
      <c r="Q49" s="99"/>
      <c r="R49" s="105"/>
      <c r="S49" s="127"/>
      <c r="T49" s="127"/>
      <c r="U49" s="128"/>
      <c r="V49" s="128"/>
      <c r="W49" s="108"/>
      <c r="X49" s="94"/>
      <c r="Y49" s="4"/>
      <c r="Z49" s="4"/>
    </row>
    <row r="50" spans="2:26" ht="15.75" customHeight="1">
      <c r="D50" s="83"/>
      <c r="E50" s="84"/>
      <c r="G50" s="127"/>
      <c r="H50" s="127"/>
      <c r="I50" s="127"/>
      <c r="J50" s="102"/>
      <c r="L50" s="127"/>
      <c r="M50" s="127"/>
      <c r="N50" s="111"/>
      <c r="O50" s="90"/>
      <c r="P50" s="112"/>
      <c r="Q50" s="91"/>
      <c r="R50" s="91"/>
      <c r="S50" s="127"/>
      <c r="T50" s="127"/>
      <c r="U50" s="128"/>
      <c r="V50" s="128"/>
      <c r="W50" s="93"/>
    </row>
    <row r="51" spans="2:26" ht="15.75" customHeight="1">
      <c r="D51" s="83"/>
      <c r="E51" s="97"/>
      <c r="G51" s="127"/>
      <c r="H51" s="127"/>
      <c r="I51" s="127"/>
      <c r="J51" s="102"/>
      <c r="L51" s="127"/>
      <c r="M51" s="127"/>
      <c r="N51" s="104"/>
      <c r="O51" s="90"/>
      <c r="P51" s="95"/>
      <c r="Q51" s="99"/>
      <c r="R51" s="105"/>
      <c r="S51" s="127"/>
      <c r="T51" s="127"/>
      <c r="U51" s="128"/>
      <c r="V51" s="128"/>
      <c r="W51" s="108"/>
    </row>
    <row r="52" spans="2:26" ht="15.75" customHeight="1">
      <c r="D52" s="83"/>
      <c r="E52" s="84"/>
      <c r="G52" s="127"/>
      <c r="H52" s="127"/>
      <c r="I52" s="127"/>
      <c r="J52" s="102"/>
      <c r="L52" s="127"/>
      <c r="M52" s="127"/>
      <c r="N52" s="111"/>
      <c r="O52" s="90"/>
      <c r="P52" s="112"/>
      <c r="Q52" s="91"/>
      <c r="R52" s="91"/>
      <c r="S52" s="127"/>
      <c r="T52" s="127"/>
      <c r="U52" s="128"/>
      <c r="V52" s="128"/>
      <c r="W52" s="93"/>
    </row>
    <row r="53" spans="2:26" ht="15.75" customHeight="1">
      <c r="D53" s="83"/>
      <c r="E53" s="97"/>
      <c r="J53" s="102"/>
      <c r="N53" s="104"/>
      <c r="O53" s="90"/>
      <c r="P53" s="95"/>
      <c r="Q53" s="99"/>
      <c r="R53" s="105"/>
      <c r="U53" s="128"/>
      <c r="V53" s="128"/>
      <c r="W53" s="108"/>
    </row>
    <row r="54" spans="2:26" ht="15.75" customHeight="1">
      <c r="D54" s="83"/>
      <c r="E54" s="84"/>
      <c r="G54" s="127"/>
      <c r="H54" s="127"/>
      <c r="I54" s="127"/>
      <c r="J54" s="102"/>
      <c r="L54" s="127"/>
      <c r="M54" s="127"/>
      <c r="N54" s="111"/>
      <c r="O54" s="90"/>
      <c r="P54" s="112"/>
      <c r="Q54" s="91"/>
      <c r="R54" s="91"/>
      <c r="S54" s="127"/>
      <c r="T54" s="127"/>
      <c r="U54" s="128"/>
      <c r="V54" s="128"/>
      <c r="W54" s="93"/>
    </row>
    <row r="55" spans="2:26" ht="15.75" customHeight="1">
      <c r="D55" s="83"/>
      <c r="E55" s="97"/>
      <c r="J55" s="102"/>
      <c r="N55" s="104"/>
      <c r="O55" s="90"/>
      <c r="P55" s="95"/>
      <c r="Q55" s="99"/>
      <c r="R55" s="105"/>
      <c r="U55" s="128"/>
      <c r="V55" s="128"/>
      <c r="W55" s="108"/>
    </row>
    <row r="56" spans="2:26" ht="15.75" customHeight="1">
      <c r="D56" s="83"/>
      <c r="E56" s="84"/>
      <c r="G56" s="127"/>
      <c r="H56" s="127"/>
      <c r="I56" s="127"/>
      <c r="J56" s="102"/>
      <c r="L56" s="127"/>
      <c r="M56" s="127"/>
      <c r="N56" s="111"/>
      <c r="O56" s="90"/>
      <c r="P56" s="112"/>
      <c r="Q56" s="91"/>
      <c r="R56" s="91"/>
      <c r="S56" s="127"/>
      <c r="T56" s="127"/>
      <c r="U56" s="128"/>
      <c r="V56" s="128"/>
      <c r="W56" s="108"/>
    </row>
    <row r="57" spans="2:26" ht="15.75" customHeight="1">
      <c r="D57" s="83"/>
      <c r="E57" s="97"/>
      <c r="G57" s="127"/>
      <c r="H57" s="127"/>
      <c r="I57" s="127"/>
      <c r="J57" s="102"/>
      <c r="L57" s="127"/>
      <c r="M57" s="127"/>
      <c r="N57" s="104"/>
      <c r="O57" s="90"/>
      <c r="P57" s="95"/>
      <c r="Q57" s="99"/>
      <c r="R57" s="105"/>
      <c r="S57" s="127"/>
      <c r="T57" s="127"/>
      <c r="U57" s="128"/>
      <c r="V57" s="128"/>
      <c r="W57" s="108"/>
    </row>
    <row r="58" spans="2:26" ht="15.75" customHeight="1">
      <c r="D58" s="83"/>
      <c r="E58" s="84"/>
      <c r="G58" s="127"/>
      <c r="H58" s="127"/>
      <c r="I58" s="127"/>
      <c r="J58" s="102"/>
      <c r="L58" s="127"/>
      <c r="M58" s="127"/>
      <c r="N58" s="111"/>
      <c r="O58" s="90"/>
      <c r="P58" s="112"/>
      <c r="Q58" s="91"/>
      <c r="R58" s="91"/>
      <c r="S58" s="127"/>
      <c r="T58" s="127"/>
      <c r="U58" s="128"/>
      <c r="V58" s="128"/>
      <c r="W58" s="108"/>
    </row>
    <row r="59" spans="2:26" ht="15.75" customHeight="1">
      <c r="D59" s="83"/>
      <c r="E59" s="97"/>
      <c r="G59" s="127"/>
      <c r="H59" s="127"/>
      <c r="I59" s="127"/>
      <c r="J59" s="102"/>
      <c r="L59" s="127"/>
      <c r="M59" s="127"/>
      <c r="N59" s="104"/>
      <c r="O59" s="90"/>
      <c r="P59" s="95"/>
      <c r="Q59" s="99"/>
      <c r="R59" s="105"/>
      <c r="S59" s="127"/>
      <c r="T59" s="127"/>
      <c r="U59" s="128"/>
      <c r="V59" s="128"/>
      <c r="W59" s="108"/>
    </row>
    <row r="60" spans="2:26" ht="15.75" customHeight="1">
      <c r="D60" s="83"/>
      <c r="E60" s="84"/>
      <c r="G60" s="127"/>
      <c r="H60" s="127"/>
      <c r="I60" s="127"/>
      <c r="J60" s="102"/>
      <c r="L60" s="127"/>
      <c r="M60" s="127"/>
      <c r="N60" s="111"/>
      <c r="O60" s="90"/>
      <c r="P60" s="112"/>
      <c r="Q60" s="91"/>
      <c r="R60" s="91"/>
      <c r="S60" s="127"/>
      <c r="T60" s="127"/>
      <c r="U60" s="128"/>
      <c r="V60" s="128"/>
      <c r="W60" s="108"/>
    </row>
    <row r="61" spans="2:26" ht="15.75" customHeight="1">
      <c r="D61" s="83"/>
      <c r="E61" s="97"/>
      <c r="G61" s="127"/>
      <c r="H61" s="127"/>
      <c r="I61" s="127"/>
      <c r="J61" s="102"/>
      <c r="L61" s="127"/>
      <c r="M61" s="127"/>
      <c r="N61" s="104"/>
      <c r="O61" s="90"/>
      <c r="P61" s="95"/>
      <c r="Q61" s="99"/>
      <c r="R61" s="105"/>
      <c r="S61" s="127"/>
      <c r="T61" s="127"/>
      <c r="U61" s="128"/>
      <c r="V61" s="128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128"/>
      <c r="V62" s="128"/>
      <c r="W62" s="108"/>
    </row>
    <row r="63" spans="2:26" ht="15.75" customHeight="1">
      <c r="D63" s="83"/>
      <c r="E63" s="97"/>
      <c r="G63" s="127"/>
      <c r="H63" s="127"/>
      <c r="I63" s="127"/>
      <c r="J63" s="102"/>
      <c r="L63" s="127"/>
      <c r="M63" s="127"/>
      <c r="N63" s="104"/>
      <c r="O63" s="90"/>
      <c r="P63" s="95"/>
      <c r="Q63" s="99"/>
      <c r="R63" s="105"/>
      <c r="S63" s="127"/>
      <c r="T63" s="127"/>
      <c r="U63" s="128"/>
      <c r="V63" s="128"/>
      <c r="W63" s="108"/>
    </row>
    <row r="64" spans="2:26" ht="15.75" customHeight="1">
      <c r="B64" s="129"/>
      <c r="D64" s="83"/>
      <c r="E64" s="84"/>
      <c r="G64" s="127"/>
      <c r="H64" s="127"/>
      <c r="I64" s="127"/>
      <c r="J64" s="102"/>
      <c r="L64" s="127"/>
      <c r="M64" s="127"/>
      <c r="N64" s="111"/>
      <c r="O64" s="90"/>
      <c r="P64" s="112"/>
      <c r="Q64" s="91"/>
      <c r="R64" s="91"/>
      <c r="S64" s="127"/>
      <c r="T64" s="127"/>
      <c r="U64" s="128"/>
      <c r="V64" s="128"/>
      <c r="W64" s="108"/>
    </row>
    <row r="65" spans="4:26" ht="15.75" customHeight="1">
      <c r="D65" s="83"/>
      <c r="E65" s="97"/>
      <c r="G65" s="127"/>
      <c r="H65" s="127"/>
      <c r="I65" s="127"/>
      <c r="J65" s="102"/>
      <c r="L65" s="127"/>
      <c r="M65" s="127"/>
      <c r="N65" s="104"/>
      <c r="O65" s="90"/>
      <c r="P65" s="95"/>
      <c r="Q65" s="99"/>
      <c r="R65" s="105"/>
      <c r="S65" s="127"/>
      <c r="T65" s="127"/>
      <c r="U65" s="128"/>
      <c r="V65" s="128"/>
      <c r="W65" s="108"/>
    </row>
    <row r="66" spans="4:26">
      <c r="D66" s="83"/>
      <c r="E66" s="84"/>
      <c r="G66" s="127"/>
      <c r="H66" s="127"/>
      <c r="I66" s="127"/>
      <c r="J66" s="102"/>
      <c r="L66" s="127"/>
      <c r="M66" s="127"/>
      <c r="N66" s="111"/>
      <c r="O66" s="90"/>
      <c r="P66" s="112"/>
      <c r="Q66" s="91"/>
      <c r="R66" s="91"/>
      <c r="S66" s="127"/>
      <c r="T66" s="127"/>
      <c r="U66" s="128"/>
      <c r="V66" s="128"/>
      <c r="W66" s="93"/>
      <c r="X66" s="94"/>
      <c r="Y66" s="4"/>
      <c r="Z66" s="4"/>
    </row>
    <row r="67" spans="4:26" ht="15.75" customHeight="1">
      <c r="D67" s="83"/>
      <c r="E67" s="97"/>
      <c r="G67" s="127"/>
      <c r="H67" s="127"/>
      <c r="I67" s="127"/>
      <c r="J67" s="102"/>
      <c r="L67" s="127"/>
      <c r="M67" s="127"/>
      <c r="N67" s="104"/>
      <c r="O67" s="90"/>
      <c r="P67" s="95"/>
      <c r="Q67" s="99"/>
      <c r="R67" s="105"/>
      <c r="S67" s="127"/>
      <c r="T67" s="127"/>
      <c r="U67" s="128"/>
      <c r="V67" s="128"/>
      <c r="W67" s="108"/>
      <c r="X67" s="94"/>
      <c r="Y67" s="4"/>
      <c r="Z67" s="4"/>
    </row>
    <row r="68" spans="4:26" ht="15.75" customHeight="1">
      <c r="D68" s="83"/>
      <c r="E68" s="84"/>
      <c r="J68" s="102"/>
      <c r="N68" s="111"/>
      <c r="O68" s="90"/>
      <c r="P68" s="112"/>
      <c r="Q68" s="91"/>
      <c r="R68" s="91"/>
      <c r="U68" s="128"/>
      <c r="V68" s="128"/>
      <c r="W68" s="93"/>
      <c r="X68" s="94"/>
      <c r="Y68" s="4"/>
      <c r="Z68" s="4"/>
    </row>
    <row r="69" spans="4:26" ht="15.75" customHeight="1">
      <c r="D69" s="83"/>
      <c r="E69" s="97"/>
      <c r="G69" s="127"/>
      <c r="H69" s="127"/>
      <c r="I69" s="127"/>
      <c r="J69" s="102"/>
      <c r="L69" s="127"/>
      <c r="M69" s="127"/>
      <c r="N69" s="104"/>
      <c r="O69" s="90"/>
      <c r="P69" s="95"/>
      <c r="Q69" s="99"/>
      <c r="R69" s="105"/>
      <c r="S69" s="127"/>
      <c r="T69" s="127"/>
      <c r="U69" s="128"/>
      <c r="V69" s="128"/>
      <c r="W69" s="108"/>
      <c r="X69" s="94"/>
      <c r="Y69" s="4"/>
      <c r="Z69" s="4"/>
    </row>
    <row r="70" spans="4:26" ht="15.75" customHeight="1">
      <c r="D70" s="83"/>
      <c r="E70" s="84"/>
      <c r="G70" s="127"/>
      <c r="H70" s="127"/>
      <c r="I70" s="127"/>
      <c r="J70" s="102"/>
      <c r="L70" s="127"/>
      <c r="M70" s="127"/>
      <c r="N70" s="111"/>
      <c r="O70" s="90"/>
      <c r="P70" s="112"/>
      <c r="Q70" s="91"/>
      <c r="R70" s="91"/>
      <c r="S70" s="127"/>
      <c r="T70" s="127"/>
      <c r="U70" s="128"/>
      <c r="V70" s="128"/>
      <c r="W70" s="93"/>
      <c r="X70" s="94"/>
      <c r="Y70" s="4"/>
      <c r="Z70" s="4"/>
    </row>
    <row r="71" spans="4:26" ht="15.75" customHeight="1">
      <c r="D71" s="83"/>
      <c r="E71" s="97"/>
      <c r="G71" s="127"/>
      <c r="H71" s="127"/>
      <c r="I71" s="127"/>
      <c r="J71" s="102"/>
      <c r="L71" s="127"/>
      <c r="M71" s="127"/>
      <c r="N71" s="104"/>
      <c r="O71" s="90"/>
      <c r="P71" s="95"/>
      <c r="Q71" s="99"/>
      <c r="R71" s="105"/>
      <c r="S71" s="127"/>
      <c r="T71" s="127"/>
      <c r="U71" s="128"/>
      <c r="V71" s="128"/>
      <c r="W71" s="108"/>
      <c r="X71" s="94"/>
      <c r="Y71" s="4"/>
      <c r="Z71" s="4"/>
    </row>
    <row r="72" spans="4:26" ht="15.75" customHeight="1">
      <c r="D72" s="83"/>
      <c r="E72" s="84"/>
      <c r="G72" s="127"/>
      <c r="H72" s="127"/>
      <c r="I72" s="127"/>
      <c r="J72" s="102"/>
      <c r="L72" s="127"/>
      <c r="M72" s="127"/>
      <c r="N72" s="111"/>
      <c r="O72" s="90"/>
      <c r="P72" s="112"/>
      <c r="Q72" s="91"/>
      <c r="R72" s="91"/>
      <c r="S72" s="127"/>
      <c r="T72" s="127"/>
      <c r="U72" s="128"/>
      <c r="V72" s="128"/>
      <c r="W72" s="93"/>
      <c r="X72" s="94"/>
      <c r="Y72" s="4"/>
      <c r="Z72" s="4"/>
    </row>
    <row r="73" spans="4:26" ht="15.75" customHeight="1">
      <c r="D73" s="83"/>
      <c r="E73" s="97"/>
      <c r="G73" s="127"/>
      <c r="H73" s="127"/>
      <c r="I73" s="127"/>
      <c r="J73" s="102"/>
      <c r="L73" s="127"/>
      <c r="M73" s="127"/>
      <c r="N73" s="104"/>
      <c r="O73" s="90"/>
      <c r="P73" s="95"/>
      <c r="Q73" s="99"/>
      <c r="R73" s="105"/>
      <c r="S73" s="127"/>
      <c r="T73" s="127"/>
      <c r="U73" s="128"/>
      <c r="V73" s="128"/>
      <c r="W73" s="108"/>
      <c r="X73" s="94"/>
      <c r="Y73" s="4"/>
      <c r="Z73" s="113"/>
    </row>
    <row r="74" spans="4:26" ht="15.75" customHeight="1">
      <c r="D74" s="83"/>
      <c r="E74" s="84"/>
      <c r="J74" s="102"/>
      <c r="N74" s="111"/>
      <c r="O74" s="90"/>
      <c r="P74" s="112"/>
      <c r="Q74" s="91"/>
      <c r="R74" s="91"/>
      <c r="U74" s="128"/>
      <c r="V74" s="128"/>
      <c r="W74" s="93"/>
      <c r="X74" s="94"/>
      <c r="Y74" s="4"/>
      <c r="Z74" s="4"/>
    </row>
    <row r="75" spans="4:26" ht="15.75" customHeight="1">
      <c r="D75" s="83"/>
      <c r="E75" s="84"/>
      <c r="J75" s="102"/>
      <c r="N75" s="111"/>
      <c r="O75" s="90"/>
      <c r="P75" s="112"/>
      <c r="Q75" s="91"/>
      <c r="R75" s="91"/>
      <c r="U75" s="128"/>
      <c r="V75" s="128"/>
      <c r="W75" s="93"/>
      <c r="X75" s="94"/>
      <c r="Y75" s="4"/>
      <c r="Z75" s="4"/>
    </row>
    <row r="76" spans="4:26" ht="15.75" customHeight="1">
      <c r="D76" s="83"/>
      <c r="E76" s="97"/>
      <c r="G76" s="127"/>
      <c r="H76" s="127"/>
      <c r="I76" s="127"/>
      <c r="J76" s="102"/>
      <c r="L76" s="127"/>
      <c r="M76" s="127"/>
      <c r="N76" s="104"/>
      <c r="O76" s="90"/>
      <c r="P76" s="95"/>
      <c r="Q76" s="99"/>
      <c r="R76" s="105"/>
      <c r="S76" s="127"/>
      <c r="T76" s="127"/>
      <c r="U76" s="128"/>
      <c r="V76" s="128"/>
      <c r="W76" s="108"/>
      <c r="X76" s="94"/>
      <c r="Y76" s="4"/>
      <c r="Z76" s="4"/>
    </row>
    <row r="77" spans="4:26" ht="15.75" customHeight="1">
      <c r="D77" s="83"/>
      <c r="E77" s="84"/>
      <c r="G77" s="127"/>
      <c r="H77" s="127"/>
      <c r="I77" s="127"/>
      <c r="J77" s="102"/>
      <c r="L77" s="127"/>
      <c r="M77" s="127"/>
      <c r="N77" s="111"/>
      <c r="O77" s="90"/>
      <c r="P77" s="112"/>
      <c r="Q77" s="91"/>
      <c r="R77" s="91"/>
      <c r="S77" s="127"/>
      <c r="T77" s="127"/>
      <c r="U77" s="128"/>
      <c r="V77" s="128"/>
      <c r="W77" s="93"/>
    </row>
    <row r="78" spans="4:26" ht="15.75" customHeight="1">
      <c r="D78" s="83"/>
      <c r="E78" s="97"/>
      <c r="G78" s="127"/>
      <c r="H78" s="127"/>
      <c r="I78" s="127"/>
      <c r="J78" s="102"/>
      <c r="L78" s="127"/>
      <c r="M78" s="127"/>
      <c r="N78" s="104"/>
      <c r="O78" s="90"/>
      <c r="P78" s="95"/>
      <c r="Q78" s="99"/>
      <c r="R78" s="105"/>
      <c r="S78" s="127"/>
      <c r="T78" s="127"/>
      <c r="U78" s="128"/>
      <c r="V78" s="128"/>
      <c r="W78" s="108"/>
    </row>
    <row r="79" spans="4:26" ht="15.75" customHeight="1">
      <c r="D79" s="83"/>
      <c r="E79" s="84"/>
      <c r="G79" s="127"/>
      <c r="H79" s="127"/>
      <c r="I79" s="127"/>
      <c r="J79" s="102"/>
      <c r="L79" s="127"/>
      <c r="M79" s="127"/>
      <c r="N79" s="111"/>
      <c r="O79" s="90"/>
      <c r="P79" s="112"/>
      <c r="Q79" s="91"/>
      <c r="R79" s="91"/>
      <c r="S79" s="127"/>
      <c r="T79" s="127"/>
      <c r="U79" s="128"/>
      <c r="V79" s="128"/>
      <c r="W79" s="93"/>
    </row>
    <row r="80" spans="4:26" ht="15.75" customHeight="1">
      <c r="D80" s="83"/>
      <c r="E80" s="97"/>
      <c r="J80" s="102"/>
      <c r="N80" s="104"/>
      <c r="O80" s="90"/>
      <c r="P80" s="95"/>
      <c r="Q80" s="99"/>
      <c r="R80" s="105"/>
      <c r="U80" s="128"/>
      <c r="V80" s="128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128"/>
      <c r="V81" s="128"/>
      <c r="W81" s="93"/>
    </row>
    <row r="82" spans="4:26" ht="15.75" customHeight="1">
      <c r="D82" s="83"/>
      <c r="E82" s="97"/>
      <c r="G82" s="127"/>
      <c r="H82" s="127"/>
      <c r="I82" s="127"/>
      <c r="J82" s="102"/>
      <c r="L82" s="127"/>
      <c r="M82" s="127"/>
      <c r="N82" s="104"/>
      <c r="O82" s="90"/>
      <c r="P82" s="95"/>
      <c r="Q82" s="99"/>
      <c r="R82" s="105"/>
      <c r="S82" s="127"/>
      <c r="T82" s="127"/>
      <c r="U82" s="128"/>
      <c r="V82" s="128"/>
      <c r="W82" s="108"/>
    </row>
    <row r="83" spans="4:26" ht="15.75" customHeight="1">
      <c r="D83" s="83"/>
      <c r="E83" s="84"/>
      <c r="G83" s="127"/>
      <c r="H83" s="127"/>
      <c r="I83" s="127"/>
      <c r="J83" s="102"/>
      <c r="L83" s="127"/>
      <c r="M83" s="127"/>
      <c r="N83" s="111"/>
      <c r="O83" s="90"/>
      <c r="P83" s="112"/>
      <c r="Q83" s="91"/>
      <c r="R83" s="91"/>
      <c r="S83" s="127"/>
      <c r="T83" s="127"/>
      <c r="U83" s="128"/>
      <c r="V83" s="128"/>
      <c r="W83" s="108"/>
    </row>
    <row r="84" spans="4:26" ht="15.75" customHeight="1">
      <c r="D84" s="83"/>
      <c r="E84" s="97"/>
      <c r="G84" s="127"/>
      <c r="H84" s="127"/>
      <c r="I84" s="127"/>
      <c r="J84" s="102"/>
      <c r="L84" s="127"/>
      <c r="M84" s="127"/>
      <c r="N84" s="104"/>
      <c r="O84" s="90"/>
      <c r="P84" s="95"/>
      <c r="Q84" s="99"/>
      <c r="R84" s="105"/>
      <c r="S84" s="127"/>
      <c r="T84" s="127"/>
      <c r="U84" s="128"/>
      <c r="V84" s="128"/>
      <c r="W84" s="108"/>
    </row>
    <row r="85" spans="4:26" ht="15.75" customHeight="1">
      <c r="D85" s="83"/>
      <c r="E85" s="84"/>
      <c r="G85" s="127"/>
      <c r="H85" s="127"/>
      <c r="I85" s="127"/>
      <c r="J85" s="102"/>
      <c r="L85" s="127"/>
      <c r="M85" s="127"/>
      <c r="N85" s="111"/>
      <c r="O85" s="90"/>
      <c r="P85" s="112"/>
      <c r="Q85" s="91"/>
      <c r="R85" s="91"/>
      <c r="S85" s="127"/>
      <c r="T85" s="127"/>
      <c r="U85" s="128"/>
      <c r="V85" s="128"/>
      <c r="W85" s="108"/>
    </row>
    <row r="86" spans="4:26" ht="15.75" customHeight="1">
      <c r="D86" s="83"/>
      <c r="E86" s="97"/>
      <c r="G86" s="127"/>
      <c r="H86" s="127"/>
      <c r="I86" s="127"/>
      <c r="J86" s="102"/>
      <c r="L86" s="127"/>
      <c r="M86" s="127"/>
      <c r="N86" s="104"/>
      <c r="O86" s="90"/>
      <c r="P86" s="95"/>
      <c r="Q86" s="99"/>
      <c r="R86" s="105"/>
      <c r="S86" s="127"/>
      <c r="T86" s="127"/>
      <c r="U86" s="128"/>
      <c r="V86" s="128"/>
      <c r="W86" s="108"/>
    </row>
    <row r="87" spans="4:26" ht="15.75" customHeight="1">
      <c r="D87" s="83"/>
      <c r="E87" s="84"/>
      <c r="G87" s="127"/>
      <c r="H87" s="127"/>
      <c r="I87" s="127"/>
      <c r="J87" s="102"/>
      <c r="L87" s="127"/>
      <c r="M87" s="127"/>
      <c r="N87" s="111"/>
      <c r="O87" s="90"/>
      <c r="P87" s="112"/>
      <c r="Q87" s="91"/>
      <c r="R87" s="91"/>
      <c r="S87" s="127"/>
      <c r="T87" s="127"/>
      <c r="U87" s="128"/>
      <c r="V87" s="128"/>
      <c r="W87" s="108"/>
    </row>
    <row r="88" spans="4:26" ht="15.75" customHeight="1">
      <c r="D88" s="83"/>
      <c r="E88" s="97"/>
      <c r="G88" s="127"/>
      <c r="H88" s="127"/>
      <c r="I88" s="127"/>
      <c r="J88" s="102"/>
      <c r="L88" s="127"/>
      <c r="M88" s="127"/>
      <c r="N88" s="104"/>
      <c r="O88" s="90"/>
      <c r="P88" s="95"/>
      <c r="Q88" s="99"/>
      <c r="R88" s="105"/>
      <c r="S88" s="127"/>
      <c r="T88" s="127"/>
      <c r="U88" s="128"/>
      <c r="V88" s="128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128"/>
      <c r="V89" s="128"/>
      <c r="W89" s="108"/>
    </row>
    <row r="90" spans="4:26" ht="15.75" customHeight="1">
      <c r="D90" s="83"/>
      <c r="E90" s="97"/>
      <c r="G90" s="127"/>
      <c r="H90" s="127"/>
      <c r="I90" s="127"/>
      <c r="J90" s="102"/>
      <c r="L90" s="127"/>
      <c r="M90" s="127"/>
      <c r="N90" s="104"/>
      <c r="O90" s="90"/>
      <c r="P90" s="95"/>
      <c r="Q90" s="99"/>
      <c r="R90" s="105"/>
      <c r="S90" s="127"/>
      <c r="T90" s="127"/>
      <c r="U90" s="128"/>
      <c r="V90" s="128"/>
      <c r="W90" s="108"/>
    </row>
    <row r="91" spans="4:26" ht="15.75" customHeight="1">
      <c r="D91" s="83"/>
      <c r="E91" s="84"/>
      <c r="G91" s="127"/>
      <c r="H91" s="127"/>
      <c r="I91" s="127"/>
      <c r="J91" s="102"/>
      <c r="L91" s="127"/>
      <c r="M91" s="127"/>
      <c r="N91" s="111"/>
      <c r="O91" s="90"/>
      <c r="P91" s="112"/>
      <c r="Q91" s="91"/>
      <c r="R91" s="91"/>
      <c r="S91" s="127"/>
      <c r="T91" s="127"/>
      <c r="U91" s="128"/>
      <c r="V91" s="128"/>
      <c r="W91" s="108"/>
    </row>
    <row r="92" spans="4:26" ht="15.75" customHeight="1">
      <c r="D92" s="83"/>
      <c r="E92" s="97"/>
      <c r="G92" s="127"/>
      <c r="H92" s="127"/>
      <c r="I92" s="127"/>
      <c r="J92" s="102"/>
      <c r="L92" s="127"/>
      <c r="M92" s="127"/>
      <c r="N92" s="104"/>
      <c r="O92" s="90"/>
      <c r="P92" s="95"/>
      <c r="Q92" s="99"/>
      <c r="R92" s="105"/>
      <c r="S92" s="127"/>
      <c r="T92" s="127"/>
      <c r="U92" s="128"/>
      <c r="V92" s="128"/>
      <c r="W92" s="108"/>
    </row>
    <row r="93" spans="4:26" ht="15.75" customHeight="1">
      <c r="D93" s="83"/>
      <c r="E93" s="84"/>
      <c r="G93" s="127"/>
      <c r="H93" s="127"/>
      <c r="I93" s="127"/>
      <c r="J93" s="102"/>
      <c r="L93" s="127"/>
      <c r="M93" s="127"/>
      <c r="N93" s="111"/>
      <c r="O93" s="90"/>
      <c r="P93" s="112"/>
      <c r="Q93" s="91"/>
      <c r="R93" s="91"/>
      <c r="S93" s="127"/>
      <c r="T93" s="127"/>
      <c r="U93" s="128"/>
      <c r="V93" s="128"/>
      <c r="W93" s="108"/>
    </row>
    <row r="94" spans="4:26" ht="15.75" customHeight="1">
      <c r="D94" s="83"/>
      <c r="E94" s="97"/>
      <c r="G94" s="127"/>
      <c r="H94" s="127"/>
      <c r="I94" s="127"/>
      <c r="J94" s="102"/>
      <c r="L94" s="127"/>
      <c r="M94" s="127"/>
      <c r="N94" s="104"/>
      <c r="O94" s="90"/>
      <c r="P94" s="95"/>
      <c r="Q94" s="99"/>
      <c r="R94" s="105"/>
      <c r="S94" s="127"/>
      <c r="T94" s="127"/>
      <c r="U94" s="128"/>
      <c r="V94" s="128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128"/>
      <c r="V95" s="128"/>
      <c r="W95" s="93"/>
      <c r="X95" s="94"/>
      <c r="Y95" s="4"/>
      <c r="Z95" s="4"/>
    </row>
    <row r="96" spans="4:26" ht="15.75" customHeight="1">
      <c r="D96" s="83"/>
      <c r="E96" s="97"/>
      <c r="G96" s="127"/>
      <c r="H96" s="127"/>
      <c r="I96" s="127"/>
      <c r="J96" s="102"/>
      <c r="L96" s="127"/>
      <c r="M96" s="127"/>
      <c r="N96" s="104"/>
      <c r="O96" s="90"/>
      <c r="P96" s="95"/>
      <c r="Q96" s="99"/>
      <c r="R96" s="105"/>
      <c r="S96" s="127"/>
      <c r="T96" s="127"/>
      <c r="U96" s="128"/>
      <c r="V96" s="128"/>
      <c r="W96" s="108"/>
      <c r="X96" s="94"/>
      <c r="Y96" s="4"/>
      <c r="Z96" s="4"/>
    </row>
    <row r="97" spans="2:23" ht="15.75" customHeight="1">
      <c r="D97" s="83"/>
      <c r="E97" s="84"/>
      <c r="G97" s="127"/>
      <c r="H97" s="127"/>
      <c r="I97" s="127"/>
      <c r="J97" s="102"/>
      <c r="L97" s="127"/>
      <c r="M97" s="127"/>
      <c r="N97" s="111"/>
      <c r="O97" s="90"/>
      <c r="P97" s="112"/>
      <c r="Q97" s="91"/>
      <c r="R97" s="91"/>
      <c r="S97" s="127"/>
      <c r="T97" s="127"/>
      <c r="U97" s="128"/>
      <c r="V97" s="128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128"/>
      <c r="V98" s="128"/>
      <c r="W98" s="108"/>
    </row>
    <row r="99" spans="2:23" ht="15.75" customHeight="1">
      <c r="D99" s="83"/>
      <c r="E99" s="84"/>
      <c r="G99" s="127"/>
      <c r="H99" s="127"/>
      <c r="I99" s="127"/>
      <c r="J99" s="102"/>
      <c r="L99" s="127"/>
      <c r="M99" s="127"/>
      <c r="N99" s="111"/>
      <c r="O99" s="90"/>
      <c r="P99" s="112"/>
      <c r="Q99" s="91"/>
      <c r="R99" s="91"/>
      <c r="S99" s="127"/>
      <c r="T99" s="127"/>
      <c r="U99" s="128"/>
      <c r="V99" s="128"/>
      <c r="W99" s="93"/>
    </row>
    <row r="100" spans="2:23" ht="15.75" customHeight="1">
      <c r="D100" s="83"/>
      <c r="E100" s="97"/>
      <c r="G100" s="127"/>
      <c r="H100" s="127"/>
      <c r="I100" s="127"/>
      <c r="J100" s="102"/>
      <c r="L100" s="127"/>
      <c r="M100" s="127"/>
      <c r="N100" s="104"/>
      <c r="O100" s="90"/>
      <c r="P100" s="95"/>
      <c r="Q100" s="99"/>
      <c r="R100" s="105"/>
      <c r="S100" s="127"/>
      <c r="T100" s="127"/>
      <c r="U100" s="128"/>
      <c r="V100" s="128"/>
      <c r="W100" s="108"/>
    </row>
    <row r="101" spans="2:23" ht="15.75" customHeight="1">
      <c r="D101" s="83"/>
      <c r="E101" s="84"/>
      <c r="G101" s="127"/>
      <c r="H101" s="127"/>
      <c r="I101" s="127"/>
      <c r="J101" s="102"/>
      <c r="L101" s="127"/>
      <c r="M101" s="127"/>
      <c r="N101" s="111"/>
      <c r="O101" s="90"/>
      <c r="P101" s="112"/>
      <c r="Q101" s="91"/>
      <c r="R101" s="91"/>
      <c r="S101" s="127"/>
      <c r="T101" s="127"/>
      <c r="U101" s="128"/>
      <c r="V101" s="128"/>
      <c r="W101" s="93"/>
    </row>
    <row r="102" spans="2:23" ht="15.75" customHeight="1">
      <c r="D102" s="83"/>
      <c r="E102" s="97"/>
      <c r="G102" s="127"/>
      <c r="H102" s="127"/>
      <c r="I102" s="127"/>
      <c r="J102" s="102"/>
      <c r="L102" s="127"/>
      <c r="M102" s="127"/>
      <c r="N102" s="104"/>
      <c r="O102" s="90"/>
      <c r="P102" s="95"/>
      <c r="Q102" s="99"/>
      <c r="R102" s="105"/>
      <c r="S102" s="127"/>
      <c r="T102" s="127"/>
      <c r="U102" s="128"/>
      <c r="V102" s="128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0</v>
      </c>
      <c r="G114" s="118">
        <f>SUM(G19:G113)</f>
        <v>0</v>
      </c>
      <c r="H114" s="119">
        <f>SUM(H19:H113)</f>
        <v>0</v>
      </c>
      <c r="I114" s="120">
        <f>SUM(I19:I113)</f>
        <v>0</v>
      </c>
      <c r="J114" s="121"/>
      <c r="K114" s="122">
        <f>SUM(K19:K113)</f>
        <v>0</v>
      </c>
      <c r="L114" s="119">
        <f>SUM(L19:L113)</f>
        <v>0</v>
      </c>
      <c r="M114" s="120">
        <f>SUM(M19:M113)</f>
        <v>0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0</v>
      </c>
      <c r="T114" s="120">
        <f>SUM(T19:T113)</f>
        <v>0</v>
      </c>
      <c r="U114" s="125"/>
      <c r="V114" s="125"/>
      <c r="W114" s="126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27" priority="1" stopIfTrue="1">
      <formula>$U$9&gt;100%</formula>
    </cfRule>
    <cfRule type="expression" dxfId="26" priority="2">
      <formula>$U$9&lt;50%</formula>
    </cfRule>
  </conditionalFormatting>
  <conditionalFormatting sqref="V9:V11">
    <cfRule type="expression" dxfId="25" priority="3">
      <formula>$V$9&lt;50%</formula>
    </cfRule>
    <cfRule type="expression" dxfId="24" priority="4">
      <formula>$V$9&gt;50%</formula>
    </cfRule>
  </conditionalFormatting>
  <dataValidations count="4">
    <dataValidation type="list" allowBlank="1" showErrorMessage="1" sqref="Q15 G18 L18 Q18" xr:uid="{B8BA14EF-BC00-499B-BF60-22623EE09A97}">
      <formula1>$Y$12:$Y$13</formula1>
    </dataValidation>
    <dataValidation type="list" allowBlank="1" showErrorMessage="1" sqref="J14" xr:uid="{1E557739-A054-407A-A375-BBD0CF6F3578}">
      <formula1>$L$9</formula1>
    </dataValidation>
    <dataValidation type="list" allowBlank="1" showErrorMessage="1" sqref="I14" xr:uid="{ED4C61A2-E547-403B-A6E8-03395C5735C4}">
      <formula1>$Y$14:$Y$15</formula1>
    </dataValidation>
    <dataValidation type="list" allowBlank="1" showErrorMessage="1" sqref="E19:E113" xr:uid="{6639282C-8341-451E-A4B2-870879EE58DF}">
      <formula1>$Z$19:$Z$94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AD0FC-8748-437A-9E42-E6CA59093679}">
  <sheetPr>
    <pageSetUpPr fitToPage="1"/>
  </sheetPr>
  <dimension ref="B1:Z114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18" t="s">
        <v>0</v>
      </c>
      <c r="C1" s="219"/>
      <c r="D1" s="220" t="s">
        <v>1</v>
      </c>
      <c r="E1" s="221"/>
      <c r="F1" s="221"/>
      <c r="G1" s="221"/>
      <c r="H1" s="184"/>
      <c r="I1" s="218" t="s">
        <v>2</v>
      </c>
      <c r="J1" s="222"/>
      <c r="K1" s="222"/>
      <c r="L1" s="181"/>
      <c r="M1" s="223" t="s">
        <v>3</v>
      </c>
      <c r="N1" s="224"/>
      <c r="O1" s="225"/>
      <c r="P1" s="226" t="str">
        <f>L18</f>
        <v>CAD $</v>
      </c>
      <c r="Q1" s="222"/>
      <c r="R1" s="181"/>
      <c r="S1" s="218" t="s">
        <v>4</v>
      </c>
      <c r="T1" s="222"/>
      <c r="U1" s="222"/>
      <c r="V1" s="222"/>
      <c r="W1" s="181"/>
      <c r="X1" s="2"/>
      <c r="Y1" s="3"/>
    </row>
    <row r="2" spans="2:25" ht="15" customHeight="1">
      <c r="B2" s="5" t="s">
        <v>5</v>
      </c>
      <c r="C2" s="6"/>
      <c r="D2" s="193" t="s">
        <v>6</v>
      </c>
      <c r="E2" s="135"/>
      <c r="F2" s="136"/>
      <c r="G2" s="194"/>
      <c r="H2" s="136"/>
      <c r="I2" s="215" t="s">
        <v>7</v>
      </c>
      <c r="J2" s="133"/>
      <c r="K2" s="131"/>
      <c r="L2" s="8"/>
      <c r="M2" s="216" t="s">
        <v>8</v>
      </c>
      <c r="N2" s="131"/>
      <c r="O2" s="9"/>
      <c r="P2" s="217">
        <f>I114</f>
        <v>1340747.67</v>
      </c>
      <c r="Q2" s="133"/>
      <c r="R2" s="131"/>
      <c r="S2" s="216" t="s">
        <v>9</v>
      </c>
      <c r="T2" s="131"/>
      <c r="U2" s="214"/>
      <c r="V2" s="131"/>
      <c r="W2" s="10"/>
      <c r="X2" s="11"/>
      <c r="Y2" s="3"/>
    </row>
    <row r="3" spans="2:25" ht="15" customHeight="1">
      <c r="B3" s="12" t="s">
        <v>10</v>
      </c>
      <c r="C3" s="7"/>
      <c r="D3" s="193" t="s">
        <v>11</v>
      </c>
      <c r="E3" s="135"/>
      <c r="F3" s="136"/>
      <c r="G3" s="194"/>
      <c r="H3" s="136"/>
      <c r="I3" s="193" t="s">
        <v>12</v>
      </c>
      <c r="J3" s="135"/>
      <c r="K3" s="136"/>
      <c r="L3" s="13"/>
      <c r="M3" s="197" t="s">
        <v>13</v>
      </c>
      <c r="N3" s="136"/>
      <c r="O3" s="9"/>
      <c r="P3" s="213">
        <f>M114</f>
        <v>670373.88</v>
      </c>
      <c r="Q3" s="135"/>
      <c r="R3" s="136"/>
      <c r="S3" s="197" t="s">
        <v>14</v>
      </c>
      <c r="T3" s="136"/>
      <c r="U3" s="199"/>
      <c r="V3" s="136"/>
      <c r="W3" s="14"/>
      <c r="X3" s="1"/>
      <c r="Y3" s="15"/>
    </row>
    <row r="4" spans="2:25" ht="15" customHeight="1">
      <c r="B4" s="16" t="s">
        <v>15</v>
      </c>
      <c r="C4" s="7"/>
      <c r="D4" s="193" t="s">
        <v>16</v>
      </c>
      <c r="E4" s="135"/>
      <c r="F4" s="136"/>
      <c r="G4" s="227" t="s">
        <v>497</v>
      </c>
      <c r="H4" s="228"/>
      <c r="I4" s="193" t="s">
        <v>17</v>
      </c>
      <c r="J4" s="135"/>
      <c r="K4" s="136"/>
      <c r="L4" s="13"/>
      <c r="M4" s="197" t="s">
        <v>18</v>
      </c>
      <c r="N4" s="136"/>
      <c r="O4" s="9"/>
      <c r="P4" s="213">
        <f>P2-P3</f>
        <v>670373.78999999992</v>
      </c>
      <c r="Q4" s="135"/>
      <c r="R4" s="136"/>
      <c r="S4" s="197" t="s">
        <v>19</v>
      </c>
      <c r="T4" s="136"/>
      <c r="U4" s="199"/>
      <c r="V4" s="136"/>
      <c r="W4" s="14"/>
      <c r="X4" s="1"/>
      <c r="Y4" s="15"/>
    </row>
    <row r="5" spans="2:25" ht="15" customHeight="1" thickBot="1">
      <c r="B5" s="16" t="s">
        <v>20</v>
      </c>
      <c r="C5" s="7"/>
      <c r="D5" s="193" t="s">
        <v>21</v>
      </c>
      <c r="E5" s="135"/>
      <c r="F5" s="136"/>
      <c r="G5" s="229" t="s">
        <v>498</v>
      </c>
      <c r="H5" s="228"/>
      <c r="I5" s="193" t="s">
        <v>22</v>
      </c>
      <c r="J5" s="135"/>
      <c r="K5" s="136"/>
      <c r="L5" s="13"/>
      <c r="M5" s="209" t="s">
        <v>23</v>
      </c>
      <c r="N5" s="210"/>
      <c r="O5" s="9"/>
      <c r="P5" s="211">
        <f>IFERROR((P2-P3)/P2,"")</f>
        <v>0.49999996643663752</v>
      </c>
      <c r="Q5" s="212"/>
      <c r="R5" s="210"/>
      <c r="S5" s="197" t="s">
        <v>24</v>
      </c>
      <c r="T5" s="136"/>
      <c r="U5" s="199"/>
      <c r="V5" s="136"/>
      <c r="W5" s="14"/>
      <c r="X5" s="1"/>
      <c r="Y5" s="15"/>
    </row>
    <row r="6" spans="2:25" ht="15" customHeight="1">
      <c r="B6" s="16" t="s">
        <v>25</v>
      </c>
      <c r="C6" s="17"/>
      <c r="D6" s="193" t="s">
        <v>26</v>
      </c>
      <c r="E6" s="135"/>
      <c r="F6" s="136"/>
      <c r="G6" s="229" t="s">
        <v>499</v>
      </c>
      <c r="H6" s="228"/>
      <c r="I6" s="193" t="s">
        <v>27</v>
      </c>
      <c r="J6" s="135"/>
      <c r="K6" s="136"/>
      <c r="L6" s="13"/>
      <c r="M6" s="205" t="s">
        <v>28</v>
      </c>
      <c r="N6" s="206"/>
      <c r="O6" s="9"/>
      <c r="P6" s="207">
        <f>T114</f>
        <v>670373.88</v>
      </c>
      <c r="Q6" s="208"/>
      <c r="R6" s="206"/>
      <c r="S6" s="197" t="s">
        <v>29</v>
      </c>
      <c r="T6" s="136"/>
      <c r="U6" s="199"/>
      <c r="V6" s="136"/>
      <c r="W6" s="18"/>
      <c r="X6" s="19"/>
      <c r="Y6" s="20"/>
    </row>
    <row r="7" spans="2:25" ht="15" customHeight="1">
      <c r="B7" s="16" t="s">
        <v>30</v>
      </c>
      <c r="C7" s="7"/>
      <c r="D7" s="193" t="s">
        <v>31</v>
      </c>
      <c r="E7" s="135"/>
      <c r="F7" s="136"/>
      <c r="G7" s="21"/>
      <c r="H7" s="21"/>
      <c r="I7" s="193" t="s">
        <v>32</v>
      </c>
      <c r="J7" s="135"/>
      <c r="K7" s="136"/>
      <c r="L7" s="13"/>
      <c r="M7" s="195" t="s">
        <v>33</v>
      </c>
      <c r="N7" s="136"/>
      <c r="O7" s="9"/>
      <c r="P7" s="198">
        <f>R114</f>
        <v>0</v>
      </c>
      <c r="Q7" s="135"/>
      <c r="R7" s="136"/>
      <c r="S7" s="200" t="s">
        <v>34</v>
      </c>
      <c r="T7" s="201"/>
      <c r="U7" s="202"/>
      <c r="V7" s="201"/>
      <c r="W7" s="18"/>
      <c r="X7" s="22"/>
      <c r="Y7" s="4"/>
    </row>
    <row r="8" spans="2:25" ht="15" customHeight="1">
      <c r="B8" s="23"/>
      <c r="C8" s="24"/>
      <c r="D8" s="193" t="s">
        <v>35</v>
      </c>
      <c r="E8" s="135"/>
      <c r="F8" s="136"/>
      <c r="G8" s="194"/>
      <c r="H8" s="136"/>
      <c r="I8" s="193" t="s">
        <v>36</v>
      </c>
      <c r="J8" s="135"/>
      <c r="K8" s="136"/>
      <c r="L8" s="13"/>
      <c r="M8" s="195" t="s">
        <v>37</v>
      </c>
      <c r="N8" s="136"/>
      <c r="O8" s="9"/>
      <c r="P8" s="198">
        <f>IF(P1=Q15,R15,IF(Q15="CAD $",R15*E16,IF(Q15="USD $",R15*F16,0)))</f>
        <v>0</v>
      </c>
      <c r="Q8" s="135"/>
      <c r="R8" s="136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93" t="s">
        <v>42</v>
      </c>
      <c r="E9" s="135"/>
      <c r="F9" s="136"/>
      <c r="G9" s="194"/>
      <c r="H9" s="136"/>
      <c r="I9" s="31"/>
      <c r="J9" s="32"/>
      <c r="K9" s="32"/>
      <c r="L9" s="33"/>
      <c r="M9" s="195" t="s">
        <v>43</v>
      </c>
      <c r="N9" s="136"/>
      <c r="O9" s="9"/>
      <c r="P9" s="196">
        <f>V15</f>
        <v>0</v>
      </c>
      <c r="Q9" s="135"/>
      <c r="R9" s="136"/>
      <c r="S9" s="186">
        <f>P7+P8+P9</f>
        <v>0</v>
      </c>
      <c r="T9" s="186">
        <f>P3-S9</f>
        <v>670373.88</v>
      </c>
      <c r="U9" s="189">
        <f>IFERROR(((P3-S9)/S9),0)</f>
        <v>0</v>
      </c>
      <c r="V9" s="189">
        <f>IFERROR(T9/P3,0)</f>
        <v>1</v>
      </c>
      <c r="W9" s="190"/>
      <c r="X9" s="29"/>
      <c r="Y9" s="4"/>
    </row>
    <row r="10" spans="2:25" ht="15" customHeight="1">
      <c r="B10" s="30"/>
      <c r="C10" s="24"/>
      <c r="D10" s="193" t="s">
        <v>44</v>
      </c>
      <c r="E10" s="135"/>
      <c r="F10" s="136"/>
      <c r="G10" s="194" t="s">
        <v>113</v>
      </c>
      <c r="H10" s="136"/>
      <c r="I10" s="31"/>
      <c r="J10" s="32"/>
      <c r="K10" s="32"/>
      <c r="L10" s="33"/>
      <c r="M10" s="195"/>
      <c r="N10" s="136"/>
      <c r="O10" s="9"/>
      <c r="P10" s="196"/>
      <c r="Q10" s="135"/>
      <c r="R10" s="136"/>
      <c r="S10" s="187"/>
      <c r="T10" s="187"/>
      <c r="U10" s="187"/>
      <c r="V10" s="187"/>
      <c r="W10" s="19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97" t="s">
        <v>45</v>
      </c>
      <c r="N11" s="136"/>
      <c r="O11" s="9"/>
      <c r="P11" s="155">
        <f>F114</f>
        <v>1317</v>
      </c>
      <c r="Q11" s="135"/>
      <c r="R11" s="136"/>
      <c r="S11" s="188"/>
      <c r="T11" s="188"/>
      <c r="U11" s="188"/>
      <c r="V11" s="188"/>
      <c r="W11" s="192"/>
      <c r="X11" s="29"/>
      <c r="Y11" s="4"/>
    </row>
    <row r="12" spans="2:25" ht="15" customHeight="1">
      <c r="B12" s="156"/>
      <c r="C12" s="157"/>
      <c r="D12" s="37"/>
      <c r="E12" s="162" t="s">
        <v>46</v>
      </c>
      <c r="F12" s="163"/>
      <c r="G12" s="168" t="s">
        <v>8</v>
      </c>
      <c r="H12" s="169"/>
      <c r="I12" s="170"/>
      <c r="J12" s="38"/>
      <c r="K12" s="173" t="s">
        <v>47</v>
      </c>
      <c r="L12" s="169"/>
      <c r="M12" s="169"/>
      <c r="N12" s="170"/>
      <c r="O12" s="9"/>
      <c r="P12" s="176" t="s">
        <v>48</v>
      </c>
      <c r="Q12" s="169"/>
      <c r="R12" s="169"/>
      <c r="S12" s="169"/>
      <c r="T12" s="169"/>
      <c r="U12" s="169"/>
      <c r="V12" s="163"/>
      <c r="W12" s="39"/>
      <c r="X12" s="40"/>
      <c r="Y12" s="4" t="s">
        <v>49</v>
      </c>
    </row>
    <row r="13" spans="2:25" ht="15" customHeight="1">
      <c r="B13" s="158"/>
      <c r="C13" s="159"/>
      <c r="D13" s="41"/>
      <c r="E13" s="164"/>
      <c r="F13" s="165"/>
      <c r="G13" s="160"/>
      <c r="H13" s="171"/>
      <c r="I13" s="172"/>
      <c r="J13" s="42"/>
      <c r="K13" s="164"/>
      <c r="L13" s="174"/>
      <c r="M13" s="174"/>
      <c r="N13" s="175"/>
      <c r="O13" s="43"/>
      <c r="P13" s="164"/>
      <c r="Q13" s="174"/>
      <c r="R13" s="174"/>
      <c r="S13" s="174"/>
      <c r="T13" s="174"/>
      <c r="U13" s="174"/>
      <c r="V13" s="165"/>
      <c r="W13" s="44"/>
      <c r="X13" s="40"/>
      <c r="Y13" s="4" t="s">
        <v>50</v>
      </c>
    </row>
    <row r="14" spans="2:25" ht="15" customHeight="1">
      <c r="B14" s="158"/>
      <c r="C14" s="159"/>
      <c r="D14" s="41"/>
      <c r="E14" s="166"/>
      <c r="F14" s="167"/>
      <c r="G14" s="180" t="s">
        <v>51</v>
      </c>
      <c r="H14" s="181"/>
      <c r="I14" s="45" t="s">
        <v>52</v>
      </c>
      <c r="J14" s="46"/>
      <c r="K14" s="166"/>
      <c r="L14" s="171"/>
      <c r="M14" s="171"/>
      <c r="N14" s="172"/>
      <c r="O14" s="43"/>
      <c r="P14" s="177"/>
      <c r="Q14" s="178"/>
      <c r="R14" s="178"/>
      <c r="S14" s="178"/>
      <c r="T14" s="178"/>
      <c r="U14" s="178"/>
      <c r="V14" s="179"/>
      <c r="W14" s="47"/>
      <c r="X14" s="40"/>
      <c r="Y14" s="4" t="s">
        <v>52</v>
      </c>
    </row>
    <row r="15" spans="2:25" ht="30" customHeight="1">
      <c r="B15" s="158"/>
      <c r="C15" s="159"/>
      <c r="D15" s="41"/>
      <c r="E15" s="48" t="s">
        <v>53</v>
      </c>
      <c r="F15" s="49" t="s">
        <v>54</v>
      </c>
      <c r="G15" s="182" t="s">
        <v>55</v>
      </c>
      <c r="H15" s="133"/>
      <c r="I15" s="131"/>
      <c r="J15" s="50"/>
      <c r="K15" s="183" t="s">
        <v>56</v>
      </c>
      <c r="L15" s="184"/>
      <c r="M15" s="185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0"/>
      <c r="C16" s="161"/>
      <c r="D16" s="41"/>
      <c r="E16" s="59">
        <f>1/F16</f>
        <v>0.7246376811594204</v>
      </c>
      <c r="F16" s="60">
        <v>1.38</v>
      </c>
      <c r="G16" s="134"/>
      <c r="H16" s="135"/>
      <c r="I16" s="136"/>
      <c r="J16" s="61"/>
      <c r="K16" s="166"/>
      <c r="L16" s="167"/>
      <c r="M16" s="144"/>
      <c r="N16" s="137" t="s">
        <v>61</v>
      </c>
      <c r="O16" s="52"/>
      <c r="P16" s="140" t="s">
        <v>62</v>
      </c>
      <c r="Q16" s="141"/>
      <c r="R16" s="141"/>
      <c r="S16" s="141"/>
      <c r="T16" s="141"/>
      <c r="U16" s="141"/>
      <c r="V16" s="142"/>
      <c r="W16" s="62"/>
      <c r="X16" s="63"/>
      <c r="Y16" s="4"/>
    </row>
    <row r="17" spans="2:26" ht="15" customHeight="1">
      <c r="B17" s="143" t="s">
        <v>63</v>
      </c>
      <c r="C17" s="145" t="s">
        <v>64</v>
      </c>
      <c r="D17" s="64"/>
      <c r="E17" s="147" t="s">
        <v>65</v>
      </c>
      <c r="F17" s="149" t="s">
        <v>66</v>
      </c>
      <c r="G17" s="150" t="s">
        <v>67</v>
      </c>
      <c r="H17" s="151"/>
      <c r="I17" s="65" t="s">
        <v>68</v>
      </c>
      <c r="J17" s="66"/>
      <c r="K17" s="152" t="s">
        <v>66</v>
      </c>
      <c r="L17" s="67" t="s">
        <v>69</v>
      </c>
      <c r="M17" s="68" t="s">
        <v>70</v>
      </c>
      <c r="N17" s="138"/>
      <c r="O17" s="69"/>
      <c r="P17" s="15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44"/>
      <c r="C18" s="146"/>
      <c r="D18" s="74"/>
      <c r="E18" s="148"/>
      <c r="F18" s="144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48"/>
      <c r="L18" s="130" t="s">
        <v>49</v>
      </c>
      <c r="M18" s="131"/>
      <c r="N18" s="139"/>
      <c r="O18" s="78"/>
      <c r="P18" s="154"/>
      <c r="Q18" s="54" t="s">
        <v>50</v>
      </c>
      <c r="R18" s="132" t="str">
        <f>L18</f>
        <v>CAD $</v>
      </c>
      <c r="S18" s="133"/>
      <c r="T18" s="133"/>
      <c r="U18" s="133"/>
      <c r="V18" s="131"/>
      <c r="W18" s="79"/>
      <c r="X18" s="80"/>
      <c r="Y18" s="81"/>
      <c r="Z18" s="81"/>
    </row>
    <row r="19" spans="2:26">
      <c r="B19" t="s">
        <v>114</v>
      </c>
      <c r="C19" t="s">
        <v>81</v>
      </c>
      <c r="D19" s="83"/>
      <c r="E19" s="84"/>
      <c r="F19">
        <v>1</v>
      </c>
      <c r="G19" s="127">
        <v>173.5</v>
      </c>
      <c r="H19" s="127">
        <v>46.85</v>
      </c>
      <c r="I19" s="127">
        <v>173.5</v>
      </c>
      <c r="J19" s="88"/>
      <c r="K19">
        <v>1</v>
      </c>
      <c r="L19" s="127">
        <v>86.75</v>
      </c>
      <c r="M19" s="127">
        <v>86.75</v>
      </c>
      <c r="N19" s="89"/>
      <c r="O19" s="90"/>
      <c r="P19" s="82"/>
      <c r="Q19" s="91"/>
      <c r="R19" s="91"/>
      <c r="S19" s="127">
        <v>86.75</v>
      </c>
      <c r="T19" s="127">
        <v>86.75</v>
      </c>
      <c r="U19" s="128">
        <v>0</v>
      </c>
      <c r="V19" s="128">
        <v>1</v>
      </c>
      <c r="W19" s="93"/>
      <c r="X19" s="94"/>
      <c r="Y19" s="4"/>
      <c r="Z19" s="4"/>
    </row>
    <row r="20" spans="2:26">
      <c r="B20" t="s">
        <v>115</v>
      </c>
      <c r="C20" t="s">
        <v>116</v>
      </c>
      <c r="D20" s="83"/>
      <c r="E20" s="97"/>
      <c r="F20">
        <v>1</v>
      </c>
      <c r="G20" s="127">
        <v>147</v>
      </c>
      <c r="H20" s="127">
        <v>39.69</v>
      </c>
      <c r="I20" s="127">
        <v>147</v>
      </c>
      <c r="J20" s="102"/>
      <c r="K20">
        <v>1</v>
      </c>
      <c r="L20" s="127">
        <v>73.5</v>
      </c>
      <c r="M20" s="127">
        <v>73.5</v>
      </c>
      <c r="N20" s="104"/>
      <c r="O20" s="90"/>
      <c r="P20" s="95"/>
      <c r="Q20" s="99"/>
      <c r="R20" s="105"/>
      <c r="S20" s="127">
        <v>73.5</v>
      </c>
      <c r="T20" s="127">
        <v>73.5</v>
      </c>
      <c r="U20" s="128">
        <v>0</v>
      </c>
      <c r="V20" s="128">
        <v>1</v>
      </c>
      <c r="W20" s="108"/>
      <c r="X20" s="94"/>
      <c r="Y20" s="4"/>
      <c r="Z20" s="4"/>
    </row>
    <row r="21" spans="2:26" ht="15.75" customHeight="1">
      <c r="B21" t="s">
        <v>313</v>
      </c>
      <c r="C21" t="s">
        <v>83</v>
      </c>
      <c r="D21" s="83"/>
      <c r="E21" s="84"/>
      <c r="F21">
        <v>1</v>
      </c>
      <c r="G21" s="127">
        <v>261.5</v>
      </c>
      <c r="H21" s="127">
        <v>70.61</v>
      </c>
      <c r="I21" s="127">
        <v>261.5</v>
      </c>
      <c r="J21" s="102"/>
      <c r="K21">
        <v>1</v>
      </c>
      <c r="L21" s="127">
        <v>130.75</v>
      </c>
      <c r="M21" s="127">
        <v>130.75</v>
      </c>
      <c r="N21" s="111"/>
      <c r="O21" s="90"/>
      <c r="P21" s="112"/>
      <c r="Q21" s="91"/>
      <c r="R21" s="91"/>
      <c r="S21" s="127">
        <v>130.75</v>
      </c>
      <c r="T21" s="127">
        <v>130.75</v>
      </c>
      <c r="U21" s="128">
        <v>0</v>
      </c>
      <c r="V21" s="128">
        <v>1</v>
      </c>
      <c r="W21" s="93"/>
      <c r="X21" s="94"/>
      <c r="Y21" s="4"/>
      <c r="Z21" s="4"/>
    </row>
    <row r="22" spans="2:26" ht="15.75" customHeight="1">
      <c r="B22" t="s">
        <v>117</v>
      </c>
      <c r="C22" t="s">
        <v>85</v>
      </c>
      <c r="D22" s="83"/>
      <c r="E22" s="97"/>
      <c r="F22">
        <v>1</v>
      </c>
      <c r="G22" s="127">
        <v>251.5</v>
      </c>
      <c r="H22" s="127">
        <v>67.91</v>
      </c>
      <c r="I22" s="127">
        <v>251.5</v>
      </c>
      <c r="J22" s="102"/>
      <c r="K22">
        <v>1</v>
      </c>
      <c r="L22" s="127">
        <v>125.75</v>
      </c>
      <c r="M22" s="127">
        <v>125.75</v>
      </c>
      <c r="N22" s="104"/>
      <c r="O22" s="90"/>
      <c r="P22" s="95"/>
      <c r="Q22" s="99"/>
      <c r="R22" s="105"/>
      <c r="S22" s="127">
        <v>125.75</v>
      </c>
      <c r="T22" s="127">
        <v>125.75</v>
      </c>
      <c r="U22" s="128">
        <v>0</v>
      </c>
      <c r="V22" s="128">
        <v>1</v>
      </c>
      <c r="W22" s="108"/>
      <c r="X22" s="94"/>
      <c r="Y22" s="4"/>
      <c r="Z22" s="4"/>
    </row>
    <row r="23" spans="2:26" ht="15.75" customHeight="1">
      <c r="B23" t="s">
        <v>314</v>
      </c>
      <c r="C23" t="s">
        <v>86</v>
      </c>
      <c r="D23" s="83"/>
      <c r="E23" s="84"/>
      <c r="F23">
        <v>1</v>
      </c>
      <c r="G23" s="127">
        <v>111</v>
      </c>
      <c r="H23" s="127">
        <v>29.97</v>
      </c>
      <c r="I23" s="127">
        <v>111</v>
      </c>
      <c r="J23" s="102"/>
      <c r="K23">
        <v>1</v>
      </c>
      <c r="L23" s="127">
        <v>55.5</v>
      </c>
      <c r="M23" s="127">
        <v>55.5</v>
      </c>
      <c r="N23" s="111"/>
      <c r="O23" s="90"/>
      <c r="P23" s="112"/>
      <c r="Q23" s="91"/>
      <c r="R23" s="91"/>
      <c r="S23" s="127">
        <v>55.5</v>
      </c>
      <c r="T23" s="127">
        <v>55.5</v>
      </c>
      <c r="U23" s="128">
        <v>0</v>
      </c>
      <c r="V23" s="128">
        <v>1</v>
      </c>
      <c r="W23" s="93"/>
      <c r="X23" s="94"/>
      <c r="Y23" s="4"/>
      <c r="Z23" s="4"/>
    </row>
    <row r="24" spans="2:26" ht="15.75" customHeight="1">
      <c r="B24" t="s">
        <v>315</v>
      </c>
      <c r="C24" t="s">
        <v>87</v>
      </c>
      <c r="D24" s="83"/>
      <c r="E24" s="97"/>
      <c r="F24">
        <v>1</v>
      </c>
      <c r="G24" s="127">
        <v>617</v>
      </c>
      <c r="H24" s="127">
        <v>166.59</v>
      </c>
      <c r="I24" s="127">
        <v>617</v>
      </c>
      <c r="J24" s="102"/>
      <c r="K24">
        <v>1</v>
      </c>
      <c r="L24" s="127">
        <v>308.5</v>
      </c>
      <c r="M24" s="127">
        <v>308.5</v>
      </c>
      <c r="N24" s="104"/>
      <c r="O24" s="90"/>
      <c r="P24" s="95"/>
      <c r="Q24" s="99"/>
      <c r="R24" s="105"/>
      <c r="S24" s="127">
        <v>308.5</v>
      </c>
      <c r="T24" s="127">
        <v>308.5</v>
      </c>
      <c r="U24" s="128">
        <v>0</v>
      </c>
      <c r="V24" s="128">
        <v>1</v>
      </c>
      <c r="W24" s="108"/>
      <c r="X24" s="94"/>
      <c r="Y24" s="4"/>
      <c r="Z24" s="4"/>
    </row>
    <row r="25" spans="2:26" ht="15.75" customHeight="1">
      <c r="B25" t="s">
        <v>316</v>
      </c>
      <c r="C25" t="s">
        <v>88</v>
      </c>
      <c r="D25" s="83"/>
      <c r="E25" s="84"/>
      <c r="F25">
        <v>1</v>
      </c>
      <c r="G25" s="127">
        <v>534.5</v>
      </c>
      <c r="H25" s="127">
        <v>144.32</v>
      </c>
      <c r="I25" s="127">
        <v>534.5</v>
      </c>
      <c r="J25" s="102"/>
      <c r="K25">
        <v>1</v>
      </c>
      <c r="L25" s="127">
        <v>267.25</v>
      </c>
      <c r="M25" s="127">
        <v>267.25</v>
      </c>
      <c r="N25" s="111"/>
      <c r="O25" s="90"/>
      <c r="P25" s="112"/>
      <c r="Q25" s="91"/>
      <c r="R25" s="91"/>
      <c r="S25" s="127">
        <v>267.25</v>
      </c>
      <c r="T25" s="127">
        <v>267.25</v>
      </c>
      <c r="U25" s="128">
        <v>0</v>
      </c>
      <c r="V25" s="128">
        <v>1</v>
      </c>
      <c r="W25" s="93"/>
      <c r="X25" s="94"/>
      <c r="Y25" s="4"/>
      <c r="Z25" s="4"/>
    </row>
    <row r="26" spans="2:26" ht="15.75" customHeight="1">
      <c r="B26" t="s">
        <v>317</v>
      </c>
      <c r="C26" t="s">
        <v>89</v>
      </c>
      <c r="D26" s="83"/>
      <c r="E26" s="97"/>
      <c r="F26">
        <v>1</v>
      </c>
      <c r="G26" s="127">
        <v>313.5</v>
      </c>
      <c r="H26" s="127">
        <v>84.65</v>
      </c>
      <c r="I26" s="127">
        <v>313.5</v>
      </c>
      <c r="J26" s="102"/>
      <c r="K26">
        <v>1</v>
      </c>
      <c r="L26" s="127">
        <v>156.75</v>
      </c>
      <c r="M26" s="127">
        <v>156.75</v>
      </c>
      <c r="N26" s="104"/>
      <c r="O26" s="90"/>
      <c r="P26" s="95"/>
      <c r="Q26" s="99"/>
      <c r="R26" s="105"/>
      <c r="S26" s="127">
        <v>156.75</v>
      </c>
      <c r="T26" s="127">
        <v>156.75</v>
      </c>
      <c r="U26" s="128">
        <v>0</v>
      </c>
      <c r="V26" s="128">
        <v>1</v>
      </c>
      <c r="W26" s="108"/>
      <c r="X26" s="94"/>
      <c r="Y26" s="4"/>
      <c r="Z26" s="113"/>
    </row>
    <row r="27" spans="2:26" ht="15.75" customHeight="1">
      <c r="B27" t="s">
        <v>318</v>
      </c>
      <c r="C27" t="s">
        <v>90</v>
      </c>
      <c r="D27" s="83"/>
      <c r="E27" s="84"/>
      <c r="F27">
        <v>2</v>
      </c>
      <c r="G27" s="127">
        <v>2330</v>
      </c>
      <c r="H27" s="127">
        <v>629.1</v>
      </c>
      <c r="I27" s="127">
        <v>4660</v>
      </c>
      <c r="J27" s="102"/>
      <c r="K27">
        <v>2</v>
      </c>
      <c r="L27" s="127">
        <v>1165</v>
      </c>
      <c r="M27" s="127">
        <v>2330</v>
      </c>
      <c r="N27" s="111"/>
      <c r="O27" s="90"/>
      <c r="P27" s="112"/>
      <c r="Q27" s="91"/>
      <c r="R27" s="91"/>
      <c r="S27" s="127">
        <v>1165</v>
      </c>
      <c r="T27" s="127">
        <v>2330</v>
      </c>
      <c r="U27" s="128">
        <v>0</v>
      </c>
      <c r="V27" s="128">
        <v>1</v>
      </c>
      <c r="W27" s="93"/>
      <c r="X27" s="94"/>
      <c r="Y27" s="4"/>
      <c r="Z27" s="4"/>
    </row>
    <row r="28" spans="2:26" ht="15.75" customHeight="1">
      <c r="B28" t="s">
        <v>319</v>
      </c>
      <c r="C28" t="s">
        <v>91</v>
      </c>
      <c r="D28" s="83"/>
      <c r="E28" s="84"/>
      <c r="F28">
        <v>6</v>
      </c>
      <c r="G28" s="127">
        <v>5114</v>
      </c>
      <c r="H28" s="127">
        <v>1380.78</v>
      </c>
      <c r="I28" s="127">
        <v>30684</v>
      </c>
      <c r="J28" s="102"/>
      <c r="K28">
        <v>6</v>
      </c>
      <c r="L28" s="127">
        <v>2557</v>
      </c>
      <c r="M28" s="127">
        <v>15342</v>
      </c>
      <c r="N28" s="111"/>
      <c r="O28" s="90"/>
      <c r="P28" s="112"/>
      <c r="Q28" s="91"/>
      <c r="R28" s="91"/>
      <c r="S28" s="127">
        <v>2557</v>
      </c>
      <c r="T28" s="127">
        <v>15342</v>
      </c>
      <c r="U28" s="128">
        <v>0</v>
      </c>
      <c r="V28" s="128">
        <v>1</v>
      </c>
      <c r="W28" s="93"/>
      <c r="X28" s="94"/>
      <c r="Y28" s="4"/>
      <c r="Z28" s="4"/>
    </row>
    <row r="29" spans="2:26" ht="15.75" customHeight="1">
      <c r="B29" t="s">
        <v>320</v>
      </c>
      <c r="C29" t="s">
        <v>92</v>
      </c>
      <c r="D29" s="83"/>
      <c r="E29" s="97"/>
      <c r="F29">
        <v>1</v>
      </c>
      <c r="G29" s="127">
        <v>26801</v>
      </c>
      <c r="H29" s="127">
        <v>7236.27</v>
      </c>
      <c r="I29" s="127">
        <v>26801</v>
      </c>
      <c r="J29" s="102"/>
      <c r="K29">
        <v>1</v>
      </c>
      <c r="L29" s="127">
        <v>13400.5</v>
      </c>
      <c r="M29" s="127">
        <v>13400.5</v>
      </c>
      <c r="N29" s="104"/>
      <c r="O29" s="90"/>
      <c r="P29" s="95"/>
      <c r="Q29" s="99"/>
      <c r="R29" s="105"/>
      <c r="S29" s="127">
        <v>13400.5</v>
      </c>
      <c r="T29" s="127">
        <v>13400.5</v>
      </c>
      <c r="U29" s="128">
        <v>0</v>
      </c>
      <c r="V29" s="128">
        <v>1</v>
      </c>
      <c r="W29" s="108"/>
      <c r="X29" s="94"/>
      <c r="Y29" s="4"/>
      <c r="Z29" s="4"/>
    </row>
    <row r="30" spans="2:26" ht="15.75" customHeight="1">
      <c r="D30" s="83"/>
      <c r="E30" s="84"/>
      <c r="H30" t="s">
        <v>112</v>
      </c>
      <c r="I30" t="s">
        <v>112</v>
      </c>
      <c r="J30" s="102"/>
      <c r="K30">
        <v>0</v>
      </c>
      <c r="L30" t="s">
        <v>112</v>
      </c>
      <c r="M30" t="s">
        <v>112</v>
      </c>
      <c r="N30" s="111"/>
      <c r="O30" s="90"/>
      <c r="P30" s="112"/>
      <c r="Q30" s="91"/>
      <c r="R30" s="91"/>
      <c r="S30" t="s">
        <v>112</v>
      </c>
      <c r="T30" t="s">
        <v>112</v>
      </c>
      <c r="U30" s="128">
        <v>0</v>
      </c>
      <c r="V30" s="128">
        <v>0</v>
      </c>
      <c r="W30" s="93"/>
    </row>
    <row r="31" spans="2:26" ht="15.75" customHeight="1">
      <c r="B31" t="s">
        <v>106</v>
      </c>
      <c r="C31" t="s">
        <v>225</v>
      </c>
      <c r="D31" s="83"/>
      <c r="E31" s="97"/>
      <c r="F31">
        <v>2</v>
      </c>
      <c r="G31" s="127">
        <v>110066.5</v>
      </c>
      <c r="H31" s="127">
        <v>29717.96</v>
      </c>
      <c r="I31" s="127">
        <v>220133</v>
      </c>
      <c r="J31" s="102"/>
      <c r="K31">
        <v>2</v>
      </c>
      <c r="L31" s="127">
        <v>55033.25</v>
      </c>
      <c r="M31" s="127">
        <v>110066.5</v>
      </c>
      <c r="N31" s="104"/>
      <c r="O31" s="90"/>
      <c r="P31" s="95"/>
      <c r="Q31" s="99"/>
      <c r="R31" s="105"/>
      <c r="S31" s="127">
        <v>55033.25</v>
      </c>
      <c r="T31" s="127">
        <v>110066.5</v>
      </c>
      <c r="U31" s="128">
        <v>0</v>
      </c>
      <c r="V31" s="128">
        <v>1</v>
      </c>
      <c r="W31" s="108"/>
    </row>
    <row r="32" spans="2:26" ht="15.75" customHeight="1">
      <c r="B32" t="s">
        <v>321</v>
      </c>
      <c r="C32" t="s">
        <v>93</v>
      </c>
      <c r="D32" s="83"/>
      <c r="E32" s="84"/>
      <c r="F32">
        <v>10</v>
      </c>
      <c r="G32" s="127">
        <v>852</v>
      </c>
      <c r="H32" s="127">
        <v>230.04</v>
      </c>
      <c r="I32" s="127">
        <v>8520</v>
      </c>
      <c r="J32" s="102"/>
      <c r="K32">
        <v>10</v>
      </c>
      <c r="L32" s="127">
        <v>426</v>
      </c>
      <c r="M32" s="127">
        <v>4260</v>
      </c>
      <c r="N32" s="111"/>
      <c r="O32" s="90"/>
      <c r="P32" s="112"/>
      <c r="Q32" s="91"/>
      <c r="R32" s="91"/>
      <c r="S32" s="127">
        <v>426</v>
      </c>
      <c r="T32" s="127">
        <v>4260</v>
      </c>
      <c r="U32" s="128">
        <v>0</v>
      </c>
      <c r="V32" s="128">
        <v>1</v>
      </c>
      <c r="W32" s="93"/>
    </row>
    <row r="33" spans="2:26" ht="15.75" customHeight="1">
      <c r="B33" t="s">
        <v>322</v>
      </c>
      <c r="C33" t="s">
        <v>95</v>
      </c>
      <c r="D33" s="83"/>
      <c r="E33" s="97"/>
      <c r="F33">
        <v>60</v>
      </c>
      <c r="G33" s="127">
        <v>18</v>
      </c>
      <c r="H33" s="127">
        <v>4.8600000000000003</v>
      </c>
      <c r="I33" s="127">
        <v>1080</v>
      </c>
      <c r="J33" s="102"/>
      <c r="K33">
        <v>60</v>
      </c>
      <c r="L33" s="127">
        <v>9</v>
      </c>
      <c r="M33" s="127">
        <v>540</v>
      </c>
      <c r="N33" s="104"/>
      <c r="O33" s="90"/>
      <c r="P33" s="95"/>
      <c r="Q33" s="99"/>
      <c r="R33" s="105"/>
      <c r="S33" s="127">
        <v>9</v>
      </c>
      <c r="T33" s="127">
        <v>540</v>
      </c>
      <c r="U33" s="128">
        <v>0</v>
      </c>
      <c r="V33" s="128">
        <v>1</v>
      </c>
      <c r="W33" s="108"/>
    </row>
    <row r="34" spans="2:26" ht="15.75" customHeight="1">
      <c r="B34" t="s">
        <v>323</v>
      </c>
      <c r="C34" t="s">
        <v>105</v>
      </c>
      <c r="D34" s="83"/>
      <c r="E34" s="84"/>
      <c r="F34">
        <v>60</v>
      </c>
      <c r="G34" s="127">
        <v>12</v>
      </c>
      <c r="H34" s="127">
        <v>3.24</v>
      </c>
      <c r="I34" s="127">
        <v>720</v>
      </c>
      <c r="J34" s="102"/>
      <c r="K34">
        <v>60</v>
      </c>
      <c r="L34" s="127">
        <v>6</v>
      </c>
      <c r="M34" s="127">
        <v>360</v>
      </c>
      <c r="N34" s="111"/>
      <c r="O34" s="90"/>
      <c r="P34" s="112"/>
      <c r="Q34" s="91"/>
      <c r="R34" s="91"/>
      <c r="S34" s="127">
        <v>6</v>
      </c>
      <c r="T34" s="127">
        <v>360</v>
      </c>
      <c r="U34" s="128">
        <v>0</v>
      </c>
      <c r="V34" s="128">
        <v>1</v>
      </c>
      <c r="W34" s="93"/>
    </row>
    <row r="35" spans="2:26" ht="15.75" customHeight="1">
      <c r="B35" t="s">
        <v>324</v>
      </c>
      <c r="C35" t="s">
        <v>118</v>
      </c>
      <c r="D35" s="83"/>
      <c r="E35" s="97"/>
      <c r="F35">
        <v>60</v>
      </c>
      <c r="G35" s="127">
        <v>8</v>
      </c>
      <c r="H35" s="127">
        <v>2.16</v>
      </c>
      <c r="I35" s="127">
        <v>480</v>
      </c>
      <c r="J35" s="102"/>
      <c r="K35">
        <v>60</v>
      </c>
      <c r="L35" s="127">
        <v>4</v>
      </c>
      <c r="M35" s="127">
        <v>240</v>
      </c>
      <c r="N35" s="104"/>
      <c r="O35" s="90"/>
      <c r="P35" s="95"/>
      <c r="Q35" s="99"/>
      <c r="R35" s="105"/>
      <c r="S35" s="127">
        <v>4</v>
      </c>
      <c r="T35" s="127">
        <v>240</v>
      </c>
      <c r="U35" s="128">
        <v>0</v>
      </c>
      <c r="V35" s="128">
        <v>1</v>
      </c>
      <c r="W35" s="108"/>
    </row>
    <row r="36" spans="2:26" ht="15.75" customHeight="1">
      <c r="B36" t="s">
        <v>325</v>
      </c>
      <c r="C36" t="s">
        <v>96</v>
      </c>
      <c r="D36" s="83"/>
      <c r="E36" s="84"/>
      <c r="F36">
        <v>2</v>
      </c>
      <c r="G36" s="127">
        <v>29269.5</v>
      </c>
      <c r="H36" s="127">
        <v>7902.77</v>
      </c>
      <c r="I36" s="127">
        <v>58539</v>
      </c>
      <c r="J36" s="102"/>
      <c r="K36">
        <v>2</v>
      </c>
      <c r="L36" s="127">
        <v>14634.75</v>
      </c>
      <c r="M36" s="127">
        <v>29269.5</v>
      </c>
      <c r="N36" s="111"/>
      <c r="O36" s="90"/>
      <c r="P36" s="112"/>
      <c r="Q36" s="91"/>
      <c r="R36" s="91"/>
      <c r="S36" s="127">
        <v>14634.75</v>
      </c>
      <c r="T36" s="127">
        <v>29269.5</v>
      </c>
      <c r="U36" s="128">
        <v>0</v>
      </c>
      <c r="V36" s="128">
        <v>1</v>
      </c>
      <c r="W36" s="108"/>
    </row>
    <row r="37" spans="2:26" ht="15.75" customHeight="1">
      <c r="B37" t="s">
        <v>326</v>
      </c>
      <c r="C37" t="s">
        <v>97</v>
      </c>
      <c r="D37" s="83"/>
      <c r="E37" s="97"/>
      <c r="F37">
        <v>8</v>
      </c>
      <c r="G37" s="127">
        <v>33.5</v>
      </c>
      <c r="H37" s="127">
        <v>9.0500000000000007</v>
      </c>
      <c r="I37" s="127">
        <v>268</v>
      </c>
      <c r="J37" s="102"/>
      <c r="K37">
        <v>8</v>
      </c>
      <c r="L37" s="127">
        <v>16.75</v>
      </c>
      <c r="M37" s="127">
        <v>134</v>
      </c>
      <c r="N37" s="104"/>
      <c r="O37" s="90"/>
      <c r="P37" s="95"/>
      <c r="Q37" s="99"/>
      <c r="R37" s="105"/>
      <c r="S37" s="127">
        <v>16.75</v>
      </c>
      <c r="T37" s="127">
        <v>134</v>
      </c>
      <c r="U37" s="128">
        <v>0</v>
      </c>
      <c r="V37" s="128">
        <v>1</v>
      </c>
      <c r="W37" s="108"/>
    </row>
    <row r="38" spans="2:26" ht="15.75" customHeight="1">
      <c r="B38" t="s">
        <v>327</v>
      </c>
      <c r="C38" t="s">
        <v>99</v>
      </c>
      <c r="D38" s="83"/>
      <c r="E38" s="84"/>
      <c r="F38">
        <v>4</v>
      </c>
      <c r="G38" s="127">
        <v>967</v>
      </c>
      <c r="H38" s="127">
        <v>261.08999999999997</v>
      </c>
      <c r="I38" s="127">
        <v>3868</v>
      </c>
      <c r="J38" s="102"/>
      <c r="K38">
        <v>4</v>
      </c>
      <c r="L38" s="127">
        <v>483.5</v>
      </c>
      <c r="M38" s="127">
        <v>1934</v>
      </c>
      <c r="N38" s="111"/>
      <c r="O38" s="90"/>
      <c r="P38" s="112"/>
      <c r="Q38" s="91"/>
      <c r="R38" s="91"/>
      <c r="S38" s="127">
        <v>483.5</v>
      </c>
      <c r="T38" s="127">
        <v>1934</v>
      </c>
      <c r="U38" s="128">
        <v>0</v>
      </c>
      <c r="V38" s="128">
        <v>1</v>
      </c>
      <c r="W38" s="108"/>
    </row>
    <row r="39" spans="2:26" ht="15.75" customHeight="1">
      <c r="B39" t="s">
        <v>328</v>
      </c>
      <c r="C39" t="s">
        <v>101</v>
      </c>
      <c r="D39" s="83"/>
      <c r="E39" s="97"/>
      <c r="F39">
        <v>4</v>
      </c>
      <c r="G39" s="127">
        <v>80.5</v>
      </c>
      <c r="H39" s="127">
        <v>21.74</v>
      </c>
      <c r="I39" s="127">
        <v>322</v>
      </c>
      <c r="J39" s="102"/>
      <c r="K39">
        <v>4</v>
      </c>
      <c r="L39" s="127">
        <v>40.25</v>
      </c>
      <c r="M39" s="127">
        <v>161</v>
      </c>
      <c r="N39" s="104"/>
      <c r="O39" s="90"/>
      <c r="P39" s="95"/>
      <c r="Q39" s="99"/>
      <c r="R39" s="105"/>
      <c r="S39" s="127">
        <v>40.25</v>
      </c>
      <c r="T39" s="127">
        <v>161</v>
      </c>
      <c r="U39" s="128">
        <v>0</v>
      </c>
      <c r="V39" s="128">
        <v>1</v>
      </c>
      <c r="W39" s="108"/>
    </row>
    <row r="40" spans="2:26" ht="15.75" customHeight="1">
      <c r="B40" t="s">
        <v>329</v>
      </c>
      <c r="C40" t="s">
        <v>102</v>
      </c>
      <c r="D40" s="83"/>
      <c r="E40" s="84"/>
      <c r="F40">
        <v>10</v>
      </c>
      <c r="G40" s="127">
        <v>3207</v>
      </c>
      <c r="H40" s="127">
        <v>865.89</v>
      </c>
      <c r="I40" s="127">
        <v>32070</v>
      </c>
      <c r="J40" s="102"/>
      <c r="K40">
        <v>10</v>
      </c>
      <c r="L40" s="127">
        <v>1603.5</v>
      </c>
      <c r="M40" s="127">
        <v>16035</v>
      </c>
      <c r="N40" s="111"/>
      <c r="O40" s="90"/>
      <c r="P40" s="112"/>
      <c r="Q40" s="91"/>
      <c r="R40" s="91"/>
      <c r="S40" s="127">
        <v>1603.5</v>
      </c>
      <c r="T40" s="127">
        <v>16035</v>
      </c>
      <c r="U40" s="128">
        <v>0</v>
      </c>
      <c r="V40" s="128">
        <v>1</v>
      </c>
      <c r="W40" s="108"/>
    </row>
    <row r="41" spans="2:26" ht="15.75" customHeight="1">
      <c r="B41" t="s">
        <v>330</v>
      </c>
      <c r="C41" t="s">
        <v>103</v>
      </c>
      <c r="D41" s="83"/>
      <c r="E41" s="97"/>
      <c r="F41">
        <v>40</v>
      </c>
      <c r="G41" s="127">
        <v>118</v>
      </c>
      <c r="H41" s="127">
        <v>31.86</v>
      </c>
      <c r="I41" s="127">
        <v>4720</v>
      </c>
      <c r="J41" s="102"/>
      <c r="K41">
        <v>40</v>
      </c>
      <c r="L41" s="127">
        <v>59</v>
      </c>
      <c r="M41" s="127">
        <v>2360</v>
      </c>
      <c r="N41" s="104"/>
      <c r="O41" s="90"/>
      <c r="P41" s="95"/>
      <c r="Q41" s="99"/>
      <c r="R41" s="105"/>
      <c r="S41" s="127">
        <v>59</v>
      </c>
      <c r="T41" s="127">
        <v>2360</v>
      </c>
      <c r="U41" s="128">
        <v>0</v>
      </c>
      <c r="V41" s="128">
        <v>1</v>
      </c>
      <c r="W41" s="108"/>
    </row>
    <row r="42" spans="2:26" ht="15.75" customHeight="1">
      <c r="B42" t="s">
        <v>331</v>
      </c>
      <c r="C42" t="s">
        <v>105</v>
      </c>
      <c r="D42" s="83"/>
      <c r="E42" s="84"/>
      <c r="F42">
        <v>40</v>
      </c>
      <c r="G42" s="127">
        <v>25.5</v>
      </c>
      <c r="H42" s="127">
        <v>6.89</v>
      </c>
      <c r="I42" s="127">
        <v>1020</v>
      </c>
      <c r="J42" s="102"/>
      <c r="K42">
        <v>40</v>
      </c>
      <c r="L42" s="127">
        <v>12.75</v>
      </c>
      <c r="M42" s="127">
        <v>510</v>
      </c>
      <c r="N42" s="111"/>
      <c r="O42" s="90"/>
      <c r="P42" s="112"/>
      <c r="Q42" s="91"/>
      <c r="R42" s="91"/>
      <c r="S42" s="127">
        <v>12.75</v>
      </c>
      <c r="T42" s="127">
        <v>510</v>
      </c>
      <c r="U42" s="128">
        <v>0</v>
      </c>
      <c r="V42" s="128">
        <v>1</v>
      </c>
      <c r="W42" s="108"/>
    </row>
    <row r="43" spans="2:26" ht="15.75" customHeight="1">
      <c r="B43" t="s">
        <v>332</v>
      </c>
      <c r="C43" t="s">
        <v>333</v>
      </c>
      <c r="D43" s="83"/>
      <c r="E43" s="97"/>
      <c r="F43">
        <v>2</v>
      </c>
      <c r="G43" s="127">
        <v>74308.5</v>
      </c>
      <c r="H43" s="127">
        <v>20063.3</v>
      </c>
      <c r="I43" s="127">
        <v>148617</v>
      </c>
      <c r="J43" s="102"/>
      <c r="K43">
        <v>2</v>
      </c>
      <c r="L43" s="127">
        <v>37154.25</v>
      </c>
      <c r="M43" s="127">
        <v>74308.5</v>
      </c>
      <c r="N43" s="104"/>
      <c r="O43" s="90"/>
      <c r="P43" s="95"/>
      <c r="Q43" s="99"/>
      <c r="R43" s="105"/>
      <c r="S43" s="127">
        <v>37154.25</v>
      </c>
      <c r="T43" s="127">
        <v>74308.5</v>
      </c>
      <c r="U43" s="128">
        <v>0</v>
      </c>
      <c r="V43" s="128">
        <v>1</v>
      </c>
      <c r="W43" s="108"/>
    </row>
    <row r="44" spans="2:26" ht="15.75" customHeight="1">
      <c r="B44" t="s">
        <v>334</v>
      </c>
      <c r="C44" t="s">
        <v>335</v>
      </c>
      <c r="D44" s="83"/>
      <c r="E44" s="84"/>
      <c r="F44">
        <v>86</v>
      </c>
      <c r="G44" s="127">
        <v>1119</v>
      </c>
      <c r="H44" s="127">
        <v>302.13</v>
      </c>
      <c r="I44" s="127">
        <v>96234</v>
      </c>
      <c r="J44" s="102"/>
      <c r="K44">
        <v>86</v>
      </c>
      <c r="L44" s="127">
        <v>559.5</v>
      </c>
      <c r="M44" s="127">
        <v>48117</v>
      </c>
      <c r="N44" s="111"/>
      <c r="O44" s="90"/>
      <c r="P44" s="112"/>
      <c r="Q44" s="91"/>
      <c r="R44" s="91"/>
      <c r="S44" s="127">
        <v>559.5</v>
      </c>
      <c r="T44" s="127">
        <v>48117</v>
      </c>
      <c r="U44" s="128">
        <v>0</v>
      </c>
      <c r="V44" s="128">
        <v>1</v>
      </c>
      <c r="W44" s="108"/>
    </row>
    <row r="45" spans="2:26" ht="15.75" customHeight="1">
      <c r="B45" t="s">
        <v>336</v>
      </c>
      <c r="C45" t="s">
        <v>337</v>
      </c>
      <c r="D45" s="83"/>
      <c r="E45" s="97"/>
      <c r="F45">
        <v>336</v>
      </c>
      <c r="G45" s="127">
        <v>31</v>
      </c>
      <c r="H45" s="127">
        <v>8.3699999999999992</v>
      </c>
      <c r="I45" s="127">
        <v>10416</v>
      </c>
      <c r="J45" s="102"/>
      <c r="K45">
        <v>336</v>
      </c>
      <c r="L45" s="127">
        <v>15.5</v>
      </c>
      <c r="M45" s="127">
        <v>5208</v>
      </c>
      <c r="N45" s="104"/>
      <c r="O45" s="90"/>
      <c r="P45" s="95"/>
      <c r="Q45" s="99"/>
      <c r="R45" s="105"/>
      <c r="S45" s="127">
        <v>15.5</v>
      </c>
      <c r="T45" s="127">
        <v>5208</v>
      </c>
      <c r="U45" s="128">
        <v>0</v>
      </c>
      <c r="V45" s="128">
        <v>1</v>
      </c>
      <c r="W45" s="108"/>
    </row>
    <row r="46" spans="2:26" ht="15.75" customHeight="1">
      <c r="B46" t="s">
        <v>338</v>
      </c>
      <c r="C46" t="s">
        <v>245</v>
      </c>
      <c r="D46" s="83"/>
      <c r="E46" s="84"/>
      <c r="F46">
        <v>336</v>
      </c>
      <c r="G46" s="127">
        <v>17</v>
      </c>
      <c r="H46" s="127">
        <v>4.59</v>
      </c>
      <c r="I46" s="127">
        <v>5712</v>
      </c>
      <c r="J46" s="102"/>
      <c r="K46">
        <v>336</v>
      </c>
      <c r="L46" s="127">
        <v>8.5</v>
      </c>
      <c r="M46" s="127">
        <v>2856</v>
      </c>
      <c r="N46" s="111"/>
      <c r="O46" s="90"/>
      <c r="P46" s="112"/>
      <c r="Q46" s="91"/>
      <c r="R46" s="91"/>
      <c r="S46" s="127">
        <v>8.5</v>
      </c>
      <c r="T46" s="127">
        <v>2856</v>
      </c>
      <c r="U46" s="128">
        <v>0</v>
      </c>
      <c r="V46" s="128">
        <v>1</v>
      </c>
      <c r="W46" s="108"/>
    </row>
    <row r="47" spans="2:26" ht="15.75" customHeight="1">
      <c r="B47" t="s">
        <v>339</v>
      </c>
      <c r="C47" t="s">
        <v>119</v>
      </c>
      <c r="D47" s="83"/>
      <c r="E47" s="97"/>
      <c r="F47">
        <v>1</v>
      </c>
      <c r="G47" s="127">
        <v>463270</v>
      </c>
      <c r="H47" s="127">
        <v>125082.9</v>
      </c>
      <c r="I47" s="127">
        <v>463270</v>
      </c>
      <c r="J47" s="102"/>
      <c r="K47">
        <v>1</v>
      </c>
      <c r="L47" s="127">
        <v>231635</v>
      </c>
      <c r="M47" s="127">
        <v>231635</v>
      </c>
      <c r="N47" s="104"/>
      <c r="O47" s="90"/>
      <c r="P47" s="95"/>
      <c r="Q47" s="99"/>
      <c r="R47" s="105"/>
      <c r="S47" s="127">
        <v>231635</v>
      </c>
      <c r="T47" s="127">
        <v>231635</v>
      </c>
      <c r="U47" s="128">
        <v>0</v>
      </c>
      <c r="V47" s="128">
        <v>1</v>
      </c>
      <c r="W47" s="108"/>
      <c r="X47" s="94"/>
      <c r="Y47" s="4"/>
      <c r="Z47" s="4"/>
    </row>
    <row r="48" spans="2:26" ht="15.75" customHeight="1">
      <c r="B48" t="s">
        <v>340</v>
      </c>
      <c r="C48" t="s">
        <v>120</v>
      </c>
      <c r="D48" s="83"/>
      <c r="E48" s="84"/>
      <c r="F48">
        <v>1</v>
      </c>
      <c r="G48" s="127">
        <v>1293</v>
      </c>
      <c r="H48" s="127">
        <v>349.11</v>
      </c>
      <c r="I48" s="127">
        <v>1293</v>
      </c>
      <c r="J48" s="102"/>
      <c r="K48">
        <v>1</v>
      </c>
      <c r="L48" s="127">
        <v>646.5</v>
      </c>
      <c r="M48" s="127">
        <v>646.5</v>
      </c>
      <c r="N48" s="111"/>
      <c r="O48" s="90"/>
      <c r="P48" s="112"/>
      <c r="Q48" s="91"/>
      <c r="R48" s="91"/>
      <c r="S48" s="127">
        <v>646.5</v>
      </c>
      <c r="T48" s="127">
        <v>646.5</v>
      </c>
      <c r="U48" s="128">
        <v>0</v>
      </c>
      <c r="V48" s="128">
        <v>1</v>
      </c>
      <c r="W48" s="93"/>
      <c r="X48" s="94"/>
      <c r="Y48" s="4"/>
      <c r="Z48" s="4"/>
    </row>
    <row r="49" spans="2:26" ht="15.75" customHeight="1">
      <c r="B49" t="s">
        <v>341</v>
      </c>
      <c r="C49" t="s">
        <v>121</v>
      </c>
      <c r="D49" s="83"/>
      <c r="E49" s="97"/>
      <c r="F49">
        <v>2</v>
      </c>
      <c r="G49" s="127">
        <v>600</v>
      </c>
      <c r="H49" s="127">
        <v>162</v>
      </c>
      <c r="I49" s="127">
        <v>1200</v>
      </c>
      <c r="J49" s="102"/>
      <c r="K49">
        <v>2</v>
      </c>
      <c r="L49" s="127">
        <v>300</v>
      </c>
      <c r="M49" s="127">
        <v>600</v>
      </c>
      <c r="N49" s="104"/>
      <c r="O49" s="90"/>
      <c r="P49" s="95"/>
      <c r="Q49" s="99"/>
      <c r="R49" s="105"/>
      <c r="S49" s="127">
        <v>300</v>
      </c>
      <c r="T49" s="127">
        <v>600</v>
      </c>
      <c r="U49" s="128">
        <v>0</v>
      </c>
      <c r="V49" s="128">
        <v>1</v>
      </c>
      <c r="W49" s="108"/>
      <c r="X49" s="94"/>
      <c r="Y49" s="4"/>
      <c r="Z49" s="4"/>
    </row>
    <row r="50" spans="2:26" ht="15.75" customHeight="1">
      <c r="B50" s="129" t="s">
        <v>342</v>
      </c>
      <c r="C50" t="s">
        <v>122</v>
      </c>
      <c r="D50" s="83"/>
      <c r="E50" s="84"/>
      <c r="F50">
        <v>1</v>
      </c>
      <c r="G50" s="127">
        <v>792</v>
      </c>
      <c r="H50" s="127">
        <v>213.84</v>
      </c>
      <c r="I50" s="127">
        <v>792</v>
      </c>
      <c r="J50" s="102"/>
      <c r="K50">
        <v>1</v>
      </c>
      <c r="L50" s="127">
        <v>396</v>
      </c>
      <c r="M50" s="127">
        <v>396</v>
      </c>
      <c r="N50" s="111"/>
      <c r="O50" s="90"/>
      <c r="P50" s="112"/>
      <c r="Q50" s="91"/>
      <c r="R50" s="91"/>
      <c r="S50" s="127">
        <v>396</v>
      </c>
      <c r="T50" s="127">
        <v>396</v>
      </c>
      <c r="U50" s="128">
        <v>0</v>
      </c>
      <c r="V50" s="128">
        <v>1</v>
      </c>
      <c r="W50" s="93"/>
    </row>
    <row r="51" spans="2:26" ht="15.75" customHeight="1">
      <c r="B51" s="129" t="s">
        <v>343</v>
      </c>
      <c r="C51" t="s">
        <v>123</v>
      </c>
      <c r="D51" s="83"/>
      <c r="E51" s="97"/>
      <c r="F51">
        <v>1</v>
      </c>
      <c r="G51" s="127">
        <v>792</v>
      </c>
      <c r="H51" s="127">
        <v>213.84</v>
      </c>
      <c r="I51" s="127">
        <v>792</v>
      </c>
      <c r="J51" s="102"/>
      <c r="K51">
        <v>1</v>
      </c>
      <c r="L51" s="127">
        <v>396</v>
      </c>
      <c r="M51" s="127">
        <v>396</v>
      </c>
      <c r="N51" s="104"/>
      <c r="O51" s="90"/>
      <c r="P51" s="95"/>
      <c r="Q51" s="99"/>
      <c r="R51" s="105"/>
      <c r="S51" s="127">
        <v>396</v>
      </c>
      <c r="T51" s="127">
        <v>396</v>
      </c>
      <c r="U51" s="128">
        <v>0</v>
      </c>
      <c r="V51" s="128">
        <v>1</v>
      </c>
      <c r="W51" s="108"/>
    </row>
    <row r="52" spans="2:26" ht="15.75" customHeight="1">
      <c r="B52" t="s">
        <v>344</v>
      </c>
      <c r="C52" t="s">
        <v>124</v>
      </c>
      <c r="D52" s="83"/>
      <c r="E52" s="84"/>
      <c r="F52">
        <v>72</v>
      </c>
      <c r="G52" s="127">
        <v>22</v>
      </c>
      <c r="H52" s="127">
        <v>5.94</v>
      </c>
      <c r="I52" s="127">
        <v>1584</v>
      </c>
      <c r="J52" s="102"/>
      <c r="K52">
        <v>72</v>
      </c>
      <c r="L52" s="127">
        <v>11</v>
      </c>
      <c r="M52" s="127">
        <v>792</v>
      </c>
      <c r="N52" s="111"/>
      <c r="O52" s="90"/>
      <c r="P52" s="112"/>
      <c r="Q52" s="91"/>
      <c r="R52" s="91"/>
      <c r="S52" s="127">
        <v>11</v>
      </c>
      <c r="T52" s="127">
        <v>792</v>
      </c>
      <c r="U52" s="128">
        <v>0</v>
      </c>
      <c r="V52" s="128">
        <v>1</v>
      </c>
      <c r="W52" s="93"/>
    </row>
    <row r="53" spans="2:26" ht="15.75" customHeight="1">
      <c r="B53" t="s">
        <v>345</v>
      </c>
      <c r="C53" t="s">
        <v>125</v>
      </c>
      <c r="D53" s="83"/>
      <c r="E53" s="97"/>
      <c r="F53">
        <v>72</v>
      </c>
      <c r="G53" s="127">
        <v>19.5</v>
      </c>
      <c r="H53" s="127">
        <v>5.27</v>
      </c>
      <c r="I53" s="127">
        <v>1404</v>
      </c>
      <c r="J53" s="102"/>
      <c r="K53">
        <v>72</v>
      </c>
      <c r="L53" s="127">
        <v>9.75</v>
      </c>
      <c r="M53" s="127">
        <v>702</v>
      </c>
      <c r="N53" s="104"/>
      <c r="O53" s="90"/>
      <c r="P53" s="95"/>
      <c r="Q53" s="99"/>
      <c r="R53" s="105"/>
      <c r="S53" s="127">
        <v>9.75</v>
      </c>
      <c r="T53" s="127">
        <v>702</v>
      </c>
      <c r="U53" s="128">
        <v>0</v>
      </c>
      <c r="V53" s="128">
        <v>1</v>
      </c>
      <c r="W53" s="108"/>
    </row>
    <row r="54" spans="2:26" ht="15.75" customHeight="1">
      <c r="B54" t="s">
        <v>346</v>
      </c>
      <c r="C54" t="s">
        <v>347</v>
      </c>
      <c r="D54" s="83"/>
      <c r="E54" s="84"/>
      <c r="F54">
        <v>72</v>
      </c>
      <c r="G54" s="127">
        <v>20.5</v>
      </c>
      <c r="H54" s="127">
        <v>5.54</v>
      </c>
      <c r="I54" s="127">
        <v>1476</v>
      </c>
      <c r="J54" s="102"/>
      <c r="K54">
        <v>72</v>
      </c>
      <c r="L54" s="127">
        <v>10.25</v>
      </c>
      <c r="M54" s="127">
        <v>738</v>
      </c>
      <c r="N54" s="111"/>
      <c r="O54" s="90"/>
      <c r="P54" s="112"/>
      <c r="Q54" s="91"/>
      <c r="R54" s="91"/>
      <c r="S54" s="127">
        <v>10.25</v>
      </c>
      <c r="T54" s="127">
        <v>738</v>
      </c>
      <c r="U54" s="128">
        <v>0</v>
      </c>
      <c r="V54" s="128">
        <v>1</v>
      </c>
      <c r="W54" s="93"/>
    </row>
    <row r="55" spans="2:26" ht="15.75" customHeight="1">
      <c r="D55" s="83"/>
      <c r="E55" s="97"/>
      <c r="H55" t="s">
        <v>112</v>
      </c>
      <c r="I55" t="s">
        <v>112</v>
      </c>
      <c r="J55" s="102"/>
      <c r="K55">
        <v>0</v>
      </c>
      <c r="L55" t="s">
        <v>112</v>
      </c>
      <c r="M55" t="s">
        <v>112</v>
      </c>
      <c r="N55" s="104"/>
      <c r="O55" s="90"/>
      <c r="P55" s="95"/>
      <c r="Q55" s="99"/>
      <c r="R55" s="105"/>
      <c r="S55" t="s">
        <v>112</v>
      </c>
      <c r="T55" t="s">
        <v>112</v>
      </c>
      <c r="U55" s="128">
        <v>0</v>
      </c>
      <c r="V55" s="128">
        <v>0</v>
      </c>
      <c r="W55" s="108"/>
    </row>
    <row r="56" spans="2:26" ht="15.75" customHeight="1">
      <c r="B56" t="s">
        <v>348</v>
      </c>
      <c r="C56" t="s">
        <v>126</v>
      </c>
      <c r="D56" s="83"/>
      <c r="E56" s="84"/>
      <c r="F56">
        <v>1</v>
      </c>
      <c r="G56" s="127">
        <v>97117.5</v>
      </c>
      <c r="H56" s="127">
        <v>26221.73</v>
      </c>
      <c r="I56" s="127">
        <v>97117.5</v>
      </c>
      <c r="J56" s="102"/>
      <c r="K56">
        <v>1</v>
      </c>
      <c r="L56" s="127">
        <v>48558.75</v>
      </c>
      <c r="M56" s="127">
        <v>48558.75</v>
      </c>
      <c r="N56" s="111"/>
      <c r="O56" s="90"/>
      <c r="P56" s="112"/>
      <c r="Q56" s="91"/>
      <c r="R56" s="91"/>
      <c r="S56" s="127">
        <v>48558.75</v>
      </c>
      <c r="T56" s="127">
        <v>48558.75</v>
      </c>
      <c r="U56" s="128">
        <v>0</v>
      </c>
      <c r="V56" s="128">
        <v>1</v>
      </c>
      <c r="W56" s="108"/>
    </row>
    <row r="57" spans="2:26" ht="15.75" customHeight="1">
      <c r="B57" t="s">
        <v>349</v>
      </c>
      <c r="C57" t="s">
        <v>127</v>
      </c>
      <c r="D57" s="83"/>
      <c r="E57" s="97"/>
      <c r="F57">
        <v>1</v>
      </c>
      <c r="G57" s="127">
        <v>300</v>
      </c>
      <c r="H57" s="127">
        <v>81</v>
      </c>
      <c r="I57" s="127">
        <v>300</v>
      </c>
      <c r="J57" s="102"/>
      <c r="K57">
        <v>1</v>
      </c>
      <c r="L57" s="127">
        <v>150</v>
      </c>
      <c r="M57" s="127">
        <v>150</v>
      </c>
      <c r="N57" s="104"/>
      <c r="O57" s="90"/>
      <c r="P57" s="95"/>
      <c r="Q57" s="99"/>
      <c r="R57" s="105"/>
      <c r="S57" s="127">
        <v>150</v>
      </c>
      <c r="T57" s="127">
        <v>150</v>
      </c>
      <c r="U57" s="128">
        <v>0</v>
      </c>
      <c r="V57" s="128">
        <v>1</v>
      </c>
      <c r="W57" s="108"/>
    </row>
    <row r="58" spans="2:26" ht="15.75" customHeight="1">
      <c r="B58" t="s">
        <v>350</v>
      </c>
      <c r="C58" t="s">
        <v>128</v>
      </c>
      <c r="D58" s="83"/>
      <c r="E58" s="84"/>
      <c r="F58">
        <v>3</v>
      </c>
      <c r="G58" s="127">
        <v>178.5</v>
      </c>
      <c r="H58" s="127">
        <v>48.2</v>
      </c>
      <c r="I58" s="127">
        <v>535.5</v>
      </c>
      <c r="J58" s="102"/>
      <c r="K58">
        <v>3</v>
      </c>
      <c r="L58" s="127">
        <v>89.25</v>
      </c>
      <c r="M58" s="127">
        <v>267.75</v>
      </c>
      <c r="N58" s="111"/>
      <c r="O58" s="90"/>
      <c r="P58" s="112"/>
      <c r="Q58" s="91"/>
      <c r="R58" s="91"/>
      <c r="S58" s="127">
        <v>89.25</v>
      </c>
      <c r="T58" s="127">
        <v>267.75</v>
      </c>
      <c r="U58" s="128">
        <v>0</v>
      </c>
      <c r="V58" s="128">
        <v>1</v>
      </c>
      <c r="W58" s="108"/>
    </row>
    <row r="59" spans="2:26" ht="15.75" customHeight="1">
      <c r="B59" t="s">
        <v>351</v>
      </c>
      <c r="C59" t="s">
        <v>129</v>
      </c>
      <c r="D59" s="83"/>
      <c r="E59" s="97"/>
      <c r="F59">
        <v>3</v>
      </c>
      <c r="G59" s="127">
        <v>133</v>
      </c>
      <c r="H59" s="127">
        <v>35.909999999999997</v>
      </c>
      <c r="I59" s="127">
        <v>399</v>
      </c>
      <c r="J59" s="102"/>
      <c r="K59">
        <v>3</v>
      </c>
      <c r="L59" s="127">
        <v>66.5</v>
      </c>
      <c r="M59" s="127">
        <v>199.5</v>
      </c>
      <c r="N59" s="104"/>
      <c r="O59" s="90"/>
      <c r="P59" s="95"/>
      <c r="Q59" s="99"/>
      <c r="R59" s="105"/>
      <c r="S59" s="127">
        <v>66.5</v>
      </c>
      <c r="T59" s="127">
        <v>199.5</v>
      </c>
      <c r="U59" s="128">
        <v>0</v>
      </c>
      <c r="V59" s="128">
        <v>1</v>
      </c>
      <c r="W59" s="108"/>
    </row>
    <row r="60" spans="2:26" ht="15.75" customHeight="1">
      <c r="B60" t="s">
        <v>352</v>
      </c>
      <c r="C60" t="s">
        <v>353</v>
      </c>
      <c r="D60" s="83"/>
      <c r="E60" s="84"/>
      <c r="F60">
        <v>1</v>
      </c>
      <c r="G60" s="127">
        <v>8.2899999999999991</v>
      </c>
      <c r="H60" s="127">
        <v>2.2400000000000002</v>
      </c>
      <c r="I60" s="127">
        <v>8.2899999999999991</v>
      </c>
      <c r="J60" s="102"/>
      <c r="K60">
        <v>1</v>
      </c>
      <c r="L60" s="127">
        <v>4.1500000000000004</v>
      </c>
      <c r="M60" s="127">
        <v>4.1500000000000004</v>
      </c>
      <c r="N60" s="111"/>
      <c r="O60" s="90"/>
      <c r="P60" s="112"/>
      <c r="Q60" s="91"/>
      <c r="R60" s="91"/>
      <c r="S60" s="127">
        <v>4.1500000000000004</v>
      </c>
      <c r="T60" s="127">
        <v>4.1500000000000004</v>
      </c>
      <c r="U60" s="128">
        <v>0</v>
      </c>
      <c r="V60" s="128">
        <v>1</v>
      </c>
      <c r="W60" s="108"/>
    </row>
    <row r="61" spans="2:26" ht="15.75" customHeight="1">
      <c r="B61" t="s">
        <v>354</v>
      </c>
      <c r="C61" t="s">
        <v>130</v>
      </c>
      <c r="D61" s="83"/>
      <c r="E61" s="97"/>
      <c r="F61">
        <v>2</v>
      </c>
      <c r="G61" s="127">
        <v>17129.669999999998</v>
      </c>
      <c r="H61" s="127">
        <v>4625.01</v>
      </c>
      <c r="I61" s="127">
        <v>34259.339999999997</v>
      </c>
      <c r="J61" s="102"/>
      <c r="K61">
        <v>2</v>
      </c>
      <c r="L61" s="127">
        <v>8564.84</v>
      </c>
      <c r="M61" s="127">
        <v>17129.68</v>
      </c>
      <c r="N61" s="104"/>
      <c r="O61" s="90"/>
      <c r="P61" s="95"/>
      <c r="Q61" s="99"/>
      <c r="R61" s="105"/>
      <c r="S61" s="127">
        <v>8564.84</v>
      </c>
      <c r="T61" s="127">
        <v>17129.68</v>
      </c>
      <c r="U61" s="128">
        <v>0</v>
      </c>
      <c r="V61" s="128">
        <v>1</v>
      </c>
      <c r="W61" s="108"/>
    </row>
    <row r="62" spans="2:26" ht="15.75" customHeight="1">
      <c r="D62" s="83"/>
      <c r="E62" s="84"/>
      <c r="H62" t="s">
        <v>112</v>
      </c>
      <c r="I62" t="s">
        <v>112</v>
      </c>
      <c r="J62" s="102"/>
      <c r="K62">
        <v>0</v>
      </c>
      <c r="L62" t="s">
        <v>112</v>
      </c>
      <c r="M62" t="s">
        <v>112</v>
      </c>
      <c r="N62" s="111"/>
      <c r="O62" s="90"/>
      <c r="P62" s="112"/>
      <c r="Q62" s="91"/>
      <c r="R62" s="91"/>
      <c r="S62" t="s">
        <v>112</v>
      </c>
      <c r="T62" t="s">
        <v>112</v>
      </c>
      <c r="U62" s="128">
        <v>0</v>
      </c>
      <c r="V62" s="128">
        <v>0</v>
      </c>
      <c r="W62" s="108"/>
    </row>
    <row r="63" spans="2:26" ht="15.75" customHeight="1">
      <c r="B63" t="s">
        <v>355</v>
      </c>
      <c r="C63" t="s">
        <v>131</v>
      </c>
      <c r="D63" s="83"/>
      <c r="E63" s="97"/>
      <c r="F63">
        <v>1</v>
      </c>
      <c r="G63" s="127">
        <v>26182.03</v>
      </c>
      <c r="H63" s="127">
        <v>7069.15</v>
      </c>
      <c r="I63" s="127">
        <v>26182.03</v>
      </c>
      <c r="J63" s="102"/>
      <c r="K63">
        <v>1</v>
      </c>
      <c r="L63" s="127">
        <v>13091.02</v>
      </c>
      <c r="M63" s="127">
        <v>13091.02</v>
      </c>
      <c r="N63" s="104"/>
      <c r="O63" s="90"/>
      <c r="P63" s="95"/>
      <c r="Q63" s="99"/>
      <c r="R63" s="105"/>
      <c r="S63" s="127">
        <v>13091.02</v>
      </c>
      <c r="T63" s="127">
        <v>13091.02</v>
      </c>
      <c r="U63" s="128">
        <v>0</v>
      </c>
      <c r="V63" s="128">
        <v>1</v>
      </c>
      <c r="W63" s="108"/>
    </row>
    <row r="64" spans="2:26" ht="15.75" customHeight="1">
      <c r="B64" s="129" t="s">
        <v>356</v>
      </c>
      <c r="C64" t="s">
        <v>357</v>
      </c>
      <c r="D64" s="83"/>
      <c r="E64" s="84"/>
      <c r="F64">
        <v>1</v>
      </c>
      <c r="G64" s="127">
        <v>704.45</v>
      </c>
      <c r="H64" s="127">
        <v>190.2</v>
      </c>
      <c r="I64" s="127">
        <v>704.45</v>
      </c>
      <c r="J64" s="102"/>
      <c r="K64">
        <v>1</v>
      </c>
      <c r="L64" s="127">
        <v>352.23</v>
      </c>
      <c r="M64" s="127">
        <v>352.23</v>
      </c>
      <c r="N64" s="111"/>
      <c r="O64" s="90"/>
      <c r="P64" s="112"/>
      <c r="Q64" s="91"/>
      <c r="R64" s="91"/>
      <c r="S64" s="127">
        <v>352.23</v>
      </c>
      <c r="T64" s="127">
        <v>352.23</v>
      </c>
      <c r="U64" s="128">
        <v>0</v>
      </c>
      <c r="V64" s="128">
        <v>1</v>
      </c>
      <c r="W64" s="108"/>
    </row>
    <row r="65" spans="2:26" ht="15.75" customHeight="1">
      <c r="B65" t="s">
        <v>358</v>
      </c>
      <c r="C65" t="s">
        <v>109</v>
      </c>
      <c r="D65" s="83"/>
      <c r="E65" s="97"/>
      <c r="F65">
        <v>1</v>
      </c>
      <c r="G65" s="127">
        <v>8306.49</v>
      </c>
      <c r="H65" s="127">
        <v>2242.75</v>
      </c>
      <c r="I65" s="127">
        <v>8306.49</v>
      </c>
      <c r="J65" s="102"/>
      <c r="K65">
        <v>1</v>
      </c>
      <c r="L65" s="127">
        <v>4153.25</v>
      </c>
      <c r="M65" s="127">
        <v>4153.25</v>
      </c>
      <c r="N65" s="104"/>
      <c r="O65" s="90"/>
      <c r="P65" s="95"/>
      <c r="Q65" s="99"/>
      <c r="R65" s="105"/>
      <c r="S65" s="127">
        <v>4153.25</v>
      </c>
      <c r="T65" s="127">
        <v>4153.25</v>
      </c>
      <c r="U65" s="128">
        <v>0</v>
      </c>
      <c r="V65" s="128">
        <v>1</v>
      </c>
      <c r="W65" s="108"/>
    </row>
    <row r="66" spans="2:26">
      <c r="B66" t="s">
        <v>359</v>
      </c>
      <c r="C66" t="s">
        <v>132</v>
      </c>
      <c r="D66" s="83"/>
      <c r="E66" s="84"/>
      <c r="F66">
        <v>1</v>
      </c>
      <c r="G66" s="127">
        <v>30291.25</v>
      </c>
      <c r="H66" s="127">
        <v>8178.64</v>
      </c>
      <c r="I66" s="127">
        <v>30291.25</v>
      </c>
      <c r="J66" s="102"/>
      <c r="K66">
        <v>1</v>
      </c>
      <c r="L66" s="127">
        <v>15145.63</v>
      </c>
      <c r="M66" s="127">
        <v>15145.63</v>
      </c>
      <c r="N66" s="111"/>
      <c r="O66" s="90"/>
      <c r="P66" s="112"/>
      <c r="Q66" s="91"/>
      <c r="R66" s="91"/>
      <c r="S66" s="127">
        <v>15145.63</v>
      </c>
      <c r="T66" s="127">
        <v>15145.63</v>
      </c>
      <c r="U66" s="128">
        <v>0</v>
      </c>
      <c r="V66" s="128">
        <v>1</v>
      </c>
      <c r="W66" s="93"/>
      <c r="X66" s="94"/>
      <c r="Y66" s="4"/>
      <c r="Z66" s="4"/>
    </row>
    <row r="67" spans="2:26" ht="15.75" customHeight="1">
      <c r="B67" t="s">
        <v>360</v>
      </c>
      <c r="C67" t="s">
        <v>111</v>
      </c>
      <c r="D67" s="83"/>
      <c r="E67" s="97"/>
      <c r="F67">
        <v>1</v>
      </c>
      <c r="G67" s="127">
        <v>7712.54</v>
      </c>
      <c r="H67" s="127">
        <v>2082.39</v>
      </c>
      <c r="I67" s="127">
        <v>7712.54</v>
      </c>
      <c r="J67" s="102"/>
      <c r="K67">
        <v>1</v>
      </c>
      <c r="L67" s="127">
        <v>3856.27</v>
      </c>
      <c r="M67" s="127">
        <v>3856.27</v>
      </c>
      <c r="N67" s="104"/>
      <c r="O67" s="90"/>
      <c r="P67" s="95"/>
      <c r="Q67" s="99"/>
      <c r="R67" s="105"/>
      <c r="S67" s="127">
        <v>3856.27</v>
      </c>
      <c r="T67" s="127">
        <v>3856.27</v>
      </c>
      <c r="U67" s="128">
        <v>0</v>
      </c>
      <c r="V67" s="128">
        <v>1</v>
      </c>
      <c r="W67" s="108"/>
      <c r="X67" s="94"/>
      <c r="Y67" s="4"/>
      <c r="Z67" s="4"/>
    </row>
    <row r="68" spans="2:26" ht="15.75" customHeight="1">
      <c r="D68" s="83"/>
      <c r="E68" s="84"/>
      <c r="H68" t="s">
        <v>112</v>
      </c>
      <c r="I68" t="s">
        <v>112</v>
      </c>
      <c r="J68" s="102"/>
      <c r="K68">
        <v>0</v>
      </c>
      <c r="L68" t="s">
        <v>112</v>
      </c>
      <c r="M68" t="s">
        <v>112</v>
      </c>
      <c r="N68" s="111"/>
      <c r="O68" s="90"/>
      <c r="P68" s="112"/>
      <c r="Q68" s="91"/>
      <c r="R68" s="91"/>
      <c r="S68" t="s">
        <v>112</v>
      </c>
      <c r="T68" t="s">
        <v>112</v>
      </c>
      <c r="U68" s="128">
        <v>0</v>
      </c>
      <c r="V68" s="128">
        <v>0</v>
      </c>
      <c r="W68" s="93"/>
      <c r="X68" s="94"/>
      <c r="Y68" s="4"/>
      <c r="Z68" s="4"/>
    </row>
    <row r="69" spans="2:26" ht="15.75" customHeight="1">
      <c r="B69" t="s">
        <v>361</v>
      </c>
      <c r="C69" t="s">
        <v>133</v>
      </c>
      <c r="D69" s="83"/>
      <c r="E69" s="97"/>
      <c r="F69">
        <v>1</v>
      </c>
      <c r="G69" s="127">
        <v>2482.65</v>
      </c>
      <c r="H69" s="127">
        <v>670.32</v>
      </c>
      <c r="I69" s="127">
        <v>2482.65</v>
      </c>
      <c r="J69" s="102"/>
      <c r="K69">
        <v>1</v>
      </c>
      <c r="L69" s="127">
        <v>1241.33</v>
      </c>
      <c r="M69" s="127">
        <v>1241.33</v>
      </c>
      <c r="N69" s="104"/>
      <c r="O69" s="90"/>
      <c r="P69" s="95"/>
      <c r="Q69" s="99"/>
      <c r="R69" s="105"/>
      <c r="S69" s="127">
        <v>1241.33</v>
      </c>
      <c r="T69" s="127">
        <v>1241.33</v>
      </c>
      <c r="U69" s="128">
        <v>0</v>
      </c>
      <c r="V69" s="128">
        <v>1</v>
      </c>
      <c r="W69" s="108"/>
      <c r="X69" s="94"/>
      <c r="Y69" s="4"/>
      <c r="Z69" s="4"/>
    </row>
    <row r="70" spans="2:26" ht="15.75" customHeight="1">
      <c r="B70" t="s">
        <v>362</v>
      </c>
      <c r="C70" t="s">
        <v>134</v>
      </c>
      <c r="D70" s="83"/>
      <c r="E70" s="84"/>
      <c r="F70">
        <v>1</v>
      </c>
      <c r="G70" s="127">
        <v>3364.13</v>
      </c>
      <c r="H70" s="127">
        <v>908.32</v>
      </c>
      <c r="I70" s="127">
        <v>3364.13</v>
      </c>
      <c r="J70" s="102"/>
      <c r="K70">
        <v>1</v>
      </c>
      <c r="L70" s="127">
        <v>1682.07</v>
      </c>
      <c r="M70" s="127">
        <v>1682.07</v>
      </c>
      <c r="N70" s="111"/>
      <c r="O70" s="90"/>
      <c r="P70" s="112"/>
      <c r="Q70" s="91"/>
      <c r="R70" s="91"/>
      <c r="S70" s="127">
        <v>1682.07</v>
      </c>
      <c r="T70" s="127">
        <v>1682.07</v>
      </c>
      <c r="U70" s="128">
        <v>0</v>
      </c>
      <c r="V70" s="128">
        <v>1</v>
      </c>
      <c r="W70" s="93"/>
      <c r="X70" s="94"/>
      <c r="Y70" s="4"/>
      <c r="Z70" s="4"/>
    </row>
    <row r="71" spans="2:26" ht="15.75" customHeight="1">
      <c r="D71" s="83"/>
      <c r="E71" s="97"/>
      <c r="G71" s="127"/>
      <c r="H71" s="127"/>
      <c r="I71" s="127"/>
      <c r="J71" s="102"/>
      <c r="L71" s="127"/>
      <c r="M71" s="127"/>
      <c r="N71" s="104"/>
      <c r="O71" s="90"/>
      <c r="P71" s="95"/>
      <c r="Q71" s="99"/>
      <c r="R71" s="105"/>
      <c r="S71" s="127"/>
      <c r="T71" s="127"/>
      <c r="U71" s="128"/>
      <c r="V71" s="128"/>
      <c r="W71" s="108"/>
      <c r="X71" s="94"/>
      <c r="Y71" s="4"/>
      <c r="Z71" s="4"/>
    </row>
    <row r="72" spans="2:26" ht="15.75" customHeight="1">
      <c r="D72" s="83"/>
      <c r="E72" s="84"/>
      <c r="G72" s="127"/>
      <c r="H72" s="127"/>
      <c r="I72" s="127"/>
      <c r="J72" s="102"/>
      <c r="L72" s="127"/>
      <c r="M72" s="127"/>
      <c r="N72" s="111"/>
      <c r="O72" s="90"/>
      <c r="P72" s="112"/>
      <c r="Q72" s="91"/>
      <c r="R72" s="91"/>
      <c r="S72" s="127"/>
      <c r="T72" s="127"/>
      <c r="U72" s="128"/>
      <c r="V72" s="128"/>
      <c r="W72" s="93"/>
      <c r="X72" s="94"/>
      <c r="Y72" s="4"/>
      <c r="Z72" s="4"/>
    </row>
    <row r="73" spans="2:26" ht="15.75" customHeight="1">
      <c r="D73" s="83"/>
      <c r="E73" s="97"/>
      <c r="G73" s="127"/>
      <c r="H73" s="127"/>
      <c r="I73" s="127"/>
      <c r="J73" s="102"/>
      <c r="L73" s="127"/>
      <c r="M73" s="127"/>
      <c r="N73" s="104"/>
      <c r="O73" s="90"/>
      <c r="P73" s="95"/>
      <c r="Q73" s="99"/>
      <c r="R73" s="105"/>
      <c r="S73" s="127"/>
      <c r="T73" s="127"/>
      <c r="U73" s="128"/>
      <c r="V73" s="128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128"/>
      <c r="V74" s="128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128"/>
      <c r="V75" s="128"/>
      <c r="W75" s="93"/>
      <c r="X75" s="94"/>
      <c r="Y75" s="4"/>
      <c r="Z75" s="4"/>
    </row>
    <row r="76" spans="2:26" ht="15.75" customHeight="1">
      <c r="D76" s="83"/>
      <c r="E76" s="97"/>
      <c r="G76" s="127"/>
      <c r="H76" s="127"/>
      <c r="I76" s="127"/>
      <c r="J76" s="102"/>
      <c r="L76" s="127"/>
      <c r="M76" s="127"/>
      <c r="N76" s="104"/>
      <c r="O76" s="90"/>
      <c r="P76" s="95"/>
      <c r="Q76" s="99"/>
      <c r="R76" s="105"/>
      <c r="S76" s="127"/>
      <c r="T76" s="127"/>
      <c r="U76" s="128"/>
      <c r="V76" s="128"/>
      <c r="W76" s="108"/>
      <c r="X76" s="94"/>
      <c r="Y76" s="4"/>
      <c r="Z76" s="4"/>
    </row>
    <row r="77" spans="2:26" ht="15.75" customHeight="1">
      <c r="D77" s="83"/>
      <c r="E77" s="84"/>
      <c r="G77" s="127"/>
      <c r="H77" s="127"/>
      <c r="I77" s="127"/>
      <c r="J77" s="102"/>
      <c r="L77" s="127"/>
      <c r="M77" s="127"/>
      <c r="N77" s="111"/>
      <c r="O77" s="90"/>
      <c r="P77" s="112"/>
      <c r="Q77" s="91"/>
      <c r="R77" s="91"/>
      <c r="S77" s="127"/>
      <c r="T77" s="127"/>
      <c r="U77" s="128"/>
      <c r="V77" s="128"/>
      <c r="W77" s="93"/>
    </row>
    <row r="78" spans="2:26" ht="15.75" customHeight="1">
      <c r="D78" s="83"/>
      <c r="E78" s="97"/>
      <c r="G78" s="127"/>
      <c r="H78" s="127"/>
      <c r="I78" s="127"/>
      <c r="J78" s="102"/>
      <c r="L78" s="127"/>
      <c r="M78" s="127"/>
      <c r="N78" s="104"/>
      <c r="O78" s="90"/>
      <c r="P78" s="95"/>
      <c r="Q78" s="99"/>
      <c r="R78" s="105"/>
      <c r="S78" s="127"/>
      <c r="T78" s="127"/>
      <c r="U78" s="128"/>
      <c r="V78" s="128"/>
      <c r="W78" s="108"/>
    </row>
    <row r="79" spans="2:26" ht="15.75" customHeight="1">
      <c r="D79" s="83"/>
      <c r="E79" s="84"/>
      <c r="G79" s="127"/>
      <c r="H79" s="127"/>
      <c r="I79" s="127"/>
      <c r="J79" s="102"/>
      <c r="L79" s="127"/>
      <c r="M79" s="127"/>
      <c r="N79" s="111"/>
      <c r="O79" s="90"/>
      <c r="P79" s="112"/>
      <c r="Q79" s="91"/>
      <c r="R79" s="91"/>
      <c r="S79" s="127"/>
      <c r="T79" s="127"/>
      <c r="U79" s="128"/>
      <c r="V79" s="128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128"/>
      <c r="V80" s="128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128"/>
      <c r="V81" s="128"/>
      <c r="W81" s="93"/>
    </row>
    <row r="82" spans="4:26" ht="15.75" customHeight="1">
      <c r="D82" s="83"/>
      <c r="E82" s="97"/>
      <c r="G82" s="127"/>
      <c r="H82" s="127"/>
      <c r="I82" s="127"/>
      <c r="J82" s="102"/>
      <c r="L82" s="127"/>
      <c r="M82" s="127"/>
      <c r="N82" s="104"/>
      <c r="O82" s="90"/>
      <c r="P82" s="95"/>
      <c r="Q82" s="99"/>
      <c r="R82" s="105"/>
      <c r="S82" s="127"/>
      <c r="T82" s="127"/>
      <c r="U82" s="128"/>
      <c r="V82" s="128"/>
      <c r="W82" s="108"/>
    </row>
    <row r="83" spans="4:26" ht="15.75" customHeight="1">
      <c r="D83" s="83"/>
      <c r="E83" s="84"/>
      <c r="G83" s="127"/>
      <c r="H83" s="127"/>
      <c r="I83" s="127"/>
      <c r="J83" s="102"/>
      <c r="L83" s="127"/>
      <c r="M83" s="127"/>
      <c r="N83" s="111"/>
      <c r="O83" s="90"/>
      <c r="P83" s="112"/>
      <c r="Q83" s="91"/>
      <c r="R83" s="91"/>
      <c r="S83" s="127"/>
      <c r="T83" s="127"/>
      <c r="U83" s="128"/>
      <c r="V83" s="128"/>
      <c r="W83" s="108"/>
    </row>
    <row r="84" spans="4:26" ht="15.75" customHeight="1">
      <c r="D84" s="83"/>
      <c r="E84" s="97"/>
      <c r="G84" s="127"/>
      <c r="H84" s="127"/>
      <c r="I84" s="127"/>
      <c r="J84" s="102"/>
      <c r="L84" s="127"/>
      <c r="M84" s="127"/>
      <c r="N84" s="104"/>
      <c r="O84" s="90"/>
      <c r="P84" s="95"/>
      <c r="Q84" s="99"/>
      <c r="R84" s="105"/>
      <c r="S84" s="127"/>
      <c r="T84" s="127"/>
      <c r="U84" s="128"/>
      <c r="V84" s="128"/>
      <c r="W84" s="108"/>
    </row>
    <row r="85" spans="4:26" ht="15.75" customHeight="1">
      <c r="D85" s="83"/>
      <c r="E85" s="84"/>
      <c r="G85" s="127"/>
      <c r="H85" s="127"/>
      <c r="I85" s="127"/>
      <c r="J85" s="102"/>
      <c r="L85" s="127"/>
      <c r="M85" s="127"/>
      <c r="N85" s="111"/>
      <c r="O85" s="90"/>
      <c r="P85" s="112"/>
      <c r="Q85" s="91"/>
      <c r="R85" s="91"/>
      <c r="S85" s="127"/>
      <c r="T85" s="127"/>
      <c r="U85" s="128"/>
      <c r="V85" s="128"/>
      <c r="W85" s="108"/>
    </row>
    <row r="86" spans="4:26" ht="15.75" customHeight="1">
      <c r="D86" s="83"/>
      <c r="E86" s="97"/>
      <c r="G86" s="127"/>
      <c r="H86" s="127"/>
      <c r="I86" s="127"/>
      <c r="J86" s="102"/>
      <c r="L86" s="127"/>
      <c r="M86" s="127"/>
      <c r="N86" s="104"/>
      <c r="O86" s="90"/>
      <c r="P86" s="95"/>
      <c r="Q86" s="99"/>
      <c r="R86" s="105"/>
      <c r="S86" s="127"/>
      <c r="T86" s="127"/>
      <c r="U86" s="128"/>
      <c r="V86" s="128"/>
      <c r="W86" s="108"/>
    </row>
    <row r="87" spans="4:26" ht="15.75" customHeight="1">
      <c r="D87" s="83"/>
      <c r="E87" s="84"/>
      <c r="G87" s="127"/>
      <c r="H87" s="127"/>
      <c r="I87" s="127"/>
      <c r="J87" s="102"/>
      <c r="L87" s="127"/>
      <c r="M87" s="127"/>
      <c r="N87" s="111"/>
      <c r="O87" s="90"/>
      <c r="P87" s="112"/>
      <c r="Q87" s="91"/>
      <c r="R87" s="91"/>
      <c r="S87" s="127"/>
      <c r="T87" s="127"/>
      <c r="U87" s="128"/>
      <c r="V87" s="128"/>
      <c r="W87" s="108"/>
    </row>
    <row r="88" spans="4:26" ht="15.75" customHeight="1">
      <c r="D88" s="83"/>
      <c r="E88" s="97"/>
      <c r="G88" s="127"/>
      <c r="H88" s="127"/>
      <c r="I88" s="127"/>
      <c r="J88" s="102"/>
      <c r="L88" s="127"/>
      <c r="M88" s="127"/>
      <c r="N88" s="104"/>
      <c r="O88" s="90"/>
      <c r="P88" s="95"/>
      <c r="Q88" s="99"/>
      <c r="R88" s="105"/>
      <c r="S88" s="127"/>
      <c r="T88" s="127"/>
      <c r="U88" s="128"/>
      <c r="V88" s="128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128"/>
      <c r="V89" s="128"/>
      <c r="W89" s="108"/>
    </row>
    <row r="90" spans="4:26" ht="15.75" customHeight="1">
      <c r="D90" s="83"/>
      <c r="E90" s="97"/>
      <c r="G90" s="127"/>
      <c r="H90" s="127"/>
      <c r="I90" s="127"/>
      <c r="J90" s="102"/>
      <c r="L90" s="127"/>
      <c r="M90" s="127"/>
      <c r="N90" s="104"/>
      <c r="O90" s="90"/>
      <c r="P90" s="95"/>
      <c r="Q90" s="99"/>
      <c r="R90" s="105"/>
      <c r="S90" s="127"/>
      <c r="T90" s="127"/>
      <c r="U90" s="128"/>
      <c r="V90" s="128"/>
      <c r="W90" s="108"/>
    </row>
    <row r="91" spans="4:26" ht="15.75" customHeight="1">
      <c r="D91" s="83"/>
      <c r="E91" s="84"/>
      <c r="G91" s="127"/>
      <c r="H91" s="127"/>
      <c r="I91" s="127"/>
      <c r="J91" s="102"/>
      <c r="L91" s="127"/>
      <c r="M91" s="127"/>
      <c r="N91" s="111"/>
      <c r="O91" s="90"/>
      <c r="P91" s="112"/>
      <c r="Q91" s="91"/>
      <c r="R91" s="91"/>
      <c r="S91" s="127"/>
      <c r="T91" s="127"/>
      <c r="U91" s="128"/>
      <c r="V91" s="128"/>
      <c r="W91" s="108"/>
    </row>
    <row r="92" spans="4:26" ht="15.75" customHeight="1">
      <c r="D92" s="83"/>
      <c r="E92" s="97"/>
      <c r="G92" s="127"/>
      <c r="H92" s="127"/>
      <c r="I92" s="127"/>
      <c r="J92" s="102"/>
      <c r="L92" s="127"/>
      <c r="M92" s="127"/>
      <c r="N92" s="104"/>
      <c r="O92" s="90"/>
      <c r="P92" s="95"/>
      <c r="Q92" s="99"/>
      <c r="R92" s="105"/>
      <c r="S92" s="127"/>
      <c r="T92" s="127"/>
      <c r="U92" s="128"/>
      <c r="V92" s="128"/>
      <c r="W92" s="108"/>
    </row>
    <row r="93" spans="4:26" ht="15.75" customHeight="1">
      <c r="D93" s="83"/>
      <c r="E93" s="84"/>
      <c r="G93" s="127"/>
      <c r="H93" s="127"/>
      <c r="I93" s="127"/>
      <c r="J93" s="102"/>
      <c r="L93" s="127"/>
      <c r="M93" s="127"/>
      <c r="N93" s="111"/>
      <c r="O93" s="90"/>
      <c r="P93" s="112"/>
      <c r="Q93" s="91"/>
      <c r="R93" s="91"/>
      <c r="S93" s="127"/>
      <c r="T93" s="127"/>
      <c r="U93" s="128"/>
      <c r="V93" s="128"/>
      <c r="W93" s="108"/>
    </row>
    <row r="94" spans="4:26" ht="15.75" customHeight="1">
      <c r="D94" s="83"/>
      <c r="E94" s="97"/>
      <c r="G94" s="127"/>
      <c r="H94" s="127"/>
      <c r="I94" s="127"/>
      <c r="J94" s="102"/>
      <c r="L94" s="127"/>
      <c r="M94" s="127"/>
      <c r="N94" s="104"/>
      <c r="O94" s="90"/>
      <c r="P94" s="95"/>
      <c r="Q94" s="99"/>
      <c r="R94" s="105"/>
      <c r="S94" s="127"/>
      <c r="T94" s="127"/>
      <c r="U94" s="128"/>
      <c r="V94" s="128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128"/>
      <c r="V95" s="128"/>
      <c r="W95" s="93"/>
      <c r="X95" s="94"/>
      <c r="Y95" s="4"/>
      <c r="Z95" s="4"/>
    </row>
    <row r="96" spans="4:26" ht="15.75" customHeight="1">
      <c r="D96" s="83"/>
      <c r="E96" s="97"/>
      <c r="G96" s="127"/>
      <c r="H96" s="127"/>
      <c r="I96" s="127"/>
      <c r="J96" s="102"/>
      <c r="L96" s="127"/>
      <c r="M96" s="127"/>
      <c r="N96" s="104"/>
      <c r="O96" s="90"/>
      <c r="P96" s="95"/>
      <c r="Q96" s="99"/>
      <c r="R96" s="105"/>
      <c r="S96" s="127"/>
      <c r="T96" s="127"/>
      <c r="U96" s="128"/>
      <c r="V96" s="128"/>
      <c r="W96" s="108"/>
      <c r="X96" s="94"/>
      <c r="Y96" s="4"/>
      <c r="Z96" s="4"/>
    </row>
    <row r="97" spans="2:23" ht="15.75" customHeight="1">
      <c r="D97" s="83"/>
      <c r="E97" s="84"/>
      <c r="G97" s="127"/>
      <c r="H97" s="127"/>
      <c r="I97" s="127"/>
      <c r="J97" s="102"/>
      <c r="L97" s="127"/>
      <c r="M97" s="127"/>
      <c r="N97" s="111"/>
      <c r="O97" s="90"/>
      <c r="P97" s="112"/>
      <c r="Q97" s="91"/>
      <c r="R97" s="91"/>
      <c r="S97" s="127"/>
      <c r="T97" s="127"/>
      <c r="U97" s="128"/>
      <c r="V97" s="128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128"/>
      <c r="V98" s="128"/>
      <c r="W98" s="108"/>
    </row>
    <row r="99" spans="2:23" ht="15.75" customHeight="1">
      <c r="D99" s="83"/>
      <c r="E99" s="84"/>
      <c r="G99" s="127"/>
      <c r="H99" s="127"/>
      <c r="I99" s="127"/>
      <c r="J99" s="102"/>
      <c r="L99" s="127"/>
      <c r="M99" s="127"/>
      <c r="N99" s="111"/>
      <c r="O99" s="90"/>
      <c r="P99" s="112"/>
      <c r="Q99" s="91"/>
      <c r="R99" s="91"/>
      <c r="S99" s="127"/>
      <c r="T99" s="127"/>
      <c r="U99" s="128"/>
      <c r="V99" s="128"/>
      <c r="W99" s="93"/>
    </row>
    <row r="100" spans="2:23" ht="15.75" customHeight="1">
      <c r="D100" s="83"/>
      <c r="E100" s="97"/>
      <c r="G100" s="127"/>
      <c r="H100" s="127"/>
      <c r="I100" s="127"/>
      <c r="J100" s="102"/>
      <c r="L100" s="127"/>
      <c r="M100" s="127"/>
      <c r="N100" s="104"/>
      <c r="O100" s="90"/>
      <c r="P100" s="95"/>
      <c r="Q100" s="99"/>
      <c r="R100" s="105"/>
      <c r="S100" s="127"/>
      <c r="T100" s="127"/>
      <c r="U100" s="128"/>
      <c r="V100" s="128"/>
      <c r="W100" s="108"/>
    </row>
    <row r="101" spans="2:23" ht="15.75" customHeight="1">
      <c r="D101" s="83"/>
      <c r="E101" s="84"/>
      <c r="G101" s="127"/>
      <c r="H101" s="127"/>
      <c r="I101" s="127"/>
      <c r="J101" s="102"/>
      <c r="L101" s="127"/>
      <c r="M101" s="127"/>
      <c r="N101" s="111"/>
      <c r="O101" s="90"/>
      <c r="P101" s="112"/>
      <c r="Q101" s="91"/>
      <c r="R101" s="91"/>
      <c r="S101" s="127"/>
      <c r="T101" s="127"/>
      <c r="U101" s="128"/>
      <c r="V101" s="128"/>
      <c r="W101" s="93"/>
    </row>
    <row r="102" spans="2:23" ht="15.75" customHeight="1">
      <c r="D102" s="83"/>
      <c r="E102" s="97"/>
      <c r="G102" s="127"/>
      <c r="H102" s="127"/>
      <c r="I102" s="127"/>
      <c r="J102" s="102"/>
      <c r="L102" s="127"/>
      <c r="M102" s="127"/>
      <c r="N102" s="104"/>
      <c r="O102" s="90"/>
      <c r="P102" s="95"/>
      <c r="Q102" s="99"/>
      <c r="R102" s="105"/>
      <c r="S102" s="127"/>
      <c r="T102" s="127"/>
      <c r="U102" s="128"/>
      <c r="V102" s="128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1317</v>
      </c>
      <c r="G114" s="118">
        <f>SUM(G19:G113)</f>
        <v>917507.00000000012</v>
      </c>
      <c r="H114" s="119">
        <f>SUM(H19:H113)</f>
        <v>247726.98000000004</v>
      </c>
      <c r="I114" s="120">
        <f>SUM(I19:I113)</f>
        <v>1340747.67</v>
      </c>
      <c r="J114" s="121"/>
      <c r="K114" s="122">
        <f>SUM(K19:K113)</f>
        <v>1317</v>
      </c>
      <c r="L114" s="119">
        <f>SUM(L19:L113)</f>
        <v>458753.5400000001</v>
      </c>
      <c r="M114" s="120">
        <f>SUM(M19:M113)</f>
        <v>670373.88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458753.5400000001</v>
      </c>
      <c r="T114" s="120">
        <f>SUM(T19:T113)</f>
        <v>670373.88</v>
      </c>
      <c r="U114" s="125"/>
      <c r="V114" s="125"/>
      <c r="W114" s="126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23" priority="1" stopIfTrue="1">
      <formula>$U$9&gt;100%</formula>
    </cfRule>
    <cfRule type="expression" dxfId="22" priority="2">
      <formula>$U$9&lt;50%</formula>
    </cfRule>
  </conditionalFormatting>
  <conditionalFormatting sqref="V9:V11">
    <cfRule type="expression" dxfId="21" priority="3">
      <formula>$V$9&lt;50%</formula>
    </cfRule>
    <cfRule type="expression" dxfId="20" priority="4">
      <formula>$V$9&gt;50%</formula>
    </cfRule>
  </conditionalFormatting>
  <dataValidations count="4">
    <dataValidation type="list" allowBlank="1" showErrorMessage="1" sqref="Q15 G18 L18 Q18" xr:uid="{53E901F6-C103-4335-83F9-11BCA4C7C054}">
      <formula1>$Y$12:$Y$13</formula1>
    </dataValidation>
    <dataValidation type="list" allowBlank="1" showErrorMessage="1" sqref="J14" xr:uid="{A5E322A1-5C35-40DA-B2CC-86F0E69B917A}">
      <formula1>$L$9</formula1>
    </dataValidation>
    <dataValidation type="list" allowBlank="1" showErrorMessage="1" sqref="I14" xr:uid="{CD06EF74-7079-4657-B215-7C19A71455A5}">
      <formula1>$Y$14:$Y$15</formula1>
    </dataValidation>
    <dataValidation type="list" allowBlank="1" showErrorMessage="1" sqref="E19:E113" xr:uid="{0294428E-5657-4AC3-955E-02BDFFD2EEE7}">
      <formula1>$Z$19:$Z$94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66E9-0AFC-4C70-8927-B0FEC781E786}">
  <sheetPr>
    <pageSetUpPr fitToPage="1"/>
  </sheetPr>
  <dimension ref="B1:Z114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18" t="s">
        <v>0</v>
      </c>
      <c r="C1" s="219"/>
      <c r="D1" s="220" t="s">
        <v>1</v>
      </c>
      <c r="E1" s="221"/>
      <c r="F1" s="221"/>
      <c r="G1" s="221"/>
      <c r="H1" s="184"/>
      <c r="I1" s="218" t="s">
        <v>2</v>
      </c>
      <c r="J1" s="222"/>
      <c r="K1" s="222"/>
      <c r="L1" s="181"/>
      <c r="M1" s="223" t="s">
        <v>3</v>
      </c>
      <c r="N1" s="224"/>
      <c r="O1" s="225"/>
      <c r="P1" s="226" t="str">
        <f>L18</f>
        <v>CAD $</v>
      </c>
      <c r="Q1" s="222"/>
      <c r="R1" s="181"/>
      <c r="S1" s="218" t="s">
        <v>4</v>
      </c>
      <c r="T1" s="222"/>
      <c r="U1" s="222"/>
      <c r="V1" s="222"/>
      <c r="W1" s="181"/>
      <c r="X1" s="2"/>
      <c r="Y1" s="3"/>
    </row>
    <row r="2" spans="2:25" ht="15" customHeight="1">
      <c r="B2" s="5" t="s">
        <v>5</v>
      </c>
      <c r="C2" s="6"/>
      <c r="D2" s="193" t="s">
        <v>6</v>
      </c>
      <c r="E2" s="135"/>
      <c r="F2" s="136"/>
      <c r="G2" s="194"/>
      <c r="H2" s="136"/>
      <c r="I2" s="215" t="s">
        <v>7</v>
      </c>
      <c r="J2" s="133"/>
      <c r="K2" s="131"/>
      <c r="L2" s="8"/>
      <c r="M2" s="216" t="s">
        <v>8</v>
      </c>
      <c r="N2" s="131"/>
      <c r="O2" s="9"/>
      <c r="P2" s="217">
        <f>I114</f>
        <v>18225.079999999998</v>
      </c>
      <c r="Q2" s="133"/>
      <c r="R2" s="131"/>
      <c r="S2" s="216" t="s">
        <v>9</v>
      </c>
      <c r="T2" s="131"/>
      <c r="U2" s="214"/>
      <c r="V2" s="131"/>
      <c r="W2" s="10"/>
      <c r="X2" s="11"/>
      <c r="Y2" s="3"/>
    </row>
    <row r="3" spans="2:25" ht="15" customHeight="1">
      <c r="B3" s="12" t="s">
        <v>10</v>
      </c>
      <c r="C3" s="7"/>
      <c r="D3" s="193" t="s">
        <v>11</v>
      </c>
      <c r="E3" s="135"/>
      <c r="F3" s="136"/>
      <c r="G3" s="194"/>
      <c r="H3" s="136"/>
      <c r="I3" s="193" t="s">
        <v>12</v>
      </c>
      <c r="J3" s="135"/>
      <c r="K3" s="136"/>
      <c r="L3" s="13"/>
      <c r="M3" s="197" t="s">
        <v>13</v>
      </c>
      <c r="N3" s="136"/>
      <c r="O3" s="9"/>
      <c r="P3" s="213">
        <f>M114</f>
        <v>9112.8000000000011</v>
      </c>
      <c r="Q3" s="135"/>
      <c r="R3" s="136"/>
      <c r="S3" s="197" t="s">
        <v>14</v>
      </c>
      <c r="T3" s="136"/>
      <c r="U3" s="199"/>
      <c r="V3" s="136"/>
      <c r="W3" s="14"/>
      <c r="X3" s="1"/>
      <c r="Y3" s="15"/>
    </row>
    <row r="4" spans="2:25" ht="15" customHeight="1">
      <c r="B4" s="16" t="s">
        <v>15</v>
      </c>
      <c r="C4" s="7"/>
      <c r="D4" s="193" t="s">
        <v>16</v>
      </c>
      <c r="E4" s="135"/>
      <c r="F4" s="136"/>
      <c r="G4" s="227" t="s">
        <v>497</v>
      </c>
      <c r="H4" s="228"/>
      <c r="I4" s="193" t="s">
        <v>17</v>
      </c>
      <c r="J4" s="135"/>
      <c r="K4" s="136"/>
      <c r="L4" s="13"/>
      <c r="M4" s="197" t="s">
        <v>18</v>
      </c>
      <c r="N4" s="136"/>
      <c r="O4" s="9"/>
      <c r="P4" s="213">
        <f>P2-P3</f>
        <v>9112.279999999997</v>
      </c>
      <c r="Q4" s="135"/>
      <c r="R4" s="136"/>
      <c r="S4" s="197" t="s">
        <v>19</v>
      </c>
      <c r="T4" s="136"/>
      <c r="U4" s="199"/>
      <c r="V4" s="136"/>
      <c r="W4" s="14"/>
      <c r="X4" s="1"/>
      <c r="Y4" s="15"/>
    </row>
    <row r="5" spans="2:25" ht="15" customHeight="1" thickBot="1">
      <c r="B5" s="16" t="s">
        <v>20</v>
      </c>
      <c r="C5" s="7"/>
      <c r="D5" s="193" t="s">
        <v>21</v>
      </c>
      <c r="E5" s="135"/>
      <c r="F5" s="136"/>
      <c r="G5" s="203" t="s">
        <v>378</v>
      </c>
      <c r="H5" s="204"/>
      <c r="I5" s="193" t="s">
        <v>22</v>
      </c>
      <c r="J5" s="135"/>
      <c r="K5" s="136"/>
      <c r="L5" s="13"/>
      <c r="M5" s="209" t="s">
        <v>23</v>
      </c>
      <c r="N5" s="210"/>
      <c r="O5" s="9"/>
      <c r="P5" s="211">
        <f>IFERROR((P2-P3)/P2,"")</f>
        <v>0.49998573394465196</v>
      </c>
      <c r="Q5" s="212"/>
      <c r="R5" s="210"/>
      <c r="S5" s="197" t="s">
        <v>24</v>
      </c>
      <c r="T5" s="136"/>
      <c r="U5" s="199"/>
      <c r="V5" s="136"/>
      <c r="W5" s="14"/>
      <c r="X5" s="1"/>
      <c r="Y5" s="15"/>
    </row>
    <row r="6" spans="2:25" ht="15" customHeight="1">
      <c r="B6" s="16" t="s">
        <v>25</v>
      </c>
      <c r="C6" s="17"/>
      <c r="D6" s="193" t="s">
        <v>26</v>
      </c>
      <c r="E6" s="135"/>
      <c r="F6" s="136"/>
      <c r="G6" s="203" t="s">
        <v>379</v>
      </c>
      <c r="H6" s="204"/>
      <c r="I6" s="193" t="s">
        <v>27</v>
      </c>
      <c r="J6" s="135"/>
      <c r="K6" s="136"/>
      <c r="L6" s="13"/>
      <c r="M6" s="205" t="s">
        <v>28</v>
      </c>
      <c r="N6" s="206"/>
      <c r="O6" s="9"/>
      <c r="P6" s="207">
        <f>T114</f>
        <v>9112.8000000000011</v>
      </c>
      <c r="Q6" s="208"/>
      <c r="R6" s="206"/>
      <c r="S6" s="197" t="s">
        <v>29</v>
      </c>
      <c r="T6" s="136"/>
      <c r="U6" s="199"/>
      <c r="V6" s="136"/>
      <c r="W6" s="18"/>
      <c r="X6" s="19"/>
      <c r="Y6" s="20"/>
    </row>
    <row r="7" spans="2:25" ht="15" customHeight="1">
      <c r="B7" s="16" t="s">
        <v>30</v>
      </c>
      <c r="C7" s="7"/>
      <c r="D7" s="193" t="s">
        <v>31</v>
      </c>
      <c r="E7" s="135"/>
      <c r="F7" s="136"/>
      <c r="G7" s="21"/>
      <c r="H7" s="21"/>
      <c r="I7" s="193" t="s">
        <v>32</v>
      </c>
      <c r="J7" s="135"/>
      <c r="K7" s="136"/>
      <c r="L7" s="13"/>
      <c r="M7" s="195" t="s">
        <v>33</v>
      </c>
      <c r="N7" s="136"/>
      <c r="O7" s="9"/>
      <c r="P7" s="198">
        <f>R114</f>
        <v>0</v>
      </c>
      <c r="Q7" s="135"/>
      <c r="R7" s="136"/>
      <c r="S7" s="200" t="s">
        <v>34</v>
      </c>
      <c r="T7" s="201"/>
      <c r="U7" s="202"/>
      <c r="V7" s="201"/>
      <c r="W7" s="18"/>
      <c r="X7" s="22"/>
      <c r="Y7" s="4"/>
    </row>
    <row r="8" spans="2:25" ht="15" customHeight="1">
      <c r="B8" s="23"/>
      <c r="C8" s="24"/>
      <c r="D8" s="193" t="s">
        <v>35</v>
      </c>
      <c r="E8" s="135"/>
      <c r="F8" s="136"/>
      <c r="G8" s="194"/>
      <c r="H8" s="136"/>
      <c r="I8" s="193" t="s">
        <v>36</v>
      </c>
      <c r="J8" s="135"/>
      <c r="K8" s="136"/>
      <c r="L8" s="13"/>
      <c r="M8" s="195" t="s">
        <v>37</v>
      </c>
      <c r="N8" s="136"/>
      <c r="O8" s="9"/>
      <c r="P8" s="198">
        <f>IF(P1=Q15,R15,IF(Q15="CAD $",R15*E16,IF(Q15="USD $",R15*F16,0)))</f>
        <v>0</v>
      </c>
      <c r="Q8" s="135"/>
      <c r="R8" s="136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93" t="s">
        <v>42</v>
      </c>
      <c r="E9" s="135"/>
      <c r="F9" s="136"/>
      <c r="G9" s="194"/>
      <c r="H9" s="136"/>
      <c r="I9" s="31"/>
      <c r="J9" s="32"/>
      <c r="K9" s="32"/>
      <c r="L9" s="33"/>
      <c r="M9" s="195" t="s">
        <v>43</v>
      </c>
      <c r="N9" s="136"/>
      <c r="O9" s="9"/>
      <c r="P9" s="196">
        <f>V15</f>
        <v>0</v>
      </c>
      <c r="Q9" s="135"/>
      <c r="R9" s="136"/>
      <c r="S9" s="186">
        <f>P7+P8+P9</f>
        <v>0</v>
      </c>
      <c r="T9" s="186">
        <f>P3-S9</f>
        <v>9112.8000000000011</v>
      </c>
      <c r="U9" s="189">
        <f>IFERROR(((P3-S9)/S9),0)</f>
        <v>0</v>
      </c>
      <c r="V9" s="189">
        <f>IFERROR(T9/P3,0)</f>
        <v>1</v>
      </c>
      <c r="W9" s="190"/>
      <c r="X9" s="29"/>
      <c r="Y9" s="4"/>
    </row>
    <row r="10" spans="2:25" ht="15" customHeight="1">
      <c r="B10" s="30"/>
      <c r="C10" s="24"/>
      <c r="D10" s="193" t="s">
        <v>44</v>
      </c>
      <c r="E10" s="135"/>
      <c r="F10" s="136"/>
      <c r="G10" s="194" t="s">
        <v>377</v>
      </c>
      <c r="H10" s="136"/>
      <c r="I10" s="31"/>
      <c r="J10" s="32"/>
      <c r="K10" s="32"/>
      <c r="L10" s="33"/>
      <c r="M10" s="195"/>
      <c r="N10" s="136"/>
      <c r="O10" s="9"/>
      <c r="P10" s="196"/>
      <c r="Q10" s="135"/>
      <c r="R10" s="136"/>
      <c r="S10" s="187"/>
      <c r="T10" s="187"/>
      <c r="U10" s="187"/>
      <c r="V10" s="187"/>
      <c r="W10" s="19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97" t="s">
        <v>45</v>
      </c>
      <c r="N11" s="136"/>
      <c r="O11" s="9"/>
      <c r="P11" s="155">
        <f>F114</f>
        <v>84</v>
      </c>
      <c r="Q11" s="135"/>
      <c r="R11" s="136"/>
      <c r="S11" s="188"/>
      <c r="T11" s="188"/>
      <c r="U11" s="188"/>
      <c r="V11" s="188"/>
      <c r="W11" s="192"/>
      <c r="X11" s="29"/>
      <c r="Y11" s="4"/>
    </row>
    <row r="12" spans="2:25" ht="15" customHeight="1">
      <c r="B12" s="156"/>
      <c r="C12" s="157"/>
      <c r="D12" s="37"/>
      <c r="E12" s="162" t="s">
        <v>46</v>
      </c>
      <c r="F12" s="163"/>
      <c r="G12" s="168" t="s">
        <v>8</v>
      </c>
      <c r="H12" s="169"/>
      <c r="I12" s="170"/>
      <c r="J12" s="38"/>
      <c r="K12" s="173" t="s">
        <v>47</v>
      </c>
      <c r="L12" s="169"/>
      <c r="M12" s="169"/>
      <c r="N12" s="170"/>
      <c r="O12" s="9"/>
      <c r="P12" s="176" t="s">
        <v>48</v>
      </c>
      <c r="Q12" s="169"/>
      <c r="R12" s="169"/>
      <c r="S12" s="169"/>
      <c r="T12" s="169"/>
      <c r="U12" s="169"/>
      <c r="V12" s="163"/>
      <c r="W12" s="39"/>
      <c r="X12" s="40"/>
      <c r="Y12" s="4" t="s">
        <v>49</v>
      </c>
    </row>
    <row r="13" spans="2:25" ht="15" customHeight="1">
      <c r="B13" s="158"/>
      <c r="C13" s="159"/>
      <c r="D13" s="41"/>
      <c r="E13" s="164"/>
      <c r="F13" s="165"/>
      <c r="G13" s="160"/>
      <c r="H13" s="171"/>
      <c r="I13" s="172"/>
      <c r="J13" s="42"/>
      <c r="K13" s="164"/>
      <c r="L13" s="174"/>
      <c r="M13" s="174"/>
      <c r="N13" s="175"/>
      <c r="O13" s="43"/>
      <c r="P13" s="164"/>
      <c r="Q13" s="174"/>
      <c r="R13" s="174"/>
      <c r="S13" s="174"/>
      <c r="T13" s="174"/>
      <c r="U13" s="174"/>
      <c r="V13" s="165"/>
      <c r="W13" s="44"/>
      <c r="X13" s="40"/>
      <c r="Y13" s="4" t="s">
        <v>50</v>
      </c>
    </row>
    <row r="14" spans="2:25" ht="15" customHeight="1">
      <c r="B14" s="158"/>
      <c r="C14" s="159"/>
      <c r="D14" s="41"/>
      <c r="E14" s="166"/>
      <c r="F14" s="167"/>
      <c r="G14" s="180" t="s">
        <v>51</v>
      </c>
      <c r="H14" s="181"/>
      <c r="I14" s="45" t="s">
        <v>52</v>
      </c>
      <c r="J14" s="46"/>
      <c r="K14" s="166"/>
      <c r="L14" s="171"/>
      <c r="M14" s="171"/>
      <c r="N14" s="172"/>
      <c r="O14" s="43"/>
      <c r="P14" s="177"/>
      <c r="Q14" s="178"/>
      <c r="R14" s="178"/>
      <c r="S14" s="178"/>
      <c r="T14" s="178"/>
      <c r="U14" s="178"/>
      <c r="V14" s="179"/>
      <c r="W14" s="47"/>
      <c r="X14" s="40"/>
      <c r="Y14" s="4" t="s">
        <v>52</v>
      </c>
    </row>
    <row r="15" spans="2:25" ht="30" customHeight="1">
      <c r="B15" s="158"/>
      <c r="C15" s="159"/>
      <c r="D15" s="41"/>
      <c r="E15" s="48" t="s">
        <v>53</v>
      </c>
      <c r="F15" s="49" t="s">
        <v>54</v>
      </c>
      <c r="G15" s="182" t="s">
        <v>55</v>
      </c>
      <c r="H15" s="133"/>
      <c r="I15" s="131"/>
      <c r="J15" s="50"/>
      <c r="K15" s="183" t="s">
        <v>56</v>
      </c>
      <c r="L15" s="184"/>
      <c r="M15" s="185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0"/>
      <c r="C16" s="161"/>
      <c r="D16" s="41"/>
      <c r="E16" s="59">
        <f>1/F16</f>
        <v>0.7246376811594204</v>
      </c>
      <c r="F16" s="60">
        <v>1.38</v>
      </c>
      <c r="G16" s="134"/>
      <c r="H16" s="135"/>
      <c r="I16" s="136"/>
      <c r="J16" s="61"/>
      <c r="K16" s="166"/>
      <c r="L16" s="167"/>
      <c r="M16" s="144"/>
      <c r="N16" s="137" t="s">
        <v>61</v>
      </c>
      <c r="O16" s="52"/>
      <c r="P16" s="140" t="s">
        <v>62</v>
      </c>
      <c r="Q16" s="141"/>
      <c r="R16" s="141"/>
      <c r="S16" s="141"/>
      <c r="T16" s="141"/>
      <c r="U16" s="141"/>
      <c r="V16" s="142"/>
      <c r="W16" s="62"/>
      <c r="X16" s="63"/>
      <c r="Y16" s="4"/>
    </row>
    <row r="17" spans="2:26" ht="15" customHeight="1">
      <c r="B17" s="143" t="s">
        <v>63</v>
      </c>
      <c r="C17" s="145" t="s">
        <v>64</v>
      </c>
      <c r="D17" s="64"/>
      <c r="E17" s="147" t="s">
        <v>65</v>
      </c>
      <c r="F17" s="149" t="s">
        <v>66</v>
      </c>
      <c r="G17" s="150" t="s">
        <v>67</v>
      </c>
      <c r="H17" s="151"/>
      <c r="I17" s="65" t="s">
        <v>68</v>
      </c>
      <c r="J17" s="66"/>
      <c r="K17" s="152" t="s">
        <v>66</v>
      </c>
      <c r="L17" s="67" t="s">
        <v>69</v>
      </c>
      <c r="M17" s="68" t="s">
        <v>70</v>
      </c>
      <c r="N17" s="138"/>
      <c r="O17" s="69"/>
      <c r="P17" s="15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44"/>
      <c r="C18" s="146"/>
      <c r="D18" s="74"/>
      <c r="E18" s="148"/>
      <c r="F18" s="144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48"/>
      <c r="L18" s="130" t="s">
        <v>49</v>
      </c>
      <c r="M18" s="131"/>
      <c r="N18" s="139"/>
      <c r="O18" s="78"/>
      <c r="P18" s="154"/>
      <c r="Q18" s="54" t="s">
        <v>50</v>
      </c>
      <c r="R18" s="132" t="str">
        <f>L18</f>
        <v>CAD $</v>
      </c>
      <c r="S18" s="133"/>
      <c r="T18" s="133"/>
      <c r="U18" s="133"/>
      <c r="V18" s="131"/>
      <c r="W18" s="79"/>
      <c r="X18" s="80"/>
      <c r="Y18" s="81"/>
      <c r="Z18" s="81"/>
    </row>
    <row r="19" spans="2:26">
      <c r="B19" t="s">
        <v>380</v>
      </c>
      <c r="C19" t="s">
        <v>81</v>
      </c>
      <c r="D19" s="83"/>
      <c r="E19" s="84"/>
      <c r="F19">
        <v>1</v>
      </c>
      <c r="G19" s="127">
        <v>22.91</v>
      </c>
      <c r="H19" s="127">
        <v>6.19</v>
      </c>
      <c r="I19" s="127">
        <v>22.91</v>
      </c>
      <c r="J19" s="88"/>
      <c r="K19">
        <v>1</v>
      </c>
      <c r="L19" s="127">
        <v>11.46</v>
      </c>
      <c r="M19" s="127">
        <v>11.46</v>
      </c>
      <c r="N19" s="89"/>
      <c r="O19" s="90"/>
      <c r="P19" s="82"/>
      <c r="Q19" s="91"/>
      <c r="R19" s="91"/>
      <c r="S19" s="127">
        <v>11.46</v>
      </c>
      <c r="T19" s="127">
        <v>11.46</v>
      </c>
      <c r="U19" s="128">
        <v>0</v>
      </c>
      <c r="V19" s="128">
        <v>1</v>
      </c>
      <c r="W19" s="93"/>
      <c r="X19" s="94"/>
      <c r="Y19" s="4"/>
      <c r="Z19" s="4"/>
    </row>
    <row r="20" spans="2:26">
      <c r="B20" t="s">
        <v>381</v>
      </c>
      <c r="C20" t="s">
        <v>137</v>
      </c>
      <c r="D20" s="83"/>
      <c r="E20" s="97"/>
      <c r="F20">
        <v>1</v>
      </c>
      <c r="G20" s="127">
        <v>34.79</v>
      </c>
      <c r="H20" s="127">
        <v>9.39</v>
      </c>
      <c r="I20" s="127">
        <v>34.79</v>
      </c>
      <c r="J20" s="102"/>
      <c r="K20">
        <v>1</v>
      </c>
      <c r="L20" s="127">
        <v>17.399999999999999</v>
      </c>
      <c r="M20" s="127">
        <v>17.399999999999999</v>
      </c>
      <c r="N20" s="104"/>
      <c r="O20" s="90"/>
      <c r="P20" s="95"/>
      <c r="Q20" s="99"/>
      <c r="R20" s="105"/>
      <c r="S20" s="127">
        <v>17.399999999999999</v>
      </c>
      <c r="T20" s="127">
        <v>17.399999999999999</v>
      </c>
      <c r="U20" s="128">
        <v>0</v>
      </c>
      <c r="V20" s="128">
        <v>1</v>
      </c>
      <c r="W20" s="108"/>
      <c r="X20" s="94"/>
      <c r="Y20" s="4"/>
      <c r="Z20" s="4"/>
    </row>
    <row r="21" spans="2:26" ht="15.75" customHeight="1">
      <c r="B21" t="s">
        <v>382</v>
      </c>
      <c r="C21" t="s">
        <v>83</v>
      </c>
      <c r="D21" s="83"/>
      <c r="E21" s="84"/>
      <c r="F21">
        <v>1</v>
      </c>
      <c r="G21" s="127">
        <v>239.34</v>
      </c>
      <c r="H21" s="127">
        <v>64.62</v>
      </c>
      <c r="I21" s="127">
        <v>239.34</v>
      </c>
      <c r="J21" s="102"/>
      <c r="K21">
        <v>1</v>
      </c>
      <c r="L21" s="127">
        <v>119.67</v>
      </c>
      <c r="M21" s="127">
        <v>119.67</v>
      </c>
      <c r="N21" s="111"/>
      <c r="O21" s="90"/>
      <c r="P21" s="112"/>
      <c r="Q21" s="91"/>
      <c r="R21" s="91"/>
      <c r="S21" s="127">
        <v>119.67</v>
      </c>
      <c r="T21" s="127">
        <v>119.67</v>
      </c>
      <c r="U21" s="128">
        <v>0</v>
      </c>
      <c r="V21" s="128">
        <v>1</v>
      </c>
      <c r="W21" s="93"/>
      <c r="X21" s="94"/>
      <c r="Y21" s="4"/>
      <c r="Z21" s="4"/>
    </row>
    <row r="22" spans="2:26" ht="15.75" customHeight="1">
      <c r="B22" t="s">
        <v>204</v>
      </c>
      <c r="C22" t="s">
        <v>86</v>
      </c>
      <c r="D22" s="83"/>
      <c r="E22" s="97"/>
      <c r="F22">
        <v>1</v>
      </c>
      <c r="G22" s="127">
        <v>150.47</v>
      </c>
      <c r="H22" s="127">
        <v>40.630000000000003</v>
      </c>
      <c r="I22" s="127">
        <v>150.47</v>
      </c>
      <c r="J22" s="102"/>
      <c r="K22">
        <v>1</v>
      </c>
      <c r="L22" s="127">
        <v>75.239999999999995</v>
      </c>
      <c r="M22" s="127">
        <v>75.239999999999995</v>
      </c>
      <c r="N22" s="104"/>
      <c r="O22" s="90"/>
      <c r="P22" s="95"/>
      <c r="Q22" s="99"/>
      <c r="R22" s="105"/>
      <c r="S22" s="127">
        <v>75.239999999999995</v>
      </c>
      <c r="T22" s="127">
        <v>75.239999999999995</v>
      </c>
      <c r="U22" s="128">
        <v>0</v>
      </c>
      <c r="V22" s="128">
        <v>1</v>
      </c>
      <c r="W22" s="108"/>
      <c r="X22" s="94"/>
      <c r="Y22" s="4"/>
      <c r="Z22" s="4"/>
    </row>
    <row r="23" spans="2:26" ht="15.75" customHeight="1">
      <c r="B23" t="s">
        <v>383</v>
      </c>
      <c r="C23" t="s">
        <v>87</v>
      </c>
      <c r="D23" s="83"/>
      <c r="E23" s="84"/>
      <c r="F23">
        <v>1</v>
      </c>
      <c r="G23" s="127">
        <v>67.290000000000006</v>
      </c>
      <c r="H23" s="127">
        <v>18.170000000000002</v>
      </c>
      <c r="I23" s="127">
        <v>67.290000000000006</v>
      </c>
      <c r="J23" s="102"/>
      <c r="K23">
        <v>1</v>
      </c>
      <c r="L23" s="127">
        <v>33.65</v>
      </c>
      <c r="M23" s="127">
        <v>33.65</v>
      </c>
      <c r="N23" s="111"/>
      <c r="O23" s="90"/>
      <c r="P23" s="112"/>
      <c r="Q23" s="91"/>
      <c r="R23" s="91"/>
      <c r="S23" s="127">
        <v>33.65</v>
      </c>
      <c r="T23" s="127">
        <v>33.65</v>
      </c>
      <c r="U23" s="128">
        <v>0</v>
      </c>
      <c r="V23" s="128">
        <v>1</v>
      </c>
      <c r="W23" s="93"/>
      <c r="X23" s="94"/>
      <c r="Y23" s="4"/>
      <c r="Z23" s="4"/>
    </row>
    <row r="24" spans="2:26" ht="15.75" customHeight="1">
      <c r="B24" t="s">
        <v>384</v>
      </c>
      <c r="C24" t="s">
        <v>88</v>
      </c>
      <c r="D24" s="83"/>
      <c r="E24" s="97"/>
      <c r="F24">
        <v>1</v>
      </c>
      <c r="G24" s="127">
        <v>52.67</v>
      </c>
      <c r="H24" s="127">
        <v>14.22</v>
      </c>
      <c r="I24" s="127">
        <v>52.67</v>
      </c>
      <c r="J24" s="102"/>
      <c r="K24">
        <v>1</v>
      </c>
      <c r="L24" s="127">
        <v>26.34</v>
      </c>
      <c r="M24" s="127">
        <v>26.34</v>
      </c>
      <c r="N24" s="104"/>
      <c r="O24" s="90"/>
      <c r="P24" s="95"/>
      <c r="Q24" s="99"/>
      <c r="R24" s="105"/>
      <c r="S24" s="127">
        <v>26.34</v>
      </c>
      <c r="T24" s="127">
        <v>26.34</v>
      </c>
      <c r="U24" s="128">
        <v>0</v>
      </c>
      <c r="V24" s="128">
        <v>1</v>
      </c>
      <c r="W24" s="108"/>
      <c r="X24" s="94"/>
      <c r="Y24" s="4"/>
      <c r="Z24" s="4"/>
    </row>
    <row r="25" spans="2:26" ht="15.75" customHeight="1">
      <c r="B25" t="s">
        <v>385</v>
      </c>
      <c r="C25" t="s">
        <v>89</v>
      </c>
      <c r="D25" s="83"/>
      <c r="E25" s="84"/>
      <c r="F25">
        <v>1</v>
      </c>
      <c r="G25" s="127">
        <v>92.79</v>
      </c>
      <c r="H25" s="127">
        <v>25.05</v>
      </c>
      <c r="I25" s="127">
        <v>92.79</v>
      </c>
      <c r="J25" s="102"/>
      <c r="K25">
        <v>1</v>
      </c>
      <c r="L25" s="127">
        <v>46.4</v>
      </c>
      <c r="M25" s="127">
        <v>46.4</v>
      </c>
      <c r="N25" s="111"/>
      <c r="O25" s="90"/>
      <c r="P25" s="112"/>
      <c r="Q25" s="91"/>
      <c r="R25" s="91"/>
      <c r="S25" s="127">
        <v>46.4</v>
      </c>
      <c r="T25" s="127">
        <v>46.4</v>
      </c>
      <c r="U25" s="128">
        <v>0</v>
      </c>
      <c r="V25" s="128">
        <v>1</v>
      </c>
      <c r="W25" s="93"/>
      <c r="X25" s="94"/>
      <c r="Y25" s="4"/>
      <c r="Z25" s="4"/>
    </row>
    <row r="26" spans="2:26" ht="15.75" customHeight="1">
      <c r="B26" t="s">
        <v>386</v>
      </c>
      <c r="C26" t="s">
        <v>387</v>
      </c>
      <c r="D26" s="83"/>
      <c r="E26" s="97"/>
      <c r="F26">
        <v>1</v>
      </c>
      <c r="G26" s="127">
        <v>356.29</v>
      </c>
      <c r="H26" s="127">
        <v>96.2</v>
      </c>
      <c r="I26" s="127">
        <v>356.29</v>
      </c>
      <c r="J26" s="102"/>
      <c r="K26">
        <v>1</v>
      </c>
      <c r="L26" s="127">
        <v>178.15</v>
      </c>
      <c r="M26" s="127">
        <v>178.15</v>
      </c>
      <c r="N26" s="104"/>
      <c r="O26" s="90"/>
      <c r="P26" s="95"/>
      <c r="Q26" s="99"/>
      <c r="R26" s="105"/>
      <c r="S26" s="127">
        <v>178.15</v>
      </c>
      <c r="T26" s="127">
        <v>178.15</v>
      </c>
      <c r="U26" s="128">
        <v>0</v>
      </c>
      <c r="V26" s="128">
        <v>1</v>
      </c>
      <c r="W26" s="108"/>
      <c r="X26" s="94"/>
      <c r="Y26" s="4"/>
      <c r="Z26" s="113"/>
    </row>
    <row r="27" spans="2:26" ht="15.75" customHeight="1">
      <c r="B27" t="s">
        <v>388</v>
      </c>
      <c r="C27" t="s">
        <v>389</v>
      </c>
      <c r="D27" s="83"/>
      <c r="E27" s="84"/>
      <c r="F27">
        <v>1</v>
      </c>
      <c r="G27" s="127">
        <v>1830.8</v>
      </c>
      <c r="H27" s="127">
        <v>494.32</v>
      </c>
      <c r="I27" s="127">
        <v>1830.8</v>
      </c>
      <c r="J27" s="102"/>
      <c r="K27">
        <v>1</v>
      </c>
      <c r="L27" s="127">
        <v>915.4</v>
      </c>
      <c r="M27" s="127">
        <v>915.4</v>
      </c>
      <c r="N27" s="111"/>
      <c r="O27" s="90"/>
      <c r="P27" s="112"/>
      <c r="Q27" s="91"/>
      <c r="R27" s="91"/>
      <c r="S27" s="127">
        <v>915.4</v>
      </c>
      <c r="T27" s="127">
        <v>915.4</v>
      </c>
      <c r="U27" s="128">
        <v>0</v>
      </c>
      <c r="V27" s="128">
        <v>1</v>
      </c>
      <c r="W27" s="93"/>
      <c r="X27" s="94"/>
      <c r="Y27" s="4"/>
      <c r="Z27" s="4"/>
    </row>
    <row r="28" spans="2:26" ht="15.75" customHeight="1">
      <c r="D28" s="83"/>
      <c r="E28" s="84"/>
      <c r="H28" t="s">
        <v>112</v>
      </c>
      <c r="I28" t="s">
        <v>112</v>
      </c>
      <c r="J28" s="102"/>
      <c r="K28">
        <v>0</v>
      </c>
      <c r="L28" t="s">
        <v>112</v>
      </c>
      <c r="M28" t="s">
        <v>112</v>
      </c>
      <c r="N28" s="111"/>
      <c r="O28" s="90"/>
      <c r="P28" s="112"/>
      <c r="Q28" s="91"/>
      <c r="R28" s="91"/>
      <c r="S28" t="s">
        <v>112</v>
      </c>
      <c r="T28" t="s">
        <v>112</v>
      </c>
      <c r="U28" s="128">
        <v>0</v>
      </c>
      <c r="V28" s="128">
        <v>0</v>
      </c>
      <c r="W28" s="93"/>
      <c r="X28" s="94"/>
      <c r="Y28" s="4"/>
      <c r="Z28" s="4"/>
    </row>
    <row r="29" spans="2:26" ht="15.75" customHeight="1">
      <c r="B29" t="s">
        <v>390</v>
      </c>
      <c r="C29" t="s">
        <v>391</v>
      </c>
      <c r="D29" s="83"/>
      <c r="E29" s="97"/>
      <c r="F29">
        <v>1</v>
      </c>
      <c r="G29" s="127">
        <v>2388.67</v>
      </c>
      <c r="H29" s="127">
        <v>644.94000000000005</v>
      </c>
      <c r="I29" s="127">
        <v>2388.67</v>
      </c>
      <c r="J29" s="102"/>
      <c r="K29">
        <v>1</v>
      </c>
      <c r="L29" s="127">
        <v>1194.3399999999999</v>
      </c>
      <c r="M29" s="127">
        <v>1194.3399999999999</v>
      </c>
      <c r="N29" s="104"/>
      <c r="O29" s="90"/>
      <c r="P29" s="95"/>
      <c r="Q29" s="99"/>
      <c r="R29" s="105"/>
      <c r="S29" s="127">
        <v>1194.3399999999999</v>
      </c>
      <c r="T29" s="127">
        <v>1194.3399999999999</v>
      </c>
      <c r="U29" s="128">
        <v>0</v>
      </c>
      <c r="V29" s="128">
        <v>1</v>
      </c>
      <c r="W29" s="108"/>
      <c r="X29" s="94"/>
      <c r="Y29" s="4"/>
      <c r="Z29" s="4"/>
    </row>
    <row r="30" spans="2:26" ht="15.75" customHeight="1">
      <c r="B30" t="s">
        <v>392</v>
      </c>
      <c r="C30" t="s">
        <v>121</v>
      </c>
      <c r="D30" s="83"/>
      <c r="E30" s="84"/>
      <c r="F30">
        <v>1</v>
      </c>
      <c r="G30" s="127">
        <v>211.46</v>
      </c>
      <c r="H30" s="127">
        <v>57.09</v>
      </c>
      <c r="I30" s="127">
        <v>211.46</v>
      </c>
      <c r="J30" s="102"/>
      <c r="K30">
        <v>1</v>
      </c>
      <c r="L30" s="127">
        <v>105.73</v>
      </c>
      <c r="M30" s="127">
        <v>105.73</v>
      </c>
      <c r="N30" s="111"/>
      <c r="O30" s="90"/>
      <c r="P30" s="112"/>
      <c r="Q30" s="91"/>
      <c r="R30" s="91"/>
      <c r="S30" s="127">
        <v>105.73</v>
      </c>
      <c r="T30" s="127">
        <v>105.73</v>
      </c>
      <c r="U30" s="128">
        <v>0</v>
      </c>
      <c r="V30" s="128">
        <v>1</v>
      </c>
      <c r="W30" s="93"/>
    </row>
    <row r="31" spans="2:26" ht="15.75" customHeight="1">
      <c r="B31" t="s">
        <v>393</v>
      </c>
      <c r="C31" t="s">
        <v>394</v>
      </c>
      <c r="D31" s="83"/>
      <c r="E31" s="97"/>
      <c r="F31">
        <v>11</v>
      </c>
      <c r="G31" s="127">
        <v>9.43</v>
      </c>
      <c r="H31" s="127">
        <v>2.5499999999999998</v>
      </c>
      <c r="I31" s="127">
        <v>103.73</v>
      </c>
      <c r="J31" s="102"/>
      <c r="K31">
        <v>11</v>
      </c>
      <c r="L31" s="127">
        <v>4.72</v>
      </c>
      <c r="M31" s="127">
        <v>51.92</v>
      </c>
      <c r="N31" s="104"/>
      <c r="O31" s="90"/>
      <c r="P31" s="95"/>
      <c r="Q31" s="99"/>
      <c r="R31" s="105"/>
      <c r="S31" s="127">
        <v>4.72</v>
      </c>
      <c r="T31" s="127">
        <v>51.92</v>
      </c>
      <c r="U31" s="128">
        <v>0</v>
      </c>
      <c r="V31" s="128">
        <v>1</v>
      </c>
      <c r="W31" s="108"/>
    </row>
    <row r="32" spans="2:26" ht="15.75" customHeight="1">
      <c r="B32" t="s">
        <v>395</v>
      </c>
      <c r="C32" t="s">
        <v>396</v>
      </c>
      <c r="D32" s="83"/>
      <c r="E32" s="84"/>
      <c r="F32">
        <v>11</v>
      </c>
      <c r="G32" s="127">
        <v>4.9400000000000004</v>
      </c>
      <c r="H32" s="127">
        <v>1.33</v>
      </c>
      <c r="I32" s="127">
        <v>54.34</v>
      </c>
      <c r="J32" s="102"/>
      <c r="K32">
        <v>11</v>
      </c>
      <c r="L32" s="127">
        <v>2.4700000000000002</v>
      </c>
      <c r="M32" s="127">
        <v>27.17</v>
      </c>
      <c r="N32" s="111"/>
      <c r="O32" s="90"/>
      <c r="P32" s="112"/>
      <c r="Q32" s="91"/>
      <c r="R32" s="91"/>
      <c r="S32" s="127">
        <v>2.4700000000000002</v>
      </c>
      <c r="T32" s="127">
        <v>27.17</v>
      </c>
      <c r="U32" s="128">
        <v>0</v>
      </c>
      <c r="V32" s="128">
        <v>1</v>
      </c>
      <c r="W32" s="93"/>
    </row>
    <row r="33" spans="2:26" ht="15.75" customHeight="1">
      <c r="B33" t="s">
        <v>397</v>
      </c>
      <c r="C33" t="s">
        <v>398</v>
      </c>
      <c r="D33" s="83"/>
      <c r="E33" s="97"/>
      <c r="F33">
        <v>8</v>
      </c>
      <c r="G33" s="127">
        <v>65.11</v>
      </c>
      <c r="H33" s="127">
        <v>17.579999999999998</v>
      </c>
      <c r="I33" s="127">
        <v>520.88</v>
      </c>
      <c r="J33" s="102"/>
      <c r="K33">
        <v>8</v>
      </c>
      <c r="L33" s="127">
        <v>32.56</v>
      </c>
      <c r="M33" s="127">
        <v>260.48</v>
      </c>
      <c r="N33" s="104"/>
      <c r="O33" s="90"/>
      <c r="P33" s="95"/>
      <c r="Q33" s="99"/>
      <c r="R33" s="105"/>
      <c r="S33" s="127">
        <v>32.56</v>
      </c>
      <c r="T33" s="127">
        <v>260.48</v>
      </c>
      <c r="U33" s="128">
        <v>0</v>
      </c>
      <c r="V33" s="128">
        <v>1</v>
      </c>
      <c r="W33" s="108"/>
    </row>
    <row r="34" spans="2:26" ht="15.75" customHeight="1">
      <c r="B34" t="s">
        <v>399</v>
      </c>
      <c r="C34" t="s">
        <v>396</v>
      </c>
      <c r="D34" s="83"/>
      <c r="E34" s="84"/>
      <c r="F34">
        <v>16</v>
      </c>
      <c r="G34" s="127">
        <v>5.0199999999999996</v>
      </c>
      <c r="H34" s="127">
        <v>1.36</v>
      </c>
      <c r="I34" s="127">
        <v>80.319999999999993</v>
      </c>
      <c r="J34" s="102"/>
      <c r="K34">
        <v>16</v>
      </c>
      <c r="L34" s="127">
        <v>2.5099999999999998</v>
      </c>
      <c r="M34" s="127">
        <v>40.159999999999997</v>
      </c>
      <c r="N34" s="111"/>
      <c r="O34" s="90"/>
      <c r="P34" s="112"/>
      <c r="Q34" s="91"/>
      <c r="R34" s="91"/>
      <c r="S34" s="127">
        <v>2.5099999999999998</v>
      </c>
      <c r="T34" s="127">
        <v>40.159999999999997</v>
      </c>
      <c r="U34" s="128">
        <v>0</v>
      </c>
      <c r="V34" s="128">
        <v>1</v>
      </c>
      <c r="W34" s="93"/>
    </row>
    <row r="35" spans="2:26" ht="15.75" customHeight="1">
      <c r="B35" t="s">
        <v>393</v>
      </c>
      <c r="C35" t="s">
        <v>394</v>
      </c>
      <c r="D35" s="83"/>
      <c r="E35" s="97"/>
      <c r="F35">
        <v>16</v>
      </c>
      <c r="G35" s="127">
        <v>9.43</v>
      </c>
      <c r="H35" s="127">
        <v>2.5499999999999998</v>
      </c>
      <c r="I35" s="127">
        <v>150.88</v>
      </c>
      <c r="J35" s="102"/>
      <c r="K35">
        <v>16</v>
      </c>
      <c r="L35" s="127">
        <v>4.72</v>
      </c>
      <c r="M35" s="127">
        <v>75.52</v>
      </c>
      <c r="N35" s="104"/>
      <c r="O35" s="90"/>
      <c r="P35" s="95"/>
      <c r="Q35" s="99"/>
      <c r="R35" s="105"/>
      <c r="S35" s="127">
        <v>4.72</v>
      </c>
      <c r="T35" s="127">
        <v>75.52</v>
      </c>
      <c r="U35" s="128">
        <v>0</v>
      </c>
      <c r="V35" s="128">
        <v>1</v>
      </c>
      <c r="W35" s="108"/>
    </row>
    <row r="36" spans="2:26" ht="15.75" customHeight="1">
      <c r="D36" s="83"/>
      <c r="E36" s="84"/>
      <c r="H36" t="s">
        <v>112</v>
      </c>
      <c r="I36" t="s">
        <v>112</v>
      </c>
      <c r="J36" s="102"/>
      <c r="K36">
        <v>0</v>
      </c>
      <c r="L36" t="s">
        <v>112</v>
      </c>
      <c r="M36" t="s">
        <v>112</v>
      </c>
      <c r="N36" s="111"/>
      <c r="O36" s="90"/>
      <c r="P36" s="112"/>
      <c r="Q36" s="91"/>
      <c r="R36" s="91"/>
      <c r="S36" t="s">
        <v>112</v>
      </c>
      <c r="T36" t="s">
        <v>112</v>
      </c>
      <c r="U36" s="128">
        <v>0</v>
      </c>
      <c r="V36" s="128">
        <v>0</v>
      </c>
      <c r="W36" s="108"/>
    </row>
    <row r="37" spans="2:26" ht="15.75" customHeight="1">
      <c r="B37" t="s">
        <v>400</v>
      </c>
      <c r="C37" t="s">
        <v>401</v>
      </c>
      <c r="D37" s="83"/>
      <c r="E37" s="97"/>
      <c r="F37">
        <v>1</v>
      </c>
      <c r="G37" s="127">
        <v>3574.69</v>
      </c>
      <c r="H37" s="127">
        <v>965.17</v>
      </c>
      <c r="I37" s="127">
        <v>3574.69</v>
      </c>
      <c r="J37" s="102"/>
      <c r="K37">
        <v>1</v>
      </c>
      <c r="L37" s="127">
        <v>1787.35</v>
      </c>
      <c r="M37" s="127">
        <v>1787.35</v>
      </c>
      <c r="N37" s="104"/>
      <c r="O37" s="90"/>
      <c r="P37" s="95"/>
      <c r="Q37" s="99"/>
      <c r="R37" s="105"/>
      <c r="S37" s="127">
        <v>1787.35</v>
      </c>
      <c r="T37" s="127">
        <v>1787.35</v>
      </c>
      <c r="U37" s="128">
        <v>0</v>
      </c>
      <c r="V37" s="128">
        <v>1</v>
      </c>
      <c r="W37" s="108"/>
    </row>
    <row r="38" spans="2:26" ht="15.75" customHeight="1">
      <c r="B38" t="s">
        <v>402</v>
      </c>
      <c r="C38" t="s">
        <v>146</v>
      </c>
      <c r="D38" s="83"/>
      <c r="E38" s="84"/>
      <c r="F38">
        <v>1</v>
      </c>
      <c r="G38" s="127">
        <v>3497.62</v>
      </c>
      <c r="H38" s="127">
        <v>944.36</v>
      </c>
      <c r="I38" s="127">
        <v>3497.62</v>
      </c>
      <c r="J38" s="102"/>
      <c r="K38">
        <v>1</v>
      </c>
      <c r="L38" s="127">
        <v>1748.81</v>
      </c>
      <c r="M38" s="127">
        <v>1748.81</v>
      </c>
      <c r="N38" s="111"/>
      <c r="O38" s="90"/>
      <c r="P38" s="112"/>
      <c r="Q38" s="91"/>
      <c r="R38" s="91"/>
      <c r="S38" s="127">
        <v>1748.81</v>
      </c>
      <c r="T38" s="127">
        <v>1748.81</v>
      </c>
      <c r="U38" s="128">
        <v>0</v>
      </c>
      <c r="V38" s="128">
        <v>1</v>
      </c>
      <c r="W38" s="108"/>
    </row>
    <row r="39" spans="2:26" ht="15.75" customHeight="1">
      <c r="B39" t="s">
        <v>403</v>
      </c>
      <c r="C39" t="s">
        <v>404</v>
      </c>
      <c r="D39" s="83"/>
      <c r="E39" s="97"/>
      <c r="F39">
        <v>1</v>
      </c>
      <c r="G39" s="127">
        <v>895.86</v>
      </c>
      <c r="H39" s="127">
        <v>241.88</v>
      </c>
      <c r="I39" s="127">
        <v>895.86</v>
      </c>
      <c r="J39" s="102"/>
      <c r="K39">
        <v>1</v>
      </c>
      <c r="L39" s="127">
        <v>447.93</v>
      </c>
      <c r="M39" s="127">
        <v>447.93</v>
      </c>
      <c r="N39" s="104"/>
      <c r="O39" s="90"/>
      <c r="P39" s="95"/>
      <c r="Q39" s="99"/>
      <c r="R39" s="105"/>
      <c r="S39" s="127">
        <v>447.93</v>
      </c>
      <c r="T39" s="127">
        <v>447.93</v>
      </c>
      <c r="U39" s="128">
        <v>0</v>
      </c>
      <c r="V39" s="128">
        <v>1</v>
      </c>
      <c r="W39" s="108"/>
    </row>
    <row r="40" spans="2:26" ht="15.75" customHeight="1">
      <c r="B40" t="s">
        <v>405</v>
      </c>
      <c r="C40" t="s">
        <v>147</v>
      </c>
      <c r="D40" s="83"/>
      <c r="E40" s="84"/>
      <c r="F40">
        <v>4</v>
      </c>
      <c r="G40" s="127">
        <v>410.37</v>
      </c>
      <c r="H40" s="127">
        <v>110.8</v>
      </c>
      <c r="I40" s="127">
        <v>1641.48</v>
      </c>
      <c r="J40" s="102"/>
      <c r="K40">
        <v>4</v>
      </c>
      <c r="L40" s="127">
        <v>205.19</v>
      </c>
      <c r="M40" s="127">
        <v>820.76</v>
      </c>
      <c r="N40" s="111"/>
      <c r="O40" s="90"/>
      <c r="P40" s="112"/>
      <c r="Q40" s="91"/>
      <c r="R40" s="91"/>
      <c r="S40" s="127">
        <v>205.19</v>
      </c>
      <c r="T40" s="127">
        <v>820.76</v>
      </c>
      <c r="U40" s="128">
        <v>0</v>
      </c>
      <c r="V40" s="128">
        <v>1</v>
      </c>
      <c r="W40" s="108"/>
    </row>
    <row r="41" spans="2:26" ht="15.75" customHeight="1">
      <c r="D41" s="83"/>
      <c r="E41" s="97"/>
      <c r="H41" t="s">
        <v>112</v>
      </c>
      <c r="I41" t="s">
        <v>112</v>
      </c>
      <c r="J41" s="102"/>
      <c r="K41">
        <v>0</v>
      </c>
      <c r="L41" t="s">
        <v>112</v>
      </c>
      <c r="M41" t="s">
        <v>112</v>
      </c>
      <c r="N41" s="104"/>
      <c r="O41" s="90"/>
      <c r="P41" s="95"/>
      <c r="Q41" s="99"/>
      <c r="R41" s="105"/>
      <c r="S41" t="s">
        <v>112</v>
      </c>
      <c r="T41" t="s">
        <v>112</v>
      </c>
      <c r="U41" s="128">
        <v>0</v>
      </c>
      <c r="V41" s="128">
        <v>0</v>
      </c>
      <c r="W41" s="108"/>
    </row>
    <row r="42" spans="2:26" ht="15.75" customHeight="1">
      <c r="B42" t="s">
        <v>406</v>
      </c>
      <c r="C42" t="s">
        <v>407</v>
      </c>
      <c r="D42" s="83"/>
      <c r="E42" s="84"/>
      <c r="F42">
        <v>4</v>
      </c>
      <c r="G42" s="127">
        <v>564.45000000000005</v>
      </c>
      <c r="H42" s="127">
        <v>152.4</v>
      </c>
      <c r="I42" s="127">
        <v>2257.8000000000002</v>
      </c>
      <c r="J42" s="102"/>
      <c r="K42">
        <v>4</v>
      </c>
      <c r="L42" s="127">
        <v>282.23</v>
      </c>
      <c r="M42" s="127">
        <v>1128.92</v>
      </c>
      <c r="N42" s="111"/>
      <c r="O42" s="90"/>
      <c r="P42" s="112"/>
      <c r="Q42" s="91"/>
      <c r="R42" s="91"/>
      <c r="S42" s="127">
        <v>282.23</v>
      </c>
      <c r="T42" s="127">
        <v>1128.92</v>
      </c>
      <c r="U42" s="128">
        <v>0</v>
      </c>
      <c r="V42" s="128">
        <v>1</v>
      </c>
      <c r="W42" s="108"/>
    </row>
    <row r="43" spans="2:26" ht="15.75" customHeight="1">
      <c r="D43" s="83"/>
      <c r="E43" s="97"/>
      <c r="J43" s="102"/>
      <c r="N43" s="104"/>
      <c r="O43" s="90"/>
      <c r="P43" s="95"/>
      <c r="Q43" s="99"/>
      <c r="R43" s="105"/>
      <c r="U43" s="128"/>
      <c r="V43" s="128"/>
      <c r="W43" s="108"/>
    </row>
    <row r="44" spans="2:26" ht="15.75" customHeight="1">
      <c r="D44" s="83"/>
      <c r="E44" s="84"/>
      <c r="G44" s="127"/>
      <c r="H44" s="127"/>
      <c r="I44" s="127"/>
      <c r="J44" s="102"/>
      <c r="L44" s="127"/>
      <c r="M44" s="127"/>
      <c r="N44" s="111"/>
      <c r="O44" s="90"/>
      <c r="P44" s="112"/>
      <c r="Q44" s="91"/>
      <c r="R44" s="91"/>
      <c r="S44" s="127"/>
      <c r="T44" s="127"/>
      <c r="U44" s="128"/>
      <c r="V44" s="128"/>
      <c r="W44" s="108"/>
    </row>
    <row r="45" spans="2:26" ht="15.75" customHeight="1">
      <c r="D45" s="83"/>
      <c r="E45" s="97"/>
      <c r="G45" s="127"/>
      <c r="H45" s="127"/>
      <c r="I45" s="127"/>
      <c r="J45" s="102"/>
      <c r="L45" s="127"/>
      <c r="M45" s="127"/>
      <c r="N45" s="104"/>
      <c r="O45" s="90"/>
      <c r="P45" s="95"/>
      <c r="Q45" s="99"/>
      <c r="R45" s="105"/>
      <c r="S45" s="127"/>
      <c r="T45" s="127"/>
      <c r="U45" s="128"/>
      <c r="V45" s="128"/>
      <c r="W45" s="108"/>
    </row>
    <row r="46" spans="2:26" ht="15.75" customHeight="1">
      <c r="D46" s="83"/>
      <c r="E46" s="84"/>
      <c r="G46" s="127"/>
      <c r="H46" s="127"/>
      <c r="I46" s="127"/>
      <c r="J46" s="102"/>
      <c r="L46" s="127"/>
      <c r="M46" s="127"/>
      <c r="N46" s="111"/>
      <c r="O46" s="90"/>
      <c r="P46" s="112"/>
      <c r="Q46" s="91"/>
      <c r="R46" s="91"/>
      <c r="S46" s="127"/>
      <c r="T46" s="127"/>
      <c r="U46" s="128"/>
      <c r="V46" s="128"/>
      <c r="W46" s="108"/>
    </row>
    <row r="47" spans="2:26" ht="15.75" customHeight="1">
      <c r="D47" s="83"/>
      <c r="E47" s="97"/>
      <c r="G47" s="127"/>
      <c r="H47" s="127"/>
      <c r="I47" s="127"/>
      <c r="J47" s="102"/>
      <c r="L47" s="127"/>
      <c r="M47" s="127"/>
      <c r="N47" s="104"/>
      <c r="O47" s="90"/>
      <c r="P47" s="95"/>
      <c r="Q47" s="99"/>
      <c r="R47" s="105"/>
      <c r="S47" s="127"/>
      <c r="T47" s="127"/>
      <c r="U47" s="128"/>
      <c r="V47" s="128"/>
      <c r="W47" s="108"/>
      <c r="X47" s="94"/>
      <c r="Y47" s="4"/>
      <c r="Z47" s="4"/>
    </row>
    <row r="48" spans="2:26" ht="15.75" customHeight="1">
      <c r="D48" s="83"/>
      <c r="E48" s="84"/>
      <c r="G48" s="127"/>
      <c r="H48" s="127"/>
      <c r="I48" s="127"/>
      <c r="J48" s="102"/>
      <c r="L48" s="127"/>
      <c r="M48" s="127"/>
      <c r="N48" s="111"/>
      <c r="O48" s="90"/>
      <c r="P48" s="112"/>
      <c r="Q48" s="91"/>
      <c r="R48" s="91"/>
      <c r="S48" s="127"/>
      <c r="T48" s="127"/>
      <c r="U48" s="128"/>
      <c r="V48" s="128"/>
      <c r="W48" s="93"/>
      <c r="X48" s="94"/>
      <c r="Y48" s="4"/>
      <c r="Z48" s="4"/>
    </row>
    <row r="49" spans="2:26" ht="15.75" customHeight="1">
      <c r="D49" s="83"/>
      <c r="E49" s="97"/>
      <c r="G49" s="127"/>
      <c r="H49" s="127"/>
      <c r="I49" s="127"/>
      <c r="J49" s="102"/>
      <c r="L49" s="127"/>
      <c r="M49" s="127"/>
      <c r="N49" s="104"/>
      <c r="O49" s="90"/>
      <c r="P49" s="95"/>
      <c r="Q49" s="99"/>
      <c r="R49" s="105"/>
      <c r="S49" s="127"/>
      <c r="T49" s="127"/>
      <c r="U49" s="128"/>
      <c r="V49" s="128"/>
      <c r="W49" s="108"/>
      <c r="X49" s="94"/>
      <c r="Y49" s="4"/>
      <c r="Z49" s="4"/>
    </row>
    <row r="50" spans="2:26" ht="15.75" customHeight="1">
      <c r="D50" s="83"/>
      <c r="E50" s="84"/>
      <c r="G50" s="127"/>
      <c r="H50" s="127"/>
      <c r="I50" s="127"/>
      <c r="J50" s="102"/>
      <c r="L50" s="127"/>
      <c r="M50" s="127"/>
      <c r="N50" s="111"/>
      <c r="O50" s="90"/>
      <c r="P50" s="112"/>
      <c r="Q50" s="91"/>
      <c r="R50" s="91"/>
      <c r="S50" s="127"/>
      <c r="T50" s="127"/>
      <c r="U50" s="128"/>
      <c r="V50" s="128"/>
      <c r="W50" s="93"/>
    </row>
    <row r="51" spans="2:26" ht="15.75" customHeight="1">
      <c r="D51" s="83"/>
      <c r="E51" s="97"/>
      <c r="G51" s="127"/>
      <c r="H51" s="127"/>
      <c r="I51" s="127"/>
      <c r="J51" s="102"/>
      <c r="L51" s="127"/>
      <c r="M51" s="127"/>
      <c r="N51" s="104"/>
      <c r="O51" s="90"/>
      <c r="P51" s="95"/>
      <c r="Q51" s="99"/>
      <c r="R51" s="105"/>
      <c r="S51" s="127"/>
      <c r="T51" s="127"/>
      <c r="U51" s="128"/>
      <c r="V51" s="128"/>
      <c r="W51" s="108"/>
    </row>
    <row r="52" spans="2:26" ht="15.75" customHeight="1">
      <c r="D52" s="83"/>
      <c r="E52" s="84"/>
      <c r="J52" s="102"/>
      <c r="N52" s="111"/>
      <c r="O52" s="90"/>
      <c r="P52" s="112"/>
      <c r="Q52" s="91"/>
      <c r="R52" s="91"/>
      <c r="U52" s="128"/>
      <c r="V52" s="128"/>
      <c r="W52" s="93"/>
    </row>
    <row r="53" spans="2:26" ht="15.75" customHeight="1">
      <c r="D53" s="83"/>
      <c r="E53" s="97"/>
      <c r="G53" s="127"/>
      <c r="H53" s="127"/>
      <c r="I53" s="127"/>
      <c r="J53" s="102"/>
      <c r="L53" s="127"/>
      <c r="M53" s="127"/>
      <c r="N53" s="104"/>
      <c r="O53" s="90"/>
      <c r="P53" s="95"/>
      <c r="Q53" s="99"/>
      <c r="R53" s="105"/>
      <c r="S53" s="127"/>
      <c r="T53" s="127"/>
      <c r="U53" s="128"/>
      <c r="V53" s="128"/>
      <c r="W53" s="108"/>
    </row>
    <row r="54" spans="2:26" ht="15.75" customHeight="1">
      <c r="D54" s="83"/>
      <c r="E54" s="84"/>
      <c r="G54" s="127"/>
      <c r="H54" s="127"/>
      <c r="I54" s="127"/>
      <c r="J54" s="102"/>
      <c r="L54" s="127"/>
      <c r="M54" s="127"/>
      <c r="N54" s="111"/>
      <c r="O54" s="90"/>
      <c r="P54" s="112"/>
      <c r="Q54" s="91"/>
      <c r="R54" s="91"/>
      <c r="S54" s="127"/>
      <c r="T54" s="127"/>
      <c r="U54" s="128"/>
      <c r="V54" s="128"/>
      <c r="W54" s="93"/>
    </row>
    <row r="55" spans="2:26" ht="15.75" customHeight="1">
      <c r="D55" s="83"/>
      <c r="E55" s="97"/>
      <c r="G55" s="127"/>
      <c r="H55" s="127"/>
      <c r="I55" s="127"/>
      <c r="J55" s="102"/>
      <c r="L55" s="127"/>
      <c r="M55" s="127"/>
      <c r="N55" s="104"/>
      <c r="O55" s="90"/>
      <c r="P55" s="95"/>
      <c r="Q55" s="99"/>
      <c r="R55" s="105"/>
      <c r="S55" s="127"/>
      <c r="T55" s="127"/>
      <c r="U55" s="128"/>
      <c r="V55" s="128"/>
      <c r="W55" s="108"/>
    </row>
    <row r="56" spans="2:26" ht="15.75" customHeight="1">
      <c r="D56" s="83"/>
      <c r="E56" s="84"/>
      <c r="G56" s="127"/>
      <c r="H56" s="127"/>
      <c r="I56" s="127"/>
      <c r="J56" s="102"/>
      <c r="L56" s="127"/>
      <c r="M56" s="127"/>
      <c r="N56" s="111"/>
      <c r="O56" s="90"/>
      <c r="P56" s="112"/>
      <c r="Q56" s="91"/>
      <c r="R56" s="91"/>
      <c r="S56" s="127"/>
      <c r="T56" s="127"/>
      <c r="U56" s="128"/>
      <c r="V56" s="128"/>
      <c r="W56" s="108"/>
    </row>
    <row r="57" spans="2:26" ht="15.75" customHeight="1">
      <c r="D57" s="83"/>
      <c r="E57" s="97"/>
      <c r="G57" s="127"/>
      <c r="H57" s="127"/>
      <c r="I57" s="127"/>
      <c r="J57" s="102"/>
      <c r="L57" s="127"/>
      <c r="M57" s="127"/>
      <c r="N57" s="104"/>
      <c r="O57" s="90"/>
      <c r="P57" s="95"/>
      <c r="Q57" s="99"/>
      <c r="R57" s="105"/>
      <c r="S57" s="127"/>
      <c r="T57" s="127"/>
      <c r="U57" s="128"/>
      <c r="V57" s="128"/>
      <c r="W57" s="108"/>
    </row>
    <row r="58" spans="2:26" ht="15.75" customHeight="1">
      <c r="D58" s="83"/>
      <c r="E58" s="84"/>
      <c r="G58" s="127"/>
      <c r="H58" s="127"/>
      <c r="I58" s="127"/>
      <c r="J58" s="102"/>
      <c r="L58" s="127"/>
      <c r="M58" s="127"/>
      <c r="N58" s="111"/>
      <c r="O58" s="90"/>
      <c r="P58" s="112"/>
      <c r="Q58" s="91"/>
      <c r="R58" s="91"/>
      <c r="S58" s="127"/>
      <c r="T58" s="127"/>
      <c r="U58" s="128"/>
      <c r="V58" s="128"/>
      <c r="W58" s="108"/>
    </row>
    <row r="59" spans="2:26" ht="15.75" customHeight="1">
      <c r="D59" s="83"/>
      <c r="E59" s="97"/>
      <c r="G59" s="127"/>
      <c r="H59" s="127"/>
      <c r="I59" s="127"/>
      <c r="J59" s="102"/>
      <c r="L59" s="127"/>
      <c r="M59" s="127"/>
      <c r="N59" s="104"/>
      <c r="O59" s="90"/>
      <c r="P59" s="95"/>
      <c r="Q59" s="99"/>
      <c r="R59" s="105"/>
      <c r="S59" s="127"/>
      <c r="T59" s="127"/>
      <c r="U59" s="128"/>
      <c r="V59" s="128"/>
      <c r="W59" s="108"/>
    </row>
    <row r="60" spans="2:26" ht="15.75" customHeight="1">
      <c r="D60" s="83"/>
      <c r="E60" s="84"/>
      <c r="G60" s="127"/>
      <c r="H60" s="127"/>
      <c r="I60" s="127"/>
      <c r="J60" s="102"/>
      <c r="L60" s="127"/>
      <c r="M60" s="127"/>
      <c r="N60" s="111"/>
      <c r="O60" s="90"/>
      <c r="P60" s="112"/>
      <c r="Q60" s="91"/>
      <c r="R60" s="91"/>
      <c r="S60" s="127"/>
      <c r="T60" s="127"/>
      <c r="U60" s="128"/>
      <c r="V60" s="128"/>
      <c r="W60" s="108"/>
    </row>
    <row r="61" spans="2:26" ht="15.75" customHeight="1">
      <c r="D61" s="83"/>
      <c r="E61" s="97"/>
      <c r="J61" s="102"/>
      <c r="N61" s="104"/>
      <c r="O61" s="90"/>
      <c r="P61" s="95"/>
      <c r="Q61" s="99"/>
      <c r="R61" s="105"/>
      <c r="U61" s="128"/>
      <c r="V61" s="128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128"/>
      <c r="V62" s="128"/>
      <c r="W62" s="108"/>
    </row>
    <row r="63" spans="2:26" ht="15.75" customHeight="1">
      <c r="B63" s="129"/>
      <c r="D63" s="83"/>
      <c r="E63" s="97"/>
      <c r="G63" s="127"/>
      <c r="H63" s="127"/>
      <c r="I63" s="127"/>
      <c r="J63" s="102"/>
      <c r="L63" s="127"/>
      <c r="M63" s="127"/>
      <c r="N63" s="104"/>
      <c r="O63" s="90"/>
      <c r="P63" s="95"/>
      <c r="Q63" s="99"/>
      <c r="R63" s="105"/>
      <c r="S63" s="127"/>
      <c r="T63" s="127"/>
      <c r="U63" s="128"/>
      <c r="V63" s="128"/>
      <c r="W63" s="108"/>
    </row>
    <row r="64" spans="2:26" ht="15.75" customHeight="1">
      <c r="D64" s="83"/>
      <c r="E64" s="84"/>
      <c r="G64" s="127"/>
      <c r="H64" s="127"/>
      <c r="I64" s="127"/>
      <c r="J64" s="102"/>
      <c r="L64" s="127"/>
      <c r="M64" s="127"/>
      <c r="N64" s="111"/>
      <c r="O64" s="90"/>
      <c r="P64" s="112"/>
      <c r="Q64" s="91"/>
      <c r="R64" s="91"/>
      <c r="S64" s="127"/>
      <c r="T64" s="127"/>
      <c r="U64" s="128"/>
      <c r="V64" s="128"/>
      <c r="W64" s="108"/>
    </row>
    <row r="65" spans="2:26" ht="15.75" customHeight="1">
      <c r="D65" s="83"/>
      <c r="E65" s="97"/>
      <c r="G65" s="127"/>
      <c r="H65" s="127"/>
      <c r="I65" s="127"/>
      <c r="J65" s="102"/>
      <c r="L65" s="127"/>
      <c r="M65" s="127"/>
      <c r="N65" s="104"/>
      <c r="O65" s="90"/>
      <c r="P65" s="95"/>
      <c r="Q65" s="99"/>
      <c r="R65" s="105"/>
      <c r="S65" s="127"/>
      <c r="T65" s="127"/>
      <c r="U65" s="128"/>
      <c r="V65" s="128"/>
      <c r="W65" s="108"/>
    </row>
    <row r="66" spans="2:26">
      <c r="B66" s="129"/>
      <c r="D66" s="83"/>
      <c r="E66" s="84"/>
      <c r="G66" s="127"/>
      <c r="H66" s="127"/>
      <c r="I66" s="127"/>
      <c r="J66" s="102"/>
      <c r="L66" s="127"/>
      <c r="M66" s="127"/>
      <c r="N66" s="111"/>
      <c r="O66" s="90"/>
      <c r="P66" s="112"/>
      <c r="Q66" s="91"/>
      <c r="R66" s="91"/>
      <c r="S66" s="127"/>
      <c r="T66" s="127"/>
      <c r="U66" s="128"/>
      <c r="V66" s="128"/>
      <c r="W66" s="93"/>
      <c r="X66" s="94"/>
      <c r="Y66" s="4"/>
      <c r="Z66" s="4"/>
    </row>
    <row r="67" spans="2:26" ht="15.75" customHeight="1">
      <c r="D67" s="83"/>
      <c r="E67" s="97"/>
      <c r="G67" s="127"/>
      <c r="H67" s="127"/>
      <c r="I67" s="127"/>
      <c r="J67" s="102"/>
      <c r="L67" s="127"/>
      <c r="M67" s="127"/>
      <c r="N67" s="104"/>
      <c r="O67" s="90"/>
      <c r="P67" s="95"/>
      <c r="Q67" s="99"/>
      <c r="R67" s="105"/>
      <c r="S67" s="127"/>
      <c r="T67" s="127"/>
      <c r="U67" s="128"/>
      <c r="V67" s="128"/>
      <c r="W67" s="108"/>
      <c r="X67" s="94"/>
      <c r="Y67" s="4"/>
      <c r="Z67" s="4"/>
    </row>
    <row r="68" spans="2:26" ht="15.75" customHeight="1">
      <c r="D68" s="83"/>
      <c r="E68" s="84"/>
      <c r="J68" s="102"/>
      <c r="N68" s="111"/>
      <c r="O68" s="90"/>
      <c r="P68" s="112"/>
      <c r="Q68" s="91"/>
      <c r="R68" s="91"/>
      <c r="U68" s="128"/>
      <c r="V68" s="128"/>
      <c r="W68" s="93"/>
      <c r="X68" s="94"/>
      <c r="Y68" s="4"/>
      <c r="Z68" s="4"/>
    </row>
    <row r="69" spans="2:26" ht="15.75" customHeight="1">
      <c r="D69" s="83"/>
      <c r="E69" s="97"/>
      <c r="J69" s="102"/>
      <c r="N69" s="104"/>
      <c r="O69" s="90"/>
      <c r="P69" s="95"/>
      <c r="Q69" s="99"/>
      <c r="R69" s="105"/>
      <c r="U69" s="128"/>
      <c r="V69" s="128"/>
      <c r="W69" s="108"/>
      <c r="X69" s="94"/>
      <c r="Y69" s="4"/>
      <c r="Z69" s="4"/>
    </row>
    <row r="70" spans="2:26" ht="15.75" customHeight="1">
      <c r="D70" s="83"/>
      <c r="E70" s="84"/>
      <c r="G70" s="127"/>
      <c r="H70" s="127"/>
      <c r="I70" s="127"/>
      <c r="J70" s="102"/>
      <c r="L70" s="127"/>
      <c r="M70" s="127"/>
      <c r="N70" s="111"/>
      <c r="O70" s="90"/>
      <c r="P70" s="112"/>
      <c r="Q70" s="91"/>
      <c r="R70" s="91"/>
      <c r="S70" s="127"/>
      <c r="T70" s="127"/>
      <c r="U70" s="128"/>
      <c r="V70" s="128"/>
      <c r="W70" s="93"/>
      <c r="X70" s="94"/>
      <c r="Y70" s="4"/>
      <c r="Z70" s="4"/>
    </row>
    <row r="71" spans="2:26" ht="15.75" customHeight="1">
      <c r="D71" s="83"/>
      <c r="E71" s="97"/>
      <c r="G71" s="127"/>
      <c r="H71" s="127"/>
      <c r="I71" s="127"/>
      <c r="J71" s="102"/>
      <c r="L71" s="127"/>
      <c r="M71" s="127"/>
      <c r="N71" s="104"/>
      <c r="O71" s="90"/>
      <c r="P71" s="95"/>
      <c r="Q71" s="99"/>
      <c r="R71" s="105"/>
      <c r="S71" s="127"/>
      <c r="T71" s="127"/>
      <c r="U71" s="128"/>
      <c r="V71" s="128"/>
      <c r="W71" s="108"/>
      <c r="X71" s="94"/>
      <c r="Y71" s="4"/>
      <c r="Z71" s="4"/>
    </row>
    <row r="72" spans="2:26" ht="15.75" customHeight="1">
      <c r="D72" s="83"/>
      <c r="E72" s="84"/>
      <c r="G72" s="127"/>
      <c r="H72" s="127"/>
      <c r="I72" s="127"/>
      <c r="J72" s="102"/>
      <c r="L72" s="127"/>
      <c r="M72" s="127"/>
      <c r="N72" s="111"/>
      <c r="O72" s="90"/>
      <c r="P72" s="112"/>
      <c r="Q72" s="91"/>
      <c r="R72" s="91"/>
      <c r="S72" s="127"/>
      <c r="T72" s="127"/>
      <c r="U72" s="128"/>
      <c r="V72" s="128"/>
      <c r="W72" s="93"/>
      <c r="X72" s="94"/>
      <c r="Y72" s="4"/>
      <c r="Z72" s="4"/>
    </row>
    <row r="73" spans="2:26" ht="15.75" customHeight="1">
      <c r="D73" s="83"/>
      <c r="E73" s="97"/>
      <c r="G73" s="127"/>
      <c r="H73" s="127"/>
      <c r="I73" s="127"/>
      <c r="J73" s="102"/>
      <c r="L73" s="127"/>
      <c r="M73" s="127"/>
      <c r="N73" s="104"/>
      <c r="O73" s="90"/>
      <c r="P73" s="95"/>
      <c r="Q73" s="99"/>
      <c r="R73" s="105"/>
      <c r="S73" s="127"/>
      <c r="T73" s="127"/>
      <c r="U73" s="128"/>
      <c r="V73" s="128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128"/>
      <c r="V74" s="128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128"/>
      <c r="V75" s="128"/>
      <c r="W75" s="93"/>
      <c r="X75" s="94"/>
      <c r="Y75" s="4"/>
      <c r="Z75" s="4"/>
    </row>
    <row r="76" spans="2:26" ht="15.75" customHeight="1">
      <c r="D76" s="83"/>
      <c r="E76" s="97"/>
      <c r="G76" s="127"/>
      <c r="H76" s="127"/>
      <c r="I76" s="127"/>
      <c r="J76" s="102"/>
      <c r="L76" s="127"/>
      <c r="M76" s="127"/>
      <c r="N76" s="104"/>
      <c r="O76" s="90"/>
      <c r="P76" s="95"/>
      <c r="Q76" s="99"/>
      <c r="R76" s="105"/>
      <c r="S76" s="127"/>
      <c r="T76" s="127"/>
      <c r="U76" s="128"/>
      <c r="V76" s="128"/>
      <c r="W76" s="108"/>
      <c r="X76" s="94"/>
      <c r="Y76" s="4"/>
      <c r="Z76" s="4"/>
    </row>
    <row r="77" spans="2:26" ht="15.75" customHeight="1">
      <c r="D77" s="83"/>
      <c r="E77" s="84"/>
      <c r="G77" s="127"/>
      <c r="H77" s="127"/>
      <c r="I77" s="127"/>
      <c r="J77" s="102"/>
      <c r="L77" s="127"/>
      <c r="M77" s="127"/>
      <c r="N77" s="111"/>
      <c r="O77" s="90"/>
      <c r="P77" s="112"/>
      <c r="Q77" s="91"/>
      <c r="R77" s="91"/>
      <c r="S77" s="127"/>
      <c r="T77" s="127"/>
      <c r="U77" s="128"/>
      <c r="V77" s="128"/>
      <c r="W77" s="93"/>
    </row>
    <row r="78" spans="2:26" ht="15.75" customHeight="1">
      <c r="D78" s="83"/>
      <c r="E78" s="97"/>
      <c r="G78" s="127"/>
      <c r="H78" s="127"/>
      <c r="I78" s="127"/>
      <c r="J78" s="102"/>
      <c r="L78" s="127"/>
      <c r="M78" s="127"/>
      <c r="N78" s="104"/>
      <c r="O78" s="90"/>
      <c r="P78" s="95"/>
      <c r="Q78" s="99"/>
      <c r="R78" s="105"/>
      <c r="S78" s="127"/>
      <c r="T78" s="127"/>
      <c r="U78" s="128"/>
      <c r="V78" s="128"/>
      <c r="W78" s="108"/>
    </row>
    <row r="79" spans="2:26" ht="15.75" customHeight="1">
      <c r="D79" s="83"/>
      <c r="E79" s="84"/>
      <c r="G79" s="127"/>
      <c r="H79" s="127"/>
      <c r="I79" s="127"/>
      <c r="J79" s="102"/>
      <c r="L79" s="127"/>
      <c r="M79" s="127"/>
      <c r="N79" s="111"/>
      <c r="O79" s="90"/>
      <c r="P79" s="112"/>
      <c r="Q79" s="91"/>
      <c r="R79" s="91"/>
      <c r="S79" s="127"/>
      <c r="T79" s="127"/>
      <c r="U79" s="128"/>
      <c r="V79" s="128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128"/>
      <c r="V80" s="128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128"/>
      <c r="V81" s="128"/>
      <c r="W81" s="93"/>
    </row>
    <row r="82" spans="4:26" ht="15.75" customHeight="1">
      <c r="D82" s="83"/>
      <c r="E82" s="97"/>
      <c r="G82" s="127"/>
      <c r="H82" s="127"/>
      <c r="I82" s="127"/>
      <c r="J82" s="102"/>
      <c r="L82" s="127"/>
      <c r="M82" s="127"/>
      <c r="N82" s="104"/>
      <c r="O82" s="90"/>
      <c r="P82" s="95"/>
      <c r="Q82" s="99"/>
      <c r="R82" s="105"/>
      <c r="S82" s="127"/>
      <c r="T82" s="127"/>
      <c r="U82" s="128"/>
      <c r="V82" s="128"/>
      <c r="W82" s="108"/>
    </row>
    <row r="83" spans="4:26" ht="15.75" customHeight="1">
      <c r="D83" s="83"/>
      <c r="E83" s="84"/>
      <c r="G83" s="127"/>
      <c r="H83" s="127"/>
      <c r="I83" s="127"/>
      <c r="J83" s="102"/>
      <c r="L83" s="127"/>
      <c r="M83" s="127"/>
      <c r="N83" s="111"/>
      <c r="O83" s="90"/>
      <c r="P83" s="112"/>
      <c r="Q83" s="91"/>
      <c r="R83" s="91"/>
      <c r="S83" s="127"/>
      <c r="T83" s="127"/>
      <c r="U83" s="128"/>
      <c r="V83" s="128"/>
      <c r="W83" s="108"/>
    </row>
    <row r="84" spans="4:26" ht="15.75" customHeight="1">
      <c r="D84" s="83"/>
      <c r="E84" s="97"/>
      <c r="G84" s="127"/>
      <c r="H84" s="127"/>
      <c r="I84" s="127"/>
      <c r="J84" s="102"/>
      <c r="L84" s="127"/>
      <c r="M84" s="127"/>
      <c r="N84" s="104"/>
      <c r="O84" s="90"/>
      <c r="P84" s="95"/>
      <c r="Q84" s="99"/>
      <c r="R84" s="105"/>
      <c r="S84" s="127"/>
      <c r="T84" s="127"/>
      <c r="U84" s="128"/>
      <c r="V84" s="128"/>
      <c r="W84" s="108"/>
    </row>
    <row r="85" spans="4:26" ht="15.75" customHeight="1">
      <c r="D85" s="83"/>
      <c r="E85" s="84"/>
      <c r="G85" s="127"/>
      <c r="H85" s="127"/>
      <c r="I85" s="127"/>
      <c r="J85" s="102"/>
      <c r="L85" s="127"/>
      <c r="M85" s="127"/>
      <c r="N85" s="111"/>
      <c r="O85" s="90"/>
      <c r="P85" s="112"/>
      <c r="Q85" s="91"/>
      <c r="R85" s="91"/>
      <c r="S85" s="127"/>
      <c r="T85" s="127"/>
      <c r="U85" s="128"/>
      <c r="V85" s="128"/>
      <c r="W85" s="108"/>
    </row>
    <row r="86" spans="4:26" ht="15.75" customHeight="1">
      <c r="D86" s="83"/>
      <c r="E86" s="97"/>
      <c r="G86" s="127"/>
      <c r="H86" s="127"/>
      <c r="I86" s="127"/>
      <c r="J86" s="102"/>
      <c r="L86" s="127"/>
      <c r="M86" s="127"/>
      <c r="N86" s="104"/>
      <c r="O86" s="90"/>
      <c r="P86" s="95"/>
      <c r="Q86" s="99"/>
      <c r="R86" s="105"/>
      <c r="S86" s="127"/>
      <c r="T86" s="127"/>
      <c r="U86" s="128"/>
      <c r="V86" s="128"/>
      <c r="W86" s="108"/>
    </row>
    <row r="87" spans="4:26" ht="15.75" customHeight="1">
      <c r="D87" s="83"/>
      <c r="E87" s="84"/>
      <c r="G87" s="127"/>
      <c r="H87" s="127"/>
      <c r="I87" s="127"/>
      <c r="J87" s="102"/>
      <c r="L87" s="127"/>
      <c r="M87" s="127"/>
      <c r="N87" s="111"/>
      <c r="O87" s="90"/>
      <c r="P87" s="112"/>
      <c r="Q87" s="91"/>
      <c r="R87" s="91"/>
      <c r="S87" s="127"/>
      <c r="T87" s="127"/>
      <c r="U87" s="128"/>
      <c r="V87" s="128"/>
      <c r="W87" s="108"/>
    </row>
    <row r="88" spans="4:26" ht="15.75" customHeight="1">
      <c r="D88" s="83"/>
      <c r="E88" s="97"/>
      <c r="G88" s="127"/>
      <c r="H88" s="127"/>
      <c r="I88" s="127"/>
      <c r="J88" s="102"/>
      <c r="L88" s="127"/>
      <c r="M88" s="127"/>
      <c r="N88" s="104"/>
      <c r="O88" s="90"/>
      <c r="P88" s="95"/>
      <c r="Q88" s="99"/>
      <c r="R88" s="105"/>
      <c r="S88" s="127"/>
      <c r="T88" s="127"/>
      <c r="U88" s="128"/>
      <c r="V88" s="128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128"/>
      <c r="V89" s="128"/>
      <c r="W89" s="108"/>
    </row>
    <row r="90" spans="4:26" ht="15.75" customHeight="1">
      <c r="D90" s="83"/>
      <c r="E90" s="97"/>
      <c r="G90" s="127"/>
      <c r="H90" s="127"/>
      <c r="I90" s="127"/>
      <c r="J90" s="102"/>
      <c r="L90" s="127"/>
      <c r="M90" s="127"/>
      <c r="N90" s="104"/>
      <c r="O90" s="90"/>
      <c r="P90" s="95"/>
      <c r="Q90" s="99"/>
      <c r="R90" s="105"/>
      <c r="S90" s="127"/>
      <c r="T90" s="127"/>
      <c r="U90" s="128"/>
      <c r="V90" s="128"/>
      <c r="W90" s="108"/>
    </row>
    <row r="91" spans="4:26" ht="15.75" customHeight="1">
      <c r="D91" s="83"/>
      <c r="E91" s="84"/>
      <c r="G91" s="127"/>
      <c r="H91" s="127"/>
      <c r="I91" s="127"/>
      <c r="J91" s="102"/>
      <c r="L91" s="127"/>
      <c r="M91" s="127"/>
      <c r="N91" s="111"/>
      <c r="O91" s="90"/>
      <c r="P91" s="112"/>
      <c r="Q91" s="91"/>
      <c r="R91" s="91"/>
      <c r="S91" s="127"/>
      <c r="T91" s="127"/>
      <c r="U91" s="128"/>
      <c r="V91" s="128"/>
      <c r="W91" s="108"/>
    </row>
    <row r="92" spans="4:26" ht="15.75" customHeight="1">
      <c r="D92" s="83"/>
      <c r="E92" s="97"/>
      <c r="G92" s="127"/>
      <c r="H92" s="127"/>
      <c r="I92" s="127"/>
      <c r="J92" s="102"/>
      <c r="L92" s="127"/>
      <c r="M92" s="127"/>
      <c r="N92" s="104"/>
      <c r="O92" s="90"/>
      <c r="P92" s="95"/>
      <c r="Q92" s="99"/>
      <c r="R92" s="105"/>
      <c r="S92" s="127"/>
      <c r="T92" s="127"/>
      <c r="U92" s="128"/>
      <c r="V92" s="128"/>
      <c r="W92" s="108"/>
    </row>
    <row r="93" spans="4:26" ht="15.75" customHeight="1">
      <c r="D93" s="83"/>
      <c r="E93" s="84"/>
      <c r="G93" s="127"/>
      <c r="H93" s="127"/>
      <c r="I93" s="127"/>
      <c r="J93" s="102"/>
      <c r="L93" s="127"/>
      <c r="M93" s="127"/>
      <c r="N93" s="111"/>
      <c r="O93" s="90"/>
      <c r="P93" s="112"/>
      <c r="Q93" s="91"/>
      <c r="R93" s="91"/>
      <c r="S93" s="127"/>
      <c r="T93" s="127"/>
      <c r="U93" s="128"/>
      <c r="V93" s="128"/>
      <c r="W93" s="108"/>
    </row>
    <row r="94" spans="4:26" ht="15.75" customHeight="1">
      <c r="D94" s="83"/>
      <c r="E94" s="97"/>
      <c r="G94" s="127"/>
      <c r="H94" s="127"/>
      <c r="I94" s="127"/>
      <c r="J94" s="102"/>
      <c r="L94" s="127"/>
      <c r="M94" s="127"/>
      <c r="N94" s="104"/>
      <c r="O94" s="90"/>
      <c r="P94" s="95"/>
      <c r="Q94" s="99"/>
      <c r="R94" s="105"/>
      <c r="S94" s="127"/>
      <c r="T94" s="127"/>
      <c r="U94" s="128"/>
      <c r="V94" s="128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128"/>
      <c r="V95" s="128"/>
      <c r="W95" s="93"/>
      <c r="X95" s="94"/>
      <c r="Y95" s="4"/>
      <c r="Z95" s="4"/>
    </row>
    <row r="96" spans="4:26" ht="15.75" customHeight="1">
      <c r="D96" s="83"/>
      <c r="E96" s="97"/>
      <c r="G96" s="127"/>
      <c r="H96" s="127"/>
      <c r="I96" s="127"/>
      <c r="J96" s="102"/>
      <c r="L96" s="127"/>
      <c r="M96" s="127"/>
      <c r="N96" s="104"/>
      <c r="O96" s="90"/>
      <c r="P96" s="95"/>
      <c r="Q96" s="99"/>
      <c r="R96" s="105"/>
      <c r="S96" s="127"/>
      <c r="T96" s="127"/>
      <c r="U96" s="128"/>
      <c r="V96" s="128"/>
      <c r="W96" s="108"/>
      <c r="X96" s="94"/>
      <c r="Y96" s="4"/>
      <c r="Z96" s="4"/>
    </row>
    <row r="97" spans="2:23" ht="15.75" customHeight="1">
      <c r="D97" s="83"/>
      <c r="E97" s="84"/>
      <c r="G97" s="127"/>
      <c r="H97" s="127"/>
      <c r="I97" s="127"/>
      <c r="J97" s="102"/>
      <c r="L97" s="127"/>
      <c r="M97" s="127"/>
      <c r="N97" s="111"/>
      <c r="O97" s="90"/>
      <c r="P97" s="112"/>
      <c r="Q97" s="91"/>
      <c r="R97" s="91"/>
      <c r="S97" s="127"/>
      <c r="T97" s="127"/>
      <c r="U97" s="128"/>
      <c r="V97" s="128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128"/>
      <c r="V98" s="128"/>
      <c r="W98" s="108"/>
    </row>
    <row r="99" spans="2:23" ht="15.75" customHeight="1">
      <c r="D99" s="83"/>
      <c r="E99" s="84"/>
      <c r="G99" s="127"/>
      <c r="H99" s="127"/>
      <c r="I99" s="127"/>
      <c r="J99" s="102"/>
      <c r="L99" s="127"/>
      <c r="M99" s="127"/>
      <c r="N99" s="111"/>
      <c r="O99" s="90"/>
      <c r="P99" s="112"/>
      <c r="Q99" s="91"/>
      <c r="R99" s="91"/>
      <c r="S99" s="127"/>
      <c r="T99" s="127"/>
      <c r="U99" s="128"/>
      <c r="V99" s="128"/>
      <c r="W99" s="93"/>
    </row>
    <row r="100" spans="2:23" ht="15.75" customHeight="1">
      <c r="D100" s="83"/>
      <c r="E100" s="97"/>
      <c r="G100" s="127"/>
      <c r="H100" s="127"/>
      <c r="I100" s="127"/>
      <c r="J100" s="102"/>
      <c r="L100" s="127"/>
      <c r="M100" s="127"/>
      <c r="N100" s="104"/>
      <c r="O100" s="90"/>
      <c r="P100" s="95"/>
      <c r="Q100" s="99"/>
      <c r="R100" s="105"/>
      <c r="S100" s="127"/>
      <c r="T100" s="127"/>
      <c r="U100" s="128"/>
      <c r="V100" s="128"/>
      <c r="W100" s="108"/>
    </row>
    <row r="101" spans="2:23" ht="15.75" customHeight="1">
      <c r="D101" s="83"/>
      <c r="E101" s="84"/>
      <c r="G101" s="127"/>
      <c r="H101" s="127"/>
      <c r="I101" s="127"/>
      <c r="J101" s="102"/>
      <c r="L101" s="127"/>
      <c r="M101" s="127"/>
      <c r="N101" s="111"/>
      <c r="O101" s="90"/>
      <c r="P101" s="112"/>
      <c r="Q101" s="91"/>
      <c r="R101" s="91"/>
      <c r="S101" s="127"/>
      <c r="T101" s="127"/>
      <c r="U101" s="128"/>
      <c r="V101" s="128"/>
      <c r="W101" s="93"/>
    </row>
    <row r="102" spans="2:23" ht="15.75" customHeight="1">
      <c r="D102" s="83"/>
      <c r="E102" s="97"/>
      <c r="G102" s="127"/>
      <c r="H102" s="127"/>
      <c r="I102" s="127"/>
      <c r="J102" s="102"/>
      <c r="L102" s="127"/>
      <c r="M102" s="127"/>
      <c r="N102" s="104"/>
      <c r="O102" s="90"/>
      <c r="P102" s="95"/>
      <c r="Q102" s="99"/>
      <c r="R102" s="105"/>
      <c r="S102" s="127"/>
      <c r="T102" s="127"/>
      <c r="U102" s="128"/>
      <c r="V102" s="128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84</v>
      </c>
      <c r="G114" s="118">
        <f>SUM(G19:G113)</f>
        <v>14484.400000000003</v>
      </c>
      <c r="H114" s="119">
        <f>SUM(H19:H113)</f>
        <v>3910.8</v>
      </c>
      <c r="I114" s="120">
        <f>SUM(I19:I113)</f>
        <v>18225.079999999998</v>
      </c>
      <c r="J114" s="121"/>
      <c r="K114" s="122">
        <f>SUM(K19:K113)</f>
        <v>84</v>
      </c>
      <c r="L114" s="119">
        <f>SUM(L19:L113)</f>
        <v>7242.27</v>
      </c>
      <c r="M114" s="120">
        <f>SUM(M19:M113)</f>
        <v>9112.8000000000011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7242.27</v>
      </c>
      <c r="T114" s="120">
        <f>SUM(T19:T113)</f>
        <v>9112.8000000000011</v>
      </c>
      <c r="U114" s="125"/>
      <c r="V114" s="125"/>
      <c r="W114" s="126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19" priority="1" stopIfTrue="1">
      <formula>$U$9&gt;100%</formula>
    </cfRule>
    <cfRule type="expression" dxfId="18" priority="2">
      <formula>$U$9&lt;50%</formula>
    </cfRule>
  </conditionalFormatting>
  <conditionalFormatting sqref="V9:V11">
    <cfRule type="expression" dxfId="17" priority="3">
      <formula>$V$9&lt;50%</formula>
    </cfRule>
    <cfRule type="expression" dxfId="16" priority="4">
      <formula>$V$9&gt;50%</formula>
    </cfRule>
  </conditionalFormatting>
  <dataValidations count="4">
    <dataValidation type="list" allowBlank="1" showErrorMessage="1" sqref="Q15 G18 L18 Q18" xr:uid="{743E923C-994E-4854-943F-92FF0C8E0A27}">
      <formula1>$Y$12:$Y$13</formula1>
    </dataValidation>
    <dataValidation type="list" allowBlank="1" showErrorMessage="1" sqref="J14" xr:uid="{14305C3E-F2E2-4F5D-BEB0-6B152C7666D4}">
      <formula1>$L$9</formula1>
    </dataValidation>
    <dataValidation type="list" allowBlank="1" showErrorMessage="1" sqref="I14" xr:uid="{8FBF07CA-E082-4D62-93FD-5AF9D0708A62}">
      <formula1>$Y$14:$Y$15</formula1>
    </dataValidation>
    <dataValidation type="list" allowBlank="1" showErrorMessage="1" sqref="E19:E113" xr:uid="{8700DCA3-EE29-4E48-9C07-29D2FB1428EA}">
      <formula1>$Z$19:$Z$94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5503E-E13D-4524-A942-BCCCFC5A22DA}">
  <sheetPr>
    <pageSetUpPr fitToPage="1"/>
  </sheetPr>
  <dimension ref="B1:Z114"/>
  <sheetViews>
    <sheetView tabSelected="1" zoomScale="85" zoomScaleNormal="85" workbookViewId="0">
      <pane ySplit="18" topLeftCell="A19" activePane="bottomLeft" state="frozen"/>
      <selection pane="bottomLeft" activeCell="C20" sqref="C2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18" t="s">
        <v>0</v>
      </c>
      <c r="C1" s="219"/>
      <c r="D1" s="220" t="s">
        <v>1</v>
      </c>
      <c r="E1" s="221"/>
      <c r="F1" s="221"/>
      <c r="G1" s="221"/>
      <c r="H1" s="184"/>
      <c r="I1" s="218" t="s">
        <v>2</v>
      </c>
      <c r="J1" s="222"/>
      <c r="K1" s="222"/>
      <c r="L1" s="181"/>
      <c r="M1" s="223" t="s">
        <v>3</v>
      </c>
      <c r="N1" s="224"/>
      <c r="O1" s="225"/>
      <c r="P1" s="226" t="str">
        <f>L18</f>
        <v>CAD $</v>
      </c>
      <c r="Q1" s="222"/>
      <c r="R1" s="181"/>
      <c r="S1" s="218" t="s">
        <v>4</v>
      </c>
      <c r="T1" s="222"/>
      <c r="U1" s="222"/>
      <c r="V1" s="222"/>
      <c r="W1" s="181"/>
      <c r="X1" s="2"/>
      <c r="Y1" s="3"/>
    </row>
    <row r="2" spans="2:25" ht="15" customHeight="1">
      <c r="B2" s="5" t="s">
        <v>5</v>
      </c>
      <c r="C2" s="6"/>
      <c r="D2" s="193" t="s">
        <v>6</v>
      </c>
      <c r="E2" s="135"/>
      <c r="F2" s="136"/>
      <c r="G2" s="194"/>
      <c r="H2" s="136"/>
      <c r="I2" s="215" t="s">
        <v>7</v>
      </c>
      <c r="J2" s="133"/>
      <c r="K2" s="131"/>
      <c r="L2" s="8"/>
      <c r="M2" s="216" t="s">
        <v>8</v>
      </c>
      <c r="N2" s="131"/>
      <c r="O2" s="9"/>
      <c r="P2" s="217">
        <f>I114</f>
        <v>513518.42</v>
      </c>
      <c r="Q2" s="133"/>
      <c r="R2" s="131"/>
      <c r="S2" s="216" t="s">
        <v>9</v>
      </c>
      <c r="T2" s="131"/>
      <c r="U2" s="214"/>
      <c r="V2" s="131"/>
      <c r="W2" s="10"/>
      <c r="X2" s="11"/>
      <c r="Y2" s="3"/>
    </row>
    <row r="3" spans="2:25" ht="15" customHeight="1">
      <c r="B3" s="12" t="s">
        <v>10</v>
      </c>
      <c r="C3" s="7"/>
      <c r="D3" s="193" t="s">
        <v>11</v>
      </c>
      <c r="E3" s="135"/>
      <c r="F3" s="136"/>
      <c r="G3" s="194"/>
      <c r="H3" s="136"/>
      <c r="I3" s="193" t="s">
        <v>12</v>
      </c>
      <c r="J3" s="135"/>
      <c r="K3" s="136"/>
      <c r="L3" s="13"/>
      <c r="M3" s="197" t="s">
        <v>13</v>
      </c>
      <c r="N3" s="136"/>
      <c r="O3" s="9"/>
      <c r="P3" s="213">
        <f>M114</f>
        <v>256759.22999999998</v>
      </c>
      <c r="Q3" s="135"/>
      <c r="R3" s="136"/>
      <c r="S3" s="197" t="s">
        <v>14</v>
      </c>
      <c r="T3" s="136"/>
      <c r="U3" s="199"/>
      <c r="V3" s="136"/>
      <c r="W3" s="14"/>
      <c r="X3" s="1"/>
      <c r="Y3" s="15"/>
    </row>
    <row r="4" spans="2:25" ht="15" customHeight="1">
      <c r="B4" s="16" t="s">
        <v>15</v>
      </c>
      <c r="C4" s="7"/>
      <c r="D4" s="193" t="s">
        <v>16</v>
      </c>
      <c r="E4" s="135"/>
      <c r="F4" s="136"/>
      <c r="G4" s="227" t="s">
        <v>497</v>
      </c>
      <c r="H4" s="228"/>
      <c r="I4" s="193" t="s">
        <v>17</v>
      </c>
      <c r="J4" s="135"/>
      <c r="K4" s="136"/>
      <c r="L4" s="13"/>
      <c r="M4" s="197" t="s">
        <v>18</v>
      </c>
      <c r="N4" s="136"/>
      <c r="O4" s="9"/>
      <c r="P4" s="213">
        <f>P2-P3</f>
        <v>256759.19</v>
      </c>
      <c r="Q4" s="135"/>
      <c r="R4" s="136"/>
      <c r="S4" s="197" t="s">
        <v>19</v>
      </c>
      <c r="T4" s="136"/>
      <c r="U4" s="199"/>
      <c r="V4" s="136"/>
      <c r="W4" s="14"/>
      <c r="X4" s="1"/>
      <c r="Y4" s="15"/>
    </row>
    <row r="5" spans="2:25" ht="15" customHeight="1" thickBot="1">
      <c r="B5" s="16" t="s">
        <v>20</v>
      </c>
      <c r="C5" s="7"/>
      <c r="D5" s="193" t="s">
        <v>21</v>
      </c>
      <c r="E5" s="135"/>
      <c r="F5" s="136"/>
      <c r="G5" s="227" t="s">
        <v>208</v>
      </c>
      <c r="H5" s="228"/>
      <c r="I5" s="193" t="s">
        <v>22</v>
      </c>
      <c r="J5" s="135"/>
      <c r="K5" s="136"/>
      <c r="L5" s="13"/>
      <c r="M5" s="209" t="s">
        <v>23</v>
      </c>
      <c r="N5" s="210"/>
      <c r="O5" s="9"/>
      <c r="P5" s="211">
        <f>IFERROR((P2-P3)/P2,"")</f>
        <v>0.49999996105300371</v>
      </c>
      <c r="Q5" s="212"/>
      <c r="R5" s="210"/>
      <c r="S5" s="197" t="s">
        <v>24</v>
      </c>
      <c r="T5" s="136"/>
      <c r="U5" s="199"/>
      <c r="V5" s="136"/>
      <c r="W5" s="14"/>
      <c r="X5" s="1"/>
      <c r="Y5" s="15"/>
    </row>
    <row r="6" spans="2:25" ht="15" customHeight="1">
      <c r="B6" s="16" t="s">
        <v>25</v>
      </c>
      <c r="C6" s="17"/>
      <c r="D6" s="193" t="s">
        <v>26</v>
      </c>
      <c r="E6" s="135"/>
      <c r="F6" s="136"/>
      <c r="G6" s="227" t="s">
        <v>209</v>
      </c>
      <c r="H6" s="228"/>
      <c r="I6" s="193" t="s">
        <v>27</v>
      </c>
      <c r="J6" s="135"/>
      <c r="K6" s="136"/>
      <c r="L6" s="13"/>
      <c r="M6" s="205" t="s">
        <v>28</v>
      </c>
      <c r="N6" s="206"/>
      <c r="O6" s="9"/>
      <c r="P6" s="207">
        <f>T114</f>
        <v>256759.22999999998</v>
      </c>
      <c r="Q6" s="208"/>
      <c r="R6" s="206"/>
      <c r="S6" s="197" t="s">
        <v>29</v>
      </c>
      <c r="T6" s="136"/>
      <c r="U6" s="199"/>
      <c r="V6" s="136"/>
      <c r="W6" s="18"/>
      <c r="X6" s="19"/>
      <c r="Y6" s="20"/>
    </row>
    <row r="7" spans="2:25" ht="15" customHeight="1">
      <c r="B7" s="16" t="s">
        <v>30</v>
      </c>
      <c r="C7" s="7"/>
      <c r="D7" s="193" t="s">
        <v>31</v>
      </c>
      <c r="E7" s="135"/>
      <c r="F7" s="136"/>
      <c r="G7" s="21"/>
      <c r="H7" s="21"/>
      <c r="I7" s="193" t="s">
        <v>32</v>
      </c>
      <c r="J7" s="135"/>
      <c r="K7" s="136"/>
      <c r="L7" s="13"/>
      <c r="M7" s="195" t="s">
        <v>33</v>
      </c>
      <c r="N7" s="136"/>
      <c r="O7" s="9"/>
      <c r="P7" s="198">
        <f>R114</f>
        <v>0</v>
      </c>
      <c r="Q7" s="135"/>
      <c r="R7" s="136"/>
      <c r="S7" s="200" t="s">
        <v>34</v>
      </c>
      <c r="T7" s="201"/>
      <c r="U7" s="202"/>
      <c r="V7" s="201"/>
      <c r="W7" s="18"/>
      <c r="X7" s="22"/>
      <c r="Y7" s="4"/>
    </row>
    <row r="8" spans="2:25" ht="15" customHeight="1">
      <c r="B8" s="23"/>
      <c r="C8" s="24"/>
      <c r="D8" s="193" t="s">
        <v>35</v>
      </c>
      <c r="E8" s="135"/>
      <c r="F8" s="136"/>
      <c r="G8" s="194"/>
      <c r="H8" s="136"/>
      <c r="I8" s="193" t="s">
        <v>36</v>
      </c>
      <c r="J8" s="135"/>
      <c r="K8" s="136"/>
      <c r="L8" s="13"/>
      <c r="M8" s="195" t="s">
        <v>37</v>
      </c>
      <c r="N8" s="136"/>
      <c r="O8" s="9"/>
      <c r="P8" s="198">
        <f>IF(P1=Q15,R15,IF(Q15="CAD $",R15*E16,IF(Q15="USD $",R15*F16,0)))</f>
        <v>0</v>
      </c>
      <c r="Q8" s="135"/>
      <c r="R8" s="136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93" t="s">
        <v>42</v>
      </c>
      <c r="E9" s="135"/>
      <c r="F9" s="136"/>
      <c r="G9" s="194"/>
      <c r="H9" s="136"/>
      <c r="I9" s="31"/>
      <c r="J9" s="32"/>
      <c r="K9" s="32"/>
      <c r="L9" s="33"/>
      <c r="M9" s="195" t="s">
        <v>43</v>
      </c>
      <c r="N9" s="136"/>
      <c r="O9" s="9"/>
      <c r="P9" s="196">
        <f>V15</f>
        <v>0</v>
      </c>
      <c r="Q9" s="135"/>
      <c r="R9" s="136"/>
      <c r="S9" s="186">
        <f>P7+P8+P9</f>
        <v>0</v>
      </c>
      <c r="T9" s="186">
        <f>P3-S9</f>
        <v>256759.22999999998</v>
      </c>
      <c r="U9" s="189">
        <f>IFERROR(((P3-S9)/S9),0)</f>
        <v>0</v>
      </c>
      <c r="V9" s="189">
        <f>IFERROR(T9/P3,0)</f>
        <v>1</v>
      </c>
      <c r="W9" s="190"/>
      <c r="X9" s="29"/>
      <c r="Y9" s="4"/>
    </row>
    <row r="10" spans="2:25" ht="15" customHeight="1">
      <c r="B10" s="30"/>
      <c r="C10" s="24"/>
      <c r="D10" s="193" t="s">
        <v>44</v>
      </c>
      <c r="E10" s="135"/>
      <c r="F10" s="136"/>
      <c r="G10" s="194" t="s">
        <v>80</v>
      </c>
      <c r="H10" s="136"/>
      <c r="I10" s="31"/>
      <c r="J10" s="32"/>
      <c r="K10" s="32"/>
      <c r="L10" s="33"/>
      <c r="M10" s="195"/>
      <c r="N10" s="136"/>
      <c r="O10" s="9"/>
      <c r="P10" s="196"/>
      <c r="Q10" s="135"/>
      <c r="R10" s="136"/>
      <c r="S10" s="187"/>
      <c r="T10" s="187"/>
      <c r="U10" s="187"/>
      <c r="V10" s="187"/>
      <c r="W10" s="19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97" t="s">
        <v>45</v>
      </c>
      <c r="N11" s="136"/>
      <c r="O11" s="9"/>
      <c r="P11" s="155">
        <f>F114</f>
        <v>1127</v>
      </c>
      <c r="Q11" s="135"/>
      <c r="R11" s="136"/>
      <c r="S11" s="188"/>
      <c r="T11" s="188"/>
      <c r="U11" s="188"/>
      <c r="V11" s="188"/>
      <c r="W11" s="192"/>
      <c r="X11" s="29"/>
      <c r="Y11" s="4"/>
    </row>
    <row r="12" spans="2:25" ht="15" customHeight="1">
      <c r="B12" s="156"/>
      <c r="C12" s="157"/>
      <c r="D12" s="37"/>
      <c r="E12" s="162" t="s">
        <v>46</v>
      </c>
      <c r="F12" s="163"/>
      <c r="G12" s="168" t="s">
        <v>8</v>
      </c>
      <c r="H12" s="169"/>
      <c r="I12" s="170"/>
      <c r="J12" s="38"/>
      <c r="K12" s="173" t="s">
        <v>47</v>
      </c>
      <c r="L12" s="169"/>
      <c r="M12" s="169"/>
      <c r="N12" s="170"/>
      <c r="O12" s="9"/>
      <c r="P12" s="176" t="s">
        <v>48</v>
      </c>
      <c r="Q12" s="169"/>
      <c r="R12" s="169"/>
      <c r="S12" s="169"/>
      <c r="T12" s="169"/>
      <c r="U12" s="169"/>
      <c r="V12" s="163"/>
      <c r="W12" s="39"/>
      <c r="X12" s="40"/>
      <c r="Y12" s="4" t="s">
        <v>49</v>
      </c>
    </row>
    <row r="13" spans="2:25" ht="15" customHeight="1">
      <c r="B13" s="158"/>
      <c r="C13" s="159"/>
      <c r="D13" s="41"/>
      <c r="E13" s="164"/>
      <c r="F13" s="165"/>
      <c r="G13" s="160"/>
      <c r="H13" s="171"/>
      <c r="I13" s="172"/>
      <c r="J13" s="42"/>
      <c r="K13" s="164"/>
      <c r="L13" s="174"/>
      <c r="M13" s="174"/>
      <c r="N13" s="175"/>
      <c r="O13" s="43"/>
      <c r="P13" s="164"/>
      <c r="Q13" s="174"/>
      <c r="R13" s="174"/>
      <c r="S13" s="174"/>
      <c r="T13" s="174"/>
      <c r="U13" s="174"/>
      <c r="V13" s="165"/>
      <c r="W13" s="44"/>
      <c r="X13" s="40"/>
      <c r="Y13" s="4" t="s">
        <v>50</v>
      </c>
    </row>
    <row r="14" spans="2:25" ht="15" customHeight="1">
      <c r="B14" s="158"/>
      <c r="C14" s="159"/>
      <c r="D14" s="41"/>
      <c r="E14" s="166"/>
      <c r="F14" s="167"/>
      <c r="G14" s="180" t="s">
        <v>51</v>
      </c>
      <c r="H14" s="181"/>
      <c r="I14" s="45" t="s">
        <v>52</v>
      </c>
      <c r="J14" s="46"/>
      <c r="K14" s="166"/>
      <c r="L14" s="171"/>
      <c r="M14" s="171"/>
      <c r="N14" s="172"/>
      <c r="O14" s="43"/>
      <c r="P14" s="177"/>
      <c r="Q14" s="178"/>
      <c r="R14" s="178"/>
      <c r="S14" s="178"/>
      <c r="T14" s="178"/>
      <c r="U14" s="178"/>
      <c r="V14" s="179"/>
      <c r="W14" s="47"/>
      <c r="X14" s="40"/>
      <c r="Y14" s="4" t="s">
        <v>52</v>
      </c>
    </row>
    <row r="15" spans="2:25" ht="30" customHeight="1">
      <c r="B15" s="158"/>
      <c r="C15" s="159"/>
      <c r="D15" s="41"/>
      <c r="E15" s="48" t="s">
        <v>53</v>
      </c>
      <c r="F15" s="49" t="s">
        <v>54</v>
      </c>
      <c r="G15" s="182" t="s">
        <v>55</v>
      </c>
      <c r="H15" s="133"/>
      <c r="I15" s="131"/>
      <c r="J15" s="50"/>
      <c r="K15" s="183" t="s">
        <v>56</v>
      </c>
      <c r="L15" s="184"/>
      <c r="M15" s="185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0"/>
      <c r="C16" s="161"/>
      <c r="D16" s="41"/>
      <c r="E16" s="59">
        <f>1/F16</f>
        <v>0.7246376811594204</v>
      </c>
      <c r="F16" s="60">
        <v>1.38</v>
      </c>
      <c r="G16" s="134"/>
      <c r="H16" s="135"/>
      <c r="I16" s="136"/>
      <c r="J16" s="61"/>
      <c r="K16" s="166"/>
      <c r="L16" s="167"/>
      <c r="M16" s="144"/>
      <c r="N16" s="137" t="s">
        <v>61</v>
      </c>
      <c r="O16" s="52"/>
      <c r="P16" s="140" t="s">
        <v>62</v>
      </c>
      <c r="Q16" s="141"/>
      <c r="R16" s="141"/>
      <c r="S16" s="141"/>
      <c r="T16" s="141"/>
      <c r="U16" s="141"/>
      <c r="V16" s="142"/>
      <c r="W16" s="62"/>
      <c r="X16" s="63"/>
      <c r="Y16" s="4"/>
    </row>
    <row r="17" spans="2:26" ht="15" customHeight="1">
      <c r="B17" s="143" t="s">
        <v>63</v>
      </c>
      <c r="C17" s="145" t="s">
        <v>64</v>
      </c>
      <c r="D17" s="64"/>
      <c r="E17" s="147" t="s">
        <v>65</v>
      </c>
      <c r="F17" s="149" t="s">
        <v>66</v>
      </c>
      <c r="G17" s="150" t="s">
        <v>67</v>
      </c>
      <c r="H17" s="151"/>
      <c r="I17" s="65" t="s">
        <v>68</v>
      </c>
      <c r="J17" s="66"/>
      <c r="K17" s="152" t="s">
        <v>66</v>
      </c>
      <c r="L17" s="67" t="s">
        <v>69</v>
      </c>
      <c r="M17" s="68" t="s">
        <v>70</v>
      </c>
      <c r="N17" s="138"/>
      <c r="O17" s="69"/>
      <c r="P17" s="15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44"/>
      <c r="C18" s="146"/>
      <c r="D18" s="74"/>
      <c r="E18" s="148"/>
      <c r="F18" s="144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48"/>
      <c r="L18" s="130" t="s">
        <v>49</v>
      </c>
      <c r="M18" s="131"/>
      <c r="N18" s="139"/>
      <c r="O18" s="78"/>
      <c r="P18" s="154"/>
      <c r="Q18" s="54" t="s">
        <v>50</v>
      </c>
      <c r="R18" s="132" t="str">
        <f>L18</f>
        <v>CAD $</v>
      </c>
      <c r="S18" s="133"/>
      <c r="T18" s="133"/>
      <c r="U18" s="133"/>
      <c r="V18" s="131"/>
      <c r="W18" s="79"/>
      <c r="X18" s="80"/>
      <c r="Y18" s="81"/>
      <c r="Z18" s="81"/>
    </row>
    <row r="19" spans="2:26">
      <c r="B19" t="s">
        <v>210</v>
      </c>
      <c r="C19" t="s">
        <v>211</v>
      </c>
      <c r="D19" s="83"/>
      <c r="E19" s="84"/>
      <c r="F19">
        <v>1</v>
      </c>
      <c r="G19" s="127">
        <v>125</v>
      </c>
      <c r="H19" s="127">
        <v>33.75</v>
      </c>
      <c r="I19" s="127">
        <v>125</v>
      </c>
      <c r="J19" s="88"/>
      <c r="K19">
        <v>1</v>
      </c>
      <c r="L19" s="127">
        <v>62.5</v>
      </c>
      <c r="M19" s="127">
        <v>62.5</v>
      </c>
      <c r="N19" s="89"/>
      <c r="O19" s="90"/>
      <c r="P19" s="82"/>
      <c r="Q19" s="91"/>
      <c r="R19" s="91"/>
      <c r="S19" s="127">
        <v>62.5</v>
      </c>
      <c r="T19" s="127">
        <v>62.5</v>
      </c>
      <c r="U19" s="128">
        <v>0</v>
      </c>
      <c r="V19" s="128">
        <v>1</v>
      </c>
      <c r="W19" s="93"/>
      <c r="X19" s="94"/>
      <c r="Y19" s="4"/>
      <c r="Z19" s="4"/>
    </row>
    <row r="20" spans="2:26">
      <c r="B20" t="s">
        <v>212</v>
      </c>
      <c r="C20" t="s">
        <v>213</v>
      </c>
      <c r="D20" s="83"/>
      <c r="E20" s="97"/>
      <c r="F20">
        <v>2</v>
      </c>
      <c r="G20" s="127">
        <v>150.5</v>
      </c>
      <c r="H20" s="127">
        <v>40.64</v>
      </c>
      <c r="I20" s="127">
        <v>301</v>
      </c>
      <c r="J20" s="102"/>
      <c r="K20">
        <v>2</v>
      </c>
      <c r="L20" s="127">
        <v>75.25</v>
      </c>
      <c r="M20" s="127">
        <v>150.5</v>
      </c>
      <c r="N20" s="104"/>
      <c r="O20" s="90"/>
      <c r="P20" s="95"/>
      <c r="Q20" s="99"/>
      <c r="R20" s="105"/>
      <c r="S20" s="127">
        <v>75.25</v>
      </c>
      <c r="T20" s="127">
        <v>150.5</v>
      </c>
      <c r="U20" s="128">
        <v>0</v>
      </c>
      <c r="V20" s="128">
        <v>1</v>
      </c>
      <c r="W20" s="108"/>
      <c r="X20" s="94"/>
      <c r="Y20" s="4"/>
      <c r="Z20" s="4"/>
    </row>
    <row r="21" spans="2:26" ht="15.75" customHeight="1">
      <c r="B21" t="s">
        <v>214</v>
      </c>
      <c r="C21" t="s">
        <v>215</v>
      </c>
      <c r="D21" s="83"/>
      <c r="E21" s="84"/>
      <c r="F21">
        <v>1</v>
      </c>
      <c r="G21" s="127">
        <v>225</v>
      </c>
      <c r="H21" s="127">
        <v>60.75</v>
      </c>
      <c r="I21" s="127">
        <v>225</v>
      </c>
      <c r="J21" s="102"/>
      <c r="K21">
        <v>1</v>
      </c>
      <c r="L21" s="127">
        <v>112.5</v>
      </c>
      <c r="M21" s="127">
        <v>112.5</v>
      </c>
      <c r="N21" s="111"/>
      <c r="O21" s="90"/>
      <c r="P21" s="112"/>
      <c r="Q21" s="91"/>
      <c r="R21" s="91"/>
      <c r="S21" s="127">
        <v>112.5</v>
      </c>
      <c r="T21" s="127">
        <v>112.5</v>
      </c>
      <c r="U21" s="128">
        <v>0</v>
      </c>
      <c r="V21" s="128">
        <v>1</v>
      </c>
      <c r="W21" s="93"/>
      <c r="X21" s="94"/>
      <c r="Y21" s="4"/>
      <c r="Z21" s="4"/>
    </row>
    <row r="22" spans="2:26" ht="15.75" customHeight="1">
      <c r="B22" t="s">
        <v>216</v>
      </c>
      <c r="C22" t="s">
        <v>217</v>
      </c>
      <c r="D22" s="83"/>
      <c r="E22" s="97"/>
      <c r="F22">
        <v>2</v>
      </c>
      <c r="G22" s="127">
        <v>655</v>
      </c>
      <c r="H22" s="127">
        <v>176.85</v>
      </c>
      <c r="I22" s="127">
        <v>1310</v>
      </c>
      <c r="J22" s="102"/>
      <c r="K22">
        <v>2</v>
      </c>
      <c r="L22" s="127">
        <v>327.5</v>
      </c>
      <c r="M22" s="127">
        <v>655</v>
      </c>
      <c r="N22" s="104"/>
      <c r="O22" s="90"/>
      <c r="P22" s="95"/>
      <c r="Q22" s="99"/>
      <c r="R22" s="105"/>
      <c r="S22" s="127">
        <v>327.5</v>
      </c>
      <c r="T22" s="127">
        <v>655</v>
      </c>
      <c r="U22" s="128">
        <v>0</v>
      </c>
      <c r="V22" s="128">
        <v>1</v>
      </c>
      <c r="W22" s="108"/>
      <c r="X22" s="94"/>
      <c r="Y22" s="4"/>
      <c r="Z22" s="4"/>
    </row>
    <row r="23" spans="2:26" ht="15.75" customHeight="1">
      <c r="B23" t="s">
        <v>218</v>
      </c>
      <c r="C23" t="s">
        <v>219</v>
      </c>
      <c r="D23" s="83"/>
      <c r="E23" s="84"/>
      <c r="F23">
        <v>1</v>
      </c>
      <c r="G23" s="127">
        <v>334.5</v>
      </c>
      <c r="H23" s="127">
        <v>90.32</v>
      </c>
      <c r="I23" s="127">
        <v>334.5</v>
      </c>
      <c r="J23" s="102"/>
      <c r="K23">
        <v>1</v>
      </c>
      <c r="L23" s="127">
        <v>167.25</v>
      </c>
      <c r="M23" s="127">
        <v>167.25</v>
      </c>
      <c r="N23" s="111"/>
      <c r="O23" s="90"/>
      <c r="P23" s="112"/>
      <c r="Q23" s="91"/>
      <c r="R23" s="91"/>
      <c r="S23" s="127">
        <v>167.25</v>
      </c>
      <c r="T23" s="127">
        <v>167.25</v>
      </c>
      <c r="U23" s="128">
        <v>0</v>
      </c>
      <c r="V23" s="128">
        <v>1</v>
      </c>
      <c r="W23" s="93"/>
      <c r="X23" s="94"/>
      <c r="Y23" s="4"/>
      <c r="Z23" s="4"/>
    </row>
    <row r="24" spans="2:26" ht="15.75" customHeight="1">
      <c r="B24" t="s">
        <v>220</v>
      </c>
      <c r="C24" t="s">
        <v>88</v>
      </c>
      <c r="D24" s="83"/>
      <c r="E24" s="97"/>
      <c r="F24">
        <v>1</v>
      </c>
      <c r="G24" s="127">
        <v>272</v>
      </c>
      <c r="H24" s="127">
        <v>73.44</v>
      </c>
      <c r="I24" s="127">
        <v>272</v>
      </c>
      <c r="J24" s="102"/>
      <c r="K24">
        <v>1</v>
      </c>
      <c r="L24" s="127">
        <v>136</v>
      </c>
      <c r="M24" s="127">
        <v>136</v>
      </c>
      <c r="N24" s="104"/>
      <c r="O24" s="90"/>
      <c r="P24" s="95"/>
      <c r="Q24" s="99"/>
      <c r="R24" s="105"/>
      <c r="S24" s="127">
        <v>136</v>
      </c>
      <c r="T24" s="127">
        <v>136</v>
      </c>
      <c r="U24" s="128">
        <v>0</v>
      </c>
      <c r="V24" s="128">
        <v>1</v>
      </c>
      <c r="W24" s="108"/>
      <c r="X24" s="94"/>
      <c r="Y24" s="4"/>
      <c r="Z24" s="4"/>
    </row>
    <row r="25" spans="2:26" ht="15.75" customHeight="1">
      <c r="B25" t="s">
        <v>221</v>
      </c>
      <c r="C25" t="s">
        <v>147</v>
      </c>
      <c r="D25" s="83"/>
      <c r="E25" s="84"/>
      <c r="F25">
        <v>6</v>
      </c>
      <c r="G25" s="127">
        <v>5114</v>
      </c>
      <c r="H25" s="127">
        <v>1380.78</v>
      </c>
      <c r="I25" s="127">
        <v>30684</v>
      </c>
      <c r="J25" s="102"/>
      <c r="K25">
        <v>6</v>
      </c>
      <c r="L25" s="127">
        <v>2557</v>
      </c>
      <c r="M25" s="127">
        <v>15342</v>
      </c>
      <c r="N25" s="111"/>
      <c r="O25" s="90"/>
      <c r="P25" s="112"/>
      <c r="Q25" s="91"/>
      <c r="R25" s="91"/>
      <c r="S25" s="127">
        <v>2557</v>
      </c>
      <c r="T25" s="127">
        <v>15342</v>
      </c>
      <c r="U25" s="128">
        <v>0</v>
      </c>
      <c r="V25" s="128">
        <v>1</v>
      </c>
      <c r="W25" s="93"/>
      <c r="X25" s="94"/>
      <c r="Y25" s="4"/>
      <c r="Z25" s="4"/>
    </row>
    <row r="26" spans="2:26" ht="15.75" customHeight="1">
      <c r="B26" t="s">
        <v>222</v>
      </c>
      <c r="C26" t="s">
        <v>92</v>
      </c>
      <c r="D26" s="83"/>
      <c r="E26" s="97"/>
      <c r="F26">
        <v>1</v>
      </c>
      <c r="G26" s="127">
        <v>13015.5</v>
      </c>
      <c r="H26" s="127">
        <v>3514.19</v>
      </c>
      <c r="I26" s="127">
        <v>13015.5</v>
      </c>
      <c r="J26" s="102"/>
      <c r="K26">
        <v>1</v>
      </c>
      <c r="L26" s="127">
        <v>6507.75</v>
      </c>
      <c r="M26" s="127">
        <v>6507.75</v>
      </c>
      <c r="N26" s="104"/>
      <c r="O26" s="90"/>
      <c r="P26" s="95"/>
      <c r="Q26" s="99"/>
      <c r="R26" s="105"/>
      <c r="S26" s="127">
        <v>6507.75</v>
      </c>
      <c r="T26" s="127">
        <v>6507.75</v>
      </c>
      <c r="U26" s="128">
        <v>0</v>
      </c>
      <c r="V26" s="128">
        <v>1</v>
      </c>
      <c r="W26" s="108"/>
      <c r="X26" s="94"/>
      <c r="Y26" s="4"/>
      <c r="Z26" s="113"/>
    </row>
    <row r="27" spans="2:26" ht="15.75" customHeight="1">
      <c r="B27" t="s">
        <v>223</v>
      </c>
      <c r="C27" t="s">
        <v>224</v>
      </c>
      <c r="D27" s="83"/>
      <c r="E27" s="84"/>
      <c r="F27">
        <v>4</v>
      </c>
      <c r="G27" s="127">
        <v>1070.23</v>
      </c>
      <c r="H27" s="127">
        <v>288.95999999999998</v>
      </c>
      <c r="I27" s="127">
        <v>4280.92</v>
      </c>
      <c r="J27" s="102"/>
      <c r="K27">
        <v>4</v>
      </c>
      <c r="L27" s="127">
        <v>535.12</v>
      </c>
      <c r="M27" s="127">
        <v>2140.48</v>
      </c>
      <c r="N27" s="111"/>
      <c r="O27" s="90"/>
      <c r="P27" s="112"/>
      <c r="Q27" s="91"/>
      <c r="R27" s="91"/>
      <c r="S27" s="127">
        <v>535.12</v>
      </c>
      <c r="T27" s="127">
        <v>2140.48</v>
      </c>
      <c r="U27" s="128">
        <v>0</v>
      </c>
      <c r="V27" s="128">
        <v>1</v>
      </c>
      <c r="W27" s="93"/>
      <c r="X27" s="94"/>
      <c r="Y27" s="4"/>
      <c r="Z27" s="4"/>
    </row>
    <row r="28" spans="2:26" ht="15.75" customHeight="1">
      <c r="D28" s="83"/>
      <c r="E28" s="84"/>
      <c r="G28" t="s">
        <v>112</v>
      </c>
      <c r="H28" t="s">
        <v>112</v>
      </c>
      <c r="I28" t="s">
        <v>112</v>
      </c>
      <c r="J28" s="102"/>
      <c r="K28">
        <v>0</v>
      </c>
      <c r="L28" t="s">
        <v>112</v>
      </c>
      <c r="M28" t="s">
        <v>112</v>
      </c>
      <c r="N28" s="111"/>
      <c r="O28" s="90"/>
      <c r="P28" s="112"/>
      <c r="Q28" s="91"/>
      <c r="R28" s="91"/>
      <c r="S28" t="s">
        <v>112</v>
      </c>
      <c r="T28" t="s">
        <v>112</v>
      </c>
      <c r="U28" s="128">
        <v>0</v>
      </c>
      <c r="V28" s="128">
        <v>0</v>
      </c>
      <c r="W28" s="93"/>
      <c r="X28" s="94"/>
      <c r="Y28" s="4"/>
      <c r="Z28" s="4"/>
    </row>
    <row r="29" spans="2:26" ht="15.75" customHeight="1">
      <c r="B29" t="s">
        <v>106</v>
      </c>
      <c r="C29" t="s">
        <v>225</v>
      </c>
      <c r="D29" s="83"/>
      <c r="E29" s="97"/>
      <c r="F29">
        <v>2</v>
      </c>
      <c r="G29" s="127">
        <v>32723.5</v>
      </c>
      <c r="H29" s="127">
        <v>8835.35</v>
      </c>
      <c r="I29" s="127">
        <v>65447</v>
      </c>
      <c r="J29" s="102"/>
      <c r="K29">
        <v>2</v>
      </c>
      <c r="L29" s="127">
        <v>16361.75</v>
      </c>
      <c r="M29" s="127">
        <v>32723.5</v>
      </c>
      <c r="N29" s="104"/>
      <c r="O29" s="90"/>
      <c r="P29" s="95"/>
      <c r="Q29" s="99"/>
      <c r="R29" s="105"/>
      <c r="S29" s="127">
        <v>16361.75</v>
      </c>
      <c r="T29" s="127">
        <v>32723.5</v>
      </c>
      <c r="U29" s="128">
        <v>0</v>
      </c>
      <c r="V29" s="128">
        <v>1</v>
      </c>
      <c r="W29" s="108"/>
      <c r="X29" s="94"/>
      <c r="Y29" s="4"/>
      <c r="Z29" s="4"/>
    </row>
    <row r="30" spans="2:26" ht="15.75" customHeight="1">
      <c r="B30" s="129" t="s">
        <v>226</v>
      </c>
      <c r="C30" t="s">
        <v>227</v>
      </c>
      <c r="D30" s="83"/>
      <c r="E30" s="84"/>
      <c r="F30">
        <v>2</v>
      </c>
      <c r="G30" s="127">
        <v>1431</v>
      </c>
      <c r="H30" s="127">
        <v>386.37</v>
      </c>
      <c r="I30" s="127">
        <v>2862</v>
      </c>
      <c r="J30" s="102"/>
      <c r="K30">
        <v>2</v>
      </c>
      <c r="L30" s="127">
        <v>715.5</v>
      </c>
      <c r="M30" s="127">
        <v>1431</v>
      </c>
      <c r="N30" s="111"/>
      <c r="O30" s="90"/>
      <c r="P30" s="112"/>
      <c r="Q30" s="91"/>
      <c r="R30" s="91"/>
      <c r="S30" s="127">
        <v>715.5</v>
      </c>
      <c r="T30" s="127">
        <v>1431</v>
      </c>
      <c r="U30" s="128">
        <v>0</v>
      </c>
      <c r="V30" s="128">
        <v>1</v>
      </c>
      <c r="W30" s="93"/>
    </row>
    <row r="31" spans="2:26" ht="15.75" customHeight="1">
      <c r="B31" t="s">
        <v>228</v>
      </c>
      <c r="C31" t="s">
        <v>95</v>
      </c>
      <c r="D31" s="83"/>
      <c r="E31" s="97"/>
      <c r="F31">
        <v>32</v>
      </c>
      <c r="G31" s="127">
        <v>22.5</v>
      </c>
      <c r="H31" s="127">
        <v>6.08</v>
      </c>
      <c r="I31" s="127">
        <v>720</v>
      </c>
      <c r="J31" s="102"/>
      <c r="K31">
        <v>32</v>
      </c>
      <c r="L31" s="127">
        <v>11.25</v>
      </c>
      <c r="M31" s="127">
        <v>360</v>
      </c>
      <c r="N31" s="104"/>
      <c r="O31" s="90"/>
      <c r="P31" s="95"/>
      <c r="Q31" s="99"/>
      <c r="R31" s="105"/>
      <c r="S31" s="127">
        <v>11.25</v>
      </c>
      <c r="T31" s="127">
        <v>360</v>
      </c>
      <c r="U31" s="128">
        <v>0</v>
      </c>
      <c r="V31" s="128">
        <v>1</v>
      </c>
      <c r="W31" s="108"/>
    </row>
    <row r="32" spans="2:26" ht="15.75" customHeight="1">
      <c r="B32" t="s">
        <v>229</v>
      </c>
      <c r="C32" t="s">
        <v>230</v>
      </c>
      <c r="D32" s="83"/>
      <c r="E32" s="84"/>
      <c r="F32">
        <v>2</v>
      </c>
      <c r="G32" s="127">
        <v>4375</v>
      </c>
      <c r="H32" s="127">
        <v>1181.25</v>
      </c>
      <c r="I32" s="127">
        <v>8750</v>
      </c>
      <c r="J32" s="102"/>
      <c r="K32">
        <v>2</v>
      </c>
      <c r="L32" s="127">
        <v>2187.5</v>
      </c>
      <c r="M32" s="127">
        <v>4375</v>
      </c>
      <c r="N32" s="111"/>
      <c r="O32" s="90"/>
      <c r="P32" s="112"/>
      <c r="Q32" s="91"/>
      <c r="R32" s="91"/>
      <c r="S32" s="127">
        <v>2187.5</v>
      </c>
      <c r="T32" s="127">
        <v>4375</v>
      </c>
      <c r="U32" s="128">
        <v>0</v>
      </c>
      <c r="V32" s="128">
        <v>1</v>
      </c>
      <c r="W32" s="93"/>
    </row>
    <row r="33" spans="2:26" ht="15.75" customHeight="1">
      <c r="B33" t="s">
        <v>231</v>
      </c>
      <c r="C33" t="s">
        <v>97</v>
      </c>
      <c r="D33" s="83"/>
      <c r="E33" s="97"/>
      <c r="F33">
        <v>8</v>
      </c>
      <c r="G33" s="127">
        <v>20</v>
      </c>
      <c r="H33" s="127">
        <v>5.4</v>
      </c>
      <c r="I33" s="127">
        <v>160</v>
      </c>
      <c r="J33" s="102"/>
      <c r="K33">
        <v>8</v>
      </c>
      <c r="L33" s="127">
        <v>10</v>
      </c>
      <c r="M33" s="127">
        <v>80</v>
      </c>
      <c r="N33" s="104"/>
      <c r="O33" s="90"/>
      <c r="P33" s="95"/>
      <c r="Q33" s="99"/>
      <c r="R33" s="105"/>
      <c r="S33" s="127">
        <v>10</v>
      </c>
      <c r="T33" s="127">
        <v>80</v>
      </c>
      <c r="U33" s="128">
        <v>0</v>
      </c>
      <c r="V33" s="128">
        <v>1</v>
      </c>
      <c r="W33" s="108"/>
    </row>
    <row r="34" spans="2:26" ht="15.75" customHeight="1">
      <c r="B34" s="129" t="s">
        <v>232</v>
      </c>
      <c r="C34" t="s">
        <v>99</v>
      </c>
      <c r="D34" s="83"/>
      <c r="E34" s="84"/>
      <c r="F34">
        <v>4</v>
      </c>
      <c r="G34" s="127">
        <v>818</v>
      </c>
      <c r="H34" s="127">
        <v>220.86</v>
      </c>
      <c r="I34" s="127">
        <v>3272</v>
      </c>
      <c r="J34" s="102"/>
      <c r="K34">
        <v>4</v>
      </c>
      <c r="L34" s="127">
        <v>409</v>
      </c>
      <c r="M34" s="127">
        <v>1636</v>
      </c>
      <c r="N34" s="111"/>
      <c r="O34" s="90"/>
      <c r="P34" s="112"/>
      <c r="Q34" s="91"/>
      <c r="R34" s="91"/>
      <c r="S34" s="127">
        <v>409</v>
      </c>
      <c r="T34" s="127">
        <v>1636</v>
      </c>
      <c r="U34" s="128">
        <v>0</v>
      </c>
      <c r="V34" s="128">
        <v>1</v>
      </c>
      <c r="W34" s="93"/>
    </row>
    <row r="35" spans="2:26" ht="15.75" customHeight="1">
      <c r="B35" t="s">
        <v>233</v>
      </c>
      <c r="C35" t="s">
        <v>102</v>
      </c>
      <c r="D35" s="83"/>
      <c r="E35" s="97"/>
      <c r="F35">
        <v>16</v>
      </c>
      <c r="G35" s="127">
        <v>2498</v>
      </c>
      <c r="H35" s="127">
        <v>674.46</v>
      </c>
      <c r="I35" s="127">
        <v>39968</v>
      </c>
      <c r="J35" s="102"/>
      <c r="K35">
        <v>16</v>
      </c>
      <c r="L35" s="127">
        <v>1249</v>
      </c>
      <c r="M35" s="127">
        <v>19984</v>
      </c>
      <c r="N35" s="104"/>
      <c r="O35" s="90"/>
      <c r="P35" s="95"/>
      <c r="Q35" s="99"/>
      <c r="R35" s="105"/>
      <c r="S35" s="127">
        <v>1249</v>
      </c>
      <c r="T35" s="127">
        <v>19984</v>
      </c>
      <c r="U35" s="128">
        <v>0</v>
      </c>
      <c r="V35" s="128">
        <v>1</v>
      </c>
      <c r="W35" s="108"/>
    </row>
    <row r="36" spans="2:26" ht="15.75" customHeight="1">
      <c r="B36" t="s">
        <v>234</v>
      </c>
      <c r="C36" t="s">
        <v>235</v>
      </c>
      <c r="D36" s="83"/>
      <c r="E36" s="84"/>
      <c r="F36">
        <v>4</v>
      </c>
      <c r="G36" s="127">
        <v>59</v>
      </c>
      <c r="H36" s="127">
        <v>15.93</v>
      </c>
      <c r="I36" s="127">
        <v>236</v>
      </c>
      <c r="J36" s="102"/>
      <c r="K36">
        <v>4</v>
      </c>
      <c r="L36" s="127">
        <v>29.5</v>
      </c>
      <c r="M36" s="127">
        <v>118</v>
      </c>
      <c r="N36" s="111"/>
      <c r="O36" s="90"/>
      <c r="P36" s="112"/>
      <c r="Q36" s="91"/>
      <c r="R36" s="91"/>
      <c r="S36" s="127">
        <v>29.5</v>
      </c>
      <c r="T36" s="127">
        <v>118</v>
      </c>
      <c r="U36" s="128">
        <v>0</v>
      </c>
      <c r="V36" s="128">
        <v>1</v>
      </c>
      <c r="W36" s="108"/>
    </row>
    <row r="37" spans="2:26" ht="15.75" customHeight="1">
      <c r="B37" t="s">
        <v>236</v>
      </c>
      <c r="C37" t="s">
        <v>235</v>
      </c>
      <c r="D37" s="83"/>
      <c r="E37" s="97"/>
      <c r="F37">
        <v>64</v>
      </c>
      <c r="G37" s="127">
        <v>51</v>
      </c>
      <c r="H37" s="127">
        <v>13.77</v>
      </c>
      <c r="I37" s="127">
        <v>3264</v>
      </c>
      <c r="J37" s="102"/>
      <c r="K37">
        <v>64</v>
      </c>
      <c r="L37" s="127">
        <v>25.5</v>
      </c>
      <c r="M37" s="127">
        <v>1632</v>
      </c>
      <c r="N37" s="104"/>
      <c r="O37" s="90"/>
      <c r="P37" s="95"/>
      <c r="Q37" s="99"/>
      <c r="R37" s="105"/>
      <c r="S37" s="127">
        <v>25.5</v>
      </c>
      <c r="T37" s="127">
        <v>1632</v>
      </c>
      <c r="U37" s="128">
        <v>0</v>
      </c>
      <c r="V37" s="128">
        <v>1</v>
      </c>
      <c r="W37" s="108"/>
    </row>
    <row r="38" spans="2:26" ht="15.75" customHeight="1">
      <c r="B38" t="s">
        <v>237</v>
      </c>
      <c r="C38" t="s">
        <v>105</v>
      </c>
      <c r="D38" s="83"/>
      <c r="E38" s="84"/>
      <c r="F38">
        <v>64</v>
      </c>
      <c r="G38" s="127">
        <v>7.5</v>
      </c>
      <c r="H38" s="127">
        <v>2.0299999999999998</v>
      </c>
      <c r="I38" s="127">
        <v>480</v>
      </c>
      <c r="J38" s="102"/>
      <c r="K38">
        <v>64</v>
      </c>
      <c r="L38" s="127">
        <v>3.75</v>
      </c>
      <c r="M38" s="127">
        <v>240</v>
      </c>
      <c r="N38" s="111"/>
      <c r="O38" s="90"/>
      <c r="P38" s="112"/>
      <c r="Q38" s="91"/>
      <c r="R38" s="91"/>
      <c r="S38" s="127">
        <v>3.75</v>
      </c>
      <c r="T38" s="127">
        <v>240</v>
      </c>
      <c r="U38" s="128">
        <v>0</v>
      </c>
      <c r="V38" s="128">
        <v>1</v>
      </c>
      <c r="W38" s="108"/>
    </row>
    <row r="39" spans="2:26" ht="15.75" customHeight="1">
      <c r="B39" t="s">
        <v>238</v>
      </c>
      <c r="C39" t="s">
        <v>239</v>
      </c>
      <c r="D39" s="83"/>
      <c r="E39" s="97"/>
      <c r="F39">
        <v>2</v>
      </c>
      <c r="G39" s="127">
        <v>22832</v>
      </c>
      <c r="H39" s="127">
        <v>6164.64</v>
      </c>
      <c r="I39" s="127">
        <v>45664</v>
      </c>
      <c r="J39" s="102"/>
      <c r="K39">
        <v>2</v>
      </c>
      <c r="L39" s="127">
        <v>11416</v>
      </c>
      <c r="M39" s="127">
        <v>22832</v>
      </c>
      <c r="N39" s="104"/>
      <c r="O39" s="90"/>
      <c r="P39" s="95"/>
      <c r="Q39" s="99"/>
      <c r="R39" s="105"/>
      <c r="S39" s="127">
        <v>11416</v>
      </c>
      <c r="T39" s="127">
        <v>22832</v>
      </c>
      <c r="U39" s="128">
        <v>0</v>
      </c>
      <c r="V39" s="128">
        <v>1</v>
      </c>
      <c r="W39" s="108"/>
    </row>
    <row r="40" spans="2:26" ht="15.75" customHeight="1">
      <c r="B40" t="s">
        <v>240</v>
      </c>
      <c r="C40" t="s">
        <v>241</v>
      </c>
      <c r="D40" s="83"/>
      <c r="E40" s="84"/>
      <c r="F40">
        <v>98</v>
      </c>
      <c r="G40" s="127">
        <v>584.5</v>
      </c>
      <c r="H40" s="127">
        <v>157.82</v>
      </c>
      <c r="I40" s="127">
        <v>57281</v>
      </c>
      <c r="J40" s="102"/>
      <c r="K40">
        <v>98</v>
      </c>
      <c r="L40" s="127">
        <v>292.25</v>
      </c>
      <c r="M40" s="127">
        <v>28640.5</v>
      </c>
      <c r="N40" s="111"/>
      <c r="O40" s="90"/>
      <c r="P40" s="112"/>
      <c r="Q40" s="91"/>
      <c r="R40" s="91"/>
      <c r="S40" s="127">
        <v>292.25</v>
      </c>
      <c r="T40" s="127">
        <v>28640.5</v>
      </c>
      <c r="U40" s="128">
        <v>0</v>
      </c>
      <c r="V40" s="128">
        <v>1</v>
      </c>
      <c r="W40" s="108"/>
    </row>
    <row r="41" spans="2:26" ht="15.75" customHeight="1">
      <c r="B41" t="s">
        <v>242</v>
      </c>
      <c r="C41" t="s">
        <v>243</v>
      </c>
      <c r="D41" s="83"/>
      <c r="E41" s="97"/>
      <c r="F41">
        <v>392</v>
      </c>
      <c r="G41" s="127">
        <v>15</v>
      </c>
      <c r="H41" s="127">
        <v>4.05</v>
      </c>
      <c r="I41" s="127">
        <v>5880</v>
      </c>
      <c r="J41" s="102"/>
      <c r="K41">
        <v>392</v>
      </c>
      <c r="L41" s="127">
        <v>7.5</v>
      </c>
      <c r="M41" s="127">
        <v>2940</v>
      </c>
      <c r="N41" s="104"/>
      <c r="O41" s="90"/>
      <c r="P41" s="95"/>
      <c r="Q41" s="99"/>
      <c r="R41" s="105"/>
      <c r="S41" s="127">
        <v>7.5</v>
      </c>
      <c r="T41" s="127">
        <v>2940</v>
      </c>
      <c r="U41" s="128">
        <v>0</v>
      </c>
      <c r="V41" s="128">
        <v>1</v>
      </c>
      <c r="W41" s="108"/>
    </row>
    <row r="42" spans="2:26" ht="15.75" customHeight="1">
      <c r="B42" t="s">
        <v>244</v>
      </c>
      <c r="C42" t="s">
        <v>245</v>
      </c>
      <c r="D42" s="83"/>
      <c r="E42" s="84"/>
      <c r="F42">
        <v>392</v>
      </c>
      <c r="G42" s="127">
        <v>10</v>
      </c>
      <c r="H42" s="127">
        <v>2.7</v>
      </c>
      <c r="I42" s="127">
        <v>3920</v>
      </c>
      <c r="J42" s="102"/>
      <c r="K42">
        <v>392</v>
      </c>
      <c r="L42" s="127">
        <v>5</v>
      </c>
      <c r="M42" s="127">
        <v>1960</v>
      </c>
      <c r="N42" s="111"/>
      <c r="O42" s="90"/>
      <c r="P42" s="112"/>
      <c r="Q42" s="91"/>
      <c r="R42" s="91"/>
      <c r="S42" s="127">
        <v>5</v>
      </c>
      <c r="T42" s="127">
        <v>1960</v>
      </c>
      <c r="U42" s="128">
        <v>0</v>
      </c>
      <c r="V42" s="128">
        <v>1</v>
      </c>
      <c r="W42" s="108"/>
    </row>
    <row r="43" spans="2:26" ht="15.75" customHeight="1">
      <c r="D43" s="83"/>
      <c r="E43" s="97"/>
      <c r="G43" t="s">
        <v>112</v>
      </c>
      <c r="H43" t="s">
        <v>112</v>
      </c>
      <c r="I43" t="s">
        <v>112</v>
      </c>
      <c r="J43" s="102"/>
      <c r="K43">
        <v>0</v>
      </c>
      <c r="L43" t="s">
        <v>112</v>
      </c>
      <c r="M43" t="s">
        <v>112</v>
      </c>
      <c r="N43" s="104"/>
      <c r="O43" s="90"/>
      <c r="P43" s="95"/>
      <c r="Q43" s="99"/>
      <c r="R43" s="105"/>
      <c r="S43" t="s">
        <v>112</v>
      </c>
      <c r="T43" t="s">
        <v>112</v>
      </c>
      <c r="U43" s="128">
        <v>0</v>
      </c>
      <c r="V43" s="128">
        <v>0</v>
      </c>
      <c r="W43" s="108"/>
    </row>
    <row r="44" spans="2:26" ht="15.75" customHeight="1">
      <c r="B44" t="s">
        <v>246</v>
      </c>
      <c r="C44" t="s">
        <v>247</v>
      </c>
      <c r="D44" s="83"/>
      <c r="E44" s="84"/>
      <c r="F44">
        <v>1</v>
      </c>
      <c r="G44" s="127">
        <v>50872</v>
      </c>
      <c r="H44" s="127">
        <v>13735.44</v>
      </c>
      <c r="I44" s="127">
        <v>50872</v>
      </c>
      <c r="J44" s="102"/>
      <c r="K44">
        <v>1</v>
      </c>
      <c r="L44" s="127">
        <v>25436</v>
      </c>
      <c r="M44" s="127">
        <v>25436</v>
      </c>
      <c r="N44" s="111"/>
      <c r="O44" s="90"/>
      <c r="P44" s="112"/>
      <c r="Q44" s="91"/>
      <c r="R44" s="91"/>
      <c r="S44" s="127">
        <v>25436</v>
      </c>
      <c r="T44" s="127">
        <v>25436</v>
      </c>
      <c r="U44" s="128">
        <v>0</v>
      </c>
      <c r="V44" s="128">
        <v>1</v>
      </c>
      <c r="W44" s="108"/>
    </row>
    <row r="45" spans="2:26" ht="15.75" customHeight="1">
      <c r="B45" t="s">
        <v>248</v>
      </c>
      <c r="C45" t="s">
        <v>249</v>
      </c>
      <c r="D45" s="83"/>
      <c r="E45" s="97"/>
      <c r="F45">
        <v>1</v>
      </c>
      <c r="G45" s="127">
        <v>1074</v>
      </c>
      <c r="H45" s="127">
        <v>289.98</v>
      </c>
      <c r="I45" s="127">
        <v>1074</v>
      </c>
      <c r="J45" s="102"/>
      <c r="K45">
        <v>1</v>
      </c>
      <c r="L45" s="127">
        <v>537</v>
      </c>
      <c r="M45" s="127">
        <v>537</v>
      </c>
      <c r="N45" s="104"/>
      <c r="O45" s="90"/>
      <c r="P45" s="95"/>
      <c r="Q45" s="99"/>
      <c r="R45" s="105"/>
      <c r="S45" s="127">
        <v>537</v>
      </c>
      <c r="T45" s="127">
        <v>537</v>
      </c>
      <c r="U45" s="128">
        <v>0</v>
      </c>
      <c r="V45" s="128">
        <v>1</v>
      </c>
      <c r="W45" s="108"/>
    </row>
    <row r="46" spans="2:26" ht="15.75" customHeight="1">
      <c r="B46" t="s">
        <v>250</v>
      </c>
      <c r="C46" t="s">
        <v>251</v>
      </c>
      <c r="D46" s="83"/>
      <c r="E46" s="84"/>
      <c r="F46">
        <v>1</v>
      </c>
      <c r="G46" s="127">
        <v>1074</v>
      </c>
      <c r="H46" s="127">
        <v>289.98</v>
      </c>
      <c r="I46" s="127">
        <v>1074</v>
      </c>
      <c r="J46" s="102"/>
      <c r="K46">
        <v>1</v>
      </c>
      <c r="L46" s="127">
        <v>537</v>
      </c>
      <c r="M46" s="127">
        <v>537</v>
      </c>
      <c r="N46" s="111"/>
      <c r="O46" s="90"/>
      <c r="P46" s="112"/>
      <c r="Q46" s="91"/>
      <c r="R46" s="91"/>
      <c r="S46" s="127">
        <v>537</v>
      </c>
      <c r="T46" s="127">
        <v>537</v>
      </c>
      <c r="U46" s="128">
        <v>0</v>
      </c>
      <c r="V46" s="128">
        <v>1</v>
      </c>
      <c r="W46" s="108"/>
    </row>
    <row r="47" spans="2:26" ht="15.75" customHeight="1">
      <c r="B47" t="s">
        <v>252</v>
      </c>
      <c r="C47" t="s">
        <v>155</v>
      </c>
      <c r="D47" s="83"/>
      <c r="E47" s="97"/>
      <c r="F47">
        <v>8</v>
      </c>
      <c r="G47" s="127">
        <v>20</v>
      </c>
      <c r="H47" s="127">
        <v>5.4</v>
      </c>
      <c r="I47" s="127">
        <v>160</v>
      </c>
      <c r="J47" s="102"/>
      <c r="K47">
        <v>8</v>
      </c>
      <c r="L47" s="127">
        <v>10</v>
      </c>
      <c r="M47" s="127">
        <v>80</v>
      </c>
      <c r="N47" s="104"/>
      <c r="O47" s="90"/>
      <c r="P47" s="95"/>
      <c r="Q47" s="99"/>
      <c r="R47" s="105"/>
      <c r="S47" s="127">
        <v>10</v>
      </c>
      <c r="T47" s="127">
        <v>80</v>
      </c>
      <c r="U47" s="128">
        <v>0</v>
      </c>
      <c r="V47" s="128">
        <v>1</v>
      </c>
      <c r="W47" s="108"/>
      <c r="X47" s="94"/>
      <c r="Y47" s="4"/>
      <c r="Z47" s="4"/>
    </row>
    <row r="48" spans="2:26" ht="15.75" customHeight="1">
      <c r="B48" t="s">
        <v>253</v>
      </c>
      <c r="C48" t="s">
        <v>254</v>
      </c>
      <c r="D48" s="83"/>
      <c r="E48" s="84"/>
      <c r="F48">
        <v>8</v>
      </c>
      <c r="G48" s="127">
        <v>43</v>
      </c>
      <c r="H48" s="127">
        <v>11.61</v>
      </c>
      <c r="I48" s="127">
        <v>344</v>
      </c>
      <c r="J48" s="102"/>
      <c r="K48">
        <v>8</v>
      </c>
      <c r="L48" s="127">
        <v>21.5</v>
      </c>
      <c r="M48" s="127">
        <v>172</v>
      </c>
      <c r="N48" s="111"/>
      <c r="O48" s="90"/>
      <c r="P48" s="112"/>
      <c r="Q48" s="91"/>
      <c r="R48" s="91"/>
      <c r="S48" s="127">
        <v>21.5</v>
      </c>
      <c r="T48" s="127">
        <v>172</v>
      </c>
      <c r="U48" s="128">
        <v>0</v>
      </c>
      <c r="V48" s="128">
        <v>1</v>
      </c>
      <c r="W48" s="93"/>
      <c r="X48" s="94"/>
      <c r="Y48" s="4"/>
      <c r="Z48" s="4"/>
    </row>
    <row r="49" spans="2:26" ht="15.75" customHeight="1">
      <c r="B49" t="s">
        <v>255</v>
      </c>
      <c r="C49" t="s">
        <v>256</v>
      </c>
      <c r="D49" s="83"/>
      <c r="E49" s="97"/>
      <c r="F49">
        <v>1</v>
      </c>
      <c r="G49" s="127">
        <v>73783.5</v>
      </c>
      <c r="H49" s="127">
        <v>19921.55</v>
      </c>
      <c r="I49" s="127">
        <v>73783.5</v>
      </c>
      <c r="J49" s="102"/>
      <c r="K49">
        <v>1</v>
      </c>
      <c r="L49" s="127">
        <v>36891.75</v>
      </c>
      <c r="M49" s="127">
        <v>36891.75</v>
      </c>
      <c r="N49" s="104"/>
      <c r="O49" s="90"/>
      <c r="P49" s="95"/>
      <c r="Q49" s="99"/>
      <c r="R49" s="105"/>
      <c r="S49" s="127">
        <v>36891.75</v>
      </c>
      <c r="T49" s="127">
        <v>36891.75</v>
      </c>
      <c r="U49" s="128">
        <v>0</v>
      </c>
      <c r="V49" s="128">
        <v>1</v>
      </c>
      <c r="W49" s="108"/>
      <c r="X49" s="94"/>
      <c r="Y49" s="4"/>
      <c r="Z49" s="4"/>
    </row>
    <row r="50" spans="2:26" ht="15.75" customHeight="1">
      <c r="B50" t="s">
        <v>257</v>
      </c>
      <c r="C50" t="s">
        <v>258</v>
      </c>
      <c r="D50" s="83"/>
      <c r="E50" s="84"/>
      <c r="F50">
        <v>1</v>
      </c>
      <c r="G50" s="127">
        <v>7914.5</v>
      </c>
      <c r="H50" s="127">
        <v>2136.92</v>
      </c>
      <c r="I50" s="127">
        <v>7914.5</v>
      </c>
      <c r="J50" s="102"/>
      <c r="K50">
        <v>1</v>
      </c>
      <c r="L50" s="127">
        <v>3957.25</v>
      </c>
      <c r="M50" s="127">
        <v>3957.25</v>
      </c>
      <c r="N50" s="111"/>
      <c r="O50" s="90"/>
      <c r="P50" s="112"/>
      <c r="Q50" s="91"/>
      <c r="R50" s="91"/>
      <c r="S50" s="127">
        <v>3957.25</v>
      </c>
      <c r="T50" s="127">
        <v>3957.25</v>
      </c>
      <c r="U50" s="128">
        <v>0</v>
      </c>
      <c r="V50" s="128">
        <v>1</v>
      </c>
      <c r="W50" s="93"/>
    </row>
    <row r="51" spans="2:26" ht="15.75" customHeight="1">
      <c r="B51" t="s">
        <v>259</v>
      </c>
      <c r="C51" t="s">
        <v>260</v>
      </c>
      <c r="D51" s="83"/>
      <c r="E51" s="97"/>
      <c r="F51">
        <v>1</v>
      </c>
      <c r="G51" s="127">
        <v>15479.5</v>
      </c>
      <c r="H51" s="127">
        <v>4179.47</v>
      </c>
      <c r="I51" s="127">
        <v>15479.5</v>
      </c>
      <c r="J51" s="102"/>
      <c r="K51">
        <v>1</v>
      </c>
      <c r="L51" s="127">
        <v>7739.75</v>
      </c>
      <c r="M51" s="127">
        <v>7739.75</v>
      </c>
      <c r="N51" s="104"/>
      <c r="O51" s="90"/>
      <c r="P51" s="95"/>
      <c r="Q51" s="99"/>
      <c r="R51" s="105"/>
      <c r="S51" s="127">
        <v>7739.75</v>
      </c>
      <c r="T51" s="127">
        <v>7739.75</v>
      </c>
      <c r="U51" s="128">
        <v>0</v>
      </c>
      <c r="V51" s="128">
        <v>1</v>
      </c>
      <c r="W51" s="108"/>
    </row>
    <row r="52" spans="2:26" ht="15.75" customHeight="1">
      <c r="D52" s="83"/>
      <c r="E52" s="84"/>
      <c r="H52" t="s">
        <v>112</v>
      </c>
      <c r="I52" t="s">
        <v>112</v>
      </c>
      <c r="J52" s="102"/>
      <c r="K52">
        <v>0</v>
      </c>
      <c r="L52" t="s">
        <v>112</v>
      </c>
      <c r="M52" t="s">
        <v>112</v>
      </c>
      <c r="N52" s="111"/>
      <c r="O52" s="90"/>
      <c r="P52" s="112"/>
      <c r="Q52" s="91"/>
      <c r="R52" s="91"/>
      <c r="S52" t="s">
        <v>112</v>
      </c>
      <c r="T52" t="s">
        <v>112</v>
      </c>
      <c r="U52" s="128">
        <v>0</v>
      </c>
      <c r="V52" s="128">
        <v>0</v>
      </c>
      <c r="W52" s="93"/>
    </row>
    <row r="53" spans="2:26" ht="15.75" customHeight="1">
      <c r="B53" t="s">
        <v>106</v>
      </c>
      <c r="C53" t="s">
        <v>182</v>
      </c>
      <c r="D53" s="83"/>
      <c r="E53" s="97"/>
      <c r="F53">
        <v>1</v>
      </c>
      <c r="G53" s="127">
        <v>10600</v>
      </c>
      <c r="H53" s="127">
        <v>2862</v>
      </c>
      <c r="I53" s="127">
        <v>10600</v>
      </c>
      <c r="J53" s="102"/>
      <c r="K53">
        <v>1</v>
      </c>
      <c r="L53" s="127">
        <v>5300</v>
      </c>
      <c r="M53" s="127">
        <v>5300</v>
      </c>
      <c r="N53" s="104"/>
      <c r="O53" s="90"/>
      <c r="P53" s="95"/>
      <c r="Q53" s="99"/>
      <c r="R53" s="105"/>
      <c r="S53" s="127">
        <v>5300</v>
      </c>
      <c r="T53" s="127">
        <v>5300</v>
      </c>
      <c r="U53" s="128">
        <v>0</v>
      </c>
      <c r="V53" s="128">
        <v>1</v>
      </c>
      <c r="W53" s="108"/>
    </row>
    <row r="54" spans="2:26" ht="15.75" customHeight="1">
      <c r="B54" t="s">
        <v>261</v>
      </c>
      <c r="C54" t="s">
        <v>262</v>
      </c>
      <c r="D54" s="83"/>
      <c r="E54" s="84"/>
      <c r="F54">
        <v>1</v>
      </c>
      <c r="G54" s="127">
        <v>6229.5</v>
      </c>
      <c r="H54" s="127">
        <v>1681.97</v>
      </c>
      <c r="I54" s="127">
        <v>6229.5</v>
      </c>
      <c r="J54" s="102"/>
      <c r="K54">
        <v>1</v>
      </c>
      <c r="L54" s="127">
        <v>3114.75</v>
      </c>
      <c r="M54" s="127">
        <v>3114.75</v>
      </c>
      <c r="N54" s="111"/>
      <c r="O54" s="90"/>
      <c r="P54" s="112"/>
      <c r="Q54" s="91"/>
      <c r="R54" s="91"/>
      <c r="S54" s="127">
        <v>3114.75</v>
      </c>
      <c r="T54" s="127">
        <v>3114.75</v>
      </c>
      <c r="U54" s="128">
        <v>0</v>
      </c>
      <c r="V54" s="128">
        <v>1</v>
      </c>
      <c r="W54" s="93"/>
    </row>
    <row r="55" spans="2:26" ht="15.75" customHeight="1">
      <c r="B55" t="s">
        <v>263</v>
      </c>
      <c r="C55" t="s">
        <v>264</v>
      </c>
      <c r="D55" s="83"/>
      <c r="E55" s="97"/>
      <c r="F55">
        <v>1</v>
      </c>
      <c r="G55" s="127">
        <v>37190</v>
      </c>
      <c r="H55" s="127">
        <v>10041.299999999999</v>
      </c>
      <c r="I55" s="127">
        <v>37190</v>
      </c>
      <c r="J55" s="102"/>
      <c r="K55">
        <v>1</v>
      </c>
      <c r="L55" s="127">
        <v>18595</v>
      </c>
      <c r="M55" s="127">
        <v>18595</v>
      </c>
      <c r="N55" s="104"/>
      <c r="O55" s="90"/>
      <c r="P55" s="95"/>
      <c r="Q55" s="99"/>
      <c r="R55" s="105"/>
      <c r="S55" s="127">
        <v>18595</v>
      </c>
      <c r="T55" s="127">
        <v>18595</v>
      </c>
      <c r="U55" s="128">
        <v>0</v>
      </c>
      <c r="V55" s="128">
        <v>1</v>
      </c>
      <c r="W55" s="108"/>
    </row>
    <row r="56" spans="2:26" ht="15.75" customHeight="1">
      <c r="B56" t="s">
        <v>265</v>
      </c>
      <c r="C56" t="s">
        <v>111</v>
      </c>
      <c r="D56" s="83"/>
      <c r="E56" s="84"/>
      <c r="F56">
        <v>1</v>
      </c>
      <c r="G56" s="127">
        <v>20345.5</v>
      </c>
      <c r="H56" s="127">
        <v>5493.29</v>
      </c>
      <c r="I56" s="127">
        <v>20345.5</v>
      </c>
      <c r="J56" s="102"/>
      <c r="K56">
        <v>1</v>
      </c>
      <c r="L56" s="127">
        <v>10172.75</v>
      </c>
      <c r="M56" s="127">
        <v>10172.75</v>
      </c>
      <c r="N56" s="111"/>
      <c r="O56" s="90"/>
      <c r="P56" s="112"/>
      <c r="Q56" s="91"/>
      <c r="R56" s="91"/>
      <c r="S56" s="127">
        <v>10172.75</v>
      </c>
      <c r="T56" s="127">
        <v>10172.75</v>
      </c>
      <c r="U56" s="128">
        <v>0</v>
      </c>
      <c r="V56" s="128">
        <v>1</v>
      </c>
      <c r="W56" s="108"/>
    </row>
    <row r="57" spans="2:26" ht="15.75" customHeight="1">
      <c r="D57" s="83"/>
      <c r="E57" s="97"/>
      <c r="G57" s="127"/>
      <c r="H57" s="127"/>
      <c r="I57" s="127"/>
      <c r="J57" s="102"/>
      <c r="L57" s="127"/>
      <c r="M57" s="127"/>
      <c r="N57" s="104"/>
      <c r="O57" s="90"/>
      <c r="P57" s="95"/>
      <c r="Q57" s="99"/>
      <c r="R57" s="105"/>
      <c r="S57" s="127"/>
      <c r="T57" s="127"/>
      <c r="U57" s="128"/>
      <c r="V57" s="128"/>
      <c r="W57" s="108"/>
    </row>
    <row r="58" spans="2:26" ht="15.75" customHeight="1">
      <c r="D58" s="83"/>
      <c r="E58" s="84"/>
      <c r="G58" s="127"/>
      <c r="H58" s="127"/>
      <c r="I58" s="127"/>
      <c r="J58" s="102"/>
      <c r="L58" s="127"/>
      <c r="M58" s="127"/>
      <c r="N58" s="111"/>
      <c r="O58" s="90"/>
      <c r="P58" s="112"/>
      <c r="Q58" s="91"/>
      <c r="R58" s="91"/>
      <c r="S58" s="127"/>
      <c r="T58" s="127"/>
      <c r="U58" s="128"/>
      <c r="V58" s="128"/>
      <c r="W58" s="108"/>
    </row>
    <row r="59" spans="2:26" ht="15.75" customHeight="1">
      <c r="D59" s="83"/>
      <c r="E59" s="97"/>
      <c r="G59" s="127"/>
      <c r="H59" s="127"/>
      <c r="I59" s="127"/>
      <c r="J59" s="102"/>
      <c r="L59" s="127"/>
      <c r="M59" s="127"/>
      <c r="N59" s="104"/>
      <c r="O59" s="90"/>
      <c r="P59" s="95"/>
      <c r="Q59" s="99"/>
      <c r="R59" s="105"/>
      <c r="S59" s="127"/>
      <c r="T59" s="127"/>
      <c r="U59" s="128"/>
      <c r="V59" s="128"/>
      <c r="W59" s="108"/>
    </row>
    <row r="60" spans="2:26" ht="15.75" customHeight="1">
      <c r="D60" s="83"/>
      <c r="E60" s="84"/>
      <c r="G60" s="127"/>
      <c r="H60" s="127"/>
      <c r="I60" s="127"/>
      <c r="J60" s="102"/>
      <c r="L60" s="127"/>
      <c r="M60" s="127"/>
      <c r="N60" s="111"/>
      <c r="O60" s="90"/>
      <c r="P60" s="112"/>
      <c r="Q60" s="91"/>
      <c r="R60" s="91"/>
      <c r="S60" s="127"/>
      <c r="T60" s="127"/>
      <c r="U60" s="128"/>
      <c r="V60" s="128"/>
      <c r="W60" s="108"/>
    </row>
    <row r="61" spans="2:26" ht="15.75" customHeight="1">
      <c r="D61" s="83"/>
      <c r="E61" s="97"/>
      <c r="J61" s="102"/>
      <c r="N61" s="104"/>
      <c r="O61" s="90"/>
      <c r="P61" s="95"/>
      <c r="Q61" s="99"/>
      <c r="R61" s="105"/>
      <c r="U61" s="128"/>
      <c r="V61" s="128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128"/>
      <c r="V62" s="128"/>
      <c r="W62" s="108"/>
    </row>
    <row r="63" spans="2:26" ht="15.75" customHeight="1">
      <c r="B63" s="129"/>
      <c r="D63" s="83"/>
      <c r="E63" s="97"/>
      <c r="G63" s="127"/>
      <c r="H63" s="127"/>
      <c r="I63" s="127"/>
      <c r="J63" s="102"/>
      <c r="L63" s="127"/>
      <c r="M63" s="127"/>
      <c r="N63" s="104"/>
      <c r="O63" s="90"/>
      <c r="P63" s="95"/>
      <c r="Q63" s="99"/>
      <c r="R63" s="105"/>
      <c r="S63" s="127"/>
      <c r="T63" s="127"/>
      <c r="U63" s="128"/>
      <c r="V63" s="128"/>
      <c r="W63" s="108"/>
    </row>
    <row r="64" spans="2:26" ht="15.75" customHeight="1">
      <c r="D64" s="83"/>
      <c r="E64" s="84"/>
      <c r="G64" s="127"/>
      <c r="H64" s="127"/>
      <c r="I64" s="127"/>
      <c r="J64" s="102"/>
      <c r="L64" s="127"/>
      <c r="M64" s="127"/>
      <c r="N64" s="111"/>
      <c r="O64" s="90"/>
      <c r="P64" s="112"/>
      <c r="Q64" s="91"/>
      <c r="R64" s="91"/>
      <c r="S64" s="127"/>
      <c r="T64" s="127"/>
      <c r="U64" s="128"/>
      <c r="V64" s="128"/>
      <c r="W64" s="108"/>
    </row>
    <row r="65" spans="2:26" ht="15.75" customHeight="1">
      <c r="D65" s="83"/>
      <c r="E65" s="97"/>
      <c r="G65" s="127"/>
      <c r="H65" s="127"/>
      <c r="I65" s="127"/>
      <c r="J65" s="102"/>
      <c r="L65" s="127"/>
      <c r="M65" s="127"/>
      <c r="N65" s="104"/>
      <c r="O65" s="90"/>
      <c r="P65" s="95"/>
      <c r="Q65" s="99"/>
      <c r="R65" s="105"/>
      <c r="S65" s="127"/>
      <c r="T65" s="127"/>
      <c r="U65" s="128"/>
      <c r="V65" s="128"/>
      <c r="W65" s="108"/>
    </row>
    <row r="66" spans="2:26">
      <c r="B66" s="129"/>
      <c r="D66" s="83"/>
      <c r="E66" s="84"/>
      <c r="G66" s="127"/>
      <c r="H66" s="127"/>
      <c r="I66" s="127"/>
      <c r="J66" s="102"/>
      <c r="L66" s="127"/>
      <c r="M66" s="127"/>
      <c r="N66" s="111"/>
      <c r="O66" s="90"/>
      <c r="P66" s="112"/>
      <c r="Q66" s="91"/>
      <c r="R66" s="91"/>
      <c r="S66" s="127"/>
      <c r="T66" s="127"/>
      <c r="U66" s="128"/>
      <c r="V66" s="128"/>
      <c r="W66" s="93"/>
      <c r="X66" s="94"/>
      <c r="Y66" s="4"/>
      <c r="Z66" s="4"/>
    </row>
    <row r="67" spans="2:26" ht="15.75" customHeight="1">
      <c r="D67" s="83"/>
      <c r="E67" s="97"/>
      <c r="G67" s="127"/>
      <c r="H67" s="127"/>
      <c r="I67" s="127"/>
      <c r="J67" s="102"/>
      <c r="L67" s="127"/>
      <c r="M67" s="127"/>
      <c r="N67" s="104"/>
      <c r="O67" s="90"/>
      <c r="P67" s="95"/>
      <c r="Q67" s="99"/>
      <c r="R67" s="105"/>
      <c r="S67" s="127"/>
      <c r="T67" s="127"/>
      <c r="U67" s="128"/>
      <c r="V67" s="128"/>
      <c r="W67" s="108"/>
      <c r="X67" s="94"/>
      <c r="Y67" s="4"/>
      <c r="Z67" s="4"/>
    </row>
    <row r="68" spans="2:26" ht="15.75" customHeight="1">
      <c r="D68" s="83"/>
      <c r="E68" s="84"/>
      <c r="J68" s="102"/>
      <c r="N68" s="111"/>
      <c r="O68" s="90"/>
      <c r="P68" s="112"/>
      <c r="Q68" s="91"/>
      <c r="R68" s="91"/>
      <c r="U68" s="128"/>
      <c r="V68" s="128"/>
      <c r="W68" s="93"/>
      <c r="X68" s="94"/>
      <c r="Y68" s="4"/>
      <c r="Z68" s="4"/>
    </row>
    <row r="69" spans="2:26" ht="15.75" customHeight="1">
      <c r="D69" s="83"/>
      <c r="E69" s="97"/>
      <c r="J69" s="102"/>
      <c r="N69" s="104"/>
      <c r="O69" s="90"/>
      <c r="P69" s="95"/>
      <c r="Q69" s="99"/>
      <c r="R69" s="105"/>
      <c r="U69" s="128"/>
      <c r="V69" s="128"/>
      <c r="W69" s="108"/>
      <c r="X69" s="94"/>
      <c r="Y69" s="4"/>
      <c r="Z69" s="4"/>
    </row>
    <row r="70" spans="2:26" ht="15.75" customHeight="1">
      <c r="D70" s="83"/>
      <c r="E70" s="84"/>
      <c r="G70" s="127"/>
      <c r="H70" s="127"/>
      <c r="I70" s="127"/>
      <c r="J70" s="102"/>
      <c r="L70" s="127"/>
      <c r="M70" s="127"/>
      <c r="N70" s="111"/>
      <c r="O70" s="90"/>
      <c r="P70" s="112"/>
      <c r="Q70" s="91"/>
      <c r="R70" s="91"/>
      <c r="S70" s="127"/>
      <c r="T70" s="127"/>
      <c r="U70" s="128"/>
      <c r="V70" s="128"/>
      <c r="W70" s="93"/>
      <c r="X70" s="94"/>
      <c r="Y70" s="4"/>
      <c r="Z70" s="4"/>
    </row>
    <row r="71" spans="2:26" ht="15.75" customHeight="1">
      <c r="D71" s="83"/>
      <c r="E71" s="97"/>
      <c r="G71" s="127"/>
      <c r="H71" s="127"/>
      <c r="I71" s="127"/>
      <c r="J71" s="102"/>
      <c r="L71" s="127"/>
      <c r="M71" s="127"/>
      <c r="N71" s="104"/>
      <c r="O71" s="90"/>
      <c r="P71" s="95"/>
      <c r="Q71" s="99"/>
      <c r="R71" s="105"/>
      <c r="S71" s="127"/>
      <c r="T71" s="127"/>
      <c r="U71" s="128"/>
      <c r="V71" s="128"/>
      <c r="W71" s="108"/>
      <c r="X71" s="94"/>
      <c r="Y71" s="4"/>
      <c r="Z71" s="4"/>
    </row>
    <row r="72" spans="2:26" ht="15.75" customHeight="1">
      <c r="D72" s="83"/>
      <c r="E72" s="84"/>
      <c r="G72" s="127"/>
      <c r="H72" s="127"/>
      <c r="I72" s="127"/>
      <c r="J72" s="102"/>
      <c r="L72" s="127"/>
      <c r="M72" s="127"/>
      <c r="N72" s="111"/>
      <c r="O72" s="90"/>
      <c r="P72" s="112"/>
      <c r="Q72" s="91"/>
      <c r="R72" s="91"/>
      <c r="S72" s="127"/>
      <c r="T72" s="127"/>
      <c r="U72" s="128"/>
      <c r="V72" s="128"/>
      <c r="W72" s="93"/>
      <c r="X72" s="94"/>
      <c r="Y72" s="4"/>
      <c r="Z72" s="4"/>
    </row>
    <row r="73" spans="2:26" ht="15.75" customHeight="1">
      <c r="D73" s="83"/>
      <c r="E73" s="97"/>
      <c r="G73" s="127"/>
      <c r="H73" s="127"/>
      <c r="I73" s="127"/>
      <c r="J73" s="102"/>
      <c r="L73" s="127"/>
      <c r="M73" s="127"/>
      <c r="N73" s="104"/>
      <c r="O73" s="90"/>
      <c r="P73" s="95"/>
      <c r="Q73" s="99"/>
      <c r="R73" s="105"/>
      <c r="S73" s="127"/>
      <c r="T73" s="127"/>
      <c r="U73" s="128"/>
      <c r="V73" s="128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128"/>
      <c r="V74" s="128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128"/>
      <c r="V75" s="128"/>
      <c r="W75" s="93"/>
      <c r="X75" s="94"/>
      <c r="Y75" s="4"/>
      <c r="Z75" s="4"/>
    </row>
    <row r="76" spans="2:26" ht="15.75" customHeight="1">
      <c r="D76" s="83"/>
      <c r="E76" s="97"/>
      <c r="G76" s="127"/>
      <c r="H76" s="127"/>
      <c r="I76" s="127"/>
      <c r="J76" s="102"/>
      <c r="L76" s="127"/>
      <c r="M76" s="127"/>
      <c r="N76" s="104"/>
      <c r="O76" s="90"/>
      <c r="P76" s="95"/>
      <c r="Q76" s="99"/>
      <c r="R76" s="105"/>
      <c r="S76" s="127"/>
      <c r="T76" s="127"/>
      <c r="U76" s="128"/>
      <c r="V76" s="128"/>
      <c r="W76" s="108"/>
      <c r="X76" s="94"/>
      <c r="Y76" s="4"/>
      <c r="Z76" s="4"/>
    </row>
    <row r="77" spans="2:26" ht="15.75" customHeight="1">
      <c r="D77" s="83"/>
      <c r="E77" s="84"/>
      <c r="G77" s="127"/>
      <c r="H77" s="127"/>
      <c r="I77" s="127"/>
      <c r="J77" s="102"/>
      <c r="L77" s="127"/>
      <c r="M77" s="127"/>
      <c r="N77" s="111"/>
      <c r="O77" s="90"/>
      <c r="P77" s="112"/>
      <c r="Q77" s="91"/>
      <c r="R77" s="91"/>
      <c r="S77" s="127"/>
      <c r="T77" s="127"/>
      <c r="U77" s="128"/>
      <c r="V77" s="128"/>
      <c r="W77" s="93"/>
    </row>
    <row r="78" spans="2:26" ht="15.75" customHeight="1">
      <c r="D78" s="83"/>
      <c r="E78" s="97"/>
      <c r="G78" s="127"/>
      <c r="H78" s="127"/>
      <c r="I78" s="127"/>
      <c r="J78" s="102"/>
      <c r="L78" s="127"/>
      <c r="M78" s="127"/>
      <c r="N78" s="104"/>
      <c r="O78" s="90"/>
      <c r="P78" s="95"/>
      <c r="Q78" s="99"/>
      <c r="R78" s="105"/>
      <c r="S78" s="127"/>
      <c r="T78" s="127"/>
      <c r="U78" s="128"/>
      <c r="V78" s="128"/>
      <c r="W78" s="108"/>
    </row>
    <row r="79" spans="2:26" ht="15.75" customHeight="1">
      <c r="D79" s="83"/>
      <c r="E79" s="84"/>
      <c r="G79" s="127"/>
      <c r="H79" s="127"/>
      <c r="I79" s="127"/>
      <c r="J79" s="102"/>
      <c r="L79" s="127"/>
      <c r="M79" s="127"/>
      <c r="N79" s="111"/>
      <c r="O79" s="90"/>
      <c r="P79" s="112"/>
      <c r="Q79" s="91"/>
      <c r="R79" s="91"/>
      <c r="S79" s="127"/>
      <c r="T79" s="127"/>
      <c r="U79" s="128"/>
      <c r="V79" s="128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128"/>
      <c r="V80" s="128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128"/>
      <c r="V81" s="128"/>
      <c r="W81" s="93"/>
    </row>
    <row r="82" spans="4:26" ht="15.75" customHeight="1">
      <c r="D82" s="83"/>
      <c r="E82" s="97"/>
      <c r="G82" s="127"/>
      <c r="H82" s="127"/>
      <c r="I82" s="127"/>
      <c r="J82" s="102"/>
      <c r="L82" s="127"/>
      <c r="M82" s="127"/>
      <c r="N82" s="104"/>
      <c r="O82" s="90"/>
      <c r="P82" s="95"/>
      <c r="Q82" s="99"/>
      <c r="R82" s="105"/>
      <c r="S82" s="127"/>
      <c r="T82" s="127"/>
      <c r="U82" s="128"/>
      <c r="V82" s="128"/>
      <c r="W82" s="108"/>
    </row>
    <row r="83" spans="4:26" ht="15.75" customHeight="1">
      <c r="D83" s="83"/>
      <c r="E83" s="84"/>
      <c r="G83" s="127"/>
      <c r="H83" s="127"/>
      <c r="I83" s="127"/>
      <c r="J83" s="102"/>
      <c r="L83" s="127"/>
      <c r="M83" s="127"/>
      <c r="N83" s="111"/>
      <c r="O83" s="90"/>
      <c r="P83" s="112"/>
      <c r="Q83" s="91"/>
      <c r="R83" s="91"/>
      <c r="S83" s="127"/>
      <c r="T83" s="127"/>
      <c r="U83" s="128"/>
      <c r="V83" s="128"/>
      <c r="W83" s="108"/>
    </row>
    <row r="84" spans="4:26" ht="15.75" customHeight="1">
      <c r="D84" s="83"/>
      <c r="E84" s="97"/>
      <c r="G84" s="127"/>
      <c r="H84" s="127"/>
      <c r="I84" s="127"/>
      <c r="J84" s="102"/>
      <c r="L84" s="127"/>
      <c r="M84" s="127"/>
      <c r="N84" s="104"/>
      <c r="O84" s="90"/>
      <c r="P84" s="95"/>
      <c r="Q84" s="99"/>
      <c r="R84" s="105"/>
      <c r="S84" s="127"/>
      <c r="T84" s="127"/>
      <c r="U84" s="128"/>
      <c r="V84" s="128"/>
      <c r="W84" s="108"/>
    </row>
    <row r="85" spans="4:26" ht="15.75" customHeight="1">
      <c r="D85" s="83"/>
      <c r="E85" s="84"/>
      <c r="G85" s="127"/>
      <c r="H85" s="127"/>
      <c r="I85" s="127"/>
      <c r="J85" s="102"/>
      <c r="L85" s="127"/>
      <c r="M85" s="127"/>
      <c r="N85" s="111"/>
      <c r="O85" s="90"/>
      <c r="P85" s="112"/>
      <c r="Q85" s="91"/>
      <c r="R85" s="91"/>
      <c r="S85" s="127"/>
      <c r="T85" s="127"/>
      <c r="U85" s="128"/>
      <c r="V85" s="128"/>
      <c r="W85" s="108"/>
    </row>
    <row r="86" spans="4:26" ht="15.75" customHeight="1">
      <c r="D86" s="83"/>
      <c r="E86" s="97"/>
      <c r="G86" s="127"/>
      <c r="H86" s="127"/>
      <c r="I86" s="127"/>
      <c r="J86" s="102"/>
      <c r="L86" s="127"/>
      <c r="M86" s="127"/>
      <c r="N86" s="104"/>
      <c r="O86" s="90"/>
      <c r="P86" s="95"/>
      <c r="Q86" s="99"/>
      <c r="R86" s="105"/>
      <c r="S86" s="127"/>
      <c r="T86" s="127"/>
      <c r="U86" s="128"/>
      <c r="V86" s="128"/>
      <c r="W86" s="108"/>
    </row>
    <row r="87" spans="4:26" ht="15.75" customHeight="1">
      <c r="D87" s="83"/>
      <c r="E87" s="84"/>
      <c r="G87" s="127"/>
      <c r="H87" s="127"/>
      <c r="I87" s="127"/>
      <c r="J87" s="102"/>
      <c r="L87" s="127"/>
      <c r="M87" s="127"/>
      <c r="N87" s="111"/>
      <c r="O87" s="90"/>
      <c r="P87" s="112"/>
      <c r="Q87" s="91"/>
      <c r="R87" s="91"/>
      <c r="S87" s="127"/>
      <c r="T87" s="127"/>
      <c r="U87" s="128"/>
      <c r="V87" s="128"/>
      <c r="W87" s="108"/>
    </row>
    <row r="88" spans="4:26" ht="15.75" customHeight="1">
      <c r="D88" s="83"/>
      <c r="E88" s="97"/>
      <c r="G88" s="127"/>
      <c r="H88" s="127"/>
      <c r="I88" s="127"/>
      <c r="J88" s="102"/>
      <c r="L88" s="127"/>
      <c r="M88" s="127"/>
      <c r="N88" s="104"/>
      <c r="O88" s="90"/>
      <c r="P88" s="95"/>
      <c r="Q88" s="99"/>
      <c r="R88" s="105"/>
      <c r="S88" s="127"/>
      <c r="T88" s="127"/>
      <c r="U88" s="128"/>
      <c r="V88" s="128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128"/>
      <c r="V89" s="128"/>
      <c r="W89" s="108"/>
    </row>
    <row r="90" spans="4:26" ht="15.75" customHeight="1">
      <c r="D90" s="83"/>
      <c r="E90" s="97"/>
      <c r="G90" s="127"/>
      <c r="H90" s="127"/>
      <c r="I90" s="127"/>
      <c r="J90" s="102"/>
      <c r="L90" s="127"/>
      <c r="M90" s="127"/>
      <c r="N90" s="104"/>
      <c r="O90" s="90"/>
      <c r="P90" s="95"/>
      <c r="Q90" s="99"/>
      <c r="R90" s="105"/>
      <c r="S90" s="127"/>
      <c r="T90" s="127"/>
      <c r="U90" s="128"/>
      <c r="V90" s="128"/>
      <c r="W90" s="108"/>
    </row>
    <row r="91" spans="4:26" ht="15.75" customHeight="1">
      <c r="D91" s="83"/>
      <c r="E91" s="84"/>
      <c r="G91" s="127"/>
      <c r="H91" s="127"/>
      <c r="I91" s="127"/>
      <c r="J91" s="102"/>
      <c r="L91" s="127"/>
      <c r="M91" s="127"/>
      <c r="N91" s="111"/>
      <c r="O91" s="90"/>
      <c r="P91" s="112"/>
      <c r="Q91" s="91"/>
      <c r="R91" s="91"/>
      <c r="S91" s="127"/>
      <c r="T91" s="127"/>
      <c r="U91" s="128"/>
      <c r="V91" s="128"/>
      <c r="W91" s="108"/>
    </row>
    <row r="92" spans="4:26" ht="15.75" customHeight="1">
      <c r="D92" s="83"/>
      <c r="E92" s="97"/>
      <c r="G92" s="127"/>
      <c r="H92" s="127"/>
      <c r="I92" s="127"/>
      <c r="J92" s="102"/>
      <c r="L92" s="127"/>
      <c r="M92" s="127"/>
      <c r="N92" s="104"/>
      <c r="O92" s="90"/>
      <c r="P92" s="95"/>
      <c r="Q92" s="99"/>
      <c r="R92" s="105"/>
      <c r="S92" s="127"/>
      <c r="T92" s="127"/>
      <c r="U92" s="128"/>
      <c r="V92" s="128"/>
      <c r="W92" s="108"/>
    </row>
    <row r="93" spans="4:26" ht="15.75" customHeight="1">
      <c r="D93" s="83"/>
      <c r="E93" s="84"/>
      <c r="G93" s="127"/>
      <c r="H93" s="127"/>
      <c r="I93" s="127"/>
      <c r="J93" s="102"/>
      <c r="L93" s="127"/>
      <c r="M93" s="127"/>
      <c r="N93" s="111"/>
      <c r="O93" s="90"/>
      <c r="P93" s="112"/>
      <c r="Q93" s="91"/>
      <c r="R93" s="91"/>
      <c r="S93" s="127"/>
      <c r="T93" s="127"/>
      <c r="U93" s="128"/>
      <c r="V93" s="128"/>
      <c r="W93" s="108"/>
    </row>
    <row r="94" spans="4:26" ht="15.75" customHeight="1">
      <c r="D94" s="83"/>
      <c r="E94" s="97"/>
      <c r="G94" s="127"/>
      <c r="H94" s="127"/>
      <c r="I94" s="127"/>
      <c r="J94" s="102"/>
      <c r="L94" s="127"/>
      <c r="M94" s="127"/>
      <c r="N94" s="104"/>
      <c r="O94" s="90"/>
      <c r="P94" s="95"/>
      <c r="Q94" s="99"/>
      <c r="R94" s="105"/>
      <c r="S94" s="127"/>
      <c r="T94" s="127"/>
      <c r="U94" s="128"/>
      <c r="V94" s="128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128"/>
      <c r="V95" s="128"/>
      <c r="W95" s="93"/>
      <c r="X95" s="94"/>
      <c r="Y95" s="4"/>
      <c r="Z95" s="4"/>
    </row>
    <row r="96" spans="4:26" ht="15.75" customHeight="1">
      <c r="D96" s="83"/>
      <c r="E96" s="97"/>
      <c r="G96" s="127"/>
      <c r="H96" s="127"/>
      <c r="I96" s="127"/>
      <c r="J96" s="102"/>
      <c r="L96" s="127"/>
      <c r="M96" s="127"/>
      <c r="N96" s="104"/>
      <c r="O96" s="90"/>
      <c r="P96" s="95"/>
      <c r="Q96" s="99"/>
      <c r="R96" s="105"/>
      <c r="S96" s="127"/>
      <c r="T96" s="127"/>
      <c r="U96" s="128"/>
      <c r="V96" s="128"/>
      <c r="W96" s="108"/>
      <c r="X96" s="94"/>
      <c r="Y96" s="4"/>
      <c r="Z96" s="4"/>
    </row>
    <row r="97" spans="2:23" ht="15.75" customHeight="1">
      <c r="D97" s="83"/>
      <c r="E97" s="84"/>
      <c r="G97" s="127"/>
      <c r="H97" s="127"/>
      <c r="I97" s="127"/>
      <c r="J97" s="102"/>
      <c r="L97" s="127"/>
      <c r="M97" s="127"/>
      <c r="N97" s="111"/>
      <c r="O97" s="90"/>
      <c r="P97" s="112"/>
      <c r="Q97" s="91"/>
      <c r="R97" s="91"/>
      <c r="S97" s="127"/>
      <c r="T97" s="127"/>
      <c r="U97" s="128"/>
      <c r="V97" s="128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128"/>
      <c r="V98" s="128"/>
      <c r="W98" s="108"/>
    </row>
    <row r="99" spans="2:23" ht="15.75" customHeight="1">
      <c r="D99" s="83"/>
      <c r="E99" s="84"/>
      <c r="G99" s="127"/>
      <c r="H99" s="127"/>
      <c r="I99" s="127"/>
      <c r="J99" s="102"/>
      <c r="L99" s="127"/>
      <c r="M99" s="127"/>
      <c r="N99" s="111"/>
      <c r="O99" s="90"/>
      <c r="P99" s="112"/>
      <c r="Q99" s="91"/>
      <c r="R99" s="91"/>
      <c r="S99" s="127"/>
      <c r="T99" s="127"/>
      <c r="U99" s="128"/>
      <c r="V99" s="128"/>
      <c r="W99" s="93"/>
    </row>
    <row r="100" spans="2:23" ht="15.75" customHeight="1">
      <c r="D100" s="83"/>
      <c r="E100" s="97"/>
      <c r="G100" s="127"/>
      <c r="H100" s="127"/>
      <c r="I100" s="127"/>
      <c r="J100" s="102"/>
      <c r="L100" s="127"/>
      <c r="M100" s="127"/>
      <c r="N100" s="104"/>
      <c r="O100" s="90"/>
      <c r="P100" s="95"/>
      <c r="Q100" s="99"/>
      <c r="R100" s="105"/>
      <c r="S100" s="127"/>
      <c r="T100" s="127"/>
      <c r="U100" s="128"/>
      <c r="V100" s="128"/>
      <c r="W100" s="108"/>
    </row>
    <row r="101" spans="2:23" ht="15.75" customHeight="1">
      <c r="D101" s="83"/>
      <c r="E101" s="84"/>
      <c r="G101" s="127"/>
      <c r="H101" s="127"/>
      <c r="I101" s="127"/>
      <c r="J101" s="102"/>
      <c r="L101" s="127"/>
      <c r="M101" s="127"/>
      <c r="N101" s="111"/>
      <c r="O101" s="90"/>
      <c r="P101" s="112"/>
      <c r="Q101" s="91"/>
      <c r="R101" s="91"/>
      <c r="S101" s="127"/>
      <c r="T101" s="127"/>
      <c r="U101" s="128"/>
      <c r="V101" s="128"/>
      <c r="W101" s="93"/>
    </row>
    <row r="102" spans="2:23" ht="15.75" customHeight="1">
      <c r="D102" s="83"/>
      <c r="E102" s="97"/>
      <c r="G102" s="127"/>
      <c r="H102" s="127"/>
      <c r="I102" s="127"/>
      <c r="J102" s="102"/>
      <c r="L102" s="127"/>
      <c r="M102" s="127"/>
      <c r="N102" s="104"/>
      <c r="O102" s="90"/>
      <c r="P102" s="95"/>
      <c r="Q102" s="99"/>
      <c r="R102" s="105"/>
      <c r="S102" s="127"/>
      <c r="T102" s="127"/>
      <c r="U102" s="128"/>
      <c r="V102" s="128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1127</v>
      </c>
      <c r="G114" s="118">
        <f>SUM(G19:G113)</f>
        <v>311034.23</v>
      </c>
      <c r="H114" s="119">
        <f>SUM(H19:H113)</f>
        <v>83979.3</v>
      </c>
      <c r="I114" s="120">
        <f>SUM(I19:I113)</f>
        <v>513518.42</v>
      </c>
      <c r="J114" s="121"/>
      <c r="K114" s="122">
        <f>SUM(K19:K113)</f>
        <v>1127</v>
      </c>
      <c r="L114" s="119">
        <f>SUM(L19:L113)</f>
        <v>155517.12</v>
      </c>
      <c r="M114" s="120">
        <f>SUM(M19:M113)</f>
        <v>256759.22999999998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155517.12</v>
      </c>
      <c r="T114" s="120">
        <f>SUM(T19:T113)</f>
        <v>256759.22999999998</v>
      </c>
      <c r="U114" s="125"/>
      <c r="V114" s="125"/>
      <c r="W114" s="126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15" priority="1" stopIfTrue="1">
      <formula>$U$9&gt;100%</formula>
    </cfRule>
    <cfRule type="expression" dxfId="14" priority="2">
      <formula>$U$9&lt;50%</formula>
    </cfRule>
  </conditionalFormatting>
  <conditionalFormatting sqref="V9:V11">
    <cfRule type="expression" dxfId="13" priority="3">
      <formula>$V$9&lt;50%</formula>
    </cfRule>
    <cfRule type="expression" dxfId="12" priority="4">
      <formula>$V$9&gt;50%</formula>
    </cfRule>
  </conditionalFormatting>
  <dataValidations count="4">
    <dataValidation type="list" allowBlank="1" showErrorMessage="1" sqref="E19:E113" xr:uid="{5B16767C-195B-467E-8D87-5713473F01E4}">
      <formula1>$Z$19:$Z$94</formula1>
    </dataValidation>
    <dataValidation type="list" allowBlank="1" showErrorMessage="1" sqref="I14" xr:uid="{894B3D58-5137-422B-A556-B82EB0C36B64}">
      <formula1>$Y$14:$Y$15</formula1>
    </dataValidation>
    <dataValidation type="list" allowBlank="1" showErrorMessage="1" sqref="J14" xr:uid="{85A85DD7-29A1-44D2-A79B-54D1A75D6E7C}">
      <formula1>$L$9</formula1>
    </dataValidation>
    <dataValidation type="list" allowBlank="1" showErrorMessage="1" sqref="Q15 G18 L18 Q18" xr:uid="{EBBF13B4-50DF-4CED-9998-710430062BD1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3628-EAA0-4272-A742-7B0AA59D16DA}">
  <sheetPr>
    <pageSetUpPr fitToPage="1"/>
  </sheetPr>
  <dimension ref="B1:Z114"/>
  <sheetViews>
    <sheetView zoomScale="85" zoomScaleNormal="85" workbookViewId="0">
      <pane ySplit="18" topLeftCell="A27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18" t="s">
        <v>0</v>
      </c>
      <c r="C1" s="219"/>
      <c r="D1" s="220" t="s">
        <v>1</v>
      </c>
      <c r="E1" s="221"/>
      <c r="F1" s="221"/>
      <c r="G1" s="221"/>
      <c r="H1" s="184"/>
      <c r="I1" s="218" t="s">
        <v>2</v>
      </c>
      <c r="J1" s="222"/>
      <c r="K1" s="222"/>
      <c r="L1" s="181"/>
      <c r="M1" s="223" t="s">
        <v>3</v>
      </c>
      <c r="N1" s="224"/>
      <c r="O1" s="225"/>
      <c r="P1" s="226" t="str">
        <f>L18</f>
        <v>CAD $</v>
      </c>
      <c r="Q1" s="222"/>
      <c r="R1" s="181"/>
      <c r="S1" s="218" t="s">
        <v>4</v>
      </c>
      <c r="T1" s="222"/>
      <c r="U1" s="222"/>
      <c r="V1" s="222"/>
      <c r="W1" s="181"/>
      <c r="X1" s="2"/>
      <c r="Y1" s="3"/>
    </row>
    <row r="2" spans="2:25" ht="15" customHeight="1">
      <c r="B2" s="5" t="s">
        <v>5</v>
      </c>
      <c r="C2" s="6"/>
      <c r="D2" s="193" t="s">
        <v>6</v>
      </c>
      <c r="E2" s="135"/>
      <c r="F2" s="136"/>
      <c r="G2" s="194"/>
      <c r="H2" s="136"/>
      <c r="I2" s="215" t="s">
        <v>7</v>
      </c>
      <c r="J2" s="133"/>
      <c r="K2" s="131"/>
      <c r="L2" s="8"/>
      <c r="M2" s="216" t="s">
        <v>8</v>
      </c>
      <c r="N2" s="131"/>
      <c r="O2" s="9"/>
      <c r="P2" s="217">
        <f>I114</f>
        <v>72809.290000000008</v>
      </c>
      <c r="Q2" s="133"/>
      <c r="R2" s="131"/>
      <c r="S2" s="216" t="s">
        <v>9</v>
      </c>
      <c r="T2" s="131"/>
      <c r="U2" s="214"/>
      <c r="V2" s="131"/>
      <c r="W2" s="10"/>
      <c r="X2" s="11"/>
      <c r="Y2" s="3"/>
    </row>
    <row r="3" spans="2:25" ht="15" customHeight="1">
      <c r="B3" s="12" t="s">
        <v>10</v>
      </c>
      <c r="C3" s="7"/>
      <c r="D3" s="193" t="s">
        <v>11</v>
      </c>
      <c r="E3" s="135"/>
      <c r="F3" s="136"/>
      <c r="G3" s="194"/>
      <c r="H3" s="136"/>
      <c r="I3" s="193" t="s">
        <v>12</v>
      </c>
      <c r="J3" s="135"/>
      <c r="K3" s="136"/>
      <c r="L3" s="13"/>
      <c r="M3" s="197" t="s">
        <v>13</v>
      </c>
      <c r="N3" s="136"/>
      <c r="O3" s="9"/>
      <c r="P3" s="213">
        <f>M114</f>
        <v>36404.69</v>
      </c>
      <c r="Q3" s="135"/>
      <c r="R3" s="136"/>
      <c r="S3" s="197" t="s">
        <v>14</v>
      </c>
      <c r="T3" s="136"/>
      <c r="U3" s="199"/>
      <c r="V3" s="136"/>
      <c r="W3" s="14"/>
      <c r="X3" s="1"/>
      <c r="Y3" s="15"/>
    </row>
    <row r="4" spans="2:25" ht="15" customHeight="1">
      <c r="B4" s="16" t="s">
        <v>15</v>
      </c>
      <c r="C4" s="7"/>
      <c r="D4" s="193" t="s">
        <v>16</v>
      </c>
      <c r="E4" s="135"/>
      <c r="F4" s="136"/>
      <c r="G4" s="227" t="s">
        <v>497</v>
      </c>
      <c r="H4" s="228"/>
      <c r="I4" s="193" t="s">
        <v>17</v>
      </c>
      <c r="J4" s="135"/>
      <c r="K4" s="136"/>
      <c r="L4" s="13"/>
      <c r="M4" s="197" t="s">
        <v>18</v>
      </c>
      <c r="N4" s="136"/>
      <c r="O4" s="9"/>
      <c r="P4" s="213">
        <f>P2-P3</f>
        <v>36404.600000000006</v>
      </c>
      <c r="Q4" s="135"/>
      <c r="R4" s="136"/>
      <c r="S4" s="197" t="s">
        <v>19</v>
      </c>
      <c r="T4" s="136"/>
      <c r="U4" s="199"/>
      <c r="V4" s="136"/>
      <c r="W4" s="14"/>
      <c r="X4" s="1"/>
      <c r="Y4" s="15"/>
    </row>
    <row r="5" spans="2:25" ht="15" customHeight="1" thickBot="1">
      <c r="B5" s="16" t="s">
        <v>20</v>
      </c>
      <c r="C5" s="7"/>
      <c r="D5" s="193" t="s">
        <v>21</v>
      </c>
      <c r="E5" s="135"/>
      <c r="F5" s="136"/>
      <c r="G5" s="203" t="s">
        <v>431</v>
      </c>
      <c r="H5" s="204"/>
      <c r="I5" s="193" t="s">
        <v>22</v>
      </c>
      <c r="J5" s="135"/>
      <c r="K5" s="136"/>
      <c r="L5" s="13"/>
      <c r="M5" s="209" t="s">
        <v>23</v>
      </c>
      <c r="N5" s="210"/>
      <c r="O5" s="9"/>
      <c r="P5" s="211">
        <f>IFERROR((P2-P3)/P2,"")</f>
        <v>0.49999938194700155</v>
      </c>
      <c r="Q5" s="212"/>
      <c r="R5" s="210"/>
      <c r="S5" s="197" t="s">
        <v>24</v>
      </c>
      <c r="T5" s="136"/>
      <c r="U5" s="199"/>
      <c r="V5" s="136"/>
      <c r="W5" s="14"/>
      <c r="X5" s="1"/>
      <c r="Y5" s="15"/>
    </row>
    <row r="6" spans="2:25" ht="15" customHeight="1">
      <c r="B6" s="16" t="s">
        <v>25</v>
      </c>
      <c r="C6" s="17"/>
      <c r="D6" s="193" t="s">
        <v>26</v>
      </c>
      <c r="E6" s="135"/>
      <c r="F6" s="136"/>
      <c r="G6" s="203" t="s">
        <v>430</v>
      </c>
      <c r="H6" s="204"/>
      <c r="I6" s="193" t="s">
        <v>27</v>
      </c>
      <c r="J6" s="135"/>
      <c r="K6" s="136"/>
      <c r="L6" s="13"/>
      <c r="M6" s="205" t="s">
        <v>28</v>
      </c>
      <c r="N6" s="206"/>
      <c r="O6" s="9"/>
      <c r="P6" s="207">
        <f>T114</f>
        <v>36404.69</v>
      </c>
      <c r="Q6" s="208"/>
      <c r="R6" s="206"/>
      <c r="S6" s="197" t="s">
        <v>29</v>
      </c>
      <c r="T6" s="136"/>
      <c r="U6" s="199"/>
      <c r="V6" s="136"/>
      <c r="W6" s="18"/>
      <c r="X6" s="19"/>
      <c r="Y6" s="20"/>
    </row>
    <row r="7" spans="2:25" ht="15" customHeight="1">
      <c r="B7" s="16" t="s">
        <v>30</v>
      </c>
      <c r="C7" s="7"/>
      <c r="D7" s="193" t="s">
        <v>31</v>
      </c>
      <c r="E7" s="135"/>
      <c r="F7" s="136"/>
      <c r="G7" s="21"/>
      <c r="H7" s="21"/>
      <c r="I7" s="193" t="s">
        <v>32</v>
      </c>
      <c r="J7" s="135"/>
      <c r="K7" s="136"/>
      <c r="L7" s="13"/>
      <c r="M7" s="195" t="s">
        <v>33</v>
      </c>
      <c r="N7" s="136"/>
      <c r="O7" s="9"/>
      <c r="P7" s="198">
        <f>R114</f>
        <v>0</v>
      </c>
      <c r="Q7" s="135"/>
      <c r="R7" s="136"/>
      <c r="S7" s="200" t="s">
        <v>34</v>
      </c>
      <c r="T7" s="201"/>
      <c r="U7" s="202"/>
      <c r="V7" s="201"/>
      <c r="W7" s="18"/>
      <c r="X7" s="22"/>
      <c r="Y7" s="4"/>
    </row>
    <row r="8" spans="2:25" ht="15" customHeight="1">
      <c r="B8" s="23"/>
      <c r="C8" s="24"/>
      <c r="D8" s="193" t="s">
        <v>35</v>
      </c>
      <c r="E8" s="135"/>
      <c r="F8" s="136"/>
      <c r="G8" s="194"/>
      <c r="H8" s="136"/>
      <c r="I8" s="193" t="s">
        <v>36</v>
      </c>
      <c r="J8" s="135"/>
      <c r="K8" s="136"/>
      <c r="L8" s="13"/>
      <c r="M8" s="195" t="s">
        <v>37</v>
      </c>
      <c r="N8" s="136"/>
      <c r="O8" s="9"/>
      <c r="P8" s="198">
        <f>IF(P1=Q15,R15,IF(Q15="CAD $",R15*E16,IF(Q15="USD $",R15*F16,0)))</f>
        <v>0</v>
      </c>
      <c r="Q8" s="135"/>
      <c r="R8" s="136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93" t="s">
        <v>42</v>
      </c>
      <c r="E9" s="135"/>
      <c r="F9" s="136"/>
      <c r="G9" s="194"/>
      <c r="H9" s="136"/>
      <c r="I9" s="31"/>
      <c r="J9" s="32"/>
      <c r="K9" s="32"/>
      <c r="L9" s="33"/>
      <c r="M9" s="195" t="s">
        <v>43</v>
      </c>
      <c r="N9" s="136"/>
      <c r="O9" s="9"/>
      <c r="P9" s="196">
        <f>V15</f>
        <v>0</v>
      </c>
      <c r="Q9" s="135"/>
      <c r="R9" s="136"/>
      <c r="S9" s="186">
        <f>P7+P8+P9</f>
        <v>0</v>
      </c>
      <c r="T9" s="186">
        <f>P3-S9</f>
        <v>36404.69</v>
      </c>
      <c r="U9" s="189">
        <f>IFERROR(((P3-S9)/S9),0)</f>
        <v>0</v>
      </c>
      <c r="V9" s="189">
        <f>IFERROR(T9/P3,0)</f>
        <v>1</v>
      </c>
      <c r="W9" s="190"/>
      <c r="X9" s="29"/>
      <c r="Y9" s="4"/>
    </row>
    <row r="10" spans="2:25" ht="15" customHeight="1">
      <c r="B10" s="30"/>
      <c r="C10" s="24"/>
      <c r="D10" s="193" t="s">
        <v>44</v>
      </c>
      <c r="E10" s="135"/>
      <c r="F10" s="136"/>
      <c r="G10" s="194" t="s">
        <v>432</v>
      </c>
      <c r="H10" s="136"/>
      <c r="I10" s="31"/>
      <c r="J10" s="32"/>
      <c r="K10" s="32"/>
      <c r="L10" s="33"/>
      <c r="M10" s="195"/>
      <c r="N10" s="136"/>
      <c r="O10" s="9"/>
      <c r="P10" s="196"/>
      <c r="Q10" s="135"/>
      <c r="R10" s="136"/>
      <c r="S10" s="187"/>
      <c r="T10" s="187"/>
      <c r="U10" s="187"/>
      <c r="V10" s="187"/>
      <c r="W10" s="19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97" t="s">
        <v>45</v>
      </c>
      <c r="N11" s="136"/>
      <c r="O11" s="9"/>
      <c r="P11" s="155">
        <f>F114</f>
        <v>57</v>
      </c>
      <c r="Q11" s="135"/>
      <c r="R11" s="136"/>
      <c r="S11" s="188"/>
      <c r="T11" s="188"/>
      <c r="U11" s="188"/>
      <c r="V11" s="188"/>
      <c r="W11" s="192"/>
      <c r="X11" s="29"/>
      <c r="Y11" s="4"/>
    </row>
    <row r="12" spans="2:25" ht="15" customHeight="1">
      <c r="B12" s="156"/>
      <c r="C12" s="157"/>
      <c r="D12" s="37"/>
      <c r="E12" s="162" t="s">
        <v>46</v>
      </c>
      <c r="F12" s="163"/>
      <c r="G12" s="168" t="s">
        <v>8</v>
      </c>
      <c r="H12" s="169"/>
      <c r="I12" s="170"/>
      <c r="J12" s="38"/>
      <c r="K12" s="173" t="s">
        <v>47</v>
      </c>
      <c r="L12" s="169"/>
      <c r="M12" s="169"/>
      <c r="N12" s="170"/>
      <c r="O12" s="9"/>
      <c r="P12" s="176" t="s">
        <v>48</v>
      </c>
      <c r="Q12" s="169"/>
      <c r="R12" s="169"/>
      <c r="S12" s="169"/>
      <c r="T12" s="169"/>
      <c r="U12" s="169"/>
      <c r="V12" s="163"/>
      <c r="W12" s="39"/>
      <c r="X12" s="40"/>
      <c r="Y12" s="4" t="s">
        <v>49</v>
      </c>
    </row>
    <row r="13" spans="2:25" ht="15" customHeight="1">
      <c r="B13" s="158"/>
      <c r="C13" s="159"/>
      <c r="D13" s="41"/>
      <c r="E13" s="164"/>
      <c r="F13" s="165"/>
      <c r="G13" s="160"/>
      <c r="H13" s="171"/>
      <c r="I13" s="172"/>
      <c r="J13" s="42"/>
      <c r="K13" s="164"/>
      <c r="L13" s="174"/>
      <c r="M13" s="174"/>
      <c r="N13" s="175"/>
      <c r="O13" s="43"/>
      <c r="P13" s="164"/>
      <c r="Q13" s="174"/>
      <c r="R13" s="174"/>
      <c r="S13" s="174"/>
      <c r="T13" s="174"/>
      <c r="U13" s="174"/>
      <c r="V13" s="165"/>
      <c r="W13" s="44"/>
      <c r="X13" s="40"/>
      <c r="Y13" s="4" t="s">
        <v>50</v>
      </c>
    </row>
    <row r="14" spans="2:25" ht="15" customHeight="1">
      <c r="B14" s="158"/>
      <c r="C14" s="159"/>
      <c r="D14" s="41"/>
      <c r="E14" s="166"/>
      <c r="F14" s="167"/>
      <c r="G14" s="180" t="s">
        <v>51</v>
      </c>
      <c r="H14" s="181"/>
      <c r="I14" s="45" t="s">
        <v>52</v>
      </c>
      <c r="J14" s="46"/>
      <c r="K14" s="166"/>
      <c r="L14" s="171"/>
      <c r="M14" s="171"/>
      <c r="N14" s="172"/>
      <c r="O14" s="43"/>
      <c r="P14" s="177"/>
      <c r="Q14" s="178"/>
      <c r="R14" s="178"/>
      <c r="S14" s="178"/>
      <c r="T14" s="178"/>
      <c r="U14" s="178"/>
      <c r="V14" s="179"/>
      <c r="W14" s="47"/>
      <c r="X14" s="40"/>
      <c r="Y14" s="4" t="s">
        <v>52</v>
      </c>
    </row>
    <row r="15" spans="2:25" ht="30" customHeight="1">
      <c r="B15" s="158"/>
      <c r="C15" s="159"/>
      <c r="D15" s="41"/>
      <c r="E15" s="48" t="s">
        <v>53</v>
      </c>
      <c r="F15" s="49" t="s">
        <v>54</v>
      </c>
      <c r="G15" s="182" t="s">
        <v>55</v>
      </c>
      <c r="H15" s="133"/>
      <c r="I15" s="131"/>
      <c r="J15" s="50"/>
      <c r="K15" s="183" t="s">
        <v>56</v>
      </c>
      <c r="L15" s="184"/>
      <c r="M15" s="185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0"/>
      <c r="C16" s="161"/>
      <c r="D16" s="41"/>
      <c r="E16" s="59">
        <f>1/F16</f>
        <v>0.7246376811594204</v>
      </c>
      <c r="F16" s="60">
        <v>1.38</v>
      </c>
      <c r="G16" s="134"/>
      <c r="H16" s="135"/>
      <c r="I16" s="136"/>
      <c r="J16" s="61"/>
      <c r="K16" s="166"/>
      <c r="L16" s="167"/>
      <c r="M16" s="144"/>
      <c r="N16" s="137" t="s">
        <v>61</v>
      </c>
      <c r="O16" s="52"/>
      <c r="P16" s="140" t="s">
        <v>62</v>
      </c>
      <c r="Q16" s="141"/>
      <c r="R16" s="141"/>
      <c r="S16" s="141"/>
      <c r="T16" s="141"/>
      <c r="U16" s="141"/>
      <c r="V16" s="142"/>
      <c r="W16" s="62"/>
      <c r="X16" s="63"/>
      <c r="Y16" s="4"/>
    </row>
    <row r="17" spans="2:26" ht="15" customHeight="1">
      <c r="B17" s="143" t="s">
        <v>63</v>
      </c>
      <c r="C17" s="145" t="s">
        <v>64</v>
      </c>
      <c r="D17" s="64"/>
      <c r="E17" s="147" t="s">
        <v>65</v>
      </c>
      <c r="F17" s="149" t="s">
        <v>66</v>
      </c>
      <c r="G17" s="150" t="s">
        <v>67</v>
      </c>
      <c r="H17" s="151"/>
      <c r="I17" s="65" t="s">
        <v>68</v>
      </c>
      <c r="J17" s="66"/>
      <c r="K17" s="152" t="s">
        <v>66</v>
      </c>
      <c r="L17" s="67" t="s">
        <v>69</v>
      </c>
      <c r="M17" s="68" t="s">
        <v>70</v>
      </c>
      <c r="N17" s="138"/>
      <c r="O17" s="69"/>
      <c r="P17" s="15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44"/>
      <c r="C18" s="146"/>
      <c r="D18" s="74"/>
      <c r="E18" s="148"/>
      <c r="F18" s="144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48"/>
      <c r="L18" s="130" t="s">
        <v>49</v>
      </c>
      <c r="M18" s="131"/>
      <c r="N18" s="139"/>
      <c r="O18" s="78"/>
      <c r="P18" s="154"/>
      <c r="Q18" s="54" t="s">
        <v>50</v>
      </c>
      <c r="R18" s="132" t="str">
        <f>L18</f>
        <v>CAD $</v>
      </c>
      <c r="S18" s="133"/>
      <c r="T18" s="133"/>
      <c r="U18" s="133"/>
      <c r="V18" s="131"/>
      <c r="W18" s="79"/>
      <c r="X18" s="80"/>
      <c r="Y18" s="81"/>
      <c r="Z18" s="81"/>
    </row>
    <row r="19" spans="2:26">
      <c r="B19" t="s">
        <v>433</v>
      </c>
      <c r="C19" t="s">
        <v>434</v>
      </c>
      <c r="D19" s="83"/>
      <c r="E19" s="84"/>
      <c r="F19">
        <v>1</v>
      </c>
      <c r="G19" s="127">
        <v>127.86</v>
      </c>
      <c r="H19" s="127">
        <v>34.520000000000003</v>
      </c>
      <c r="I19" s="127">
        <v>127.86</v>
      </c>
      <c r="J19" s="88"/>
      <c r="K19">
        <v>1</v>
      </c>
      <c r="L19" s="127">
        <v>63.93</v>
      </c>
      <c r="M19" s="127">
        <v>63.93</v>
      </c>
      <c r="N19" s="89"/>
      <c r="O19" s="90"/>
      <c r="P19" s="82"/>
      <c r="Q19" s="91"/>
      <c r="R19" s="91"/>
      <c r="S19" s="127">
        <v>63.93</v>
      </c>
      <c r="T19" s="127">
        <v>63.93</v>
      </c>
      <c r="U19" s="128">
        <v>0</v>
      </c>
      <c r="V19" s="128">
        <v>1</v>
      </c>
      <c r="W19" s="93"/>
      <c r="X19" s="94"/>
      <c r="Y19" s="4"/>
      <c r="Z19" s="4"/>
    </row>
    <row r="20" spans="2:26">
      <c r="B20" t="s">
        <v>435</v>
      </c>
      <c r="C20" t="s">
        <v>436</v>
      </c>
      <c r="D20" s="83"/>
      <c r="E20" s="97"/>
      <c r="F20">
        <v>1</v>
      </c>
      <c r="G20" s="127">
        <v>1273.79</v>
      </c>
      <c r="H20" s="127">
        <v>343.92</v>
      </c>
      <c r="I20" s="127">
        <v>1273.79</v>
      </c>
      <c r="J20" s="102"/>
      <c r="K20">
        <v>1</v>
      </c>
      <c r="L20" s="127">
        <v>636.9</v>
      </c>
      <c r="M20" s="127">
        <v>636.9</v>
      </c>
      <c r="N20" s="104"/>
      <c r="O20" s="90"/>
      <c r="P20" s="95"/>
      <c r="Q20" s="99"/>
      <c r="R20" s="105"/>
      <c r="S20" s="127">
        <v>636.9</v>
      </c>
      <c r="T20" s="127">
        <v>636.9</v>
      </c>
      <c r="U20" s="128">
        <v>0</v>
      </c>
      <c r="V20" s="128">
        <v>1</v>
      </c>
      <c r="W20" s="108"/>
      <c r="X20" s="94"/>
      <c r="Y20" s="4"/>
      <c r="Z20" s="4"/>
    </row>
    <row r="21" spans="2:26" ht="15.75" customHeight="1">
      <c r="B21">
        <v>3597232</v>
      </c>
      <c r="C21" t="s">
        <v>437</v>
      </c>
      <c r="D21" s="83"/>
      <c r="E21" s="84"/>
      <c r="F21">
        <v>1</v>
      </c>
      <c r="G21" s="127">
        <v>1305.05</v>
      </c>
      <c r="H21" s="127">
        <v>352.36</v>
      </c>
      <c r="I21" s="127">
        <v>1305.05</v>
      </c>
      <c r="J21" s="102"/>
      <c r="K21">
        <v>1</v>
      </c>
      <c r="L21" s="127">
        <v>652.53</v>
      </c>
      <c r="M21" s="127">
        <v>652.53</v>
      </c>
      <c r="N21" s="111"/>
      <c r="O21" s="90"/>
      <c r="P21" s="112"/>
      <c r="Q21" s="91"/>
      <c r="R21" s="91"/>
      <c r="S21" s="127">
        <v>652.53</v>
      </c>
      <c r="T21" s="127">
        <v>652.53</v>
      </c>
      <c r="U21" s="128">
        <v>0</v>
      </c>
      <c r="V21" s="128">
        <v>1</v>
      </c>
      <c r="W21" s="93"/>
      <c r="X21" s="94"/>
      <c r="Y21" s="4"/>
      <c r="Z21" s="4"/>
    </row>
    <row r="22" spans="2:26" ht="15.75" customHeight="1">
      <c r="B22" t="s">
        <v>438</v>
      </c>
      <c r="C22" t="s">
        <v>439</v>
      </c>
      <c r="D22" s="83"/>
      <c r="E22" s="97"/>
      <c r="F22">
        <v>1</v>
      </c>
      <c r="G22" s="127">
        <v>1080.22</v>
      </c>
      <c r="H22" s="127">
        <v>291.66000000000003</v>
      </c>
      <c r="I22" s="127">
        <v>1080.22</v>
      </c>
      <c r="J22" s="102"/>
      <c r="K22">
        <v>1</v>
      </c>
      <c r="L22" s="127">
        <v>540.11</v>
      </c>
      <c r="M22" s="127">
        <v>540.11</v>
      </c>
      <c r="N22" s="104"/>
      <c r="O22" s="90"/>
      <c r="P22" s="95"/>
      <c r="Q22" s="99"/>
      <c r="R22" s="105"/>
      <c r="S22" s="127">
        <v>540.11</v>
      </c>
      <c r="T22" s="127">
        <v>540.11</v>
      </c>
      <c r="U22" s="128">
        <v>0</v>
      </c>
      <c r="V22" s="128">
        <v>1</v>
      </c>
      <c r="W22" s="108"/>
      <c r="X22" s="94"/>
      <c r="Y22" s="4"/>
      <c r="Z22" s="4"/>
    </row>
    <row r="23" spans="2:26" ht="15.75" customHeight="1">
      <c r="B23" t="s">
        <v>140</v>
      </c>
      <c r="C23" t="s">
        <v>440</v>
      </c>
      <c r="D23" s="83"/>
      <c r="E23" s="84"/>
      <c r="F23">
        <v>1</v>
      </c>
      <c r="G23" s="127">
        <v>60.77</v>
      </c>
      <c r="H23" s="127">
        <v>16.41</v>
      </c>
      <c r="I23" s="127">
        <v>60.77</v>
      </c>
      <c r="J23" s="102"/>
      <c r="K23">
        <v>1</v>
      </c>
      <c r="L23" s="127">
        <v>30.39</v>
      </c>
      <c r="M23" s="127">
        <v>30.39</v>
      </c>
      <c r="N23" s="111"/>
      <c r="O23" s="90"/>
      <c r="P23" s="112"/>
      <c r="Q23" s="91"/>
      <c r="R23" s="91"/>
      <c r="S23" s="127">
        <v>30.39</v>
      </c>
      <c r="T23" s="127">
        <v>30.39</v>
      </c>
      <c r="U23" s="128">
        <v>0</v>
      </c>
      <c r="V23" s="128">
        <v>1</v>
      </c>
      <c r="W23" s="93"/>
      <c r="X23" s="94"/>
      <c r="Y23" s="4"/>
      <c r="Z23" s="4"/>
    </row>
    <row r="24" spans="2:26" ht="15.75" customHeight="1">
      <c r="B24" t="s">
        <v>441</v>
      </c>
      <c r="C24" t="s">
        <v>442</v>
      </c>
      <c r="D24" s="83"/>
      <c r="E24" s="97"/>
      <c r="F24">
        <v>1</v>
      </c>
      <c r="G24" s="127">
        <v>49.49</v>
      </c>
      <c r="H24" s="127">
        <v>13.36</v>
      </c>
      <c r="I24" s="127">
        <v>49.49</v>
      </c>
      <c r="J24" s="102"/>
      <c r="K24">
        <v>1</v>
      </c>
      <c r="L24" s="127">
        <v>24.75</v>
      </c>
      <c r="M24" s="127">
        <v>24.75</v>
      </c>
      <c r="N24" s="104"/>
      <c r="O24" s="90"/>
      <c r="P24" s="95"/>
      <c r="Q24" s="99"/>
      <c r="R24" s="105"/>
      <c r="S24" s="127">
        <v>24.75</v>
      </c>
      <c r="T24" s="127">
        <v>24.75</v>
      </c>
      <c r="U24" s="128">
        <v>0</v>
      </c>
      <c r="V24" s="128">
        <v>1</v>
      </c>
      <c r="W24" s="108"/>
      <c r="X24" s="94"/>
      <c r="Y24" s="4"/>
      <c r="Z24" s="4"/>
    </row>
    <row r="25" spans="2:26" ht="15.75" customHeight="1">
      <c r="B25" t="s">
        <v>443</v>
      </c>
      <c r="C25" t="s">
        <v>444</v>
      </c>
      <c r="D25" s="83"/>
      <c r="E25" s="84"/>
      <c r="F25">
        <v>1</v>
      </c>
      <c r="G25" s="127">
        <v>44.24</v>
      </c>
      <c r="H25" s="127">
        <v>11.94</v>
      </c>
      <c r="I25" s="127">
        <v>44.24</v>
      </c>
      <c r="J25" s="102"/>
      <c r="K25">
        <v>1</v>
      </c>
      <c r="L25" s="127">
        <v>22.12</v>
      </c>
      <c r="M25" s="127">
        <v>22.12</v>
      </c>
      <c r="N25" s="111"/>
      <c r="O25" s="90"/>
      <c r="P25" s="112"/>
      <c r="Q25" s="91"/>
      <c r="R25" s="91"/>
      <c r="S25" s="127">
        <v>22.12</v>
      </c>
      <c r="T25" s="127">
        <v>22.12</v>
      </c>
      <c r="U25" s="128">
        <v>0</v>
      </c>
      <c r="V25" s="128">
        <v>1</v>
      </c>
      <c r="W25" s="93"/>
      <c r="X25" s="94"/>
      <c r="Y25" s="4"/>
      <c r="Z25" s="4"/>
    </row>
    <row r="26" spans="2:26" ht="15.75" customHeight="1">
      <c r="B26" t="s">
        <v>203</v>
      </c>
      <c r="C26" t="s">
        <v>445</v>
      </c>
      <c r="D26" s="83"/>
      <c r="E26" s="97"/>
      <c r="F26">
        <v>1</v>
      </c>
      <c r="G26" s="127">
        <v>24.2</v>
      </c>
      <c r="H26" s="127">
        <v>6.53</v>
      </c>
      <c r="I26" s="127">
        <v>24.2</v>
      </c>
      <c r="J26" s="102"/>
      <c r="K26">
        <v>1</v>
      </c>
      <c r="L26" s="127">
        <v>12.1</v>
      </c>
      <c r="M26" s="127">
        <v>12.1</v>
      </c>
      <c r="N26" s="104"/>
      <c r="O26" s="90"/>
      <c r="P26" s="95"/>
      <c r="Q26" s="99"/>
      <c r="R26" s="105"/>
      <c r="S26" s="127">
        <v>12.1</v>
      </c>
      <c r="T26" s="127">
        <v>12.1</v>
      </c>
      <c r="U26" s="128">
        <v>0</v>
      </c>
      <c r="V26" s="128">
        <v>1</v>
      </c>
      <c r="W26" s="108"/>
      <c r="X26" s="94"/>
      <c r="Y26" s="4"/>
      <c r="Z26" s="113"/>
    </row>
    <row r="27" spans="2:26" ht="15.75" customHeight="1">
      <c r="B27" t="s">
        <v>446</v>
      </c>
      <c r="C27" t="s">
        <v>447</v>
      </c>
      <c r="D27" s="83"/>
      <c r="E27" s="84"/>
      <c r="F27">
        <v>1</v>
      </c>
      <c r="G27" s="127">
        <v>60.34</v>
      </c>
      <c r="H27" s="127">
        <v>16.29</v>
      </c>
      <c r="I27" s="127">
        <v>60.34</v>
      </c>
      <c r="J27" s="102"/>
      <c r="K27">
        <v>1</v>
      </c>
      <c r="L27" s="127">
        <v>30.17</v>
      </c>
      <c r="M27" s="127">
        <v>30.17</v>
      </c>
      <c r="N27" s="111"/>
      <c r="O27" s="90"/>
      <c r="P27" s="112"/>
      <c r="Q27" s="91"/>
      <c r="R27" s="91"/>
      <c r="S27" s="127">
        <v>30.17</v>
      </c>
      <c r="T27" s="127">
        <v>30.17</v>
      </c>
      <c r="U27" s="128">
        <v>0</v>
      </c>
      <c r="V27" s="128">
        <v>1</v>
      </c>
      <c r="W27" s="93"/>
      <c r="X27" s="94"/>
      <c r="Y27" s="4"/>
      <c r="Z27" s="4"/>
    </row>
    <row r="28" spans="2:26" ht="15.75" customHeight="1">
      <c r="B28" t="s">
        <v>448</v>
      </c>
      <c r="C28" t="s">
        <v>449</v>
      </c>
      <c r="D28" s="83"/>
      <c r="E28" s="84"/>
      <c r="F28">
        <v>1</v>
      </c>
      <c r="G28" s="127">
        <v>45.1</v>
      </c>
      <c r="H28" s="127">
        <v>12.18</v>
      </c>
      <c r="I28" s="127">
        <v>45.1</v>
      </c>
      <c r="J28" s="102"/>
      <c r="K28">
        <v>1</v>
      </c>
      <c r="L28" s="127">
        <v>22.55</v>
      </c>
      <c r="M28" s="127">
        <v>22.55</v>
      </c>
      <c r="N28" s="111"/>
      <c r="O28" s="90"/>
      <c r="P28" s="112"/>
      <c r="Q28" s="91"/>
      <c r="R28" s="91"/>
      <c r="S28" s="127">
        <v>22.55</v>
      </c>
      <c r="T28" s="127">
        <v>22.55</v>
      </c>
      <c r="U28" s="128">
        <v>0</v>
      </c>
      <c r="V28" s="128">
        <v>1</v>
      </c>
      <c r="W28" s="93"/>
      <c r="X28" s="94"/>
      <c r="Y28" s="4"/>
      <c r="Z28" s="4"/>
    </row>
    <row r="29" spans="2:26" ht="15.75" customHeight="1">
      <c r="D29" s="83"/>
      <c r="E29" s="97"/>
      <c r="H29" t="s">
        <v>112</v>
      </c>
      <c r="I29" t="s">
        <v>112</v>
      </c>
      <c r="J29" s="102"/>
      <c r="K29">
        <v>0</v>
      </c>
      <c r="L29" t="s">
        <v>112</v>
      </c>
      <c r="M29" t="s">
        <v>112</v>
      </c>
      <c r="N29" s="104"/>
      <c r="O29" s="90"/>
      <c r="P29" s="95"/>
      <c r="Q29" s="99"/>
      <c r="R29" s="105"/>
      <c r="S29" t="s">
        <v>112</v>
      </c>
      <c r="T29" t="s">
        <v>112</v>
      </c>
      <c r="U29" s="128">
        <v>0</v>
      </c>
      <c r="V29" s="128">
        <v>0</v>
      </c>
      <c r="W29" s="108"/>
      <c r="X29" s="94"/>
      <c r="Y29" s="4"/>
      <c r="Z29" s="4"/>
    </row>
    <row r="30" spans="2:26" ht="15.75" customHeight="1">
      <c r="B30" t="s">
        <v>450</v>
      </c>
      <c r="C30" t="s">
        <v>451</v>
      </c>
      <c r="D30" s="83"/>
      <c r="E30" s="84"/>
      <c r="F30">
        <v>1</v>
      </c>
      <c r="G30" s="127">
        <v>7135.12</v>
      </c>
      <c r="H30" s="127">
        <v>1926.48</v>
      </c>
      <c r="I30" s="127">
        <v>7135.12</v>
      </c>
      <c r="J30" s="102"/>
      <c r="K30">
        <v>1</v>
      </c>
      <c r="L30" s="127">
        <v>3567.56</v>
      </c>
      <c r="M30" s="127">
        <v>3567.56</v>
      </c>
      <c r="N30" s="111"/>
      <c r="O30" s="90"/>
      <c r="P30" s="112"/>
      <c r="Q30" s="91"/>
      <c r="R30" s="91"/>
      <c r="S30" s="127">
        <v>3567.56</v>
      </c>
      <c r="T30" s="127">
        <v>3567.56</v>
      </c>
      <c r="U30" s="128">
        <v>0</v>
      </c>
      <c r="V30" s="128">
        <v>1</v>
      </c>
      <c r="W30" s="93"/>
    </row>
    <row r="31" spans="2:26" ht="15.75" customHeight="1">
      <c r="B31" t="s">
        <v>452</v>
      </c>
      <c r="C31" t="s">
        <v>453</v>
      </c>
      <c r="D31" s="83"/>
      <c r="E31" s="97"/>
      <c r="F31">
        <v>1</v>
      </c>
      <c r="G31" s="127">
        <v>940.14</v>
      </c>
      <c r="H31" s="127">
        <v>253.84</v>
      </c>
      <c r="I31" s="127">
        <v>940.14</v>
      </c>
      <c r="J31" s="102"/>
      <c r="K31">
        <v>1</v>
      </c>
      <c r="L31" s="127">
        <v>470.07</v>
      </c>
      <c r="M31" s="127">
        <v>470.07</v>
      </c>
      <c r="N31" s="104"/>
      <c r="O31" s="90"/>
      <c r="P31" s="95"/>
      <c r="Q31" s="99"/>
      <c r="R31" s="105"/>
      <c r="S31" s="127">
        <v>470.07</v>
      </c>
      <c r="T31" s="127">
        <v>470.07</v>
      </c>
      <c r="U31" s="128">
        <v>0</v>
      </c>
      <c r="V31" s="128">
        <v>1</v>
      </c>
      <c r="W31" s="108"/>
    </row>
    <row r="32" spans="2:26" ht="15.75" customHeight="1">
      <c r="B32" t="s">
        <v>206</v>
      </c>
      <c r="C32" t="s">
        <v>454</v>
      </c>
      <c r="D32" s="83"/>
      <c r="E32" s="84"/>
      <c r="F32">
        <v>1</v>
      </c>
      <c r="G32" s="127">
        <v>5410.74</v>
      </c>
      <c r="H32" s="127">
        <v>1460.9</v>
      </c>
      <c r="I32" s="127">
        <v>5410.74</v>
      </c>
      <c r="J32" s="102"/>
      <c r="K32">
        <v>1</v>
      </c>
      <c r="L32" s="127">
        <v>2705.37</v>
      </c>
      <c r="M32" s="127">
        <v>2705.37</v>
      </c>
      <c r="N32" s="111"/>
      <c r="O32" s="90"/>
      <c r="P32" s="112"/>
      <c r="Q32" s="91"/>
      <c r="R32" s="91"/>
      <c r="S32" s="127">
        <v>2705.37</v>
      </c>
      <c r="T32" s="127">
        <v>2705.37</v>
      </c>
      <c r="U32" s="128">
        <v>0</v>
      </c>
      <c r="V32" s="128">
        <v>1</v>
      </c>
      <c r="W32" s="93"/>
    </row>
    <row r="33" spans="2:26" ht="15.75" customHeight="1">
      <c r="B33" t="s">
        <v>455</v>
      </c>
      <c r="C33" t="s">
        <v>456</v>
      </c>
      <c r="D33" s="83"/>
      <c r="E33" s="97"/>
      <c r="F33">
        <v>1</v>
      </c>
      <c r="G33" s="127">
        <v>6978.94</v>
      </c>
      <c r="H33" s="127">
        <v>1884.31</v>
      </c>
      <c r="I33" s="127">
        <v>6978.94</v>
      </c>
      <c r="J33" s="102"/>
      <c r="K33">
        <v>1</v>
      </c>
      <c r="L33" s="127">
        <v>3489.47</v>
      </c>
      <c r="M33" s="127">
        <v>3489.47</v>
      </c>
      <c r="N33" s="104"/>
      <c r="O33" s="90"/>
      <c r="P33" s="95"/>
      <c r="Q33" s="99"/>
      <c r="R33" s="105"/>
      <c r="S33" s="127">
        <v>3489.47</v>
      </c>
      <c r="T33" s="127">
        <v>3489.47</v>
      </c>
      <c r="U33" s="128">
        <v>0</v>
      </c>
      <c r="V33" s="128">
        <v>1</v>
      </c>
      <c r="W33" s="108"/>
    </row>
    <row r="34" spans="2:26" ht="15.75" customHeight="1">
      <c r="B34" t="s">
        <v>457</v>
      </c>
      <c r="C34" t="s">
        <v>458</v>
      </c>
      <c r="D34" s="83"/>
      <c r="E34" s="84"/>
      <c r="F34">
        <v>1</v>
      </c>
      <c r="G34" s="127">
        <v>8056.91</v>
      </c>
      <c r="H34" s="127">
        <v>2175.37</v>
      </c>
      <c r="I34" s="127">
        <v>8056.91</v>
      </c>
      <c r="J34" s="102"/>
      <c r="K34">
        <v>1</v>
      </c>
      <c r="L34" s="127">
        <v>4028.46</v>
      </c>
      <c r="M34" s="127">
        <v>4028.46</v>
      </c>
      <c r="N34" s="111"/>
      <c r="O34" s="90"/>
      <c r="P34" s="112"/>
      <c r="Q34" s="91"/>
      <c r="R34" s="91"/>
      <c r="S34" s="127">
        <v>4028.46</v>
      </c>
      <c r="T34" s="127">
        <v>4028.46</v>
      </c>
      <c r="U34" s="128">
        <v>0</v>
      </c>
      <c r="V34" s="128">
        <v>1</v>
      </c>
      <c r="W34" s="93"/>
    </row>
    <row r="35" spans="2:26" ht="15.75" customHeight="1">
      <c r="B35" t="s">
        <v>459</v>
      </c>
      <c r="C35" t="s">
        <v>460</v>
      </c>
      <c r="D35" s="83"/>
      <c r="E35" s="97"/>
      <c r="F35">
        <v>4</v>
      </c>
      <c r="G35" s="127">
        <v>526.66</v>
      </c>
      <c r="H35" s="127">
        <v>142.19999999999999</v>
      </c>
      <c r="I35" s="127">
        <v>2106.64</v>
      </c>
      <c r="J35" s="102"/>
      <c r="K35">
        <v>4</v>
      </c>
      <c r="L35" s="127">
        <v>263.33</v>
      </c>
      <c r="M35" s="127">
        <v>1053.32</v>
      </c>
      <c r="N35" s="104"/>
      <c r="O35" s="90"/>
      <c r="P35" s="95"/>
      <c r="Q35" s="99"/>
      <c r="R35" s="105"/>
      <c r="S35" s="127">
        <v>263.33</v>
      </c>
      <c r="T35" s="127">
        <v>1053.32</v>
      </c>
      <c r="U35" s="128">
        <v>0</v>
      </c>
      <c r="V35" s="128">
        <v>1</v>
      </c>
      <c r="W35" s="108"/>
    </row>
    <row r="36" spans="2:26" ht="15.75" customHeight="1">
      <c r="B36" t="s">
        <v>461</v>
      </c>
      <c r="C36" t="s">
        <v>462</v>
      </c>
      <c r="D36" s="83"/>
      <c r="E36" s="84"/>
      <c r="F36">
        <v>1</v>
      </c>
      <c r="G36" s="127">
        <v>4032.64</v>
      </c>
      <c r="H36" s="127">
        <v>1088.81</v>
      </c>
      <c r="I36" s="127">
        <v>4032.64</v>
      </c>
      <c r="J36" s="102"/>
      <c r="K36">
        <v>1</v>
      </c>
      <c r="L36" s="127">
        <v>2016.32</v>
      </c>
      <c r="M36" s="127">
        <v>2016.32</v>
      </c>
      <c r="N36" s="111"/>
      <c r="O36" s="90"/>
      <c r="P36" s="112"/>
      <c r="Q36" s="91"/>
      <c r="R36" s="91"/>
      <c r="S36" s="127">
        <v>2016.32</v>
      </c>
      <c r="T36" s="127">
        <v>2016.32</v>
      </c>
      <c r="U36" s="128">
        <v>0</v>
      </c>
      <c r="V36" s="128">
        <v>1</v>
      </c>
      <c r="W36" s="108"/>
    </row>
    <row r="37" spans="2:26" ht="15.75" customHeight="1">
      <c r="D37" s="83"/>
      <c r="E37" s="97"/>
      <c r="H37" t="s">
        <v>112</v>
      </c>
      <c r="I37" t="s">
        <v>112</v>
      </c>
      <c r="J37" s="102"/>
      <c r="K37">
        <v>0</v>
      </c>
      <c r="L37" t="s">
        <v>112</v>
      </c>
      <c r="M37" t="s">
        <v>112</v>
      </c>
      <c r="N37" s="104"/>
      <c r="O37" s="90"/>
      <c r="P37" s="95"/>
      <c r="Q37" s="99"/>
      <c r="R37" s="105"/>
      <c r="S37" t="s">
        <v>112</v>
      </c>
      <c r="T37" t="s">
        <v>112</v>
      </c>
      <c r="U37" s="128">
        <v>0</v>
      </c>
      <c r="V37" s="128">
        <v>0</v>
      </c>
      <c r="W37" s="108"/>
    </row>
    <row r="38" spans="2:26" ht="15.75" customHeight="1">
      <c r="B38" t="s">
        <v>463</v>
      </c>
      <c r="C38" t="s">
        <v>464</v>
      </c>
      <c r="D38" s="83"/>
      <c r="E38" s="84"/>
      <c r="F38">
        <v>1</v>
      </c>
      <c r="G38" s="127">
        <v>11672.93</v>
      </c>
      <c r="H38" s="127">
        <v>3151.69</v>
      </c>
      <c r="I38" s="127">
        <v>11672.93</v>
      </c>
      <c r="J38" s="102"/>
      <c r="K38">
        <v>1</v>
      </c>
      <c r="L38" s="127">
        <v>5836.47</v>
      </c>
      <c r="M38" s="127">
        <v>5836.47</v>
      </c>
      <c r="N38" s="111"/>
      <c r="O38" s="90"/>
      <c r="P38" s="112"/>
      <c r="Q38" s="91"/>
      <c r="R38" s="91"/>
      <c r="S38" s="127">
        <v>5836.47</v>
      </c>
      <c r="T38" s="127">
        <v>5836.47</v>
      </c>
      <c r="U38" s="128">
        <v>0</v>
      </c>
      <c r="V38" s="128">
        <v>1</v>
      </c>
      <c r="W38" s="108"/>
    </row>
    <row r="39" spans="2:26" ht="15.75" customHeight="1">
      <c r="D39" s="83"/>
      <c r="E39" s="97"/>
      <c r="H39" t="s">
        <v>112</v>
      </c>
      <c r="I39" t="s">
        <v>112</v>
      </c>
      <c r="J39" s="102"/>
      <c r="K39">
        <v>0</v>
      </c>
      <c r="L39" t="s">
        <v>112</v>
      </c>
      <c r="M39" t="s">
        <v>112</v>
      </c>
      <c r="N39" s="104"/>
      <c r="O39" s="90"/>
      <c r="P39" s="95"/>
      <c r="Q39" s="99"/>
      <c r="R39" s="105"/>
      <c r="S39" t="s">
        <v>112</v>
      </c>
      <c r="T39" t="s">
        <v>112</v>
      </c>
      <c r="U39" s="128">
        <v>0</v>
      </c>
      <c r="V39" s="128">
        <v>0</v>
      </c>
      <c r="W39" s="108"/>
    </row>
    <row r="40" spans="2:26" ht="15.75" customHeight="1">
      <c r="B40" t="s">
        <v>465</v>
      </c>
      <c r="C40" t="s">
        <v>466</v>
      </c>
      <c r="D40" s="83"/>
      <c r="E40" s="84"/>
      <c r="F40">
        <v>1</v>
      </c>
      <c r="G40" s="127">
        <v>407.91</v>
      </c>
      <c r="H40" s="127">
        <v>110.14</v>
      </c>
      <c r="I40" s="127">
        <v>407.91</v>
      </c>
      <c r="J40" s="102"/>
      <c r="K40">
        <v>1</v>
      </c>
      <c r="L40" s="127">
        <v>203.96</v>
      </c>
      <c r="M40" s="127">
        <v>203.96</v>
      </c>
      <c r="N40" s="111"/>
      <c r="O40" s="90"/>
      <c r="P40" s="112"/>
      <c r="Q40" s="91"/>
      <c r="R40" s="91"/>
      <c r="S40" s="127">
        <v>203.96</v>
      </c>
      <c r="T40" s="127">
        <v>203.96</v>
      </c>
      <c r="U40" s="128">
        <v>0</v>
      </c>
      <c r="V40" s="128">
        <v>1</v>
      </c>
      <c r="W40" s="108"/>
    </row>
    <row r="41" spans="2:26" ht="15.75" customHeight="1">
      <c r="D41" s="83"/>
      <c r="E41" s="97"/>
      <c r="H41" t="s">
        <v>112</v>
      </c>
      <c r="I41" t="s">
        <v>112</v>
      </c>
      <c r="J41" s="102"/>
      <c r="K41">
        <v>0</v>
      </c>
      <c r="L41" t="s">
        <v>112</v>
      </c>
      <c r="M41" t="s">
        <v>112</v>
      </c>
      <c r="N41" s="104"/>
      <c r="O41" s="90"/>
      <c r="P41" s="95"/>
      <c r="Q41" s="99"/>
      <c r="R41" s="105"/>
      <c r="S41" t="s">
        <v>112</v>
      </c>
      <c r="T41" t="s">
        <v>112</v>
      </c>
      <c r="U41" s="128">
        <v>0</v>
      </c>
      <c r="V41" s="128">
        <v>0</v>
      </c>
      <c r="W41" s="108"/>
    </row>
    <row r="42" spans="2:26" ht="15.75" customHeight="1">
      <c r="B42" t="s">
        <v>467</v>
      </c>
      <c r="C42" t="s">
        <v>468</v>
      </c>
      <c r="D42" s="83"/>
      <c r="E42" s="84"/>
      <c r="F42">
        <v>1</v>
      </c>
      <c r="G42" s="127">
        <v>6221.62</v>
      </c>
      <c r="H42" s="127">
        <v>1679.84</v>
      </c>
      <c r="I42" s="127">
        <v>6221.62</v>
      </c>
      <c r="J42" s="102"/>
      <c r="K42">
        <v>1</v>
      </c>
      <c r="L42" s="127">
        <v>3110.81</v>
      </c>
      <c r="M42" s="127">
        <v>3110.81</v>
      </c>
      <c r="N42" s="111"/>
      <c r="O42" s="90"/>
      <c r="P42" s="112"/>
      <c r="Q42" s="91"/>
      <c r="R42" s="91"/>
      <c r="S42" s="127">
        <v>3110.81</v>
      </c>
      <c r="T42" s="127">
        <v>3110.81</v>
      </c>
      <c r="U42" s="128">
        <v>0</v>
      </c>
      <c r="V42" s="128">
        <v>1</v>
      </c>
      <c r="W42" s="108"/>
    </row>
    <row r="43" spans="2:26" ht="15.75" customHeight="1">
      <c r="B43" t="s">
        <v>469</v>
      </c>
      <c r="C43" t="s">
        <v>470</v>
      </c>
      <c r="D43" s="83"/>
      <c r="E43" s="97"/>
      <c r="F43">
        <v>1</v>
      </c>
      <c r="G43" s="127">
        <v>269.92</v>
      </c>
      <c r="H43" s="127">
        <v>72.88</v>
      </c>
      <c r="I43" s="127">
        <v>269.92</v>
      </c>
      <c r="J43" s="102"/>
      <c r="K43">
        <v>1</v>
      </c>
      <c r="L43" s="127">
        <v>134.96</v>
      </c>
      <c r="M43" s="127">
        <v>134.96</v>
      </c>
      <c r="N43" s="104"/>
      <c r="O43" s="90"/>
      <c r="P43" s="95"/>
      <c r="Q43" s="99"/>
      <c r="R43" s="105"/>
      <c r="S43" s="127">
        <v>134.96</v>
      </c>
      <c r="T43" s="127">
        <v>134.96</v>
      </c>
      <c r="U43" s="128">
        <v>0</v>
      </c>
      <c r="V43" s="128">
        <v>1</v>
      </c>
      <c r="W43" s="108"/>
    </row>
    <row r="44" spans="2:26" ht="15.75" customHeight="1">
      <c r="B44" t="s">
        <v>471</v>
      </c>
      <c r="C44" t="s">
        <v>124</v>
      </c>
      <c r="D44" s="83"/>
      <c r="E44" s="84"/>
      <c r="F44">
        <v>8</v>
      </c>
      <c r="G44" s="127">
        <v>3.22</v>
      </c>
      <c r="H44" s="127">
        <v>0.87</v>
      </c>
      <c r="I44" s="127">
        <v>25.76</v>
      </c>
      <c r="J44" s="102"/>
      <c r="K44">
        <v>8</v>
      </c>
      <c r="L44" s="127">
        <v>1.61</v>
      </c>
      <c r="M44" s="127">
        <v>12.88</v>
      </c>
      <c r="N44" s="111"/>
      <c r="O44" s="90"/>
      <c r="P44" s="112"/>
      <c r="Q44" s="91"/>
      <c r="R44" s="91"/>
      <c r="S44" s="127">
        <v>1.61</v>
      </c>
      <c r="T44" s="127">
        <v>12.88</v>
      </c>
      <c r="U44" s="128">
        <v>0</v>
      </c>
      <c r="V44" s="128">
        <v>1</v>
      </c>
      <c r="W44" s="108"/>
    </row>
    <row r="45" spans="2:26" ht="15.75" customHeight="1">
      <c r="B45" t="s">
        <v>472</v>
      </c>
      <c r="C45" t="s">
        <v>347</v>
      </c>
      <c r="D45" s="83"/>
      <c r="E45" s="97"/>
      <c r="F45">
        <v>8</v>
      </c>
      <c r="G45" s="127">
        <v>2.44</v>
      </c>
      <c r="H45" s="127">
        <v>0.66</v>
      </c>
      <c r="I45" s="127">
        <v>19.52</v>
      </c>
      <c r="J45" s="102"/>
      <c r="K45">
        <v>8</v>
      </c>
      <c r="L45" s="127">
        <v>1.22</v>
      </c>
      <c r="M45" s="127">
        <v>9.76</v>
      </c>
      <c r="N45" s="104"/>
      <c r="O45" s="90"/>
      <c r="P45" s="95"/>
      <c r="Q45" s="99"/>
      <c r="R45" s="105"/>
      <c r="S45" s="127">
        <v>1.22</v>
      </c>
      <c r="T45" s="127">
        <v>9.76</v>
      </c>
      <c r="U45" s="128">
        <v>0</v>
      </c>
      <c r="V45" s="128">
        <v>1</v>
      </c>
      <c r="W45" s="108"/>
    </row>
    <row r="46" spans="2:26" ht="15.75" customHeight="1">
      <c r="B46" t="s">
        <v>473</v>
      </c>
      <c r="C46" t="s">
        <v>125</v>
      </c>
      <c r="D46" s="83"/>
      <c r="E46" s="84"/>
      <c r="F46">
        <v>8</v>
      </c>
      <c r="G46" s="127">
        <v>3.56</v>
      </c>
      <c r="H46" s="127">
        <v>0.96</v>
      </c>
      <c r="I46" s="127">
        <v>28.48</v>
      </c>
      <c r="J46" s="102"/>
      <c r="K46">
        <v>8</v>
      </c>
      <c r="L46" s="127">
        <v>1.78</v>
      </c>
      <c r="M46" s="127">
        <v>14.24</v>
      </c>
      <c r="N46" s="111"/>
      <c r="O46" s="90"/>
      <c r="P46" s="112"/>
      <c r="Q46" s="91"/>
      <c r="R46" s="91"/>
      <c r="S46" s="127">
        <v>1.78</v>
      </c>
      <c r="T46" s="127">
        <v>14.24</v>
      </c>
      <c r="U46" s="128">
        <v>0</v>
      </c>
      <c r="V46" s="128">
        <v>1</v>
      </c>
      <c r="W46" s="108"/>
    </row>
    <row r="47" spans="2:26" ht="15.75" customHeight="1">
      <c r="B47" t="s">
        <v>474</v>
      </c>
      <c r="C47" t="s">
        <v>475</v>
      </c>
      <c r="D47" s="83"/>
      <c r="E47" s="97"/>
      <c r="F47">
        <v>1</v>
      </c>
      <c r="G47" s="127">
        <v>64.260000000000005</v>
      </c>
      <c r="H47" s="127">
        <v>17.350000000000001</v>
      </c>
      <c r="I47" s="127">
        <v>64.260000000000005</v>
      </c>
      <c r="J47" s="102"/>
      <c r="K47">
        <v>1</v>
      </c>
      <c r="L47" s="127">
        <v>32.130000000000003</v>
      </c>
      <c r="M47" s="127">
        <v>32.130000000000003</v>
      </c>
      <c r="N47" s="104"/>
      <c r="O47" s="90"/>
      <c r="P47" s="95"/>
      <c r="Q47" s="99"/>
      <c r="R47" s="105"/>
      <c r="S47" s="127">
        <v>32.130000000000003</v>
      </c>
      <c r="T47" s="127">
        <v>32.130000000000003</v>
      </c>
      <c r="U47" s="128">
        <v>0</v>
      </c>
      <c r="V47" s="128">
        <v>1</v>
      </c>
      <c r="W47" s="108"/>
      <c r="X47" s="94"/>
      <c r="Y47" s="4"/>
      <c r="Z47" s="4"/>
    </row>
    <row r="48" spans="2:26" ht="15.75" customHeight="1">
      <c r="B48" t="s">
        <v>476</v>
      </c>
      <c r="C48" t="s">
        <v>477</v>
      </c>
      <c r="D48" s="83"/>
      <c r="E48" s="84"/>
      <c r="F48">
        <v>1</v>
      </c>
      <c r="G48" s="127">
        <v>64.260000000000005</v>
      </c>
      <c r="H48" s="127">
        <v>17.350000000000001</v>
      </c>
      <c r="I48" s="127">
        <v>64.260000000000005</v>
      </c>
      <c r="J48" s="102"/>
      <c r="K48">
        <v>1</v>
      </c>
      <c r="L48" s="127">
        <v>32.130000000000003</v>
      </c>
      <c r="M48" s="127">
        <v>32.130000000000003</v>
      </c>
      <c r="N48" s="111"/>
      <c r="O48" s="90"/>
      <c r="P48" s="112"/>
      <c r="Q48" s="91"/>
      <c r="R48" s="91"/>
      <c r="S48" s="127">
        <v>32.130000000000003</v>
      </c>
      <c r="T48" s="127">
        <v>32.130000000000003</v>
      </c>
      <c r="U48" s="128">
        <v>0</v>
      </c>
      <c r="V48" s="128">
        <v>1</v>
      </c>
      <c r="W48" s="93"/>
      <c r="X48" s="94"/>
      <c r="Y48" s="4"/>
      <c r="Z48" s="4"/>
    </row>
    <row r="49" spans="2:26" ht="15.75" customHeight="1">
      <c r="B49" t="s">
        <v>478</v>
      </c>
      <c r="C49" t="s">
        <v>479</v>
      </c>
      <c r="D49" s="83"/>
      <c r="E49" s="97"/>
      <c r="F49">
        <v>1</v>
      </c>
      <c r="G49" s="127">
        <v>112.46</v>
      </c>
      <c r="H49" s="127">
        <v>30.36</v>
      </c>
      <c r="I49" s="127">
        <v>112.46</v>
      </c>
      <c r="J49" s="102"/>
      <c r="K49">
        <v>1</v>
      </c>
      <c r="L49" s="127">
        <v>56.23</v>
      </c>
      <c r="M49" s="127">
        <v>56.23</v>
      </c>
      <c r="N49" s="104"/>
      <c r="O49" s="90"/>
      <c r="P49" s="95"/>
      <c r="Q49" s="99"/>
      <c r="R49" s="105"/>
      <c r="S49" s="127">
        <v>56.23</v>
      </c>
      <c r="T49" s="127">
        <v>56.23</v>
      </c>
      <c r="U49" s="128">
        <v>0</v>
      </c>
      <c r="V49" s="128">
        <v>1</v>
      </c>
      <c r="W49" s="108"/>
      <c r="X49" s="94"/>
      <c r="Y49" s="4"/>
      <c r="Z49" s="4"/>
    </row>
    <row r="50" spans="2:26" ht="15.75" customHeight="1">
      <c r="D50" s="83"/>
      <c r="E50" s="84"/>
      <c r="H50" t="s">
        <v>112</v>
      </c>
      <c r="I50" t="s">
        <v>112</v>
      </c>
      <c r="J50" s="102"/>
      <c r="K50">
        <v>0</v>
      </c>
      <c r="L50" t="s">
        <v>112</v>
      </c>
      <c r="M50" t="s">
        <v>112</v>
      </c>
      <c r="N50" s="111"/>
      <c r="O50" s="90"/>
      <c r="P50" s="112"/>
      <c r="Q50" s="91"/>
      <c r="R50" s="91"/>
      <c r="S50" t="s">
        <v>112</v>
      </c>
      <c r="T50" t="s">
        <v>112</v>
      </c>
      <c r="U50" s="128">
        <v>0</v>
      </c>
      <c r="V50" s="128">
        <v>0</v>
      </c>
      <c r="W50" s="93"/>
    </row>
    <row r="51" spans="2:26" ht="15.75" customHeight="1">
      <c r="B51" t="s">
        <v>480</v>
      </c>
      <c r="C51" t="s">
        <v>481</v>
      </c>
      <c r="D51" s="83"/>
      <c r="E51" s="97"/>
      <c r="F51">
        <v>1</v>
      </c>
      <c r="G51" s="127">
        <v>2490.9699999999998</v>
      </c>
      <c r="H51" s="127">
        <v>672.56</v>
      </c>
      <c r="I51" s="127">
        <v>2490.9699999999998</v>
      </c>
      <c r="J51" s="102"/>
      <c r="K51">
        <v>1</v>
      </c>
      <c r="L51" s="127">
        <v>1245.49</v>
      </c>
      <c r="M51" s="127">
        <v>1245.49</v>
      </c>
      <c r="N51" s="104"/>
      <c r="O51" s="90"/>
      <c r="P51" s="95"/>
      <c r="Q51" s="99"/>
      <c r="R51" s="105"/>
      <c r="S51" s="127">
        <v>1245.49</v>
      </c>
      <c r="T51" s="127">
        <v>1245.49</v>
      </c>
      <c r="U51" s="128">
        <v>0</v>
      </c>
      <c r="V51" s="128">
        <v>1</v>
      </c>
      <c r="W51" s="108"/>
    </row>
    <row r="52" spans="2:26" ht="15.75" customHeight="1">
      <c r="B52" t="s">
        <v>482</v>
      </c>
      <c r="C52" t="s">
        <v>483</v>
      </c>
      <c r="D52" s="83"/>
      <c r="E52" s="84"/>
      <c r="F52">
        <v>1</v>
      </c>
      <c r="G52" s="127">
        <v>236.61</v>
      </c>
      <c r="H52" s="127">
        <v>63.88</v>
      </c>
      <c r="I52" s="127">
        <v>236.61</v>
      </c>
      <c r="J52" s="102"/>
      <c r="K52">
        <v>1</v>
      </c>
      <c r="L52" s="127">
        <v>118.31</v>
      </c>
      <c r="M52" s="127">
        <v>118.31</v>
      </c>
      <c r="N52" s="111"/>
      <c r="O52" s="90"/>
      <c r="P52" s="112"/>
      <c r="Q52" s="91"/>
      <c r="R52" s="91"/>
      <c r="S52" s="127">
        <v>118.31</v>
      </c>
      <c r="T52" s="127">
        <v>118.31</v>
      </c>
      <c r="U52" s="128">
        <v>0</v>
      </c>
      <c r="V52" s="128">
        <v>1</v>
      </c>
      <c r="W52" s="93"/>
    </row>
    <row r="53" spans="2:26" ht="15.75" customHeight="1">
      <c r="D53" s="83"/>
      <c r="E53" s="97"/>
      <c r="H53" t="s">
        <v>112</v>
      </c>
      <c r="I53" t="s">
        <v>112</v>
      </c>
      <c r="J53" s="102"/>
      <c r="K53">
        <v>0</v>
      </c>
      <c r="L53" t="s">
        <v>112</v>
      </c>
      <c r="M53" t="s">
        <v>112</v>
      </c>
      <c r="N53" s="104"/>
      <c r="O53" s="90"/>
      <c r="P53" s="95"/>
      <c r="Q53" s="99"/>
      <c r="R53" s="105"/>
      <c r="S53" t="s">
        <v>112</v>
      </c>
      <c r="T53" t="s">
        <v>112</v>
      </c>
      <c r="U53" s="128">
        <v>0</v>
      </c>
      <c r="V53" s="128">
        <v>0</v>
      </c>
      <c r="W53" s="108"/>
    </row>
    <row r="54" spans="2:26" ht="15.75" customHeight="1">
      <c r="B54" t="s">
        <v>484</v>
      </c>
      <c r="C54" t="s">
        <v>485</v>
      </c>
      <c r="D54" s="83"/>
      <c r="E54" s="84"/>
      <c r="F54">
        <v>2</v>
      </c>
      <c r="G54" s="127">
        <v>2950.6</v>
      </c>
      <c r="H54" s="127">
        <v>796.66</v>
      </c>
      <c r="I54" s="127">
        <v>5901.2</v>
      </c>
      <c r="J54" s="102"/>
      <c r="K54">
        <v>2</v>
      </c>
      <c r="L54" s="127">
        <v>1475.3</v>
      </c>
      <c r="M54" s="127">
        <v>2950.6</v>
      </c>
      <c r="N54" s="111"/>
      <c r="O54" s="90"/>
      <c r="P54" s="112"/>
      <c r="Q54" s="91"/>
      <c r="R54" s="91"/>
      <c r="S54" s="127">
        <v>1475.3</v>
      </c>
      <c r="T54" s="127">
        <v>2950.6</v>
      </c>
      <c r="U54" s="128">
        <v>0</v>
      </c>
      <c r="V54" s="128">
        <v>1</v>
      </c>
      <c r="W54" s="93"/>
    </row>
    <row r="55" spans="2:26" ht="15.75" customHeight="1">
      <c r="B55" t="s">
        <v>486</v>
      </c>
      <c r="C55" t="s">
        <v>487</v>
      </c>
      <c r="D55" s="83"/>
      <c r="E55" s="97"/>
      <c r="F55">
        <v>2</v>
      </c>
      <c r="G55" s="127">
        <v>3280.6</v>
      </c>
      <c r="H55" s="127">
        <v>885.76</v>
      </c>
      <c r="I55" s="127">
        <v>6561.2</v>
      </c>
      <c r="J55" s="102"/>
      <c r="K55">
        <v>2</v>
      </c>
      <c r="L55" s="127">
        <v>1640.3</v>
      </c>
      <c r="M55" s="127">
        <v>3280.6</v>
      </c>
      <c r="N55" s="104"/>
      <c r="O55" s="90"/>
      <c r="P55" s="95"/>
      <c r="Q55" s="99"/>
      <c r="R55" s="105"/>
      <c r="S55" s="127">
        <v>1640.3</v>
      </c>
      <c r="T55" s="127">
        <v>3280.6</v>
      </c>
      <c r="U55" s="128">
        <v>0</v>
      </c>
      <c r="V55" s="128">
        <v>1</v>
      </c>
      <c r="W55" s="108"/>
    </row>
    <row r="56" spans="2:26" ht="15.75" customHeight="1">
      <c r="D56" s="83"/>
      <c r="E56" s="84"/>
      <c r="G56" s="127"/>
      <c r="H56" s="127"/>
      <c r="I56" s="127"/>
      <c r="J56" s="102"/>
      <c r="L56" s="127"/>
      <c r="M56" s="127"/>
      <c r="N56" s="111"/>
      <c r="O56" s="90"/>
      <c r="P56" s="112"/>
      <c r="Q56" s="91"/>
      <c r="R56" s="91"/>
      <c r="S56" s="127"/>
      <c r="T56" s="127"/>
      <c r="U56" s="128"/>
      <c r="V56" s="128"/>
      <c r="W56" s="108"/>
    </row>
    <row r="57" spans="2:26" ht="15.75" customHeight="1">
      <c r="D57" s="83"/>
      <c r="E57" s="97"/>
      <c r="G57" s="127"/>
      <c r="H57" s="127"/>
      <c r="I57" s="127"/>
      <c r="J57" s="102"/>
      <c r="L57" s="127"/>
      <c r="M57" s="127"/>
      <c r="N57" s="104"/>
      <c r="O57" s="90"/>
      <c r="P57" s="95"/>
      <c r="Q57" s="99"/>
      <c r="R57" s="105"/>
      <c r="S57" s="127"/>
      <c r="T57" s="127"/>
      <c r="U57" s="128"/>
      <c r="V57" s="128"/>
      <c r="W57" s="108"/>
    </row>
    <row r="58" spans="2:26" ht="15.75" customHeight="1">
      <c r="D58" s="83"/>
      <c r="E58" s="84"/>
      <c r="G58" s="127"/>
      <c r="H58" s="127"/>
      <c r="I58" s="127"/>
      <c r="J58" s="102"/>
      <c r="L58" s="127"/>
      <c r="M58" s="127"/>
      <c r="N58" s="111"/>
      <c r="O58" s="90"/>
      <c r="P58" s="112"/>
      <c r="Q58" s="91"/>
      <c r="R58" s="91"/>
      <c r="S58" s="127"/>
      <c r="T58" s="127"/>
      <c r="U58" s="128"/>
      <c r="V58" s="128"/>
      <c r="W58" s="108"/>
    </row>
    <row r="59" spans="2:26" ht="15.75" customHeight="1">
      <c r="D59" s="83"/>
      <c r="E59" s="97"/>
      <c r="G59" s="127"/>
      <c r="H59" s="127"/>
      <c r="I59" s="127"/>
      <c r="J59" s="102"/>
      <c r="L59" s="127"/>
      <c r="M59" s="127"/>
      <c r="N59" s="104"/>
      <c r="O59" s="90"/>
      <c r="P59" s="95"/>
      <c r="Q59" s="99"/>
      <c r="R59" s="105"/>
      <c r="S59" s="127"/>
      <c r="T59" s="127"/>
      <c r="U59" s="128"/>
      <c r="V59" s="128"/>
      <c r="W59" s="108"/>
    </row>
    <row r="60" spans="2:26" ht="15.75" customHeight="1">
      <c r="D60" s="83"/>
      <c r="E60" s="84"/>
      <c r="G60" s="127"/>
      <c r="H60" s="127"/>
      <c r="I60" s="127"/>
      <c r="J60" s="102"/>
      <c r="L60" s="127"/>
      <c r="M60" s="127"/>
      <c r="N60" s="111"/>
      <c r="O60" s="90"/>
      <c r="P60" s="112"/>
      <c r="Q60" s="91"/>
      <c r="R60" s="91"/>
      <c r="S60" s="127"/>
      <c r="T60" s="127"/>
      <c r="U60" s="128"/>
      <c r="V60" s="128"/>
      <c r="W60" s="108"/>
    </row>
    <row r="61" spans="2:26" ht="15.75" customHeight="1">
      <c r="D61" s="83"/>
      <c r="E61" s="97"/>
      <c r="J61" s="102"/>
      <c r="N61" s="104"/>
      <c r="O61" s="90"/>
      <c r="P61" s="95"/>
      <c r="Q61" s="99"/>
      <c r="R61" s="105"/>
      <c r="U61" s="128"/>
      <c r="V61" s="128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128"/>
      <c r="V62" s="128"/>
      <c r="W62" s="108"/>
    </row>
    <row r="63" spans="2:26" ht="15.75" customHeight="1">
      <c r="B63" s="129"/>
      <c r="D63" s="83"/>
      <c r="E63" s="97"/>
      <c r="G63" s="127"/>
      <c r="H63" s="127"/>
      <c r="I63" s="127"/>
      <c r="J63" s="102"/>
      <c r="L63" s="127"/>
      <c r="M63" s="127"/>
      <c r="N63" s="104"/>
      <c r="O63" s="90"/>
      <c r="P63" s="95"/>
      <c r="Q63" s="99"/>
      <c r="R63" s="105"/>
      <c r="S63" s="127"/>
      <c r="T63" s="127"/>
      <c r="U63" s="128"/>
      <c r="V63" s="128"/>
      <c r="W63" s="108"/>
    </row>
    <row r="64" spans="2:26" ht="15.75" customHeight="1">
      <c r="D64" s="83"/>
      <c r="E64" s="84"/>
      <c r="G64" s="127"/>
      <c r="H64" s="127"/>
      <c r="I64" s="127"/>
      <c r="J64" s="102"/>
      <c r="L64" s="127"/>
      <c r="M64" s="127"/>
      <c r="N64" s="111"/>
      <c r="O64" s="90"/>
      <c r="P64" s="112"/>
      <c r="Q64" s="91"/>
      <c r="R64" s="91"/>
      <c r="S64" s="127"/>
      <c r="T64" s="127"/>
      <c r="U64" s="128"/>
      <c r="V64" s="128"/>
      <c r="W64" s="108"/>
    </row>
    <row r="65" spans="2:26" ht="15.75" customHeight="1">
      <c r="D65" s="83"/>
      <c r="E65" s="97"/>
      <c r="G65" s="127"/>
      <c r="H65" s="127"/>
      <c r="I65" s="127"/>
      <c r="J65" s="102"/>
      <c r="L65" s="127"/>
      <c r="M65" s="127"/>
      <c r="N65" s="104"/>
      <c r="O65" s="90"/>
      <c r="P65" s="95"/>
      <c r="Q65" s="99"/>
      <c r="R65" s="105"/>
      <c r="S65" s="127"/>
      <c r="T65" s="127"/>
      <c r="U65" s="128"/>
      <c r="V65" s="128"/>
      <c r="W65" s="108"/>
    </row>
    <row r="66" spans="2:26">
      <c r="B66" s="129"/>
      <c r="D66" s="83"/>
      <c r="E66" s="84"/>
      <c r="G66" s="127"/>
      <c r="H66" s="127"/>
      <c r="I66" s="127"/>
      <c r="J66" s="102"/>
      <c r="L66" s="127"/>
      <c r="M66" s="127"/>
      <c r="N66" s="111"/>
      <c r="O66" s="90"/>
      <c r="P66" s="112"/>
      <c r="Q66" s="91"/>
      <c r="R66" s="91"/>
      <c r="S66" s="127"/>
      <c r="T66" s="127"/>
      <c r="U66" s="128"/>
      <c r="V66" s="128"/>
      <c r="W66" s="93"/>
      <c r="X66" s="94"/>
      <c r="Y66" s="4"/>
      <c r="Z66" s="4"/>
    </row>
    <row r="67" spans="2:26" ht="15.75" customHeight="1">
      <c r="D67" s="83"/>
      <c r="E67" s="97"/>
      <c r="G67" s="127"/>
      <c r="H67" s="127"/>
      <c r="I67" s="127"/>
      <c r="J67" s="102"/>
      <c r="L67" s="127"/>
      <c r="M67" s="127"/>
      <c r="N67" s="104"/>
      <c r="O67" s="90"/>
      <c r="P67" s="95"/>
      <c r="Q67" s="99"/>
      <c r="R67" s="105"/>
      <c r="S67" s="127"/>
      <c r="T67" s="127"/>
      <c r="U67" s="128"/>
      <c r="V67" s="128"/>
      <c r="W67" s="108"/>
      <c r="X67" s="94"/>
      <c r="Y67" s="4"/>
      <c r="Z67" s="4"/>
    </row>
    <row r="68" spans="2:26" ht="15.75" customHeight="1">
      <c r="D68" s="83"/>
      <c r="E68" s="84"/>
      <c r="J68" s="102"/>
      <c r="N68" s="111"/>
      <c r="O68" s="90"/>
      <c r="P68" s="112"/>
      <c r="Q68" s="91"/>
      <c r="R68" s="91"/>
      <c r="U68" s="128"/>
      <c r="V68" s="128"/>
      <c r="W68" s="93"/>
      <c r="X68" s="94"/>
      <c r="Y68" s="4"/>
      <c r="Z68" s="4"/>
    </row>
    <row r="69" spans="2:26" ht="15.75" customHeight="1">
      <c r="D69" s="83"/>
      <c r="E69" s="97"/>
      <c r="J69" s="102"/>
      <c r="N69" s="104"/>
      <c r="O69" s="90"/>
      <c r="P69" s="95"/>
      <c r="Q69" s="99"/>
      <c r="R69" s="105"/>
      <c r="U69" s="128"/>
      <c r="V69" s="128"/>
      <c r="W69" s="108"/>
      <c r="X69" s="94"/>
      <c r="Y69" s="4"/>
      <c r="Z69" s="4"/>
    </row>
    <row r="70" spans="2:26" ht="15.75" customHeight="1">
      <c r="D70" s="83"/>
      <c r="E70" s="84"/>
      <c r="G70" s="127"/>
      <c r="H70" s="127"/>
      <c r="I70" s="127"/>
      <c r="J70" s="102"/>
      <c r="L70" s="127"/>
      <c r="M70" s="127"/>
      <c r="N70" s="111"/>
      <c r="O70" s="90"/>
      <c r="P70" s="112"/>
      <c r="Q70" s="91"/>
      <c r="R70" s="91"/>
      <c r="S70" s="127"/>
      <c r="T70" s="127"/>
      <c r="U70" s="128"/>
      <c r="V70" s="128"/>
      <c r="W70" s="93"/>
      <c r="X70" s="94"/>
      <c r="Y70" s="4"/>
      <c r="Z70" s="4"/>
    </row>
    <row r="71" spans="2:26" ht="15.75" customHeight="1">
      <c r="D71" s="83"/>
      <c r="E71" s="97"/>
      <c r="G71" s="127"/>
      <c r="H71" s="127"/>
      <c r="I71" s="127"/>
      <c r="J71" s="102"/>
      <c r="L71" s="127"/>
      <c r="M71" s="127"/>
      <c r="N71" s="104"/>
      <c r="O71" s="90"/>
      <c r="P71" s="95"/>
      <c r="Q71" s="99"/>
      <c r="R71" s="105"/>
      <c r="S71" s="127"/>
      <c r="T71" s="127"/>
      <c r="U71" s="128"/>
      <c r="V71" s="128"/>
      <c r="W71" s="108"/>
      <c r="X71" s="94"/>
      <c r="Y71" s="4"/>
      <c r="Z71" s="4"/>
    </row>
    <row r="72" spans="2:26" ht="15.75" customHeight="1">
      <c r="D72" s="83"/>
      <c r="E72" s="84"/>
      <c r="G72" s="127"/>
      <c r="H72" s="127"/>
      <c r="I72" s="127"/>
      <c r="J72" s="102"/>
      <c r="L72" s="127"/>
      <c r="M72" s="127"/>
      <c r="N72" s="111"/>
      <c r="O72" s="90"/>
      <c r="P72" s="112"/>
      <c r="Q72" s="91"/>
      <c r="R72" s="91"/>
      <c r="S72" s="127"/>
      <c r="T72" s="127"/>
      <c r="U72" s="128"/>
      <c r="V72" s="128"/>
      <c r="W72" s="93"/>
      <c r="X72" s="94"/>
      <c r="Y72" s="4"/>
      <c r="Z72" s="4"/>
    </row>
    <row r="73" spans="2:26" ht="15.75" customHeight="1">
      <c r="D73" s="83"/>
      <c r="E73" s="97"/>
      <c r="G73" s="127"/>
      <c r="H73" s="127"/>
      <c r="I73" s="127"/>
      <c r="J73" s="102"/>
      <c r="L73" s="127"/>
      <c r="M73" s="127"/>
      <c r="N73" s="104"/>
      <c r="O73" s="90"/>
      <c r="P73" s="95"/>
      <c r="Q73" s="99"/>
      <c r="R73" s="105"/>
      <c r="S73" s="127"/>
      <c r="T73" s="127"/>
      <c r="U73" s="128"/>
      <c r="V73" s="128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128"/>
      <c r="V74" s="128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128"/>
      <c r="V75" s="128"/>
      <c r="W75" s="93"/>
      <c r="X75" s="94"/>
      <c r="Y75" s="4"/>
      <c r="Z75" s="4"/>
    </row>
    <row r="76" spans="2:26" ht="15.75" customHeight="1">
      <c r="D76" s="83"/>
      <c r="E76" s="97"/>
      <c r="G76" s="127"/>
      <c r="H76" s="127"/>
      <c r="I76" s="127"/>
      <c r="J76" s="102"/>
      <c r="L76" s="127"/>
      <c r="M76" s="127"/>
      <c r="N76" s="104"/>
      <c r="O76" s="90"/>
      <c r="P76" s="95"/>
      <c r="Q76" s="99"/>
      <c r="R76" s="105"/>
      <c r="S76" s="127"/>
      <c r="T76" s="127"/>
      <c r="U76" s="128"/>
      <c r="V76" s="128"/>
      <c r="W76" s="108"/>
      <c r="X76" s="94"/>
      <c r="Y76" s="4"/>
      <c r="Z76" s="4"/>
    </row>
    <row r="77" spans="2:26" ht="15.75" customHeight="1">
      <c r="D77" s="83"/>
      <c r="E77" s="84"/>
      <c r="G77" s="127"/>
      <c r="H77" s="127"/>
      <c r="I77" s="127"/>
      <c r="J77" s="102"/>
      <c r="L77" s="127"/>
      <c r="M77" s="127"/>
      <c r="N77" s="111"/>
      <c r="O77" s="90"/>
      <c r="P77" s="112"/>
      <c r="Q77" s="91"/>
      <c r="R77" s="91"/>
      <c r="S77" s="127"/>
      <c r="T77" s="127"/>
      <c r="U77" s="128"/>
      <c r="V77" s="128"/>
      <c r="W77" s="93"/>
    </row>
    <row r="78" spans="2:26" ht="15.75" customHeight="1">
      <c r="D78" s="83"/>
      <c r="E78" s="97"/>
      <c r="G78" s="127"/>
      <c r="H78" s="127"/>
      <c r="I78" s="127"/>
      <c r="J78" s="102"/>
      <c r="L78" s="127"/>
      <c r="M78" s="127"/>
      <c r="N78" s="104"/>
      <c r="O78" s="90"/>
      <c r="P78" s="95"/>
      <c r="Q78" s="99"/>
      <c r="R78" s="105"/>
      <c r="S78" s="127"/>
      <c r="T78" s="127"/>
      <c r="U78" s="128"/>
      <c r="V78" s="128"/>
      <c r="W78" s="108"/>
    </row>
    <row r="79" spans="2:26" ht="15.75" customHeight="1">
      <c r="D79" s="83"/>
      <c r="E79" s="84"/>
      <c r="G79" s="127"/>
      <c r="H79" s="127"/>
      <c r="I79" s="127"/>
      <c r="J79" s="102"/>
      <c r="L79" s="127"/>
      <c r="M79" s="127"/>
      <c r="N79" s="111"/>
      <c r="O79" s="90"/>
      <c r="P79" s="112"/>
      <c r="Q79" s="91"/>
      <c r="R79" s="91"/>
      <c r="S79" s="127"/>
      <c r="T79" s="127"/>
      <c r="U79" s="128"/>
      <c r="V79" s="128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128"/>
      <c r="V80" s="128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128"/>
      <c r="V81" s="128"/>
      <c r="W81" s="93"/>
    </row>
    <row r="82" spans="4:26" ht="15.75" customHeight="1">
      <c r="D82" s="83"/>
      <c r="E82" s="97"/>
      <c r="G82" s="127"/>
      <c r="H82" s="127"/>
      <c r="I82" s="127"/>
      <c r="J82" s="102"/>
      <c r="L82" s="127"/>
      <c r="M82" s="127"/>
      <c r="N82" s="104"/>
      <c r="O82" s="90"/>
      <c r="P82" s="95"/>
      <c r="Q82" s="99"/>
      <c r="R82" s="105"/>
      <c r="S82" s="127"/>
      <c r="T82" s="127"/>
      <c r="U82" s="128"/>
      <c r="V82" s="128"/>
      <c r="W82" s="108"/>
    </row>
    <row r="83" spans="4:26" ht="15.75" customHeight="1">
      <c r="D83" s="83"/>
      <c r="E83" s="84"/>
      <c r="G83" s="127"/>
      <c r="H83" s="127"/>
      <c r="I83" s="127"/>
      <c r="J83" s="102"/>
      <c r="L83" s="127"/>
      <c r="M83" s="127"/>
      <c r="N83" s="111"/>
      <c r="O83" s="90"/>
      <c r="P83" s="112"/>
      <c r="Q83" s="91"/>
      <c r="R83" s="91"/>
      <c r="S83" s="127"/>
      <c r="T83" s="127"/>
      <c r="U83" s="128"/>
      <c r="V83" s="128"/>
      <c r="W83" s="108"/>
    </row>
    <row r="84" spans="4:26" ht="15.75" customHeight="1">
      <c r="D84" s="83"/>
      <c r="E84" s="97"/>
      <c r="G84" s="127"/>
      <c r="H84" s="127"/>
      <c r="I84" s="127"/>
      <c r="J84" s="102"/>
      <c r="L84" s="127"/>
      <c r="M84" s="127"/>
      <c r="N84" s="104"/>
      <c r="O84" s="90"/>
      <c r="P84" s="95"/>
      <c r="Q84" s="99"/>
      <c r="R84" s="105"/>
      <c r="S84" s="127"/>
      <c r="T84" s="127"/>
      <c r="U84" s="128"/>
      <c r="V84" s="128"/>
      <c r="W84" s="108"/>
    </row>
    <row r="85" spans="4:26" ht="15.75" customHeight="1">
      <c r="D85" s="83"/>
      <c r="E85" s="84"/>
      <c r="G85" s="127"/>
      <c r="H85" s="127"/>
      <c r="I85" s="127"/>
      <c r="J85" s="102"/>
      <c r="L85" s="127"/>
      <c r="M85" s="127"/>
      <c r="N85" s="111"/>
      <c r="O85" s="90"/>
      <c r="P85" s="112"/>
      <c r="Q85" s="91"/>
      <c r="R85" s="91"/>
      <c r="S85" s="127"/>
      <c r="T85" s="127"/>
      <c r="U85" s="128"/>
      <c r="V85" s="128"/>
      <c r="W85" s="108"/>
    </row>
    <row r="86" spans="4:26" ht="15.75" customHeight="1">
      <c r="D86" s="83"/>
      <c r="E86" s="97"/>
      <c r="G86" s="127"/>
      <c r="H86" s="127"/>
      <c r="I86" s="127"/>
      <c r="J86" s="102"/>
      <c r="L86" s="127"/>
      <c r="M86" s="127"/>
      <c r="N86" s="104"/>
      <c r="O86" s="90"/>
      <c r="P86" s="95"/>
      <c r="Q86" s="99"/>
      <c r="R86" s="105"/>
      <c r="S86" s="127"/>
      <c r="T86" s="127"/>
      <c r="U86" s="128"/>
      <c r="V86" s="128"/>
      <c r="W86" s="108"/>
    </row>
    <row r="87" spans="4:26" ht="15.75" customHeight="1">
      <c r="D87" s="83"/>
      <c r="E87" s="84"/>
      <c r="G87" s="127"/>
      <c r="H87" s="127"/>
      <c r="I87" s="127"/>
      <c r="J87" s="102"/>
      <c r="L87" s="127"/>
      <c r="M87" s="127"/>
      <c r="N87" s="111"/>
      <c r="O87" s="90"/>
      <c r="P87" s="112"/>
      <c r="Q87" s="91"/>
      <c r="R87" s="91"/>
      <c r="S87" s="127"/>
      <c r="T87" s="127"/>
      <c r="U87" s="128"/>
      <c r="V87" s="128"/>
      <c r="W87" s="108"/>
    </row>
    <row r="88" spans="4:26" ht="15.75" customHeight="1">
      <c r="D88" s="83"/>
      <c r="E88" s="97"/>
      <c r="G88" s="127"/>
      <c r="H88" s="127"/>
      <c r="I88" s="127"/>
      <c r="J88" s="102"/>
      <c r="L88" s="127"/>
      <c r="M88" s="127"/>
      <c r="N88" s="104"/>
      <c r="O88" s="90"/>
      <c r="P88" s="95"/>
      <c r="Q88" s="99"/>
      <c r="R88" s="105"/>
      <c r="S88" s="127"/>
      <c r="T88" s="127"/>
      <c r="U88" s="128"/>
      <c r="V88" s="128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128"/>
      <c r="V89" s="128"/>
      <c r="W89" s="108"/>
    </row>
    <row r="90" spans="4:26" ht="15.75" customHeight="1">
      <c r="D90" s="83"/>
      <c r="E90" s="97"/>
      <c r="G90" s="127"/>
      <c r="H90" s="127"/>
      <c r="I90" s="127"/>
      <c r="J90" s="102"/>
      <c r="L90" s="127"/>
      <c r="M90" s="127"/>
      <c r="N90" s="104"/>
      <c r="O90" s="90"/>
      <c r="P90" s="95"/>
      <c r="Q90" s="99"/>
      <c r="R90" s="105"/>
      <c r="S90" s="127"/>
      <c r="T90" s="127"/>
      <c r="U90" s="128"/>
      <c r="V90" s="128"/>
      <c r="W90" s="108"/>
    </row>
    <row r="91" spans="4:26" ht="15.75" customHeight="1">
      <c r="D91" s="83"/>
      <c r="E91" s="84"/>
      <c r="G91" s="127"/>
      <c r="H91" s="127"/>
      <c r="I91" s="127"/>
      <c r="J91" s="102"/>
      <c r="L91" s="127"/>
      <c r="M91" s="127"/>
      <c r="N91" s="111"/>
      <c r="O91" s="90"/>
      <c r="P91" s="112"/>
      <c r="Q91" s="91"/>
      <c r="R91" s="91"/>
      <c r="S91" s="127"/>
      <c r="T91" s="127"/>
      <c r="U91" s="128"/>
      <c r="V91" s="128"/>
      <c r="W91" s="108"/>
    </row>
    <row r="92" spans="4:26" ht="15.75" customHeight="1">
      <c r="D92" s="83"/>
      <c r="E92" s="97"/>
      <c r="G92" s="127"/>
      <c r="H92" s="127"/>
      <c r="I92" s="127"/>
      <c r="J92" s="102"/>
      <c r="L92" s="127"/>
      <c r="M92" s="127"/>
      <c r="N92" s="104"/>
      <c r="O92" s="90"/>
      <c r="P92" s="95"/>
      <c r="Q92" s="99"/>
      <c r="R92" s="105"/>
      <c r="S92" s="127"/>
      <c r="T92" s="127"/>
      <c r="U92" s="128"/>
      <c r="V92" s="128"/>
      <c r="W92" s="108"/>
    </row>
    <row r="93" spans="4:26" ht="15.75" customHeight="1">
      <c r="D93" s="83"/>
      <c r="E93" s="84"/>
      <c r="G93" s="127"/>
      <c r="H93" s="127"/>
      <c r="I93" s="127"/>
      <c r="J93" s="102"/>
      <c r="L93" s="127"/>
      <c r="M93" s="127"/>
      <c r="N93" s="111"/>
      <c r="O93" s="90"/>
      <c r="P93" s="112"/>
      <c r="Q93" s="91"/>
      <c r="R93" s="91"/>
      <c r="S93" s="127"/>
      <c r="T93" s="127"/>
      <c r="U93" s="128"/>
      <c r="V93" s="128"/>
      <c r="W93" s="108"/>
    </row>
    <row r="94" spans="4:26" ht="15.75" customHeight="1">
      <c r="D94" s="83"/>
      <c r="E94" s="97"/>
      <c r="G94" s="127"/>
      <c r="H94" s="127"/>
      <c r="I94" s="127"/>
      <c r="J94" s="102"/>
      <c r="L94" s="127"/>
      <c r="M94" s="127"/>
      <c r="N94" s="104"/>
      <c r="O94" s="90"/>
      <c r="P94" s="95"/>
      <c r="Q94" s="99"/>
      <c r="R94" s="105"/>
      <c r="S94" s="127"/>
      <c r="T94" s="127"/>
      <c r="U94" s="128"/>
      <c r="V94" s="128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128"/>
      <c r="V95" s="128"/>
      <c r="W95" s="93"/>
      <c r="X95" s="94"/>
      <c r="Y95" s="4"/>
      <c r="Z95" s="4"/>
    </row>
    <row r="96" spans="4:26" ht="15.75" customHeight="1">
      <c r="D96" s="83"/>
      <c r="E96" s="97"/>
      <c r="G96" s="127"/>
      <c r="H96" s="127"/>
      <c r="I96" s="127"/>
      <c r="J96" s="102"/>
      <c r="L96" s="127"/>
      <c r="M96" s="127"/>
      <c r="N96" s="104"/>
      <c r="O96" s="90"/>
      <c r="P96" s="95"/>
      <c r="Q96" s="99"/>
      <c r="R96" s="105"/>
      <c r="S96" s="127"/>
      <c r="T96" s="127"/>
      <c r="U96" s="128"/>
      <c r="V96" s="128"/>
      <c r="W96" s="108"/>
      <c r="X96" s="94"/>
      <c r="Y96" s="4"/>
      <c r="Z96" s="4"/>
    </row>
    <row r="97" spans="2:23" ht="15.75" customHeight="1">
      <c r="D97" s="83"/>
      <c r="E97" s="84"/>
      <c r="G97" s="127"/>
      <c r="H97" s="127"/>
      <c r="I97" s="127"/>
      <c r="J97" s="102"/>
      <c r="L97" s="127"/>
      <c r="M97" s="127"/>
      <c r="N97" s="111"/>
      <c r="O97" s="90"/>
      <c r="P97" s="112"/>
      <c r="Q97" s="91"/>
      <c r="R97" s="91"/>
      <c r="S97" s="127"/>
      <c r="T97" s="127"/>
      <c r="U97" s="128"/>
      <c r="V97" s="128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128"/>
      <c r="V98" s="128"/>
      <c r="W98" s="108"/>
    </row>
    <row r="99" spans="2:23" ht="15.75" customHeight="1">
      <c r="D99" s="83"/>
      <c r="E99" s="84"/>
      <c r="G99" s="127"/>
      <c r="H99" s="127"/>
      <c r="I99" s="127"/>
      <c r="J99" s="102"/>
      <c r="L99" s="127"/>
      <c r="M99" s="127"/>
      <c r="N99" s="111"/>
      <c r="O99" s="90"/>
      <c r="P99" s="112"/>
      <c r="Q99" s="91"/>
      <c r="R99" s="91"/>
      <c r="S99" s="127"/>
      <c r="T99" s="127"/>
      <c r="U99" s="128"/>
      <c r="V99" s="128"/>
      <c r="W99" s="93"/>
    </row>
    <row r="100" spans="2:23" ht="15.75" customHeight="1">
      <c r="D100" s="83"/>
      <c r="E100" s="97"/>
      <c r="G100" s="127"/>
      <c r="H100" s="127"/>
      <c r="I100" s="127"/>
      <c r="J100" s="102"/>
      <c r="L100" s="127"/>
      <c r="M100" s="127"/>
      <c r="N100" s="104"/>
      <c r="O100" s="90"/>
      <c r="P100" s="95"/>
      <c r="Q100" s="99"/>
      <c r="R100" s="105"/>
      <c r="S100" s="127"/>
      <c r="T100" s="127"/>
      <c r="U100" s="128"/>
      <c r="V100" s="128"/>
      <c r="W100" s="108"/>
    </row>
    <row r="101" spans="2:23" ht="15.75" customHeight="1">
      <c r="D101" s="83"/>
      <c r="E101" s="84"/>
      <c r="G101" s="127"/>
      <c r="H101" s="127"/>
      <c r="I101" s="127"/>
      <c r="J101" s="102"/>
      <c r="L101" s="127"/>
      <c r="M101" s="127"/>
      <c r="N101" s="111"/>
      <c r="O101" s="90"/>
      <c r="P101" s="112"/>
      <c r="Q101" s="91"/>
      <c r="R101" s="91"/>
      <c r="S101" s="127"/>
      <c r="T101" s="127"/>
      <c r="U101" s="128"/>
      <c r="V101" s="128"/>
      <c r="W101" s="93"/>
    </row>
    <row r="102" spans="2:23" ht="15.75" customHeight="1">
      <c r="D102" s="83"/>
      <c r="E102" s="97"/>
      <c r="G102" s="127"/>
      <c r="H102" s="127"/>
      <c r="I102" s="127"/>
      <c r="J102" s="102"/>
      <c r="L102" s="127"/>
      <c r="M102" s="127"/>
      <c r="N102" s="104"/>
      <c r="O102" s="90"/>
      <c r="P102" s="95"/>
      <c r="Q102" s="99"/>
      <c r="R102" s="105"/>
      <c r="S102" s="127"/>
      <c r="T102" s="127"/>
      <c r="U102" s="128"/>
      <c r="V102" s="128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57</v>
      </c>
      <c r="G114" s="118">
        <f>SUM(G19:G113)</f>
        <v>64933.570000000007</v>
      </c>
      <c r="H114" s="119">
        <f>SUM(H19:H113)</f>
        <v>17532.039999999997</v>
      </c>
      <c r="I114" s="120">
        <f>SUM(I19:I113)</f>
        <v>72809.290000000008</v>
      </c>
      <c r="J114" s="121"/>
      <c r="K114" s="122">
        <f>SUM(K19:K113)</f>
        <v>57</v>
      </c>
      <c r="L114" s="119">
        <f>SUM(L19:L113)</f>
        <v>32466.830000000005</v>
      </c>
      <c r="M114" s="120">
        <f>SUM(M19:M113)</f>
        <v>36404.69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32466.830000000005</v>
      </c>
      <c r="T114" s="120">
        <f>SUM(T19:T113)</f>
        <v>36404.69</v>
      </c>
      <c r="U114" s="125"/>
      <c r="V114" s="125"/>
      <c r="W114" s="126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11" priority="1" stopIfTrue="1">
      <formula>$U$9&gt;100%</formula>
    </cfRule>
    <cfRule type="expression" dxfId="10" priority="2">
      <formula>$U$9&lt;50%</formula>
    </cfRule>
  </conditionalFormatting>
  <conditionalFormatting sqref="V9:V11">
    <cfRule type="expression" dxfId="9" priority="3">
      <formula>$V$9&lt;50%</formula>
    </cfRule>
    <cfRule type="expression" dxfId="8" priority="4">
      <formula>$V$9&gt;50%</formula>
    </cfRule>
  </conditionalFormatting>
  <dataValidations count="4">
    <dataValidation type="list" allowBlank="1" showErrorMessage="1" sqref="Q15 G18 L18 Q18" xr:uid="{1646C648-F7AA-48BA-AB8E-0DDF006935A7}">
      <formula1>$Y$12:$Y$13</formula1>
    </dataValidation>
    <dataValidation type="list" allowBlank="1" showErrorMessage="1" sqref="J14" xr:uid="{5476416D-AD29-4E4C-B4D1-CE15047B5D20}">
      <formula1>$L$9</formula1>
    </dataValidation>
    <dataValidation type="list" allowBlank="1" showErrorMessage="1" sqref="I14" xr:uid="{5D563A14-4B9C-451B-A50F-6EED3998A89B}">
      <formula1>$Y$14:$Y$15</formula1>
    </dataValidation>
    <dataValidation type="list" allowBlank="1" showErrorMessage="1" sqref="E19:E113" xr:uid="{F932FDE4-F636-4361-BDF8-F8BB220C3E22}">
      <formula1>$Z$19:$Z$94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C7B3-FFC9-4250-AAA1-0800AEAAB6C6}">
  <sheetPr>
    <pageSetUpPr fitToPage="1"/>
  </sheetPr>
  <dimension ref="B1:Z114"/>
  <sheetViews>
    <sheetView zoomScale="85" zoomScaleNormal="85" workbookViewId="0">
      <pane ySplit="18" topLeftCell="A81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18" t="s">
        <v>0</v>
      </c>
      <c r="C1" s="219"/>
      <c r="D1" s="220" t="s">
        <v>1</v>
      </c>
      <c r="E1" s="221"/>
      <c r="F1" s="221"/>
      <c r="G1" s="221"/>
      <c r="H1" s="184"/>
      <c r="I1" s="218" t="s">
        <v>2</v>
      </c>
      <c r="J1" s="222"/>
      <c r="K1" s="222"/>
      <c r="L1" s="181"/>
      <c r="M1" s="223" t="s">
        <v>3</v>
      </c>
      <c r="N1" s="224"/>
      <c r="O1" s="225"/>
      <c r="P1" s="226" t="str">
        <f>L18</f>
        <v>CAD $</v>
      </c>
      <c r="Q1" s="222"/>
      <c r="R1" s="181"/>
      <c r="S1" s="218" t="s">
        <v>4</v>
      </c>
      <c r="T1" s="222"/>
      <c r="U1" s="222"/>
      <c r="V1" s="222"/>
      <c r="W1" s="181"/>
      <c r="X1" s="2"/>
      <c r="Y1" s="3"/>
    </row>
    <row r="2" spans="2:25" ht="15" customHeight="1">
      <c r="B2" s="5" t="s">
        <v>5</v>
      </c>
      <c r="C2" s="6"/>
      <c r="D2" s="193" t="s">
        <v>6</v>
      </c>
      <c r="E2" s="135"/>
      <c r="F2" s="136"/>
      <c r="G2" s="194"/>
      <c r="H2" s="136"/>
      <c r="I2" s="215" t="s">
        <v>7</v>
      </c>
      <c r="J2" s="133"/>
      <c r="K2" s="131"/>
      <c r="L2" s="8"/>
      <c r="M2" s="216" t="s">
        <v>8</v>
      </c>
      <c r="N2" s="131"/>
      <c r="O2" s="9"/>
      <c r="P2" s="217">
        <f>I114</f>
        <v>170715.87</v>
      </c>
      <c r="Q2" s="133"/>
      <c r="R2" s="131"/>
      <c r="S2" s="216" t="s">
        <v>9</v>
      </c>
      <c r="T2" s="131"/>
      <c r="U2" s="214"/>
      <c r="V2" s="131"/>
      <c r="W2" s="10"/>
      <c r="X2" s="11"/>
      <c r="Y2" s="3"/>
    </row>
    <row r="3" spans="2:25" ht="15" customHeight="1">
      <c r="B3" s="12" t="s">
        <v>10</v>
      </c>
      <c r="C3" s="7"/>
      <c r="D3" s="193" t="s">
        <v>11</v>
      </c>
      <c r="E3" s="135"/>
      <c r="F3" s="136"/>
      <c r="G3" s="194"/>
      <c r="H3" s="136"/>
      <c r="I3" s="193" t="s">
        <v>12</v>
      </c>
      <c r="J3" s="135"/>
      <c r="K3" s="136"/>
      <c r="L3" s="13"/>
      <c r="M3" s="197" t="s">
        <v>13</v>
      </c>
      <c r="N3" s="136"/>
      <c r="O3" s="9"/>
      <c r="P3" s="213">
        <f>M114</f>
        <v>85358.25</v>
      </c>
      <c r="Q3" s="135"/>
      <c r="R3" s="136"/>
      <c r="S3" s="197" t="s">
        <v>14</v>
      </c>
      <c r="T3" s="136"/>
      <c r="U3" s="199"/>
      <c r="V3" s="136"/>
      <c r="W3" s="14"/>
      <c r="X3" s="1"/>
      <c r="Y3" s="15"/>
    </row>
    <row r="4" spans="2:25" ht="15" customHeight="1">
      <c r="B4" s="16" t="s">
        <v>15</v>
      </c>
      <c r="C4" s="7"/>
      <c r="D4" s="193" t="s">
        <v>16</v>
      </c>
      <c r="E4" s="135"/>
      <c r="F4" s="136"/>
      <c r="G4" s="227" t="s">
        <v>497</v>
      </c>
      <c r="H4" s="228"/>
      <c r="I4" s="193" t="s">
        <v>17</v>
      </c>
      <c r="J4" s="135"/>
      <c r="K4" s="136"/>
      <c r="L4" s="13"/>
      <c r="M4" s="197" t="s">
        <v>18</v>
      </c>
      <c r="N4" s="136"/>
      <c r="O4" s="9"/>
      <c r="P4" s="213">
        <f>P2-P3</f>
        <v>85357.62</v>
      </c>
      <c r="Q4" s="135"/>
      <c r="R4" s="136"/>
      <c r="S4" s="197" t="s">
        <v>19</v>
      </c>
      <c r="T4" s="136"/>
      <c r="U4" s="199"/>
      <c r="V4" s="136"/>
      <c r="W4" s="14"/>
      <c r="X4" s="1"/>
      <c r="Y4" s="15"/>
    </row>
    <row r="5" spans="2:25" ht="15" customHeight="1" thickBot="1">
      <c r="B5" s="16" t="s">
        <v>20</v>
      </c>
      <c r="C5" s="7"/>
      <c r="D5" s="193" t="s">
        <v>21</v>
      </c>
      <c r="E5" s="135"/>
      <c r="F5" s="136"/>
      <c r="G5" s="203" t="s">
        <v>488</v>
      </c>
      <c r="H5" s="204"/>
      <c r="I5" s="193" t="s">
        <v>22</v>
      </c>
      <c r="J5" s="135"/>
      <c r="K5" s="136"/>
      <c r="L5" s="13"/>
      <c r="M5" s="209" t="s">
        <v>23</v>
      </c>
      <c r="N5" s="210"/>
      <c r="O5" s="9"/>
      <c r="P5" s="211">
        <f>IFERROR((P2-P3)/P2,"")</f>
        <v>0.49999815482883925</v>
      </c>
      <c r="Q5" s="212"/>
      <c r="R5" s="210"/>
      <c r="S5" s="197" t="s">
        <v>24</v>
      </c>
      <c r="T5" s="136"/>
      <c r="U5" s="199"/>
      <c r="V5" s="136"/>
      <c r="W5" s="14"/>
      <c r="X5" s="1"/>
      <c r="Y5" s="15"/>
    </row>
    <row r="6" spans="2:25" ht="15" customHeight="1">
      <c r="B6" s="16" t="s">
        <v>25</v>
      </c>
      <c r="C6" s="17"/>
      <c r="D6" s="193" t="s">
        <v>26</v>
      </c>
      <c r="E6" s="135"/>
      <c r="F6" s="136"/>
      <c r="G6" s="203" t="s">
        <v>489</v>
      </c>
      <c r="H6" s="204"/>
      <c r="I6" s="193" t="s">
        <v>27</v>
      </c>
      <c r="J6" s="135"/>
      <c r="K6" s="136"/>
      <c r="L6" s="13"/>
      <c r="M6" s="205" t="s">
        <v>28</v>
      </c>
      <c r="N6" s="206"/>
      <c r="O6" s="9"/>
      <c r="P6" s="207">
        <f>T114</f>
        <v>85358.25</v>
      </c>
      <c r="Q6" s="208"/>
      <c r="R6" s="206"/>
      <c r="S6" s="197" t="s">
        <v>29</v>
      </c>
      <c r="T6" s="136"/>
      <c r="U6" s="199"/>
      <c r="V6" s="136"/>
      <c r="W6" s="18"/>
      <c r="X6" s="19"/>
      <c r="Y6" s="20"/>
    </row>
    <row r="7" spans="2:25" ht="15" customHeight="1">
      <c r="B7" s="16" t="s">
        <v>30</v>
      </c>
      <c r="C7" s="7"/>
      <c r="D7" s="193" t="s">
        <v>31</v>
      </c>
      <c r="E7" s="135"/>
      <c r="F7" s="136"/>
      <c r="G7" s="21"/>
      <c r="H7" s="21"/>
      <c r="I7" s="193" t="s">
        <v>32</v>
      </c>
      <c r="J7" s="135"/>
      <c r="K7" s="136"/>
      <c r="L7" s="13"/>
      <c r="M7" s="195" t="s">
        <v>33</v>
      </c>
      <c r="N7" s="136"/>
      <c r="O7" s="9"/>
      <c r="P7" s="198">
        <f>R114</f>
        <v>0</v>
      </c>
      <c r="Q7" s="135"/>
      <c r="R7" s="136"/>
      <c r="S7" s="200" t="s">
        <v>34</v>
      </c>
      <c r="T7" s="201"/>
      <c r="U7" s="202"/>
      <c r="V7" s="201"/>
      <c r="W7" s="18"/>
      <c r="X7" s="22"/>
      <c r="Y7" s="4"/>
    </row>
    <row r="8" spans="2:25" ht="15" customHeight="1">
      <c r="B8" s="23"/>
      <c r="C8" s="24"/>
      <c r="D8" s="193" t="s">
        <v>35</v>
      </c>
      <c r="E8" s="135"/>
      <c r="F8" s="136"/>
      <c r="G8" s="194"/>
      <c r="H8" s="136"/>
      <c r="I8" s="193" t="s">
        <v>36</v>
      </c>
      <c r="J8" s="135"/>
      <c r="K8" s="136"/>
      <c r="L8" s="13"/>
      <c r="M8" s="195" t="s">
        <v>37</v>
      </c>
      <c r="N8" s="136"/>
      <c r="O8" s="9"/>
      <c r="P8" s="198">
        <f>IF(P1=Q15,R15,IF(Q15="CAD $",R15*E16,IF(Q15="USD $",R15*F16,0)))</f>
        <v>0</v>
      </c>
      <c r="Q8" s="135"/>
      <c r="R8" s="136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93" t="s">
        <v>42</v>
      </c>
      <c r="E9" s="135"/>
      <c r="F9" s="136"/>
      <c r="G9" s="194"/>
      <c r="H9" s="136"/>
      <c r="I9" s="31"/>
      <c r="J9" s="32"/>
      <c r="K9" s="32"/>
      <c r="L9" s="33"/>
      <c r="M9" s="195" t="s">
        <v>43</v>
      </c>
      <c r="N9" s="136"/>
      <c r="O9" s="9"/>
      <c r="P9" s="196">
        <f>V15</f>
        <v>0</v>
      </c>
      <c r="Q9" s="135"/>
      <c r="R9" s="136"/>
      <c r="S9" s="186">
        <f>P7+P8+P9</f>
        <v>0</v>
      </c>
      <c r="T9" s="186">
        <f>P3-S9</f>
        <v>85358.25</v>
      </c>
      <c r="U9" s="189">
        <f>IFERROR(((P3-S9)/S9),0)</f>
        <v>0</v>
      </c>
      <c r="V9" s="189">
        <f>IFERROR(T9/P3,0)</f>
        <v>1</v>
      </c>
      <c r="W9" s="190"/>
      <c r="X9" s="29"/>
      <c r="Y9" s="4"/>
    </row>
    <row r="10" spans="2:25" ht="15" customHeight="1">
      <c r="B10" s="30"/>
      <c r="C10" s="24"/>
      <c r="D10" s="193" t="s">
        <v>44</v>
      </c>
      <c r="E10" s="135"/>
      <c r="F10" s="136"/>
      <c r="G10" s="194" t="s">
        <v>432</v>
      </c>
      <c r="H10" s="136"/>
      <c r="I10" s="31"/>
      <c r="J10" s="32"/>
      <c r="K10" s="32"/>
      <c r="L10" s="33"/>
      <c r="M10" s="195"/>
      <c r="N10" s="136"/>
      <c r="O10" s="9"/>
      <c r="P10" s="196"/>
      <c r="Q10" s="135"/>
      <c r="R10" s="136"/>
      <c r="S10" s="187"/>
      <c r="T10" s="187"/>
      <c r="U10" s="187"/>
      <c r="V10" s="187"/>
      <c r="W10" s="19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97" t="s">
        <v>45</v>
      </c>
      <c r="N11" s="136"/>
      <c r="O11" s="9"/>
      <c r="P11" s="155">
        <f>F114</f>
        <v>112</v>
      </c>
      <c r="Q11" s="135"/>
      <c r="R11" s="136"/>
      <c r="S11" s="188"/>
      <c r="T11" s="188"/>
      <c r="U11" s="188"/>
      <c r="V11" s="188"/>
      <c r="W11" s="192"/>
      <c r="X11" s="29"/>
      <c r="Y11" s="4"/>
    </row>
    <row r="12" spans="2:25" ht="15" customHeight="1">
      <c r="B12" s="156"/>
      <c r="C12" s="157"/>
      <c r="D12" s="37"/>
      <c r="E12" s="162" t="s">
        <v>46</v>
      </c>
      <c r="F12" s="163"/>
      <c r="G12" s="168" t="s">
        <v>8</v>
      </c>
      <c r="H12" s="169"/>
      <c r="I12" s="170"/>
      <c r="J12" s="38"/>
      <c r="K12" s="173" t="s">
        <v>47</v>
      </c>
      <c r="L12" s="169"/>
      <c r="M12" s="169"/>
      <c r="N12" s="170"/>
      <c r="O12" s="9"/>
      <c r="P12" s="176" t="s">
        <v>48</v>
      </c>
      <c r="Q12" s="169"/>
      <c r="R12" s="169"/>
      <c r="S12" s="169"/>
      <c r="T12" s="169"/>
      <c r="U12" s="169"/>
      <c r="V12" s="163"/>
      <c r="W12" s="39"/>
      <c r="X12" s="40"/>
      <c r="Y12" s="4" t="s">
        <v>49</v>
      </c>
    </row>
    <row r="13" spans="2:25" ht="15" customHeight="1">
      <c r="B13" s="158"/>
      <c r="C13" s="159"/>
      <c r="D13" s="41"/>
      <c r="E13" s="164"/>
      <c r="F13" s="165"/>
      <c r="G13" s="160"/>
      <c r="H13" s="171"/>
      <c r="I13" s="172"/>
      <c r="J13" s="42"/>
      <c r="K13" s="164"/>
      <c r="L13" s="174"/>
      <c r="M13" s="174"/>
      <c r="N13" s="175"/>
      <c r="O13" s="43"/>
      <c r="P13" s="164"/>
      <c r="Q13" s="174"/>
      <c r="R13" s="174"/>
      <c r="S13" s="174"/>
      <c r="T13" s="174"/>
      <c r="U13" s="174"/>
      <c r="V13" s="165"/>
      <c r="W13" s="44"/>
      <c r="X13" s="40"/>
      <c r="Y13" s="4" t="s">
        <v>50</v>
      </c>
    </row>
    <row r="14" spans="2:25" ht="15" customHeight="1">
      <c r="B14" s="158"/>
      <c r="C14" s="159"/>
      <c r="D14" s="41"/>
      <c r="E14" s="166"/>
      <c r="F14" s="167"/>
      <c r="G14" s="180" t="s">
        <v>51</v>
      </c>
      <c r="H14" s="181"/>
      <c r="I14" s="45" t="s">
        <v>52</v>
      </c>
      <c r="J14" s="46"/>
      <c r="K14" s="166"/>
      <c r="L14" s="171"/>
      <c r="M14" s="171"/>
      <c r="N14" s="172"/>
      <c r="O14" s="43"/>
      <c r="P14" s="177"/>
      <c r="Q14" s="178"/>
      <c r="R14" s="178"/>
      <c r="S14" s="178"/>
      <c r="T14" s="178"/>
      <c r="U14" s="178"/>
      <c r="V14" s="179"/>
      <c r="W14" s="47"/>
      <c r="X14" s="40"/>
      <c r="Y14" s="4" t="s">
        <v>52</v>
      </c>
    </row>
    <row r="15" spans="2:25" ht="30" customHeight="1">
      <c r="B15" s="158"/>
      <c r="C15" s="159"/>
      <c r="D15" s="41"/>
      <c r="E15" s="48" t="s">
        <v>53</v>
      </c>
      <c r="F15" s="49" t="s">
        <v>54</v>
      </c>
      <c r="G15" s="182" t="s">
        <v>55</v>
      </c>
      <c r="H15" s="133"/>
      <c r="I15" s="131"/>
      <c r="J15" s="50"/>
      <c r="K15" s="183" t="s">
        <v>56</v>
      </c>
      <c r="L15" s="184"/>
      <c r="M15" s="185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0"/>
      <c r="C16" s="161"/>
      <c r="D16" s="41"/>
      <c r="E16" s="59">
        <f>1/F16</f>
        <v>0.7246376811594204</v>
      </c>
      <c r="F16" s="60">
        <v>1.38</v>
      </c>
      <c r="G16" s="134"/>
      <c r="H16" s="135"/>
      <c r="I16" s="136"/>
      <c r="J16" s="61"/>
      <c r="K16" s="166"/>
      <c r="L16" s="167"/>
      <c r="M16" s="144"/>
      <c r="N16" s="137" t="s">
        <v>61</v>
      </c>
      <c r="O16" s="52"/>
      <c r="P16" s="140" t="s">
        <v>62</v>
      </c>
      <c r="Q16" s="141"/>
      <c r="R16" s="141"/>
      <c r="S16" s="141"/>
      <c r="T16" s="141"/>
      <c r="U16" s="141"/>
      <c r="V16" s="142"/>
      <c r="W16" s="62"/>
      <c r="X16" s="63"/>
      <c r="Y16" s="4"/>
    </row>
    <row r="17" spans="2:26" ht="15" customHeight="1">
      <c r="B17" s="143" t="s">
        <v>63</v>
      </c>
      <c r="C17" s="145" t="s">
        <v>64</v>
      </c>
      <c r="D17" s="64"/>
      <c r="E17" s="147" t="s">
        <v>65</v>
      </c>
      <c r="F17" s="149" t="s">
        <v>66</v>
      </c>
      <c r="G17" s="150" t="s">
        <v>67</v>
      </c>
      <c r="H17" s="151"/>
      <c r="I17" s="65" t="s">
        <v>68</v>
      </c>
      <c r="J17" s="66"/>
      <c r="K17" s="152" t="s">
        <v>66</v>
      </c>
      <c r="L17" s="67" t="s">
        <v>69</v>
      </c>
      <c r="M17" s="68" t="s">
        <v>70</v>
      </c>
      <c r="N17" s="138"/>
      <c r="O17" s="69"/>
      <c r="P17" s="15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44"/>
      <c r="C18" s="146"/>
      <c r="D18" s="74"/>
      <c r="E18" s="148"/>
      <c r="F18" s="144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48"/>
      <c r="L18" s="130" t="s">
        <v>49</v>
      </c>
      <c r="M18" s="131"/>
      <c r="N18" s="139"/>
      <c r="O18" s="78"/>
      <c r="P18" s="154"/>
      <c r="Q18" s="54" t="s">
        <v>50</v>
      </c>
      <c r="R18" s="132" t="str">
        <f>L18</f>
        <v>CAD $</v>
      </c>
      <c r="S18" s="133"/>
      <c r="T18" s="133"/>
      <c r="U18" s="133"/>
      <c r="V18" s="131"/>
      <c r="W18" s="79"/>
      <c r="X18" s="80"/>
      <c r="Y18" s="81"/>
      <c r="Z18" s="81"/>
    </row>
    <row r="19" spans="2:26">
      <c r="B19" t="s">
        <v>173</v>
      </c>
      <c r="C19" t="s">
        <v>81</v>
      </c>
      <c r="D19" s="83"/>
      <c r="E19" s="84"/>
      <c r="F19">
        <v>1</v>
      </c>
      <c r="G19" s="127">
        <v>82.88</v>
      </c>
      <c r="H19" s="127">
        <v>22.38</v>
      </c>
      <c r="I19" s="127">
        <v>82.88</v>
      </c>
      <c r="J19" s="88"/>
      <c r="K19">
        <v>1</v>
      </c>
      <c r="L19" s="127">
        <v>41.44</v>
      </c>
      <c r="M19" s="127">
        <v>41.44</v>
      </c>
      <c r="N19" s="89"/>
      <c r="O19" s="90"/>
      <c r="P19" s="82"/>
      <c r="Q19" s="91"/>
      <c r="R19" s="91"/>
      <c r="S19" s="127">
        <v>41.44</v>
      </c>
      <c r="T19" s="127">
        <v>41.44</v>
      </c>
      <c r="U19" s="128">
        <v>0</v>
      </c>
      <c r="V19" s="128">
        <v>1</v>
      </c>
      <c r="W19" s="93"/>
      <c r="X19" s="94"/>
      <c r="Y19" s="4"/>
      <c r="Z19" s="4"/>
    </row>
    <row r="20" spans="2:26">
      <c r="B20" t="s">
        <v>174</v>
      </c>
      <c r="C20" t="s">
        <v>137</v>
      </c>
      <c r="D20" s="83"/>
      <c r="E20" s="97"/>
      <c r="F20">
        <v>1</v>
      </c>
      <c r="G20" s="127">
        <v>67.44</v>
      </c>
      <c r="H20" s="127">
        <v>18.21</v>
      </c>
      <c r="I20" s="127">
        <v>67.44</v>
      </c>
      <c r="J20" s="102"/>
      <c r="K20">
        <v>1</v>
      </c>
      <c r="L20" s="127">
        <v>33.72</v>
      </c>
      <c r="M20" s="127">
        <v>33.72</v>
      </c>
      <c r="N20" s="104"/>
      <c r="O20" s="90"/>
      <c r="P20" s="95"/>
      <c r="Q20" s="99"/>
      <c r="R20" s="105"/>
      <c r="S20" s="127">
        <v>33.72</v>
      </c>
      <c r="T20" s="127">
        <v>33.72</v>
      </c>
      <c r="U20" s="128">
        <v>0</v>
      </c>
      <c r="V20" s="128">
        <v>1</v>
      </c>
      <c r="W20" s="108"/>
      <c r="X20" s="94"/>
      <c r="Y20" s="4"/>
      <c r="Z20" s="4"/>
    </row>
    <row r="21" spans="2:26" ht="15.75" customHeight="1">
      <c r="B21" t="s">
        <v>138</v>
      </c>
      <c r="C21" t="s">
        <v>83</v>
      </c>
      <c r="D21" s="83"/>
      <c r="E21" s="84"/>
      <c r="F21">
        <v>1</v>
      </c>
      <c r="G21" s="127">
        <v>85.6</v>
      </c>
      <c r="H21" s="127">
        <v>23.11</v>
      </c>
      <c r="I21" s="127">
        <v>85.6</v>
      </c>
      <c r="J21" s="102"/>
      <c r="K21">
        <v>1</v>
      </c>
      <c r="L21" s="127">
        <v>42.8</v>
      </c>
      <c r="M21" s="127">
        <v>42.8</v>
      </c>
      <c r="N21" s="111"/>
      <c r="O21" s="90"/>
      <c r="P21" s="112"/>
      <c r="Q21" s="91"/>
      <c r="R21" s="91"/>
      <c r="S21" s="127">
        <v>42.8</v>
      </c>
      <c r="T21" s="127">
        <v>42.8</v>
      </c>
      <c r="U21" s="128">
        <v>0</v>
      </c>
      <c r="V21" s="128">
        <v>1</v>
      </c>
      <c r="W21" s="93"/>
      <c r="X21" s="94"/>
      <c r="Y21" s="4"/>
      <c r="Z21" s="4"/>
    </row>
    <row r="22" spans="2:26" ht="15.75" customHeight="1">
      <c r="B22" t="s">
        <v>175</v>
      </c>
      <c r="C22" t="s">
        <v>85</v>
      </c>
      <c r="D22" s="83"/>
      <c r="E22" s="97"/>
      <c r="F22">
        <v>1</v>
      </c>
      <c r="G22" s="127">
        <v>123.35</v>
      </c>
      <c r="H22" s="127">
        <v>33.299999999999997</v>
      </c>
      <c r="I22" s="127">
        <v>123.35</v>
      </c>
      <c r="J22" s="102"/>
      <c r="K22">
        <v>1</v>
      </c>
      <c r="L22" s="127">
        <v>61.68</v>
      </c>
      <c r="M22" s="127">
        <v>61.68</v>
      </c>
      <c r="N22" s="104"/>
      <c r="O22" s="90"/>
      <c r="P22" s="95"/>
      <c r="Q22" s="99"/>
      <c r="R22" s="105"/>
      <c r="S22" s="127">
        <v>61.68</v>
      </c>
      <c r="T22" s="127">
        <v>61.68</v>
      </c>
      <c r="U22" s="128">
        <v>0</v>
      </c>
      <c r="V22" s="128">
        <v>1</v>
      </c>
      <c r="W22" s="108"/>
      <c r="X22" s="94"/>
      <c r="Y22" s="4"/>
      <c r="Z22" s="4"/>
    </row>
    <row r="23" spans="2:26" ht="15.75" customHeight="1">
      <c r="B23" t="s">
        <v>135</v>
      </c>
      <c r="C23" t="s">
        <v>86</v>
      </c>
      <c r="D23" s="83"/>
      <c r="E23" s="84"/>
      <c r="F23">
        <v>1</v>
      </c>
      <c r="G23" s="127">
        <v>204.36</v>
      </c>
      <c r="H23" s="127">
        <v>55.18</v>
      </c>
      <c r="I23" s="127">
        <v>204.36</v>
      </c>
      <c r="J23" s="102"/>
      <c r="K23">
        <v>1</v>
      </c>
      <c r="L23" s="127">
        <v>102.18</v>
      </c>
      <c r="M23" s="127">
        <v>102.18</v>
      </c>
      <c r="N23" s="111"/>
      <c r="O23" s="90"/>
      <c r="P23" s="112"/>
      <c r="Q23" s="91"/>
      <c r="R23" s="91"/>
      <c r="S23" s="127">
        <v>102.18</v>
      </c>
      <c r="T23" s="127">
        <v>102.18</v>
      </c>
      <c r="U23" s="128">
        <v>0</v>
      </c>
      <c r="V23" s="128">
        <v>1</v>
      </c>
      <c r="W23" s="93"/>
      <c r="X23" s="94"/>
      <c r="Y23" s="4"/>
      <c r="Z23" s="4"/>
    </row>
    <row r="24" spans="2:26" ht="15.75" customHeight="1">
      <c r="B24" t="s">
        <v>176</v>
      </c>
      <c r="C24" t="s">
        <v>87</v>
      </c>
      <c r="D24" s="83"/>
      <c r="E24" s="97"/>
      <c r="F24">
        <v>1</v>
      </c>
      <c r="G24" s="127">
        <v>222.29</v>
      </c>
      <c r="H24" s="127">
        <v>60.02</v>
      </c>
      <c r="I24" s="127">
        <v>222.29</v>
      </c>
      <c r="J24" s="102"/>
      <c r="K24">
        <v>1</v>
      </c>
      <c r="L24" s="127">
        <v>111.15</v>
      </c>
      <c r="M24" s="127">
        <v>111.15</v>
      </c>
      <c r="N24" s="104"/>
      <c r="O24" s="90"/>
      <c r="P24" s="95"/>
      <c r="Q24" s="99"/>
      <c r="R24" s="105"/>
      <c r="S24" s="127">
        <v>111.15</v>
      </c>
      <c r="T24" s="127">
        <v>111.15</v>
      </c>
      <c r="U24" s="128">
        <v>0</v>
      </c>
      <c r="V24" s="128">
        <v>1</v>
      </c>
      <c r="W24" s="108"/>
      <c r="X24" s="94"/>
      <c r="Y24" s="4"/>
      <c r="Z24" s="4"/>
    </row>
    <row r="25" spans="2:26" ht="15.75" customHeight="1">
      <c r="B25" t="s">
        <v>177</v>
      </c>
      <c r="C25" t="s">
        <v>88</v>
      </c>
      <c r="D25" s="83"/>
      <c r="E25" s="84"/>
      <c r="F25">
        <v>1</v>
      </c>
      <c r="G25" s="127">
        <v>121.52</v>
      </c>
      <c r="H25" s="127">
        <v>32.81</v>
      </c>
      <c r="I25" s="127">
        <v>121.52</v>
      </c>
      <c r="J25" s="102"/>
      <c r="K25">
        <v>1</v>
      </c>
      <c r="L25" s="127">
        <v>60.76</v>
      </c>
      <c r="M25" s="127">
        <v>60.76</v>
      </c>
      <c r="N25" s="111"/>
      <c r="O25" s="90"/>
      <c r="P25" s="112"/>
      <c r="Q25" s="91"/>
      <c r="R25" s="91"/>
      <c r="S25" s="127">
        <v>60.76</v>
      </c>
      <c r="T25" s="127">
        <v>60.76</v>
      </c>
      <c r="U25" s="128">
        <v>0</v>
      </c>
      <c r="V25" s="128">
        <v>1</v>
      </c>
      <c r="W25" s="93"/>
      <c r="X25" s="94"/>
      <c r="Y25" s="4"/>
      <c r="Z25" s="4"/>
    </row>
    <row r="26" spans="2:26" ht="15.75" customHeight="1">
      <c r="B26" t="s">
        <v>178</v>
      </c>
      <c r="C26" t="s">
        <v>89</v>
      </c>
      <c r="D26" s="83"/>
      <c r="E26" s="97"/>
      <c r="F26">
        <v>1</v>
      </c>
      <c r="G26" s="127">
        <v>92</v>
      </c>
      <c r="H26" s="127">
        <v>24.84</v>
      </c>
      <c r="I26" s="127">
        <v>92</v>
      </c>
      <c r="J26" s="102"/>
      <c r="K26">
        <v>1</v>
      </c>
      <c r="L26" s="127">
        <v>46</v>
      </c>
      <c r="M26" s="127">
        <v>46</v>
      </c>
      <c r="N26" s="104"/>
      <c r="O26" s="90"/>
      <c r="P26" s="95"/>
      <c r="Q26" s="99"/>
      <c r="R26" s="105"/>
      <c r="S26" s="127">
        <v>46</v>
      </c>
      <c r="T26" s="127">
        <v>46</v>
      </c>
      <c r="U26" s="128">
        <v>0</v>
      </c>
      <c r="V26" s="128">
        <v>1</v>
      </c>
      <c r="W26" s="108"/>
      <c r="X26" s="94"/>
      <c r="Y26" s="4"/>
      <c r="Z26" s="113"/>
    </row>
    <row r="27" spans="2:26" ht="15.75" customHeight="1">
      <c r="B27" t="s">
        <v>179</v>
      </c>
      <c r="C27" t="s">
        <v>180</v>
      </c>
      <c r="D27" s="83"/>
      <c r="E27" s="84"/>
      <c r="F27">
        <v>2</v>
      </c>
      <c r="G27" s="127">
        <v>811.6</v>
      </c>
      <c r="H27" s="127">
        <v>219.13</v>
      </c>
      <c r="I27" s="127">
        <v>1623.2</v>
      </c>
      <c r="J27" s="102"/>
      <c r="K27">
        <v>2</v>
      </c>
      <c r="L27" s="127">
        <v>405.8</v>
      </c>
      <c r="M27" s="127">
        <v>811.6</v>
      </c>
      <c r="N27" s="111"/>
      <c r="O27" s="90"/>
      <c r="P27" s="112"/>
      <c r="Q27" s="91"/>
      <c r="R27" s="91"/>
      <c r="S27" s="127">
        <v>405.8</v>
      </c>
      <c r="T27" s="127">
        <v>811.6</v>
      </c>
      <c r="U27" s="128">
        <v>0</v>
      </c>
      <c r="V27" s="128">
        <v>1</v>
      </c>
      <c r="W27" s="93"/>
      <c r="X27" s="94"/>
      <c r="Y27" s="4"/>
      <c r="Z27" s="4"/>
    </row>
    <row r="28" spans="2:26" ht="15.75" customHeight="1">
      <c r="D28" s="83"/>
      <c r="E28" s="84"/>
      <c r="H28" t="s">
        <v>112</v>
      </c>
      <c r="I28" t="s">
        <v>112</v>
      </c>
      <c r="J28" s="102"/>
      <c r="K28">
        <v>0</v>
      </c>
      <c r="L28" t="s">
        <v>112</v>
      </c>
      <c r="M28" t="s">
        <v>112</v>
      </c>
      <c r="N28" s="111"/>
      <c r="O28" s="90"/>
      <c r="P28" s="112"/>
      <c r="Q28" s="91"/>
      <c r="R28" s="91"/>
      <c r="S28" t="s">
        <v>112</v>
      </c>
      <c r="T28" t="s">
        <v>112</v>
      </c>
      <c r="U28" s="128">
        <v>0</v>
      </c>
      <c r="V28" s="128">
        <v>0</v>
      </c>
      <c r="W28" s="93"/>
      <c r="X28" s="94"/>
      <c r="Y28" s="4"/>
      <c r="Z28" s="4"/>
    </row>
    <row r="29" spans="2:26" ht="15.75" customHeight="1">
      <c r="B29" t="s">
        <v>181</v>
      </c>
      <c r="C29" t="s">
        <v>182</v>
      </c>
      <c r="D29" s="83"/>
      <c r="E29" s="97"/>
      <c r="F29">
        <v>1</v>
      </c>
      <c r="G29" s="127">
        <v>15736.56</v>
      </c>
      <c r="H29" s="127">
        <v>4248.87</v>
      </c>
      <c r="I29" s="127">
        <v>15736.56</v>
      </c>
      <c r="J29" s="102"/>
      <c r="K29">
        <v>1</v>
      </c>
      <c r="L29" s="127">
        <v>7868.28</v>
      </c>
      <c r="M29" s="127">
        <v>7868.28</v>
      </c>
      <c r="N29" s="104"/>
      <c r="O29" s="90"/>
      <c r="P29" s="95"/>
      <c r="Q29" s="99"/>
      <c r="R29" s="105"/>
      <c r="S29" s="127">
        <v>7868.28</v>
      </c>
      <c r="T29" s="127">
        <v>7868.28</v>
      </c>
      <c r="U29" s="128">
        <v>0</v>
      </c>
      <c r="V29" s="128">
        <v>1</v>
      </c>
      <c r="W29" s="108"/>
      <c r="X29" s="94"/>
      <c r="Y29" s="4"/>
      <c r="Z29" s="4"/>
    </row>
    <row r="30" spans="2:26" ht="15.75" customHeight="1">
      <c r="B30" t="s">
        <v>143</v>
      </c>
      <c r="C30" t="s">
        <v>109</v>
      </c>
      <c r="D30" s="83"/>
      <c r="E30" s="84"/>
      <c r="F30">
        <v>1</v>
      </c>
      <c r="G30" s="127">
        <v>6842.24</v>
      </c>
      <c r="H30" s="127">
        <v>1847.4</v>
      </c>
      <c r="I30" s="127">
        <v>6842.24</v>
      </c>
      <c r="J30" s="102"/>
      <c r="K30">
        <v>1</v>
      </c>
      <c r="L30" s="127">
        <v>3421.12</v>
      </c>
      <c r="M30" s="127">
        <v>3421.12</v>
      </c>
      <c r="N30" s="111"/>
      <c r="O30" s="90"/>
      <c r="P30" s="112"/>
      <c r="Q30" s="91"/>
      <c r="R30" s="91"/>
      <c r="S30" s="127">
        <v>3421.12</v>
      </c>
      <c r="T30" s="127">
        <v>3421.12</v>
      </c>
      <c r="U30" s="128">
        <v>0</v>
      </c>
      <c r="V30" s="128">
        <v>1</v>
      </c>
      <c r="W30" s="93"/>
    </row>
    <row r="31" spans="2:26" ht="15.75" customHeight="1">
      <c r="B31" t="s">
        <v>144</v>
      </c>
      <c r="C31" t="s">
        <v>110</v>
      </c>
      <c r="D31" s="83"/>
      <c r="E31" s="97"/>
      <c r="F31">
        <v>1</v>
      </c>
      <c r="G31" s="127">
        <v>19919.41</v>
      </c>
      <c r="H31" s="127">
        <v>5378.24</v>
      </c>
      <c r="I31" s="127">
        <v>19919.41</v>
      </c>
      <c r="J31" s="102"/>
      <c r="K31">
        <v>1</v>
      </c>
      <c r="L31" s="127">
        <v>9959.7099999999991</v>
      </c>
      <c r="M31" s="127">
        <v>9959.7099999999991</v>
      </c>
      <c r="N31" s="104"/>
      <c r="O31" s="90"/>
      <c r="P31" s="95"/>
      <c r="Q31" s="99"/>
      <c r="R31" s="105"/>
      <c r="S31" s="127">
        <v>9959.7099999999991</v>
      </c>
      <c r="T31" s="127">
        <v>9959.7099999999991</v>
      </c>
      <c r="U31" s="128">
        <v>0</v>
      </c>
      <c r="V31" s="128">
        <v>1</v>
      </c>
      <c r="W31" s="108"/>
    </row>
    <row r="32" spans="2:26" ht="15.75" customHeight="1">
      <c r="B32" t="s">
        <v>183</v>
      </c>
      <c r="C32" t="s">
        <v>111</v>
      </c>
      <c r="D32" s="83"/>
      <c r="E32" s="84"/>
      <c r="F32">
        <v>1</v>
      </c>
      <c r="G32" s="127">
        <v>17026.28</v>
      </c>
      <c r="H32" s="127">
        <v>4597.1000000000004</v>
      </c>
      <c r="I32" s="127">
        <v>17026.28</v>
      </c>
      <c r="J32" s="102"/>
      <c r="K32">
        <v>1</v>
      </c>
      <c r="L32" s="127">
        <v>8513.14</v>
      </c>
      <c r="M32" s="127">
        <v>8513.14</v>
      </c>
      <c r="N32" s="111"/>
      <c r="O32" s="90"/>
      <c r="P32" s="112"/>
      <c r="Q32" s="91"/>
      <c r="R32" s="91"/>
      <c r="S32" s="127">
        <v>8513.14</v>
      </c>
      <c r="T32" s="127">
        <v>8513.14</v>
      </c>
      <c r="U32" s="128">
        <v>0</v>
      </c>
      <c r="V32" s="128">
        <v>1</v>
      </c>
      <c r="W32" s="93"/>
    </row>
    <row r="33" spans="2:26" ht="15.75" customHeight="1">
      <c r="B33" t="s">
        <v>184</v>
      </c>
      <c r="C33" t="s">
        <v>146</v>
      </c>
      <c r="D33" s="83"/>
      <c r="E33" s="97"/>
      <c r="F33">
        <v>1</v>
      </c>
      <c r="G33" s="127">
        <v>8925.27</v>
      </c>
      <c r="H33" s="127">
        <v>2409.8200000000002</v>
      </c>
      <c r="I33" s="127">
        <v>8925.27</v>
      </c>
      <c r="J33" s="102"/>
      <c r="K33">
        <v>1</v>
      </c>
      <c r="L33" s="127">
        <v>4462.6400000000003</v>
      </c>
      <c r="M33" s="127">
        <v>4462.6400000000003</v>
      </c>
      <c r="N33" s="104"/>
      <c r="O33" s="90"/>
      <c r="P33" s="95"/>
      <c r="Q33" s="99"/>
      <c r="R33" s="105"/>
      <c r="S33" s="127">
        <v>4462.6400000000003</v>
      </c>
      <c r="T33" s="127">
        <v>4462.6400000000003</v>
      </c>
      <c r="U33" s="128">
        <v>0</v>
      </c>
      <c r="V33" s="128">
        <v>1</v>
      </c>
      <c r="W33" s="108"/>
    </row>
    <row r="34" spans="2:26" ht="15.75" customHeight="1">
      <c r="B34" t="s">
        <v>185</v>
      </c>
      <c r="C34" t="s">
        <v>186</v>
      </c>
      <c r="D34" s="83"/>
      <c r="E34" s="84"/>
      <c r="F34">
        <v>6</v>
      </c>
      <c r="G34" s="127">
        <v>1900.45</v>
      </c>
      <c r="H34" s="127">
        <v>513.12</v>
      </c>
      <c r="I34" s="127">
        <v>11402.7</v>
      </c>
      <c r="J34" s="102"/>
      <c r="K34">
        <v>6</v>
      </c>
      <c r="L34" s="127">
        <v>950.23</v>
      </c>
      <c r="M34" s="127">
        <v>5701.38</v>
      </c>
      <c r="N34" s="111"/>
      <c r="O34" s="90"/>
      <c r="P34" s="112"/>
      <c r="Q34" s="91"/>
      <c r="R34" s="91"/>
      <c r="S34" s="127">
        <v>950.23</v>
      </c>
      <c r="T34" s="127">
        <v>5701.38</v>
      </c>
      <c r="U34" s="128">
        <v>0</v>
      </c>
      <c r="V34" s="128">
        <v>1</v>
      </c>
      <c r="W34" s="93"/>
    </row>
    <row r="35" spans="2:26" ht="15.75" customHeight="1">
      <c r="D35" s="83"/>
      <c r="E35" s="97"/>
      <c r="H35" t="s">
        <v>112</v>
      </c>
      <c r="I35" t="s">
        <v>112</v>
      </c>
      <c r="J35" s="102"/>
      <c r="K35">
        <v>0</v>
      </c>
      <c r="L35" t="s">
        <v>112</v>
      </c>
      <c r="M35" t="s">
        <v>112</v>
      </c>
      <c r="N35" s="104"/>
      <c r="O35" s="90"/>
      <c r="P35" s="95"/>
      <c r="Q35" s="99"/>
      <c r="R35" s="105"/>
      <c r="S35" t="s">
        <v>112</v>
      </c>
      <c r="T35" t="s">
        <v>112</v>
      </c>
      <c r="U35" s="128">
        <v>0</v>
      </c>
      <c r="V35" s="128">
        <v>0</v>
      </c>
      <c r="W35" s="108"/>
    </row>
    <row r="36" spans="2:26" ht="15.75" customHeight="1">
      <c r="B36" t="s">
        <v>187</v>
      </c>
      <c r="C36" t="s">
        <v>188</v>
      </c>
      <c r="D36" s="83"/>
      <c r="E36" s="84"/>
      <c r="F36">
        <v>1</v>
      </c>
      <c r="G36" s="127">
        <v>7230.52</v>
      </c>
      <c r="H36" s="127">
        <v>1952.24</v>
      </c>
      <c r="I36" s="127">
        <v>7230.52</v>
      </c>
      <c r="J36" s="102"/>
      <c r="K36">
        <v>1</v>
      </c>
      <c r="L36" s="127">
        <v>3615.26</v>
      </c>
      <c r="M36" s="127">
        <v>3615.26</v>
      </c>
      <c r="N36" s="111"/>
      <c r="O36" s="90"/>
      <c r="P36" s="112"/>
      <c r="Q36" s="91"/>
      <c r="R36" s="91"/>
      <c r="S36" s="127">
        <v>3615.26</v>
      </c>
      <c r="T36" s="127">
        <v>3615.26</v>
      </c>
      <c r="U36" s="128">
        <v>0</v>
      </c>
      <c r="V36" s="128">
        <v>1</v>
      </c>
      <c r="W36" s="108"/>
    </row>
    <row r="37" spans="2:26" ht="15.75" customHeight="1">
      <c r="B37" t="s">
        <v>189</v>
      </c>
      <c r="C37" t="s">
        <v>190</v>
      </c>
      <c r="D37" s="83"/>
      <c r="E37" s="97"/>
      <c r="F37">
        <v>2</v>
      </c>
      <c r="G37" s="127">
        <v>7768.41</v>
      </c>
      <c r="H37" s="127">
        <v>2097.4699999999998</v>
      </c>
      <c r="I37" s="127">
        <v>15536.82</v>
      </c>
      <c r="J37" s="102"/>
      <c r="K37">
        <v>2</v>
      </c>
      <c r="L37" s="127">
        <v>3884.21</v>
      </c>
      <c r="M37" s="127">
        <v>7768.42</v>
      </c>
      <c r="N37" s="104"/>
      <c r="O37" s="90"/>
      <c r="P37" s="95"/>
      <c r="Q37" s="99"/>
      <c r="R37" s="105"/>
      <c r="S37" s="127">
        <v>3884.21</v>
      </c>
      <c r="T37" s="127">
        <v>7768.42</v>
      </c>
      <c r="U37" s="128">
        <v>0</v>
      </c>
      <c r="V37" s="128">
        <v>1</v>
      </c>
      <c r="W37" s="108"/>
    </row>
    <row r="38" spans="2:26" ht="15.75" customHeight="1">
      <c r="B38">
        <v>2447030</v>
      </c>
      <c r="C38" t="s">
        <v>191</v>
      </c>
      <c r="D38" s="83"/>
      <c r="E38" s="84"/>
      <c r="F38">
        <v>1</v>
      </c>
      <c r="G38" s="127">
        <v>9777.9599999999991</v>
      </c>
      <c r="H38" s="127">
        <v>2640.05</v>
      </c>
      <c r="I38" s="127">
        <v>9777.9599999999991</v>
      </c>
      <c r="J38" s="102"/>
      <c r="K38">
        <v>1</v>
      </c>
      <c r="L38" s="127">
        <v>4888.9799999999996</v>
      </c>
      <c r="M38" s="127">
        <v>4888.9799999999996</v>
      </c>
      <c r="N38" s="111"/>
      <c r="O38" s="90"/>
      <c r="P38" s="112"/>
      <c r="Q38" s="91"/>
      <c r="R38" s="91"/>
      <c r="S38" s="127">
        <v>4888.9799999999996</v>
      </c>
      <c r="T38" s="127">
        <v>4888.9799999999996</v>
      </c>
      <c r="U38" s="128">
        <v>0</v>
      </c>
      <c r="V38" s="128">
        <v>1</v>
      </c>
      <c r="W38" s="108"/>
    </row>
    <row r="39" spans="2:26" ht="15.75" customHeight="1">
      <c r="B39" t="s">
        <v>490</v>
      </c>
      <c r="C39" t="s">
        <v>121</v>
      </c>
      <c r="D39" s="83"/>
      <c r="E39" s="97"/>
      <c r="F39">
        <v>1</v>
      </c>
      <c r="G39" s="127">
        <v>862.16</v>
      </c>
      <c r="H39" s="127">
        <v>232.78</v>
      </c>
      <c r="I39" s="127">
        <v>862.16</v>
      </c>
      <c r="J39" s="102"/>
      <c r="K39">
        <v>1</v>
      </c>
      <c r="L39" s="127">
        <v>431.08</v>
      </c>
      <c r="M39" s="127">
        <v>431.08</v>
      </c>
      <c r="N39" s="104"/>
      <c r="O39" s="90"/>
      <c r="P39" s="95"/>
      <c r="Q39" s="99"/>
      <c r="R39" s="105"/>
      <c r="S39" s="127">
        <v>431.08</v>
      </c>
      <c r="T39" s="127">
        <v>431.08</v>
      </c>
      <c r="U39" s="128">
        <v>0</v>
      </c>
      <c r="V39" s="128">
        <v>1</v>
      </c>
      <c r="W39" s="108"/>
    </row>
    <row r="40" spans="2:26" ht="15.75" customHeight="1">
      <c r="B40" t="s">
        <v>491</v>
      </c>
      <c r="C40" t="s">
        <v>121</v>
      </c>
      <c r="D40" s="83"/>
      <c r="E40" s="84"/>
      <c r="F40">
        <v>1</v>
      </c>
      <c r="G40" s="127">
        <v>1348.48</v>
      </c>
      <c r="H40" s="127">
        <v>364.09</v>
      </c>
      <c r="I40" s="127">
        <v>1348.48</v>
      </c>
      <c r="J40" s="102"/>
      <c r="K40">
        <v>1</v>
      </c>
      <c r="L40" s="127">
        <v>674.24</v>
      </c>
      <c r="M40" s="127">
        <v>674.24</v>
      </c>
      <c r="N40" s="111"/>
      <c r="O40" s="90"/>
      <c r="P40" s="112"/>
      <c r="Q40" s="91"/>
      <c r="R40" s="91"/>
      <c r="S40" s="127">
        <v>674.24</v>
      </c>
      <c r="T40" s="127">
        <v>674.24</v>
      </c>
      <c r="U40" s="128">
        <v>0</v>
      </c>
      <c r="V40" s="128">
        <v>1</v>
      </c>
      <c r="W40" s="108"/>
    </row>
    <row r="41" spans="2:26" ht="15.75" customHeight="1">
      <c r="B41" t="s">
        <v>492</v>
      </c>
      <c r="C41" t="s">
        <v>121</v>
      </c>
      <c r="D41" s="83"/>
      <c r="E41" s="97"/>
      <c r="F41">
        <v>1</v>
      </c>
      <c r="G41" s="127">
        <v>1348.48</v>
      </c>
      <c r="H41" s="127">
        <v>364.09</v>
      </c>
      <c r="I41" s="127">
        <v>1348.48</v>
      </c>
      <c r="J41" s="102"/>
      <c r="K41">
        <v>1</v>
      </c>
      <c r="L41" s="127">
        <v>674.24</v>
      </c>
      <c r="M41" s="127">
        <v>674.24</v>
      </c>
      <c r="N41" s="104"/>
      <c r="O41" s="90"/>
      <c r="P41" s="95"/>
      <c r="Q41" s="99"/>
      <c r="R41" s="105"/>
      <c r="S41" s="127">
        <v>674.24</v>
      </c>
      <c r="T41" s="127">
        <v>674.24</v>
      </c>
      <c r="U41" s="128">
        <v>0</v>
      </c>
      <c r="V41" s="128">
        <v>1</v>
      </c>
      <c r="W41" s="108"/>
    </row>
    <row r="42" spans="2:26" ht="15.75" customHeight="1">
      <c r="B42" t="s">
        <v>493</v>
      </c>
      <c r="C42" t="s">
        <v>121</v>
      </c>
      <c r="D42" s="83"/>
      <c r="E42" s="84"/>
      <c r="F42">
        <v>1</v>
      </c>
      <c r="G42" s="127">
        <v>967.35</v>
      </c>
      <c r="H42" s="127">
        <v>261.18</v>
      </c>
      <c r="I42" s="127">
        <v>967.35</v>
      </c>
      <c r="J42" s="102"/>
      <c r="K42">
        <v>1</v>
      </c>
      <c r="L42" s="127">
        <v>483.68</v>
      </c>
      <c r="M42" s="127">
        <v>483.68</v>
      </c>
      <c r="N42" s="111"/>
      <c r="O42" s="90"/>
      <c r="P42" s="112"/>
      <c r="Q42" s="91"/>
      <c r="R42" s="91"/>
      <c r="S42" s="127">
        <v>483.68</v>
      </c>
      <c r="T42" s="127">
        <v>483.68</v>
      </c>
      <c r="U42" s="128">
        <v>0</v>
      </c>
      <c r="V42" s="128">
        <v>1</v>
      </c>
      <c r="W42" s="108"/>
    </row>
    <row r="43" spans="2:26" ht="15.75" customHeight="1">
      <c r="B43" t="s">
        <v>494</v>
      </c>
      <c r="C43" t="s">
        <v>121</v>
      </c>
      <c r="D43" s="83"/>
      <c r="E43" s="97"/>
      <c r="F43">
        <v>1</v>
      </c>
      <c r="G43" s="127">
        <v>967.35</v>
      </c>
      <c r="H43" s="127">
        <v>261.18</v>
      </c>
      <c r="I43" s="127">
        <v>967.35</v>
      </c>
      <c r="J43" s="102"/>
      <c r="K43">
        <v>1</v>
      </c>
      <c r="L43" s="127">
        <v>483.68</v>
      </c>
      <c r="M43" s="127">
        <v>483.68</v>
      </c>
      <c r="N43" s="104"/>
      <c r="O43" s="90"/>
      <c r="P43" s="95"/>
      <c r="Q43" s="99"/>
      <c r="R43" s="105"/>
      <c r="S43" s="127">
        <v>483.68</v>
      </c>
      <c r="T43" s="127">
        <v>483.68</v>
      </c>
      <c r="U43" s="128">
        <v>0</v>
      </c>
      <c r="V43" s="128">
        <v>1</v>
      </c>
      <c r="W43" s="108"/>
    </row>
    <row r="44" spans="2:26" ht="15.75" customHeight="1">
      <c r="B44" t="s">
        <v>192</v>
      </c>
      <c r="C44" t="s">
        <v>153</v>
      </c>
      <c r="D44" s="83"/>
      <c r="E44" s="84"/>
      <c r="F44">
        <v>20</v>
      </c>
      <c r="G44" s="127">
        <v>22.67</v>
      </c>
      <c r="H44" s="127">
        <v>6.12</v>
      </c>
      <c r="I44" s="127">
        <v>453.4</v>
      </c>
      <c r="J44" s="102"/>
      <c r="K44">
        <v>20</v>
      </c>
      <c r="L44" s="127">
        <v>11.34</v>
      </c>
      <c r="M44" s="127">
        <v>226.8</v>
      </c>
      <c r="N44" s="111"/>
      <c r="O44" s="90"/>
      <c r="P44" s="112"/>
      <c r="Q44" s="91"/>
      <c r="R44" s="91"/>
      <c r="S44" s="127">
        <v>11.34</v>
      </c>
      <c r="T44" s="127">
        <v>226.8</v>
      </c>
      <c r="U44" s="128">
        <v>0</v>
      </c>
      <c r="V44" s="128">
        <v>1</v>
      </c>
      <c r="W44" s="108"/>
    </row>
    <row r="45" spans="2:26" ht="15.75" customHeight="1">
      <c r="B45" t="s">
        <v>193</v>
      </c>
      <c r="C45" t="s">
        <v>194</v>
      </c>
      <c r="D45" s="83"/>
      <c r="E45" s="97"/>
      <c r="F45">
        <v>20</v>
      </c>
      <c r="G45" s="127">
        <v>16.32</v>
      </c>
      <c r="H45" s="127">
        <v>4.41</v>
      </c>
      <c r="I45" s="127">
        <v>326.39999999999998</v>
      </c>
      <c r="J45" s="102"/>
      <c r="K45">
        <v>20</v>
      </c>
      <c r="L45" s="127">
        <v>8.16</v>
      </c>
      <c r="M45" s="127">
        <v>163.19999999999999</v>
      </c>
      <c r="N45" s="104"/>
      <c r="O45" s="90"/>
      <c r="P45" s="95"/>
      <c r="Q45" s="99"/>
      <c r="R45" s="105"/>
      <c r="S45" s="127">
        <v>8.16</v>
      </c>
      <c r="T45" s="127">
        <v>163.19999999999999</v>
      </c>
      <c r="U45" s="128">
        <v>0</v>
      </c>
      <c r="V45" s="128">
        <v>1</v>
      </c>
      <c r="W45" s="108"/>
    </row>
    <row r="46" spans="2:26" ht="15.75" customHeight="1">
      <c r="B46" t="s">
        <v>195</v>
      </c>
      <c r="C46" t="s">
        <v>196</v>
      </c>
      <c r="D46" s="83"/>
      <c r="E46" s="84"/>
      <c r="F46">
        <v>20</v>
      </c>
      <c r="G46" s="127">
        <v>10.27</v>
      </c>
      <c r="H46" s="127">
        <v>2.77</v>
      </c>
      <c r="I46" s="127">
        <v>205.4</v>
      </c>
      <c r="J46" s="102"/>
      <c r="K46">
        <v>20</v>
      </c>
      <c r="L46" s="127">
        <v>5.14</v>
      </c>
      <c r="M46" s="127">
        <v>102.8</v>
      </c>
      <c r="N46" s="111"/>
      <c r="O46" s="90"/>
      <c r="P46" s="112"/>
      <c r="Q46" s="91"/>
      <c r="R46" s="91"/>
      <c r="S46" s="127">
        <v>5.14</v>
      </c>
      <c r="T46" s="127">
        <v>102.8</v>
      </c>
      <c r="U46" s="128">
        <v>0</v>
      </c>
      <c r="V46" s="128">
        <v>1</v>
      </c>
      <c r="W46" s="108"/>
    </row>
    <row r="47" spans="2:26" ht="15.75" customHeight="1">
      <c r="B47" t="s">
        <v>197</v>
      </c>
      <c r="C47" t="s">
        <v>198</v>
      </c>
      <c r="D47" s="83"/>
      <c r="E47" s="97"/>
      <c r="F47">
        <v>8</v>
      </c>
      <c r="G47" s="127">
        <v>37.18</v>
      </c>
      <c r="H47" s="127">
        <v>10.039999999999999</v>
      </c>
      <c r="I47" s="127">
        <v>297.44</v>
      </c>
      <c r="J47" s="102"/>
      <c r="K47">
        <v>8</v>
      </c>
      <c r="L47" s="127">
        <v>18.59</v>
      </c>
      <c r="M47" s="127">
        <v>148.72</v>
      </c>
      <c r="N47" s="104"/>
      <c r="O47" s="90"/>
      <c r="P47" s="95"/>
      <c r="Q47" s="99"/>
      <c r="R47" s="105"/>
      <c r="S47" s="127">
        <v>18.59</v>
      </c>
      <c r="T47" s="127">
        <v>148.72</v>
      </c>
      <c r="U47" s="128">
        <v>0</v>
      </c>
      <c r="V47" s="128">
        <v>1</v>
      </c>
      <c r="W47" s="108"/>
      <c r="X47" s="94"/>
      <c r="Y47" s="4"/>
      <c r="Z47" s="4"/>
    </row>
    <row r="48" spans="2:26" ht="15.75" customHeight="1">
      <c r="B48" t="s">
        <v>199</v>
      </c>
      <c r="C48" t="s">
        <v>108</v>
      </c>
      <c r="D48" s="83"/>
      <c r="E48" s="84"/>
      <c r="F48">
        <v>8</v>
      </c>
      <c r="G48" s="127">
        <v>192.57</v>
      </c>
      <c r="H48" s="127">
        <v>51.99</v>
      </c>
      <c r="I48" s="127">
        <v>1540.56</v>
      </c>
      <c r="J48" s="102"/>
      <c r="K48">
        <v>8</v>
      </c>
      <c r="L48" s="127">
        <v>96.29</v>
      </c>
      <c r="M48" s="127">
        <v>770.32</v>
      </c>
      <c r="N48" s="111"/>
      <c r="O48" s="90"/>
      <c r="P48" s="112"/>
      <c r="Q48" s="91"/>
      <c r="R48" s="91"/>
      <c r="S48" s="127">
        <v>96.29</v>
      </c>
      <c r="T48" s="127">
        <v>770.32</v>
      </c>
      <c r="U48" s="128">
        <v>0</v>
      </c>
      <c r="V48" s="128">
        <v>1</v>
      </c>
      <c r="W48" s="93"/>
      <c r="X48" s="94"/>
      <c r="Y48" s="4"/>
      <c r="Z48" s="4"/>
    </row>
    <row r="49" spans="2:26" ht="15.75" customHeight="1">
      <c r="D49" s="83"/>
      <c r="E49" s="97"/>
      <c r="H49" t="s">
        <v>112</v>
      </c>
      <c r="I49" t="s">
        <v>112</v>
      </c>
      <c r="J49" s="102"/>
      <c r="K49">
        <v>0</v>
      </c>
      <c r="L49" t="s">
        <v>112</v>
      </c>
      <c r="M49" t="s">
        <v>112</v>
      </c>
      <c r="N49" s="104"/>
      <c r="O49" s="90"/>
      <c r="P49" s="95"/>
      <c r="Q49" s="99"/>
      <c r="R49" s="105"/>
      <c r="S49" t="s">
        <v>112</v>
      </c>
      <c r="T49" t="s">
        <v>112</v>
      </c>
      <c r="U49" s="128">
        <v>0</v>
      </c>
      <c r="V49" s="128">
        <v>0</v>
      </c>
      <c r="W49" s="108"/>
      <c r="X49" s="94"/>
      <c r="Y49" s="4"/>
      <c r="Z49" s="4"/>
    </row>
    <row r="50" spans="2:26" ht="15.75" customHeight="1">
      <c r="B50" t="s">
        <v>200</v>
      </c>
      <c r="C50" t="s">
        <v>201</v>
      </c>
      <c r="D50" s="83"/>
      <c r="E50" s="84"/>
      <c r="F50">
        <v>1</v>
      </c>
      <c r="G50" s="127">
        <v>3355.92</v>
      </c>
      <c r="H50" s="127">
        <v>906.1</v>
      </c>
      <c r="I50" s="127">
        <v>3355.92</v>
      </c>
      <c r="J50" s="102"/>
      <c r="K50">
        <v>1</v>
      </c>
      <c r="L50" s="127">
        <v>1677.96</v>
      </c>
      <c r="M50" s="127">
        <v>1677.96</v>
      </c>
      <c r="N50" s="111"/>
      <c r="O50" s="90"/>
      <c r="P50" s="112"/>
      <c r="Q50" s="91"/>
      <c r="R50" s="91"/>
      <c r="S50" s="127">
        <v>1677.96</v>
      </c>
      <c r="T50" s="127">
        <v>1677.96</v>
      </c>
      <c r="U50" s="128">
        <v>0</v>
      </c>
      <c r="V50" s="128">
        <v>1</v>
      </c>
      <c r="W50" s="93"/>
    </row>
    <row r="51" spans="2:26" ht="15.75" customHeight="1">
      <c r="B51" t="s">
        <v>202</v>
      </c>
      <c r="C51" t="s">
        <v>134</v>
      </c>
      <c r="D51" s="83"/>
      <c r="E51" s="97"/>
      <c r="F51">
        <v>1</v>
      </c>
      <c r="G51" s="127">
        <v>3100.37</v>
      </c>
      <c r="H51" s="127">
        <v>837.1</v>
      </c>
      <c r="I51" s="127">
        <v>3100.37</v>
      </c>
      <c r="J51" s="102"/>
      <c r="K51">
        <v>1</v>
      </c>
      <c r="L51" s="127">
        <v>1550.19</v>
      </c>
      <c r="M51" s="127">
        <v>1550.19</v>
      </c>
      <c r="N51" s="104"/>
      <c r="O51" s="90"/>
      <c r="P51" s="95"/>
      <c r="Q51" s="99"/>
      <c r="R51" s="105"/>
      <c r="S51" s="127">
        <v>1550.19</v>
      </c>
      <c r="T51" s="127">
        <v>1550.19</v>
      </c>
      <c r="U51" s="128">
        <v>0</v>
      </c>
      <c r="V51" s="128">
        <v>1</v>
      </c>
      <c r="W51" s="108"/>
    </row>
    <row r="52" spans="2:26" ht="15.75" customHeight="1">
      <c r="D52" s="83"/>
      <c r="E52" s="84"/>
      <c r="H52" t="s">
        <v>112</v>
      </c>
      <c r="I52" t="s">
        <v>112</v>
      </c>
      <c r="J52" s="102"/>
      <c r="K52">
        <v>0</v>
      </c>
      <c r="L52" t="s">
        <v>112</v>
      </c>
      <c r="M52" t="s">
        <v>112</v>
      </c>
      <c r="N52" s="111"/>
      <c r="O52" s="90"/>
      <c r="P52" s="112"/>
      <c r="Q52" s="91"/>
      <c r="R52" s="91"/>
      <c r="S52" t="s">
        <v>112</v>
      </c>
      <c r="T52" t="s">
        <v>112</v>
      </c>
      <c r="U52" s="128">
        <v>0</v>
      </c>
      <c r="V52" s="128">
        <v>0</v>
      </c>
      <c r="W52" s="93"/>
    </row>
    <row r="53" spans="2:26" ht="15.75" customHeight="1">
      <c r="B53" t="s">
        <v>495</v>
      </c>
      <c r="C53" t="s">
        <v>496</v>
      </c>
      <c r="D53" s="83"/>
      <c r="E53" s="97"/>
      <c r="F53">
        <v>4</v>
      </c>
      <c r="G53" s="127">
        <v>10230.540000000001</v>
      </c>
      <c r="H53" s="127">
        <v>2762.25</v>
      </c>
      <c r="I53" s="127">
        <v>40922.160000000003</v>
      </c>
      <c r="J53" s="102"/>
      <c r="K53">
        <v>4</v>
      </c>
      <c r="L53" s="127">
        <v>5115.2700000000004</v>
      </c>
      <c r="M53" s="127">
        <v>20461.080000000002</v>
      </c>
      <c r="N53" s="104"/>
      <c r="O53" s="90"/>
      <c r="P53" s="95"/>
      <c r="Q53" s="99"/>
      <c r="R53" s="105"/>
      <c r="S53" s="127">
        <v>5115.2700000000004</v>
      </c>
      <c r="T53" s="127">
        <v>20461.080000000002</v>
      </c>
      <c r="U53" s="128">
        <v>0</v>
      </c>
      <c r="V53" s="128">
        <v>1</v>
      </c>
      <c r="W53" s="108"/>
    </row>
    <row r="54" spans="2:26" ht="15.75" customHeight="1">
      <c r="D54" s="83"/>
      <c r="E54" s="84"/>
      <c r="G54" s="127"/>
      <c r="H54" s="127"/>
      <c r="I54" s="127"/>
      <c r="J54" s="102"/>
      <c r="L54" s="127"/>
      <c r="M54" s="127"/>
      <c r="N54" s="111"/>
      <c r="O54" s="90"/>
      <c r="P54" s="112"/>
      <c r="Q54" s="91"/>
      <c r="R54" s="91"/>
      <c r="S54" s="127"/>
      <c r="T54" s="127"/>
      <c r="U54" s="128"/>
      <c r="V54" s="128"/>
      <c r="W54" s="93"/>
    </row>
    <row r="55" spans="2:26" ht="15.75" customHeight="1">
      <c r="D55" s="83"/>
      <c r="E55" s="97"/>
      <c r="G55" s="127"/>
      <c r="H55" s="127"/>
      <c r="I55" s="127"/>
      <c r="J55" s="102"/>
      <c r="L55" s="127"/>
      <c r="M55" s="127"/>
      <c r="N55" s="104"/>
      <c r="O55" s="90"/>
      <c r="P55" s="95"/>
      <c r="Q55" s="99"/>
      <c r="R55" s="105"/>
      <c r="S55" s="127"/>
      <c r="T55" s="127"/>
      <c r="U55" s="128"/>
      <c r="V55" s="128"/>
      <c r="W55" s="108"/>
    </row>
    <row r="56" spans="2:26" ht="15.75" customHeight="1">
      <c r="D56" s="83"/>
      <c r="E56" s="84"/>
      <c r="G56" s="127"/>
      <c r="H56" s="127"/>
      <c r="I56" s="127"/>
      <c r="J56" s="102"/>
      <c r="L56" s="127"/>
      <c r="M56" s="127"/>
      <c r="N56" s="111"/>
      <c r="O56" s="90"/>
      <c r="P56" s="112"/>
      <c r="Q56" s="91"/>
      <c r="R56" s="91"/>
      <c r="S56" s="127"/>
      <c r="T56" s="127"/>
      <c r="U56" s="128"/>
      <c r="V56" s="128"/>
      <c r="W56" s="108"/>
    </row>
    <row r="57" spans="2:26" ht="15.75" customHeight="1">
      <c r="D57" s="83"/>
      <c r="E57" s="97"/>
      <c r="G57" s="127"/>
      <c r="H57" s="127"/>
      <c r="I57" s="127"/>
      <c r="J57" s="102"/>
      <c r="L57" s="127"/>
      <c r="M57" s="127"/>
      <c r="N57" s="104"/>
      <c r="O57" s="90"/>
      <c r="P57" s="95"/>
      <c r="Q57" s="99"/>
      <c r="R57" s="105"/>
      <c r="S57" s="127"/>
      <c r="T57" s="127"/>
      <c r="U57" s="128"/>
      <c r="V57" s="128"/>
      <c r="W57" s="108"/>
    </row>
    <row r="58" spans="2:26" ht="15.75" customHeight="1">
      <c r="D58" s="83"/>
      <c r="E58" s="84"/>
      <c r="G58" s="127"/>
      <c r="H58" s="127"/>
      <c r="I58" s="127"/>
      <c r="J58" s="102"/>
      <c r="L58" s="127"/>
      <c r="M58" s="127"/>
      <c r="N58" s="111"/>
      <c r="O58" s="90"/>
      <c r="P58" s="112"/>
      <c r="Q58" s="91"/>
      <c r="R58" s="91"/>
      <c r="S58" s="127"/>
      <c r="T58" s="127"/>
      <c r="U58" s="128"/>
      <c r="V58" s="128"/>
      <c r="W58" s="108"/>
    </row>
    <row r="59" spans="2:26" ht="15.75" customHeight="1">
      <c r="D59" s="83"/>
      <c r="E59" s="97"/>
      <c r="G59" s="127"/>
      <c r="H59" s="127"/>
      <c r="I59" s="127"/>
      <c r="J59" s="102"/>
      <c r="L59" s="127"/>
      <c r="M59" s="127"/>
      <c r="N59" s="104"/>
      <c r="O59" s="90"/>
      <c r="P59" s="95"/>
      <c r="Q59" s="99"/>
      <c r="R59" s="105"/>
      <c r="S59" s="127"/>
      <c r="T59" s="127"/>
      <c r="U59" s="128"/>
      <c r="V59" s="128"/>
      <c r="W59" s="108"/>
    </row>
    <row r="60" spans="2:26" ht="15.75" customHeight="1">
      <c r="D60" s="83"/>
      <c r="E60" s="84"/>
      <c r="G60" s="127"/>
      <c r="H60" s="127"/>
      <c r="I60" s="127"/>
      <c r="J60" s="102"/>
      <c r="L60" s="127"/>
      <c r="M60" s="127"/>
      <c r="N60" s="111"/>
      <c r="O60" s="90"/>
      <c r="P60" s="112"/>
      <c r="Q60" s="91"/>
      <c r="R60" s="91"/>
      <c r="S60" s="127"/>
      <c r="T60" s="127"/>
      <c r="U60" s="128"/>
      <c r="V60" s="128"/>
      <c r="W60" s="108"/>
    </row>
    <row r="61" spans="2:26" ht="15.75" customHeight="1">
      <c r="D61" s="83"/>
      <c r="E61" s="97"/>
      <c r="J61" s="102"/>
      <c r="N61" s="104"/>
      <c r="O61" s="90"/>
      <c r="P61" s="95"/>
      <c r="Q61" s="99"/>
      <c r="R61" s="105"/>
      <c r="U61" s="128"/>
      <c r="V61" s="128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128"/>
      <c r="V62" s="128"/>
      <c r="W62" s="108"/>
    </row>
    <row r="63" spans="2:26" ht="15.75" customHeight="1">
      <c r="B63" s="129"/>
      <c r="D63" s="83"/>
      <c r="E63" s="97"/>
      <c r="G63" s="127"/>
      <c r="H63" s="127"/>
      <c r="I63" s="127"/>
      <c r="J63" s="102"/>
      <c r="L63" s="127"/>
      <c r="M63" s="127"/>
      <c r="N63" s="104"/>
      <c r="O63" s="90"/>
      <c r="P63" s="95"/>
      <c r="Q63" s="99"/>
      <c r="R63" s="105"/>
      <c r="S63" s="127"/>
      <c r="T63" s="127"/>
      <c r="U63" s="128"/>
      <c r="V63" s="128"/>
      <c r="W63" s="108"/>
    </row>
    <row r="64" spans="2:26" ht="15.75" customHeight="1">
      <c r="D64" s="83"/>
      <c r="E64" s="84"/>
      <c r="G64" s="127"/>
      <c r="H64" s="127"/>
      <c r="I64" s="127"/>
      <c r="J64" s="102"/>
      <c r="L64" s="127"/>
      <c r="M64" s="127"/>
      <c r="N64" s="111"/>
      <c r="O64" s="90"/>
      <c r="P64" s="112"/>
      <c r="Q64" s="91"/>
      <c r="R64" s="91"/>
      <c r="S64" s="127"/>
      <c r="T64" s="127"/>
      <c r="U64" s="128"/>
      <c r="V64" s="128"/>
      <c r="W64" s="108"/>
    </row>
    <row r="65" spans="2:26" ht="15.75" customHeight="1">
      <c r="D65" s="83"/>
      <c r="E65" s="97"/>
      <c r="G65" s="127"/>
      <c r="H65" s="127"/>
      <c r="I65" s="127"/>
      <c r="J65" s="102"/>
      <c r="L65" s="127"/>
      <c r="M65" s="127"/>
      <c r="N65" s="104"/>
      <c r="O65" s="90"/>
      <c r="P65" s="95"/>
      <c r="Q65" s="99"/>
      <c r="R65" s="105"/>
      <c r="S65" s="127"/>
      <c r="T65" s="127"/>
      <c r="U65" s="128"/>
      <c r="V65" s="128"/>
      <c r="W65" s="108"/>
    </row>
    <row r="66" spans="2:26">
      <c r="B66" s="129"/>
      <c r="D66" s="83"/>
      <c r="E66" s="84"/>
      <c r="G66" s="127"/>
      <c r="H66" s="127"/>
      <c r="I66" s="127"/>
      <c r="J66" s="102"/>
      <c r="L66" s="127"/>
      <c r="M66" s="127"/>
      <c r="N66" s="111"/>
      <c r="O66" s="90"/>
      <c r="P66" s="112"/>
      <c r="Q66" s="91"/>
      <c r="R66" s="91"/>
      <c r="S66" s="127"/>
      <c r="T66" s="127"/>
      <c r="U66" s="128"/>
      <c r="V66" s="128"/>
      <c r="W66" s="93"/>
      <c r="X66" s="94"/>
      <c r="Y66" s="4"/>
      <c r="Z66" s="4"/>
    </row>
    <row r="67" spans="2:26" ht="15.75" customHeight="1">
      <c r="D67" s="83"/>
      <c r="E67" s="97"/>
      <c r="G67" s="127"/>
      <c r="H67" s="127"/>
      <c r="I67" s="127"/>
      <c r="J67" s="102"/>
      <c r="L67" s="127"/>
      <c r="M67" s="127"/>
      <c r="N67" s="104"/>
      <c r="O67" s="90"/>
      <c r="P67" s="95"/>
      <c r="Q67" s="99"/>
      <c r="R67" s="105"/>
      <c r="S67" s="127"/>
      <c r="T67" s="127"/>
      <c r="U67" s="128"/>
      <c r="V67" s="128"/>
      <c r="W67" s="108"/>
      <c r="X67" s="94"/>
      <c r="Y67" s="4"/>
      <c r="Z67" s="4"/>
    </row>
    <row r="68" spans="2:26" ht="15.75" customHeight="1">
      <c r="D68" s="83"/>
      <c r="E68" s="84"/>
      <c r="J68" s="102"/>
      <c r="N68" s="111"/>
      <c r="O68" s="90"/>
      <c r="P68" s="112"/>
      <c r="Q68" s="91"/>
      <c r="R68" s="91"/>
      <c r="U68" s="128"/>
      <c r="V68" s="128"/>
      <c r="W68" s="93"/>
      <c r="X68" s="94"/>
      <c r="Y68" s="4"/>
      <c r="Z68" s="4"/>
    </row>
    <row r="69" spans="2:26" ht="15.75" customHeight="1">
      <c r="D69" s="83"/>
      <c r="E69" s="97"/>
      <c r="J69" s="102"/>
      <c r="N69" s="104"/>
      <c r="O69" s="90"/>
      <c r="P69" s="95"/>
      <c r="Q69" s="99"/>
      <c r="R69" s="105"/>
      <c r="U69" s="128"/>
      <c r="V69" s="128"/>
      <c r="W69" s="108"/>
      <c r="X69" s="94"/>
      <c r="Y69" s="4"/>
      <c r="Z69" s="4"/>
    </row>
    <row r="70" spans="2:26" ht="15.75" customHeight="1">
      <c r="D70" s="83"/>
      <c r="E70" s="84"/>
      <c r="G70" s="127"/>
      <c r="H70" s="127"/>
      <c r="I70" s="127"/>
      <c r="J70" s="102"/>
      <c r="L70" s="127"/>
      <c r="M70" s="127"/>
      <c r="N70" s="111"/>
      <c r="O70" s="90"/>
      <c r="P70" s="112"/>
      <c r="Q70" s="91"/>
      <c r="R70" s="91"/>
      <c r="S70" s="127"/>
      <c r="T70" s="127"/>
      <c r="U70" s="128"/>
      <c r="V70" s="128"/>
      <c r="W70" s="93"/>
      <c r="X70" s="94"/>
      <c r="Y70" s="4"/>
      <c r="Z70" s="4"/>
    </row>
    <row r="71" spans="2:26" ht="15.75" customHeight="1">
      <c r="D71" s="83"/>
      <c r="E71" s="97"/>
      <c r="G71" s="127"/>
      <c r="H71" s="127"/>
      <c r="I71" s="127"/>
      <c r="J71" s="102"/>
      <c r="L71" s="127"/>
      <c r="M71" s="127"/>
      <c r="N71" s="104"/>
      <c r="O71" s="90"/>
      <c r="P71" s="95"/>
      <c r="Q71" s="99"/>
      <c r="R71" s="105"/>
      <c r="S71" s="127"/>
      <c r="T71" s="127"/>
      <c r="U71" s="128"/>
      <c r="V71" s="128"/>
      <c r="W71" s="108"/>
      <c r="X71" s="94"/>
      <c r="Y71" s="4"/>
      <c r="Z71" s="4"/>
    </row>
    <row r="72" spans="2:26" ht="15.75" customHeight="1">
      <c r="D72" s="83"/>
      <c r="E72" s="84"/>
      <c r="G72" s="127"/>
      <c r="H72" s="127"/>
      <c r="I72" s="127"/>
      <c r="J72" s="102"/>
      <c r="L72" s="127"/>
      <c r="M72" s="127"/>
      <c r="N72" s="111"/>
      <c r="O72" s="90"/>
      <c r="P72" s="112"/>
      <c r="Q72" s="91"/>
      <c r="R72" s="91"/>
      <c r="S72" s="127"/>
      <c r="T72" s="127"/>
      <c r="U72" s="128"/>
      <c r="V72" s="128"/>
      <c r="W72" s="93"/>
      <c r="X72" s="94"/>
      <c r="Y72" s="4"/>
      <c r="Z72" s="4"/>
    </row>
    <row r="73" spans="2:26" ht="15.75" customHeight="1">
      <c r="D73" s="83"/>
      <c r="E73" s="97"/>
      <c r="G73" s="127"/>
      <c r="H73" s="127"/>
      <c r="I73" s="127"/>
      <c r="J73" s="102"/>
      <c r="L73" s="127"/>
      <c r="M73" s="127"/>
      <c r="N73" s="104"/>
      <c r="O73" s="90"/>
      <c r="P73" s="95"/>
      <c r="Q73" s="99"/>
      <c r="R73" s="105"/>
      <c r="S73" s="127"/>
      <c r="T73" s="127"/>
      <c r="U73" s="128"/>
      <c r="V73" s="128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128"/>
      <c r="V74" s="128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128"/>
      <c r="V75" s="128"/>
      <c r="W75" s="93"/>
      <c r="X75" s="94"/>
      <c r="Y75" s="4"/>
      <c r="Z75" s="4"/>
    </row>
    <row r="76" spans="2:26" ht="15.75" customHeight="1">
      <c r="D76" s="83"/>
      <c r="E76" s="97"/>
      <c r="G76" s="127"/>
      <c r="H76" s="127"/>
      <c r="I76" s="127"/>
      <c r="J76" s="102"/>
      <c r="L76" s="127"/>
      <c r="M76" s="127"/>
      <c r="N76" s="104"/>
      <c r="O76" s="90"/>
      <c r="P76" s="95"/>
      <c r="Q76" s="99"/>
      <c r="R76" s="105"/>
      <c r="S76" s="127"/>
      <c r="T76" s="127"/>
      <c r="U76" s="128"/>
      <c r="V76" s="128"/>
      <c r="W76" s="108"/>
      <c r="X76" s="94"/>
      <c r="Y76" s="4"/>
      <c r="Z76" s="4"/>
    </row>
    <row r="77" spans="2:26" ht="15.75" customHeight="1">
      <c r="D77" s="83"/>
      <c r="E77" s="84"/>
      <c r="G77" s="127"/>
      <c r="H77" s="127"/>
      <c r="I77" s="127"/>
      <c r="J77" s="102"/>
      <c r="L77" s="127"/>
      <c r="M77" s="127"/>
      <c r="N77" s="111"/>
      <c r="O77" s="90"/>
      <c r="P77" s="112"/>
      <c r="Q77" s="91"/>
      <c r="R77" s="91"/>
      <c r="S77" s="127"/>
      <c r="T77" s="127"/>
      <c r="U77" s="128"/>
      <c r="V77" s="128"/>
      <c r="W77" s="93"/>
    </row>
    <row r="78" spans="2:26" ht="15.75" customHeight="1">
      <c r="D78" s="83"/>
      <c r="E78" s="97"/>
      <c r="G78" s="127"/>
      <c r="H78" s="127"/>
      <c r="I78" s="127"/>
      <c r="J78" s="102"/>
      <c r="L78" s="127"/>
      <c r="M78" s="127"/>
      <c r="N78" s="104"/>
      <c r="O78" s="90"/>
      <c r="P78" s="95"/>
      <c r="Q78" s="99"/>
      <c r="R78" s="105"/>
      <c r="S78" s="127"/>
      <c r="T78" s="127"/>
      <c r="U78" s="128"/>
      <c r="V78" s="128"/>
      <c r="W78" s="108"/>
    </row>
    <row r="79" spans="2:26" ht="15.75" customHeight="1">
      <c r="D79" s="83"/>
      <c r="E79" s="84"/>
      <c r="G79" s="127"/>
      <c r="H79" s="127"/>
      <c r="I79" s="127"/>
      <c r="J79" s="102"/>
      <c r="L79" s="127"/>
      <c r="M79" s="127"/>
      <c r="N79" s="111"/>
      <c r="O79" s="90"/>
      <c r="P79" s="112"/>
      <c r="Q79" s="91"/>
      <c r="R79" s="91"/>
      <c r="S79" s="127"/>
      <c r="T79" s="127"/>
      <c r="U79" s="128"/>
      <c r="V79" s="128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128"/>
      <c r="V80" s="128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128"/>
      <c r="V81" s="128"/>
      <c r="W81" s="93"/>
    </row>
    <row r="82" spans="4:26" ht="15.75" customHeight="1">
      <c r="D82" s="83"/>
      <c r="E82" s="97"/>
      <c r="G82" s="127"/>
      <c r="H82" s="127"/>
      <c r="I82" s="127"/>
      <c r="J82" s="102"/>
      <c r="L82" s="127"/>
      <c r="M82" s="127"/>
      <c r="N82" s="104"/>
      <c r="O82" s="90"/>
      <c r="P82" s="95"/>
      <c r="Q82" s="99"/>
      <c r="R82" s="105"/>
      <c r="S82" s="127"/>
      <c r="T82" s="127"/>
      <c r="U82" s="128"/>
      <c r="V82" s="128"/>
      <c r="W82" s="108"/>
    </row>
    <row r="83" spans="4:26" ht="15.75" customHeight="1">
      <c r="D83" s="83"/>
      <c r="E83" s="84"/>
      <c r="G83" s="127"/>
      <c r="H83" s="127"/>
      <c r="I83" s="127"/>
      <c r="J83" s="102"/>
      <c r="L83" s="127"/>
      <c r="M83" s="127"/>
      <c r="N83" s="111"/>
      <c r="O83" s="90"/>
      <c r="P83" s="112"/>
      <c r="Q83" s="91"/>
      <c r="R83" s="91"/>
      <c r="S83" s="127"/>
      <c r="T83" s="127"/>
      <c r="U83" s="128"/>
      <c r="V83" s="128"/>
      <c r="W83" s="108"/>
    </row>
    <row r="84" spans="4:26" ht="15.75" customHeight="1">
      <c r="D84" s="83"/>
      <c r="E84" s="97"/>
      <c r="G84" s="127"/>
      <c r="H84" s="127"/>
      <c r="I84" s="127"/>
      <c r="J84" s="102"/>
      <c r="L84" s="127"/>
      <c r="M84" s="127"/>
      <c r="N84" s="104"/>
      <c r="O84" s="90"/>
      <c r="P84" s="95"/>
      <c r="Q84" s="99"/>
      <c r="R84" s="105"/>
      <c r="S84" s="127"/>
      <c r="T84" s="127"/>
      <c r="U84" s="128"/>
      <c r="V84" s="128"/>
      <c r="W84" s="108"/>
    </row>
    <row r="85" spans="4:26" ht="15.75" customHeight="1">
      <c r="D85" s="83"/>
      <c r="E85" s="84"/>
      <c r="G85" s="127"/>
      <c r="H85" s="127"/>
      <c r="I85" s="127"/>
      <c r="J85" s="102"/>
      <c r="L85" s="127"/>
      <c r="M85" s="127"/>
      <c r="N85" s="111"/>
      <c r="O85" s="90"/>
      <c r="P85" s="112"/>
      <c r="Q85" s="91"/>
      <c r="R85" s="91"/>
      <c r="S85" s="127"/>
      <c r="T85" s="127"/>
      <c r="U85" s="128"/>
      <c r="V85" s="128"/>
      <c r="W85" s="108"/>
    </row>
    <row r="86" spans="4:26" ht="15.75" customHeight="1">
      <c r="D86" s="83"/>
      <c r="E86" s="97"/>
      <c r="G86" s="127"/>
      <c r="H86" s="127"/>
      <c r="I86" s="127"/>
      <c r="J86" s="102"/>
      <c r="L86" s="127"/>
      <c r="M86" s="127"/>
      <c r="N86" s="104"/>
      <c r="O86" s="90"/>
      <c r="P86" s="95"/>
      <c r="Q86" s="99"/>
      <c r="R86" s="105"/>
      <c r="S86" s="127"/>
      <c r="T86" s="127"/>
      <c r="U86" s="128"/>
      <c r="V86" s="128"/>
      <c r="W86" s="108"/>
    </row>
    <row r="87" spans="4:26" ht="15.75" customHeight="1">
      <c r="D87" s="83"/>
      <c r="E87" s="84"/>
      <c r="G87" s="127"/>
      <c r="H87" s="127"/>
      <c r="I87" s="127"/>
      <c r="J87" s="102"/>
      <c r="L87" s="127"/>
      <c r="M87" s="127"/>
      <c r="N87" s="111"/>
      <c r="O87" s="90"/>
      <c r="P87" s="112"/>
      <c r="Q87" s="91"/>
      <c r="R87" s="91"/>
      <c r="S87" s="127"/>
      <c r="T87" s="127"/>
      <c r="U87" s="128"/>
      <c r="V87" s="128"/>
      <c r="W87" s="108"/>
    </row>
    <row r="88" spans="4:26" ht="15.75" customHeight="1">
      <c r="D88" s="83"/>
      <c r="E88" s="97"/>
      <c r="G88" s="127"/>
      <c r="H88" s="127"/>
      <c r="I88" s="127"/>
      <c r="J88" s="102"/>
      <c r="L88" s="127"/>
      <c r="M88" s="127"/>
      <c r="N88" s="104"/>
      <c r="O88" s="90"/>
      <c r="P88" s="95"/>
      <c r="Q88" s="99"/>
      <c r="R88" s="105"/>
      <c r="S88" s="127"/>
      <c r="T88" s="127"/>
      <c r="U88" s="128"/>
      <c r="V88" s="128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128"/>
      <c r="V89" s="128"/>
      <c r="W89" s="108"/>
    </row>
    <row r="90" spans="4:26" ht="15.75" customHeight="1">
      <c r="D90" s="83"/>
      <c r="E90" s="97"/>
      <c r="G90" s="127"/>
      <c r="H90" s="127"/>
      <c r="I90" s="127"/>
      <c r="J90" s="102"/>
      <c r="L90" s="127"/>
      <c r="M90" s="127"/>
      <c r="N90" s="104"/>
      <c r="O90" s="90"/>
      <c r="P90" s="95"/>
      <c r="Q90" s="99"/>
      <c r="R90" s="105"/>
      <c r="S90" s="127"/>
      <c r="T90" s="127"/>
      <c r="U90" s="128"/>
      <c r="V90" s="128"/>
      <c r="W90" s="108"/>
    </row>
    <row r="91" spans="4:26" ht="15.75" customHeight="1">
      <c r="D91" s="83"/>
      <c r="E91" s="84"/>
      <c r="G91" s="127"/>
      <c r="H91" s="127"/>
      <c r="I91" s="127"/>
      <c r="J91" s="102"/>
      <c r="L91" s="127"/>
      <c r="M91" s="127"/>
      <c r="N91" s="111"/>
      <c r="O91" s="90"/>
      <c r="P91" s="112"/>
      <c r="Q91" s="91"/>
      <c r="R91" s="91"/>
      <c r="S91" s="127"/>
      <c r="T91" s="127"/>
      <c r="U91" s="128"/>
      <c r="V91" s="128"/>
      <c r="W91" s="108"/>
    </row>
    <row r="92" spans="4:26" ht="15.75" customHeight="1">
      <c r="D92" s="83"/>
      <c r="E92" s="97"/>
      <c r="G92" s="127"/>
      <c r="H92" s="127"/>
      <c r="I92" s="127"/>
      <c r="J92" s="102"/>
      <c r="L92" s="127"/>
      <c r="M92" s="127"/>
      <c r="N92" s="104"/>
      <c r="O92" s="90"/>
      <c r="P92" s="95"/>
      <c r="Q92" s="99"/>
      <c r="R92" s="105"/>
      <c r="S92" s="127"/>
      <c r="T92" s="127"/>
      <c r="U92" s="128"/>
      <c r="V92" s="128"/>
      <c r="W92" s="108"/>
    </row>
    <row r="93" spans="4:26" ht="15.75" customHeight="1">
      <c r="D93" s="83"/>
      <c r="E93" s="84"/>
      <c r="G93" s="127"/>
      <c r="H93" s="127"/>
      <c r="I93" s="127"/>
      <c r="J93" s="102"/>
      <c r="L93" s="127"/>
      <c r="M93" s="127"/>
      <c r="N93" s="111"/>
      <c r="O93" s="90"/>
      <c r="P93" s="112"/>
      <c r="Q93" s="91"/>
      <c r="R93" s="91"/>
      <c r="S93" s="127"/>
      <c r="T93" s="127"/>
      <c r="U93" s="128"/>
      <c r="V93" s="128"/>
      <c r="W93" s="108"/>
    </row>
    <row r="94" spans="4:26" ht="15.75" customHeight="1">
      <c r="D94" s="83"/>
      <c r="E94" s="97"/>
      <c r="G94" s="127"/>
      <c r="H94" s="127"/>
      <c r="I94" s="127"/>
      <c r="J94" s="102"/>
      <c r="L94" s="127"/>
      <c r="M94" s="127"/>
      <c r="N94" s="104"/>
      <c r="O94" s="90"/>
      <c r="P94" s="95"/>
      <c r="Q94" s="99"/>
      <c r="R94" s="105"/>
      <c r="S94" s="127"/>
      <c r="T94" s="127"/>
      <c r="U94" s="128"/>
      <c r="V94" s="128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128"/>
      <c r="V95" s="128"/>
      <c r="W95" s="93"/>
      <c r="X95" s="94"/>
      <c r="Y95" s="4"/>
      <c r="Z95" s="4"/>
    </row>
    <row r="96" spans="4:26" ht="15.75" customHeight="1">
      <c r="D96" s="83"/>
      <c r="E96" s="97"/>
      <c r="G96" s="127"/>
      <c r="H96" s="127"/>
      <c r="I96" s="127"/>
      <c r="J96" s="102"/>
      <c r="L96" s="127"/>
      <c r="M96" s="127"/>
      <c r="N96" s="104"/>
      <c r="O96" s="90"/>
      <c r="P96" s="95"/>
      <c r="Q96" s="99"/>
      <c r="R96" s="105"/>
      <c r="S96" s="127"/>
      <c r="T96" s="127"/>
      <c r="U96" s="128"/>
      <c r="V96" s="128"/>
      <c r="W96" s="108"/>
      <c r="X96" s="94"/>
      <c r="Y96" s="4"/>
      <c r="Z96" s="4"/>
    </row>
    <row r="97" spans="2:23" ht="15.75" customHeight="1">
      <c r="D97" s="83"/>
      <c r="E97" s="84"/>
      <c r="G97" s="127"/>
      <c r="H97" s="127"/>
      <c r="I97" s="127"/>
      <c r="J97" s="102"/>
      <c r="L97" s="127"/>
      <c r="M97" s="127"/>
      <c r="N97" s="111"/>
      <c r="O97" s="90"/>
      <c r="P97" s="112"/>
      <c r="Q97" s="91"/>
      <c r="R97" s="91"/>
      <c r="S97" s="127"/>
      <c r="T97" s="127"/>
      <c r="U97" s="128"/>
      <c r="V97" s="128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128"/>
      <c r="V98" s="128"/>
      <c r="W98" s="108"/>
    </row>
    <row r="99" spans="2:23" ht="15.75" customHeight="1">
      <c r="D99" s="83"/>
      <c r="E99" s="84"/>
      <c r="G99" s="127"/>
      <c r="H99" s="127"/>
      <c r="I99" s="127"/>
      <c r="J99" s="102"/>
      <c r="L99" s="127"/>
      <c r="M99" s="127"/>
      <c r="N99" s="111"/>
      <c r="O99" s="90"/>
      <c r="P99" s="112"/>
      <c r="Q99" s="91"/>
      <c r="R99" s="91"/>
      <c r="S99" s="127"/>
      <c r="T99" s="127"/>
      <c r="U99" s="128"/>
      <c r="V99" s="128"/>
      <c r="W99" s="93"/>
    </row>
    <row r="100" spans="2:23" ht="15.75" customHeight="1">
      <c r="D100" s="83"/>
      <c r="E100" s="97"/>
      <c r="G100" s="127"/>
      <c r="H100" s="127"/>
      <c r="I100" s="127"/>
      <c r="J100" s="102"/>
      <c r="L100" s="127"/>
      <c r="M100" s="127"/>
      <c r="N100" s="104"/>
      <c r="O100" s="90"/>
      <c r="P100" s="95"/>
      <c r="Q100" s="99"/>
      <c r="R100" s="105"/>
      <c r="S100" s="127"/>
      <c r="T100" s="127"/>
      <c r="U100" s="128"/>
      <c r="V100" s="128"/>
      <c r="W100" s="108"/>
    </row>
    <row r="101" spans="2:23" ht="15.75" customHeight="1">
      <c r="D101" s="83"/>
      <c r="E101" s="84"/>
      <c r="G101" s="127"/>
      <c r="H101" s="127"/>
      <c r="I101" s="127"/>
      <c r="J101" s="102"/>
      <c r="L101" s="127"/>
      <c r="M101" s="127"/>
      <c r="N101" s="111"/>
      <c r="O101" s="90"/>
      <c r="P101" s="112"/>
      <c r="Q101" s="91"/>
      <c r="R101" s="91"/>
      <c r="S101" s="127"/>
      <c r="T101" s="127"/>
      <c r="U101" s="128"/>
      <c r="V101" s="128"/>
      <c r="W101" s="93"/>
    </row>
    <row r="102" spans="2:23" ht="15.75" customHeight="1">
      <c r="D102" s="83"/>
      <c r="E102" s="97"/>
      <c r="G102" s="127"/>
      <c r="H102" s="127"/>
      <c r="I102" s="127"/>
      <c r="J102" s="102"/>
      <c r="L102" s="127"/>
      <c r="M102" s="127"/>
      <c r="N102" s="104"/>
      <c r="O102" s="90"/>
      <c r="P102" s="95"/>
      <c r="Q102" s="99"/>
      <c r="R102" s="105"/>
      <c r="S102" s="127"/>
      <c r="T102" s="127"/>
      <c r="U102" s="128"/>
      <c r="V102" s="128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112</v>
      </c>
      <c r="G114" s="118">
        <f>SUM(G19:G113)</f>
        <v>119397.80000000002</v>
      </c>
      <c r="H114" s="119">
        <f>SUM(H19:H113)</f>
        <v>32237.39</v>
      </c>
      <c r="I114" s="120">
        <f>SUM(I19:I113)</f>
        <v>170715.87</v>
      </c>
      <c r="J114" s="121"/>
      <c r="K114" s="122">
        <f>SUM(K19:K113)</f>
        <v>112</v>
      </c>
      <c r="L114" s="119">
        <f>SUM(L19:L113)</f>
        <v>59698.960000000006</v>
      </c>
      <c r="M114" s="120">
        <f>SUM(M19:M113)</f>
        <v>85358.25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59698.960000000006</v>
      </c>
      <c r="T114" s="120">
        <f>SUM(T19:T113)</f>
        <v>85358.25</v>
      </c>
      <c r="U114" s="125"/>
      <c r="V114" s="125"/>
      <c r="W114" s="126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E19:E113" xr:uid="{3D096EBA-5533-4473-8348-C9A12D5510FE}">
      <formula1>$Z$19:$Z$94</formula1>
    </dataValidation>
    <dataValidation type="list" allowBlank="1" showErrorMessage="1" sqref="I14" xr:uid="{1FDFE5F4-D248-492D-89A1-0880E12FD9F4}">
      <formula1>$Y$14:$Y$15</formula1>
    </dataValidation>
    <dataValidation type="list" allowBlank="1" showErrorMessage="1" sqref="J14" xr:uid="{1552DE39-ABC4-49C3-8D32-971D31CB4EA9}">
      <formula1>$L$9</formula1>
    </dataValidation>
    <dataValidation type="list" allowBlank="1" showErrorMessage="1" sqref="Q15 G18 L18 Q18" xr:uid="{89A77774-0363-439D-BC35-42CA5861D1A7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48F5-C0FF-44A9-B855-8D5983DA675B}">
  <sheetPr>
    <pageSetUpPr fitToPage="1"/>
  </sheetPr>
  <dimension ref="B1:Z114"/>
  <sheetViews>
    <sheetView zoomScale="85" zoomScaleNormal="85" workbookViewId="0">
      <pane ySplit="18" topLeftCell="A33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18" t="s">
        <v>0</v>
      </c>
      <c r="C1" s="219"/>
      <c r="D1" s="220" t="s">
        <v>1</v>
      </c>
      <c r="E1" s="221"/>
      <c r="F1" s="221"/>
      <c r="G1" s="221"/>
      <c r="H1" s="184"/>
      <c r="I1" s="218" t="s">
        <v>2</v>
      </c>
      <c r="J1" s="222"/>
      <c r="K1" s="222"/>
      <c r="L1" s="181"/>
      <c r="M1" s="223" t="s">
        <v>3</v>
      </c>
      <c r="N1" s="224"/>
      <c r="O1" s="225"/>
      <c r="P1" s="226" t="str">
        <f>L18</f>
        <v>CAD $</v>
      </c>
      <c r="Q1" s="222"/>
      <c r="R1" s="181"/>
      <c r="S1" s="218" t="s">
        <v>4</v>
      </c>
      <c r="T1" s="222"/>
      <c r="U1" s="222"/>
      <c r="V1" s="222"/>
      <c r="W1" s="181"/>
      <c r="X1" s="2"/>
      <c r="Y1" s="3"/>
    </row>
    <row r="2" spans="2:25" ht="15" customHeight="1">
      <c r="B2" s="5" t="s">
        <v>5</v>
      </c>
      <c r="C2" s="6"/>
      <c r="D2" s="193" t="s">
        <v>6</v>
      </c>
      <c r="E2" s="135"/>
      <c r="F2" s="136"/>
      <c r="G2" s="194"/>
      <c r="H2" s="136"/>
      <c r="I2" s="215" t="s">
        <v>7</v>
      </c>
      <c r="J2" s="133"/>
      <c r="K2" s="131"/>
      <c r="L2" s="8"/>
      <c r="M2" s="216" t="s">
        <v>8</v>
      </c>
      <c r="N2" s="131"/>
      <c r="O2" s="9"/>
      <c r="P2" s="217">
        <f>I114</f>
        <v>60312.85</v>
      </c>
      <c r="Q2" s="133"/>
      <c r="R2" s="131"/>
      <c r="S2" s="216" t="s">
        <v>9</v>
      </c>
      <c r="T2" s="131"/>
      <c r="U2" s="214"/>
      <c r="V2" s="131"/>
      <c r="W2" s="10"/>
      <c r="X2" s="11"/>
      <c r="Y2" s="3"/>
    </row>
    <row r="3" spans="2:25" ht="15" customHeight="1">
      <c r="B3" s="12" t="s">
        <v>10</v>
      </c>
      <c r="C3" s="7"/>
      <c r="D3" s="193" t="s">
        <v>11</v>
      </c>
      <c r="E3" s="135"/>
      <c r="F3" s="136"/>
      <c r="G3" s="194"/>
      <c r="H3" s="136"/>
      <c r="I3" s="193" t="s">
        <v>12</v>
      </c>
      <c r="J3" s="135"/>
      <c r="K3" s="136"/>
      <c r="L3" s="13"/>
      <c r="M3" s="197" t="s">
        <v>13</v>
      </c>
      <c r="N3" s="136"/>
      <c r="O3" s="9"/>
      <c r="P3" s="213">
        <f>M114</f>
        <v>30156.65</v>
      </c>
      <c r="Q3" s="135"/>
      <c r="R3" s="136"/>
      <c r="S3" s="197" t="s">
        <v>14</v>
      </c>
      <c r="T3" s="136"/>
      <c r="U3" s="199"/>
      <c r="V3" s="136"/>
      <c r="W3" s="14"/>
      <c r="X3" s="1"/>
      <c r="Y3" s="15"/>
    </row>
    <row r="4" spans="2:25" ht="15" customHeight="1">
      <c r="B4" s="16" t="s">
        <v>15</v>
      </c>
      <c r="C4" s="7"/>
      <c r="D4" s="193" t="s">
        <v>16</v>
      </c>
      <c r="E4" s="135"/>
      <c r="F4" s="136"/>
      <c r="G4" s="227" t="s">
        <v>497</v>
      </c>
      <c r="H4" s="228"/>
      <c r="I4" s="193" t="s">
        <v>17</v>
      </c>
      <c r="J4" s="135"/>
      <c r="K4" s="136"/>
      <c r="L4" s="13"/>
      <c r="M4" s="197" t="s">
        <v>18</v>
      </c>
      <c r="N4" s="136"/>
      <c r="O4" s="9"/>
      <c r="P4" s="213">
        <f>P2-P3</f>
        <v>30156.199999999997</v>
      </c>
      <c r="Q4" s="135"/>
      <c r="R4" s="136"/>
      <c r="S4" s="197" t="s">
        <v>19</v>
      </c>
      <c r="T4" s="136"/>
      <c r="U4" s="199"/>
      <c r="V4" s="136"/>
      <c r="W4" s="14"/>
      <c r="X4" s="1"/>
      <c r="Y4" s="15"/>
    </row>
    <row r="5" spans="2:25" ht="15" customHeight="1" thickBot="1">
      <c r="B5" s="16" t="s">
        <v>20</v>
      </c>
      <c r="C5" s="7"/>
      <c r="D5" s="193" t="s">
        <v>21</v>
      </c>
      <c r="E5" s="135"/>
      <c r="F5" s="136"/>
      <c r="G5" s="203" t="s">
        <v>408</v>
      </c>
      <c r="H5" s="204"/>
      <c r="I5" s="193" t="s">
        <v>22</v>
      </c>
      <c r="J5" s="135"/>
      <c r="K5" s="136"/>
      <c r="L5" s="13"/>
      <c r="M5" s="209" t="s">
        <v>23</v>
      </c>
      <c r="N5" s="210"/>
      <c r="O5" s="9"/>
      <c r="P5" s="211">
        <f>IFERROR((P2-P3)/P2,"")</f>
        <v>0.49999626945170056</v>
      </c>
      <c r="Q5" s="212"/>
      <c r="R5" s="210"/>
      <c r="S5" s="197" t="s">
        <v>24</v>
      </c>
      <c r="T5" s="136"/>
      <c r="U5" s="199"/>
      <c r="V5" s="136"/>
      <c r="W5" s="14"/>
      <c r="X5" s="1"/>
      <c r="Y5" s="15"/>
    </row>
    <row r="6" spans="2:25" ht="15" customHeight="1">
      <c r="B6" s="16" t="s">
        <v>25</v>
      </c>
      <c r="C6" s="17"/>
      <c r="D6" s="193" t="s">
        <v>26</v>
      </c>
      <c r="E6" s="135"/>
      <c r="F6" s="136"/>
      <c r="G6" s="203" t="s">
        <v>409</v>
      </c>
      <c r="H6" s="204"/>
      <c r="I6" s="193" t="s">
        <v>27</v>
      </c>
      <c r="J6" s="135"/>
      <c r="K6" s="136"/>
      <c r="L6" s="13"/>
      <c r="M6" s="205" t="s">
        <v>28</v>
      </c>
      <c r="N6" s="206"/>
      <c r="O6" s="9"/>
      <c r="P6" s="207">
        <f>T114</f>
        <v>30156.65</v>
      </c>
      <c r="Q6" s="208"/>
      <c r="R6" s="206"/>
      <c r="S6" s="197" t="s">
        <v>29</v>
      </c>
      <c r="T6" s="136"/>
      <c r="U6" s="199"/>
      <c r="V6" s="136"/>
      <c r="W6" s="18"/>
      <c r="X6" s="19"/>
      <c r="Y6" s="20"/>
    </row>
    <row r="7" spans="2:25" ht="15" customHeight="1">
      <c r="B7" s="16" t="s">
        <v>30</v>
      </c>
      <c r="C7" s="7"/>
      <c r="D7" s="193" t="s">
        <v>31</v>
      </c>
      <c r="E7" s="135"/>
      <c r="F7" s="136"/>
      <c r="G7" s="21"/>
      <c r="H7" s="21"/>
      <c r="I7" s="193" t="s">
        <v>32</v>
      </c>
      <c r="J7" s="135"/>
      <c r="K7" s="136"/>
      <c r="L7" s="13"/>
      <c r="M7" s="195" t="s">
        <v>33</v>
      </c>
      <c r="N7" s="136"/>
      <c r="O7" s="9"/>
      <c r="P7" s="198">
        <f>R114</f>
        <v>0</v>
      </c>
      <c r="Q7" s="135"/>
      <c r="R7" s="136"/>
      <c r="S7" s="200" t="s">
        <v>34</v>
      </c>
      <c r="T7" s="201"/>
      <c r="U7" s="202"/>
      <c r="V7" s="201"/>
      <c r="W7" s="18"/>
      <c r="X7" s="22"/>
      <c r="Y7" s="4"/>
    </row>
    <row r="8" spans="2:25" ht="15" customHeight="1">
      <c r="B8" s="23"/>
      <c r="C8" s="24"/>
      <c r="D8" s="193" t="s">
        <v>35</v>
      </c>
      <c r="E8" s="135"/>
      <c r="F8" s="136"/>
      <c r="G8" s="194"/>
      <c r="H8" s="136"/>
      <c r="I8" s="193" t="s">
        <v>36</v>
      </c>
      <c r="J8" s="135"/>
      <c r="K8" s="136"/>
      <c r="L8" s="13"/>
      <c r="M8" s="195" t="s">
        <v>37</v>
      </c>
      <c r="N8" s="136"/>
      <c r="O8" s="9"/>
      <c r="P8" s="198">
        <f>IF(P1=Q15,R15,IF(Q15="CAD $",R15*E16,IF(Q15="USD $",R15*F16,0)))</f>
        <v>0</v>
      </c>
      <c r="Q8" s="135"/>
      <c r="R8" s="136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93" t="s">
        <v>42</v>
      </c>
      <c r="E9" s="135"/>
      <c r="F9" s="136"/>
      <c r="G9" s="194"/>
      <c r="H9" s="136"/>
      <c r="I9" s="31"/>
      <c r="J9" s="32"/>
      <c r="K9" s="32"/>
      <c r="L9" s="33"/>
      <c r="M9" s="195" t="s">
        <v>43</v>
      </c>
      <c r="N9" s="136"/>
      <c r="O9" s="9"/>
      <c r="P9" s="196">
        <f>V15</f>
        <v>0</v>
      </c>
      <c r="Q9" s="135"/>
      <c r="R9" s="136"/>
      <c r="S9" s="186">
        <f>P7+P8+P9</f>
        <v>0</v>
      </c>
      <c r="T9" s="186">
        <f>P3-S9</f>
        <v>30156.65</v>
      </c>
      <c r="U9" s="189">
        <f>IFERROR(((P3-S9)/S9),0)</f>
        <v>0</v>
      </c>
      <c r="V9" s="189">
        <f>IFERROR(T9/P3,0)</f>
        <v>1</v>
      </c>
      <c r="W9" s="190"/>
      <c r="X9" s="29"/>
      <c r="Y9" s="4"/>
    </row>
    <row r="10" spans="2:25" ht="15" customHeight="1">
      <c r="B10" s="30"/>
      <c r="C10" s="24"/>
      <c r="D10" s="193" t="s">
        <v>44</v>
      </c>
      <c r="E10" s="135"/>
      <c r="F10" s="136"/>
      <c r="G10" s="194" t="s">
        <v>410</v>
      </c>
      <c r="H10" s="136"/>
      <c r="I10" s="31"/>
      <c r="J10" s="32"/>
      <c r="K10" s="32"/>
      <c r="L10" s="33"/>
      <c r="M10" s="195"/>
      <c r="N10" s="136"/>
      <c r="O10" s="9"/>
      <c r="P10" s="196"/>
      <c r="Q10" s="135"/>
      <c r="R10" s="136"/>
      <c r="S10" s="187"/>
      <c r="T10" s="187"/>
      <c r="U10" s="187"/>
      <c r="V10" s="187"/>
      <c r="W10" s="19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97" t="s">
        <v>45</v>
      </c>
      <c r="N11" s="136"/>
      <c r="O11" s="9"/>
      <c r="P11" s="155">
        <f>F114</f>
        <v>71</v>
      </c>
      <c r="Q11" s="135"/>
      <c r="R11" s="136"/>
      <c r="S11" s="188"/>
      <c r="T11" s="188"/>
      <c r="U11" s="188"/>
      <c r="V11" s="188"/>
      <c r="W11" s="192"/>
      <c r="X11" s="29"/>
      <c r="Y11" s="4"/>
    </row>
    <row r="12" spans="2:25" ht="15" customHeight="1">
      <c r="B12" s="156"/>
      <c r="C12" s="157"/>
      <c r="D12" s="37"/>
      <c r="E12" s="162" t="s">
        <v>46</v>
      </c>
      <c r="F12" s="163"/>
      <c r="G12" s="168" t="s">
        <v>8</v>
      </c>
      <c r="H12" s="169"/>
      <c r="I12" s="170"/>
      <c r="J12" s="38"/>
      <c r="K12" s="173" t="s">
        <v>47</v>
      </c>
      <c r="L12" s="169"/>
      <c r="M12" s="169"/>
      <c r="N12" s="170"/>
      <c r="O12" s="9"/>
      <c r="P12" s="176" t="s">
        <v>48</v>
      </c>
      <c r="Q12" s="169"/>
      <c r="R12" s="169"/>
      <c r="S12" s="169"/>
      <c r="T12" s="169"/>
      <c r="U12" s="169"/>
      <c r="V12" s="163"/>
      <c r="W12" s="39"/>
      <c r="X12" s="40"/>
      <c r="Y12" s="4" t="s">
        <v>49</v>
      </c>
    </row>
    <row r="13" spans="2:25" ht="15" customHeight="1">
      <c r="B13" s="158"/>
      <c r="C13" s="159"/>
      <c r="D13" s="41"/>
      <c r="E13" s="164"/>
      <c r="F13" s="165"/>
      <c r="G13" s="160"/>
      <c r="H13" s="171"/>
      <c r="I13" s="172"/>
      <c r="J13" s="42"/>
      <c r="K13" s="164"/>
      <c r="L13" s="174"/>
      <c r="M13" s="174"/>
      <c r="N13" s="175"/>
      <c r="O13" s="43"/>
      <c r="P13" s="164"/>
      <c r="Q13" s="174"/>
      <c r="R13" s="174"/>
      <c r="S13" s="174"/>
      <c r="T13" s="174"/>
      <c r="U13" s="174"/>
      <c r="V13" s="165"/>
      <c r="W13" s="44"/>
      <c r="X13" s="40"/>
      <c r="Y13" s="4" t="s">
        <v>50</v>
      </c>
    </row>
    <row r="14" spans="2:25" ht="15" customHeight="1">
      <c r="B14" s="158"/>
      <c r="C14" s="159"/>
      <c r="D14" s="41"/>
      <c r="E14" s="166"/>
      <c r="F14" s="167"/>
      <c r="G14" s="180" t="s">
        <v>51</v>
      </c>
      <c r="H14" s="181"/>
      <c r="I14" s="45" t="s">
        <v>52</v>
      </c>
      <c r="J14" s="46"/>
      <c r="K14" s="166"/>
      <c r="L14" s="171"/>
      <c r="M14" s="171"/>
      <c r="N14" s="172"/>
      <c r="O14" s="43"/>
      <c r="P14" s="177"/>
      <c r="Q14" s="178"/>
      <c r="R14" s="178"/>
      <c r="S14" s="178"/>
      <c r="T14" s="178"/>
      <c r="U14" s="178"/>
      <c r="V14" s="179"/>
      <c r="W14" s="47"/>
      <c r="X14" s="40"/>
      <c r="Y14" s="4" t="s">
        <v>52</v>
      </c>
    </row>
    <row r="15" spans="2:25" ht="30" customHeight="1">
      <c r="B15" s="158"/>
      <c r="C15" s="159"/>
      <c r="D15" s="41"/>
      <c r="E15" s="48" t="s">
        <v>53</v>
      </c>
      <c r="F15" s="49" t="s">
        <v>54</v>
      </c>
      <c r="G15" s="182" t="s">
        <v>55</v>
      </c>
      <c r="H15" s="133"/>
      <c r="I15" s="131"/>
      <c r="J15" s="50"/>
      <c r="K15" s="183" t="s">
        <v>56</v>
      </c>
      <c r="L15" s="184"/>
      <c r="M15" s="185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0"/>
      <c r="C16" s="161"/>
      <c r="D16" s="41"/>
      <c r="E16" s="59">
        <f>1/F16</f>
        <v>0.7246376811594204</v>
      </c>
      <c r="F16" s="60">
        <v>1.38</v>
      </c>
      <c r="G16" s="134"/>
      <c r="H16" s="135"/>
      <c r="I16" s="136"/>
      <c r="J16" s="61"/>
      <c r="K16" s="166"/>
      <c r="L16" s="167"/>
      <c r="M16" s="144"/>
      <c r="N16" s="137" t="s">
        <v>61</v>
      </c>
      <c r="O16" s="52"/>
      <c r="P16" s="140" t="s">
        <v>62</v>
      </c>
      <c r="Q16" s="141"/>
      <c r="R16" s="141"/>
      <c r="S16" s="141"/>
      <c r="T16" s="141"/>
      <c r="U16" s="141"/>
      <c r="V16" s="142"/>
      <c r="W16" s="62"/>
      <c r="X16" s="63"/>
      <c r="Y16" s="4"/>
    </row>
    <row r="17" spans="2:26" ht="15" customHeight="1">
      <c r="B17" s="143" t="s">
        <v>63</v>
      </c>
      <c r="C17" s="145" t="s">
        <v>64</v>
      </c>
      <c r="D17" s="64"/>
      <c r="E17" s="147" t="s">
        <v>65</v>
      </c>
      <c r="F17" s="149" t="s">
        <v>66</v>
      </c>
      <c r="G17" s="150" t="s">
        <v>67</v>
      </c>
      <c r="H17" s="151"/>
      <c r="I17" s="65" t="s">
        <v>68</v>
      </c>
      <c r="J17" s="66"/>
      <c r="K17" s="152" t="s">
        <v>66</v>
      </c>
      <c r="L17" s="67" t="s">
        <v>69</v>
      </c>
      <c r="M17" s="68" t="s">
        <v>70</v>
      </c>
      <c r="N17" s="138"/>
      <c r="O17" s="69"/>
      <c r="P17" s="15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44"/>
      <c r="C18" s="146"/>
      <c r="D18" s="74"/>
      <c r="E18" s="148"/>
      <c r="F18" s="144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48"/>
      <c r="L18" s="130" t="s">
        <v>49</v>
      </c>
      <c r="M18" s="131"/>
      <c r="N18" s="139"/>
      <c r="O18" s="78"/>
      <c r="P18" s="154"/>
      <c r="Q18" s="54" t="s">
        <v>50</v>
      </c>
      <c r="R18" s="132" t="str">
        <f>L18</f>
        <v>CAD $</v>
      </c>
      <c r="S18" s="133"/>
      <c r="T18" s="133"/>
      <c r="U18" s="133"/>
      <c r="V18" s="131"/>
      <c r="W18" s="79"/>
      <c r="X18" s="80"/>
      <c r="Y18" s="81"/>
      <c r="Z18" s="81"/>
    </row>
    <row r="19" spans="2:26">
      <c r="B19" t="s">
        <v>411</v>
      </c>
      <c r="C19" t="s">
        <v>81</v>
      </c>
      <c r="D19" s="83"/>
      <c r="E19" s="84"/>
      <c r="F19">
        <v>1</v>
      </c>
      <c r="G19" s="127">
        <v>74.650000000000006</v>
      </c>
      <c r="H19" s="127">
        <v>20.16</v>
      </c>
      <c r="I19" s="127">
        <v>74.650000000000006</v>
      </c>
      <c r="J19" s="88"/>
      <c r="K19">
        <v>1</v>
      </c>
      <c r="L19" s="127">
        <v>37.33</v>
      </c>
      <c r="M19" s="127">
        <v>37.33</v>
      </c>
      <c r="N19" s="89"/>
      <c r="O19" s="90"/>
      <c r="P19" s="82"/>
      <c r="Q19" s="91"/>
      <c r="R19" s="91"/>
      <c r="S19" s="127">
        <v>37.33</v>
      </c>
      <c r="T19" s="127">
        <v>37.33</v>
      </c>
      <c r="U19" s="128">
        <v>0</v>
      </c>
      <c r="V19" s="128">
        <v>1</v>
      </c>
      <c r="W19" s="93"/>
      <c r="X19" s="94"/>
      <c r="Y19" s="4"/>
      <c r="Z19" s="4"/>
    </row>
    <row r="20" spans="2:26">
      <c r="B20" t="s">
        <v>412</v>
      </c>
      <c r="C20" t="s">
        <v>137</v>
      </c>
      <c r="D20" s="83"/>
      <c r="E20" s="97"/>
      <c r="G20" s="127">
        <v>43.65</v>
      </c>
      <c r="H20" s="127">
        <v>11.79</v>
      </c>
      <c r="I20" t="s">
        <v>112</v>
      </c>
      <c r="J20" s="102"/>
      <c r="K20">
        <v>0</v>
      </c>
      <c r="L20" s="127">
        <v>21.83</v>
      </c>
      <c r="M20" t="s">
        <v>112</v>
      </c>
      <c r="N20" s="104"/>
      <c r="O20" s="90"/>
      <c r="P20" s="95"/>
      <c r="Q20" s="99"/>
      <c r="R20" s="105"/>
      <c r="S20" t="s">
        <v>112</v>
      </c>
      <c r="T20" t="s">
        <v>112</v>
      </c>
      <c r="U20" s="128">
        <v>0</v>
      </c>
      <c r="V20" s="128">
        <v>0</v>
      </c>
      <c r="W20" s="108"/>
      <c r="X20" s="94"/>
      <c r="Y20" s="4"/>
      <c r="Z20" s="4"/>
    </row>
    <row r="21" spans="2:26" ht="15.75" customHeight="1">
      <c r="B21" t="s">
        <v>413</v>
      </c>
      <c r="C21" t="s">
        <v>83</v>
      </c>
      <c r="D21" s="83"/>
      <c r="E21" s="84"/>
      <c r="F21">
        <v>1</v>
      </c>
      <c r="G21" s="127">
        <v>70.14</v>
      </c>
      <c r="H21" s="127">
        <v>18.940000000000001</v>
      </c>
      <c r="I21" s="127">
        <v>70.14</v>
      </c>
      <c r="J21" s="102"/>
      <c r="K21">
        <v>1</v>
      </c>
      <c r="L21" s="127">
        <v>35.07</v>
      </c>
      <c r="M21" s="127">
        <v>35.07</v>
      </c>
      <c r="N21" s="111"/>
      <c r="O21" s="90"/>
      <c r="P21" s="112"/>
      <c r="Q21" s="91"/>
      <c r="R21" s="91"/>
      <c r="S21" s="127">
        <v>35.07</v>
      </c>
      <c r="T21" s="127">
        <v>35.07</v>
      </c>
      <c r="U21" s="128">
        <v>0</v>
      </c>
      <c r="V21" s="128">
        <v>1</v>
      </c>
      <c r="W21" s="93"/>
      <c r="X21" s="94"/>
      <c r="Y21" s="4"/>
      <c r="Z21" s="4"/>
    </row>
    <row r="22" spans="2:26" ht="15.75" customHeight="1">
      <c r="B22" t="s">
        <v>204</v>
      </c>
      <c r="C22" t="s">
        <v>85</v>
      </c>
      <c r="D22" s="83"/>
      <c r="E22" s="97"/>
      <c r="F22">
        <v>1</v>
      </c>
      <c r="G22" s="127">
        <v>118.02</v>
      </c>
      <c r="H22" s="127">
        <v>31.87</v>
      </c>
      <c r="I22" s="127">
        <v>118.02</v>
      </c>
      <c r="J22" s="102"/>
      <c r="K22">
        <v>1</v>
      </c>
      <c r="L22" s="127">
        <v>59.01</v>
      </c>
      <c r="M22" s="127">
        <v>59.01</v>
      </c>
      <c r="N22" s="104"/>
      <c r="O22" s="90"/>
      <c r="P22" s="95"/>
      <c r="Q22" s="99"/>
      <c r="R22" s="105"/>
      <c r="S22" s="127">
        <v>59.01</v>
      </c>
      <c r="T22" s="127">
        <v>59.01</v>
      </c>
      <c r="U22" s="128">
        <v>0</v>
      </c>
      <c r="V22" s="128">
        <v>1</v>
      </c>
      <c r="W22" s="108"/>
      <c r="X22" s="94"/>
      <c r="Y22" s="4"/>
      <c r="Z22" s="4"/>
    </row>
    <row r="23" spans="2:26" ht="15.75" customHeight="1">
      <c r="B23" t="s">
        <v>414</v>
      </c>
      <c r="C23" t="s">
        <v>87</v>
      </c>
      <c r="D23" s="83"/>
      <c r="E23" s="84"/>
      <c r="F23">
        <v>1</v>
      </c>
      <c r="G23" s="127">
        <v>78.739999999999995</v>
      </c>
      <c r="H23" s="127">
        <v>21.26</v>
      </c>
      <c r="I23" s="127">
        <v>78.739999999999995</v>
      </c>
      <c r="J23" s="102"/>
      <c r="K23">
        <v>1</v>
      </c>
      <c r="L23" s="127">
        <v>39.369999999999997</v>
      </c>
      <c r="M23" s="127">
        <v>39.369999999999997</v>
      </c>
      <c r="N23" s="111"/>
      <c r="O23" s="90"/>
      <c r="P23" s="112"/>
      <c r="Q23" s="91"/>
      <c r="R23" s="91"/>
      <c r="S23" s="127">
        <v>39.369999999999997</v>
      </c>
      <c r="T23" s="127">
        <v>39.369999999999997</v>
      </c>
      <c r="U23" s="128">
        <v>0</v>
      </c>
      <c r="V23" s="128">
        <v>1</v>
      </c>
      <c r="W23" s="93"/>
      <c r="X23" s="94"/>
      <c r="Y23" s="4"/>
      <c r="Z23" s="4"/>
    </row>
    <row r="24" spans="2:26" ht="15.75" customHeight="1">
      <c r="B24" t="s">
        <v>415</v>
      </c>
      <c r="C24" t="s">
        <v>88</v>
      </c>
      <c r="D24" s="83"/>
      <c r="E24" s="97"/>
      <c r="F24">
        <v>1</v>
      </c>
      <c r="G24" s="127">
        <v>56.1</v>
      </c>
      <c r="H24" s="127">
        <v>15.15</v>
      </c>
      <c r="I24" s="127">
        <v>56.1</v>
      </c>
      <c r="J24" s="102"/>
      <c r="K24">
        <v>1</v>
      </c>
      <c r="L24" s="127">
        <v>28.05</v>
      </c>
      <c r="M24" s="127">
        <v>28.05</v>
      </c>
      <c r="N24" s="104"/>
      <c r="O24" s="90"/>
      <c r="P24" s="95"/>
      <c r="Q24" s="99"/>
      <c r="R24" s="105"/>
      <c r="S24" s="127">
        <v>28.05</v>
      </c>
      <c r="T24" s="127">
        <v>28.05</v>
      </c>
      <c r="U24" s="128">
        <v>0</v>
      </c>
      <c r="V24" s="128">
        <v>1</v>
      </c>
      <c r="W24" s="108"/>
      <c r="X24" s="94"/>
      <c r="Y24" s="4"/>
      <c r="Z24" s="4"/>
    </row>
    <row r="25" spans="2:26" ht="15.75" customHeight="1">
      <c r="B25" t="s">
        <v>416</v>
      </c>
      <c r="C25" t="s">
        <v>89</v>
      </c>
      <c r="D25" s="83"/>
      <c r="E25" s="84"/>
      <c r="F25">
        <v>1</v>
      </c>
      <c r="G25" s="127">
        <v>43.72</v>
      </c>
      <c r="H25" s="127">
        <v>11.8</v>
      </c>
      <c r="I25" s="127">
        <v>43.72</v>
      </c>
      <c r="J25" s="102"/>
      <c r="K25">
        <v>1</v>
      </c>
      <c r="L25" s="127">
        <v>21.86</v>
      </c>
      <c r="M25" s="127">
        <v>21.86</v>
      </c>
      <c r="N25" s="111"/>
      <c r="O25" s="90"/>
      <c r="P25" s="112"/>
      <c r="Q25" s="91"/>
      <c r="R25" s="91"/>
      <c r="S25" s="127">
        <v>21.86</v>
      </c>
      <c r="T25" s="127">
        <v>21.86</v>
      </c>
      <c r="U25" s="128">
        <v>0</v>
      </c>
      <c r="V25" s="128">
        <v>1</v>
      </c>
      <c r="W25" s="93"/>
      <c r="X25" s="94"/>
      <c r="Y25" s="4"/>
      <c r="Z25" s="4"/>
    </row>
    <row r="26" spans="2:26" ht="15.75" customHeight="1">
      <c r="B26" t="s">
        <v>223</v>
      </c>
      <c r="C26" t="s">
        <v>142</v>
      </c>
      <c r="D26" s="83"/>
      <c r="E26" s="97"/>
      <c r="F26">
        <v>1</v>
      </c>
      <c r="G26" s="127">
        <v>396.11</v>
      </c>
      <c r="H26" s="127">
        <v>106.95</v>
      </c>
      <c r="I26" s="127">
        <v>396.11</v>
      </c>
      <c r="J26" s="102"/>
      <c r="K26">
        <v>1</v>
      </c>
      <c r="L26" s="127">
        <v>198.06</v>
      </c>
      <c r="M26" s="127">
        <v>198.06</v>
      </c>
      <c r="N26" s="104"/>
      <c r="O26" s="90"/>
      <c r="P26" s="95"/>
      <c r="Q26" s="99"/>
      <c r="R26" s="105"/>
      <c r="S26" s="127">
        <v>198.06</v>
      </c>
      <c r="T26" s="127">
        <v>198.06</v>
      </c>
      <c r="U26" s="128">
        <v>0</v>
      </c>
      <c r="V26" s="128">
        <v>1</v>
      </c>
      <c r="W26" s="108"/>
      <c r="X26" s="94"/>
      <c r="Y26" s="4"/>
      <c r="Z26" s="113"/>
    </row>
    <row r="27" spans="2:26" ht="15.75" customHeight="1">
      <c r="B27" t="s">
        <v>388</v>
      </c>
      <c r="C27" t="s">
        <v>389</v>
      </c>
      <c r="D27" s="83"/>
      <c r="E27" s="84"/>
      <c r="F27">
        <v>1</v>
      </c>
      <c r="G27" s="127">
        <v>1878.95</v>
      </c>
      <c r="H27" s="127">
        <v>507.32</v>
      </c>
      <c r="I27" s="127">
        <v>1878.95</v>
      </c>
      <c r="J27" s="102"/>
      <c r="K27">
        <v>1</v>
      </c>
      <c r="L27" s="127">
        <v>939.48</v>
      </c>
      <c r="M27" s="127">
        <v>939.48</v>
      </c>
      <c r="N27" s="111"/>
      <c r="O27" s="90"/>
      <c r="P27" s="112"/>
      <c r="Q27" s="91"/>
      <c r="R27" s="91"/>
      <c r="S27" s="127">
        <v>939.48</v>
      </c>
      <c r="T27" s="127">
        <v>939.48</v>
      </c>
      <c r="U27" s="128">
        <v>0</v>
      </c>
      <c r="V27" s="128">
        <v>1</v>
      </c>
      <c r="W27" s="93"/>
      <c r="X27" s="94"/>
      <c r="Y27" s="4"/>
      <c r="Z27" s="4"/>
    </row>
    <row r="28" spans="2:26" ht="15.75" customHeight="1">
      <c r="D28" s="83"/>
      <c r="E28" s="84"/>
      <c r="H28" t="s">
        <v>112</v>
      </c>
      <c r="I28" t="s">
        <v>112</v>
      </c>
      <c r="J28" s="102"/>
      <c r="K28">
        <v>0</v>
      </c>
      <c r="L28" t="s">
        <v>112</v>
      </c>
      <c r="M28" t="s">
        <v>112</v>
      </c>
      <c r="N28" s="111"/>
      <c r="O28" s="90"/>
      <c r="P28" s="112"/>
      <c r="Q28" s="91"/>
      <c r="R28" s="91"/>
      <c r="S28" t="s">
        <v>112</v>
      </c>
      <c r="T28" t="s">
        <v>112</v>
      </c>
      <c r="U28" s="128">
        <v>0</v>
      </c>
      <c r="V28" s="128">
        <v>0</v>
      </c>
      <c r="W28" s="93"/>
      <c r="X28" s="94"/>
      <c r="Y28" s="4"/>
      <c r="Z28" s="4"/>
    </row>
    <row r="29" spans="2:26" ht="15.75" customHeight="1">
      <c r="B29" t="s">
        <v>417</v>
      </c>
      <c r="C29" t="s">
        <v>418</v>
      </c>
      <c r="D29" s="83"/>
      <c r="E29" s="97"/>
      <c r="F29">
        <v>1</v>
      </c>
      <c r="G29" s="127">
        <v>3591.64</v>
      </c>
      <c r="H29" s="127">
        <v>969.74</v>
      </c>
      <c r="I29" s="127">
        <v>3591.64</v>
      </c>
      <c r="J29" s="102"/>
      <c r="K29">
        <v>1</v>
      </c>
      <c r="L29" s="127">
        <v>1795.82</v>
      </c>
      <c r="M29" s="127">
        <v>1795.82</v>
      </c>
      <c r="N29" s="104"/>
      <c r="O29" s="90"/>
      <c r="P29" s="95"/>
      <c r="Q29" s="99"/>
      <c r="R29" s="105"/>
      <c r="S29" s="127">
        <v>1795.82</v>
      </c>
      <c r="T29" s="127">
        <v>1795.82</v>
      </c>
      <c r="U29" s="128">
        <v>0</v>
      </c>
      <c r="V29" s="128">
        <v>1</v>
      </c>
      <c r="W29" s="108"/>
      <c r="X29" s="94"/>
      <c r="Y29" s="4"/>
      <c r="Z29" s="4"/>
    </row>
    <row r="30" spans="2:26" ht="15.75" customHeight="1">
      <c r="B30" t="s">
        <v>419</v>
      </c>
      <c r="C30" t="s">
        <v>121</v>
      </c>
      <c r="D30" s="83"/>
      <c r="E30" s="84"/>
      <c r="F30">
        <v>1</v>
      </c>
      <c r="G30" s="127">
        <v>294.57</v>
      </c>
      <c r="H30" s="127">
        <v>79.53</v>
      </c>
      <c r="I30" s="127">
        <v>294.57</v>
      </c>
      <c r="J30" s="102"/>
      <c r="K30">
        <v>1</v>
      </c>
      <c r="L30" s="127">
        <v>147.29</v>
      </c>
      <c r="M30" s="127">
        <v>147.29</v>
      </c>
      <c r="N30" s="111"/>
      <c r="O30" s="90"/>
      <c r="P30" s="112"/>
      <c r="Q30" s="91"/>
      <c r="R30" s="91"/>
      <c r="S30" s="127">
        <v>147.29</v>
      </c>
      <c r="T30" s="127">
        <v>147.29</v>
      </c>
      <c r="U30" s="128">
        <v>0</v>
      </c>
      <c r="V30" s="128">
        <v>1</v>
      </c>
      <c r="W30" s="93"/>
    </row>
    <row r="31" spans="2:26" ht="15.75" customHeight="1">
      <c r="B31" t="s">
        <v>393</v>
      </c>
      <c r="C31" t="s">
        <v>394</v>
      </c>
      <c r="D31" s="83"/>
      <c r="E31" s="97"/>
      <c r="F31">
        <v>11</v>
      </c>
      <c r="G31" s="127">
        <v>9.43</v>
      </c>
      <c r="H31" s="127">
        <v>2.5499999999999998</v>
      </c>
      <c r="I31" s="127">
        <v>103.73</v>
      </c>
      <c r="J31" s="102"/>
      <c r="K31">
        <v>11</v>
      </c>
      <c r="L31" s="127">
        <v>4.72</v>
      </c>
      <c r="M31" s="127">
        <v>51.92</v>
      </c>
      <c r="N31" s="104"/>
      <c r="O31" s="90"/>
      <c r="P31" s="95"/>
      <c r="Q31" s="99"/>
      <c r="R31" s="105"/>
      <c r="S31" s="127">
        <v>4.72</v>
      </c>
      <c r="T31" s="127">
        <v>51.92</v>
      </c>
      <c r="U31" s="128">
        <v>0</v>
      </c>
      <c r="V31" s="128">
        <v>1</v>
      </c>
      <c r="W31" s="108"/>
    </row>
    <row r="32" spans="2:26" ht="15.75" customHeight="1">
      <c r="B32" t="s">
        <v>395</v>
      </c>
      <c r="C32" t="s">
        <v>396</v>
      </c>
      <c r="D32" s="83"/>
      <c r="E32" s="84"/>
      <c r="F32">
        <v>11</v>
      </c>
      <c r="G32" s="127">
        <v>4.9400000000000004</v>
      </c>
      <c r="H32" s="127">
        <v>1.33</v>
      </c>
      <c r="I32" s="127">
        <v>54.34</v>
      </c>
      <c r="J32" s="102"/>
      <c r="K32">
        <v>11</v>
      </c>
      <c r="L32" s="127">
        <v>2.4700000000000002</v>
      </c>
      <c r="M32" s="127">
        <v>27.17</v>
      </c>
      <c r="N32" s="111"/>
      <c r="O32" s="90"/>
      <c r="P32" s="112"/>
      <c r="Q32" s="91"/>
      <c r="R32" s="91"/>
      <c r="S32" s="127">
        <v>2.4700000000000002</v>
      </c>
      <c r="T32" s="127">
        <v>27.17</v>
      </c>
      <c r="U32" s="128">
        <v>0</v>
      </c>
      <c r="V32" s="128">
        <v>1</v>
      </c>
      <c r="W32" s="93"/>
    </row>
    <row r="33" spans="2:26" ht="15.75" customHeight="1">
      <c r="B33" t="s">
        <v>397</v>
      </c>
      <c r="C33" t="s">
        <v>398</v>
      </c>
      <c r="D33" s="83"/>
      <c r="E33" s="97"/>
      <c r="F33">
        <v>8</v>
      </c>
      <c r="G33" s="127">
        <v>65.11</v>
      </c>
      <c r="H33" s="127">
        <v>17.579999999999998</v>
      </c>
      <c r="I33" s="127">
        <v>520.88</v>
      </c>
      <c r="J33" s="102"/>
      <c r="K33">
        <v>8</v>
      </c>
      <c r="L33" s="127">
        <v>32.56</v>
      </c>
      <c r="M33" s="127">
        <v>260.48</v>
      </c>
      <c r="N33" s="104"/>
      <c r="O33" s="90"/>
      <c r="P33" s="95"/>
      <c r="Q33" s="99"/>
      <c r="R33" s="105"/>
      <c r="S33" s="127">
        <v>32.56</v>
      </c>
      <c r="T33" s="127">
        <v>260.48</v>
      </c>
      <c r="U33" s="128">
        <v>0</v>
      </c>
      <c r="V33" s="128">
        <v>1</v>
      </c>
      <c r="W33" s="108"/>
    </row>
    <row r="34" spans="2:26" ht="15.75" customHeight="1">
      <c r="B34" t="s">
        <v>399</v>
      </c>
      <c r="C34" t="s">
        <v>396</v>
      </c>
      <c r="D34" s="83"/>
      <c r="E34" s="84"/>
      <c r="F34">
        <v>8</v>
      </c>
      <c r="G34" s="127">
        <v>5.0199999999999996</v>
      </c>
      <c r="H34" s="127">
        <v>1.36</v>
      </c>
      <c r="I34" s="127">
        <v>40.159999999999997</v>
      </c>
      <c r="J34" s="102"/>
      <c r="K34">
        <v>8</v>
      </c>
      <c r="L34" s="127">
        <v>2.5099999999999998</v>
      </c>
      <c r="M34" s="127">
        <v>20.079999999999998</v>
      </c>
      <c r="N34" s="111"/>
      <c r="O34" s="90"/>
      <c r="P34" s="112"/>
      <c r="Q34" s="91"/>
      <c r="R34" s="91"/>
      <c r="S34" s="127">
        <v>2.5099999999999998</v>
      </c>
      <c r="T34" s="127">
        <v>20.079999999999998</v>
      </c>
      <c r="U34" s="128">
        <v>0</v>
      </c>
      <c r="V34" s="128">
        <v>1</v>
      </c>
      <c r="W34" s="93"/>
    </row>
    <row r="35" spans="2:26" ht="15.75" customHeight="1">
      <c r="B35" t="s">
        <v>393</v>
      </c>
      <c r="C35" t="s">
        <v>394</v>
      </c>
      <c r="D35" s="83"/>
      <c r="E35" s="97"/>
      <c r="F35">
        <v>8</v>
      </c>
      <c r="G35" s="127">
        <v>9.43</v>
      </c>
      <c r="H35" s="127">
        <v>2.5499999999999998</v>
      </c>
      <c r="I35" s="127">
        <v>75.44</v>
      </c>
      <c r="J35" s="102"/>
      <c r="K35">
        <v>8</v>
      </c>
      <c r="L35" s="127">
        <v>4.72</v>
      </c>
      <c r="M35" s="127">
        <v>37.76</v>
      </c>
      <c r="N35" s="104"/>
      <c r="O35" s="90"/>
      <c r="P35" s="95"/>
      <c r="Q35" s="99"/>
      <c r="R35" s="105"/>
      <c r="S35" s="127">
        <v>4.72</v>
      </c>
      <c r="T35" s="127">
        <v>37.76</v>
      </c>
      <c r="U35" s="128">
        <v>0</v>
      </c>
      <c r="V35" s="128">
        <v>1</v>
      </c>
      <c r="W35" s="108"/>
    </row>
    <row r="36" spans="2:26" ht="15.75" customHeight="1">
      <c r="D36" s="83"/>
      <c r="E36" s="84"/>
      <c r="H36" t="s">
        <v>112</v>
      </c>
      <c r="I36" t="s">
        <v>112</v>
      </c>
      <c r="J36" s="102"/>
      <c r="K36">
        <v>0</v>
      </c>
      <c r="L36" t="s">
        <v>112</v>
      </c>
      <c r="M36" t="s">
        <v>112</v>
      </c>
      <c r="N36" s="111"/>
      <c r="O36" s="90"/>
      <c r="P36" s="112"/>
      <c r="Q36" s="91"/>
      <c r="R36" s="91"/>
      <c r="S36" t="s">
        <v>112</v>
      </c>
      <c r="T36" t="s">
        <v>112</v>
      </c>
      <c r="U36" s="128">
        <v>0</v>
      </c>
      <c r="V36" s="128">
        <v>0</v>
      </c>
      <c r="W36" s="108"/>
    </row>
    <row r="37" spans="2:26" ht="15.75" customHeight="1">
      <c r="B37" t="s">
        <v>420</v>
      </c>
      <c r="C37" t="s">
        <v>421</v>
      </c>
      <c r="D37" s="83"/>
      <c r="E37" s="97"/>
      <c r="F37">
        <v>4</v>
      </c>
      <c r="G37" s="127">
        <v>3134.23</v>
      </c>
      <c r="H37" s="127">
        <v>846.24</v>
      </c>
      <c r="I37" s="127">
        <v>12536.92</v>
      </c>
      <c r="J37" s="102"/>
      <c r="K37">
        <v>4</v>
      </c>
      <c r="L37" s="127">
        <v>1567.12</v>
      </c>
      <c r="M37" s="127">
        <v>6268.48</v>
      </c>
      <c r="N37" s="104"/>
      <c r="O37" s="90"/>
      <c r="P37" s="95"/>
      <c r="Q37" s="99"/>
      <c r="R37" s="105"/>
      <c r="S37" s="127">
        <v>1567.12</v>
      </c>
      <c r="T37" s="127">
        <v>6268.48</v>
      </c>
      <c r="U37" s="128">
        <v>0</v>
      </c>
      <c r="V37" s="128">
        <v>1</v>
      </c>
      <c r="W37" s="108"/>
    </row>
    <row r="38" spans="2:26" ht="15.75" customHeight="1">
      <c r="B38" t="s">
        <v>422</v>
      </c>
      <c r="C38" t="s">
        <v>423</v>
      </c>
      <c r="D38" s="83"/>
      <c r="E38" s="84"/>
      <c r="F38">
        <v>1</v>
      </c>
      <c r="G38" s="127">
        <v>11355.66</v>
      </c>
      <c r="H38" s="127">
        <v>3066.03</v>
      </c>
      <c r="I38" s="127">
        <v>11355.66</v>
      </c>
      <c r="J38" s="102"/>
      <c r="K38">
        <v>1</v>
      </c>
      <c r="L38" s="127">
        <v>5677.83</v>
      </c>
      <c r="M38" s="127">
        <v>5677.83</v>
      </c>
      <c r="N38" s="111"/>
      <c r="O38" s="90"/>
      <c r="P38" s="112"/>
      <c r="Q38" s="91"/>
      <c r="R38" s="91"/>
      <c r="S38" s="127">
        <v>5677.83</v>
      </c>
      <c r="T38" s="127">
        <v>5677.83</v>
      </c>
      <c r="U38" s="128">
        <v>0</v>
      </c>
      <c r="V38" s="128">
        <v>1</v>
      </c>
      <c r="W38" s="108"/>
    </row>
    <row r="39" spans="2:26" ht="15.75" customHeight="1">
      <c r="B39" t="s">
        <v>424</v>
      </c>
      <c r="C39" t="s">
        <v>404</v>
      </c>
      <c r="D39" s="83"/>
      <c r="E39" s="97"/>
      <c r="F39">
        <v>1</v>
      </c>
      <c r="G39" s="127">
        <v>708.15</v>
      </c>
      <c r="H39" s="127">
        <v>191.2</v>
      </c>
      <c r="I39" s="127">
        <v>708.15</v>
      </c>
      <c r="J39" s="102"/>
      <c r="K39">
        <v>1</v>
      </c>
      <c r="L39" s="127">
        <v>354.08</v>
      </c>
      <c r="M39" s="127">
        <v>354.08</v>
      </c>
      <c r="N39" s="104"/>
      <c r="O39" s="90"/>
      <c r="P39" s="95"/>
      <c r="Q39" s="99"/>
      <c r="R39" s="105"/>
      <c r="S39" s="127">
        <v>354.08</v>
      </c>
      <c r="T39" s="127">
        <v>354.08</v>
      </c>
      <c r="U39" s="128">
        <v>0</v>
      </c>
      <c r="V39" s="128">
        <v>1</v>
      </c>
      <c r="W39" s="108"/>
    </row>
    <row r="40" spans="2:26" ht="15.75" customHeight="1">
      <c r="B40" t="s">
        <v>425</v>
      </c>
      <c r="C40" t="s">
        <v>426</v>
      </c>
      <c r="D40" s="83"/>
      <c r="E40" s="84"/>
      <c r="F40">
        <v>1</v>
      </c>
      <c r="G40" s="127">
        <v>5421.89</v>
      </c>
      <c r="H40" s="127">
        <v>1463.91</v>
      </c>
      <c r="I40" s="127">
        <v>5421.89</v>
      </c>
      <c r="J40" s="102"/>
      <c r="K40">
        <v>1</v>
      </c>
      <c r="L40" s="127">
        <v>2710.95</v>
      </c>
      <c r="M40" s="127">
        <v>2710.95</v>
      </c>
      <c r="N40" s="111"/>
      <c r="O40" s="90"/>
      <c r="P40" s="112"/>
      <c r="Q40" s="91"/>
      <c r="R40" s="91"/>
      <c r="S40" s="127">
        <v>2710.95</v>
      </c>
      <c r="T40" s="127">
        <v>2710.95</v>
      </c>
      <c r="U40" s="128">
        <v>0</v>
      </c>
      <c r="V40" s="128">
        <v>1</v>
      </c>
      <c r="W40" s="108"/>
    </row>
    <row r="41" spans="2:26" ht="15.75" customHeight="1">
      <c r="B41" t="s">
        <v>427</v>
      </c>
      <c r="C41" t="s">
        <v>147</v>
      </c>
      <c r="D41" s="83"/>
      <c r="E41" s="97"/>
      <c r="F41">
        <v>4</v>
      </c>
      <c r="G41" s="127">
        <v>4958.13</v>
      </c>
      <c r="H41" s="127">
        <v>1338.7</v>
      </c>
      <c r="I41" s="127">
        <v>19832.52</v>
      </c>
      <c r="J41" s="102"/>
      <c r="K41">
        <v>4</v>
      </c>
      <c r="L41" s="127">
        <v>2479.0700000000002</v>
      </c>
      <c r="M41" s="127">
        <v>9916.2800000000007</v>
      </c>
      <c r="N41" s="104"/>
      <c r="O41" s="90"/>
      <c r="P41" s="95"/>
      <c r="Q41" s="99"/>
      <c r="R41" s="105"/>
      <c r="S41" s="127">
        <v>2479.0700000000002</v>
      </c>
      <c r="T41" s="127">
        <v>9916.2800000000007</v>
      </c>
      <c r="U41" s="128">
        <v>0</v>
      </c>
      <c r="V41" s="128">
        <v>1</v>
      </c>
      <c r="W41" s="108"/>
    </row>
    <row r="42" spans="2:26" ht="15.75" customHeight="1">
      <c r="D42" s="83"/>
      <c r="E42" s="84"/>
      <c r="H42" t="s">
        <v>112</v>
      </c>
      <c r="I42" t="s">
        <v>112</v>
      </c>
      <c r="J42" s="102"/>
      <c r="K42">
        <v>0</v>
      </c>
      <c r="L42" t="s">
        <v>112</v>
      </c>
      <c r="M42" t="s">
        <v>112</v>
      </c>
      <c r="N42" s="111"/>
      <c r="O42" s="90"/>
      <c r="P42" s="112"/>
      <c r="Q42" s="91"/>
      <c r="R42" s="91"/>
      <c r="S42" t="s">
        <v>112</v>
      </c>
      <c r="T42" t="s">
        <v>112</v>
      </c>
      <c r="U42" s="128">
        <v>0</v>
      </c>
      <c r="V42" s="128">
        <v>0</v>
      </c>
      <c r="W42" s="108"/>
    </row>
    <row r="43" spans="2:26" ht="15.75" customHeight="1">
      <c r="B43" t="s">
        <v>428</v>
      </c>
      <c r="C43" t="s">
        <v>429</v>
      </c>
      <c r="D43" s="83"/>
      <c r="E43" s="97"/>
      <c r="F43">
        <v>4</v>
      </c>
      <c r="G43" s="127">
        <v>765.13</v>
      </c>
      <c r="H43" s="127">
        <v>206.59</v>
      </c>
      <c r="I43" s="127">
        <v>3060.52</v>
      </c>
      <c r="J43" s="102"/>
      <c r="K43">
        <v>4</v>
      </c>
      <c r="L43" s="127">
        <v>382.57</v>
      </c>
      <c r="M43" s="127">
        <v>1530.28</v>
      </c>
      <c r="N43" s="104"/>
      <c r="O43" s="90"/>
      <c r="P43" s="95"/>
      <c r="Q43" s="99"/>
      <c r="R43" s="105"/>
      <c r="S43" s="127">
        <v>382.57</v>
      </c>
      <c r="T43" s="127">
        <v>1530.28</v>
      </c>
      <c r="U43" s="128">
        <v>0</v>
      </c>
      <c r="V43" s="128">
        <v>1</v>
      </c>
      <c r="W43" s="108"/>
    </row>
    <row r="44" spans="2:26" ht="15.75" customHeight="1">
      <c r="D44" s="83"/>
      <c r="E44" s="84"/>
      <c r="G44" s="127"/>
      <c r="H44" s="127"/>
      <c r="I44" s="127"/>
      <c r="J44" s="102"/>
      <c r="L44" s="127"/>
      <c r="M44" s="127"/>
      <c r="N44" s="111"/>
      <c r="O44" s="90"/>
      <c r="P44" s="112"/>
      <c r="Q44" s="91"/>
      <c r="R44" s="91"/>
      <c r="S44" s="127"/>
      <c r="T44" s="127"/>
      <c r="U44" s="128"/>
      <c r="V44" s="128"/>
      <c r="W44" s="108"/>
    </row>
    <row r="45" spans="2:26" ht="15.75" customHeight="1">
      <c r="D45" s="83"/>
      <c r="E45" s="97"/>
      <c r="G45" s="127"/>
      <c r="H45" s="127"/>
      <c r="I45" s="127"/>
      <c r="J45" s="102"/>
      <c r="L45" s="127"/>
      <c r="M45" s="127"/>
      <c r="N45" s="104"/>
      <c r="O45" s="90"/>
      <c r="P45" s="95"/>
      <c r="Q45" s="99"/>
      <c r="R45" s="105"/>
      <c r="S45" s="127"/>
      <c r="T45" s="127"/>
      <c r="U45" s="128"/>
      <c r="V45" s="128"/>
      <c r="W45" s="108"/>
    </row>
    <row r="46" spans="2:26" ht="15.75" customHeight="1">
      <c r="D46" s="83"/>
      <c r="E46" s="84"/>
      <c r="G46" s="127"/>
      <c r="H46" s="127"/>
      <c r="I46" s="127"/>
      <c r="J46" s="102"/>
      <c r="L46" s="127"/>
      <c r="M46" s="127"/>
      <c r="N46" s="111"/>
      <c r="O46" s="90"/>
      <c r="P46" s="112"/>
      <c r="Q46" s="91"/>
      <c r="R46" s="91"/>
      <c r="S46" s="127"/>
      <c r="T46" s="127"/>
      <c r="U46" s="128"/>
      <c r="V46" s="128"/>
      <c r="W46" s="108"/>
    </row>
    <row r="47" spans="2:26" ht="15.75" customHeight="1">
      <c r="D47" s="83"/>
      <c r="E47" s="97"/>
      <c r="G47" s="127"/>
      <c r="H47" s="127"/>
      <c r="I47" s="127"/>
      <c r="J47" s="102"/>
      <c r="L47" s="127"/>
      <c r="M47" s="127"/>
      <c r="N47" s="104"/>
      <c r="O47" s="90"/>
      <c r="P47" s="95"/>
      <c r="Q47" s="99"/>
      <c r="R47" s="105"/>
      <c r="S47" s="127"/>
      <c r="T47" s="127"/>
      <c r="U47" s="128"/>
      <c r="V47" s="128"/>
      <c r="W47" s="108"/>
      <c r="X47" s="94"/>
      <c r="Y47" s="4"/>
      <c r="Z47" s="4"/>
    </row>
    <row r="48" spans="2:26" ht="15.75" customHeight="1">
      <c r="D48" s="83"/>
      <c r="E48" s="84"/>
      <c r="G48" s="127"/>
      <c r="H48" s="127"/>
      <c r="I48" s="127"/>
      <c r="J48" s="102"/>
      <c r="L48" s="127"/>
      <c r="M48" s="127"/>
      <c r="N48" s="111"/>
      <c r="O48" s="90"/>
      <c r="P48" s="112"/>
      <c r="Q48" s="91"/>
      <c r="R48" s="91"/>
      <c r="S48" s="127"/>
      <c r="T48" s="127"/>
      <c r="U48" s="128"/>
      <c r="V48" s="128"/>
      <c r="W48" s="93"/>
      <c r="X48" s="94"/>
      <c r="Y48" s="4"/>
      <c r="Z48" s="4"/>
    </row>
    <row r="49" spans="2:26" ht="15.75" customHeight="1">
      <c r="D49" s="83"/>
      <c r="E49" s="97"/>
      <c r="G49" s="127"/>
      <c r="H49" s="127"/>
      <c r="I49" s="127"/>
      <c r="J49" s="102"/>
      <c r="L49" s="127"/>
      <c r="M49" s="127"/>
      <c r="N49" s="104"/>
      <c r="O49" s="90"/>
      <c r="P49" s="95"/>
      <c r="Q49" s="99"/>
      <c r="R49" s="105"/>
      <c r="S49" s="127"/>
      <c r="T49" s="127"/>
      <c r="U49" s="128"/>
      <c r="V49" s="128"/>
      <c r="W49" s="108"/>
      <c r="X49" s="94"/>
      <c r="Y49" s="4"/>
      <c r="Z49" s="4"/>
    </row>
    <row r="50" spans="2:26" ht="15.75" customHeight="1">
      <c r="D50" s="83"/>
      <c r="E50" s="84"/>
      <c r="G50" s="127"/>
      <c r="H50" s="127"/>
      <c r="I50" s="127"/>
      <c r="J50" s="102"/>
      <c r="L50" s="127"/>
      <c r="M50" s="127"/>
      <c r="N50" s="111"/>
      <c r="O50" s="90"/>
      <c r="P50" s="112"/>
      <c r="Q50" s="91"/>
      <c r="R50" s="91"/>
      <c r="S50" s="127"/>
      <c r="T50" s="127"/>
      <c r="U50" s="128"/>
      <c r="V50" s="128"/>
      <c r="W50" s="93"/>
    </row>
    <row r="51" spans="2:26" ht="15.75" customHeight="1">
      <c r="D51" s="83"/>
      <c r="E51" s="97"/>
      <c r="G51" s="127"/>
      <c r="H51" s="127"/>
      <c r="I51" s="127"/>
      <c r="J51" s="102"/>
      <c r="L51" s="127"/>
      <c r="M51" s="127"/>
      <c r="N51" s="104"/>
      <c r="O51" s="90"/>
      <c r="P51" s="95"/>
      <c r="Q51" s="99"/>
      <c r="R51" s="105"/>
      <c r="S51" s="127"/>
      <c r="T51" s="127"/>
      <c r="U51" s="128"/>
      <c r="V51" s="128"/>
      <c r="W51" s="108"/>
    </row>
    <row r="52" spans="2:26" ht="15.75" customHeight="1">
      <c r="D52" s="83"/>
      <c r="E52" s="84"/>
      <c r="J52" s="102"/>
      <c r="N52" s="111"/>
      <c r="O52" s="90"/>
      <c r="P52" s="112"/>
      <c r="Q52" s="91"/>
      <c r="R52" s="91"/>
      <c r="U52" s="128"/>
      <c r="V52" s="128"/>
      <c r="W52" s="93"/>
    </row>
    <row r="53" spans="2:26" ht="15.75" customHeight="1">
      <c r="D53" s="83"/>
      <c r="E53" s="97"/>
      <c r="G53" s="127"/>
      <c r="H53" s="127"/>
      <c r="I53" s="127"/>
      <c r="J53" s="102"/>
      <c r="L53" s="127"/>
      <c r="M53" s="127"/>
      <c r="N53" s="104"/>
      <c r="O53" s="90"/>
      <c r="P53" s="95"/>
      <c r="Q53" s="99"/>
      <c r="R53" s="105"/>
      <c r="S53" s="127"/>
      <c r="T53" s="127"/>
      <c r="U53" s="128"/>
      <c r="V53" s="128"/>
      <c r="W53" s="108"/>
    </row>
    <row r="54" spans="2:26" ht="15.75" customHeight="1">
      <c r="D54" s="83"/>
      <c r="E54" s="84"/>
      <c r="G54" s="127"/>
      <c r="H54" s="127"/>
      <c r="I54" s="127"/>
      <c r="J54" s="102"/>
      <c r="L54" s="127"/>
      <c r="M54" s="127"/>
      <c r="N54" s="111"/>
      <c r="O54" s="90"/>
      <c r="P54" s="112"/>
      <c r="Q54" s="91"/>
      <c r="R54" s="91"/>
      <c r="S54" s="127"/>
      <c r="T54" s="127"/>
      <c r="U54" s="128"/>
      <c r="V54" s="128"/>
      <c r="W54" s="93"/>
    </row>
    <row r="55" spans="2:26" ht="15.75" customHeight="1">
      <c r="D55" s="83"/>
      <c r="E55" s="97"/>
      <c r="G55" s="127"/>
      <c r="H55" s="127"/>
      <c r="I55" s="127"/>
      <c r="J55" s="102"/>
      <c r="L55" s="127"/>
      <c r="M55" s="127"/>
      <c r="N55" s="104"/>
      <c r="O55" s="90"/>
      <c r="P55" s="95"/>
      <c r="Q55" s="99"/>
      <c r="R55" s="105"/>
      <c r="S55" s="127"/>
      <c r="T55" s="127"/>
      <c r="U55" s="128"/>
      <c r="V55" s="128"/>
      <c r="W55" s="108"/>
    </row>
    <row r="56" spans="2:26" ht="15.75" customHeight="1">
      <c r="D56" s="83"/>
      <c r="E56" s="84"/>
      <c r="G56" s="127"/>
      <c r="H56" s="127"/>
      <c r="I56" s="127"/>
      <c r="J56" s="102"/>
      <c r="L56" s="127"/>
      <c r="M56" s="127"/>
      <c r="N56" s="111"/>
      <c r="O56" s="90"/>
      <c r="P56" s="112"/>
      <c r="Q56" s="91"/>
      <c r="R56" s="91"/>
      <c r="S56" s="127"/>
      <c r="T56" s="127"/>
      <c r="U56" s="128"/>
      <c r="V56" s="128"/>
      <c r="W56" s="108"/>
    </row>
    <row r="57" spans="2:26" ht="15.75" customHeight="1">
      <c r="D57" s="83"/>
      <c r="E57" s="97"/>
      <c r="G57" s="127"/>
      <c r="H57" s="127"/>
      <c r="I57" s="127"/>
      <c r="J57" s="102"/>
      <c r="L57" s="127"/>
      <c r="M57" s="127"/>
      <c r="N57" s="104"/>
      <c r="O57" s="90"/>
      <c r="P57" s="95"/>
      <c r="Q57" s="99"/>
      <c r="R57" s="105"/>
      <c r="S57" s="127"/>
      <c r="T57" s="127"/>
      <c r="U57" s="128"/>
      <c r="V57" s="128"/>
      <c r="W57" s="108"/>
    </row>
    <row r="58" spans="2:26" ht="15.75" customHeight="1">
      <c r="D58" s="83"/>
      <c r="E58" s="84"/>
      <c r="G58" s="127"/>
      <c r="H58" s="127"/>
      <c r="I58" s="127"/>
      <c r="J58" s="102"/>
      <c r="L58" s="127"/>
      <c r="M58" s="127"/>
      <c r="N58" s="111"/>
      <c r="O58" s="90"/>
      <c r="P58" s="112"/>
      <c r="Q58" s="91"/>
      <c r="R58" s="91"/>
      <c r="S58" s="127"/>
      <c r="T58" s="127"/>
      <c r="U58" s="128"/>
      <c r="V58" s="128"/>
      <c r="W58" s="108"/>
    </row>
    <row r="59" spans="2:26" ht="15.75" customHeight="1">
      <c r="D59" s="83"/>
      <c r="E59" s="97"/>
      <c r="G59" s="127"/>
      <c r="H59" s="127"/>
      <c r="I59" s="127"/>
      <c r="J59" s="102"/>
      <c r="L59" s="127"/>
      <c r="M59" s="127"/>
      <c r="N59" s="104"/>
      <c r="O59" s="90"/>
      <c r="P59" s="95"/>
      <c r="Q59" s="99"/>
      <c r="R59" s="105"/>
      <c r="S59" s="127"/>
      <c r="T59" s="127"/>
      <c r="U59" s="128"/>
      <c r="V59" s="128"/>
      <c r="W59" s="108"/>
    </row>
    <row r="60" spans="2:26" ht="15.75" customHeight="1">
      <c r="D60" s="83"/>
      <c r="E60" s="84"/>
      <c r="G60" s="127"/>
      <c r="H60" s="127"/>
      <c r="I60" s="127"/>
      <c r="J60" s="102"/>
      <c r="L60" s="127"/>
      <c r="M60" s="127"/>
      <c r="N60" s="111"/>
      <c r="O60" s="90"/>
      <c r="P60" s="112"/>
      <c r="Q60" s="91"/>
      <c r="R60" s="91"/>
      <c r="S60" s="127"/>
      <c r="T60" s="127"/>
      <c r="U60" s="128"/>
      <c r="V60" s="128"/>
      <c r="W60" s="108"/>
    </row>
    <row r="61" spans="2:26" ht="15.75" customHeight="1">
      <c r="D61" s="83"/>
      <c r="E61" s="97"/>
      <c r="J61" s="102"/>
      <c r="N61" s="104"/>
      <c r="O61" s="90"/>
      <c r="P61" s="95"/>
      <c r="Q61" s="99"/>
      <c r="R61" s="105"/>
      <c r="U61" s="128"/>
      <c r="V61" s="128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128"/>
      <c r="V62" s="128"/>
      <c r="W62" s="108"/>
    </row>
    <row r="63" spans="2:26" ht="15.75" customHeight="1">
      <c r="B63" s="129"/>
      <c r="D63" s="83"/>
      <c r="E63" s="97"/>
      <c r="G63" s="127"/>
      <c r="H63" s="127"/>
      <c r="I63" s="127"/>
      <c r="J63" s="102"/>
      <c r="L63" s="127"/>
      <c r="M63" s="127"/>
      <c r="N63" s="104"/>
      <c r="O63" s="90"/>
      <c r="P63" s="95"/>
      <c r="Q63" s="99"/>
      <c r="R63" s="105"/>
      <c r="S63" s="127"/>
      <c r="T63" s="127"/>
      <c r="U63" s="128"/>
      <c r="V63" s="128"/>
      <c r="W63" s="108"/>
    </row>
    <row r="64" spans="2:26" ht="15.75" customHeight="1">
      <c r="D64" s="83"/>
      <c r="E64" s="84"/>
      <c r="G64" s="127"/>
      <c r="H64" s="127"/>
      <c r="I64" s="127"/>
      <c r="J64" s="102"/>
      <c r="L64" s="127"/>
      <c r="M64" s="127"/>
      <c r="N64" s="111"/>
      <c r="O64" s="90"/>
      <c r="P64" s="112"/>
      <c r="Q64" s="91"/>
      <c r="R64" s="91"/>
      <c r="S64" s="127"/>
      <c r="T64" s="127"/>
      <c r="U64" s="128"/>
      <c r="V64" s="128"/>
      <c r="W64" s="108"/>
    </row>
    <row r="65" spans="2:26" ht="15.75" customHeight="1">
      <c r="D65" s="83"/>
      <c r="E65" s="97"/>
      <c r="G65" s="127"/>
      <c r="H65" s="127"/>
      <c r="I65" s="127"/>
      <c r="J65" s="102"/>
      <c r="L65" s="127"/>
      <c r="M65" s="127"/>
      <c r="N65" s="104"/>
      <c r="O65" s="90"/>
      <c r="P65" s="95"/>
      <c r="Q65" s="99"/>
      <c r="R65" s="105"/>
      <c r="S65" s="127"/>
      <c r="T65" s="127"/>
      <c r="U65" s="128"/>
      <c r="V65" s="128"/>
      <c r="W65" s="108"/>
    </row>
    <row r="66" spans="2:26">
      <c r="B66" s="129"/>
      <c r="D66" s="83"/>
      <c r="E66" s="84"/>
      <c r="G66" s="127"/>
      <c r="H66" s="127"/>
      <c r="I66" s="127"/>
      <c r="J66" s="102"/>
      <c r="L66" s="127"/>
      <c r="M66" s="127"/>
      <c r="N66" s="111"/>
      <c r="O66" s="90"/>
      <c r="P66" s="112"/>
      <c r="Q66" s="91"/>
      <c r="R66" s="91"/>
      <c r="S66" s="127"/>
      <c r="T66" s="127"/>
      <c r="U66" s="128"/>
      <c r="V66" s="128"/>
      <c r="W66" s="93"/>
      <c r="X66" s="94"/>
      <c r="Y66" s="4"/>
      <c r="Z66" s="4"/>
    </row>
    <row r="67" spans="2:26" ht="15.75" customHeight="1">
      <c r="D67" s="83"/>
      <c r="E67" s="97"/>
      <c r="G67" s="127"/>
      <c r="H67" s="127"/>
      <c r="I67" s="127"/>
      <c r="J67" s="102"/>
      <c r="L67" s="127"/>
      <c r="M67" s="127"/>
      <c r="N67" s="104"/>
      <c r="O67" s="90"/>
      <c r="P67" s="95"/>
      <c r="Q67" s="99"/>
      <c r="R67" s="105"/>
      <c r="S67" s="127"/>
      <c r="T67" s="127"/>
      <c r="U67" s="128"/>
      <c r="V67" s="128"/>
      <c r="W67" s="108"/>
      <c r="X67" s="94"/>
      <c r="Y67" s="4"/>
      <c r="Z67" s="4"/>
    </row>
    <row r="68" spans="2:26" ht="15.75" customHeight="1">
      <c r="D68" s="83"/>
      <c r="E68" s="84"/>
      <c r="J68" s="102"/>
      <c r="N68" s="111"/>
      <c r="O68" s="90"/>
      <c r="P68" s="112"/>
      <c r="Q68" s="91"/>
      <c r="R68" s="91"/>
      <c r="U68" s="128"/>
      <c r="V68" s="128"/>
      <c r="W68" s="93"/>
      <c r="X68" s="94"/>
      <c r="Y68" s="4"/>
      <c r="Z68" s="4"/>
    </row>
    <row r="69" spans="2:26" ht="15.75" customHeight="1">
      <c r="D69" s="83"/>
      <c r="E69" s="97"/>
      <c r="J69" s="102"/>
      <c r="N69" s="104"/>
      <c r="O69" s="90"/>
      <c r="P69" s="95"/>
      <c r="Q69" s="99"/>
      <c r="R69" s="105"/>
      <c r="U69" s="128"/>
      <c r="V69" s="128"/>
      <c r="W69" s="108"/>
      <c r="X69" s="94"/>
      <c r="Y69" s="4"/>
      <c r="Z69" s="4"/>
    </row>
    <row r="70" spans="2:26" ht="15.75" customHeight="1">
      <c r="D70" s="83"/>
      <c r="E70" s="84"/>
      <c r="G70" s="127"/>
      <c r="H70" s="127"/>
      <c r="I70" s="127"/>
      <c r="J70" s="102"/>
      <c r="L70" s="127"/>
      <c r="M70" s="127"/>
      <c r="N70" s="111"/>
      <c r="O70" s="90"/>
      <c r="P70" s="112"/>
      <c r="Q70" s="91"/>
      <c r="R70" s="91"/>
      <c r="S70" s="127"/>
      <c r="T70" s="127"/>
      <c r="U70" s="128"/>
      <c r="V70" s="128"/>
      <c r="W70" s="93"/>
      <c r="X70" s="94"/>
      <c r="Y70" s="4"/>
      <c r="Z70" s="4"/>
    </row>
    <row r="71" spans="2:26" ht="15.75" customHeight="1">
      <c r="D71" s="83"/>
      <c r="E71" s="97"/>
      <c r="G71" s="127"/>
      <c r="H71" s="127"/>
      <c r="I71" s="127"/>
      <c r="J71" s="102"/>
      <c r="L71" s="127"/>
      <c r="M71" s="127"/>
      <c r="N71" s="104"/>
      <c r="O71" s="90"/>
      <c r="P71" s="95"/>
      <c r="Q71" s="99"/>
      <c r="R71" s="105"/>
      <c r="S71" s="127"/>
      <c r="T71" s="127"/>
      <c r="U71" s="128"/>
      <c r="V71" s="128"/>
      <c r="W71" s="108"/>
      <c r="X71" s="94"/>
      <c r="Y71" s="4"/>
      <c r="Z71" s="4"/>
    </row>
    <row r="72" spans="2:26" ht="15.75" customHeight="1">
      <c r="D72" s="83"/>
      <c r="E72" s="84"/>
      <c r="G72" s="127"/>
      <c r="H72" s="127"/>
      <c r="I72" s="127"/>
      <c r="J72" s="102"/>
      <c r="L72" s="127"/>
      <c r="M72" s="127"/>
      <c r="N72" s="111"/>
      <c r="O72" s="90"/>
      <c r="P72" s="112"/>
      <c r="Q72" s="91"/>
      <c r="R72" s="91"/>
      <c r="S72" s="127"/>
      <c r="T72" s="127"/>
      <c r="U72" s="128"/>
      <c r="V72" s="128"/>
      <c r="W72" s="93"/>
      <c r="X72" s="94"/>
      <c r="Y72" s="4"/>
      <c r="Z72" s="4"/>
    </row>
    <row r="73" spans="2:26" ht="15.75" customHeight="1">
      <c r="D73" s="83"/>
      <c r="E73" s="97"/>
      <c r="G73" s="127"/>
      <c r="H73" s="127"/>
      <c r="I73" s="127"/>
      <c r="J73" s="102"/>
      <c r="L73" s="127"/>
      <c r="M73" s="127"/>
      <c r="N73" s="104"/>
      <c r="O73" s="90"/>
      <c r="P73" s="95"/>
      <c r="Q73" s="99"/>
      <c r="R73" s="105"/>
      <c r="S73" s="127"/>
      <c r="T73" s="127"/>
      <c r="U73" s="128"/>
      <c r="V73" s="128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128"/>
      <c r="V74" s="128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128"/>
      <c r="V75" s="128"/>
      <c r="W75" s="93"/>
      <c r="X75" s="94"/>
      <c r="Y75" s="4"/>
      <c r="Z75" s="4"/>
    </row>
    <row r="76" spans="2:26" ht="15.75" customHeight="1">
      <c r="D76" s="83"/>
      <c r="E76" s="97"/>
      <c r="G76" s="127"/>
      <c r="H76" s="127"/>
      <c r="I76" s="127"/>
      <c r="J76" s="102"/>
      <c r="L76" s="127"/>
      <c r="M76" s="127"/>
      <c r="N76" s="104"/>
      <c r="O76" s="90"/>
      <c r="P76" s="95"/>
      <c r="Q76" s="99"/>
      <c r="R76" s="105"/>
      <c r="S76" s="127"/>
      <c r="T76" s="127"/>
      <c r="U76" s="128"/>
      <c r="V76" s="128"/>
      <c r="W76" s="108"/>
      <c r="X76" s="94"/>
      <c r="Y76" s="4"/>
      <c r="Z76" s="4"/>
    </row>
    <row r="77" spans="2:26" ht="15.75" customHeight="1">
      <c r="D77" s="83"/>
      <c r="E77" s="84"/>
      <c r="G77" s="127"/>
      <c r="H77" s="127"/>
      <c r="I77" s="127"/>
      <c r="J77" s="102"/>
      <c r="L77" s="127"/>
      <c r="M77" s="127"/>
      <c r="N77" s="111"/>
      <c r="O77" s="90"/>
      <c r="P77" s="112"/>
      <c r="Q77" s="91"/>
      <c r="R77" s="91"/>
      <c r="S77" s="127"/>
      <c r="T77" s="127"/>
      <c r="U77" s="128"/>
      <c r="V77" s="128"/>
      <c r="W77" s="93"/>
    </row>
    <row r="78" spans="2:26" ht="15.75" customHeight="1">
      <c r="D78" s="83"/>
      <c r="E78" s="97"/>
      <c r="G78" s="127"/>
      <c r="H78" s="127"/>
      <c r="I78" s="127"/>
      <c r="J78" s="102"/>
      <c r="L78" s="127"/>
      <c r="M78" s="127"/>
      <c r="N78" s="104"/>
      <c r="O78" s="90"/>
      <c r="P78" s="95"/>
      <c r="Q78" s="99"/>
      <c r="R78" s="105"/>
      <c r="S78" s="127"/>
      <c r="T78" s="127"/>
      <c r="U78" s="128"/>
      <c r="V78" s="128"/>
      <c r="W78" s="108"/>
    </row>
    <row r="79" spans="2:26" ht="15.75" customHeight="1">
      <c r="D79" s="83"/>
      <c r="E79" s="84"/>
      <c r="G79" s="127"/>
      <c r="H79" s="127"/>
      <c r="I79" s="127"/>
      <c r="J79" s="102"/>
      <c r="L79" s="127"/>
      <c r="M79" s="127"/>
      <c r="N79" s="111"/>
      <c r="O79" s="90"/>
      <c r="P79" s="112"/>
      <c r="Q79" s="91"/>
      <c r="R79" s="91"/>
      <c r="S79" s="127"/>
      <c r="T79" s="127"/>
      <c r="U79" s="128"/>
      <c r="V79" s="128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128"/>
      <c r="V80" s="128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128"/>
      <c r="V81" s="128"/>
      <c r="W81" s="93"/>
    </row>
    <row r="82" spans="4:26" ht="15.75" customHeight="1">
      <c r="D82" s="83"/>
      <c r="E82" s="97"/>
      <c r="G82" s="127"/>
      <c r="H82" s="127"/>
      <c r="I82" s="127"/>
      <c r="J82" s="102"/>
      <c r="L82" s="127"/>
      <c r="M82" s="127"/>
      <c r="N82" s="104"/>
      <c r="O82" s="90"/>
      <c r="P82" s="95"/>
      <c r="Q82" s="99"/>
      <c r="R82" s="105"/>
      <c r="S82" s="127"/>
      <c r="T82" s="127"/>
      <c r="U82" s="128"/>
      <c r="V82" s="128"/>
      <c r="W82" s="108"/>
    </row>
    <row r="83" spans="4:26" ht="15.75" customHeight="1">
      <c r="D83" s="83"/>
      <c r="E83" s="84"/>
      <c r="G83" s="127"/>
      <c r="H83" s="127"/>
      <c r="I83" s="127"/>
      <c r="J83" s="102"/>
      <c r="L83" s="127"/>
      <c r="M83" s="127"/>
      <c r="N83" s="111"/>
      <c r="O83" s="90"/>
      <c r="P83" s="112"/>
      <c r="Q83" s="91"/>
      <c r="R83" s="91"/>
      <c r="S83" s="127"/>
      <c r="T83" s="127"/>
      <c r="U83" s="128"/>
      <c r="V83" s="128"/>
      <c r="W83" s="108"/>
    </row>
    <row r="84" spans="4:26" ht="15.75" customHeight="1">
      <c r="D84" s="83"/>
      <c r="E84" s="97"/>
      <c r="G84" s="127"/>
      <c r="H84" s="127"/>
      <c r="I84" s="127"/>
      <c r="J84" s="102"/>
      <c r="L84" s="127"/>
      <c r="M84" s="127"/>
      <c r="N84" s="104"/>
      <c r="O84" s="90"/>
      <c r="P84" s="95"/>
      <c r="Q84" s="99"/>
      <c r="R84" s="105"/>
      <c r="S84" s="127"/>
      <c r="T84" s="127"/>
      <c r="U84" s="128"/>
      <c r="V84" s="128"/>
      <c r="W84" s="108"/>
    </row>
    <row r="85" spans="4:26" ht="15.75" customHeight="1">
      <c r="D85" s="83"/>
      <c r="E85" s="84"/>
      <c r="G85" s="127"/>
      <c r="H85" s="127"/>
      <c r="I85" s="127"/>
      <c r="J85" s="102"/>
      <c r="L85" s="127"/>
      <c r="M85" s="127"/>
      <c r="N85" s="111"/>
      <c r="O85" s="90"/>
      <c r="P85" s="112"/>
      <c r="Q85" s="91"/>
      <c r="R85" s="91"/>
      <c r="S85" s="127"/>
      <c r="T85" s="127"/>
      <c r="U85" s="128"/>
      <c r="V85" s="128"/>
      <c r="W85" s="108"/>
    </row>
    <row r="86" spans="4:26" ht="15.75" customHeight="1">
      <c r="D86" s="83"/>
      <c r="E86" s="97"/>
      <c r="G86" s="127"/>
      <c r="H86" s="127"/>
      <c r="I86" s="127"/>
      <c r="J86" s="102"/>
      <c r="L86" s="127"/>
      <c r="M86" s="127"/>
      <c r="N86" s="104"/>
      <c r="O86" s="90"/>
      <c r="P86" s="95"/>
      <c r="Q86" s="99"/>
      <c r="R86" s="105"/>
      <c r="S86" s="127"/>
      <c r="T86" s="127"/>
      <c r="U86" s="128"/>
      <c r="V86" s="128"/>
      <c r="W86" s="108"/>
    </row>
    <row r="87" spans="4:26" ht="15.75" customHeight="1">
      <c r="D87" s="83"/>
      <c r="E87" s="84"/>
      <c r="G87" s="127"/>
      <c r="H87" s="127"/>
      <c r="I87" s="127"/>
      <c r="J87" s="102"/>
      <c r="L87" s="127"/>
      <c r="M87" s="127"/>
      <c r="N87" s="111"/>
      <c r="O87" s="90"/>
      <c r="P87" s="112"/>
      <c r="Q87" s="91"/>
      <c r="R87" s="91"/>
      <c r="S87" s="127"/>
      <c r="T87" s="127"/>
      <c r="U87" s="128"/>
      <c r="V87" s="128"/>
      <c r="W87" s="108"/>
    </row>
    <row r="88" spans="4:26" ht="15.75" customHeight="1">
      <c r="D88" s="83"/>
      <c r="E88" s="97"/>
      <c r="G88" s="127"/>
      <c r="H88" s="127"/>
      <c r="I88" s="127"/>
      <c r="J88" s="102"/>
      <c r="L88" s="127"/>
      <c r="M88" s="127"/>
      <c r="N88" s="104"/>
      <c r="O88" s="90"/>
      <c r="P88" s="95"/>
      <c r="Q88" s="99"/>
      <c r="R88" s="105"/>
      <c r="S88" s="127"/>
      <c r="T88" s="127"/>
      <c r="U88" s="128"/>
      <c r="V88" s="128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128"/>
      <c r="V89" s="128"/>
      <c r="W89" s="108"/>
    </row>
    <row r="90" spans="4:26" ht="15.75" customHeight="1">
      <c r="D90" s="83"/>
      <c r="E90" s="97"/>
      <c r="G90" s="127"/>
      <c r="H90" s="127"/>
      <c r="I90" s="127"/>
      <c r="J90" s="102"/>
      <c r="L90" s="127"/>
      <c r="M90" s="127"/>
      <c r="N90" s="104"/>
      <c r="O90" s="90"/>
      <c r="P90" s="95"/>
      <c r="Q90" s="99"/>
      <c r="R90" s="105"/>
      <c r="S90" s="127"/>
      <c r="T90" s="127"/>
      <c r="U90" s="128"/>
      <c r="V90" s="128"/>
      <c r="W90" s="108"/>
    </row>
    <row r="91" spans="4:26" ht="15.75" customHeight="1">
      <c r="D91" s="83"/>
      <c r="E91" s="84"/>
      <c r="G91" s="127"/>
      <c r="H91" s="127"/>
      <c r="I91" s="127"/>
      <c r="J91" s="102"/>
      <c r="L91" s="127"/>
      <c r="M91" s="127"/>
      <c r="N91" s="111"/>
      <c r="O91" s="90"/>
      <c r="P91" s="112"/>
      <c r="Q91" s="91"/>
      <c r="R91" s="91"/>
      <c r="S91" s="127"/>
      <c r="T91" s="127"/>
      <c r="U91" s="128"/>
      <c r="V91" s="128"/>
      <c r="W91" s="108"/>
    </row>
    <row r="92" spans="4:26" ht="15.75" customHeight="1">
      <c r="D92" s="83"/>
      <c r="E92" s="97"/>
      <c r="G92" s="127"/>
      <c r="H92" s="127"/>
      <c r="I92" s="127"/>
      <c r="J92" s="102"/>
      <c r="L92" s="127"/>
      <c r="M92" s="127"/>
      <c r="N92" s="104"/>
      <c r="O92" s="90"/>
      <c r="P92" s="95"/>
      <c r="Q92" s="99"/>
      <c r="R92" s="105"/>
      <c r="S92" s="127"/>
      <c r="T92" s="127"/>
      <c r="U92" s="128"/>
      <c r="V92" s="128"/>
      <c r="W92" s="108"/>
    </row>
    <row r="93" spans="4:26" ht="15.75" customHeight="1">
      <c r="D93" s="83"/>
      <c r="E93" s="84"/>
      <c r="G93" s="127"/>
      <c r="H93" s="127"/>
      <c r="I93" s="127"/>
      <c r="J93" s="102"/>
      <c r="L93" s="127"/>
      <c r="M93" s="127"/>
      <c r="N93" s="111"/>
      <c r="O93" s="90"/>
      <c r="P93" s="112"/>
      <c r="Q93" s="91"/>
      <c r="R93" s="91"/>
      <c r="S93" s="127"/>
      <c r="T93" s="127"/>
      <c r="U93" s="128"/>
      <c r="V93" s="128"/>
      <c r="W93" s="108"/>
    </row>
    <row r="94" spans="4:26" ht="15.75" customHeight="1">
      <c r="D94" s="83"/>
      <c r="E94" s="97"/>
      <c r="G94" s="127"/>
      <c r="H94" s="127"/>
      <c r="I94" s="127"/>
      <c r="J94" s="102"/>
      <c r="L94" s="127"/>
      <c r="M94" s="127"/>
      <c r="N94" s="104"/>
      <c r="O94" s="90"/>
      <c r="P94" s="95"/>
      <c r="Q94" s="99"/>
      <c r="R94" s="105"/>
      <c r="S94" s="127"/>
      <c r="T94" s="127"/>
      <c r="U94" s="128"/>
      <c r="V94" s="128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128"/>
      <c r="V95" s="128"/>
      <c r="W95" s="93"/>
      <c r="X95" s="94"/>
      <c r="Y95" s="4"/>
      <c r="Z95" s="4"/>
    </row>
    <row r="96" spans="4:26" ht="15.75" customHeight="1">
      <c r="D96" s="83"/>
      <c r="E96" s="97"/>
      <c r="G96" s="127"/>
      <c r="H96" s="127"/>
      <c r="I96" s="127"/>
      <c r="J96" s="102"/>
      <c r="L96" s="127"/>
      <c r="M96" s="127"/>
      <c r="N96" s="104"/>
      <c r="O96" s="90"/>
      <c r="P96" s="95"/>
      <c r="Q96" s="99"/>
      <c r="R96" s="105"/>
      <c r="S96" s="127"/>
      <c r="T96" s="127"/>
      <c r="U96" s="128"/>
      <c r="V96" s="128"/>
      <c r="W96" s="108"/>
      <c r="X96" s="94"/>
      <c r="Y96" s="4"/>
      <c r="Z96" s="4"/>
    </row>
    <row r="97" spans="2:23" ht="15.75" customHeight="1">
      <c r="D97" s="83"/>
      <c r="E97" s="84"/>
      <c r="G97" s="127"/>
      <c r="H97" s="127"/>
      <c r="I97" s="127"/>
      <c r="J97" s="102"/>
      <c r="L97" s="127"/>
      <c r="M97" s="127"/>
      <c r="N97" s="111"/>
      <c r="O97" s="90"/>
      <c r="P97" s="112"/>
      <c r="Q97" s="91"/>
      <c r="R97" s="91"/>
      <c r="S97" s="127"/>
      <c r="T97" s="127"/>
      <c r="U97" s="128"/>
      <c r="V97" s="128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128"/>
      <c r="V98" s="128"/>
      <c r="W98" s="108"/>
    </row>
    <row r="99" spans="2:23" ht="15.75" customHeight="1">
      <c r="D99" s="83"/>
      <c r="E99" s="84"/>
      <c r="G99" s="127"/>
      <c r="H99" s="127"/>
      <c r="I99" s="127"/>
      <c r="J99" s="102"/>
      <c r="L99" s="127"/>
      <c r="M99" s="127"/>
      <c r="N99" s="111"/>
      <c r="O99" s="90"/>
      <c r="P99" s="112"/>
      <c r="Q99" s="91"/>
      <c r="R99" s="91"/>
      <c r="S99" s="127"/>
      <c r="T99" s="127"/>
      <c r="U99" s="128"/>
      <c r="V99" s="128"/>
      <c r="W99" s="93"/>
    </row>
    <row r="100" spans="2:23" ht="15.75" customHeight="1">
      <c r="D100" s="83"/>
      <c r="E100" s="97"/>
      <c r="G100" s="127"/>
      <c r="H100" s="127"/>
      <c r="I100" s="127"/>
      <c r="J100" s="102"/>
      <c r="L100" s="127"/>
      <c r="M100" s="127"/>
      <c r="N100" s="104"/>
      <c r="O100" s="90"/>
      <c r="P100" s="95"/>
      <c r="Q100" s="99"/>
      <c r="R100" s="105"/>
      <c r="S100" s="127"/>
      <c r="T100" s="127"/>
      <c r="U100" s="128"/>
      <c r="V100" s="128"/>
      <c r="W100" s="108"/>
    </row>
    <row r="101" spans="2:23" ht="15.75" customHeight="1">
      <c r="D101" s="83"/>
      <c r="E101" s="84"/>
      <c r="G101" s="127"/>
      <c r="H101" s="127"/>
      <c r="I101" s="127"/>
      <c r="J101" s="102"/>
      <c r="L101" s="127"/>
      <c r="M101" s="127"/>
      <c r="N101" s="111"/>
      <c r="O101" s="90"/>
      <c r="P101" s="112"/>
      <c r="Q101" s="91"/>
      <c r="R101" s="91"/>
      <c r="S101" s="127"/>
      <c r="T101" s="127"/>
      <c r="U101" s="128"/>
      <c r="V101" s="128"/>
      <c r="W101" s="93"/>
    </row>
    <row r="102" spans="2:23" ht="15.75" customHeight="1">
      <c r="D102" s="83"/>
      <c r="E102" s="97"/>
      <c r="G102" s="127"/>
      <c r="H102" s="127"/>
      <c r="I102" s="127"/>
      <c r="J102" s="102"/>
      <c r="L102" s="127"/>
      <c r="M102" s="127"/>
      <c r="N102" s="104"/>
      <c r="O102" s="90"/>
      <c r="P102" s="95"/>
      <c r="Q102" s="99"/>
      <c r="R102" s="105"/>
      <c r="S102" s="127"/>
      <c r="T102" s="127"/>
      <c r="U102" s="128"/>
      <c r="V102" s="128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71</v>
      </c>
      <c r="G114" s="118">
        <f>SUM(G19:G113)</f>
        <v>33083.410000000003</v>
      </c>
      <c r="H114" s="119">
        <f>SUM(H19:H113)</f>
        <v>8932.5499999999993</v>
      </c>
      <c r="I114" s="120">
        <f>SUM(I19:I113)</f>
        <v>60312.85</v>
      </c>
      <c r="J114" s="121"/>
      <c r="K114" s="122">
        <f>SUM(K19:K113)</f>
        <v>71</v>
      </c>
      <c r="L114" s="119">
        <f>SUM(L19:L113)</f>
        <v>16541.769999999997</v>
      </c>
      <c r="M114" s="120">
        <f>SUM(M19:M113)</f>
        <v>30156.65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16519.939999999999</v>
      </c>
      <c r="T114" s="120">
        <f>SUM(T19:T113)</f>
        <v>30156.65</v>
      </c>
      <c r="U114" s="125"/>
      <c r="V114" s="125"/>
      <c r="W114" s="126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E19:E113" xr:uid="{617484CC-A772-4612-B4FD-160DFE61783A}">
      <formula1>$Z$19:$Z$94</formula1>
    </dataValidation>
    <dataValidation type="list" allowBlank="1" showErrorMessage="1" sqref="I14" xr:uid="{435620A4-B689-4A99-901F-4923F985E0B4}">
      <formula1>$Y$14:$Y$15</formula1>
    </dataValidation>
    <dataValidation type="list" allowBlank="1" showErrorMessage="1" sqref="J14" xr:uid="{B3F22C3E-67E7-473F-A1C6-2BADF0D4DEA5}">
      <formula1>$L$9</formula1>
    </dataValidation>
    <dataValidation type="list" allowBlank="1" showErrorMessage="1" sqref="Q15 G18 L18 Q18" xr:uid="{82D03C51-168A-43F1-B3F6-FD1FB1E6D8BF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CAT 349 EXCAVATOR</vt:lpstr>
      <vt:lpstr>CAT 14M MOTOR GRADER</vt:lpstr>
      <vt:lpstr>CAT 160M MOTOR GRADER</vt:lpstr>
      <vt:lpstr>CAT D9C DOZER</vt:lpstr>
      <vt:lpstr>CAT 216 SKID STEER</vt:lpstr>
      <vt:lpstr>CAT 320 EXCAVATOR</vt:lpstr>
      <vt:lpstr>CAT 422 LOADER</vt:lpstr>
      <vt:lpstr>CAT 966 LOADER</vt:lpstr>
      <vt:lpstr>CAT 246 SMALL LOADER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2025-06-24T10:49:34Z</dcterms:modified>
</cp:coreProperties>
</file>