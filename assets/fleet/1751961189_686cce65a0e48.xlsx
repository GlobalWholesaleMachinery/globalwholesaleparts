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83F1741E-4BDD-40B9-916B-EAA848938E27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" r:id="rId1"/>
    <sheet name="CAT 262D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2" l="1"/>
  <c r="U55" i="2"/>
  <c r="T55" i="2"/>
  <c r="S55" i="2"/>
  <c r="V54" i="2"/>
  <c r="U54" i="2"/>
  <c r="T54" i="2"/>
  <c r="S54" i="2"/>
  <c r="V53" i="2"/>
  <c r="U53" i="2"/>
  <c r="T53" i="2"/>
  <c r="S53" i="2"/>
  <c r="V52" i="2"/>
  <c r="U52" i="2"/>
  <c r="T52" i="2"/>
  <c r="S52" i="2"/>
  <c r="V51" i="2"/>
  <c r="U51" i="2"/>
  <c r="T51" i="2"/>
  <c r="S51" i="2"/>
  <c r="V50" i="2"/>
  <c r="U50" i="2"/>
  <c r="T50" i="2"/>
  <c r="S50" i="2"/>
  <c r="V49" i="2"/>
  <c r="U49" i="2"/>
  <c r="T49" i="2"/>
  <c r="S49" i="2"/>
  <c r="V48" i="2"/>
  <c r="U48" i="2"/>
  <c r="T48" i="2"/>
  <c r="S48" i="2"/>
  <c r="V47" i="2"/>
  <c r="U47" i="2"/>
  <c r="T47" i="2"/>
  <c r="S47" i="2"/>
  <c r="V46" i="2"/>
  <c r="U46" i="2"/>
  <c r="T46" i="2"/>
  <c r="S46" i="2"/>
  <c r="V45" i="2"/>
  <c r="U45" i="2"/>
  <c r="T45" i="2"/>
  <c r="S45" i="2"/>
  <c r="V44" i="2"/>
  <c r="U44" i="2"/>
  <c r="T44" i="2"/>
  <c r="S44" i="2"/>
  <c r="V43" i="2"/>
  <c r="U43" i="2"/>
  <c r="T43" i="2"/>
  <c r="S43" i="2"/>
  <c r="V42" i="2"/>
  <c r="U42" i="2"/>
  <c r="T42" i="2"/>
  <c r="S42" i="2"/>
  <c r="V41" i="2"/>
  <c r="U41" i="2"/>
  <c r="T41" i="2"/>
  <c r="S41" i="2"/>
  <c r="V40" i="2"/>
  <c r="U40" i="2"/>
  <c r="T40" i="2"/>
  <c r="S40" i="2"/>
  <c r="V39" i="2"/>
  <c r="U39" i="2"/>
  <c r="T39" i="2"/>
  <c r="S39" i="2"/>
  <c r="V38" i="2"/>
  <c r="U38" i="2"/>
  <c r="T38" i="2"/>
  <c r="S38" i="2"/>
  <c r="V37" i="2"/>
  <c r="U37" i="2"/>
  <c r="T37" i="2"/>
  <c r="S37" i="2"/>
  <c r="V36" i="2"/>
  <c r="U36" i="2"/>
  <c r="T36" i="2"/>
  <c r="S36" i="2"/>
  <c r="V34" i="2"/>
  <c r="U34" i="2"/>
  <c r="T34" i="2"/>
  <c r="S34" i="2"/>
  <c r="V33" i="2"/>
  <c r="U33" i="2"/>
  <c r="T33" i="2"/>
  <c r="S33" i="2"/>
  <c r="V32" i="2"/>
  <c r="U32" i="2"/>
  <c r="T32" i="2"/>
  <c r="S32" i="2"/>
  <c r="V31" i="2"/>
  <c r="U31" i="2"/>
  <c r="T31" i="2"/>
  <c r="S31" i="2"/>
  <c r="V30" i="2"/>
  <c r="U30" i="2"/>
  <c r="T30" i="2"/>
  <c r="S30" i="2"/>
  <c r="V29" i="2"/>
  <c r="U29" i="2"/>
  <c r="T29" i="2"/>
  <c r="S29" i="2"/>
  <c r="V28" i="2"/>
  <c r="U28" i="2"/>
  <c r="T28" i="2"/>
  <c r="S28" i="2"/>
  <c r="V27" i="2"/>
  <c r="U27" i="2"/>
  <c r="T27" i="2"/>
  <c r="S27" i="2"/>
  <c r="V26" i="2"/>
  <c r="U26" i="2"/>
  <c r="T26" i="2"/>
  <c r="S26" i="2"/>
  <c r="V25" i="2"/>
  <c r="U25" i="2"/>
  <c r="T25" i="2"/>
  <c r="S25" i="2"/>
  <c r="V24" i="2"/>
  <c r="U24" i="2"/>
  <c r="T24" i="2"/>
  <c r="S24" i="2"/>
  <c r="V23" i="2"/>
  <c r="U23" i="2"/>
  <c r="T23" i="2"/>
  <c r="S23" i="2"/>
  <c r="V22" i="2"/>
  <c r="U22" i="2"/>
  <c r="T22" i="2"/>
  <c r="S22" i="2"/>
  <c r="V21" i="2"/>
  <c r="U21" i="2"/>
  <c r="T21" i="2"/>
  <c r="S21" i="2"/>
  <c r="V20" i="2"/>
  <c r="U20" i="2"/>
  <c r="T20" i="2"/>
  <c r="S20" i="2"/>
  <c r="V19" i="2"/>
  <c r="U19" i="2"/>
  <c r="T19" i="2"/>
  <c r="S19" i="2"/>
  <c r="L55" i="2"/>
  <c r="K55" i="2"/>
  <c r="M55" i="2" s="1"/>
  <c r="M54" i="2"/>
  <c r="L54" i="2"/>
  <c r="K54" i="2"/>
  <c r="L53" i="2"/>
  <c r="M53" i="2" s="1"/>
  <c r="K53" i="2"/>
  <c r="L52" i="2"/>
  <c r="K52" i="2"/>
  <c r="M52" i="2" s="1"/>
  <c r="L51" i="2"/>
  <c r="K51" i="2"/>
  <c r="M51" i="2" s="1"/>
  <c r="M50" i="2"/>
  <c r="L50" i="2"/>
  <c r="K50" i="2"/>
  <c r="L49" i="2"/>
  <c r="M49" i="2" s="1"/>
  <c r="K49" i="2"/>
  <c r="L48" i="2"/>
  <c r="K48" i="2"/>
  <c r="M48" i="2" s="1"/>
  <c r="L47" i="2"/>
  <c r="K47" i="2"/>
  <c r="M47" i="2" s="1"/>
  <c r="M46" i="2"/>
  <c r="L46" i="2"/>
  <c r="K46" i="2"/>
  <c r="L45" i="2"/>
  <c r="M45" i="2" s="1"/>
  <c r="K45" i="2"/>
  <c r="L44" i="2"/>
  <c r="K44" i="2"/>
  <c r="M44" i="2" s="1"/>
  <c r="L43" i="2"/>
  <c r="K43" i="2"/>
  <c r="M43" i="2" s="1"/>
  <c r="M42" i="2"/>
  <c r="L42" i="2"/>
  <c r="K42" i="2"/>
  <c r="L41" i="2"/>
  <c r="M41" i="2" s="1"/>
  <c r="K41" i="2"/>
  <c r="L40" i="2"/>
  <c r="K40" i="2"/>
  <c r="M40" i="2" s="1"/>
  <c r="L39" i="2"/>
  <c r="K39" i="2"/>
  <c r="M39" i="2" s="1"/>
  <c r="M38" i="2"/>
  <c r="L38" i="2"/>
  <c r="K38" i="2"/>
  <c r="L37" i="2"/>
  <c r="M37" i="2" s="1"/>
  <c r="K37" i="2"/>
  <c r="L36" i="2"/>
  <c r="K36" i="2"/>
  <c r="M36" i="2" s="1"/>
  <c r="L34" i="2"/>
  <c r="K34" i="2"/>
  <c r="M34" i="2" s="1"/>
  <c r="M33" i="2"/>
  <c r="L33" i="2"/>
  <c r="K33" i="2"/>
  <c r="L32" i="2"/>
  <c r="M32" i="2" s="1"/>
  <c r="K32" i="2"/>
  <c r="L31" i="2"/>
  <c r="K31" i="2"/>
  <c r="M31" i="2" s="1"/>
  <c r="L30" i="2"/>
  <c r="K30" i="2"/>
  <c r="M30" i="2" s="1"/>
  <c r="M29" i="2"/>
  <c r="L29" i="2"/>
  <c r="K29" i="2"/>
  <c r="L28" i="2"/>
  <c r="M28" i="2" s="1"/>
  <c r="K28" i="2"/>
  <c r="L27" i="2"/>
  <c r="K27" i="2"/>
  <c r="M27" i="2" s="1"/>
  <c r="L26" i="2"/>
  <c r="K26" i="2"/>
  <c r="M26" i="2" s="1"/>
  <c r="M25" i="2"/>
  <c r="L25" i="2"/>
  <c r="K25" i="2"/>
  <c r="L24" i="2"/>
  <c r="M24" i="2" s="1"/>
  <c r="K24" i="2"/>
  <c r="L23" i="2"/>
  <c r="K23" i="2"/>
  <c r="M23" i="2" s="1"/>
  <c r="L22" i="2"/>
  <c r="K22" i="2"/>
  <c r="M22" i="2" s="1"/>
  <c r="M21" i="2"/>
  <c r="L21" i="2"/>
  <c r="K21" i="2"/>
  <c r="L20" i="2"/>
  <c r="M20" i="2" s="1"/>
  <c r="K20" i="2"/>
  <c r="L19" i="2"/>
  <c r="K19" i="2"/>
  <c r="M19" i="2" s="1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G66" i="2"/>
  <c r="Q66" i="2"/>
  <c r="F66" i="2"/>
  <c r="P11" i="2" s="1"/>
  <c r="K66" i="2"/>
  <c r="R18" i="2"/>
  <c r="I18" i="2"/>
  <c r="H18" i="2"/>
  <c r="E16" i="2"/>
  <c r="P1" i="2"/>
  <c r="P8" i="2" s="1"/>
  <c r="L66" i="2" l="1"/>
  <c r="M66" i="2"/>
  <c r="P3" i="2" s="1"/>
  <c r="R66" i="2"/>
  <c r="P7" i="2" l="1"/>
  <c r="V15" i="2"/>
  <c r="P9" i="2" s="1"/>
  <c r="I66" i="2"/>
  <c r="P2" i="2" s="1"/>
  <c r="H66" i="2"/>
  <c r="S9" i="2" l="1"/>
  <c r="S66" i="2"/>
  <c r="T66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<sst xmlns="http://schemas.openxmlformats.org/spreadsheetml/2006/main" count="158" uniqueCount="151">
  <si>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</si>
  <si>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</si>
  <si>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</si>
  <si>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</si>
  <si>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</si>
  <si>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</si>
  <si>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</si>
  <si>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</si>
  <si>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</si>
  <si>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</si>
  <si>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</si>
  <si>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</si>
  <si>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</si>
  <si>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</si>
  <si>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</si>
  <si>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</si>
  <si>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</si>
  <si>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</si>
  <si>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</si>
  <si>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</si>
  <si>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</si>
  <si>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</si>
  <si>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</si>
  <si>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</si>
  <si>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</si>
  <si>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</si>
  <si>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</si>
  <si>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</si>
  <si>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</si>
  <si>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</si>
  <si>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</si>
  <si>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</si>
  <si>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</si>
  <si>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</si>
  <si>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</si>
  <si>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</si>
  <si>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</si>
  <si>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</si>
  <si>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</si>
  <si>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</si>
  <si>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</si>
  <si>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</si>
  <si>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</si>
  <si>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</si>
  <si>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</si>
  <si>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</si>
  <si>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</si>
  <si>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</si>
  <si>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</si>
  <si>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</si>
  <si>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</si>
  <si>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</si>
  <si>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</si>
  <si>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</si>
  <si>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</si>
  <si>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</si>
  <si>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</si>
  <si>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</si>
  <si>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</si>
  <si>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</si>
  <si>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</si>
  <si>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</si>
  <si>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</si>
  <si>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</si>
  <si>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</si>
  <si>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</si>
  <si>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</si>
  <si>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</si>
  <si>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</si>
  <si>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</si>
  <si>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</si>
  <si>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</si>
  <si>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</si>
  <si>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</si>
  <si>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</si>
  <si>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</si>
  <si>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</si>
  <si>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</si>
  <si>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</si>
  <si>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</si>
  <si>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</si>
  <si>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</si>
  <si>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</si>
  <si>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</si>
  <si>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</si>
  <si>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</si>
  <si>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</si>
  <si>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</si>
  <si>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</si>
  <si>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</si>
  <si>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</si>
  <si>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</si>
  <si>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</si>
  <si>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</si>
  <si>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</si>
  <si>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</si>
  <si>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</si>
  <si>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</si>
  <si>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</si>
  <si>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</si>
  <si>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</si>
  <si>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</si>
  <si>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</si>
  <si>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</si>
  <si>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</si>
  <si>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</si>
  <si>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</si>
  <si>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</si>
  <si>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377-6969</t>
  </si>
  <si>
    <t>ENGINE OIL FILTER</t>
  </si>
  <si>
    <t>363-5819</t>
  </si>
  <si>
    <t>FUEL WATER SEPARATOR FILTER</t>
  </si>
  <si>
    <t>421-5479</t>
  </si>
  <si>
    <t>HYDRAULIC OIL FILTER</t>
  </si>
  <si>
    <t>348-1862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</si>
  <si>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</si>
  <si>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</si>
  <si>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</si>
  <si>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</si>
  <si>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</si>
  <si>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</si>
  <si>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</si>
  <si>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</si>
  <si>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</si>
  <si>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CUSTOM ENGINE OK</t>
  </si>
  <si>
    <t>ENGINE OVERHAUL BRONZE KIT C3.3</t>
  </si>
  <si>
    <t>387-9832</t>
  </si>
  <si>
    <t>CAMSHAFT</t>
  </si>
  <si>
    <t>387-9840</t>
  </si>
  <si>
    <t>CRANKSHAFT</t>
  </si>
  <si>
    <t>387-9788</t>
  </si>
  <si>
    <t>CYLINDER HEAD</t>
  </si>
  <si>
    <t>397-9979</t>
  </si>
  <si>
    <t>TURBOCHARGER</t>
  </si>
  <si>
    <t>397-9952</t>
  </si>
  <si>
    <t>FUEL INJECTOR</t>
  </si>
  <si>
    <t>426-6505</t>
  </si>
  <si>
    <t>BLADE ASSY</t>
  </si>
  <si>
    <t>566-0409</t>
  </si>
  <si>
    <t>BUCKET CYLINDER</t>
  </si>
  <si>
    <t>450-5866</t>
  </si>
  <si>
    <t>BUCKET ASSY</t>
  </si>
  <si>
    <t>630-7949</t>
  </si>
  <si>
    <t>SEAT AS</t>
  </si>
  <si>
    <t>273-5914</t>
  </si>
  <si>
    <t>SEAT SUSPENSION</t>
  </si>
  <si>
    <t>222-3963</t>
  </si>
  <si>
    <t>TIRE 12-R16.5</t>
  </si>
  <si>
    <t>CAT</t>
  </si>
  <si>
    <t>262D</t>
  </si>
  <si>
    <t>Skid Steer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</si>
</sst>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30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0" fontId="28" fillId="0" borderId="101" xfId="0" applyFont="1" applyBorder="1" applyAlignment="1" applyProtection="1">
      <alignment horizontal="left"/>
      <protection locked="0"/>
    </xf>
    <xf numFmtId="0" fontId="28" fillId="0" borderId="102" xfId="0" applyFont="1" applyBorder="1" applyAlignment="1" applyProtection="1">
      <alignment horizontal="left"/>
      <protection locked="0"/>
    </xf>
    <xf numFmtId="3" fontId="29" fillId="0" borderId="101" xfId="0" applyNumberFormat="1" applyFont="1" applyBorder="1" applyAlignment="1" applyProtection="1">
      <alignment horizontal="center"/>
      <protection locked="0"/>
    </xf>
    <xf numFmtId="44" fontId="29" fillId="0" borderId="101" xfId="1" applyFont="1" applyFill="1" applyBorder="1" applyProtection="1">
      <protection locked="0"/>
    </xf>
    <xf numFmtId="44" fontId="29" fillId="0" borderId="101" xfId="1" applyFont="1" applyFill="1" applyBorder="1" applyProtection="1"/>
    <xf numFmtId="44" fontId="29" fillId="0" borderId="102" xfId="1" applyFont="1" applyFill="1" applyBorder="1" applyProtection="1"/>
    <xf numFmtId="3" fontId="29" fillId="0" borderId="101" xfId="0" applyNumberFormat="1" applyFont="1" applyBorder="1" applyAlignment="1">
      <alignment horizontal="center"/>
    </xf>
    <xf numFmtId="9" fontId="29" fillId="0" borderId="102" xfId="2" applyFont="1" applyBorder="1" applyProtection="1">
      <protection locked="0"/>
    </xf>
    <xf numFmtId="44" fontId="29" fillId="0" borderId="103" xfId="1" applyFont="1" applyFill="1" applyBorder="1" applyProtection="1"/>
    <xf numFmtId="10" fontId="29" fillId="0" borderId="103" xfId="2" applyNumberFormat="1" applyFont="1" applyBorder="1" applyProtection="1"/>
    <xf numFmtId="0" fontId="28" fillId="14" borderId="103" xfId="0" applyFont="1" applyFill="1" applyBorder="1" applyAlignment="1" applyProtection="1">
      <alignment horizontal="left"/>
      <protection locked="0"/>
    </xf>
    <xf numFmtId="0" fontId="28" fillId="14" borderId="104" xfId="0" applyFont="1" applyFill="1" applyBorder="1" applyAlignment="1" applyProtection="1">
      <alignment horizontal="left"/>
      <protection locked="0"/>
    </xf>
    <xf numFmtId="3" fontId="29" fillId="14" borderId="103" xfId="0" applyNumberFormat="1" applyFont="1" applyFill="1" applyBorder="1" applyAlignment="1" applyProtection="1">
      <alignment horizontal="center"/>
      <protection locked="0"/>
    </xf>
    <xf numFmtId="44" fontId="29" fillId="14" borderId="103" xfId="1" applyFont="1" applyFill="1" applyBorder="1" applyProtection="1">
      <protection locked="0"/>
    </xf>
    <xf numFmtId="44" fontId="29" fillId="15" borderId="101" xfId="1" applyFont="1" applyFill="1" applyBorder="1" applyProtection="1"/>
    <xf numFmtId="44" fontId="29" fillId="15" borderId="102" xfId="1" applyFont="1" applyFill="1" applyBorder="1" applyProtection="1"/>
    <xf numFmtId="3" fontId="29" fillId="15" borderId="101" xfId="0" applyNumberFormat="1" applyFont="1" applyFill="1" applyBorder="1" applyAlignment="1">
      <alignment horizontal="center"/>
    </xf>
    <xf numFmtId="9" fontId="29" fillId="14" borderId="104" xfId="2" applyFont="1" applyFill="1" applyBorder="1" applyProtection="1">
      <protection locked="0"/>
    </xf>
    <xf numFmtId="44" fontId="29" fillId="16" borderId="103" xfId="1" applyFont="1" applyFill="1" applyBorder="1" applyProtection="1"/>
    <xf numFmtId="10" fontId="29" fillId="15" borderId="103" xfId="2" applyNumberFormat="1" applyFont="1" applyFill="1" applyBorder="1" applyProtection="1"/>
    <xf numFmtId="0" fontId="28" fillId="0" borderId="104" xfId="0" applyFont="1" applyBorder="1" applyAlignment="1" applyProtection="1">
      <alignment horizontal="left"/>
      <protection locked="0"/>
    </xf>
    <xf numFmtId="9" fontId="29" fillId="0" borderId="104" xfId="2" applyFont="1" applyBorder="1" applyProtection="1">
      <protection locked="0"/>
    </xf>
    <xf numFmtId="0" fontId="28" fillId="14" borderId="101" xfId="0" applyFont="1" applyFill="1" applyBorder="1" applyAlignment="1" applyProtection="1">
      <alignment horizontal="left"/>
      <protection locked="0"/>
    </xf>
    <xf numFmtId="3" fontId="29" fillId="14" borderId="101" xfId="0" applyNumberFormat="1" applyFont="1" applyFill="1" applyBorder="1" applyAlignment="1" applyProtection="1">
      <alignment horizontal="center"/>
      <protection locked="0"/>
    </xf>
    <xf numFmtId="44" fontId="29" fillId="14" borderId="101" xfId="1" applyFont="1" applyFill="1" applyBorder="1" applyProtection="1">
      <protection locked="0"/>
    </xf>
    <xf numFmtId="44" fontId="28" fillId="0" borderId="101" xfId="1" applyFont="1" applyFill="1" applyBorder="1" applyProtection="1"/>
    <xf numFmtId="44" fontId="28" fillId="0" borderId="102" xfId="1" applyFont="1" applyFill="1" applyBorder="1" applyProtection="1"/>
    <xf numFmtId="3" fontId="28" fillId="0" borderId="101" xfId="0" applyNumberFormat="1" applyFont="1" applyBorder="1" applyAlignment="1">
      <alignment horizontal="center"/>
    </xf>
    <xf numFmtId="9" fontId="28" fillId="0" borderId="104" xfId="2" applyFont="1" applyBorder="1" applyProtection="1">
      <protection locked="0"/>
    </xf>
    <xf numFmtId="44" fontId="28" fillId="15" borderId="101" xfId="1" applyFont="1" applyFill="1" applyBorder="1" applyProtection="1"/>
    <xf numFmtId="44" fontId="28" fillId="15" borderId="102" xfId="1" applyFont="1" applyFill="1" applyBorder="1" applyProtection="1"/>
    <xf numFmtId="3" fontId="28" fillId="15" borderId="101" xfId="0" applyNumberFormat="1" applyFont="1" applyFill="1" applyBorder="1" applyAlignment="1">
      <alignment horizontal="center"/>
    </xf>
    <xf numFmtId="9" fontId="28" fillId="14" borderId="104" xfId="2" applyFont="1" applyFill="1" applyBorder="1" applyProtection="1">
      <protection locked="0"/>
    </xf>
    <xf numFmtId="11" fontId="28" fillId="14" borderId="103" xfId="0" applyNumberFormat="1" applyFont="1" applyFill="1" applyBorder="1" applyAlignment="1" applyProtection="1">
      <alignment horizontal="left"/>
      <protection locked="0"/>
    </xf>
  </cellXfs>
  <cellStyles count="3">
    <cellStyle name="Currency" xfId="1" builtinId="4"/>
    <cellStyle name="Normal" xfId="0" builtinId="0"/>
    <cellStyle name="Percent" xfId="2" builtinId="5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tabSelected="1" zoomScale="55" zoomScaleNormal="55" workbookViewId="0">
      <pane ySplit="18" topLeftCell="A41" activePane="bottomLeft" state="frozen"/>
      <selection pane="bottomLeft" activeCell="L55" sqref="L5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47085.42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32.85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47052.57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149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0.99930233180462236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32.85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32.85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s="231" t="s">
        <v>108</v>
      </c>
      <c r="C19" s="232" t="s">
        <v>109</v>
      </c>
      <c r="D19" s="87"/>
      <c r="E19" s="88"/>
      <c r="F19" s="233">
        <v>1</v>
      </c>
      <c r="G19" s="234">
        <v>39.29</v>
      </c>
      <c r="H19" s="235">
        <f>ROUND(IF($F$18="USD $", G19*$E$16,G19*$D$16),2)</f>
        <v>0</v>
      </c>
      <c r="I19" s="236">
        <f>ROUND(IF($H$18=$G$18,F19*H19,F19*G19),2)</f>
        <v>39.29</v>
      </c>
      <c r="J19" s="92"/>
      <c r="K19" s="237">
        <f t="shared" ref="K19:K55" si="0">F19</f>
        <v>1</v>
      </c>
      <c r="L19" s="235">
        <f>ROUND(IF($K$18=$F$18,G19*($L$15-N19),H19*($L$15-N19)),2)</f>
        <v>0</v>
      </c>
      <c r="M19" s="235">
        <f>ROUND((K19*L19),2)</f>
        <v>0</v>
      </c>
      <c r="N19" s="238"/>
      <c r="O19" s="93"/>
      <c r="P19" s="86"/>
      <c r="Q19" s="94"/>
      <c r="R19" s="94"/>
      <c r="S19" s="239">
        <f>IFERROR(ROUND(T19/F19,2),0)</f>
        <v>0</v>
      </c>
      <c r="T19" s="239">
        <f>ROUND(M19-R19,2)</f>
        <v>0</v>
      </c>
      <c r="U19" s="240">
        <f>IFERROR(((L19-(R19/K19))/(R19/K19)),0)</f>
        <v>0</v>
      </c>
      <c r="V19" s="240">
        <f>IFERROR(((L19-(R19/K19))/L19),0)</f>
        <v>0</v>
      </c>
      <c r="W19" s="96"/>
      <c r="X19" s="97"/>
      <c r="Y19" s="8"/>
      <c r="Z19" s="8"/>
    </row>
    <row r="20" spans="2:26">
      <c r="B20" s="241"/>
      <c r="C20" s="242"/>
      <c r="D20" s="87"/>
      <c r="E20" s="100"/>
      <c r="F20" s="243"/>
      <c r="G20" s="244"/>
      <c r="H20" s="245">
        <f t="shared" ref="H20:H55" si="1">ROUND(IF($F$18="USD $", G20*$E$16,G20*$D$16),2)</f>
        <v>0</v>
      </c>
      <c r="I20" s="246">
        <f t="shared" ref="I20:I55" si="2">ROUND(IF($H$18=$G$18,F20*H20,F20*G20),2)</f>
        <v>0</v>
      </c>
      <c r="J20" s="105"/>
      <c r="K20" s="247">
        <f t="shared" si="0"/>
        <v>0</v>
      </c>
      <c r="L20" s="245">
        <f t="shared" ref="L20:L55" si="3">ROUND(IF($K$18=$F$18,G20*($L$15-N20),H20*($L$15-N20)),2)</f>
        <v>0</v>
      </c>
      <c r="M20" s="245">
        <f t="shared" ref="M20:M55" si="4">ROUND((K20*L20),2)</f>
        <v>0</v>
      </c>
      <c r="N20" s="248"/>
      <c r="O20" s="93"/>
      <c r="P20" s="98"/>
      <c r="Q20" s="102"/>
      <c r="R20" s="108"/>
      <c r="S20" s="249">
        <f t="shared" ref="S20:S55" si="5">IFERROR(ROUND(T20/F20,2),0)</f>
        <v>0</v>
      </c>
      <c r="T20" s="249">
        <f t="shared" ref="T20:T55" si="6">ROUND(M20-R20,2)</f>
        <v>0</v>
      </c>
      <c r="U20" s="250">
        <f t="shared" ref="U20:U55" si="7">IFERROR(((L20-(R20/K20))/(R20/K20)),0)</f>
        <v>0</v>
      </c>
      <c r="V20" s="250">
        <f t="shared" ref="V20:V55" si="8">IFERROR(((L20-(R20/K20))/L20),0)</f>
        <v>0</v>
      </c>
      <c r="W20" s="111"/>
      <c r="X20" s="97"/>
      <c r="Y20" s="8"/>
      <c r="Z20" s="8"/>
    </row>
    <row r="21" spans="2:26">
      <c r="B21" s="231" t="s">
        <v>110</v>
      </c>
      <c r="C21" s="251" t="s">
        <v>111</v>
      </c>
      <c r="D21" s="87"/>
      <c r="E21" s="88"/>
      <c r="F21" s="233">
        <v>1</v>
      </c>
      <c r="G21" s="234">
        <v>54.32</v>
      </c>
      <c r="H21" s="235">
        <f t="shared" si="1"/>
        <v>0</v>
      </c>
      <c r="I21" s="236">
        <f t="shared" si="2"/>
        <v>54.32</v>
      </c>
      <c r="J21" s="105"/>
      <c r="K21" s="237">
        <f t="shared" si="0"/>
        <v>1</v>
      </c>
      <c r="L21" s="235">
        <f t="shared" si="3"/>
        <v>0</v>
      </c>
      <c r="M21" s="235">
        <f t="shared" si="4"/>
        <v>0</v>
      </c>
      <c r="N21" s="252"/>
      <c r="O21" s="93"/>
      <c r="P21" s="115"/>
      <c r="Q21" s="94"/>
      <c r="R21" s="94"/>
      <c r="S21" s="239">
        <f t="shared" si="5"/>
        <v>0</v>
      </c>
      <c r="T21" s="239">
        <f t="shared" si="6"/>
        <v>0</v>
      </c>
      <c r="U21" s="240">
        <f t="shared" si="7"/>
        <v>0</v>
      </c>
      <c r="V21" s="240">
        <f t="shared" si="8"/>
        <v>0</v>
      </c>
      <c r="W21" s="96"/>
      <c r="X21" s="97"/>
      <c r="Y21" s="8"/>
      <c r="Z21" s="8"/>
    </row>
    <row r="22" spans="2:26" ht="15.75" customHeight="1">
      <c r="B22" s="241" t="s">
        <v>112</v>
      </c>
      <c r="C22" s="242" t="s">
        <v>113</v>
      </c>
      <c r="D22" s="87"/>
      <c r="E22" s="100"/>
      <c r="F22" s="243">
        <v>1</v>
      </c>
      <c r="G22" s="244">
        <v>91.09</v>
      </c>
      <c r="H22" s="245">
        <f t="shared" si="1"/>
        <v>0</v>
      </c>
      <c r="I22" s="246">
        <f t="shared" si="2"/>
        <v>91.09</v>
      </c>
      <c r="J22" s="105"/>
      <c r="K22" s="247">
        <f t="shared" si="0"/>
        <v>1</v>
      </c>
      <c r="L22" s="245">
        <f t="shared" si="3"/>
        <v>0</v>
      </c>
      <c r="M22" s="245">
        <f t="shared" si="4"/>
        <v>0</v>
      </c>
      <c r="N22" s="248"/>
      <c r="O22" s="93"/>
      <c r="P22" s="98"/>
      <c r="Q22" s="102"/>
      <c r="R22" s="108"/>
      <c r="S22" s="249">
        <f t="shared" si="5"/>
        <v>0</v>
      </c>
      <c r="T22" s="249">
        <f t="shared" si="6"/>
        <v>0</v>
      </c>
      <c r="U22" s="250">
        <f t="shared" si="7"/>
        <v>0</v>
      </c>
      <c r="V22" s="250">
        <f t="shared" si="8"/>
        <v>0</v>
      </c>
      <c r="W22" s="111"/>
      <c r="X22" s="97"/>
      <c r="Y22" s="8"/>
      <c r="Z22" s="8"/>
    </row>
    <row r="23" spans="2:26" ht="15.75" customHeight="1">
      <c r="B23" s="231" t="s">
        <v>114</v>
      </c>
      <c r="C23" s="251" t="s">
        <v>115</v>
      </c>
      <c r="D23" s="87"/>
      <c r="E23" s="88"/>
      <c r="F23" s="233">
        <v>1</v>
      </c>
      <c r="G23" s="234">
        <v>97.59</v>
      </c>
      <c r="H23" s="235">
        <f t="shared" si="1"/>
        <v>0</v>
      </c>
      <c r="I23" s="236">
        <f t="shared" si="2"/>
        <v>97.59</v>
      </c>
      <c r="J23" s="105"/>
      <c r="K23" s="237">
        <f t="shared" si="0"/>
        <v>1</v>
      </c>
      <c r="L23" s="235">
        <f t="shared" si="3"/>
        <v>0</v>
      </c>
      <c r="M23" s="235">
        <f t="shared" si="4"/>
        <v>0</v>
      </c>
      <c r="N23" s="252"/>
      <c r="O23" s="93"/>
      <c r="P23" s="115"/>
      <c r="Q23" s="94"/>
      <c r="R23" s="94"/>
      <c r="S23" s="239">
        <f t="shared" si="5"/>
        <v>0</v>
      </c>
      <c r="T23" s="239">
        <f t="shared" si="6"/>
        <v>0</v>
      </c>
      <c r="U23" s="240">
        <f t="shared" si="7"/>
        <v>0</v>
      </c>
      <c r="V23" s="240">
        <f t="shared" si="8"/>
        <v>0</v>
      </c>
      <c r="W23" s="96"/>
      <c r="X23" s="97"/>
      <c r="Y23" s="8"/>
      <c r="Z23" s="8"/>
    </row>
    <row r="24" spans="2:26" ht="15.75" customHeight="1">
      <c r="B24" s="241" t="s">
        <v>116</v>
      </c>
      <c r="C24" s="242" t="s">
        <v>117</v>
      </c>
      <c r="D24" s="87"/>
      <c r="E24" s="100"/>
      <c r="F24" s="243">
        <v>1</v>
      </c>
      <c r="G24" s="244">
        <v>96.93</v>
      </c>
      <c r="H24" s="245">
        <f t="shared" si="1"/>
        <v>0</v>
      </c>
      <c r="I24" s="246">
        <f t="shared" si="2"/>
        <v>96.93</v>
      </c>
      <c r="J24" s="105"/>
      <c r="K24" s="247">
        <f t="shared" si="0"/>
        <v>1</v>
      </c>
      <c r="L24" s="245">
        <f t="shared" si="3"/>
        <v>14.54</v>
      </c>
      <c r="M24" s="245">
        <f t="shared" si="4"/>
        <v>14.54</v>
      </c>
      <c r="N24" s="248">
        <v>-0.15</v>
      </c>
      <c r="O24" s="93"/>
      <c r="P24" s="98"/>
      <c r="Q24" s="102"/>
      <c r="R24" s="108"/>
      <c r="S24" s="249">
        <f t="shared" si="5"/>
        <v>14.54</v>
      </c>
      <c r="T24" s="249">
        <f t="shared" si="6"/>
        <v>14.54</v>
      </c>
      <c r="U24" s="250">
        <f t="shared" si="7"/>
        <v>0</v>
      </c>
      <c r="V24" s="250">
        <f t="shared" si="8"/>
        <v>1</v>
      </c>
      <c r="W24" s="111"/>
      <c r="X24" s="97"/>
      <c r="Y24" s="8"/>
      <c r="Z24" s="8"/>
    </row>
    <row r="25" spans="2:26" ht="15.75" customHeight="1">
      <c r="B25" s="231" t="s">
        <v>118</v>
      </c>
      <c r="C25" s="251" t="s">
        <v>119</v>
      </c>
      <c r="D25" s="87"/>
      <c r="E25" s="88"/>
      <c r="F25" s="233">
        <v>1</v>
      </c>
      <c r="G25" s="234">
        <v>69.06</v>
      </c>
      <c r="H25" s="235">
        <f t="shared" si="1"/>
        <v>0</v>
      </c>
      <c r="I25" s="236">
        <f t="shared" si="2"/>
        <v>69.06</v>
      </c>
      <c r="J25" s="105"/>
      <c r="K25" s="237">
        <f t="shared" si="0"/>
        <v>1</v>
      </c>
      <c r="L25" s="235">
        <f t="shared" si="3"/>
        <v>10.36</v>
      </c>
      <c r="M25" s="235">
        <f t="shared" si="4"/>
        <v>10.36</v>
      </c>
      <c r="N25" s="252">
        <v>-0.15</v>
      </c>
      <c r="O25" s="93"/>
      <c r="P25" s="115"/>
      <c r="Q25" s="94"/>
      <c r="R25" s="94"/>
      <c r="S25" s="239">
        <f t="shared" si="5"/>
        <v>10.36</v>
      </c>
      <c r="T25" s="239">
        <f t="shared" si="6"/>
        <v>10.36</v>
      </c>
      <c r="U25" s="240">
        <f t="shared" si="7"/>
        <v>0</v>
      </c>
      <c r="V25" s="240">
        <f t="shared" si="8"/>
        <v>1</v>
      </c>
      <c r="W25" s="96"/>
      <c r="X25" s="97"/>
      <c r="Y25" s="8"/>
      <c r="Z25" s="8"/>
    </row>
    <row r="26" spans="2:26" ht="15.75" customHeight="1">
      <c r="B26" s="241" t="s">
        <v>120</v>
      </c>
      <c r="C26" s="242" t="s">
        <v>121</v>
      </c>
      <c r="D26" s="87"/>
      <c r="E26" s="100"/>
      <c r="F26" s="243">
        <v>1</v>
      </c>
      <c r="G26" s="244">
        <v>53.02</v>
      </c>
      <c r="H26" s="245">
        <f t="shared" si="1"/>
        <v>0</v>
      </c>
      <c r="I26" s="246">
        <f t="shared" si="2"/>
        <v>53.02</v>
      </c>
      <c r="J26" s="105"/>
      <c r="K26" s="247">
        <f t="shared" si="0"/>
        <v>1</v>
      </c>
      <c r="L26" s="245">
        <f t="shared" si="3"/>
        <v>7.95</v>
      </c>
      <c r="M26" s="245">
        <f t="shared" si="4"/>
        <v>7.95</v>
      </c>
      <c r="N26" s="248">
        <v>-0.15</v>
      </c>
      <c r="O26" s="93"/>
      <c r="P26" s="98"/>
      <c r="Q26" s="102"/>
      <c r="R26" s="108"/>
      <c r="S26" s="249">
        <f t="shared" si="5"/>
        <v>7.95</v>
      </c>
      <c r="T26" s="249">
        <f t="shared" si="6"/>
        <v>7.95</v>
      </c>
      <c r="U26" s="250">
        <f t="shared" si="7"/>
        <v>0</v>
      </c>
      <c r="V26" s="250">
        <f t="shared" si="8"/>
        <v>1</v>
      </c>
      <c r="W26" s="111"/>
      <c r="X26" s="97"/>
      <c r="Y26" s="8"/>
      <c r="Z26" s="8"/>
    </row>
    <row r="27" spans="2:26" ht="15.75" customHeight="1">
      <c r="B27" s="231" t="s">
        <v>122</v>
      </c>
      <c r="C27" s="251" t="s">
        <v>123</v>
      </c>
      <c r="D27" s="87"/>
      <c r="E27" s="88"/>
      <c r="F27" s="233">
        <v>1</v>
      </c>
      <c r="G27" s="234">
        <v>393.04</v>
      </c>
      <c r="H27" s="235">
        <f t="shared" si="1"/>
        <v>0</v>
      </c>
      <c r="I27" s="236">
        <f t="shared" si="2"/>
        <v>393.04</v>
      </c>
      <c r="J27" s="105"/>
      <c r="K27" s="237">
        <f t="shared" si="0"/>
        <v>1</v>
      </c>
      <c r="L27" s="235">
        <f t="shared" si="3"/>
        <v>0</v>
      </c>
      <c r="M27" s="235">
        <f t="shared" si="4"/>
        <v>0</v>
      </c>
      <c r="N27" s="252"/>
      <c r="O27" s="93"/>
      <c r="P27" s="115"/>
      <c r="Q27" s="94"/>
      <c r="R27" s="94"/>
      <c r="S27" s="239">
        <f t="shared" si="5"/>
        <v>0</v>
      </c>
      <c r="T27" s="239">
        <f t="shared" si="6"/>
        <v>0</v>
      </c>
      <c r="U27" s="240">
        <f t="shared" si="7"/>
        <v>0</v>
      </c>
      <c r="V27" s="240">
        <f t="shared" si="8"/>
        <v>0</v>
      </c>
      <c r="W27" s="96"/>
      <c r="X27" s="97"/>
      <c r="Y27" s="8"/>
      <c r="Z27" s="8"/>
    </row>
    <row r="28" spans="2:26" ht="15.75" customHeight="1">
      <c r="B28" s="241"/>
      <c r="C28" s="242"/>
      <c r="D28" s="87"/>
      <c r="E28" s="100"/>
      <c r="F28" s="243"/>
      <c r="G28" s="244"/>
      <c r="H28" s="245">
        <f t="shared" si="1"/>
        <v>0</v>
      </c>
      <c r="I28" s="246">
        <f t="shared" si="2"/>
        <v>0</v>
      </c>
      <c r="J28" s="105"/>
      <c r="K28" s="247">
        <f t="shared" si="0"/>
        <v>0</v>
      </c>
      <c r="L28" s="245">
        <f t="shared" si="3"/>
        <v>0</v>
      </c>
      <c r="M28" s="245">
        <f t="shared" si="4"/>
        <v>0</v>
      </c>
      <c r="N28" s="248"/>
      <c r="O28" s="93"/>
      <c r="P28" s="98"/>
      <c r="Q28" s="102"/>
      <c r="R28" s="108"/>
      <c r="S28" s="249">
        <f t="shared" si="5"/>
        <v>0</v>
      </c>
      <c r="T28" s="249">
        <f t="shared" si="6"/>
        <v>0</v>
      </c>
      <c r="U28" s="250">
        <f t="shared" si="7"/>
        <v>0</v>
      </c>
      <c r="V28" s="250">
        <f t="shared" si="8"/>
        <v>0</v>
      </c>
      <c r="W28" s="111"/>
      <c r="X28" s="97"/>
      <c r="Y28" s="8"/>
      <c r="Z28" s="116"/>
    </row>
    <row r="29" spans="2:26" ht="15.75" customHeight="1">
      <c r="B29" s="231" t="s">
        <v>124</v>
      </c>
      <c r="C29" s="251" t="s">
        <v>125</v>
      </c>
      <c r="D29" s="87"/>
      <c r="E29" s="88"/>
      <c r="F29" s="233">
        <v>1</v>
      </c>
      <c r="G29" s="234">
        <v>3218.95</v>
      </c>
      <c r="H29" s="235">
        <f t="shared" si="1"/>
        <v>0</v>
      </c>
      <c r="I29" s="236">
        <f t="shared" si="2"/>
        <v>3218.95</v>
      </c>
      <c r="J29" s="105"/>
      <c r="K29" s="237">
        <f t="shared" si="0"/>
        <v>1</v>
      </c>
      <c r="L29" s="235">
        <f t="shared" si="3"/>
        <v>0</v>
      </c>
      <c r="M29" s="235">
        <f t="shared" si="4"/>
        <v>0</v>
      </c>
      <c r="N29" s="252"/>
      <c r="O29" s="93"/>
      <c r="P29" s="115"/>
      <c r="Q29" s="94"/>
      <c r="R29" s="94"/>
      <c r="S29" s="239">
        <f t="shared" si="5"/>
        <v>0</v>
      </c>
      <c r="T29" s="239">
        <f t="shared" si="6"/>
        <v>0</v>
      </c>
      <c r="U29" s="240">
        <f t="shared" si="7"/>
        <v>0</v>
      </c>
      <c r="V29" s="240">
        <f t="shared" si="8"/>
        <v>0</v>
      </c>
      <c r="W29" s="96"/>
      <c r="X29" s="97"/>
      <c r="Y29" s="8"/>
      <c r="Z29" s="8"/>
    </row>
    <row r="30" spans="2:26" ht="15.75" customHeight="1">
      <c r="B30" s="241" t="s">
        <v>126</v>
      </c>
      <c r="C30" s="242" t="s">
        <v>127</v>
      </c>
      <c r="D30" s="87"/>
      <c r="E30" s="100"/>
      <c r="F30" s="243">
        <v>1</v>
      </c>
      <c r="G30" s="244">
        <v>683.73</v>
      </c>
      <c r="H30" s="245">
        <f>ROUND(IF($F$18="USD $", G30*$E$16,G30*$D$16),2)</f>
        <v>0</v>
      </c>
      <c r="I30" s="246">
        <f>ROUND(IF($H$18=$G$18,F30*H30,F30*G30),2)</f>
        <v>683.73</v>
      </c>
      <c r="J30" s="105"/>
      <c r="K30" s="247">
        <f t="shared" si="0"/>
        <v>1</v>
      </c>
      <c r="L30" s="245">
        <f t="shared" si="3"/>
        <v>0</v>
      </c>
      <c r="M30" s="245">
        <f>ROUND((K30*L30),2)</f>
        <v>0</v>
      </c>
      <c r="N30" s="248"/>
      <c r="O30" s="93"/>
      <c r="P30" s="98"/>
      <c r="Q30" s="102"/>
      <c r="R30" s="108"/>
      <c r="S30" s="249">
        <f t="shared" si="5"/>
        <v>0</v>
      </c>
      <c r="T30" s="249">
        <f t="shared" si="6"/>
        <v>0</v>
      </c>
      <c r="U30" s="250">
        <f t="shared" si="7"/>
        <v>0</v>
      </c>
      <c r="V30" s="250">
        <f t="shared" si="8"/>
        <v>0</v>
      </c>
      <c r="W30" s="111"/>
      <c r="X30" s="97"/>
      <c r="Y30" s="8"/>
      <c r="Z30" s="8"/>
    </row>
    <row r="31" spans="2:26" ht="15.75" customHeight="1">
      <c r="B31" s="231" t="s">
        <v>128</v>
      </c>
      <c r="C31" s="251" t="s">
        <v>129</v>
      </c>
      <c r="D31" s="87"/>
      <c r="E31" s="88"/>
      <c r="F31" s="233">
        <v>1</v>
      </c>
      <c r="G31" s="234">
        <v>4095.31</v>
      </c>
      <c r="H31" s="235">
        <f t="shared" si="1"/>
        <v>0</v>
      </c>
      <c r="I31" s="236">
        <f t="shared" si="2"/>
        <v>4095.31</v>
      </c>
      <c r="J31" s="105"/>
      <c r="K31" s="237">
        <f t="shared" si="0"/>
        <v>1</v>
      </c>
      <c r="L31" s="235">
        <f t="shared" si="3"/>
        <v>0</v>
      </c>
      <c r="M31" s="235">
        <f t="shared" si="4"/>
        <v>0</v>
      </c>
      <c r="N31" s="252"/>
      <c r="O31" s="93"/>
      <c r="P31" s="115"/>
      <c r="Q31" s="94"/>
      <c r="R31" s="94"/>
      <c r="S31" s="239">
        <f t="shared" si="5"/>
        <v>0</v>
      </c>
      <c r="T31" s="239">
        <f t="shared" si="6"/>
        <v>0</v>
      </c>
      <c r="U31" s="240">
        <f t="shared" si="7"/>
        <v>0</v>
      </c>
      <c r="V31" s="240">
        <f t="shared" si="8"/>
        <v>0</v>
      </c>
      <c r="W31" s="96"/>
      <c r="X31" s="97"/>
      <c r="Y31" s="8"/>
      <c r="Z31" s="8"/>
    </row>
    <row r="32" spans="2:26" ht="15.75" customHeight="1">
      <c r="B32" s="241" t="s">
        <v>130</v>
      </c>
      <c r="C32" s="242" t="s">
        <v>131</v>
      </c>
      <c r="D32" s="87"/>
      <c r="E32" s="100"/>
      <c r="F32" s="243">
        <v>1</v>
      </c>
      <c r="G32" s="244">
        <v>7145.19</v>
      </c>
      <c r="H32" s="245">
        <f t="shared" si="1"/>
        <v>0</v>
      </c>
      <c r="I32" s="246">
        <f t="shared" si="2"/>
        <v>7145.19</v>
      </c>
      <c r="J32" s="105"/>
      <c r="K32" s="247">
        <f t="shared" si="0"/>
        <v>1</v>
      </c>
      <c r="L32" s="245">
        <f t="shared" si="3"/>
        <v>0</v>
      </c>
      <c r="M32" s="245">
        <f t="shared" si="4"/>
        <v>0</v>
      </c>
      <c r="N32" s="248"/>
      <c r="O32" s="93"/>
      <c r="P32" s="98"/>
      <c r="Q32" s="102"/>
      <c r="R32" s="108"/>
      <c r="S32" s="249">
        <f t="shared" si="5"/>
        <v>0</v>
      </c>
      <c r="T32" s="249">
        <f t="shared" si="6"/>
        <v>0</v>
      </c>
      <c r="U32" s="250">
        <f t="shared" si="7"/>
        <v>0</v>
      </c>
      <c r="V32" s="250">
        <f t="shared" si="8"/>
        <v>0</v>
      </c>
      <c r="W32" s="111"/>
      <c r="X32" s="97"/>
      <c r="Y32" s="8"/>
      <c r="Z32" s="8"/>
    </row>
    <row r="33" spans="2:23" ht="15.75" customHeight="1">
      <c r="B33" s="231" t="s">
        <v>132</v>
      </c>
      <c r="C33" s="251" t="s">
        <v>133</v>
      </c>
      <c r="D33" s="87"/>
      <c r="E33" s="88"/>
      <c r="F33" s="233">
        <v>1</v>
      </c>
      <c r="G33" s="234">
        <v>5234.93</v>
      </c>
      <c r="H33" s="235">
        <f t="shared" si="1"/>
        <v>0</v>
      </c>
      <c r="I33" s="236">
        <f t="shared" si="2"/>
        <v>5234.93</v>
      </c>
      <c r="J33" s="105"/>
      <c r="K33" s="237">
        <f t="shared" si="0"/>
        <v>1</v>
      </c>
      <c r="L33" s="235">
        <f t="shared" si="3"/>
        <v>0</v>
      </c>
      <c r="M33" s="235">
        <f t="shared" si="4"/>
        <v>0</v>
      </c>
      <c r="N33" s="252"/>
      <c r="O33" s="93"/>
      <c r="P33" s="115"/>
      <c r="Q33" s="94"/>
      <c r="R33" s="94"/>
      <c r="S33" s="239">
        <f t="shared" si="5"/>
        <v>0</v>
      </c>
      <c r="T33" s="239">
        <f t="shared" si="6"/>
        <v>0</v>
      </c>
      <c r="U33" s="240">
        <f t="shared" si="7"/>
        <v>0</v>
      </c>
      <c r="V33" s="240">
        <f t="shared" si="8"/>
        <v>0</v>
      </c>
      <c r="W33" s="96"/>
    </row>
    <row r="34" spans="2:23" ht="15.75" customHeight="1">
      <c r="B34" s="241" t="s">
        <v>134</v>
      </c>
      <c r="C34" s="242" t="s">
        <v>135</v>
      </c>
      <c r="D34" s="87"/>
      <c r="E34" s="100"/>
      <c r="F34" s="243">
        <v>4</v>
      </c>
      <c r="G34" s="244">
        <v>762.74</v>
      </c>
      <c r="H34" s="245">
        <f t="shared" si="1"/>
        <v>0</v>
      </c>
      <c r="I34" s="246">
        <f t="shared" si="2"/>
        <v>3050.96</v>
      </c>
      <c r="J34" s="105"/>
      <c r="K34" s="247">
        <f t="shared" si="0"/>
        <v>4</v>
      </c>
      <c r="L34" s="245">
        <f t="shared" si="3"/>
        <v>0</v>
      </c>
      <c r="M34" s="245">
        <f t="shared" si="4"/>
        <v>0</v>
      </c>
      <c r="N34" s="248"/>
      <c r="O34" s="93"/>
      <c r="P34" s="98"/>
      <c r="Q34" s="102"/>
      <c r="R34" s="108"/>
      <c r="S34" s="249">
        <f t="shared" si="5"/>
        <v>0</v>
      </c>
      <c r="T34" s="249">
        <f t="shared" si="6"/>
        <v>0</v>
      </c>
      <c r="U34" s="250">
        <f t="shared" si="7"/>
        <v>0</v>
      </c>
      <c r="V34" s="250">
        <f t="shared" si="8"/>
        <v>0</v>
      </c>
      <c r="W34" s="111"/>
    </row>
    <row r="35" spans="2:23" ht="15.75" customHeight="1">
      <c r="B35" s="253"/>
      <c r="C35" s="242"/>
      <c r="D35" s="87"/>
      <c r="E35" s="88"/>
      <c r="F35" s="254"/>
      <c r="G35" s="255"/>
      <c r="H35" s="245"/>
      <c r="I35" s="246"/>
      <c r="J35" s="105"/>
      <c r="K35" s="247"/>
      <c r="L35" s="245"/>
      <c r="M35" s="245"/>
      <c r="N35" s="248"/>
      <c r="O35" s="93"/>
      <c r="P35" s="115"/>
      <c r="Q35" s="94"/>
      <c r="R35" s="94"/>
      <c r="S35" s="249"/>
      <c r="T35" s="249"/>
      <c r="U35" s="250"/>
      <c r="V35" s="250"/>
      <c r="W35" s="96"/>
    </row>
    <row r="36" spans="2:23" ht="15.75" customHeight="1">
      <c r="B36" s="231" t="s">
        <v>136</v>
      </c>
      <c r="C36" s="251" t="s">
        <v>137</v>
      </c>
      <c r="D36" s="87"/>
      <c r="E36" s="100"/>
      <c r="F36" s="233">
        <v>1</v>
      </c>
      <c r="G36" s="234">
        <v>2974.06</v>
      </c>
      <c r="H36" s="235">
        <f t="shared" si="1"/>
        <v>0</v>
      </c>
      <c r="I36" s="236">
        <f t="shared" si="2"/>
        <v>2974.06</v>
      </c>
      <c r="J36" s="105"/>
      <c r="K36" s="237">
        <f t="shared" si="0"/>
        <v>1</v>
      </c>
      <c r="L36" s="235">
        <f t="shared" si="3"/>
        <v>0</v>
      </c>
      <c r="M36" s="235">
        <f t="shared" si="4"/>
        <v>0</v>
      </c>
      <c r="N36" s="252"/>
      <c r="O36" s="93"/>
      <c r="P36" s="98"/>
      <c r="Q36" s="102"/>
      <c r="R36" s="108"/>
      <c r="S36" s="239">
        <f t="shared" si="5"/>
        <v>0</v>
      </c>
      <c r="T36" s="239">
        <f t="shared" si="6"/>
        <v>0</v>
      </c>
      <c r="U36" s="240">
        <f t="shared" si="7"/>
        <v>0</v>
      </c>
      <c r="V36" s="240">
        <f t="shared" si="8"/>
        <v>0</v>
      </c>
      <c r="W36" s="111"/>
    </row>
    <row r="37" spans="2:23" ht="15.75" customHeight="1">
      <c r="B37" s="241" t="s">
        <v>138</v>
      </c>
      <c r="C37" s="242" t="s">
        <v>139</v>
      </c>
      <c r="D37" s="87"/>
      <c r="E37" s="88"/>
      <c r="F37" s="243">
        <v>2</v>
      </c>
      <c r="G37" s="244">
        <v>2349.52</v>
      </c>
      <c r="H37" s="245">
        <f t="shared" si="1"/>
        <v>0</v>
      </c>
      <c r="I37" s="246">
        <f t="shared" si="2"/>
        <v>4699.04</v>
      </c>
      <c r="J37" s="105"/>
      <c r="K37" s="247">
        <f t="shared" si="0"/>
        <v>2</v>
      </c>
      <c r="L37" s="245">
        <f t="shared" si="3"/>
        <v>0</v>
      </c>
      <c r="M37" s="245">
        <f t="shared" si="4"/>
        <v>0</v>
      </c>
      <c r="N37" s="248"/>
      <c r="O37" s="93"/>
      <c r="P37" s="115"/>
      <c r="Q37" s="94"/>
      <c r="R37" s="94"/>
      <c r="S37" s="249">
        <f t="shared" si="5"/>
        <v>0</v>
      </c>
      <c r="T37" s="249">
        <f t="shared" si="6"/>
        <v>0</v>
      </c>
      <c r="U37" s="250">
        <f t="shared" si="7"/>
        <v>0</v>
      </c>
      <c r="V37" s="250">
        <f t="shared" si="8"/>
        <v>0</v>
      </c>
      <c r="W37" s="96"/>
    </row>
    <row r="38" spans="2:23" ht="15.75" customHeight="1">
      <c r="B38" s="231"/>
      <c r="C38" s="251"/>
      <c r="D38" s="87"/>
      <c r="E38" s="100"/>
      <c r="F38" s="233"/>
      <c r="G38" s="234"/>
      <c r="H38" s="235">
        <f t="shared" si="1"/>
        <v>0</v>
      </c>
      <c r="I38" s="236">
        <f t="shared" si="2"/>
        <v>0</v>
      </c>
      <c r="J38" s="105"/>
      <c r="K38" s="237">
        <f t="shared" si="0"/>
        <v>0</v>
      </c>
      <c r="L38" s="235">
        <f t="shared" si="3"/>
        <v>0</v>
      </c>
      <c r="M38" s="235">
        <f t="shared" si="4"/>
        <v>0</v>
      </c>
      <c r="N38" s="252"/>
      <c r="O38" s="93"/>
      <c r="P38" s="98"/>
      <c r="Q38" s="102"/>
      <c r="R38" s="108"/>
      <c r="S38" s="239">
        <f t="shared" si="5"/>
        <v>0</v>
      </c>
      <c r="T38" s="239">
        <f t="shared" si="6"/>
        <v>0</v>
      </c>
      <c r="U38" s="240">
        <f t="shared" si="7"/>
        <v>0</v>
      </c>
      <c r="V38" s="240">
        <f t="shared" si="8"/>
        <v>0</v>
      </c>
      <c r="W38" s="111"/>
    </row>
    <row r="39" spans="2:23" ht="15.75" customHeight="1">
      <c r="B39" s="241" t="s">
        <v>140</v>
      </c>
      <c r="C39" s="242" t="s">
        <v>141</v>
      </c>
      <c r="D39" s="87"/>
      <c r="E39" s="88"/>
      <c r="F39" s="243">
        <v>1</v>
      </c>
      <c r="G39" s="244">
        <v>8021.65</v>
      </c>
      <c r="H39" s="245">
        <f t="shared" si="1"/>
        <v>0</v>
      </c>
      <c r="I39" s="246">
        <f t="shared" si="2"/>
        <v>8021.65</v>
      </c>
      <c r="J39" s="105"/>
      <c r="K39" s="247">
        <f t="shared" si="0"/>
        <v>1</v>
      </c>
      <c r="L39" s="245">
        <f t="shared" si="3"/>
        <v>0</v>
      </c>
      <c r="M39" s="245">
        <f t="shared" si="4"/>
        <v>0</v>
      </c>
      <c r="N39" s="248"/>
      <c r="O39" s="93"/>
      <c r="P39" s="115"/>
      <c r="Q39" s="94"/>
      <c r="R39" s="94"/>
      <c r="S39" s="249">
        <f t="shared" si="5"/>
        <v>0</v>
      </c>
      <c r="T39" s="249">
        <f t="shared" si="6"/>
        <v>0</v>
      </c>
      <c r="U39" s="250">
        <f t="shared" si="7"/>
        <v>0</v>
      </c>
      <c r="V39" s="250">
        <f t="shared" si="8"/>
        <v>0</v>
      </c>
      <c r="W39" s="111"/>
    </row>
    <row r="40" spans="2:23" ht="15.75" customHeight="1">
      <c r="B40" s="231"/>
      <c r="C40" s="251"/>
      <c r="D40" s="87"/>
      <c r="E40" s="100"/>
      <c r="F40" s="233"/>
      <c r="G40" s="234"/>
      <c r="H40" s="256">
        <f t="shared" si="1"/>
        <v>0</v>
      </c>
      <c r="I40" s="257">
        <f t="shared" si="2"/>
        <v>0</v>
      </c>
      <c r="J40" s="105"/>
      <c r="K40" s="258">
        <f t="shared" si="0"/>
        <v>0</v>
      </c>
      <c r="L40" s="256">
        <f t="shared" si="3"/>
        <v>0</v>
      </c>
      <c r="M40" s="256">
        <f t="shared" si="4"/>
        <v>0</v>
      </c>
      <c r="N40" s="259"/>
      <c r="O40" s="93"/>
      <c r="P40" s="98"/>
      <c r="Q40" s="102"/>
      <c r="R40" s="108"/>
      <c r="S40" s="239">
        <f t="shared" si="5"/>
        <v>0</v>
      </c>
      <c r="T40" s="239">
        <f t="shared" si="6"/>
        <v>0</v>
      </c>
      <c r="U40" s="240">
        <f t="shared" si="7"/>
        <v>0</v>
      </c>
      <c r="V40" s="240">
        <f t="shared" si="8"/>
        <v>0</v>
      </c>
      <c r="W40" s="111"/>
    </row>
    <row r="41" spans="2:23" ht="15.75" customHeight="1">
      <c r="B41" s="241"/>
      <c r="C41" s="242"/>
      <c r="D41" s="226"/>
      <c r="E41" s="100"/>
      <c r="F41" s="243"/>
      <c r="G41" s="244"/>
      <c r="H41" s="260">
        <f t="shared" si="1"/>
        <v>0</v>
      </c>
      <c r="I41" s="261">
        <f t="shared" si="2"/>
        <v>0</v>
      </c>
      <c r="J41" s="228"/>
      <c r="K41" s="262">
        <f t="shared" si="0"/>
        <v>0</v>
      </c>
      <c r="L41" s="260">
        <f t="shared" si="3"/>
        <v>0</v>
      </c>
      <c r="M41" s="260">
        <f t="shared" si="4"/>
        <v>0</v>
      </c>
      <c r="N41" s="263"/>
      <c r="O41" s="229"/>
      <c r="P41" s="98"/>
      <c r="Q41" s="102"/>
      <c r="R41" s="108"/>
      <c r="S41" s="249">
        <f t="shared" si="5"/>
        <v>0</v>
      </c>
      <c r="T41" s="249">
        <f t="shared" si="6"/>
        <v>0</v>
      </c>
      <c r="U41" s="250">
        <f t="shared" si="7"/>
        <v>0</v>
      </c>
      <c r="V41" s="250">
        <f t="shared" si="8"/>
        <v>0</v>
      </c>
      <c r="W41" s="230"/>
    </row>
    <row r="42" spans="2:23" ht="15.75" customHeight="1">
      <c r="B42" s="264"/>
      <c r="C42" s="242"/>
      <c r="D42" s="226"/>
      <c r="E42" s="100"/>
      <c r="F42" s="233"/>
      <c r="G42" s="234"/>
      <c r="H42" s="256">
        <f t="shared" si="1"/>
        <v>0</v>
      </c>
      <c r="I42" s="257">
        <f t="shared" si="2"/>
        <v>0</v>
      </c>
      <c r="J42" s="228"/>
      <c r="K42" s="258">
        <f t="shared" si="0"/>
        <v>0</v>
      </c>
      <c r="L42" s="256">
        <f t="shared" si="3"/>
        <v>0</v>
      </c>
      <c r="M42" s="256">
        <f t="shared" si="4"/>
        <v>0</v>
      </c>
      <c r="N42" s="259"/>
      <c r="O42" s="229"/>
      <c r="P42" s="98"/>
      <c r="Q42" s="102"/>
      <c r="R42" s="108"/>
      <c r="S42" s="239">
        <f t="shared" si="5"/>
        <v>0</v>
      </c>
      <c r="T42" s="239">
        <f t="shared" si="6"/>
        <v>0</v>
      </c>
      <c r="U42" s="240">
        <f t="shared" si="7"/>
        <v>0</v>
      </c>
      <c r="V42" s="240">
        <f t="shared" si="8"/>
        <v>0</v>
      </c>
      <c r="W42" s="230"/>
    </row>
    <row r="43" spans="2:23" ht="15.75" customHeight="1">
      <c r="B43" s="231"/>
      <c r="C43" s="251"/>
      <c r="D43" s="226"/>
      <c r="E43" s="100"/>
      <c r="F43" s="243"/>
      <c r="G43" s="244"/>
      <c r="H43" s="260">
        <f t="shared" si="1"/>
        <v>0</v>
      </c>
      <c r="I43" s="261">
        <f t="shared" si="2"/>
        <v>0</v>
      </c>
      <c r="J43" s="228"/>
      <c r="K43" s="262">
        <f t="shared" si="0"/>
        <v>0</v>
      </c>
      <c r="L43" s="260">
        <f t="shared" si="3"/>
        <v>0</v>
      </c>
      <c r="M43" s="260">
        <f t="shared" si="4"/>
        <v>0</v>
      </c>
      <c r="N43" s="263"/>
      <c r="O43" s="229"/>
      <c r="P43" s="98"/>
      <c r="Q43" s="102"/>
      <c r="R43" s="108"/>
      <c r="S43" s="249">
        <f t="shared" si="5"/>
        <v>0</v>
      </c>
      <c r="T43" s="249">
        <f t="shared" si="6"/>
        <v>0</v>
      </c>
      <c r="U43" s="250">
        <f t="shared" si="7"/>
        <v>0</v>
      </c>
      <c r="V43" s="250">
        <f t="shared" si="8"/>
        <v>0</v>
      </c>
      <c r="W43" s="230"/>
    </row>
    <row r="44" spans="2:23" ht="15.75" customHeight="1">
      <c r="B44" s="241"/>
      <c r="C44" s="242"/>
      <c r="D44" s="226"/>
      <c r="E44" s="100"/>
      <c r="F44" s="243"/>
      <c r="G44" s="234"/>
      <c r="H44" s="256">
        <f t="shared" si="1"/>
        <v>0</v>
      </c>
      <c r="I44" s="257">
        <f t="shared" si="2"/>
        <v>0</v>
      </c>
      <c r="J44" s="228"/>
      <c r="K44" s="258">
        <f t="shared" si="0"/>
        <v>0</v>
      </c>
      <c r="L44" s="256">
        <f t="shared" si="3"/>
        <v>0</v>
      </c>
      <c r="M44" s="256">
        <f t="shared" si="4"/>
        <v>0</v>
      </c>
      <c r="N44" s="259"/>
      <c r="O44" s="229"/>
      <c r="P44" s="98"/>
      <c r="Q44" s="102"/>
      <c r="R44" s="108"/>
      <c r="S44" s="239">
        <f t="shared" si="5"/>
        <v>0</v>
      </c>
      <c r="T44" s="239">
        <f t="shared" si="6"/>
        <v>0</v>
      </c>
      <c r="U44" s="240">
        <f t="shared" si="7"/>
        <v>0</v>
      </c>
      <c r="V44" s="240">
        <f t="shared" si="8"/>
        <v>0</v>
      </c>
      <c r="W44" s="230"/>
    </row>
    <row r="45" spans="2:23" ht="15.75" customHeight="1">
      <c r="B45" s="241"/>
      <c r="C45" s="251"/>
      <c r="D45" s="226"/>
      <c r="E45" s="100"/>
      <c r="F45" s="233"/>
      <c r="G45" s="244"/>
      <c r="H45" s="260">
        <f t="shared" si="1"/>
        <v>0</v>
      </c>
      <c r="I45" s="261">
        <f t="shared" si="2"/>
        <v>0</v>
      </c>
      <c r="J45" s="228"/>
      <c r="K45" s="262">
        <f t="shared" si="0"/>
        <v>0</v>
      </c>
      <c r="L45" s="260">
        <f t="shared" si="3"/>
        <v>0</v>
      </c>
      <c r="M45" s="260">
        <f t="shared" si="4"/>
        <v>0</v>
      </c>
      <c r="N45" s="263"/>
      <c r="O45" s="229"/>
      <c r="P45" s="98"/>
      <c r="Q45" s="102"/>
      <c r="R45" s="108"/>
      <c r="S45" s="249">
        <f t="shared" si="5"/>
        <v>0</v>
      </c>
      <c r="T45" s="249">
        <f t="shared" si="6"/>
        <v>0</v>
      </c>
      <c r="U45" s="250">
        <f t="shared" si="7"/>
        <v>0</v>
      </c>
      <c r="V45" s="250">
        <f t="shared" si="8"/>
        <v>0</v>
      </c>
      <c r="W45" s="230"/>
    </row>
    <row r="46" spans="2:23" ht="15.75" customHeight="1">
      <c r="B46" s="231"/>
      <c r="C46" s="242"/>
      <c r="D46" s="226"/>
      <c r="E46" s="100"/>
      <c r="F46" s="243"/>
      <c r="G46" s="234"/>
      <c r="H46" s="256">
        <f t="shared" si="1"/>
        <v>0</v>
      </c>
      <c r="I46" s="257">
        <f t="shared" si="2"/>
        <v>0</v>
      </c>
      <c r="J46" s="228"/>
      <c r="K46" s="258">
        <f t="shared" si="0"/>
        <v>0</v>
      </c>
      <c r="L46" s="256">
        <f t="shared" si="3"/>
        <v>0</v>
      </c>
      <c r="M46" s="256">
        <f t="shared" si="4"/>
        <v>0</v>
      </c>
      <c r="N46" s="259"/>
      <c r="O46" s="229"/>
      <c r="P46" s="98"/>
      <c r="Q46" s="102"/>
      <c r="R46" s="108"/>
      <c r="S46" s="239">
        <f t="shared" si="5"/>
        <v>0</v>
      </c>
      <c r="T46" s="239">
        <f t="shared" si="6"/>
        <v>0</v>
      </c>
      <c r="U46" s="240">
        <f t="shared" si="7"/>
        <v>0</v>
      </c>
      <c r="V46" s="240">
        <f t="shared" si="8"/>
        <v>0</v>
      </c>
      <c r="W46" s="230"/>
    </row>
    <row r="47" spans="2:23" ht="15.75" customHeight="1">
      <c r="B47" s="241"/>
      <c r="C47" s="251"/>
      <c r="D47" s="226"/>
      <c r="E47" s="100"/>
      <c r="F47" s="233"/>
      <c r="G47" s="244"/>
      <c r="H47" s="260">
        <f t="shared" si="1"/>
        <v>0</v>
      </c>
      <c r="I47" s="261">
        <f t="shared" si="2"/>
        <v>0</v>
      </c>
      <c r="J47" s="228"/>
      <c r="K47" s="262">
        <f t="shared" si="0"/>
        <v>0</v>
      </c>
      <c r="L47" s="260">
        <f t="shared" si="3"/>
        <v>0</v>
      </c>
      <c r="M47" s="260">
        <f t="shared" si="4"/>
        <v>0</v>
      </c>
      <c r="N47" s="263"/>
      <c r="O47" s="229"/>
      <c r="P47" s="98"/>
      <c r="Q47" s="102"/>
      <c r="R47" s="108"/>
      <c r="S47" s="249">
        <f t="shared" si="5"/>
        <v>0</v>
      </c>
      <c r="T47" s="249">
        <f t="shared" si="6"/>
        <v>0</v>
      </c>
      <c r="U47" s="250">
        <f t="shared" si="7"/>
        <v>0</v>
      </c>
      <c r="V47" s="250">
        <f t="shared" si="8"/>
        <v>0</v>
      </c>
      <c r="W47" s="230"/>
    </row>
    <row r="48" spans="2:23" ht="15.75" customHeight="1">
      <c r="B48" s="231"/>
      <c r="C48" s="242"/>
      <c r="D48" s="226"/>
      <c r="E48" s="100"/>
      <c r="F48" s="243"/>
      <c r="G48" s="234"/>
      <c r="H48" s="256">
        <f t="shared" si="1"/>
        <v>0</v>
      </c>
      <c r="I48" s="257">
        <f t="shared" si="2"/>
        <v>0</v>
      </c>
      <c r="J48" s="228"/>
      <c r="K48" s="258">
        <f t="shared" si="0"/>
        <v>0</v>
      </c>
      <c r="L48" s="256">
        <f t="shared" si="3"/>
        <v>0</v>
      </c>
      <c r="M48" s="256">
        <f t="shared" si="4"/>
        <v>0</v>
      </c>
      <c r="N48" s="259"/>
      <c r="O48" s="229"/>
      <c r="P48" s="98"/>
      <c r="Q48" s="102"/>
      <c r="R48" s="108"/>
      <c r="S48" s="239">
        <f t="shared" si="5"/>
        <v>0</v>
      </c>
      <c r="T48" s="239">
        <f t="shared" si="6"/>
        <v>0</v>
      </c>
      <c r="U48" s="240">
        <f t="shared" si="7"/>
        <v>0</v>
      </c>
      <c r="V48" s="240">
        <f t="shared" si="8"/>
        <v>0</v>
      </c>
      <c r="W48" s="230"/>
    </row>
    <row r="49" spans="2:23" ht="15.75" customHeight="1">
      <c r="B49" s="241"/>
      <c r="C49" s="251"/>
      <c r="D49" s="226"/>
      <c r="E49" s="100"/>
      <c r="F49" s="233"/>
      <c r="G49" s="244"/>
      <c r="H49" s="260">
        <f t="shared" si="1"/>
        <v>0</v>
      </c>
      <c r="I49" s="261">
        <f t="shared" si="2"/>
        <v>0</v>
      </c>
      <c r="J49" s="228"/>
      <c r="K49" s="262">
        <f t="shared" si="0"/>
        <v>0</v>
      </c>
      <c r="L49" s="260">
        <f t="shared" si="3"/>
        <v>0</v>
      </c>
      <c r="M49" s="260">
        <f t="shared" si="4"/>
        <v>0</v>
      </c>
      <c r="N49" s="263"/>
      <c r="O49" s="229"/>
      <c r="P49" s="98"/>
      <c r="Q49" s="102"/>
      <c r="R49" s="108"/>
      <c r="S49" s="249">
        <f t="shared" si="5"/>
        <v>0</v>
      </c>
      <c r="T49" s="249">
        <f t="shared" si="6"/>
        <v>0</v>
      </c>
      <c r="U49" s="250">
        <f t="shared" si="7"/>
        <v>0</v>
      </c>
      <c r="V49" s="250">
        <f t="shared" si="8"/>
        <v>0</v>
      </c>
      <c r="W49" s="230"/>
    </row>
    <row r="50" spans="2:23" ht="15.75" customHeight="1">
      <c r="B50" s="231"/>
      <c r="C50" s="242"/>
      <c r="D50" s="226"/>
      <c r="E50" s="100"/>
      <c r="F50" s="243"/>
      <c r="G50" s="234"/>
      <c r="H50" s="256">
        <f t="shared" si="1"/>
        <v>0</v>
      </c>
      <c r="I50" s="257">
        <f t="shared" si="2"/>
        <v>0</v>
      </c>
      <c r="J50" s="228"/>
      <c r="K50" s="258">
        <f t="shared" si="0"/>
        <v>0</v>
      </c>
      <c r="L50" s="256">
        <f t="shared" si="3"/>
        <v>0</v>
      </c>
      <c r="M50" s="256">
        <f t="shared" si="4"/>
        <v>0</v>
      </c>
      <c r="N50" s="259"/>
      <c r="O50" s="229"/>
      <c r="P50" s="98"/>
      <c r="Q50" s="102"/>
      <c r="R50" s="108"/>
      <c r="S50" s="239">
        <f t="shared" si="5"/>
        <v>0</v>
      </c>
      <c r="T50" s="239">
        <f t="shared" si="6"/>
        <v>0</v>
      </c>
      <c r="U50" s="240">
        <f t="shared" si="7"/>
        <v>0</v>
      </c>
      <c r="V50" s="240">
        <f t="shared" si="8"/>
        <v>0</v>
      </c>
      <c r="W50" s="230"/>
    </row>
    <row r="51" spans="2:23" ht="15.75" customHeight="1">
      <c r="B51" s="241"/>
      <c r="C51" s="242"/>
      <c r="D51" s="226"/>
      <c r="E51" s="100"/>
      <c r="F51" s="243"/>
      <c r="G51" s="244"/>
      <c r="H51" s="260">
        <f t="shared" si="1"/>
        <v>0</v>
      </c>
      <c r="I51" s="261">
        <f t="shared" si="2"/>
        <v>0</v>
      </c>
      <c r="J51" s="228"/>
      <c r="K51" s="262">
        <f t="shared" si="0"/>
        <v>0</v>
      </c>
      <c r="L51" s="260">
        <f t="shared" si="3"/>
        <v>0</v>
      </c>
      <c r="M51" s="260">
        <f t="shared" si="4"/>
        <v>0</v>
      </c>
      <c r="N51" s="263"/>
      <c r="O51" s="229"/>
      <c r="P51" s="98"/>
      <c r="Q51" s="102"/>
      <c r="R51" s="108"/>
      <c r="S51" s="249">
        <f t="shared" si="5"/>
        <v>0</v>
      </c>
      <c r="T51" s="249">
        <f t="shared" si="6"/>
        <v>0</v>
      </c>
      <c r="U51" s="250">
        <f t="shared" si="7"/>
        <v>0</v>
      </c>
      <c r="V51" s="250">
        <f t="shared" si="8"/>
        <v>0</v>
      </c>
      <c r="W51" s="230"/>
    </row>
    <row r="52" spans="2:23" ht="15.75" customHeight="1">
      <c r="B52" s="231" t="s">
        <v>142</v>
      </c>
      <c r="C52" s="242" t="s">
        <v>143</v>
      </c>
      <c r="D52" s="226"/>
      <c r="E52" s="100"/>
      <c r="F52" s="233">
        <v>1</v>
      </c>
      <c r="G52" s="234">
        <v>2490.2399999999998</v>
      </c>
      <c r="H52" s="256">
        <f t="shared" si="1"/>
        <v>0</v>
      </c>
      <c r="I52" s="257">
        <f t="shared" si="2"/>
        <v>2490.2399999999998</v>
      </c>
      <c r="J52" s="228"/>
      <c r="K52" s="258">
        <f t="shared" si="0"/>
        <v>1</v>
      </c>
      <c r="L52" s="256">
        <f t="shared" si="3"/>
        <v>0</v>
      </c>
      <c r="M52" s="256">
        <f t="shared" si="4"/>
        <v>0</v>
      </c>
      <c r="N52" s="259"/>
      <c r="O52" s="229"/>
      <c r="P52" s="98"/>
      <c r="Q52" s="102"/>
      <c r="R52" s="108"/>
      <c r="S52" s="239">
        <f t="shared" si="5"/>
        <v>0</v>
      </c>
      <c r="T52" s="239">
        <f t="shared" si="6"/>
        <v>0</v>
      </c>
      <c r="U52" s="240">
        <f t="shared" si="7"/>
        <v>0</v>
      </c>
      <c r="V52" s="240">
        <f t="shared" si="8"/>
        <v>0</v>
      </c>
      <c r="W52" s="230"/>
    </row>
    <row r="53" spans="2:23" ht="15.75" customHeight="1">
      <c r="B53" s="241" t="s">
        <v>144</v>
      </c>
      <c r="C53" s="251" t="s">
        <v>145</v>
      </c>
      <c r="D53" s="226"/>
      <c r="E53" s="100"/>
      <c r="F53" s="243">
        <v>1</v>
      </c>
      <c r="G53" s="244">
        <v>2654.42</v>
      </c>
      <c r="H53" s="260">
        <f t="shared" si="1"/>
        <v>0</v>
      </c>
      <c r="I53" s="261">
        <f t="shared" si="2"/>
        <v>2654.42</v>
      </c>
      <c r="J53" s="228"/>
      <c r="K53" s="262">
        <f t="shared" si="0"/>
        <v>1</v>
      </c>
      <c r="L53" s="260">
        <f t="shared" si="3"/>
        <v>0</v>
      </c>
      <c r="M53" s="260">
        <f t="shared" si="4"/>
        <v>0</v>
      </c>
      <c r="N53" s="263"/>
      <c r="O53" s="229"/>
      <c r="P53" s="98"/>
      <c r="Q53" s="102"/>
      <c r="R53" s="108"/>
      <c r="S53" s="249">
        <f t="shared" si="5"/>
        <v>0</v>
      </c>
      <c r="T53" s="249">
        <f t="shared" si="6"/>
        <v>0</v>
      </c>
      <c r="U53" s="250">
        <f t="shared" si="7"/>
        <v>0</v>
      </c>
      <c r="V53" s="250">
        <f t="shared" si="8"/>
        <v>0</v>
      </c>
      <c r="W53" s="230"/>
    </row>
    <row r="54" spans="2:23" ht="15.75" customHeight="1">
      <c r="B54" s="231"/>
      <c r="C54" s="242"/>
      <c r="D54" s="226"/>
      <c r="E54" s="100"/>
      <c r="F54" s="233"/>
      <c r="G54" s="234"/>
      <c r="H54" s="256">
        <f t="shared" si="1"/>
        <v>0</v>
      </c>
      <c r="I54" s="257">
        <f t="shared" si="2"/>
        <v>0</v>
      </c>
      <c r="J54" s="228"/>
      <c r="K54" s="258">
        <f t="shared" si="0"/>
        <v>0</v>
      </c>
      <c r="L54" s="256">
        <f t="shared" si="3"/>
        <v>0</v>
      </c>
      <c r="M54" s="256">
        <f t="shared" si="4"/>
        <v>0</v>
      </c>
      <c r="N54" s="259"/>
      <c r="O54" s="229"/>
      <c r="P54" s="98"/>
      <c r="Q54" s="102"/>
      <c r="R54" s="108"/>
      <c r="S54" s="239">
        <f t="shared" si="5"/>
        <v>0</v>
      </c>
      <c r="T54" s="239">
        <f t="shared" si="6"/>
        <v>0</v>
      </c>
      <c r="U54" s="240">
        <f t="shared" si="7"/>
        <v>0</v>
      </c>
      <c r="V54" s="240">
        <f t="shared" si="8"/>
        <v>0</v>
      </c>
      <c r="W54" s="230"/>
    </row>
    <row r="55" spans="2:23" ht="15.75" customHeight="1">
      <c r="B55" s="241" t="s">
        <v>146</v>
      </c>
      <c r="C55" s="251" t="s">
        <v>147</v>
      </c>
      <c r="D55" s="226"/>
      <c r="E55" s="100"/>
      <c r="F55" s="243">
        <v>4</v>
      </c>
      <c r="G55" s="234">
        <v>480.65</v>
      </c>
      <c r="H55" s="260">
        <f t="shared" si="1"/>
        <v>0</v>
      </c>
      <c r="I55" s="261">
        <f t="shared" si="2"/>
        <v>1922.6</v>
      </c>
      <c r="J55" s="228"/>
      <c r="K55" s="262">
        <f t="shared" si="0"/>
        <v>4</v>
      </c>
      <c r="L55" s="260">
        <f t="shared" si="3"/>
        <v>0</v>
      </c>
      <c r="M55" s="260">
        <f t="shared" si="4"/>
        <v>0</v>
      </c>
      <c r="N55" s="263"/>
      <c r="O55" s="229"/>
      <c r="P55" s="98"/>
      <c r="Q55" s="102"/>
      <c r="R55" s="108"/>
      <c r="S55" s="249">
        <f t="shared" si="5"/>
        <v>0</v>
      </c>
      <c r="T55" s="249">
        <f t="shared" si="6"/>
        <v>0</v>
      </c>
      <c r="U55" s="250">
        <f t="shared" si="7"/>
        <v>0</v>
      </c>
      <c r="V55" s="250">
        <f t="shared" si="8"/>
        <v>0</v>
      </c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9">SUM(F19:F65)</f>
        <v>27</v>
      </c>
      <c r="G66" s="121">
        <f t="shared" si="9"/>
        <v>41005.730000000003</v>
      </c>
      <c r="H66" s="122">
        <f t="shared" si="9"/>
        <v>0</v>
      </c>
      <c r="I66" s="123">
        <f t="shared" si="9"/>
        <v>47085.42</v>
      </c>
      <c r="J66" s="124"/>
      <c r="K66" s="125">
        <f t="shared" ref="K66:M66" si="10">SUM(K19:K65)</f>
        <v>27</v>
      </c>
      <c r="L66" s="122">
        <f t="shared" si="10"/>
        <v>32.85</v>
      </c>
      <c r="M66" s="123">
        <f t="shared" si="10"/>
        <v>32.85</v>
      </c>
      <c r="N66" s="123"/>
      <c r="O66" s="126"/>
      <c r="P66" s="127"/>
      <c r="Q66" s="122">
        <f t="shared" ref="Q66:T66" si="11">SUM(Q19:Q65)</f>
        <v>0</v>
      </c>
      <c r="R66" s="122">
        <f t="shared" si="11"/>
        <v>0</v>
      </c>
      <c r="S66" s="123">
        <f t="shared" si="11"/>
        <v>32.85</v>
      </c>
      <c r="T66" s="123">
        <f t="shared" si="11"/>
        <v>32.85</v>
      </c>
      <c r="U66" s="128"/>
      <c r="V66" s="128"/>
      <c r="W66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65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262D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2025-07-08T07:52:53Z</dcterms:modified>
</cp:coreProperties>
</file>