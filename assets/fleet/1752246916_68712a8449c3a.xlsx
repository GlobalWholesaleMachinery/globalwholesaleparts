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F857A088-4E4C-48B3-BC19-9C778C68C8E8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structions" sheetId="1" r:id="rId1"/>
    <sheet name="CAT 303.5E" sheetId="2" r:id="rId2"/>
    <sheet name="CAT 320E L (WBK)" sheetId="12" r:id="rId3"/>
    <sheet name="CAT 320F L (YBM)" sheetId="13" r:id="rId4"/>
    <sheet name="CAT 320 (HEX)" sheetId="14" r:id="rId5"/>
    <sheet name="CAT 320 (MYK)" sheetId="15" r:id="rId6"/>
    <sheet name="CAT 329E L (ZCD)" sheetId="16" r:id="rId7"/>
    <sheet name="CAT 329F L (ERL)" sheetId="17" r:id="rId8"/>
    <sheet name="CAT 330F L (MBX)" sheetId="18" r:id="rId9"/>
    <sheet name="CAT 330F L (HCK)" sheetId="19" r:id="rId10"/>
    <sheet name="CAT 330 (LHW)" sheetId="20" r:id="rId11"/>
    <sheet name="CAT 330 (WCH)" sheetId="21" r:id="rId12"/>
    <sheet name="CAT 336F L (RKB)" sheetId="2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22" l="1"/>
  <c r="S78" i="22"/>
  <c r="R78" i="22"/>
  <c r="P7" i="22" s="1"/>
  <c r="Q78" i="22"/>
  <c r="M78" i="22"/>
  <c r="L78" i="22"/>
  <c r="K78" i="22"/>
  <c r="I78" i="22"/>
  <c r="P2" i="22" s="1"/>
  <c r="H78" i="22"/>
  <c r="G78" i="22"/>
  <c r="F78" i="22"/>
  <c r="P11" i="22" s="1"/>
  <c r="R18" i="22"/>
  <c r="I18" i="22"/>
  <c r="H18" i="22"/>
  <c r="E16" i="22"/>
  <c r="V15" i="22"/>
  <c r="P9" i="22" s="1"/>
  <c r="P8" i="22"/>
  <c r="P6" i="22"/>
  <c r="P3" i="22"/>
  <c r="P1" i="22"/>
  <c r="T78" i="21"/>
  <c r="S78" i="21"/>
  <c r="R78" i="21"/>
  <c r="P7" i="21" s="1"/>
  <c r="Q78" i="21"/>
  <c r="M78" i="21"/>
  <c r="L78" i="21"/>
  <c r="K78" i="21"/>
  <c r="I78" i="21"/>
  <c r="P2" i="21" s="1"/>
  <c r="H78" i="21"/>
  <c r="G78" i="21"/>
  <c r="F78" i="21"/>
  <c r="P11" i="21" s="1"/>
  <c r="R18" i="21"/>
  <c r="I18" i="21"/>
  <c r="H18" i="21"/>
  <c r="E16" i="21"/>
  <c r="V15" i="21"/>
  <c r="P9" i="21" s="1"/>
  <c r="P8" i="21"/>
  <c r="P6" i="21"/>
  <c r="P3" i="21"/>
  <c r="P1" i="21"/>
  <c r="T78" i="20"/>
  <c r="S78" i="20"/>
  <c r="R78" i="20"/>
  <c r="P7" i="20" s="1"/>
  <c r="Q78" i="20"/>
  <c r="M78" i="20"/>
  <c r="L78" i="20"/>
  <c r="K78" i="20"/>
  <c r="I78" i="20"/>
  <c r="P2" i="20" s="1"/>
  <c r="H78" i="20"/>
  <c r="G78" i="20"/>
  <c r="F78" i="20"/>
  <c r="P11" i="20" s="1"/>
  <c r="R18" i="20"/>
  <c r="I18" i="20"/>
  <c r="H18" i="20"/>
  <c r="E16" i="20"/>
  <c r="V15" i="20"/>
  <c r="P9" i="20" s="1"/>
  <c r="P8" i="20"/>
  <c r="P6" i="20"/>
  <c r="P3" i="20"/>
  <c r="P1" i="20"/>
  <c r="T78" i="19"/>
  <c r="P6" i="19" s="1"/>
  <c r="S78" i="19"/>
  <c r="R78" i="19"/>
  <c r="Q78" i="19"/>
  <c r="M78" i="19"/>
  <c r="L78" i="19"/>
  <c r="K78" i="19"/>
  <c r="I78" i="19"/>
  <c r="P2" i="19" s="1"/>
  <c r="H78" i="19"/>
  <c r="G78" i="19"/>
  <c r="F78" i="19"/>
  <c r="P11" i="19" s="1"/>
  <c r="R18" i="19"/>
  <c r="I18" i="19"/>
  <c r="H18" i="19"/>
  <c r="E16" i="19"/>
  <c r="V15" i="19"/>
  <c r="P9" i="19" s="1"/>
  <c r="P8" i="19"/>
  <c r="P7" i="19"/>
  <c r="P3" i="19"/>
  <c r="P1" i="19"/>
  <c r="T78" i="18"/>
  <c r="S78" i="18"/>
  <c r="R78" i="18"/>
  <c r="P7" i="18" s="1"/>
  <c r="Q78" i="18"/>
  <c r="M78" i="18"/>
  <c r="L78" i="18"/>
  <c r="K78" i="18"/>
  <c r="I78" i="18"/>
  <c r="P2" i="18" s="1"/>
  <c r="H78" i="18"/>
  <c r="G78" i="18"/>
  <c r="F78" i="18"/>
  <c r="P11" i="18" s="1"/>
  <c r="R18" i="18"/>
  <c r="I18" i="18"/>
  <c r="H18" i="18"/>
  <c r="E16" i="18"/>
  <c r="V15" i="18"/>
  <c r="P9" i="18" s="1"/>
  <c r="P8" i="18"/>
  <c r="P6" i="18"/>
  <c r="P3" i="18"/>
  <c r="P1" i="18"/>
  <c r="T78" i="17"/>
  <c r="S78" i="17"/>
  <c r="R78" i="17"/>
  <c r="P7" i="17" s="1"/>
  <c r="Q78" i="17"/>
  <c r="M78" i="17"/>
  <c r="L78" i="17"/>
  <c r="K78" i="17"/>
  <c r="I78" i="17"/>
  <c r="P2" i="17" s="1"/>
  <c r="H78" i="17"/>
  <c r="G78" i="17"/>
  <c r="F78" i="17"/>
  <c r="P11" i="17" s="1"/>
  <c r="R18" i="17"/>
  <c r="I18" i="17"/>
  <c r="H18" i="17"/>
  <c r="E16" i="17"/>
  <c r="V15" i="17"/>
  <c r="P9" i="17" s="1"/>
  <c r="P6" i="17"/>
  <c r="P3" i="17"/>
  <c r="P1" i="17"/>
  <c r="P8" i="17" s="1"/>
  <c r="T78" i="16"/>
  <c r="S78" i="16"/>
  <c r="R78" i="16"/>
  <c r="Q78" i="16"/>
  <c r="M78" i="16"/>
  <c r="L78" i="16"/>
  <c r="K78" i="16"/>
  <c r="I78" i="16"/>
  <c r="P2" i="16" s="1"/>
  <c r="H78" i="16"/>
  <c r="G78" i="16"/>
  <c r="F78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T78" i="15"/>
  <c r="S78" i="15"/>
  <c r="R78" i="15"/>
  <c r="P7" i="15" s="1"/>
  <c r="Q78" i="15"/>
  <c r="M78" i="15"/>
  <c r="L78" i="15"/>
  <c r="K78" i="15"/>
  <c r="I78" i="15"/>
  <c r="P2" i="15" s="1"/>
  <c r="H78" i="15"/>
  <c r="G78" i="15"/>
  <c r="F78" i="15"/>
  <c r="P11" i="15" s="1"/>
  <c r="R18" i="15"/>
  <c r="I18" i="15"/>
  <c r="H18" i="15"/>
  <c r="E16" i="15"/>
  <c r="V15" i="15"/>
  <c r="P9" i="15" s="1"/>
  <c r="P6" i="15"/>
  <c r="P3" i="15"/>
  <c r="P1" i="15"/>
  <c r="P8" i="15" s="1"/>
  <c r="T78" i="14"/>
  <c r="S78" i="14"/>
  <c r="R78" i="14"/>
  <c r="P7" i="14" s="1"/>
  <c r="Q78" i="14"/>
  <c r="M78" i="14"/>
  <c r="L78" i="14"/>
  <c r="K78" i="14"/>
  <c r="I78" i="14"/>
  <c r="P2" i="14" s="1"/>
  <c r="H78" i="14"/>
  <c r="G78" i="14"/>
  <c r="F78" i="14"/>
  <c r="P11" i="14" s="1"/>
  <c r="R18" i="14"/>
  <c r="I18" i="14"/>
  <c r="H18" i="14"/>
  <c r="E16" i="14"/>
  <c r="V15" i="14"/>
  <c r="P9" i="14" s="1"/>
  <c r="P8" i="14"/>
  <c r="P6" i="14"/>
  <c r="P3" i="14"/>
  <c r="P1" i="14"/>
  <c r="T78" i="13"/>
  <c r="S78" i="13"/>
  <c r="R78" i="13"/>
  <c r="Q78" i="13"/>
  <c r="M78" i="13"/>
  <c r="L78" i="13"/>
  <c r="K78" i="13"/>
  <c r="I78" i="13"/>
  <c r="P2" i="13" s="1"/>
  <c r="H78" i="13"/>
  <c r="G78" i="13"/>
  <c r="F78" i="13"/>
  <c r="P11" i="13" s="1"/>
  <c r="R18" i="13"/>
  <c r="I18" i="13"/>
  <c r="H18" i="13"/>
  <c r="E16" i="13"/>
  <c r="V15" i="13"/>
  <c r="P9" i="13" s="1"/>
  <c r="P8" i="13"/>
  <c r="P7" i="13"/>
  <c r="P6" i="13"/>
  <c r="P3" i="13"/>
  <c r="P1" i="13"/>
  <c r="T78" i="12"/>
  <c r="S78" i="12"/>
  <c r="R78" i="12"/>
  <c r="Q78" i="12"/>
  <c r="M78" i="12"/>
  <c r="L78" i="12"/>
  <c r="K78" i="12"/>
  <c r="I78" i="12"/>
  <c r="P2" i="12" s="1"/>
  <c r="H78" i="12"/>
  <c r="G78" i="12"/>
  <c r="F78" i="12"/>
  <c r="P11" i="12" s="1"/>
  <c r="R18" i="12"/>
  <c r="I18" i="12"/>
  <c r="H18" i="12"/>
  <c r="E16" i="12"/>
  <c r="V15" i="12"/>
  <c r="P9" i="12" s="1"/>
  <c r="P7" i="12"/>
  <c r="P6" i="12"/>
  <c r="P3" i="12"/>
  <c r="P1" i="12"/>
  <c r="P8" i="12" s="1"/>
  <c r="S9" i="22" l="1"/>
  <c r="U9" i="22" s="1"/>
  <c r="P4" i="22"/>
  <c r="P5" i="22"/>
  <c r="P4" i="21"/>
  <c r="P5" i="21"/>
  <c r="S9" i="21"/>
  <c r="T9" i="21" s="1"/>
  <c r="V9" i="21" s="1"/>
  <c r="U9" i="21"/>
  <c r="S9" i="20"/>
  <c r="T9" i="20" s="1"/>
  <c r="V9" i="20" s="1"/>
  <c r="P5" i="20"/>
  <c r="P4" i="20"/>
  <c r="S9" i="19"/>
  <c r="U9" i="19" s="1"/>
  <c r="P4" i="19"/>
  <c r="P5" i="19"/>
  <c r="T9" i="19"/>
  <c r="V9" i="19" s="1"/>
  <c r="P4" i="18"/>
  <c r="P5" i="18"/>
  <c r="S9" i="18"/>
  <c r="T9" i="18" s="1"/>
  <c r="V9" i="18" s="1"/>
  <c r="U9" i="18"/>
  <c r="S9" i="17"/>
  <c r="T9" i="17" s="1"/>
  <c r="V9" i="17" s="1"/>
  <c r="P5" i="17"/>
  <c r="P4" i="17"/>
  <c r="S9" i="16"/>
  <c r="U9" i="16" s="1"/>
  <c r="P5" i="16"/>
  <c r="P4" i="16"/>
  <c r="T9" i="16"/>
  <c r="V9" i="16" s="1"/>
  <c r="P5" i="15"/>
  <c r="P4" i="15"/>
  <c r="S9" i="15"/>
  <c r="U9" i="15" s="1"/>
  <c r="T9" i="15"/>
  <c r="V9" i="15" s="1"/>
  <c r="S9" i="14"/>
  <c r="U9" i="14" s="1"/>
  <c r="P4" i="14"/>
  <c r="P5" i="14"/>
  <c r="T9" i="14"/>
  <c r="V9" i="14" s="1"/>
  <c r="S9" i="13"/>
  <c r="U9" i="13" s="1"/>
  <c r="P4" i="13"/>
  <c r="P5" i="13"/>
  <c r="P4" i="12"/>
  <c r="P5" i="12"/>
  <c r="S9" i="12"/>
  <c r="U9" i="12" s="1"/>
  <c r="T9" i="22" l="1"/>
  <c r="V9" i="22" s="1"/>
  <c r="U9" i="20"/>
  <c r="U9" i="17"/>
  <c r="T9" i="13"/>
  <c r="V9" i="13" s="1"/>
  <c r="T9" i="12"/>
  <c r="V9" i="12" s="1"/>
  <c r="Q78" i="2" l="1"/>
  <c r="G78" i="2"/>
  <c r="F78" i="2"/>
  <c r="P11" i="2" s="1"/>
  <c r="L78" i="2"/>
  <c r="K78" i="2"/>
  <c r="R18" i="2"/>
  <c r="I18" i="2"/>
  <c r="H18" i="2"/>
  <c r="E16" i="2"/>
  <c r="P1" i="2"/>
  <c r="P8" i="2" s="1"/>
  <c r="M78" i="2" l="1"/>
  <c r="P3" i="2" s="1"/>
  <c r="R78" i="2"/>
  <c r="P7" i="2" l="1"/>
  <c r="V15" i="2"/>
  <c r="P9" i="2" s="1"/>
  <c r="I78" i="2"/>
  <c r="P2" i="2" s="1"/>
  <c r="H78" i="2"/>
  <c r="S9" i="2" l="1"/>
  <c r="S78" i="2"/>
  <c r="T78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<sst xmlns="http://schemas.openxmlformats.org/spreadsheetml/2006/main" count="2052" uniqueCount="361">
  <si>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</si>
  <si>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</si>
  <si>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</si>
  <si>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</si>
  <si>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</si>
  <si>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</si>
  <si>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</si>
  <si>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</si>
  <si>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</si>
  <si>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</si>
  <si>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</si>
  <si>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</si>
  <si>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</si>
  <si>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</si>
  <si>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</si>
  <si>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</si>
  <si>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</si>
  <si>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</si>
  <si>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</si>
  <si>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</si>
  <si>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</si>
  <si>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</si>
  <si>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</si>
  <si>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</si>
  <si>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</si>
  <si>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</si>
  <si>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</si>
  <si>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</si>
  <si>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</si>
  <si>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</si>
  <si>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</si>
  <si>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</si>
  <si>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</si>
  <si>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</si>
  <si>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</si>
  <si>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</si>
  <si>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</si>
  <si>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</si>
  <si>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</si>
  <si>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</si>
  <si>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</si>
  <si>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</si>
  <si>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</si>
  <si>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</si>
  <si>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</si>
  <si>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</si>
  <si>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</si>
  <si>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</si>
  <si>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</si>
  <si>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</si>
  <si>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</si>
  <si>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</si>
  <si>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</si>
  <si>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</si>
  <si>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</si>
  <si>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</si>
  <si>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</si>
  <si>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</si>
  <si>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</si>
  <si>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</si>
  <si>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</si>
  <si>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</si>
  <si>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</si>
  <si>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</si>
  <si>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</si>
  <si>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</si>
  <si>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</si>
  <si>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</si>
  <si>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</si>
  <si>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</si>
  <si>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</si>
  <si>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</si>
  <si>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</si>
  <si>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</si>
  <si>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</si>
  <si>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</si>
  <si>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</si>
  <si>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</si>
  <si>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</si>
  <si>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</si>
  <si>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</si>
  <si>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</si>
  <si>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</si>
  <si>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</si>
  <si>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</si>
  <si>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</si>
  <si>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</si>
  <si>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</si>
  <si>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</si>
  <si>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</si>
  <si>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</si>
  <si>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</si>
  <si>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</si>
  <si>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</si>
  <si>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</si>
  <si>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</si>
  <si>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</si>
  <si>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</si>
  <si>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</si>
  <si>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</si>
  <si>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</si>
  <si>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</si>
  <si>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</si>
  <si>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</si>
  <si>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</si>
  <si>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</si>
  <si>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</si>
  <si>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</si>
  <si>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BH339</t>
  </si>
  <si>
    <t>RKY00339</t>
  </si>
  <si>
    <t>01CC1652</t>
  </si>
  <si>
    <t>Hydraulic Excavator</t>
  </si>
  <si>
    <t>CAT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</si>
  <si>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</si>
  <si>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</si>
  <si>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</si>
  <si>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</si>
  <si>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</si>
  <si>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</si>
  <si>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</si>
  <si>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</si>
  <si>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</si>
  <si>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</si>
  <si>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</si>
  <si>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</si>
  <si>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</si>
  <si>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</si>
  <si>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</si>
  <si>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</si>
  <si>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</si>
  <si>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</si>
  <si>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</si>
  <si>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</si>
  <si>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</si>
  <si>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</si>
  <si>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</si>
  <si>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</si>
  <si>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</si>
  <si>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</si>
  <si>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</si>
  <si>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</si>
  <si>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</si>
  <si>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</si>
  <si>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</si>
  <si>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</si>
  <si>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</si>
  <si>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</si>
  <si>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</si>
  <si>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</si>
  <si>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</si>
  <si>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</si>
  <si>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</si>
  <si>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</si>
  <si>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</si>
  <si>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</si>
  <si>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</si>
  <si>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</si>
  <si>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</si>
  <si>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</si>
  <si>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</si>
  <si>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</si>
  <si>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</si>
  <si>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</si>
  <si>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</si>
  <si>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</si>
  <si>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</si>
  <si>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</si>
  <si>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 xml:space="preserve"> $-   </t>
  </si>
  <si>
    <t>BH2902</t>
  </si>
  <si>
    <t>320E L</t>
  </si>
  <si>
    <t>303.5E CR</t>
  </si>
  <si>
    <t>WBK02902</t>
  </si>
  <si>
    <t>C8N16492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</si>
  <si>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</si>
  <si>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</si>
  <si>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</si>
  <si>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</si>
  <si>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</si>
  <si>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</si>
  <si>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</si>
  <si>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</si>
  <si>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</si>
  <si>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</si>
  <si>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</si>
  <si>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</si>
  <si>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</si>
  <si>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</si>
  <si>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</si>
  <si>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</si>
  <si>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</si>
  <si>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</si>
  <si>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</si>
  <si>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</si>
  <si>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</si>
  <si>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</si>
  <si>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</si>
  <si>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</si>
  <si>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</si>
  <si>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</si>
  <si>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</si>
  <si>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</si>
  <si>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</si>
  <si>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</si>
  <si>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</si>
  <si>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</si>
  <si>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</si>
  <si>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</si>
  <si>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</si>
  <si>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</si>
  <si>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</si>
  <si>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</si>
  <si>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</si>
  <si>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</si>
  <si>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</si>
  <si>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</si>
  <si>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>BH544</t>
  </si>
  <si>
    <t>320F L</t>
  </si>
  <si>
    <t>YBM10544</t>
  </si>
  <si>
    <t>W7N25205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</si>
  <si>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</si>
  <si>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</si>
  <si>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</si>
  <si>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</si>
  <si>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</si>
  <si>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</si>
  <si>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</si>
  <si>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</si>
  <si>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</si>
  <si>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</si>
  <si>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</si>
  <si>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</si>
  <si>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</si>
  <si>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</si>
  <si>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</si>
  <si>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</si>
  <si>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</si>
  <si>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</si>
  <si>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</si>
  <si>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</si>
  <si>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</si>
  <si>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</si>
  <si>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</si>
  <si>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</si>
  <si>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</si>
  <si>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</si>
  <si>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</si>
  <si>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</si>
  <si>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</si>
  <si>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</si>
  <si>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</si>
  <si>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</si>
  <si>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</si>
  <si>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</si>
  <si>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</si>
  <si>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</si>
  <si>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</si>
  <si>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</si>
  <si>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</si>
  <si>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</si>
  <si>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</si>
  <si>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</si>
  <si>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</si>
  <si>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</si>
  <si>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</si>
  <si>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</si>
  <si>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</si>
  <si>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</si>
  <si>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</si>
  <si>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</si>
  <si>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</si>
  <si>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</si>
  <si>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</si>
  <si>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</si>
  <si>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</si>
  <si>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</si>
  <si>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</si>
  <si>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</si>
  <si>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</si>
  <si>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</si>
  <si>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</si>
  <si>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</si>
  <si>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</si>
  <si>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</si>
  <si>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</si>
  <si>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</si>
  <si>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</si>
  <si>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</si>
  <si>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</si>
  <si>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</si>
  <si>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</si>
  <si>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</si>
  <si>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</si>
  <si>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</si>
  <si>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</si>
  <si>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</si>
  <si>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</si>
  <si>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</si>
  <si>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>329F L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</si>
  <si>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</si>
  <si>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</si>
  <si>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</si>
  <si>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</si>
  <si>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</si>
  <si>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</si>
  <si>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</si>
  <si>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</si>
  <si>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</si>
  <si>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</si>
  <si>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</si>
  <si>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</si>
  <si>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>330F L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</si>
  <si>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</si>
  <si>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</si>
  <si>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</si>
  <si>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</si>
  <si>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</si>
  <si>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</si>
  <si>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</si>
  <si>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</si>
  <si>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</si>
  <si>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</si>
  <si>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</si>
  <si>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</si>
  <si>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</si>
  <si>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</si>
  <si>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</si>
  <si>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</si>
  <si>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</si>
  <si>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</si>
  <si>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</si>
  <si>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</si>
  <si>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</si>
  <si>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BH0334</t>
  </si>
  <si>
    <t>WCH20334</t>
  </si>
  <si>
    <t>J7A14786</t>
  </si>
  <si>
    <t>322-3151</t>
  </si>
  <si>
    <t>BH913</t>
  </si>
  <si>
    <t>336F L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</si>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</sst>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23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2" borderId="41" xfId="0" applyNumberFormat="1" applyFont="1" applyFill="1" applyBorder="1"/>
    <xf numFmtId="10" fontId="5" fillId="5" borderId="65" xfId="0" applyNumberFormat="1" applyFont="1" applyFill="1" applyBorder="1"/>
    <xf numFmtId="10" fontId="5" fillId="2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F7856F5-7329-44AC-A1BD-04D87B451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DA9304C-67E5-4800-B619-6B617ED045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1DA9BEF-14B5-4CA4-B705-84C8B2A5A9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BEF6560B-0F7C-4963-B747-22231616E9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5DDE6AF-B4BB-4523-AD75-22347919BA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22C310A-27FF-4064-A5B7-DDF3726B3E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0B9ACAE-E68E-483C-A730-F6E56D5331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D206EC0-467C-457A-A225-555333D39B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92298AC-92F3-45FA-9652-036DA56B20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7E3A5FC2-5BEF-4503-B5F6-5DCA9AB987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0DF698A-ABF2-41AC-9317-41255ED2A9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78"/>
  <sheetViews>
    <sheetView tabSelected="1" zoomScale="55" zoomScaleNormal="5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108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57966.53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2012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30084.52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27882.01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225" t="s">
        <v>170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0.48100188160305607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109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53800.920000000006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110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30084.52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73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113</v>
      </c>
      <c r="C19" t="s">
        <v>114</v>
      </c>
      <c r="D19" s="87"/>
      <c r="E19" s="88"/>
      <c r="F19">
        <v>1</v>
      </c>
      <c r="G19" s="231">
        <v>40.69</v>
      </c>
      <c r="H19" s="231">
        <v>28.06</v>
      </c>
      <c r="I19" s="231">
        <v>40.69</v>
      </c>
      <c r="J19" s="92"/>
      <c r="K19">
        <v>1</v>
      </c>
      <c r="L19" s="231">
        <v>20.350000000000001</v>
      </c>
      <c r="M19" s="231">
        <v>20.350000000000001</v>
      </c>
      <c r="N19" s="232">
        <v>0.49990000000000001</v>
      </c>
      <c r="O19" s="232">
        <v>0.49990000000000001</v>
      </c>
      <c r="P19" s="86"/>
      <c r="Q19" s="94"/>
      <c r="R19" s="94"/>
      <c r="S19" s="231">
        <v>20.350000000000001</v>
      </c>
      <c r="T19" s="231">
        <v>20.350000000000001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115</v>
      </c>
      <c r="C20" t="s">
        <v>116</v>
      </c>
      <c r="D20" s="87"/>
      <c r="E20" s="100"/>
      <c r="F20">
        <v>1</v>
      </c>
      <c r="G20" s="231">
        <v>57.5</v>
      </c>
      <c r="H20" s="231">
        <v>39.659999999999997</v>
      </c>
      <c r="I20" s="231">
        <v>57.5</v>
      </c>
      <c r="J20" s="105"/>
      <c r="K20">
        <v>1</v>
      </c>
      <c r="L20" s="231">
        <v>28.75</v>
      </c>
      <c r="M20" s="231">
        <v>28.75</v>
      </c>
      <c r="N20" s="232">
        <v>0.5</v>
      </c>
      <c r="O20" s="232">
        <v>0.5</v>
      </c>
      <c r="P20" s="98"/>
      <c r="Q20" s="102"/>
      <c r="R20" s="108"/>
      <c r="S20" s="231">
        <v>28.75</v>
      </c>
      <c r="T20" s="231">
        <v>28.75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117</v>
      </c>
      <c r="C21" t="s">
        <v>118</v>
      </c>
      <c r="D21" s="227"/>
      <c r="E21" s="100"/>
      <c r="F21">
        <v>1</v>
      </c>
      <c r="G21" s="231">
        <v>67.33</v>
      </c>
      <c r="H21" s="231">
        <v>46.43</v>
      </c>
      <c r="I21" s="231">
        <v>67.33</v>
      </c>
      <c r="J21" s="228"/>
      <c r="K21">
        <v>1</v>
      </c>
      <c r="L21" s="231">
        <v>33.67</v>
      </c>
      <c r="M21" s="231">
        <v>33.67</v>
      </c>
      <c r="N21" s="232">
        <v>0.49990000000000001</v>
      </c>
      <c r="O21" s="232">
        <v>0.49990000000000001</v>
      </c>
      <c r="P21" s="98"/>
      <c r="Q21" s="102"/>
      <c r="R21" s="108"/>
      <c r="S21" s="231">
        <v>33.67</v>
      </c>
      <c r="T21" s="231">
        <v>33.67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119</v>
      </c>
      <c r="C22" t="s">
        <v>120</v>
      </c>
      <c r="D22" s="227"/>
      <c r="E22" s="100"/>
      <c r="F22">
        <v>1</v>
      </c>
      <c r="G22" s="231">
        <v>61.69</v>
      </c>
      <c r="H22" s="231">
        <v>42.54</v>
      </c>
      <c r="I22" s="231">
        <v>61.69</v>
      </c>
      <c r="J22" s="228"/>
      <c r="K22">
        <v>1</v>
      </c>
      <c r="L22" s="231">
        <v>40.11</v>
      </c>
      <c r="M22" s="231">
        <v>40.11</v>
      </c>
      <c r="N22" s="232">
        <v>0.3498</v>
      </c>
      <c r="O22" s="232">
        <v>0.3498</v>
      </c>
      <c r="P22" s="98"/>
      <c r="Q22" s="102"/>
      <c r="R22" s="108"/>
      <c r="S22" s="231">
        <v>40.11</v>
      </c>
      <c r="T22" s="231">
        <v>40.11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121</v>
      </c>
      <c r="C23" t="s">
        <v>122</v>
      </c>
      <c r="D23" s="227"/>
      <c r="E23" s="100"/>
      <c r="F23">
        <v>1</v>
      </c>
      <c r="G23" s="231">
        <v>98.39</v>
      </c>
      <c r="H23" s="231">
        <v>67.86</v>
      </c>
      <c r="I23" s="231">
        <v>98.39</v>
      </c>
      <c r="J23" s="228"/>
      <c r="K23">
        <v>1</v>
      </c>
      <c r="L23" s="231">
        <v>63.96</v>
      </c>
      <c r="M23" s="231">
        <v>63.96</v>
      </c>
      <c r="N23" s="232">
        <v>0.34989999999999999</v>
      </c>
      <c r="O23" s="232">
        <v>0.34989999999999999</v>
      </c>
      <c r="P23" s="98"/>
      <c r="Q23" s="102"/>
      <c r="R23" s="108"/>
      <c r="S23" s="231">
        <v>63.96</v>
      </c>
      <c r="T23" s="231">
        <v>63.96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123</v>
      </c>
      <c r="C24" t="s">
        <v>124</v>
      </c>
      <c r="D24" s="227"/>
      <c r="E24" s="100"/>
      <c r="F24">
        <v>1</v>
      </c>
      <c r="G24" s="231">
        <v>130.47</v>
      </c>
      <c r="H24" s="231">
        <v>89.98</v>
      </c>
      <c r="I24" s="231">
        <v>130.47</v>
      </c>
      <c r="J24" s="228"/>
      <c r="K24">
        <v>1</v>
      </c>
      <c r="L24" s="231">
        <v>65.239999999999995</v>
      </c>
      <c r="M24" s="231">
        <v>65.239999999999995</v>
      </c>
      <c r="N24" s="232">
        <v>0.5</v>
      </c>
      <c r="O24" s="232">
        <v>0.5</v>
      </c>
      <c r="P24" s="98"/>
      <c r="Q24" s="102"/>
      <c r="R24" s="108"/>
      <c r="S24" s="231">
        <v>65.239999999999995</v>
      </c>
      <c r="T24" s="231">
        <v>65.239999999999995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125</v>
      </c>
      <c r="C25" t="s">
        <v>126</v>
      </c>
      <c r="D25" s="227"/>
      <c r="E25" s="100"/>
      <c r="F25">
        <v>1</v>
      </c>
      <c r="G25" s="231">
        <v>356.29</v>
      </c>
      <c r="H25" s="231">
        <v>245.72</v>
      </c>
      <c r="I25" s="231">
        <v>356.29</v>
      </c>
      <c r="J25" s="228"/>
      <c r="K25">
        <v>1</v>
      </c>
      <c r="L25" s="231">
        <v>178.15</v>
      </c>
      <c r="M25" s="231">
        <v>178.15</v>
      </c>
      <c r="N25" s="232">
        <v>0.5</v>
      </c>
      <c r="O25" s="232">
        <v>0.5</v>
      </c>
      <c r="P25" s="98"/>
      <c r="Q25" s="102"/>
      <c r="R25" s="108"/>
      <c r="S25" s="231">
        <v>178.15</v>
      </c>
      <c r="T25" s="231">
        <v>178.15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127</v>
      </c>
      <c r="C26" t="s">
        <v>128</v>
      </c>
      <c r="D26" s="227"/>
      <c r="E26" s="100"/>
      <c r="F26">
        <v>1</v>
      </c>
      <c r="G26" s="231">
        <v>3786.04</v>
      </c>
      <c r="H26" s="231">
        <v>2611.06</v>
      </c>
      <c r="I26" s="231">
        <v>3786.04</v>
      </c>
      <c r="J26" s="228"/>
      <c r="K26">
        <v>1</v>
      </c>
      <c r="L26" s="231">
        <v>1893.02</v>
      </c>
      <c r="M26" s="231">
        <v>1893.02</v>
      </c>
      <c r="N26" s="232">
        <v>0.5</v>
      </c>
      <c r="O26" s="232">
        <v>0.5</v>
      </c>
      <c r="P26" s="98"/>
      <c r="Q26" s="102"/>
      <c r="R26" s="108"/>
      <c r="S26" s="231">
        <v>1893.02</v>
      </c>
      <c r="T26" s="231">
        <v>1893.02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129</v>
      </c>
      <c r="C27" t="s">
        <v>130</v>
      </c>
      <c r="D27" s="227"/>
      <c r="E27" s="100"/>
      <c r="F27">
        <v>3</v>
      </c>
      <c r="G27" s="231">
        <v>974.18</v>
      </c>
      <c r="H27" s="231">
        <v>671.85</v>
      </c>
      <c r="I27" s="231">
        <v>2922.54</v>
      </c>
      <c r="J27" s="228"/>
      <c r="K27">
        <v>3</v>
      </c>
      <c r="L27" s="231">
        <v>681.93</v>
      </c>
      <c r="M27" s="231">
        <v>2045.79</v>
      </c>
      <c r="N27" s="232">
        <v>0.3</v>
      </c>
      <c r="O27" s="232">
        <v>0.3</v>
      </c>
      <c r="P27" s="98"/>
      <c r="Q27" s="102"/>
      <c r="R27" s="108"/>
      <c r="S27" s="231">
        <v>2045.79</v>
      </c>
      <c r="T27" s="231">
        <v>6137.37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167</v>
      </c>
      <c r="I28" t="s">
        <v>167</v>
      </c>
      <c r="J28" s="228"/>
      <c r="K28">
        <v>0</v>
      </c>
      <c r="L28" t="s">
        <v>167</v>
      </c>
      <c r="M28" t="s">
        <v>167</v>
      </c>
      <c r="P28" s="98"/>
      <c r="Q28" s="102"/>
      <c r="R28" s="108"/>
      <c r="S28" t="s">
        <v>167</v>
      </c>
      <c r="T28" t="s">
        <v>167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131</v>
      </c>
      <c r="C29" t="s">
        <v>132</v>
      </c>
      <c r="D29" s="227"/>
      <c r="E29" s="100"/>
      <c r="F29">
        <v>2</v>
      </c>
      <c r="G29" s="231">
        <v>2467.27</v>
      </c>
      <c r="H29" s="231">
        <v>1701.57</v>
      </c>
      <c r="I29" s="231">
        <v>4934.54</v>
      </c>
      <c r="J29" s="228"/>
      <c r="K29">
        <v>2</v>
      </c>
      <c r="L29" s="231">
        <v>1357</v>
      </c>
      <c r="M29" s="231">
        <v>2714</v>
      </c>
      <c r="N29" s="232">
        <v>0.45</v>
      </c>
      <c r="O29" s="232">
        <v>0.45</v>
      </c>
      <c r="P29" s="98"/>
      <c r="Q29" s="102"/>
      <c r="R29" s="108"/>
      <c r="S29" s="231">
        <v>2714</v>
      </c>
      <c r="T29" s="231">
        <v>5428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133</v>
      </c>
      <c r="C30" t="s">
        <v>134</v>
      </c>
      <c r="D30" s="227"/>
      <c r="E30" s="100"/>
      <c r="F30">
        <v>2</v>
      </c>
      <c r="G30" s="231">
        <v>403.56</v>
      </c>
      <c r="H30" s="231">
        <v>278.32</v>
      </c>
      <c r="I30" s="231">
        <v>807.12</v>
      </c>
      <c r="J30" s="228"/>
      <c r="K30">
        <v>2</v>
      </c>
      <c r="L30" s="231">
        <v>221.96</v>
      </c>
      <c r="M30" s="231">
        <v>443.92</v>
      </c>
      <c r="N30" s="232">
        <v>0.45</v>
      </c>
      <c r="O30" s="232">
        <v>0.45</v>
      </c>
      <c r="P30" s="98"/>
      <c r="Q30" s="102"/>
      <c r="R30" s="108"/>
      <c r="S30" s="231">
        <v>443.92</v>
      </c>
      <c r="T30" s="231">
        <v>887.84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135</v>
      </c>
      <c r="C31" t="s">
        <v>136</v>
      </c>
      <c r="D31" s="227"/>
      <c r="E31" s="100"/>
      <c r="F31">
        <v>2</v>
      </c>
      <c r="G31" s="231">
        <v>7.14</v>
      </c>
      <c r="H31" s="231">
        <v>4.92</v>
      </c>
      <c r="I31" s="231">
        <v>14.28</v>
      </c>
      <c r="J31" s="228"/>
      <c r="K31">
        <v>2</v>
      </c>
      <c r="L31" s="231">
        <v>3.93</v>
      </c>
      <c r="M31" s="231">
        <v>7.86</v>
      </c>
      <c r="N31" s="232">
        <v>0.4496</v>
      </c>
      <c r="O31" s="232">
        <v>0.4496</v>
      </c>
      <c r="P31" s="98"/>
      <c r="Q31" s="102"/>
      <c r="R31" s="108"/>
      <c r="S31" s="231">
        <v>7.86</v>
      </c>
      <c r="T31" s="231">
        <v>15.72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137</v>
      </c>
      <c r="C32" t="s">
        <v>138</v>
      </c>
      <c r="D32" s="227"/>
      <c r="E32" s="100"/>
      <c r="F32">
        <v>4</v>
      </c>
      <c r="G32" s="231">
        <v>3.77</v>
      </c>
      <c r="H32" s="231">
        <v>2.6</v>
      </c>
      <c r="I32" s="231">
        <v>15.08</v>
      </c>
      <c r="J32" s="228"/>
      <c r="K32">
        <v>4</v>
      </c>
      <c r="L32" s="231">
        <v>2.08</v>
      </c>
      <c r="M32" s="231">
        <v>8.32</v>
      </c>
      <c r="N32" s="232">
        <v>0.44829999999999998</v>
      </c>
      <c r="O32" s="232">
        <v>0.44829999999999998</v>
      </c>
      <c r="P32" s="98"/>
      <c r="Q32" s="102"/>
      <c r="R32" s="108"/>
      <c r="S32" s="231">
        <v>8.32</v>
      </c>
      <c r="T32" s="231">
        <v>33.28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139</v>
      </c>
      <c r="C33" t="s">
        <v>140</v>
      </c>
      <c r="D33" s="227"/>
      <c r="E33" s="100"/>
      <c r="F33">
        <v>4</v>
      </c>
      <c r="G33" s="231">
        <v>498.61</v>
      </c>
      <c r="H33" s="231">
        <v>343.87</v>
      </c>
      <c r="I33" s="231">
        <v>1994.44</v>
      </c>
      <c r="J33" s="228"/>
      <c r="K33">
        <v>4</v>
      </c>
      <c r="L33" s="231">
        <v>274.24</v>
      </c>
      <c r="M33" s="231">
        <v>1096.96</v>
      </c>
      <c r="N33" s="232">
        <v>0.45</v>
      </c>
      <c r="O33" s="232">
        <v>0.45</v>
      </c>
      <c r="P33" s="98"/>
      <c r="Q33" s="102"/>
      <c r="R33" s="108"/>
      <c r="S33" s="231">
        <v>1096.96</v>
      </c>
      <c r="T33" s="231">
        <v>4387.84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135</v>
      </c>
      <c r="C34" t="s">
        <v>141</v>
      </c>
      <c r="D34" s="227"/>
      <c r="E34" s="100"/>
      <c r="F34">
        <v>16</v>
      </c>
      <c r="G34" s="231">
        <v>7.14</v>
      </c>
      <c r="H34" s="231">
        <v>4.92</v>
      </c>
      <c r="I34" s="231">
        <v>114.24</v>
      </c>
      <c r="J34" s="228"/>
      <c r="K34">
        <v>16</v>
      </c>
      <c r="L34" s="231">
        <v>3.93</v>
      </c>
      <c r="M34" s="231">
        <v>62.88</v>
      </c>
      <c r="N34" s="232">
        <v>0.4496</v>
      </c>
      <c r="O34" s="232">
        <v>0.4496</v>
      </c>
      <c r="P34" s="98"/>
      <c r="Q34" s="102"/>
      <c r="R34" s="108"/>
      <c r="S34" s="231">
        <v>62.88</v>
      </c>
      <c r="T34" s="231">
        <v>1006.08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142</v>
      </c>
      <c r="C35" t="s">
        <v>143</v>
      </c>
      <c r="D35" s="227"/>
      <c r="E35" s="100"/>
      <c r="F35">
        <v>20</v>
      </c>
      <c r="G35" s="231">
        <v>5.59</v>
      </c>
      <c r="H35" s="231">
        <v>3.86</v>
      </c>
      <c r="I35" s="231">
        <v>111.8</v>
      </c>
      <c r="J35" s="228"/>
      <c r="K35">
        <v>20</v>
      </c>
      <c r="L35" s="231">
        <v>3.08</v>
      </c>
      <c r="M35" s="231">
        <v>61.6</v>
      </c>
      <c r="N35" s="232">
        <v>0.44900000000000001</v>
      </c>
      <c r="O35" s="232">
        <v>0.44900000000000001</v>
      </c>
      <c r="P35" s="98"/>
      <c r="Q35" s="102"/>
      <c r="R35" s="108"/>
      <c r="S35" s="231">
        <v>61.6</v>
      </c>
      <c r="T35" s="231">
        <v>1232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144</v>
      </c>
      <c r="C36" t="s">
        <v>145</v>
      </c>
      <c r="D36" s="227"/>
      <c r="E36" s="100"/>
      <c r="F36">
        <v>2</v>
      </c>
      <c r="G36" s="231">
        <v>854.8</v>
      </c>
      <c r="H36" s="231">
        <v>589.52</v>
      </c>
      <c r="I36" s="231">
        <v>1709.6</v>
      </c>
      <c r="J36" s="228"/>
      <c r="K36">
        <v>2</v>
      </c>
      <c r="L36" s="231">
        <v>470.14</v>
      </c>
      <c r="M36" s="231">
        <v>940.28</v>
      </c>
      <c r="N36" s="232">
        <v>0.45</v>
      </c>
      <c r="O36" s="232">
        <v>0.45</v>
      </c>
      <c r="P36" s="98"/>
      <c r="Q36" s="102"/>
      <c r="R36" s="108"/>
      <c r="S36" s="231">
        <v>940.28</v>
      </c>
      <c r="T36" s="231">
        <v>1880.56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D37" s="227"/>
      <c r="E37" s="100"/>
      <c r="H37" t="s">
        <v>167</v>
      </c>
      <c r="I37" t="s">
        <v>167</v>
      </c>
      <c r="J37" s="228"/>
      <c r="K37">
        <v>0</v>
      </c>
      <c r="L37" t="s">
        <v>167</v>
      </c>
      <c r="M37" t="s">
        <v>167</v>
      </c>
      <c r="P37" s="98"/>
      <c r="Q37" s="102"/>
      <c r="R37" s="108"/>
      <c r="S37" t="s">
        <v>167</v>
      </c>
      <c r="T37" t="s">
        <v>167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146</v>
      </c>
      <c r="C38" t="s">
        <v>147</v>
      </c>
      <c r="D38" s="227"/>
      <c r="E38" s="100"/>
      <c r="F38">
        <v>1</v>
      </c>
      <c r="G38" s="231">
        <v>3156.78</v>
      </c>
      <c r="H38" s="231">
        <v>2177.09</v>
      </c>
      <c r="I38" s="231">
        <v>3156.78</v>
      </c>
      <c r="J38" s="228"/>
      <c r="K38">
        <v>1</v>
      </c>
      <c r="L38" s="231">
        <v>1578.39</v>
      </c>
      <c r="M38" s="231">
        <v>1578.39</v>
      </c>
      <c r="N38" s="232">
        <v>0.5</v>
      </c>
      <c r="O38" s="232">
        <v>0.5</v>
      </c>
      <c r="P38" s="98"/>
      <c r="Q38" s="102"/>
      <c r="R38" s="108"/>
      <c r="S38" s="231">
        <v>1578.39</v>
      </c>
      <c r="T38" s="231">
        <v>1578.39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148</v>
      </c>
      <c r="C39" t="s">
        <v>149</v>
      </c>
      <c r="D39" s="227"/>
      <c r="E39" s="100"/>
      <c r="F39">
        <v>1</v>
      </c>
      <c r="G39" s="231">
        <v>515.16999999999996</v>
      </c>
      <c r="H39" s="231">
        <v>355.29</v>
      </c>
      <c r="I39" s="231">
        <v>515.16999999999996</v>
      </c>
      <c r="J39" s="228"/>
      <c r="K39">
        <v>1</v>
      </c>
      <c r="L39" s="231">
        <v>257.58999999999997</v>
      </c>
      <c r="M39" s="231">
        <v>257.58999999999997</v>
      </c>
      <c r="N39" s="232">
        <v>0.5</v>
      </c>
      <c r="O39" s="232">
        <v>0.5</v>
      </c>
      <c r="P39" s="98"/>
      <c r="Q39" s="102"/>
      <c r="R39" s="108"/>
      <c r="S39" s="231">
        <v>257.58999999999997</v>
      </c>
      <c r="T39" s="231">
        <v>257.58999999999997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150</v>
      </c>
      <c r="C40" t="s">
        <v>151</v>
      </c>
      <c r="D40" s="227"/>
      <c r="E40" s="100"/>
      <c r="F40">
        <v>1</v>
      </c>
      <c r="G40" s="231">
        <v>4035.36</v>
      </c>
      <c r="H40" s="231">
        <v>2783.01</v>
      </c>
      <c r="I40" s="231">
        <v>4035.36</v>
      </c>
      <c r="J40" s="228"/>
      <c r="K40">
        <v>1</v>
      </c>
      <c r="L40" s="231">
        <v>2017.68</v>
      </c>
      <c r="M40" s="231">
        <v>2017.68</v>
      </c>
      <c r="N40" s="232">
        <v>0.5</v>
      </c>
      <c r="O40" s="232">
        <v>0.5</v>
      </c>
      <c r="P40" s="98"/>
      <c r="Q40" s="102"/>
      <c r="R40" s="108"/>
      <c r="S40" s="231">
        <v>2017.68</v>
      </c>
      <c r="T40" s="231">
        <v>2017.68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152</v>
      </c>
      <c r="C41" t="s">
        <v>153</v>
      </c>
      <c r="D41" s="227"/>
      <c r="E41" s="100"/>
      <c r="F41">
        <v>1</v>
      </c>
      <c r="G41" s="231">
        <v>3744.05</v>
      </c>
      <c r="H41" s="231">
        <v>2582.1</v>
      </c>
      <c r="I41" s="231">
        <v>3744.05</v>
      </c>
      <c r="J41" s="228"/>
      <c r="K41">
        <v>1</v>
      </c>
      <c r="L41" s="231">
        <v>1872.03</v>
      </c>
      <c r="M41" s="231">
        <v>1872.03</v>
      </c>
      <c r="N41" s="232">
        <v>0.5</v>
      </c>
      <c r="O41" s="232">
        <v>0.5</v>
      </c>
      <c r="P41" s="98"/>
      <c r="Q41" s="102"/>
      <c r="R41" s="108"/>
      <c r="S41" s="231">
        <v>1872.03</v>
      </c>
      <c r="T41" s="231">
        <v>1872.03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D42" s="227"/>
      <c r="E42" s="100"/>
      <c r="H42" t="s">
        <v>167</v>
      </c>
      <c r="I42" t="s">
        <v>167</v>
      </c>
      <c r="J42" s="228"/>
      <c r="K42">
        <v>0</v>
      </c>
      <c r="L42" t="s">
        <v>167</v>
      </c>
      <c r="M42" t="s">
        <v>167</v>
      </c>
      <c r="P42" s="98"/>
      <c r="Q42" s="102"/>
      <c r="R42" s="108"/>
      <c r="S42" t="s">
        <v>167</v>
      </c>
      <c r="T42" t="s">
        <v>167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B43" t="s">
        <v>154</v>
      </c>
      <c r="C43" t="s">
        <v>155</v>
      </c>
      <c r="D43" s="227"/>
      <c r="E43" s="100"/>
      <c r="F43">
        <v>1</v>
      </c>
      <c r="G43" s="231">
        <v>147.55000000000001</v>
      </c>
      <c r="H43" s="231">
        <v>101.76</v>
      </c>
      <c r="I43" s="231">
        <v>147.55000000000001</v>
      </c>
      <c r="J43" s="228"/>
      <c r="K43">
        <v>1</v>
      </c>
      <c r="L43" s="231">
        <v>81.16</v>
      </c>
      <c r="M43" s="231">
        <v>81.16</v>
      </c>
      <c r="N43" s="232">
        <v>0.44990000000000002</v>
      </c>
      <c r="O43" s="232">
        <v>0.44990000000000002</v>
      </c>
      <c r="P43" s="98"/>
      <c r="Q43" s="102"/>
      <c r="R43" s="108"/>
      <c r="S43" s="231">
        <v>81.16</v>
      </c>
      <c r="T43" s="231">
        <v>81.16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C44" t="s">
        <v>156</v>
      </c>
      <c r="D44" s="227"/>
      <c r="E44" s="100"/>
      <c r="H44" t="s">
        <v>167</v>
      </c>
      <c r="I44" t="s">
        <v>167</v>
      </c>
      <c r="J44" s="228"/>
      <c r="K44">
        <v>0</v>
      </c>
      <c r="L44" t="s">
        <v>167</v>
      </c>
      <c r="M44" t="s">
        <v>167</v>
      </c>
      <c r="P44" s="98"/>
      <c r="Q44" s="102"/>
      <c r="R44" s="108"/>
      <c r="S44" t="s">
        <v>167</v>
      </c>
      <c r="T44" t="s">
        <v>167</v>
      </c>
      <c r="U44" s="232">
        <v>0</v>
      </c>
      <c r="V44" s="232">
        <v>0</v>
      </c>
      <c r="W44" s="229"/>
      <c r="X44" s="230"/>
      <c r="Y44" s="8"/>
      <c r="Z44" s="8"/>
    </row>
    <row r="45" spans="2:26">
      <c r="C45" t="s">
        <v>157</v>
      </c>
      <c r="D45" s="227"/>
      <c r="E45" s="100"/>
      <c r="H45" t="s">
        <v>167</v>
      </c>
      <c r="I45" t="s">
        <v>167</v>
      </c>
      <c r="J45" s="228"/>
      <c r="K45">
        <v>0</v>
      </c>
      <c r="L45" t="s">
        <v>167</v>
      </c>
      <c r="M45" t="s">
        <v>167</v>
      </c>
      <c r="P45" s="98"/>
      <c r="Q45" s="102"/>
      <c r="R45" s="108"/>
      <c r="S45" t="s">
        <v>167</v>
      </c>
      <c r="T45" t="s">
        <v>167</v>
      </c>
      <c r="U45" s="232">
        <v>0</v>
      </c>
      <c r="V45" s="232">
        <v>0</v>
      </c>
      <c r="W45" s="229"/>
      <c r="X45" s="230"/>
      <c r="Y45" s="8"/>
      <c r="Z45" s="8"/>
    </row>
    <row r="46" spans="2:26">
      <c r="C46" t="s">
        <v>158</v>
      </c>
      <c r="D46" s="227"/>
      <c r="E46" s="100"/>
      <c r="H46" t="s">
        <v>167</v>
      </c>
      <c r="I46" t="s">
        <v>167</v>
      </c>
      <c r="J46" s="228"/>
      <c r="K46">
        <v>0</v>
      </c>
      <c r="L46" t="s">
        <v>167</v>
      </c>
      <c r="M46" t="s">
        <v>167</v>
      </c>
      <c r="P46" s="98"/>
      <c r="Q46" s="102"/>
      <c r="R46" s="108"/>
      <c r="S46" t="s">
        <v>167</v>
      </c>
      <c r="T46" t="s">
        <v>167</v>
      </c>
      <c r="U46" s="232">
        <v>0</v>
      </c>
      <c r="V46" s="232">
        <v>0</v>
      </c>
      <c r="W46" s="229"/>
      <c r="X46" s="230"/>
      <c r="Y46" s="8"/>
      <c r="Z46" s="8"/>
    </row>
    <row r="47" spans="2:26">
      <c r="D47" s="227"/>
      <c r="E47" s="100"/>
      <c r="H47" t="s">
        <v>167</v>
      </c>
      <c r="I47" t="s">
        <v>167</v>
      </c>
      <c r="J47" s="228"/>
      <c r="K47">
        <v>0</v>
      </c>
      <c r="L47" t="s">
        <v>167</v>
      </c>
      <c r="M47" t="s">
        <v>167</v>
      </c>
      <c r="P47" s="98"/>
      <c r="Q47" s="102"/>
      <c r="R47" s="108"/>
      <c r="S47" t="s">
        <v>167</v>
      </c>
      <c r="T47" t="s">
        <v>167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159</v>
      </c>
      <c r="C48" t="s">
        <v>160</v>
      </c>
      <c r="D48" s="227"/>
      <c r="E48" s="100"/>
      <c r="F48">
        <v>1</v>
      </c>
      <c r="G48" s="231">
        <v>512.79</v>
      </c>
      <c r="H48" s="231">
        <v>353.65</v>
      </c>
      <c r="I48" s="231">
        <v>512.79</v>
      </c>
      <c r="J48" s="228"/>
      <c r="K48">
        <v>1</v>
      </c>
      <c r="L48" s="231">
        <v>256.39999999999998</v>
      </c>
      <c r="M48" s="231">
        <v>256.39999999999998</v>
      </c>
      <c r="N48" s="232">
        <v>0.5</v>
      </c>
      <c r="O48" s="232">
        <v>0.5</v>
      </c>
      <c r="P48" s="98"/>
      <c r="Q48" s="102"/>
      <c r="R48" s="108"/>
      <c r="S48" s="231">
        <v>256.39999999999998</v>
      </c>
      <c r="T48" s="231">
        <v>256.39999999999998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161</v>
      </c>
      <c r="C49" t="s">
        <v>162</v>
      </c>
      <c r="D49" s="87"/>
      <c r="E49" s="88"/>
      <c r="F49">
        <v>1</v>
      </c>
      <c r="G49" s="231">
        <v>7622.73</v>
      </c>
      <c r="H49" s="231">
        <v>5257.06</v>
      </c>
      <c r="I49" s="231">
        <v>7622.73</v>
      </c>
      <c r="J49" s="105"/>
      <c r="K49">
        <v>1</v>
      </c>
      <c r="L49" s="231">
        <v>3811.37</v>
      </c>
      <c r="M49" s="231">
        <v>3811.37</v>
      </c>
      <c r="N49" s="232">
        <v>0.5</v>
      </c>
      <c r="O49" s="232">
        <v>0.5</v>
      </c>
      <c r="P49" s="115"/>
      <c r="Q49" s="94"/>
      <c r="R49" s="94"/>
      <c r="S49" s="231">
        <v>3811.37</v>
      </c>
      <c r="T49" s="231">
        <v>3811.37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163</v>
      </c>
      <c r="C50" t="s">
        <v>164</v>
      </c>
      <c r="D50" s="87"/>
      <c r="E50" s="100"/>
      <c r="F50">
        <v>1</v>
      </c>
      <c r="G50" s="231">
        <v>831.44</v>
      </c>
      <c r="H50" s="231">
        <v>573.41</v>
      </c>
      <c r="I50" s="231">
        <v>831.44</v>
      </c>
      <c r="J50" s="105"/>
      <c r="K50">
        <v>1</v>
      </c>
      <c r="L50" s="231">
        <v>415.72</v>
      </c>
      <c r="M50" s="231">
        <v>415.72</v>
      </c>
      <c r="N50" s="232">
        <v>0.5</v>
      </c>
      <c r="O50" s="232">
        <v>0.5</v>
      </c>
      <c r="P50" s="98"/>
      <c r="Q50" s="102"/>
      <c r="R50" s="108"/>
      <c r="S50" s="231">
        <v>415.72</v>
      </c>
      <c r="T50" s="231">
        <v>415.72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165</v>
      </c>
      <c r="C51" t="s">
        <v>166</v>
      </c>
      <c r="D51" s="87"/>
      <c r="E51" s="88"/>
      <c r="F51">
        <v>2</v>
      </c>
      <c r="G51" s="231">
        <v>10089.31</v>
      </c>
      <c r="H51" s="231">
        <v>6958.14</v>
      </c>
      <c r="I51" s="231">
        <v>20178.62</v>
      </c>
      <c r="J51" s="105"/>
      <c r="K51">
        <v>2</v>
      </c>
      <c r="L51" s="231">
        <v>5044.66</v>
      </c>
      <c r="M51" s="231">
        <v>10089.32</v>
      </c>
      <c r="N51" s="232">
        <v>0.5</v>
      </c>
      <c r="O51" s="232">
        <v>0.5</v>
      </c>
      <c r="P51" s="115"/>
      <c r="Q51" s="94"/>
      <c r="R51" s="94"/>
      <c r="S51" s="231">
        <v>10089.32</v>
      </c>
      <c r="T51" s="231">
        <v>20178.64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s="98"/>
      <c r="C52" s="99"/>
      <c r="D52" s="87"/>
      <c r="E52" s="100"/>
      <c r="F52" s="101"/>
      <c r="G52" s="102"/>
      <c r="H52" s="103"/>
      <c r="I52" s="104"/>
      <c r="J52" s="105"/>
      <c r="K52" s="106"/>
      <c r="L52" s="103"/>
      <c r="M52" s="103"/>
      <c r="N52" s="107"/>
      <c r="O52" s="93"/>
      <c r="P52" s="98"/>
      <c r="Q52" s="102"/>
      <c r="R52" s="108"/>
      <c r="S52" s="109"/>
      <c r="T52" s="109"/>
      <c r="U52" s="110"/>
      <c r="V52" s="110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73</v>
      </c>
      <c r="G78" s="121">
        <f t="shared" si="0"/>
        <v>40475.64</v>
      </c>
      <c r="H78" s="122">
        <f t="shared" si="0"/>
        <v>27914.25</v>
      </c>
      <c r="I78" s="123">
        <f t="shared" si="0"/>
        <v>57966.53</v>
      </c>
      <c r="J78" s="124"/>
      <c r="K78" s="125">
        <f t="shared" ref="K78:M78" si="1">SUM(K19:K77)</f>
        <v>73</v>
      </c>
      <c r="L78" s="122">
        <f t="shared" si="1"/>
        <v>20676.54</v>
      </c>
      <c r="M78" s="123">
        <f t="shared" si="1"/>
        <v>30084.52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30084.52</v>
      </c>
      <c r="T78" s="123">
        <f t="shared" si="2"/>
        <v>53800.920000000006</v>
      </c>
      <c r="U78" s="128"/>
      <c r="V78" s="128"/>
      <c r="W78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E19:E77" xr:uid="{00000000-0002-0000-0100-000000000000}">
      <formula1>$Z$19:$Z$58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DDCD-CC53-44BF-B635-558BFA091AA8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168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81955.210000000006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2014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45800.4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36154.810000000005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169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0.44115328360454453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171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1812408.14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172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45800.4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1100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174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>
        <v>0.49990000000000001</v>
      </c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2</v>
      </c>
      <c r="G20" s="231">
        <v>51.88</v>
      </c>
      <c r="H20" s="231">
        <v>35.78</v>
      </c>
      <c r="I20" s="231">
        <v>103.76</v>
      </c>
      <c r="J20" s="105"/>
      <c r="K20">
        <v>2</v>
      </c>
      <c r="L20" s="231">
        <v>25.94</v>
      </c>
      <c r="M20" s="231">
        <v>51.88</v>
      </c>
      <c r="N20" s="232">
        <v>0.5</v>
      </c>
      <c r="O20" s="232">
        <v>0.5</v>
      </c>
      <c r="P20" s="98"/>
      <c r="Q20" s="102"/>
      <c r="R20" s="108"/>
      <c r="S20" s="231">
        <v>51.88</v>
      </c>
      <c r="T20" s="231">
        <v>103.76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178</v>
      </c>
      <c r="D21" s="227"/>
      <c r="E21" s="100"/>
      <c r="F21">
        <v>1</v>
      </c>
      <c r="G21" s="231">
        <v>78.87</v>
      </c>
      <c r="H21" s="231">
        <v>54.39</v>
      </c>
      <c r="I21" s="231">
        <v>78.87</v>
      </c>
      <c r="J21" s="228"/>
      <c r="K21">
        <v>1</v>
      </c>
      <c r="L21" s="231">
        <v>39.44</v>
      </c>
      <c r="M21" s="231">
        <v>39.44</v>
      </c>
      <c r="N21" s="232">
        <v>0.49990000000000001</v>
      </c>
      <c r="O21" s="232">
        <v>0.49990000000000001</v>
      </c>
      <c r="P21" s="98"/>
      <c r="Q21" s="102"/>
      <c r="R21" s="108"/>
      <c r="S21" s="231">
        <v>39.44</v>
      </c>
      <c r="T21" s="231">
        <v>39.44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179</v>
      </c>
      <c r="C22" t="s">
        <v>180</v>
      </c>
      <c r="D22" s="227"/>
      <c r="E22" s="100"/>
      <c r="F22">
        <v>2</v>
      </c>
      <c r="G22" s="231">
        <v>229</v>
      </c>
      <c r="H22" s="231">
        <v>157.93</v>
      </c>
      <c r="I22" s="231">
        <v>458</v>
      </c>
      <c r="J22" s="228"/>
      <c r="K22">
        <v>2</v>
      </c>
      <c r="L22" s="231">
        <v>114.5</v>
      </c>
      <c r="M22" s="231">
        <v>229</v>
      </c>
      <c r="N22" s="232">
        <v>0.5</v>
      </c>
      <c r="O22" s="232">
        <v>0.5</v>
      </c>
      <c r="P22" s="98"/>
      <c r="Q22" s="102"/>
      <c r="R22" s="108"/>
      <c r="S22" s="231">
        <v>229</v>
      </c>
      <c r="T22" s="231">
        <v>458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181</v>
      </c>
      <c r="C23" t="s">
        <v>118</v>
      </c>
      <c r="D23" s="227"/>
      <c r="E23" s="100"/>
      <c r="F23">
        <v>1</v>
      </c>
      <c r="G23" s="231">
        <v>120.35</v>
      </c>
      <c r="H23" s="231">
        <v>83</v>
      </c>
      <c r="I23" s="231">
        <v>120.35</v>
      </c>
      <c r="J23" s="228"/>
      <c r="K23">
        <v>1</v>
      </c>
      <c r="L23" s="231">
        <v>78.23</v>
      </c>
      <c r="M23" s="231">
        <v>78.23</v>
      </c>
      <c r="N23" s="232">
        <v>0.35</v>
      </c>
      <c r="O23" s="232">
        <v>0.35</v>
      </c>
      <c r="P23" s="98"/>
      <c r="Q23" s="102"/>
      <c r="R23" s="108"/>
      <c r="S23" s="231">
        <v>78.23</v>
      </c>
      <c r="T23" s="231">
        <v>78.23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182</v>
      </c>
      <c r="C24" t="s">
        <v>120</v>
      </c>
      <c r="D24" s="227"/>
      <c r="E24" s="100"/>
      <c r="F24">
        <v>1</v>
      </c>
      <c r="G24" s="231">
        <v>97.91</v>
      </c>
      <c r="H24" s="231">
        <v>67.52</v>
      </c>
      <c r="I24" s="231">
        <v>97.91</v>
      </c>
      <c r="J24" s="228"/>
      <c r="K24">
        <v>1</v>
      </c>
      <c r="L24" s="231">
        <v>63.65</v>
      </c>
      <c r="M24" s="231">
        <v>63.65</v>
      </c>
      <c r="N24" s="232">
        <v>0.34989999999999999</v>
      </c>
      <c r="O24" s="232">
        <v>0.34989999999999999</v>
      </c>
      <c r="P24" s="98"/>
      <c r="Q24" s="102"/>
      <c r="R24" s="108"/>
      <c r="S24" s="231">
        <v>63.65</v>
      </c>
      <c r="T24" s="231">
        <v>63.65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183</v>
      </c>
      <c r="C25" t="s">
        <v>184</v>
      </c>
      <c r="D25" s="227"/>
      <c r="E25" s="100"/>
      <c r="F25">
        <v>6</v>
      </c>
      <c r="G25" s="231">
        <v>1474.09</v>
      </c>
      <c r="H25" s="231">
        <v>1016.61</v>
      </c>
      <c r="I25" s="231">
        <v>8844.5400000000009</v>
      </c>
      <c r="J25" s="228"/>
      <c r="K25">
        <v>6</v>
      </c>
      <c r="L25" s="231">
        <v>1031.8699999999999</v>
      </c>
      <c r="M25" s="231">
        <v>6191.22</v>
      </c>
      <c r="N25" s="232">
        <v>0.3</v>
      </c>
      <c r="O25" s="232">
        <v>0.3</v>
      </c>
      <c r="P25" s="98"/>
      <c r="Q25" s="102"/>
      <c r="R25" s="108"/>
      <c r="S25" s="231">
        <v>6191.22</v>
      </c>
      <c r="T25" s="231">
        <v>37147.32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185</v>
      </c>
      <c r="C26" t="s">
        <v>186</v>
      </c>
      <c r="D26" s="227"/>
      <c r="E26" s="100"/>
      <c r="F26">
        <v>1</v>
      </c>
      <c r="G26" s="231">
        <v>5964.28</v>
      </c>
      <c r="H26" s="231">
        <v>4113.3</v>
      </c>
      <c r="I26" s="231">
        <v>5964.28</v>
      </c>
      <c r="J26" s="228"/>
      <c r="K26">
        <v>1</v>
      </c>
      <c r="L26" s="231">
        <v>2982.14</v>
      </c>
      <c r="M26" s="231">
        <v>2982.14</v>
      </c>
      <c r="N26" s="232">
        <v>0.5</v>
      </c>
      <c r="O26" s="232">
        <v>0.5</v>
      </c>
      <c r="P26" s="98"/>
      <c r="Q26" s="102"/>
      <c r="R26" s="108"/>
      <c r="S26" s="231">
        <v>2982.14</v>
      </c>
      <c r="T26" s="231">
        <v>2982.14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187</v>
      </c>
      <c r="C27" t="s">
        <v>188</v>
      </c>
      <c r="D27" s="227"/>
      <c r="E27" s="100"/>
      <c r="F27">
        <v>4</v>
      </c>
      <c r="G27" s="231">
        <v>523.07000000000005</v>
      </c>
      <c r="H27" s="231">
        <v>360.74</v>
      </c>
      <c r="I27" s="231">
        <v>2092.2800000000002</v>
      </c>
      <c r="J27" s="228"/>
      <c r="K27">
        <v>4</v>
      </c>
      <c r="L27" s="231">
        <v>261.54000000000002</v>
      </c>
      <c r="M27" s="231">
        <v>1046.1600000000001</v>
      </c>
      <c r="N27" s="232">
        <v>0.5</v>
      </c>
      <c r="O27" s="232">
        <v>0.5</v>
      </c>
      <c r="P27" s="98"/>
      <c r="Q27" s="102"/>
      <c r="R27" s="108"/>
      <c r="S27" s="231">
        <v>1046.1600000000001</v>
      </c>
      <c r="T27" s="231">
        <v>4184.6400000000003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167</v>
      </c>
      <c r="I28" t="s">
        <v>167</v>
      </c>
      <c r="J28" s="228"/>
      <c r="K28">
        <v>0</v>
      </c>
      <c r="L28" t="s">
        <v>167</v>
      </c>
      <c r="M28" t="s">
        <v>167</v>
      </c>
      <c r="P28" s="98"/>
      <c r="Q28" s="102"/>
      <c r="R28" s="108"/>
      <c r="S28" t="s">
        <v>167</v>
      </c>
      <c r="T28" t="s">
        <v>167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s="233" t="s">
        <v>189</v>
      </c>
      <c r="C29" t="s">
        <v>190</v>
      </c>
      <c r="D29" s="227"/>
      <c r="E29" s="100"/>
      <c r="F29">
        <v>2</v>
      </c>
      <c r="G29" s="231">
        <v>1064.58</v>
      </c>
      <c r="H29" s="231">
        <v>734.19</v>
      </c>
      <c r="I29" s="231">
        <v>2129.16</v>
      </c>
      <c r="J29" s="228"/>
      <c r="K29">
        <v>2</v>
      </c>
      <c r="L29" s="231">
        <v>585.52</v>
      </c>
      <c r="M29" s="231">
        <v>1171.04</v>
      </c>
      <c r="N29" s="232">
        <v>0.45</v>
      </c>
      <c r="O29" s="232">
        <v>0.45</v>
      </c>
      <c r="P29" s="98"/>
      <c r="Q29" s="102"/>
      <c r="R29" s="108"/>
      <c r="S29" s="231">
        <v>1171.04</v>
      </c>
      <c r="T29" s="231">
        <v>2342.08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191</v>
      </c>
      <c r="C30" t="s">
        <v>192</v>
      </c>
      <c r="D30" s="227"/>
      <c r="E30" s="100"/>
      <c r="F30">
        <v>32</v>
      </c>
      <c r="G30" s="231">
        <v>8.76</v>
      </c>
      <c r="H30" s="231">
        <v>6.04</v>
      </c>
      <c r="I30" s="231">
        <v>280.32</v>
      </c>
      <c r="J30" s="228"/>
      <c r="K30">
        <v>32</v>
      </c>
      <c r="L30" s="231">
        <v>4.82</v>
      </c>
      <c r="M30" s="231">
        <v>154.24</v>
      </c>
      <c r="N30" s="232">
        <v>0.44979999999999998</v>
      </c>
      <c r="O30" s="232">
        <v>0.44979999999999998</v>
      </c>
      <c r="P30" s="98"/>
      <c r="Q30" s="102"/>
      <c r="R30" s="108"/>
      <c r="S30" s="231">
        <v>154.24</v>
      </c>
      <c r="T30" s="231">
        <v>4935.68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193</v>
      </c>
      <c r="C31" t="s">
        <v>194</v>
      </c>
      <c r="D31" s="227"/>
      <c r="E31" s="100"/>
      <c r="F31">
        <v>2</v>
      </c>
      <c r="G31" s="231">
        <v>2633.14</v>
      </c>
      <c r="H31" s="231">
        <v>1815.96</v>
      </c>
      <c r="I31" s="231">
        <v>5266.28</v>
      </c>
      <c r="J31" s="228"/>
      <c r="K31">
        <v>2</v>
      </c>
      <c r="L31" s="231">
        <v>1448.23</v>
      </c>
      <c r="M31" s="231">
        <v>2896.46</v>
      </c>
      <c r="N31" s="232">
        <v>0.45</v>
      </c>
      <c r="O31" s="232">
        <v>0.45</v>
      </c>
      <c r="P31" s="98"/>
      <c r="Q31" s="102"/>
      <c r="R31" s="108"/>
      <c r="S31" s="231">
        <v>2896.46</v>
      </c>
      <c r="T31" s="231">
        <v>5792.92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195</v>
      </c>
      <c r="C32" t="s">
        <v>196</v>
      </c>
      <c r="D32" s="227"/>
      <c r="E32" s="100"/>
      <c r="F32">
        <v>8</v>
      </c>
      <c r="G32" s="231">
        <v>7.85</v>
      </c>
      <c r="H32" s="231">
        <v>5.41</v>
      </c>
      <c r="I32" s="231">
        <v>62.8</v>
      </c>
      <c r="J32" s="228"/>
      <c r="K32">
        <v>8</v>
      </c>
      <c r="L32" s="231">
        <v>4.32</v>
      </c>
      <c r="M32" s="231">
        <v>34.56</v>
      </c>
      <c r="N32" s="232">
        <v>0.44969999999999999</v>
      </c>
      <c r="O32" s="232">
        <v>0.44969999999999999</v>
      </c>
      <c r="P32" s="98"/>
      <c r="Q32" s="102"/>
      <c r="R32" s="108"/>
      <c r="S32" s="231">
        <v>34.56</v>
      </c>
      <c r="T32" s="231">
        <v>276.48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s="233" t="s">
        <v>197</v>
      </c>
      <c r="C33" t="s">
        <v>134</v>
      </c>
      <c r="D33" s="227"/>
      <c r="E33" s="100"/>
      <c r="F33">
        <v>4</v>
      </c>
      <c r="G33" s="231">
        <v>537.45000000000005</v>
      </c>
      <c r="H33" s="231">
        <v>370.66</v>
      </c>
      <c r="I33" s="231">
        <v>2149.8000000000002</v>
      </c>
      <c r="J33" s="228"/>
      <c r="K33">
        <v>4</v>
      </c>
      <c r="L33" s="231">
        <v>295.60000000000002</v>
      </c>
      <c r="M33" s="231">
        <v>1182.4000000000001</v>
      </c>
      <c r="N33" s="232">
        <v>0.45</v>
      </c>
      <c r="O33" s="232">
        <v>0.45</v>
      </c>
      <c r="P33" s="98"/>
      <c r="Q33" s="102"/>
      <c r="R33" s="108"/>
      <c r="S33" s="231">
        <v>1182.4000000000001</v>
      </c>
      <c r="T33" s="231">
        <v>4729.6000000000004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198</v>
      </c>
      <c r="C34" t="s">
        <v>199</v>
      </c>
      <c r="D34" s="227"/>
      <c r="E34" s="100"/>
      <c r="F34">
        <v>16</v>
      </c>
      <c r="G34" s="231">
        <v>748.26</v>
      </c>
      <c r="H34" s="231">
        <v>516.04</v>
      </c>
      <c r="I34" s="231">
        <v>11972.16</v>
      </c>
      <c r="J34" s="228"/>
      <c r="K34">
        <v>16</v>
      </c>
      <c r="L34" s="231">
        <v>411.54</v>
      </c>
      <c r="M34" s="231">
        <v>6584.64</v>
      </c>
      <c r="N34" s="232">
        <v>0.45</v>
      </c>
      <c r="O34" s="232">
        <v>0.45</v>
      </c>
      <c r="P34" s="98"/>
      <c r="Q34" s="102"/>
      <c r="R34" s="108"/>
      <c r="S34" s="231">
        <v>6584.64</v>
      </c>
      <c r="T34" s="231">
        <v>105354.24000000001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200</v>
      </c>
      <c r="C35" t="s">
        <v>201</v>
      </c>
      <c r="D35" s="227"/>
      <c r="E35" s="100"/>
      <c r="F35">
        <v>4</v>
      </c>
      <c r="G35" s="231">
        <v>23.18</v>
      </c>
      <c r="H35" s="231">
        <v>15.99</v>
      </c>
      <c r="I35" s="231">
        <v>92.72</v>
      </c>
      <c r="J35" s="228"/>
      <c r="K35">
        <v>4</v>
      </c>
      <c r="L35" s="231">
        <v>12.75</v>
      </c>
      <c r="M35" s="231">
        <v>51</v>
      </c>
      <c r="N35" s="232">
        <v>0.45</v>
      </c>
      <c r="O35" s="232">
        <v>0.45</v>
      </c>
      <c r="P35" s="98"/>
      <c r="Q35" s="102"/>
      <c r="R35" s="108"/>
      <c r="S35" s="231">
        <v>51</v>
      </c>
      <c r="T35" s="231">
        <v>204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202</v>
      </c>
      <c r="C36" t="s">
        <v>201</v>
      </c>
      <c r="D36" s="227"/>
      <c r="E36" s="100"/>
      <c r="F36">
        <v>64</v>
      </c>
      <c r="G36" s="231">
        <v>20.079999999999998</v>
      </c>
      <c r="H36" s="231">
        <v>13.85</v>
      </c>
      <c r="I36" s="231">
        <v>1285.1199999999999</v>
      </c>
      <c r="J36" s="228"/>
      <c r="K36">
        <v>64</v>
      </c>
      <c r="L36" s="231">
        <v>11.04</v>
      </c>
      <c r="M36" s="231">
        <v>706.56</v>
      </c>
      <c r="N36" s="232">
        <v>0.45019999999999999</v>
      </c>
      <c r="O36" s="232">
        <v>0.45019999999999999</v>
      </c>
      <c r="P36" s="98"/>
      <c r="Q36" s="102"/>
      <c r="R36" s="108"/>
      <c r="S36" s="231">
        <v>706.56</v>
      </c>
      <c r="T36" s="231">
        <v>45219.839999999997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203</v>
      </c>
      <c r="C37" t="s">
        <v>204</v>
      </c>
      <c r="D37" s="227"/>
      <c r="E37" s="100"/>
      <c r="F37">
        <v>64</v>
      </c>
      <c r="G37" s="231">
        <v>2.99</v>
      </c>
      <c r="H37" s="231">
        <v>2.06</v>
      </c>
      <c r="I37" s="231">
        <v>191.36</v>
      </c>
      <c r="J37" s="228"/>
      <c r="K37">
        <v>64</v>
      </c>
      <c r="L37" s="231">
        <v>1.65</v>
      </c>
      <c r="M37" s="231">
        <v>105.6</v>
      </c>
      <c r="N37" s="232">
        <v>0.44819999999999999</v>
      </c>
      <c r="O37" s="232">
        <v>0.44819999999999999</v>
      </c>
      <c r="P37" s="98"/>
      <c r="Q37" s="102"/>
      <c r="R37" s="108"/>
      <c r="S37" s="231">
        <v>105.6</v>
      </c>
      <c r="T37" s="231">
        <v>6758.4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D38" s="227"/>
      <c r="E38" s="100"/>
      <c r="H38" t="s">
        <v>167</v>
      </c>
      <c r="I38" t="s">
        <v>167</v>
      </c>
      <c r="J38" s="228"/>
      <c r="K38">
        <v>0</v>
      </c>
      <c r="L38" t="s">
        <v>167</v>
      </c>
      <c r="M38" t="s">
        <v>167</v>
      </c>
      <c r="P38" s="98"/>
      <c r="Q38" s="102"/>
      <c r="R38" s="108"/>
      <c r="S38" t="s">
        <v>167</v>
      </c>
      <c r="T38" t="s">
        <v>167</v>
      </c>
      <c r="U38" s="232">
        <v>0</v>
      </c>
      <c r="V38" s="232">
        <v>0</v>
      </c>
      <c r="W38" s="229"/>
      <c r="X38" s="230"/>
      <c r="Y38" s="8"/>
      <c r="Z38" s="8"/>
    </row>
    <row r="39" spans="2:26">
      <c r="B39" t="s">
        <v>205</v>
      </c>
      <c r="C39" t="s">
        <v>206</v>
      </c>
      <c r="D39" s="227"/>
      <c r="E39" s="100"/>
      <c r="F39">
        <v>2</v>
      </c>
      <c r="G39" s="231">
        <v>8238.4699999999993</v>
      </c>
      <c r="H39" s="231">
        <v>5681.7</v>
      </c>
      <c r="I39" s="231">
        <v>16476.939999999999</v>
      </c>
      <c r="J39" s="228"/>
      <c r="K39">
        <v>2</v>
      </c>
      <c r="L39" s="231">
        <v>4531.16</v>
      </c>
      <c r="M39" s="231">
        <v>9062.32</v>
      </c>
      <c r="N39" s="232">
        <v>0.45</v>
      </c>
      <c r="O39" s="232">
        <v>0.45</v>
      </c>
      <c r="P39" s="98"/>
      <c r="Q39" s="102"/>
      <c r="R39" s="108"/>
      <c r="S39" s="231">
        <v>9062.32</v>
      </c>
      <c r="T39" s="231">
        <v>18124.64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207</v>
      </c>
      <c r="C40" t="s">
        <v>208</v>
      </c>
      <c r="D40" s="227"/>
      <c r="E40" s="100"/>
      <c r="F40">
        <v>98</v>
      </c>
      <c r="G40" s="231">
        <v>179.13</v>
      </c>
      <c r="H40" s="231">
        <v>123.54</v>
      </c>
      <c r="I40" s="231">
        <v>17554.740000000002</v>
      </c>
      <c r="J40" s="228"/>
      <c r="K40">
        <v>98</v>
      </c>
      <c r="L40" s="231">
        <v>98.53</v>
      </c>
      <c r="M40" s="231">
        <v>9655.94</v>
      </c>
      <c r="N40" s="232">
        <v>0.45</v>
      </c>
      <c r="O40" s="232">
        <v>0.45</v>
      </c>
      <c r="P40" s="98"/>
      <c r="Q40" s="102"/>
      <c r="R40" s="108"/>
      <c r="S40" s="231">
        <v>9655.94</v>
      </c>
      <c r="T40" s="231">
        <v>946282.12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209</v>
      </c>
      <c r="C41" t="s">
        <v>210</v>
      </c>
      <c r="D41" s="227"/>
      <c r="E41" s="100"/>
      <c r="F41">
        <v>392</v>
      </c>
      <c r="G41" s="231">
        <v>4.25</v>
      </c>
      <c r="H41" s="231">
        <v>2.93</v>
      </c>
      <c r="I41" s="231">
        <v>1666</v>
      </c>
      <c r="J41" s="228"/>
      <c r="K41">
        <v>392</v>
      </c>
      <c r="L41" s="231">
        <v>2.34</v>
      </c>
      <c r="M41" s="231">
        <v>917.28</v>
      </c>
      <c r="N41" s="232">
        <v>0.44940000000000002</v>
      </c>
      <c r="O41" s="232">
        <v>0.44940000000000002</v>
      </c>
      <c r="P41" s="98"/>
      <c r="Q41" s="102"/>
      <c r="R41" s="108"/>
      <c r="S41" s="231">
        <v>917.28</v>
      </c>
      <c r="T41" s="231">
        <v>359573.76000000001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211</v>
      </c>
      <c r="C42" t="s">
        <v>212</v>
      </c>
      <c r="D42" s="227"/>
      <c r="E42" s="100"/>
      <c r="F42">
        <v>392</v>
      </c>
      <c r="G42" s="231">
        <v>3.14</v>
      </c>
      <c r="H42" s="231">
        <v>2.17</v>
      </c>
      <c r="I42" s="231">
        <v>1230.8800000000001</v>
      </c>
      <c r="J42" s="228"/>
      <c r="K42">
        <v>392</v>
      </c>
      <c r="L42" s="231">
        <v>1.73</v>
      </c>
      <c r="M42" s="231">
        <v>678.16</v>
      </c>
      <c r="N42" s="232">
        <v>0.44900000000000001</v>
      </c>
      <c r="O42" s="232">
        <v>0.44900000000000001</v>
      </c>
      <c r="P42" s="98"/>
      <c r="Q42" s="102"/>
      <c r="R42" s="108"/>
      <c r="S42" s="231">
        <v>678.16</v>
      </c>
      <c r="T42" s="231">
        <v>265838.71999999997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213</v>
      </c>
      <c r="C44" t="s">
        <v>214</v>
      </c>
      <c r="D44" s="227"/>
      <c r="E44" s="100"/>
      <c r="F44">
        <v>1</v>
      </c>
      <c r="G44" s="231">
        <v>3792.79</v>
      </c>
      <c r="H44" s="231">
        <v>2615.7199999999998</v>
      </c>
      <c r="I44" s="231">
        <v>3792.79</v>
      </c>
      <c r="J44" s="228"/>
      <c r="K44">
        <v>1</v>
      </c>
      <c r="L44" s="231">
        <v>1896.4</v>
      </c>
      <c r="M44" s="231">
        <v>1896.4</v>
      </c>
      <c r="N44" s="232">
        <v>0.5</v>
      </c>
      <c r="O44" s="232">
        <v>0.5</v>
      </c>
      <c r="P44" s="98"/>
      <c r="Q44" s="102"/>
      <c r="R44" s="108"/>
      <c r="S44" s="231">
        <v>1896.4</v>
      </c>
      <c r="T44" s="231">
        <v>1896.4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D45" s="227"/>
      <c r="E45" s="100"/>
      <c r="J45" s="228"/>
      <c r="P45" s="98"/>
      <c r="Q45" s="102"/>
      <c r="R45" s="108"/>
      <c r="U45" s="232"/>
      <c r="V45" s="232"/>
      <c r="W45" s="229"/>
      <c r="X45" s="230"/>
      <c r="Y45" s="8"/>
      <c r="Z45" s="8"/>
    </row>
    <row r="46" spans="2:26">
      <c r="D46" s="227"/>
      <c r="E46" s="100"/>
      <c r="J46" s="228"/>
      <c r="P46" s="98"/>
      <c r="Q46" s="102"/>
      <c r="R46" s="108"/>
      <c r="U46" s="232"/>
      <c r="V46" s="232"/>
      <c r="W46" s="229"/>
      <c r="X46" s="230"/>
      <c r="Y46" s="8"/>
      <c r="Z46" s="8"/>
    </row>
    <row r="47" spans="2:26">
      <c r="D47" s="227"/>
      <c r="E47" s="100"/>
      <c r="J47" s="228"/>
      <c r="P47" s="98"/>
      <c r="Q47" s="102"/>
      <c r="R47" s="108"/>
      <c r="U47" s="232"/>
      <c r="V47" s="232"/>
      <c r="W47" s="229"/>
      <c r="X47" s="230"/>
      <c r="Y47" s="8"/>
      <c r="Z47" s="8"/>
    </row>
    <row r="48" spans="2:26">
      <c r="D48" s="227"/>
      <c r="E48" s="100"/>
      <c r="G48" s="231"/>
      <c r="H48" s="231"/>
      <c r="I48" s="231"/>
      <c r="J48" s="228"/>
      <c r="L48" s="231"/>
      <c r="M48" s="231"/>
      <c r="N48" s="231"/>
      <c r="O48" s="232"/>
      <c r="P48" s="98"/>
      <c r="Q48" s="102"/>
      <c r="R48" s="108"/>
      <c r="S48" s="231"/>
      <c r="T48" s="231"/>
      <c r="U48" s="232"/>
      <c r="V48" s="232"/>
      <c r="W48" s="229"/>
      <c r="X48" s="230"/>
      <c r="Y48" s="8"/>
      <c r="Z48" s="8"/>
    </row>
    <row r="49" spans="2:26">
      <c r="D49" s="87"/>
      <c r="E49" s="88"/>
      <c r="G49" s="231"/>
      <c r="H49" s="231"/>
      <c r="I49" s="231"/>
      <c r="J49" s="105"/>
      <c r="L49" s="231"/>
      <c r="M49" s="231"/>
      <c r="N49" s="231"/>
      <c r="O49" s="232"/>
      <c r="P49" s="115"/>
      <c r="Q49" s="94"/>
      <c r="R49" s="94"/>
      <c r="S49" s="231"/>
      <c r="T49" s="231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G50" s="231"/>
      <c r="H50" s="231"/>
      <c r="I50" s="231"/>
      <c r="J50" s="105"/>
      <c r="L50" s="231"/>
      <c r="M50" s="231"/>
      <c r="N50" s="231"/>
      <c r="O50" s="232"/>
      <c r="P50" s="98"/>
      <c r="Q50" s="102"/>
      <c r="R50" s="108"/>
      <c r="S50" s="231"/>
      <c r="T50" s="231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G51" s="231"/>
      <c r="H51" s="231"/>
      <c r="I51" s="231"/>
      <c r="J51" s="105"/>
      <c r="L51" s="231"/>
      <c r="M51" s="231"/>
      <c r="N51" s="231"/>
      <c r="O51" s="232"/>
      <c r="P51" s="115"/>
      <c r="Q51" s="94"/>
      <c r="R51" s="94"/>
      <c r="S51" s="231"/>
      <c r="T51" s="231"/>
      <c r="U51" s="232"/>
      <c r="V51" s="232"/>
      <c r="W51" s="96"/>
      <c r="X51" s="97"/>
      <c r="Y51" s="8"/>
      <c r="Z51" s="8"/>
    </row>
    <row r="52" spans="2:26" ht="15.75" customHeight="1">
      <c r="B52" s="98"/>
      <c r="C52" s="99"/>
      <c r="D52" s="87"/>
      <c r="E52" s="100"/>
      <c r="F52" s="101"/>
      <c r="G52" s="102"/>
      <c r="H52" s="103"/>
      <c r="I52" s="104"/>
      <c r="J52" s="105"/>
      <c r="K52" s="106"/>
      <c r="L52" s="103"/>
      <c r="M52" s="103"/>
      <c r="N52" s="107"/>
      <c r="O52" s="93"/>
      <c r="P52" s="98"/>
      <c r="Q52" s="102"/>
      <c r="R52" s="108"/>
      <c r="S52" s="109"/>
      <c r="T52" s="109"/>
      <c r="U52" s="110"/>
      <c r="V52" s="110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1100</v>
      </c>
      <c r="G78" s="121">
        <f t="shared" si="0"/>
        <v>25847.670000000002</v>
      </c>
      <c r="H78" s="122">
        <f t="shared" si="0"/>
        <v>17825.98</v>
      </c>
      <c r="I78" s="123">
        <f t="shared" si="0"/>
        <v>81955.210000000006</v>
      </c>
      <c r="J78" s="124"/>
      <c r="K78" s="125">
        <f t="shared" ref="K78:M78" si="1">SUM(K19:K77)</f>
        <v>1100</v>
      </c>
      <c r="L78" s="122">
        <f t="shared" si="1"/>
        <v>13925.019999999999</v>
      </c>
      <c r="M78" s="123">
        <f t="shared" si="1"/>
        <v>45800.4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45800.4</v>
      </c>
      <c r="T78" s="123">
        <f t="shared" si="2"/>
        <v>1812408.14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Q15 G18 L18 Q18" xr:uid="{08294326-3DE7-43F6-B7D5-79F66FD4CBAC}">
      <formula1>$Y$12:$Y$13</formula1>
    </dataValidation>
    <dataValidation type="list" allowBlank="1" showErrorMessage="1" sqref="J14" xr:uid="{B807C83B-0F08-42C9-B576-5FBE1DE4B64C}">
      <formula1>$L$9</formula1>
    </dataValidation>
    <dataValidation type="list" allowBlank="1" showErrorMessage="1" sqref="I14" xr:uid="{C13CB546-6F25-400B-AE43-5F09FDC78241}">
      <formula1>$Y$14:$Y$15</formula1>
    </dataValidation>
    <dataValidation type="list" allowBlank="1" showErrorMessage="1" sqref="E19:E77" xr:uid="{C8A9E1A3-B9D4-43A5-8CB1-59BBCED95450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6553-C25C-4A68-8814-3E2D77809D47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215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108983.63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2017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59867.650000000009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49115.979999999996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216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0.45067300474392341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217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1805056.31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218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59867.650000000009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1101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>
        <v>0.49990000000000001</v>
      </c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1</v>
      </c>
      <c r="G20" s="231">
        <v>51.88</v>
      </c>
      <c r="H20" s="231">
        <v>35.78</v>
      </c>
      <c r="I20" s="231">
        <v>51.88</v>
      </c>
      <c r="J20" s="105"/>
      <c r="K20">
        <v>1</v>
      </c>
      <c r="L20" s="231">
        <v>25.94</v>
      </c>
      <c r="M20" s="231">
        <v>25.94</v>
      </c>
      <c r="N20" s="232">
        <v>0.5</v>
      </c>
      <c r="O20" s="232">
        <v>0.5</v>
      </c>
      <c r="P20" s="98"/>
      <c r="Q20" s="102"/>
      <c r="R20" s="108"/>
      <c r="S20" s="231">
        <v>25.94</v>
      </c>
      <c r="T20" s="231">
        <v>25.94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220</v>
      </c>
      <c r="D21" s="227"/>
      <c r="E21" s="100"/>
      <c r="F21">
        <v>2</v>
      </c>
      <c r="G21" s="231">
        <v>78.87</v>
      </c>
      <c r="H21" s="231">
        <v>54.39</v>
      </c>
      <c r="I21" s="231">
        <v>157.74</v>
      </c>
      <c r="J21" s="228"/>
      <c r="K21">
        <v>2</v>
      </c>
      <c r="L21" s="231">
        <v>39.44</v>
      </c>
      <c r="M21" s="231">
        <v>78.88</v>
      </c>
      <c r="N21" s="232">
        <v>0.49990000000000001</v>
      </c>
      <c r="O21" s="232">
        <v>0.49990000000000001</v>
      </c>
      <c r="P21" s="98"/>
      <c r="Q21" s="102"/>
      <c r="R21" s="108"/>
      <c r="S21" s="231">
        <v>78.88</v>
      </c>
      <c r="T21" s="231">
        <v>157.76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181</v>
      </c>
      <c r="C22" t="s">
        <v>118</v>
      </c>
      <c r="D22" s="227"/>
      <c r="E22" s="100"/>
      <c r="F22">
        <v>1</v>
      </c>
      <c r="G22" s="231">
        <v>120.35</v>
      </c>
      <c r="H22" s="231">
        <v>83</v>
      </c>
      <c r="I22" s="231">
        <v>120.35</v>
      </c>
      <c r="J22" s="228"/>
      <c r="K22">
        <v>1</v>
      </c>
      <c r="L22" s="231">
        <v>78.23</v>
      </c>
      <c r="M22" s="231">
        <v>78.23</v>
      </c>
      <c r="N22" s="232">
        <v>0.35</v>
      </c>
      <c r="O22" s="232">
        <v>0.35</v>
      </c>
      <c r="P22" s="98"/>
      <c r="Q22" s="102"/>
      <c r="R22" s="108"/>
      <c r="S22" s="231">
        <v>78.23</v>
      </c>
      <c r="T22" s="231">
        <v>78.23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182</v>
      </c>
      <c r="C23" t="s">
        <v>221</v>
      </c>
      <c r="D23" s="227"/>
      <c r="E23" s="100"/>
      <c r="F23">
        <v>1</v>
      </c>
      <c r="G23" s="231">
        <v>97.91</v>
      </c>
      <c r="H23" s="231">
        <v>67.52</v>
      </c>
      <c r="I23" s="231">
        <v>97.91</v>
      </c>
      <c r="J23" s="228"/>
      <c r="K23">
        <v>1</v>
      </c>
      <c r="L23" s="231">
        <v>63.65</v>
      </c>
      <c r="M23" s="231">
        <v>63.65</v>
      </c>
      <c r="N23" s="232">
        <v>0.34989999999999999</v>
      </c>
      <c r="O23" s="232">
        <v>0.34989999999999999</v>
      </c>
      <c r="P23" s="98"/>
      <c r="Q23" s="102"/>
      <c r="R23" s="108"/>
      <c r="S23" s="231">
        <v>63.65</v>
      </c>
      <c r="T23" s="231">
        <v>63.65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222</v>
      </c>
      <c r="C24" t="s">
        <v>124</v>
      </c>
      <c r="D24" s="227"/>
      <c r="E24" s="100"/>
      <c r="F24">
        <v>1</v>
      </c>
      <c r="G24" s="231">
        <v>106.56</v>
      </c>
      <c r="H24" s="231">
        <v>73.489999999999995</v>
      </c>
      <c r="I24" s="231">
        <v>106.56</v>
      </c>
      <c r="J24" s="228"/>
      <c r="K24">
        <v>1</v>
      </c>
      <c r="L24" s="231">
        <v>53.28</v>
      </c>
      <c r="M24" s="231">
        <v>53.28</v>
      </c>
      <c r="N24" s="232">
        <v>0.5</v>
      </c>
      <c r="O24" s="232">
        <v>0.5</v>
      </c>
      <c r="P24" s="98"/>
      <c r="Q24" s="102"/>
      <c r="R24" s="108"/>
      <c r="S24" s="231">
        <v>53.28</v>
      </c>
      <c r="T24" s="231">
        <v>53.28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179</v>
      </c>
      <c r="C25" t="s">
        <v>124</v>
      </c>
      <c r="D25" s="227"/>
      <c r="E25" s="100"/>
      <c r="F25">
        <v>1</v>
      </c>
      <c r="G25" s="231">
        <v>229</v>
      </c>
      <c r="H25" s="231">
        <v>157.93</v>
      </c>
      <c r="I25" s="231">
        <v>229</v>
      </c>
      <c r="J25" s="228"/>
      <c r="K25">
        <v>1</v>
      </c>
      <c r="L25" s="231">
        <v>114.5</v>
      </c>
      <c r="M25" s="231">
        <v>114.5</v>
      </c>
      <c r="N25" s="232">
        <v>0.5</v>
      </c>
      <c r="O25" s="232">
        <v>0.5</v>
      </c>
      <c r="P25" s="98"/>
      <c r="Q25" s="102"/>
      <c r="R25" s="108"/>
      <c r="S25" s="231">
        <v>114.5</v>
      </c>
      <c r="T25" s="231">
        <v>114.5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223</v>
      </c>
      <c r="C26" t="s">
        <v>124</v>
      </c>
      <c r="D26" s="227"/>
      <c r="E26" s="100"/>
      <c r="F26">
        <v>1</v>
      </c>
      <c r="G26" s="231">
        <v>102.09</v>
      </c>
      <c r="H26" s="231">
        <v>70.41</v>
      </c>
      <c r="I26" s="231">
        <v>102.09</v>
      </c>
      <c r="J26" s="228"/>
      <c r="K26">
        <v>1</v>
      </c>
      <c r="L26" s="231">
        <v>51.05</v>
      </c>
      <c r="M26" s="231">
        <v>51.05</v>
      </c>
      <c r="N26" s="232">
        <v>0.5</v>
      </c>
      <c r="O26" s="232">
        <v>0.5</v>
      </c>
      <c r="P26" s="98"/>
      <c r="Q26" s="102"/>
      <c r="R26" s="108"/>
      <c r="S26" s="231">
        <v>51.05</v>
      </c>
      <c r="T26" s="231">
        <v>51.05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224</v>
      </c>
      <c r="C27" t="s">
        <v>225</v>
      </c>
      <c r="D27" s="227"/>
      <c r="E27" s="100"/>
      <c r="F27">
        <v>2</v>
      </c>
      <c r="G27" s="231">
        <v>503.86</v>
      </c>
      <c r="H27" s="231">
        <v>347.49</v>
      </c>
      <c r="I27" s="231">
        <v>1007.72</v>
      </c>
      <c r="J27" s="228"/>
      <c r="K27">
        <v>2</v>
      </c>
      <c r="L27" s="231">
        <v>251.93</v>
      </c>
      <c r="M27" s="231">
        <v>503.86</v>
      </c>
      <c r="N27" s="232">
        <v>0.5</v>
      </c>
      <c r="O27" s="232">
        <v>0.5</v>
      </c>
      <c r="P27" s="98"/>
      <c r="Q27" s="102"/>
      <c r="R27" s="108"/>
      <c r="S27" s="231">
        <v>503.86</v>
      </c>
      <c r="T27" s="231">
        <v>1007.72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226</v>
      </c>
      <c r="C28" t="s">
        <v>227</v>
      </c>
      <c r="D28" s="227"/>
      <c r="E28" s="100"/>
      <c r="F28">
        <v>1</v>
      </c>
      <c r="G28" s="231">
        <v>4161.4399999999996</v>
      </c>
      <c r="H28" s="231">
        <v>2869.96</v>
      </c>
      <c r="I28" s="231">
        <v>4161.4399999999996</v>
      </c>
      <c r="J28" s="228"/>
      <c r="K28">
        <v>1</v>
      </c>
      <c r="L28" s="231">
        <v>2080.7199999999998</v>
      </c>
      <c r="M28" s="231">
        <v>2080.7199999999998</v>
      </c>
      <c r="N28" s="232">
        <v>0.5</v>
      </c>
      <c r="O28" s="232">
        <v>0.5</v>
      </c>
      <c r="P28" s="98"/>
      <c r="Q28" s="102"/>
      <c r="R28" s="108"/>
      <c r="S28" s="231">
        <v>2080.7199999999998</v>
      </c>
      <c r="T28" s="231">
        <v>2080.7199999999998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228</v>
      </c>
      <c r="C29" t="s">
        <v>229</v>
      </c>
      <c r="D29" s="227"/>
      <c r="E29" s="100"/>
      <c r="F29">
        <v>1</v>
      </c>
      <c r="G29" s="231">
        <v>4369.08</v>
      </c>
      <c r="H29" s="231">
        <v>3013.16</v>
      </c>
      <c r="I29" s="231">
        <v>4369.08</v>
      </c>
      <c r="J29" s="228"/>
      <c r="K29">
        <v>1</v>
      </c>
      <c r="L29" s="231">
        <v>2184.54</v>
      </c>
      <c r="M29" s="231">
        <v>2184.54</v>
      </c>
      <c r="N29" s="232">
        <v>0.5</v>
      </c>
      <c r="O29" s="232">
        <v>0.5</v>
      </c>
      <c r="P29" s="98"/>
      <c r="Q29" s="102"/>
      <c r="R29" s="108"/>
      <c r="S29" s="231">
        <v>2184.54</v>
      </c>
      <c r="T29" s="231">
        <v>2184.54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230</v>
      </c>
      <c r="C30" t="s">
        <v>184</v>
      </c>
      <c r="D30" s="227"/>
      <c r="E30" s="100"/>
      <c r="F30">
        <v>4</v>
      </c>
      <c r="G30" s="231">
        <v>1474.09</v>
      </c>
      <c r="H30" s="231">
        <v>1016.61</v>
      </c>
      <c r="I30" s="231">
        <v>5896.36</v>
      </c>
      <c r="J30" s="228"/>
      <c r="K30">
        <v>4</v>
      </c>
      <c r="L30" s="231">
        <v>1031.8699999999999</v>
      </c>
      <c r="M30" s="231">
        <v>4127.4799999999996</v>
      </c>
      <c r="N30" s="232">
        <v>0.3</v>
      </c>
      <c r="O30" s="232">
        <v>0.3</v>
      </c>
      <c r="P30" s="98"/>
      <c r="Q30" s="102"/>
      <c r="R30" s="108"/>
      <c r="S30" s="231">
        <v>4127.4799999999996</v>
      </c>
      <c r="T30" s="231">
        <v>16509.919999999998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231</v>
      </c>
      <c r="C31" t="s">
        <v>232</v>
      </c>
      <c r="D31" s="227"/>
      <c r="E31" s="100"/>
      <c r="F31">
        <v>1</v>
      </c>
      <c r="G31" s="231">
        <v>3725.79</v>
      </c>
      <c r="H31" s="231">
        <v>2569.5100000000002</v>
      </c>
      <c r="I31" s="231">
        <v>3725.79</v>
      </c>
      <c r="J31" s="228"/>
      <c r="K31">
        <v>1</v>
      </c>
      <c r="L31" s="231">
        <v>1862.9</v>
      </c>
      <c r="M31" s="231">
        <v>1862.9</v>
      </c>
      <c r="N31" s="232">
        <v>0.5</v>
      </c>
      <c r="O31" s="232">
        <v>0.5</v>
      </c>
      <c r="P31" s="98"/>
      <c r="Q31" s="102"/>
      <c r="R31" s="108"/>
      <c r="S31" s="231">
        <v>1862.9</v>
      </c>
      <c r="T31" s="231">
        <v>1862.9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233</v>
      </c>
      <c r="C32" t="s">
        <v>234</v>
      </c>
      <c r="D32" s="227"/>
      <c r="E32" s="100"/>
      <c r="F32">
        <v>1</v>
      </c>
      <c r="G32" s="231">
        <v>3188.6</v>
      </c>
      <c r="H32" s="231">
        <v>2199.0300000000002</v>
      </c>
      <c r="I32" s="231">
        <v>3188.6</v>
      </c>
      <c r="J32" s="228"/>
      <c r="K32">
        <v>1</v>
      </c>
      <c r="L32" s="231">
        <v>1594.3</v>
      </c>
      <c r="M32" s="231">
        <v>1594.3</v>
      </c>
      <c r="N32" s="232">
        <v>0.5</v>
      </c>
      <c r="O32" s="232">
        <v>0.5</v>
      </c>
      <c r="P32" s="98"/>
      <c r="Q32" s="102"/>
      <c r="R32" s="108"/>
      <c r="S32" s="231">
        <v>1594.3</v>
      </c>
      <c r="T32" s="231">
        <v>1594.3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D33" s="227"/>
      <c r="E33" s="100"/>
      <c r="H33" t="s">
        <v>167</v>
      </c>
      <c r="I33" t="s">
        <v>167</v>
      </c>
      <c r="J33" s="228"/>
      <c r="K33">
        <v>0</v>
      </c>
      <c r="L33" t="s">
        <v>167</v>
      </c>
      <c r="M33" t="s">
        <v>167</v>
      </c>
      <c r="P33" s="98"/>
      <c r="Q33" s="102"/>
      <c r="R33" s="108"/>
      <c r="S33" t="s">
        <v>167</v>
      </c>
      <c r="T33" t="s">
        <v>167</v>
      </c>
      <c r="U33" s="232">
        <v>0</v>
      </c>
      <c r="V33" s="232">
        <v>0</v>
      </c>
      <c r="W33" s="229"/>
      <c r="X33" s="230"/>
      <c r="Y33" s="8"/>
      <c r="Z33" s="8"/>
    </row>
    <row r="34" spans="2:26">
      <c r="B34" s="233" t="s">
        <v>189</v>
      </c>
      <c r="C34" t="s">
        <v>235</v>
      </c>
      <c r="D34" s="227"/>
      <c r="E34" s="100"/>
      <c r="F34">
        <v>2</v>
      </c>
      <c r="G34" s="231">
        <v>1064.58</v>
      </c>
      <c r="H34" s="231">
        <v>734.19</v>
      </c>
      <c r="I34" s="231">
        <v>2129.16</v>
      </c>
      <c r="J34" s="228"/>
      <c r="K34">
        <v>2</v>
      </c>
      <c r="L34" s="231">
        <v>585.52</v>
      </c>
      <c r="M34" s="231">
        <v>1171.04</v>
      </c>
      <c r="N34" s="232">
        <v>0.45</v>
      </c>
      <c r="O34" s="232">
        <v>0.45</v>
      </c>
      <c r="P34" s="98"/>
      <c r="Q34" s="102"/>
      <c r="R34" s="108"/>
      <c r="S34" s="231">
        <v>1171.04</v>
      </c>
      <c r="T34" s="231">
        <v>2342.08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191</v>
      </c>
      <c r="C35" t="s">
        <v>192</v>
      </c>
      <c r="D35" s="227"/>
      <c r="E35" s="100"/>
      <c r="F35">
        <v>32</v>
      </c>
      <c r="G35" s="231">
        <v>8.76</v>
      </c>
      <c r="H35" s="231">
        <v>6.04</v>
      </c>
      <c r="I35" s="231">
        <v>280.32</v>
      </c>
      <c r="J35" s="228"/>
      <c r="K35">
        <v>32</v>
      </c>
      <c r="L35" s="231">
        <v>4.82</v>
      </c>
      <c r="M35" s="231">
        <v>154.24</v>
      </c>
      <c r="N35" s="232">
        <v>0.44979999999999998</v>
      </c>
      <c r="O35" s="232">
        <v>0.44979999999999998</v>
      </c>
      <c r="P35" s="98"/>
      <c r="Q35" s="102"/>
      <c r="R35" s="108"/>
      <c r="S35" s="231">
        <v>154.24</v>
      </c>
      <c r="T35" s="231">
        <v>4935.68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193</v>
      </c>
      <c r="C36" t="s">
        <v>194</v>
      </c>
      <c r="D36" s="227"/>
      <c r="E36" s="100"/>
      <c r="F36">
        <v>2</v>
      </c>
      <c r="G36" s="231">
        <v>2633.14</v>
      </c>
      <c r="H36" s="231">
        <v>1815.96</v>
      </c>
      <c r="I36" s="231">
        <v>5266.28</v>
      </c>
      <c r="J36" s="228"/>
      <c r="K36">
        <v>2</v>
      </c>
      <c r="L36" s="231">
        <v>1448.23</v>
      </c>
      <c r="M36" s="231">
        <v>2896.46</v>
      </c>
      <c r="N36" s="232">
        <v>0.45</v>
      </c>
      <c r="O36" s="232">
        <v>0.45</v>
      </c>
      <c r="P36" s="98"/>
      <c r="Q36" s="102"/>
      <c r="R36" s="108"/>
      <c r="S36" s="231">
        <v>2896.46</v>
      </c>
      <c r="T36" s="231">
        <v>5792.92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195</v>
      </c>
      <c r="C37" t="s">
        <v>196</v>
      </c>
      <c r="D37" s="227"/>
      <c r="E37" s="100"/>
      <c r="F37">
        <v>8</v>
      </c>
      <c r="G37" s="231">
        <v>7.85</v>
      </c>
      <c r="H37" s="231">
        <v>5.41</v>
      </c>
      <c r="I37" s="231">
        <v>62.8</v>
      </c>
      <c r="J37" s="228"/>
      <c r="K37">
        <v>8</v>
      </c>
      <c r="L37" s="231">
        <v>4.32</v>
      </c>
      <c r="M37" s="231">
        <v>34.56</v>
      </c>
      <c r="N37" s="232">
        <v>0.44969999999999999</v>
      </c>
      <c r="O37" s="232">
        <v>0.44969999999999999</v>
      </c>
      <c r="P37" s="98"/>
      <c r="Q37" s="102"/>
      <c r="R37" s="108"/>
      <c r="S37" s="231">
        <v>34.56</v>
      </c>
      <c r="T37" s="231">
        <v>276.48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s="233" t="s">
        <v>197</v>
      </c>
      <c r="C38" t="s">
        <v>134</v>
      </c>
      <c r="D38" s="227"/>
      <c r="E38" s="100"/>
      <c r="F38">
        <v>4</v>
      </c>
      <c r="G38" s="231">
        <v>537.45000000000005</v>
      </c>
      <c r="H38" s="231">
        <v>370.66</v>
      </c>
      <c r="I38" s="231">
        <v>2149.8000000000002</v>
      </c>
      <c r="J38" s="228"/>
      <c r="K38">
        <v>4</v>
      </c>
      <c r="L38" s="231">
        <v>295.60000000000002</v>
      </c>
      <c r="M38" s="231">
        <v>1182.4000000000001</v>
      </c>
      <c r="N38" s="232">
        <v>0.45</v>
      </c>
      <c r="O38" s="232">
        <v>0.45</v>
      </c>
      <c r="P38" s="98"/>
      <c r="Q38" s="102"/>
      <c r="R38" s="108"/>
      <c r="S38" s="231">
        <v>1182.4000000000001</v>
      </c>
      <c r="T38" s="231">
        <v>4729.6000000000004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198</v>
      </c>
      <c r="C39" t="s">
        <v>199</v>
      </c>
      <c r="D39" s="227"/>
      <c r="E39" s="100"/>
      <c r="F39">
        <v>16</v>
      </c>
      <c r="G39" s="231">
        <v>748.26</v>
      </c>
      <c r="H39" s="231">
        <v>516.04</v>
      </c>
      <c r="I39" s="231">
        <v>11972.16</v>
      </c>
      <c r="J39" s="228"/>
      <c r="K39">
        <v>16</v>
      </c>
      <c r="L39" s="231">
        <v>411.54</v>
      </c>
      <c r="M39" s="231">
        <v>6584.64</v>
      </c>
      <c r="N39" s="232">
        <v>0.45</v>
      </c>
      <c r="O39" s="232">
        <v>0.45</v>
      </c>
      <c r="P39" s="98"/>
      <c r="Q39" s="102"/>
      <c r="R39" s="108"/>
      <c r="S39" s="231">
        <v>6584.64</v>
      </c>
      <c r="T39" s="231">
        <v>105354.24000000001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202</v>
      </c>
      <c r="C40" t="s">
        <v>201</v>
      </c>
      <c r="D40" s="227"/>
      <c r="E40" s="100"/>
      <c r="F40">
        <v>64</v>
      </c>
      <c r="G40" s="231">
        <v>20.079999999999998</v>
      </c>
      <c r="H40" s="231">
        <v>13.85</v>
      </c>
      <c r="I40" s="231">
        <v>1285.1199999999999</v>
      </c>
      <c r="J40" s="228"/>
      <c r="K40">
        <v>64</v>
      </c>
      <c r="L40" s="231">
        <v>11.04</v>
      </c>
      <c r="M40" s="231">
        <v>706.56</v>
      </c>
      <c r="N40" s="232">
        <v>0.45019999999999999</v>
      </c>
      <c r="O40" s="232">
        <v>0.45019999999999999</v>
      </c>
      <c r="P40" s="98"/>
      <c r="Q40" s="102"/>
      <c r="R40" s="108"/>
      <c r="S40" s="231">
        <v>706.56</v>
      </c>
      <c r="T40" s="231">
        <v>45219.839999999997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200</v>
      </c>
      <c r="C41" t="s">
        <v>201</v>
      </c>
      <c r="D41" s="227"/>
      <c r="E41" s="100"/>
      <c r="F41">
        <v>4</v>
      </c>
      <c r="G41" s="231">
        <v>23.18</v>
      </c>
      <c r="H41" s="231">
        <v>15.99</v>
      </c>
      <c r="I41" s="231">
        <v>92.72</v>
      </c>
      <c r="J41" s="228"/>
      <c r="K41">
        <v>4</v>
      </c>
      <c r="L41" s="231">
        <v>12.75</v>
      </c>
      <c r="M41" s="231">
        <v>51</v>
      </c>
      <c r="N41" s="232">
        <v>0.45</v>
      </c>
      <c r="O41" s="232">
        <v>0.45</v>
      </c>
      <c r="P41" s="98"/>
      <c r="Q41" s="102"/>
      <c r="R41" s="108"/>
      <c r="S41" s="231">
        <v>51</v>
      </c>
      <c r="T41" s="231">
        <v>204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203</v>
      </c>
      <c r="C42" t="s">
        <v>204</v>
      </c>
      <c r="D42" s="227"/>
      <c r="E42" s="100"/>
      <c r="F42">
        <v>64</v>
      </c>
      <c r="G42" s="231">
        <v>2.99</v>
      </c>
      <c r="H42" s="231">
        <v>2.06</v>
      </c>
      <c r="I42" s="231">
        <v>191.36</v>
      </c>
      <c r="J42" s="228"/>
      <c r="K42">
        <v>64</v>
      </c>
      <c r="L42" s="231">
        <v>1.65</v>
      </c>
      <c r="M42" s="231">
        <v>105.6</v>
      </c>
      <c r="N42" s="232">
        <v>0.44819999999999999</v>
      </c>
      <c r="O42" s="232">
        <v>0.44819999999999999</v>
      </c>
      <c r="P42" s="98"/>
      <c r="Q42" s="102"/>
      <c r="R42" s="108"/>
      <c r="S42" s="231">
        <v>105.6</v>
      </c>
      <c r="T42" s="231">
        <v>6758.4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205</v>
      </c>
      <c r="C44" t="s">
        <v>236</v>
      </c>
      <c r="D44" s="227"/>
      <c r="E44" s="100"/>
      <c r="F44">
        <v>2</v>
      </c>
      <c r="G44" s="231">
        <v>8230.4699999999993</v>
      </c>
      <c r="H44" s="231">
        <v>5676.19</v>
      </c>
      <c r="I44" s="231">
        <v>16460.939999999999</v>
      </c>
      <c r="J44" s="228"/>
      <c r="K44">
        <v>2</v>
      </c>
      <c r="L44" s="231">
        <v>4526.76</v>
      </c>
      <c r="M44" s="231">
        <v>9053.52</v>
      </c>
      <c r="N44" s="232">
        <v>0.45</v>
      </c>
      <c r="O44" s="232">
        <v>0.45</v>
      </c>
      <c r="P44" s="98"/>
      <c r="Q44" s="102"/>
      <c r="R44" s="108"/>
      <c r="S44" s="231">
        <v>9053.52</v>
      </c>
      <c r="T44" s="231">
        <v>18107.04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207</v>
      </c>
      <c r="C45" t="s">
        <v>237</v>
      </c>
      <c r="D45" s="227"/>
      <c r="E45" s="100"/>
      <c r="F45">
        <v>98</v>
      </c>
      <c r="G45" s="231">
        <v>179.13</v>
      </c>
      <c r="H45" s="231">
        <v>123.54</v>
      </c>
      <c r="I45" s="231">
        <v>17554.740000000002</v>
      </c>
      <c r="J45" s="228"/>
      <c r="K45">
        <v>98</v>
      </c>
      <c r="L45" s="231">
        <v>98.53</v>
      </c>
      <c r="M45" s="231">
        <v>9655.94</v>
      </c>
      <c r="N45" s="232">
        <v>0.45</v>
      </c>
      <c r="O45" s="232">
        <v>0.45</v>
      </c>
      <c r="P45" s="98"/>
      <c r="Q45" s="102"/>
      <c r="R45" s="108"/>
      <c r="S45" s="231">
        <v>9655.94</v>
      </c>
      <c r="T45" s="231">
        <v>946282.12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209</v>
      </c>
      <c r="C46" t="s">
        <v>238</v>
      </c>
      <c r="D46" s="227"/>
      <c r="E46" s="100"/>
      <c r="F46">
        <v>392</v>
      </c>
      <c r="G46" s="231">
        <v>4.25</v>
      </c>
      <c r="H46" s="231">
        <v>2.93</v>
      </c>
      <c r="I46" s="231">
        <v>1666</v>
      </c>
      <c r="J46" s="228"/>
      <c r="K46">
        <v>392</v>
      </c>
      <c r="L46" s="231">
        <v>2.34</v>
      </c>
      <c r="M46" s="231">
        <v>917.28</v>
      </c>
      <c r="N46" s="232">
        <v>0.44940000000000002</v>
      </c>
      <c r="O46" s="232">
        <v>0.44940000000000002</v>
      </c>
      <c r="P46" s="98"/>
      <c r="Q46" s="102"/>
      <c r="R46" s="108"/>
      <c r="S46" s="231">
        <v>917.28</v>
      </c>
      <c r="T46" s="231">
        <v>359573.76000000001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211</v>
      </c>
      <c r="C47" t="s">
        <v>239</v>
      </c>
      <c r="D47" s="227"/>
      <c r="E47" s="100"/>
      <c r="F47">
        <v>392</v>
      </c>
      <c r="G47" s="231">
        <v>3.14</v>
      </c>
      <c r="H47" s="231">
        <v>2.17</v>
      </c>
      <c r="I47" s="231">
        <v>1230.8800000000001</v>
      </c>
      <c r="J47" s="228"/>
      <c r="K47">
        <v>392</v>
      </c>
      <c r="L47" s="231">
        <v>1.73</v>
      </c>
      <c r="M47" s="231">
        <v>678.16</v>
      </c>
      <c r="N47" s="232">
        <v>0.44900000000000001</v>
      </c>
      <c r="O47" s="232">
        <v>0.44900000000000001</v>
      </c>
      <c r="P47" s="98"/>
      <c r="Q47" s="102"/>
      <c r="R47" s="108"/>
      <c r="S47" s="231">
        <v>678.16</v>
      </c>
      <c r="T47" s="231">
        <v>265838.71999999997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H48" t="s">
        <v>167</v>
      </c>
      <c r="I48" t="s">
        <v>167</v>
      </c>
      <c r="J48" s="228"/>
      <c r="K48">
        <v>0</v>
      </c>
      <c r="L48" t="s">
        <v>167</v>
      </c>
      <c r="M48" t="s">
        <v>167</v>
      </c>
      <c r="P48" s="98"/>
      <c r="Q48" s="102"/>
      <c r="R48" s="108"/>
      <c r="S48" t="s">
        <v>167</v>
      </c>
      <c r="T48" t="s">
        <v>167</v>
      </c>
      <c r="U48" s="232">
        <v>0</v>
      </c>
      <c r="V48" s="232">
        <v>0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240</v>
      </c>
      <c r="C50" t="s">
        <v>241</v>
      </c>
      <c r="D50" s="87"/>
      <c r="E50" s="100"/>
      <c r="F50">
        <v>1</v>
      </c>
      <c r="G50" s="231">
        <v>22869.96</v>
      </c>
      <c r="H50" s="231">
        <v>15772.39</v>
      </c>
      <c r="I50" s="231">
        <v>22869.96</v>
      </c>
      <c r="J50" s="105"/>
      <c r="K50">
        <v>1</v>
      </c>
      <c r="L50" s="231">
        <v>12578.48</v>
      </c>
      <c r="M50" s="231">
        <v>12578.48</v>
      </c>
      <c r="N50" s="232">
        <v>0.45</v>
      </c>
      <c r="O50" s="232">
        <v>0.45</v>
      </c>
      <c r="P50" s="98"/>
      <c r="Q50" s="102"/>
      <c r="R50" s="108"/>
      <c r="S50" s="231">
        <v>12578.48</v>
      </c>
      <c r="T50" s="231">
        <v>12578.48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H51" t="s">
        <v>167</v>
      </c>
      <c r="I51" t="s">
        <v>167</v>
      </c>
      <c r="J51" s="105"/>
      <c r="K51">
        <v>0</v>
      </c>
      <c r="L51" t="s">
        <v>167</v>
      </c>
      <c r="M51" t="s">
        <v>167</v>
      </c>
      <c r="P51" s="115"/>
      <c r="Q51" s="94"/>
      <c r="R51" s="94"/>
      <c r="S51" t="s">
        <v>167</v>
      </c>
      <c r="T51" t="s">
        <v>167</v>
      </c>
      <c r="U51" s="232">
        <v>0</v>
      </c>
      <c r="V51" s="232">
        <v>0</v>
      </c>
      <c r="W51" s="96"/>
      <c r="X51" s="97"/>
      <c r="Y51" s="8"/>
      <c r="Z51" s="8"/>
    </row>
    <row r="52" spans="2:26" ht="15.75" customHeight="1">
      <c r="B52" t="s">
        <v>242</v>
      </c>
      <c r="C52" t="s">
        <v>243</v>
      </c>
      <c r="D52" s="87"/>
      <c r="E52" s="100"/>
      <c r="F52">
        <v>1</v>
      </c>
      <c r="G52" s="231">
        <v>2512.7199999999998</v>
      </c>
      <c r="H52" s="231">
        <v>1732.91</v>
      </c>
      <c r="I52" s="231">
        <v>2512.7199999999998</v>
      </c>
      <c r="J52" s="105"/>
      <c r="K52">
        <v>1</v>
      </c>
      <c r="L52" s="231">
        <v>1256.3599999999999</v>
      </c>
      <c r="M52" s="231">
        <v>1256.3599999999999</v>
      </c>
      <c r="N52" s="232">
        <v>0.5</v>
      </c>
      <c r="O52" s="232">
        <v>0.5</v>
      </c>
      <c r="P52" s="98"/>
      <c r="Q52" s="102"/>
      <c r="R52" s="108"/>
      <c r="S52" s="231">
        <v>1256.3599999999999</v>
      </c>
      <c r="T52" s="231">
        <v>1256.3599999999999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1101</v>
      </c>
      <c r="G78" s="121">
        <f t="shared" si="0"/>
        <v>57099.630000000005</v>
      </c>
      <c r="H78" s="122">
        <f t="shared" si="0"/>
        <v>39379.060000000005</v>
      </c>
      <c r="I78" s="123">
        <f t="shared" si="0"/>
        <v>108983.63</v>
      </c>
      <c r="J78" s="124"/>
      <c r="K78" s="125">
        <f t="shared" ref="K78:M78" si="1">SUM(K19:K77)</f>
        <v>1101</v>
      </c>
      <c r="L78" s="122">
        <f t="shared" si="1"/>
        <v>30694.1</v>
      </c>
      <c r="M78" s="123">
        <f t="shared" si="1"/>
        <v>59867.650000000009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59867.650000000009</v>
      </c>
      <c r="T78" s="123">
        <f t="shared" si="2"/>
        <v>1805056.31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E19:E77" xr:uid="{B8A6D616-6E3F-47CC-8F67-3F22AC9679E7}">
      <formula1>$Z$19:$Z$58</formula1>
    </dataValidation>
    <dataValidation type="list" allowBlank="1" showErrorMessage="1" sqref="I14" xr:uid="{9B963ABA-9AE3-4C77-BDE1-E28EAB7D5782}">
      <formula1>$Y$14:$Y$15</formula1>
    </dataValidation>
    <dataValidation type="list" allowBlank="1" showErrorMessage="1" sqref="J14" xr:uid="{ADD8661E-F0F2-4F52-B84B-8EEEBD737A0F}">
      <formula1>$L$9</formula1>
    </dataValidation>
    <dataValidation type="list" allowBlank="1" showErrorMessage="1" sqref="Q15 G18 L18 Q18" xr:uid="{2208B3D8-CB84-4BAA-92C6-A3C358FBD5A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53C9-D383-4A82-BEEA-D03BF1B2414C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5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244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109047.4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59924.210000000006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49123.189999999988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>
        <v>320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0.45047557300770114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245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1805062.01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246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59924.210000000006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1098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247</v>
      </c>
      <c r="C20" t="s">
        <v>220</v>
      </c>
      <c r="D20" s="87"/>
      <c r="E20" s="100"/>
      <c r="F20">
        <v>1</v>
      </c>
      <c r="G20" s="231">
        <v>95.91</v>
      </c>
      <c r="H20" s="231">
        <v>66.14</v>
      </c>
      <c r="I20" s="231">
        <v>95.91</v>
      </c>
      <c r="J20" s="105"/>
      <c r="K20">
        <v>1</v>
      </c>
      <c r="L20" s="231">
        <v>47.96</v>
      </c>
      <c r="M20" s="231">
        <v>47.96</v>
      </c>
      <c r="N20" s="232">
        <v>0.49990000000000001</v>
      </c>
      <c r="O20" s="232"/>
      <c r="P20" s="98"/>
      <c r="Q20" s="102"/>
      <c r="R20" s="108"/>
      <c r="S20" s="231">
        <v>47.96</v>
      </c>
      <c r="T20" s="231">
        <v>47.96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248</v>
      </c>
      <c r="C21" t="s">
        <v>249</v>
      </c>
      <c r="D21" s="227"/>
      <c r="E21" s="100"/>
      <c r="F21">
        <v>1</v>
      </c>
      <c r="G21" s="231">
        <v>66.94</v>
      </c>
      <c r="H21" s="231">
        <v>46.17</v>
      </c>
      <c r="I21" s="231">
        <v>66.94</v>
      </c>
      <c r="J21" s="228"/>
      <c r="K21">
        <v>1</v>
      </c>
      <c r="L21" s="231">
        <v>33.47</v>
      </c>
      <c r="M21" s="231">
        <v>33.47</v>
      </c>
      <c r="N21" s="232">
        <v>0.5</v>
      </c>
      <c r="O21" s="232"/>
      <c r="P21" s="98"/>
      <c r="Q21" s="102"/>
      <c r="R21" s="108"/>
      <c r="S21" s="231">
        <v>33.47</v>
      </c>
      <c r="T21" s="231">
        <v>33.47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250</v>
      </c>
      <c r="C22" t="s">
        <v>251</v>
      </c>
      <c r="D22" s="227"/>
      <c r="E22" s="100"/>
      <c r="F22">
        <v>1</v>
      </c>
      <c r="G22" s="231">
        <v>283.86</v>
      </c>
      <c r="H22" s="231">
        <v>195.77</v>
      </c>
      <c r="I22" s="231">
        <v>283.86</v>
      </c>
      <c r="J22" s="228"/>
      <c r="K22">
        <v>1</v>
      </c>
      <c r="L22" s="231">
        <v>141.93</v>
      </c>
      <c r="M22" s="231">
        <v>141.93</v>
      </c>
      <c r="N22" s="232">
        <v>0.5</v>
      </c>
      <c r="O22" s="232"/>
      <c r="P22" s="98"/>
      <c r="Q22" s="102"/>
      <c r="R22" s="108"/>
      <c r="S22" s="231">
        <v>141.93</v>
      </c>
      <c r="T22" s="231">
        <v>141.93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252</v>
      </c>
      <c r="C23" t="s">
        <v>118</v>
      </c>
      <c r="D23" s="227"/>
      <c r="E23" s="100"/>
      <c r="F23">
        <v>1</v>
      </c>
      <c r="G23" s="231">
        <v>244.2</v>
      </c>
      <c r="H23" s="231">
        <v>168.41</v>
      </c>
      <c r="I23" s="231">
        <v>244.2</v>
      </c>
      <c r="J23" s="228"/>
      <c r="K23">
        <v>1</v>
      </c>
      <c r="L23" s="231">
        <v>158.72999999999999</v>
      </c>
      <c r="M23" s="231">
        <v>158.72999999999999</v>
      </c>
      <c r="N23" s="232">
        <v>0.35</v>
      </c>
      <c r="O23" s="232"/>
      <c r="P23" s="98"/>
      <c r="Q23" s="102"/>
      <c r="R23" s="108"/>
      <c r="S23" s="231">
        <v>158.72999999999999</v>
      </c>
      <c r="T23" s="231">
        <v>158.72999999999999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253</v>
      </c>
      <c r="C24" t="s">
        <v>120</v>
      </c>
      <c r="D24" s="227"/>
      <c r="E24" s="100"/>
      <c r="F24">
        <v>1</v>
      </c>
      <c r="G24" s="231">
        <v>133.28</v>
      </c>
      <c r="H24" s="231">
        <v>91.92</v>
      </c>
      <c r="I24" s="231">
        <v>133.28</v>
      </c>
      <c r="J24" s="228"/>
      <c r="K24">
        <v>1</v>
      </c>
      <c r="L24" s="231">
        <v>86.63</v>
      </c>
      <c r="M24" s="231">
        <v>86.63</v>
      </c>
      <c r="N24" s="232">
        <v>0.35</v>
      </c>
      <c r="O24" s="232"/>
      <c r="P24" s="98"/>
      <c r="Q24" s="102"/>
      <c r="R24" s="108"/>
      <c r="S24" s="231">
        <v>86.63</v>
      </c>
      <c r="T24" s="231">
        <v>86.63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254</v>
      </c>
      <c r="C25" t="s">
        <v>255</v>
      </c>
      <c r="D25" s="227"/>
      <c r="E25" s="100"/>
      <c r="F25">
        <v>1</v>
      </c>
      <c r="G25" s="231">
        <v>87.85</v>
      </c>
      <c r="H25" s="231">
        <v>60.59</v>
      </c>
      <c r="I25" s="231">
        <v>87.85</v>
      </c>
      <c r="J25" s="228"/>
      <c r="K25">
        <v>1</v>
      </c>
      <c r="L25" s="231">
        <v>43.93</v>
      </c>
      <c r="M25" s="231">
        <v>43.93</v>
      </c>
      <c r="N25" s="232">
        <v>0.49990000000000001</v>
      </c>
      <c r="O25" s="232"/>
      <c r="P25" s="98"/>
      <c r="Q25" s="102"/>
      <c r="R25" s="108"/>
      <c r="S25" s="231">
        <v>43.93</v>
      </c>
      <c r="T25" s="231">
        <v>43.93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187</v>
      </c>
      <c r="C26" t="s">
        <v>188</v>
      </c>
      <c r="D26" s="227"/>
      <c r="E26" s="100"/>
      <c r="F26">
        <v>2</v>
      </c>
      <c r="G26" s="231">
        <v>523.07000000000005</v>
      </c>
      <c r="H26" s="231">
        <v>360.74</v>
      </c>
      <c r="I26" s="231">
        <v>1046.1400000000001</v>
      </c>
      <c r="J26" s="228"/>
      <c r="K26">
        <v>2</v>
      </c>
      <c r="L26" s="231">
        <v>261.54000000000002</v>
      </c>
      <c r="M26" s="231">
        <v>523.08000000000004</v>
      </c>
      <c r="N26" s="232">
        <v>0.5</v>
      </c>
      <c r="O26" s="232"/>
      <c r="P26" s="98"/>
      <c r="Q26" s="102"/>
      <c r="R26" s="108"/>
      <c r="S26" s="231">
        <v>523.08000000000004</v>
      </c>
      <c r="T26" s="231">
        <v>1046.1600000000001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256</v>
      </c>
      <c r="C27" t="s">
        <v>257</v>
      </c>
      <c r="D27" s="227"/>
      <c r="E27" s="100"/>
      <c r="F27">
        <v>1</v>
      </c>
      <c r="G27" s="231">
        <v>8493.36</v>
      </c>
      <c r="H27" s="231">
        <v>5857.49</v>
      </c>
      <c r="I27" s="231">
        <v>8493.36</v>
      </c>
      <c r="J27" s="228"/>
      <c r="K27">
        <v>1</v>
      </c>
      <c r="L27" s="231">
        <v>4246.68</v>
      </c>
      <c r="M27" s="231">
        <v>4246.68</v>
      </c>
      <c r="N27" s="232">
        <v>0.5</v>
      </c>
      <c r="O27" s="232"/>
      <c r="P27" s="98"/>
      <c r="Q27" s="102"/>
      <c r="R27" s="108"/>
      <c r="S27" s="231">
        <v>4246.68</v>
      </c>
      <c r="T27" s="231">
        <v>4246.68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230</v>
      </c>
      <c r="C28" t="s">
        <v>184</v>
      </c>
      <c r="D28" s="227"/>
      <c r="E28" s="100"/>
      <c r="F28">
        <v>4</v>
      </c>
      <c r="G28" s="231">
        <v>1474.09</v>
      </c>
      <c r="H28" s="231">
        <v>1016.61</v>
      </c>
      <c r="I28" s="231">
        <v>5896.36</v>
      </c>
      <c r="J28" s="228"/>
      <c r="K28">
        <v>4</v>
      </c>
      <c r="L28" s="231">
        <v>1031.8699999999999</v>
      </c>
      <c r="M28" s="231">
        <v>4127.4799999999996</v>
      </c>
      <c r="N28" s="232">
        <v>0.3</v>
      </c>
      <c r="O28" s="232"/>
      <c r="P28" s="98"/>
      <c r="Q28" s="102"/>
      <c r="R28" s="108"/>
      <c r="S28" s="231">
        <v>4127.4799999999996</v>
      </c>
      <c r="T28" s="231">
        <v>16509.919999999998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231</v>
      </c>
      <c r="C29" t="s">
        <v>232</v>
      </c>
      <c r="D29" s="227"/>
      <c r="E29" s="100"/>
      <c r="F29">
        <v>1</v>
      </c>
      <c r="G29" s="231">
        <v>3725.79</v>
      </c>
      <c r="H29" s="231">
        <v>2569.5100000000002</v>
      </c>
      <c r="I29" s="231">
        <v>3725.79</v>
      </c>
      <c r="J29" s="228"/>
      <c r="K29">
        <v>1</v>
      </c>
      <c r="L29" s="231">
        <v>1862.9</v>
      </c>
      <c r="M29" s="231">
        <v>1862.9</v>
      </c>
      <c r="N29" s="232">
        <v>0.5</v>
      </c>
      <c r="O29" s="232"/>
      <c r="P29" s="98"/>
      <c r="Q29" s="102"/>
      <c r="R29" s="108"/>
      <c r="S29" s="231">
        <v>1862.9</v>
      </c>
      <c r="T29" s="231">
        <v>1862.9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233</v>
      </c>
      <c r="C30" t="s">
        <v>234</v>
      </c>
      <c r="D30" s="227"/>
      <c r="E30" s="100"/>
      <c r="F30">
        <v>1</v>
      </c>
      <c r="G30" s="231">
        <v>3188.6</v>
      </c>
      <c r="H30" s="231">
        <v>2199.0300000000002</v>
      </c>
      <c r="I30" s="231">
        <v>3188.6</v>
      </c>
      <c r="J30" s="228"/>
      <c r="K30">
        <v>1</v>
      </c>
      <c r="L30" s="231">
        <v>1594.3</v>
      </c>
      <c r="M30" s="231">
        <v>1594.3</v>
      </c>
      <c r="N30" s="232">
        <v>0.5</v>
      </c>
      <c r="O30" s="232"/>
      <c r="P30" s="98"/>
      <c r="Q30" s="102"/>
      <c r="R30" s="108"/>
      <c r="S30" s="231">
        <v>1594.3</v>
      </c>
      <c r="T30" s="231">
        <v>1594.3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167</v>
      </c>
      <c r="I31" t="s">
        <v>167</v>
      </c>
      <c r="J31" s="228"/>
      <c r="K31">
        <v>0</v>
      </c>
      <c r="L31" t="s">
        <v>167</v>
      </c>
      <c r="M31" t="s">
        <v>167</v>
      </c>
      <c r="O31" s="232"/>
      <c r="P31" s="98"/>
      <c r="Q31" s="102"/>
      <c r="R31" s="108"/>
      <c r="S31" t="s">
        <v>167</v>
      </c>
      <c r="T31" t="s">
        <v>167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s="233" t="s">
        <v>189</v>
      </c>
      <c r="C32" t="s">
        <v>190</v>
      </c>
      <c r="D32" s="227"/>
      <c r="E32" s="100"/>
      <c r="F32">
        <v>2</v>
      </c>
      <c r="G32" s="231">
        <v>1064.58</v>
      </c>
      <c r="H32" s="231">
        <v>734.19</v>
      </c>
      <c r="I32" s="231">
        <v>2129.16</v>
      </c>
      <c r="J32" s="228"/>
      <c r="K32">
        <v>2</v>
      </c>
      <c r="L32" s="231">
        <v>585.52</v>
      </c>
      <c r="M32" s="231">
        <v>1171.04</v>
      </c>
      <c r="N32" s="232">
        <v>0.45</v>
      </c>
      <c r="O32" s="232"/>
      <c r="P32" s="98"/>
      <c r="Q32" s="102"/>
      <c r="R32" s="108"/>
      <c r="S32" s="231">
        <v>1171.04</v>
      </c>
      <c r="T32" s="231">
        <v>2342.08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191</v>
      </c>
      <c r="C33" t="s">
        <v>192</v>
      </c>
      <c r="D33" s="227"/>
      <c r="E33" s="100"/>
      <c r="F33">
        <v>32</v>
      </c>
      <c r="G33" s="231">
        <v>8.76</v>
      </c>
      <c r="H33" s="231">
        <v>6.04</v>
      </c>
      <c r="I33" s="231">
        <v>280.32</v>
      </c>
      <c r="J33" s="228"/>
      <c r="K33">
        <v>32</v>
      </c>
      <c r="L33" s="231">
        <v>4.82</v>
      </c>
      <c r="M33" s="231">
        <v>154.24</v>
      </c>
      <c r="N33" s="232">
        <v>0.44979999999999998</v>
      </c>
      <c r="P33" s="98"/>
      <c r="Q33" s="102"/>
      <c r="R33" s="108"/>
      <c r="S33" s="231">
        <v>154.24</v>
      </c>
      <c r="T33" s="231">
        <v>4935.68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193</v>
      </c>
      <c r="C34" t="s">
        <v>194</v>
      </c>
      <c r="D34" s="227"/>
      <c r="E34" s="100"/>
      <c r="F34">
        <v>2</v>
      </c>
      <c r="G34" s="231">
        <v>2633.14</v>
      </c>
      <c r="H34" s="231">
        <v>1815.96</v>
      </c>
      <c r="I34" s="231">
        <v>5266.28</v>
      </c>
      <c r="J34" s="228"/>
      <c r="K34">
        <v>2</v>
      </c>
      <c r="L34" s="231">
        <v>1448.23</v>
      </c>
      <c r="M34" s="231">
        <v>2896.46</v>
      </c>
      <c r="N34" s="232">
        <v>0.45</v>
      </c>
      <c r="O34" s="232"/>
      <c r="P34" s="98"/>
      <c r="Q34" s="102"/>
      <c r="R34" s="108"/>
      <c r="S34" s="231">
        <v>2896.46</v>
      </c>
      <c r="T34" s="231">
        <v>5792.92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195</v>
      </c>
      <c r="C35" t="s">
        <v>196</v>
      </c>
      <c r="D35" s="227"/>
      <c r="E35" s="100"/>
      <c r="F35">
        <v>8</v>
      </c>
      <c r="G35" s="231">
        <v>7.85</v>
      </c>
      <c r="H35" s="231">
        <v>5.41</v>
      </c>
      <c r="I35" s="231">
        <v>62.8</v>
      </c>
      <c r="J35" s="228"/>
      <c r="K35">
        <v>8</v>
      </c>
      <c r="L35" s="231">
        <v>4.32</v>
      </c>
      <c r="M35" s="231">
        <v>34.56</v>
      </c>
      <c r="N35" s="232">
        <v>0.44969999999999999</v>
      </c>
      <c r="O35" s="232"/>
      <c r="P35" s="98"/>
      <c r="Q35" s="102"/>
      <c r="R35" s="108"/>
      <c r="S35" s="231">
        <v>34.56</v>
      </c>
      <c r="T35" s="231">
        <v>276.48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s="233" t="s">
        <v>197</v>
      </c>
      <c r="C36" t="s">
        <v>134</v>
      </c>
      <c r="D36" s="227"/>
      <c r="E36" s="100"/>
      <c r="F36">
        <v>4</v>
      </c>
      <c r="G36" s="231">
        <v>537.45000000000005</v>
      </c>
      <c r="H36" s="231">
        <v>370.66</v>
      </c>
      <c r="I36" s="231">
        <v>2149.8000000000002</v>
      </c>
      <c r="J36" s="228"/>
      <c r="K36">
        <v>4</v>
      </c>
      <c r="L36" s="231">
        <v>295.60000000000002</v>
      </c>
      <c r="M36" s="231">
        <v>1182.4000000000001</v>
      </c>
      <c r="N36" s="232">
        <v>0.45</v>
      </c>
      <c r="O36" s="232"/>
      <c r="P36" s="98"/>
      <c r="Q36" s="102"/>
      <c r="R36" s="108"/>
      <c r="S36" s="231">
        <v>1182.4000000000001</v>
      </c>
      <c r="T36" s="231">
        <v>4729.6000000000004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200</v>
      </c>
      <c r="C37" t="s">
        <v>201</v>
      </c>
      <c r="D37" s="227"/>
      <c r="E37" s="100"/>
      <c r="F37">
        <v>4</v>
      </c>
      <c r="G37" s="231">
        <v>23.18</v>
      </c>
      <c r="H37" s="231">
        <v>15.99</v>
      </c>
      <c r="I37" s="231">
        <v>92.72</v>
      </c>
      <c r="J37" s="228"/>
      <c r="K37">
        <v>4</v>
      </c>
      <c r="L37" s="231">
        <v>12.75</v>
      </c>
      <c r="M37" s="231">
        <v>51</v>
      </c>
      <c r="N37" s="232">
        <v>0.45</v>
      </c>
      <c r="O37" s="232"/>
      <c r="P37" s="98"/>
      <c r="Q37" s="102"/>
      <c r="R37" s="108"/>
      <c r="S37" s="231">
        <v>51</v>
      </c>
      <c r="T37" s="231">
        <v>204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198</v>
      </c>
      <c r="C38" t="s">
        <v>199</v>
      </c>
      <c r="D38" s="227"/>
      <c r="E38" s="100"/>
      <c r="F38">
        <v>16</v>
      </c>
      <c r="G38" s="231">
        <v>748.26</v>
      </c>
      <c r="H38" s="231">
        <v>516.04</v>
      </c>
      <c r="I38" s="231">
        <v>11972.16</v>
      </c>
      <c r="J38" s="228"/>
      <c r="K38">
        <v>16</v>
      </c>
      <c r="L38" s="231">
        <v>411.54</v>
      </c>
      <c r="M38" s="231">
        <v>6584.64</v>
      </c>
      <c r="N38" s="232">
        <v>0.45</v>
      </c>
      <c r="O38" s="232"/>
      <c r="P38" s="98"/>
      <c r="Q38" s="102"/>
      <c r="R38" s="108"/>
      <c r="S38" s="231">
        <v>6584.64</v>
      </c>
      <c r="T38" s="231">
        <v>105354.24000000001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202</v>
      </c>
      <c r="C39" t="s">
        <v>201</v>
      </c>
      <c r="D39" s="227"/>
      <c r="E39" s="100"/>
      <c r="F39">
        <v>64</v>
      </c>
      <c r="G39" s="231">
        <v>20.079999999999998</v>
      </c>
      <c r="H39" s="231">
        <v>13.85</v>
      </c>
      <c r="I39" s="231">
        <v>1285.1199999999999</v>
      </c>
      <c r="J39" s="228"/>
      <c r="K39">
        <v>64</v>
      </c>
      <c r="L39" s="231">
        <v>11.04</v>
      </c>
      <c r="M39" s="231">
        <v>706.56</v>
      </c>
      <c r="N39" s="232">
        <v>0.45019999999999999</v>
      </c>
      <c r="O39" s="232"/>
      <c r="P39" s="98"/>
      <c r="Q39" s="102"/>
      <c r="R39" s="108"/>
      <c r="S39" s="231">
        <v>706.56</v>
      </c>
      <c r="T39" s="231">
        <v>45219.839999999997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203</v>
      </c>
      <c r="C40" t="s">
        <v>204</v>
      </c>
      <c r="D40" s="227"/>
      <c r="E40" s="100"/>
      <c r="F40">
        <v>64</v>
      </c>
      <c r="G40" s="231">
        <v>2.99</v>
      </c>
      <c r="H40" s="231">
        <v>2.06</v>
      </c>
      <c r="I40" s="231">
        <v>191.36</v>
      </c>
      <c r="J40" s="228"/>
      <c r="K40">
        <v>64</v>
      </c>
      <c r="L40" s="231">
        <v>1.65</v>
      </c>
      <c r="M40" s="231">
        <v>105.6</v>
      </c>
      <c r="N40" s="232">
        <v>0.44819999999999999</v>
      </c>
      <c r="O40" s="232"/>
      <c r="P40" s="98"/>
      <c r="Q40" s="102"/>
      <c r="R40" s="108"/>
      <c r="S40" s="231">
        <v>105.6</v>
      </c>
      <c r="T40" s="231">
        <v>6758.4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167</v>
      </c>
      <c r="I41" t="s">
        <v>167</v>
      </c>
      <c r="J41" s="228"/>
      <c r="K41">
        <v>0</v>
      </c>
      <c r="L41" t="s">
        <v>167</v>
      </c>
      <c r="M41" t="s">
        <v>167</v>
      </c>
      <c r="O41" s="232"/>
      <c r="P41" s="98"/>
      <c r="Q41" s="102"/>
      <c r="R41" s="108"/>
      <c r="S41" t="s">
        <v>167</v>
      </c>
      <c r="T41" t="s">
        <v>167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205</v>
      </c>
      <c r="C42" t="s">
        <v>206</v>
      </c>
      <c r="D42" s="227"/>
      <c r="E42" s="100"/>
      <c r="F42">
        <v>2</v>
      </c>
      <c r="G42" s="231">
        <v>8238.4699999999993</v>
      </c>
      <c r="H42" s="231">
        <v>5681.7</v>
      </c>
      <c r="I42" s="231">
        <v>16476.939999999999</v>
      </c>
      <c r="J42" s="228"/>
      <c r="K42">
        <v>2</v>
      </c>
      <c r="L42" s="231">
        <v>4531.16</v>
      </c>
      <c r="M42" s="231">
        <v>9062.32</v>
      </c>
      <c r="N42" s="232">
        <v>0.45</v>
      </c>
      <c r="O42" s="232"/>
      <c r="P42" s="98"/>
      <c r="Q42" s="102"/>
      <c r="R42" s="108"/>
      <c r="S42" s="231">
        <v>9062.32</v>
      </c>
      <c r="T42" s="231">
        <v>18124.64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207</v>
      </c>
      <c r="C43" t="s">
        <v>208</v>
      </c>
      <c r="D43" s="227"/>
      <c r="E43" s="100"/>
      <c r="F43">
        <v>98</v>
      </c>
      <c r="G43" s="231">
        <v>179.13</v>
      </c>
      <c r="H43" s="231">
        <v>123.54</v>
      </c>
      <c r="I43" s="231">
        <v>17554.740000000002</v>
      </c>
      <c r="J43" s="228"/>
      <c r="K43">
        <v>98</v>
      </c>
      <c r="L43" s="231">
        <v>98.53</v>
      </c>
      <c r="M43" s="231">
        <v>9655.94</v>
      </c>
      <c r="N43" s="232">
        <v>0.45</v>
      </c>
      <c r="P43" s="98"/>
      <c r="Q43" s="102"/>
      <c r="R43" s="108"/>
      <c r="S43" s="231">
        <v>9655.94</v>
      </c>
      <c r="T43" s="231">
        <v>946282.12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209</v>
      </c>
      <c r="C44" t="s">
        <v>141</v>
      </c>
      <c r="D44" s="227"/>
      <c r="E44" s="100"/>
      <c r="F44">
        <v>392</v>
      </c>
      <c r="G44" s="231">
        <v>4.25</v>
      </c>
      <c r="H44" s="231">
        <v>2.93</v>
      </c>
      <c r="I44" s="231">
        <v>1666</v>
      </c>
      <c r="J44" s="228"/>
      <c r="K44">
        <v>392</v>
      </c>
      <c r="L44" s="231">
        <v>2.34</v>
      </c>
      <c r="M44" s="231">
        <v>917.28</v>
      </c>
      <c r="N44" s="232">
        <v>0.44940000000000002</v>
      </c>
      <c r="O44" s="232"/>
      <c r="P44" s="98"/>
      <c r="Q44" s="102"/>
      <c r="R44" s="108"/>
      <c r="S44" s="231">
        <v>917.28</v>
      </c>
      <c r="T44" s="231">
        <v>359573.76000000001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211</v>
      </c>
      <c r="C45" t="s">
        <v>239</v>
      </c>
      <c r="D45" s="227"/>
      <c r="E45" s="100"/>
      <c r="F45">
        <v>392</v>
      </c>
      <c r="G45" s="231">
        <v>3.14</v>
      </c>
      <c r="H45" s="231">
        <v>2.17</v>
      </c>
      <c r="I45" s="231">
        <v>1230.8800000000001</v>
      </c>
      <c r="J45" s="228"/>
      <c r="K45">
        <v>392</v>
      </c>
      <c r="L45" s="231">
        <v>1.73</v>
      </c>
      <c r="M45" s="231">
        <v>678.16</v>
      </c>
      <c r="N45" s="232">
        <v>0.44900000000000001</v>
      </c>
      <c r="O45" s="232"/>
      <c r="P45" s="98"/>
      <c r="Q45" s="102"/>
      <c r="R45" s="108"/>
      <c r="S45" s="231">
        <v>678.16</v>
      </c>
      <c r="T45" s="231">
        <v>265838.71999999997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D46" s="227"/>
      <c r="E46" s="100"/>
      <c r="H46" t="s">
        <v>167</v>
      </c>
      <c r="I46" t="s">
        <v>167</v>
      </c>
      <c r="J46" s="228"/>
      <c r="K46">
        <v>0</v>
      </c>
      <c r="L46" t="s">
        <v>167</v>
      </c>
      <c r="M46" t="s">
        <v>167</v>
      </c>
      <c r="O46" s="232"/>
      <c r="P46" s="98"/>
      <c r="Q46" s="102"/>
      <c r="R46" s="108"/>
      <c r="S46" t="s">
        <v>167</v>
      </c>
      <c r="T46" t="s">
        <v>167</v>
      </c>
      <c r="U46" s="232">
        <v>0</v>
      </c>
      <c r="V46" s="232">
        <v>0</v>
      </c>
      <c r="W46" s="229"/>
      <c r="X46" s="230"/>
      <c r="Y46" s="8"/>
      <c r="Z46" s="8"/>
    </row>
    <row r="47" spans="2:26">
      <c r="D47" s="227"/>
      <c r="E47" s="100"/>
      <c r="H47" t="s">
        <v>167</v>
      </c>
      <c r="I47" t="s">
        <v>167</v>
      </c>
      <c r="J47" s="228"/>
      <c r="K47">
        <v>0</v>
      </c>
      <c r="L47" t="s">
        <v>167</v>
      </c>
      <c r="M47" t="s">
        <v>167</v>
      </c>
      <c r="O47" s="232"/>
      <c r="P47" s="98"/>
      <c r="Q47" s="102"/>
      <c r="R47" s="108"/>
      <c r="S47" t="s">
        <v>167</v>
      </c>
      <c r="T47" t="s">
        <v>167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240</v>
      </c>
      <c r="C48" t="s">
        <v>241</v>
      </c>
      <c r="D48" s="227"/>
      <c r="E48" s="100"/>
      <c r="F48">
        <v>1</v>
      </c>
      <c r="G48" s="231">
        <v>22869.96</v>
      </c>
      <c r="H48" s="231">
        <v>15772.39</v>
      </c>
      <c r="I48" s="231">
        <v>22869.96</v>
      </c>
      <c r="J48" s="228"/>
      <c r="K48">
        <v>1</v>
      </c>
      <c r="L48" s="231">
        <v>12578.48</v>
      </c>
      <c r="M48" s="231">
        <v>12578.48</v>
      </c>
      <c r="N48" s="232">
        <v>0.45</v>
      </c>
      <c r="P48" s="98"/>
      <c r="Q48" s="102"/>
      <c r="R48" s="108"/>
      <c r="S48" s="231">
        <v>12578.48</v>
      </c>
      <c r="T48" s="231">
        <v>12578.48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242</v>
      </c>
      <c r="C50" t="s">
        <v>243</v>
      </c>
      <c r="D50" s="87"/>
      <c r="E50" s="100"/>
      <c r="F50">
        <v>1</v>
      </c>
      <c r="G50" s="231">
        <v>2512.7199999999998</v>
      </c>
      <c r="H50" s="231">
        <v>1732.91</v>
      </c>
      <c r="I50" s="231">
        <v>2512.7199999999998</v>
      </c>
      <c r="J50" s="105"/>
      <c r="K50">
        <v>1</v>
      </c>
      <c r="L50" s="231">
        <v>1256.3599999999999</v>
      </c>
      <c r="M50" s="231">
        <v>1256.3599999999999</v>
      </c>
      <c r="N50" s="232">
        <v>0.5</v>
      </c>
      <c r="O50" s="232"/>
      <c r="P50" s="98"/>
      <c r="Q50" s="102"/>
      <c r="R50" s="108"/>
      <c r="S50" s="231">
        <v>1256.3599999999999</v>
      </c>
      <c r="T50" s="231">
        <v>1256.3599999999999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1098</v>
      </c>
      <c r="G78" s="121">
        <f t="shared" si="0"/>
        <v>57215.06</v>
      </c>
      <c r="H78" s="122">
        <f t="shared" si="0"/>
        <v>39458.67</v>
      </c>
      <c r="I78" s="123">
        <f t="shared" si="0"/>
        <v>109047.4</v>
      </c>
      <c r="J78" s="124"/>
      <c r="K78" s="125">
        <f t="shared" ref="K78:M78" si="1">SUM(K19:K77)</f>
        <v>1098</v>
      </c>
      <c r="L78" s="122">
        <f t="shared" si="1"/>
        <v>30776.09</v>
      </c>
      <c r="M78" s="123">
        <f t="shared" si="1"/>
        <v>59924.210000000006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59924.210000000006</v>
      </c>
      <c r="T78" s="123">
        <f t="shared" si="2"/>
        <v>1805062.01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Q15 G18 L18 Q18" xr:uid="{FEDC47CF-9DCE-4C5B-8E4E-4809073552F5}">
      <formula1>$Y$12:$Y$13</formula1>
    </dataValidation>
    <dataValidation type="list" allowBlank="1" showErrorMessage="1" sqref="J14" xr:uid="{EC971ADE-EFBF-490C-AE12-187E1B4BC27C}">
      <formula1>$L$9</formula1>
    </dataValidation>
    <dataValidation type="list" allowBlank="1" showErrorMessage="1" sqref="I14" xr:uid="{B9BB7BC0-3932-4C4A-883F-EDBB1ADA9C34}">
      <formula1>$Y$14:$Y$15</formula1>
    </dataValidation>
    <dataValidation type="list" allowBlank="1" showErrorMessage="1" sqref="E19:E77" xr:uid="{D6738F93-34E2-471F-A19F-33BF67FEC660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096B-055E-40C3-94CF-E5997231021F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258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113424.94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2021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62103.320000000007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51321.619999999995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>
        <v>320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0.45247209299824176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259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1818857.22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260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62103.320000000007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1100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247</v>
      </c>
      <c r="C20" t="s">
        <v>220</v>
      </c>
      <c r="D20" s="87"/>
      <c r="E20" s="100"/>
      <c r="F20">
        <v>1</v>
      </c>
      <c r="G20" s="231">
        <v>95.91</v>
      </c>
      <c r="H20" s="231">
        <v>66.14</v>
      </c>
      <c r="I20" s="231">
        <v>95.91</v>
      </c>
      <c r="J20" s="105"/>
      <c r="K20">
        <v>1</v>
      </c>
      <c r="L20" s="231">
        <v>47.96</v>
      </c>
      <c r="M20" s="231">
        <v>47.96</v>
      </c>
      <c r="N20" s="232">
        <v>0.49990000000000001</v>
      </c>
      <c r="O20" s="232"/>
      <c r="P20" s="98"/>
      <c r="Q20" s="102"/>
      <c r="R20" s="108"/>
      <c r="S20" s="231">
        <v>47.96</v>
      </c>
      <c r="T20" s="231">
        <v>47.96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248</v>
      </c>
      <c r="C21" t="s">
        <v>249</v>
      </c>
      <c r="D21" s="227"/>
      <c r="E21" s="100"/>
      <c r="F21">
        <v>1</v>
      </c>
      <c r="G21" s="231">
        <v>66.94</v>
      </c>
      <c r="H21" s="231">
        <v>46.17</v>
      </c>
      <c r="I21" s="231">
        <v>66.94</v>
      </c>
      <c r="J21" s="228"/>
      <c r="K21">
        <v>1</v>
      </c>
      <c r="L21" s="231">
        <v>33.47</v>
      </c>
      <c r="M21" s="231">
        <v>33.47</v>
      </c>
      <c r="N21" s="232">
        <v>0.5</v>
      </c>
      <c r="O21" s="232"/>
      <c r="P21" s="98"/>
      <c r="Q21" s="102"/>
      <c r="R21" s="108"/>
      <c r="S21" s="231">
        <v>33.47</v>
      </c>
      <c r="T21" s="231">
        <v>33.47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250</v>
      </c>
      <c r="C22" t="s">
        <v>251</v>
      </c>
      <c r="D22" s="227"/>
      <c r="E22" s="100"/>
      <c r="F22">
        <v>1</v>
      </c>
      <c r="G22" s="231">
        <v>283.86</v>
      </c>
      <c r="H22" s="231">
        <v>195.77</v>
      </c>
      <c r="I22" s="231">
        <v>283.86</v>
      </c>
      <c r="J22" s="228"/>
      <c r="K22">
        <v>1</v>
      </c>
      <c r="L22" s="231">
        <v>141.93</v>
      </c>
      <c r="M22" s="231">
        <v>141.93</v>
      </c>
      <c r="N22" s="232">
        <v>0.5</v>
      </c>
      <c r="O22" s="232"/>
      <c r="P22" s="98"/>
      <c r="Q22" s="102"/>
      <c r="R22" s="108"/>
      <c r="S22" s="231">
        <v>141.93</v>
      </c>
      <c r="T22" s="231">
        <v>141.93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252</v>
      </c>
      <c r="C23" t="s">
        <v>118</v>
      </c>
      <c r="D23" s="227"/>
      <c r="E23" s="100"/>
      <c r="F23">
        <v>1</v>
      </c>
      <c r="G23" s="231">
        <v>244.2</v>
      </c>
      <c r="H23" s="231">
        <v>168.41</v>
      </c>
      <c r="I23" s="231">
        <v>244.2</v>
      </c>
      <c r="J23" s="228"/>
      <c r="K23">
        <v>1</v>
      </c>
      <c r="L23" s="231">
        <v>158.72999999999999</v>
      </c>
      <c r="M23" s="231">
        <v>158.72999999999999</v>
      </c>
      <c r="N23" s="232">
        <v>0.35</v>
      </c>
      <c r="O23" s="232"/>
      <c r="P23" s="98"/>
      <c r="Q23" s="102"/>
      <c r="R23" s="108"/>
      <c r="S23" s="231">
        <v>158.72999999999999</v>
      </c>
      <c r="T23" s="231">
        <v>158.72999999999999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253</v>
      </c>
      <c r="C24" t="s">
        <v>120</v>
      </c>
      <c r="D24" s="227"/>
      <c r="E24" s="100"/>
      <c r="F24">
        <v>1</v>
      </c>
      <c r="G24" s="231">
        <v>133.28</v>
      </c>
      <c r="H24" s="231">
        <v>91.92</v>
      </c>
      <c r="I24" s="231">
        <v>133.28</v>
      </c>
      <c r="J24" s="228"/>
      <c r="K24">
        <v>1</v>
      </c>
      <c r="L24" s="231">
        <v>86.63</v>
      </c>
      <c r="M24" s="231">
        <v>86.63</v>
      </c>
      <c r="N24" s="232">
        <v>0.35</v>
      </c>
      <c r="O24" s="232"/>
      <c r="P24" s="98"/>
      <c r="Q24" s="102"/>
      <c r="R24" s="108"/>
      <c r="S24" s="231">
        <v>86.63</v>
      </c>
      <c r="T24" s="231">
        <v>86.63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254</v>
      </c>
      <c r="C25" t="s">
        <v>122</v>
      </c>
      <c r="D25" s="227"/>
      <c r="E25" s="100"/>
      <c r="F25">
        <v>1</v>
      </c>
      <c r="G25" s="231">
        <v>87.85</v>
      </c>
      <c r="H25" s="231">
        <v>60.59</v>
      </c>
      <c r="I25" s="231">
        <v>87.85</v>
      </c>
      <c r="J25" s="228"/>
      <c r="K25">
        <v>1</v>
      </c>
      <c r="L25" s="231">
        <v>43.93</v>
      </c>
      <c r="M25" s="231">
        <v>43.93</v>
      </c>
      <c r="N25" s="232">
        <v>0.49990000000000001</v>
      </c>
      <c r="O25" s="232"/>
      <c r="P25" s="98"/>
      <c r="Q25" s="102"/>
      <c r="R25" s="108"/>
      <c r="S25" s="231">
        <v>43.93</v>
      </c>
      <c r="T25" s="231">
        <v>43.93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187</v>
      </c>
      <c r="C26" t="s">
        <v>188</v>
      </c>
      <c r="D26" s="227"/>
      <c r="E26" s="100"/>
      <c r="F26">
        <v>2</v>
      </c>
      <c r="G26" s="231">
        <v>523.07000000000005</v>
      </c>
      <c r="H26" s="231">
        <v>360.74</v>
      </c>
      <c r="I26" s="231">
        <v>1046.1400000000001</v>
      </c>
      <c r="J26" s="228"/>
      <c r="K26">
        <v>2</v>
      </c>
      <c r="L26" s="231">
        <v>261.54000000000002</v>
      </c>
      <c r="M26" s="231">
        <v>523.08000000000004</v>
      </c>
      <c r="N26" s="232">
        <v>0.5</v>
      </c>
      <c r="O26" s="232"/>
      <c r="P26" s="98"/>
      <c r="Q26" s="102"/>
      <c r="R26" s="108"/>
      <c r="S26" s="231">
        <v>523.08000000000004</v>
      </c>
      <c r="T26" s="231">
        <v>1046.1600000000001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256</v>
      </c>
      <c r="C27" t="s">
        <v>257</v>
      </c>
      <c r="D27" s="227"/>
      <c r="E27" s="100"/>
      <c r="F27">
        <v>1</v>
      </c>
      <c r="G27" s="231">
        <v>8493.36</v>
      </c>
      <c r="H27" s="231">
        <v>5857.49</v>
      </c>
      <c r="I27" s="231">
        <v>8493.36</v>
      </c>
      <c r="J27" s="228"/>
      <c r="K27">
        <v>1</v>
      </c>
      <c r="L27" s="231">
        <v>4246.68</v>
      </c>
      <c r="M27" s="231">
        <v>4246.68</v>
      </c>
      <c r="N27" s="232">
        <v>0.5</v>
      </c>
      <c r="O27" s="232"/>
      <c r="P27" s="98"/>
      <c r="Q27" s="102"/>
      <c r="R27" s="108"/>
      <c r="S27" s="231">
        <v>4246.68</v>
      </c>
      <c r="T27" s="231">
        <v>4246.68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261</v>
      </c>
      <c r="C28" t="s">
        <v>184</v>
      </c>
      <c r="D28" s="227"/>
      <c r="E28" s="100"/>
      <c r="F28">
        <v>4</v>
      </c>
      <c r="G28" s="231">
        <v>1132.8800000000001</v>
      </c>
      <c r="H28" s="231">
        <v>781.3</v>
      </c>
      <c r="I28" s="231">
        <v>4531.5200000000004</v>
      </c>
      <c r="J28" s="228"/>
      <c r="K28">
        <v>4</v>
      </c>
      <c r="L28" s="231">
        <v>793.02</v>
      </c>
      <c r="M28" s="231">
        <v>3172.08</v>
      </c>
      <c r="N28" s="232">
        <v>0.3</v>
      </c>
      <c r="O28" s="232"/>
      <c r="P28" s="98"/>
      <c r="Q28" s="102"/>
      <c r="R28" s="108"/>
      <c r="S28" s="231">
        <v>3172.08</v>
      </c>
      <c r="T28" s="231">
        <v>12688.32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262</v>
      </c>
      <c r="C29" t="s">
        <v>232</v>
      </c>
      <c r="D29" s="227"/>
      <c r="E29" s="100"/>
      <c r="F29">
        <v>1</v>
      </c>
      <c r="G29" s="231">
        <v>3256.94</v>
      </c>
      <c r="H29" s="231">
        <v>2246.17</v>
      </c>
      <c r="I29" s="231">
        <v>3256.94</v>
      </c>
      <c r="J29" s="228"/>
      <c r="K29">
        <v>1</v>
      </c>
      <c r="L29" s="231">
        <v>1628.47</v>
      </c>
      <c r="M29" s="231">
        <v>1628.47</v>
      </c>
      <c r="N29" s="232">
        <v>0.5</v>
      </c>
      <c r="O29" s="232"/>
      <c r="P29" s="98"/>
      <c r="Q29" s="102"/>
      <c r="R29" s="108"/>
      <c r="S29" s="231">
        <v>1628.47</v>
      </c>
      <c r="T29" s="231">
        <v>1628.47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263</v>
      </c>
      <c r="C30" t="s">
        <v>234</v>
      </c>
      <c r="D30" s="227"/>
      <c r="E30" s="100"/>
      <c r="F30">
        <v>1</v>
      </c>
      <c r="G30" s="231">
        <v>3756.87</v>
      </c>
      <c r="H30" s="231">
        <v>2590.94</v>
      </c>
      <c r="I30" s="231">
        <v>3756.87</v>
      </c>
      <c r="J30" s="228"/>
      <c r="K30">
        <v>1</v>
      </c>
      <c r="L30" s="231">
        <v>1878.44</v>
      </c>
      <c r="M30" s="231">
        <v>1878.44</v>
      </c>
      <c r="N30" s="232">
        <v>0.5</v>
      </c>
      <c r="O30" s="232"/>
      <c r="P30" s="98"/>
      <c r="Q30" s="102"/>
      <c r="R30" s="108"/>
      <c r="S30" s="231">
        <v>1878.44</v>
      </c>
      <c r="T30" s="231">
        <v>1878.44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167</v>
      </c>
      <c r="I31" t="s">
        <v>167</v>
      </c>
      <c r="J31" s="228"/>
      <c r="K31">
        <v>0</v>
      </c>
      <c r="L31" t="s">
        <v>167</v>
      </c>
      <c r="M31" t="s">
        <v>167</v>
      </c>
      <c r="O31" s="232"/>
      <c r="P31" s="98"/>
      <c r="Q31" s="102"/>
      <c r="R31" s="108"/>
      <c r="S31" t="s">
        <v>167</v>
      </c>
      <c r="T31" t="s">
        <v>167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s="233" t="s">
        <v>189</v>
      </c>
      <c r="C32" t="s">
        <v>190</v>
      </c>
      <c r="D32" s="227"/>
      <c r="E32" s="100"/>
      <c r="F32">
        <v>2</v>
      </c>
      <c r="G32" s="231">
        <v>1064.58</v>
      </c>
      <c r="H32" s="231">
        <v>734.19</v>
      </c>
      <c r="I32" s="231">
        <v>2129.16</v>
      </c>
      <c r="J32" s="228"/>
      <c r="K32">
        <v>2</v>
      </c>
      <c r="L32" s="231">
        <v>585.52</v>
      </c>
      <c r="M32" s="231">
        <v>1171.04</v>
      </c>
      <c r="N32" s="232">
        <v>0.45</v>
      </c>
      <c r="O32" s="232"/>
      <c r="P32" s="98"/>
      <c r="Q32" s="102"/>
      <c r="R32" s="108"/>
      <c r="S32" s="231">
        <v>1171.04</v>
      </c>
      <c r="T32" s="231">
        <v>2342.08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191</v>
      </c>
      <c r="C33" t="s">
        <v>192</v>
      </c>
      <c r="D33" s="227"/>
      <c r="E33" s="100"/>
      <c r="F33">
        <v>32</v>
      </c>
      <c r="G33" s="231">
        <v>8.76</v>
      </c>
      <c r="H33" s="231">
        <v>6.04</v>
      </c>
      <c r="I33" s="231">
        <v>280.32</v>
      </c>
      <c r="J33" s="228"/>
      <c r="K33">
        <v>32</v>
      </c>
      <c r="L33" s="231">
        <v>4.82</v>
      </c>
      <c r="M33" s="231">
        <v>154.24</v>
      </c>
      <c r="N33" s="232">
        <v>0.44979999999999998</v>
      </c>
      <c r="P33" s="98"/>
      <c r="Q33" s="102"/>
      <c r="R33" s="108"/>
      <c r="S33" s="231">
        <v>154.24</v>
      </c>
      <c r="T33" s="231">
        <v>4935.68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193</v>
      </c>
      <c r="C34" t="s">
        <v>194</v>
      </c>
      <c r="D34" s="227"/>
      <c r="E34" s="100"/>
      <c r="F34">
        <v>4</v>
      </c>
      <c r="G34" s="231">
        <v>2633.14</v>
      </c>
      <c r="H34" s="231">
        <v>1815.96</v>
      </c>
      <c r="I34" s="231">
        <v>10532.56</v>
      </c>
      <c r="J34" s="228"/>
      <c r="K34">
        <v>4</v>
      </c>
      <c r="L34" s="231">
        <v>1448.23</v>
      </c>
      <c r="M34" s="231">
        <v>5792.92</v>
      </c>
      <c r="N34" s="232">
        <v>0.45</v>
      </c>
      <c r="O34" s="232"/>
      <c r="P34" s="98"/>
      <c r="Q34" s="102"/>
      <c r="R34" s="108"/>
      <c r="S34" s="231">
        <v>5792.92</v>
      </c>
      <c r="T34" s="231">
        <v>23171.68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195</v>
      </c>
      <c r="C35" t="s">
        <v>196</v>
      </c>
      <c r="D35" s="227"/>
      <c r="E35" s="100"/>
      <c r="F35">
        <v>8</v>
      </c>
      <c r="G35" s="231">
        <v>7.85</v>
      </c>
      <c r="H35" s="231">
        <v>5.41</v>
      </c>
      <c r="I35" s="231">
        <v>62.8</v>
      </c>
      <c r="J35" s="228"/>
      <c r="K35">
        <v>8</v>
      </c>
      <c r="L35" s="231">
        <v>4.32</v>
      </c>
      <c r="M35" s="231">
        <v>34.56</v>
      </c>
      <c r="N35" s="232">
        <v>0.44969999999999999</v>
      </c>
      <c r="O35" s="232"/>
      <c r="P35" s="98"/>
      <c r="Q35" s="102"/>
      <c r="R35" s="108"/>
      <c r="S35" s="231">
        <v>34.56</v>
      </c>
      <c r="T35" s="231">
        <v>276.48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s="233" t="s">
        <v>197</v>
      </c>
      <c r="C36" t="s">
        <v>134</v>
      </c>
      <c r="D36" s="227"/>
      <c r="E36" s="100"/>
      <c r="F36">
        <v>4</v>
      </c>
      <c r="G36" s="231">
        <v>537.45000000000005</v>
      </c>
      <c r="H36" s="231">
        <v>370.66</v>
      </c>
      <c r="I36" s="231">
        <v>2149.8000000000002</v>
      </c>
      <c r="J36" s="228"/>
      <c r="K36">
        <v>4</v>
      </c>
      <c r="L36" s="231">
        <v>295.60000000000002</v>
      </c>
      <c r="M36" s="231">
        <v>1182.4000000000001</v>
      </c>
      <c r="N36" s="232">
        <v>0.45</v>
      </c>
      <c r="O36" s="232"/>
      <c r="P36" s="98"/>
      <c r="Q36" s="102"/>
      <c r="R36" s="108"/>
      <c r="S36" s="231">
        <v>1182.4000000000001</v>
      </c>
      <c r="T36" s="231">
        <v>4729.6000000000004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200</v>
      </c>
      <c r="C37" t="s">
        <v>201</v>
      </c>
      <c r="D37" s="227"/>
      <c r="E37" s="100"/>
      <c r="F37">
        <v>4</v>
      </c>
      <c r="G37" s="231">
        <v>23.18</v>
      </c>
      <c r="H37" s="231">
        <v>15.99</v>
      </c>
      <c r="I37" s="231">
        <v>92.72</v>
      </c>
      <c r="J37" s="228"/>
      <c r="K37">
        <v>4</v>
      </c>
      <c r="L37" s="231">
        <v>12.75</v>
      </c>
      <c r="M37" s="231">
        <v>51</v>
      </c>
      <c r="N37" s="232">
        <v>0.45</v>
      </c>
      <c r="O37" s="232"/>
      <c r="P37" s="98"/>
      <c r="Q37" s="102"/>
      <c r="R37" s="108"/>
      <c r="S37" s="231">
        <v>51</v>
      </c>
      <c r="T37" s="231">
        <v>204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198</v>
      </c>
      <c r="C38" t="s">
        <v>199</v>
      </c>
      <c r="D38" s="227"/>
      <c r="E38" s="100"/>
      <c r="F38">
        <v>16</v>
      </c>
      <c r="G38" s="231">
        <v>748.26</v>
      </c>
      <c r="H38" s="231">
        <v>516.04</v>
      </c>
      <c r="I38" s="231">
        <v>11972.16</v>
      </c>
      <c r="J38" s="228"/>
      <c r="K38">
        <v>16</v>
      </c>
      <c r="L38" s="231">
        <v>411.54</v>
      </c>
      <c r="M38" s="231">
        <v>6584.64</v>
      </c>
      <c r="N38" s="232">
        <v>0.45</v>
      </c>
      <c r="O38" s="232"/>
      <c r="P38" s="98"/>
      <c r="Q38" s="102"/>
      <c r="R38" s="108"/>
      <c r="S38" s="231">
        <v>6584.64</v>
      </c>
      <c r="T38" s="231">
        <v>105354.24000000001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202</v>
      </c>
      <c r="C39" t="s">
        <v>201</v>
      </c>
      <c r="D39" s="227"/>
      <c r="E39" s="100"/>
      <c r="F39">
        <v>64</v>
      </c>
      <c r="G39" s="231">
        <v>20.079999999999998</v>
      </c>
      <c r="H39" s="231">
        <v>13.85</v>
      </c>
      <c r="I39" s="231">
        <v>1285.1199999999999</v>
      </c>
      <c r="J39" s="228"/>
      <c r="K39">
        <v>64</v>
      </c>
      <c r="L39" s="231">
        <v>11.04</v>
      </c>
      <c r="M39" s="231">
        <v>706.56</v>
      </c>
      <c r="N39" s="232">
        <v>0.45019999999999999</v>
      </c>
      <c r="O39" s="232"/>
      <c r="P39" s="98"/>
      <c r="Q39" s="102"/>
      <c r="R39" s="108"/>
      <c r="S39" s="231">
        <v>706.56</v>
      </c>
      <c r="T39" s="231">
        <v>45219.839999999997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203</v>
      </c>
      <c r="C40" t="s">
        <v>204</v>
      </c>
      <c r="D40" s="227"/>
      <c r="E40" s="100"/>
      <c r="F40">
        <v>64</v>
      </c>
      <c r="G40" s="231">
        <v>2.99</v>
      </c>
      <c r="H40" s="231">
        <v>2.06</v>
      </c>
      <c r="I40" s="231">
        <v>191.36</v>
      </c>
      <c r="J40" s="228"/>
      <c r="K40">
        <v>64</v>
      </c>
      <c r="L40" s="231">
        <v>1.65</v>
      </c>
      <c r="M40" s="231">
        <v>105.6</v>
      </c>
      <c r="N40" s="232">
        <v>0.44819999999999999</v>
      </c>
      <c r="O40" s="232"/>
      <c r="P40" s="98"/>
      <c r="Q40" s="102"/>
      <c r="R40" s="108"/>
      <c r="S40" s="231">
        <v>105.6</v>
      </c>
      <c r="T40" s="231">
        <v>6758.4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167</v>
      </c>
      <c r="I41" t="s">
        <v>167</v>
      </c>
      <c r="J41" s="228"/>
      <c r="K41">
        <v>0</v>
      </c>
      <c r="L41" t="s">
        <v>167</v>
      </c>
      <c r="M41" t="s">
        <v>167</v>
      </c>
      <c r="O41" s="232"/>
      <c r="P41" s="98"/>
      <c r="Q41" s="102"/>
      <c r="R41" s="108"/>
      <c r="S41" t="s">
        <v>167</v>
      </c>
      <c r="T41" t="s">
        <v>167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205</v>
      </c>
      <c r="C42" t="s">
        <v>206</v>
      </c>
      <c r="D42" s="227"/>
      <c r="E42" s="100"/>
      <c r="F42">
        <v>2</v>
      </c>
      <c r="G42" s="231">
        <v>8238.4699999999993</v>
      </c>
      <c r="H42" s="231">
        <v>5681.7</v>
      </c>
      <c r="I42" s="231">
        <v>16476.939999999999</v>
      </c>
      <c r="J42" s="228"/>
      <c r="K42">
        <v>2</v>
      </c>
      <c r="L42" s="231">
        <v>4531.16</v>
      </c>
      <c r="M42" s="231">
        <v>9062.32</v>
      </c>
      <c r="N42" s="232">
        <v>0.45</v>
      </c>
      <c r="O42" s="232"/>
      <c r="P42" s="98"/>
      <c r="Q42" s="102"/>
      <c r="R42" s="108"/>
      <c r="S42" s="231">
        <v>9062.32</v>
      </c>
      <c r="T42" s="231">
        <v>18124.64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207</v>
      </c>
      <c r="C43" t="s">
        <v>208</v>
      </c>
      <c r="D43" s="227"/>
      <c r="E43" s="100"/>
      <c r="F43">
        <v>98</v>
      </c>
      <c r="G43" s="231">
        <v>179.13</v>
      </c>
      <c r="H43" s="231">
        <v>123.54</v>
      </c>
      <c r="I43" s="231">
        <v>17554.740000000002</v>
      </c>
      <c r="J43" s="228"/>
      <c r="K43">
        <v>98</v>
      </c>
      <c r="L43" s="231">
        <v>98.53</v>
      </c>
      <c r="M43" s="231">
        <v>9655.94</v>
      </c>
      <c r="N43" s="232">
        <v>0.45</v>
      </c>
      <c r="P43" s="98"/>
      <c r="Q43" s="102"/>
      <c r="R43" s="108"/>
      <c r="S43" s="231">
        <v>9655.94</v>
      </c>
      <c r="T43" s="231">
        <v>946282.12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209</v>
      </c>
      <c r="C44" t="s">
        <v>141</v>
      </c>
      <c r="D44" s="227"/>
      <c r="E44" s="100"/>
      <c r="F44">
        <v>392</v>
      </c>
      <c r="G44" s="231">
        <v>4.25</v>
      </c>
      <c r="H44" s="231">
        <v>2.93</v>
      </c>
      <c r="I44" s="231">
        <v>1666</v>
      </c>
      <c r="J44" s="228"/>
      <c r="K44">
        <v>392</v>
      </c>
      <c r="L44" s="231">
        <v>2.34</v>
      </c>
      <c r="M44" s="231">
        <v>917.28</v>
      </c>
      <c r="N44" s="232">
        <v>0.44940000000000002</v>
      </c>
      <c r="O44" s="232"/>
      <c r="P44" s="98"/>
      <c r="Q44" s="102"/>
      <c r="R44" s="108"/>
      <c r="S44" s="231">
        <v>917.28</v>
      </c>
      <c r="T44" s="231">
        <v>359573.76000000001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211</v>
      </c>
      <c r="C45" t="s">
        <v>239</v>
      </c>
      <c r="D45" s="227"/>
      <c r="E45" s="100"/>
      <c r="F45">
        <v>392</v>
      </c>
      <c r="G45" s="231">
        <v>3.14</v>
      </c>
      <c r="H45" s="231">
        <v>2.17</v>
      </c>
      <c r="I45" s="231">
        <v>1230.8800000000001</v>
      </c>
      <c r="J45" s="228"/>
      <c r="K45">
        <v>392</v>
      </c>
      <c r="L45" s="231">
        <v>1.73</v>
      </c>
      <c r="M45" s="231">
        <v>678.16</v>
      </c>
      <c r="N45" s="232">
        <v>0.44900000000000001</v>
      </c>
      <c r="O45" s="232"/>
      <c r="P45" s="98"/>
      <c r="Q45" s="102"/>
      <c r="R45" s="108"/>
      <c r="S45" s="231">
        <v>678.16</v>
      </c>
      <c r="T45" s="231">
        <v>265838.71999999997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D46" s="227"/>
      <c r="E46" s="100"/>
      <c r="H46" t="s">
        <v>167</v>
      </c>
      <c r="I46" t="s">
        <v>167</v>
      </c>
      <c r="J46" s="228"/>
      <c r="K46">
        <v>0</v>
      </c>
      <c r="L46" t="s">
        <v>167</v>
      </c>
      <c r="M46" t="s">
        <v>167</v>
      </c>
      <c r="O46" s="232"/>
      <c r="P46" s="98"/>
      <c r="Q46" s="102"/>
      <c r="R46" s="108"/>
      <c r="S46" t="s">
        <v>167</v>
      </c>
      <c r="T46" t="s">
        <v>167</v>
      </c>
      <c r="U46" s="232">
        <v>0</v>
      </c>
      <c r="V46" s="232">
        <v>0</v>
      </c>
      <c r="W46" s="229"/>
      <c r="X46" s="230"/>
      <c r="Y46" s="8"/>
      <c r="Z46" s="8"/>
    </row>
    <row r="47" spans="2:26">
      <c r="D47" s="227"/>
      <c r="E47" s="100"/>
      <c r="H47" t="s">
        <v>167</v>
      </c>
      <c r="I47" t="s">
        <v>167</v>
      </c>
      <c r="J47" s="228"/>
      <c r="K47">
        <v>0</v>
      </c>
      <c r="L47" t="s">
        <v>167</v>
      </c>
      <c r="M47" t="s">
        <v>167</v>
      </c>
      <c r="O47" s="232"/>
      <c r="P47" s="98"/>
      <c r="Q47" s="102"/>
      <c r="R47" s="108"/>
      <c r="S47" t="s">
        <v>167</v>
      </c>
      <c r="T47" t="s">
        <v>167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240</v>
      </c>
      <c r="C48" t="s">
        <v>241</v>
      </c>
      <c r="D48" s="227"/>
      <c r="E48" s="100"/>
      <c r="F48">
        <v>1</v>
      </c>
      <c r="G48" s="231">
        <v>22869.96</v>
      </c>
      <c r="H48" s="231">
        <v>15772.39</v>
      </c>
      <c r="I48" s="231">
        <v>22869.96</v>
      </c>
      <c r="J48" s="228"/>
      <c r="K48">
        <v>1</v>
      </c>
      <c r="L48" s="231">
        <v>12578.48</v>
      </c>
      <c r="M48" s="231">
        <v>12578.48</v>
      </c>
      <c r="N48" s="232">
        <v>0.45</v>
      </c>
      <c r="P48" s="98"/>
      <c r="Q48" s="102"/>
      <c r="R48" s="108"/>
      <c r="S48" s="231">
        <v>12578.48</v>
      </c>
      <c r="T48" s="231">
        <v>12578.48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264</v>
      </c>
      <c r="C50" t="s">
        <v>265</v>
      </c>
      <c r="D50" s="87"/>
      <c r="E50" s="100"/>
      <c r="F50">
        <v>1</v>
      </c>
      <c r="G50" s="231">
        <v>2889.4</v>
      </c>
      <c r="H50" s="231">
        <v>1992.69</v>
      </c>
      <c r="I50" s="231">
        <v>2889.4</v>
      </c>
      <c r="J50" s="105"/>
      <c r="K50">
        <v>1</v>
      </c>
      <c r="L50" s="231">
        <v>1444.7</v>
      </c>
      <c r="M50" s="231">
        <v>1444.7</v>
      </c>
      <c r="N50" s="232">
        <v>0.5</v>
      </c>
      <c r="O50" s="232"/>
      <c r="P50" s="98"/>
      <c r="Q50" s="102"/>
      <c r="R50" s="108"/>
      <c r="S50" s="231">
        <v>1444.7</v>
      </c>
      <c r="T50" s="231">
        <v>1444.7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1100</v>
      </c>
      <c r="G78" s="121">
        <f t="shared" si="0"/>
        <v>57349.950000000004</v>
      </c>
      <c r="H78" s="122">
        <f t="shared" si="0"/>
        <v>39551.710000000006</v>
      </c>
      <c r="I78" s="123">
        <f t="shared" si="0"/>
        <v>113424.94</v>
      </c>
      <c r="J78" s="124"/>
      <c r="K78" s="125">
        <f t="shared" ref="K78:M78" si="1">SUM(K19:K77)</f>
        <v>1100</v>
      </c>
      <c r="L78" s="122">
        <f t="shared" si="1"/>
        <v>30775.29</v>
      </c>
      <c r="M78" s="123">
        <f t="shared" si="1"/>
        <v>62103.320000000007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62103.320000000007</v>
      </c>
      <c r="T78" s="123">
        <f t="shared" si="2"/>
        <v>1818857.22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E19:E77" xr:uid="{54B7BFCA-324B-44E3-979B-790520F32247}">
      <formula1>$Z$19:$Z$58</formula1>
    </dataValidation>
    <dataValidation type="list" allowBlank="1" showErrorMessage="1" sqref="I14" xr:uid="{EF00A2F7-7C56-4F44-8272-414E142BB28B}">
      <formula1>$Y$14:$Y$15</formula1>
    </dataValidation>
    <dataValidation type="list" allowBlank="1" showErrorMessage="1" sqref="J14" xr:uid="{BFD1883D-6FCC-4536-87AF-8F3B89EC96F5}">
      <formula1>$L$9</formula1>
    </dataValidation>
    <dataValidation type="list" allowBlank="1" showErrorMessage="1" sqref="Q15 G18 L18 Q18" xr:uid="{62F59452-FE05-4361-9560-1E93A4B9B09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D577-14EC-4A19-99F8-64D948A79267}">
  <sheetPr>
    <pageSetUpPr fitToPage="1"/>
  </sheetPr>
  <dimension ref="B1:Z78"/>
  <sheetViews>
    <sheetView zoomScale="55" zoomScaleNormal="55" workbookViewId="0">
      <pane ySplit="18" topLeftCell="A40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266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119393.91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2013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65403.05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53990.86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267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0.45220782199025056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268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2463646.17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269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65403.05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1</v>
      </c>
      <c r="G20" s="231">
        <v>51.88</v>
      </c>
      <c r="H20" s="231">
        <v>35.78</v>
      </c>
      <c r="I20" s="231">
        <v>51.88</v>
      </c>
      <c r="J20" s="105"/>
      <c r="K20">
        <v>1</v>
      </c>
      <c r="L20" s="231">
        <v>25.94</v>
      </c>
      <c r="M20" s="231">
        <v>25.94</v>
      </c>
      <c r="N20" s="232">
        <v>0.5</v>
      </c>
      <c r="O20" s="232"/>
      <c r="P20" s="98"/>
      <c r="Q20" s="102"/>
      <c r="R20" s="108"/>
      <c r="S20" s="231">
        <v>25.94</v>
      </c>
      <c r="T20" s="231">
        <v>25.94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220</v>
      </c>
      <c r="D21" s="227"/>
      <c r="E21" s="100"/>
      <c r="F21">
        <v>1</v>
      </c>
      <c r="G21" s="231">
        <v>78.87</v>
      </c>
      <c r="H21" s="231">
        <v>54.39</v>
      </c>
      <c r="I21" s="231">
        <v>78.87</v>
      </c>
      <c r="J21" s="228"/>
      <c r="K21">
        <v>1</v>
      </c>
      <c r="L21" s="231">
        <v>39.44</v>
      </c>
      <c r="M21" s="231">
        <v>39.44</v>
      </c>
      <c r="N21" s="232">
        <v>0.49990000000000001</v>
      </c>
      <c r="O21" s="232"/>
      <c r="P21" s="98"/>
      <c r="Q21" s="102"/>
      <c r="R21" s="108"/>
      <c r="S21" s="231">
        <v>39.44</v>
      </c>
      <c r="T21" s="231">
        <v>39.44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222</v>
      </c>
      <c r="C22" t="s">
        <v>270</v>
      </c>
      <c r="D22" s="227"/>
      <c r="E22" s="100"/>
      <c r="F22">
        <v>1</v>
      </c>
      <c r="G22" s="231">
        <v>106.56</v>
      </c>
      <c r="H22" s="231">
        <v>73.489999999999995</v>
      </c>
      <c r="I22" s="231">
        <v>106.56</v>
      </c>
      <c r="J22" s="228"/>
      <c r="K22">
        <v>1</v>
      </c>
      <c r="L22" s="231">
        <v>53.28</v>
      </c>
      <c r="M22" s="231">
        <v>53.28</v>
      </c>
      <c r="N22" s="232">
        <v>0.5</v>
      </c>
      <c r="O22" s="232"/>
      <c r="P22" s="98"/>
      <c r="Q22" s="102"/>
      <c r="R22" s="108"/>
      <c r="S22" s="231">
        <v>53.28</v>
      </c>
      <c r="T22" s="231">
        <v>53.28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179</v>
      </c>
      <c r="C23" t="s">
        <v>271</v>
      </c>
      <c r="D23" s="227"/>
      <c r="E23" s="100"/>
      <c r="F23">
        <v>1</v>
      </c>
      <c r="G23" s="231">
        <v>229</v>
      </c>
      <c r="H23" s="231">
        <v>157.93</v>
      </c>
      <c r="I23" s="231">
        <v>229</v>
      </c>
      <c r="J23" s="228"/>
      <c r="K23">
        <v>1</v>
      </c>
      <c r="L23" s="231">
        <v>114.5</v>
      </c>
      <c r="M23" s="231">
        <v>114.5</v>
      </c>
      <c r="N23" s="232">
        <v>0.5</v>
      </c>
      <c r="O23" s="232"/>
      <c r="P23" s="98"/>
      <c r="Q23" s="102"/>
      <c r="R23" s="108"/>
      <c r="S23" s="231">
        <v>114.5</v>
      </c>
      <c r="T23" s="231">
        <v>114.5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272</v>
      </c>
      <c r="C24" t="s">
        <v>118</v>
      </c>
      <c r="D24" s="227"/>
      <c r="E24" s="100"/>
      <c r="F24">
        <v>1</v>
      </c>
      <c r="G24" s="231">
        <v>165.83</v>
      </c>
      <c r="H24" s="231">
        <v>114.37</v>
      </c>
      <c r="I24" s="231">
        <v>165.83</v>
      </c>
      <c r="J24" s="228"/>
      <c r="K24">
        <v>1</v>
      </c>
      <c r="L24" s="231">
        <v>107.8</v>
      </c>
      <c r="M24" s="231">
        <v>107.8</v>
      </c>
      <c r="N24" s="232">
        <v>0.34989999999999999</v>
      </c>
      <c r="O24" s="232"/>
      <c r="P24" s="98"/>
      <c r="Q24" s="102"/>
      <c r="R24" s="108"/>
      <c r="S24" s="231">
        <v>107.8</v>
      </c>
      <c r="T24" s="231">
        <v>107.8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273</v>
      </c>
      <c r="C25" t="s">
        <v>120</v>
      </c>
      <c r="D25" s="227"/>
      <c r="E25" s="100"/>
      <c r="F25">
        <v>1</v>
      </c>
      <c r="G25" s="231">
        <v>117.3</v>
      </c>
      <c r="H25" s="231">
        <v>80.900000000000006</v>
      </c>
      <c r="I25" s="231">
        <v>117.3</v>
      </c>
      <c r="J25" s="228"/>
      <c r="K25">
        <v>1</v>
      </c>
      <c r="L25" s="231">
        <v>76.25</v>
      </c>
      <c r="M25" s="231">
        <v>76.25</v>
      </c>
      <c r="N25" s="232">
        <v>0.35</v>
      </c>
      <c r="O25" s="232"/>
      <c r="P25" s="98"/>
      <c r="Q25" s="102"/>
      <c r="R25" s="108"/>
      <c r="S25" s="231">
        <v>76.25</v>
      </c>
      <c r="T25" s="231">
        <v>76.25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274</v>
      </c>
      <c r="C26" t="s">
        <v>122</v>
      </c>
      <c r="D26" s="227"/>
      <c r="E26" s="100"/>
      <c r="F26">
        <v>1</v>
      </c>
      <c r="G26" s="231">
        <v>94.42</v>
      </c>
      <c r="H26" s="231">
        <v>65.12</v>
      </c>
      <c r="I26" s="231">
        <v>94.42</v>
      </c>
      <c r="J26" s="228"/>
      <c r="K26">
        <v>1</v>
      </c>
      <c r="L26" s="231">
        <v>47.21</v>
      </c>
      <c r="M26" s="231">
        <v>47.21</v>
      </c>
      <c r="N26" s="232">
        <v>0.5</v>
      </c>
      <c r="O26" s="232"/>
      <c r="P26" s="98"/>
      <c r="Q26" s="102"/>
      <c r="R26" s="108"/>
      <c r="S26" s="231">
        <v>47.21</v>
      </c>
      <c r="T26" s="231">
        <v>47.21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187</v>
      </c>
      <c r="C27" t="s">
        <v>275</v>
      </c>
      <c r="D27" s="227"/>
      <c r="E27" s="100"/>
      <c r="F27">
        <v>2</v>
      </c>
      <c r="G27" s="231">
        <v>523.07000000000005</v>
      </c>
      <c r="H27" s="231">
        <v>360.74</v>
      </c>
      <c r="I27" s="231">
        <v>1046.1400000000001</v>
      </c>
      <c r="J27" s="228"/>
      <c r="K27">
        <v>2</v>
      </c>
      <c r="L27" s="231">
        <v>261.54000000000002</v>
      </c>
      <c r="M27" s="231">
        <v>523.08000000000004</v>
      </c>
      <c r="N27" s="232">
        <v>0.5</v>
      </c>
      <c r="O27" s="232"/>
      <c r="P27" s="98"/>
      <c r="Q27" s="102"/>
      <c r="R27" s="108"/>
      <c r="S27" s="231">
        <v>523.08000000000004</v>
      </c>
      <c r="T27" s="231">
        <v>1046.1600000000001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228</v>
      </c>
      <c r="C28" t="s">
        <v>229</v>
      </c>
      <c r="D28" s="227"/>
      <c r="E28" s="100"/>
      <c r="F28">
        <v>1</v>
      </c>
      <c r="G28" s="231">
        <v>4369.08</v>
      </c>
      <c r="H28" s="231">
        <v>3013.16</v>
      </c>
      <c r="I28" s="231">
        <v>4369.08</v>
      </c>
      <c r="J28" s="228"/>
      <c r="K28">
        <v>1</v>
      </c>
      <c r="L28" s="231">
        <v>2184.54</v>
      </c>
      <c r="M28" s="231">
        <v>2184.54</v>
      </c>
      <c r="N28" s="232">
        <v>0.5</v>
      </c>
      <c r="O28" s="232"/>
      <c r="P28" s="98"/>
      <c r="Q28" s="102"/>
      <c r="R28" s="108"/>
      <c r="S28" s="231">
        <v>2184.54</v>
      </c>
      <c r="T28" s="231">
        <v>2184.54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226</v>
      </c>
      <c r="C29" t="s">
        <v>276</v>
      </c>
      <c r="D29" s="227"/>
      <c r="E29" s="100"/>
      <c r="F29">
        <v>1</v>
      </c>
      <c r="G29" s="231">
        <v>4161.4399999999996</v>
      </c>
      <c r="H29" s="231">
        <v>2869.96</v>
      </c>
      <c r="I29" s="231">
        <v>4161.4399999999996</v>
      </c>
      <c r="J29" s="228"/>
      <c r="K29">
        <v>1</v>
      </c>
      <c r="L29" s="231">
        <v>2080.7199999999998</v>
      </c>
      <c r="M29" s="231">
        <v>2080.7199999999998</v>
      </c>
      <c r="N29" s="232">
        <v>0.5</v>
      </c>
      <c r="O29" s="232"/>
      <c r="P29" s="98"/>
      <c r="Q29" s="102"/>
      <c r="R29" s="108"/>
      <c r="S29" s="231">
        <v>2080.7199999999998</v>
      </c>
      <c r="T29" s="231">
        <v>2080.7199999999998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230</v>
      </c>
      <c r="C30" t="s">
        <v>277</v>
      </c>
      <c r="D30" s="227"/>
      <c r="E30" s="100"/>
      <c r="F30">
        <v>6</v>
      </c>
      <c r="G30" s="231">
        <v>1474.09</v>
      </c>
      <c r="H30" s="231">
        <v>1016.61</v>
      </c>
      <c r="I30" s="231">
        <v>8844.5400000000009</v>
      </c>
      <c r="J30" s="228"/>
      <c r="K30">
        <v>6</v>
      </c>
      <c r="L30" s="231">
        <v>1031.8699999999999</v>
      </c>
      <c r="M30" s="231">
        <v>6191.22</v>
      </c>
      <c r="N30" s="232">
        <v>0.3</v>
      </c>
      <c r="O30" s="232"/>
      <c r="P30" s="98"/>
      <c r="Q30" s="102"/>
      <c r="R30" s="108"/>
      <c r="S30" s="231">
        <v>6191.22</v>
      </c>
      <c r="T30" s="231">
        <v>37147.32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278</v>
      </c>
      <c r="C31" t="s">
        <v>232</v>
      </c>
      <c r="D31" s="227"/>
      <c r="E31" s="100"/>
      <c r="F31">
        <v>1</v>
      </c>
      <c r="G31" s="231">
        <v>3927.73</v>
      </c>
      <c r="H31" s="231">
        <v>2708.78</v>
      </c>
      <c r="I31" s="231">
        <v>3927.73</v>
      </c>
      <c r="J31" s="228"/>
      <c r="K31">
        <v>1</v>
      </c>
      <c r="L31" s="231">
        <v>1963.87</v>
      </c>
      <c r="M31" s="231">
        <v>1963.87</v>
      </c>
      <c r="N31" s="232">
        <v>0.5</v>
      </c>
      <c r="O31" s="232"/>
      <c r="P31" s="98"/>
      <c r="Q31" s="102"/>
      <c r="R31" s="108"/>
      <c r="S31" s="231">
        <v>1963.87</v>
      </c>
      <c r="T31" s="231">
        <v>1963.87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279</v>
      </c>
      <c r="C32" t="s">
        <v>234</v>
      </c>
      <c r="D32" s="227"/>
      <c r="E32" s="100"/>
      <c r="F32">
        <v>1</v>
      </c>
      <c r="G32" s="231">
        <v>4722.29</v>
      </c>
      <c r="H32" s="231">
        <v>3256.75</v>
      </c>
      <c r="I32" s="231">
        <v>4722.29</v>
      </c>
      <c r="J32" s="228"/>
      <c r="K32">
        <v>1</v>
      </c>
      <c r="L32" s="231">
        <v>2361.15</v>
      </c>
      <c r="M32" s="231">
        <v>2361.15</v>
      </c>
      <c r="N32" s="232">
        <v>0.5</v>
      </c>
      <c r="O32" s="232"/>
      <c r="P32" s="98"/>
      <c r="Q32" s="102"/>
      <c r="R32" s="108"/>
      <c r="S32" s="231">
        <v>2361.15</v>
      </c>
      <c r="T32" s="231">
        <v>2361.15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D33" s="227"/>
      <c r="E33" s="100"/>
      <c r="H33" t="s">
        <v>167</v>
      </c>
      <c r="I33" t="s">
        <v>167</v>
      </c>
      <c r="J33" s="228"/>
      <c r="K33">
        <v>0</v>
      </c>
      <c r="L33" t="s">
        <v>167</v>
      </c>
      <c r="M33" t="s">
        <v>167</v>
      </c>
      <c r="P33" s="98"/>
      <c r="Q33" s="102"/>
      <c r="R33" s="108"/>
      <c r="S33" t="s">
        <v>167</v>
      </c>
      <c r="T33" t="s">
        <v>167</v>
      </c>
      <c r="U33" s="232">
        <v>0</v>
      </c>
      <c r="V33" s="232">
        <v>0</v>
      </c>
      <c r="W33" s="229"/>
      <c r="X33" s="230"/>
      <c r="Y33" s="8"/>
      <c r="Z33" s="8"/>
    </row>
    <row r="34" spans="2:26">
      <c r="B34" t="s">
        <v>280</v>
      </c>
      <c r="C34" t="s">
        <v>190</v>
      </c>
      <c r="D34" s="227"/>
      <c r="E34" s="100"/>
      <c r="F34">
        <v>2</v>
      </c>
      <c r="G34" s="231">
        <v>1259.02</v>
      </c>
      <c r="H34" s="231">
        <v>868.29</v>
      </c>
      <c r="I34" s="231">
        <v>2518.04</v>
      </c>
      <c r="J34" s="228"/>
      <c r="K34">
        <v>2</v>
      </c>
      <c r="L34" s="231">
        <v>692.46</v>
      </c>
      <c r="M34" s="231">
        <v>1384.92</v>
      </c>
      <c r="N34" s="232">
        <v>0.45</v>
      </c>
      <c r="O34" s="232"/>
      <c r="P34" s="98"/>
      <c r="Q34" s="102"/>
      <c r="R34" s="108"/>
      <c r="S34" s="231">
        <v>1384.92</v>
      </c>
      <c r="T34" s="231">
        <v>2769.84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281</v>
      </c>
      <c r="C35" t="s">
        <v>192</v>
      </c>
      <c r="D35" s="227"/>
      <c r="E35" s="100"/>
      <c r="F35">
        <v>36</v>
      </c>
      <c r="G35" s="231">
        <v>10.72</v>
      </c>
      <c r="H35" s="231">
        <v>7.39</v>
      </c>
      <c r="I35" s="231">
        <v>385.92</v>
      </c>
      <c r="J35" s="228"/>
      <c r="K35">
        <v>36</v>
      </c>
      <c r="L35" s="231">
        <v>5.9</v>
      </c>
      <c r="M35" s="231">
        <v>212.4</v>
      </c>
      <c r="N35" s="232">
        <v>0.4496</v>
      </c>
      <c r="O35" s="232"/>
      <c r="P35" s="98"/>
      <c r="Q35" s="102"/>
      <c r="R35" s="108"/>
      <c r="S35" s="231">
        <v>212.4</v>
      </c>
      <c r="T35" s="231">
        <v>7646.4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282</v>
      </c>
      <c r="C36" t="s">
        <v>204</v>
      </c>
      <c r="D36" s="227"/>
      <c r="E36" s="100"/>
      <c r="F36">
        <v>36</v>
      </c>
      <c r="G36" s="231">
        <v>2.83</v>
      </c>
      <c r="H36" s="231">
        <v>1.95</v>
      </c>
      <c r="I36" s="231">
        <v>101.88</v>
      </c>
      <c r="J36" s="228"/>
      <c r="K36">
        <v>36</v>
      </c>
      <c r="L36" s="231">
        <v>1.56</v>
      </c>
      <c r="M36" s="231">
        <v>56.16</v>
      </c>
      <c r="N36" s="232">
        <v>0.44879999999999998</v>
      </c>
      <c r="O36" s="232"/>
      <c r="P36" s="98"/>
      <c r="Q36" s="102"/>
      <c r="R36" s="108"/>
      <c r="S36" s="231">
        <v>56.16</v>
      </c>
      <c r="T36" s="231">
        <v>2021.76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283</v>
      </c>
      <c r="C37" t="s">
        <v>284</v>
      </c>
      <c r="D37" s="227"/>
      <c r="E37" s="100"/>
      <c r="F37">
        <v>2</v>
      </c>
      <c r="G37" s="231">
        <v>3159.07</v>
      </c>
      <c r="H37" s="231">
        <v>2178.67</v>
      </c>
      <c r="I37" s="231">
        <v>6318.14</v>
      </c>
      <c r="J37" s="228"/>
      <c r="K37">
        <v>2</v>
      </c>
      <c r="L37" s="231">
        <v>1737.49</v>
      </c>
      <c r="M37" s="231">
        <v>3474.98</v>
      </c>
      <c r="N37" s="232">
        <v>0.45</v>
      </c>
      <c r="O37" s="232"/>
      <c r="P37" s="98"/>
      <c r="Q37" s="102"/>
      <c r="R37" s="108"/>
      <c r="S37" s="231">
        <v>3474.98</v>
      </c>
      <c r="T37" s="231">
        <v>6949.96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285</v>
      </c>
      <c r="C38" t="s">
        <v>196</v>
      </c>
      <c r="D38" s="227"/>
      <c r="E38" s="100"/>
      <c r="F38">
        <v>8</v>
      </c>
      <c r="G38" s="231">
        <v>10.24</v>
      </c>
      <c r="H38" s="231">
        <v>7.06</v>
      </c>
      <c r="I38" s="231">
        <v>81.92</v>
      </c>
      <c r="J38" s="228"/>
      <c r="K38">
        <v>8</v>
      </c>
      <c r="L38" s="231">
        <v>5.63</v>
      </c>
      <c r="M38" s="231">
        <v>45.04</v>
      </c>
      <c r="N38" s="232">
        <v>0.45019999999999999</v>
      </c>
      <c r="O38" s="232"/>
      <c r="P38" s="98"/>
      <c r="Q38" s="102"/>
      <c r="R38" s="108"/>
      <c r="S38" s="231">
        <v>45.04</v>
      </c>
      <c r="T38" s="231">
        <v>360.32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286</v>
      </c>
      <c r="C39" t="s">
        <v>134</v>
      </c>
      <c r="D39" s="227"/>
      <c r="E39" s="100"/>
      <c r="F39">
        <v>4</v>
      </c>
      <c r="G39" s="231">
        <v>635.41999999999996</v>
      </c>
      <c r="H39" s="231">
        <v>438.22</v>
      </c>
      <c r="I39" s="231">
        <v>2541.6799999999998</v>
      </c>
      <c r="J39" s="228"/>
      <c r="K39">
        <v>4</v>
      </c>
      <c r="L39" s="231">
        <v>349.48</v>
      </c>
      <c r="M39" s="231">
        <v>1397.92</v>
      </c>
      <c r="N39" s="232">
        <v>0.45</v>
      </c>
      <c r="O39" s="232"/>
      <c r="P39" s="98"/>
      <c r="Q39" s="102"/>
      <c r="R39" s="108"/>
      <c r="S39" s="231">
        <v>1397.92</v>
      </c>
      <c r="T39" s="231">
        <v>5591.68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287</v>
      </c>
      <c r="C40" t="s">
        <v>136</v>
      </c>
      <c r="D40" s="227"/>
      <c r="E40" s="100"/>
      <c r="F40">
        <v>4</v>
      </c>
      <c r="G40" s="231">
        <v>31.9</v>
      </c>
      <c r="H40" s="231">
        <v>22</v>
      </c>
      <c r="I40" s="231">
        <v>127.6</v>
      </c>
      <c r="J40" s="228"/>
      <c r="K40">
        <v>4</v>
      </c>
      <c r="L40" s="231">
        <v>17.55</v>
      </c>
      <c r="M40" s="231">
        <v>70.2</v>
      </c>
      <c r="N40" s="232">
        <v>0.44979999999999998</v>
      </c>
      <c r="O40" s="232"/>
      <c r="P40" s="98"/>
      <c r="Q40" s="102"/>
      <c r="R40" s="108"/>
      <c r="S40" s="231">
        <v>70.2</v>
      </c>
      <c r="T40" s="231">
        <v>280.8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288</v>
      </c>
      <c r="C41" t="s">
        <v>199</v>
      </c>
      <c r="D41" s="227"/>
      <c r="E41" s="100"/>
      <c r="F41">
        <v>18</v>
      </c>
      <c r="G41" s="231">
        <v>862.15</v>
      </c>
      <c r="H41" s="231">
        <v>594.59</v>
      </c>
      <c r="I41" s="231">
        <v>15518.7</v>
      </c>
      <c r="J41" s="228"/>
      <c r="K41">
        <v>18</v>
      </c>
      <c r="L41" s="231">
        <v>474.19</v>
      </c>
      <c r="M41" s="231">
        <v>8535.42</v>
      </c>
      <c r="N41" s="232">
        <v>0.45</v>
      </c>
      <c r="O41" s="232"/>
      <c r="P41" s="98"/>
      <c r="Q41" s="102"/>
      <c r="R41" s="108"/>
      <c r="S41" s="231">
        <v>8535.42</v>
      </c>
      <c r="T41" s="231">
        <v>153637.56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202</v>
      </c>
      <c r="C42" t="s">
        <v>289</v>
      </c>
      <c r="D42" s="227"/>
      <c r="E42" s="100"/>
      <c r="F42">
        <v>72</v>
      </c>
      <c r="G42" s="231">
        <v>20.079999999999998</v>
      </c>
      <c r="H42" s="231">
        <v>13.85</v>
      </c>
      <c r="I42" s="231">
        <v>1445.76</v>
      </c>
      <c r="J42" s="228"/>
      <c r="K42">
        <v>72</v>
      </c>
      <c r="L42" s="231">
        <v>11.04</v>
      </c>
      <c r="M42" s="231">
        <v>794.88</v>
      </c>
      <c r="N42" s="232">
        <v>0.45019999999999999</v>
      </c>
      <c r="O42" s="232"/>
      <c r="P42" s="98"/>
      <c r="Q42" s="102"/>
      <c r="R42" s="108"/>
      <c r="S42" s="231">
        <v>794.88</v>
      </c>
      <c r="T42" s="231">
        <v>57231.360000000001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203</v>
      </c>
      <c r="C43" t="s">
        <v>204</v>
      </c>
      <c r="D43" s="227"/>
      <c r="E43" s="100"/>
      <c r="F43">
        <v>72</v>
      </c>
      <c r="G43" s="231">
        <v>2.99</v>
      </c>
      <c r="H43" s="231">
        <v>2.06</v>
      </c>
      <c r="I43" s="231">
        <v>215.28</v>
      </c>
      <c r="J43" s="228"/>
      <c r="K43">
        <v>72</v>
      </c>
      <c r="L43" s="231">
        <v>1.65</v>
      </c>
      <c r="M43" s="231">
        <v>118.8</v>
      </c>
      <c r="N43" s="232">
        <v>0.44819999999999999</v>
      </c>
      <c r="P43" s="98"/>
      <c r="Q43" s="102"/>
      <c r="R43" s="108"/>
      <c r="S43" s="231">
        <v>118.8</v>
      </c>
      <c r="T43" s="231">
        <v>8553.6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D44" s="227"/>
      <c r="E44" s="100"/>
      <c r="H44" t="s">
        <v>167</v>
      </c>
      <c r="I44" t="s">
        <v>167</v>
      </c>
      <c r="J44" s="228"/>
      <c r="K44">
        <v>0</v>
      </c>
      <c r="L44" t="s">
        <v>167</v>
      </c>
      <c r="M44" t="s">
        <v>167</v>
      </c>
      <c r="O44" s="232"/>
      <c r="P44" s="98"/>
      <c r="Q44" s="102"/>
      <c r="R44" s="108"/>
      <c r="S44" t="s">
        <v>167</v>
      </c>
      <c r="T44" t="s">
        <v>167</v>
      </c>
      <c r="U44" s="232">
        <v>0</v>
      </c>
      <c r="V44" s="232">
        <v>0</v>
      </c>
      <c r="W44" s="229"/>
      <c r="X44" s="230"/>
      <c r="Y44" s="8"/>
      <c r="Z44" s="8"/>
    </row>
    <row r="45" spans="2:26">
      <c r="B45" t="s">
        <v>290</v>
      </c>
      <c r="C45" t="s">
        <v>236</v>
      </c>
      <c r="D45" s="227"/>
      <c r="E45" s="100"/>
      <c r="F45">
        <v>2</v>
      </c>
      <c r="G45" s="231">
        <v>10788.51</v>
      </c>
      <c r="H45" s="231">
        <v>7440.35</v>
      </c>
      <c r="I45" s="231">
        <v>21577.02</v>
      </c>
      <c r="J45" s="228"/>
      <c r="K45">
        <v>2</v>
      </c>
      <c r="L45" s="231">
        <v>5933.69</v>
      </c>
      <c r="M45" s="231">
        <v>11867.38</v>
      </c>
      <c r="N45" s="232">
        <v>0.45</v>
      </c>
      <c r="O45" s="232"/>
      <c r="P45" s="98"/>
      <c r="Q45" s="102"/>
      <c r="R45" s="108"/>
      <c r="S45" s="231">
        <v>11867.38</v>
      </c>
      <c r="T45" s="231">
        <v>23734.76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291</v>
      </c>
      <c r="C46" t="s">
        <v>292</v>
      </c>
      <c r="D46" s="227"/>
      <c r="E46" s="100"/>
      <c r="F46">
        <v>100</v>
      </c>
      <c r="G46" s="231">
        <v>230.39</v>
      </c>
      <c r="H46" s="231">
        <v>158.88999999999999</v>
      </c>
      <c r="I46" s="231">
        <v>23039</v>
      </c>
      <c r="J46" s="228"/>
      <c r="K46">
        <v>100</v>
      </c>
      <c r="L46" s="231">
        <v>126.72</v>
      </c>
      <c r="M46" s="231">
        <v>12672</v>
      </c>
      <c r="N46" s="232">
        <v>0.45</v>
      </c>
      <c r="O46" s="232"/>
      <c r="P46" s="98"/>
      <c r="Q46" s="102"/>
      <c r="R46" s="108"/>
      <c r="S46" s="231">
        <v>12672</v>
      </c>
      <c r="T46" s="231">
        <v>1267200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293</v>
      </c>
      <c r="C47" t="s">
        <v>294</v>
      </c>
      <c r="D47" s="227"/>
      <c r="E47" s="100"/>
      <c r="F47">
        <v>400</v>
      </c>
      <c r="G47" s="231">
        <v>6.78</v>
      </c>
      <c r="H47" s="231">
        <v>4.68</v>
      </c>
      <c r="I47" s="231">
        <v>2712</v>
      </c>
      <c r="J47" s="228"/>
      <c r="K47">
        <v>400</v>
      </c>
      <c r="L47" s="231">
        <v>3.73</v>
      </c>
      <c r="M47" s="231">
        <v>1492</v>
      </c>
      <c r="N47" s="232">
        <v>0.44990000000000002</v>
      </c>
      <c r="O47" s="232"/>
      <c r="P47" s="98"/>
      <c r="Q47" s="102"/>
      <c r="R47" s="108"/>
      <c r="S47" s="231">
        <v>1492</v>
      </c>
      <c r="T47" s="231">
        <v>596800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211</v>
      </c>
      <c r="C48" t="s">
        <v>212</v>
      </c>
      <c r="D48" s="227"/>
      <c r="E48" s="100"/>
      <c r="F48">
        <v>400</v>
      </c>
      <c r="G48" s="231">
        <v>3.14</v>
      </c>
      <c r="H48" s="231">
        <v>2.17</v>
      </c>
      <c r="I48" s="231">
        <v>1256</v>
      </c>
      <c r="J48" s="228"/>
      <c r="K48">
        <v>400</v>
      </c>
      <c r="L48" s="231">
        <v>1.73</v>
      </c>
      <c r="M48" s="231">
        <v>692</v>
      </c>
      <c r="N48" s="232">
        <v>0.44900000000000001</v>
      </c>
      <c r="P48" s="98"/>
      <c r="Q48" s="102"/>
      <c r="R48" s="108"/>
      <c r="S48" s="231">
        <v>692</v>
      </c>
      <c r="T48" s="231">
        <v>276800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295</v>
      </c>
      <c r="C50" t="s">
        <v>214</v>
      </c>
      <c r="D50" s="87"/>
      <c r="E50" s="100"/>
      <c r="F50">
        <v>1</v>
      </c>
      <c r="G50" s="231">
        <v>13595.74</v>
      </c>
      <c r="H50" s="231">
        <v>9376.3700000000008</v>
      </c>
      <c r="I50" s="231">
        <v>13595.74</v>
      </c>
      <c r="J50" s="105"/>
      <c r="K50">
        <v>1</v>
      </c>
      <c r="L50" s="231">
        <v>6797.87</v>
      </c>
      <c r="M50" s="231">
        <v>6797.87</v>
      </c>
      <c r="N50" s="232">
        <v>0.5</v>
      </c>
      <c r="O50" s="232"/>
      <c r="P50" s="98"/>
      <c r="Q50" s="102"/>
      <c r="R50" s="108"/>
      <c r="S50" s="231">
        <v>6797.87</v>
      </c>
      <c r="T50" s="231">
        <v>6797.87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1177</v>
      </c>
      <c r="G78" s="121">
        <f t="shared" si="0"/>
        <v>50684.69</v>
      </c>
      <c r="H78" s="122">
        <f t="shared" si="0"/>
        <v>34954.970000000008</v>
      </c>
      <c r="I78" s="123">
        <f t="shared" si="0"/>
        <v>119393.91</v>
      </c>
      <c r="J78" s="124"/>
      <c r="K78" s="125">
        <f t="shared" ref="K78:M78" si="1">SUM(K19:K77)</f>
        <v>1177</v>
      </c>
      <c r="L78" s="122">
        <f t="shared" si="1"/>
        <v>26530.879999999994</v>
      </c>
      <c r="M78" s="123">
        <f t="shared" si="1"/>
        <v>65403.05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65403.05</v>
      </c>
      <c r="T78" s="123">
        <f t="shared" si="2"/>
        <v>2463646.17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768BC1E9-BA88-4639-84BB-CAE2A83F9AEE}">
      <formula1>$Y$12:$Y$13</formula1>
    </dataValidation>
    <dataValidation type="list" allowBlank="1" showErrorMessage="1" sqref="J14" xr:uid="{6331DA09-1B4E-4285-B190-E19939552BB3}">
      <formula1>$L$9</formula1>
    </dataValidation>
    <dataValidation type="list" allowBlank="1" showErrorMessage="1" sqref="I14" xr:uid="{3D00607D-D8C1-4F6B-88C8-E4278D535296}">
      <formula1>$Y$14:$Y$15</formula1>
    </dataValidation>
    <dataValidation type="list" allowBlank="1" showErrorMessage="1" sqref="E19:E77" xr:uid="{C6969FCE-8E40-43BF-8193-86C5EA86EBAD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14E1-E390-480B-88A1-6923C6CE25AE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296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117552.93000000001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2013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64480.800000000003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53072.130000000005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297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0.45147432735194265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298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2462666.3200000003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299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64480.800000000003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1</v>
      </c>
      <c r="G20" s="231">
        <v>51.88</v>
      </c>
      <c r="H20" s="231">
        <v>35.78</v>
      </c>
      <c r="I20" s="231">
        <v>51.88</v>
      </c>
      <c r="J20" s="105"/>
      <c r="K20">
        <v>1</v>
      </c>
      <c r="L20" s="231">
        <v>25.94</v>
      </c>
      <c r="M20" s="231">
        <v>25.94</v>
      </c>
      <c r="N20" s="232">
        <v>0.5</v>
      </c>
      <c r="O20" s="232"/>
      <c r="P20" s="98"/>
      <c r="Q20" s="102"/>
      <c r="R20" s="108"/>
      <c r="S20" s="231">
        <v>25.94</v>
      </c>
      <c r="T20" s="231">
        <v>25.94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220</v>
      </c>
      <c r="D21" s="227"/>
      <c r="E21" s="100"/>
      <c r="F21">
        <v>1</v>
      </c>
      <c r="G21" s="231">
        <v>78.87</v>
      </c>
      <c r="H21" s="231">
        <v>54.39</v>
      </c>
      <c r="I21" s="231">
        <v>78.87</v>
      </c>
      <c r="J21" s="228"/>
      <c r="K21">
        <v>1</v>
      </c>
      <c r="L21" s="231">
        <v>39.44</v>
      </c>
      <c r="M21" s="231">
        <v>39.44</v>
      </c>
      <c r="N21" s="232">
        <v>0.49990000000000001</v>
      </c>
      <c r="O21" s="232"/>
      <c r="P21" s="98"/>
      <c r="Q21" s="102"/>
      <c r="R21" s="108"/>
      <c r="S21" s="231">
        <v>39.44</v>
      </c>
      <c r="T21" s="231">
        <v>39.44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179</v>
      </c>
      <c r="C22" t="s">
        <v>251</v>
      </c>
      <c r="D22" s="227"/>
      <c r="E22" s="100"/>
      <c r="F22">
        <v>1</v>
      </c>
      <c r="G22" s="231">
        <v>229</v>
      </c>
      <c r="H22" s="231">
        <v>157.93</v>
      </c>
      <c r="I22" s="231">
        <v>229</v>
      </c>
      <c r="J22" s="228"/>
      <c r="K22">
        <v>1</v>
      </c>
      <c r="L22" s="231">
        <v>114.5</v>
      </c>
      <c r="M22" s="231">
        <v>114.5</v>
      </c>
      <c r="N22" s="232">
        <v>0.5</v>
      </c>
      <c r="O22" s="232"/>
      <c r="P22" s="98"/>
      <c r="Q22" s="102"/>
      <c r="R22" s="108"/>
      <c r="S22" s="231">
        <v>114.5</v>
      </c>
      <c r="T22" s="231">
        <v>114.5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272</v>
      </c>
      <c r="C23" t="s">
        <v>118</v>
      </c>
      <c r="D23" s="227"/>
      <c r="E23" s="100"/>
      <c r="F23">
        <v>1</v>
      </c>
      <c r="G23" s="231">
        <v>165.83</v>
      </c>
      <c r="H23" s="231">
        <v>114.37</v>
      </c>
      <c r="I23" s="231">
        <v>165.83</v>
      </c>
      <c r="J23" s="228"/>
      <c r="K23">
        <v>1</v>
      </c>
      <c r="L23" s="231">
        <v>107.8</v>
      </c>
      <c r="M23" s="231">
        <v>107.8</v>
      </c>
      <c r="N23" s="232">
        <v>0.34989999999999999</v>
      </c>
      <c r="O23" s="232"/>
      <c r="P23" s="98"/>
      <c r="Q23" s="102"/>
      <c r="R23" s="108"/>
      <c r="S23" s="231">
        <v>107.8</v>
      </c>
      <c r="T23" s="231">
        <v>107.8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273</v>
      </c>
      <c r="C24" t="s">
        <v>120</v>
      </c>
      <c r="D24" s="227"/>
      <c r="E24" s="100"/>
      <c r="F24">
        <v>1</v>
      </c>
      <c r="G24" s="231">
        <v>117.3</v>
      </c>
      <c r="H24" s="231">
        <v>80.900000000000006</v>
      </c>
      <c r="I24" s="231">
        <v>117.3</v>
      </c>
      <c r="J24" s="228"/>
      <c r="K24">
        <v>1</v>
      </c>
      <c r="L24" s="231">
        <v>76.25</v>
      </c>
      <c r="M24" s="231">
        <v>76.25</v>
      </c>
      <c r="N24" s="232">
        <v>0.35</v>
      </c>
      <c r="O24" s="232"/>
      <c r="P24" s="98"/>
      <c r="Q24" s="102"/>
      <c r="R24" s="108"/>
      <c r="S24" s="231">
        <v>76.25</v>
      </c>
      <c r="T24" s="231">
        <v>76.25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274</v>
      </c>
      <c r="C25" t="s">
        <v>122</v>
      </c>
      <c r="D25" s="227"/>
      <c r="E25" s="100"/>
      <c r="F25">
        <v>1</v>
      </c>
      <c r="G25" s="231">
        <v>94.42</v>
      </c>
      <c r="H25" s="231">
        <v>65.12</v>
      </c>
      <c r="I25" s="231">
        <v>94.42</v>
      </c>
      <c r="J25" s="228"/>
      <c r="K25">
        <v>1</v>
      </c>
      <c r="L25" s="231">
        <v>47.21</v>
      </c>
      <c r="M25" s="231">
        <v>47.21</v>
      </c>
      <c r="N25" s="232">
        <v>0.5</v>
      </c>
      <c r="O25" s="232"/>
      <c r="P25" s="98"/>
      <c r="Q25" s="102"/>
      <c r="R25" s="108"/>
      <c r="S25" s="231">
        <v>47.21</v>
      </c>
      <c r="T25" s="231">
        <v>47.21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187</v>
      </c>
      <c r="C26" t="s">
        <v>275</v>
      </c>
      <c r="D26" s="227"/>
      <c r="E26" s="100"/>
      <c r="F26">
        <v>2</v>
      </c>
      <c r="G26" s="231">
        <v>523.07000000000005</v>
      </c>
      <c r="H26" s="231">
        <v>360.74</v>
      </c>
      <c r="I26" s="231">
        <v>1046.1400000000001</v>
      </c>
      <c r="J26" s="228"/>
      <c r="K26">
        <v>2</v>
      </c>
      <c r="L26" s="231">
        <v>261.54000000000002</v>
      </c>
      <c r="M26" s="231">
        <v>523.08000000000004</v>
      </c>
      <c r="N26" s="232">
        <v>0.5</v>
      </c>
      <c r="O26" s="232"/>
      <c r="P26" s="98"/>
      <c r="Q26" s="102"/>
      <c r="R26" s="108"/>
      <c r="S26" s="231">
        <v>523.08000000000004</v>
      </c>
      <c r="T26" s="231">
        <v>1046.1600000000001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300</v>
      </c>
      <c r="C27" t="s">
        <v>229</v>
      </c>
      <c r="D27" s="227"/>
      <c r="E27" s="100"/>
      <c r="F27">
        <v>1</v>
      </c>
      <c r="G27" s="231">
        <v>3739.65</v>
      </c>
      <c r="H27" s="231">
        <v>2579.0700000000002</v>
      </c>
      <c r="I27" s="231">
        <v>3739.65</v>
      </c>
      <c r="J27" s="228"/>
      <c r="K27">
        <v>1</v>
      </c>
      <c r="L27" s="231">
        <v>1869.83</v>
      </c>
      <c r="M27" s="231">
        <v>1869.83</v>
      </c>
      <c r="N27" s="232">
        <v>0.5</v>
      </c>
      <c r="O27" s="232"/>
      <c r="P27" s="98"/>
      <c r="Q27" s="102"/>
      <c r="R27" s="108"/>
      <c r="S27" s="231">
        <v>1869.83</v>
      </c>
      <c r="T27" s="231">
        <v>1869.83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301</v>
      </c>
      <c r="C28" t="s">
        <v>302</v>
      </c>
      <c r="D28" s="227"/>
      <c r="E28" s="100"/>
      <c r="F28">
        <v>1</v>
      </c>
      <c r="G28" s="231">
        <v>3384.84</v>
      </c>
      <c r="H28" s="231">
        <v>2334.37</v>
      </c>
      <c r="I28" s="231">
        <v>3384.84</v>
      </c>
      <c r="J28" s="228"/>
      <c r="K28">
        <v>1</v>
      </c>
      <c r="L28" s="231">
        <v>1692.42</v>
      </c>
      <c r="M28" s="231">
        <v>1692.42</v>
      </c>
      <c r="N28" s="232">
        <v>0.5</v>
      </c>
      <c r="O28" s="232"/>
      <c r="P28" s="98"/>
      <c r="Q28" s="102"/>
      <c r="R28" s="108"/>
      <c r="S28" s="231">
        <v>1692.42</v>
      </c>
      <c r="T28" s="231">
        <v>1692.42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183</v>
      </c>
      <c r="C29" t="s">
        <v>184</v>
      </c>
      <c r="D29" s="227"/>
      <c r="E29" s="100"/>
      <c r="F29">
        <v>6</v>
      </c>
      <c r="G29" s="231">
        <v>1474.09</v>
      </c>
      <c r="H29" s="231">
        <v>1016.61</v>
      </c>
      <c r="I29" s="231">
        <v>8844.5400000000009</v>
      </c>
      <c r="J29" s="228"/>
      <c r="K29">
        <v>6</v>
      </c>
      <c r="L29" s="231">
        <v>1031.8699999999999</v>
      </c>
      <c r="M29" s="231">
        <v>6191.22</v>
      </c>
      <c r="N29" s="232">
        <v>0.3</v>
      </c>
      <c r="O29" s="232"/>
      <c r="P29" s="98"/>
      <c r="Q29" s="102"/>
      <c r="R29" s="108"/>
      <c r="S29" s="231">
        <v>6191.22</v>
      </c>
      <c r="T29" s="231">
        <v>37147.32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303</v>
      </c>
      <c r="C30" t="s">
        <v>232</v>
      </c>
      <c r="D30" s="227"/>
      <c r="E30" s="100"/>
      <c r="F30">
        <v>1</v>
      </c>
      <c r="G30" s="231">
        <v>4722.29</v>
      </c>
      <c r="H30" s="231">
        <v>3256.75</v>
      </c>
      <c r="I30" s="231">
        <v>4722.29</v>
      </c>
      <c r="J30" s="228"/>
      <c r="K30">
        <v>1</v>
      </c>
      <c r="L30" s="231">
        <v>2361.15</v>
      </c>
      <c r="M30" s="231">
        <v>2361.15</v>
      </c>
      <c r="N30" s="232">
        <v>0.5</v>
      </c>
      <c r="O30" s="232"/>
      <c r="P30" s="98"/>
      <c r="Q30" s="102"/>
      <c r="R30" s="108"/>
      <c r="S30" s="231">
        <v>2361.15</v>
      </c>
      <c r="T30" s="231">
        <v>2361.15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304</v>
      </c>
      <c r="C31" t="s">
        <v>305</v>
      </c>
      <c r="D31" s="227"/>
      <c r="E31" s="100"/>
      <c r="F31">
        <v>1</v>
      </c>
      <c r="G31" s="231">
        <v>3634.22</v>
      </c>
      <c r="H31" s="231">
        <v>2506.36</v>
      </c>
      <c r="I31" s="231">
        <v>3634.22</v>
      </c>
      <c r="J31" s="228"/>
      <c r="K31">
        <v>1</v>
      </c>
      <c r="L31" s="231">
        <v>1817.11</v>
      </c>
      <c r="M31" s="231">
        <v>1817.11</v>
      </c>
      <c r="N31" s="232">
        <v>0.5</v>
      </c>
      <c r="O31" s="232"/>
      <c r="P31" s="98"/>
      <c r="Q31" s="102"/>
      <c r="R31" s="108"/>
      <c r="S31" s="231">
        <v>1817.11</v>
      </c>
      <c r="T31" s="231">
        <v>1817.11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D32" s="227"/>
      <c r="E32" s="100"/>
      <c r="H32" t="s">
        <v>167</v>
      </c>
      <c r="I32" t="s">
        <v>167</v>
      </c>
      <c r="J32" s="228"/>
      <c r="K32">
        <v>0</v>
      </c>
      <c r="L32" t="s">
        <v>167</v>
      </c>
      <c r="M32" t="s">
        <v>167</v>
      </c>
      <c r="O32" s="232"/>
      <c r="P32" s="98"/>
      <c r="Q32" s="102"/>
      <c r="R32" s="108"/>
      <c r="S32" t="s">
        <v>167</v>
      </c>
      <c r="T32" t="s">
        <v>167</v>
      </c>
      <c r="U32" s="232">
        <v>0</v>
      </c>
      <c r="V32" s="232">
        <v>0</v>
      </c>
      <c r="W32" s="229"/>
      <c r="X32" s="230"/>
      <c r="Y32" s="8"/>
      <c r="Z32" s="8"/>
    </row>
    <row r="33" spans="2:26">
      <c r="B33" t="s">
        <v>280</v>
      </c>
      <c r="C33" t="s">
        <v>190</v>
      </c>
      <c r="D33" s="227"/>
      <c r="E33" s="100"/>
      <c r="F33">
        <v>2</v>
      </c>
      <c r="G33" s="231">
        <v>1259.02</v>
      </c>
      <c r="H33" s="231">
        <v>868.29</v>
      </c>
      <c r="I33" s="231">
        <v>2518.04</v>
      </c>
      <c r="J33" s="228"/>
      <c r="K33">
        <v>2</v>
      </c>
      <c r="L33" s="231">
        <v>692.46</v>
      </c>
      <c r="M33" s="231">
        <v>1384.92</v>
      </c>
      <c r="N33" s="232">
        <v>0.45</v>
      </c>
      <c r="P33" s="98"/>
      <c r="Q33" s="102"/>
      <c r="R33" s="108"/>
      <c r="S33" s="231">
        <v>1384.92</v>
      </c>
      <c r="T33" s="231">
        <v>2769.84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281</v>
      </c>
      <c r="C34" t="s">
        <v>192</v>
      </c>
      <c r="D34" s="227"/>
      <c r="E34" s="100"/>
      <c r="F34">
        <v>36</v>
      </c>
      <c r="G34" s="231">
        <v>10.72</v>
      </c>
      <c r="H34" s="231">
        <v>7.39</v>
      </c>
      <c r="I34" s="231">
        <v>385.92</v>
      </c>
      <c r="J34" s="228"/>
      <c r="K34">
        <v>36</v>
      </c>
      <c r="L34" s="231">
        <v>5.9</v>
      </c>
      <c r="M34" s="231">
        <v>212.4</v>
      </c>
      <c r="N34" s="232">
        <v>0.4496</v>
      </c>
      <c r="O34" s="232"/>
      <c r="P34" s="98"/>
      <c r="Q34" s="102"/>
      <c r="R34" s="108"/>
      <c r="S34" s="231">
        <v>212.4</v>
      </c>
      <c r="T34" s="231">
        <v>7646.4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282</v>
      </c>
      <c r="C35" t="s">
        <v>306</v>
      </c>
      <c r="D35" s="227"/>
      <c r="E35" s="100"/>
      <c r="F35">
        <v>36</v>
      </c>
      <c r="G35" s="231">
        <v>2.83</v>
      </c>
      <c r="H35" s="231">
        <v>1.95</v>
      </c>
      <c r="I35" s="231">
        <v>101.88</v>
      </c>
      <c r="J35" s="228"/>
      <c r="K35">
        <v>36</v>
      </c>
      <c r="L35" s="231">
        <v>1.56</v>
      </c>
      <c r="M35" s="231">
        <v>56.16</v>
      </c>
      <c r="N35" s="232">
        <v>0.44879999999999998</v>
      </c>
      <c r="O35" s="232"/>
      <c r="P35" s="98"/>
      <c r="Q35" s="102"/>
      <c r="R35" s="108"/>
      <c r="S35" s="231">
        <v>56.16</v>
      </c>
      <c r="T35" s="231">
        <v>2021.76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283</v>
      </c>
      <c r="C36" t="s">
        <v>307</v>
      </c>
      <c r="D36" s="227"/>
      <c r="E36" s="100"/>
      <c r="F36">
        <v>2</v>
      </c>
      <c r="G36" s="231">
        <v>3159.07</v>
      </c>
      <c r="H36" s="231">
        <v>2178.67</v>
      </c>
      <c r="I36" s="231">
        <v>6318.14</v>
      </c>
      <c r="J36" s="228"/>
      <c r="K36">
        <v>2</v>
      </c>
      <c r="L36" s="231">
        <v>1737.49</v>
      </c>
      <c r="M36" s="231">
        <v>3474.98</v>
      </c>
      <c r="N36" s="232">
        <v>0.45</v>
      </c>
      <c r="O36" s="232"/>
      <c r="P36" s="98"/>
      <c r="Q36" s="102"/>
      <c r="R36" s="108"/>
      <c r="S36" s="231">
        <v>3474.98</v>
      </c>
      <c r="T36" s="231">
        <v>6949.96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285</v>
      </c>
      <c r="C37" t="s">
        <v>196</v>
      </c>
      <c r="D37" s="227"/>
      <c r="E37" s="100"/>
      <c r="F37">
        <v>8</v>
      </c>
      <c r="G37" s="231">
        <v>10.24</v>
      </c>
      <c r="H37" s="231">
        <v>7.06</v>
      </c>
      <c r="I37" s="231">
        <v>81.92</v>
      </c>
      <c r="J37" s="228"/>
      <c r="K37">
        <v>8</v>
      </c>
      <c r="L37" s="231">
        <v>5.63</v>
      </c>
      <c r="M37" s="231">
        <v>45.04</v>
      </c>
      <c r="N37" s="232">
        <v>0.45019999999999999</v>
      </c>
      <c r="O37" s="232"/>
      <c r="P37" s="98"/>
      <c r="Q37" s="102"/>
      <c r="R37" s="108"/>
      <c r="S37" s="231">
        <v>45.04</v>
      </c>
      <c r="T37" s="231">
        <v>360.32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286</v>
      </c>
      <c r="C38" t="s">
        <v>134</v>
      </c>
      <c r="D38" s="227"/>
      <c r="E38" s="100"/>
      <c r="F38">
        <v>4</v>
      </c>
      <c r="G38" s="231">
        <v>635.41999999999996</v>
      </c>
      <c r="H38" s="231">
        <v>438.22</v>
      </c>
      <c r="I38" s="231">
        <v>2541.6799999999998</v>
      </c>
      <c r="J38" s="228"/>
      <c r="K38">
        <v>4</v>
      </c>
      <c r="L38" s="231">
        <v>349.48</v>
      </c>
      <c r="M38" s="231">
        <v>1397.92</v>
      </c>
      <c r="N38" s="232">
        <v>0.45</v>
      </c>
      <c r="O38" s="232"/>
      <c r="P38" s="98"/>
      <c r="Q38" s="102"/>
      <c r="R38" s="108"/>
      <c r="S38" s="231">
        <v>1397.92</v>
      </c>
      <c r="T38" s="231">
        <v>5591.68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200</v>
      </c>
      <c r="C39" t="s">
        <v>136</v>
      </c>
      <c r="D39" s="227"/>
      <c r="E39" s="100"/>
      <c r="F39">
        <v>4</v>
      </c>
      <c r="G39" s="231">
        <v>23.18</v>
      </c>
      <c r="H39" s="231">
        <v>15.99</v>
      </c>
      <c r="I39" s="231">
        <v>92.72</v>
      </c>
      <c r="J39" s="228"/>
      <c r="K39">
        <v>4</v>
      </c>
      <c r="L39" s="231">
        <v>12.75</v>
      </c>
      <c r="M39" s="231">
        <v>51</v>
      </c>
      <c r="N39" s="232">
        <v>0.45</v>
      </c>
      <c r="O39" s="232"/>
      <c r="P39" s="98"/>
      <c r="Q39" s="102"/>
      <c r="R39" s="108"/>
      <c r="S39" s="231">
        <v>51</v>
      </c>
      <c r="T39" s="231">
        <v>204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288</v>
      </c>
      <c r="C40" t="s">
        <v>199</v>
      </c>
      <c r="D40" s="227"/>
      <c r="E40" s="100"/>
      <c r="F40">
        <v>18</v>
      </c>
      <c r="G40" s="231">
        <v>862.15</v>
      </c>
      <c r="H40" s="231">
        <v>594.59</v>
      </c>
      <c r="I40" s="231">
        <v>15518.7</v>
      </c>
      <c r="J40" s="228"/>
      <c r="K40">
        <v>18</v>
      </c>
      <c r="L40" s="231">
        <v>474.19</v>
      </c>
      <c r="M40" s="231">
        <v>8535.42</v>
      </c>
      <c r="N40" s="232">
        <v>0.45</v>
      </c>
      <c r="O40" s="232"/>
      <c r="P40" s="98"/>
      <c r="Q40" s="102"/>
      <c r="R40" s="108"/>
      <c r="S40" s="231">
        <v>8535.42</v>
      </c>
      <c r="T40" s="231">
        <v>153637.56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202</v>
      </c>
      <c r="C41" t="s">
        <v>289</v>
      </c>
      <c r="D41" s="227"/>
      <c r="E41" s="100"/>
      <c r="F41">
        <v>72</v>
      </c>
      <c r="G41" s="231">
        <v>20.079999999999998</v>
      </c>
      <c r="H41" s="231">
        <v>13.85</v>
      </c>
      <c r="I41" s="231">
        <v>1445.76</v>
      </c>
      <c r="J41" s="228"/>
      <c r="K41">
        <v>72</v>
      </c>
      <c r="L41" s="231">
        <v>11.04</v>
      </c>
      <c r="M41" s="231">
        <v>794.88</v>
      </c>
      <c r="N41" s="232">
        <v>0.45019999999999999</v>
      </c>
      <c r="O41" s="232"/>
      <c r="P41" s="98"/>
      <c r="Q41" s="102"/>
      <c r="R41" s="108"/>
      <c r="S41" s="231">
        <v>794.88</v>
      </c>
      <c r="T41" s="231">
        <v>57231.360000000001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203</v>
      </c>
      <c r="C42" t="s">
        <v>204</v>
      </c>
      <c r="D42" s="227"/>
      <c r="E42" s="100"/>
      <c r="F42">
        <v>72</v>
      </c>
      <c r="G42" s="231">
        <v>2.99</v>
      </c>
      <c r="H42" s="231">
        <v>2.06</v>
      </c>
      <c r="I42" s="231">
        <v>215.28</v>
      </c>
      <c r="J42" s="228"/>
      <c r="K42">
        <v>72</v>
      </c>
      <c r="L42" s="231">
        <v>1.65</v>
      </c>
      <c r="M42" s="231">
        <v>118.8</v>
      </c>
      <c r="N42" s="232">
        <v>0.44819999999999999</v>
      </c>
      <c r="O42" s="232"/>
      <c r="P42" s="98"/>
      <c r="Q42" s="102"/>
      <c r="R42" s="108"/>
      <c r="S42" s="231">
        <v>118.8</v>
      </c>
      <c r="T42" s="231">
        <v>8553.6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290</v>
      </c>
      <c r="C44" t="s">
        <v>206</v>
      </c>
      <c r="D44" s="227"/>
      <c r="E44" s="100"/>
      <c r="F44">
        <v>2</v>
      </c>
      <c r="G44" s="231">
        <v>10788.51</v>
      </c>
      <c r="H44" s="231">
        <v>7440.35</v>
      </c>
      <c r="I44" s="231">
        <v>21577.02</v>
      </c>
      <c r="J44" s="228"/>
      <c r="K44">
        <v>2</v>
      </c>
      <c r="L44" s="231">
        <v>5933.69</v>
      </c>
      <c r="M44" s="231">
        <v>11867.38</v>
      </c>
      <c r="N44" s="232">
        <v>0.45</v>
      </c>
      <c r="O44" s="232"/>
      <c r="P44" s="98"/>
      <c r="Q44" s="102"/>
      <c r="R44" s="108"/>
      <c r="S44" s="231">
        <v>11867.38</v>
      </c>
      <c r="T44" s="231">
        <v>23734.76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291</v>
      </c>
      <c r="C45" t="s">
        <v>292</v>
      </c>
      <c r="D45" s="227"/>
      <c r="E45" s="100"/>
      <c r="F45">
        <v>100</v>
      </c>
      <c r="G45" s="231">
        <v>230.39</v>
      </c>
      <c r="H45" s="231">
        <v>158.88999999999999</v>
      </c>
      <c r="I45" s="231">
        <v>23039</v>
      </c>
      <c r="J45" s="228"/>
      <c r="K45">
        <v>100</v>
      </c>
      <c r="L45" s="231">
        <v>126.72</v>
      </c>
      <c r="M45" s="231">
        <v>12672</v>
      </c>
      <c r="N45" s="232">
        <v>0.45</v>
      </c>
      <c r="O45" s="232"/>
      <c r="P45" s="98"/>
      <c r="Q45" s="102"/>
      <c r="R45" s="108"/>
      <c r="S45" s="231">
        <v>12672</v>
      </c>
      <c r="T45" s="231">
        <v>1267200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293</v>
      </c>
      <c r="C46" t="s">
        <v>141</v>
      </c>
      <c r="D46" s="227"/>
      <c r="E46" s="100"/>
      <c r="F46">
        <v>400</v>
      </c>
      <c r="G46" s="231">
        <v>6.78</v>
      </c>
      <c r="H46" s="231">
        <v>4.68</v>
      </c>
      <c r="I46" s="231">
        <v>2712</v>
      </c>
      <c r="J46" s="228"/>
      <c r="K46">
        <v>400</v>
      </c>
      <c r="L46" s="231">
        <v>3.73</v>
      </c>
      <c r="M46" s="231">
        <v>1492</v>
      </c>
      <c r="N46" s="232">
        <v>0.44990000000000002</v>
      </c>
      <c r="O46" s="232"/>
      <c r="P46" s="98"/>
      <c r="Q46" s="102"/>
      <c r="R46" s="108"/>
      <c r="S46" s="231">
        <v>1492</v>
      </c>
      <c r="T46" s="231">
        <v>596800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211</v>
      </c>
      <c r="C47" t="s">
        <v>212</v>
      </c>
      <c r="D47" s="227"/>
      <c r="E47" s="100"/>
      <c r="F47">
        <v>400</v>
      </c>
      <c r="G47" s="231">
        <v>3.14</v>
      </c>
      <c r="H47" s="231">
        <v>2.17</v>
      </c>
      <c r="I47" s="231">
        <v>1256</v>
      </c>
      <c r="J47" s="228"/>
      <c r="K47">
        <v>400</v>
      </c>
      <c r="L47" s="231">
        <v>1.73</v>
      </c>
      <c r="M47" s="231">
        <v>692</v>
      </c>
      <c r="N47" s="232">
        <v>0.44900000000000001</v>
      </c>
      <c r="O47" s="232"/>
      <c r="P47" s="98"/>
      <c r="Q47" s="102"/>
      <c r="R47" s="108"/>
      <c r="S47" s="231">
        <v>692</v>
      </c>
      <c r="T47" s="231">
        <v>276800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H48" t="s">
        <v>167</v>
      </c>
      <c r="I48" t="s">
        <v>167</v>
      </c>
      <c r="J48" s="228"/>
      <c r="K48">
        <v>0</v>
      </c>
      <c r="L48" t="s">
        <v>167</v>
      </c>
      <c r="M48" t="s">
        <v>167</v>
      </c>
      <c r="P48" s="98"/>
      <c r="Q48" s="102"/>
      <c r="R48" s="108"/>
      <c r="S48" t="s">
        <v>167</v>
      </c>
      <c r="T48" t="s">
        <v>167</v>
      </c>
      <c r="U48" s="232">
        <v>0</v>
      </c>
      <c r="V48" s="232">
        <v>0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308</v>
      </c>
      <c r="C50" t="s">
        <v>214</v>
      </c>
      <c r="D50" s="87"/>
      <c r="E50" s="100"/>
      <c r="F50">
        <v>1</v>
      </c>
      <c r="G50" s="231">
        <v>13595.74</v>
      </c>
      <c r="H50" s="231">
        <v>9376.3700000000008</v>
      </c>
      <c r="I50" s="231">
        <v>13595.74</v>
      </c>
      <c r="J50" s="105"/>
      <c r="K50">
        <v>1</v>
      </c>
      <c r="L50" s="231">
        <v>6797.87</v>
      </c>
      <c r="M50" s="231">
        <v>6797.87</v>
      </c>
      <c r="N50" s="232">
        <v>0.5</v>
      </c>
      <c r="O50" s="232"/>
      <c r="P50" s="98"/>
      <c r="Q50" s="102"/>
      <c r="R50" s="108"/>
      <c r="S50" s="231">
        <v>6797.87</v>
      </c>
      <c r="T50" s="231">
        <v>6797.87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1176</v>
      </c>
      <c r="G78" s="121">
        <f t="shared" si="0"/>
        <v>48869.87</v>
      </c>
      <c r="H78" s="122">
        <f t="shared" si="0"/>
        <v>33703.370000000003</v>
      </c>
      <c r="I78" s="123">
        <f t="shared" si="0"/>
        <v>117552.93000000001</v>
      </c>
      <c r="J78" s="124"/>
      <c r="K78" s="125">
        <f t="shared" ref="K78:M78" si="1">SUM(K19:K77)</f>
        <v>1176</v>
      </c>
      <c r="L78" s="122">
        <f t="shared" si="1"/>
        <v>25623.03</v>
      </c>
      <c r="M78" s="123">
        <f t="shared" si="1"/>
        <v>64480.800000000003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64480.800000000003</v>
      </c>
      <c r="T78" s="123">
        <f t="shared" si="2"/>
        <v>2462666.3200000003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77" xr:uid="{2C9A0BF7-7FFE-4F97-8D2A-E5CAF259385D}">
      <formula1>$Z$19:$Z$58</formula1>
    </dataValidation>
    <dataValidation type="list" allowBlank="1" showErrorMessage="1" sqref="I14" xr:uid="{317A325A-8230-4202-A68F-1FE5217670CA}">
      <formula1>$Y$14:$Y$15</formula1>
    </dataValidation>
    <dataValidation type="list" allowBlank="1" showErrorMessage="1" sqref="J14" xr:uid="{17E4B1E9-A60B-4822-BE18-571430BC3F86}">
      <formula1>$L$9</formula1>
    </dataValidation>
    <dataValidation type="list" allowBlank="1" showErrorMessage="1" sqref="Q15 G18 L18 Q18" xr:uid="{DD0B1EC6-428F-428B-86AF-3A031A87B6DC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12EA-1B82-4A3D-B23A-5B47C0D2CF94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5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309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118958.96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2017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65183.81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53775.150000000009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310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0.45204791635703612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311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2463369.33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312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65183.81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313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1</v>
      </c>
      <c r="G20" s="231">
        <v>51.88</v>
      </c>
      <c r="H20" s="231">
        <v>35.78</v>
      </c>
      <c r="I20" s="231">
        <v>51.88</v>
      </c>
      <c r="J20" s="105"/>
      <c r="K20">
        <v>1</v>
      </c>
      <c r="L20" s="231">
        <v>25.94</v>
      </c>
      <c r="M20" s="231">
        <v>25.94</v>
      </c>
      <c r="N20" s="232">
        <v>0.5</v>
      </c>
      <c r="O20" s="232"/>
      <c r="P20" s="98"/>
      <c r="Q20" s="102"/>
      <c r="R20" s="108"/>
      <c r="S20" s="231">
        <v>25.94</v>
      </c>
      <c r="T20" s="231">
        <v>25.94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220</v>
      </c>
      <c r="D21" s="227"/>
      <c r="E21" s="100"/>
      <c r="F21">
        <v>1</v>
      </c>
      <c r="G21" s="231">
        <v>78.87</v>
      </c>
      <c r="H21" s="231">
        <v>54.39</v>
      </c>
      <c r="I21" s="231">
        <v>78.87</v>
      </c>
      <c r="J21" s="228"/>
      <c r="K21">
        <v>1</v>
      </c>
      <c r="L21" s="231">
        <v>39.44</v>
      </c>
      <c r="M21" s="231">
        <v>39.44</v>
      </c>
      <c r="N21" s="232">
        <v>0.49990000000000001</v>
      </c>
      <c r="O21" s="232"/>
      <c r="P21" s="98"/>
      <c r="Q21" s="102"/>
      <c r="R21" s="108"/>
      <c r="S21" s="231">
        <v>39.44</v>
      </c>
      <c r="T21" s="231">
        <v>39.44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179</v>
      </c>
      <c r="C22" t="s">
        <v>251</v>
      </c>
      <c r="D22" s="227"/>
      <c r="E22" s="100"/>
      <c r="F22">
        <v>1</v>
      </c>
      <c r="G22" s="231">
        <v>229</v>
      </c>
      <c r="H22" s="231">
        <v>157.93</v>
      </c>
      <c r="I22" s="231">
        <v>229</v>
      </c>
      <c r="J22" s="228"/>
      <c r="K22">
        <v>1</v>
      </c>
      <c r="L22" s="231">
        <v>114.5</v>
      </c>
      <c r="M22" s="231">
        <v>114.5</v>
      </c>
      <c r="N22" s="232">
        <v>0.5</v>
      </c>
      <c r="O22" s="232"/>
      <c r="P22" s="98"/>
      <c r="Q22" s="102"/>
      <c r="R22" s="108"/>
      <c r="S22" s="231">
        <v>114.5</v>
      </c>
      <c r="T22" s="231">
        <v>114.5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272</v>
      </c>
      <c r="C23" t="s">
        <v>118</v>
      </c>
      <c r="D23" s="227"/>
      <c r="E23" s="100"/>
      <c r="F23">
        <v>1</v>
      </c>
      <c r="G23" s="231">
        <v>165.83</v>
      </c>
      <c r="H23" s="231">
        <v>114.37</v>
      </c>
      <c r="I23" s="231">
        <v>165.83</v>
      </c>
      <c r="J23" s="228"/>
      <c r="K23">
        <v>1</v>
      </c>
      <c r="L23" s="231">
        <v>107.8</v>
      </c>
      <c r="M23" s="231">
        <v>107.8</v>
      </c>
      <c r="N23" s="232">
        <v>0.34989999999999999</v>
      </c>
      <c r="O23" s="232"/>
      <c r="P23" s="98"/>
      <c r="Q23" s="102"/>
      <c r="R23" s="108"/>
      <c r="S23" s="231">
        <v>107.8</v>
      </c>
      <c r="T23" s="231">
        <v>107.8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273</v>
      </c>
      <c r="C24" t="s">
        <v>120</v>
      </c>
      <c r="D24" s="227"/>
      <c r="E24" s="100"/>
      <c r="F24">
        <v>1</v>
      </c>
      <c r="G24" s="231">
        <v>117.3</v>
      </c>
      <c r="H24" s="231">
        <v>80.900000000000006</v>
      </c>
      <c r="I24" s="231">
        <v>117.3</v>
      </c>
      <c r="J24" s="228"/>
      <c r="K24">
        <v>1</v>
      </c>
      <c r="L24" s="231">
        <v>76.25</v>
      </c>
      <c r="M24" s="231">
        <v>76.25</v>
      </c>
      <c r="N24" s="232">
        <v>0.35</v>
      </c>
      <c r="O24" s="232"/>
      <c r="P24" s="98"/>
      <c r="Q24" s="102"/>
      <c r="R24" s="108"/>
      <c r="S24" s="231">
        <v>76.25</v>
      </c>
      <c r="T24" s="231">
        <v>76.25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274</v>
      </c>
      <c r="C25" t="s">
        <v>122</v>
      </c>
      <c r="D25" s="227"/>
      <c r="E25" s="100"/>
      <c r="F25">
        <v>1</v>
      </c>
      <c r="G25" s="231">
        <v>94.42</v>
      </c>
      <c r="H25" s="231">
        <v>65.12</v>
      </c>
      <c r="I25" s="231">
        <v>94.42</v>
      </c>
      <c r="J25" s="228"/>
      <c r="K25">
        <v>1</v>
      </c>
      <c r="L25" s="231">
        <v>47.21</v>
      </c>
      <c r="M25" s="231">
        <v>47.21</v>
      </c>
      <c r="N25" s="232">
        <v>0.5</v>
      </c>
      <c r="O25" s="232"/>
      <c r="P25" s="98"/>
      <c r="Q25" s="102"/>
      <c r="R25" s="108"/>
      <c r="S25" s="231">
        <v>47.21</v>
      </c>
      <c r="T25" s="231">
        <v>47.21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187</v>
      </c>
      <c r="C26" t="s">
        <v>275</v>
      </c>
      <c r="D26" s="227"/>
      <c r="E26" s="100"/>
      <c r="F26">
        <v>2</v>
      </c>
      <c r="G26" s="231">
        <v>523.07000000000005</v>
      </c>
      <c r="H26" s="231">
        <v>360.74</v>
      </c>
      <c r="I26" s="231">
        <v>1046.1400000000001</v>
      </c>
      <c r="J26" s="228"/>
      <c r="K26">
        <v>2</v>
      </c>
      <c r="L26" s="231">
        <v>261.54000000000002</v>
      </c>
      <c r="M26" s="231">
        <v>523.08000000000004</v>
      </c>
      <c r="N26" s="232">
        <v>0.5</v>
      </c>
      <c r="O26" s="232"/>
      <c r="P26" s="98"/>
      <c r="Q26" s="102"/>
      <c r="R26" s="108"/>
      <c r="S26" s="231">
        <v>523.08000000000004</v>
      </c>
      <c r="T26" s="231">
        <v>1046.1600000000001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228</v>
      </c>
      <c r="C27" t="s">
        <v>314</v>
      </c>
      <c r="D27" s="227"/>
      <c r="E27" s="100"/>
      <c r="F27">
        <v>1</v>
      </c>
      <c r="G27" s="231">
        <v>4369.08</v>
      </c>
      <c r="H27" s="231">
        <v>3013.16</v>
      </c>
      <c r="I27" s="231">
        <v>4369.08</v>
      </c>
      <c r="J27" s="228"/>
      <c r="K27">
        <v>1</v>
      </c>
      <c r="L27" s="231">
        <v>2184.54</v>
      </c>
      <c r="M27" s="231">
        <v>2184.54</v>
      </c>
      <c r="N27" s="232">
        <v>0.5</v>
      </c>
      <c r="O27" s="232"/>
      <c r="P27" s="98"/>
      <c r="Q27" s="102"/>
      <c r="R27" s="108"/>
      <c r="S27" s="231">
        <v>2184.54</v>
      </c>
      <c r="T27" s="231">
        <v>2184.54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226</v>
      </c>
      <c r="C28" t="s">
        <v>276</v>
      </c>
      <c r="D28" s="227"/>
      <c r="E28" s="100"/>
      <c r="F28">
        <v>1</v>
      </c>
      <c r="G28" s="231">
        <v>4161.4399999999996</v>
      </c>
      <c r="H28" s="231">
        <v>2869.96</v>
      </c>
      <c r="I28" s="231">
        <v>4161.4399999999996</v>
      </c>
      <c r="J28" s="228"/>
      <c r="K28">
        <v>1</v>
      </c>
      <c r="L28" s="231">
        <v>2080.7199999999998</v>
      </c>
      <c r="M28" s="231">
        <v>2080.7199999999998</v>
      </c>
      <c r="N28" s="232">
        <v>0.5</v>
      </c>
      <c r="O28" s="232"/>
      <c r="P28" s="98"/>
      <c r="Q28" s="102"/>
      <c r="R28" s="108"/>
      <c r="S28" s="231">
        <v>2080.7199999999998</v>
      </c>
      <c r="T28" s="231">
        <v>2080.7199999999998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183</v>
      </c>
      <c r="C29" t="s">
        <v>184</v>
      </c>
      <c r="D29" s="227"/>
      <c r="E29" s="100"/>
      <c r="F29">
        <v>6</v>
      </c>
      <c r="G29" s="231">
        <v>1474.09</v>
      </c>
      <c r="H29" s="231">
        <v>1016.61</v>
      </c>
      <c r="I29" s="231">
        <v>8844.5400000000009</v>
      </c>
      <c r="J29" s="228"/>
      <c r="K29">
        <v>6</v>
      </c>
      <c r="L29" s="231">
        <v>1031.8699999999999</v>
      </c>
      <c r="M29" s="231">
        <v>6191.22</v>
      </c>
      <c r="N29" s="232">
        <v>0.3</v>
      </c>
      <c r="O29" s="232"/>
      <c r="P29" s="98"/>
      <c r="Q29" s="102"/>
      <c r="R29" s="108"/>
      <c r="S29" s="231">
        <v>6191.22</v>
      </c>
      <c r="T29" s="231">
        <v>37147.32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303</v>
      </c>
      <c r="C30" t="s">
        <v>232</v>
      </c>
      <c r="D30" s="227"/>
      <c r="E30" s="100"/>
      <c r="F30">
        <v>1</v>
      </c>
      <c r="G30" s="231">
        <v>4722.29</v>
      </c>
      <c r="H30" s="231">
        <v>3256.75</v>
      </c>
      <c r="I30" s="231">
        <v>4722.29</v>
      </c>
      <c r="J30" s="228"/>
      <c r="K30">
        <v>1</v>
      </c>
      <c r="L30" s="231">
        <v>2361.15</v>
      </c>
      <c r="M30" s="231">
        <v>2361.15</v>
      </c>
      <c r="N30" s="232">
        <v>0.5</v>
      </c>
      <c r="O30" s="232"/>
      <c r="P30" s="98"/>
      <c r="Q30" s="102"/>
      <c r="R30" s="108"/>
      <c r="S30" s="231">
        <v>2361.15</v>
      </c>
      <c r="T30" s="231">
        <v>2361.15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304</v>
      </c>
      <c r="C31" t="s">
        <v>315</v>
      </c>
      <c r="D31" s="227"/>
      <c r="E31" s="100"/>
      <c r="F31">
        <v>1</v>
      </c>
      <c r="G31" s="231">
        <v>3634.22</v>
      </c>
      <c r="H31" s="231">
        <v>2506.36</v>
      </c>
      <c r="I31" s="231">
        <v>3634.22</v>
      </c>
      <c r="J31" s="228"/>
      <c r="K31">
        <v>1</v>
      </c>
      <c r="L31" s="231">
        <v>1817.11</v>
      </c>
      <c r="M31" s="231">
        <v>1817.11</v>
      </c>
      <c r="N31" s="232">
        <v>0.5</v>
      </c>
      <c r="O31" s="232"/>
      <c r="P31" s="98"/>
      <c r="Q31" s="102"/>
      <c r="R31" s="108"/>
      <c r="S31" s="231">
        <v>1817.11</v>
      </c>
      <c r="T31" s="231">
        <v>1817.11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D32" s="227"/>
      <c r="E32" s="100"/>
      <c r="H32" t="s">
        <v>167</v>
      </c>
      <c r="I32" t="s">
        <v>167</v>
      </c>
      <c r="J32" s="228"/>
      <c r="K32">
        <v>0</v>
      </c>
      <c r="L32" t="s">
        <v>167</v>
      </c>
      <c r="M32" t="s">
        <v>167</v>
      </c>
      <c r="O32" s="232"/>
      <c r="P32" s="98"/>
      <c r="Q32" s="102"/>
      <c r="R32" s="108"/>
      <c r="S32" t="s">
        <v>167</v>
      </c>
      <c r="T32" t="s">
        <v>167</v>
      </c>
      <c r="U32" s="232">
        <v>0</v>
      </c>
      <c r="V32" s="232">
        <v>0</v>
      </c>
      <c r="W32" s="229"/>
      <c r="X32" s="230"/>
      <c r="Y32" s="8"/>
      <c r="Z32" s="8"/>
    </row>
    <row r="33" spans="2:26">
      <c r="B33" t="s">
        <v>280</v>
      </c>
      <c r="C33" t="s">
        <v>190</v>
      </c>
      <c r="D33" s="227"/>
      <c r="E33" s="100"/>
      <c r="F33">
        <v>2</v>
      </c>
      <c r="G33" s="231">
        <v>1259.02</v>
      </c>
      <c r="H33" s="231">
        <v>868.29</v>
      </c>
      <c r="I33" s="231">
        <v>2518.04</v>
      </c>
      <c r="J33" s="228"/>
      <c r="K33">
        <v>2</v>
      </c>
      <c r="L33" s="231">
        <v>692.46</v>
      </c>
      <c r="M33" s="231">
        <v>1384.92</v>
      </c>
      <c r="N33" s="232">
        <v>0.45</v>
      </c>
      <c r="P33" s="98"/>
      <c r="Q33" s="102"/>
      <c r="R33" s="108"/>
      <c r="S33" s="231">
        <v>1384.92</v>
      </c>
      <c r="T33" s="231">
        <v>2769.84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281</v>
      </c>
      <c r="C34" t="s">
        <v>192</v>
      </c>
      <c r="D34" s="227"/>
      <c r="E34" s="100"/>
      <c r="F34">
        <v>36</v>
      </c>
      <c r="G34" s="231">
        <v>10.72</v>
      </c>
      <c r="H34" s="231">
        <v>7.39</v>
      </c>
      <c r="I34" s="231">
        <v>385.92</v>
      </c>
      <c r="J34" s="228"/>
      <c r="K34">
        <v>36</v>
      </c>
      <c r="L34" s="231">
        <v>5.9</v>
      </c>
      <c r="M34" s="231">
        <v>212.4</v>
      </c>
      <c r="N34" s="232">
        <v>0.4496</v>
      </c>
      <c r="O34" s="232"/>
      <c r="P34" s="98"/>
      <c r="Q34" s="102"/>
      <c r="R34" s="108"/>
      <c r="S34" s="231">
        <v>212.4</v>
      </c>
      <c r="T34" s="231">
        <v>7646.4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282</v>
      </c>
      <c r="C35" t="s">
        <v>204</v>
      </c>
      <c r="D35" s="227"/>
      <c r="E35" s="100"/>
      <c r="F35">
        <v>36</v>
      </c>
      <c r="G35" s="231">
        <v>2.83</v>
      </c>
      <c r="H35" s="231">
        <v>1.95</v>
      </c>
      <c r="I35" s="231">
        <v>101.88</v>
      </c>
      <c r="J35" s="228"/>
      <c r="K35">
        <v>36</v>
      </c>
      <c r="L35" s="231">
        <v>1.56</v>
      </c>
      <c r="M35" s="231">
        <v>56.16</v>
      </c>
      <c r="N35" s="232">
        <v>0.44879999999999998</v>
      </c>
      <c r="O35" s="232"/>
      <c r="P35" s="98"/>
      <c r="Q35" s="102"/>
      <c r="R35" s="108"/>
      <c r="S35" s="231">
        <v>56.16</v>
      </c>
      <c r="T35" s="231">
        <v>2021.76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283</v>
      </c>
      <c r="C36" t="s">
        <v>284</v>
      </c>
      <c r="D36" s="227"/>
      <c r="E36" s="100"/>
      <c r="F36">
        <v>2</v>
      </c>
      <c r="G36" s="231">
        <v>3159.07</v>
      </c>
      <c r="H36" s="231">
        <v>2178.67</v>
      </c>
      <c r="I36" s="231">
        <v>6318.14</v>
      </c>
      <c r="J36" s="228"/>
      <c r="K36">
        <v>2</v>
      </c>
      <c r="L36" s="231">
        <v>1737.49</v>
      </c>
      <c r="M36" s="231">
        <v>3474.98</v>
      </c>
      <c r="N36" s="232">
        <v>0.45</v>
      </c>
      <c r="O36" s="232"/>
      <c r="P36" s="98"/>
      <c r="Q36" s="102"/>
      <c r="R36" s="108"/>
      <c r="S36" s="231">
        <v>3474.98</v>
      </c>
      <c r="T36" s="231">
        <v>6949.96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285</v>
      </c>
      <c r="C37" t="s">
        <v>196</v>
      </c>
      <c r="D37" s="227"/>
      <c r="E37" s="100"/>
      <c r="F37">
        <v>8</v>
      </c>
      <c r="G37" s="231">
        <v>10.24</v>
      </c>
      <c r="H37" s="231">
        <v>7.06</v>
      </c>
      <c r="I37" s="231">
        <v>81.92</v>
      </c>
      <c r="J37" s="228"/>
      <c r="K37">
        <v>8</v>
      </c>
      <c r="L37" s="231">
        <v>5.63</v>
      </c>
      <c r="M37" s="231">
        <v>45.04</v>
      </c>
      <c r="N37" s="232">
        <v>0.45019999999999999</v>
      </c>
      <c r="O37" s="232"/>
      <c r="P37" s="98"/>
      <c r="Q37" s="102"/>
      <c r="R37" s="108"/>
      <c r="S37" s="231">
        <v>45.04</v>
      </c>
      <c r="T37" s="231">
        <v>360.32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286</v>
      </c>
      <c r="C38" t="s">
        <v>134</v>
      </c>
      <c r="D38" s="227"/>
      <c r="E38" s="100"/>
      <c r="F38">
        <v>4</v>
      </c>
      <c r="G38" s="231">
        <v>635.41999999999996</v>
      </c>
      <c r="H38" s="231">
        <v>438.22</v>
      </c>
      <c r="I38" s="231">
        <v>2541.6799999999998</v>
      </c>
      <c r="J38" s="228"/>
      <c r="K38">
        <v>4</v>
      </c>
      <c r="L38" s="231">
        <v>349.48</v>
      </c>
      <c r="M38" s="231">
        <v>1397.92</v>
      </c>
      <c r="N38" s="232">
        <v>0.45</v>
      </c>
      <c r="O38" s="232"/>
      <c r="P38" s="98"/>
      <c r="Q38" s="102"/>
      <c r="R38" s="108"/>
      <c r="S38" s="231">
        <v>1397.92</v>
      </c>
      <c r="T38" s="231">
        <v>5591.68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200</v>
      </c>
      <c r="C39" t="s">
        <v>136</v>
      </c>
      <c r="D39" s="227"/>
      <c r="E39" s="100"/>
      <c r="F39">
        <v>4</v>
      </c>
      <c r="G39" s="231">
        <v>23.18</v>
      </c>
      <c r="H39" s="231">
        <v>15.99</v>
      </c>
      <c r="I39" s="231">
        <v>92.72</v>
      </c>
      <c r="J39" s="228"/>
      <c r="K39">
        <v>4</v>
      </c>
      <c r="L39" s="231">
        <v>12.75</v>
      </c>
      <c r="M39" s="231">
        <v>51</v>
      </c>
      <c r="N39" s="232">
        <v>0.45</v>
      </c>
      <c r="O39" s="232"/>
      <c r="P39" s="98"/>
      <c r="Q39" s="102"/>
      <c r="R39" s="108"/>
      <c r="S39" s="231">
        <v>51</v>
      </c>
      <c r="T39" s="231">
        <v>204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288</v>
      </c>
      <c r="C40" t="s">
        <v>199</v>
      </c>
      <c r="D40" s="227"/>
      <c r="E40" s="100"/>
      <c r="F40">
        <v>18</v>
      </c>
      <c r="G40" s="231">
        <v>862.15</v>
      </c>
      <c r="H40" s="231">
        <v>594.59</v>
      </c>
      <c r="I40" s="231">
        <v>15518.7</v>
      </c>
      <c r="J40" s="228"/>
      <c r="K40">
        <v>18</v>
      </c>
      <c r="L40" s="231">
        <v>474.19</v>
      </c>
      <c r="M40" s="231">
        <v>8535.42</v>
      </c>
      <c r="N40" s="232">
        <v>0.45</v>
      </c>
      <c r="O40" s="232"/>
      <c r="P40" s="98"/>
      <c r="Q40" s="102"/>
      <c r="R40" s="108"/>
      <c r="S40" s="231">
        <v>8535.42</v>
      </c>
      <c r="T40" s="231">
        <v>153637.56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202</v>
      </c>
      <c r="C41" t="s">
        <v>289</v>
      </c>
      <c r="D41" s="227"/>
      <c r="E41" s="100"/>
      <c r="F41">
        <v>72</v>
      </c>
      <c r="G41" s="231">
        <v>20.079999999999998</v>
      </c>
      <c r="H41" s="231">
        <v>13.85</v>
      </c>
      <c r="I41" s="231">
        <v>1445.76</v>
      </c>
      <c r="J41" s="228"/>
      <c r="K41">
        <v>72</v>
      </c>
      <c r="L41" s="231">
        <v>11.04</v>
      </c>
      <c r="M41" s="231">
        <v>794.88</v>
      </c>
      <c r="N41" s="232">
        <v>0.45019999999999999</v>
      </c>
      <c r="O41" s="232"/>
      <c r="P41" s="98"/>
      <c r="Q41" s="102"/>
      <c r="R41" s="108"/>
      <c r="S41" s="231">
        <v>794.88</v>
      </c>
      <c r="T41" s="231">
        <v>57231.360000000001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203</v>
      </c>
      <c r="C42" t="s">
        <v>204</v>
      </c>
      <c r="D42" s="227"/>
      <c r="E42" s="100"/>
      <c r="F42">
        <v>72</v>
      </c>
      <c r="G42" s="231">
        <v>2.99</v>
      </c>
      <c r="H42" s="231">
        <v>2.06</v>
      </c>
      <c r="I42" s="231">
        <v>215.28</v>
      </c>
      <c r="J42" s="228"/>
      <c r="K42">
        <v>72</v>
      </c>
      <c r="L42" s="231">
        <v>1.65</v>
      </c>
      <c r="M42" s="231">
        <v>118.8</v>
      </c>
      <c r="N42" s="232">
        <v>0.44819999999999999</v>
      </c>
      <c r="O42" s="232"/>
      <c r="P42" s="98"/>
      <c r="Q42" s="102"/>
      <c r="R42" s="108"/>
      <c r="S42" s="231">
        <v>118.8</v>
      </c>
      <c r="T42" s="231">
        <v>8553.6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290</v>
      </c>
      <c r="C44" t="s">
        <v>236</v>
      </c>
      <c r="D44" s="227"/>
      <c r="E44" s="100"/>
      <c r="F44">
        <v>2</v>
      </c>
      <c r="G44" s="231">
        <v>10788.51</v>
      </c>
      <c r="H44" s="231">
        <v>7440.35</v>
      </c>
      <c r="I44" s="231">
        <v>21577.02</v>
      </c>
      <c r="J44" s="228"/>
      <c r="K44">
        <v>2</v>
      </c>
      <c r="L44" s="231">
        <v>5933.69</v>
      </c>
      <c r="M44" s="231">
        <v>11867.38</v>
      </c>
      <c r="N44" s="232">
        <v>0.45</v>
      </c>
      <c r="O44" s="232"/>
      <c r="P44" s="98"/>
      <c r="Q44" s="102"/>
      <c r="R44" s="108"/>
      <c r="S44" s="231">
        <v>11867.38</v>
      </c>
      <c r="T44" s="231">
        <v>23734.76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291</v>
      </c>
      <c r="C45" t="s">
        <v>292</v>
      </c>
      <c r="D45" s="227"/>
      <c r="E45" s="100"/>
      <c r="F45">
        <v>100</v>
      </c>
      <c r="G45" s="231">
        <v>230.39</v>
      </c>
      <c r="H45" s="231">
        <v>158.88999999999999</v>
      </c>
      <c r="I45" s="231">
        <v>23039</v>
      </c>
      <c r="J45" s="228"/>
      <c r="K45">
        <v>100</v>
      </c>
      <c r="L45" s="231">
        <v>126.72</v>
      </c>
      <c r="M45" s="231">
        <v>12672</v>
      </c>
      <c r="N45" s="232">
        <v>0.45</v>
      </c>
      <c r="O45" s="232"/>
      <c r="P45" s="98"/>
      <c r="Q45" s="102"/>
      <c r="R45" s="108"/>
      <c r="S45" s="231">
        <v>12672</v>
      </c>
      <c r="T45" s="231">
        <v>1267200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293</v>
      </c>
      <c r="C46" t="s">
        <v>141</v>
      </c>
      <c r="D46" s="227"/>
      <c r="E46" s="100"/>
      <c r="F46">
        <v>400</v>
      </c>
      <c r="G46" s="231">
        <v>6.78</v>
      </c>
      <c r="H46" s="231">
        <v>4.68</v>
      </c>
      <c r="I46" s="231">
        <v>2712</v>
      </c>
      <c r="J46" s="228"/>
      <c r="K46">
        <v>400</v>
      </c>
      <c r="L46" s="231">
        <v>3.73</v>
      </c>
      <c r="M46" s="231">
        <v>1492</v>
      </c>
      <c r="N46" s="232">
        <v>0.44990000000000002</v>
      </c>
      <c r="O46" s="232"/>
      <c r="P46" s="98"/>
      <c r="Q46" s="102"/>
      <c r="R46" s="108"/>
      <c r="S46" s="231">
        <v>1492</v>
      </c>
      <c r="T46" s="231">
        <v>596800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211</v>
      </c>
      <c r="C47" t="s">
        <v>239</v>
      </c>
      <c r="D47" s="227"/>
      <c r="E47" s="100"/>
      <c r="F47">
        <v>400</v>
      </c>
      <c r="G47" s="231">
        <v>3.14</v>
      </c>
      <c r="H47" s="231">
        <v>2.17</v>
      </c>
      <c r="I47" s="231">
        <v>1256</v>
      </c>
      <c r="J47" s="228"/>
      <c r="K47">
        <v>400</v>
      </c>
      <c r="L47" s="231">
        <v>1.73</v>
      </c>
      <c r="M47" s="231">
        <v>692</v>
      </c>
      <c r="N47" s="232">
        <v>0.44900000000000001</v>
      </c>
      <c r="O47" s="232"/>
      <c r="P47" s="98"/>
      <c r="Q47" s="102"/>
      <c r="R47" s="108"/>
      <c r="S47" s="231">
        <v>692</v>
      </c>
      <c r="T47" s="231">
        <v>276800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H48" t="s">
        <v>167</v>
      </c>
      <c r="I48" t="s">
        <v>167</v>
      </c>
      <c r="J48" s="228"/>
      <c r="K48">
        <v>0</v>
      </c>
      <c r="L48" t="s">
        <v>167</v>
      </c>
      <c r="M48" t="s">
        <v>167</v>
      </c>
      <c r="P48" s="98"/>
      <c r="Q48" s="102"/>
      <c r="R48" s="108"/>
      <c r="S48" t="s">
        <v>167</v>
      </c>
      <c r="T48" t="s">
        <v>167</v>
      </c>
      <c r="U48" s="232">
        <v>0</v>
      </c>
      <c r="V48" s="232">
        <v>0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308</v>
      </c>
      <c r="C50" t="s">
        <v>214</v>
      </c>
      <c r="D50" s="87"/>
      <c r="E50" s="100"/>
      <c r="F50">
        <v>1</v>
      </c>
      <c r="G50" s="231">
        <v>13595.74</v>
      </c>
      <c r="H50" s="231">
        <v>9376.3700000000008</v>
      </c>
      <c r="I50" s="231">
        <v>13595.74</v>
      </c>
      <c r="J50" s="105"/>
      <c r="K50">
        <v>1</v>
      </c>
      <c r="L50" s="231">
        <v>6797.87</v>
      </c>
      <c r="M50" s="231">
        <v>6797.87</v>
      </c>
      <c r="N50" s="232">
        <v>0.5</v>
      </c>
      <c r="O50" s="232"/>
      <c r="P50" s="98"/>
      <c r="Q50" s="102"/>
      <c r="R50" s="108"/>
      <c r="S50" s="231">
        <v>6797.87</v>
      </c>
      <c r="T50" s="231">
        <v>6797.87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1176</v>
      </c>
      <c r="G78" s="121">
        <f t="shared" si="0"/>
        <v>50275.900000000009</v>
      </c>
      <c r="H78" s="122">
        <f t="shared" si="0"/>
        <v>34673.050000000003</v>
      </c>
      <c r="I78" s="123">
        <f t="shared" si="0"/>
        <v>118958.96</v>
      </c>
      <c r="J78" s="124"/>
      <c r="K78" s="125">
        <f t="shared" ref="K78:M78" si="1">SUM(K19:K77)</f>
        <v>1176</v>
      </c>
      <c r="L78" s="122">
        <f t="shared" si="1"/>
        <v>26326.039999999997</v>
      </c>
      <c r="M78" s="123">
        <f t="shared" si="1"/>
        <v>65183.81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65183.81</v>
      </c>
      <c r="T78" s="123">
        <f t="shared" si="2"/>
        <v>2463369.33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21E802AC-384D-43F5-AC4F-621083F49653}">
      <formula1>$Y$12:$Y$13</formula1>
    </dataValidation>
    <dataValidation type="list" allowBlank="1" showErrorMessage="1" sqref="J14" xr:uid="{C8363C77-1379-49DF-89DD-4C1369B0E20D}">
      <formula1>$L$9</formula1>
    </dataValidation>
    <dataValidation type="list" allowBlank="1" showErrorMessage="1" sqref="I14" xr:uid="{45AC9F5B-B65D-4C7F-9463-693815A92F31}">
      <formula1>$Y$14:$Y$15</formula1>
    </dataValidation>
    <dataValidation type="list" allowBlank="1" showErrorMessage="1" sqref="E19:E77" xr:uid="{DCD6CB2D-E6E4-4766-9E9F-7C5395BDA1F6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F91B-D3D6-43F1-99B9-413830355DB3}">
  <sheetPr>
    <pageSetUpPr fitToPage="1"/>
  </sheetPr>
  <dimension ref="B1:Z78"/>
  <sheetViews>
    <sheetView zoomScale="55" zoomScaleNormal="55" workbookViewId="0">
      <pane ySplit="18" topLeftCell="A37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316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118958.96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2018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65183.81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53775.150000000009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310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0.45204791635703612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317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2463369.33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318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65183.81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175</v>
      </c>
      <c r="C20" t="s">
        <v>176</v>
      </c>
      <c r="D20" s="87"/>
      <c r="E20" s="100"/>
      <c r="F20">
        <v>1</v>
      </c>
      <c r="G20" s="231">
        <v>51.88</v>
      </c>
      <c r="H20" s="231">
        <v>35.78</v>
      </c>
      <c r="I20" s="231">
        <v>51.88</v>
      </c>
      <c r="J20" s="105"/>
      <c r="K20">
        <v>1</v>
      </c>
      <c r="L20" s="231">
        <v>25.94</v>
      </c>
      <c r="M20" s="231">
        <v>25.94</v>
      </c>
      <c r="N20" s="232">
        <v>0.5</v>
      </c>
      <c r="O20" s="232"/>
      <c r="P20" s="98"/>
      <c r="Q20" s="102"/>
      <c r="R20" s="108"/>
      <c r="S20" s="231">
        <v>25.94</v>
      </c>
      <c r="T20" s="231">
        <v>25.94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177</v>
      </c>
      <c r="C21" t="s">
        <v>220</v>
      </c>
      <c r="D21" s="227"/>
      <c r="E21" s="100"/>
      <c r="F21">
        <v>1</v>
      </c>
      <c r="G21" s="231">
        <v>78.87</v>
      </c>
      <c r="H21" s="231">
        <v>54.39</v>
      </c>
      <c r="I21" s="231">
        <v>78.87</v>
      </c>
      <c r="J21" s="228"/>
      <c r="K21">
        <v>1</v>
      </c>
      <c r="L21" s="231">
        <v>39.44</v>
      </c>
      <c r="M21" s="231">
        <v>39.44</v>
      </c>
      <c r="N21" s="232">
        <v>0.49990000000000001</v>
      </c>
      <c r="O21" s="232"/>
      <c r="P21" s="98"/>
      <c r="Q21" s="102"/>
      <c r="R21" s="108"/>
      <c r="S21" s="231">
        <v>39.44</v>
      </c>
      <c r="T21" s="231">
        <v>39.44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179</v>
      </c>
      <c r="C22" t="s">
        <v>251</v>
      </c>
      <c r="D22" s="227"/>
      <c r="E22" s="100"/>
      <c r="F22">
        <v>1</v>
      </c>
      <c r="G22" s="231">
        <v>229</v>
      </c>
      <c r="H22" s="231">
        <v>157.93</v>
      </c>
      <c r="I22" s="231">
        <v>229</v>
      </c>
      <c r="J22" s="228"/>
      <c r="K22">
        <v>1</v>
      </c>
      <c r="L22" s="231">
        <v>114.5</v>
      </c>
      <c r="M22" s="231">
        <v>114.5</v>
      </c>
      <c r="N22" s="232">
        <v>0.5</v>
      </c>
      <c r="O22" s="232"/>
      <c r="P22" s="98"/>
      <c r="Q22" s="102"/>
      <c r="R22" s="108"/>
      <c r="S22" s="231">
        <v>114.5</v>
      </c>
      <c r="T22" s="231">
        <v>114.5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272</v>
      </c>
      <c r="C23" t="s">
        <v>118</v>
      </c>
      <c r="D23" s="227"/>
      <c r="E23" s="100"/>
      <c r="F23">
        <v>1</v>
      </c>
      <c r="G23" s="231">
        <v>165.83</v>
      </c>
      <c r="H23" s="231">
        <v>114.37</v>
      </c>
      <c r="I23" s="231">
        <v>165.83</v>
      </c>
      <c r="J23" s="228"/>
      <c r="K23">
        <v>1</v>
      </c>
      <c r="L23" s="231">
        <v>107.8</v>
      </c>
      <c r="M23" s="231">
        <v>107.8</v>
      </c>
      <c r="N23" s="232">
        <v>0.34989999999999999</v>
      </c>
      <c r="O23" s="232"/>
      <c r="P23" s="98"/>
      <c r="Q23" s="102"/>
      <c r="R23" s="108"/>
      <c r="S23" s="231">
        <v>107.8</v>
      </c>
      <c r="T23" s="231">
        <v>107.8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273</v>
      </c>
      <c r="C24" t="s">
        <v>120</v>
      </c>
      <c r="D24" s="227"/>
      <c r="E24" s="100"/>
      <c r="F24">
        <v>1</v>
      </c>
      <c r="G24" s="231">
        <v>117.3</v>
      </c>
      <c r="H24" s="231">
        <v>80.900000000000006</v>
      </c>
      <c r="I24" s="231">
        <v>117.3</v>
      </c>
      <c r="J24" s="228"/>
      <c r="K24">
        <v>1</v>
      </c>
      <c r="L24" s="231">
        <v>76.25</v>
      </c>
      <c r="M24" s="231">
        <v>76.25</v>
      </c>
      <c r="N24" s="232">
        <v>0.35</v>
      </c>
      <c r="O24" s="232"/>
      <c r="P24" s="98"/>
      <c r="Q24" s="102"/>
      <c r="R24" s="108"/>
      <c r="S24" s="231">
        <v>76.25</v>
      </c>
      <c r="T24" s="231">
        <v>76.25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274</v>
      </c>
      <c r="C25" t="s">
        <v>122</v>
      </c>
      <c r="D25" s="227"/>
      <c r="E25" s="100"/>
      <c r="F25">
        <v>1</v>
      </c>
      <c r="G25" s="231">
        <v>94.42</v>
      </c>
      <c r="H25" s="231">
        <v>65.12</v>
      </c>
      <c r="I25" s="231">
        <v>94.42</v>
      </c>
      <c r="J25" s="228"/>
      <c r="K25">
        <v>1</v>
      </c>
      <c r="L25" s="231">
        <v>47.21</v>
      </c>
      <c r="M25" s="231">
        <v>47.21</v>
      </c>
      <c r="N25" s="232">
        <v>0.5</v>
      </c>
      <c r="O25" s="232"/>
      <c r="P25" s="98"/>
      <c r="Q25" s="102"/>
      <c r="R25" s="108"/>
      <c r="S25" s="231">
        <v>47.21</v>
      </c>
      <c r="T25" s="231">
        <v>47.21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187</v>
      </c>
      <c r="C26" t="s">
        <v>275</v>
      </c>
      <c r="D26" s="227"/>
      <c r="E26" s="100"/>
      <c r="F26">
        <v>2</v>
      </c>
      <c r="G26" s="231">
        <v>523.07000000000005</v>
      </c>
      <c r="H26" s="231">
        <v>360.74</v>
      </c>
      <c r="I26" s="231">
        <v>1046.1400000000001</v>
      </c>
      <c r="J26" s="228"/>
      <c r="K26">
        <v>2</v>
      </c>
      <c r="L26" s="231">
        <v>261.54000000000002</v>
      </c>
      <c r="M26" s="231">
        <v>523.08000000000004</v>
      </c>
      <c r="N26" s="232">
        <v>0.5</v>
      </c>
      <c r="O26" s="232"/>
      <c r="P26" s="98"/>
      <c r="Q26" s="102"/>
      <c r="R26" s="108"/>
      <c r="S26" s="231">
        <v>523.08000000000004</v>
      </c>
      <c r="T26" s="231">
        <v>1046.1600000000001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228</v>
      </c>
      <c r="C27" t="s">
        <v>229</v>
      </c>
      <c r="D27" s="227"/>
      <c r="E27" s="100"/>
      <c r="F27">
        <v>1</v>
      </c>
      <c r="G27" s="231">
        <v>4369.08</v>
      </c>
      <c r="H27" s="231">
        <v>3013.16</v>
      </c>
      <c r="I27" s="231">
        <v>4369.08</v>
      </c>
      <c r="J27" s="228"/>
      <c r="K27">
        <v>1</v>
      </c>
      <c r="L27" s="231">
        <v>2184.54</v>
      </c>
      <c r="M27" s="231">
        <v>2184.54</v>
      </c>
      <c r="N27" s="232">
        <v>0.5</v>
      </c>
      <c r="O27" s="232"/>
      <c r="P27" s="98"/>
      <c r="Q27" s="102"/>
      <c r="R27" s="108"/>
      <c r="S27" s="231">
        <v>2184.54</v>
      </c>
      <c r="T27" s="231">
        <v>2184.54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226</v>
      </c>
      <c r="C28" t="s">
        <v>276</v>
      </c>
      <c r="D28" s="227"/>
      <c r="E28" s="100"/>
      <c r="F28">
        <v>1</v>
      </c>
      <c r="G28" s="231">
        <v>4161.4399999999996</v>
      </c>
      <c r="H28" s="231">
        <v>2869.96</v>
      </c>
      <c r="I28" s="231">
        <v>4161.4399999999996</v>
      </c>
      <c r="J28" s="228"/>
      <c r="K28">
        <v>1</v>
      </c>
      <c r="L28" s="231">
        <v>2080.7199999999998</v>
      </c>
      <c r="M28" s="231">
        <v>2080.7199999999998</v>
      </c>
      <c r="N28" s="232">
        <v>0.5</v>
      </c>
      <c r="O28" s="232"/>
      <c r="P28" s="98"/>
      <c r="Q28" s="102"/>
      <c r="R28" s="108"/>
      <c r="S28" s="231">
        <v>2080.7199999999998</v>
      </c>
      <c r="T28" s="231">
        <v>2080.7199999999998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183</v>
      </c>
      <c r="C29" t="s">
        <v>184</v>
      </c>
      <c r="D29" s="227"/>
      <c r="E29" s="100"/>
      <c r="F29">
        <v>6</v>
      </c>
      <c r="G29" s="231">
        <v>1474.09</v>
      </c>
      <c r="H29" s="231">
        <v>1016.61</v>
      </c>
      <c r="I29" s="231">
        <v>8844.5400000000009</v>
      </c>
      <c r="J29" s="228"/>
      <c r="K29">
        <v>6</v>
      </c>
      <c r="L29" s="231">
        <v>1031.8699999999999</v>
      </c>
      <c r="M29" s="231">
        <v>6191.22</v>
      </c>
      <c r="N29" s="232">
        <v>0.3</v>
      </c>
      <c r="O29" s="232"/>
      <c r="P29" s="98"/>
      <c r="Q29" s="102"/>
      <c r="R29" s="108"/>
      <c r="S29" s="231">
        <v>6191.22</v>
      </c>
      <c r="T29" s="231">
        <v>37147.32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303</v>
      </c>
      <c r="C30" t="s">
        <v>232</v>
      </c>
      <c r="D30" s="227"/>
      <c r="E30" s="100"/>
      <c r="F30">
        <v>1</v>
      </c>
      <c r="G30" s="231">
        <v>4722.29</v>
      </c>
      <c r="H30" s="231">
        <v>3256.75</v>
      </c>
      <c r="I30" s="231">
        <v>4722.29</v>
      </c>
      <c r="J30" s="228"/>
      <c r="K30">
        <v>1</v>
      </c>
      <c r="L30" s="231">
        <v>2361.15</v>
      </c>
      <c r="M30" s="231">
        <v>2361.15</v>
      </c>
      <c r="N30" s="232">
        <v>0.5</v>
      </c>
      <c r="O30" s="232"/>
      <c r="P30" s="98"/>
      <c r="Q30" s="102"/>
      <c r="R30" s="108"/>
      <c r="S30" s="231">
        <v>2361.15</v>
      </c>
      <c r="T30" s="231">
        <v>2361.15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304</v>
      </c>
      <c r="C31" t="s">
        <v>315</v>
      </c>
      <c r="D31" s="227"/>
      <c r="E31" s="100"/>
      <c r="F31">
        <v>1</v>
      </c>
      <c r="G31" s="231">
        <v>3634.22</v>
      </c>
      <c r="H31" s="231">
        <v>2506.36</v>
      </c>
      <c r="I31" s="231">
        <v>3634.22</v>
      </c>
      <c r="J31" s="228"/>
      <c r="K31">
        <v>1</v>
      </c>
      <c r="L31" s="231">
        <v>1817.11</v>
      </c>
      <c r="M31" s="231">
        <v>1817.11</v>
      </c>
      <c r="N31" s="232">
        <v>0.5</v>
      </c>
      <c r="O31" s="232"/>
      <c r="P31" s="98"/>
      <c r="Q31" s="102"/>
      <c r="R31" s="108"/>
      <c r="S31" s="231">
        <v>1817.11</v>
      </c>
      <c r="T31" s="231">
        <v>1817.11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D32" s="227"/>
      <c r="E32" s="100"/>
      <c r="H32" t="s">
        <v>167</v>
      </c>
      <c r="I32" t="s">
        <v>167</v>
      </c>
      <c r="J32" s="228"/>
      <c r="K32">
        <v>0</v>
      </c>
      <c r="L32" t="s">
        <v>167</v>
      </c>
      <c r="M32" t="s">
        <v>167</v>
      </c>
      <c r="O32" s="232"/>
      <c r="P32" s="98"/>
      <c r="Q32" s="102"/>
      <c r="R32" s="108"/>
      <c r="S32" t="s">
        <v>167</v>
      </c>
      <c r="T32" t="s">
        <v>167</v>
      </c>
      <c r="U32" s="232">
        <v>0</v>
      </c>
      <c r="V32" s="232">
        <v>0</v>
      </c>
      <c r="W32" s="229"/>
      <c r="X32" s="230"/>
      <c r="Y32" s="8"/>
      <c r="Z32" s="8"/>
    </row>
    <row r="33" spans="2:26">
      <c r="B33" t="s">
        <v>280</v>
      </c>
      <c r="C33" t="s">
        <v>190</v>
      </c>
      <c r="D33" s="227"/>
      <c r="E33" s="100"/>
      <c r="F33">
        <v>2</v>
      </c>
      <c r="G33" s="231">
        <v>1259.02</v>
      </c>
      <c r="H33" s="231">
        <v>868.29</v>
      </c>
      <c r="I33" s="231">
        <v>2518.04</v>
      </c>
      <c r="J33" s="228"/>
      <c r="K33">
        <v>2</v>
      </c>
      <c r="L33" s="231">
        <v>692.46</v>
      </c>
      <c r="M33" s="231">
        <v>1384.92</v>
      </c>
      <c r="N33" s="232">
        <v>0.45</v>
      </c>
      <c r="P33" s="98"/>
      <c r="Q33" s="102"/>
      <c r="R33" s="108"/>
      <c r="S33" s="231">
        <v>1384.92</v>
      </c>
      <c r="T33" s="231">
        <v>2769.84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281</v>
      </c>
      <c r="C34" t="s">
        <v>192</v>
      </c>
      <c r="D34" s="227"/>
      <c r="E34" s="100"/>
      <c r="F34">
        <v>36</v>
      </c>
      <c r="G34" s="231">
        <v>10.72</v>
      </c>
      <c r="H34" s="231">
        <v>7.39</v>
      </c>
      <c r="I34" s="231">
        <v>385.92</v>
      </c>
      <c r="J34" s="228"/>
      <c r="K34">
        <v>36</v>
      </c>
      <c r="L34" s="231">
        <v>5.9</v>
      </c>
      <c r="M34" s="231">
        <v>212.4</v>
      </c>
      <c r="N34" s="232">
        <v>0.4496</v>
      </c>
      <c r="O34" s="232"/>
      <c r="P34" s="98"/>
      <c r="Q34" s="102"/>
      <c r="R34" s="108"/>
      <c r="S34" s="231">
        <v>212.4</v>
      </c>
      <c r="T34" s="231">
        <v>7646.4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282</v>
      </c>
      <c r="C35" t="s">
        <v>204</v>
      </c>
      <c r="D35" s="227"/>
      <c r="E35" s="100"/>
      <c r="F35">
        <v>36</v>
      </c>
      <c r="G35" s="231">
        <v>2.83</v>
      </c>
      <c r="H35" s="231">
        <v>1.95</v>
      </c>
      <c r="I35" s="231">
        <v>101.88</v>
      </c>
      <c r="J35" s="228"/>
      <c r="K35">
        <v>36</v>
      </c>
      <c r="L35" s="231">
        <v>1.56</v>
      </c>
      <c r="M35" s="231">
        <v>56.16</v>
      </c>
      <c r="N35" s="232">
        <v>0.44879999999999998</v>
      </c>
      <c r="O35" s="232"/>
      <c r="P35" s="98"/>
      <c r="Q35" s="102"/>
      <c r="R35" s="108"/>
      <c r="S35" s="231">
        <v>56.16</v>
      </c>
      <c r="T35" s="231">
        <v>2021.76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283</v>
      </c>
      <c r="C36" t="s">
        <v>284</v>
      </c>
      <c r="D36" s="227"/>
      <c r="E36" s="100"/>
      <c r="F36">
        <v>2</v>
      </c>
      <c r="G36" s="231">
        <v>3159.07</v>
      </c>
      <c r="H36" s="231">
        <v>2178.67</v>
      </c>
      <c r="I36" s="231">
        <v>6318.14</v>
      </c>
      <c r="J36" s="228"/>
      <c r="K36">
        <v>2</v>
      </c>
      <c r="L36" s="231">
        <v>1737.49</v>
      </c>
      <c r="M36" s="231">
        <v>3474.98</v>
      </c>
      <c r="N36" s="232">
        <v>0.45</v>
      </c>
      <c r="O36" s="232"/>
      <c r="P36" s="98"/>
      <c r="Q36" s="102"/>
      <c r="R36" s="108"/>
      <c r="S36" s="231">
        <v>3474.98</v>
      </c>
      <c r="T36" s="231">
        <v>6949.96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285</v>
      </c>
      <c r="C37" t="s">
        <v>196</v>
      </c>
      <c r="D37" s="227"/>
      <c r="E37" s="100"/>
      <c r="F37">
        <v>8</v>
      </c>
      <c r="G37" s="231">
        <v>10.24</v>
      </c>
      <c r="H37" s="231">
        <v>7.06</v>
      </c>
      <c r="I37" s="231">
        <v>81.92</v>
      </c>
      <c r="J37" s="228"/>
      <c r="K37">
        <v>8</v>
      </c>
      <c r="L37" s="231">
        <v>5.63</v>
      </c>
      <c r="M37" s="231">
        <v>45.04</v>
      </c>
      <c r="N37" s="232">
        <v>0.45019999999999999</v>
      </c>
      <c r="O37" s="232"/>
      <c r="P37" s="98"/>
      <c r="Q37" s="102"/>
      <c r="R37" s="108"/>
      <c r="S37" s="231">
        <v>45.04</v>
      </c>
      <c r="T37" s="231">
        <v>360.32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286</v>
      </c>
      <c r="C38" t="s">
        <v>134</v>
      </c>
      <c r="D38" s="227"/>
      <c r="E38" s="100"/>
      <c r="F38">
        <v>4</v>
      </c>
      <c r="G38" s="231">
        <v>635.41999999999996</v>
      </c>
      <c r="H38" s="231">
        <v>438.22</v>
      </c>
      <c r="I38" s="231">
        <v>2541.6799999999998</v>
      </c>
      <c r="J38" s="228"/>
      <c r="K38">
        <v>4</v>
      </c>
      <c r="L38" s="231">
        <v>349.48</v>
      </c>
      <c r="M38" s="231">
        <v>1397.92</v>
      </c>
      <c r="N38" s="232">
        <v>0.45</v>
      </c>
      <c r="O38" s="232"/>
      <c r="P38" s="98"/>
      <c r="Q38" s="102"/>
      <c r="R38" s="108"/>
      <c r="S38" s="231">
        <v>1397.92</v>
      </c>
      <c r="T38" s="231">
        <v>5591.68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200</v>
      </c>
      <c r="C39" t="s">
        <v>136</v>
      </c>
      <c r="D39" s="227"/>
      <c r="E39" s="100"/>
      <c r="F39">
        <v>4</v>
      </c>
      <c r="G39" s="231">
        <v>23.18</v>
      </c>
      <c r="H39" s="231">
        <v>15.99</v>
      </c>
      <c r="I39" s="231">
        <v>92.72</v>
      </c>
      <c r="J39" s="228"/>
      <c r="K39">
        <v>4</v>
      </c>
      <c r="L39" s="231">
        <v>12.75</v>
      </c>
      <c r="M39" s="231">
        <v>51</v>
      </c>
      <c r="N39" s="232">
        <v>0.45</v>
      </c>
      <c r="O39" s="232"/>
      <c r="P39" s="98"/>
      <c r="Q39" s="102"/>
      <c r="R39" s="108"/>
      <c r="S39" s="231">
        <v>51</v>
      </c>
      <c r="T39" s="231">
        <v>204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288</v>
      </c>
      <c r="C40" t="s">
        <v>199</v>
      </c>
      <c r="D40" s="227"/>
      <c r="E40" s="100"/>
      <c r="F40">
        <v>18</v>
      </c>
      <c r="G40" s="231">
        <v>862.15</v>
      </c>
      <c r="H40" s="231">
        <v>594.59</v>
      </c>
      <c r="I40" s="231">
        <v>15518.7</v>
      </c>
      <c r="J40" s="228"/>
      <c r="K40">
        <v>18</v>
      </c>
      <c r="L40" s="231">
        <v>474.19</v>
      </c>
      <c r="M40" s="231">
        <v>8535.42</v>
      </c>
      <c r="N40" s="232">
        <v>0.45</v>
      </c>
      <c r="O40" s="232"/>
      <c r="P40" s="98"/>
      <c r="Q40" s="102"/>
      <c r="R40" s="108"/>
      <c r="S40" s="231">
        <v>8535.42</v>
      </c>
      <c r="T40" s="231">
        <v>153637.56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202</v>
      </c>
      <c r="C41" t="s">
        <v>289</v>
      </c>
      <c r="D41" s="227"/>
      <c r="E41" s="100"/>
      <c r="F41">
        <v>72</v>
      </c>
      <c r="G41" s="231">
        <v>20.079999999999998</v>
      </c>
      <c r="H41" s="231">
        <v>13.85</v>
      </c>
      <c r="I41" s="231">
        <v>1445.76</v>
      </c>
      <c r="J41" s="228"/>
      <c r="K41">
        <v>72</v>
      </c>
      <c r="L41" s="231">
        <v>11.04</v>
      </c>
      <c r="M41" s="231">
        <v>794.88</v>
      </c>
      <c r="N41" s="232">
        <v>0.45019999999999999</v>
      </c>
      <c r="O41" s="232"/>
      <c r="P41" s="98"/>
      <c r="Q41" s="102"/>
      <c r="R41" s="108"/>
      <c r="S41" s="231">
        <v>794.88</v>
      </c>
      <c r="T41" s="231">
        <v>57231.360000000001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203</v>
      </c>
      <c r="C42" t="s">
        <v>204</v>
      </c>
      <c r="D42" s="227"/>
      <c r="E42" s="100"/>
      <c r="F42">
        <v>72</v>
      </c>
      <c r="G42" s="231">
        <v>2.99</v>
      </c>
      <c r="H42" s="231">
        <v>2.06</v>
      </c>
      <c r="I42" s="231">
        <v>215.28</v>
      </c>
      <c r="J42" s="228"/>
      <c r="K42">
        <v>72</v>
      </c>
      <c r="L42" s="231">
        <v>1.65</v>
      </c>
      <c r="M42" s="231">
        <v>118.8</v>
      </c>
      <c r="N42" s="232">
        <v>0.44819999999999999</v>
      </c>
      <c r="O42" s="232"/>
      <c r="P42" s="98"/>
      <c r="Q42" s="102"/>
      <c r="R42" s="108"/>
      <c r="S42" s="231">
        <v>118.8</v>
      </c>
      <c r="T42" s="231">
        <v>8553.6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290</v>
      </c>
      <c r="C44" t="s">
        <v>236</v>
      </c>
      <c r="D44" s="227"/>
      <c r="E44" s="100"/>
      <c r="F44">
        <v>2</v>
      </c>
      <c r="G44" s="231">
        <v>10788.51</v>
      </c>
      <c r="H44" s="231">
        <v>7440.35</v>
      </c>
      <c r="I44" s="231">
        <v>21577.02</v>
      </c>
      <c r="J44" s="228"/>
      <c r="K44">
        <v>2</v>
      </c>
      <c r="L44" s="231">
        <v>5933.69</v>
      </c>
      <c r="M44" s="231">
        <v>11867.38</v>
      </c>
      <c r="N44" s="232">
        <v>0.45</v>
      </c>
      <c r="O44" s="232"/>
      <c r="P44" s="98"/>
      <c r="Q44" s="102"/>
      <c r="R44" s="108"/>
      <c r="S44" s="231">
        <v>11867.38</v>
      </c>
      <c r="T44" s="231">
        <v>23734.76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291</v>
      </c>
      <c r="C45" t="s">
        <v>292</v>
      </c>
      <c r="D45" s="227"/>
      <c r="E45" s="100"/>
      <c r="F45">
        <v>100</v>
      </c>
      <c r="G45" s="231">
        <v>230.39</v>
      </c>
      <c r="H45" s="231">
        <v>158.88999999999999</v>
      </c>
      <c r="I45" s="231">
        <v>23039</v>
      </c>
      <c r="J45" s="228"/>
      <c r="K45">
        <v>100</v>
      </c>
      <c r="L45" s="231">
        <v>126.72</v>
      </c>
      <c r="M45" s="231">
        <v>12672</v>
      </c>
      <c r="N45" s="232">
        <v>0.45</v>
      </c>
      <c r="O45" s="232"/>
      <c r="P45" s="98"/>
      <c r="Q45" s="102"/>
      <c r="R45" s="108"/>
      <c r="S45" s="231">
        <v>12672</v>
      </c>
      <c r="T45" s="231">
        <v>1267200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293</v>
      </c>
      <c r="C46" t="s">
        <v>141</v>
      </c>
      <c r="D46" s="227"/>
      <c r="E46" s="100"/>
      <c r="F46">
        <v>400</v>
      </c>
      <c r="G46" s="231">
        <v>6.78</v>
      </c>
      <c r="H46" s="231">
        <v>4.68</v>
      </c>
      <c r="I46" s="231">
        <v>2712</v>
      </c>
      <c r="J46" s="228"/>
      <c r="K46">
        <v>400</v>
      </c>
      <c r="L46" s="231">
        <v>3.73</v>
      </c>
      <c r="M46" s="231">
        <v>1492</v>
      </c>
      <c r="N46" s="232">
        <v>0.44990000000000002</v>
      </c>
      <c r="O46" s="232"/>
      <c r="P46" s="98"/>
      <c r="Q46" s="102"/>
      <c r="R46" s="108"/>
      <c r="S46" s="231">
        <v>1492</v>
      </c>
      <c r="T46" s="231">
        <v>596800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211</v>
      </c>
      <c r="C47" t="s">
        <v>212</v>
      </c>
      <c r="D47" s="227"/>
      <c r="E47" s="100"/>
      <c r="F47">
        <v>400</v>
      </c>
      <c r="G47" s="231">
        <v>3.14</v>
      </c>
      <c r="H47" s="231">
        <v>2.17</v>
      </c>
      <c r="I47" s="231">
        <v>1256</v>
      </c>
      <c r="J47" s="228"/>
      <c r="K47">
        <v>400</v>
      </c>
      <c r="L47" s="231">
        <v>1.73</v>
      </c>
      <c r="M47" s="231">
        <v>692</v>
      </c>
      <c r="N47" s="232">
        <v>0.44900000000000001</v>
      </c>
      <c r="O47" s="232"/>
      <c r="P47" s="98"/>
      <c r="Q47" s="102"/>
      <c r="R47" s="108"/>
      <c r="S47" s="231">
        <v>692</v>
      </c>
      <c r="T47" s="231">
        <v>276800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H48" t="s">
        <v>167</v>
      </c>
      <c r="I48" t="s">
        <v>167</v>
      </c>
      <c r="J48" s="228"/>
      <c r="K48">
        <v>0</v>
      </c>
      <c r="L48" t="s">
        <v>167</v>
      </c>
      <c r="M48" t="s">
        <v>167</v>
      </c>
      <c r="P48" s="98"/>
      <c r="Q48" s="102"/>
      <c r="R48" s="108"/>
      <c r="S48" t="s">
        <v>167</v>
      </c>
      <c r="T48" t="s">
        <v>167</v>
      </c>
      <c r="U48" s="232">
        <v>0</v>
      </c>
      <c r="V48" s="232">
        <v>0</v>
      </c>
      <c r="W48" s="229"/>
      <c r="X48" s="230"/>
      <c r="Y48" s="8"/>
      <c r="Z48" s="8"/>
    </row>
    <row r="49" spans="2:26">
      <c r="D49" s="87"/>
      <c r="E49" s="88"/>
      <c r="H49" t="s">
        <v>167</v>
      </c>
      <c r="I49" t="s">
        <v>167</v>
      </c>
      <c r="J49" s="105"/>
      <c r="K49">
        <v>0</v>
      </c>
      <c r="L49" t="s">
        <v>167</v>
      </c>
      <c r="M49" t="s">
        <v>167</v>
      </c>
      <c r="P49" s="115"/>
      <c r="Q49" s="94"/>
      <c r="R49" s="94"/>
      <c r="S49" t="s">
        <v>167</v>
      </c>
      <c r="T49" t="s">
        <v>167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B50" t="s">
        <v>308</v>
      </c>
      <c r="C50" t="s">
        <v>214</v>
      </c>
      <c r="D50" s="87"/>
      <c r="E50" s="100"/>
      <c r="F50">
        <v>1</v>
      </c>
      <c r="G50" s="231">
        <v>13595.74</v>
      </c>
      <c r="H50" s="231">
        <v>9376.3700000000008</v>
      </c>
      <c r="I50" s="231">
        <v>13595.74</v>
      </c>
      <c r="J50" s="105"/>
      <c r="K50">
        <v>1</v>
      </c>
      <c r="L50" s="231">
        <v>6797.87</v>
      </c>
      <c r="M50" s="231">
        <v>6797.87</v>
      </c>
      <c r="N50" s="232">
        <v>0.5</v>
      </c>
      <c r="O50" s="232"/>
      <c r="P50" s="98"/>
      <c r="Q50" s="102"/>
      <c r="R50" s="108"/>
      <c r="S50" s="231">
        <v>6797.87</v>
      </c>
      <c r="T50" s="231">
        <v>6797.87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1176</v>
      </c>
      <c r="G78" s="121">
        <f t="shared" si="0"/>
        <v>50275.900000000009</v>
      </c>
      <c r="H78" s="122">
        <f t="shared" si="0"/>
        <v>34673.050000000003</v>
      </c>
      <c r="I78" s="123">
        <f t="shared" si="0"/>
        <v>118958.96</v>
      </c>
      <c r="J78" s="124"/>
      <c r="K78" s="125">
        <f t="shared" ref="K78:M78" si="1">SUM(K19:K77)</f>
        <v>1176</v>
      </c>
      <c r="L78" s="122">
        <f t="shared" si="1"/>
        <v>26326.039999999997</v>
      </c>
      <c r="M78" s="123">
        <f t="shared" si="1"/>
        <v>65183.81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65183.81</v>
      </c>
      <c r="T78" s="123">
        <f t="shared" si="2"/>
        <v>2463369.33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77" xr:uid="{8E532F08-3692-40EF-A00D-47CF9C03A087}">
      <formula1>$Z$19:$Z$58</formula1>
    </dataValidation>
    <dataValidation type="list" allowBlank="1" showErrorMessage="1" sqref="I14" xr:uid="{6FF5F18F-1B07-42C5-8AB9-B07A06C28E7D}">
      <formula1>$Y$14:$Y$15</formula1>
    </dataValidation>
    <dataValidation type="list" allowBlank="1" showErrorMessage="1" sqref="J14" xr:uid="{8BAA213B-BD1F-4D1A-AD95-892C4AE67E18}">
      <formula1>$L$9</formula1>
    </dataValidation>
    <dataValidation type="list" allowBlank="1" showErrorMessage="1" sqref="Q15 G18 L18 Q18" xr:uid="{0A0EE6F7-B9E6-4394-B7D4-0CC7605C82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EEA3-A16D-4EAE-8580-E314F7D3479A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4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319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107737.37000000001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59665.1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48072.270000000011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>
        <v>330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0.44619865883119297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320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2674018.02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321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59665.1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173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248</v>
      </c>
      <c r="C20" t="s">
        <v>176</v>
      </c>
      <c r="D20" s="87"/>
      <c r="E20" s="100"/>
      <c r="F20">
        <v>1</v>
      </c>
      <c r="G20" s="231">
        <v>66.94</v>
      </c>
      <c r="H20" s="231">
        <v>46.17</v>
      </c>
      <c r="I20" s="231">
        <v>66.94</v>
      </c>
      <c r="J20" s="105"/>
      <c r="K20">
        <v>1</v>
      </c>
      <c r="L20" s="231">
        <v>33.47</v>
      </c>
      <c r="M20" s="231">
        <v>33.47</v>
      </c>
      <c r="N20" s="232">
        <v>0.5</v>
      </c>
      <c r="O20" s="232"/>
      <c r="P20" s="98"/>
      <c r="Q20" s="102"/>
      <c r="R20" s="108"/>
      <c r="S20" s="231">
        <v>33.47</v>
      </c>
      <c r="T20" s="231">
        <v>33.47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247</v>
      </c>
      <c r="C21" t="s">
        <v>220</v>
      </c>
      <c r="D21" s="227"/>
      <c r="E21" s="100"/>
      <c r="F21">
        <v>1</v>
      </c>
      <c r="G21" s="231">
        <v>95.91</v>
      </c>
      <c r="H21" s="231">
        <v>66.14</v>
      </c>
      <c r="I21" s="231">
        <v>95.91</v>
      </c>
      <c r="J21" s="228"/>
      <c r="K21">
        <v>1</v>
      </c>
      <c r="L21" s="231">
        <v>47.96</v>
      </c>
      <c r="M21" s="231">
        <v>47.96</v>
      </c>
      <c r="N21" s="232">
        <v>0.49990000000000001</v>
      </c>
      <c r="O21" s="232"/>
      <c r="P21" s="98"/>
      <c r="Q21" s="102"/>
      <c r="R21" s="108"/>
      <c r="S21" s="231">
        <v>47.96</v>
      </c>
      <c r="T21" s="231">
        <v>47.96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322</v>
      </c>
      <c r="C22" t="s">
        <v>124</v>
      </c>
      <c r="D22" s="227"/>
      <c r="E22" s="100"/>
      <c r="F22">
        <v>1</v>
      </c>
      <c r="G22" s="231">
        <v>159.19999999999999</v>
      </c>
      <c r="H22" s="231">
        <v>109.79</v>
      </c>
      <c r="I22" s="231">
        <v>159.19999999999999</v>
      </c>
      <c r="J22" s="228"/>
      <c r="K22">
        <v>1</v>
      </c>
      <c r="L22" s="231">
        <v>79.599999999999994</v>
      </c>
      <c r="M22" s="231">
        <v>79.599999999999994</v>
      </c>
      <c r="N22" s="232">
        <v>0.5</v>
      </c>
      <c r="O22" s="232"/>
      <c r="P22" s="98"/>
      <c r="Q22" s="102"/>
      <c r="R22" s="108"/>
      <c r="S22" s="231">
        <v>79.599999999999994</v>
      </c>
      <c r="T22" s="231">
        <v>79.599999999999994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250</v>
      </c>
      <c r="C23" t="s">
        <v>124</v>
      </c>
      <c r="D23" s="227"/>
      <c r="E23" s="100"/>
      <c r="F23">
        <v>1</v>
      </c>
      <c r="G23" s="231">
        <v>283.86</v>
      </c>
      <c r="H23" s="231">
        <v>195.77</v>
      </c>
      <c r="I23" s="231">
        <v>283.86</v>
      </c>
      <c r="J23" s="228"/>
      <c r="K23">
        <v>1</v>
      </c>
      <c r="L23" s="231">
        <v>141.93</v>
      </c>
      <c r="M23" s="231">
        <v>141.93</v>
      </c>
      <c r="N23" s="232">
        <v>0.5</v>
      </c>
      <c r="O23" s="232"/>
      <c r="P23" s="98"/>
      <c r="Q23" s="102"/>
      <c r="R23" s="108"/>
      <c r="S23" s="231">
        <v>141.93</v>
      </c>
      <c r="T23" s="231">
        <v>141.93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323</v>
      </c>
      <c r="C24" t="s">
        <v>118</v>
      </c>
      <c r="D24" s="227"/>
      <c r="E24" s="100"/>
      <c r="F24">
        <v>1</v>
      </c>
      <c r="G24" s="231">
        <v>307.85000000000002</v>
      </c>
      <c r="H24" s="231">
        <v>212.31</v>
      </c>
      <c r="I24" s="231">
        <v>307.85000000000002</v>
      </c>
      <c r="J24" s="228"/>
      <c r="K24">
        <v>1</v>
      </c>
      <c r="L24" s="231">
        <v>200.11</v>
      </c>
      <c r="M24" s="231">
        <v>200.11</v>
      </c>
      <c r="N24" s="232">
        <v>0.35</v>
      </c>
      <c r="O24" s="232"/>
      <c r="P24" s="98"/>
      <c r="Q24" s="102"/>
      <c r="R24" s="108"/>
      <c r="S24" s="231">
        <v>200.11</v>
      </c>
      <c r="T24" s="231">
        <v>200.11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324</v>
      </c>
      <c r="C25" t="s">
        <v>325</v>
      </c>
      <c r="D25" s="227"/>
      <c r="E25" s="100"/>
      <c r="F25">
        <v>1</v>
      </c>
      <c r="G25" s="231">
        <v>137.38</v>
      </c>
      <c r="H25" s="231">
        <v>94.74</v>
      </c>
      <c r="I25" s="231">
        <v>137.38</v>
      </c>
      <c r="J25" s="228"/>
      <c r="K25">
        <v>1</v>
      </c>
      <c r="L25" s="231">
        <v>89.3</v>
      </c>
      <c r="M25" s="231">
        <v>89.3</v>
      </c>
      <c r="N25" s="232">
        <v>0.35</v>
      </c>
      <c r="O25" s="232"/>
      <c r="P25" s="98"/>
      <c r="Q25" s="102"/>
      <c r="R25" s="108"/>
      <c r="S25" s="231">
        <v>89.3</v>
      </c>
      <c r="T25" s="231">
        <v>89.3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254</v>
      </c>
      <c r="C26" t="s">
        <v>122</v>
      </c>
      <c r="D26" s="227"/>
      <c r="E26" s="100"/>
      <c r="F26">
        <v>1</v>
      </c>
      <c r="G26" s="231">
        <v>87.85</v>
      </c>
      <c r="H26" s="231">
        <v>60.59</v>
      </c>
      <c r="I26" s="231">
        <v>87.85</v>
      </c>
      <c r="J26" s="228"/>
      <c r="K26">
        <v>1</v>
      </c>
      <c r="L26" s="231">
        <v>57.11</v>
      </c>
      <c r="M26" s="231">
        <v>57.11</v>
      </c>
      <c r="N26" s="232">
        <v>0.34989999999999999</v>
      </c>
      <c r="O26" s="232"/>
      <c r="P26" s="98"/>
      <c r="Q26" s="102"/>
      <c r="R26" s="108"/>
      <c r="S26" s="231">
        <v>57.11</v>
      </c>
      <c r="T26" s="231">
        <v>57.11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224</v>
      </c>
      <c r="C27" t="s">
        <v>326</v>
      </c>
      <c r="D27" s="227"/>
      <c r="E27" s="100"/>
      <c r="F27">
        <v>4</v>
      </c>
      <c r="G27" s="231">
        <v>503.86</v>
      </c>
      <c r="H27" s="231">
        <v>347.49</v>
      </c>
      <c r="I27" s="231">
        <v>2015.44</v>
      </c>
      <c r="J27" s="228"/>
      <c r="K27">
        <v>4</v>
      </c>
      <c r="L27" s="231">
        <v>251.93</v>
      </c>
      <c r="M27" s="231">
        <v>1007.72</v>
      </c>
      <c r="N27" s="232">
        <v>0.5</v>
      </c>
      <c r="O27" s="232"/>
      <c r="P27" s="98"/>
      <c r="Q27" s="102"/>
      <c r="R27" s="108"/>
      <c r="S27" s="231">
        <v>1007.72</v>
      </c>
      <c r="T27" s="231">
        <v>4030.88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256</v>
      </c>
      <c r="C28" t="s">
        <v>257</v>
      </c>
      <c r="D28" s="227"/>
      <c r="E28" s="100"/>
      <c r="F28">
        <v>1</v>
      </c>
      <c r="G28" s="231">
        <v>8493.36</v>
      </c>
      <c r="H28" s="231">
        <v>5857.49</v>
      </c>
      <c r="I28" s="231">
        <v>8493.36</v>
      </c>
      <c r="J28" s="228"/>
      <c r="K28">
        <v>1</v>
      </c>
      <c r="L28" s="231">
        <v>4246.68</v>
      </c>
      <c r="M28" s="231">
        <v>4246.68</v>
      </c>
      <c r="N28" s="232">
        <v>0.5</v>
      </c>
      <c r="O28" s="232"/>
      <c r="P28" s="98"/>
      <c r="Q28" s="102"/>
      <c r="R28" s="108"/>
      <c r="S28" s="231">
        <v>4246.68</v>
      </c>
      <c r="T28" s="231">
        <v>4246.68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183</v>
      </c>
      <c r="C29" t="s">
        <v>184</v>
      </c>
      <c r="D29" s="227"/>
      <c r="E29" s="100"/>
      <c r="F29">
        <v>6</v>
      </c>
      <c r="G29" s="231">
        <v>1474.09</v>
      </c>
      <c r="H29" s="231">
        <v>1016.61</v>
      </c>
      <c r="I29" s="231">
        <v>8844.5400000000009</v>
      </c>
      <c r="J29" s="228"/>
      <c r="K29">
        <v>6</v>
      </c>
      <c r="L29" s="231">
        <v>1031.8699999999999</v>
      </c>
      <c r="M29" s="231">
        <v>6191.22</v>
      </c>
      <c r="N29" s="232">
        <v>0.3</v>
      </c>
      <c r="O29" s="232"/>
      <c r="P29" s="98"/>
      <c r="Q29" s="102"/>
      <c r="R29" s="108"/>
      <c r="S29" s="231">
        <v>6191.22</v>
      </c>
      <c r="T29" s="231">
        <v>37147.32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303</v>
      </c>
      <c r="C30" t="s">
        <v>232</v>
      </c>
      <c r="D30" s="227"/>
      <c r="E30" s="100"/>
      <c r="F30">
        <v>1</v>
      </c>
      <c r="G30" s="231">
        <v>4722.29</v>
      </c>
      <c r="H30" s="231">
        <v>3256.75</v>
      </c>
      <c r="I30" s="231">
        <v>4722.29</v>
      </c>
      <c r="J30" s="228"/>
      <c r="K30">
        <v>1</v>
      </c>
      <c r="L30" s="231">
        <v>2361.15</v>
      </c>
      <c r="M30" s="231">
        <v>2361.15</v>
      </c>
      <c r="N30" s="232">
        <v>0.5</v>
      </c>
      <c r="O30" s="232"/>
      <c r="P30" s="98"/>
      <c r="Q30" s="102"/>
      <c r="R30" s="108"/>
      <c r="S30" s="231">
        <v>2361.15</v>
      </c>
      <c r="T30" s="231">
        <v>2361.15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304</v>
      </c>
      <c r="C31" t="s">
        <v>315</v>
      </c>
      <c r="D31" s="227"/>
      <c r="E31" s="100"/>
      <c r="F31">
        <v>1</v>
      </c>
      <c r="G31" s="231">
        <v>3634.22</v>
      </c>
      <c r="H31" s="231">
        <v>2506.36</v>
      </c>
      <c r="I31" s="231">
        <v>3634.22</v>
      </c>
      <c r="J31" s="228"/>
      <c r="K31">
        <v>1</v>
      </c>
      <c r="L31" s="231">
        <v>1817.11</v>
      </c>
      <c r="M31" s="231">
        <v>1817.11</v>
      </c>
      <c r="N31" s="232">
        <v>0.5</v>
      </c>
      <c r="O31" s="232"/>
      <c r="P31" s="98"/>
      <c r="Q31" s="102"/>
      <c r="R31" s="108"/>
      <c r="S31" s="231">
        <v>1817.11</v>
      </c>
      <c r="T31" s="231">
        <v>1817.11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D32" s="227"/>
      <c r="E32" s="100"/>
      <c r="H32" t="s">
        <v>167</v>
      </c>
      <c r="I32" t="s">
        <v>167</v>
      </c>
      <c r="J32" s="228"/>
      <c r="K32">
        <v>0</v>
      </c>
      <c r="L32" t="s">
        <v>167</v>
      </c>
      <c r="M32" t="s">
        <v>167</v>
      </c>
      <c r="O32" s="232"/>
      <c r="P32" s="98"/>
      <c r="Q32" s="102"/>
      <c r="R32" s="108"/>
      <c r="S32" t="s">
        <v>167</v>
      </c>
      <c r="T32" t="s">
        <v>167</v>
      </c>
      <c r="U32" s="232">
        <v>0</v>
      </c>
      <c r="V32" s="232">
        <v>0</v>
      </c>
      <c r="W32" s="229"/>
      <c r="X32" s="230"/>
      <c r="Y32" s="8"/>
      <c r="Z32" s="8"/>
    </row>
    <row r="33" spans="2:26">
      <c r="B33" t="s">
        <v>280</v>
      </c>
      <c r="C33" t="s">
        <v>190</v>
      </c>
      <c r="D33" s="227"/>
      <c r="E33" s="100"/>
      <c r="F33">
        <v>2</v>
      </c>
      <c r="G33" s="231">
        <v>1259.02</v>
      </c>
      <c r="H33" s="231">
        <v>868.29</v>
      </c>
      <c r="I33" s="231">
        <v>2518.04</v>
      </c>
      <c r="J33" s="228"/>
      <c r="K33">
        <v>2</v>
      </c>
      <c r="L33" s="231">
        <v>692.46</v>
      </c>
      <c r="M33" s="231">
        <v>1384.92</v>
      </c>
      <c r="N33" s="232">
        <v>0.45</v>
      </c>
      <c r="P33" s="98"/>
      <c r="Q33" s="102"/>
      <c r="R33" s="108"/>
      <c r="S33" s="231">
        <v>1384.92</v>
      </c>
      <c r="T33" s="231">
        <v>2769.84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281</v>
      </c>
      <c r="C34" t="s">
        <v>192</v>
      </c>
      <c r="D34" s="227"/>
      <c r="E34" s="100"/>
      <c r="F34">
        <v>36</v>
      </c>
      <c r="G34" s="231">
        <v>10.72</v>
      </c>
      <c r="H34" s="231">
        <v>7.39</v>
      </c>
      <c r="I34" s="231">
        <v>385.92</v>
      </c>
      <c r="J34" s="228"/>
      <c r="K34">
        <v>36</v>
      </c>
      <c r="L34" s="231">
        <v>5.9</v>
      </c>
      <c r="M34" s="231">
        <v>212.4</v>
      </c>
      <c r="N34" s="232">
        <v>0.4496</v>
      </c>
      <c r="O34" s="232"/>
      <c r="P34" s="98"/>
      <c r="Q34" s="102"/>
      <c r="R34" s="108"/>
      <c r="S34" s="231">
        <v>212.4</v>
      </c>
      <c r="T34" s="231">
        <v>7646.4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282</v>
      </c>
      <c r="C35" t="s">
        <v>204</v>
      </c>
      <c r="D35" s="227"/>
      <c r="E35" s="100"/>
      <c r="F35">
        <v>36</v>
      </c>
      <c r="G35" s="231">
        <v>2.83</v>
      </c>
      <c r="H35" s="231">
        <v>1.95</v>
      </c>
      <c r="I35" s="231">
        <v>101.88</v>
      </c>
      <c r="J35" s="228"/>
      <c r="K35">
        <v>36</v>
      </c>
      <c r="L35" s="231">
        <v>1.56</v>
      </c>
      <c r="M35" s="231">
        <v>56.16</v>
      </c>
      <c r="N35" s="232">
        <v>0.44879999999999998</v>
      </c>
      <c r="O35" s="232"/>
      <c r="P35" s="98"/>
      <c r="Q35" s="102"/>
      <c r="R35" s="108"/>
      <c r="S35" s="231">
        <v>56.16</v>
      </c>
      <c r="T35" s="231">
        <v>2021.76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283</v>
      </c>
      <c r="C36" t="s">
        <v>284</v>
      </c>
      <c r="D36" s="227"/>
      <c r="E36" s="100"/>
      <c r="F36">
        <v>2</v>
      </c>
      <c r="G36" s="231">
        <v>3159.07</v>
      </c>
      <c r="H36" s="231">
        <v>2178.67</v>
      </c>
      <c r="I36" s="231">
        <v>6318.14</v>
      </c>
      <c r="J36" s="228"/>
      <c r="K36">
        <v>2</v>
      </c>
      <c r="L36" s="231">
        <v>1737.49</v>
      </c>
      <c r="M36" s="231">
        <v>3474.98</v>
      </c>
      <c r="N36" s="232">
        <v>0.45</v>
      </c>
      <c r="O36" s="232"/>
      <c r="P36" s="98"/>
      <c r="Q36" s="102"/>
      <c r="R36" s="108"/>
      <c r="S36" s="231">
        <v>3474.98</v>
      </c>
      <c r="T36" s="231">
        <v>6949.96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327</v>
      </c>
      <c r="C37" t="s">
        <v>196</v>
      </c>
      <c r="D37" s="227"/>
      <c r="E37" s="100"/>
      <c r="F37">
        <v>8</v>
      </c>
      <c r="G37" s="231">
        <v>14.28</v>
      </c>
      <c r="H37" s="231">
        <v>9.85</v>
      </c>
      <c r="I37" s="231">
        <v>114.24</v>
      </c>
      <c r="J37" s="228"/>
      <c r="K37">
        <v>8</v>
      </c>
      <c r="L37" s="231">
        <v>7.85</v>
      </c>
      <c r="M37" s="231">
        <v>62.8</v>
      </c>
      <c r="N37" s="232">
        <v>0.45029999999999998</v>
      </c>
      <c r="O37" s="232"/>
      <c r="P37" s="98"/>
      <c r="Q37" s="102"/>
      <c r="R37" s="108"/>
      <c r="S37" s="231">
        <v>62.8</v>
      </c>
      <c r="T37" s="231">
        <v>502.4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286</v>
      </c>
      <c r="C38" t="s">
        <v>134</v>
      </c>
      <c r="D38" s="227"/>
      <c r="E38" s="100"/>
      <c r="F38">
        <v>4</v>
      </c>
      <c r="G38" s="231">
        <v>635.41999999999996</v>
      </c>
      <c r="H38" s="231">
        <v>438.22</v>
      </c>
      <c r="I38" s="231">
        <v>2541.6799999999998</v>
      </c>
      <c r="J38" s="228"/>
      <c r="K38">
        <v>4</v>
      </c>
      <c r="L38" s="231">
        <v>349.48</v>
      </c>
      <c r="M38" s="231">
        <v>1397.92</v>
      </c>
      <c r="N38" s="232">
        <v>0.45</v>
      </c>
      <c r="O38" s="232"/>
      <c r="P38" s="98"/>
      <c r="Q38" s="102"/>
      <c r="R38" s="108"/>
      <c r="S38" s="231">
        <v>1397.92</v>
      </c>
      <c r="T38" s="231">
        <v>5591.68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200</v>
      </c>
      <c r="C39" t="s">
        <v>136</v>
      </c>
      <c r="D39" s="227"/>
      <c r="E39" s="100"/>
      <c r="F39">
        <v>4</v>
      </c>
      <c r="G39" s="231">
        <v>23.18</v>
      </c>
      <c r="H39" s="231">
        <v>15.99</v>
      </c>
      <c r="I39" s="231">
        <v>92.72</v>
      </c>
      <c r="J39" s="228"/>
      <c r="K39">
        <v>4</v>
      </c>
      <c r="L39" s="231">
        <v>12.75</v>
      </c>
      <c r="M39" s="231">
        <v>51</v>
      </c>
      <c r="N39" s="232">
        <v>0.45</v>
      </c>
      <c r="O39" s="232"/>
      <c r="P39" s="98"/>
      <c r="Q39" s="102"/>
      <c r="R39" s="108"/>
      <c r="S39" s="231">
        <v>51</v>
      </c>
      <c r="T39" s="231">
        <v>204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288</v>
      </c>
      <c r="C40" t="s">
        <v>199</v>
      </c>
      <c r="D40" s="227"/>
      <c r="E40" s="100"/>
      <c r="F40">
        <v>18</v>
      </c>
      <c r="G40" s="231">
        <v>862.15</v>
      </c>
      <c r="H40" s="231">
        <v>594.59</v>
      </c>
      <c r="I40" s="231">
        <v>15518.7</v>
      </c>
      <c r="J40" s="228"/>
      <c r="K40">
        <v>18</v>
      </c>
      <c r="L40" s="231">
        <v>474.19</v>
      </c>
      <c r="M40" s="231">
        <v>8535.42</v>
      </c>
      <c r="N40" s="232">
        <v>0.45</v>
      </c>
      <c r="O40" s="232"/>
      <c r="P40" s="98"/>
      <c r="Q40" s="102"/>
      <c r="R40" s="108"/>
      <c r="S40" s="231">
        <v>8535.42</v>
      </c>
      <c r="T40" s="231">
        <v>153637.56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202</v>
      </c>
      <c r="C41" t="s">
        <v>289</v>
      </c>
      <c r="D41" s="227"/>
      <c r="E41" s="100"/>
      <c r="F41">
        <v>72</v>
      </c>
      <c r="G41" s="231">
        <v>20.079999999999998</v>
      </c>
      <c r="H41" s="231">
        <v>13.85</v>
      </c>
      <c r="I41" s="231">
        <v>1445.76</v>
      </c>
      <c r="J41" s="228"/>
      <c r="K41">
        <v>72</v>
      </c>
      <c r="L41" s="231">
        <v>11.04</v>
      </c>
      <c r="M41" s="231">
        <v>794.88</v>
      </c>
      <c r="N41" s="232">
        <v>0.45019999999999999</v>
      </c>
      <c r="O41" s="232"/>
      <c r="P41" s="98"/>
      <c r="Q41" s="102"/>
      <c r="R41" s="108"/>
      <c r="S41" s="231">
        <v>794.88</v>
      </c>
      <c r="T41" s="231">
        <v>57231.360000000001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203</v>
      </c>
      <c r="C42" t="s">
        <v>204</v>
      </c>
      <c r="D42" s="227"/>
      <c r="E42" s="100"/>
      <c r="F42">
        <v>72</v>
      </c>
      <c r="G42" s="231">
        <v>2.99</v>
      </c>
      <c r="H42" s="231">
        <v>2.06</v>
      </c>
      <c r="I42" s="231">
        <v>215.28</v>
      </c>
      <c r="J42" s="228"/>
      <c r="K42">
        <v>72</v>
      </c>
      <c r="L42" s="231">
        <v>1.65</v>
      </c>
      <c r="M42" s="231">
        <v>118.8</v>
      </c>
      <c r="N42" s="232">
        <v>0.44819999999999999</v>
      </c>
      <c r="O42" s="232"/>
      <c r="P42" s="98"/>
      <c r="Q42" s="102"/>
      <c r="R42" s="108"/>
      <c r="S42" s="231">
        <v>118.8</v>
      </c>
      <c r="T42" s="231">
        <v>8553.6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D43" s="227"/>
      <c r="E43" s="100"/>
      <c r="H43" t="s">
        <v>167</v>
      </c>
      <c r="I43" t="s">
        <v>167</v>
      </c>
      <c r="J43" s="228"/>
      <c r="K43">
        <v>0</v>
      </c>
      <c r="L43" t="s">
        <v>167</v>
      </c>
      <c r="M43" t="s">
        <v>167</v>
      </c>
      <c r="P43" s="98"/>
      <c r="Q43" s="102"/>
      <c r="R43" s="108"/>
      <c r="S43" t="s">
        <v>167</v>
      </c>
      <c r="T43" t="s">
        <v>167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328</v>
      </c>
      <c r="C44" t="s">
        <v>236</v>
      </c>
      <c r="D44" s="227"/>
      <c r="E44" s="100"/>
      <c r="F44">
        <v>2</v>
      </c>
      <c r="G44" s="231">
        <v>10788.51</v>
      </c>
      <c r="H44" s="231">
        <v>7440.35</v>
      </c>
      <c r="I44" s="231">
        <v>21577.02</v>
      </c>
      <c r="J44" s="228"/>
      <c r="K44">
        <v>2</v>
      </c>
      <c r="L44" s="231">
        <v>5933.69</v>
      </c>
      <c r="M44" s="231">
        <v>11867.38</v>
      </c>
      <c r="N44" s="232">
        <v>0.45</v>
      </c>
      <c r="O44" s="232"/>
      <c r="P44" s="98"/>
      <c r="Q44" s="102"/>
      <c r="R44" s="108"/>
      <c r="S44" s="231">
        <v>11867.38</v>
      </c>
      <c r="T44" s="231">
        <v>23734.76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329</v>
      </c>
      <c r="C45" t="s">
        <v>292</v>
      </c>
      <c r="D45" s="227"/>
      <c r="E45" s="100"/>
      <c r="F45">
        <v>100</v>
      </c>
      <c r="G45" s="231">
        <v>230.91</v>
      </c>
      <c r="H45" s="231">
        <v>159.25</v>
      </c>
      <c r="I45" s="231">
        <v>23091</v>
      </c>
      <c r="J45" s="228"/>
      <c r="K45">
        <v>100</v>
      </c>
      <c r="L45" s="231">
        <v>127.01</v>
      </c>
      <c r="M45" s="231">
        <v>12701</v>
      </c>
      <c r="N45" s="232">
        <v>0.45</v>
      </c>
      <c r="O45" s="232"/>
      <c r="P45" s="98"/>
      <c r="Q45" s="102"/>
      <c r="R45" s="108"/>
      <c r="S45" s="231">
        <v>12701</v>
      </c>
      <c r="T45" s="231">
        <v>1270100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330</v>
      </c>
      <c r="C46" t="s">
        <v>141</v>
      </c>
      <c r="D46" s="227"/>
      <c r="E46" s="100"/>
      <c r="F46">
        <v>400</v>
      </c>
      <c r="G46" s="231">
        <v>8.3699999999999992</v>
      </c>
      <c r="H46" s="231">
        <v>5.77</v>
      </c>
      <c r="I46" s="231">
        <v>3348</v>
      </c>
      <c r="J46" s="228"/>
      <c r="K46">
        <v>400</v>
      </c>
      <c r="L46" s="231">
        <v>4.6100000000000003</v>
      </c>
      <c r="M46" s="231">
        <v>1844</v>
      </c>
      <c r="N46" s="232">
        <v>0.44919999999999999</v>
      </c>
      <c r="O46" s="232"/>
      <c r="P46" s="98"/>
      <c r="Q46" s="102"/>
      <c r="R46" s="108"/>
      <c r="S46" s="231">
        <v>1844</v>
      </c>
      <c r="T46" s="231">
        <v>737600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331</v>
      </c>
      <c r="C47" t="s">
        <v>239</v>
      </c>
      <c r="D47" s="227"/>
      <c r="E47" s="100"/>
      <c r="F47">
        <v>400</v>
      </c>
      <c r="G47" s="231">
        <v>3.94</v>
      </c>
      <c r="H47" s="231">
        <v>2.72</v>
      </c>
      <c r="I47" s="231">
        <v>1576</v>
      </c>
      <c r="J47" s="228"/>
      <c r="K47">
        <v>400</v>
      </c>
      <c r="L47" s="231">
        <v>2.17</v>
      </c>
      <c r="M47" s="231">
        <v>868</v>
      </c>
      <c r="N47" s="232">
        <v>0.44919999999999999</v>
      </c>
      <c r="O47" s="232"/>
      <c r="P47" s="98"/>
      <c r="Q47" s="102"/>
      <c r="R47" s="108"/>
      <c r="S47" s="231">
        <v>868</v>
      </c>
      <c r="T47" s="231">
        <v>347200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J48" s="228"/>
      <c r="P48" s="98"/>
      <c r="Q48" s="102"/>
      <c r="R48" s="108"/>
      <c r="U48" s="232"/>
      <c r="V48" s="232"/>
      <c r="W48" s="229"/>
      <c r="X48" s="230"/>
      <c r="Y48" s="8"/>
      <c r="Z48" s="8"/>
    </row>
    <row r="49" spans="2:26">
      <c r="D49" s="87"/>
      <c r="E49" s="88"/>
      <c r="J49" s="105"/>
      <c r="P49" s="115"/>
      <c r="Q49" s="94"/>
      <c r="R49" s="94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G50" s="231"/>
      <c r="H50" s="231"/>
      <c r="I50" s="231"/>
      <c r="J50" s="105"/>
      <c r="L50" s="231"/>
      <c r="M50" s="231"/>
      <c r="N50" s="232"/>
      <c r="O50" s="232"/>
      <c r="P50" s="98"/>
      <c r="Q50" s="102"/>
      <c r="R50" s="108"/>
      <c r="S50" s="231"/>
      <c r="T50" s="231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1177</v>
      </c>
      <c r="G78" s="121">
        <f t="shared" si="0"/>
        <v>37032.430000000015</v>
      </c>
      <c r="H78" s="122">
        <f t="shared" si="0"/>
        <v>25539.610000000004</v>
      </c>
      <c r="I78" s="123">
        <f t="shared" si="0"/>
        <v>107737.37000000001</v>
      </c>
      <c r="J78" s="124"/>
      <c r="K78" s="125">
        <f t="shared" ref="K78:M78" si="1">SUM(K19:K77)</f>
        <v>1177</v>
      </c>
      <c r="L78" s="122">
        <f t="shared" si="1"/>
        <v>19742.149999999998</v>
      </c>
      <c r="M78" s="123">
        <f t="shared" si="1"/>
        <v>59665.1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59665.1</v>
      </c>
      <c r="T78" s="123">
        <f t="shared" si="2"/>
        <v>2674018.02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A27E1262-92B0-49E9-B0CE-1C3303332116}">
      <formula1>$Y$12:$Y$13</formula1>
    </dataValidation>
    <dataValidation type="list" allowBlank="1" showErrorMessage="1" sqref="J14" xr:uid="{F190E45F-4568-4D3E-9510-B459CDD2769D}">
      <formula1>$L$9</formula1>
    </dataValidation>
    <dataValidation type="list" allowBlank="1" showErrorMessage="1" sqref="I14" xr:uid="{EFF03DDC-EFD8-4D34-8833-6F586DCA570B}">
      <formula1>$Y$14:$Y$15</formula1>
    </dataValidation>
    <dataValidation type="list" allowBlank="1" showErrorMessage="1" sqref="E19:E77" xr:uid="{C650D0CA-61A4-474F-AB3D-A56923B68703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0FB7-E0EA-47E1-A3FB-BF4C7D24883B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332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107578.17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2021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59572.32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48005.85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>
        <v>330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0.44624155625625533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333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2673925.2400000002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334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59572.32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335</v>
      </c>
      <c r="C19" t="s">
        <v>219</v>
      </c>
      <c r="D19" s="87"/>
      <c r="E19" s="88"/>
      <c r="F19">
        <v>1</v>
      </c>
      <c r="G19" s="231">
        <v>44.15</v>
      </c>
      <c r="H19" s="231">
        <v>30.45</v>
      </c>
      <c r="I19" s="231">
        <v>44.15</v>
      </c>
      <c r="J19" s="92"/>
      <c r="K19">
        <v>1</v>
      </c>
      <c r="L19" s="231">
        <v>22.08</v>
      </c>
      <c r="M19" s="231">
        <v>22.08</v>
      </c>
      <c r="N19" s="232">
        <v>0.49990000000000001</v>
      </c>
      <c r="O19" s="232"/>
      <c r="P19" s="86"/>
      <c r="Q19" s="94"/>
      <c r="R19" s="94"/>
      <c r="S19" s="231">
        <v>22.08</v>
      </c>
      <c r="T19" s="231">
        <v>22.08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247</v>
      </c>
      <c r="C20" t="s">
        <v>220</v>
      </c>
      <c r="D20" s="87"/>
      <c r="E20" s="100"/>
      <c r="F20">
        <v>1</v>
      </c>
      <c r="G20" s="231">
        <v>95.91</v>
      </c>
      <c r="H20" s="231">
        <v>66.14</v>
      </c>
      <c r="I20" s="231">
        <v>95.91</v>
      </c>
      <c r="J20" s="105"/>
      <c r="K20">
        <v>1</v>
      </c>
      <c r="L20" s="231">
        <v>47.96</v>
      </c>
      <c r="M20" s="231">
        <v>47.96</v>
      </c>
      <c r="N20" s="232">
        <v>0.49990000000000001</v>
      </c>
      <c r="O20" s="232"/>
      <c r="P20" s="98"/>
      <c r="Q20" s="102"/>
      <c r="R20" s="108"/>
      <c r="S20" s="231">
        <v>47.96</v>
      </c>
      <c r="T20" s="231">
        <v>47.96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248</v>
      </c>
      <c r="C21" t="s">
        <v>249</v>
      </c>
      <c r="D21" s="227"/>
      <c r="E21" s="100"/>
      <c r="F21">
        <v>1</v>
      </c>
      <c r="G21" s="231">
        <v>66.94</v>
      </c>
      <c r="H21" s="231">
        <v>46.17</v>
      </c>
      <c r="I21" s="231">
        <v>66.94</v>
      </c>
      <c r="J21" s="228"/>
      <c r="K21">
        <v>1</v>
      </c>
      <c r="L21" s="231">
        <v>33.47</v>
      </c>
      <c r="M21" s="231">
        <v>33.47</v>
      </c>
      <c r="N21" s="232">
        <v>0.5</v>
      </c>
      <c r="O21" s="232"/>
      <c r="P21" s="98"/>
      <c r="Q21" s="102"/>
      <c r="R21" s="108"/>
      <c r="S21" s="231">
        <v>33.47</v>
      </c>
      <c r="T21" s="231">
        <v>33.47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250</v>
      </c>
      <c r="C22" t="s">
        <v>251</v>
      </c>
      <c r="D22" s="227"/>
      <c r="E22" s="100"/>
      <c r="F22">
        <v>1</v>
      </c>
      <c r="G22" s="231">
        <v>283.86</v>
      </c>
      <c r="H22" s="231">
        <v>195.77</v>
      </c>
      <c r="I22" s="231">
        <v>283.86</v>
      </c>
      <c r="J22" s="228"/>
      <c r="K22">
        <v>1</v>
      </c>
      <c r="L22" s="231">
        <v>141.93</v>
      </c>
      <c r="M22" s="231">
        <v>141.93</v>
      </c>
      <c r="N22" s="232">
        <v>0.5</v>
      </c>
      <c r="O22" s="232"/>
      <c r="P22" s="98"/>
      <c r="Q22" s="102"/>
      <c r="R22" s="108"/>
      <c r="S22" s="231">
        <v>141.93</v>
      </c>
      <c r="T22" s="231">
        <v>141.93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323</v>
      </c>
      <c r="C23" t="s">
        <v>118</v>
      </c>
      <c r="D23" s="227"/>
      <c r="E23" s="100"/>
      <c r="F23">
        <v>1</v>
      </c>
      <c r="G23" s="231">
        <v>307.85000000000002</v>
      </c>
      <c r="H23" s="231">
        <v>212.31</v>
      </c>
      <c r="I23" s="231">
        <v>307.85000000000002</v>
      </c>
      <c r="J23" s="228"/>
      <c r="K23">
        <v>1</v>
      </c>
      <c r="L23" s="231">
        <v>200.11</v>
      </c>
      <c r="M23" s="231">
        <v>200.11</v>
      </c>
      <c r="N23" s="232">
        <v>0.35</v>
      </c>
      <c r="O23" s="232"/>
      <c r="P23" s="98"/>
      <c r="Q23" s="102"/>
      <c r="R23" s="108"/>
      <c r="S23" s="231">
        <v>200.11</v>
      </c>
      <c r="T23" s="231">
        <v>200.11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324</v>
      </c>
      <c r="C24" t="s">
        <v>120</v>
      </c>
      <c r="D24" s="227"/>
      <c r="E24" s="100"/>
      <c r="F24">
        <v>1</v>
      </c>
      <c r="G24" s="231">
        <v>137.38</v>
      </c>
      <c r="H24" s="231">
        <v>94.74</v>
      </c>
      <c r="I24" s="231">
        <v>137.38</v>
      </c>
      <c r="J24" s="228"/>
      <c r="K24">
        <v>1</v>
      </c>
      <c r="L24" s="231">
        <v>89.3</v>
      </c>
      <c r="M24" s="231">
        <v>89.3</v>
      </c>
      <c r="N24" s="232">
        <v>0.35</v>
      </c>
      <c r="O24" s="232"/>
      <c r="P24" s="98"/>
      <c r="Q24" s="102"/>
      <c r="R24" s="108"/>
      <c r="S24" s="231">
        <v>89.3</v>
      </c>
      <c r="T24" s="231">
        <v>89.3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254</v>
      </c>
      <c r="C25" t="s">
        <v>122</v>
      </c>
      <c r="D25" s="227"/>
      <c r="E25" s="100"/>
      <c r="F25">
        <v>1</v>
      </c>
      <c r="G25" s="231">
        <v>87.85</v>
      </c>
      <c r="H25" s="231">
        <v>60.59</v>
      </c>
      <c r="I25" s="231">
        <v>87.85</v>
      </c>
      <c r="J25" s="228"/>
      <c r="K25">
        <v>1</v>
      </c>
      <c r="L25" s="231">
        <v>43.93</v>
      </c>
      <c r="M25" s="231">
        <v>43.93</v>
      </c>
      <c r="N25" s="232">
        <v>0.49990000000000001</v>
      </c>
      <c r="O25" s="232"/>
      <c r="P25" s="98"/>
      <c r="Q25" s="102"/>
      <c r="R25" s="108"/>
      <c r="S25" s="231">
        <v>43.93</v>
      </c>
      <c r="T25" s="231">
        <v>43.93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224</v>
      </c>
      <c r="C26" t="s">
        <v>225</v>
      </c>
      <c r="D26" s="227"/>
      <c r="E26" s="100"/>
      <c r="F26">
        <v>4</v>
      </c>
      <c r="G26" s="231">
        <v>503.86</v>
      </c>
      <c r="H26" s="231">
        <v>347.49</v>
      </c>
      <c r="I26" s="231">
        <v>2015.44</v>
      </c>
      <c r="J26" s="228"/>
      <c r="K26">
        <v>4</v>
      </c>
      <c r="L26" s="231">
        <v>251.93</v>
      </c>
      <c r="M26" s="231">
        <v>1007.72</v>
      </c>
      <c r="N26" s="232">
        <v>0.5</v>
      </c>
      <c r="O26" s="232"/>
      <c r="P26" s="98"/>
      <c r="Q26" s="102"/>
      <c r="R26" s="108"/>
      <c r="S26" s="231">
        <v>1007.72</v>
      </c>
      <c r="T26" s="231">
        <v>4030.88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256</v>
      </c>
      <c r="C27" t="s">
        <v>257</v>
      </c>
      <c r="D27" s="227"/>
      <c r="E27" s="100"/>
      <c r="F27">
        <v>1</v>
      </c>
      <c r="G27" s="231">
        <v>8493.36</v>
      </c>
      <c r="H27" s="231">
        <v>5857.49</v>
      </c>
      <c r="I27" s="231">
        <v>8493.36</v>
      </c>
      <c r="J27" s="228"/>
      <c r="K27">
        <v>1</v>
      </c>
      <c r="L27" s="231">
        <v>4246.68</v>
      </c>
      <c r="M27" s="231">
        <v>4246.68</v>
      </c>
      <c r="N27" s="232">
        <v>0.5</v>
      </c>
      <c r="O27" s="232"/>
      <c r="P27" s="98"/>
      <c r="Q27" s="102"/>
      <c r="R27" s="108"/>
      <c r="S27" s="231">
        <v>4246.68</v>
      </c>
      <c r="T27" s="231">
        <v>4246.68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183</v>
      </c>
      <c r="C28" t="s">
        <v>184</v>
      </c>
      <c r="D28" s="227"/>
      <c r="E28" s="100"/>
      <c r="F28">
        <v>6</v>
      </c>
      <c r="G28" s="231">
        <v>1474.09</v>
      </c>
      <c r="H28" s="231">
        <v>1016.61</v>
      </c>
      <c r="I28" s="231">
        <v>8844.5400000000009</v>
      </c>
      <c r="J28" s="228"/>
      <c r="K28">
        <v>6</v>
      </c>
      <c r="L28" s="231">
        <v>1031.8699999999999</v>
      </c>
      <c r="M28" s="231">
        <v>6191.22</v>
      </c>
      <c r="N28" s="232">
        <v>0.3</v>
      </c>
      <c r="O28" s="232"/>
      <c r="P28" s="98"/>
      <c r="Q28" s="102"/>
      <c r="R28" s="108"/>
      <c r="S28" s="231">
        <v>6191.22</v>
      </c>
      <c r="T28" s="231">
        <v>37147.32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303</v>
      </c>
      <c r="C29" t="s">
        <v>232</v>
      </c>
      <c r="D29" s="227"/>
      <c r="E29" s="100"/>
      <c r="F29">
        <v>1</v>
      </c>
      <c r="G29" s="231">
        <v>4722.29</v>
      </c>
      <c r="H29" s="231">
        <v>3256.75</v>
      </c>
      <c r="I29" s="231">
        <v>4722.29</v>
      </c>
      <c r="J29" s="228"/>
      <c r="K29">
        <v>1</v>
      </c>
      <c r="L29" s="231">
        <v>2361.15</v>
      </c>
      <c r="M29" s="231">
        <v>2361.15</v>
      </c>
      <c r="N29" s="232">
        <v>0.5</v>
      </c>
      <c r="O29" s="232"/>
      <c r="P29" s="98"/>
      <c r="Q29" s="102"/>
      <c r="R29" s="108"/>
      <c r="S29" s="231">
        <v>2361.15</v>
      </c>
      <c r="T29" s="231">
        <v>2361.15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304</v>
      </c>
      <c r="C30" t="s">
        <v>315</v>
      </c>
      <c r="D30" s="227"/>
      <c r="E30" s="100"/>
      <c r="F30">
        <v>1</v>
      </c>
      <c r="G30" s="231">
        <v>3634.22</v>
      </c>
      <c r="H30" s="231">
        <v>2506.36</v>
      </c>
      <c r="I30" s="231">
        <v>3634.22</v>
      </c>
      <c r="J30" s="228"/>
      <c r="K30">
        <v>1</v>
      </c>
      <c r="L30" s="231">
        <v>1817.11</v>
      </c>
      <c r="M30" s="231">
        <v>1817.11</v>
      </c>
      <c r="N30" s="232">
        <v>0.5</v>
      </c>
      <c r="O30" s="232"/>
      <c r="P30" s="98"/>
      <c r="Q30" s="102"/>
      <c r="R30" s="108"/>
      <c r="S30" s="231">
        <v>1817.11</v>
      </c>
      <c r="T30" s="231">
        <v>1817.11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167</v>
      </c>
      <c r="I31" t="s">
        <v>167</v>
      </c>
      <c r="J31" s="228"/>
      <c r="K31">
        <v>0</v>
      </c>
      <c r="L31" t="s">
        <v>167</v>
      </c>
      <c r="M31" t="s">
        <v>167</v>
      </c>
      <c r="O31" s="232"/>
      <c r="P31" s="98"/>
      <c r="Q31" s="102"/>
      <c r="R31" s="108"/>
      <c r="S31" t="s">
        <v>167</v>
      </c>
      <c r="T31" t="s">
        <v>167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280</v>
      </c>
      <c r="C32" t="s">
        <v>190</v>
      </c>
      <c r="D32" s="227"/>
      <c r="E32" s="100"/>
      <c r="F32">
        <v>2</v>
      </c>
      <c r="G32" s="231">
        <v>1259.02</v>
      </c>
      <c r="H32" s="231">
        <v>868.29</v>
      </c>
      <c r="I32" s="231">
        <v>2518.04</v>
      </c>
      <c r="J32" s="228"/>
      <c r="K32">
        <v>2</v>
      </c>
      <c r="L32" s="231">
        <v>692.46</v>
      </c>
      <c r="M32" s="231">
        <v>1384.92</v>
      </c>
      <c r="N32" s="232">
        <v>0.45</v>
      </c>
      <c r="O32" s="232"/>
      <c r="P32" s="98"/>
      <c r="Q32" s="102"/>
      <c r="R32" s="108"/>
      <c r="S32" s="231">
        <v>1384.92</v>
      </c>
      <c r="T32" s="231">
        <v>2769.84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281</v>
      </c>
      <c r="C33" t="s">
        <v>192</v>
      </c>
      <c r="D33" s="227"/>
      <c r="E33" s="100"/>
      <c r="F33">
        <v>36</v>
      </c>
      <c r="G33" s="231">
        <v>10.72</v>
      </c>
      <c r="H33" s="231">
        <v>7.39</v>
      </c>
      <c r="I33" s="231">
        <v>385.92</v>
      </c>
      <c r="J33" s="228"/>
      <c r="K33">
        <v>36</v>
      </c>
      <c r="L33" s="231">
        <v>5.9</v>
      </c>
      <c r="M33" s="231">
        <v>212.4</v>
      </c>
      <c r="N33" s="232">
        <v>0.4496</v>
      </c>
      <c r="P33" s="98"/>
      <c r="Q33" s="102"/>
      <c r="R33" s="108"/>
      <c r="S33" s="231">
        <v>212.4</v>
      </c>
      <c r="T33" s="231">
        <v>7646.4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282</v>
      </c>
      <c r="C34" t="s">
        <v>204</v>
      </c>
      <c r="D34" s="227"/>
      <c r="E34" s="100"/>
      <c r="F34">
        <v>36</v>
      </c>
      <c r="G34" s="231">
        <v>2.83</v>
      </c>
      <c r="H34" s="231">
        <v>1.95</v>
      </c>
      <c r="I34" s="231">
        <v>101.88</v>
      </c>
      <c r="J34" s="228"/>
      <c r="K34">
        <v>36</v>
      </c>
      <c r="L34" s="231">
        <v>1.56</v>
      </c>
      <c r="M34" s="231">
        <v>56.16</v>
      </c>
      <c r="N34" s="232">
        <v>0.44879999999999998</v>
      </c>
      <c r="O34" s="232"/>
      <c r="P34" s="98"/>
      <c r="Q34" s="102"/>
      <c r="R34" s="108"/>
      <c r="S34" s="231">
        <v>56.16</v>
      </c>
      <c r="T34" s="231">
        <v>2021.76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283</v>
      </c>
      <c r="C35" t="s">
        <v>284</v>
      </c>
      <c r="D35" s="227"/>
      <c r="E35" s="100"/>
      <c r="F35">
        <v>2</v>
      </c>
      <c r="G35" s="231">
        <v>3159.07</v>
      </c>
      <c r="H35" s="231">
        <v>2178.67</v>
      </c>
      <c r="I35" s="231">
        <v>6318.14</v>
      </c>
      <c r="J35" s="228"/>
      <c r="K35">
        <v>2</v>
      </c>
      <c r="L35" s="231">
        <v>1737.49</v>
      </c>
      <c r="M35" s="231">
        <v>3474.98</v>
      </c>
      <c r="N35" s="232">
        <v>0.45</v>
      </c>
      <c r="O35" s="232"/>
      <c r="P35" s="98"/>
      <c r="Q35" s="102"/>
      <c r="R35" s="108"/>
      <c r="S35" s="231">
        <v>3474.98</v>
      </c>
      <c r="T35" s="231">
        <v>6949.96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327</v>
      </c>
      <c r="C36" t="s">
        <v>196</v>
      </c>
      <c r="D36" s="227"/>
      <c r="E36" s="100"/>
      <c r="F36">
        <v>8</v>
      </c>
      <c r="G36" s="231">
        <v>14.28</v>
      </c>
      <c r="H36" s="231">
        <v>9.85</v>
      </c>
      <c r="I36" s="231">
        <v>114.24</v>
      </c>
      <c r="J36" s="228"/>
      <c r="K36">
        <v>8</v>
      </c>
      <c r="L36" s="231">
        <v>7.85</v>
      </c>
      <c r="M36" s="231">
        <v>62.8</v>
      </c>
      <c r="N36" s="232">
        <v>0.45029999999999998</v>
      </c>
      <c r="O36" s="232"/>
      <c r="P36" s="98"/>
      <c r="Q36" s="102"/>
      <c r="R36" s="108"/>
      <c r="S36" s="231">
        <v>62.8</v>
      </c>
      <c r="T36" s="231">
        <v>502.4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286</v>
      </c>
      <c r="C37" t="s">
        <v>134</v>
      </c>
      <c r="D37" s="227"/>
      <c r="E37" s="100"/>
      <c r="F37">
        <v>4</v>
      </c>
      <c r="G37" s="231">
        <v>635.41999999999996</v>
      </c>
      <c r="H37" s="231">
        <v>438.22</v>
      </c>
      <c r="I37" s="231">
        <v>2541.6799999999998</v>
      </c>
      <c r="J37" s="228"/>
      <c r="K37">
        <v>4</v>
      </c>
      <c r="L37" s="231">
        <v>349.48</v>
      </c>
      <c r="M37" s="231">
        <v>1397.92</v>
      </c>
      <c r="N37" s="232">
        <v>0.45</v>
      </c>
      <c r="O37" s="232"/>
      <c r="P37" s="98"/>
      <c r="Q37" s="102"/>
      <c r="R37" s="108"/>
      <c r="S37" s="231">
        <v>1397.92</v>
      </c>
      <c r="T37" s="231">
        <v>5591.68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200</v>
      </c>
      <c r="C38" t="s">
        <v>136</v>
      </c>
      <c r="D38" s="227"/>
      <c r="E38" s="100"/>
      <c r="F38">
        <v>4</v>
      </c>
      <c r="G38" s="231">
        <v>23.18</v>
      </c>
      <c r="H38" s="231">
        <v>15.99</v>
      </c>
      <c r="I38" s="231">
        <v>92.72</v>
      </c>
      <c r="J38" s="228"/>
      <c r="K38">
        <v>4</v>
      </c>
      <c r="L38" s="231">
        <v>12.75</v>
      </c>
      <c r="M38" s="231">
        <v>51</v>
      </c>
      <c r="N38" s="232">
        <v>0.45</v>
      </c>
      <c r="O38" s="232"/>
      <c r="P38" s="98"/>
      <c r="Q38" s="102"/>
      <c r="R38" s="108"/>
      <c r="S38" s="231">
        <v>51</v>
      </c>
      <c r="T38" s="231">
        <v>204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288</v>
      </c>
      <c r="C39" t="s">
        <v>199</v>
      </c>
      <c r="D39" s="227"/>
      <c r="E39" s="100"/>
      <c r="F39">
        <v>18</v>
      </c>
      <c r="G39" s="231">
        <v>862.15</v>
      </c>
      <c r="H39" s="231">
        <v>594.59</v>
      </c>
      <c r="I39" s="231">
        <v>15518.7</v>
      </c>
      <c r="J39" s="228"/>
      <c r="K39">
        <v>18</v>
      </c>
      <c r="L39" s="231">
        <v>474.19</v>
      </c>
      <c r="M39" s="231">
        <v>8535.42</v>
      </c>
      <c r="N39" s="232">
        <v>0.45</v>
      </c>
      <c r="O39" s="232"/>
      <c r="P39" s="98"/>
      <c r="Q39" s="102"/>
      <c r="R39" s="108"/>
      <c r="S39" s="231">
        <v>8535.42</v>
      </c>
      <c r="T39" s="231">
        <v>153637.56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202</v>
      </c>
      <c r="C40" t="s">
        <v>289</v>
      </c>
      <c r="D40" s="227"/>
      <c r="E40" s="100"/>
      <c r="F40">
        <v>72</v>
      </c>
      <c r="G40" s="231">
        <v>20.079999999999998</v>
      </c>
      <c r="H40" s="231">
        <v>13.85</v>
      </c>
      <c r="I40" s="231">
        <v>1445.76</v>
      </c>
      <c r="J40" s="228"/>
      <c r="K40">
        <v>72</v>
      </c>
      <c r="L40" s="231">
        <v>11.04</v>
      </c>
      <c r="M40" s="231">
        <v>794.88</v>
      </c>
      <c r="N40" s="232">
        <v>0.45019999999999999</v>
      </c>
      <c r="O40" s="232"/>
      <c r="P40" s="98"/>
      <c r="Q40" s="102"/>
      <c r="R40" s="108"/>
      <c r="S40" s="231">
        <v>794.88</v>
      </c>
      <c r="T40" s="231">
        <v>57231.360000000001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203</v>
      </c>
      <c r="C41" t="s">
        <v>204</v>
      </c>
      <c r="D41" s="227"/>
      <c r="E41" s="100"/>
      <c r="F41">
        <v>72</v>
      </c>
      <c r="G41" s="231">
        <v>2.99</v>
      </c>
      <c r="H41" s="231">
        <v>2.06</v>
      </c>
      <c r="I41" s="231">
        <v>215.28</v>
      </c>
      <c r="J41" s="228"/>
      <c r="K41">
        <v>72</v>
      </c>
      <c r="L41" s="231">
        <v>1.65</v>
      </c>
      <c r="M41" s="231">
        <v>118.8</v>
      </c>
      <c r="N41" s="232">
        <v>0.44819999999999999</v>
      </c>
      <c r="O41" s="232"/>
      <c r="P41" s="98"/>
      <c r="Q41" s="102"/>
      <c r="R41" s="108"/>
      <c r="S41" s="231">
        <v>118.8</v>
      </c>
      <c r="T41" s="231">
        <v>8553.6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D42" s="227"/>
      <c r="E42" s="100"/>
      <c r="H42" t="s">
        <v>167</v>
      </c>
      <c r="I42" t="s">
        <v>167</v>
      </c>
      <c r="J42" s="228"/>
      <c r="K42">
        <v>0</v>
      </c>
      <c r="L42" t="s">
        <v>167</v>
      </c>
      <c r="M42" t="s">
        <v>167</v>
      </c>
      <c r="O42" s="232"/>
      <c r="P42" s="98"/>
      <c r="Q42" s="102"/>
      <c r="R42" s="108"/>
      <c r="S42" t="s">
        <v>167</v>
      </c>
      <c r="T42" t="s">
        <v>167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B43" t="s">
        <v>328</v>
      </c>
      <c r="C43" t="s">
        <v>236</v>
      </c>
      <c r="D43" s="227"/>
      <c r="E43" s="100"/>
      <c r="F43">
        <v>2</v>
      </c>
      <c r="G43" s="231">
        <v>10788.51</v>
      </c>
      <c r="H43" s="231">
        <v>7440.35</v>
      </c>
      <c r="I43" s="231">
        <v>21577.02</v>
      </c>
      <c r="J43" s="228"/>
      <c r="K43">
        <v>2</v>
      </c>
      <c r="L43" s="231">
        <v>5933.69</v>
      </c>
      <c r="M43" s="231">
        <v>11867.38</v>
      </c>
      <c r="N43" s="232">
        <v>0.45</v>
      </c>
      <c r="P43" s="98"/>
      <c r="Q43" s="102"/>
      <c r="R43" s="108"/>
      <c r="S43" s="231">
        <v>11867.38</v>
      </c>
      <c r="T43" s="231">
        <v>23734.76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329</v>
      </c>
      <c r="C44" t="s">
        <v>292</v>
      </c>
      <c r="D44" s="227"/>
      <c r="E44" s="100"/>
      <c r="F44">
        <v>100</v>
      </c>
      <c r="G44" s="231">
        <v>230.91</v>
      </c>
      <c r="H44" s="231">
        <v>159.25</v>
      </c>
      <c r="I44" s="231">
        <v>23091</v>
      </c>
      <c r="J44" s="228"/>
      <c r="K44">
        <v>100</v>
      </c>
      <c r="L44" s="231">
        <v>127.01</v>
      </c>
      <c r="M44" s="231">
        <v>12701</v>
      </c>
      <c r="N44" s="232">
        <v>0.45</v>
      </c>
      <c r="O44" s="232"/>
      <c r="P44" s="98"/>
      <c r="Q44" s="102"/>
      <c r="R44" s="108"/>
      <c r="S44" s="231">
        <v>12701</v>
      </c>
      <c r="T44" s="231">
        <v>1270100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330</v>
      </c>
      <c r="C45" t="s">
        <v>141</v>
      </c>
      <c r="D45" s="227"/>
      <c r="E45" s="100"/>
      <c r="F45">
        <v>400</v>
      </c>
      <c r="G45" s="231">
        <v>8.3699999999999992</v>
      </c>
      <c r="H45" s="231">
        <v>5.77</v>
      </c>
      <c r="I45" s="231">
        <v>3348</v>
      </c>
      <c r="J45" s="228"/>
      <c r="K45">
        <v>400</v>
      </c>
      <c r="L45" s="231">
        <v>4.6100000000000003</v>
      </c>
      <c r="M45" s="231">
        <v>1844</v>
      </c>
      <c r="N45" s="232">
        <v>0.44919999999999999</v>
      </c>
      <c r="O45" s="232"/>
      <c r="P45" s="98"/>
      <c r="Q45" s="102"/>
      <c r="R45" s="108"/>
      <c r="S45" s="231">
        <v>1844</v>
      </c>
      <c r="T45" s="231">
        <v>737600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331</v>
      </c>
      <c r="C46" t="s">
        <v>239</v>
      </c>
      <c r="D46" s="227"/>
      <c r="E46" s="100"/>
      <c r="F46">
        <v>400</v>
      </c>
      <c r="G46" s="231">
        <v>3.94</v>
      </c>
      <c r="H46" s="231">
        <v>2.72</v>
      </c>
      <c r="I46" s="231">
        <v>1576</v>
      </c>
      <c r="J46" s="228"/>
      <c r="K46">
        <v>400</v>
      </c>
      <c r="L46" s="231">
        <v>2.17</v>
      </c>
      <c r="M46" s="231">
        <v>868</v>
      </c>
      <c r="N46" s="232">
        <v>0.44919999999999999</v>
      </c>
      <c r="O46" s="232"/>
      <c r="P46" s="98"/>
      <c r="Q46" s="102"/>
      <c r="R46" s="108"/>
      <c r="S46" s="231">
        <v>868</v>
      </c>
      <c r="T46" s="231">
        <v>347200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D47" s="227"/>
      <c r="E47" s="100"/>
      <c r="G47" s="231"/>
      <c r="H47" s="231"/>
      <c r="I47" s="231"/>
      <c r="J47" s="228"/>
      <c r="L47" s="231"/>
      <c r="M47" s="231"/>
      <c r="N47" s="232"/>
      <c r="O47" s="232"/>
      <c r="P47" s="98"/>
      <c r="Q47" s="102"/>
      <c r="R47" s="108"/>
      <c r="S47" s="231"/>
      <c r="T47" s="231"/>
      <c r="U47" s="232"/>
      <c r="V47" s="232"/>
      <c r="W47" s="229"/>
      <c r="X47" s="230"/>
      <c r="Y47" s="8"/>
      <c r="Z47" s="8"/>
    </row>
    <row r="48" spans="2:26">
      <c r="D48" s="227"/>
      <c r="E48" s="100"/>
      <c r="J48" s="228"/>
      <c r="P48" s="98"/>
      <c r="Q48" s="102"/>
      <c r="R48" s="108"/>
      <c r="U48" s="232"/>
      <c r="V48" s="232"/>
      <c r="W48" s="229"/>
      <c r="X48" s="230"/>
      <c r="Y48" s="8"/>
      <c r="Z48" s="8"/>
    </row>
    <row r="49" spans="2:26">
      <c r="D49" s="87"/>
      <c r="E49" s="88"/>
      <c r="J49" s="105"/>
      <c r="P49" s="115"/>
      <c r="Q49" s="94"/>
      <c r="R49" s="94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G50" s="231"/>
      <c r="H50" s="231"/>
      <c r="I50" s="231"/>
      <c r="J50" s="105"/>
      <c r="L50" s="231"/>
      <c r="M50" s="231"/>
      <c r="N50" s="232"/>
      <c r="O50" s="232"/>
      <c r="P50" s="98"/>
      <c r="Q50" s="102"/>
      <c r="R50" s="108"/>
      <c r="S50" s="231"/>
      <c r="T50" s="231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1176</v>
      </c>
      <c r="G78" s="121">
        <f t="shared" si="0"/>
        <v>36873.230000000018</v>
      </c>
      <c r="H78" s="122">
        <f t="shared" si="0"/>
        <v>25429.820000000003</v>
      </c>
      <c r="I78" s="123">
        <f t="shared" si="0"/>
        <v>107578.17</v>
      </c>
      <c r="J78" s="124"/>
      <c r="K78" s="125">
        <f t="shared" ref="K78:M78" si="1">SUM(K19:K77)</f>
        <v>1176</v>
      </c>
      <c r="L78" s="122">
        <f t="shared" si="1"/>
        <v>19649.369999999995</v>
      </c>
      <c r="M78" s="123">
        <f t="shared" si="1"/>
        <v>59572.32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59572.32</v>
      </c>
      <c r="T78" s="123">
        <f t="shared" si="2"/>
        <v>2673925.2400000002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77" xr:uid="{3003B720-C286-4BA2-B690-9215E9B6CFC4}">
      <formula1>$Z$19:$Z$58</formula1>
    </dataValidation>
    <dataValidation type="list" allowBlank="1" showErrorMessage="1" sqref="I14" xr:uid="{26408B42-C174-4E5F-9C67-C81F2B5C9598}">
      <formula1>$Y$14:$Y$15</formula1>
    </dataValidation>
    <dataValidation type="list" allowBlank="1" showErrorMessage="1" sqref="J14" xr:uid="{9D3487D0-FB03-45A0-82F6-C0E62C6D0614}">
      <formula1>$L$9</formula1>
    </dataValidation>
    <dataValidation type="list" allowBlank="1" showErrorMessage="1" sqref="Q15 G18 L18 Q18" xr:uid="{41B62797-CB80-4CAA-9003-9CAAFEDBAD2E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380C-B479-48AB-89CF-B20CD8652CD2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336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116252.89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2015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64477.64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112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51775.25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337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0.44536742269374979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338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2889206.58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339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64477.64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111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1123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340</v>
      </c>
      <c r="C19" t="s">
        <v>114</v>
      </c>
      <c r="D19" s="87"/>
      <c r="E19" s="88"/>
      <c r="F19">
        <v>1</v>
      </c>
      <c r="G19" s="231">
        <v>82.08</v>
      </c>
      <c r="H19" s="231">
        <v>56.61</v>
      </c>
      <c r="I19" s="231">
        <v>82.08</v>
      </c>
      <c r="J19" s="92"/>
      <c r="K19">
        <v>1</v>
      </c>
      <c r="L19" s="231">
        <v>41.04</v>
      </c>
      <c r="M19" s="231">
        <v>41.04</v>
      </c>
      <c r="N19" s="232">
        <v>0.5</v>
      </c>
      <c r="O19" s="232"/>
      <c r="P19" s="86"/>
      <c r="Q19" s="94"/>
      <c r="R19" s="94"/>
      <c r="S19" s="231">
        <v>41.04</v>
      </c>
      <c r="T19" s="231">
        <v>41.04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341</v>
      </c>
      <c r="C20" t="s">
        <v>342</v>
      </c>
      <c r="D20" s="87"/>
      <c r="E20" s="100"/>
      <c r="F20">
        <v>2</v>
      </c>
      <c r="G20" s="231">
        <v>51.52</v>
      </c>
      <c r="H20" s="231">
        <v>35.53</v>
      </c>
      <c r="I20" s="231">
        <v>103.04</v>
      </c>
      <c r="J20" s="105"/>
      <c r="K20">
        <v>2</v>
      </c>
      <c r="L20" s="231">
        <v>25.76</v>
      </c>
      <c r="M20" s="231">
        <v>51.52</v>
      </c>
      <c r="N20" s="232">
        <v>0.5</v>
      </c>
      <c r="O20" s="232"/>
      <c r="P20" s="98"/>
      <c r="Q20" s="102"/>
      <c r="R20" s="108"/>
      <c r="S20" s="231">
        <v>51.52</v>
      </c>
      <c r="T20" s="231">
        <v>103.04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343</v>
      </c>
      <c r="C21" t="s">
        <v>116</v>
      </c>
      <c r="D21" s="227"/>
      <c r="E21" s="100"/>
      <c r="F21">
        <v>1</v>
      </c>
      <c r="G21" s="231">
        <v>104.86</v>
      </c>
      <c r="H21" s="231">
        <v>72.319999999999993</v>
      </c>
      <c r="I21" s="231">
        <v>104.86</v>
      </c>
      <c r="J21" s="228"/>
      <c r="K21">
        <v>1</v>
      </c>
      <c r="L21" s="231">
        <v>52.43</v>
      </c>
      <c r="M21" s="231">
        <v>52.43</v>
      </c>
      <c r="N21" s="232">
        <v>0.5</v>
      </c>
      <c r="O21" s="232"/>
      <c r="P21" s="98"/>
      <c r="Q21" s="102"/>
      <c r="R21" s="108"/>
      <c r="S21" s="231">
        <v>52.43</v>
      </c>
      <c r="T21" s="231">
        <v>52.43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179</v>
      </c>
      <c r="C22" t="s">
        <v>251</v>
      </c>
      <c r="D22" s="227"/>
      <c r="E22" s="100"/>
      <c r="F22">
        <v>1</v>
      </c>
      <c r="G22" s="231">
        <v>229</v>
      </c>
      <c r="H22" s="231">
        <v>157.93</v>
      </c>
      <c r="I22" s="231">
        <v>229</v>
      </c>
      <c r="J22" s="228"/>
      <c r="K22">
        <v>1</v>
      </c>
      <c r="L22" s="231">
        <v>114.5</v>
      </c>
      <c r="M22" s="231">
        <v>114.5</v>
      </c>
      <c r="N22" s="232">
        <v>0.5</v>
      </c>
      <c r="O22" s="232"/>
      <c r="P22" s="98"/>
      <c r="Q22" s="102"/>
      <c r="R22" s="108"/>
      <c r="S22" s="231">
        <v>114.5</v>
      </c>
      <c r="T22" s="231">
        <v>114.5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223</v>
      </c>
      <c r="C23" t="s">
        <v>344</v>
      </c>
      <c r="D23" s="227"/>
      <c r="E23" s="100"/>
      <c r="F23">
        <v>1</v>
      </c>
      <c r="G23" s="231">
        <v>102.09</v>
      </c>
      <c r="H23" s="231">
        <v>70.41</v>
      </c>
      <c r="I23" s="231">
        <v>102.09</v>
      </c>
      <c r="J23" s="228"/>
      <c r="K23">
        <v>1</v>
      </c>
      <c r="L23" s="231">
        <v>51.05</v>
      </c>
      <c r="M23" s="231">
        <v>51.05</v>
      </c>
      <c r="N23" s="232">
        <v>0.5</v>
      </c>
      <c r="O23" s="232"/>
      <c r="P23" s="98"/>
      <c r="Q23" s="102"/>
      <c r="R23" s="108"/>
      <c r="S23" s="231">
        <v>51.05</v>
      </c>
      <c r="T23" s="231">
        <v>51.05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345</v>
      </c>
      <c r="C24" t="s">
        <v>118</v>
      </c>
      <c r="D24" s="227"/>
      <c r="E24" s="100"/>
      <c r="F24">
        <v>1</v>
      </c>
      <c r="G24" s="231">
        <v>201.81</v>
      </c>
      <c r="H24" s="231">
        <v>139.18</v>
      </c>
      <c r="I24" s="231">
        <v>201.81</v>
      </c>
      <c r="J24" s="228"/>
      <c r="K24">
        <v>1</v>
      </c>
      <c r="L24" s="231">
        <v>131.18</v>
      </c>
      <c r="M24" s="231">
        <v>131.18</v>
      </c>
      <c r="N24" s="232">
        <v>0.35</v>
      </c>
      <c r="O24" s="232"/>
      <c r="P24" s="98"/>
      <c r="Q24" s="102"/>
      <c r="R24" s="108"/>
      <c r="S24" s="231">
        <v>131.18</v>
      </c>
      <c r="T24" s="231">
        <v>131.18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346</v>
      </c>
      <c r="C25" t="s">
        <v>120</v>
      </c>
      <c r="D25" s="227"/>
      <c r="E25" s="100"/>
      <c r="F25">
        <v>1</v>
      </c>
      <c r="G25" s="231">
        <v>119.45</v>
      </c>
      <c r="H25" s="231">
        <v>82.38</v>
      </c>
      <c r="I25" s="231">
        <v>119.45</v>
      </c>
      <c r="J25" s="228"/>
      <c r="K25">
        <v>1</v>
      </c>
      <c r="L25" s="231">
        <v>77.650000000000006</v>
      </c>
      <c r="M25" s="231">
        <v>77.650000000000006</v>
      </c>
      <c r="N25" s="232">
        <v>0.34989999999999999</v>
      </c>
      <c r="O25" s="232"/>
      <c r="P25" s="98"/>
      <c r="Q25" s="102"/>
      <c r="R25" s="108"/>
      <c r="S25" s="231">
        <v>77.650000000000006</v>
      </c>
      <c r="T25" s="231">
        <v>77.650000000000006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228</v>
      </c>
      <c r="C26" t="s">
        <v>229</v>
      </c>
      <c r="D26" s="227"/>
      <c r="E26" s="100"/>
      <c r="F26">
        <v>1</v>
      </c>
      <c r="G26" s="231">
        <v>4369.08</v>
      </c>
      <c r="H26" s="231">
        <v>3013.16</v>
      </c>
      <c r="I26" s="231">
        <v>4369.08</v>
      </c>
      <c r="J26" s="228"/>
      <c r="K26">
        <v>1</v>
      </c>
      <c r="L26" s="231">
        <v>2184.54</v>
      </c>
      <c r="M26" s="231">
        <v>2184.54</v>
      </c>
      <c r="N26" s="232">
        <v>0.5</v>
      </c>
      <c r="O26" s="232"/>
      <c r="P26" s="98"/>
      <c r="Q26" s="102"/>
      <c r="R26" s="108"/>
      <c r="S26" s="231">
        <v>2184.54</v>
      </c>
      <c r="T26" s="231">
        <v>2184.54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226</v>
      </c>
      <c r="C27" t="s">
        <v>276</v>
      </c>
      <c r="D27" s="227"/>
      <c r="E27" s="100"/>
      <c r="F27">
        <v>1</v>
      </c>
      <c r="G27" s="231">
        <v>4161.4399999999996</v>
      </c>
      <c r="H27" s="231">
        <v>2869.96</v>
      </c>
      <c r="I27" s="231">
        <v>4161.4399999999996</v>
      </c>
      <c r="J27" s="228"/>
      <c r="K27">
        <v>1</v>
      </c>
      <c r="L27" s="231">
        <v>2080.7199999999998</v>
      </c>
      <c r="M27" s="231">
        <v>2080.7199999999998</v>
      </c>
      <c r="N27" s="232">
        <v>0.5</v>
      </c>
      <c r="O27" s="232"/>
      <c r="P27" s="98"/>
      <c r="Q27" s="102"/>
      <c r="R27" s="108"/>
      <c r="S27" s="231">
        <v>2080.7199999999998</v>
      </c>
      <c r="T27" s="231">
        <v>2080.7199999999998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347</v>
      </c>
      <c r="C28" t="s">
        <v>277</v>
      </c>
      <c r="D28" s="227"/>
      <c r="E28" s="100"/>
      <c r="F28">
        <v>6</v>
      </c>
      <c r="G28" s="231">
        <v>1474.09</v>
      </c>
      <c r="H28" s="231">
        <v>1016.61</v>
      </c>
      <c r="I28" s="231">
        <v>8844.5400000000009</v>
      </c>
      <c r="J28" s="228"/>
      <c r="K28">
        <v>6</v>
      </c>
      <c r="L28" s="231">
        <v>1031.8699999999999</v>
      </c>
      <c r="M28" s="231">
        <v>6191.22</v>
      </c>
      <c r="N28" s="232">
        <v>0.3</v>
      </c>
      <c r="O28" s="232"/>
      <c r="P28" s="98"/>
      <c r="Q28" s="102"/>
      <c r="R28" s="108"/>
      <c r="S28" s="231">
        <v>6191.22</v>
      </c>
      <c r="T28" s="231">
        <v>37147.32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348</v>
      </c>
      <c r="C29" t="s">
        <v>186</v>
      </c>
      <c r="D29" s="227"/>
      <c r="E29" s="100"/>
      <c r="F29">
        <v>1</v>
      </c>
      <c r="G29" s="231">
        <v>7358.86</v>
      </c>
      <c r="H29" s="231">
        <v>5075.08</v>
      </c>
      <c r="I29" s="231">
        <v>7358.86</v>
      </c>
      <c r="J29" s="228"/>
      <c r="K29">
        <v>1</v>
      </c>
      <c r="L29" s="231">
        <v>3679.43</v>
      </c>
      <c r="M29" s="231">
        <v>3679.43</v>
      </c>
      <c r="N29" s="232">
        <v>0.5</v>
      </c>
      <c r="O29" s="232"/>
      <c r="P29" s="98"/>
      <c r="Q29" s="102"/>
      <c r="R29" s="108"/>
      <c r="S29" s="231">
        <v>3679.43</v>
      </c>
      <c r="T29" s="231">
        <v>3679.43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D30" s="227"/>
      <c r="E30" s="100"/>
      <c r="H30" t="s">
        <v>167</v>
      </c>
      <c r="I30" t="s">
        <v>167</v>
      </c>
      <c r="J30" s="228"/>
      <c r="K30">
        <v>0</v>
      </c>
      <c r="L30" t="s">
        <v>167</v>
      </c>
      <c r="M30" t="s">
        <v>167</v>
      </c>
      <c r="O30" s="232"/>
      <c r="P30" s="98"/>
      <c r="Q30" s="102"/>
      <c r="R30" s="108"/>
      <c r="S30" t="s">
        <v>167</v>
      </c>
      <c r="T30" t="s">
        <v>167</v>
      </c>
      <c r="U30" s="232">
        <v>0</v>
      </c>
      <c r="V30" s="232">
        <v>0</v>
      </c>
      <c r="W30" s="229"/>
      <c r="X30" s="230"/>
      <c r="Y30" s="8"/>
      <c r="Z30" s="8"/>
    </row>
    <row r="31" spans="2:26">
      <c r="B31" t="s">
        <v>349</v>
      </c>
      <c r="C31" t="s">
        <v>190</v>
      </c>
      <c r="D31" s="227"/>
      <c r="E31" s="100"/>
      <c r="F31">
        <v>2</v>
      </c>
      <c r="G31" s="231">
        <v>1567.41</v>
      </c>
      <c r="H31" s="231">
        <v>1080.97</v>
      </c>
      <c r="I31" s="231">
        <v>3134.82</v>
      </c>
      <c r="J31" s="228"/>
      <c r="K31">
        <v>2</v>
      </c>
      <c r="L31" s="231">
        <v>862.08</v>
      </c>
      <c r="M31" s="231">
        <v>1724.16</v>
      </c>
      <c r="N31" s="232">
        <v>0.45</v>
      </c>
      <c r="O31" s="232"/>
      <c r="P31" s="98"/>
      <c r="Q31" s="102"/>
      <c r="R31" s="108"/>
      <c r="S31" s="231">
        <v>1724.16</v>
      </c>
      <c r="T31" s="231">
        <v>3448.32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350</v>
      </c>
      <c r="C32" t="s">
        <v>192</v>
      </c>
      <c r="D32" s="227"/>
      <c r="E32" s="100"/>
      <c r="F32">
        <v>32</v>
      </c>
      <c r="G32" s="231">
        <v>22.52</v>
      </c>
      <c r="H32" s="231">
        <v>15.53</v>
      </c>
      <c r="I32" s="231">
        <v>720.64</v>
      </c>
      <c r="J32" s="228"/>
      <c r="K32">
        <v>32</v>
      </c>
      <c r="L32" s="231">
        <v>12.39</v>
      </c>
      <c r="M32" s="231">
        <v>396.48</v>
      </c>
      <c r="N32" s="232">
        <v>0.44979999999999998</v>
      </c>
      <c r="O32" s="232"/>
      <c r="P32" s="98"/>
      <c r="Q32" s="102"/>
      <c r="R32" s="108"/>
      <c r="S32" s="231">
        <v>396.48</v>
      </c>
      <c r="T32" s="231">
        <v>12687.36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351</v>
      </c>
      <c r="C33" t="s">
        <v>284</v>
      </c>
      <c r="D33" s="227"/>
      <c r="E33" s="100"/>
      <c r="F33">
        <v>2</v>
      </c>
      <c r="G33" s="231">
        <v>4335.3599999999997</v>
      </c>
      <c r="H33" s="231">
        <v>2989.9</v>
      </c>
      <c r="I33" s="231">
        <v>8670.7199999999993</v>
      </c>
      <c r="J33" s="228"/>
      <c r="K33">
        <v>2</v>
      </c>
      <c r="L33" s="231">
        <v>2384.4499999999998</v>
      </c>
      <c r="M33" s="231">
        <v>4768.8999999999996</v>
      </c>
      <c r="N33" s="232">
        <v>0.45</v>
      </c>
      <c r="P33" s="98"/>
      <c r="Q33" s="102"/>
      <c r="R33" s="108"/>
      <c r="S33" s="231">
        <v>4768.8999999999996</v>
      </c>
      <c r="T33" s="231">
        <v>9537.7999999999993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352</v>
      </c>
      <c r="C34" t="s">
        <v>196</v>
      </c>
      <c r="D34" s="227"/>
      <c r="E34" s="100"/>
      <c r="F34">
        <v>8</v>
      </c>
      <c r="G34" s="231">
        <v>12.21</v>
      </c>
      <c r="H34" s="231">
        <v>8.42</v>
      </c>
      <c r="I34" s="231">
        <v>97.68</v>
      </c>
      <c r="J34" s="228"/>
      <c r="K34">
        <v>8</v>
      </c>
      <c r="L34" s="231">
        <v>6.72</v>
      </c>
      <c r="M34" s="231">
        <v>53.76</v>
      </c>
      <c r="N34" s="232">
        <v>0.4496</v>
      </c>
      <c r="O34" s="232"/>
      <c r="P34" s="98"/>
      <c r="Q34" s="102"/>
      <c r="R34" s="108"/>
      <c r="S34" s="231">
        <v>53.76</v>
      </c>
      <c r="T34" s="231">
        <v>430.08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286</v>
      </c>
      <c r="C35" t="s">
        <v>134</v>
      </c>
      <c r="D35" s="227"/>
      <c r="E35" s="100"/>
      <c r="F35">
        <v>4</v>
      </c>
      <c r="G35" s="231">
        <v>635.41999999999996</v>
      </c>
      <c r="H35" s="231">
        <v>438.22</v>
      </c>
      <c r="I35" s="231">
        <v>2541.6799999999998</v>
      </c>
      <c r="J35" s="228"/>
      <c r="K35">
        <v>4</v>
      </c>
      <c r="L35" s="231">
        <v>349.48</v>
      </c>
      <c r="M35" s="231">
        <v>1397.92</v>
      </c>
      <c r="N35" s="232">
        <v>0.45</v>
      </c>
      <c r="O35" s="232"/>
      <c r="P35" s="98"/>
      <c r="Q35" s="102"/>
      <c r="R35" s="108"/>
      <c r="S35" s="231">
        <v>1397.92</v>
      </c>
      <c r="T35" s="231">
        <v>5591.68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353</v>
      </c>
      <c r="C36" t="s">
        <v>136</v>
      </c>
      <c r="D36" s="227"/>
      <c r="E36" s="100"/>
      <c r="F36">
        <v>4</v>
      </c>
      <c r="G36" s="231">
        <v>26.18</v>
      </c>
      <c r="H36" s="231">
        <v>18.059999999999999</v>
      </c>
      <c r="I36" s="231">
        <v>104.72</v>
      </c>
      <c r="J36" s="228"/>
      <c r="K36">
        <v>4</v>
      </c>
      <c r="L36" s="231">
        <v>14.4</v>
      </c>
      <c r="M36" s="231">
        <v>57.6</v>
      </c>
      <c r="N36" s="232">
        <v>0.45</v>
      </c>
      <c r="O36" s="232"/>
      <c r="P36" s="98"/>
      <c r="Q36" s="102"/>
      <c r="R36" s="108"/>
      <c r="S36" s="231">
        <v>57.6</v>
      </c>
      <c r="T36" s="231">
        <v>230.4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B37" t="s">
        <v>354</v>
      </c>
      <c r="C37" t="s">
        <v>199</v>
      </c>
      <c r="D37" s="227"/>
      <c r="E37" s="100"/>
      <c r="F37">
        <v>18</v>
      </c>
      <c r="G37" s="231">
        <v>987.95</v>
      </c>
      <c r="H37" s="231">
        <v>681.34</v>
      </c>
      <c r="I37" s="231">
        <v>17783.099999999999</v>
      </c>
      <c r="J37" s="228"/>
      <c r="K37">
        <v>18</v>
      </c>
      <c r="L37" s="231">
        <v>543.38</v>
      </c>
      <c r="M37" s="231">
        <v>9780.84</v>
      </c>
      <c r="N37" s="232">
        <v>0.45</v>
      </c>
      <c r="O37" s="232"/>
      <c r="P37" s="98"/>
      <c r="Q37" s="102"/>
      <c r="R37" s="108"/>
      <c r="S37" s="231">
        <v>9780.84</v>
      </c>
      <c r="T37" s="231">
        <v>176055.12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355</v>
      </c>
      <c r="C38" t="s">
        <v>289</v>
      </c>
      <c r="D38" s="227"/>
      <c r="E38" s="100"/>
      <c r="F38">
        <v>72</v>
      </c>
      <c r="G38" s="231">
        <v>31.86</v>
      </c>
      <c r="H38" s="231">
        <v>21.97</v>
      </c>
      <c r="I38" s="231">
        <v>2293.92</v>
      </c>
      <c r="J38" s="228"/>
      <c r="K38">
        <v>72</v>
      </c>
      <c r="L38" s="231">
        <v>17.52</v>
      </c>
      <c r="M38" s="231">
        <v>1261.44</v>
      </c>
      <c r="N38" s="232">
        <v>0.4501</v>
      </c>
      <c r="O38" s="232"/>
      <c r="P38" s="98"/>
      <c r="Q38" s="102"/>
      <c r="R38" s="108"/>
      <c r="S38" s="231">
        <v>1261.44</v>
      </c>
      <c r="T38" s="231">
        <v>90823.679999999993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356</v>
      </c>
      <c r="C39" t="s">
        <v>204</v>
      </c>
      <c r="D39" s="227"/>
      <c r="E39" s="100"/>
      <c r="F39">
        <v>72</v>
      </c>
      <c r="G39" s="231">
        <v>4.9800000000000004</v>
      </c>
      <c r="H39" s="231">
        <v>3.43</v>
      </c>
      <c r="I39" s="231">
        <v>358.56</v>
      </c>
      <c r="J39" s="228"/>
      <c r="K39">
        <v>72</v>
      </c>
      <c r="L39" s="231">
        <v>2.74</v>
      </c>
      <c r="M39" s="231">
        <v>197.28</v>
      </c>
      <c r="N39" s="232">
        <v>0.44979999999999998</v>
      </c>
      <c r="O39" s="232"/>
      <c r="P39" s="98"/>
      <c r="Q39" s="102"/>
      <c r="R39" s="108"/>
      <c r="S39" s="231">
        <v>197.28</v>
      </c>
      <c r="T39" s="231">
        <v>14204.16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D40" s="227"/>
      <c r="E40" s="100"/>
      <c r="H40" t="s">
        <v>167</v>
      </c>
      <c r="I40" t="s">
        <v>167</v>
      </c>
      <c r="J40" s="228"/>
      <c r="K40">
        <v>0</v>
      </c>
      <c r="L40" t="s">
        <v>167</v>
      </c>
      <c r="M40" t="s">
        <v>167</v>
      </c>
      <c r="O40" s="232"/>
      <c r="P40" s="98"/>
      <c r="Q40" s="102"/>
      <c r="R40" s="108"/>
      <c r="S40" t="s">
        <v>167</v>
      </c>
      <c r="T40" t="s">
        <v>167</v>
      </c>
      <c r="U40" s="232">
        <v>0</v>
      </c>
      <c r="V40" s="232">
        <v>0</v>
      </c>
      <c r="W40" s="229"/>
      <c r="X40" s="230"/>
      <c r="Y40" s="8"/>
      <c r="Z40" s="8"/>
    </row>
    <row r="41" spans="2:26">
      <c r="B41" t="s">
        <v>357</v>
      </c>
      <c r="C41" t="s">
        <v>236</v>
      </c>
      <c r="D41" s="227"/>
      <c r="E41" s="100"/>
      <c r="F41">
        <v>2</v>
      </c>
      <c r="G41" s="231">
        <v>12083.08</v>
      </c>
      <c r="H41" s="231">
        <v>8333.16</v>
      </c>
      <c r="I41" s="231">
        <v>24166.16</v>
      </c>
      <c r="J41" s="228"/>
      <c r="K41">
        <v>2</v>
      </c>
      <c r="L41" s="231">
        <v>6645.69</v>
      </c>
      <c r="M41" s="231">
        <v>13291.38</v>
      </c>
      <c r="N41" s="232">
        <v>0.45</v>
      </c>
      <c r="O41" s="232"/>
      <c r="P41" s="98"/>
      <c r="Q41" s="102"/>
      <c r="R41" s="108"/>
      <c r="S41" s="231">
        <v>13291.38</v>
      </c>
      <c r="T41" s="231">
        <v>26582.76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358</v>
      </c>
      <c r="C42" t="s">
        <v>359</v>
      </c>
      <c r="D42" s="227"/>
      <c r="E42" s="100"/>
      <c r="F42">
        <v>98</v>
      </c>
      <c r="G42" s="231">
        <v>260.58</v>
      </c>
      <c r="H42" s="231">
        <v>179.71</v>
      </c>
      <c r="I42" s="231">
        <v>25536.84</v>
      </c>
      <c r="J42" s="228"/>
      <c r="K42">
        <v>98</v>
      </c>
      <c r="L42" s="231">
        <v>143.32</v>
      </c>
      <c r="M42" s="231">
        <v>14045.36</v>
      </c>
      <c r="N42" s="232">
        <v>0.45</v>
      </c>
      <c r="O42" s="232"/>
      <c r="P42" s="98"/>
      <c r="Q42" s="102"/>
      <c r="R42" s="108"/>
      <c r="S42" s="231">
        <v>14045.36</v>
      </c>
      <c r="T42" s="231">
        <v>1376445.28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360</v>
      </c>
      <c r="C43" t="s">
        <v>141</v>
      </c>
      <c r="D43" s="227"/>
      <c r="E43" s="100"/>
      <c r="F43">
        <v>396</v>
      </c>
      <c r="G43" s="231">
        <v>9.11</v>
      </c>
      <c r="H43" s="231">
        <v>6.28</v>
      </c>
      <c r="I43" s="231">
        <v>3607.56</v>
      </c>
      <c r="J43" s="228"/>
      <c r="K43">
        <v>396</v>
      </c>
      <c r="L43" s="231">
        <v>5.0199999999999996</v>
      </c>
      <c r="M43" s="231">
        <v>1987.92</v>
      </c>
      <c r="N43" s="232">
        <v>0.44900000000000001</v>
      </c>
      <c r="P43" s="98"/>
      <c r="Q43" s="102"/>
      <c r="R43" s="108"/>
      <c r="S43" s="231">
        <v>1987.92</v>
      </c>
      <c r="T43" s="231">
        <v>787216.32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331</v>
      </c>
      <c r="C44" t="s">
        <v>239</v>
      </c>
      <c r="D44" s="227"/>
      <c r="E44" s="100"/>
      <c r="F44">
        <v>396</v>
      </c>
      <c r="G44" s="231">
        <v>3.94</v>
      </c>
      <c r="H44" s="231">
        <v>2.72</v>
      </c>
      <c r="I44" s="231">
        <v>1560.24</v>
      </c>
      <c r="J44" s="228"/>
      <c r="K44">
        <v>396</v>
      </c>
      <c r="L44" s="231">
        <v>2.17</v>
      </c>
      <c r="M44" s="231">
        <v>859.32</v>
      </c>
      <c r="N44" s="232">
        <v>0.44919999999999999</v>
      </c>
      <c r="O44" s="232"/>
      <c r="P44" s="98"/>
      <c r="Q44" s="102"/>
      <c r="R44" s="108"/>
      <c r="S44" s="231">
        <v>859.32</v>
      </c>
      <c r="T44" s="231">
        <v>340290.72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D45" s="227"/>
      <c r="E45" s="100"/>
      <c r="G45" s="231"/>
      <c r="H45" s="231"/>
      <c r="I45" s="231"/>
      <c r="J45" s="228"/>
      <c r="L45" s="231"/>
      <c r="M45" s="231"/>
      <c r="N45" s="232"/>
      <c r="O45" s="232"/>
      <c r="P45" s="98"/>
      <c r="Q45" s="102"/>
      <c r="R45" s="108"/>
      <c r="S45" s="231"/>
      <c r="T45" s="231"/>
      <c r="U45" s="232"/>
      <c r="V45" s="232"/>
      <c r="W45" s="229"/>
      <c r="X45" s="230"/>
      <c r="Y45" s="8"/>
      <c r="Z45" s="8"/>
    </row>
    <row r="46" spans="2:26">
      <c r="D46" s="227"/>
      <c r="E46" s="100"/>
      <c r="G46" s="231"/>
      <c r="H46" s="231"/>
      <c r="I46" s="231"/>
      <c r="J46" s="228"/>
      <c r="L46" s="231"/>
      <c r="M46" s="231"/>
      <c r="N46" s="232"/>
      <c r="O46" s="232"/>
      <c r="P46" s="98"/>
      <c r="Q46" s="102"/>
      <c r="R46" s="108"/>
      <c r="S46" s="231"/>
      <c r="T46" s="231"/>
      <c r="U46" s="232"/>
      <c r="V46" s="232"/>
      <c r="W46" s="229"/>
      <c r="X46" s="230"/>
      <c r="Y46" s="8"/>
      <c r="Z46" s="8"/>
    </row>
    <row r="47" spans="2:26">
      <c r="D47" s="227"/>
      <c r="E47" s="100"/>
      <c r="G47" s="231"/>
      <c r="H47" s="231"/>
      <c r="I47" s="231"/>
      <c r="J47" s="228"/>
      <c r="L47" s="231"/>
      <c r="M47" s="231"/>
      <c r="N47" s="232"/>
      <c r="O47" s="232"/>
      <c r="P47" s="98"/>
      <c r="Q47" s="102"/>
      <c r="R47" s="108"/>
      <c r="S47" s="231"/>
      <c r="T47" s="231"/>
      <c r="U47" s="232"/>
      <c r="V47" s="232"/>
      <c r="W47" s="229"/>
      <c r="X47" s="230"/>
      <c r="Y47" s="8"/>
      <c r="Z47" s="8"/>
    </row>
    <row r="48" spans="2:26">
      <c r="D48" s="227"/>
      <c r="E48" s="100"/>
      <c r="J48" s="228"/>
      <c r="P48" s="98"/>
      <c r="Q48" s="102"/>
      <c r="R48" s="108"/>
      <c r="U48" s="232"/>
      <c r="V48" s="232"/>
      <c r="W48" s="229"/>
      <c r="X48" s="230"/>
      <c r="Y48" s="8"/>
      <c r="Z48" s="8"/>
    </row>
    <row r="49" spans="2:26">
      <c r="D49" s="87"/>
      <c r="E49" s="88"/>
      <c r="J49" s="105"/>
      <c r="P49" s="115"/>
      <c r="Q49" s="94"/>
      <c r="R49" s="94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G50" s="231"/>
      <c r="H50" s="231"/>
      <c r="I50" s="231"/>
      <c r="J50" s="105"/>
      <c r="L50" s="231"/>
      <c r="M50" s="231"/>
      <c r="N50" s="232"/>
      <c r="O50" s="232"/>
      <c r="P50" s="98"/>
      <c r="Q50" s="102"/>
      <c r="R50" s="108"/>
      <c r="S50" s="231"/>
      <c r="T50" s="231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J51" s="105"/>
      <c r="P51" s="115"/>
      <c r="Q51" s="94"/>
      <c r="R51" s="94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232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B53" s="86"/>
      <c r="C53" s="112"/>
      <c r="D53" s="87"/>
      <c r="E53" s="88"/>
      <c r="F53" s="113"/>
      <c r="G53" s="94"/>
      <c r="H53" s="90"/>
      <c r="I53" s="91"/>
      <c r="J53" s="105"/>
      <c r="K53" s="89"/>
      <c r="L53" s="90"/>
      <c r="M53" s="90"/>
      <c r="N53" s="114"/>
      <c r="O53" s="93"/>
      <c r="P53" s="115"/>
      <c r="Q53" s="94"/>
      <c r="R53" s="94"/>
      <c r="S53" s="94"/>
      <c r="T53" s="94"/>
      <c r="U53" s="95"/>
      <c r="V53" s="95"/>
      <c r="W53" s="96"/>
      <c r="X53" s="97"/>
      <c r="Y53" s="8"/>
      <c r="Z53" s="8"/>
    </row>
    <row r="54" spans="2:26" ht="15.75" customHeight="1">
      <c r="B54" s="98"/>
      <c r="C54" s="99"/>
      <c r="D54" s="87"/>
      <c r="E54" s="100"/>
      <c r="F54" s="101"/>
      <c r="G54" s="102"/>
      <c r="H54" s="103"/>
      <c r="I54" s="104"/>
      <c r="J54" s="105"/>
      <c r="K54" s="106"/>
      <c r="L54" s="103"/>
      <c r="M54" s="103"/>
      <c r="N54" s="107"/>
      <c r="O54" s="93"/>
      <c r="P54" s="98"/>
      <c r="Q54" s="102"/>
      <c r="R54" s="108"/>
      <c r="S54" s="109"/>
      <c r="T54" s="109"/>
      <c r="U54" s="110"/>
      <c r="V54" s="110"/>
      <c r="W54" s="111"/>
      <c r="X54" s="97"/>
      <c r="Y54" s="8"/>
      <c r="Z54" s="8"/>
    </row>
    <row r="55" spans="2:26" ht="15.75" customHeight="1">
      <c r="B55" s="86"/>
      <c r="C55" s="112"/>
      <c r="D55" s="87"/>
      <c r="E55" s="88"/>
      <c r="F55" s="113"/>
      <c r="G55" s="94"/>
      <c r="H55" s="90"/>
      <c r="I55" s="91"/>
      <c r="J55" s="105"/>
      <c r="K55" s="89"/>
      <c r="L55" s="90"/>
      <c r="M55" s="90"/>
      <c r="N55" s="114"/>
      <c r="O55" s="93"/>
      <c r="P55" s="115"/>
      <c r="Q55" s="94"/>
      <c r="R55" s="94"/>
      <c r="S55" s="94"/>
      <c r="T55" s="94"/>
      <c r="U55" s="95"/>
      <c r="V55" s="95"/>
      <c r="W55" s="96"/>
      <c r="X55" s="97"/>
      <c r="Y55" s="8"/>
      <c r="Z55" s="8"/>
    </row>
    <row r="56" spans="2:26" ht="15.75" customHeight="1">
      <c r="B56" s="98"/>
      <c r="C56" s="99"/>
      <c r="D56" s="87"/>
      <c r="E56" s="100"/>
      <c r="F56" s="101"/>
      <c r="G56" s="102"/>
      <c r="H56" s="103"/>
      <c r="I56" s="104"/>
      <c r="J56" s="105"/>
      <c r="K56" s="106"/>
      <c r="L56" s="103"/>
      <c r="M56" s="103"/>
      <c r="N56" s="107"/>
      <c r="O56" s="93"/>
      <c r="P56" s="98"/>
      <c r="Q56" s="102"/>
      <c r="R56" s="108"/>
      <c r="S56" s="109"/>
      <c r="T56" s="109"/>
      <c r="U56" s="110"/>
      <c r="V56" s="110"/>
      <c r="W56" s="111"/>
      <c r="X56" s="97"/>
      <c r="Y56" s="8"/>
      <c r="Z56" s="116"/>
    </row>
    <row r="57" spans="2:26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96"/>
      <c r="X57" s="97"/>
      <c r="Y57" s="8"/>
      <c r="Z57" s="8"/>
    </row>
    <row r="58" spans="2:26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  <c r="X58" s="97"/>
      <c r="Y58" s="8"/>
      <c r="Z58" s="8"/>
    </row>
    <row r="59" spans="2:26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96"/>
      <c r="X59" s="97"/>
      <c r="Y59" s="8"/>
      <c r="Z59" s="8"/>
    </row>
    <row r="60" spans="2:26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  <c r="X60" s="97"/>
      <c r="Y60" s="8"/>
      <c r="Z60" s="8"/>
    </row>
    <row r="61" spans="2:26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96"/>
    </row>
    <row r="62" spans="2:26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6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96"/>
    </row>
    <row r="64" spans="2:26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1123</v>
      </c>
      <c r="G78" s="121">
        <f t="shared" si="0"/>
        <v>38234.880000000005</v>
      </c>
      <c r="H78" s="122">
        <f t="shared" si="0"/>
        <v>26368.880000000001</v>
      </c>
      <c r="I78" s="123">
        <f t="shared" si="0"/>
        <v>116252.89</v>
      </c>
      <c r="J78" s="124"/>
      <c r="K78" s="125">
        <f t="shared" ref="K78:M78" si="1">SUM(K19:K77)</f>
        <v>1123</v>
      </c>
      <c r="L78" s="122">
        <f t="shared" si="1"/>
        <v>20459.529999999995</v>
      </c>
      <c r="M78" s="123">
        <f t="shared" si="1"/>
        <v>64477.64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64477.64</v>
      </c>
      <c r="T78" s="123">
        <f t="shared" si="2"/>
        <v>2889206.58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2D20E3E0-BE9C-4003-9A2B-4A69D71518AB}">
      <formula1>$Y$12:$Y$13</formula1>
    </dataValidation>
    <dataValidation type="list" allowBlank="1" showErrorMessage="1" sqref="J14" xr:uid="{10D24A31-E35E-4573-A3B9-07C5D6196621}">
      <formula1>$L$9</formula1>
    </dataValidation>
    <dataValidation type="list" allowBlank="1" showErrorMessage="1" sqref="I14" xr:uid="{C739B741-EA70-45BB-B52F-717E58EE6F0A}">
      <formula1>$Y$14:$Y$15</formula1>
    </dataValidation>
    <dataValidation type="list" allowBlank="1" showErrorMessage="1" sqref="E19:E77" xr:uid="{219472FB-FA77-47C5-85FD-E0AB9473DAD0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CAT 303.5E</vt:lpstr>
      <vt:lpstr>CAT 320E L (WBK)</vt:lpstr>
      <vt:lpstr>CAT 320F L (YBM)</vt:lpstr>
      <vt:lpstr>CAT 320 (HEX)</vt:lpstr>
      <vt:lpstr>CAT 320 (MYK)</vt:lpstr>
      <vt:lpstr>CAT 329E L (ZCD)</vt:lpstr>
      <vt:lpstr>CAT 329F L (ERL)</vt:lpstr>
      <vt:lpstr>CAT 330F L (MBX)</vt:lpstr>
      <vt:lpstr>CAT 330F L (HCK)</vt:lpstr>
      <vt:lpstr>CAT 330 (LHW)</vt:lpstr>
      <vt:lpstr>CAT 330 (WCH)</vt:lpstr>
      <vt:lpstr>CAT 336F L (RKB)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2025-07-11T15:14:12Z</dcterms:modified>
</cp:coreProperties>
</file>