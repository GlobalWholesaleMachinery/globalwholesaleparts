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34B8C478-4220-4996-87FA-81523C5493F3}" xr6:coauthVersionLast="47" xr6:coauthVersionMax="47" xr10:uidLastSave="{00000000-0000-0000-0000-000000000000}"/>
  <bookViews>
    <workbookView xWindow="-120" yWindow="-120" windowWidth="20640" windowHeight="11160" firstSheet="8" activeTab="11" xr2:uid="{00000000-000D-0000-FFFF-FFFF00000000}"/>
  </bookViews>
  <sheets>
    <sheet name="Instructions" sheetId="1" r:id="rId1"/>
    <sheet name="CAT D3 (1PJ)" sheetId="2" r:id="rId2"/>
    <sheet name="CAT D4 (66J)XXX" sheetId="23" r:id="rId3"/>
    <sheet name="CAT D5 (3CR)" sheetId="24" r:id="rId4"/>
    <sheet name="CAT D6 (RDC)" sheetId="25" r:id="rId5"/>
    <sheet name="CAT D6N LGP (GHS)" sheetId="26" r:id="rId6"/>
    <sheet name="CAT D6N LGP (PBA)" sheetId="27" r:id="rId7"/>
    <sheet name="CAT D6N LGP (SGG)" sheetId="28" r:id="rId8"/>
    <sheet name="CAT D6T (MH7)" sheetId="29" r:id="rId9"/>
    <sheet name="CAT D7G (92V)" sheetId="30" r:id="rId10"/>
    <sheet name="CAT 561N (CPH)" sheetId="31" r:id="rId11"/>
    <sheet name="CAT PL61 (WGS)" sheetId="3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8" i="32" l="1"/>
  <c r="S78" i="32"/>
  <c r="R78" i="32"/>
  <c r="P7" i="32" s="1"/>
  <c r="Q78" i="32"/>
  <c r="M78" i="32"/>
  <c r="L78" i="32"/>
  <c r="K78" i="32"/>
  <c r="I78" i="32"/>
  <c r="P2" i="32" s="1"/>
  <c r="H78" i="32"/>
  <c r="G78" i="32"/>
  <c r="F78" i="32"/>
  <c r="P11" i="32" s="1"/>
  <c r="R18" i="32"/>
  <c r="I18" i="32"/>
  <c r="H18" i="32"/>
  <c r="E16" i="32"/>
  <c r="V15" i="32"/>
  <c r="P9" i="32" s="1"/>
  <c r="P8" i="32"/>
  <c r="P6" i="32"/>
  <c r="P3" i="32"/>
  <c r="P1" i="32"/>
  <c r="T78" i="31"/>
  <c r="S78" i="31"/>
  <c r="R78" i="31"/>
  <c r="Q78" i="31"/>
  <c r="M78" i="31"/>
  <c r="L78" i="31"/>
  <c r="K78" i="31"/>
  <c r="I78" i="31"/>
  <c r="P2" i="31" s="1"/>
  <c r="H78" i="31"/>
  <c r="G78" i="31"/>
  <c r="F78" i="31"/>
  <c r="P11" i="31" s="1"/>
  <c r="R18" i="31"/>
  <c r="I18" i="31"/>
  <c r="H18" i="31"/>
  <c r="E16" i="31"/>
  <c r="V15" i="31"/>
  <c r="P9" i="31" s="1"/>
  <c r="P7" i="31"/>
  <c r="P6" i="31"/>
  <c r="P3" i="31"/>
  <c r="P1" i="31"/>
  <c r="P8" i="31" s="1"/>
  <c r="T78" i="30"/>
  <c r="S78" i="30"/>
  <c r="R78" i="30"/>
  <c r="P7" i="30" s="1"/>
  <c r="Q78" i="30"/>
  <c r="M78" i="30"/>
  <c r="L78" i="30"/>
  <c r="K78" i="30"/>
  <c r="I78" i="30"/>
  <c r="P2" i="30" s="1"/>
  <c r="H78" i="30"/>
  <c r="G78" i="30"/>
  <c r="F78" i="30"/>
  <c r="P11" i="30" s="1"/>
  <c r="R18" i="30"/>
  <c r="I18" i="30"/>
  <c r="H18" i="30"/>
  <c r="E16" i="30"/>
  <c r="V15" i="30"/>
  <c r="P9" i="30" s="1"/>
  <c r="P8" i="30"/>
  <c r="P6" i="30"/>
  <c r="P3" i="30"/>
  <c r="P1" i="30"/>
  <c r="T78" i="29"/>
  <c r="S78" i="29"/>
  <c r="R78" i="29"/>
  <c r="P7" i="29" s="1"/>
  <c r="Q78" i="29"/>
  <c r="M78" i="29"/>
  <c r="L78" i="29"/>
  <c r="K78" i="29"/>
  <c r="I78" i="29"/>
  <c r="P2" i="29" s="1"/>
  <c r="H78" i="29"/>
  <c r="G78" i="29"/>
  <c r="F78" i="29"/>
  <c r="P11" i="29" s="1"/>
  <c r="R18" i="29"/>
  <c r="I18" i="29"/>
  <c r="H18" i="29"/>
  <c r="E16" i="29"/>
  <c r="V15" i="29"/>
  <c r="P9" i="29" s="1"/>
  <c r="P6" i="29"/>
  <c r="P3" i="29"/>
  <c r="P1" i="29"/>
  <c r="P8" i="29" s="1"/>
  <c r="T78" i="28"/>
  <c r="P6" i="28" s="1"/>
  <c r="S78" i="28"/>
  <c r="R78" i="28"/>
  <c r="Q78" i="28"/>
  <c r="M78" i="28"/>
  <c r="P3" i="28" s="1"/>
  <c r="L78" i="28"/>
  <c r="K78" i="28"/>
  <c r="I78" i="28"/>
  <c r="P2" i="28" s="1"/>
  <c r="P5" i="28" s="1"/>
  <c r="H78" i="28"/>
  <c r="G78" i="28"/>
  <c r="F78" i="28"/>
  <c r="R18" i="28"/>
  <c r="I18" i="28"/>
  <c r="H18" i="28"/>
  <c r="E16" i="28"/>
  <c r="V15" i="28"/>
  <c r="P9" i="28" s="1"/>
  <c r="P11" i="28"/>
  <c r="P7" i="28"/>
  <c r="P1" i="28"/>
  <c r="P8" i="28" s="1"/>
  <c r="T78" i="27"/>
  <c r="P6" i="27" s="1"/>
  <c r="S78" i="27"/>
  <c r="R78" i="27"/>
  <c r="Q78" i="27"/>
  <c r="M78" i="27"/>
  <c r="L78" i="27"/>
  <c r="K78" i="27"/>
  <c r="I78" i="27"/>
  <c r="P2" i="27" s="1"/>
  <c r="H78" i="27"/>
  <c r="G78" i="27"/>
  <c r="F78" i="27"/>
  <c r="P11" i="27" s="1"/>
  <c r="R18" i="27"/>
  <c r="I18" i="27"/>
  <c r="H18" i="27"/>
  <c r="E16" i="27"/>
  <c r="V15" i="27"/>
  <c r="P9" i="27" s="1"/>
  <c r="P8" i="27"/>
  <c r="P7" i="27"/>
  <c r="P3" i="27"/>
  <c r="P1" i="27"/>
  <c r="T78" i="26"/>
  <c r="S78" i="26"/>
  <c r="R78" i="26"/>
  <c r="P7" i="26" s="1"/>
  <c r="Q78" i="26"/>
  <c r="M78" i="26"/>
  <c r="L78" i="26"/>
  <c r="K78" i="26"/>
  <c r="I78" i="26"/>
  <c r="P2" i="26" s="1"/>
  <c r="H78" i="26"/>
  <c r="G78" i="26"/>
  <c r="F78" i="26"/>
  <c r="P11" i="26" s="1"/>
  <c r="R18" i="26"/>
  <c r="I18" i="26"/>
  <c r="H18" i="26"/>
  <c r="E16" i="26"/>
  <c r="V15" i="26"/>
  <c r="P9" i="26" s="1"/>
  <c r="P8" i="26"/>
  <c r="P6" i="26"/>
  <c r="P3" i="26"/>
  <c r="P1" i="26"/>
  <c r="T78" i="25"/>
  <c r="P6" i="25" s="1"/>
  <c r="S78" i="25"/>
  <c r="R78" i="25"/>
  <c r="Q78" i="25"/>
  <c r="M78" i="25"/>
  <c r="L78" i="25"/>
  <c r="K78" i="25"/>
  <c r="I78" i="25"/>
  <c r="P2" i="25" s="1"/>
  <c r="H78" i="25"/>
  <c r="G78" i="25"/>
  <c r="F78" i="25"/>
  <c r="P11" i="25" s="1"/>
  <c r="R18" i="25"/>
  <c r="I18" i="25"/>
  <c r="H18" i="25"/>
  <c r="E16" i="25"/>
  <c r="V15" i="25"/>
  <c r="P9" i="25" s="1"/>
  <c r="P8" i="25"/>
  <c r="P7" i="25"/>
  <c r="P3" i="25"/>
  <c r="P1" i="25"/>
  <c r="T78" i="24"/>
  <c r="S78" i="24"/>
  <c r="R78" i="24"/>
  <c r="P7" i="24" s="1"/>
  <c r="Q78" i="24"/>
  <c r="M78" i="24"/>
  <c r="L78" i="24"/>
  <c r="K78" i="24"/>
  <c r="I78" i="24"/>
  <c r="P2" i="24" s="1"/>
  <c r="H78" i="24"/>
  <c r="G78" i="24"/>
  <c r="F78" i="24"/>
  <c r="P11" i="24" s="1"/>
  <c r="R18" i="24"/>
  <c r="I18" i="24"/>
  <c r="H18" i="24"/>
  <c r="E16" i="24"/>
  <c r="V15" i="24"/>
  <c r="P9" i="24" s="1"/>
  <c r="P8" i="24"/>
  <c r="P6" i="24"/>
  <c r="P3" i="24"/>
  <c r="P1" i="24"/>
  <c r="T78" i="23"/>
  <c r="S78" i="23"/>
  <c r="R78" i="23"/>
  <c r="P7" i="23" s="1"/>
  <c r="Q78" i="23"/>
  <c r="M78" i="23"/>
  <c r="L78" i="23"/>
  <c r="K78" i="23"/>
  <c r="I78" i="23"/>
  <c r="P2" i="23" s="1"/>
  <c r="H78" i="23"/>
  <c r="G78" i="23"/>
  <c r="F78" i="23"/>
  <c r="P11" i="23" s="1"/>
  <c r="R18" i="23"/>
  <c r="I18" i="23"/>
  <c r="H18" i="23"/>
  <c r="E16" i="23"/>
  <c r="V15" i="23"/>
  <c r="P9" i="23" s="1"/>
  <c r="P8" i="23"/>
  <c r="P6" i="23"/>
  <c r="P3" i="23"/>
  <c r="P1" i="23"/>
  <c r="P5" i="32" l="1"/>
  <c r="P4" i="32"/>
  <c r="S9" i="32"/>
  <c r="T9" i="32" s="1"/>
  <c r="V9" i="32" s="1"/>
  <c r="U9" i="32"/>
  <c r="P5" i="31"/>
  <c r="P4" i="31"/>
  <c r="S9" i="31"/>
  <c r="T9" i="31" s="1"/>
  <c r="V9" i="31" s="1"/>
  <c r="P4" i="30"/>
  <c r="P5" i="30"/>
  <c r="S9" i="30"/>
  <c r="T9" i="30" s="1"/>
  <c r="V9" i="30" s="1"/>
  <c r="S9" i="29"/>
  <c r="T9" i="29" s="1"/>
  <c r="V9" i="29" s="1"/>
  <c r="P5" i="29"/>
  <c r="P4" i="29"/>
  <c r="U9" i="29"/>
  <c r="S9" i="28"/>
  <c r="U9" i="28"/>
  <c r="T9" i="28"/>
  <c r="V9" i="28" s="1"/>
  <c r="P4" i="28"/>
  <c r="P4" i="27"/>
  <c r="P5" i="27"/>
  <c r="S9" i="27"/>
  <c r="T9" i="27" s="1"/>
  <c r="V9" i="27" s="1"/>
  <c r="U9" i="27"/>
  <c r="S9" i="26"/>
  <c r="U9" i="26" s="1"/>
  <c r="P4" i="26"/>
  <c r="P5" i="26"/>
  <c r="S9" i="25"/>
  <c r="U9" i="25" s="1"/>
  <c r="P5" i="25"/>
  <c r="P4" i="25"/>
  <c r="S9" i="24"/>
  <c r="U9" i="24" s="1"/>
  <c r="P4" i="24"/>
  <c r="P5" i="24"/>
  <c r="S9" i="23"/>
  <c r="U9" i="23" s="1"/>
  <c r="P4" i="23"/>
  <c r="P5" i="23"/>
  <c r="U9" i="31" l="1"/>
  <c r="U9" i="30"/>
  <c r="T9" i="26"/>
  <c r="V9" i="26" s="1"/>
  <c r="T9" i="25"/>
  <c r="V9" i="25" s="1"/>
  <c r="T9" i="24"/>
  <c r="V9" i="24" s="1"/>
  <c r="T9" i="23"/>
  <c r="V9" i="23" s="1"/>
  <c r="Q78" i="2" l="1"/>
  <c r="G78" i="2"/>
  <c r="F78" i="2"/>
  <c r="P11" i="2" s="1"/>
  <c r="L78" i="2"/>
  <c r="K78" i="2"/>
  <c r="R18" i="2"/>
  <c r="I18" i="2"/>
  <c r="H18" i="2"/>
  <c r="E16" i="2"/>
  <c r="P1" i="2"/>
  <c r="P8" i="2" s="1"/>
  <c r="M78" i="2" l="1"/>
  <c r="P3" i="2" s="1"/>
  <c r="R78" i="2"/>
  <c r="P7" i="2" l="1"/>
  <c r="V15" i="2"/>
  <c r="P9" i="2" s="1"/>
  <c r="I78" i="2"/>
  <c r="P2" i="2" s="1"/>
  <c r="H78" i="2"/>
  <c r="S9" i="2" l="1"/>
  <c r="S78" i="2"/>
  <c r="T78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<sst xmlns="http://schemas.openxmlformats.org/spreadsheetml/2006/main" count="2247" uniqueCount="540">
  <si>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</si>
  <si>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</si>
  <si>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</si>
  <si>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</si>
  <si>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</si>
  <si>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</si>
  <si>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</si>
  <si>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</si>
  <si>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</si>
  <si>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</si>
  <si>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</si>
  <si>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</si>
  <si>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</si>
  <si>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</si>
  <si>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</si>
  <si>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</si>
  <si>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</si>
  <si>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</si>
  <si>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</si>
  <si>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</si>
  <si>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</si>
  <si>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</si>
  <si>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</si>
  <si>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</si>
  <si>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</si>
  <si>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</si>
  <si>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</si>
  <si>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</si>
  <si>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</si>
  <si>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</si>
  <si>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</si>
  <si>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</si>
  <si>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</si>
  <si>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</si>
  <si>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</si>
  <si>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</si>
  <si>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</si>
  <si>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</si>
  <si>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</si>
  <si>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</si>
  <si>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</si>
  <si>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</si>
  <si>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</si>
  <si>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</si>
  <si>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</si>
  <si>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</si>
  <si>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</si>
  <si>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</si>
  <si>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</si>
  <si>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</si>
  <si>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</si>
  <si>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</si>
  <si>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</si>
  <si>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</si>
  <si>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</si>
  <si>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</si>
  <si>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</si>
  <si>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</si>
  <si>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</si>
  <si>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</si>
  <si>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</si>
  <si>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</si>
  <si>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</si>
  <si>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</si>
  <si>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</si>
  <si>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</si>
  <si>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</si>
  <si>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</si>
  <si>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</si>
  <si>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</si>
  <si>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</si>
  <si>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</si>
  <si>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</si>
  <si>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</si>
  <si>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</si>
  <si>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</si>
  <si>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</si>
  <si>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</si>
  <si>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</si>
  <si>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</si>
  <si>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</si>
  <si>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</si>
  <si>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</si>
  <si>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</si>
  <si>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</si>
  <si>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</si>
  <si>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</si>
  <si>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</si>
  <si>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</si>
  <si>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</si>
  <si>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</si>
  <si>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</si>
  <si>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</si>
  <si>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</si>
  <si>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</si>
  <si>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</si>
  <si>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</si>
  <si>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</si>
  <si>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</si>
  <si>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</si>
  <si>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</si>
  <si>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</si>
  <si>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</si>
  <si>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</si>
  <si>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</si>
  <si>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</si>
  <si>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</si>
  <si>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</si>
  <si>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CAT</t>
  </si>
  <si>
    <t>ENGINE OIL FILTER</t>
  </si>
  <si>
    <t>PRIMARY AIR FILTER ELEMENT</t>
  </si>
  <si>
    <t>SECONDARY AIR FILTER ELEMENT</t>
  </si>
  <si>
    <t>CABIN AIR FILTER ELEMENT</t>
  </si>
  <si>
    <t>HYDRAULIC OIL FILTER</t>
  </si>
  <si>
    <t>CARRIER ROLLER</t>
  </si>
  <si>
    <t>CARRIER BOLT</t>
  </si>
  <si>
    <t>TRACK BOLT</t>
  </si>
  <si>
    <t>GQP ENGINE OVERHAUL KIT</t>
  </si>
  <si>
    <t>CRANKSHAFT ASSY</t>
  </si>
  <si>
    <t>CYLINDER HEAD</t>
  </si>
  <si>
    <t xml:space="preserve"> $-   </t>
  </si>
  <si>
    <t>360-8960</t>
  </si>
  <si>
    <t>479-4131</t>
  </si>
  <si>
    <t>FUEL WATER SEPARATOR</t>
  </si>
  <si>
    <t xml:space="preserve">HYDRAULIC OIL FILTER ELEMENT </t>
  </si>
  <si>
    <t>610-2300</t>
  </si>
  <si>
    <t>FUEL INJECTOR</t>
  </si>
  <si>
    <t>TURBOCHARGER ASSEMBLY</t>
  </si>
  <si>
    <t>SPROCKET BOLT</t>
  </si>
  <si>
    <t>TRACK IDLER</t>
  </si>
  <si>
    <t>IDLER BOLT</t>
  </si>
  <si>
    <t>SINGLE FLANGE TRACK ROLLER</t>
  </si>
  <si>
    <t>HEX HEAD BOLT</t>
  </si>
  <si>
    <t>FLAT WASHER</t>
  </si>
  <si>
    <t xml:space="preserve">TRACK LINK ASSEMBLY </t>
  </si>
  <si>
    <t xml:space="preserve">TRACK BOLT </t>
  </si>
  <si>
    <t>9W-3361</t>
  </si>
  <si>
    <t>FUEL WATER SEPARATOR ELEMENT</t>
  </si>
  <si>
    <t xml:space="preserve">SECONDARY AIR FILTER ELEMENT </t>
  </si>
  <si>
    <t>9X-3404</t>
  </si>
  <si>
    <t>SEAT SUSPENSION ASSEMBLY</t>
  </si>
  <si>
    <t>TRACK LINK ASSEMBLY</t>
  </si>
  <si>
    <t>TRACK NUT</t>
  </si>
  <si>
    <t>SECONDARY FUEL FILTER ELEMENT</t>
  </si>
  <si>
    <t>HYDRAULIC OIL FILTER ELEMENT</t>
  </si>
  <si>
    <t>SEAT ASSEMBLY</t>
  </si>
  <si>
    <t>8T-3282</t>
  </si>
  <si>
    <t>ROLLER BOLT</t>
  </si>
  <si>
    <t>SPROCKET NUT</t>
  </si>
  <si>
    <t>1R-1808</t>
  </si>
  <si>
    <t>1R-0749</t>
  </si>
  <si>
    <t>326-1643</t>
  </si>
  <si>
    <t>456-3509</t>
  </si>
  <si>
    <t>DZ417</t>
  </si>
  <si>
    <t>D6N LGP</t>
  </si>
  <si>
    <t>GHS00417</t>
  </si>
  <si>
    <t>C6E27530</t>
  </si>
  <si>
    <t>1R-0713</t>
  </si>
  <si>
    <t>1R-0750</t>
  </si>
  <si>
    <t>FUEL FILTER</t>
  </si>
  <si>
    <t>9P-7121</t>
  </si>
  <si>
    <t>**FUEL TANK STRAINER**</t>
  </si>
  <si>
    <t>1R-0746</t>
  </si>
  <si>
    <t xml:space="preserve">HYDRAULIC/TRANSMISSION OIL FILTER </t>
  </si>
  <si>
    <t>1R-0719</t>
  </si>
  <si>
    <t>4N-0326</t>
  </si>
  <si>
    <t>4N-0313</t>
  </si>
  <si>
    <t>153-5700</t>
  </si>
  <si>
    <t>BATTERY</t>
  </si>
  <si>
    <t>9C-3696</t>
  </si>
  <si>
    <t>553-8167</t>
  </si>
  <si>
    <t>314-9972</t>
  </si>
  <si>
    <t>190-7396</t>
  </si>
  <si>
    <t>SPROCKET SEGMENT</t>
  </si>
  <si>
    <t>9W-9265</t>
  </si>
  <si>
    <t>8H-5724</t>
  </si>
  <si>
    <t>5P-8245</t>
  </si>
  <si>
    <t>533-5536</t>
  </si>
  <si>
    <t>TRACK IDLER AND BEARING ASSY</t>
  </si>
  <si>
    <t>6S3609</t>
  </si>
  <si>
    <t>499-9049</t>
  </si>
  <si>
    <t>DOUBLE FLANGE TRACK ROLLER (GUIDE AR)*</t>
  </si>
  <si>
    <t>499-9026</t>
  </si>
  <si>
    <t>0S-1585</t>
  </si>
  <si>
    <t xml:space="preserve">HEX HEAD BOLT SF </t>
  </si>
  <si>
    <t>TRACK GROUP</t>
  </si>
  <si>
    <t>154-3642</t>
  </si>
  <si>
    <t>6T-2780</t>
  </si>
  <si>
    <t>TRACK SHOE SINGLE GROUSER 860MM</t>
  </si>
  <si>
    <t>6T-2779</t>
  </si>
  <si>
    <t>TRACK SHOE MASTER</t>
  </si>
  <si>
    <t>5A-3187</t>
  </si>
  <si>
    <t>7K-2017</t>
  </si>
  <si>
    <t>3G-3424</t>
  </si>
  <si>
    <t>BLADE AS</t>
  </si>
  <si>
    <t>4T-6230</t>
  </si>
  <si>
    <t>CUTTING EDGE</t>
  </si>
  <si>
    <t>4T-6229</t>
  </si>
  <si>
    <t>END BIT</t>
  </si>
  <si>
    <t>3F-5108</t>
  </si>
  <si>
    <t>BOLT</t>
  </si>
  <si>
    <t>4K-0367</t>
  </si>
  <si>
    <t>NUT</t>
  </si>
  <si>
    <t>5P-8247</t>
  </si>
  <si>
    <t>WASHER</t>
  </si>
  <si>
    <t>8J-5299</t>
  </si>
  <si>
    <t>RIPPER SHANK</t>
  </si>
  <si>
    <t>8E-6209</t>
  </si>
  <si>
    <t>TIP PIN RETAINER</t>
  </si>
  <si>
    <t>3B-4632</t>
  </si>
  <si>
    <t>COTTER PIN</t>
  </si>
  <si>
    <t>6B-5464</t>
  </si>
  <si>
    <t>DOWEL PIN</t>
  </si>
  <si>
    <t>1U-3202</t>
  </si>
  <si>
    <t>TIP SHORT</t>
  </si>
  <si>
    <t>8E-6208</t>
  </si>
  <si>
    <t>G.E.T PIN</t>
  </si>
  <si>
    <t>CUSTOM-GQPD3OK</t>
  </si>
  <si>
    <t>GQP OVERHAUL KIT</t>
  </si>
  <si>
    <t>6I-2378</t>
  </si>
  <si>
    <t>Dozer</t>
  </si>
  <si>
    <t>1R-1807</t>
  </si>
  <si>
    <t>1R0750</t>
  </si>
  <si>
    <t>SECONDARY FUEL FILTER</t>
  </si>
  <si>
    <t>8N-9803</t>
  </si>
  <si>
    <t>1R-0777</t>
  </si>
  <si>
    <t>169-4019</t>
  </si>
  <si>
    <t>7W-5389</t>
  </si>
  <si>
    <t>2S-1285</t>
  </si>
  <si>
    <t>CUSTOM-GQPD4SSA</t>
  </si>
  <si>
    <t>321-3600</t>
  </si>
  <si>
    <t>285-3414</t>
  </si>
  <si>
    <t>4V-4106</t>
  </si>
  <si>
    <t>4N-2955</t>
  </si>
  <si>
    <t>3B4504Â </t>
  </si>
  <si>
    <t>1M-8867</t>
  </si>
  <si>
    <t xml:space="preserve">TRACK IDLER </t>
  </si>
  <si>
    <t>6K-9880</t>
  </si>
  <si>
    <t>118-1609</t>
  </si>
  <si>
    <t>118-1608</t>
  </si>
  <si>
    <t>541-4630</t>
  </si>
  <si>
    <t>177-2347</t>
  </si>
  <si>
    <t>177-2348</t>
  </si>
  <si>
    <t>6V-1792</t>
  </si>
  <si>
    <t>106-1642</t>
  </si>
  <si>
    <t>TRACK BOLT MASTER</t>
  </si>
  <si>
    <t>107-0719</t>
  </si>
  <si>
    <t>1S1860</t>
  </si>
  <si>
    <t>1R-0751</t>
  </si>
  <si>
    <t>PRIMARY FUEL FILTER</t>
  </si>
  <si>
    <t>1R-0753</t>
  </si>
  <si>
    <t>117-4089</t>
  </si>
  <si>
    <t>HYDRAULIC/TRANSMISSION OIL FILTER</t>
  </si>
  <si>
    <t>6I-2499</t>
  </si>
  <si>
    <t>6I-2500</t>
  </si>
  <si>
    <t>8Y-6179</t>
  </si>
  <si>
    <t>SEAT/SUSPENSION ASSEMBLY</t>
  </si>
  <si>
    <t>127-8216</t>
  </si>
  <si>
    <t>104-5857</t>
  </si>
  <si>
    <t>108-0946</t>
  </si>
  <si>
    <t>3S-8182</t>
  </si>
  <si>
    <t>7H-3607</t>
  </si>
  <si>
    <t>6V-4316</t>
  </si>
  <si>
    <t>190-1551</t>
  </si>
  <si>
    <t>124-8240</t>
  </si>
  <si>
    <t>DOUBLE FLANGE TRACK ROLLER</t>
  </si>
  <si>
    <t>124-8237</t>
  </si>
  <si>
    <t>CUSTOM-GQPD530"TG</t>
  </si>
  <si>
    <t>108-0954</t>
  </si>
  <si>
    <t>216-6286</t>
  </si>
  <si>
    <t>TRACK SHOE SINGLE GROUSER 760MM</t>
  </si>
  <si>
    <t>3T-3889</t>
  </si>
  <si>
    <t>9G-8592</t>
  </si>
  <si>
    <t>3T-3884</t>
  </si>
  <si>
    <t>9G-3110</t>
  </si>
  <si>
    <t>1M-1408</t>
  </si>
  <si>
    <t>CUSTOM-GQPD5ABA</t>
  </si>
  <si>
    <t>ANGLING BLADE ASSY</t>
  </si>
  <si>
    <t>4T-8940</t>
  </si>
  <si>
    <t>4T-5408</t>
  </si>
  <si>
    <t>END BIT LH</t>
  </si>
  <si>
    <t>4T-5407</t>
  </si>
  <si>
    <t>END BIT RH</t>
  </si>
  <si>
    <t>5J-4773</t>
  </si>
  <si>
    <t>PLOW BOLT</t>
  </si>
  <si>
    <t>5P-8248</t>
  </si>
  <si>
    <t>2J-3506</t>
  </si>
  <si>
    <t xml:space="preserve">HEX NUT </t>
  </si>
  <si>
    <t>9J-8913</t>
  </si>
  <si>
    <t>136-8308</t>
  </si>
  <si>
    <t>RIPPER PIN</t>
  </si>
  <si>
    <t>114-0359</t>
  </si>
  <si>
    <t>RETAINER</t>
  </si>
  <si>
    <t>6Y-0309</t>
  </si>
  <si>
    <t>RIPPER</t>
  </si>
  <si>
    <t>CUSTOM-GQPD5OK</t>
  </si>
  <si>
    <t xml:space="preserve">GQP ENGINE OVERHAUL KIT </t>
  </si>
  <si>
    <t>134-5276</t>
  </si>
  <si>
    <t>CAMSHAFT</t>
  </si>
  <si>
    <t>489-2731</t>
  </si>
  <si>
    <t>CRANKSHAFT</t>
  </si>
  <si>
    <t>160-5130</t>
  </si>
  <si>
    <t>DZ0524</t>
  </si>
  <si>
    <t>D6</t>
  </si>
  <si>
    <t>RDC00524</t>
  </si>
  <si>
    <t>XWE03771</t>
  </si>
  <si>
    <t>FUEL WATER SEPARATOR FILTER</t>
  </si>
  <si>
    <t>571-5253</t>
  </si>
  <si>
    <t>577-1435</t>
  </si>
  <si>
    <t>331-8108</t>
  </si>
  <si>
    <t>545-8339</t>
  </si>
  <si>
    <t>490-6505</t>
  </si>
  <si>
    <t>491-4518</t>
  </si>
  <si>
    <t>504-5774</t>
  </si>
  <si>
    <t>HEX NUT</t>
  </si>
  <si>
    <t>235-5974</t>
  </si>
  <si>
    <t>213-5007</t>
  </si>
  <si>
    <t>8T-4123</t>
  </si>
  <si>
    <t>202-4296</t>
  </si>
  <si>
    <t>8T-0656</t>
  </si>
  <si>
    <t>153-5044</t>
  </si>
  <si>
    <t>CUSTOM-GQPD630"TG</t>
  </si>
  <si>
    <t>30" GQP TRACK GROUP</t>
  </si>
  <si>
    <t>596-4526</t>
  </si>
  <si>
    <t>TRACK LINK 46 JOINT</t>
  </si>
  <si>
    <t>6Y-8973</t>
  </si>
  <si>
    <t>TRACK SHOE</t>
  </si>
  <si>
    <t>1S-1860</t>
  </si>
  <si>
    <t>6Y-6300</t>
  </si>
  <si>
    <t>MASTER SHOE</t>
  </si>
  <si>
    <t>9S-1838</t>
  </si>
  <si>
    <t>MASTER TRACK BOLT</t>
  </si>
  <si>
    <t>617-1913</t>
  </si>
  <si>
    <t>INJECTOR</t>
  </si>
  <si>
    <t>575-9942</t>
  </si>
  <si>
    <t>TURBO KIT</t>
  </si>
  <si>
    <t>1PJ</t>
  </si>
  <si>
    <t>66J</t>
  </si>
  <si>
    <t>3CR</t>
  </si>
  <si>
    <t>462-1171</t>
  </si>
  <si>
    <t>308-1502</t>
  </si>
  <si>
    <t>326-1644</t>
  </si>
  <si>
    <t>FUEL WATER SEPARATOR **VERIFY**</t>
  </si>
  <si>
    <t>328-3655</t>
  </si>
  <si>
    <t>9T-8578</t>
  </si>
  <si>
    <t>252-5001</t>
  </si>
  <si>
    <t>252-5002</t>
  </si>
  <si>
    <t>191-2933</t>
  </si>
  <si>
    <t>489-6483</t>
  </si>
  <si>
    <t>320-0690</t>
  </si>
  <si>
    <t>569-6097</t>
  </si>
  <si>
    <t>6I-8077</t>
  </si>
  <si>
    <t>6V-0937</t>
  </si>
  <si>
    <t>2S-5658</t>
  </si>
  <si>
    <t>190-1546</t>
  </si>
  <si>
    <t>229-5446</t>
  </si>
  <si>
    <t>310-4918</t>
  </si>
  <si>
    <t>310-4912</t>
  </si>
  <si>
    <t>196-7078</t>
  </si>
  <si>
    <t>FRONT WEAR STRIP 16MM</t>
  </si>
  <si>
    <t>196-7074</t>
  </si>
  <si>
    <t>REAR WEAR STRIP 16MM</t>
  </si>
  <si>
    <t>251-8601</t>
  </si>
  <si>
    <t>IDLER SCRAPER</t>
  </si>
  <si>
    <t>8T-4192</t>
  </si>
  <si>
    <t>259-2627</t>
  </si>
  <si>
    <t>8T-4223</t>
  </si>
  <si>
    <t>222-1796</t>
  </si>
  <si>
    <t>222-1797</t>
  </si>
  <si>
    <t>4T-2315</t>
  </si>
  <si>
    <t>8E-9378</t>
  </si>
  <si>
    <t>8E-9379</t>
  </si>
  <si>
    <t>DZ594</t>
  </si>
  <si>
    <t>PBA00594</t>
  </si>
  <si>
    <t>C8N06557</t>
  </si>
  <si>
    <t xml:space="preserve">HYDRAULIC OIL FILTER  </t>
  </si>
  <si>
    <t>539-6920</t>
  </si>
  <si>
    <t>346-6694</t>
  </si>
  <si>
    <t>151-0914</t>
  </si>
  <si>
    <t>PRIMARY CABIN AIR FILTER ELEMENT</t>
  </si>
  <si>
    <t>329-3243</t>
  </si>
  <si>
    <t>SECONDARY CABIN AIR FILTER ELEMENT</t>
  </si>
  <si>
    <t>615-6119</t>
  </si>
  <si>
    <t>**MACHINE EQUIPPED W/SYSTEM ONE**</t>
  </si>
  <si>
    <t>323-1168</t>
  </si>
  <si>
    <t>7X-2532</t>
  </si>
  <si>
    <t>8T-4131</t>
  </si>
  <si>
    <t>240-9557</t>
  </si>
  <si>
    <t>8T-0281</t>
  </si>
  <si>
    <t>9X-8268</t>
  </si>
  <si>
    <t>353-2186</t>
  </si>
  <si>
    <t>FRONT WEAR PLATE</t>
  </si>
  <si>
    <t>353-2187</t>
  </si>
  <si>
    <t>REAR WEAR PLATE</t>
  </si>
  <si>
    <t>561-1069</t>
  </si>
  <si>
    <t>267-6099</t>
  </si>
  <si>
    <t>TRACK SHOE 860MM</t>
  </si>
  <si>
    <t>294-4813</t>
  </si>
  <si>
    <t>318-2375</t>
  </si>
  <si>
    <t>TRACK LINK MASTER</t>
  </si>
  <si>
    <t>6Y-0846</t>
  </si>
  <si>
    <t>254-0225</t>
  </si>
  <si>
    <t>9J-8923</t>
  </si>
  <si>
    <t>6Y-0352</t>
  </si>
  <si>
    <t>RIPPER TIP</t>
  </si>
  <si>
    <t>8J-2190</t>
  </si>
  <si>
    <t>114-0358</t>
  </si>
  <si>
    <t>GROOVED PIN</t>
  </si>
  <si>
    <t>3B-5325</t>
  </si>
  <si>
    <t>DZ1PJ</t>
  </si>
  <si>
    <t>DZ66J</t>
  </si>
  <si>
    <t>DZ3CR</t>
  </si>
  <si>
    <t>DZ475</t>
  </si>
  <si>
    <t>SGG00475</t>
  </si>
  <si>
    <t>D8T38335</t>
  </si>
  <si>
    <t>525-6205</t>
  </si>
  <si>
    <t>IN-LINE FUEL FILTER</t>
  </si>
  <si>
    <t>528-7222</t>
  </si>
  <si>
    <t>529-0132</t>
  </si>
  <si>
    <t>8T-0359</t>
  </si>
  <si>
    <t xml:space="preserve">IDLER CAP BOLT - FRONT </t>
  </si>
  <si>
    <t>8T-0282</t>
  </si>
  <si>
    <t>IDLER CAP BOLT - REAR</t>
  </si>
  <si>
    <t>HEX BOLT</t>
  </si>
  <si>
    <t>310-4915</t>
  </si>
  <si>
    <t>TRACK LINK ASSEMBLY - 46 JOINT</t>
  </si>
  <si>
    <t>356-3429</t>
  </si>
  <si>
    <t>TRACK SHOE 835MM</t>
  </si>
  <si>
    <t>356-3430</t>
  </si>
  <si>
    <t>RIPPER RETAINER</t>
  </si>
  <si>
    <t>DZ901</t>
  </si>
  <si>
    <t>D6T</t>
  </si>
  <si>
    <t>MH700901</t>
  </si>
  <si>
    <t>SYE28341</t>
  </si>
  <si>
    <t>112-7448</t>
  </si>
  <si>
    <t>476-1146</t>
  </si>
  <si>
    <t>173-0946</t>
  </si>
  <si>
    <t>6V-9167</t>
  </si>
  <si>
    <t>IDLER CAP BOLT</t>
  </si>
  <si>
    <t>288-0936</t>
  </si>
  <si>
    <t>288-0934</t>
  </si>
  <si>
    <t>6V-3669</t>
  </si>
  <si>
    <t>565-4423</t>
  </si>
  <si>
    <t>540-3825</t>
  </si>
  <si>
    <t>TRACK SHOE RH - 790MM - OFFSET</t>
  </si>
  <si>
    <t>540-3827</t>
  </si>
  <si>
    <t>TRACK SHOE LH - 790MM - OFFSET</t>
  </si>
  <si>
    <t>540-3826</t>
  </si>
  <si>
    <t>TRACK SHOE MASTER RH</t>
  </si>
  <si>
    <t>540-3828</t>
  </si>
  <si>
    <t>TRACK SHOE MASTER LH</t>
  </si>
  <si>
    <t>229-6958</t>
  </si>
  <si>
    <t>9W-8874</t>
  </si>
  <si>
    <t>9W-8875</t>
  </si>
  <si>
    <t>484-8282</t>
  </si>
  <si>
    <t>6Y-0359</t>
  </si>
  <si>
    <t>RIPPER TOOTH</t>
  </si>
  <si>
    <t>RETAINING PIN</t>
  </si>
  <si>
    <t>D7G</t>
  </si>
  <si>
    <t>92V</t>
  </si>
  <si>
    <t>DZ92V</t>
  </si>
  <si>
    <t>2P-4004</t>
  </si>
  <si>
    <t>513-4490</t>
  </si>
  <si>
    <t>4T-3132</t>
  </si>
  <si>
    <t>7W-5317</t>
  </si>
  <si>
    <t>9S-9972</t>
  </si>
  <si>
    <t>6P-6664</t>
  </si>
  <si>
    <t>7W-8910</t>
  </si>
  <si>
    <t>8P-8174</t>
  </si>
  <si>
    <t>282-3655</t>
  </si>
  <si>
    <t>224-1311</t>
  </si>
  <si>
    <t>SPROCKET HUB</t>
  </si>
  <si>
    <t>428-0056</t>
  </si>
  <si>
    <t>0S-1594</t>
  </si>
  <si>
    <t>377-2989</t>
  </si>
  <si>
    <t>551-2067</t>
  </si>
  <si>
    <t>DUAL FLANGE ROLLER</t>
  </si>
  <si>
    <t>4S9051Â </t>
  </si>
  <si>
    <t>SINGLE FLANGE ROLLER</t>
  </si>
  <si>
    <t>CUSTOM-GQPD7G30"TG</t>
  </si>
  <si>
    <t>456-1742</t>
  </si>
  <si>
    <t>TRACK LINK 38 JOINT</t>
  </si>
  <si>
    <t>376-1274</t>
  </si>
  <si>
    <t>7h-3599</t>
  </si>
  <si>
    <t>1s-1860</t>
  </si>
  <si>
    <t>376-1275</t>
  </si>
  <si>
    <t>9w-9058</t>
  </si>
  <si>
    <t>3j6571</t>
  </si>
  <si>
    <t>BLADE ASSEMBLY</t>
  </si>
  <si>
    <t>614-7778</t>
  </si>
  <si>
    <t>CUSTOM-GQPD7GSOK</t>
  </si>
  <si>
    <t>SILVER ENGINE OVERHAUL KIT</t>
  </si>
  <si>
    <t>7E-9980</t>
  </si>
  <si>
    <t>CAMSHAFT ASSY</t>
  </si>
  <si>
    <t>334-8389</t>
  </si>
  <si>
    <t>8N-1187</t>
  </si>
  <si>
    <t>7N-2515</t>
  </si>
  <si>
    <t>TURBOCHARGER</t>
  </si>
  <si>
    <t>8N-7005</t>
  </si>
  <si>
    <t>INJECTORS</t>
  </si>
  <si>
    <t>561N</t>
  </si>
  <si>
    <t>CPH</t>
  </si>
  <si>
    <t>DZCPH</t>
  </si>
  <si>
    <t>500-0483</t>
  </si>
  <si>
    <t>146-6695</t>
  </si>
  <si>
    <t>1R0749</t>
  </si>
  <si>
    <t>472-7939</t>
  </si>
  <si>
    <t>178-6342</t>
  </si>
  <si>
    <t>INJECTROR</t>
  </si>
  <si>
    <t>187-1603</t>
  </si>
  <si>
    <t>526-7416</t>
  </si>
  <si>
    <t>SEAT ASSY</t>
  </si>
  <si>
    <t>FRONT TRACK IDLER</t>
  </si>
  <si>
    <t>357-6019</t>
  </si>
  <si>
    <t>SPROCKET</t>
  </si>
  <si>
    <t>SPROCKET WASHER</t>
  </si>
  <si>
    <t>CUSTOM-GQP-561N30"TG</t>
  </si>
  <si>
    <t>TRACK LINK ASSY</t>
  </si>
  <si>
    <t>6T-0232</t>
  </si>
  <si>
    <t>CUSOTM-GQP-516NOK</t>
  </si>
  <si>
    <t>216-7921</t>
  </si>
  <si>
    <t>278-4843</t>
  </si>
  <si>
    <t>PL61</t>
  </si>
  <si>
    <t>Pipelayer</t>
  </si>
  <si>
    <t>1G-8878</t>
  </si>
  <si>
    <t>209-8217</t>
  </si>
  <si>
    <t>255-8095</t>
  </si>
  <si>
    <t>375-6431</t>
  </si>
  <si>
    <t>192-4744</t>
  </si>
  <si>
    <t>358-8557</t>
  </si>
  <si>
    <t>365-0751</t>
  </si>
  <si>
    <t>365-0752</t>
  </si>
  <si>
    <t>CUSTOM-GQPPL6130"TG</t>
  </si>
  <si>
    <t>110-2976</t>
  </si>
  <si>
    <t>TRACK LINK 39 JOINT</t>
  </si>
  <si>
    <t>379-8893</t>
  </si>
  <si>
    <t>379-8894</t>
  </si>
  <si>
    <t>CUSOTM-GQPPL61OK</t>
  </si>
  <si>
    <t>DZWGS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</si>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</sst>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5" fillId="5" borderId="23" xfId="0" applyFont="1" applyFill="1" applyBorder="1" applyAlignment="1">
      <alignment horizontal="left"/>
    </xf>
    <xf numFmtId="0" fontId="5" fillId="5" borderId="1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2" borderId="41" xfId="0" applyNumberFormat="1" applyFont="1" applyFill="1" applyBorder="1"/>
    <xf numFmtId="10" fontId="5" fillId="5" borderId="65" xfId="0" applyNumberFormat="1" applyFont="1" applyFill="1" applyBorder="1"/>
    <xf numFmtId="10" fontId="5" fillId="2" borderId="65" xfId="0" applyNumberFormat="1" applyFont="1" applyFill="1" applyBorder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4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7EA615C-5597-477E-9E88-8269B5ED3D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6968836-C247-4F55-B792-54727B5AA2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687FA18-EC92-41F5-8EE0-69625F2C74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FE8E793-DA0F-4AC1-8257-0123DF2994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5AA5851-CF57-4224-AF3A-14F17793CA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0360535-4EAD-44FB-831D-4BA2899A50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97DCDFC-BD5A-478E-9975-42D9768435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E774217B-C163-41E9-BDCB-48921EC818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F6D7DA4-C7BB-4446-B1C2-9A1CEAFB24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891EAB5-C126-4892-B513-00B67C4434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78"/>
  <sheetViews>
    <sheetView zoomScale="70" zoomScaleNormal="70" workbookViewId="0">
      <pane ySplit="18" topLeftCell="A19" activePane="bottomLeft" state="frozen"/>
      <selection pane="bottomLeft" activeCell="G3" sqref="G3:H3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409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127660.06999999995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2010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69856.81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57803.259999999951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>
      <c r="B5" s="20" t="s">
        <v>49</v>
      </c>
      <c r="C5" s="11"/>
      <c r="D5" s="130" t="s">
        <v>50</v>
      </c>
      <c r="E5" s="131"/>
      <c r="F5" s="132"/>
      <c r="G5" s="225" t="s">
        <v>154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0.45279044575175287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336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3288391.8700000015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69856.81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220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1061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157</v>
      </c>
      <c r="C19" t="s">
        <v>109</v>
      </c>
      <c r="D19" s="87"/>
      <c r="E19" s="88"/>
      <c r="F19">
        <v>1</v>
      </c>
      <c r="G19" s="231">
        <v>27.68</v>
      </c>
      <c r="H19" s="231">
        <v>19.09</v>
      </c>
      <c r="I19" s="231">
        <v>27.68</v>
      </c>
      <c r="J19" s="92"/>
      <c r="K19">
        <v>1</v>
      </c>
      <c r="L19" s="231">
        <v>13.84</v>
      </c>
      <c r="M19" s="231">
        <v>13.84</v>
      </c>
      <c r="N19" s="232">
        <v>0.5</v>
      </c>
      <c r="O19" s="232"/>
      <c r="P19" s="86"/>
      <c r="Q19" s="94"/>
      <c r="R19" s="94"/>
      <c r="S19" s="231">
        <v>13.84</v>
      </c>
      <c r="T19" s="231">
        <v>13.84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158</v>
      </c>
      <c r="C20" t="s">
        <v>159</v>
      </c>
      <c r="D20" s="87"/>
      <c r="E20" s="100"/>
      <c r="F20">
        <v>1</v>
      </c>
      <c r="G20" s="231">
        <v>42.69</v>
      </c>
      <c r="H20" s="231">
        <v>29.44</v>
      </c>
      <c r="I20" s="231">
        <v>42.69</v>
      </c>
      <c r="J20" s="105"/>
      <c r="K20">
        <v>1</v>
      </c>
      <c r="L20" s="231">
        <v>21.35</v>
      </c>
      <c r="M20" s="231">
        <v>21.35</v>
      </c>
      <c r="N20" s="232">
        <v>0.49990000000000001</v>
      </c>
      <c r="O20" s="232"/>
      <c r="P20" s="98"/>
      <c r="Q20" s="102"/>
      <c r="R20" s="108"/>
      <c r="S20" s="231">
        <v>21.35</v>
      </c>
      <c r="T20" s="231">
        <v>21.35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160</v>
      </c>
      <c r="C21" t="s">
        <v>161</v>
      </c>
      <c r="D21" s="227"/>
      <c r="E21" s="100"/>
      <c r="F21">
        <v>1</v>
      </c>
      <c r="G21" s="231">
        <v>127.92</v>
      </c>
      <c r="H21" s="231">
        <v>88.22</v>
      </c>
      <c r="I21" s="231">
        <v>127.92</v>
      </c>
      <c r="J21" s="228"/>
      <c r="K21">
        <v>1</v>
      </c>
      <c r="L21" s="231">
        <v>83.15</v>
      </c>
      <c r="M21" s="231">
        <v>83.15</v>
      </c>
      <c r="N21" s="232">
        <v>0.35</v>
      </c>
      <c r="O21" s="232"/>
      <c r="P21" s="98"/>
      <c r="Q21" s="102"/>
      <c r="R21" s="108"/>
      <c r="S21" s="231">
        <v>83.15</v>
      </c>
      <c r="T21" s="231">
        <v>83.15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162</v>
      </c>
      <c r="C22" t="s">
        <v>163</v>
      </c>
      <c r="D22" s="227"/>
      <c r="E22" s="100"/>
      <c r="F22">
        <v>1</v>
      </c>
      <c r="G22" s="231">
        <v>47.44</v>
      </c>
      <c r="H22" s="231">
        <v>32.72</v>
      </c>
      <c r="I22" s="231">
        <v>47.44</v>
      </c>
      <c r="J22" s="228"/>
      <c r="K22">
        <v>1</v>
      </c>
      <c r="L22" s="231">
        <v>23.72</v>
      </c>
      <c r="M22" s="231">
        <v>23.72</v>
      </c>
      <c r="N22" s="232">
        <v>0.5</v>
      </c>
      <c r="O22" s="232"/>
      <c r="P22" s="98"/>
      <c r="Q22" s="102"/>
      <c r="R22" s="108"/>
      <c r="S22" s="231">
        <v>23.72</v>
      </c>
      <c r="T22" s="231">
        <v>23.72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164</v>
      </c>
      <c r="C23" t="s">
        <v>113</v>
      </c>
      <c r="D23" s="227"/>
      <c r="E23" s="100"/>
      <c r="F23">
        <v>1</v>
      </c>
      <c r="G23" s="231">
        <v>38.32</v>
      </c>
      <c r="H23" s="231">
        <v>26.43</v>
      </c>
      <c r="I23" s="231">
        <v>38.32</v>
      </c>
      <c r="J23" s="228"/>
      <c r="K23">
        <v>1</v>
      </c>
      <c r="L23" s="231">
        <v>19.16</v>
      </c>
      <c r="M23" s="231">
        <v>19.16</v>
      </c>
      <c r="N23" s="232">
        <v>0.5</v>
      </c>
      <c r="O23" s="232"/>
      <c r="P23" s="98"/>
      <c r="Q23" s="102"/>
      <c r="R23" s="108"/>
      <c r="S23" s="231">
        <v>19.16</v>
      </c>
      <c r="T23" s="231">
        <v>19.16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165</v>
      </c>
      <c r="C24" t="s">
        <v>110</v>
      </c>
      <c r="D24" s="227"/>
      <c r="E24" s="100"/>
      <c r="F24">
        <v>1</v>
      </c>
      <c r="G24" s="231">
        <v>91.61</v>
      </c>
      <c r="H24" s="231">
        <v>63.18</v>
      </c>
      <c r="I24" s="231">
        <v>91.61</v>
      </c>
      <c r="J24" s="228"/>
      <c r="K24">
        <v>1</v>
      </c>
      <c r="L24" s="231">
        <v>59.55</v>
      </c>
      <c r="M24" s="231">
        <v>59.55</v>
      </c>
      <c r="N24" s="232">
        <v>0.35</v>
      </c>
      <c r="O24" s="232"/>
      <c r="P24" s="98"/>
      <c r="Q24" s="102"/>
      <c r="R24" s="108"/>
      <c r="S24" s="231">
        <v>59.55</v>
      </c>
      <c r="T24" s="231">
        <v>59.55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166</v>
      </c>
      <c r="C25" t="s">
        <v>111</v>
      </c>
      <c r="D25" s="227"/>
      <c r="E25" s="100"/>
      <c r="F25">
        <v>1</v>
      </c>
      <c r="G25" s="231">
        <v>77.260000000000005</v>
      </c>
      <c r="H25" s="231">
        <v>53.28</v>
      </c>
      <c r="I25" s="231">
        <v>77.260000000000005</v>
      </c>
      <c r="J25" s="228"/>
      <c r="K25">
        <v>1</v>
      </c>
      <c r="L25" s="231">
        <v>50.22</v>
      </c>
      <c r="M25" s="231">
        <v>50.22</v>
      </c>
      <c r="N25" s="232">
        <v>0.35</v>
      </c>
      <c r="O25" s="232"/>
      <c r="P25" s="98"/>
      <c r="Q25" s="102"/>
      <c r="R25" s="108"/>
      <c r="S25" s="231">
        <v>50.22</v>
      </c>
      <c r="T25" s="231">
        <v>50.22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D26" s="227"/>
      <c r="E26" s="100"/>
      <c r="H26" t="s">
        <v>120</v>
      </c>
      <c r="I26" t="s">
        <v>120</v>
      </c>
      <c r="J26" s="228"/>
      <c r="K26">
        <v>0</v>
      </c>
      <c r="L26" t="s">
        <v>120</v>
      </c>
      <c r="M26" t="s">
        <v>120</v>
      </c>
      <c r="O26" s="232"/>
      <c r="P26" s="98"/>
      <c r="Q26" s="102"/>
      <c r="R26" s="108"/>
      <c r="S26" t="s">
        <v>120</v>
      </c>
      <c r="T26" t="s">
        <v>120</v>
      </c>
      <c r="U26" s="232">
        <v>0</v>
      </c>
      <c r="V26" s="232">
        <v>0</v>
      </c>
      <c r="W26" s="229"/>
      <c r="X26" s="230"/>
      <c r="Y26" s="8"/>
      <c r="Z26" s="8"/>
    </row>
    <row r="27" spans="2:26">
      <c r="B27" t="s">
        <v>167</v>
      </c>
      <c r="C27" t="s">
        <v>168</v>
      </c>
      <c r="D27" s="227"/>
      <c r="E27" s="100"/>
      <c r="F27">
        <v>1</v>
      </c>
      <c r="G27" s="231">
        <v>726.37</v>
      </c>
      <c r="H27" s="231">
        <v>500.94</v>
      </c>
      <c r="I27" s="231">
        <v>726.37</v>
      </c>
      <c r="J27" s="228"/>
      <c r="K27">
        <v>1</v>
      </c>
      <c r="L27" s="231">
        <v>363.19</v>
      </c>
      <c r="M27" s="231">
        <v>363.19</v>
      </c>
      <c r="N27" s="232">
        <v>0.5</v>
      </c>
      <c r="O27" s="232"/>
      <c r="P27" s="98"/>
      <c r="Q27" s="102"/>
      <c r="R27" s="108"/>
      <c r="S27" s="231">
        <v>363.19</v>
      </c>
      <c r="T27" s="231">
        <v>363.19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169</v>
      </c>
      <c r="C28" t="s">
        <v>145</v>
      </c>
      <c r="D28" s="227"/>
      <c r="E28" s="100"/>
      <c r="F28">
        <v>1</v>
      </c>
      <c r="G28" s="231">
        <v>5796.13</v>
      </c>
      <c r="H28" s="231">
        <v>3997.33</v>
      </c>
      <c r="I28" s="231">
        <v>5796.13</v>
      </c>
      <c r="J28" s="228"/>
      <c r="K28">
        <v>1</v>
      </c>
      <c r="L28" s="231">
        <v>2898.07</v>
      </c>
      <c r="M28" s="231">
        <v>2898.07</v>
      </c>
      <c r="N28" s="232">
        <v>0.5</v>
      </c>
      <c r="P28" s="98"/>
      <c r="Q28" s="102"/>
      <c r="R28" s="108"/>
      <c r="S28" s="231">
        <v>2898.07</v>
      </c>
      <c r="T28" s="231">
        <v>2898.07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170</v>
      </c>
      <c r="C29" t="s">
        <v>126</v>
      </c>
      <c r="D29" s="227"/>
      <c r="E29" s="100"/>
      <c r="F29">
        <v>4</v>
      </c>
      <c r="G29" s="231">
        <v>1132.93</v>
      </c>
      <c r="H29" s="231">
        <v>781.33</v>
      </c>
      <c r="I29" s="231">
        <v>4531.72</v>
      </c>
      <c r="J29" s="228"/>
      <c r="K29">
        <v>4</v>
      </c>
      <c r="L29" s="231">
        <v>793.06</v>
      </c>
      <c r="M29" s="231">
        <v>3172.24</v>
      </c>
      <c r="N29" s="232">
        <v>0.3</v>
      </c>
      <c r="O29" s="232"/>
      <c r="P29" s="98"/>
      <c r="Q29" s="102"/>
      <c r="R29" s="108"/>
      <c r="S29" s="231">
        <v>3172.24</v>
      </c>
      <c r="T29" s="231">
        <v>12688.96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171</v>
      </c>
      <c r="C30" t="s">
        <v>127</v>
      </c>
      <c r="D30" s="227"/>
      <c r="E30" s="100"/>
      <c r="F30">
        <v>1</v>
      </c>
      <c r="G30" s="231">
        <v>4384.51</v>
      </c>
      <c r="H30" s="231">
        <v>3023.8</v>
      </c>
      <c r="I30" s="231">
        <v>4384.51</v>
      </c>
      <c r="J30" s="228"/>
      <c r="K30">
        <v>1</v>
      </c>
      <c r="L30" s="231">
        <v>2192.2600000000002</v>
      </c>
      <c r="M30" s="231">
        <v>2192.2600000000002</v>
      </c>
      <c r="N30" s="232">
        <v>0.5</v>
      </c>
      <c r="O30" s="232"/>
      <c r="P30" s="98"/>
      <c r="Q30" s="102"/>
      <c r="R30" s="108"/>
      <c r="S30" s="231">
        <v>2192.2600000000002</v>
      </c>
      <c r="T30" s="231">
        <v>2192.2600000000002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120</v>
      </c>
      <c r="I31" t="s">
        <v>120</v>
      </c>
      <c r="J31" s="228"/>
      <c r="K31">
        <v>0</v>
      </c>
      <c r="L31" t="s">
        <v>120</v>
      </c>
      <c r="M31" t="s">
        <v>120</v>
      </c>
      <c r="O31" s="232"/>
      <c r="P31" s="98"/>
      <c r="Q31" s="102"/>
      <c r="R31" s="108"/>
      <c r="S31" t="s">
        <v>120</v>
      </c>
      <c r="T31" t="s">
        <v>120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B32" t="s">
        <v>172</v>
      </c>
      <c r="C32" t="s">
        <v>173</v>
      </c>
      <c r="D32" s="227"/>
      <c r="E32" s="100"/>
      <c r="F32">
        <v>10</v>
      </c>
      <c r="G32" s="231">
        <v>134.41999999999999</v>
      </c>
      <c r="H32" s="231">
        <v>92.7</v>
      </c>
      <c r="I32" s="231">
        <v>1344.2</v>
      </c>
      <c r="J32" s="228"/>
      <c r="K32">
        <v>10</v>
      </c>
      <c r="L32" s="231">
        <v>73.930000000000007</v>
      </c>
      <c r="M32" s="231">
        <v>739.3</v>
      </c>
      <c r="N32" s="232">
        <v>0.45</v>
      </c>
      <c r="O32" s="232"/>
      <c r="P32" s="98"/>
      <c r="Q32" s="102"/>
      <c r="R32" s="108"/>
      <c r="S32" s="231">
        <v>739.3</v>
      </c>
      <c r="T32" s="231">
        <v>7393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174</v>
      </c>
      <c r="C33" t="s">
        <v>128</v>
      </c>
      <c r="D33" s="227"/>
      <c r="E33" s="100"/>
      <c r="F33">
        <v>50</v>
      </c>
      <c r="G33" s="231">
        <v>1.46</v>
      </c>
      <c r="H33" s="231">
        <v>1.01</v>
      </c>
      <c r="I33" s="231">
        <v>73</v>
      </c>
      <c r="J33" s="228"/>
      <c r="K33">
        <v>50</v>
      </c>
      <c r="L33" s="231">
        <v>0.8</v>
      </c>
      <c r="M33" s="231">
        <v>40</v>
      </c>
      <c r="N33" s="232">
        <v>0.4521</v>
      </c>
      <c r="O33" s="232"/>
      <c r="P33" s="98"/>
      <c r="Q33" s="102"/>
      <c r="R33" s="108"/>
      <c r="S33" s="231">
        <v>40</v>
      </c>
      <c r="T33" s="231">
        <v>2000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175</v>
      </c>
      <c r="C34" t="s">
        <v>148</v>
      </c>
      <c r="D34" s="227"/>
      <c r="E34" s="100"/>
      <c r="F34">
        <v>50</v>
      </c>
      <c r="G34" s="231">
        <v>0.67</v>
      </c>
      <c r="H34" s="231">
        <v>0.46</v>
      </c>
      <c r="I34" s="231">
        <v>33.5</v>
      </c>
      <c r="J34" s="228"/>
      <c r="K34">
        <v>50</v>
      </c>
      <c r="L34" s="231">
        <v>0.37</v>
      </c>
      <c r="M34" s="231">
        <v>18.5</v>
      </c>
      <c r="N34" s="232">
        <v>0.44779999999999998</v>
      </c>
      <c r="O34" s="232"/>
      <c r="P34" s="98"/>
      <c r="Q34" s="102"/>
      <c r="R34" s="108"/>
      <c r="S34" s="231">
        <v>18.5</v>
      </c>
      <c r="T34" s="231">
        <v>925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176</v>
      </c>
      <c r="C35" t="s">
        <v>133</v>
      </c>
      <c r="D35" s="227"/>
      <c r="E35" s="100"/>
      <c r="F35">
        <v>50</v>
      </c>
      <c r="G35" s="231">
        <v>1.86</v>
      </c>
      <c r="H35" s="231">
        <v>1.28</v>
      </c>
      <c r="I35" s="231">
        <v>93</v>
      </c>
      <c r="J35" s="228"/>
      <c r="K35">
        <v>50</v>
      </c>
      <c r="L35" s="231">
        <v>1.02</v>
      </c>
      <c r="M35" s="231">
        <v>51</v>
      </c>
      <c r="N35" s="232">
        <v>0.4516</v>
      </c>
      <c r="O35" s="232"/>
      <c r="P35" s="98"/>
      <c r="Q35" s="102"/>
      <c r="R35" s="108"/>
      <c r="S35" s="231">
        <v>51</v>
      </c>
      <c r="T35" s="231">
        <v>2550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D36" s="227"/>
      <c r="E36" s="100"/>
      <c r="H36" t="s">
        <v>120</v>
      </c>
      <c r="I36" t="s">
        <v>120</v>
      </c>
      <c r="J36" s="228"/>
      <c r="K36">
        <v>0</v>
      </c>
      <c r="L36" t="s">
        <v>120</v>
      </c>
      <c r="M36" t="s">
        <v>120</v>
      </c>
      <c r="O36" s="232"/>
      <c r="P36" s="98"/>
      <c r="Q36" s="102"/>
      <c r="R36" s="108"/>
      <c r="S36" t="s">
        <v>120</v>
      </c>
      <c r="T36" t="s">
        <v>120</v>
      </c>
      <c r="U36" s="232">
        <v>0</v>
      </c>
      <c r="V36" s="232">
        <v>0</v>
      </c>
      <c r="W36" s="229"/>
      <c r="X36" s="230"/>
      <c r="Y36" s="8"/>
      <c r="Z36" s="8"/>
    </row>
    <row r="37" spans="2:26">
      <c r="B37" t="s">
        <v>177</v>
      </c>
      <c r="C37" t="s">
        <v>178</v>
      </c>
      <c r="D37" s="227"/>
      <c r="E37" s="100"/>
      <c r="F37">
        <v>2</v>
      </c>
      <c r="G37" s="231">
        <v>1859.1</v>
      </c>
      <c r="H37" s="231">
        <v>1282.1400000000001</v>
      </c>
      <c r="I37" s="231">
        <v>3718.2</v>
      </c>
      <c r="J37" s="228"/>
      <c r="K37">
        <v>2</v>
      </c>
      <c r="L37" s="231">
        <v>1022.51</v>
      </c>
      <c r="M37" s="231">
        <v>2045.02</v>
      </c>
      <c r="N37" s="232">
        <v>0.45</v>
      </c>
      <c r="P37" s="98"/>
      <c r="Q37" s="102"/>
      <c r="R37" s="108"/>
      <c r="S37" s="231">
        <v>2045.02</v>
      </c>
      <c r="T37" s="231">
        <v>4090.04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179</v>
      </c>
      <c r="C38" t="s">
        <v>114</v>
      </c>
      <c r="D38" s="227"/>
      <c r="E38" s="100"/>
      <c r="F38">
        <v>2</v>
      </c>
      <c r="G38" s="231">
        <v>493.88</v>
      </c>
      <c r="H38" s="231">
        <v>340.61</v>
      </c>
      <c r="I38" s="231">
        <v>987.76</v>
      </c>
      <c r="J38" s="228"/>
      <c r="K38">
        <v>2</v>
      </c>
      <c r="L38" s="231">
        <v>271.63</v>
      </c>
      <c r="M38" s="231">
        <v>543.26</v>
      </c>
      <c r="N38" s="232">
        <v>0.45</v>
      </c>
      <c r="O38" s="232"/>
      <c r="P38" s="98"/>
      <c r="Q38" s="102"/>
      <c r="R38" s="108"/>
      <c r="S38" s="231">
        <v>543.26</v>
      </c>
      <c r="T38" s="231">
        <v>1086.52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180</v>
      </c>
      <c r="C39" t="s">
        <v>181</v>
      </c>
      <c r="D39" s="227"/>
      <c r="E39" s="100"/>
      <c r="F39">
        <v>8</v>
      </c>
      <c r="G39" s="231">
        <v>623.29</v>
      </c>
      <c r="H39" s="231">
        <v>429.86</v>
      </c>
      <c r="I39" s="231">
        <v>4986.32</v>
      </c>
      <c r="J39" s="228"/>
      <c r="K39">
        <v>8</v>
      </c>
      <c r="L39" s="231">
        <v>342.82</v>
      </c>
      <c r="M39" s="231">
        <v>2742.56</v>
      </c>
      <c r="N39" s="232">
        <v>0.45</v>
      </c>
      <c r="O39" s="232"/>
      <c r="P39" s="98"/>
      <c r="Q39" s="102"/>
      <c r="R39" s="108"/>
      <c r="S39" s="231">
        <v>2742.56</v>
      </c>
      <c r="T39" s="231">
        <v>21940.48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182</v>
      </c>
      <c r="C40" t="s">
        <v>131</v>
      </c>
      <c r="D40" s="227"/>
      <c r="E40" s="100"/>
      <c r="F40">
        <v>12</v>
      </c>
      <c r="G40" s="231">
        <v>579.6</v>
      </c>
      <c r="H40" s="231">
        <v>399.72</v>
      </c>
      <c r="I40" s="231">
        <v>6955.2</v>
      </c>
      <c r="J40" s="228"/>
      <c r="K40">
        <v>12</v>
      </c>
      <c r="L40" s="231">
        <v>318.77999999999997</v>
      </c>
      <c r="M40" s="231">
        <v>3825.36</v>
      </c>
      <c r="N40" s="232">
        <v>0.45</v>
      </c>
      <c r="O40" s="232"/>
      <c r="P40" s="98"/>
      <c r="Q40" s="102"/>
      <c r="R40" s="108"/>
      <c r="S40" s="231">
        <v>3825.36</v>
      </c>
      <c r="T40" s="231">
        <v>45904.32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183</v>
      </c>
      <c r="C41" t="s">
        <v>184</v>
      </c>
      <c r="D41" s="227"/>
      <c r="E41" s="100"/>
      <c r="F41">
        <v>16</v>
      </c>
      <c r="G41" s="231">
        <v>2.78</v>
      </c>
      <c r="H41" s="231">
        <v>1.92</v>
      </c>
      <c r="I41" s="231">
        <v>44.48</v>
      </c>
      <c r="J41" s="228"/>
      <c r="K41">
        <v>16</v>
      </c>
      <c r="L41" s="231">
        <v>1.53</v>
      </c>
      <c r="M41" s="231">
        <v>24.48</v>
      </c>
      <c r="N41" s="232">
        <v>0.4496</v>
      </c>
      <c r="O41" s="232"/>
      <c r="P41" s="98"/>
      <c r="Q41" s="102"/>
      <c r="R41" s="108"/>
      <c r="S41" s="231">
        <v>24.48</v>
      </c>
      <c r="T41" s="231">
        <v>391.68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D42" s="227"/>
      <c r="E42" s="100"/>
      <c r="H42" t="s">
        <v>120</v>
      </c>
      <c r="I42" t="s">
        <v>120</v>
      </c>
      <c r="J42" s="228"/>
      <c r="K42">
        <v>0</v>
      </c>
      <c r="L42" t="s">
        <v>120</v>
      </c>
      <c r="M42" t="s">
        <v>120</v>
      </c>
      <c r="P42" s="98"/>
      <c r="Q42" s="102"/>
      <c r="R42" s="108"/>
      <c r="S42" t="s">
        <v>120</v>
      </c>
      <c r="T42" t="s">
        <v>120</v>
      </c>
      <c r="U42" s="232">
        <v>0</v>
      </c>
      <c r="V42" s="232">
        <v>0</v>
      </c>
      <c r="W42" s="229"/>
      <c r="X42" s="230"/>
      <c r="Y42" s="8"/>
      <c r="Z42" s="8"/>
    </row>
    <row r="43" spans="2:26">
      <c r="C43" t="s">
        <v>185</v>
      </c>
      <c r="D43" s="227"/>
      <c r="E43" s="100"/>
      <c r="F43">
        <v>2</v>
      </c>
      <c r="H43" t="s">
        <v>120</v>
      </c>
      <c r="I43" t="s">
        <v>120</v>
      </c>
      <c r="J43" s="228"/>
      <c r="K43">
        <v>2</v>
      </c>
      <c r="L43" t="s">
        <v>120</v>
      </c>
      <c r="M43" t="s">
        <v>120</v>
      </c>
      <c r="O43" s="232"/>
      <c r="P43" s="98"/>
      <c r="Q43" s="102"/>
      <c r="R43" s="108"/>
      <c r="S43" t="s">
        <v>120</v>
      </c>
      <c r="T43" t="s">
        <v>120</v>
      </c>
      <c r="U43" s="232">
        <v>0</v>
      </c>
      <c r="V43" s="232">
        <v>0</v>
      </c>
      <c r="W43" s="229"/>
      <c r="X43" s="230"/>
      <c r="Y43" s="8"/>
      <c r="Z43" s="8"/>
    </row>
    <row r="44" spans="2:26">
      <c r="B44" t="s">
        <v>186</v>
      </c>
      <c r="C44" t="s">
        <v>141</v>
      </c>
      <c r="D44" s="227"/>
      <c r="E44" s="100"/>
      <c r="F44">
        <v>2</v>
      </c>
      <c r="G44" s="231">
        <v>3975.66</v>
      </c>
      <c r="H44" s="231">
        <v>2741.83</v>
      </c>
      <c r="I44" s="231">
        <v>7951.32</v>
      </c>
      <c r="J44" s="228"/>
      <c r="K44">
        <v>2</v>
      </c>
      <c r="L44" s="231">
        <v>2186.61</v>
      </c>
      <c r="M44" s="231">
        <v>4373.22</v>
      </c>
      <c r="N44" s="232">
        <v>0.45</v>
      </c>
      <c r="P44" s="98"/>
      <c r="Q44" s="102"/>
      <c r="R44" s="108"/>
      <c r="S44" s="231">
        <v>4373.22</v>
      </c>
      <c r="T44" s="231">
        <v>8746.44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187</v>
      </c>
      <c r="C45" t="s">
        <v>188</v>
      </c>
      <c r="D45" s="227"/>
      <c r="E45" s="100"/>
      <c r="F45">
        <v>86</v>
      </c>
      <c r="G45" s="231">
        <v>693.26</v>
      </c>
      <c r="H45" s="231">
        <v>478.11</v>
      </c>
      <c r="I45" s="231">
        <v>59620.36</v>
      </c>
      <c r="J45" s="228"/>
      <c r="K45">
        <v>86</v>
      </c>
      <c r="L45" s="231">
        <v>381.29</v>
      </c>
      <c r="M45" s="231">
        <v>32790.94</v>
      </c>
      <c r="N45" s="232">
        <v>0.45</v>
      </c>
      <c r="P45" s="98"/>
      <c r="Q45" s="102"/>
      <c r="R45" s="108"/>
      <c r="S45" s="231">
        <v>32790.94</v>
      </c>
      <c r="T45" s="231">
        <v>2820020.84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189</v>
      </c>
      <c r="C46" t="s">
        <v>190</v>
      </c>
      <c r="D46" s="227"/>
      <c r="E46" s="100"/>
      <c r="F46">
        <v>2</v>
      </c>
      <c r="G46" s="231">
        <v>729.52</v>
      </c>
      <c r="H46" s="231">
        <v>503.12</v>
      </c>
      <c r="I46" s="231">
        <v>1459.04</v>
      </c>
      <c r="J46" s="228"/>
      <c r="K46">
        <v>2</v>
      </c>
      <c r="L46" s="231">
        <v>401.24</v>
      </c>
      <c r="M46" s="231">
        <v>802.48</v>
      </c>
      <c r="N46" s="232">
        <v>0.45</v>
      </c>
      <c r="P46" s="98"/>
      <c r="Q46" s="102"/>
      <c r="R46" s="108"/>
      <c r="S46" s="231">
        <v>802.48</v>
      </c>
      <c r="T46" s="231">
        <v>1604.96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191</v>
      </c>
      <c r="C47" t="s">
        <v>116</v>
      </c>
      <c r="D47" s="227"/>
      <c r="E47" s="100"/>
      <c r="F47">
        <v>344</v>
      </c>
      <c r="G47" s="231">
        <v>3.73</v>
      </c>
      <c r="H47" s="231">
        <v>2.57</v>
      </c>
      <c r="I47" s="231">
        <v>1283.1199999999999</v>
      </c>
      <c r="J47" s="228"/>
      <c r="K47">
        <v>344</v>
      </c>
      <c r="L47" s="231">
        <v>2.06</v>
      </c>
      <c r="M47" s="231">
        <v>708.64</v>
      </c>
      <c r="N47" s="232">
        <v>0.44769999999999999</v>
      </c>
      <c r="P47" s="98"/>
      <c r="Q47" s="102"/>
      <c r="R47" s="108"/>
      <c r="S47" s="231">
        <v>708.64</v>
      </c>
      <c r="T47" s="231">
        <v>243772.16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192</v>
      </c>
      <c r="C48" t="s">
        <v>142</v>
      </c>
      <c r="D48" s="227"/>
      <c r="E48" s="100"/>
      <c r="F48">
        <v>344</v>
      </c>
      <c r="G48" s="231">
        <v>1.47</v>
      </c>
      <c r="H48" s="231">
        <v>1.01</v>
      </c>
      <c r="I48" s="231">
        <v>505.68</v>
      </c>
      <c r="J48" s="228"/>
      <c r="K48">
        <v>344</v>
      </c>
      <c r="L48" s="231">
        <v>0.81</v>
      </c>
      <c r="M48" s="231">
        <v>278.64</v>
      </c>
      <c r="N48" s="232">
        <v>0.44900000000000001</v>
      </c>
      <c r="O48" s="232"/>
      <c r="P48" s="98"/>
      <c r="Q48" s="102"/>
      <c r="R48" s="108"/>
      <c r="S48" s="231">
        <v>278.64</v>
      </c>
      <c r="T48" s="231">
        <v>95852.160000000003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D49" s="87"/>
      <c r="E49" s="88"/>
      <c r="H49" t="s">
        <v>120</v>
      </c>
      <c r="I49" t="s">
        <v>120</v>
      </c>
      <c r="J49" s="105"/>
      <c r="K49">
        <v>0</v>
      </c>
      <c r="L49" t="s">
        <v>120</v>
      </c>
      <c r="M49" t="s">
        <v>120</v>
      </c>
      <c r="O49" s="232"/>
      <c r="P49" s="115"/>
      <c r="Q49" s="94"/>
      <c r="R49" s="94"/>
      <c r="S49" t="s">
        <v>120</v>
      </c>
      <c r="T49" t="s">
        <v>120</v>
      </c>
      <c r="U49" s="232">
        <v>0</v>
      </c>
      <c r="V49" s="232">
        <v>0</v>
      </c>
      <c r="W49" s="96"/>
      <c r="X49" s="97"/>
      <c r="Y49" s="8"/>
      <c r="Z49" s="8"/>
    </row>
    <row r="50" spans="2:26" ht="15.75" customHeight="1">
      <c r="D50" s="87"/>
      <c r="E50" s="100"/>
      <c r="H50" t="s">
        <v>120</v>
      </c>
      <c r="I50" t="s">
        <v>120</v>
      </c>
      <c r="J50" s="105"/>
      <c r="K50">
        <v>0</v>
      </c>
      <c r="L50" t="s">
        <v>120</v>
      </c>
      <c r="M50" t="s">
        <v>120</v>
      </c>
      <c r="O50" s="232"/>
      <c r="P50" s="98"/>
      <c r="Q50" s="102"/>
      <c r="R50" s="108"/>
      <c r="S50" t="s">
        <v>120</v>
      </c>
      <c r="T50" t="s">
        <v>120</v>
      </c>
      <c r="U50" s="232">
        <v>0</v>
      </c>
      <c r="V50" s="232">
        <v>0</v>
      </c>
      <c r="W50" s="111"/>
      <c r="X50" s="97"/>
      <c r="Y50" s="8"/>
      <c r="Z50" s="8"/>
    </row>
    <row r="51" spans="2:26" ht="15.75" customHeight="1">
      <c r="B51" t="s">
        <v>193</v>
      </c>
      <c r="C51" t="s">
        <v>194</v>
      </c>
      <c r="D51" s="87"/>
      <c r="E51" s="88"/>
      <c r="F51">
        <v>1</v>
      </c>
      <c r="G51" s="231">
        <v>11144.2</v>
      </c>
      <c r="H51" s="231">
        <v>7685.66</v>
      </c>
      <c r="I51" s="231">
        <v>11144.2</v>
      </c>
      <c r="J51" s="105"/>
      <c r="K51">
        <v>1</v>
      </c>
      <c r="L51" s="231">
        <v>6129.31</v>
      </c>
      <c r="M51" s="231">
        <v>6129.31</v>
      </c>
      <c r="N51" s="232">
        <v>0.45</v>
      </c>
      <c r="O51" s="232"/>
      <c r="P51" s="115"/>
      <c r="Q51" s="94"/>
      <c r="R51" s="94"/>
      <c r="S51" s="231">
        <v>6129.31</v>
      </c>
      <c r="T51" s="231">
        <v>6129.31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t="s">
        <v>195</v>
      </c>
      <c r="C52" t="s">
        <v>196</v>
      </c>
      <c r="D52" s="87"/>
      <c r="E52" s="100"/>
      <c r="F52">
        <v>2</v>
      </c>
      <c r="G52" s="231">
        <v>195.02</v>
      </c>
      <c r="H52" s="231">
        <v>134.5</v>
      </c>
      <c r="I52" s="231">
        <v>390.04</v>
      </c>
      <c r="J52" s="105"/>
      <c r="K52">
        <v>2</v>
      </c>
      <c r="L52" s="231">
        <v>107.26</v>
      </c>
      <c r="M52" s="231">
        <v>214.52</v>
      </c>
      <c r="N52" s="232">
        <v>0.45</v>
      </c>
      <c r="O52" s="93"/>
      <c r="P52" s="98"/>
      <c r="Q52" s="102"/>
      <c r="R52" s="108"/>
      <c r="S52" s="231">
        <v>214.52</v>
      </c>
      <c r="T52" s="231">
        <v>429.04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t="s">
        <v>197</v>
      </c>
      <c r="C53" t="s">
        <v>198</v>
      </c>
      <c r="D53" s="87"/>
      <c r="E53" s="88"/>
      <c r="F53">
        <v>2</v>
      </c>
      <c r="G53" s="231">
        <v>73.28</v>
      </c>
      <c r="H53" s="231">
        <v>50.54</v>
      </c>
      <c r="I53" s="231">
        <v>146.56</v>
      </c>
      <c r="J53" s="105"/>
      <c r="K53">
        <v>2</v>
      </c>
      <c r="L53" s="231">
        <v>40.299999999999997</v>
      </c>
      <c r="M53" s="231">
        <v>80.599999999999994</v>
      </c>
      <c r="N53" s="232">
        <v>0.4501</v>
      </c>
      <c r="O53" s="93"/>
      <c r="P53" s="115"/>
      <c r="Q53" s="94"/>
      <c r="R53" s="94"/>
      <c r="S53" s="231">
        <v>80.599999999999994</v>
      </c>
      <c r="T53" s="231">
        <v>161.19999999999999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B54" t="s">
        <v>199</v>
      </c>
      <c r="C54" t="s">
        <v>200</v>
      </c>
      <c r="D54" s="87"/>
      <c r="E54" s="100"/>
      <c r="F54">
        <v>18</v>
      </c>
      <c r="G54" s="231">
        <v>3.22</v>
      </c>
      <c r="H54" s="231">
        <v>2.2200000000000002</v>
      </c>
      <c r="I54" s="231">
        <v>57.96</v>
      </c>
      <c r="J54" s="105"/>
      <c r="K54">
        <v>18</v>
      </c>
      <c r="L54" s="231">
        <v>1.77</v>
      </c>
      <c r="M54" s="231">
        <v>31.86</v>
      </c>
      <c r="N54" s="232">
        <v>0.45029999999999998</v>
      </c>
      <c r="O54" s="93"/>
      <c r="P54" s="98"/>
      <c r="Q54" s="102"/>
      <c r="R54" s="108"/>
      <c r="S54" s="231">
        <v>31.86</v>
      </c>
      <c r="T54" s="231">
        <v>573.48</v>
      </c>
      <c r="U54" s="232">
        <v>0</v>
      </c>
      <c r="V54" s="232">
        <v>1</v>
      </c>
      <c r="W54" s="111"/>
      <c r="X54" s="97"/>
      <c r="Y54" s="8"/>
      <c r="Z54" s="8"/>
    </row>
    <row r="55" spans="2:26" ht="15.75" customHeight="1">
      <c r="B55" t="s">
        <v>201</v>
      </c>
      <c r="C55" t="s">
        <v>202</v>
      </c>
      <c r="D55" s="87"/>
      <c r="E55" s="88"/>
      <c r="F55">
        <v>18</v>
      </c>
      <c r="G55" s="231">
        <v>2.44</v>
      </c>
      <c r="H55" s="231">
        <v>1.68</v>
      </c>
      <c r="I55" s="231">
        <v>43.92</v>
      </c>
      <c r="J55" s="105"/>
      <c r="K55">
        <v>18</v>
      </c>
      <c r="L55" s="231">
        <v>1.34</v>
      </c>
      <c r="M55" s="231">
        <v>24.12</v>
      </c>
      <c r="N55" s="232">
        <v>0.45079999999999998</v>
      </c>
      <c r="O55" s="93"/>
      <c r="P55" s="115"/>
      <c r="Q55" s="94"/>
      <c r="R55" s="94"/>
      <c r="S55" s="231">
        <v>24.12</v>
      </c>
      <c r="T55" s="231">
        <v>434.16</v>
      </c>
      <c r="U55" s="232">
        <v>0</v>
      </c>
      <c r="V55" s="232">
        <v>1</v>
      </c>
      <c r="W55" s="96"/>
      <c r="X55" s="97"/>
      <c r="Y55" s="8"/>
      <c r="Z55" s="8"/>
    </row>
    <row r="56" spans="2:26" ht="15.75" customHeight="1">
      <c r="B56" t="s">
        <v>203</v>
      </c>
      <c r="C56" t="s">
        <v>204</v>
      </c>
      <c r="D56" s="87"/>
      <c r="E56" s="100"/>
      <c r="F56">
        <v>18</v>
      </c>
      <c r="G56" s="231">
        <v>2.83</v>
      </c>
      <c r="H56" s="231">
        <v>1.95</v>
      </c>
      <c r="I56" s="231">
        <v>50.94</v>
      </c>
      <c r="J56" s="105"/>
      <c r="K56">
        <v>18</v>
      </c>
      <c r="L56" s="231">
        <v>1.56</v>
      </c>
      <c r="M56" s="231">
        <v>28.08</v>
      </c>
      <c r="N56" s="232">
        <v>0.44879999999999998</v>
      </c>
      <c r="O56" s="93"/>
      <c r="P56" s="98"/>
      <c r="Q56" s="102"/>
      <c r="R56" s="108"/>
      <c r="S56" s="231">
        <v>28.08</v>
      </c>
      <c r="T56" s="231">
        <v>505.44</v>
      </c>
      <c r="U56" s="232">
        <v>0</v>
      </c>
      <c r="V56" s="232">
        <v>1</v>
      </c>
      <c r="W56" s="111"/>
      <c r="X56" s="97"/>
      <c r="Y56" s="8"/>
      <c r="Z56" s="116"/>
    </row>
    <row r="57" spans="2:26" ht="15.75" customHeight="1">
      <c r="B57" t="s">
        <v>205</v>
      </c>
      <c r="C57" t="s">
        <v>206</v>
      </c>
      <c r="D57" s="87"/>
      <c r="E57" s="88"/>
      <c r="F57">
        <v>1</v>
      </c>
      <c r="G57" s="231">
        <v>446.79</v>
      </c>
      <c r="H57" s="231">
        <v>308.13</v>
      </c>
      <c r="I57" s="231">
        <v>446.79</v>
      </c>
      <c r="J57" s="105"/>
      <c r="K57">
        <v>1</v>
      </c>
      <c r="L57" s="231">
        <v>245.74</v>
      </c>
      <c r="M57" s="231">
        <v>245.74</v>
      </c>
      <c r="N57" s="232">
        <v>0.45</v>
      </c>
      <c r="O57" s="93"/>
      <c r="P57" s="115"/>
      <c r="Q57" s="94"/>
      <c r="R57" s="94"/>
      <c r="S57" s="231">
        <v>245.74</v>
      </c>
      <c r="T57" s="231">
        <v>245.74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B58" s="233" t="s">
        <v>207</v>
      </c>
      <c r="C58" t="s">
        <v>208</v>
      </c>
      <c r="D58" s="87"/>
      <c r="E58" s="100"/>
      <c r="F58">
        <v>1</v>
      </c>
      <c r="G58" s="231">
        <v>9.4499999999999993</v>
      </c>
      <c r="H58" s="231">
        <v>6.52</v>
      </c>
      <c r="I58" s="231">
        <v>9.4499999999999993</v>
      </c>
      <c r="J58" s="105"/>
      <c r="K58">
        <v>1</v>
      </c>
      <c r="L58" s="231">
        <v>5.2</v>
      </c>
      <c r="M58" s="231">
        <v>5.2</v>
      </c>
      <c r="N58" s="232">
        <v>0.44969999999999999</v>
      </c>
      <c r="O58" s="93"/>
      <c r="P58" s="98"/>
      <c r="Q58" s="102"/>
      <c r="R58" s="108"/>
      <c r="S58" s="231">
        <v>5.2</v>
      </c>
      <c r="T58" s="231">
        <v>5.2</v>
      </c>
      <c r="U58" s="232">
        <v>0</v>
      </c>
      <c r="V58" s="232">
        <v>1</v>
      </c>
      <c r="W58" s="111"/>
      <c r="X58" s="97"/>
      <c r="Y58" s="8"/>
      <c r="Z58" s="8"/>
    </row>
    <row r="59" spans="2:26" ht="15.75" customHeight="1">
      <c r="B59" t="s">
        <v>209</v>
      </c>
      <c r="C59" t="s">
        <v>210</v>
      </c>
      <c r="D59" s="87"/>
      <c r="E59" s="88"/>
      <c r="F59">
        <v>1</v>
      </c>
      <c r="G59" s="231">
        <v>1.18</v>
      </c>
      <c r="H59" s="231">
        <v>0.81</v>
      </c>
      <c r="I59" s="231">
        <v>1.18</v>
      </c>
      <c r="J59" s="105"/>
      <c r="K59">
        <v>1</v>
      </c>
      <c r="L59" s="231">
        <v>0.65</v>
      </c>
      <c r="M59" s="231">
        <v>0.65</v>
      </c>
      <c r="N59" s="232">
        <v>0.44919999999999999</v>
      </c>
      <c r="O59" s="93"/>
      <c r="P59" s="115"/>
      <c r="Q59" s="94"/>
      <c r="R59" s="94"/>
      <c r="S59" s="231">
        <v>0.65</v>
      </c>
      <c r="T59" s="231">
        <v>0.65</v>
      </c>
      <c r="U59" s="232">
        <v>0</v>
      </c>
      <c r="V59" s="232">
        <v>1</v>
      </c>
      <c r="W59" s="96"/>
      <c r="X59" s="97"/>
      <c r="Y59" s="8"/>
      <c r="Z59" s="8"/>
    </row>
    <row r="60" spans="2:26" ht="15.75" customHeight="1">
      <c r="B60" t="s">
        <v>211</v>
      </c>
      <c r="C60" t="s">
        <v>212</v>
      </c>
      <c r="D60" s="87"/>
      <c r="E60" s="100"/>
      <c r="F60">
        <v>1</v>
      </c>
      <c r="G60" s="231">
        <v>67.7</v>
      </c>
      <c r="H60" s="231">
        <v>46.69</v>
      </c>
      <c r="I60" s="231">
        <v>67.7</v>
      </c>
      <c r="J60" s="105"/>
      <c r="K60">
        <v>1</v>
      </c>
      <c r="L60" s="231">
        <v>37.24</v>
      </c>
      <c r="M60" s="231">
        <v>37.24</v>
      </c>
      <c r="N60" s="232">
        <v>0.44990000000000002</v>
      </c>
      <c r="O60" s="93"/>
      <c r="P60" s="98"/>
      <c r="Q60" s="102"/>
      <c r="R60" s="108"/>
      <c r="S60" s="231">
        <v>37.24</v>
      </c>
      <c r="T60" s="231">
        <v>37.24</v>
      </c>
      <c r="U60" s="232">
        <v>0</v>
      </c>
      <c r="V60" s="232">
        <v>1</v>
      </c>
      <c r="W60" s="111"/>
      <c r="X60" s="97"/>
      <c r="Y60" s="8"/>
      <c r="Z60" s="8"/>
    </row>
    <row r="61" spans="2:26" ht="15.75" customHeight="1">
      <c r="B61" t="s">
        <v>213</v>
      </c>
      <c r="C61" t="s">
        <v>214</v>
      </c>
      <c r="D61" s="87"/>
      <c r="E61" s="88"/>
      <c r="F61">
        <v>1</v>
      </c>
      <c r="G61" s="231">
        <v>37.42</v>
      </c>
      <c r="H61" s="231">
        <v>25.81</v>
      </c>
      <c r="I61" s="231">
        <v>37.42</v>
      </c>
      <c r="J61" s="105"/>
      <c r="K61">
        <v>1</v>
      </c>
      <c r="L61" s="231">
        <v>20.58</v>
      </c>
      <c r="M61" s="231">
        <v>20.58</v>
      </c>
      <c r="N61" s="232">
        <v>0.45</v>
      </c>
      <c r="O61" s="93"/>
      <c r="P61" s="115"/>
      <c r="Q61" s="94"/>
      <c r="R61" s="94"/>
      <c r="S61" s="231">
        <v>20.58</v>
      </c>
      <c r="T61" s="231">
        <v>20.58</v>
      </c>
      <c r="U61" s="232">
        <v>0</v>
      </c>
      <c r="V61" s="232">
        <v>1</v>
      </c>
      <c r="W61" s="96"/>
    </row>
    <row r="62" spans="2:26" ht="15.75" customHeight="1">
      <c r="B62" s="233" t="s">
        <v>215</v>
      </c>
      <c r="C62" t="s">
        <v>216</v>
      </c>
      <c r="D62" s="87"/>
      <c r="E62" s="100"/>
      <c r="F62">
        <v>1</v>
      </c>
      <c r="G62" s="231">
        <v>4.38</v>
      </c>
      <c r="H62" s="231">
        <v>3.02</v>
      </c>
      <c r="I62" s="231">
        <v>4.38</v>
      </c>
      <c r="J62" s="105"/>
      <c r="K62">
        <v>1</v>
      </c>
      <c r="L62" s="231">
        <v>2.41</v>
      </c>
      <c r="M62" s="231">
        <v>2.41</v>
      </c>
      <c r="N62" s="232">
        <v>0.44979999999999998</v>
      </c>
      <c r="O62" s="93"/>
      <c r="P62" s="98"/>
      <c r="Q62" s="102"/>
      <c r="R62" s="108"/>
      <c r="S62" s="231">
        <v>2.41</v>
      </c>
      <c r="T62" s="231">
        <v>2.41</v>
      </c>
      <c r="U62" s="232">
        <v>0</v>
      </c>
      <c r="V62" s="232">
        <v>1</v>
      </c>
      <c r="W62" s="111"/>
    </row>
    <row r="63" spans="2:26" ht="15.75" customHeight="1">
      <c r="D63" s="87"/>
      <c r="E63" s="88"/>
      <c r="H63" t="s">
        <v>120</v>
      </c>
      <c r="I63" t="s">
        <v>120</v>
      </c>
      <c r="J63" s="105"/>
      <c r="K63">
        <v>0</v>
      </c>
      <c r="L63" t="s">
        <v>120</v>
      </c>
      <c r="M63" t="s">
        <v>120</v>
      </c>
      <c r="O63" s="93"/>
      <c r="P63" s="115"/>
      <c r="Q63" s="94"/>
      <c r="R63" s="94"/>
      <c r="S63" t="s">
        <v>120</v>
      </c>
      <c r="T63" t="s">
        <v>120</v>
      </c>
      <c r="U63" s="232">
        <v>0</v>
      </c>
      <c r="V63" s="232">
        <v>0</v>
      </c>
      <c r="W63" s="96"/>
    </row>
    <row r="64" spans="2:26" ht="15.75" customHeight="1">
      <c r="B64" t="s">
        <v>217</v>
      </c>
      <c r="C64" t="s">
        <v>218</v>
      </c>
      <c r="D64" s="87"/>
      <c r="E64" s="100"/>
      <c r="F64">
        <v>1</v>
      </c>
      <c r="G64" s="231">
        <v>4182.34</v>
      </c>
      <c r="H64" s="231">
        <v>2884.37</v>
      </c>
      <c r="I64" s="231">
        <v>4182.34</v>
      </c>
      <c r="J64" s="105"/>
      <c r="K64">
        <v>1</v>
      </c>
      <c r="L64" s="231">
        <v>2091.17</v>
      </c>
      <c r="M64" s="231">
        <v>2091.17</v>
      </c>
      <c r="N64" s="232">
        <v>0.5</v>
      </c>
      <c r="O64" s="93"/>
      <c r="P64" s="98"/>
      <c r="Q64" s="102"/>
      <c r="R64" s="108"/>
      <c r="S64" s="231">
        <v>2091.17</v>
      </c>
      <c r="T64" s="231">
        <v>2091.17</v>
      </c>
      <c r="U64" s="232">
        <v>0</v>
      </c>
      <c r="V64" s="232">
        <v>1</v>
      </c>
      <c r="W64" s="111"/>
    </row>
    <row r="65" spans="2:23" ht="15.75" customHeight="1">
      <c r="B65" t="s">
        <v>219</v>
      </c>
      <c r="C65" t="s">
        <v>119</v>
      </c>
      <c r="D65" s="87"/>
      <c r="E65" s="88"/>
      <c r="F65">
        <v>1</v>
      </c>
      <c r="G65" s="231">
        <v>6130.36</v>
      </c>
      <c r="H65" s="231">
        <v>4227.83</v>
      </c>
      <c r="I65" s="231">
        <v>6130.36</v>
      </c>
      <c r="J65" s="105"/>
      <c r="K65">
        <v>1</v>
      </c>
      <c r="L65" s="231">
        <v>3065.18</v>
      </c>
      <c r="M65" s="231">
        <v>3065.18</v>
      </c>
      <c r="N65" s="232">
        <v>0.5</v>
      </c>
      <c r="O65" s="93"/>
      <c r="P65" s="115"/>
      <c r="Q65" s="94"/>
      <c r="R65" s="94"/>
      <c r="S65" s="231">
        <v>3065.18</v>
      </c>
      <c r="T65" s="231">
        <v>3065.18</v>
      </c>
      <c r="U65" s="232">
        <v>0</v>
      </c>
      <c r="V65" s="232">
        <v>1</v>
      </c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1061</v>
      </c>
      <c r="G78" s="121">
        <f t="shared" si="0"/>
        <v>43894.17</v>
      </c>
      <c r="H78" s="122">
        <f t="shared" si="0"/>
        <v>30271.830000000009</v>
      </c>
      <c r="I78" s="123">
        <f t="shared" si="0"/>
        <v>127660.06999999995</v>
      </c>
      <c r="J78" s="124"/>
      <c r="K78" s="125">
        <f t="shared" ref="K78:M78" si="1">SUM(K19:K77)</f>
        <v>1061</v>
      </c>
      <c r="L78" s="122">
        <f t="shared" si="1"/>
        <v>23272.680000000008</v>
      </c>
      <c r="M78" s="123">
        <f t="shared" si="1"/>
        <v>69856.81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69856.81</v>
      </c>
      <c r="T78" s="123">
        <f t="shared" si="2"/>
        <v>3288391.8700000015</v>
      </c>
      <c r="U78" s="128"/>
      <c r="V78" s="128"/>
      <c r="W78" s="129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43" priority="1" stopIfTrue="1">
      <formula>$U$9&gt;100%</formula>
    </cfRule>
    <cfRule type="expression" dxfId="42" priority="2">
      <formula>$U$9&lt;50%</formula>
    </cfRule>
  </conditionalFormatting>
  <conditionalFormatting sqref="V9:V11">
    <cfRule type="expression" dxfId="41" priority="3">
      <formula>$V$9&lt;50%</formula>
    </cfRule>
    <cfRule type="expression" dxfId="40" priority="4">
      <formula>$V$9&gt;50%</formula>
    </cfRule>
  </conditionalFormatting>
  <dataValidations count="4">
    <dataValidation type="list" allowBlank="1" showErrorMessage="1" sqref="E19:E77" xr:uid="{00000000-0002-0000-0100-000000000000}">
      <formula1>$Z$19:$Z$58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2510-368A-4CEF-8271-2C727A7F7443}">
  <sheetPr>
    <pageSetUpPr fitToPage="1"/>
  </sheetPr>
  <dimension ref="B1:Z78"/>
  <sheetViews>
    <sheetView zoomScale="70" zoomScaleNormal="70" workbookViewId="0">
      <pane ySplit="18" topLeftCell="A19" activePane="bottomLeft" state="frozen"/>
      <selection pane="bottomLeft" activeCell="G2" sqref="G2:H2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410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80948.399999999994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2010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45292.34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35656.06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154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0.44047887296104682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337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1537705.78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45292.34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220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877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221</v>
      </c>
      <c r="C19" t="s">
        <v>109</v>
      </c>
      <c r="D19" s="87"/>
      <c r="E19" s="88"/>
      <c r="F19">
        <v>1</v>
      </c>
      <c r="G19" s="231">
        <v>44.09</v>
      </c>
      <c r="H19" s="231">
        <v>30.41</v>
      </c>
      <c r="I19" s="231">
        <v>44.09</v>
      </c>
      <c r="J19" s="92"/>
      <c r="K19">
        <v>1</v>
      </c>
      <c r="L19" s="231">
        <v>22.05</v>
      </c>
      <c r="M19" s="231">
        <v>22.05</v>
      </c>
      <c r="N19" s="232">
        <v>0.49990000000000001</v>
      </c>
      <c r="O19" s="232"/>
      <c r="P19" s="86"/>
      <c r="Q19" s="94"/>
      <c r="R19" s="94"/>
      <c r="S19" s="231">
        <v>22.05</v>
      </c>
      <c r="T19" s="231">
        <v>22.05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222</v>
      </c>
      <c r="C20" t="s">
        <v>223</v>
      </c>
      <c r="D20" s="87"/>
      <c r="E20" s="100"/>
      <c r="F20">
        <v>1</v>
      </c>
      <c r="G20" s="231">
        <v>42.69</v>
      </c>
      <c r="H20" s="231">
        <v>29.44</v>
      </c>
      <c r="I20" s="231">
        <v>42.69</v>
      </c>
      <c r="J20" s="105"/>
      <c r="K20">
        <v>1</v>
      </c>
      <c r="L20" s="231">
        <v>21.35</v>
      </c>
      <c r="M20" s="231">
        <v>21.35</v>
      </c>
      <c r="N20" s="232">
        <v>0.49990000000000001</v>
      </c>
      <c r="O20" s="232"/>
      <c r="P20" s="98"/>
      <c r="Q20" s="102"/>
      <c r="R20" s="108"/>
      <c r="S20" s="231">
        <v>21.35</v>
      </c>
      <c r="T20" s="231">
        <v>21.35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224</v>
      </c>
      <c r="C21" t="s">
        <v>123</v>
      </c>
      <c r="D21" s="227"/>
      <c r="E21" s="100"/>
      <c r="F21">
        <v>1</v>
      </c>
      <c r="G21" s="231">
        <v>60.68</v>
      </c>
      <c r="H21" s="231">
        <v>41.85</v>
      </c>
      <c r="I21" s="231">
        <v>60.68</v>
      </c>
      <c r="J21" s="228"/>
      <c r="K21">
        <v>1</v>
      </c>
      <c r="L21" s="231">
        <v>30.34</v>
      </c>
      <c r="M21" s="231">
        <v>30.34</v>
      </c>
      <c r="N21" s="232">
        <v>0.5</v>
      </c>
      <c r="O21" s="232"/>
      <c r="P21" s="98"/>
      <c r="Q21" s="102"/>
      <c r="R21" s="108"/>
      <c r="S21" s="231">
        <v>30.34</v>
      </c>
      <c r="T21" s="231">
        <v>30.34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225</v>
      </c>
      <c r="C22" t="s">
        <v>124</v>
      </c>
      <c r="D22" s="227"/>
      <c r="E22" s="100"/>
      <c r="F22">
        <v>1</v>
      </c>
      <c r="G22" s="231">
        <v>93.49</v>
      </c>
      <c r="H22" s="231">
        <v>64.48</v>
      </c>
      <c r="I22" s="231">
        <v>93.49</v>
      </c>
      <c r="J22" s="228"/>
      <c r="K22">
        <v>1</v>
      </c>
      <c r="L22" s="231">
        <v>46.75</v>
      </c>
      <c r="M22" s="231">
        <v>46.75</v>
      </c>
      <c r="N22" s="232">
        <v>0.49990000000000001</v>
      </c>
      <c r="O22" s="232"/>
      <c r="P22" s="98"/>
      <c r="Q22" s="102"/>
      <c r="R22" s="108"/>
      <c r="S22" s="231">
        <v>46.75</v>
      </c>
      <c r="T22" s="231">
        <v>46.75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226</v>
      </c>
      <c r="C23" t="s">
        <v>113</v>
      </c>
      <c r="D23" s="227"/>
      <c r="E23" s="100"/>
      <c r="F23">
        <v>1</v>
      </c>
      <c r="G23" s="231">
        <v>703.78</v>
      </c>
      <c r="H23" s="231">
        <v>485.37</v>
      </c>
      <c r="I23" s="231">
        <v>703.78</v>
      </c>
      <c r="J23" s="228"/>
      <c r="K23">
        <v>1</v>
      </c>
      <c r="L23" s="231">
        <v>351.89</v>
      </c>
      <c r="M23" s="231">
        <v>351.89</v>
      </c>
      <c r="N23" s="232">
        <v>0.5</v>
      </c>
      <c r="O23" s="232"/>
      <c r="P23" s="98"/>
      <c r="Q23" s="102"/>
      <c r="R23" s="108"/>
      <c r="S23" s="231">
        <v>351.89</v>
      </c>
      <c r="T23" s="231">
        <v>351.89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227</v>
      </c>
      <c r="C24" t="s">
        <v>110</v>
      </c>
      <c r="D24" s="227"/>
      <c r="E24" s="100"/>
      <c r="F24">
        <v>1</v>
      </c>
      <c r="G24" s="231">
        <v>125.6</v>
      </c>
      <c r="H24" s="231">
        <v>86.62</v>
      </c>
      <c r="I24" s="231">
        <v>125.6</v>
      </c>
      <c r="J24" s="228"/>
      <c r="K24">
        <v>1</v>
      </c>
      <c r="L24" s="231">
        <v>81.64</v>
      </c>
      <c r="M24" s="231">
        <v>81.64</v>
      </c>
      <c r="N24" s="232">
        <v>0.35</v>
      </c>
      <c r="O24" s="232"/>
      <c r="P24" s="98"/>
      <c r="Q24" s="102"/>
      <c r="R24" s="108"/>
      <c r="S24" s="231">
        <v>81.64</v>
      </c>
      <c r="T24" s="231">
        <v>81.64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228</v>
      </c>
      <c r="C25" t="s">
        <v>111</v>
      </c>
      <c r="D25" s="227"/>
      <c r="E25" s="100"/>
      <c r="F25">
        <v>1</v>
      </c>
      <c r="G25" s="231">
        <v>111.66</v>
      </c>
      <c r="H25" s="231">
        <v>77.010000000000005</v>
      </c>
      <c r="I25" s="231">
        <v>111.66</v>
      </c>
      <c r="J25" s="228"/>
      <c r="K25">
        <v>1</v>
      </c>
      <c r="L25" s="231">
        <v>72.58</v>
      </c>
      <c r="M25" s="231">
        <v>72.58</v>
      </c>
      <c r="N25" s="232">
        <v>0.35</v>
      </c>
      <c r="O25" s="232"/>
      <c r="P25" s="98"/>
      <c r="Q25" s="102"/>
      <c r="R25" s="108"/>
      <c r="S25" s="231">
        <v>72.58</v>
      </c>
      <c r="T25" s="231">
        <v>72.58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D26" s="227"/>
      <c r="E26" s="100"/>
      <c r="H26" t="s">
        <v>120</v>
      </c>
      <c r="I26" t="s">
        <v>120</v>
      </c>
      <c r="J26" s="228"/>
      <c r="K26">
        <v>0</v>
      </c>
      <c r="L26" t="s">
        <v>120</v>
      </c>
      <c r="M26" t="s">
        <v>120</v>
      </c>
      <c r="O26" s="232"/>
      <c r="P26" s="98"/>
      <c r="Q26" s="102"/>
      <c r="R26" s="108"/>
      <c r="S26" t="s">
        <v>120</v>
      </c>
      <c r="T26" t="s">
        <v>120</v>
      </c>
      <c r="U26" s="232">
        <v>0</v>
      </c>
      <c r="V26" s="232">
        <v>0</v>
      </c>
      <c r="W26" s="229"/>
      <c r="X26" s="230"/>
      <c r="Y26" s="8"/>
      <c r="Z26" s="8"/>
    </row>
    <row r="27" spans="2:26">
      <c r="B27" t="s">
        <v>229</v>
      </c>
      <c r="C27" t="s">
        <v>140</v>
      </c>
      <c r="D27" s="227"/>
      <c r="E27" s="100"/>
      <c r="F27">
        <v>1</v>
      </c>
      <c r="G27" s="231">
        <v>1021.54</v>
      </c>
      <c r="H27" s="231">
        <v>704.51</v>
      </c>
      <c r="I27" s="231">
        <v>1021.54</v>
      </c>
      <c r="J27" s="228"/>
      <c r="K27">
        <v>1</v>
      </c>
      <c r="L27" s="231">
        <v>510.77</v>
      </c>
      <c r="M27" s="231">
        <v>510.77</v>
      </c>
      <c r="N27" s="232">
        <v>0.5</v>
      </c>
      <c r="O27" s="232"/>
      <c r="P27" s="98"/>
      <c r="Q27" s="102"/>
      <c r="R27" s="108"/>
      <c r="S27" s="231">
        <v>510.77</v>
      </c>
      <c r="T27" s="231">
        <v>510.77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D28" s="227"/>
      <c r="E28" s="100"/>
      <c r="H28" t="s">
        <v>120</v>
      </c>
      <c r="I28" t="s">
        <v>120</v>
      </c>
      <c r="J28" s="228"/>
      <c r="K28">
        <v>0</v>
      </c>
      <c r="L28" t="s">
        <v>120</v>
      </c>
      <c r="M28" t="s">
        <v>120</v>
      </c>
      <c r="P28" s="98"/>
      <c r="Q28" s="102"/>
      <c r="R28" s="108"/>
      <c r="S28" t="s">
        <v>120</v>
      </c>
      <c r="T28" t="s">
        <v>120</v>
      </c>
      <c r="U28" s="232">
        <v>0</v>
      </c>
      <c r="V28" s="232">
        <v>0</v>
      </c>
      <c r="W28" s="229"/>
      <c r="X28" s="230"/>
      <c r="Y28" s="8"/>
      <c r="Z28" s="8"/>
    </row>
    <row r="29" spans="2:26">
      <c r="B29" t="s">
        <v>230</v>
      </c>
      <c r="C29" t="s">
        <v>126</v>
      </c>
      <c r="D29" s="227"/>
      <c r="E29" s="100"/>
      <c r="F29">
        <v>6</v>
      </c>
      <c r="G29" s="231">
        <v>1138.5999999999999</v>
      </c>
      <c r="H29" s="231">
        <v>785.24</v>
      </c>
      <c r="I29" s="231">
        <v>6831.6</v>
      </c>
      <c r="J29" s="228"/>
      <c r="K29">
        <v>6</v>
      </c>
      <c r="L29" s="231">
        <v>797.02</v>
      </c>
      <c r="M29" s="231">
        <v>4782.12</v>
      </c>
      <c r="N29" s="232">
        <v>0.3</v>
      </c>
      <c r="O29" s="232"/>
      <c r="P29" s="98"/>
      <c r="Q29" s="102"/>
      <c r="R29" s="108"/>
      <c r="S29" s="231">
        <v>4782.12</v>
      </c>
      <c r="T29" s="231">
        <v>28692.720000000001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231</v>
      </c>
      <c r="C30" t="s">
        <v>127</v>
      </c>
      <c r="D30" s="227"/>
      <c r="E30" s="100"/>
      <c r="F30">
        <v>1</v>
      </c>
      <c r="G30" s="231">
        <v>3627.05</v>
      </c>
      <c r="H30" s="231">
        <v>2501.41</v>
      </c>
      <c r="I30" s="231">
        <v>3627.05</v>
      </c>
      <c r="J30" s="228"/>
      <c r="K30">
        <v>1</v>
      </c>
      <c r="L30" s="231">
        <v>1813.53</v>
      </c>
      <c r="M30" s="231">
        <v>1813.53</v>
      </c>
      <c r="N30" s="232">
        <v>0.5</v>
      </c>
      <c r="O30" s="232"/>
      <c r="P30" s="98"/>
      <c r="Q30" s="102"/>
      <c r="R30" s="108"/>
      <c r="S30" s="231">
        <v>1813.53</v>
      </c>
      <c r="T30" s="231">
        <v>1813.53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120</v>
      </c>
      <c r="I31" t="s">
        <v>120</v>
      </c>
      <c r="J31" s="228"/>
      <c r="K31">
        <v>0</v>
      </c>
      <c r="L31" t="s">
        <v>120</v>
      </c>
      <c r="M31" t="s">
        <v>120</v>
      </c>
      <c r="O31" s="232"/>
      <c r="P31" s="98"/>
      <c r="Q31" s="102"/>
      <c r="R31" s="108"/>
      <c r="S31" t="s">
        <v>120</v>
      </c>
      <c r="T31" t="s">
        <v>120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B32" t="s">
        <v>232</v>
      </c>
      <c r="C32" t="s">
        <v>173</v>
      </c>
      <c r="D32" s="227"/>
      <c r="E32" s="100"/>
      <c r="F32">
        <v>2</v>
      </c>
      <c r="G32" s="231">
        <v>1870.5</v>
      </c>
      <c r="H32" s="231">
        <v>1290</v>
      </c>
      <c r="I32" s="231">
        <v>3741</v>
      </c>
      <c r="J32" s="228"/>
      <c r="K32">
        <v>2</v>
      </c>
      <c r="L32" s="231">
        <v>1028.78</v>
      </c>
      <c r="M32" s="231">
        <v>2057.56</v>
      </c>
      <c r="N32" s="232">
        <v>0.45</v>
      </c>
      <c r="O32" s="232"/>
      <c r="P32" s="98"/>
      <c r="Q32" s="102"/>
      <c r="R32" s="108"/>
      <c r="S32" s="231">
        <v>2057.56</v>
      </c>
      <c r="T32" s="231">
        <v>4115.12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233</v>
      </c>
      <c r="C33" t="s">
        <v>128</v>
      </c>
      <c r="D33" s="227"/>
      <c r="E33" s="100"/>
      <c r="F33">
        <v>12</v>
      </c>
      <c r="G33" s="231">
        <v>5.71</v>
      </c>
      <c r="H33" s="231">
        <v>3.94</v>
      </c>
      <c r="I33" s="231">
        <v>68.52</v>
      </c>
      <c r="J33" s="228"/>
      <c r="K33">
        <v>12</v>
      </c>
      <c r="L33" s="231">
        <v>3.15</v>
      </c>
      <c r="M33" s="231">
        <v>37.799999999999997</v>
      </c>
      <c r="N33" s="232">
        <v>0.44829999999999998</v>
      </c>
      <c r="O33" s="232"/>
      <c r="P33" s="98"/>
      <c r="Q33" s="102"/>
      <c r="R33" s="108"/>
      <c r="S33" s="231">
        <v>37.799999999999997</v>
      </c>
      <c r="T33" s="231">
        <v>453.6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234</v>
      </c>
      <c r="C34" t="s">
        <v>133</v>
      </c>
      <c r="D34" s="227"/>
      <c r="E34" s="100"/>
      <c r="F34">
        <v>12</v>
      </c>
      <c r="G34" s="231">
        <v>0.33</v>
      </c>
      <c r="H34" s="231">
        <v>0.23</v>
      </c>
      <c r="I34" s="231">
        <v>3.96</v>
      </c>
      <c r="J34" s="228"/>
      <c r="K34">
        <v>12</v>
      </c>
      <c r="L34" s="231">
        <v>0.19</v>
      </c>
      <c r="M34" s="231">
        <v>2.2799999999999998</v>
      </c>
      <c r="N34" s="232">
        <v>0.42420000000000002</v>
      </c>
      <c r="O34" s="232"/>
      <c r="P34" s="98"/>
      <c r="Q34" s="102"/>
      <c r="R34" s="108"/>
      <c r="S34" s="231">
        <v>2.2799999999999998</v>
      </c>
      <c r="T34" s="231">
        <v>27.36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D35" s="227"/>
      <c r="E35" s="100"/>
      <c r="H35" t="s">
        <v>120</v>
      </c>
      <c r="I35" t="s">
        <v>120</v>
      </c>
      <c r="J35" s="228"/>
      <c r="K35">
        <v>0</v>
      </c>
      <c r="L35" t="s">
        <v>120</v>
      </c>
      <c r="M35" t="s">
        <v>120</v>
      </c>
      <c r="O35" s="232"/>
      <c r="P35" s="98"/>
      <c r="Q35" s="102"/>
      <c r="R35" s="108"/>
      <c r="S35" t="s">
        <v>120</v>
      </c>
      <c r="T35" t="s">
        <v>120</v>
      </c>
      <c r="U35" s="232">
        <v>0</v>
      </c>
      <c r="V35" s="232">
        <v>0</v>
      </c>
      <c r="W35" s="229"/>
      <c r="X35" s="230"/>
      <c r="Y35" s="8"/>
      <c r="Z35" s="8"/>
    </row>
    <row r="36" spans="2:26">
      <c r="D36" s="227"/>
      <c r="E36" s="100"/>
      <c r="H36" t="s">
        <v>120</v>
      </c>
      <c r="I36" t="s">
        <v>120</v>
      </c>
      <c r="J36" s="228"/>
      <c r="K36">
        <v>0</v>
      </c>
      <c r="L36" t="s">
        <v>120</v>
      </c>
      <c r="M36" t="s">
        <v>120</v>
      </c>
      <c r="O36" s="232"/>
      <c r="P36" s="98"/>
      <c r="Q36" s="102"/>
      <c r="R36" s="108"/>
      <c r="S36" t="s">
        <v>120</v>
      </c>
      <c r="T36" t="s">
        <v>120</v>
      </c>
      <c r="U36" s="232">
        <v>0</v>
      </c>
      <c r="V36" s="232">
        <v>0</v>
      </c>
      <c r="W36" s="229"/>
      <c r="X36" s="230"/>
      <c r="Y36" s="8"/>
      <c r="Z36" s="8"/>
    </row>
    <row r="37" spans="2:26">
      <c r="B37" t="s">
        <v>235</v>
      </c>
      <c r="C37" t="s">
        <v>236</v>
      </c>
      <c r="D37" s="227"/>
      <c r="E37" s="100"/>
      <c r="F37">
        <v>2</v>
      </c>
      <c r="G37" s="231">
        <v>2233.12</v>
      </c>
      <c r="H37" s="231">
        <v>1540.08</v>
      </c>
      <c r="I37" s="231">
        <v>4466.24</v>
      </c>
      <c r="J37" s="228"/>
      <c r="K37">
        <v>2</v>
      </c>
      <c r="L37" s="231">
        <v>1228.22</v>
      </c>
      <c r="M37" s="231">
        <v>2456.44</v>
      </c>
      <c r="N37" s="232">
        <v>0.45</v>
      </c>
      <c r="P37" s="98"/>
      <c r="Q37" s="102"/>
      <c r="R37" s="108"/>
      <c r="S37" s="231">
        <v>2456.44</v>
      </c>
      <c r="T37" s="231">
        <v>4912.88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237</v>
      </c>
      <c r="C38" t="s">
        <v>114</v>
      </c>
      <c r="D38" s="227"/>
      <c r="E38" s="100"/>
      <c r="F38">
        <v>2</v>
      </c>
      <c r="G38" s="231">
        <v>520.11</v>
      </c>
      <c r="H38" s="231">
        <v>358.7</v>
      </c>
      <c r="I38" s="231">
        <v>1040.22</v>
      </c>
      <c r="J38" s="228"/>
      <c r="K38">
        <v>2</v>
      </c>
      <c r="L38" s="231">
        <v>286.07</v>
      </c>
      <c r="M38" s="231">
        <v>572.14</v>
      </c>
      <c r="N38" s="232">
        <v>0.45</v>
      </c>
      <c r="O38" s="232"/>
      <c r="P38" s="98"/>
      <c r="Q38" s="102"/>
      <c r="R38" s="108"/>
      <c r="S38" s="231">
        <v>572.14</v>
      </c>
      <c r="T38" s="231">
        <v>1144.28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238</v>
      </c>
      <c r="C39" t="s">
        <v>181</v>
      </c>
      <c r="D39" s="227"/>
      <c r="E39" s="100"/>
      <c r="F39">
        <v>6</v>
      </c>
      <c r="G39" s="231">
        <v>1246.45</v>
      </c>
      <c r="H39" s="231">
        <v>859.62</v>
      </c>
      <c r="I39" s="231">
        <v>7478.7</v>
      </c>
      <c r="J39" s="228"/>
      <c r="K39">
        <v>6</v>
      </c>
      <c r="L39" s="231">
        <v>685.55</v>
      </c>
      <c r="M39" s="231">
        <v>4113.3</v>
      </c>
      <c r="N39" s="232">
        <v>0.45</v>
      </c>
      <c r="O39" s="232"/>
      <c r="P39" s="98"/>
      <c r="Q39" s="102"/>
      <c r="R39" s="108"/>
      <c r="S39" s="231">
        <v>4113.3</v>
      </c>
      <c r="T39" s="231">
        <v>24679.8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239</v>
      </c>
      <c r="C40" t="s">
        <v>131</v>
      </c>
      <c r="D40" s="227"/>
      <c r="E40" s="100"/>
      <c r="F40">
        <v>4</v>
      </c>
      <c r="G40" s="231">
        <v>1023.71</v>
      </c>
      <c r="H40" s="231">
        <v>706.01</v>
      </c>
      <c r="I40" s="231">
        <v>4094.84</v>
      </c>
      <c r="J40" s="228"/>
      <c r="K40">
        <v>4</v>
      </c>
      <c r="L40" s="231">
        <v>563.04999999999995</v>
      </c>
      <c r="M40" s="231">
        <v>2252.1999999999998</v>
      </c>
      <c r="N40" s="232">
        <v>0.45</v>
      </c>
      <c r="O40" s="232"/>
      <c r="P40" s="98"/>
      <c r="Q40" s="102"/>
      <c r="R40" s="108"/>
      <c r="S40" s="231">
        <v>2252.1999999999998</v>
      </c>
      <c r="T40" s="231">
        <v>9008.7999999999993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D41" s="227"/>
      <c r="E41" s="100"/>
      <c r="H41" t="s">
        <v>120</v>
      </c>
      <c r="I41" t="s">
        <v>120</v>
      </c>
      <c r="J41" s="228"/>
      <c r="K41">
        <v>0</v>
      </c>
      <c r="L41" t="s">
        <v>120</v>
      </c>
      <c r="M41" t="s">
        <v>120</v>
      </c>
      <c r="O41" s="232"/>
      <c r="P41" s="98"/>
      <c r="Q41" s="102"/>
      <c r="R41" s="108"/>
      <c r="S41" t="s">
        <v>120</v>
      </c>
      <c r="T41" t="s">
        <v>120</v>
      </c>
      <c r="U41" s="232">
        <v>0</v>
      </c>
      <c r="V41" s="232">
        <v>0</v>
      </c>
      <c r="W41" s="229"/>
      <c r="X41" s="230"/>
      <c r="Y41" s="8"/>
      <c r="Z41" s="8"/>
    </row>
    <row r="42" spans="2:26">
      <c r="B42" t="s">
        <v>240</v>
      </c>
      <c r="C42" t="s">
        <v>141</v>
      </c>
      <c r="D42" s="227"/>
      <c r="E42" s="100"/>
      <c r="F42">
        <v>2</v>
      </c>
      <c r="G42" s="231">
        <v>13503.77</v>
      </c>
      <c r="H42" s="231">
        <v>9312.94</v>
      </c>
      <c r="I42" s="231">
        <v>27007.54</v>
      </c>
      <c r="J42" s="228"/>
      <c r="K42">
        <v>2</v>
      </c>
      <c r="L42" s="231">
        <v>7427.08</v>
      </c>
      <c r="M42" s="231">
        <v>14854.16</v>
      </c>
      <c r="N42" s="232">
        <v>0.45</v>
      </c>
      <c r="P42" s="98"/>
      <c r="Q42" s="102"/>
      <c r="R42" s="108"/>
      <c r="S42" s="231">
        <v>14854.16</v>
      </c>
      <c r="T42" s="231">
        <v>29708.32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241</v>
      </c>
      <c r="C43" t="s">
        <v>188</v>
      </c>
      <c r="D43" s="227"/>
      <c r="E43" s="100"/>
      <c r="F43">
        <v>90</v>
      </c>
      <c r="G43" s="231">
        <v>188.07</v>
      </c>
      <c r="H43" s="231">
        <v>129.69999999999999</v>
      </c>
      <c r="I43" s="231">
        <v>16926.3</v>
      </c>
      <c r="J43" s="228"/>
      <c r="K43">
        <v>90</v>
      </c>
      <c r="L43" s="231">
        <v>103.44</v>
      </c>
      <c r="M43" s="231">
        <v>9309.6</v>
      </c>
      <c r="N43" s="232">
        <v>0.45</v>
      </c>
      <c r="O43" s="232"/>
      <c r="P43" s="98"/>
      <c r="Q43" s="102"/>
      <c r="R43" s="108"/>
      <c r="S43" s="231">
        <v>9309.6</v>
      </c>
      <c r="T43" s="231">
        <v>837864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242</v>
      </c>
      <c r="C44" t="s">
        <v>190</v>
      </c>
      <c r="D44" s="227"/>
      <c r="E44" s="100"/>
      <c r="F44">
        <v>2</v>
      </c>
      <c r="G44" s="231">
        <v>200.07</v>
      </c>
      <c r="H44" s="231">
        <v>137.97999999999999</v>
      </c>
      <c r="I44" s="231">
        <v>400.14</v>
      </c>
      <c r="J44" s="228"/>
      <c r="K44">
        <v>2</v>
      </c>
      <c r="L44" s="231">
        <v>110.04</v>
      </c>
      <c r="M44" s="231">
        <v>220.08</v>
      </c>
      <c r="N44" s="232">
        <v>0.45</v>
      </c>
      <c r="P44" s="98"/>
      <c r="Q44" s="102"/>
      <c r="R44" s="108"/>
      <c r="S44" s="231">
        <v>220.08</v>
      </c>
      <c r="T44" s="231">
        <v>440.16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243</v>
      </c>
      <c r="C45" t="s">
        <v>116</v>
      </c>
      <c r="D45" s="227"/>
      <c r="E45" s="100"/>
      <c r="F45">
        <v>360</v>
      </c>
      <c r="G45" s="231">
        <v>5.38</v>
      </c>
      <c r="H45" s="231">
        <v>3.71</v>
      </c>
      <c r="I45" s="231">
        <v>1936.8</v>
      </c>
      <c r="J45" s="228"/>
      <c r="K45">
        <v>360</v>
      </c>
      <c r="L45" s="231">
        <v>2.96</v>
      </c>
      <c r="M45" s="231">
        <v>1065.5999999999999</v>
      </c>
      <c r="N45" s="232">
        <v>0.44979999999999998</v>
      </c>
      <c r="P45" s="98"/>
      <c r="Q45" s="102"/>
      <c r="R45" s="108"/>
      <c r="S45" s="231">
        <v>1065.5999999999999</v>
      </c>
      <c r="T45" s="231">
        <v>383616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244</v>
      </c>
      <c r="C46" t="s">
        <v>245</v>
      </c>
      <c r="D46" s="227"/>
      <c r="E46" s="100"/>
      <c r="F46">
        <v>4</v>
      </c>
      <c r="G46" s="231">
        <v>6.66</v>
      </c>
      <c r="H46" s="231">
        <v>4.59</v>
      </c>
      <c r="I46" s="231">
        <v>26.64</v>
      </c>
      <c r="J46" s="228"/>
      <c r="K46">
        <v>4</v>
      </c>
      <c r="L46" s="231">
        <v>3.66</v>
      </c>
      <c r="M46" s="231">
        <v>14.64</v>
      </c>
      <c r="N46" s="232">
        <v>0.45050000000000001</v>
      </c>
      <c r="P46" s="98"/>
      <c r="Q46" s="102"/>
      <c r="R46" s="108"/>
      <c r="S46" s="231">
        <v>14.64</v>
      </c>
      <c r="T46" s="231">
        <v>58.56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246</v>
      </c>
      <c r="C47" t="s">
        <v>245</v>
      </c>
      <c r="D47" s="227"/>
      <c r="E47" s="100"/>
      <c r="F47">
        <v>4</v>
      </c>
      <c r="G47" s="231">
        <v>9.23</v>
      </c>
      <c r="H47" s="231">
        <v>6.37</v>
      </c>
      <c r="I47" s="231">
        <v>36.92</v>
      </c>
      <c r="J47" s="228"/>
      <c r="K47">
        <v>4</v>
      </c>
      <c r="L47" s="231">
        <v>5.08</v>
      </c>
      <c r="M47" s="231">
        <v>20.32</v>
      </c>
      <c r="N47" s="232">
        <v>0.4496</v>
      </c>
      <c r="P47" s="98"/>
      <c r="Q47" s="102"/>
      <c r="R47" s="108"/>
      <c r="S47" s="231">
        <v>20.32</v>
      </c>
      <c r="T47" s="231">
        <v>81.28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247</v>
      </c>
      <c r="C48" t="s">
        <v>142</v>
      </c>
      <c r="D48" s="227"/>
      <c r="E48" s="100"/>
      <c r="F48">
        <v>360</v>
      </c>
      <c r="G48" s="231">
        <v>2.94</v>
      </c>
      <c r="H48" s="231">
        <v>2.0299999999999998</v>
      </c>
      <c r="I48" s="231">
        <v>1058.4000000000001</v>
      </c>
      <c r="J48" s="228"/>
      <c r="K48">
        <v>360</v>
      </c>
      <c r="L48" s="231">
        <v>1.62</v>
      </c>
      <c r="M48" s="231">
        <v>583.20000000000005</v>
      </c>
      <c r="N48" s="232">
        <v>0.44900000000000001</v>
      </c>
      <c r="O48" s="232"/>
      <c r="P48" s="98"/>
      <c r="Q48" s="102"/>
      <c r="R48" s="108"/>
      <c r="S48" s="231">
        <v>583.20000000000005</v>
      </c>
      <c r="T48" s="231">
        <v>209952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D49" s="87"/>
      <c r="E49" s="88"/>
      <c r="J49" s="105"/>
      <c r="O49" s="232"/>
      <c r="P49" s="115"/>
      <c r="Q49" s="94"/>
      <c r="R49" s="94"/>
      <c r="U49" s="232"/>
      <c r="V49" s="232"/>
      <c r="W49" s="96"/>
      <c r="X49" s="97"/>
      <c r="Y49" s="8"/>
      <c r="Z49" s="8"/>
    </row>
    <row r="50" spans="2:26" ht="15.75" customHeight="1">
      <c r="D50" s="87"/>
      <c r="E50" s="100"/>
      <c r="J50" s="105"/>
      <c r="O50" s="232"/>
      <c r="P50" s="98"/>
      <c r="Q50" s="102"/>
      <c r="R50" s="108"/>
      <c r="U50" s="232"/>
      <c r="V50" s="232"/>
      <c r="W50" s="111"/>
      <c r="X50" s="97"/>
      <c r="Y50" s="8"/>
      <c r="Z50" s="8"/>
    </row>
    <row r="51" spans="2:26" ht="15.75" customHeight="1">
      <c r="D51" s="87"/>
      <c r="E51" s="88"/>
      <c r="G51" s="231"/>
      <c r="H51" s="231"/>
      <c r="I51" s="231"/>
      <c r="J51" s="105"/>
      <c r="L51" s="231"/>
      <c r="M51" s="231"/>
      <c r="N51" s="232"/>
      <c r="O51" s="232"/>
      <c r="P51" s="115"/>
      <c r="Q51" s="94"/>
      <c r="R51" s="94"/>
      <c r="S51" s="231"/>
      <c r="T51" s="231"/>
      <c r="U51" s="232"/>
      <c r="V51" s="232"/>
      <c r="W51" s="96"/>
      <c r="X51" s="97"/>
      <c r="Y51" s="8"/>
      <c r="Z51" s="8"/>
    </row>
    <row r="52" spans="2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93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2:26" ht="15.75" customHeight="1">
      <c r="D53" s="87"/>
      <c r="E53" s="88"/>
      <c r="G53" s="231"/>
      <c r="H53" s="231"/>
      <c r="I53" s="231"/>
      <c r="J53" s="105"/>
      <c r="L53" s="231"/>
      <c r="M53" s="231"/>
      <c r="N53" s="232"/>
      <c r="O53" s="93"/>
      <c r="P53" s="115"/>
      <c r="Q53" s="94"/>
      <c r="R53" s="94"/>
      <c r="S53" s="231"/>
      <c r="T53" s="231"/>
      <c r="U53" s="232"/>
      <c r="V53" s="232"/>
      <c r="W53" s="96"/>
      <c r="X53" s="97"/>
      <c r="Y53" s="8"/>
      <c r="Z53" s="8"/>
    </row>
    <row r="54" spans="2:26" ht="15.75" customHeight="1">
      <c r="D54" s="87"/>
      <c r="E54" s="100"/>
      <c r="G54" s="231"/>
      <c r="H54" s="231"/>
      <c r="I54" s="231"/>
      <c r="J54" s="105"/>
      <c r="L54" s="231"/>
      <c r="M54" s="231"/>
      <c r="N54" s="232"/>
      <c r="O54" s="93"/>
      <c r="P54" s="98"/>
      <c r="Q54" s="102"/>
      <c r="R54" s="108"/>
      <c r="S54" s="231"/>
      <c r="T54" s="231"/>
      <c r="U54" s="232"/>
      <c r="V54" s="232"/>
      <c r="W54" s="111"/>
      <c r="X54" s="97"/>
      <c r="Y54" s="8"/>
      <c r="Z54" s="8"/>
    </row>
    <row r="55" spans="2:26" ht="15.75" customHeight="1">
      <c r="D55" s="87"/>
      <c r="E55" s="88"/>
      <c r="G55" s="231"/>
      <c r="H55" s="231"/>
      <c r="I55" s="231"/>
      <c r="J55" s="105"/>
      <c r="L55" s="231"/>
      <c r="M55" s="231"/>
      <c r="N55" s="232"/>
      <c r="O55" s="93"/>
      <c r="P55" s="115"/>
      <c r="Q55" s="94"/>
      <c r="R55" s="94"/>
      <c r="S55" s="231"/>
      <c r="T55" s="231"/>
      <c r="U55" s="232"/>
      <c r="V55" s="232"/>
      <c r="W55" s="96"/>
      <c r="X55" s="97"/>
      <c r="Y55" s="8"/>
      <c r="Z55" s="8"/>
    </row>
    <row r="56" spans="2:26" ht="15.75" customHeight="1">
      <c r="D56" s="87"/>
      <c r="E56" s="100"/>
      <c r="G56" s="231"/>
      <c r="H56" s="231"/>
      <c r="I56" s="231"/>
      <c r="J56" s="105"/>
      <c r="L56" s="231"/>
      <c r="M56" s="231"/>
      <c r="N56" s="232"/>
      <c r="O56" s="93"/>
      <c r="P56" s="98"/>
      <c r="Q56" s="102"/>
      <c r="R56" s="108"/>
      <c r="S56" s="231"/>
      <c r="T56" s="231"/>
      <c r="U56" s="232"/>
      <c r="V56" s="232"/>
      <c r="W56" s="111"/>
      <c r="X56" s="97"/>
      <c r="Y56" s="8"/>
      <c r="Z56" s="116"/>
    </row>
    <row r="57" spans="2:26" ht="15.75" customHeight="1">
      <c r="D57" s="87"/>
      <c r="E57" s="88"/>
      <c r="G57" s="231"/>
      <c r="H57" s="231"/>
      <c r="I57" s="231"/>
      <c r="J57" s="105"/>
      <c r="L57" s="231"/>
      <c r="M57" s="231"/>
      <c r="N57" s="232"/>
      <c r="O57" s="93"/>
      <c r="P57" s="115"/>
      <c r="Q57" s="94"/>
      <c r="R57" s="94"/>
      <c r="S57" s="231"/>
      <c r="T57" s="231"/>
      <c r="U57" s="232"/>
      <c r="V57" s="232"/>
      <c r="W57" s="96"/>
      <c r="X57" s="97"/>
      <c r="Y57" s="8"/>
      <c r="Z57" s="8"/>
    </row>
    <row r="58" spans="2:26" ht="15.75" customHeight="1">
      <c r="B58" s="233"/>
      <c r="D58" s="87"/>
      <c r="E58" s="100"/>
      <c r="G58" s="231"/>
      <c r="H58" s="231"/>
      <c r="I58" s="231"/>
      <c r="J58" s="105"/>
      <c r="L58" s="231"/>
      <c r="M58" s="231"/>
      <c r="N58" s="232"/>
      <c r="O58" s="93"/>
      <c r="P58" s="98"/>
      <c r="Q58" s="102"/>
      <c r="R58" s="108"/>
      <c r="S58" s="231"/>
      <c r="T58" s="231"/>
      <c r="U58" s="232"/>
      <c r="V58" s="232"/>
      <c r="W58" s="111"/>
      <c r="X58" s="97"/>
      <c r="Y58" s="8"/>
      <c r="Z58" s="8"/>
    </row>
    <row r="59" spans="2:26" ht="15.75" customHeight="1">
      <c r="D59" s="87"/>
      <c r="E59" s="88"/>
      <c r="G59" s="231"/>
      <c r="H59" s="231"/>
      <c r="I59" s="231"/>
      <c r="J59" s="105"/>
      <c r="L59" s="231"/>
      <c r="M59" s="231"/>
      <c r="N59" s="232"/>
      <c r="O59" s="93"/>
      <c r="P59" s="115"/>
      <c r="Q59" s="94"/>
      <c r="R59" s="94"/>
      <c r="S59" s="231"/>
      <c r="T59" s="231"/>
      <c r="U59" s="232"/>
      <c r="V59" s="232"/>
      <c r="W59" s="96"/>
      <c r="X59" s="97"/>
      <c r="Y59" s="8"/>
      <c r="Z59" s="8"/>
    </row>
    <row r="60" spans="2:26" ht="15.75" customHeight="1">
      <c r="D60" s="87"/>
      <c r="E60" s="100"/>
      <c r="G60" s="231"/>
      <c r="H60" s="231"/>
      <c r="I60" s="231"/>
      <c r="J60" s="105"/>
      <c r="L60" s="231"/>
      <c r="M60" s="231"/>
      <c r="N60" s="232"/>
      <c r="O60" s="93"/>
      <c r="P60" s="98"/>
      <c r="Q60" s="102"/>
      <c r="R60" s="108"/>
      <c r="S60" s="231"/>
      <c r="T60" s="231"/>
      <c r="U60" s="232"/>
      <c r="V60" s="232"/>
      <c r="W60" s="111"/>
      <c r="X60" s="97"/>
      <c r="Y60" s="8"/>
      <c r="Z60" s="8"/>
    </row>
    <row r="61" spans="2:26" ht="15.75" customHeight="1">
      <c r="D61" s="87"/>
      <c r="E61" s="88"/>
      <c r="G61" s="231"/>
      <c r="H61" s="231"/>
      <c r="I61" s="231"/>
      <c r="J61" s="105"/>
      <c r="L61" s="231"/>
      <c r="M61" s="231"/>
      <c r="N61" s="232"/>
      <c r="O61" s="93"/>
      <c r="P61" s="115"/>
      <c r="Q61" s="94"/>
      <c r="R61" s="94"/>
      <c r="S61" s="231"/>
      <c r="T61" s="231"/>
      <c r="U61" s="232"/>
      <c r="V61" s="232"/>
      <c r="W61" s="96"/>
    </row>
    <row r="62" spans="2:26" ht="15.75" customHeight="1">
      <c r="B62" s="233"/>
      <c r="D62" s="87"/>
      <c r="E62" s="100"/>
      <c r="G62" s="231"/>
      <c r="H62" s="231"/>
      <c r="I62" s="231"/>
      <c r="J62" s="105"/>
      <c r="L62" s="231"/>
      <c r="M62" s="231"/>
      <c r="N62" s="232"/>
      <c r="O62" s="93"/>
      <c r="P62" s="98"/>
      <c r="Q62" s="102"/>
      <c r="R62" s="108"/>
      <c r="S62" s="231"/>
      <c r="T62" s="231"/>
      <c r="U62" s="232"/>
      <c r="V62" s="232"/>
      <c r="W62" s="111"/>
    </row>
    <row r="63" spans="2:26" ht="15.75" customHeight="1">
      <c r="D63" s="87"/>
      <c r="E63" s="88"/>
      <c r="J63" s="105"/>
      <c r="O63" s="93"/>
      <c r="P63" s="115"/>
      <c r="Q63" s="94"/>
      <c r="R63" s="94"/>
      <c r="U63" s="232"/>
      <c r="V63" s="232"/>
      <c r="W63" s="96"/>
    </row>
    <row r="64" spans="2:26" ht="15.75" customHeight="1">
      <c r="D64" s="87"/>
      <c r="E64" s="100"/>
      <c r="G64" s="231"/>
      <c r="H64" s="231"/>
      <c r="I64" s="231"/>
      <c r="J64" s="105"/>
      <c r="L64" s="231"/>
      <c r="M64" s="231"/>
      <c r="N64" s="232"/>
      <c r="O64" s="93"/>
      <c r="P64" s="98"/>
      <c r="Q64" s="102"/>
      <c r="R64" s="108"/>
      <c r="S64" s="231"/>
      <c r="T64" s="231"/>
      <c r="U64" s="232"/>
      <c r="V64" s="232"/>
      <c r="W64" s="111"/>
    </row>
    <row r="65" spans="2:23" ht="15.75" customHeight="1">
      <c r="D65" s="87"/>
      <c r="E65" s="88"/>
      <c r="G65" s="231"/>
      <c r="H65" s="231"/>
      <c r="I65" s="231"/>
      <c r="J65" s="105"/>
      <c r="L65" s="231"/>
      <c r="M65" s="231"/>
      <c r="N65" s="232"/>
      <c r="O65" s="93"/>
      <c r="P65" s="115"/>
      <c r="Q65" s="94"/>
      <c r="R65" s="94"/>
      <c r="S65" s="231"/>
      <c r="T65" s="231"/>
      <c r="U65" s="232"/>
      <c r="V65" s="232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877</v>
      </c>
      <c r="G78" s="121">
        <f t="shared" si="0"/>
        <v>27785.23</v>
      </c>
      <c r="H78" s="122">
        <f t="shared" si="0"/>
        <v>19162.239999999998</v>
      </c>
      <c r="I78" s="123">
        <f t="shared" si="0"/>
        <v>80948.399999999994</v>
      </c>
      <c r="J78" s="124"/>
      <c r="K78" s="125">
        <f t="shared" ref="K78:M78" si="1">SUM(K19:K77)</f>
        <v>877</v>
      </c>
      <c r="L78" s="122">
        <f t="shared" si="1"/>
        <v>15196.81</v>
      </c>
      <c r="M78" s="123">
        <f t="shared" si="1"/>
        <v>45292.34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45292.34</v>
      </c>
      <c r="T78" s="123">
        <f t="shared" si="2"/>
        <v>1537705.78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9" priority="1" stopIfTrue="1">
      <formula>$U$9&gt;100%</formula>
    </cfRule>
    <cfRule type="expression" dxfId="38" priority="2">
      <formula>$U$9&lt;50%</formula>
    </cfRule>
  </conditionalFormatting>
  <conditionalFormatting sqref="V9:V11">
    <cfRule type="expression" dxfId="37" priority="3">
      <formula>$V$9&lt;50%</formula>
    </cfRule>
    <cfRule type="expression" dxfId="36" priority="4">
      <formula>$V$9&gt;50%</formula>
    </cfRule>
  </conditionalFormatting>
  <dataValidations count="4">
    <dataValidation type="list" allowBlank="1" showErrorMessage="1" sqref="Q15 G18 L18 Q18" xr:uid="{28EA195E-F5BD-4163-B53F-3A439821E7D7}">
      <formula1>$Y$12:$Y$13</formula1>
    </dataValidation>
    <dataValidation type="list" allowBlank="1" showErrorMessage="1" sqref="J14" xr:uid="{7734004D-4760-4647-ADD6-A2F98E2FC2B5}">
      <formula1>$L$9</formula1>
    </dataValidation>
    <dataValidation type="list" allowBlank="1" showErrorMessage="1" sqref="I14" xr:uid="{B20676FE-DD57-49F7-8280-61B6C1DE6BAE}">
      <formula1>$Y$14:$Y$15</formula1>
    </dataValidation>
    <dataValidation type="list" allowBlank="1" showErrorMessage="1" sqref="E19:E77" xr:uid="{83550866-170B-4C66-B73C-855101E72717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C98A-CBA7-466D-BCD8-577F15B0CD86}">
  <sheetPr>
    <pageSetUpPr fitToPage="1"/>
  </sheetPr>
  <dimension ref="B1:Z78"/>
  <sheetViews>
    <sheetView zoomScale="70" zoomScaleNormal="70" workbookViewId="0">
      <pane ySplit="18" topLeftCell="A31" activePane="bottomLeft" state="frozen"/>
      <selection pane="bottomLeft" activeCell="G2" sqref="G2:H2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411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141943.93000000002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2010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76517.539999999979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65426.390000000043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154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0.46093122826738719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338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924389.94000000006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76517.539999999979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220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710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221</v>
      </c>
      <c r="C19" t="s">
        <v>109</v>
      </c>
      <c r="D19" s="87"/>
      <c r="E19" s="88"/>
      <c r="F19">
        <v>1</v>
      </c>
      <c r="G19" s="231">
        <v>44.09</v>
      </c>
      <c r="H19" s="231">
        <v>30.41</v>
      </c>
      <c r="I19" s="231">
        <v>44.09</v>
      </c>
      <c r="J19" s="92"/>
      <c r="K19">
        <v>1</v>
      </c>
      <c r="L19" s="231">
        <v>22.05</v>
      </c>
      <c r="M19" s="231">
        <v>22.05</v>
      </c>
      <c r="N19" s="232">
        <v>0.49990000000000001</v>
      </c>
      <c r="O19" s="232"/>
      <c r="P19" s="86"/>
      <c r="Q19" s="94"/>
      <c r="R19" s="94"/>
      <c r="S19" s="231">
        <v>22.05</v>
      </c>
      <c r="T19" s="231">
        <v>22.05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248</v>
      </c>
      <c r="C20" t="s">
        <v>249</v>
      </c>
      <c r="D20" s="87"/>
      <c r="E20" s="100"/>
      <c r="F20">
        <v>1</v>
      </c>
      <c r="G20" s="231">
        <v>47.05</v>
      </c>
      <c r="H20" s="231">
        <v>32.450000000000003</v>
      </c>
      <c r="I20" s="231">
        <v>47.05</v>
      </c>
      <c r="J20" s="105"/>
      <c r="K20">
        <v>1</v>
      </c>
      <c r="L20" s="231">
        <v>23.53</v>
      </c>
      <c r="M20" s="231">
        <v>23.53</v>
      </c>
      <c r="N20" s="232">
        <v>0.49990000000000001</v>
      </c>
      <c r="O20" s="232"/>
      <c r="P20" s="98"/>
      <c r="Q20" s="102"/>
      <c r="R20" s="108"/>
      <c r="S20" s="231">
        <v>23.53</v>
      </c>
      <c r="T20" s="231">
        <v>23.53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250</v>
      </c>
      <c r="C21" t="s">
        <v>223</v>
      </c>
      <c r="D21" s="227"/>
      <c r="E21" s="100"/>
      <c r="F21">
        <v>1</v>
      </c>
      <c r="G21" s="231">
        <v>67.900000000000006</v>
      </c>
      <c r="H21" s="231">
        <v>46.83</v>
      </c>
      <c r="I21" s="231">
        <v>67.900000000000006</v>
      </c>
      <c r="J21" s="228"/>
      <c r="K21">
        <v>1</v>
      </c>
      <c r="L21" s="231">
        <v>33.950000000000003</v>
      </c>
      <c r="M21" s="231">
        <v>33.950000000000003</v>
      </c>
      <c r="N21" s="232">
        <v>0.5</v>
      </c>
      <c r="O21" s="232"/>
      <c r="P21" s="98"/>
      <c r="Q21" s="102"/>
      <c r="R21" s="108"/>
      <c r="S21" s="231">
        <v>33.950000000000003</v>
      </c>
      <c r="T21" s="231">
        <v>33.950000000000003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251</v>
      </c>
      <c r="C22" t="s">
        <v>123</v>
      </c>
      <c r="D22" s="227"/>
      <c r="E22" s="100"/>
      <c r="F22">
        <v>1</v>
      </c>
      <c r="G22" s="231">
        <v>52.82</v>
      </c>
      <c r="H22" s="231">
        <v>36.43</v>
      </c>
      <c r="I22" s="231">
        <v>52.82</v>
      </c>
      <c r="J22" s="228"/>
      <c r="K22">
        <v>1</v>
      </c>
      <c r="L22" s="231">
        <v>26.41</v>
      </c>
      <c r="M22" s="231">
        <v>26.41</v>
      </c>
      <c r="N22" s="232">
        <v>0.5</v>
      </c>
      <c r="O22" s="232"/>
      <c r="P22" s="98"/>
      <c r="Q22" s="102"/>
      <c r="R22" s="108"/>
      <c r="S22" s="231">
        <v>26.41</v>
      </c>
      <c r="T22" s="231">
        <v>26.41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164</v>
      </c>
      <c r="C23" t="s">
        <v>252</v>
      </c>
      <c r="D23" s="227"/>
      <c r="E23" s="100"/>
      <c r="F23">
        <v>1</v>
      </c>
      <c r="G23" s="231">
        <v>38.32</v>
      </c>
      <c r="H23" s="231">
        <v>26.43</v>
      </c>
      <c r="I23" s="231">
        <v>38.32</v>
      </c>
      <c r="J23" s="228"/>
      <c r="K23">
        <v>1</v>
      </c>
      <c r="L23" s="231">
        <v>19.16</v>
      </c>
      <c r="M23" s="231">
        <v>19.16</v>
      </c>
      <c r="N23" s="232">
        <v>0.5</v>
      </c>
      <c r="O23" s="232"/>
      <c r="P23" s="98"/>
      <c r="Q23" s="102"/>
      <c r="R23" s="108"/>
      <c r="S23" s="231">
        <v>19.16</v>
      </c>
      <c r="T23" s="231">
        <v>19.16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253</v>
      </c>
      <c r="C24" t="s">
        <v>110</v>
      </c>
      <c r="D24" s="227"/>
      <c r="E24" s="100"/>
      <c r="F24">
        <v>1</v>
      </c>
      <c r="G24" s="231">
        <v>110.04</v>
      </c>
      <c r="H24" s="231">
        <v>75.89</v>
      </c>
      <c r="I24" s="231">
        <v>110.04</v>
      </c>
      <c r="J24" s="228"/>
      <c r="K24">
        <v>1</v>
      </c>
      <c r="L24" s="231">
        <v>71.53</v>
      </c>
      <c r="M24" s="231">
        <v>71.53</v>
      </c>
      <c r="N24" s="232">
        <v>0.35</v>
      </c>
      <c r="O24" s="232"/>
      <c r="P24" s="98"/>
      <c r="Q24" s="102"/>
      <c r="R24" s="108"/>
      <c r="S24" s="231">
        <v>71.53</v>
      </c>
      <c r="T24" s="231">
        <v>71.53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254</v>
      </c>
      <c r="C25" t="s">
        <v>111</v>
      </c>
      <c r="D25" s="227"/>
      <c r="E25" s="100"/>
      <c r="F25">
        <v>1</v>
      </c>
      <c r="G25" s="231">
        <v>81.73</v>
      </c>
      <c r="H25" s="231">
        <v>56.37</v>
      </c>
      <c r="I25" s="231">
        <v>81.73</v>
      </c>
      <c r="J25" s="228"/>
      <c r="K25">
        <v>1</v>
      </c>
      <c r="L25" s="231">
        <v>53.13</v>
      </c>
      <c r="M25" s="231">
        <v>53.13</v>
      </c>
      <c r="N25" s="232">
        <v>0.34989999999999999</v>
      </c>
      <c r="O25" s="232"/>
      <c r="P25" s="98"/>
      <c r="Q25" s="102"/>
      <c r="R25" s="108"/>
      <c r="S25" s="231">
        <v>53.13</v>
      </c>
      <c r="T25" s="231">
        <v>53.13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D26" s="227"/>
      <c r="E26" s="100"/>
      <c r="H26" t="s">
        <v>120</v>
      </c>
      <c r="I26" t="s">
        <v>120</v>
      </c>
      <c r="J26" s="228"/>
      <c r="K26">
        <v>0</v>
      </c>
      <c r="L26" t="s">
        <v>120</v>
      </c>
      <c r="M26" t="s">
        <v>120</v>
      </c>
      <c r="O26" s="232"/>
      <c r="P26" s="98"/>
      <c r="Q26" s="102"/>
      <c r="R26" s="108"/>
      <c r="S26" t="s">
        <v>120</v>
      </c>
      <c r="T26" t="s">
        <v>120</v>
      </c>
      <c r="U26" s="232">
        <v>0</v>
      </c>
      <c r="V26" s="232">
        <v>0</v>
      </c>
      <c r="W26" s="229"/>
      <c r="X26" s="230"/>
      <c r="Y26" s="8"/>
      <c r="Z26" s="8"/>
    </row>
    <row r="27" spans="2:26">
      <c r="B27" t="s">
        <v>255</v>
      </c>
      <c r="C27" t="s">
        <v>256</v>
      </c>
      <c r="D27" s="227"/>
      <c r="E27" s="100"/>
      <c r="F27">
        <v>1</v>
      </c>
      <c r="G27" s="231">
        <v>9424.19</v>
      </c>
      <c r="H27" s="231">
        <v>6499.44</v>
      </c>
      <c r="I27" s="231">
        <v>9424.19</v>
      </c>
      <c r="J27" s="228"/>
      <c r="K27">
        <v>1</v>
      </c>
      <c r="L27" s="231">
        <v>4712.1000000000004</v>
      </c>
      <c r="M27" s="231">
        <v>4712.1000000000004</v>
      </c>
      <c r="N27" s="232">
        <v>0.5</v>
      </c>
      <c r="O27" s="232"/>
      <c r="P27" s="98"/>
      <c r="Q27" s="102"/>
      <c r="R27" s="108"/>
      <c r="S27" s="231">
        <v>4712.1000000000004</v>
      </c>
      <c r="T27" s="231">
        <v>4712.1000000000004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D28" s="227"/>
      <c r="E28" s="100"/>
      <c r="H28" t="s">
        <v>120</v>
      </c>
      <c r="I28" t="s">
        <v>120</v>
      </c>
      <c r="J28" s="228"/>
      <c r="K28">
        <v>0</v>
      </c>
      <c r="L28" t="s">
        <v>120</v>
      </c>
      <c r="M28" t="s">
        <v>120</v>
      </c>
      <c r="P28" s="98"/>
      <c r="Q28" s="102"/>
      <c r="R28" s="108"/>
      <c r="S28" t="s">
        <v>120</v>
      </c>
      <c r="T28" t="s">
        <v>120</v>
      </c>
      <c r="U28" s="232">
        <v>0</v>
      </c>
      <c r="V28" s="232">
        <v>0</v>
      </c>
      <c r="W28" s="229"/>
      <c r="X28" s="230"/>
      <c r="Y28" s="8"/>
      <c r="Z28" s="8"/>
    </row>
    <row r="29" spans="2:26">
      <c r="B29" t="s">
        <v>257</v>
      </c>
      <c r="C29" t="s">
        <v>126</v>
      </c>
      <c r="D29" s="227"/>
      <c r="E29" s="100"/>
      <c r="F29">
        <v>6</v>
      </c>
      <c r="G29" s="231">
        <v>914.54</v>
      </c>
      <c r="H29" s="231">
        <v>630.72</v>
      </c>
      <c r="I29" s="231">
        <v>5487.24</v>
      </c>
      <c r="J29" s="228"/>
      <c r="K29">
        <v>6</v>
      </c>
      <c r="L29" s="231">
        <v>640.17999999999995</v>
      </c>
      <c r="M29" s="231">
        <v>3841.08</v>
      </c>
      <c r="N29" s="232">
        <v>0.3</v>
      </c>
      <c r="O29" s="232"/>
      <c r="P29" s="98"/>
      <c r="Q29" s="102"/>
      <c r="R29" s="108"/>
      <c r="S29" s="231">
        <v>3841.08</v>
      </c>
      <c r="T29" s="231">
        <v>23046.48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258</v>
      </c>
      <c r="C30" t="s">
        <v>127</v>
      </c>
      <c r="D30" s="227"/>
      <c r="E30" s="100"/>
      <c r="F30">
        <v>1</v>
      </c>
      <c r="G30" s="231">
        <v>4677.47</v>
      </c>
      <c r="H30" s="231">
        <v>3225.84</v>
      </c>
      <c r="I30" s="231">
        <v>4677.47</v>
      </c>
      <c r="J30" s="228"/>
      <c r="K30">
        <v>1</v>
      </c>
      <c r="L30" s="231">
        <v>2338.7399999999998</v>
      </c>
      <c r="M30" s="231">
        <v>2338.7399999999998</v>
      </c>
      <c r="N30" s="232">
        <v>0.5</v>
      </c>
      <c r="O30" s="232"/>
      <c r="P30" s="98"/>
      <c r="Q30" s="102"/>
      <c r="R30" s="108"/>
      <c r="S30" s="231">
        <v>2338.7399999999998</v>
      </c>
      <c r="T30" s="231">
        <v>2338.7399999999998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120</v>
      </c>
      <c r="I31" t="s">
        <v>120</v>
      </c>
      <c r="J31" s="228"/>
      <c r="K31">
        <v>0</v>
      </c>
      <c r="L31" t="s">
        <v>120</v>
      </c>
      <c r="M31" t="s">
        <v>120</v>
      </c>
      <c r="O31" s="232"/>
      <c r="P31" s="98"/>
      <c r="Q31" s="102"/>
      <c r="R31" s="108"/>
      <c r="S31" t="s">
        <v>120</v>
      </c>
      <c r="T31" t="s">
        <v>120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B32" t="s">
        <v>259</v>
      </c>
      <c r="C32" t="s">
        <v>173</v>
      </c>
      <c r="D32" s="227"/>
      <c r="E32" s="100"/>
      <c r="F32">
        <v>10</v>
      </c>
      <c r="G32" s="231">
        <v>177.98</v>
      </c>
      <c r="H32" s="231">
        <v>122.74</v>
      </c>
      <c r="I32" s="231">
        <v>1779.8</v>
      </c>
      <c r="J32" s="228"/>
      <c r="K32">
        <v>10</v>
      </c>
      <c r="L32" s="231">
        <v>97.89</v>
      </c>
      <c r="M32" s="231">
        <v>978.9</v>
      </c>
      <c r="N32" s="232">
        <v>0.45</v>
      </c>
      <c r="O32" s="232"/>
      <c r="P32" s="98"/>
      <c r="Q32" s="102"/>
      <c r="R32" s="108"/>
      <c r="S32" s="231">
        <v>978.9</v>
      </c>
      <c r="T32" s="231">
        <v>9789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260</v>
      </c>
      <c r="C33" t="s">
        <v>128</v>
      </c>
      <c r="D33" s="227"/>
      <c r="E33" s="100"/>
      <c r="F33">
        <v>40</v>
      </c>
      <c r="G33" s="231">
        <v>2.94</v>
      </c>
      <c r="H33" s="231">
        <v>2.0299999999999998</v>
      </c>
      <c r="I33" s="231">
        <v>117.6</v>
      </c>
      <c r="J33" s="228"/>
      <c r="K33">
        <v>40</v>
      </c>
      <c r="L33" s="231">
        <v>1.62</v>
      </c>
      <c r="M33" s="231">
        <v>64.8</v>
      </c>
      <c r="N33" s="232">
        <v>0.44900000000000001</v>
      </c>
      <c r="O33" s="232"/>
      <c r="P33" s="98"/>
      <c r="Q33" s="102"/>
      <c r="R33" s="108"/>
      <c r="S33" s="231">
        <v>64.8</v>
      </c>
      <c r="T33" s="231">
        <v>2592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261</v>
      </c>
      <c r="C34" t="s">
        <v>148</v>
      </c>
      <c r="D34" s="227"/>
      <c r="E34" s="100"/>
      <c r="F34">
        <v>40</v>
      </c>
      <c r="G34" s="231">
        <v>3.41</v>
      </c>
      <c r="H34" s="231">
        <v>2.35</v>
      </c>
      <c r="I34" s="231">
        <v>136.4</v>
      </c>
      <c r="J34" s="228"/>
      <c r="K34">
        <v>40</v>
      </c>
      <c r="L34" s="231">
        <v>1.88</v>
      </c>
      <c r="M34" s="231">
        <v>75.2</v>
      </c>
      <c r="N34" s="232">
        <v>0.44869999999999999</v>
      </c>
      <c r="O34" s="232"/>
      <c r="P34" s="98"/>
      <c r="Q34" s="102"/>
      <c r="R34" s="108"/>
      <c r="S34" s="231">
        <v>75.2</v>
      </c>
      <c r="T34" s="231">
        <v>3008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262</v>
      </c>
      <c r="C35" t="s">
        <v>133</v>
      </c>
      <c r="D35" s="227"/>
      <c r="E35" s="100"/>
      <c r="F35">
        <v>40</v>
      </c>
      <c r="G35" s="231">
        <v>3.41</v>
      </c>
      <c r="H35" s="231">
        <v>2.35</v>
      </c>
      <c r="I35" s="231">
        <v>136.4</v>
      </c>
      <c r="J35" s="228"/>
      <c r="K35">
        <v>40</v>
      </c>
      <c r="L35" s="231">
        <v>1.88</v>
      </c>
      <c r="M35" s="231">
        <v>75.2</v>
      </c>
      <c r="N35" s="232">
        <v>0.44869999999999999</v>
      </c>
      <c r="O35" s="232"/>
      <c r="P35" s="98"/>
      <c r="Q35" s="102"/>
      <c r="R35" s="108"/>
      <c r="S35" s="231">
        <v>75.2</v>
      </c>
      <c r="T35" s="231">
        <v>3008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D36" s="227"/>
      <c r="E36" s="100"/>
      <c r="H36" t="s">
        <v>120</v>
      </c>
      <c r="I36" t="s">
        <v>120</v>
      </c>
      <c r="J36" s="228"/>
      <c r="K36">
        <v>0</v>
      </c>
      <c r="L36" t="s">
        <v>120</v>
      </c>
      <c r="M36" t="s">
        <v>120</v>
      </c>
      <c r="O36" s="232"/>
      <c r="P36" s="98"/>
      <c r="Q36" s="102"/>
      <c r="R36" s="108"/>
      <c r="S36" t="s">
        <v>120</v>
      </c>
      <c r="T36" t="s">
        <v>120</v>
      </c>
      <c r="U36" s="232">
        <v>0</v>
      </c>
      <c r="V36" s="232">
        <v>0</v>
      </c>
      <c r="W36" s="229"/>
      <c r="X36" s="230"/>
      <c r="Y36" s="8"/>
      <c r="Z36" s="8"/>
    </row>
    <row r="37" spans="2:26">
      <c r="B37" t="s">
        <v>263</v>
      </c>
      <c r="C37" t="s">
        <v>236</v>
      </c>
      <c r="D37" s="227"/>
      <c r="E37" s="100"/>
      <c r="F37">
        <v>2</v>
      </c>
      <c r="G37" s="231">
        <v>3220.34</v>
      </c>
      <c r="H37" s="231">
        <v>2220.92</v>
      </c>
      <c r="I37" s="231">
        <v>6440.68</v>
      </c>
      <c r="J37" s="228"/>
      <c r="K37">
        <v>2</v>
      </c>
      <c r="L37" s="231">
        <v>1771.19</v>
      </c>
      <c r="M37" s="231">
        <v>3542.38</v>
      </c>
      <c r="N37" s="232">
        <v>0.45</v>
      </c>
      <c r="P37" s="98"/>
      <c r="Q37" s="102"/>
      <c r="R37" s="108"/>
      <c r="S37" s="231">
        <v>3542.38</v>
      </c>
      <c r="T37" s="231">
        <v>7084.76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237</v>
      </c>
      <c r="C38" t="s">
        <v>114</v>
      </c>
      <c r="D38" s="227"/>
      <c r="E38" s="100"/>
      <c r="F38">
        <v>2</v>
      </c>
      <c r="G38" s="231">
        <v>520.11</v>
      </c>
      <c r="H38" s="231">
        <v>358.7</v>
      </c>
      <c r="I38" s="231">
        <v>1040.22</v>
      </c>
      <c r="J38" s="228"/>
      <c r="K38">
        <v>2</v>
      </c>
      <c r="L38" s="231">
        <v>286.07</v>
      </c>
      <c r="M38" s="231">
        <v>572.14</v>
      </c>
      <c r="N38" s="232">
        <v>0.45</v>
      </c>
      <c r="O38" s="232"/>
      <c r="P38" s="98"/>
      <c r="Q38" s="102"/>
      <c r="R38" s="108"/>
      <c r="S38" s="231">
        <v>572.14</v>
      </c>
      <c r="T38" s="231">
        <v>1144.28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264</v>
      </c>
      <c r="C39" t="s">
        <v>265</v>
      </c>
      <c r="D39" s="227"/>
      <c r="E39" s="100"/>
      <c r="F39">
        <v>16</v>
      </c>
      <c r="G39" s="231">
        <v>651.61</v>
      </c>
      <c r="H39" s="231">
        <v>449.39</v>
      </c>
      <c r="I39" s="231">
        <v>10425.76</v>
      </c>
      <c r="J39" s="228"/>
      <c r="K39">
        <v>16</v>
      </c>
      <c r="L39" s="231">
        <v>358.39</v>
      </c>
      <c r="M39" s="231">
        <v>5734.24</v>
      </c>
      <c r="N39" s="232">
        <v>0.45</v>
      </c>
      <c r="O39" s="232"/>
      <c r="P39" s="98"/>
      <c r="Q39" s="102"/>
      <c r="R39" s="108"/>
      <c r="S39" s="231">
        <v>5734.24</v>
      </c>
      <c r="T39" s="231">
        <v>91747.839999999997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266</v>
      </c>
      <c r="C40" t="s">
        <v>131</v>
      </c>
      <c r="D40" s="227"/>
      <c r="E40" s="100"/>
      <c r="F40">
        <v>16</v>
      </c>
      <c r="G40" s="231">
        <v>785.53</v>
      </c>
      <c r="H40" s="231">
        <v>541.74</v>
      </c>
      <c r="I40" s="231">
        <v>12568.48</v>
      </c>
      <c r="J40" s="228"/>
      <c r="K40">
        <v>16</v>
      </c>
      <c r="L40" s="231">
        <v>432.05</v>
      </c>
      <c r="M40" s="231">
        <v>6912.8</v>
      </c>
      <c r="N40" s="232">
        <v>0.45</v>
      </c>
      <c r="O40" s="232"/>
      <c r="P40" s="98"/>
      <c r="Q40" s="102"/>
      <c r="R40" s="108"/>
      <c r="S40" s="231">
        <v>6912.8</v>
      </c>
      <c r="T40" s="231">
        <v>110604.8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D41" s="227"/>
      <c r="E41" s="100"/>
      <c r="H41" t="s">
        <v>120</v>
      </c>
      <c r="I41" t="s">
        <v>120</v>
      </c>
      <c r="J41" s="228"/>
      <c r="K41">
        <v>0</v>
      </c>
      <c r="L41" t="s">
        <v>120</v>
      </c>
      <c r="M41" t="s">
        <v>120</v>
      </c>
      <c r="O41" s="232"/>
      <c r="P41" s="98"/>
      <c r="Q41" s="102"/>
      <c r="R41" s="108"/>
      <c r="S41" t="s">
        <v>120</v>
      </c>
      <c r="T41" t="s">
        <v>120</v>
      </c>
      <c r="U41" s="232">
        <v>0</v>
      </c>
      <c r="V41" s="232">
        <v>0</v>
      </c>
      <c r="W41" s="229"/>
      <c r="X41" s="230"/>
      <c r="Y41" s="8"/>
      <c r="Z41" s="8"/>
    </row>
    <row r="42" spans="2:26">
      <c r="B42" t="s">
        <v>267</v>
      </c>
      <c r="C42" t="s">
        <v>185</v>
      </c>
      <c r="D42" s="227"/>
      <c r="E42" s="100"/>
      <c r="F42">
        <v>2</v>
      </c>
      <c r="H42" t="s">
        <v>120</v>
      </c>
      <c r="I42" t="s">
        <v>120</v>
      </c>
      <c r="J42" s="228"/>
      <c r="K42">
        <v>2</v>
      </c>
      <c r="L42" t="s">
        <v>120</v>
      </c>
      <c r="M42" t="s">
        <v>120</v>
      </c>
      <c r="P42" s="98"/>
      <c r="Q42" s="102"/>
      <c r="R42" s="108"/>
      <c r="S42" t="s">
        <v>120</v>
      </c>
      <c r="T42" t="s">
        <v>120</v>
      </c>
      <c r="U42" s="232">
        <v>0</v>
      </c>
      <c r="V42" s="232">
        <v>0</v>
      </c>
      <c r="W42" s="229"/>
      <c r="X42" s="230"/>
      <c r="Y42" s="8"/>
      <c r="Z42" s="8"/>
    </row>
    <row r="43" spans="2:26">
      <c r="B43" t="s">
        <v>268</v>
      </c>
      <c r="C43" t="s">
        <v>141</v>
      </c>
      <c r="D43" s="227"/>
      <c r="E43" s="100"/>
      <c r="F43">
        <v>2</v>
      </c>
      <c r="G43" s="231">
        <v>11935.92</v>
      </c>
      <c r="H43" s="231">
        <v>8231.67</v>
      </c>
      <c r="I43" s="231">
        <v>23871.84</v>
      </c>
      <c r="J43" s="228"/>
      <c r="K43">
        <v>2</v>
      </c>
      <c r="L43" s="231">
        <v>6564.76</v>
      </c>
      <c r="M43" s="231">
        <v>13129.52</v>
      </c>
      <c r="N43" s="232">
        <v>0.45</v>
      </c>
      <c r="O43" s="232"/>
      <c r="P43" s="98"/>
      <c r="Q43" s="102"/>
      <c r="R43" s="108"/>
      <c r="S43" s="231">
        <v>13129.52</v>
      </c>
      <c r="T43" s="231">
        <v>26259.040000000001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269</v>
      </c>
      <c r="C44" t="s">
        <v>270</v>
      </c>
      <c r="D44" s="227"/>
      <c r="E44" s="100"/>
      <c r="F44">
        <v>88</v>
      </c>
      <c r="G44" s="231">
        <v>126.01</v>
      </c>
      <c r="H44" s="231">
        <v>86.9</v>
      </c>
      <c r="I44" s="231">
        <v>11088.88</v>
      </c>
      <c r="J44" s="228"/>
      <c r="K44">
        <v>88</v>
      </c>
      <c r="L44" s="231">
        <v>69.31</v>
      </c>
      <c r="M44" s="231">
        <v>6099.28</v>
      </c>
      <c r="N44" s="232">
        <v>0.45</v>
      </c>
      <c r="P44" s="98"/>
      <c r="Q44" s="102"/>
      <c r="R44" s="108"/>
      <c r="S44" s="231">
        <v>6099.28</v>
      </c>
      <c r="T44" s="231">
        <v>536736.64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271</v>
      </c>
      <c r="C45" t="s">
        <v>245</v>
      </c>
      <c r="D45" s="227"/>
      <c r="E45" s="100"/>
      <c r="F45">
        <v>2</v>
      </c>
      <c r="G45" s="231">
        <v>6.45</v>
      </c>
      <c r="H45" s="231">
        <v>4.45</v>
      </c>
      <c r="I45" s="231">
        <v>12.9</v>
      </c>
      <c r="J45" s="228"/>
      <c r="K45">
        <v>2</v>
      </c>
      <c r="L45" s="231">
        <v>3.55</v>
      </c>
      <c r="M45" s="231">
        <v>7.1</v>
      </c>
      <c r="N45" s="232">
        <v>0.4496</v>
      </c>
      <c r="P45" s="98"/>
      <c r="Q45" s="102"/>
      <c r="R45" s="108"/>
      <c r="S45" s="231">
        <v>7.1</v>
      </c>
      <c r="T45" s="231">
        <v>14.2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272</v>
      </c>
      <c r="C46" t="s">
        <v>245</v>
      </c>
      <c r="D46" s="227"/>
      <c r="E46" s="100"/>
      <c r="F46">
        <v>2</v>
      </c>
      <c r="G46" s="231">
        <v>5.25</v>
      </c>
      <c r="H46" s="231">
        <v>3.62</v>
      </c>
      <c r="I46" s="231">
        <v>10.5</v>
      </c>
      <c r="J46" s="228"/>
      <c r="K46">
        <v>2</v>
      </c>
      <c r="L46" s="231">
        <v>2.89</v>
      </c>
      <c r="M46" s="231">
        <v>5.78</v>
      </c>
      <c r="N46" s="232">
        <v>0.44950000000000001</v>
      </c>
      <c r="P46" s="98"/>
      <c r="Q46" s="102"/>
      <c r="R46" s="108"/>
      <c r="S46" s="231">
        <v>5.78</v>
      </c>
      <c r="T46" s="231">
        <v>11.56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273</v>
      </c>
      <c r="C47" t="s">
        <v>116</v>
      </c>
      <c r="D47" s="227"/>
      <c r="E47" s="100"/>
      <c r="F47">
        <v>88</v>
      </c>
      <c r="G47" s="231">
        <v>5.51</v>
      </c>
      <c r="H47" s="231">
        <v>3.8</v>
      </c>
      <c r="I47" s="231">
        <v>484.88</v>
      </c>
      <c r="J47" s="228"/>
      <c r="K47">
        <v>88</v>
      </c>
      <c r="L47" s="231">
        <v>3.04</v>
      </c>
      <c r="M47" s="231">
        <v>267.52</v>
      </c>
      <c r="N47" s="232">
        <v>0.44829999999999998</v>
      </c>
      <c r="P47" s="98"/>
      <c r="Q47" s="102"/>
      <c r="R47" s="108"/>
      <c r="S47" s="231">
        <v>267.52</v>
      </c>
      <c r="T47" s="231">
        <v>23541.759999999998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274</v>
      </c>
      <c r="C48" t="s">
        <v>116</v>
      </c>
      <c r="D48" s="227"/>
      <c r="E48" s="100"/>
      <c r="F48">
        <v>88</v>
      </c>
      <c r="G48" s="231">
        <v>3.12</v>
      </c>
      <c r="H48" s="231">
        <v>2.15</v>
      </c>
      <c r="I48" s="231">
        <v>274.56</v>
      </c>
      <c r="J48" s="228"/>
      <c r="K48">
        <v>88</v>
      </c>
      <c r="L48" s="231">
        <v>1.72</v>
      </c>
      <c r="M48" s="231">
        <v>151.36000000000001</v>
      </c>
      <c r="N48" s="232">
        <v>0.44869999999999999</v>
      </c>
      <c r="O48" s="232"/>
      <c r="P48" s="98"/>
      <c r="Q48" s="102"/>
      <c r="R48" s="108"/>
      <c r="S48" s="231">
        <v>151.36000000000001</v>
      </c>
      <c r="T48" s="231">
        <v>13319.68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B49" t="s">
        <v>275</v>
      </c>
      <c r="C49" t="s">
        <v>142</v>
      </c>
      <c r="D49" s="87"/>
      <c r="E49" s="88"/>
      <c r="F49">
        <v>172</v>
      </c>
      <c r="G49" s="231">
        <v>2.0699999999999998</v>
      </c>
      <c r="H49" s="231">
        <v>1.43</v>
      </c>
      <c r="I49" s="231">
        <v>356.04</v>
      </c>
      <c r="J49" s="105"/>
      <c r="K49">
        <v>172</v>
      </c>
      <c r="L49" s="231">
        <v>1.1399999999999999</v>
      </c>
      <c r="M49" s="231">
        <v>196.08</v>
      </c>
      <c r="N49" s="232">
        <v>0.44929999999999998</v>
      </c>
      <c r="O49" s="232"/>
      <c r="P49" s="115"/>
      <c r="Q49" s="94"/>
      <c r="R49" s="94"/>
      <c r="S49" s="231">
        <v>196.08</v>
      </c>
      <c r="T49" s="231">
        <v>33725.760000000002</v>
      </c>
      <c r="U49" s="232">
        <v>0</v>
      </c>
      <c r="V49" s="232">
        <v>1</v>
      </c>
      <c r="W49" s="96"/>
      <c r="X49" s="97"/>
      <c r="Y49" s="8"/>
      <c r="Z49" s="8"/>
    </row>
    <row r="50" spans="2:26" ht="15.75" customHeight="1">
      <c r="D50" s="87"/>
      <c r="E50" s="100"/>
      <c r="H50" t="s">
        <v>120</v>
      </c>
      <c r="I50" t="s">
        <v>120</v>
      </c>
      <c r="J50" s="105"/>
      <c r="K50">
        <v>0</v>
      </c>
      <c r="L50" t="s">
        <v>120</v>
      </c>
      <c r="M50" t="s">
        <v>120</v>
      </c>
      <c r="O50" s="232"/>
      <c r="P50" s="98"/>
      <c r="Q50" s="102"/>
      <c r="R50" s="108"/>
      <c r="S50" t="s">
        <v>120</v>
      </c>
      <c r="T50" t="s">
        <v>120</v>
      </c>
      <c r="U50" s="232">
        <v>0</v>
      </c>
      <c r="V50" s="232">
        <v>0</v>
      </c>
      <c r="W50" s="111"/>
      <c r="X50" s="97"/>
      <c r="Y50" s="8"/>
      <c r="Z50" s="8"/>
    </row>
    <row r="51" spans="2:26" ht="15.75" customHeight="1">
      <c r="B51" t="s">
        <v>276</v>
      </c>
      <c r="C51" t="s">
        <v>277</v>
      </c>
      <c r="D51" s="87"/>
      <c r="E51" s="88"/>
      <c r="F51">
        <v>1</v>
      </c>
      <c r="G51" s="231">
        <v>16888.900000000001</v>
      </c>
      <c r="H51" s="231">
        <v>11647.52</v>
      </c>
      <c r="I51" s="231">
        <v>16888.900000000001</v>
      </c>
      <c r="J51" s="105"/>
      <c r="K51">
        <v>1</v>
      </c>
      <c r="L51" s="231">
        <v>9288.9</v>
      </c>
      <c r="M51" s="231">
        <v>9288.9</v>
      </c>
      <c r="N51" s="232">
        <v>0.45</v>
      </c>
      <c r="O51" s="232"/>
      <c r="P51" s="115"/>
      <c r="Q51" s="94"/>
      <c r="R51" s="94"/>
      <c r="S51" s="231">
        <v>9288.9</v>
      </c>
      <c r="T51" s="231">
        <v>9288.9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t="s">
        <v>278</v>
      </c>
      <c r="C52" t="s">
        <v>196</v>
      </c>
      <c r="D52" s="87"/>
      <c r="E52" s="100"/>
      <c r="F52">
        <v>2</v>
      </c>
      <c r="G52" s="231">
        <v>296.41000000000003</v>
      </c>
      <c r="H52" s="231">
        <v>204.42</v>
      </c>
      <c r="I52" s="231">
        <v>592.82000000000005</v>
      </c>
      <c r="J52" s="105"/>
      <c r="K52">
        <v>2</v>
      </c>
      <c r="L52" s="231">
        <v>163.03</v>
      </c>
      <c r="M52" s="231">
        <v>326.06</v>
      </c>
      <c r="N52" s="232">
        <v>0.45</v>
      </c>
      <c r="O52" s="93"/>
      <c r="P52" s="98"/>
      <c r="Q52" s="102"/>
      <c r="R52" s="108"/>
      <c r="S52" s="231">
        <v>326.06</v>
      </c>
      <c r="T52" s="231">
        <v>652.12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t="s">
        <v>279</v>
      </c>
      <c r="C53" t="s">
        <v>280</v>
      </c>
      <c r="D53" s="87"/>
      <c r="E53" s="88"/>
      <c r="F53">
        <v>1</v>
      </c>
      <c r="G53" s="231">
        <v>273.04000000000002</v>
      </c>
      <c r="H53" s="231">
        <v>188.3</v>
      </c>
      <c r="I53" s="231">
        <v>273.04000000000002</v>
      </c>
      <c r="J53" s="105"/>
      <c r="K53">
        <v>1</v>
      </c>
      <c r="L53" s="231">
        <v>150.16999999999999</v>
      </c>
      <c r="M53" s="231">
        <v>150.16999999999999</v>
      </c>
      <c r="N53" s="232">
        <v>0.45</v>
      </c>
      <c r="O53" s="93"/>
      <c r="P53" s="115"/>
      <c r="Q53" s="94"/>
      <c r="R53" s="94"/>
      <c r="S53" s="231">
        <v>150.16999999999999</v>
      </c>
      <c r="T53" s="231">
        <v>150.16999999999999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B54" t="s">
        <v>281</v>
      </c>
      <c r="C54" t="s">
        <v>282</v>
      </c>
      <c r="D54" s="87"/>
      <c r="E54" s="100"/>
      <c r="F54">
        <v>1</v>
      </c>
      <c r="G54" s="231">
        <v>273.04000000000002</v>
      </c>
      <c r="H54" s="231">
        <v>188.3</v>
      </c>
      <c r="I54" s="231">
        <v>273.04000000000002</v>
      </c>
      <c r="J54" s="105"/>
      <c r="K54">
        <v>1</v>
      </c>
      <c r="L54" s="231">
        <v>150.16999999999999</v>
      </c>
      <c r="M54" s="231">
        <v>150.16999999999999</v>
      </c>
      <c r="N54" s="232">
        <v>0.45</v>
      </c>
      <c r="O54" s="93"/>
      <c r="P54" s="98"/>
      <c r="Q54" s="102"/>
      <c r="R54" s="108"/>
      <c r="S54" s="231">
        <v>150.16999999999999</v>
      </c>
      <c r="T54" s="231">
        <v>150.16999999999999</v>
      </c>
      <c r="U54" s="232">
        <v>0</v>
      </c>
      <c r="V54" s="232">
        <v>1</v>
      </c>
      <c r="W54" s="111"/>
      <c r="X54" s="97"/>
      <c r="Y54" s="8"/>
      <c r="Z54" s="8"/>
    </row>
    <row r="55" spans="2:26" ht="15.75" customHeight="1">
      <c r="B55" t="s">
        <v>283</v>
      </c>
      <c r="C55" t="s">
        <v>284</v>
      </c>
      <c r="D55" s="87"/>
      <c r="E55" s="88"/>
      <c r="F55">
        <v>24</v>
      </c>
      <c r="G55" s="231">
        <v>4.51</v>
      </c>
      <c r="H55" s="231">
        <v>3.11</v>
      </c>
      <c r="I55" s="231">
        <v>108.24</v>
      </c>
      <c r="J55" s="105"/>
      <c r="K55">
        <v>24</v>
      </c>
      <c r="L55" s="231">
        <v>2.4900000000000002</v>
      </c>
      <c r="M55" s="231">
        <v>59.76</v>
      </c>
      <c r="N55" s="232">
        <v>0.44790000000000002</v>
      </c>
      <c r="O55" s="93"/>
      <c r="P55" s="115"/>
      <c r="Q55" s="94"/>
      <c r="R55" s="94"/>
      <c r="S55" s="231">
        <v>59.76</v>
      </c>
      <c r="T55" s="231">
        <v>1434.24</v>
      </c>
      <c r="U55" s="232">
        <v>0</v>
      </c>
      <c r="V55" s="232">
        <v>1</v>
      </c>
      <c r="W55" s="96"/>
      <c r="X55" s="97"/>
      <c r="Y55" s="8"/>
      <c r="Z55" s="8"/>
    </row>
    <row r="56" spans="2:26" ht="15.75" customHeight="1">
      <c r="B56" t="s">
        <v>285</v>
      </c>
      <c r="C56" t="s">
        <v>133</v>
      </c>
      <c r="D56" s="87"/>
      <c r="E56" s="100"/>
      <c r="F56">
        <v>24</v>
      </c>
      <c r="G56" s="231">
        <v>3.56</v>
      </c>
      <c r="H56" s="231">
        <v>2.46</v>
      </c>
      <c r="I56" s="231">
        <v>85.44</v>
      </c>
      <c r="J56" s="105"/>
      <c r="K56">
        <v>24</v>
      </c>
      <c r="L56" s="231">
        <v>1.96</v>
      </c>
      <c r="M56" s="231">
        <v>47.04</v>
      </c>
      <c r="N56" s="232">
        <v>0.44940000000000002</v>
      </c>
      <c r="O56" s="93"/>
      <c r="P56" s="98"/>
      <c r="Q56" s="102"/>
      <c r="R56" s="108"/>
      <c r="S56" s="231">
        <v>47.04</v>
      </c>
      <c r="T56" s="231">
        <v>1128.96</v>
      </c>
      <c r="U56" s="232">
        <v>0</v>
      </c>
      <c r="V56" s="232">
        <v>1</v>
      </c>
      <c r="W56" s="111"/>
      <c r="X56" s="97"/>
      <c r="Y56" s="8"/>
      <c r="Z56" s="116"/>
    </row>
    <row r="57" spans="2:26" ht="15.75" customHeight="1">
      <c r="B57" t="s">
        <v>286</v>
      </c>
      <c r="C57" t="s">
        <v>287</v>
      </c>
      <c r="D57" s="87"/>
      <c r="E57" s="88"/>
      <c r="F57">
        <v>24</v>
      </c>
      <c r="G57" s="231">
        <v>3.65</v>
      </c>
      <c r="H57" s="231">
        <v>2.52</v>
      </c>
      <c r="I57" s="231">
        <v>87.6</v>
      </c>
      <c r="J57" s="105"/>
      <c r="K57">
        <v>24</v>
      </c>
      <c r="L57" s="231">
        <v>2.0099999999999998</v>
      </c>
      <c r="M57" s="231">
        <v>48.24</v>
      </c>
      <c r="N57" s="232">
        <v>0.44929999999999998</v>
      </c>
      <c r="O57" s="93"/>
      <c r="P57" s="115"/>
      <c r="Q57" s="94"/>
      <c r="R57" s="94"/>
      <c r="S57" s="231">
        <v>48.24</v>
      </c>
      <c r="T57" s="231">
        <v>1157.76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B58" t="s">
        <v>288</v>
      </c>
      <c r="C58" t="s">
        <v>206</v>
      </c>
      <c r="D58" s="87"/>
      <c r="E58" s="100"/>
      <c r="F58">
        <v>1</v>
      </c>
      <c r="G58" s="231">
        <v>1095.81</v>
      </c>
      <c r="H58" s="231">
        <v>755.73</v>
      </c>
      <c r="I58" s="231">
        <v>1095.81</v>
      </c>
      <c r="J58" s="105"/>
      <c r="K58">
        <v>1</v>
      </c>
      <c r="L58" s="231">
        <v>602.70000000000005</v>
      </c>
      <c r="M58" s="231">
        <v>602.70000000000005</v>
      </c>
      <c r="N58" s="232">
        <v>0.45</v>
      </c>
      <c r="O58" s="93"/>
      <c r="P58" s="98"/>
      <c r="Q58" s="102"/>
      <c r="R58" s="108"/>
      <c r="S58" s="231">
        <v>602.70000000000005</v>
      </c>
      <c r="T58" s="231">
        <v>602.70000000000005</v>
      </c>
      <c r="U58" s="232">
        <v>0</v>
      </c>
      <c r="V58" s="232">
        <v>1</v>
      </c>
      <c r="W58" s="111"/>
      <c r="X58" s="97"/>
      <c r="Y58" s="8"/>
      <c r="Z58" s="8"/>
    </row>
    <row r="59" spans="2:26" ht="15.75" customHeight="1">
      <c r="B59" t="s">
        <v>289</v>
      </c>
      <c r="C59" t="s">
        <v>290</v>
      </c>
      <c r="D59" s="87"/>
      <c r="E59" s="88"/>
      <c r="F59">
        <v>1</v>
      </c>
      <c r="G59" s="231">
        <v>10.35</v>
      </c>
      <c r="H59" s="231">
        <v>7.14</v>
      </c>
      <c r="I59" s="231">
        <v>10.35</v>
      </c>
      <c r="J59" s="105"/>
      <c r="K59">
        <v>1</v>
      </c>
      <c r="L59" s="231">
        <v>5.7</v>
      </c>
      <c r="M59" s="231">
        <v>5.7</v>
      </c>
      <c r="N59" s="232">
        <v>0.44929999999999998</v>
      </c>
      <c r="O59" s="93"/>
      <c r="P59" s="115"/>
      <c r="Q59" s="94"/>
      <c r="R59" s="94"/>
      <c r="S59" s="231">
        <v>5.7</v>
      </c>
      <c r="T59" s="231">
        <v>5.7</v>
      </c>
      <c r="U59" s="232">
        <v>0</v>
      </c>
      <c r="V59" s="232">
        <v>1</v>
      </c>
      <c r="W59" s="96"/>
      <c r="X59" s="97"/>
      <c r="Y59" s="8"/>
      <c r="Z59" s="8"/>
    </row>
    <row r="60" spans="2:26" ht="15.75" customHeight="1">
      <c r="B60" t="s">
        <v>291</v>
      </c>
      <c r="C60" t="s">
        <v>292</v>
      </c>
      <c r="D60" s="87"/>
      <c r="E60" s="100"/>
      <c r="F60">
        <v>1</v>
      </c>
      <c r="G60" s="231">
        <v>22.39</v>
      </c>
      <c r="H60" s="231">
        <v>15.44</v>
      </c>
      <c r="I60" s="231">
        <v>22.39</v>
      </c>
      <c r="J60" s="105"/>
      <c r="K60">
        <v>1</v>
      </c>
      <c r="L60" s="231">
        <v>12.32</v>
      </c>
      <c r="M60" s="231">
        <v>12.32</v>
      </c>
      <c r="N60" s="232">
        <v>0.44979999999999998</v>
      </c>
      <c r="O60" s="93"/>
      <c r="P60" s="98"/>
      <c r="Q60" s="102"/>
      <c r="R60" s="108"/>
      <c r="S60" s="231">
        <v>12.32</v>
      </c>
      <c r="T60" s="231">
        <v>12.32</v>
      </c>
      <c r="U60" s="232">
        <v>0</v>
      </c>
      <c r="V60" s="232">
        <v>1</v>
      </c>
      <c r="W60" s="111"/>
      <c r="X60" s="97"/>
      <c r="Y60" s="8"/>
      <c r="Z60" s="8"/>
    </row>
    <row r="61" spans="2:26" ht="15.75" customHeight="1">
      <c r="B61" t="s">
        <v>293</v>
      </c>
      <c r="C61" t="s">
        <v>294</v>
      </c>
      <c r="D61" s="87"/>
      <c r="E61" s="88"/>
      <c r="F61">
        <v>1</v>
      </c>
      <c r="G61" s="231">
        <v>144.57</v>
      </c>
      <c r="H61" s="231">
        <v>99.7</v>
      </c>
      <c r="I61" s="231">
        <v>144.57</v>
      </c>
      <c r="J61" s="105"/>
      <c r="K61">
        <v>1</v>
      </c>
      <c r="L61" s="231">
        <v>79.52</v>
      </c>
      <c r="M61" s="231">
        <v>79.52</v>
      </c>
      <c r="N61" s="232">
        <v>0.45</v>
      </c>
      <c r="O61" s="93"/>
      <c r="P61" s="115"/>
      <c r="Q61" s="94"/>
      <c r="R61" s="94"/>
      <c r="S61" s="231">
        <v>79.52</v>
      </c>
      <c r="T61" s="231">
        <v>79.52</v>
      </c>
      <c r="U61" s="232">
        <v>0</v>
      </c>
      <c r="V61" s="232">
        <v>1</v>
      </c>
      <c r="W61" s="96"/>
    </row>
    <row r="62" spans="2:26" ht="15.75" customHeight="1">
      <c r="D62" s="87"/>
      <c r="E62" s="100"/>
      <c r="H62" t="s">
        <v>120</v>
      </c>
      <c r="I62" t="s">
        <v>120</v>
      </c>
      <c r="J62" s="105"/>
      <c r="K62">
        <v>0</v>
      </c>
      <c r="L62" t="s">
        <v>120</v>
      </c>
      <c r="M62" t="s">
        <v>120</v>
      </c>
      <c r="O62" s="93"/>
      <c r="P62" s="98"/>
      <c r="Q62" s="102"/>
      <c r="R62" s="108"/>
      <c r="S62" t="s">
        <v>120</v>
      </c>
      <c r="T62" t="s">
        <v>120</v>
      </c>
      <c r="U62" s="232">
        <v>0</v>
      </c>
      <c r="V62" s="232">
        <v>0</v>
      </c>
      <c r="W62" s="111"/>
    </row>
    <row r="63" spans="2:26" ht="15.75" customHeight="1">
      <c r="B63" t="s">
        <v>295</v>
      </c>
      <c r="C63" t="s">
        <v>296</v>
      </c>
      <c r="D63" s="87"/>
      <c r="E63" s="88"/>
      <c r="F63">
        <v>1</v>
      </c>
      <c r="G63" s="231">
        <v>5134.55</v>
      </c>
      <c r="H63" s="231">
        <v>3541.07</v>
      </c>
      <c r="I63" s="231">
        <v>5134.55</v>
      </c>
      <c r="J63" s="105"/>
      <c r="K63">
        <v>1</v>
      </c>
      <c r="L63" s="231">
        <v>2567.2800000000002</v>
      </c>
      <c r="M63" s="231">
        <v>2567.2800000000002</v>
      </c>
      <c r="N63" s="232">
        <v>0.5</v>
      </c>
      <c r="O63" s="93"/>
      <c r="P63" s="115"/>
      <c r="Q63" s="94"/>
      <c r="R63" s="94"/>
      <c r="S63" s="231">
        <v>2567.2800000000002</v>
      </c>
      <c r="T63" s="231">
        <v>2567.2800000000002</v>
      </c>
      <c r="U63" s="232">
        <v>0</v>
      </c>
      <c r="V63" s="232">
        <v>1</v>
      </c>
      <c r="W63" s="96"/>
    </row>
    <row r="64" spans="2:26" ht="15.75" customHeight="1">
      <c r="B64" t="s">
        <v>297</v>
      </c>
      <c r="C64" t="s">
        <v>298</v>
      </c>
      <c r="D64" s="87"/>
      <c r="E64" s="100"/>
      <c r="F64">
        <v>1</v>
      </c>
      <c r="G64" s="231">
        <v>4368</v>
      </c>
      <c r="H64" s="231">
        <v>3012.41</v>
      </c>
      <c r="I64" s="231">
        <v>4368</v>
      </c>
      <c r="J64" s="105"/>
      <c r="K64">
        <v>1</v>
      </c>
      <c r="L64" s="231">
        <v>2184</v>
      </c>
      <c r="M64" s="231">
        <v>2184</v>
      </c>
      <c r="N64" s="232">
        <v>0.5</v>
      </c>
      <c r="O64" s="93"/>
      <c r="P64" s="98"/>
      <c r="Q64" s="102"/>
      <c r="R64" s="108"/>
      <c r="S64" s="231">
        <v>2184</v>
      </c>
      <c r="T64" s="231">
        <v>2184</v>
      </c>
      <c r="U64" s="232">
        <v>0</v>
      </c>
      <c r="V64" s="232">
        <v>1</v>
      </c>
      <c r="W64" s="111"/>
    </row>
    <row r="65" spans="2:23" ht="15.75" customHeight="1">
      <c r="B65" t="s">
        <v>299</v>
      </c>
      <c r="C65" t="s">
        <v>300</v>
      </c>
      <c r="D65" s="87"/>
      <c r="E65" s="88"/>
      <c r="F65">
        <v>1</v>
      </c>
      <c r="G65" s="231">
        <v>14944.09</v>
      </c>
      <c r="H65" s="231">
        <v>10306.27</v>
      </c>
      <c r="I65" s="231">
        <v>14944.09</v>
      </c>
      <c r="J65" s="105"/>
      <c r="K65">
        <v>1</v>
      </c>
      <c r="L65" s="231">
        <v>7472.05</v>
      </c>
      <c r="M65" s="231">
        <v>7472.05</v>
      </c>
      <c r="N65" s="232">
        <v>0.5</v>
      </c>
      <c r="O65" s="93"/>
      <c r="P65" s="115"/>
      <c r="Q65" s="94"/>
      <c r="R65" s="94"/>
      <c r="S65" s="231">
        <v>7472.05</v>
      </c>
      <c r="T65" s="231">
        <v>7472.05</v>
      </c>
      <c r="U65" s="232">
        <v>0</v>
      </c>
      <c r="V65" s="232">
        <v>1</v>
      </c>
      <c r="W65" s="96"/>
    </row>
    <row r="66" spans="2:23" ht="15.75" customHeight="1">
      <c r="B66" t="s">
        <v>301</v>
      </c>
      <c r="C66" t="s">
        <v>119</v>
      </c>
      <c r="D66" s="87"/>
      <c r="E66" s="100"/>
      <c r="F66">
        <v>1</v>
      </c>
      <c r="G66" s="231">
        <v>9139.2999999999993</v>
      </c>
      <c r="H66" s="231">
        <v>6302.97</v>
      </c>
      <c r="I66" s="231">
        <v>9139.2999999999993</v>
      </c>
      <c r="J66" s="105"/>
      <c r="K66">
        <v>1</v>
      </c>
      <c r="L66" s="231">
        <v>4569.6499999999996</v>
      </c>
      <c r="M66" s="231">
        <v>4569.6499999999996</v>
      </c>
      <c r="N66" s="232">
        <v>0.5</v>
      </c>
      <c r="O66" s="93"/>
      <c r="P66" s="98"/>
      <c r="Q66" s="102"/>
      <c r="R66" s="108"/>
      <c r="S66" s="231">
        <v>4569.6499999999996</v>
      </c>
      <c r="T66" s="231">
        <v>4569.6499999999996</v>
      </c>
      <c r="U66" s="232">
        <v>0</v>
      </c>
      <c r="V66" s="232">
        <v>1</v>
      </c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710</v>
      </c>
      <c r="G78" s="121">
        <f t="shared" si="0"/>
        <v>85509.98000000001</v>
      </c>
      <c r="H78" s="122">
        <f t="shared" si="0"/>
        <v>58972.410000000018</v>
      </c>
      <c r="I78" s="123">
        <f t="shared" si="0"/>
        <v>141943.93000000002</v>
      </c>
      <c r="J78" s="124"/>
      <c r="K78" s="125">
        <f t="shared" ref="K78:M78" si="1">SUM(K19:K77)</f>
        <v>710</v>
      </c>
      <c r="L78" s="122">
        <f t="shared" si="1"/>
        <v>44790.11</v>
      </c>
      <c r="M78" s="123">
        <f t="shared" si="1"/>
        <v>76517.539999999979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76517.539999999979</v>
      </c>
      <c r="T78" s="123">
        <f t="shared" si="2"/>
        <v>924389.94000000006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5" priority="1" stopIfTrue="1">
      <formula>$U$9&gt;100%</formula>
    </cfRule>
    <cfRule type="expression" dxfId="34" priority="2">
      <formula>$U$9&lt;50%</formula>
    </cfRule>
  </conditionalFormatting>
  <conditionalFormatting sqref="V9:V11">
    <cfRule type="expression" dxfId="33" priority="3">
      <formula>$V$9&lt;50%</formula>
    </cfRule>
    <cfRule type="expression" dxfId="32" priority="4">
      <formula>$V$9&gt;50%</formula>
    </cfRule>
  </conditionalFormatting>
  <dataValidations count="4">
    <dataValidation type="list" allowBlank="1" showErrorMessage="1" sqref="E19:E77" xr:uid="{1B3C27E6-ADC9-42BB-8F86-391C1BEC4F06}">
      <formula1>$Z$19:$Z$58</formula1>
    </dataValidation>
    <dataValidation type="list" allowBlank="1" showErrorMessage="1" sqref="I14" xr:uid="{430C5F86-C0E5-4F08-BF12-89368F3B5529}">
      <formula1>$Y$14:$Y$15</formula1>
    </dataValidation>
    <dataValidation type="list" allowBlank="1" showErrorMessage="1" sqref="J14" xr:uid="{F5EB4879-C13D-4EB5-8E50-113E63953E8A}">
      <formula1>$L$9</formula1>
    </dataValidation>
    <dataValidation type="list" allowBlank="1" showErrorMessage="1" sqref="Q15 G18 L18 Q18" xr:uid="{E43CD1BE-1A60-4CF4-9EC8-AF97DFE88773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BB0D-CA8C-4E7F-BDDF-F42654D834F0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S19" sqref="S19:V4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302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97006.88999999997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2019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54317.53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42689.359999999971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303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0.44006523660329677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304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1588707.6900000002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305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54317.53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220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1045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149</v>
      </c>
      <c r="C19" t="s">
        <v>109</v>
      </c>
      <c r="D19" s="87"/>
      <c r="E19" s="88"/>
      <c r="F19">
        <v>1</v>
      </c>
      <c r="G19" s="231">
        <v>82.08</v>
      </c>
      <c r="H19" s="231">
        <v>56.61</v>
      </c>
      <c r="I19" s="231">
        <v>82.08</v>
      </c>
      <c r="J19" s="92"/>
      <c r="K19">
        <v>1</v>
      </c>
      <c r="L19" s="231">
        <v>41.04</v>
      </c>
      <c r="M19" s="231">
        <v>41.04</v>
      </c>
      <c r="N19" s="232">
        <v>0.5</v>
      </c>
      <c r="O19" s="232"/>
      <c r="P19" s="86"/>
      <c r="Q19" s="94"/>
      <c r="R19" s="94"/>
      <c r="S19" s="231"/>
      <c r="T19" s="231">
        <v>41.04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151</v>
      </c>
      <c r="C20" t="s">
        <v>306</v>
      </c>
      <c r="D20" s="87"/>
      <c r="E20" s="100"/>
      <c r="F20">
        <v>1</v>
      </c>
      <c r="G20" s="231">
        <v>104.86</v>
      </c>
      <c r="H20" s="231">
        <v>72.319999999999993</v>
      </c>
      <c r="I20" s="231">
        <v>104.86</v>
      </c>
      <c r="J20" s="105"/>
      <c r="K20">
        <v>1</v>
      </c>
      <c r="L20" s="231">
        <v>52.43</v>
      </c>
      <c r="M20" s="231">
        <v>52.43</v>
      </c>
      <c r="N20" s="232">
        <v>0.5</v>
      </c>
      <c r="O20" s="232"/>
      <c r="P20" s="98"/>
      <c r="Q20" s="102"/>
      <c r="R20" s="108"/>
      <c r="S20" s="231">
        <v>52.43</v>
      </c>
      <c r="T20" s="231">
        <v>52.43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150</v>
      </c>
      <c r="C21" t="s">
        <v>223</v>
      </c>
      <c r="D21" s="227"/>
      <c r="E21" s="100"/>
      <c r="F21">
        <v>2</v>
      </c>
      <c r="G21" s="231">
        <v>51.52</v>
      </c>
      <c r="H21" s="231">
        <v>35.53</v>
      </c>
      <c r="I21" s="231">
        <v>103.04</v>
      </c>
      <c r="J21" s="228"/>
      <c r="K21">
        <v>2</v>
      </c>
      <c r="L21" s="231">
        <v>25.76</v>
      </c>
      <c r="M21" s="231">
        <v>51.52</v>
      </c>
      <c r="N21" s="232">
        <v>0.5</v>
      </c>
      <c r="O21" s="232"/>
      <c r="P21" s="98"/>
      <c r="Q21" s="102"/>
      <c r="R21" s="108"/>
      <c r="S21" s="231">
        <v>51.52</v>
      </c>
      <c r="T21" s="231">
        <v>103.04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307</v>
      </c>
      <c r="C22" t="s">
        <v>144</v>
      </c>
      <c r="D22" s="227"/>
      <c r="E22" s="100"/>
      <c r="F22">
        <v>1</v>
      </c>
      <c r="G22" s="231">
        <v>171.55</v>
      </c>
      <c r="H22" s="231">
        <v>118.31</v>
      </c>
      <c r="I22" s="231">
        <v>171.55</v>
      </c>
      <c r="J22" s="228"/>
      <c r="K22">
        <v>1</v>
      </c>
      <c r="L22" s="231">
        <v>85.78</v>
      </c>
      <c r="M22" s="231">
        <v>85.78</v>
      </c>
      <c r="N22" s="232">
        <v>0.5</v>
      </c>
      <c r="O22" s="232"/>
      <c r="P22" s="98"/>
      <c r="Q22" s="102"/>
      <c r="R22" s="108"/>
      <c r="S22" s="231">
        <v>85.78</v>
      </c>
      <c r="T22" s="231">
        <v>85.78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308</v>
      </c>
      <c r="C23" t="s">
        <v>110</v>
      </c>
      <c r="D23" s="227"/>
      <c r="E23" s="100"/>
      <c r="F23">
        <v>1</v>
      </c>
      <c r="G23" s="231">
        <v>259.82</v>
      </c>
      <c r="H23" s="231">
        <v>179.19</v>
      </c>
      <c r="I23" s="231">
        <v>259.82</v>
      </c>
      <c r="J23" s="228"/>
      <c r="K23">
        <v>1</v>
      </c>
      <c r="L23" s="231">
        <v>168.88</v>
      </c>
      <c r="M23" s="231">
        <v>168.88</v>
      </c>
      <c r="N23" s="232">
        <v>0.35</v>
      </c>
      <c r="O23" s="232"/>
      <c r="P23" s="98"/>
      <c r="Q23" s="102"/>
      <c r="R23" s="108"/>
      <c r="S23" s="231">
        <v>168.88</v>
      </c>
      <c r="T23" s="231">
        <v>168.88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309</v>
      </c>
      <c r="C24" t="s">
        <v>111</v>
      </c>
      <c r="D24" s="227"/>
      <c r="E24" s="100"/>
      <c r="F24">
        <v>1</v>
      </c>
      <c r="G24" s="231">
        <v>109.02</v>
      </c>
      <c r="H24" s="231">
        <v>75.19</v>
      </c>
      <c r="I24" s="231">
        <v>109.02</v>
      </c>
      <c r="J24" s="228"/>
      <c r="K24">
        <v>1</v>
      </c>
      <c r="L24" s="231">
        <v>70.86</v>
      </c>
      <c r="M24" s="231">
        <v>70.86</v>
      </c>
      <c r="N24" s="232">
        <v>0.35</v>
      </c>
      <c r="O24" s="232"/>
      <c r="P24" s="98"/>
      <c r="Q24" s="102"/>
      <c r="R24" s="108"/>
      <c r="S24" s="231">
        <v>70.86</v>
      </c>
      <c r="T24" s="231">
        <v>70.86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310</v>
      </c>
      <c r="C25" t="s">
        <v>112</v>
      </c>
      <c r="D25" s="227"/>
      <c r="E25" s="100"/>
      <c r="F25">
        <v>1</v>
      </c>
      <c r="G25" s="231">
        <v>143.80000000000001</v>
      </c>
      <c r="H25" s="231">
        <v>99.17</v>
      </c>
      <c r="I25" s="231">
        <v>143.80000000000001</v>
      </c>
      <c r="J25" s="228"/>
      <c r="K25">
        <v>1</v>
      </c>
      <c r="L25" s="231">
        <v>93.47</v>
      </c>
      <c r="M25" s="231">
        <v>93.47</v>
      </c>
      <c r="N25" s="232">
        <v>0.35</v>
      </c>
      <c r="O25" s="232"/>
      <c r="P25" s="98"/>
      <c r="Q25" s="102"/>
      <c r="R25" s="108"/>
      <c r="S25" s="231">
        <v>93.47</v>
      </c>
      <c r="T25" s="231">
        <v>93.47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D26" s="227"/>
      <c r="E26" s="100"/>
      <c r="H26" t="s">
        <v>120</v>
      </c>
      <c r="I26" t="s">
        <v>120</v>
      </c>
      <c r="J26" s="228"/>
      <c r="K26">
        <v>0</v>
      </c>
      <c r="L26" t="s">
        <v>120</v>
      </c>
      <c r="M26" t="s">
        <v>120</v>
      </c>
      <c r="O26" s="232"/>
      <c r="P26" s="98"/>
      <c r="Q26" s="102"/>
      <c r="R26" s="108"/>
      <c r="S26" t="s">
        <v>120</v>
      </c>
      <c r="T26" t="s">
        <v>120</v>
      </c>
      <c r="U26" s="232">
        <v>0</v>
      </c>
      <c r="V26" s="232">
        <v>0</v>
      </c>
      <c r="W26" s="229"/>
      <c r="X26" s="230"/>
      <c r="Y26" s="8"/>
      <c r="Z26" s="8"/>
    </row>
    <row r="27" spans="2:26">
      <c r="B27" t="s">
        <v>311</v>
      </c>
      <c r="C27" t="s">
        <v>173</v>
      </c>
      <c r="D27" s="227"/>
      <c r="E27" s="100"/>
      <c r="F27">
        <v>10</v>
      </c>
      <c r="G27" s="231">
        <v>293.17</v>
      </c>
      <c r="H27" s="231">
        <v>202.19</v>
      </c>
      <c r="I27" s="231">
        <v>2931.7</v>
      </c>
      <c r="J27" s="228"/>
      <c r="K27">
        <v>10</v>
      </c>
      <c r="L27" s="231">
        <v>161.25</v>
      </c>
      <c r="M27" s="231">
        <v>1612.5</v>
      </c>
      <c r="N27" s="232">
        <v>0.45</v>
      </c>
      <c r="O27" s="232"/>
      <c r="P27" s="98"/>
      <c r="Q27" s="102"/>
      <c r="R27" s="108"/>
      <c r="S27" s="231">
        <v>1612.5</v>
      </c>
      <c r="T27" s="231">
        <v>16125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312</v>
      </c>
      <c r="C28" t="s">
        <v>128</v>
      </c>
      <c r="D28" s="227"/>
      <c r="E28" s="100"/>
      <c r="F28">
        <v>50</v>
      </c>
      <c r="G28" s="231">
        <v>9.4700000000000006</v>
      </c>
      <c r="H28" s="231">
        <v>6.53</v>
      </c>
      <c r="I28" s="231">
        <v>473.5</v>
      </c>
      <c r="J28" s="228"/>
      <c r="K28">
        <v>50</v>
      </c>
      <c r="L28" s="231">
        <v>5.21</v>
      </c>
      <c r="M28" s="231">
        <v>260.5</v>
      </c>
      <c r="N28" s="232">
        <v>0.44979999999999998</v>
      </c>
      <c r="P28" s="98"/>
      <c r="Q28" s="102"/>
      <c r="R28" s="108"/>
      <c r="S28" s="231">
        <v>260.5</v>
      </c>
      <c r="T28" s="231">
        <v>13025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285</v>
      </c>
      <c r="C29" t="s">
        <v>133</v>
      </c>
      <c r="D29" s="227"/>
      <c r="E29" s="100"/>
      <c r="F29">
        <v>50</v>
      </c>
      <c r="G29" s="231">
        <v>3.56</v>
      </c>
      <c r="H29" s="231">
        <v>2.46</v>
      </c>
      <c r="I29" s="231">
        <v>178</v>
      </c>
      <c r="J29" s="228"/>
      <c r="K29">
        <v>50</v>
      </c>
      <c r="L29" s="231">
        <v>1.96</v>
      </c>
      <c r="M29" s="231">
        <v>98</v>
      </c>
      <c r="N29" s="232">
        <v>0.44940000000000002</v>
      </c>
      <c r="O29" s="232"/>
      <c r="P29" s="98"/>
      <c r="Q29" s="102"/>
      <c r="R29" s="108"/>
      <c r="S29" s="231">
        <v>98</v>
      </c>
      <c r="T29" s="231">
        <v>4900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313</v>
      </c>
      <c r="C30" t="s">
        <v>314</v>
      </c>
      <c r="D30" s="227"/>
      <c r="E30" s="100"/>
      <c r="F30">
        <v>50</v>
      </c>
      <c r="G30" s="231">
        <v>10.44</v>
      </c>
      <c r="H30" s="231">
        <v>7.2</v>
      </c>
      <c r="I30" s="231">
        <v>522</v>
      </c>
      <c r="J30" s="228"/>
      <c r="K30">
        <v>50</v>
      </c>
      <c r="L30" s="231">
        <v>5.74</v>
      </c>
      <c r="M30" s="231">
        <v>287</v>
      </c>
      <c r="N30" s="232">
        <v>0.45019999999999999</v>
      </c>
      <c r="O30" s="232"/>
      <c r="P30" s="98"/>
      <c r="Q30" s="102"/>
      <c r="R30" s="108"/>
      <c r="S30" s="231">
        <v>287</v>
      </c>
      <c r="T30" s="231">
        <v>14350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315</v>
      </c>
      <c r="C31" t="s">
        <v>114</v>
      </c>
      <c r="D31" s="227"/>
      <c r="E31" s="100"/>
      <c r="F31">
        <v>2</v>
      </c>
      <c r="G31" s="231">
        <v>594.54</v>
      </c>
      <c r="H31" s="231">
        <v>410.03</v>
      </c>
      <c r="I31" s="231">
        <v>1189.08</v>
      </c>
      <c r="J31" s="228"/>
      <c r="K31">
        <v>2</v>
      </c>
      <c r="L31" s="231">
        <v>327</v>
      </c>
      <c r="M31" s="231">
        <v>654</v>
      </c>
      <c r="N31" s="232">
        <v>0.45</v>
      </c>
      <c r="O31" s="232"/>
      <c r="P31" s="98"/>
      <c r="Q31" s="102"/>
      <c r="R31" s="108"/>
      <c r="S31" s="231">
        <v>654</v>
      </c>
      <c r="T31" s="231">
        <v>1308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316</v>
      </c>
      <c r="C32" t="s">
        <v>115</v>
      </c>
      <c r="D32" s="227"/>
      <c r="E32" s="100"/>
      <c r="F32">
        <v>4</v>
      </c>
      <c r="G32" s="231">
        <v>22.26</v>
      </c>
      <c r="H32" s="231">
        <v>15.35</v>
      </c>
      <c r="I32" s="231">
        <v>89.04</v>
      </c>
      <c r="J32" s="228"/>
      <c r="K32">
        <v>4</v>
      </c>
      <c r="L32" s="231">
        <v>12.24</v>
      </c>
      <c r="M32" s="231">
        <v>48.96</v>
      </c>
      <c r="N32" s="232">
        <v>0.4501</v>
      </c>
      <c r="O32" s="232"/>
      <c r="P32" s="98"/>
      <c r="Q32" s="102"/>
      <c r="R32" s="108"/>
      <c r="S32" s="231">
        <v>48.96</v>
      </c>
      <c r="T32" s="231">
        <v>195.84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317</v>
      </c>
      <c r="C33" t="s">
        <v>133</v>
      </c>
      <c r="D33" s="227"/>
      <c r="E33" s="100"/>
      <c r="F33">
        <v>4</v>
      </c>
      <c r="G33" s="231">
        <v>3.56</v>
      </c>
      <c r="H33" s="231">
        <v>2.46</v>
      </c>
      <c r="I33" s="231">
        <v>14.24</v>
      </c>
      <c r="J33" s="228"/>
      <c r="K33">
        <v>4</v>
      </c>
      <c r="L33" s="231">
        <v>1.96</v>
      </c>
      <c r="M33" s="231">
        <v>7.84</v>
      </c>
      <c r="N33" s="232">
        <v>0.44940000000000002</v>
      </c>
      <c r="O33" s="232"/>
      <c r="P33" s="98"/>
      <c r="Q33" s="102"/>
      <c r="R33" s="108"/>
      <c r="S33" s="231">
        <v>7.84</v>
      </c>
      <c r="T33" s="231">
        <v>31.36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318</v>
      </c>
      <c r="C34" t="s">
        <v>129</v>
      </c>
      <c r="D34" s="227"/>
      <c r="E34" s="100"/>
      <c r="F34">
        <v>4</v>
      </c>
      <c r="G34" s="231">
        <v>3032.3</v>
      </c>
      <c r="H34" s="231">
        <v>2091.2399999999998</v>
      </c>
      <c r="I34" s="231">
        <v>12129.2</v>
      </c>
      <c r="J34" s="228"/>
      <c r="K34">
        <v>4</v>
      </c>
      <c r="L34" s="231">
        <v>1667.77</v>
      </c>
      <c r="M34" s="231">
        <v>6671.08</v>
      </c>
      <c r="N34" s="232">
        <v>0.45</v>
      </c>
      <c r="O34" s="232"/>
      <c r="P34" s="98"/>
      <c r="Q34" s="102"/>
      <c r="R34" s="108"/>
      <c r="S34" s="231">
        <v>6671.08</v>
      </c>
      <c r="T34" s="231">
        <v>26684.32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319</v>
      </c>
      <c r="C35" t="s">
        <v>130</v>
      </c>
      <c r="D35" s="227"/>
      <c r="E35" s="100"/>
      <c r="F35">
        <v>16</v>
      </c>
      <c r="G35" s="231">
        <v>25.19</v>
      </c>
      <c r="H35" s="231">
        <v>17.37</v>
      </c>
      <c r="I35" s="231">
        <v>403.04</v>
      </c>
      <c r="J35" s="228"/>
      <c r="K35">
        <v>16</v>
      </c>
      <c r="L35" s="231">
        <v>13.86</v>
      </c>
      <c r="M35" s="231">
        <v>221.76</v>
      </c>
      <c r="N35" s="232">
        <v>0.44979999999999998</v>
      </c>
      <c r="O35" s="232"/>
      <c r="P35" s="98"/>
      <c r="Q35" s="102"/>
      <c r="R35" s="108"/>
      <c r="S35" s="231">
        <v>221.76</v>
      </c>
      <c r="T35" s="231">
        <v>3548.16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320</v>
      </c>
      <c r="C36" t="s">
        <v>133</v>
      </c>
      <c r="D36" s="227"/>
      <c r="E36" s="100"/>
      <c r="F36">
        <v>16</v>
      </c>
      <c r="G36" s="231">
        <v>8.75</v>
      </c>
      <c r="H36" s="231">
        <v>6.03</v>
      </c>
      <c r="I36" s="231">
        <v>140</v>
      </c>
      <c r="J36" s="228"/>
      <c r="K36">
        <v>16</v>
      </c>
      <c r="L36" s="231">
        <v>4.82</v>
      </c>
      <c r="M36" s="231">
        <v>77.12</v>
      </c>
      <c r="N36" s="232">
        <v>0.4491</v>
      </c>
      <c r="O36" s="232"/>
      <c r="P36" s="98"/>
      <c r="Q36" s="102"/>
      <c r="R36" s="108"/>
      <c r="S36" s="231">
        <v>77.12</v>
      </c>
      <c r="T36" s="231">
        <v>1233.92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D37" s="227"/>
      <c r="E37" s="100"/>
      <c r="H37" t="s">
        <v>120</v>
      </c>
      <c r="I37" t="s">
        <v>120</v>
      </c>
      <c r="J37" s="228"/>
      <c r="K37">
        <v>0</v>
      </c>
      <c r="L37" t="s">
        <v>120</v>
      </c>
      <c r="M37" t="s">
        <v>120</v>
      </c>
      <c r="P37" s="98"/>
      <c r="Q37" s="102"/>
      <c r="R37" s="108"/>
      <c r="S37" t="s">
        <v>120</v>
      </c>
      <c r="T37" t="s">
        <v>120</v>
      </c>
      <c r="U37" s="232">
        <v>0</v>
      </c>
      <c r="V37" s="232">
        <v>0</v>
      </c>
      <c r="W37" s="229"/>
      <c r="X37" s="230"/>
      <c r="Y37" s="8"/>
      <c r="Z37" s="8"/>
    </row>
    <row r="38" spans="2:26">
      <c r="B38" t="s">
        <v>321</v>
      </c>
      <c r="C38" t="s">
        <v>322</v>
      </c>
      <c r="D38" s="227"/>
      <c r="E38" s="100"/>
      <c r="F38">
        <v>2</v>
      </c>
      <c r="G38" s="231">
        <v>10784.17</v>
      </c>
      <c r="H38" s="231">
        <v>7437.36</v>
      </c>
      <c r="I38" s="231">
        <v>21568.34</v>
      </c>
      <c r="J38" s="228"/>
      <c r="K38">
        <v>2</v>
      </c>
      <c r="L38" s="231">
        <v>5931.29</v>
      </c>
      <c r="M38" s="231">
        <v>11862.58</v>
      </c>
      <c r="N38" s="232">
        <v>0.45</v>
      </c>
      <c r="O38" s="232"/>
      <c r="P38" s="98"/>
      <c r="Q38" s="102"/>
      <c r="R38" s="108"/>
      <c r="S38" s="231">
        <v>11862.58</v>
      </c>
      <c r="T38" s="231">
        <v>23725.16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323</v>
      </c>
      <c r="C39" t="s">
        <v>324</v>
      </c>
      <c r="D39" s="227"/>
      <c r="E39" s="100"/>
      <c r="F39">
        <v>2</v>
      </c>
      <c r="G39" s="231">
        <v>10339.93</v>
      </c>
      <c r="H39" s="231">
        <v>7130.99</v>
      </c>
      <c r="I39" s="231">
        <v>20679.86</v>
      </c>
      <c r="J39" s="228"/>
      <c r="K39">
        <v>2</v>
      </c>
      <c r="L39" s="231">
        <v>5686.97</v>
      </c>
      <c r="M39" s="231">
        <v>11373.94</v>
      </c>
      <c r="N39" s="232">
        <v>0.45</v>
      </c>
      <c r="O39" s="232"/>
      <c r="P39" s="98"/>
      <c r="Q39" s="102"/>
      <c r="R39" s="108"/>
      <c r="S39" s="231">
        <v>11373.94</v>
      </c>
      <c r="T39" s="231">
        <v>22747.88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325</v>
      </c>
      <c r="C40" t="s">
        <v>326</v>
      </c>
      <c r="D40" s="227"/>
      <c r="E40" s="100"/>
      <c r="F40">
        <v>90</v>
      </c>
      <c r="G40" s="231">
        <v>185.5</v>
      </c>
      <c r="H40" s="231">
        <v>127.93</v>
      </c>
      <c r="I40" s="231">
        <v>16695</v>
      </c>
      <c r="J40" s="228"/>
      <c r="K40">
        <v>90</v>
      </c>
      <c r="L40" s="231">
        <v>102.03</v>
      </c>
      <c r="M40" s="231">
        <v>9182.7000000000007</v>
      </c>
      <c r="N40" s="232">
        <v>0.45</v>
      </c>
      <c r="O40" s="232"/>
      <c r="P40" s="98"/>
      <c r="Q40" s="102"/>
      <c r="R40" s="108"/>
      <c r="S40" s="231">
        <v>9182.7000000000007</v>
      </c>
      <c r="T40" s="231">
        <v>826443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243</v>
      </c>
      <c r="C41" t="s">
        <v>116</v>
      </c>
      <c r="D41" s="227"/>
      <c r="E41" s="100"/>
      <c r="F41">
        <v>360</v>
      </c>
      <c r="G41" s="231">
        <v>5.39</v>
      </c>
      <c r="H41" s="231">
        <v>3.72</v>
      </c>
      <c r="I41" s="231">
        <v>1939.68</v>
      </c>
      <c r="J41" s="228"/>
      <c r="K41">
        <v>360</v>
      </c>
      <c r="L41" s="231">
        <v>2.96</v>
      </c>
      <c r="M41" s="231">
        <v>1065.5999999999999</v>
      </c>
      <c r="N41" s="232">
        <v>0.4506</v>
      </c>
      <c r="O41" s="232"/>
      <c r="P41" s="98"/>
      <c r="Q41" s="102"/>
      <c r="R41" s="108"/>
      <c r="S41" s="231">
        <v>1065.5999999999999</v>
      </c>
      <c r="T41" s="231">
        <v>383616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327</v>
      </c>
      <c r="C42" t="s">
        <v>142</v>
      </c>
      <c r="D42" s="227"/>
      <c r="E42" s="100"/>
      <c r="F42">
        <v>360</v>
      </c>
      <c r="G42" s="231">
        <v>2.94</v>
      </c>
      <c r="H42" s="231">
        <v>2.0299999999999998</v>
      </c>
      <c r="I42" s="231">
        <v>1058.4000000000001</v>
      </c>
      <c r="J42" s="228"/>
      <c r="K42">
        <v>360</v>
      </c>
      <c r="L42" s="231">
        <v>1.62</v>
      </c>
      <c r="M42" s="231">
        <v>583.20000000000005</v>
      </c>
      <c r="N42" s="232">
        <v>0.44900000000000001</v>
      </c>
      <c r="P42" s="98"/>
      <c r="Q42" s="102"/>
      <c r="R42" s="108"/>
      <c r="S42" s="231">
        <v>583.20000000000005</v>
      </c>
      <c r="T42" s="231">
        <v>209952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328</v>
      </c>
      <c r="C43" t="s">
        <v>329</v>
      </c>
      <c r="D43" s="227"/>
      <c r="E43" s="100"/>
      <c r="F43">
        <v>2</v>
      </c>
      <c r="G43" s="231">
        <v>240.45</v>
      </c>
      <c r="H43" s="231">
        <v>165.83</v>
      </c>
      <c r="I43" s="231">
        <v>480.9</v>
      </c>
      <c r="J43" s="228"/>
      <c r="K43">
        <v>2</v>
      </c>
      <c r="L43" s="231">
        <v>132.25</v>
      </c>
      <c r="M43" s="231">
        <v>264.5</v>
      </c>
      <c r="N43" s="232">
        <v>0.45</v>
      </c>
      <c r="O43" s="232"/>
      <c r="P43" s="98"/>
      <c r="Q43" s="102"/>
      <c r="R43" s="108"/>
      <c r="S43" s="231">
        <v>264.5</v>
      </c>
      <c r="T43" s="231">
        <v>529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330</v>
      </c>
      <c r="C44" t="s">
        <v>331</v>
      </c>
      <c r="D44" s="227"/>
      <c r="E44" s="100"/>
      <c r="F44">
        <v>8</v>
      </c>
      <c r="G44" s="231">
        <v>9.9600000000000009</v>
      </c>
      <c r="H44" s="231">
        <v>6.87</v>
      </c>
      <c r="I44" s="231">
        <v>79.680000000000007</v>
      </c>
      <c r="J44" s="228"/>
      <c r="K44">
        <v>8</v>
      </c>
      <c r="L44" s="231">
        <v>5.48</v>
      </c>
      <c r="M44" s="231">
        <v>43.84</v>
      </c>
      <c r="N44" s="232">
        <v>0.44979999999999998</v>
      </c>
      <c r="P44" s="98"/>
      <c r="Q44" s="102"/>
      <c r="R44" s="108"/>
      <c r="S44" s="231">
        <v>43.84</v>
      </c>
      <c r="T44" s="231">
        <v>350.72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D45" s="227"/>
      <c r="E45" s="100"/>
      <c r="H45" t="s">
        <v>120</v>
      </c>
      <c r="I45" t="s">
        <v>120</v>
      </c>
      <c r="J45" s="228"/>
      <c r="K45">
        <v>0</v>
      </c>
      <c r="L45" t="s">
        <v>120</v>
      </c>
      <c r="M45" t="s">
        <v>120</v>
      </c>
      <c r="P45" s="98"/>
      <c r="Q45" s="102"/>
      <c r="R45" s="108"/>
      <c r="S45" t="s">
        <v>120</v>
      </c>
      <c r="T45" t="s">
        <v>120</v>
      </c>
      <c r="U45" s="232">
        <v>0</v>
      </c>
      <c r="V45" s="232">
        <v>0</v>
      </c>
      <c r="W45" s="229"/>
      <c r="X45" s="230"/>
      <c r="Y45" s="8"/>
      <c r="Z45" s="8"/>
    </row>
    <row r="46" spans="2:26">
      <c r="B46" t="s">
        <v>332</v>
      </c>
      <c r="C46" t="s">
        <v>333</v>
      </c>
      <c r="D46" s="227"/>
      <c r="E46" s="100"/>
      <c r="F46">
        <v>6</v>
      </c>
      <c r="G46" s="231">
        <v>1423.26</v>
      </c>
      <c r="H46" s="231">
        <v>981.56</v>
      </c>
      <c r="I46" s="231">
        <v>8539.56</v>
      </c>
      <c r="J46" s="228"/>
      <c r="K46">
        <v>6</v>
      </c>
      <c r="L46" s="231">
        <v>996.28</v>
      </c>
      <c r="M46" s="231">
        <v>5977.68</v>
      </c>
      <c r="N46" s="232">
        <v>0.3</v>
      </c>
      <c r="P46" s="98"/>
      <c r="Q46" s="102"/>
      <c r="R46" s="108"/>
      <c r="S46" s="231">
        <v>5977.68</v>
      </c>
      <c r="T46" s="231">
        <v>35866.080000000002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334</v>
      </c>
      <c r="C47" t="s">
        <v>335</v>
      </c>
      <c r="D47" s="227"/>
      <c r="E47" s="100"/>
      <c r="F47">
        <v>1</v>
      </c>
      <c r="G47" s="231">
        <v>6921.5</v>
      </c>
      <c r="H47" s="231">
        <v>4773.45</v>
      </c>
      <c r="I47" s="231">
        <v>6921.5</v>
      </c>
      <c r="J47" s="228"/>
      <c r="K47">
        <v>1</v>
      </c>
      <c r="L47" s="231">
        <v>3460.75</v>
      </c>
      <c r="M47" s="231">
        <v>3460.75</v>
      </c>
      <c r="N47" s="232">
        <v>0.5</v>
      </c>
      <c r="P47" s="98"/>
      <c r="Q47" s="102"/>
      <c r="R47" s="108"/>
      <c r="S47" s="231">
        <v>3460.75</v>
      </c>
      <c r="T47" s="231">
        <v>3460.75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D48" s="227"/>
      <c r="E48" s="100"/>
      <c r="G48" s="231"/>
      <c r="H48" s="231"/>
      <c r="I48" s="231"/>
      <c r="J48" s="228"/>
      <c r="L48" s="231"/>
      <c r="M48" s="231"/>
      <c r="N48" s="232"/>
      <c r="O48" s="232"/>
      <c r="P48" s="98"/>
      <c r="Q48" s="102"/>
      <c r="R48" s="108"/>
      <c r="S48" s="231"/>
      <c r="T48" s="231"/>
      <c r="U48" s="232"/>
      <c r="V48" s="232"/>
      <c r="W48" s="229"/>
      <c r="X48" s="230"/>
      <c r="Y48" s="8"/>
      <c r="Z48" s="8"/>
    </row>
    <row r="49" spans="4:26">
      <c r="D49" s="87"/>
      <c r="E49" s="88"/>
      <c r="G49" s="231"/>
      <c r="H49" s="231"/>
      <c r="I49" s="231"/>
      <c r="J49" s="105"/>
      <c r="L49" s="231"/>
      <c r="M49" s="231"/>
      <c r="N49" s="232"/>
      <c r="O49" s="232"/>
      <c r="P49" s="115"/>
      <c r="Q49" s="94"/>
      <c r="R49" s="94"/>
      <c r="S49" s="231"/>
      <c r="T49" s="231"/>
      <c r="U49" s="232"/>
      <c r="V49" s="232"/>
      <c r="W49" s="96"/>
      <c r="X49" s="97"/>
      <c r="Y49" s="8"/>
      <c r="Z49" s="8"/>
    </row>
    <row r="50" spans="4:26" ht="15.75" customHeight="1">
      <c r="D50" s="87"/>
      <c r="E50" s="100"/>
      <c r="J50" s="105"/>
      <c r="O50" s="232"/>
      <c r="P50" s="98"/>
      <c r="Q50" s="102"/>
      <c r="R50" s="108"/>
      <c r="U50" s="232"/>
      <c r="V50" s="232"/>
      <c r="W50" s="111"/>
      <c r="X50" s="97"/>
      <c r="Y50" s="8"/>
      <c r="Z50" s="8"/>
    </row>
    <row r="51" spans="4:26" ht="15.75" customHeight="1">
      <c r="D51" s="87"/>
      <c r="E51" s="88"/>
      <c r="G51" s="231"/>
      <c r="H51" s="231"/>
      <c r="I51" s="231"/>
      <c r="J51" s="105"/>
      <c r="L51" s="231"/>
      <c r="M51" s="231"/>
      <c r="N51" s="232"/>
      <c r="O51" s="232"/>
      <c r="P51" s="115"/>
      <c r="Q51" s="94"/>
      <c r="R51" s="94"/>
      <c r="S51" s="231"/>
      <c r="T51" s="231"/>
      <c r="U51" s="232"/>
      <c r="V51" s="232"/>
      <c r="W51" s="96"/>
      <c r="X51" s="97"/>
      <c r="Y51" s="8"/>
      <c r="Z51" s="8"/>
    </row>
    <row r="52" spans="4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93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4:26" ht="15.75" customHeight="1">
      <c r="D53" s="87"/>
      <c r="E53" s="88"/>
      <c r="G53" s="231"/>
      <c r="H53" s="231"/>
      <c r="I53" s="231"/>
      <c r="J53" s="105"/>
      <c r="L53" s="231"/>
      <c r="M53" s="231"/>
      <c r="N53" s="232"/>
      <c r="O53" s="93"/>
      <c r="P53" s="115"/>
      <c r="Q53" s="94"/>
      <c r="R53" s="94"/>
      <c r="S53" s="231"/>
      <c r="T53" s="231"/>
      <c r="U53" s="232"/>
      <c r="V53" s="232"/>
      <c r="W53" s="96"/>
      <c r="X53" s="97"/>
      <c r="Y53" s="8"/>
      <c r="Z53" s="8"/>
    </row>
    <row r="54" spans="4:26" ht="15.75" customHeight="1">
      <c r="D54" s="87"/>
      <c r="E54" s="100"/>
      <c r="G54" s="231"/>
      <c r="H54" s="231"/>
      <c r="I54" s="231"/>
      <c r="J54" s="105"/>
      <c r="L54" s="231"/>
      <c r="M54" s="231"/>
      <c r="N54" s="232"/>
      <c r="O54" s="93"/>
      <c r="P54" s="98"/>
      <c r="Q54" s="102"/>
      <c r="R54" s="108"/>
      <c r="S54" s="231"/>
      <c r="T54" s="231"/>
      <c r="U54" s="232"/>
      <c r="V54" s="232"/>
      <c r="W54" s="111"/>
      <c r="X54" s="97"/>
      <c r="Y54" s="8"/>
      <c r="Z54" s="8"/>
    </row>
    <row r="55" spans="4:26" ht="15.75" customHeight="1">
      <c r="D55" s="87"/>
      <c r="E55" s="88"/>
      <c r="G55" s="231"/>
      <c r="H55" s="231"/>
      <c r="I55" s="231"/>
      <c r="J55" s="105"/>
      <c r="L55" s="231"/>
      <c r="M55" s="231"/>
      <c r="N55" s="232"/>
      <c r="O55" s="93"/>
      <c r="P55" s="115"/>
      <c r="Q55" s="94"/>
      <c r="R55" s="94"/>
      <c r="S55" s="231"/>
      <c r="T55" s="231"/>
      <c r="U55" s="232"/>
      <c r="V55" s="232"/>
      <c r="W55" s="96"/>
      <c r="X55" s="97"/>
      <c r="Y55" s="8"/>
      <c r="Z55" s="8"/>
    </row>
    <row r="56" spans="4:26" ht="15.75" customHeight="1">
      <c r="D56" s="87"/>
      <c r="E56" s="100"/>
      <c r="G56" s="231"/>
      <c r="H56" s="231"/>
      <c r="I56" s="231"/>
      <c r="J56" s="105"/>
      <c r="L56" s="231"/>
      <c r="M56" s="231"/>
      <c r="N56" s="232"/>
      <c r="O56" s="93"/>
      <c r="P56" s="98"/>
      <c r="Q56" s="102"/>
      <c r="R56" s="108"/>
      <c r="S56" s="231"/>
      <c r="T56" s="231"/>
      <c r="U56" s="232"/>
      <c r="V56" s="232"/>
      <c r="W56" s="111"/>
      <c r="X56" s="97"/>
      <c r="Y56" s="8"/>
      <c r="Z56" s="116"/>
    </row>
    <row r="57" spans="4:26" ht="15.75" customHeight="1">
      <c r="D57" s="87"/>
      <c r="E57" s="88"/>
      <c r="G57" s="231"/>
      <c r="H57" s="231"/>
      <c r="I57" s="231"/>
      <c r="J57" s="105"/>
      <c r="L57" s="231"/>
      <c r="M57" s="231"/>
      <c r="N57" s="232"/>
      <c r="O57" s="93"/>
      <c r="P57" s="115"/>
      <c r="Q57" s="94"/>
      <c r="R57" s="94"/>
      <c r="S57" s="231"/>
      <c r="T57" s="231"/>
      <c r="U57" s="232"/>
      <c r="V57" s="232"/>
      <c r="W57" s="96"/>
      <c r="X57" s="97"/>
      <c r="Y57" s="8"/>
      <c r="Z57" s="8"/>
    </row>
    <row r="58" spans="4:26" ht="15.75" customHeight="1">
      <c r="D58" s="87"/>
      <c r="E58" s="100"/>
      <c r="G58" s="231"/>
      <c r="H58" s="231"/>
      <c r="I58" s="231"/>
      <c r="J58" s="105"/>
      <c r="L58" s="231"/>
      <c r="M58" s="231"/>
      <c r="N58" s="232"/>
      <c r="O58" s="93"/>
      <c r="P58" s="98"/>
      <c r="Q58" s="102"/>
      <c r="R58" s="108"/>
      <c r="S58" s="231"/>
      <c r="T58" s="231"/>
      <c r="U58" s="232"/>
      <c r="V58" s="232"/>
      <c r="W58" s="111"/>
      <c r="X58" s="97"/>
      <c r="Y58" s="8"/>
      <c r="Z58" s="8"/>
    </row>
    <row r="59" spans="4:26" ht="15.75" customHeight="1">
      <c r="D59" s="87"/>
      <c r="E59" s="88"/>
      <c r="G59" s="231"/>
      <c r="H59" s="231"/>
      <c r="I59" s="231"/>
      <c r="J59" s="105"/>
      <c r="L59" s="231"/>
      <c r="M59" s="231"/>
      <c r="N59" s="232"/>
      <c r="O59" s="93"/>
      <c r="P59" s="115"/>
      <c r="Q59" s="94"/>
      <c r="R59" s="94"/>
      <c r="S59" s="231"/>
      <c r="T59" s="231"/>
      <c r="U59" s="232"/>
      <c r="V59" s="232"/>
      <c r="W59" s="96"/>
      <c r="X59" s="97"/>
      <c r="Y59" s="8"/>
      <c r="Z59" s="8"/>
    </row>
    <row r="60" spans="4:26" ht="15.75" customHeight="1">
      <c r="D60" s="87"/>
      <c r="E60" s="100"/>
      <c r="G60" s="231"/>
      <c r="H60" s="231"/>
      <c r="I60" s="231"/>
      <c r="J60" s="105"/>
      <c r="L60" s="231"/>
      <c r="M60" s="231"/>
      <c r="N60" s="232"/>
      <c r="O60" s="93"/>
      <c r="P60" s="98"/>
      <c r="Q60" s="102"/>
      <c r="R60" s="108"/>
      <c r="S60" s="231"/>
      <c r="T60" s="231"/>
      <c r="U60" s="232"/>
      <c r="V60" s="232"/>
      <c r="W60" s="111"/>
      <c r="X60" s="97"/>
      <c r="Y60" s="8"/>
      <c r="Z60" s="8"/>
    </row>
    <row r="61" spans="4:26" ht="15.75" customHeight="1">
      <c r="D61" s="87"/>
      <c r="E61" s="88"/>
      <c r="G61" s="231"/>
      <c r="H61" s="231"/>
      <c r="I61" s="231"/>
      <c r="J61" s="105"/>
      <c r="L61" s="231"/>
      <c r="M61" s="231"/>
      <c r="N61" s="232"/>
      <c r="O61" s="93"/>
      <c r="P61" s="115"/>
      <c r="Q61" s="94"/>
      <c r="R61" s="94"/>
      <c r="S61" s="231"/>
      <c r="T61" s="231"/>
      <c r="U61" s="232"/>
      <c r="V61" s="232"/>
      <c r="W61" s="96"/>
    </row>
    <row r="62" spans="4:26" ht="15.75" customHeight="1">
      <c r="D62" s="87"/>
      <c r="E62" s="100"/>
      <c r="J62" s="105"/>
      <c r="O62" s="93"/>
      <c r="P62" s="98"/>
      <c r="Q62" s="102"/>
      <c r="R62" s="108"/>
      <c r="U62" s="232"/>
      <c r="V62" s="232"/>
      <c r="W62" s="111"/>
    </row>
    <row r="63" spans="4:26" ht="15.75" customHeight="1">
      <c r="D63" s="87"/>
      <c r="E63" s="88"/>
      <c r="G63" s="231"/>
      <c r="H63" s="231"/>
      <c r="I63" s="231"/>
      <c r="J63" s="105"/>
      <c r="L63" s="231"/>
      <c r="M63" s="231"/>
      <c r="N63" s="232"/>
      <c r="O63" s="93"/>
      <c r="P63" s="115"/>
      <c r="Q63" s="94"/>
      <c r="R63" s="94"/>
      <c r="S63" s="231"/>
      <c r="T63" s="231"/>
      <c r="U63" s="232"/>
      <c r="V63" s="232"/>
      <c r="W63" s="96"/>
    </row>
    <row r="64" spans="4:26" ht="15.75" customHeight="1">
      <c r="D64" s="87"/>
      <c r="E64" s="100"/>
      <c r="G64" s="231"/>
      <c r="H64" s="231"/>
      <c r="I64" s="231"/>
      <c r="J64" s="105"/>
      <c r="L64" s="231"/>
      <c r="M64" s="231"/>
      <c r="N64" s="232"/>
      <c r="O64" s="93"/>
      <c r="P64" s="98"/>
      <c r="Q64" s="102"/>
      <c r="R64" s="108"/>
      <c r="S64" s="231"/>
      <c r="T64" s="231"/>
      <c r="U64" s="232"/>
      <c r="V64" s="232"/>
      <c r="W64" s="111"/>
    </row>
    <row r="65" spans="2:23" ht="15.75" customHeight="1">
      <c r="D65" s="87"/>
      <c r="E65" s="88"/>
      <c r="G65" s="231"/>
      <c r="H65" s="231"/>
      <c r="I65" s="231"/>
      <c r="J65" s="105"/>
      <c r="L65" s="231"/>
      <c r="M65" s="231"/>
      <c r="N65" s="232"/>
      <c r="O65" s="93"/>
      <c r="P65" s="115"/>
      <c r="Q65" s="94"/>
      <c r="R65" s="94"/>
      <c r="S65" s="231"/>
      <c r="T65" s="231"/>
      <c r="U65" s="232"/>
      <c r="V65" s="232"/>
      <c r="W65" s="96"/>
    </row>
    <row r="66" spans="2:23" ht="15.75" customHeight="1">
      <c r="D66" s="87"/>
      <c r="E66" s="100"/>
      <c r="G66" s="231"/>
      <c r="H66" s="231"/>
      <c r="I66" s="231"/>
      <c r="J66" s="105"/>
      <c r="L66" s="231"/>
      <c r="M66" s="231"/>
      <c r="N66" s="232"/>
      <c r="O66" s="93"/>
      <c r="P66" s="98"/>
      <c r="Q66" s="102"/>
      <c r="R66" s="108"/>
      <c r="S66" s="231"/>
      <c r="T66" s="231"/>
      <c r="U66" s="232"/>
      <c r="V66" s="232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1045</v>
      </c>
      <c r="G78" s="121">
        <f t="shared" si="0"/>
        <v>34838.989999999991</v>
      </c>
      <c r="H78" s="122">
        <f t="shared" si="0"/>
        <v>24026.920000000002</v>
      </c>
      <c r="I78" s="123">
        <f t="shared" si="0"/>
        <v>97006.88999999997</v>
      </c>
      <c r="J78" s="124"/>
      <c r="K78" s="125">
        <f t="shared" ref="K78:M78" si="1">SUM(K19:K77)</f>
        <v>1045</v>
      </c>
      <c r="L78" s="122">
        <f t="shared" si="1"/>
        <v>19059.660000000003</v>
      </c>
      <c r="M78" s="123">
        <f t="shared" si="1"/>
        <v>54317.53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54276.489999999991</v>
      </c>
      <c r="T78" s="123">
        <f t="shared" si="2"/>
        <v>1588707.6900000002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1" priority="1" stopIfTrue="1">
      <formula>$U$9&gt;100%</formula>
    </cfRule>
    <cfRule type="expression" dxfId="30" priority="2">
      <formula>$U$9&lt;50%</formula>
    </cfRule>
  </conditionalFormatting>
  <conditionalFormatting sqref="V9:V11">
    <cfRule type="expression" dxfId="29" priority="3">
      <formula>$V$9&lt;50%</formula>
    </cfRule>
    <cfRule type="expression" dxfId="28" priority="4">
      <formula>$V$9&gt;50%</formula>
    </cfRule>
  </conditionalFormatting>
  <dataValidations count="4">
    <dataValidation type="list" allowBlank="1" showErrorMessage="1" sqref="Q15 G18 L18 Q18" xr:uid="{6FAEC136-93B8-4A23-B9A9-306D37C80270}">
      <formula1>$Y$12:$Y$13</formula1>
    </dataValidation>
    <dataValidation type="list" allowBlank="1" showErrorMessage="1" sqref="J14" xr:uid="{D675CC91-9C56-472E-AC2F-7688A575733E}">
      <formula1>$L$9</formula1>
    </dataValidation>
    <dataValidation type="list" allowBlank="1" showErrorMessage="1" sqref="I14" xr:uid="{EFA06786-CB75-43B0-91CB-F236C8A8D793}">
      <formula1>$Y$14:$Y$15</formula1>
    </dataValidation>
    <dataValidation type="list" allowBlank="1" showErrorMessage="1" sqref="E19:E77" xr:uid="{DF8521F2-CA46-4BB8-9D5F-3E1714845943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C728-4513-44D2-9A85-73DE4FC9CDA8}">
  <sheetPr>
    <pageSetUpPr fitToPage="1"/>
  </sheetPr>
  <dimension ref="B1:Z78"/>
  <sheetViews>
    <sheetView zoomScale="55" zoomScaleNormal="55" workbookViewId="0">
      <pane ySplit="18" topLeftCell="A51" activePane="bottomLeft" state="frozen"/>
      <selection pane="bottomLeft" activeCell="S19" sqref="S19:V61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153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104230.07999999999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2010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57679.889999999978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46550.19000000001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154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0.44660994215873207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155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1728302.6500000001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156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57679.889999999978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220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1175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339</v>
      </c>
      <c r="C19" t="s">
        <v>109</v>
      </c>
      <c r="D19" s="87"/>
      <c r="E19" s="88"/>
      <c r="F19">
        <v>1</v>
      </c>
      <c r="G19" s="231">
        <v>36.51</v>
      </c>
      <c r="H19" s="231">
        <v>25.18</v>
      </c>
      <c r="I19" s="231">
        <v>36.51</v>
      </c>
      <c r="J19" s="92"/>
      <c r="K19">
        <v>1</v>
      </c>
      <c r="L19" s="231">
        <v>18.260000000000002</v>
      </c>
      <c r="M19" s="231">
        <v>18.260000000000002</v>
      </c>
      <c r="N19" s="232">
        <v>0.49990000000000001</v>
      </c>
      <c r="O19" s="232"/>
      <c r="P19" s="86"/>
      <c r="Q19" s="94"/>
      <c r="R19" s="94"/>
      <c r="S19" s="231">
        <v>18.260000000000002</v>
      </c>
      <c r="T19" s="231">
        <v>18.260000000000002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340</v>
      </c>
      <c r="C20" t="s">
        <v>249</v>
      </c>
      <c r="D20" s="87"/>
      <c r="E20" s="100"/>
      <c r="F20">
        <v>1</v>
      </c>
      <c r="G20" s="231">
        <v>62.25</v>
      </c>
      <c r="H20" s="231">
        <v>42.93</v>
      </c>
      <c r="I20" s="231">
        <v>62.25</v>
      </c>
      <c r="J20" s="105"/>
      <c r="K20">
        <v>1</v>
      </c>
      <c r="L20" s="231">
        <v>31.13</v>
      </c>
      <c r="M20" s="231">
        <v>31.13</v>
      </c>
      <c r="N20" s="232">
        <v>0.49990000000000001</v>
      </c>
      <c r="O20" s="232"/>
      <c r="P20" s="98"/>
      <c r="Q20" s="102"/>
      <c r="R20" s="108"/>
      <c r="S20" s="231">
        <v>31.13</v>
      </c>
      <c r="T20" s="231">
        <v>31.13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248</v>
      </c>
      <c r="C21" t="s">
        <v>223</v>
      </c>
      <c r="D21" s="227"/>
      <c r="E21" s="100"/>
      <c r="F21">
        <v>1</v>
      </c>
      <c r="G21" s="231">
        <v>47.05</v>
      </c>
      <c r="H21" s="231">
        <v>32.450000000000003</v>
      </c>
      <c r="I21" s="231">
        <v>47.05</v>
      </c>
      <c r="J21" s="228"/>
      <c r="K21">
        <v>1</v>
      </c>
      <c r="L21" s="231">
        <v>23.53</v>
      </c>
      <c r="M21" s="231">
        <v>23.53</v>
      </c>
      <c r="N21" s="232">
        <v>0.49990000000000001</v>
      </c>
      <c r="O21" s="232"/>
      <c r="P21" s="98"/>
      <c r="Q21" s="102"/>
      <c r="R21" s="108"/>
      <c r="S21" s="231">
        <v>23.53</v>
      </c>
      <c r="T21" s="231">
        <v>23.53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341</v>
      </c>
      <c r="C22" t="s">
        <v>342</v>
      </c>
      <c r="D22" s="227"/>
      <c r="E22" s="100"/>
      <c r="F22">
        <v>1</v>
      </c>
      <c r="G22" s="231">
        <v>85.6</v>
      </c>
      <c r="H22" s="231">
        <v>59.03</v>
      </c>
      <c r="I22" s="231">
        <v>85.6</v>
      </c>
      <c r="J22" s="228"/>
      <c r="K22">
        <v>1</v>
      </c>
      <c r="L22" s="231">
        <v>42.8</v>
      </c>
      <c r="M22" s="231">
        <v>42.8</v>
      </c>
      <c r="N22" s="232">
        <v>0.5</v>
      </c>
      <c r="O22" s="232"/>
      <c r="P22" s="98"/>
      <c r="Q22" s="102"/>
      <c r="R22" s="108"/>
      <c r="S22" s="231">
        <v>42.8</v>
      </c>
      <c r="T22" s="231">
        <v>42.8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343</v>
      </c>
      <c r="C23" t="s">
        <v>124</v>
      </c>
      <c r="D23" s="227"/>
      <c r="E23" s="100"/>
      <c r="F23">
        <v>1</v>
      </c>
      <c r="G23" s="231">
        <v>204.36</v>
      </c>
      <c r="H23" s="231">
        <v>140.94</v>
      </c>
      <c r="I23" s="231">
        <v>204.36</v>
      </c>
      <c r="J23" s="228"/>
      <c r="K23">
        <v>1</v>
      </c>
      <c r="L23" s="231">
        <v>102.18</v>
      </c>
      <c r="M23" s="231">
        <v>102.18</v>
      </c>
      <c r="N23" s="232">
        <v>0.5</v>
      </c>
      <c r="O23" s="232"/>
      <c r="P23" s="98"/>
      <c r="Q23" s="102"/>
      <c r="R23" s="108"/>
      <c r="S23" s="231">
        <v>102.18</v>
      </c>
      <c r="T23" s="231">
        <v>102.18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344</v>
      </c>
      <c r="C24" t="s">
        <v>113</v>
      </c>
      <c r="D24" s="227"/>
      <c r="E24" s="100"/>
      <c r="F24">
        <v>1</v>
      </c>
      <c r="G24" s="231">
        <v>123.35</v>
      </c>
      <c r="H24" s="231">
        <v>85.07</v>
      </c>
      <c r="I24" s="231">
        <v>123.35</v>
      </c>
      <c r="J24" s="228"/>
      <c r="K24">
        <v>1</v>
      </c>
      <c r="L24" s="231">
        <v>61.68</v>
      </c>
      <c r="M24" s="231">
        <v>61.68</v>
      </c>
      <c r="N24" s="232">
        <v>0.5</v>
      </c>
      <c r="O24" s="232"/>
      <c r="P24" s="98"/>
      <c r="Q24" s="102"/>
      <c r="R24" s="108"/>
      <c r="S24" s="231">
        <v>61.68</v>
      </c>
      <c r="T24" s="231">
        <v>61.68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345</v>
      </c>
      <c r="C25" t="s">
        <v>110</v>
      </c>
      <c r="D25" s="227"/>
      <c r="E25" s="100"/>
      <c r="F25">
        <v>1</v>
      </c>
      <c r="G25" s="231">
        <v>221.83</v>
      </c>
      <c r="H25" s="231">
        <v>152.99</v>
      </c>
      <c r="I25" s="231">
        <v>221.83</v>
      </c>
      <c r="J25" s="228"/>
      <c r="K25">
        <v>1</v>
      </c>
      <c r="L25" s="231">
        <v>144.19999999999999</v>
      </c>
      <c r="M25" s="231">
        <v>144.19999999999999</v>
      </c>
      <c r="N25" s="232">
        <v>0.35</v>
      </c>
      <c r="O25" s="232"/>
      <c r="P25" s="98"/>
      <c r="Q25" s="102"/>
      <c r="R25" s="108"/>
      <c r="S25" s="231">
        <v>144.19999999999999</v>
      </c>
      <c r="T25" s="231">
        <v>144.19999999999999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346</v>
      </c>
      <c r="C26" t="s">
        <v>111</v>
      </c>
      <c r="D26" s="227"/>
      <c r="E26" s="100"/>
      <c r="F26">
        <v>1</v>
      </c>
      <c r="G26" s="231">
        <v>152.66999999999999</v>
      </c>
      <c r="H26" s="231">
        <v>105.29</v>
      </c>
      <c r="I26" s="231">
        <v>152.66999999999999</v>
      </c>
      <c r="J26" s="228"/>
      <c r="K26">
        <v>1</v>
      </c>
      <c r="L26" s="231">
        <v>99.24</v>
      </c>
      <c r="M26" s="231">
        <v>99.24</v>
      </c>
      <c r="N26" s="232">
        <v>0.35</v>
      </c>
      <c r="O26" s="232"/>
      <c r="P26" s="98"/>
      <c r="Q26" s="102"/>
      <c r="R26" s="108"/>
      <c r="S26" s="231">
        <v>99.24</v>
      </c>
      <c r="T26" s="231">
        <v>99.24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347</v>
      </c>
      <c r="C27" t="s">
        <v>140</v>
      </c>
      <c r="D27" s="227"/>
      <c r="E27" s="100"/>
      <c r="F27">
        <v>1</v>
      </c>
      <c r="G27" s="231">
        <v>3100.37</v>
      </c>
      <c r="H27" s="231">
        <v>2138.19</v>
      </c>
      <c r="I27" s="231">
        <v>3100.37</v>
      </c>
      <c r="J27" s="228"/>
      <c r="K27">
        <v>1</v>
      </c>
      <c r="L27" s="231">
        <v>1550.19</v>
      </c>
      <c r="M27" s="231">
        <v>1550.19</v>
      </c>
      <c r="N27" s="232">
        <v>0.5</v>
      </c>
      <c r="O27" s="232"/>
      <c r="P27" s="98"/>
      <c r="Q27" s="102"/>
      <c r="R27" s="108"/>
      <c r="S27" s="231">
        <v>1550.19</v>
      </c>
      <c r="T27" s="231">
        <v>1550.19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348</v>
      </c>
      <c r="C28" t="s">
        <v>145</v>
      </c>
      <c r="D28" s="227"/>
      <c r="E28" s="100"/>
      <c r="F28">
        <v>1</v>
      </c>
      <c r="G28" s="231">
        <v>3921.14</v>
      </c>
      <c r="H28" s="231">
        <v>2704.23</v>
      </c>
      <c r="I28" s="231">
        <v>3921.14</v>
      </c>
      <c r="J28" s="228"/>
      <c r="K28">
        <v>1</v>
      </c>
      <c r="L28" s="231">
        <v>1960.57</v>
      </c>
      <c r="M28" s="231">
        <v>1960.57</v>
      </c>
      <c r="N28" s="232">
        <v>0.5</v>
      </c>
      <c r="P28" s="98"/>
      <c r="Q28" s="102"/>
      <c r="R28" s="108"/>
      <c r="S28" s="231">
        <v>1960.57</v>
      </c>
      <c r="T28" s="231">
        <v>1960.57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349</v>
      </c>
      <c r="C29" t="s">
        <v>126</v>
      </c>
      <c r="D29" s="227"/>
      <c r="E29" s="100"/>
      <c r="F29">
        <v>6</v>
      </c>
      <c r="G29" s="231">
        <v>1132.93</v>
      </c>
      <c r="H29" s="231">
        <v>781.33</v>
      </c>
      <c r="I29" s="231">
        <v>6797.58</v>
      </c>
      <c r="J29" s="228"/>
      <c r="K29">
        <v>6</v>
      </c>
      <c r="L29" s="231">
        <v>793.06</v>
      </c>
      <c r="M29" s="231">
        <v>4758.3599999999997</v>
      </c>
      <c r="N29" s="232">
        <v>0.3</v>
      </c>
      <c r="O29" s="232"/>
      <c r="P29" s="98"/>
      <c r="Q29" s="102"/>
      <c r="R29" s="108"/>
      <c r="S29" s="231">
        <v>4758.3599999999997</v>
      </c>
      <c r="T29" s="231">
        <v>28550.16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350</v>
      </c>
      <c r="C30" t="s">
        <v>127</v>
      </c>
      <c r="D30" s="227"/>
      <c r="E30" s="100"/>
      <c r="F30">
        <v>1</v>
      </c>
      <c r="G30" s="231">
        <v>6551.41</v>
      </c>
      <c r="H30" s="231">
        <v>4518.21</v>
      </c>
      <c r="I30" s="231">
        <v>6551.41</v>
      </c>
      <c r="J30" s="228"/>
      <c r="K30">
        <v>1</v>
      </c>
      <c r="L30" s="231">
        <v>3275.71</v>
      </c>
      <c r="M30" s="231">
        <v>3275.71</v>
      </c>
      <c r="N30" s="232">
        <v>0.5</v>
      </c>
      <c r="O30" s="232"/>
      <c r="P30" s="98"/>
      <c r="Q30" s="102"/>
      <c r="R30" s="108"/>
      <c r="S30" s="231">
        <v>3275.71</v>
      </c>
      <c r="T30" s="231">
        <v>3275.71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120</v>
      </c>
      <c r="I31" t="s">
        <v>120</v>
      </c>
      <c r="J31" s="228"/>
      <c r="K31">
        <v>0</v>
      </c>
      <c r="L31" t="s">
        <v>120</v>
      </c>
      <c r="M31" t="s">
        <v>120</v>
      </c>
      <c r="O31" s="232"/>
      <c r="P31" s="98"/>
      <c r="Q31" s="102"/>
      <c r="R31" s="108"/>
      <c r="S31" t="s">
        <v>120</v>
      </c>
      <c r="T31" t="s">
        <v>120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B32" t="s">
        <v>351</v>
      </c>
      <c r="C32" t="s">
        <v>173</v>
      </c>
      <c r="D32" s="227"/>
      <c r="E32" s="100"/>
      <c r="F32">
        <v>10</v>
      </c>
      <c r="G32" s="231">
        <v>204.05</v>
      </c>
      <c r="H32" s="231">
        <v>140.72</v>
      </c>
      <c r="I32" s="231">
        <v>2040.5</v>
      </c>
      <c r="J32" s="228"/>
      <c r="K32">
        <v>10</v>
      </c>
      <c r="L32" s="231">
        <v>112.23</v>
      </c>
      <c r="M32" s="231">
        <v>1122.3</v>
      </c>
      <c r="N32" s="232">
        <v>0.45</v>
      </c>
      <c r="O32" s="232"/>
      <c r="P32" s="98"/>
      <c r="Q32" s="102"/>
      <c r="R32" s="108"/>
      <c r="S32" s="231">
        <v>1122.3</v>
      </c>
      <c r="T32" s="231">
        <v>11223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352</v>
      </c>
      <c r="C33" t="s">
        <v>128</v>
      </c>
      <c r="D33" s="227"/>
      <c r="E33" s="100"/>
      <c r="F33">
        <v>50</v>
      </c>
      <c r="G33" s="231">
        <v>3.14</v>
      </c>
      <c r="H33" s="231">
        <v>2.17</v>
      </c>
      <c r="I33" s="231">
        <v>157</v>
      </c>
      <c r="J33" s="228"/>
      <c r="K33">
        <v>50</v>
      </c>
      <c r="L33" s="231">
        <v>1.73</v>
      </c>
      <c r="M33" s="231">
        <v>86.5</v>
      </c>
      <c r="N33" s="232">
        <v>0.44900000000000001</v>
      </c>
      <c r="O33" s="232"/>
      <c r="P33" s="98"/>
      <c r="Q33" s="102"/>
      <c r="R33" s="108"/>
      <c r="S33" s="231">
        <v>86.5</v>
      </c>
      <c r="T33" s="231">
        <v>4325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261</v>
      </c>
      <c r="C34" t="s">
        <v>148</v>
      </c>
      <c r="D34" s="227"/>
      <c r="E34" s="100"/>
      <c r="F34">
        <v>50</v>
      </c>
      <c r="G34" s="231">
        <v>3.41</v>
      </c>
      <c r="H34" s="231">
        <v>2.35</v>
      </c>
      <c r="I34" s="231">
        <v>170.5</v>
      </c>
      <c r="J34" s="228"/>
      <c r="K34">
        <v>50</v>
      </c>
      <c r="L34" s="231">
        <v>1.88</v>
      </c>
      <c r="M34" s="231">
        <v>94</v>
      </c>
      <c r="N34" s="232">
        <v>0.44869999999999999</v>
      </c>
      <c r="O34" s="232"/>
      <c r="P34" s="98"/>
      <c r="Q34" s="102"/>
      <c r="R34" s="108"/>
      <c r="S34" s="231">
        <v>94</v>
      </c>
      <c r="T34" s="231">
        <v>4700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353</v>
      </c>
      <c r="C35" t="s">
        <v>133</v>
      </c>
      <c r="D35" s="227"/>
      <c r="E35" s="100"/>
      <c r="F35">
        <v>50</v>
      </c>
      <c r="G35" s="231">
        <v>2.0499999999999998</v>
      </c>
      <c r="H35" s="231">
        <v>1.41</v>
      </c>
      <c r="I35" s="231">
        <v>102.5</v>
      </c>
      <c r="J35" s="228"/>
      <c r="K35">
        <v>50</v>
      </c>
      <c r="L35" s="231">
        <v>1.1299999999999999</v>
      </c>
      <c r="M35" s="231">
        <v>56.5</v>
      </c>
      <c r="N35" s="232">
        <v>0.44879999999999998</v>
      </c>
      <c r="O35" s="232"/>
      <c r="P35" s="98"/>
      <c r="Q35" s="102"/>
      <c r="R35" s="108"/>
      <c r="S35" s="231">
        <v>56.5</v>
      </c>
      <c r="T35" s="231">
        <v>2825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D36" s="227"/>
      <c r="E36" s="100"/>
      <c r="H36" t="s">
        <v>120</v>
      </c>
      <c r="I36" t="s">
        <v>120</v>
      </c>
      <c r="J36" s="228"/>
      <c r="K36">
        <v>0</v>
      </c>
      <c r="L36" t="s">
        <v>120</v>
      </c>
      <c r="M36" t="s">
        <v>120</v>
      </c>
      <c r="O36" s="232"/>
      <c r="P36" s="98"/>
      <c r="Q36" s="102"/>
      <c r="R36" s="108"/>
      <c r="S36" t="s">
        <v>120</v>
      </c>
      <c r="T36" t="s">
        <v>120</v>
      </c>
      <c r="U36" s="232">
        <v>0</v>
      </c>
      <c r="V36" s="232">
        <v>0</v>
      </c>
      <c r="W36" s="229"/>
      <c r="X36" s="230"/>
      <c r="Y36" s="8"/>
      <c r="Z36" s="8"/>
    </row>
    <row r="37" spans="2:26">
      <c r="B37" t="s">
        <v>354</v>
      </c>
      <c r="C37" t="s">
        <v>236</v>
      </c>
      <c r="D37" s="227"/>
      <c r="E37" s="100"/>
      <c r="F37">
        <v>4</v>
      </c>
      <c r="G37" s="231">
        <v>2878.82</v>
      </c>
      <c r="H37" s="231">
        <v>1985.39</v>
      </c>
      <c r="I37" s="231">
        <v>11515.28</v>
      </c>
      <c r="J37" s="228"/>
      <c r="K37">
        <v>4</v>
      </c>
      <c r="L37" s="231">
        <v>1583.35</v>
      </c>
      <c r="M37" s="231">
        <v>6333.4</v>
      </c>
      <c r="N37" s="232">
        <v>0.45</v>
      </c>
      <c r="P37" s="98"/>
      <c r="Q37" s="102"/>
      <c r="R37" s="108"/>
      <c r="S37" s="231">
        <v>6333.4</v>
      </c>
      <c r="T37" s="231">
        <v>25333.599999999999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355</v>
      </c>
      <c r="C38" t="s">
        <v>114</v>
      </c>
      <c r="D38" s="227"/>
      <c r="E38" s="100"/>
      <c r="F38">
        <v>2</v>
      </c>
      <c r="G38" s="231">
        <v>496.33</v>
      </c>
      <c r="H38" s="231">
        <v>342.3</v>
      </c>
      <c r="I38" s="231">
        <v>992.66</v>
      </c>
      <c r="J38" s="228"/>
      <c r="K38">
        <v>2</v>
      </c>
      <c r="L38" s="231">
        <v>272.99</v>
      </c>
      <c r="M38" s="231">
        <v>545.98</v>
      </c>
      <c r="N38" s="232">
        <v>0.45</v>
      </c>
      <c r="O38" s="232"/>
      <c r="P38" s="98"/>
      <c r="Q38" s="102"/>
      <c r="R38" s="108"/>
      <c r="S38" s="231">
        <v>545.98</v>
      </c>
      <c r="T38" s="231">
        <v>1091.96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356</v>
      </c>
      <c r="C39" t="s">
        <v>181</v>
      </c>
      <c r="D39" s="227"/>
      <c r="E39" s="100"/>
      <c r="F39">
        <v>12</v>
      </c>
      <c r="G39" s="231">
        <v>1006.57</v>
      </c>
      <c r="H39" s="231">
        <v>694.19</v>
      </c>
      <c r="I39" s="231">
        <v>12078.84</v>
      </c>
      <c r="J39" s="228"/>
      <c r="K39">
        <v>12</v>
      </c>
      <c r="L39" s="231">
        <v>553.62</v>
      </c>
      <c r="M39" s="231">
        <v>6643.44</v>
      </c>
      <c r="N39" s="232">
        <v>0.45</v>
      </c>
      <c r="O39" s="232"/>
      <c r="P39" s="98"/>
      <c r="Q39" s="102"/>
      <c r="R39" s="108"/>
      <c r="S39" s="231">
        <v>6643.44</v>
      </c>
      <c r="T39" s="231">
        <v>79721.279999999999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357</v>
      </c>
      <c r="C40" t="s">
        <v>131</v>
      </c>
      <c r="D40" s="227"/>
      <c r="E40" s="100"/>
      <c r="F40">
        <v>4</v>
      </c>
      <c r="G40" s="231">
        <v>857.8</v>
      </c>
      <c r="H40" s="231">
        <v>591.59</v>
      </c>
      <c r="I40" s="231">
        <v>3431.2</v>
      </c>
      <c r="J40" s="228"/>
      <c r="K40">
        <v>4</v>
      </c>
      <c r="L40" s="231">
        <v>471.79</v>
      </c>
      <c r="M40" s="231">
        <v>1887.16</v>
      </c>
      <c r="N40" s="232">
        <v>0.45</v>
      </c>
      <c r="O40" s="232"/>
      <c r="P40" s="98"/>
      <c r="Q40" s="102"/>
      <c r="R40" s="108"/>
      <c r="S40" s="231">
        <v>1887.16</v>
      </c>
      <c r="T40" s="231">
        <v>7548.64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358</v>
      </c>
      <c r="C41" t="s">
        <v>359</v>
      </c>
      <c r="D41" s="227"/>
      <c r="E41" s="100"/>
      <c r="F41">
        <v>4</v>
      </c>
      <c r="G41" s="231">
        <v>159.66</v>
      </c>
      <c r="H41" s="231">
        <v>110.11</v>
      </c>
      <c r="I41" s="231">
        <v>638.64</v>
      </c>
      <c r="J41" s="228"/>
      <c r="K41">
        <v>4</v>
      </c>
      <c r="L41" s="231">
        <v>87.81</v>
      </c>
      <c r="M41" s="231">
        <v>351.24</v>
      </c>
      <c r="N41" s="232">
        <v>0.45</v>
      </c>
      <c r="O41" s="232"/>
      <c r="P41" s="98"/>
      <c r="Q41" s="102"/>
      <c r="R41" s="108"/>
      <c r="S41" s="231">
        <v>351.24</v>
      </c>
      <c r="T41" s="231">
        <v>1404.96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360</v>
      </c>
      <c r="C42" t="s">
        <v>361</v>
      </c>
      <c r="D42" s="227"/>
      <c r="E42" s="100"/>
      <c r="F42">
        <v>4</v>
      </c>
      <c r="G42" s="231">
        <v>200.89</v>
      </c>
      <c r="H42" s="231">
        <v>138.54</v>
      </c>
      <c r="I42" s="231">
        <v>803.56</v>
      </c>
      <c r="J42" s="228"/>
      <c r="K42">
        <v>4</v>
      </c>
      <c r="L42" s="231">
        <v>110.5</v>
      </c>
      <c r="M42" s="231">
        <v>442</v>
      </c>
      <c r="N42" s="232">
        <v>0.44990000000000002</v>
      </c>
      <c r="P42" s="98"/>
      <c r="Q42" s="102"/>
      <c r="R42" s="108"/>
      <c r="S42" s="231">
        <v>442</v>
      </c>
      <c r="T42" s="231">
        <v>1768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362</v>
      </c>
      <c r="C43" t="s">
        <v>363</v>
      </c>
      <c r="D43" s="227"/>
      <c r="E43" s="100"/>
      <c r="F43">
        <v>2</v>
      </c>
      <c r="G43" s="231">
        <v>113.29</v>
      </c>
      <c r="H43" s="231">
        <v>78.13</v>
      </c>
      <c r="I43" s="231">
        <v>226.58</v>
      </c>
      <c r="J43" s="228"/>
      <c r="K43">
        <v>2</v>
      </c>
      <c r="L43" s="231">
        <v>62.32</v>
      </c>
      <c r="M43" s="231">
        <v>124.64</v>
      </c>
      <c r="N43" s="232">
        <v>0.44990000000000002</v>
      </c>
      <c r="O43" s="232"/>
      <c r="P43" s="98"/>
      <c r="Q43" s="102"/>
      <c r="R43" s="108"/>
      <c r="S43" s="231">
        <v>124.64</v>
      </c>
      <c r="T43" s="231">
        <v>249.28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364</v>
      </c>
      <c r="C44" t="s">
        <v>132</v>
      </c>
      <c r="D44" s="227"/>
      <c r="E44" s="100"/>
      <c r="F44">
        <v>24</v>
      </c>
      <c r="G44" s="231">
        <v>2.42</v>
      </c>
      <c r="H44" s="231">
        <v>1.67</v>
      </c>
      <c r="I44" s="231">
        <v>58.08</v>
      </c>
      <c r="J44" s="228"/>
      <c r="K44">
        <v>24</v>
      </c>
      <c r="L44" s="231">
        <v>1.33</v>
      </c>
      <c r="M44" s="231">
        <v>31.92</v>
      </c>
      <c r="N44" s="232">
        <v>0.45040000000000002</v>
      </c>
      <c r="P44" s="98"/>
      <c r="Q44" s="102"/>
      <c r="R44" s="108"/>
      <c r="S44" s="231">
        <v>31.92</v>
      </c>
      <c r="T44" s="231">
        <v>766.08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365</v>
      </c>
      <c r="C45" t="s">
        <v>132</v>
      </c>
      <c r="D45" s="227"/>
      <c r="E45" s="100"/>
      <c r="F45">
        <v>4</v>
      </c>
      <c r="G45" s="231">
        <v>4.12</v>
      </c>
      <c r="H45" s="231">
        <v>2.84</v>
      </c>
      <c r="I45" s="231">
        <v>16.48</v>
      </c>
      <c r="J45" s="228"/>
      <c r="K45">
        <v>4</v>
      </c>
      <c r="L45" s="231">
        <v>2.27</v>
      </c>
      <c r="M45" s="231">
        <v>9.08</v>
      </c>
      <c r="N45" s="232">
        <v>0.44900000000000001</v>
      </c>
      <c r="P45" s="98"/>
      <c r="Q45" s="102"/>
      <c r="R45" s="108"/>
      <c r="S45" s="231">
        <v>9.08</v>
      </c>
      <c r="T45" s="231">
        <v>36.32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366</v>
      </c>
      <c r="C46" t="s">
        <v>133</v>
      </c>
      <c r="D46" s="227"/>
      <c r="E46" s="100"/>
      <c r="F46">
        <v>28</v>
      </c>
      <c r="G46" s="231">
        <v>2.15</v>
      </c>
      <c r="H46" s="231">
        <v>1.48</v>
      </c>
      <c r="I46" s="231">
        <v>60.2</v>
      </c>
      <c r="J46" s="228"/>
      <c r="K46">
        <v>28</v>
      </c>
      <c r="L46" s="231">
        <v>1.19</v>
      </c>
      <c r="M46" s="231">
        <v>33.32</v>
      </c>
      <c r="N46" s="232">
        <v>0.44650000000000001</v>
      </c>
      <c r="P46" s="98"/>
      <c r="Q46" s="102"/>
      <c r="R46" s="108"/>
      <c r="S46" s="231">
        <v>33.32</v>
      </c>
      <c r="T46" s="231">
        <v>932.96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D47" s="227"/>
      <c r="E47" s="100"/>
      <c r="H47" t="s">
        <v>120</v>
      </c>
      <c r="I47" t="s">
        <v>120</v>
      </c>
      <c r="J47" s="228"/>
      <c r="K47">
        <v>0</v>
      </c>
      <c r="L47" t="s">
        <v>120</v>
      </c>
      <c r="M47" t="s">
        <v>120</v>
      </c>
      <c r="P47" s="98"/>
      <c r="Q47" s="102"/>
      <c r="R47" s="108"/>
      <c r="S47" t="s">
        <v>120</v>
      </c>
      <c r="T47" t="s">
        <v>120</v>
      </c>
      <c r="U47" s="232">
        <v>0</v>
      </c>
      <c r="V47" s="232">
        <v>0</v>
      </c>
      <c r="W47" s="229"/>
      <c r="X47" s="230"/>
      <c r="Y47" s="8"/>
      <c r="Z47" s="8"/>
    </row>
    <row r="48" spans="2:26">
      <c r="B48" t="s">
        <v>240</v>
      </c>
      <c r="C48" t="s">
        <v>141</v>
      </c>
      <c r="D48" s="227"/>
      <c r="E48" s="100"/>
      <c r="F48">
        <v>2</v>
      </c>
      <c r="G48" s="231">
        <v>13503.77</v>
      </c>
      <c r="H48" s="231">
        <v>9312.94</v>
      </c>
      <c r="I48" s="231">
        <v>27007.54</v>
      </c>
      <c r="J48" s="228"/>
      <c r="K48">
        <v>2</v>
      </c>
      <c r="L48" s="231">
        <v>7427.08</v>
      </c>
      <c r="M48" s="231">
        <v>14854.16</v>
      </c>
      <c r="N48" s="232">
        <v>0.45</v>
      </c>
      <c r="O48" s="232"/>
      <c r="P48" s="98"/>
      <c r="Q48" s="102"/>
      <c r="R48" s="108"/>
      <c r="S48" s="231">
        <v>14854.16</v>
      </c>
      <c r="T48" s="231">
        <v>29708.32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B49" t="s">
        <v>367</v>
      </c>
      <c r="C49" t="s">
        <v>188</v>
      </c>
      <c r="D49" s="87"/>
      <c r="E49" s="88"/>
      <c r="F49">
        <v>90</v>
      </c>
      <c r="G49" s="231">
        <v>206.6</v>
      </c>
      <c r="H49" s="231">
        <v>142.47999999999999</v>
      </c>
      <c r="I49" s="231">
        <v>18594</v>
      </c>
      <c r="J49" s="105"/>
      <c r="K49">
        <v>90</v>
      </c>
      <c r="L49" s="231">
        <v>113.63</v>
      </c>
      <c r="M49" s="231">
        <v>10226.700000000001</v>
      </c>
      <c r="N49" s="232">
        <v>0.45</v>
      </c>
      <c r="O49" s="232"/>
      <c r="P49" s="115"/>
      <c r="Q49" s="94"/>
      <c r="R49" s="94"/>
      <c r="S49" s="231">
        <v>10226.700000000001</v>
      </c>
      <c r="T49" s="231">
        <v>920403</v>
      </c>
      <c r="U49" s="232">
        <v>0</v>
      </c>
      <c r="V49" s="232">
        <v>1</v>
      </c>
      <c r="W49" s="96"/>
      <c r="X49" s="97"/>
      <c r="Y49" s="8"/>
      <c r="Z49" s="8"/>
    </row>
    <row r="50" spans="2:26" ht="15.75" customHeight="1">
      <c r="B50" t="s">
        <v>368</v>
      </c>
      <c r="C50" t="s">
        <v>190</v>
      </c>
      <c r="D50" s="87"/>
      <c r="E50" s="100"/>
      <c r="F50">
        <v>2</v>
      </c>
      <c r="G50" s="231">
        <v>226.51</v>
      </c>
      <c r="H50" s="231">
        <v>156.21</v>
      </c>
      <c r="I50" s="231">
        <v>453.02</v>
      </c>
      <c r="J50" s="105"/>
      <c r="K50">
        <v>2</v>
      </c>
      <c r="L50" s="231">
        <v>124.59</v>
      </c>
      <c r="M50" s="231">
        <v>249.18</v>
      </c>
      <c r="N50" s="232">
        <v>0.45</v>
      </c>
      <c r="O50" s="232"/>
      <c r="P50" s="98"/>
      <c r="Q50" s="102"/>
      <c r="R50" s="108"/>
      <c r="S50" s="231">
        <v>249.18</v>
      </c>
      <c r="T50" s="231">
        <v>498.36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B51" t="s">
        <v>243</v>
      </c>
      <c r="C51" t="s">
        <v>116</v>
      </c>
      <c r="D51" s="87"/>
      <c r="E51" s="88"/>
      <c r="F51">
        <v>360</v>
      </c>
      <c r="G51" s="231">
        <v>5.38</v>
      </c>
      <c r="H51" s="231">
        <v>3.71</v>
      </c>
      <c r="I51" s="231">
        <v>1936.8</v>
      </c>
      <c r="J51" s="105"/>
      <c r="K51">
        <v>360</v>
      </c>
      <c r="L51" s="231">
        <v>2.96</v>
      </c>
      <c r="M51" s="231">
        <v>1065.5999999999999</v>
      </c>
      <c r="N51" s="232">
        <v>0.44979999999999998</v>
      </c>
      <c r="O51" s="232"/>
      <c r="P51" s="115"/>
      <c r="Q51" s="94"/>
      <c r="R51" s="94"/>
      <c r="S51" s="231">
        <v>1065.5999999999999</v>
      </c>
      <c r="T51" s="231">
        <v>383616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t="s">
        <v>244</v>
      </c>
      <c r="C52" t="s">
        <v>245</v>
      </c>
      <c r="D52" s="87"/>
      <c r="E52" s="100"/>
      <c r="F52">
        <v>4</v>
      </c>
      <c r="G52" s="231">
        <v>6.66</v>
      </c>
      <c r="H52" s="231">
        <v>4.59</v>
      </c>
      <c r="I52" s="231">
        <v>26.64</v>
      </c>
      <c r="J52" s="105"/>
      <c r="K52">
        <v>4</v>
      </c>
      <c r="L52" s="231">
        <v>3.66</v>
      </c>
      <c r="M52" s="231">
        <v>14.64</v>
      </c>
      <c r="N52" s="232">
        <v>0.45050000000000001</v>
      </c>
      <c r="O52" s="93"/>
      <c r="P52" s="98"/>
      <c r="Q52" s="102"/>
      <c r="R52" s="108"/>
      <c r="S52" s="231">
        <v>14.64</v>
      </c>
      <c r="T52" s="231">
        <v>58.56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t="s">
        <v>246</v>
      </c>
      <c r="C53" t="s">
        <v>245</v>
      </c>
      <c r="D53" s="87"/>
      <c r="E53" s="88"/>
      <c r="F53">
        <v>4</v>
      </c>
      <c r="G53" s="231">
        <v>9.23</v>
      </c>
      <c r="H53" s="231">
        <v>6.37</v>
      </c>
      <c r="I53" s="231">
        <v>36.92</v>
      </c>
      <c r="J53" s="105"/>
      <c r="K53">
        <v>4</v>
      </c>
      <c r="L53" s="231">
        <v>5.08</v>
      </c>
      <c r="M53" s="231">
        <v>20.32</v>
      </c>
      <c r="N53" s="232">
        <v>0.4496</v>
      </c>
      <c r="O53" s="93"/>
      <c r="P53" s="115"/>
      <c r="Q53" s="94"/>
      <c r="R53" s="94"/>
      <c r="S53" s="231">
        <v>20.32</v>
      </c>
      <c r="T53" s="231">
        <v>81.28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B54" t="s">
        <v>327</v>
      </c>
      <c r="C54" t="s">
        <v>142</v>
      </c>
      <c r="D54" s="87"/>
      <c r="E54" s="100"/>
      <c r="F54">
        <v>360</v>
      </c>
      <c r="G54" s="231">
        <v>2.94</v>
      </c>
      <c r="H54" s="231">
        <v>2.0299999999999998</v>
      </c>
      <c r="I54" s="231">
        <v>1058.4000000000001</v>
      </c>
      <c r="J54" s="105"/>
      <c r="K54">
        <v>360</v>
      </c>
      <c r="L54" s="231">
        <v>1.62</v>
      </c>
      <c r="M54" s="231">
        <v>583.20000000000005</v>
      </c>
      <c r="N54" s="232">
        <v>0.44900000000000001</v>
      </c>
      <c r="O54" s="93"/>
      <c r="P54" s="98"/>
      <c r="Q54" s="102"/>
      <c r="R54" s="108"/>
      <c r="S54" s="231">
        <v>583.20000000000005</v>
      </c>
      <c r="T54" s="231">
        <v>209952</v>
      </c>
      <c r="U54" s="232">
        <v>0</v>
      </c>
      <c r="V54" s="232">
        <v>1</v>
      </c>
      <c r="W54" s="111"/>
      <c r="X54" s="97"/>
      <c r="Y54" s="8"/>
      <c r="Z54" s="8"/>
    </row>
    <row r="55" spans="2:26" ht="15.75" customHeight="1">
      <c r="D55" s="87"/>
      <c r="E55" s="88"/>
      <c r="H55" t="s">
        <v>120</v>
      </c>
      <c r="I55" t="s">
        <v>120</v>
      </c>
      <c r="J55" s="105"/>
      <c r="K55">
        <v>0</v>
      </c>
      <c r="L55" t="s">
        <v>120</v>
      </c>
      <c r="M55" t="s">
        <v>120</v>
      </c>
      <c r="O55" s="93"/>
      <c r="P55" s="115"/>
      <c r="Q55" s="94"/>
      <c r="R55" s="94"/>
      <c r="S55" t="s">
        <v>120</v>
      </c>
      <c r="T55" t="s">
        <v>120</v>
      </c>
      <c r="U55" s="232">
        <v>0</v>
      </c>
      <c r="V55" s="232">
        <v>0</v>
      </c>
      <c r="W55" s="96"/>
      <c r="X55" s="97"/>
      <c r="Y55" s="8"/>
      <c r="Z55" s="8"/>
    </row>
    <row r="56" spans="2:26" ht="15.75" customHeight="1">
      <c r="B56" t="s">
        <v>369</v>
      </c>
      <c r="C56" t="s">
        <v>196</v>
      </c>
      <c r="D56" s="87"/>
      <c r="E56" s="100"/>
      <c r="F56">
        <v>2</v>
      </c>
      <c r="G56" s="231">
        <v>435.33</v>
      </c>
      <c r="H56" s="231">
        <v>300.23</v>
      </c>
      <c r="I56" s="231">
        <v>870.66</v>
      </c>
      <c r="J56" s="105"/>
      <c r="K56">
        <v>2</v>
      </c>
      <c r="L56" s="231">
        <v>239.44</v>
      </c>
      <c r="M56" s="231">
        <v>478.88</v>
      </c>
      <c r="N56" s="232">
        <v>0.45</v>
      </c>
      <c r="O56" s="93"/>
      <c r="P56" s="98"/>
      <c r="Q56" s="102"/>
      <c r="R56" s="108"/>
      <c r="S56" s="231">
        <v>478.88</v>
      </c>
      <c r="T56" s="231">
        <v>957.76</v>
      </c>
      <c r="U56" s="232">
        <v>0</v>
      </c>
      <c r="V56" s="232">
        <v>1</v>
      </c>
      <c r="W56" s="111"/>
      <c r="X56" s="97"/>
      <c r="Y56" s="8"/>
      <c r="Z56" s="116"/>
    </row>
    <row r="57" spans="2:26" ht="15.75" customHeight="1">
      <c r="B57" s="233" t="s">
        <v>370</v>
      </c>
      <c r="C57" t="s">
        <v>280</v>
      </c>
      <c r="D57" s="87"/>
      <c r="E57" s="88"/>
      <c r="F57">
        <v>1</v>
      </c>
      <c r="G57" s="231">
        <v>160.9</v>
      </c>
      <c r="H57" s="231">
        <v>110.97</v>
      </c>
      <c r="I57" s="231">
        <v>160.9</v>
      </c>
      <c r="J57" s="105"/>
      <c r="K57">
        <v>1</v>
      </c>
      <c r="L57" s="231">
        <v>88.5</v>
      </c>
      <c r="M57" s="231">
        <v>88.5</v>
      </c>
      <c r="N57" s="232">
        <v>0.45</v>
      </c>
      <c r="O57" s="93"/>
      <c r="P57" s="115"/>
      <c r="Q57" s="94"/>
      <c r="R57" s="94"/>
      <c r="S57" s="231">
        <v>88.5</v>
      </c>
      <c r="T57" s="231">
        <v>88.5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B58" s="233" t="s">
        <v>371</v>
      </c>
      <c r="C58" t="s">
        <v>282</v>
      </c>
      <c r="D58" s="87"/>
      <c r="E58" s="100"/>
      <c r="F58">
        <v>1</v>
      </c>
      <c r="G58" s="231">
        <v>160.9</v>
      </c>
      <c r="H58" s="231">
        <v>110.97</v>
      </c>
      <c r="I58" s="231">
        <v>160.9</v>
      </c>
      <c r="J58" s="105"/>
      <c r="K58">
        <v>1</v>
      </c>
      <c r="L58" s="231">
        <v>88.5</v>
      </c>
      <c r="M58" s="231">
        <v>88.5</v>
      </c>
      <c r="N58" s="232">
        <v>0.45</v>
      </c>
      <c r="O58" s="93"/>
      <c r="P58" s="98"/>
      <c r="Q58" s="102"/>
      <c r="R58" s="108"/>
      <c r="S58" s="231">
        <v>88.5</v>
      </c>
      <c r="T58" s="231">
        <v>88.5</v>
      </c>
      <c r="U58" s="232">
        <v>0</v>
      </c>
      <c r="V58" s="232">
        <v>1</v>
      </c>
      <c r="W58" s="111"/>
      <c r="X58" s="97"/>
      <c r="Y58" s="8"/>
      <c r="Z58" s="8"/>
    </row>
    <row r="59" spans="2:26" ht="15.75" customHeight="1">
      <c r="B59" t="s">
        <v>283</v>
      </c>
      <c r="C59" t="s">
        <v>284</v>
      </c>
      <c r="D59" s="87"/>
      <c r="E59" s="88"/>
      <c r="F59">
        <v>28</v>
      </c>
      <c r="G59" s="231">
        <v>4.51</v>
      </c>
      <c r="H59" s="231">
        <v>3.11</v>
      </c>
      <c r="I59" s="231">
        <v>126.28</v>
      </c>
      <c r="J59" s="105"/>
      <c r="K59">
        <v>28</v>
      </c>
      <c r="L59" s="231">
        <v>2.4900000000000002</v>
      </c>
      <c r="M59" s="231">
        <v>69.72</v>
      </c>
      <c r="N59" s="232">
        <v>0.44790000000000002</v>
      </c>
      <c r="O59" s="93"/>
      <c r="P59" s="115"/>
      <c r="Q59" s="94"/>
      <c r="R59" s="94"/>
      <c r="S59" s="231">
        <v>69.72</v>
      </c>
      <c r="T59" s="231">
        <v>1952.16</v>
      </c>
      <c r="U59" s="232">
        <v>0</v>
      </c>
      <c r="V59" s="232">
        <v>1</v>
      </c>
      <c r="W59" s="96"/>
      <c r="X59" s="97"/>
      <c r="Y59" s="8"/>
      <c r="Z59" s="8"/>
    </row>
    <row r="60" spans="2:26" ht="15.75" customHeight="1">
      <c r="B60" t="s">
        <v>285</v>
      </c>
      <c r="C60" t="s">
        <v>133</v>
      </c>
      <c r="D60" s="87"/>
      <c r="E60" s="100"/>
      <c r="F60">
        <v>28</v>
      </c>
      <c r="G60" s="231">
        <v>3.56</v>
      </c>
      <c r="H60" s="231">
        <v>2.46</v>
      </c>
      <c r="I60" s="231">
        <v>99.68</v>
      </c>
      <c r="J60" s="105"/>
      <c r="K60">
        <v>28</v>
      </c>
      <c r="L60" s="231">
        <v>1.96</v>
      </c>
      <c r="M60" s="231">
        <v>54.88</v>
      </c>
      <c r="N60" s="232">
        <v>0.44940000000000002</v>
      </c>
      <c r="O60" s="93"/>
      <c r="P60" s="98"/>
      <c r="Q60" s="102"/>
      <c r="R60" s="108"/>
      <c r="S60" s="231">
        <v>54.88</v>
      </c>
      <c r="T60" s="231">
        <v>1536.64</v>
      </c>
      <c r="U60" s="232">
        <v>0</v>
      </c>
      <c r="V60" s="232">
        <v>1</v>
      </c>
      <c r="W60" s="111"/>
      <c r="X60" s="97"/>
      <c r="Y60" s="8"/>
      <c r="Z60" s="8"/>
    </row>
    <row r="61" spans="2:26" ht="15.75" customHeight="1">
      <c r="B61" t="s">
        <v>286</v>
      </c>
      <c r="C61" t="s">
        <v>287</v>
      </c>
      <c r="D61" s="87"/>
      <c r="E61" s="88"/>
      <c r="F61">
        <v>28</v>
      </c>
      <c r="G61" s="231">
        <v>3.65</v>
      </c>
      <c r="H61" s="231">
        <v>2.52</v>
      </c>
      <c r="I61" s="231">
        <v>102.2</v>
      </c>
      <c r="J61" s="105"/>
      <c r="K61">
        <v>28</v>
      </c>
      <c r="L61" s="231">
        <v>2.0099999999999998</v>
      </c>
      <c r="M61" s="231">
        <v>56.28</v>
      </c>
      <c r="N61" s="232">
        <v>0.44929999999999998</v>
      </c>
      <c r="O61" s="93"/>
      <c r="P61" s="115"/>
      <c r="Q61" s="94"/>
      <c r="R61" s="94"/>
      <c r="S61" s="231">
        <v>56.28</v>
      </c>
      <c r="T61" s="231">
        <v>1575.84</v>
      </c>
      <c r="U61" s="232">
        <v>0</v>
      </c>
      <c r="V61" s="232">
        <v>1</v>
      </c>
      <c r="W61" s="96"/>
    </row>
    <row r="62" spans="2:26" ht="15.75" customHeight="1">
      <c r="D62" s="87"/>
      <c r="E62" s="100"/>
      <c r="J62" s="105"/>
      <c r="O62" s="93"/>
      <c r="P62" s="98"/>
      <c r="Q62" s="102"/>
      <c r="R62" s="108"/>
      <c r="U62" s="232"/>
      <c r="V62" s="232"/>
      <c r="W62" s="111"/>
    </row>
    <row r="63" spans="2:26" ht="15.75" customHeight="1">
      <c r="D63" s="87"/>
      <c r="E63" s="88"/>
      <c r="G63" s="231"/>
      <c r="H63" s="231"/>
      <c r="I63" s="231"/>
      <c r="J63" s="105"/>
      <c r="L63" s="231"/>
      <c r="M63" s="231"/>
      <c r="N63" s="232"/>
      <c r="O63" s="93"/>
      <c r="P63" s="115"/>
      <c r="Q63" s="94"/>
      <c r="R63" s="94"/>
      <c r="S63" s="231"/>
      <c r="T63" s="231"/>
      <c r="U63" s="232"/>
      <c r="V63" s="232"/>
      <c r="W63" s="96"/>
    </row>
    <row r="64" spans="2:26" ht="15.75" customHeight="1">
      <c r="D64" s="87"/>
      <c r="E64" s="100"/>
      <c r="G64" s="231"/>
      <c r="H64" s="231"/>
      <c r="I64" s="231"/>
      <c r="J64" s="105"/>
      <c r="L64" s="231"/>
      <c r="M64" s="231"/>
      <c r="N64" s="232"/>
      <c r="O64" s="93"/>
      <c r="P64" s="98"/>
      <c r="Q64" s="102"/>
      <c r="R64" s="108"/>
      <c r="S64" s="231"/>
      <c r="T64" s="231"/>
      <c r="U64" s="232"/>
      <c r="V64" s="232"/>
      <c r="W64" s="111"/>
    </row>
    <row r="65" spans="2:23" ht="15.75" customHeight="1">
      <c r="D65" s="87"/>
      <c r="E65" s="88"/>
      <c r="G65" s="231"/>
      <c r="H65" s="231"/>
      <c r="I65" s="231"/>
      <c r="J65" s="105"/>
      <c r="L65" s="231"/>
      <c r="M65" s="231"/>
      <c r="N65" s="232"/>
      <c r="O65" s="93"/>
      <c r="P65" s="115"/>
      <c r="Q65" s="94"/>
      <c r="R65" s="94"/>
      <c r="S65" s="231"/>
      <c r="T65" s="231"/>
      <c r="U65" s="232"/>
      <c r="V65" s="232"/>
      <c r="W65" s="96"/>
    </row>
    <row r="66" spans="2:23" ht="15.75" customHeight="1">
      <c r="D66" s="87"/>
      <c r="E66" s="100"/>
      <c r="G66" s="231"/>
      <c r="H66" s="231"/>
      <c r="I66" s="231"/>
      <c r="J66" s="105"/>
      <c r="L66" s="231"/>
      <c r="M66" s="231"/>
      <c r="N66" s="232"/>
      <c r="O66" s="93"/>
      <c r="P66" s="98"/>
      <c r="Q66" s="102"/>
      <c r="R66" s="108"/>
      <c r="S66" s="231"/>
      <c r="T66" s="231"/>
      <c r="U66" s="232"/>
      <c r="V66" s="232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1175</v>
      </c>
      <c r="G78" s="121">
        <f t="shared" si="0"/>
        <v>36304.110000000015</v>
      </c>
      <c r="H78" s="122">
        <f t="shared" si="0"/>
        <v>25037.319999999996</v>
      </c>
      <c r="I78" s="123">
        <f t="shared" si="0"/>
        <v>104230.07999999999</v>
      </c>
      <c r="J78" s="124"/>
      <c r="K78" s="125">
        <f t="shared" ref="K78:M78" si="1">SUM(K19:K77)</f>
        <v>1175</v>
      </c>
      <c r="L78" s="122">
        <f t="shared" si="1"/>
        <v>19468.21</v>
      </c>
      <c r="M78" s="123">
        <f t="shared" si="1"/>
        <v>57679.889999999978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57679.889999999978</v>
      </c>
      <c r="T78" s="123">
        <f t="shared" si="2"/>
        <v>1728302.6500000001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E19:E77" xr:uid="{FDA8AFC7-3DB5-45C0-BE31-54CF4F290DFC}">
      <formula1>$Z$19:$Z$58</formula1>
    </dataValidation>
    <dataValidation type="list" allowBlank="1" showErrorMessage="1" sqref="I14" xr:uid="{F3306FD3-0E6D-44E5-A413-88E89E81E650}">
      <formula1>$Y$14:$Y$15</formula1>
    </dataValidation>
    <dataValidation type="list" allowBlank="1" showErrorMessage="1" sqref="J14" xr:uid="{730CCD52-6986-45FD-B4E3-68C063A11463}">
      <formula1>$L$9</formula1>
    </dataValidation>
    <dataValidation type="list" allowBlank="1" showErrorMessage="1" sqref="Q15 G18 L18 Q18" xr:uid="{0DDAEEC6-BBFE-40C1-9031-32E510EA29CA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ADC1-26A2-465A-AF0D-DC5F6A65481B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F27" sqref="F2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372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120459.78999999998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2013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67411.270000000019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53048.51999999996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154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0.4403836334099534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373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1934157.53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374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67411.270000000019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220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1333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339</v>
      </c>
      <c r="C19" t="s">
        <v>109</v>
      </c>
      <c r="D19" s="87"/>
      <c r="E19" s="88"/>
      <c r="F19">
        <v>1</v>
      </c>
      <c r="G19" s="231">
        <v>36.51</v>
      </c>
      <c r="H19" s="231">
        <v>25.18</v>
      </c>
      <c r="I19" s="231">
        <v>36.51</v>
      </c>
      <c r="J19" s="92"/>
      <c r="K19">
        <v>1</v>
      </c>
      <c r="L19" s="231">
        <v>18.260000000000002</v>
      </c>
      <c r="M19" s="231">
        <v>18.260000000000002</v>
      </c>
      <c r="N19" s="232">
        <v>0.49990000000000001</v>
      </c>
      <c r="O19" s="232"/>
      <c r="P19" s="86"/>
      <c r="Q19" s="94"/>
      <c r="R19" s="94"/>
      <c r="S19" s="231">
        <v>18.260000000000002</v>
      </c>
      <c r="T19" s="231">
        <v>18.260000000000002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122</v>
      </c>
      <c r="C20" t="s">
        <v>137</v>
      </c>
      <c r="D20" s="87"/>
      <c r="E20" s="100"/>
      <c r="F20">
        <v>1</v>
      </c>
      <c r="G20" s="231">
        <v>78.87</v>
      </c>
      <c r="H20" s="231">
        <v>54.39</v>
      </c>
      <c r="I20" s="231">
        <v>78.87</v>
      </c>
      <c r="J20" s="105"/>
      <c r="K20">
        <v>1</v>
      </c>
      <c r="L20" s="231">
        <v>39.44</v>
      </c>
      <c r="M20" s="231">
        <v>39.44</v>
      </c>
      <c r="N20" s="232">
        <v>0.49990000000000001</v>
      </c>
      <c r="O20" s="232"/>
      <c r="P20" s="98"/>
      <c r="Q20" s="102"/>
      <c r="R20" s="108"/>
      <c r="S20" s="231">
        <v>39.44</v>
      </c>
      <c r="T20" s="231">
        <v>39.44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121</v>
      </c>
      <c r="C21" t="s">
        <v>143</v>
      </c>
      <c r="D21" s="227"/>
      <c r="E21" s="100"/>
      <c r="F21">
        <v>1</v>
      </c>
      <c r="G21" s="231">
        <v>51.88</v>
      </c>
      <c r="H21" s="231">
        <v>35.78</v>
      </c>
      <c r="I21" s="231">
        <v>51.88</v>
      </c>
      <c r="J21" s="228"/>
      <c r="K21">
        <v>1</v>
      </c>
      <c r="L21" s="231">
        <v>25.94</v>
      </c>
      <c r="M21" s="231">
        <v>25.94</v>
      </c>
      <c r="N21" s="232">
        <v>0.5</v>
      </c>
      <c r="O21" s="232"/>
      <c r="P21" s="98"/>
      <c r="Q21" s="102"/>
      <c r="R21" s="108"/>
      <c r="S21" s="231">
        <v>25.94</v>
      </c>
      <c r="T21" s="231">
        <v>25.94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307</v>
      </c>
      <c r="C22" t="s">
        <v>144</v>
      </c>
      <c r="D22" s="227"/>
      <c r="E22" s="100"/>
      <c r="F22">
        <v>1</v>
      </c>
      <c r="G22" s="231">
        <v>171.55</v>
      </c>
      <c r="H22" s="231">
        <v>118.31</v>
      </c>
      <c r="I22" s="231">
        <v>171.55</v>
      </c>
      <c r="J22" s="228"/>
      <c r="K22">
        <v>1</v>
      </c>
      <c r="L22" s="231">
        <v>85.78</v>
      </c>
      <c r="M22" s="231">
        <v>85.78</v>
      </c>
      <c r="N22" s="232">
        <v>0.5</v>
      </c>
      <c r="O22" s="232"/>
      <c r="P22" s="98"/>
      <c r="Q22" s="102"/>
      <c r="R22" s="108"/>
      <c r="S22" s="231">
        <v>85.78</v>
      </c>
      <c r="T22" s="231">
        <v>85.78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344</v>
      </c>
      <c r="C23" t="s">
        <v>375</v>
      </c>
      <c r="D23" s="227"/>
      <c r="E23" s="100"/>
      <c r="F23">
        <v>1</v>
      </c>
      <c r="G23" s="231">
        <v>123.35</v>
      </c>
      <c r="H23" s="231">
        <v>85.07</v>
      </c>
      <c r="I23" s="231">
        <v>123.35</v>
      </c>
      <c r="J23" s="228"/>
      <c r="K23">
        <v>1</v>
      </c>
      <c r="L23" s="231">
        <v>61.68</v>
      </c>
      <c r="M23" s="231">
        <v>61.68</v>
      </c>
      <c r="N23" s="232">
        <v>0.5</v>
      </c>
      <c r="O23" s="232"/>
      <c r="P23" s="98"/>
      <c r="Q23" s="102"/>
      <c r="R23" s="108"/>
      <c r="S23" s="231">
        <v>61.68</v>
      </c>
      <c r="T23" s="231">
        <v>61.68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376</v>
      </c>
      <c r="C24" t="s">
        <v>110</v>
      </c>
      <c r="D24" s="227"/>
      <c r="E24" s="100"/>
      <c r="F24">
        <v>1</v>
      </c>
      <c r="G24" s="231">
        <v>225.94</v>
      </c>
      <c r="H24" s="231">
        <v>155.82</v>
      </c>
      <c r="I24" s="231">
        <v>225.94</v>
      </c>
      <c r="J24" s="228"/>
      <c r="K24">
        <v>1</v>
      </c>
      <c r="L24" s="231">
        <v>146.86000000000001</v>
      </c>
      <c r="M24" s="231">
        <v>146.86000000000001</v>
      </c>
      <c r="N24" s="232">
        <v>0.35</v>
      </c>
      <c r="O24" s="232"/>
      <c r="P24" s="98"/>
      <c r="Q24" s="102"/>
      <c r="R24" s="108"/>
      <c r="S24" s="231">
        <v>146.86000000000001</v>
      </c>
      <c r="T24" s="231">
        <v>146.86000000000001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377</v>
      </c>
      <c r="C25" t="s">
        <v>111</v>
      </c>
      <c r="D25" s="227"/>
      <c r="E25" s="100"/>
      <c r="F25">
        <v>1</v>
      </c>
      <c r="G25" s="231">
        <v>137.53</v>
      </c>
      <c r="H25" s="231">
        <v>94.85</v>
      </c>
      <c r="I25" s="231">
        <v>137.53</v>
      </c>
      <c r="J25" s="228"/>
      <c r="K25">
        <v>1</v>
      </c>
      <c r="L25" s="231">
        <v>89.4</v>
      </c>
      <c r="M25" s="231">
        <v>89.4</v>
      </c>
      <c r="N25" s="232">
        <v>0.35</v>
      </c>
      <c r="O25" s="232"/>
      <c r="P25" s="98"/>
      <c r="Q25" s="102"/>
      <c r="R25" s="108"/>
      <c r="S25" s="231">
        <v>89.4</v>
      </c>
      <c r="T25" s="231">
        <v>89.4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378</v>
      </c>
      <c r="C26" t="s">
        <v>379</v>
      </c>
      <c r="D26" s="227"/>
      <c r="E26" s="100"/>
      <c r="F26">
        <v>1</v>
      </c>
      <c r="G26" s="231">
        <v>112.48</v>
      </c>
      <c r="H26" s="231">
        <v>77.569999999999993</v>
      </c>
      <c r="I26" s="231">
        <v>112.48</v>
      </c>
      <c r="J26" s="228"/>
      <c r="K26">
        <v>1</v>
      </c>
      <c r="L26" s="231">
        <v>73.11</v>
      </c>
      <c r="M26" s="231">
        <v>73.11</v>
      </c>
      <c r="N26" s="232">
        <v>0.35</v>
      </c>
      <c r="O26" s="232"/>
      <c r="P26" s="98"/>
      <c r="Q26" s="102"/>
      <c r="R26" s="108"/>
      <c r="S26" s="231">
        <v>73.11</v>
      </c>
      <c r="T26" s="231">
        <v>73.11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380</v>
      </c>
      <c r="C27" t="s">
        <v>381</v>
      </c>
      <c r="D27" s="227"/>
      <c r="E27" s="100"/>
      <c r="F27">
        <v>1</v>
      </c>
      <c r="G27" s="231">
        <v>79.09</v>
      </c>
      <c r="H27" s="231">
        <v>54.54</v>
      </c>
      <c r="I27" s="231">
        <v>79.09</v>
      </c>
      <c r="J27" s="228"/>
      <c r="K27">
        <v>1</v>
      </c>
      <c r="L27" s="231">
        <v>51.42</v>
      </c>
      <c r="M27" s="231">
        <v>51.42</v>
      </c>
      <c r="N27" s="232">
        <v>0.34989999999999999</v>
      </c>
      <c r="O27" s="232"/>
      <c r="P27" s="98"/>
      <c r="Q27" s="102"/>
      <c r="R27" s="108"/>
      <c r="S27" s="231">
        <v>51.42</v>
      </c>
      <c r="T27" s="231">
        <v>51.42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125</v>
      </c>
      <c r="C28" t="s">
        <v>126</v>
      </c>
      <c r="D28" s="227"/>
      <c r="E28" s="100"/>
      <c r="F28">
        <v>6</v>
      </c>
      <c r="G28" s="231">
        <v>1474.09</v>
      </c>
      <c r="H28" s="231">
        <v>1016.61</v>
      </c>
      <c r="I28" s="231">
        <v>8844.5400000000009</v>
      </c>
      <c r="J28" s="228"/>
      <c r="K28">
        <v>6</v>
      </c>
      <c r="L28" s="231">
        <v>1031.8699999999999</v>
      </c>
      <c r="M28" s="231">
        <v>6191.22</v>
      </c>
      <c r="N28" s="232">
        <v>0.3</v>
      </c>
      <c r="P28" s="98"/>
      <c r="Q28" s="102"/>
      <c r="R28" s="108"/>
      <c r="S28" s="231">
        <v>6191.22</v>
      </c>
      <c r="T28" s="231">
        <v>37147.32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382</v>
      </c>
      <c r="C29" t="s">
        <v>127</v>
      </c>
      <c r="D29" s="227"/>
      <c r="E29" s="100"/>
      <c r="F29">
        <v>1</v>
      </c>
      <c r="G29" s="231">
        <v>4119.04</v>
      </c>
      <c r="H29" s="231">
        <v>2840.72</v>
      </c>
      <c r="I29" s="231">
        <v>4119.04</v>
      </c>
      <c r="J29" s="228"/>
      <c r="K29">
        <v>1</v>
      </c>
      <c r="L29" s="231">
        <v>2059.52</v>
      </c>
      <c r="M29" s="231">
        <v>2059.52</v>
      </c>
      <c r="N29" s="232">
        <v>0.5</v>
      </c>
      <c r="O29" s="232"/>
      <c r="P29" s="98"/>
      <c r="Q29" s="102"/>
      <c r="R29" s="108"/>
      <c r="S29" s="231">
        <v>2059.52</v>
      </c>
      <c r="T29" s="231">
        <v>2059.52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D30" s="227"/>
      <c r="E30" s="100"/>
      <c r="H30" t="s">
        <v>120</v>
      </c>
      <c r="I30" t="s">
        <v>120</v>
      </c>
      <c r="J30" s="228"/>
      <c r="K30">
        <v>0</v>
      </c>
      <c r="L30" t="s">
        <v>120</v>
      </c>
      <c r="M30" t="s">
        <v>120</v>
      </c>
      <c r="O30" s="232"/>
      <c r="P30" s="98"/>
      <c r="Q30" s="102"/>
      <c r="R30" s="108"/>
      <c r="S30" t="s">
        <v>120</v>
      </c>
      <c r="T30" t="s">
        <v>120</v>
      </c>
      <c r="U30" s="232">
        <v>0</v>
      </c>
      <c r="V30" s="232">
        <v>0</v>
      </c>
      <c r="W30" s="229"/>
      <c r="X30" s="230"/>
      <c r="Y30" s="8"/>
      <c r="Z30" s="8"/>
    </row>
    <row r="31" spans="2:26">
      <c r="B31" t="s">
        <v>351</v>
      </c>
      <c r="C31" t="s">
        <v>173</v>
      </c>
      <c r="D31" s="227"/>
      <c r="E31" s="100"/>
      <c r="F31">
        <v>10</v>
      </c>
      <c r="G31" s="231">
        <v>204.05</v>
      </c>
      <c r="H31" s="231">
        <v>140.72</v>
      </c>
      <c r="I31" s="231">
        <v>2040.5</v>
      </c>
      <c r="J31" s="228"/>
      <c r="K31">
        <v>10</v>
      </c>
      <c r="L31" s="231">
        <v>112.23</v>
      </c>
      <c r="M31" s="231">
        <v>1122.3</v>
      </c>
      <c r="N31" s="232">
        <v>0.45</v>
      </c>
      <c r="O31" s="232"/>
      <c r="P31" s="98"/>
      <c r="Q31" s="102"/>
      <c r="R31" s="108"/>
      <c r="S31" s="231">
        <v>1122.3</v>
      </c>
      <c r="T31" s="231">
        <v>11223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352</v>
      </c>
      <c r="C32" t="s">
        <v>128</v>
      </c>
      <c r="D32" s="227"/>
      <c r="E32" s="100"/>
      <c r="F32">
        <v>50</v>
      </c>
      <c r="G32" s="231">
        <v>3.14</v>
      </c>
      <c r="H32" s="231">
        <v>2.17</v>
      </c>
      <c r="I32" s="231">
        <v>157</v>
      </c>
      <c r="J32" s="228"/>
      <c r="K32">
        <v>50</v>
      </c>
      <c r="L32" s="231">
        <v>1.73</v>
      </c>
      <c r="M32" s="231">
        <v>86.5</v>
      </c>
      <c r="N32" s="232">
        <v>0.44900000000000001</v>
      </c>
      <c r="O32" s="232"/>
      <c r="P32" s="98"/>
      <c r="Q32" s="102"/>
      <c r="R32" s="108"/>
      <c r="S32" s="231">
        <v>86.5</v>
      </c>
      <c r="T32" s="231">
        <v>4325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353</v>
      </c>
      <c r="C33" t="s">
        <v>133</v>
      </c>
      <c r="D33" s="227"/>
      <c r="E33" s="100"/>
      <c r="F33">
        <v>50</v>
      </c>
      <c r="G33" s="231">
        <v>2.0499999999999998</v>
      </c>
      <c r="H33" s="231">
        <v>1.41</v>
      </c>
      <c r="I33" s="231">
        <v>102.5</v>
      </c>
      <c r="J33" s="228"/>
      <c r="K33">
        <v>50</v>
      </c>
      <c r="L33" s="231">
        <v>1.1299999999999999</v>
      </c>
      <c r="M33" s="231">
        <v>56.5</v>
      </c>
      <c r="N33" s="232">
        <v>0.44879999999999998</v>
      </c>
      <c r="O33" s="232"/>
      <c r="P33" s="98"/>
      <c r="Q33" s="102"/>
      <c r="R33" s="108"/>
      <c r="S33" s="231">
        <v>56.5</v>
      </c>
      <c r="T33" s="231">
        <v>2825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261</v>
      </c>
      <c r="C34" t="s">
        <v>314</v>
      </c>
      <c r="D34" s="227"/>
      <c r="E34" s="100"/>
      <c r="F34">
        <v>50</v>
      </c>
      <c r="G34" s="231">
        <v>3.41</v>
      </c>
      <c r="H34" s="231">
        <v>2.35</v>
      </c>
      <c r="I34" s="231">
        <v>170.5</v>
      </c>
      <c r="J34" s="228"/>
      <c r="K34">
        <v>50</v>
      </c>
      <c r="L34" s="231">
        <v>1.88</v>
      </c>
      <c r="M34" s="231">
        <v>94</v>
      </c>
      <c r="N34" s="232">
        <v>0.44869999999999999</v>
      </c>
      <c r="O34" s="232"/>
      <c r="P34" s="98"/>
      <c r="Q34" s="102"/>
      <c r="R34" s="108"/>
      <c r="S34" s="231">
        <v>94</v>
      </c>
      <c r="T34" s="231">
        <v>4700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D35" s="227"/>
      <c r="E35" s="100"/>
      <c r="H35" t="s">
        <v>120</v>
      </c>
      <c r="I35" t="s">
        <v>120</v>
      </c>
      <c r="J35" s="228"/>
      <c r="K35">
        <v>0</v>
      </c>
      <c r="L35" t="s">
        <v>120</v>
      </c>
      <c r="M35" t="s">
        <v>120</v>
      </c>
      <c r="O35" s="232"/>
      <c r="P35" s="98"/>
      <c r="Q35" s="102"/>
      <c r="R35" s="108"/>
      <c r="S35" t="s">
        <v>120</v>
      </c>
      <c r="T35" t="s">
        <v>120</v>
      </c>
      <c r="U35" s="232">
        <v>0</v>
      </c>
      <c r="V35" s="232">
        <v>0</v>
      </c>
      <c r="W35" s="229"/>
      <c r="X35" s="230"/>
      <c r="Y35" s="8"/>
      <c r="Z35" s="8"/>
    </row>
    <row r="36" spans="2:26">
      <c r="C36" t="s">
        <v>383</v>
      </c>
      <c r="D36" s="227"/>
      <c r="E36" s="100"/>
      <c r="H36" t="s">
        <v>120</v>
      </c>
      <c r="I36" t="s">
        <v>120</v>
      </c>
      <c r="J36" s="228"/>
      <c r="K36">
        <v>0</v>
      </c>
      <c r="L36" t="s">
        <v>120</v>
      </c>
      <c r="M36" t="s">
        <v>120</v>
      </c>
      <c r="O36" s="232"/>
      <c r="P36" s="98"/>
      <c r="Q36" s="102"/>
      <c r="R36" s="108"/>
      <c r="S36" t="s">
        <v>120</v>
      </c>
      <c r="T36" t="s">
        <v>120</v>
      </c>
      <c r="U36" s="232">
        <v>0</v>
      </c>
      <c r="V36" s="232">
        <v>0</v>
      </c>
      <c r="W36" s="229"/>
      <c r="X36" s="230"/>
      <c r="Y36" s="8"/>
      <c r="Z36" s="8"/>
    </row>
    <row r="37" spans="2:26">
      <c r="D37" s="227"/>
      <c r="E37" s="100"/>
      <c r="H37" t="s">
        <v>120</v>
      </c>
      <c r="I37" t="s">
        <v>120</v>
      </c>
      <c r="J37" s="228"/>
      <c r="K37">
        <v>0</v>
      </c>
      <c r="L37" t="s">
        <v>120</v>
      </c>
      <c r="M37" t="s">
        <v>120</v>
      </c>
      <c r="P37" s="98"/>
      <c r="Q37" s="102"/>
      <c r="R37" s="108"/>
      <c r="S37" t="s">
        <v>120</v>
      </c>
      <c r="T37" t="s">
        <v>120</v>
      </c>
      <c r="U37" s="232">
        <v>0</v>
      </c>
      <c r="V37" s="232">
        <v>0</v>
      </c>
      <c r="W37" s="229"/>
      <c r="X37" s="230"/>
      <c r="Y37" s="8"/>
      <c r="Z37" s="8"/>
    </row>
    <row r="38" spans="2:26">
      <c r="B38" t="s">
        <v>384</v>
      </c>
      <c r="C38" t="s">
        <v>129</v>
      </c>
      <c r="D38" s="227"/>
      <c r="E38" s="100"/>
      <c r="F38">
        <v>4</v>
      </c>
      <c r="G38" s="231">
        <v>4087.57</v>
      </c>
      <c r="H38" s="231">
        <v>2819.01</v>
      </c>
      <c r="I38" s="231">
        <v>16350.28</v>
      </c>
      <c r="J38" s="228"/>
      <c r="K38">
        <v>4</v>
      </c>
      <c r="L38" s="231">
        <v>2248.17</v>
      </c>
      <c r="M38" s="231">
        <v>8992.68</v>
      </c>
      <c r="N38" s="232">
        <v>0.45</v>
      </c>
      <c r="O38" s="232"/>
      <c r="P38" s="98"/>
      <c r="Q38" s="102"/>
      <c r="R38" s="108"/>
      <c r="S38" s="231">
        <v>8992.68</v>
      </c>
      <c r="T38" s="231">
        <v>35970.720000000001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355</v>
      </c>
      <c r="C39" t="s">
        <v>114</v>
      </c>
      <c r="D39" s="227"/>
      <c r="E39" s="100"/>
      <c r="F39">
        <v>2</v>
      </c>
      <c r="G39" s="231">
        <v>496.33</v>
      </c>
      <c r="H39" s="231">
        <v>342.3</v>
      </c>
      <c r="I39" s="231">
        <v>992.66</v>
      </c>
      <c r="J39" s="228"/>
      <c r="K39">
        <v>2</v>
      </c>
      <c r="L39" s="231">
        <v>272.99</v>
      </c>
      <c r="M39" s="231">
        <v>545.98</v>
      </c>
      <c r="N39" s="232">
        <v>0.45</v>
      </c>
      <c r="O39" s="232"/>
      <c r="P39" s="98"/>
      <c r="Q39" s="102"/>
      <c r="R39" s="108"/>
      <c r="S39" s="231">
        <v>545.98</v>
      </c>
      <c r="T39" s="231">
        <v>1091.96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385</v>
      </c>
      <c r="C40" t="s">
        <v>115</v>
      </c>
      <c r="D40" s="227"/>
      <c r="E40" s="100"/>
      <c r="F40">
        <v>4</v>
      </c>
      <c r="G40" s="231">
        <v>31.3</v>
      </c>
      <c r="H40" s="231">
        <v>21.59</v>
      </c>
      <c r="I40" s="231">
        <v>125.2</v>
      </c>
      <c r="J40" s="228"/>
      <c r="K40">
        <v>4</v>
      </c>
      <c r="L40" s="231">
        <v>17.22</v>
      </c>
      <c r="M40" s="231">
        <v>68.88</v>
      </c>
      <c r="N40" s="232">
        <v>0.44979999999999998</v>
      </c>
      <c r="O40" s="232"/>
      <c r="P40" s="98"/>
      <c r="Q40" s="102"/>
      <c r="R40" s="108"/>
      <c r="S40" s="231">
        <v>68.88</v>
      </c>
      <c r="T40" s="231">
        <v>275.52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317</v>
      </c>
      <c r="C41" t="s">
        <v>133</v>
      </c>
      <c r="D41" s="227"/>
      <c r="E41" s="100"/>
      <c r="F41">
        <v>8</v>
      </c>
      <c r="G41" s="231">
        <v>3.56</v>
      </c>
      <c r="H41" s="231">
        <v>2.46</v>
      </c>
      <c r="I41" s="231">
        <v>28.48</v>
      </c>
      <c r="J41" s="228"/>
      <c r="K41">
        <v>8</v>
      </c>
      <c r="L41" s="231">
        <v>1.96</v>
      </c>
      <c r="M41" s="231">
        <v>15.68</v>
      </c>
      <c r="N41" s="232">
        <v>0.44940000000000002</v>
      </c>
      <c r="O41" s="232"/>
      <c r="P41" s="98"/>
      <c r="Q41" s="102"/>
      <c r="R41" s="108"/>
      <c r="S41" s="231">
        <v>15.68</v>
      </c>
      <c r="T41" s="231">
        <v>125.44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386</v>
      </c>
      <c r="C42" t="s">
        <v>314</v>
      </c>
      <c r="D42" s="227"/>
      <c r="E42" s="100"/>
      <c r="F42">
        <v>4</v>
      </c>
      <c r="G42" s="231">
        <v>6.85</v>
      </c>
      <c r="H42" s="231">
        <v>4.72</v>
      </c>
      <c r="I42" s="231">
        <v>27.4</v>
      </c>
      <c r="J42" s="228"/>
      <c r="K42">
        <v>4</v>
      </c>
      <c r="L42" s="231">
        <v>3.77</v>
      </c>
      <c r="M42" s="231">
        <v>15.08</v>
      </c>
      <c r="N42" s="232">
        <v>0.4496</v>
      </c>
      <c r="P42" s="98"/>
      <c r="Q42" s="102"/>
      <c r="R42" s="108"/>
      <c r="S42" s="231">
        <v>15.08</v>
      </c>
      <c r="T42" s="231">
        <v>60.32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387</v>
      </c>
      <c r="C43" t="s">
        <v>131</v>
      </c>
      <c r="D43" s="227"/>
      <c r="E43" s="100"/>
      <c r="F43">
        <v>16</v>
      </c>
      <c r="G43" s="231">
        <v>866.99</v>
      </c>
      <c r="H43" s="231">
        <v>597.91999999999996</v>
      </c>
      <c r="I43" s="231">
        <v>13871.84</v>
      </c>
      <c r="J43" s="228"/>
      <c r="K43">
        <v>16</v>
      </c>
      <c r="L43" s="231">
        <v>476.85</v>
      </c>
      <c r="M43" s="231">
        <v>7629.6</v>
      </c>
      <c r="N43" s="232">
        <v>0.45</v>
      </c>
      <c r="O43" s="232"/>
      <c r="P43" s="98"/>
      <c r="Q43" s="102"/>
      <c r="R43" s="108"/>
      <c r="S43" s="231">
        <v>7629.6</v>
      </c>
      <c r="T43" s="231">
        <v>122073.60000000001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388</v>
      </c>
      <c r="C44" t="s">
        <v>147</v>
      </c>
      <c r="D44" s="227"/>
      <c r="E44" s="100"/>
      <c r="F44">
        <v>64</v>
      </c>
      <c r="G44" s="231">
        <v>8.73</v>
      </c>
      <c r="H44" s="231">
        <v>6.02</v>
      </c>
      <c r="I44" s="231">
        <v>558.72</v>
      </c>
      <c r="J44" s="228"/>
      <c r="K44">
        <v>64</v>
      </c>
      <c r="L44" s="231">
        <v>4.8099999999999996</v>
      </c>
      <c r="M44" s="231">
        <v>307.83999999999997</v>
      </c>
      <c r="N44" s="232">
        <v>0.44900000000000001</v>
      </c>
      <c r="P44" s="98"/>
      <c r="Q44" s="102"/>
      <c r="R44" s="108"/>
      <c r="S44" s="231">
        <v>307.83999999999997</v>
      </c>
      <c r="T44" s="231">
        <v>19701.759999999998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389</v>
      </c>
      <c r="C45" t="s">
        <v>133</v>
      </c>
      <c r="D45" s="227"/>
      <c r="E45" s="100"/>
      <c r="F45">
        <v>64</v>
      </c>
      <c r="G45" s="231">
        <v>2.4700000000000002</v>
      </c>
      <c r="H45" s="231">
        <v>1.7</v>
      </c>
      <c r="I45" s="231">
        <v>158.08000000000001</v>
      </c>
      <c r="J45" s="228"/>
      <c r="K45">
        <v>64</v>
      </c>
      <c r="L45" s="231">
        <v>1.36</v>
      </c>
      <c r="M45" s="231">
        <v>87.04</v>
      </c>
      <c r="N45" s="232">
        <v>0.44940000000000002</v>
      </c>
      <c r="P45" s="98"/>
      <c r="Q45" s="102"/>
      <c r="R45" s="108"/>
      <c r="S45" s="231">
        <v>87.04</v>
      </c>
      <c r="T45" s="231">
        <v>5570.56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390</v>
      </c>
      <c r="C46" t="s">
        <v>391</v>
      </c>
      <c r="D46" s="227"/>
      <c r="E46" s="100"/>
      <c r="F46">
        <v>4</v>
      </c>
      <c r="G46" s="231">
        <v>317.01</v>
      </c>
      <c r="H46" s="231">
        <v>218.63</v>
      </c>
      <c r="I46" s="231">
        <v>1268.04</v>
      </c>
      <c r="J46" s="228"/>
      <c r="K46">
        <v>4</v>
      </c>
      <c r="L46" s="231">
        <v>174.36</v>
      </c>
      <c r="M46" s="231">
        <v>697.44</v>
      </c>
      <c r="N46" s="232">
        <v>0.45</v>
      </c>
      <c r="P46" s="98"/>
      <c r="Q46" s="102"/>
      <c r="R46" s="108"/>
      <c r="S46" s="231">
        <v>697.44</v>
      </c>
      <c r="T46" s="231">
        <v>2789.76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392</v>
      </c>
      <c r="C47" t="s">
        <v>393</v>
      </c>
      <c r="D47" s="227"/>
      <c r="E47" s="100"/>
      <c r="F47">
        <v>4</v>
      </c>
      <c r="G47" s="231">
        <v>369.71</v>
      </c>
      <c r="H47" s="231">
        <v>254.97</v>
      </c>
      <c r="I47" s="231">
        <v>1478.84</v>
      </c>
      <c r="J47" s="228"/>
      <c r="K47">
        <v>4</v>
      </c>
      <c r="L47" s="231">
        <v>203.35</v>
      </c>
      <c r="M47" s="231">
        <v>813.4</v>
      </c>
      <c r="N47" s="232">
        <v>0.45</v>
      </c>
      <c r="P47" s="98"/>
      <c r="Q47" s="102"/>
      <c r="R47" s="108"/>
      <c r="S47" s="231">
        <v>813.4</v>
      </c>
      <c r="T47" s="231">
        <v>3253.6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364</v>
      </c>
      <c r="C48" t="s">
        <v>132</v>
      </c>
      <c r="D48" s="227"/>
      <c r="E48" s="100"/>
      <c r="F48">
        <v>24</v>
      </c>
      <c r="G48" s="231">
        <v>2.42</v>
      </c>
      <c r="H48" s="231">
        <v>1.67</v>
      </c>
      <c r="I48" s="231">
        <v>58.08</v>
      </c>
      <c r="J48" s="228"/>
      <c r="K48">
        <v>24</v>
      </c>
      <c r="L48" s="231">
        <v>1.33</v>
      </c>
      <c r="M48" s="231">
        <v>31.92</v>
      </c>
      <c r="N48" s="232">
        <v>0.45040000000000002</v>
      </c>
      <c r="O48" s="232"/>
      <c r="P48" s="98"/>
      <c r="Q48" s="102"/>
      <c r="R48" s="108"/>
      <c r="S48" s="231">
        <v>31.92</v>
      </c>
      <c r="T48" s="231">
        <v>766.08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B49" t="s">
        <v>366</v>
      </c>
      <c r="C49" t="s">
        <v>133</v>
      </c>
      <c r="D49" s="87"/>
      <c r="E49" s="88"/>
      <c r="F49">
        <v>24</v>
      </c>
      <c r="G49" s="231">
        <v>2.15</v>
      </c>
      <c r="H49" s="231">
        <v>1.48</v>
      </c>
      <c r="I49" s="231">
        <v>51.6</v>
      </c>
      <c r="J49" s="105"/>
      <c r="K49">
        <v>24</v>
      </c>
      <c r="L49" s="231">
        <v>1.19</v>
      </c>
      <c r="M49" s="231">
        <v>28.56</v>
      </c>
      <c r="N49" s="232">
        <v>0.44650000000000001</v>
      </c>
      <c r="O49" s="232"/>
      <c r="P49" s="115"/>
      <c r="Q49" s="94"/>
      <c r="R49" s="94"/>
      <c r="S49" s="231">
        <v>28.56</v>
      </c>
      <c r="T49" s="231">
        <v>685.44</v>
      </c>
      <c r="U49" s="232">
        <v>0</v>
      </c>
      <c r="V49" s="232">
        <v>1</v>
      </c>
      <c r="W49" s="96"/>
      <c r="X49" s="97"/>
      <c r="Y49" s="8"/>
      <c r="Z49" s="8"/>
    </row>
    <row r="50" spans="2:26" ht="15.75" customHeight="1">
      <c r="D50" s="87"/>
      <c r="E50" s="100"/>
      <c r="H50" t="s">
        <v>120</v>
      </c>
      <c r="I50" t="s">
        <v>120</v>
      </c>
      <c r="J50" s="105"/>
      <c r="K50">
        <v>0</v>
      </c>
      <c r="L50" t="s">
        <v>120</v>
      </c>
      <c r="M50" t="s">
        <v>120</v>
      </c>
      <c r="O50" s="232"/>
      <c r="P50" s="98"/>
      <c r="Q50" s="102"/>
      <c r="R50" s="108"/>
      <c r="S50" t="s">
        <v>120</v>
      </c>
      <c r="T50" t="s">
        <v>120</v>
      </c>
      <c r="U50" s="232">
        <v>0</v>
      </c>
      <c r="V50" s="232">
        <v>0</v>
      </c>
      <c r="W50" s="111"/>
      <c r="X50" s="97"/>
      <c r="Y50" s="8"/>
      <c r="Z50" s="8"/>
    </row>
    <row r="51" spans="2:26" ht="15.75" customHeight="1">
      <c r="B51" t="s">
        <v>394</v>
      </c>
      <c r="C51" t="s">
        <v>134</v>
      </c>
      <c r="D51" s="87"/>
      <c r="E51" s="88"/>
      <c r="F51">
        <v>2</v>
      </c>
      <c r="G51" s="231">
        <v>17735.5</v>
      </c>
      <c r="H51" s="231">
        <v>12231.38</v>
      </c>
      <c r="I51" s="231">
        <v>35471</v>
      </c>
      <c r="J51" s="105"/>
      <c r="K51">
        <v>2</v>
      </c>
      <c r="L51" s="231">
        <v>9754.5300000000007</v>
      </c>
      <c r="M51" s="231">
        <v>19509.060000000001</v>
      </c>
      <c r="N51" s="232">
        <v>0.45</v>
      </c>
      <c r="O51" s="232"/>
      <c r="P51" s="115"/>
      <c r="Q51" s="94"/>
      <c r="R51" s="94"/>
      <c r="S51" s="231">
        <v>19509.060000000001</v>
      </c>
      <c r="T51" s="231">
        <v>39018.120000000003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t="s">
        <v>395</v>
      </c>
      <c r="C52" t="s">
        <v>396</v>
      </c>
      <c r="D52" s="87"/>
      <c r="E52" s="100"/>
      <c r="F52">
        <v>90</v>
      </c>
      <c r="G52" s="231">
        <v>211.37</v>
      </c>
      <c r="H52" s="231">
        <v>145.77000000000001</v>
      </c>
      <c r="I52" s="231">
        <v>19023.3</v>
      </c>
      <c r="J52" s="105"/>
      <c r="K52">
        <v>90</v>
      </c>
      <c r="L52" s="231">
        <v>116.26</v>
      </c>
      <c r="M52" s="231">
        <v>10463.4</v>
      </c>
      <c r="N52" s="232">
        <v>0.45</v>
      </c>
      <c r="O52" s="93"/>
      <c r="P52" s="98"/>
      <c r="Q52" s="102"/>
      <c r="R52" s="108"/>
      <c r="S52" s="231">
        <v>10463.4</v>
      </c>
      <c r="T52" s="231">
        <v>941706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t="s">
        <v>397</v>
      </c>
      <c r="C53" t="s">
        <v>190</v>
      </c>
      <c r="D53" s="87"/>
      <c r="E53" s="88"/>
      <c r="F53">
        <v>2</v>
      </c>
      <c r="G53" s="231">
        <v>241.71</v>
      </c>
      <c r="H53" s="231">
        <v>166.7</v>
      </c>
      <c r="I53" s="231">
        <v>483.42</v>
      </c>
      <c r="J53" s="105"/>
      <c r="K53">
        <v>2</v>
      </c>
      <c r="L53" s="231">
        <v>132.94999999999999</v>
      </c>
      <c r="M53" s="231">
        <v>265.89999999999998</v>
      </c>
      <c r="N53" s="232">
        <v>0.45</v>
      </c>
      <c r="O53" s="93"/>
      <c r="P53" s="115"/>
      <c r="Q53" s="94"/>
      <c r="R53" s="94"/>
      <c r="S53" s="231">
        <v>265.89999999999998</v>
      </c>
      <c r="T53" s="231">
        <v>531.79999999999995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B54" t="s">
        <v>398</v>
      </c>
      <c r="C54" t="s">
        <v>399</v>
      </c>
      <c r="D54" s="87"/>
      <c r="E54" s="100"/>
      <c r="F54">
        <v>4</v>
      </c>
      <c r="G54" s="231">
        <v>392.82</v>
      </c>
      <c r="H54" s="231">
        <v>270.91000000000003</v>
      </c>
      <c r="I54" s="231">
        <v>1571.28</v>
      </c>
      <c r="J54" s="105"/>
      <c r="K54">
        <v>4</v>
      </c>
      <c r="L54" s="231">
        <v>216.05</v>
      </c>
      <c r="M54" s="231">
        <v>864.2</v>
      </c>
      <c r="N54" s="232">
        <v>0.45</v>
      </c>
      <c r="O54" s="93"/>
      <c r="P54" s="98"/>
      <c r="Q54" s="102"/>
      <c r="R54" s="108"/>
      <c r="S54" s="231">
        <v>864.2</v>
      </c>
      <c r="T54" s="231">
        <v>3456.8</v>
      </c>
      <c r="U54" s="232">
        <v>0</v>
      </c>
      <c r="V54" s="232">
        <v>1</v>
      </c>
      <c r="W54" s="111"/>
      <c r="X54" s="97"/>
      <c r="Y54" s="8"/>
      <c r="Z54" s="8"/>
    </row>
    <row r="55" spans="2:26" ht="15.75" customHeight="1">
      <c r="B55" t="s">
        <v>400</v>
      </c>
      <c r="C55" t="s">
        <v>116</v>
      </c>
      <c r="D55" s="87"/>
      <c r="E55" s="88"/>
      <c r="F55">
        <v>360</v>
      </c>
      <c r="G55" s="231">
        <v>6.32</v>
      </c>
      <c r="H55" s="231">
        <v>4.3600000000000003</v>
      </c>
      <c r="I55" s="231">
        <v>2275.1999999999998</v>
      </c>
      <c r="J55" s="105"/>
      <c r="K55">
        <v>360</v>
      </c>
      <c r="L55" s="231">
        <v>3.48</v>
      </c>
      <c r="M55" s="231">
        <v>1252.8</v>
      </c>
      <c r="N55" s="232">
        <v>0.44940000000000002</v>
      </c>
      <c r="O55" s="93"/>
      <c r="P55" s="115"/>
      <c r="Q55" s="94"/>
      <c r="R55" s="94"/>
      <c r="S55" s="231">
        <v>1252.8</v>
      </c>
      <c r="T55" s="231">
        <v>451008</v>
      </c>
      <c r="U55" s="232">
        <v>0</v>
      </c>
      <c r="V55" s="232">
        <v>1</v>
      </c>
      <c r="W55" s="96"/>
      <c r="X55" s="97"/>
      <c r="Y55" s="8"/>
      <c r="Z55" s="8"/>
    </row>
    <row r="56" spans="2:26" ht="15.75" customHeight="1">
      <c r="B56" t="s">
        <v>136</v>
      </c>
      <c r="C56" t="s">
        <v>142</v>
      </c>
      <c r="D56" s="87"/>
      <c r="E56" s="100"/>
      <c r="F56">
        <v>360</v>
      </c>
      <c r="G56" s="231">
        <v>3.14</v>
      </c>
      <c r="H56" s="231">
        <v>2.17</v>
      </c>
      <c r="I56" s="231">
        <v>1130.4000000000001</v>
      </c>
      <c r="J56" s="105"/>
      <c r="K56">
        <v>360</v>
      </c>
      <c r="L56" s="231">
        <v>1.73</v>
      </c>
      <c r="M56" s="231">
        <v>622.79999999999995</v>
      </c>
      <c r="N56" s="232">
        <v>0.44900000000000001</v>
      </c>
      <c r="O56" s="93"/>
      <c r="P56" s="98"/>
      <c r="Q56" s="102"/>
      <c r="R56" s="108"/>
      <c r="S56" s="231">
        <v>622.79999999999995</v>
      </c>
      <c r="T56" s="231">
        <v>224208</v>
      </c>
      <c r="U56" s="232">
        <v>0</v>
      </c>
      <c r="V56" s="232">
        <v>1</v>
      </c>
      <c r="W56" s="111"/>
      <c r="X56" s="97"/>
      <c r="Y56" s="8"/>
      <c r="Z56" s="116"/>
    </row>
    <row r="57" spans="2:26" ht="15.75" customHeight="1">
      <c r="B57" t="s">
        <v>401</v>
      </c>
      <c r="C57" t="s">
        <v>245</v>
      </c>
      <c r="D57" s="87"/>
      <c r="E57" s="88"/>
      <c r="F57">
        <v>8</v>
      </c>
      <c r="G57" s="231">
        <v>10.72</v>
      </c>
      <c r="H57" s="231">
        <v>7.39</v>
      </c>
      <c r="I57" s="231">
        <v>85.76</v>
      </c>
      <c r="J57" s="105"/>
      <c r="K57">
        <v>8</v>
      </c>
      <c r="L57" s="231">
        <v>5.9</v>
      </c>
      <c r="M57" s="231">
        <v>47.2</v>
      </c>
      <c r="N57" s="232">
        <v>0.4496</v>
      </c>
      <c r="O57" s="93"/>
      <c r="P57" s="115"/>
      <c r="Q57" s="94"/>
      <c r="R57" s="94"/>
      <c r="S57" s="231">
        <v>47.2</v>
      </c>
      <c r="T57" s="231">
        <v>377.6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D58" s="87"/>
      <c r="E58" s="100"/>
      <c r="H58" t="s">
        <v>120</v>
      </c>
      <c r="I58" t="s">
        <v>120</v>
      </c>
      <c r="J58" s="105"/>
      <c r="K58">
        <v>0</v>
      </c>
      <c r="L58" t="s">
        <v>120</v>
      </c>
      <c r="M58" t="s">
        <v>120</v>
      </c>
      <c r="O58" s="93"/>
      <c r="P58" s="98"/>
      <c r="Q58" s="102"/>
      <c r="R58" s="108"/>
      <c r="S58" t="s">
        <v>120</v>
      </c>
      <c r="T58" t="s">
        <v>120</v>
      </c>
      <c r="U58" s="232">
        <v>0</v>
      </c>
      <c r="V58" s="232">
        <v>0</v>
      </c>
      <c r="W58" s="111"/>
      <c r="X58" s="97"/>
      <c r="Y58" s="8"/>
      <c r="Z58" s="8"/>
    </row>
    <row r="59" spans="2:26" ht="15.75" customHeight="1">
      <c r="B59" t="s">
        <v>369</v>
      </c>
      <c r="C59" t="s">
        <v>196</v>
      </c>
      <c r="D59" s="87"/>
      <c r="E59" s="88"/>
      <c r="F59">
        <v>2</v>
      </c>
      <c r="G59" s="231">
        <v>435.33</v>
      </c>
      <c r="H59" s="231">
        <v>300.23</v>
      </c>
      <c r="I59" s="231">
        <v>870.66</v>
      </c>
      <c r="J59" s="105"/>
      <c r="K59">
        <v>2</v>
      </c>
      <c r="L59" s="231">
        <v>239.44</v>
      </c>
      <c r="M59" s="231">
        <v>478.88</v>
      </c>
      <c r="N59" s="232">
        <v>0.45</v>
      </c>
      <c r="O59" s="93"/>
      <c r="P59" s="115"/>
      <c r="Q59" s="94"/>
      <c r="R59" s="94"/>
      <c r="S59" s="231">
        <v>478.88</v>
      </c>
      <c r="T59" s="231">
        <v>957.76</v>
      </c>
      <c r="U59" s="232">
        <v>0</v>
      </c>
      <c r="V59" s="232">
        <v>1</v>
      </c>
      <c r="W59" s="96"/>
      <c r="X59" s="97"/>
      <c r="Y59" s="8"/>
      <c r="Z59" s="8"/>
    </row>
    <row r="60" spans="2:26" ht="15.75" customHeight="1">
      <c r="B60" s="233" t="s">
        <v>370</v>
      </c>
      <c r="C60" t="s">
        <v>280</v>
      </c>
      <c r="D60" s="87"/>
      <c r="E60" s="100"/>
      <c r="F60">
        <v>1</v>
      </c>
      <c r="G60" s="231">
        <v>160.9</v>
      </c>
      <c r="H60" s="231">
        <v>110.97</v>
      </c>
      <c r="I60" s="231">
        <v>160.9</v>
      </c>
      <c r="J60" s="105"/>
      <c r="K60">
        <v>1</v>
      </c>
      <c r="L60" s="231">
        <v>88.5</v>
      </c>
      <c r="M60" s="231">
        <v>88.5</v>
      </c>
      <c r="N60" s="232">
        <v>0.45</v>
      </c>
      <c r="O60" s="93"/>
      <c r="P60" s="98"/>
      <c r="Q60" s="102"/>
      <c r="R60" s="108"/>
      <c r="S60" s="231">
        <v>88.5</v>
      </c>
      <c r="T60" s="231">
        <v>88.5</v>
      </c>
      <c r="U60" s="232">
        <v>0</v>
      </c>
      <c r="V60" s="232">
        <v>1</v>
      </c>
      <c r="W60" s="111"/>
      <c r="X60" s="97"/>
      <c r="Y60" s="8"/>
      <c r="Z60" s="8"/>
    </row>
    <row r="61" spans="2:26" ht="15.75" customHeight="1">
      <c r="B61" s="233" t="s">
        <v>371</v>
      </c>
      <c r="C61" t="s">
        <v>282</v>
      </c>
      <c r="D61" s="87"/>
      <c r="E61" s="88"/>
      <c r="F61">
        <v>1</v>
      </c>
      <c r="G61" s="231">
        <v>160.9</v>
      </c>
      <c r="H61" s="231">
        <v>110.97</v>
      </c>
      <c r="I61" s="231">
        <v>160.9</v>
      </c>
      <c r="J61" s="105"/>
      <c r="K61">
        <v>1</v>
      </c>
      <c r="L61" s="231">
        <v>88.5</v>
      </c>
      <c r="M61" s="231">
        <v>88.5</v>
      </c>
      <c r="N61" s="232">
        <v>0.45</v>
      </c>
      <c r="O61" s="93"/>
      <c r="P61" s="115"/>
      <c r="Q61" s="94"/>
      <c r="R61" s="94"/>
      <c r="S61" s="231">
        <v>88.5</v>
      </c>
      <c r="T61" s="231">
        <v>88.5</v>
      </c>
      <c r="U61" s="232">
        <v>0</v>
      </c>
      <c r="V61" s="232">
        <v>1</v>
      </c>
      <c r="W61" s="96"/>
    </row>
    <row r="62" spans="2:26" ht="15.75" customHeight="1">
      <c r="B62" t="s">
        <v>283</v>
      </c>
      <c r="C62" t="s">
        <v>284</v>
      </c>
      <c r="D62" s="87"/>
      <c r="E62" s="100"/>
      <c r="F62">
        <v>28</v>
      </c>
      <c r="G62" s="231">
        <v>4.51</v>
      </c>
      <c r="H62" s="231">
        <v>3.11</v>
      </c>
      <c r="I62" s="231">
        <v>126.28</v>
      </c>
      <c r="J62" s="105"/>
      <c r="K62">
        <v>28</v>
      </c>
      <c r="L62" s="231">
        <v>2.4900000000000002</v>
      </c>
      <c r="M62" s="231">
        <v>69.72</v>
      </c>
      <c r="N62" s="232">
        <v>0.44790000000000002</v>
      </c>
      <c r="O62" s="93"/>
      <c r="P62" s="98"/>
      <c r="Q62" s="102"/>
      <c r="R62" s="108"/>
      <c r="S62" s="231">
        <v>69.72</v>
      </c>
      <c r="T62" s="231">
        <v>1952.16</v>
      </c>
      <c r="U62" s="232">
        <v>0</v>
      </c>
      <c r="V62" s="232">
        <v>1</v>
      </c>
      <c r="W62" s="111"/>
    </row>
    <row r="63" spans="2:26" ht="15.75" customHeight="1">
      <c r="B63" t="s">
        <v>285</v>
      </c>
      <c r="C63" t="s">
        <v>133</v>
      </c>
      <c r="D63" s="87"/>
      <c r="E63" s="88"/>
      <c r="F63">
        <v>28</v>
      </c>
      <c r="G63" s="231">
        <v>3.56</v>
      </c>
      <c r="H63" s="231">
        <v>2.46</v>
      </c>
      <c r="I63" s="231">
        <v>99.68</v>
      </c>
      <c r="J63" s="105"/>
      <c r="K63">
        <v>28</v>
      </c>
      <c r="L63" s="231">
        <v>1.96</v>
      </c>
      <c r="M63" s="231">
        <v>54.88</v>
      </c>
      <c r="N63" s="232">
        <v>0.44940000000000002</v>
      </c>
      <c r="O63" s="93"/>
      <c r="P63" s="115"/>
      <c r="Q63" s="94"/>
      <c r="R63" s="94"/>
      <c r="S63" s="231">
        <v>54.88</v>
      </c>
      <c r="T63" s="231">
        <v>1536.64</v>
      </c>
      <c r="U63" s="232">
        <v>0</v>
      </c>
      <c r="V63" s="232">
        <v>1</v>
      </c>
      <c r="W63" s="96"/>
    </row>
    <row r="64" spans="2:26" ht="15.75" customHeight="1">
      <c r="B64" t="s">
        <v>286</v>
      </c>
      <c r="C64" t="s">
        <v>314</v>
      </c>
      <c r="D64" s="87"/>
      <c r="E64" s="100"/>
      <c r="F64">
        <v>28</v>
      </c>
      <c r="G64" s="231">
        <v>3.65</v>
      </c>
      <c r="H64" s="231">
        <v>2.52</v>
      </c>
      <c r="I64" s="231">
        <v>102.2</v>
      </c>
      <c r="J64" s="105"/>
      <c r="K64">
        <v>28</v>
      </c>
      <c r="L64" s="231">
        <v>2.0099999999999998</v>
      </c>
      <c r="M64" s="231">
        <v>56.28</v>
      </c>
      <c r="N64" s="232">
        <v>0.44929999999999998</v>
      </c>
      <c r="O64" s="93"/>
      <c r="P64" s="98"/>
      <c r="Q64" s="102"/>
      <c r="R64" s="108"/>
      <c r="S64" s="231">
        <v>56.28</v>
      </c>
      <c r="T64" s="231">
        <v>1575.84</v>
      </c>
      <c r="U64" s="232">
        <v>0</v>
      </c>
      <c r="V64" s="232">
        <v>1</v>
      </c>
      <c r="W64" s="111"/>
    </row>
    <row r="65" spans="2:23" ht="15.75" customHeight="1">
      <c r="D65" s="87"/>
      <c r="E65" s="88"/>
      <c r="H65" t="s">
        <v>120</v>
      </c>
      <c r="I65" t="s">
        <v>120</v>
      </c>
      <c r="J65" s="105"/>
      <c r="K65">
        <v>0</v>
      </c>
      <c r="L65" t="s">
        <v>120</v>
      </c>
      <c r="M65" t="s">
        <v>120</v>
      </c>
      <c r="O65" s="93"/>
      <c r="P65" s="115"/>
      <c r="Q65" s="94"/>
      <c r="R65" s="94"/>
      <c r="S65" t="s">
        <v>120</v>
      </c>
      <c r="T65" t="s">
        <v>120</v>
      </c>
      <c r="U65" s="232">
        <v>0</v>
      </c>
      <c r="V65" s="232">
        <v>0</v>
      </c>
      <c r="W65" s="96"/>
    </row>
    <row r="66" spans="2:23" ht="15.75" customHeight="1">
      <c r="B66" t="s">
        <v>402</v>
      </c>
      <c r="C66" t="s">
        <v>206</v>
      </c>
      <c r="D66" s="87"/>
      <c r="E66" s="100"/>
      <c r="F66">
        <v>3</v>
      </c>
      <c r="G66" s="231">
        <v>2053.06</v>
      </c>
      <c r="H66" s="231">
        <v>1415.9</v>
      </c>
      <c r="I66" s="231">
        <v>6159.18</v>
      </c>
      <c r="J66" s="105"/>
      <c r="K66">
        <v>3</v>
      </c>
      <c r="L66" s="231">
        <v>1129.18</v>
      </c>
      <c r="M66" s="231">
        <v>3387.54</v>
      </c>
      <c r="N66" s="232">
        <v>0.45</v>
      </c>
      <c r="O66" s="93"/>
      <c r="P66" s="98"/>
      <c r="Q66" s="102"/>
      <c r="R66" s="108"/>
      <c r="S66" s="231">
        <v>3387.54</v>
      </c>
      <c r="T66" s="231">
        <v>10162.620000000001</v>
      </c>
      <c r="U66" s="232">
        <v>0</v>
      </c>
      <c r="V66" s="232">
        <v>1</v>
      </c>
      <c r="W66" s="111"/>
    </row>
    <row r="67" spans="2:23" ht="15.75" customHeight="1">
      <c r="B67" t="s">
        <v>403</v>
      </c>
      <c r="C67" t="s">
        <v>404</v>
      </c>
      <c r="D67" s="87"/>
      <c r="E67" s="88"/>
      <c r="F67">
        <v>3</v>
      </c>
      <c r="G67" s="231">
        <v>224.12</v>
      </c>
      <c r="H67" s="231">
        <v>154.57</v>
      </c>
      <c r="I67" s="231">
        <v>672.36</v>
      </c>
      <c r="J67" s="105"/>
      <c r="K67">
        <v>3</v>
      </c>
      <c r="L67" s="231">
        <v>123.27</v>
      </c>
      <c r="M67" s="231">
        <v>369.81</v>
      </c>
      <c r="N67" s="232">
        <v>0.45</v>
      </c>
      <c r="O67" s="93"/>
      <c r="P67" s="115"/>
      <c r="Q67" s="94"/>
      <c r="R67" s="94"/>
      <c r="S67" s="231">
        <v>369.81</v>
      </c>
      <c r="T67" s="231">
        <v>1109.43</v>
      </c>
      <c r="U67" s="232">
        <v>0</v>
      </c>
      <c r="V67" s="232">
        <v>1</v>
      </c>
      <c r="W67" s="111"/>
    </row>
    <row r="68" spans="2:23" ht="15.75" customHeight="1">
      <c r="B68" t="s">
        <v>405</v>
      </c>
      <c r="C68" t="s">
        <v>290</v>
      </c>
      <c r="D68" s="87"/>
      <c r="E68" s="100"/>
      <c r="F68">
        <v>3</v>
      </c>
      <c r="G68" s="231">
        <v>164.9</v>
      </c>
      <c r="H68" s="231">
        <v>113.72</v>
      </c>
      <c r="I68" s="231">
        <v>494.7</v>
      </c>
      <c r="J68" s="105"/>
      <c r="K68">
        <v>3</v>
      </c>
      <c r="L68" s="231">
        <v>90.7</v>
      </c>
      <c r="M68" s="231">
        <v>272.10000000000002</v>
      </c>
      <c r="N68" s="232">
        <v>0.45</v>
      </c>
      <c r="O68" s="93"/>
      <c r="P68" s="98"/>
      <c r="Q68" s="102"/>
      <c r="R68" s="108"/>
      <c r="S68" s="231">
        <v>272.10000000000002</v>
      </c>
      <c r="T68" s="231">
        <v>816.3</v>
      </c>
      <c r="U68" s="232">
        <v>0</v>
      </c>
      <c r="V68" s="232">
        <v>1</v>
      </c>
      <c r="W68" s="111"/>
    </row>
    <row r="69" spans="2:23" ht="15.75" customHeight="1">
      <c r="B69" t="s">
        <v>406</v>
      </c>
      <c r="C69" t="s">
        <v>407</v>
      </c>
      <c r="D69" s="87"/>
      <c r="E69" s="88"/>
      <c r="F69">
        <v>3</v>
      </c>
      <c r="G69" s="231">
        <v>12.96</v>
      </c>
      <c r="H69" s="231">
        <v>8.94</v>
      </c>
      <c r="I69" s="231">
        <v>38.880000000000003</v>
      </c>
      <c r="J69" s="105"/>
      <c r="K69">
        <v>3</v>
      </c>
      <c r="L69" s="231">
        <v>7.13</v>
      </c>
      <c r="M69" s="231">
        <v>21.39</v>
      </c>
      <c r="N69" s="232">
        <v>0.44979999999999998</v>
      </c>
      <c r="O69" s="93"/>
      <c r="P69" s="115"/>
      <c r="Q69" s="94"/>
      <c r="R69" s="94"/>
      <c r="S69" s="231">
        <v>21.39</v>
      </c>
      <c r="T69" s="231">
        <v>64.17</v>
      </c>
      <c r="U69" s="232">
        <v>0</v>
      </c>
      <c r="V69" s="232">
        <v>1</v>
      </c>
      <c r="W69" s="111"/>
    </row>
    <row r="70" spans="2:23" ht="15.75" customHeight="1">
      <c r="B70" t="s">
        <v>291</v>
      </c>
      <c r="C70" t="s">
        <v>292</v>
      </c>
      <c r="D70" s="87"/>
      <c r="E70" s="100"/>
      <c r="F70">
        <v>3</v>
      </c>
      <c r="G70" s="231">
        <v>22.39</v>
      </c>
      <c r="H70" s="231">
        <v>15.44</v>
      </c>
      <c r="I70" s="231">
        <v>67.17</v>
      </c>
      <c r="J70" s="105"/>
      <c r="K70">
        <v>3</v>
      </c>
      <c r="L70" s="231">
        <v>12.32</v>
      </c>
      <c r="M70" s="231">
        <v>36.96</v>
      </c>
      <c r="N70" s="232">
        <v>0.44979999999999998</v>
      </c>
      <c r="O70" s="93"/>
      <c r="P70" s="98"/>
      <c r="Q70" s="102"/>
      <c r="R70" s="108"/>
      <c r="S70" s="231">
        <v>36.96</v>
      </c>
      <c r="T70" s="231">
        <v>110.88</v>
      </c>
      <c r="U70" s="232">
        <v>0</v>
      </c>
      <c r="V70" s="232">
        <v>1</v>
      </c>
      <c r="W70" s="111"/>
    </row>
    <row r="71" spans="2:23" ht="15.75" customHeight="1">
      <c r="B71" t="s">
        <v>408</v>
      </c>
      <c r="C71" t="s">
        <v>210</v>
      </c>
      <c r="D71" s="87"/>
      <c r="E71" s="88"/>
      <c r="F71">
        <v>6</v>
      </c>
      <c r="G71" s="231">
        <v>7.67</v>
      </c>
      <c r="H71" s="231">
        <v>5.29</v>
      </c>
      <c r="I71" s="231">
        <v>46.02</v>
      </c>
      <c r="J71" s="105"/>
      <c r="K71">
        <v>6</v>
      </c>
      <c r="L71" s="231">
        <v>4.22</v>
      </c>
      <c r="M71" s="231">
        <v>25.32</v>
      </c>
      <c r="N71" s="232">
        <v>0.44979999999999998</v>
      </c>
      <c r="O71" s="93"/>
      <c r="P71" s="115"/>
      <c r="Q71" s="94"/>
      <c r="R71" s="94"/>
      <c r="S71" s="231">
        <v>25.32</v>
      </c>
      <c r="T71" s="231">
        <v>151.91999999999999</v>
      </c>
      <c r="U71" s="232">
        <v>0</v>
      </c>
      <c r="V71" s="232">
        <v>1</v>
      </c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1333</v>
      </c>
      <c r="G78" s="121">
        <f t="shared" si="0"/>
        <v>34873.600000000006</v>
      </c>
      <c r="H78" s="122">
        <f t="shared" si="0"/>
        <v>24050.760000000002</v>
      </c>
      <c r="I78" s="123">
        <f t="shared" si="0"/>
        <v>120459.78999999998</v>
      </c>
      <c r="J78" s="124"/>
      <c r="K78" s="125">
        <f t="shared" ref="K78:M78" si="1">SUM(K19:K77)</f>
        <v>1333</v>
      </c>
      <c r="L78" s="122">
        <f t="shared" si="1"/>
        <v>19228.23</v>
      </c>
      <c r="M78" s="123">
        <f t="shared" si="1"/>
        <v>67411.270000000019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67411.270000000019</v>
      </c>
      <c r="T78" s="123">
        <f t="shared" si="2"/>
        <v>1934157.53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Q15 G18 L18 Q18" xr:uid="{F6AD8F7F-7CB2-493E-ADB1-9BA296913B96}">
      <formula1>$Y$12:$Y$13</formula1>
    </dataValidation>
    <dataValidation type="list" allowBlank="1" showErrorMessage="1" sqref="J14" xr:uid="{9D506E56-BC73-4476-AF46-085D210492FA}">
      <formula1>$L$9</formula1>
    </dataValidation>
    <dataValidation type="list" allowBlank="1" showErrorMessage="1" sqref="I14" xr:uid="{5FF6EBEF-029A-4857-9C9D-3FF7860873ED}">
      <formula1>$Y$14:$Y$15</formula1>
    </dataValidation>
    <dataValidation type="list" allowBlank="1" showErrorMessage="1" sqref="E19:E77" xr:uid="{DE253A9E-22FA-442F-B137-A7AFC1A491EA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D3AD-35E6-4955-811C-D2141677A2ED}">
  <sheetPr>
    <pageSetUpPr fitToPage="1"/>
  </sheetPr>
  <dimension ref="B1:Z78"/>
  <sheetViews>
    <sheetView zoomScale="55" zoomScaleNormal="55" workbookViewId="0">
      <pane ySplit="18" topLeftCell="A40" activePane="bottomLeft" state="frozen"/>
      <selection pane="bottomLeft" activeCell="S19" sqref="S19:V7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412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103215.44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2018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57905.669999999976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45309.770000000026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154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0.43898248169072401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413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1707899.3299999998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414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57905.669999999976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220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1372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339</v>
      </c>
      <c r="C19" t="s">
        <v>109</v>
      </c>
      <c r="D19" s="87"/>
      <c r="E19" s="88"/>
      <c r="F19">
        <v>1</v>
      </c>
      <c r="G19" s="231">
        <v>36.51</v>
      </c>
      <c r="H19" s="231">
        <v>25.18</v>
      </c>
      <c r="I19" s="231">
        <v>36.51</v>
      </c>
      <c r="J19" s="92"/>
      <c r="K19">
        <v>1</v>
      </c>
      <c r="L19" s="231">
        <v>18.260000000000002</v>
      </c>
      <c r="M19" s="231">
        <v>18.260000000000002</v>
      </c>
      <c r="N19" s="232">
        <v>0.49990000000000001</v>
      </c>
      <c r="O19" s="232"/>
      <c r="P19" s="86"/>
      <c r="Q19" s="94"/>
      <c r="R19" s="94"/>
      <c r="S19" s="231">
        <v>18.260000000000002</v>
      </c>
      <c r="T19" s="231">
        <v>18.260000000000002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122</v>
      </c>
      <c r="C20" t="s">
        <v>137</v>
      </c>
      <c r="D20" s="87"/>
      <c r="E20" s="100"/>
      <c r="F20">
        <v>1</v>
      </c>
      <c r="G20" s="231">
        <v>78.87</v>
      </c>
      <c r="H20" s="231">
        <v>54.39</v>
      </c>
      <c r="I20" s="231">
        <v>78.87</v>
      </c>
      <c r="J20" s="105"/>
      <c r="K20">
        <v>1</v>
      </c>
      <c r="L20" s="231">
        <v>39.44</v>
      </c>
      <c r="M20" s="231">
        <v>39.44</v>
      </c>
      <c r="N20" s="232">
        <v>0.49990000000000001</v>
      </c>
      <c r="O20" s="232"/>
      <c r="P20" s="98"/>
      <c r="Q20" s="102"/>
      <c r="R20" s="108"/>
      <c r="S20" s="231">
        <v>39.44</v>
      </c>
      <c r="T20" s="231">
        <v>39.44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121</v>
      </c>
      <c r="C21" t="s">
        <v>143</v>
      </c>
      <c r="D21" s="227"/>
      <c r="E21" s="100"/>
      <c r="F21">
        <v>1</v>
      </c>
      <c r="G21" s="231">
        <v>51.88</v>
      </c>
      <c r="H21" s="231">
        <v>35.78</v>
      </c>
      <c r="I21" s="231">
        <v>51.88</v>
      </c>
      <c r="J21" s="228"/>
      <c r="K21">
        <v>1</v>
      </c>
      <c r="L21" s="231">
        <v>25.94</v>
      </c>
      <c r="M21" s="231">
        <v>25.94</v>
      </c>
      <c r="N21" s="232">
        <v>0.5</v>
      </c>
      <c r="O21" s="232"/>
      <c r="P21" s="98"/>
      <c r="Q21" s="102"/>
      <c r="R21" s="108"/>
      <c r="S21" s="231">
        <v>25.94</v>
      </c>
      <c r="T21" s="231">
        <v>25.94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415</v>
      </c>
      <c r="C22" t="s">
        <v>416</v>
      </c>
      <c r="D22" s="227"/>
      <c r="E22" s="100"/>
      <c r="F22">
        <v>1</v>
      </c>
      <c r="G22" s="231">
        <v>81.27</v>
      </c>
      <c r="H22" s="231">
        <v>56.05</v>
      </c>
      <c r="I22" s="231">
        <v>81.27</v>
      </c>
      <c r="J22" s="228"/>
      <c r="K22">
        <v>1</v>
      </c>
      <c r="L22" s="231">
        <v>40.64</v>
      </c>
      <c r="M22" s="231">
        <v>40.64</v>
      </c>
      <c r="N22" s="232">
        <v>0.49990000000000001</v>
      </c>
      <c r="O22" s="232"/>
      <c r="P22" s="98"/>
      <c r="Q22" s="102"/>
      <c r="R22" s="108"/>
      <c r="S22" s="231">
        <v>40.64</v>
      </c>
      <c r="T22" s="231">
        <v>40.64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307</v>
      </c>
      <c r="C23" t="s">
        <v>144</v>
      </c>
      <c r="D23" s="227"/>
      <c r="E23" s="100"/>
      <c r="F23">
        <v>1</v>
      </c>
      <c r="G23" s="231">
        <v>171.55</v>
      </c>
      <c r="H23" s="231">
        <v>118.31</v>
      </c>
      <c r="I23" s="231">
        <v>171.55</v>
      </c>
      <c r="J23" s="228"/>
      <c r="K23">
        <v>1</v>
      </c>
      <c r="L23" s="231">
        <v>85.78</v>
      </c>
      <c r="M23" s="231">
        <v>85.78</v>
      </c>
      <c r="N23" s="232">
        <v>0.5</v>
      </c>
      <c r="O23" s="232"/>
      <c r="P23" s="98"/>
      <c r="Q23" s="102"/>
      <c r="R23" s="108"/>
      <c r="S23" s="231">
        <v>85.78</v>
      </c>
      <c r="T23" s="231">
        <v>85.78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344</v>
      </c>
      <c r="C24" t="s">
        <v>375</v>
      </c>
      <c r="D24" s="227"/>
      <c r="E24" s="100"/>
      <c r="F24">
        <v>1</v>
      </c>
      <c r="G24" s="231">
        <v>123.35</v>
      </c>
      <c r="H24" s="231">
        <v>85.07</v>
      </c>
      <c r="I24" s="231">
        <v>123.35</v>
      </c>
      <c r="J24" s="228"/>
      <c r="K24">
        <v>1</v>
      </c>
      <c r="L24" s="231">
        <v>61.68</v>
      </c>
      <c r="M24" s="231">
        <v>61.68</v>
      </c>
      <c r="N24" s="232">
        <v>0.5</v>
      </c>
      <c r="O24" s="232"/>
      <c r="P24" s="98"/>
      <c r="Q24" s="102"/>
      <c r="R24" s="108"/>
      <c r="S24" s="231">
        <v>61.68</v>
      </c>
      <c r="T24" s="231">
        <v>61.68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417</v>
      </c>
      <c r="C25" t="s">
        <v>110</v>
      </c>
      <c r="D25" s="227"/>
      <c r="E25" s="100"/>
      <c r="F25">
        <v>1</v>
      </c>
      <c r="G25" s="231">
        <v>136.4</v>
      </c>
      <c r="H25" s="231">
        <v>94.07</v>
      </c>
      <c r="I25" s="231">
        <v>136.4</v>
      </c>
      <c r="J25" s="228"/>
      <c r="K25">
        <v>1</v>
      </c>
      <c r="L25" s="231">
        <v>88.66</v>
      </c>
      <c r="M25" s="231">
        <v>88.66</v>
      </c>
      <c r="N25" s="232">
        <v>0.35</v>
      </c>
      <c r="O25" s="232"/>
      <c r="P25" s="98"/>
      <c r="Q25" s="102"/>
      <c r="R25" s="108"/>
      <c r="S25" s="231">
        <v>88.66</v>
      </c>
      <c r="T25" s="231">
        <v>88.66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418</v>
      </c>
      <c r="C26" t="s">
        <v>111</v>
      </c>
      <c r="D26" s="227"/>
      <c r="E26" s="100"/>
      <c r="F26">
        <v>1</v>
      </c>
      <c r="G26" s="231">
        <v>103.4</v>
      </c>
      <c r="H26" s="231">
        <v>71.31</v>
      </c>
      <c r="I26" s="231">
        <v>103.4</v>
      </c>
      <c r="J26" s="228"/>
      <c r="K26">
        <v>1</v>
      </c>
      <c r="L26" s="231">
        <v>67.209999999999994</v>
      </c>
      <c r="M26" s="231">
        <v>67.209999999999994</v>
      </c>
      <c r="N26" s="232">
        <v>0.35</v>
      </c>
      <c r="O26" s="232"/>
      <c r="P26" s="98"/>
      <c r="Q26" s="102"/>
      <c r="R26" s="108"/>
      <c r="S26" s="231">
        <v>67.209999999999994</v>
      </c>
      <c r="T26" s="231">
        <v>67.209999999999994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380</v>
      </c>
      <c r="C27" t="s">
        <v>112</v>
      </c>
      <c r="D27" s="227"/>
      <c r="E27" s="100"/>
      <c r="F27">
        <v>2</v>
      </c>
      <c r="G27" s="231">
        <v>79.09</v>
      </c>
      <c r="H27" s="231">
        <v>54.54</v>
      </c>
      <c r="I27" s="231">
        <v>158.18</v>
      </c>
      <c r="J27" s="228"/>
      <c r="K27">
        <v>2</v>
      </c>
      <c r="L27" s="231">
        <v>51.42</v>
      </c>
      <c r="M27" s="231">
        <v>102.84</v>
      </c>
      <c r="N27" s="232">
        <v>0.34989999999999999</v>
      </c>
      <c r="O27" s="232"/>
      <c r="P27" s="98"/>
      <c r="Q27" s="102"/>
      <c r="R27" s="108"/>
      <c r="S27" s="231">
        <v>102.84</v>
      </c>
      <c r="T27" s="231">
        <v>205.68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125</v>
      </c>
      <c r="C28" t="s">
        <v>126</v>
      </c>
      <c r="D28" s="227"/>
      <c r="E28" s="100"/>
      <c r="F28">
        <v>6</v>
      </c>
      <c r="G28" s="231">
        <v>1474.09</v>
      </c>
      <c r="H28" s="231">
        <v>1016.61</v>
      </c>
      <c r="I28" s="231">
        <v>8844.5400000000009</v>
      </c>
      <c r="J28" s="228"/>
      <c r="K28">
        <v>6</v>
      </c>
      <c r="L28" s="231">
        <v>1031.8699999999999</v>
      </c>
      <c r="M28" s="231">
        <v>6191.22</v>
      </c>
      <c r="N28" s="232">
        <v>0.3</v>
      </c>
      <c r="P28" s="98"/>
      <c r="Q28" s="102"/>
      <c r="R28" s="108"/>
      <c r="S28" s="231">
        <v>6191.22</v>
      </c>
      <c r="T28" s="231">
        <v>37147.32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382</v>
      </c>
      <c r="C29" t="s">
        <v>127</v>
      </c>
      <c r="D29" s="227"/>
      <c r="E29" s="100"/>
      <c r="F29">
        <v>1</v>
      </c>
      <c r="G29" s="231">
        <v>4119.04</v>
      </c>
      <c r="H29" s="231">
        <v>2840.72</v>
      </c>
      <c r="I29" s="231">
        <v>4119.04</v>
      </c>
      <c r="J29" s="228"/>
      <c r="K29">
        <v>1</v>
      </c>
      <c r="L29" s="231">
        <v>2059.52</v>
      </c>
      <c r="M29" s="231">
        <v>2059.52</v>
      </c>
      <c r="N29" s="232">
        <v>0.5</v>
      </c>
      <c r="O29" s="232"/>
      <c r="P29" s="98"/>
      <c r="Q29" s="102"/>
      <c r="R29" s="108"/>
      <c r="S29" s="231">
        <v>2059.52</v>
      </c>
      <c r="T29" s="231">
        <v>2059.52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D30" s="227"/>
      <c r="E30" s="100"/>
      <c r="H30" t="s">
        <v>120</v>
      </c>
      <c r="I30" t="s">
        <v>120</v>
      </c>
      <c r="J30" s="228"/>
      <c r="K30">
        <v>0</v>
      </c>
      <c r="L30" t="s">
        <v>120</v>
      </c>
      <c r="M30" t="s">
        <v>120</v>
      </c>
      <c r="O30" s="232"/>
      <c r="P30" s="98"/>
      <c r="Q30" s="102"/>
      <c r="R30" s="108"/>
      <c r="S30" t="s">
        <v>120</v>
      </c>
      <c r="T30" t="s">
        <v>120</v>
      </c>
      <c r="U30" s="232">
        <v>0</v>
      </c>
      <c r="V30" s="232">
        <v>0</v>
      </c>
      <c r="W30" s="229"/>
      <c r="X30" s="230"/>
      <c r="Y30" s="8"/>
      <c r="Z30" s="8"/>
    </row>
    <row r="31" spans="2:26">
      <c r="B31" t="s">
        <v>351</v>
      </c>
      <c r="C31" t="s">
        <v>173</v>
      </c>
      <c r="D31" s="227"/>
      <c r="E31" s="100"/>
      <c r="F31">
        <v>10</v>
      </c>
      <c r="G31" s="231">
        <v>204.05</v>
      </c>
      <c r="H31" s="231">
        <v>140.72</v>
      </c>
      <c r="I31" s="231">
        <v>2040.5</v>
      </c>
      <c r="J31" s="228"/>
      <c r="K31">
        <v>10</v>
      </c>
      <c r="L31" s="231">
        <v>112.23</v>
      </c>
      <c r="M31" s="231">
        <v>1122.3</v>
      </c>
      <c r="N31" s="232">
        <v>0.45</v>
      </c>
      <c r="O31" s="232"/>
      <c r="P31" s="98"/>
      <c r="Q31" s="102"/>
      <c r="R31" s="108"/>
      <c r="S31" s="231">
        <v>1122.3</v>
      </c>
      <c r="T31" s="231">
        <v>11223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352</v>
      </c>
      <c r="C32" t="s">
        <v>128</v>
      </c>
      <c r="D32" s="227"/>
      <c r="E32" s="100"/>
      <c r="F32">
        <v>50</v>
      </c>
      <c r="G32" s="231">
        <v>3.14</v>
      </c>
      <c r="H32" s="231">
        <v>2.17</v>
      </c>
      <c r="I32" s="231">
        <v>157</v>
      </c>
      <c r="J32" s="228"/>
      <c r="K32">
        <v>50</v>
      </c>
      <c r="L32" s="231">
        <v>1.73</v>
      </c>
      <c r="M32" s="231">
        <v>86.5</v>
      </c>
      <c r="N32" s="232">
        <v>0.44900000000000001</v>
      </c>
      <c r="O32" s="232"/>
      <c r="P32" s="98"/>
      <c r="Q32" s="102"/>
      <c r="R32" s="108"/>
      <c r="S32" s="231">
        <v>86.5</v>
      </c>
      <c r="T32" s="231">
        <v>4325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353</v>
      </c>
      <c r="C33" t="s">
        <v>133</v>
      </c>
      <c r="D33" s="227"/>
      <c r="E33" s="100"/>
      <c r="F33">
        <v>50</v>
      </c>
      <c r="G33" s="231">
        <v>2.0499999999999998</v>
      </c>
      <c r="H33" s="231">
        <v>1.41</v>
      </c>
      <c r="I33" s="231">
        <v>102.5</v>
      </c>
      <c r="J33" s="228"/>
      <c r="K33">
        <v>50</v>
      </c>
      <c r="L33" s="231">
        <v>1.1299999999999999</v>
      </c>
      <c r="M33" s="231">
        <v>56.5</v>
      </c>
      <c r="N33" s="232">
        <v>0.44879999999999998</v>
      </c>
      <c r="O33" s="232"/>
      <c r="P33" s="98"/>
      <c r="Q33" s="102"/>
      <c r="R33" s="108"/>
      <c r="S33" s="231">
        <v>56.5</v>
      </c>
      <c r="T33" s="231">
        <v>2825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261</v>
      </c>
      <c r="C34" t="s">
        <v>314</v>
      </c>
      <c r="D34" s="227"/>
      <c r="E34" s="100"/>
      <c r="F34">
        <v>50</v>
      </c>
      <c r="G34" s="231">
        <v>3.41</v>
      </c>
      <c r="H34" s="231">
        <v>2.35</v>
      </c>
      <c r="I34" s="231">
        <v>170.5</v>
      </c>
      <c r="J34" s="228"/>
      <c r="K34">
        <v>50</v>
      </c>
      <c r="L34" s="231">
        <v>1.88</v>
      </c>
      <c r="M34" s="231">
        <v>94</v>
      </c>
      <c r="N34" s="232">
        <v>0.44869999999999999</v>
      </c>
      <c r="O34" s="232"/>
      <c r="P34" s="98"/>
      <c r="Q34" s="102"/>
      <c r="R34" s="108"/>
      <c r="S34" s="231">
        <v>94</v>
      </c>
      <c r="T34" s="231">
        <v>4700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D35" s="227"/>
      <c r="E35" s="100"/>
      <c r="H35" t="s">
        <v>120</v>
      </c>
      <c r="I35" t="s">
        <v>120</v>
      </c>
      <c r="J35" s="228"/>
      <c r="K35">
        <v>0</v>
      </c>
      <c r="L35" t="s">
        <v>120</v>
      </c>
      <c r="M35" t="s">
        <v>120</v>
      </c>
      <c r="O35" s="232"/>
      <c r="P35" s="98"/>
      <c r="Q35" s="102"/>
      <c r="R35" s="108"/>
      <c r="S35" t="s">
        <v>120</v>
      </c>
      <c r="T35" t="s">
        <v>120</v>
      </c>
      <c r="U35" s="232">
        <v>0</v>
      </c>
      <c r="V35" s="232">
        <v>0</v>
      </c>
      <c r="W35" s="229"/>
      <c r="X35" s="230"/>
      <c r="Y35" s="8"/>
      <c r="Z35" s="8"/>
    </row>
    <row r="36" spans="2:26">
      <c r="B36" t="s">
        <v>355</v>
      </c>
      <c r="C36" t="s">
        <v>114</v>
      </c>
      <c r="D36" s="227"/>
      <c r="E36" s="100"/>
      <c r="F36">
        <v>2</v>
      </c>
      <c r="G36" s="231">
        <v>496.33</v>
      </c>
      <c r="H36" s="231">
        <v>342.3</v>
      </c>
      <c r="I36" s="231">
        <v>992.66</v>
      </c>
      <c r="J36" s="228"/>
      <c r="K36">
        <v>2</v>
      </c>
      <c r="L36" s="231">
        <v>272.99</v>
      </c>
      <c r="M36" s="231">
        <v>545.98</v>
      </c>
      <c r="N36" s="232">
        <v>0.45</v>
      </c>
      <c r="O36" s="232"/>
      <c r="P36" s="98"/>
      <c r="Q36" s="102"/>
      <c r="R36" s="108"/>
      <c r="S36" s="231">
        <v>545.98</v>
      </c>
      <c r="T36" s="231">
        <v>1091.96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385</v>
      </c>
      <c r="C37" t="s">
        <v>115</v>
      </c>
      <c r="D37" s="227"/>
      <c r="E37" s="100"/>
      <c r="F37">
        <v>4</v>
      </c>
      <c r="G37" s="231">
        <v>31.3</v>
      </c>
      <c r="H37" s="231">
        <v>21.59</v>
      </c>
      <c r="I37" s="231">
        <v>125.2</v>
      </c>
      <c r="J37" s="228"/>
      <c r="K37">
        <v>4</v>
      </c>
      <c r="L37" s="231">
        <v>17.22</v>
      </c>
      <c r="M37" s="231">
        <v>68.88</v>
      </c>
      <c r="N37" s="232">
        <v>0.44979999999999998</v>
      </c>
      <c r="P37" s="98"/>
      <c r="Q37" s="102"/>
      <c r="R37" s="108"/>
      <c r="S37" s="231">
        <v>68.88</v>
      </c>
      <c r="T37" s="231">
        <v>275.52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317</v>
      </c>
      <c r="C38" t="s">
        <v>133</v>
      </c>
      <c r="D38" s="227"/>
      <c r="E38" s="100"/>
      <c r="F38">
        <v>8</v>
      </c>
      <c r="G38" s="231">
        <v>3.56</v>
      </c>
      <c r="H38" s="231">
        <v>2.46</v>
      </c>
      <c r="I38" s="231">
        <v>28.48</v>
      </c>
      <c r="J38" s="228"/>
      <c r="K38">
        <v>8</v>
      </c>
      <c r="L38" s="231">
        <v>1.96</v>
      </c>
      <c r="M38" s="231">
        <v>15.68</v>
      </c>
      <c r="N38" s="232">
        <v>0.44940000000000002</v>
      </c>
      <c r="O38" s="232"/>
      <c r="P38" s="98"/>
      <c r="Q38" s="102"/>
      <c r="R38" s="108"/>
      <c r="S38" s="231">
        <v>15.68</v>
      </c>
      <c r="T38" s="231">
        <v>125.44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386</v>
      </c>
      <c r="C39" t="s">
        <v>314</v>
      </c>
      <c r="D39" s="227"/>
      <c r="E39" s="100"/>
      <c r="F39">
        <v>4</v>
      </c>
      <c r="G39" s="231">
        <v>6.85</v>
      </c>
      <c r="H39" s="231">
        <v>4.72</v>
      </c>
      <c r="I39" s="231">
        <v>27.4</v>
      </c>
      <c r="J39" s="228"/>
      <c r="K39">
        <v>4</v>
      </c>
      <c r="L39" s="231">
        <v>3.77</v>
      </c>
      <c r="M39" s="231">
        <v>15.08</v>
      </c>
      <c r="N39" s="232">
        <v>0.4496</v>
      </c>
      <c r="O39" s="232"/>
      <c r="P39" s="98"/>
      <c r="Q39" s="102"/>
      <c r="R39" s="108"/>
      <c r="S39" s="231">
        <v>15.08</v>
      </c>
      <c r="T39" s="231">
        <v>60.32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354</v>
      </c>
      <c r="C40" t="s">
        <v>129</v>
      </c>
      <c r="D40" s="227"/>
      <c r="E40" s="100"/>
      <c r="F40">
        <v>4</v>
      </c>
      <c r="G40" s="231">
        <v>2878.82</v>
      </c>
      <c r="H40" s="231">
        <v>1985.39</v>
      </c>
      <c r="I40" s="231">
        <v>11515.28</v>
      </c>
      <c r="J40" s="228"/>
      <c r="K40">
        <v>4</v>
      </c>
      <c r="L40" s="231">
        <v>1583.35</v>
      </c>
      <c r="M40" s="231">
        <v>6333.4</v>
      </c>
      <c r="N40" s="232">
        <v>0.45</v>
      </c>
      <c r="O40" s="232"/>
      <c r="P40" s="98"/>
      <c r="Q40" s="102"/>
      <c r="R40" s="108"/>
      <c r="S40" s="231">
        <v>6333.4</v>
      </c>
      <c r="T40" s="231">
        <v>25333.599999999999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419</v>
      </c>
      <c r="C41" t="s">
        <v>420</v>
      </c>
      <c r="D41" s="227"/>
      <c r="E41" s="100"/>
      <c r="F41">
        <v>8</v>
      </c>
      <c r="G41" s="231">
        <v>14.24</v>
      </c>
      <c r="H41" s="231">
        <v>9.82</v>
      </c>
      <c r="I41" s="231">
        <v>113.92</v>
      </c>
      <c r="J41" s="228"/>
      <c r="K41">
        <v>8</v>
      </c>
      <c r="L41" s="231">
        <v>7.83</v>
      </c>
      <c r="M41" s="231">
        <v>62.64</v>
      </c>
      <c r="N41" s="232">
        <v>0.4501</v>
      </c>
      <c r="O41" s="232"/>
      <c r="P41" s="98"/>
      <c r="Q41" s="102"/>
      <c r="R41" s="108"/>
      <c r="S41" s="231">
        <v>62.64</v>
      </c>
      <c r="T41" s="231">
        <v>501.12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421</v>
      </c>
      <c r="C42" t="s">
        <v>422</v>
      </c>
      <c r="D42" s="227"/>
      <c r="E42" s="100"/>
      <c r="F42">
        <v>8</v>
      </c>
      <c r="G42" s="231">
        <v>12.9</v>
      </c>
      <c r="H42" s="231">
        <v>8.9</v>
      </c>
      <c r="I42" s="231">
        <v>103.2</v>
      </c>
      <c r="J42" s="228"/>
      <c r="K42">
        <v>8</v>
      </c>
      <c r="L42" s="231">
        <v>7.1</v>
      </c>
      <c r="M42" s="231">
        <v>56.8</v>
      </c>
      <c r="N42" s="232">
        <v>0.4496</v>
      </c>
      <c r="P42" s="98"/>
      <c r="Q42" s="102"/>
      <c r="R42" s="108"/>
      <c r="S42" s="231">
        <v>56.8</v>
      </c>
      <c r="T42" s="231">
        <v>454.4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203</v>
      </c>
      <c r="C43" t="s">
        <v>133</v>
      </c>
      <c r="D43" s="227"/>
      <c r="E43" s="100"/>
      <c r="F43">
        <v>16</v>
      </c>
      <c r="G43" s="231">
        <v>2.83</v>
      </c>
      <c r="H43" s="231">
        <v>1.95</v>
      </c>
      <c r="I43" s="231">
        <v>45.28</v>
      </c>
      <c r="J43" s="228"/>
      <c r="K43">
        <v>16</v>
      </c>
      <c r="L43" s="231">
        <v>1.56</v>
      </c>
      <c r="M43" s="231">
        <v>24.96</v>
      </c>
      <c r="N43" s="232">
        <v>0.44879999999999998</v>
      </c>
      <c r="O43" s="232"/>
      <c r="P43" s="98"/>
      <c r="Q43" s="102"/>
      <c r="R43" s="108"/>
      <c r="S43" s="231">
        <v>24.96</v>
      </c>
      <c r="T43" s="231">
        <v>399.36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358</v>
      </c>
      <c r="C44" t="s">
        <v>391</v>
      </c>
      <c r="D44" s="227"/>
      <c r="E44" s="100"/>
      <c r="F44">
        <v>4</v>
      </c>
      <c r="G44" s="231">
        <v>159.66</v>
      </c>
      <c r="H44" s="231">
        <v>110.11</v>
      </c>
      <c r="I44" s="231">
        <v>638.64</v>
      </c>
      <c r="J44" s="228"/>
      <c r="K44">
        <v>4</v>
      </c>
      <c r="L44" s="231">
        <v>87.81</v>
      </c>
      <c r="M44" s="231">
        <v>351.24</v>
      </c>
      <c r="N44" s="232">
        <v>0.45</v>
      </c>
      <c r="P44" s="98"/>
      <c r="Q44" s="102"/>
      <c r="R44" s="108"/>
      <c r="S44" s="231">
        <v>351.24</v>
      </c>
      <c r="T44" s="231">
        <v>1404.96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360</v>
      </c>
      <c r="C45" t="s">
        <v>393</v>
      </c>
      <c r="D45" s="227"/>
      <c r="E45" s="100"/>
      <c r="F45">
        <v>4</v>
      </c>
      <c r="G45" s="231">
        <v>200.89</v>
      </c>
      <c r="H45" s="231">
        <v>138.54</v>
      </c>
      <c r="I45" s="231">
        <v>803.56</v>
      </c>
      <c r="J45" s="228"/>
      <c r="K45">
        <v>4</v>
      </c>
      <c r="L45" s="231">
        <v>110.5</v>
      </c>
      <c r="M45" s="231">
        <v>442</v>
      </c>
      <c r="N45" s="232">
        <v>0.44990000000000002</v>
      </c>
      <c r="P45" s="98"/>
      <c r="Q45" s="102"/>
      <c r="R45" s="108"/>
      <c r="S45" s="231">
        <v>442</v>
      </c>
      <c r="T45" s="231">
        <v>1768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364</v>
      </c>
      <c r="C46" t="s">
        <v>423</v>
      </c>
      <c r="D46" s="227"/>
      <c r="E46" s="100"/>
      <c r="F46">
        <v>24</v>
      </c>
      <c r="G46" s="231">
        <v>2.42</v>
      </c>
      <c r="H46" s="231">
        <v>1.67</v>
      </c>
      <c r="I46" s="231">
        <v>58.08</v>
      </c>
      <c r="J46" s="228"/>
      <c r="K46">
        <v>24</v>
      </c>
      <c r="L46" s="231">
        <v>1.33</v>
      </c>
      <c r="M46" s="231">
        <v>31.92</v>
      </c>
      <c r="N46" s="232">
        <v>0.45040000000000002</v>
      </c>
      <c r="P46" s="98"/>
      <c r="Q46" s="102"/>
      <c r="R46" s="108"/>
      <c r="S46" s="231">
        <v>31.92</v>
      </c>
      <c r="T46" s="231">
        <v>766.08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366</v>
      </c>
      <c r="C47" t="s">
        <v>133</v>
      </c>
      <c r="D47" s="227"/>
      <c r="E47" s="100"/>
      <c r="F47">
        <v>28</v>
      </c>
      <c r="G47" s="231">
        <v>2.15</v>
      </c>
      <c r="H47" s="231">
        <v>1.48</v>
      </c>
      <c r="I47" s="231">
        <v>60.2</v>
      </c>
      <c r="J47" s="228"/>
      <c r="K47">
        <v>28</v>
      </c>
      <c r="L47" s="231">
        <v>1.19</v>
      </c>
      <c r="M47" s="231">
        <v>33.32</v>
      </c>
      <c r="N47" s="232">
        <v>0.44650000000000001</v>
      </c>
      <c r="P47" s="98"/>
      <c r="Q47" s="102"/>
      <c r="R47" s="108"/>
      <c r="S47" s="231">
        <v>33.32</v>
      </c>
      <c r="T47" s="231">
        <v>932.96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362</v>
      </c>
      <c r="C48" t="s">
        <v>363</v>
      </c>
      <c r="D48" s="227"/>
      <c r="E48" s="100"/>
      <c r="F48">
        <v>2</v>
      </c>
      <c r="G48" s="231">
        <v>113.29</v>
      </c>
      <c r="H48" s="231">
        <v>78.13</v>
      </c>
      <c r="I48" s="231">
        <v>226.58</v>
      </c>
      <c r="J48" s="228"/>
      <c r="K48">
        <v>2</v>
      </c>
      <c r="L48" s="231">
        <v>62.32</v>
      </c>
      <c r="M48" s="231">
        <v>124.64</v>
      </c>
      <c r="N48" s="232">
        <v>0.44990000000000002</v>
      </c>
      <c r="O48" s="232"/>
      <c r="P48" s="98"/>
      <c r="Q48" s="102"/>
      <c r="R48" s="108"/>
      <c r="S48" s="231">
        <v>124.64</v>
      </c>
      <c r="T48" s="231">
        <v>249.28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B49" t="s">
        <v>365</v>
      </c>
      <c r="C49" t="s">
        <v>423</v>
      </c>
      <c r="D49" s="87"/>
      <c r="E49" s="88"/>
      <c r="F49">
        <v>4</v>
      </c>
      <c r="G49" s="231">
        <v>4.12</v>
      </c>
      <c r="H49" s="231">
        <v>2.84</v>
      </c>
      <c r="I49" s="231">
        <v>16.48</v>
      </c>
      <c r="J49" s="105"/>
      <c r="K49">
        <v>4</v>
      </c>
      <c r="L49" s="231">
        <v>2.27</v>
      </c>
      <c r="M49" s="231">
        <v>9.08</v>
      </c>
      <c r="N49" s="232">
        <v>0.44900000000000001</v>
      </c>
      <c r="O49" s="232"/>
      <c r="P49" s="115"/>
      <c r="Q49" s="94"/>
      <c r="R49" s="94"/>
      <c r="S49" s="231">
        <v>9.08</v>
      </c>
      <c r="T49" s="231">
        <v>36.32</v>
      </c>
      <c r="U49" s="232">
        <v>0</v>
      </c>
      <c r="V49" s="232">
        <v>1</v>
      </c>
      <c r="W49" s="96"/>
      <c r="X49" s="97"/>
      <c r="Y49" s="8"/>
      <c r="Z49" s="8"/>
    </row>
    <row r="50" spans="2:26" ht="15.75" customHeight="1">
      <c r="B50" t="s">
        <v>357</v>
      </c>
      <c r="C50" t="s">
        <v>131</v>
      </c>
      <c r="D50" s="87"/>
      <c r="E50" s="100"/>
      <c r="F50">
        <v>8</v>
      </c>
      <c r="G50" s="231">
        <v>857.8</v>
      </c>
      <c r="H50" s="231">
        <v>591.59</v>
      </c>
      <c r="I50" s="231">
        <v>6862.4</v>
      </c>
      <c r="J50" s="105"/>
      <c r="K50">
        <v>8</v>
      </c>
      <c r="L50" s="231">
        <v>471.79</v>
      </c>
      <c r="M50" s="231">
        <v>3774.32</v>
      </c>
      <c r="N50" s="232">
        <v>0.45</v>
      </c>
      <c r="O50" s="232"/>
      <c r="P50" s="98"/>
      <c r="Q50" s="102"/>
      <c r="R50" s="108"/>
      <c r="S50" s="231">
        <v>3774.32</v>
      </c>
      <c r="T50" s="231">
        <v>30194.560000000001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B51" t="s">
        <v>424</v>
      </c>
      <c r="C51" t="s">
        <v>265</v>
      </c>
      <c r="D51" s="87"/>
      <c r="E51" s="88"/>
      <c r="F51">
        <v>8</v>
      </c>
      <c r="G51" s="231">
        <v>900.53</v>
      </c>
      <c r="H51" s="231">
        <v>621.05999999999995</v>
      </c>
      <c r="I51" s="231">
        <v>7204.24</v>
      </c>
      <c r="J51" s="105"/>
      <c r="K51">
        <v>8</v>
      </c>
      <c r="L51" s="231">
        <v>495.3</v>
      </c>
      <c r="M51" s="231">
        <v>3962.4</v>
      </c>
      <c r="N51" s="232">
        <v>0.45</v>
      </c>
      <c r="O51" s="232"/>
      <c r="P51" s="115"/>
      <c r="Q51" s="94"/>
      <c r="R51" s="94"/>
      <c r="S51" s="231">
        <v>3962.4</v>
      </c>
      <c r="T51" s="231">
        <v>31699.200000000001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t="s">
        <v>388</v>
      </c>
      <c r="C52" t="s">
        <v>147</v>
      </c>
      <c r="D52" s="87"/>
      <c r="E52" s="100"/>
      <c r="F52">
        <v>64</v>
      </c>
      <c r="G52" s="231">
        <v>8.73</v>
      </c>
      <c r="H52" s="231">
        <v>6.02</v>
      </c>
      <c r="I52" s="231">
        <v>558.72</v>
      </c>
      <c r="J52" s="105"/>
      <c r="K52">
        <v>64</v>
      </c>
      <c r="L52" s="231">
        <v>4.8099999999999996</v>
      </c>
      <c r="M52" s="231">
        <v>307.83999999999997</v>
      </c>
      <c r="N52" s="232">
        <v>0.44900000000000001</v>
      </c>
      <c r="O52" s="93"/>
      <c r="P52" s="98"/>
      <c r="Q52" s="102"/>
      <c r="R52" s="108"/>
      <c r="S52" s="231">
        <v>307.83999999999997</v>
      </c>
      <c r="T52" s="231">
        <v>19701.759999999998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t="s">
        <v>389</v>
      </c>
      <c r="C53" t="s">
        <v>133</v>
      </c>
      <c r="D53" s="87"/>
      <c r="E53" s="88"/>
      <c r="F53">
        <v>64</v>
      </c>
      <c r="G53" s="231">
        <v>2.4700000000000002</v>
      </c>
      <c r="H53" s="231">
        <v>1.7</v>
      </c>
      <c r="I53" s="231">
        <v>158.08000000000001</v>
      </c>
      <c r="J53" s="105"/>
      <c r="K53">
        <v>64</v>
      </c>
      <c r="L53" s="231">
        <v>1.36</v>
      </c>
      <c r="M53" s="231">
        <v>87.04</v>
      </c>
      <c r="N53" s="232">
        <v>0.44940000000000002</v>
      </c>
      <c r="O53" s="93"/>
      <c r="P53" s="115"/>
      <c r="Q53" s="94"/>
      <c r="R53" s="94"/>
      <c r="S53" s="231">
        <v>87.04</v>
      </c>
      <c r="T53" s="231">
        <v>5570.56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D54" s="87"/>
      <c r="E54" s="100"/>
      <c r="H54" t="s">
        <v>120</v>
      </c>
      <c r="I54" t="s">
        <v>120</v>
      </c>
      <c r="J54" s="105"/>
      <c r="K54">
        <v>0</v>
      </c>
      <c r="L54" t="s">
        <v>120</v>
      </c>
      <c r="M54" t="s">
        <v>120</v>
      </c>
      <c r="O54" s="93"/>
      <c r="P54" s="98"/>
      <c r="Q54" s="102"/>
      <c r="R54" s="108"/>
      <c r="S54" t="s">
        <v>120</v>
      </c>
      <c r="T54" t="s">
        <v>120</v>
      </c>
      <c r="U54" s="232">
        <v>0</v>
      </c>
      <c r="V54" s="232">
        <v>0</v>
      </c>
      <c r="W54" s="111"/>
      <c r="X54" s="97"/>
      <c r="Y54" s="8"/>
      <c r="Z54" s="8"/>
    </row>
    <row r="55" spans="2:26" ht="15.75" customHeight="1">
      <c r="B55" t="s">
        <v>240</v>
      </c>
      <c r="C55" t="s">
        <v>425</v>
      </c>
      <c r="D55" s="87"/>
      <c r="E55" s="88"/>
      <c r="F55">
        <v>2</v>
      </c>
      <c r="G55" s="231">
        <v>13503.77</v>
      </c>
      <c r="H55" s="231">
        <v>9312.94</v>
      </c>
      <c r="I55" s="231">
        <v>27007.54</v>
      </c>
      <c r="J55" s="105"/>
      <c r="K55">
        <v>2</v>
      </c>
      <c r="L55" s="231">
        <v>7427.08</v>
      </c>
      <c r="M55" s="231">
        <v>14854.16</v>
      </c>
      <c r="N55" s="232">
        <v>0.45</v>
      </c>
      <c r="O55" s="93"/>
      <c r="P55" s="115"/>
      <c r="Q55" s="94"/>
      <c r="R55" s="94"/>
      <c r="S55" s="231">
        <v>14854.16</v>
      </c>
      <c r="T55" s="231">
        <v>29708.32</v>
      </c>
      <c r="U55" s="232">
        <v>0</v>
      </c>
      <c r="V55" s="232">
        <v>1</v>
      </c>
      <c r="W55" s="96"/>
      <c r="X55" s="97"/>
      <c r="Y55" s="8"/>
      <c r="Z55" s="8"/>
    </row>
    <row r="56" spans="2:26" ht="15.75" customHeight="1">
      <c r="B56" t="s">
        <v>426</v>
      </c>
      <c r="C56" t="s">
        <v>427</v>
      </c>
      <c r="D56" s="87"/>
      <c r="E56" s="100"/>
      <c r="F56">
        <v>90</v>
      </c>
      <c r="G56" s="231">
        <v>197.96</v>
      </c>
      <c r="H56" s="231">
        <v>136.52000000000001</v>
      </c>
      <c r="I56" s="231">
        <v>17816.400000000001</v>
      </c>
      <c r="J56" s="105"/>
      <c r="K56">
        <v>90</v>
      </c>
      <c r="L56" s="231">
        <v>108.88</v>
      </c>
      <c r="M56" s="231">
        <v>9799.2000000000007</v>
      </c>
      <c r="N56" s="232">
        <v>0.45</v>
      </c>
      <c r="O56" s="93"/>
      <c r="P56" s="98"/>
      <c r="Q56" s="102"/>
      <c r="R56" s="108"/>
      <c r="S56" s="231">
        <v>9799.2000000000007</v>
      </c>
      <c r="T56" s="231">
        <v>881928</v>
      </c>
      <c r="U56" s="232">
        <v>0</v>
      </c>
      <c r="V56" s="232">
        <v>1</v>
      </c>
      <c r="W56" s="111"/>
      <c r="X56" s="97"/>
      <c r="Y56" s="8"/>
      <c r="Z56" s="116"/>
    </row>
    <row r="57" spans="2:26" ht="15.75" customHeight="1">
      <c r="B57" t="s">
        <v>428</v>
      </c>
      <c r="C57" t="s">
        <v>190</v>
      </c>
      <c r="D57" s="87"/>
      <c r="E57" s="88"/>
      <c r="F57">
        <v>2</v>
      </c>
      <c r="G57" s="231">
        <v>209.96</v>
      </c>
      <c r="H57" s="231">
        <v>144.80000000000001</v>
      </c>
      <c r="I57" s="231">
        <v>419.92</v>
      </c>
      <c r="J57" s="105"/>
      <c r="K57">
        <v>2</v>
      </c>
      <c r="L57" s="231">
        <v>115.48</v>
      </c>
      <c r="M57" s="231">
        <v>230.96</v>
      </c>
      <c r="N57" s="232">
        <v>0.45</v>
      </c>
      <c r="O57" s="93"/>
      <c r="P57" s="115"/>
      <c r="Q57" s="94"/>
      <c r="R57" s="94"/>
      <c r="S57" s="231">
        <v>230.96</v>
      </c>
      <c r="T57" s="231">
        <v>461.92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B58" t="s">
        <v>243</v>
      </c>
      <c r="C58" t="s">
        <v>135</v>
      </c>
      <c r="D58" s="87"/>
      <c r="E58" s="100"/>
      <c r="F58">
        <v>360</v>
      </c>
      <c r="G58" s="231">
        <v>5.38</v>
      </c>
      <c r="H58" s="231">
        <v>3.71</v>
      </c>
      <c r="I58" s="231">
        <v>1936.8</v>
      </c>
      <c r="J58" s="105"/>
      <c r="K58">
        <v>360</v>
      </c>
      <c r="L58" s="231">
        <v>2.96</v>
      </c>
      <c r="M58" s="231">
        <v>1065.5999999999999</v>
      </c>
      <c r="N58" s="232">
        <v>0.44979999999999998</v>
      </c>
      <c r="O58" s="93"/>
      <c r="P58" s="98"/>
      <c r="Q58" s="102"/>
      <c r="R58" s="108"/>
      <c r="S58" s="231">
        <v>1065.5999999999999</v>
      </c>
      <c r="T58" s="231">
        <v>383616</v>
      </c>
      <c r="U58" s="232">
        <v>0</v>
      </c>
      <c r="V58" s="232">
        <v>1</v>
      </c>
      <c r="W58" s="111"/>
      <c r="X58" s="97"/>
      <c r="Y58" s="8"/>
      <c r="Z58" s="8"/>
    </row>
    <row r="59" spans="2:26" ht="15.75" customHeight="1">
      <c r="B59" t="s">
        <v>327</v>
      </c>
      <c r="C59" t="s">
        <v>142</v>
      </c>
      <c r="D59" s="87"/>
      <c r="E59" s="88"/>
      <c r="F59">
        <v>360</v>
      </c>
      <c r="G59" s="231">
        <v>2.94</v>
      </c>
      <c r="H59" s="231">
        <v>2.0299999999999998</v>
      </c>
      <c r="I59" s="231">
        <v>1058.4000000000001</v>
      </c>
      <c r="J59" s="105"/>
      <c r="K59">
        <v>360</v>
      </c>
      <c r="L59" s="231">
        <v>1.62</v>
      </c>
      <c r="M59" s="231">
        <v>583.20000000000005</v>
      </c>
      <c r="N59" s="232">
        <v>0.44900000000000001</v>
      </c>
      <c r="O59" s="93"/>
      <c r="P59" s="115"/>
      <c r="Q59" s="94"/>
      <c r="R59" s="94"/>
      <c r="S59" s="231">
        <v>583.20000000000005</v>
      </c>
      <c r="T59" s="231">
        <v>209952</v>
      </c>
      <c r="U59" s="232">
        <v>0</v>
      </c>
      <c r="V59" s="232">
        <v>1</v>
      </c>
      <c r="W59" s="96"/>
      <c r="X59" s="97"/>
      <c r="Y59" s="8"/>
      <c r="Z59" s="8"/>
    </row>
    <row r="60" spans="2:26" ht="15.75" customHeight="1">
      <c r="B60" t="s">
        <v>244</v>
      </c>
      <c r="C60" t="s">
        <v>245</v>
      </c>
      <c r="D60" s="87"/>
      <c r="E60" s="100"/>
      <c r="F60">
        <v>4</v>
      </c>
      <c r="G60" s="231">
        <v>6.66</v>
      </c>
      <c r="H60" s="231">
        <v>4.59</v>
      </c>
      <c r="I60" s="231">
        <v>26.64</v>
      </c>
      <c r="J60" s="105"/>
      <c r="K60">
        <v>4</v>
      </c>
      <c r="L60" s="231">
        <v>3.66</v>
      </c>
      <c r="M60" s="231">
        <v>14.64</v>
      </c>
      <c r="N60" s="232">
        <v>0.45050000000000001</v>
      </c>
      <c r="O60" s="93"/>
      <c r="P60" s="98"/>
      <c r="Q60" s="102"/>
      <c r="R60" s="108"/>
      <c r="S60" s="231">
        <v>14.64</v>
      </c>
      <c r="T60" s="231">
        <v>58.56</v>
      </c>
      <c r="U60" s="232">
        <v>0</v>
      </c>
      <c r="V60" s="232">
        <v>1</v>
      </c>
      <c r="W60" s="111"/>
      <c r="X60" s="97"/>
      <c r="Y60" s="8"/>
      <c r="Z60" s="8"/>
    </row>
    <row r="61" spans="2:26" ht="15.75" customHeight="1">
      <c r="B61" t="s">
        <v>246</v>
      </c>
      <c r="C61" t="s">
        <v>245</v>
      </c>
      <c r="D61" s="87"/>
      <c r="E61" s="88"/>
      <c r="F61">
        <v>4</v>
      </c>
      <c r="G61" s="231">
        <v>9.23</v>
      </c>
      <c r="H61" s="231">
        <v>6.37</v>
      </c>
      <c r="I61" s="231">
        <v>36.92</v>
      </c>
      <c r="J61" s="105"/>
      <c r="K61">
        <v>4</v>
      </c>
      <c r="L61" s="231">
        <v>5.08</v>
      </c>
      <c r="M61" s="231">
        <v>20.32</v>
      </c>
      <c r="N61" s="232">
        <v>0.4496</v>
      </c>
      <c r="O61" s="93"/>
      <c r="P61" s="115"/>
      <c r="Q61" s="94"/>
      <c r="R61" s="94"/>
      <c r="S61" s="231">
        <v>20.32</v>
      </c>
      <c r="T61" s="231">
        <v>81.28</v>
      </c>
      <c r="U61" s="232">
        <v>0</v>
      </c>
      <c r="V61" s="232">
        <v>1</v>
      </c>
      <c r="W61" s="96"/>
    </row>
    <row r="62" spans="2:26" ht="15.75" customHeight="1">
      <c r="D62" s="87"/>
      <c r="E62" s="100"/>
      <c r="H62" t="s">
        <v>120</v>
      </c>
      <c r="I62" t="s">
        <v>120</v>
      </c>
      <c r="J62" s="105"/>
      <c r="K62">
        <v>0</v>
      </c>
      <c r="L62" t="s">
        <v>120</v>
      </c>
      <c r="M62" t="s">
        <v>120</v>
      </c>
      <c r="O62" s="93"/>
      <c r="P62" s="98"/>
      <c r="Q62" s="102"/>
      <c r="R62" s="108"/>
      <c r="S62" t="s">
        <v>120</v>
      </c>
      <c r="T62" t="s">
        <v>120</v>
      </c>
      <c r="U62" s="232">
        <v>0</v>
      </c>
      <c r="V62" s="232">
        <v>0</v>
      </c>
      <c r="W62" s="111"/>
    </row>
    <row r="63" spans="2:26" ht="15.75" customHeight="1">
      <c r="B63" t="s">
        <v>369</v>
      </c>
      <c r="C63" t="s">
        <v>196</v>
      </c>
      <c r="D63" s="87"/>
      <c r="E63" s="88"/>
      <c r="F63">
        <v>2</v>
      </c>
      <c r="G63" s="231">
        <v>435.33</v>
      </c>
      <c r="H63" s="231">
        <v>300.23</v>
      </c>
      <c r="I63" s="231">
        <v>870.66</v>
      </c>
      <c r="J63" s="105"/>
      <c r="K63">
        <v>2</v>
      </c>
      <c r="L63" s="231">
        <v>239.44</v>
      </c>
      <c r="M63" s="231">
        <v>478.88</v>
      </c>
      <c r="N63" s="232">
        <v>0.45</v>
      </c>
      <c r="O63" s="93"/>
      <c r="P63" s="115"/>
      <c r="Q63" s="94"/>
      <c r="R63" s="94"/>
      <c r="S63" s="231">
        <v>478.88</v>
      </c>
      <c r="T63" s="231">
        <v>957.76</v>
      </c>
      <c r="U63" s="232">
        <v>0</v>
      </c>
      <c r="V63" s="232">
        <v>1</v>
      </c>
      <c r="W63" s="96"/>
    </row>
    <row r="64" spans="2:26" ht="15.75" customHeight="1">
      <c r="B64" s="233" t="s">
        <v>370</v>
      </c>
      <c r="C64" t="s">
        <v>280</v>
      </c>
      <c r="D64" s="87"/>
      <c r="E64" s="100"/>
      <c r="F64">
        <v>1</v>
      </c>
      <c r="G64" s="231">
        <v>160.9</v>
      </c>
      <c r="H64" s="231">
        <v>110.97</v>
      </c>
      <c r="I64" s="231">
        <v>160.9</v>
      </c>
      <c r="J64" s="105"/>
      <c r="K64">
        <v>1</v>
      </c>
      <c r="L64" s="231">
        <v>88.5</v>
      </c>
      <c r="M64" s="231">
        <v>88.5</v>
      </c>
      <c r="N64" s="232">
        <v>0.45</v>
      </c>
      <c r="O64" s="93"/>
      <c r="P64" s="98"/>
      <c r="Q64" s="102"/>
      <c r="R64" s="108"/>
      <c r="S64" s="231">
        <v>88.5</v>
      </c>
      <c r="T64" s="231">
        <v>88.5</v>
      </c>
      <c r="U64" s="232">
        <v>0</v>
      </c>
      <c r="V64" s="232">
        <v>1</v>
      </c>
      <c r="W64" s="111"/>
    </row>
    <row r="65" spans="2:23" ht="15.75" customHeight="1">
      <c r="B65" s="233" t="s">
        <v>371</v>
      </c>
      <c r="C65" t="s">
        <v>282</v>
      </c>
      <c r="D65" s="87"/>
      <c r="E65" s="88"/>
      <c r="F65">
        <v>1</v>
      </c>
      <c r="G65" s="231">
        <v>160.9</v>
      </c>
      <c r="H65" s="231">
        <v>110.97</v>
      </c>
      <c r="I65" s="231">
        <v>160.9</v>
      </c>
      <c r="J65" s="105"/>
      <c r="K65">
        <v>1</v>
      </c>
      <c r="L65" s="231">
        <v>88.5</v>
      </c>
      <c r="M65" s="231">
        <v>88.5</v>
      </c>
      <c r="N65" s="232">
        <v>0.45</v>
      </c>
      <c r="O65" s="93"/>
      <c r="P65" s="115"/>
      <c r="Q65" s="94"/>
      <c r="R65" s="94"/>
      <c r="S65" s="231">
        <v>88.5</v>
      </c>
      <c r="T65" s="231">
        <v>88.5</v>
      </c>
      <c r="U65" s="232">
        <v>0</v>
      </c>
      <c r="V65" s="232">
        <v>1</v>
      </c>
      <c r="W65" s="96"/>
    </row>
    <row r="66" spans="2:23" ht="15.75" customHeight="1">
      <c r="B66" t="s">
        <v>283</v>
      </c>
      <c r="C66" t="s">
        <v>284</v>
      </c>
      <c r="D66" s="87"/>
      <c r="E66" s="100"/>
      <c r="F66">
        <v>28</v>
      </c>
      <c r="G66" s="231">
        <v>4.51</v>
      </c>
      <c r="H66" s="231">
        <v>3.11</v>
      </c>
      <c r="I66" s="231">
        <v>126.28</v>
      </c>
      <c r="J66" s="105"/>
      <c r="K66">
        <v>28</v>
      </c>
      <c r="L66" s="231">
        <v>2.4900000000000002</v>
      </c>
      <c r="M66" s="231">
        <v>69.72</v>
      </c>
      <c r="N66" s="232">
        <v>0.44790000000000002</v>
      </c>
      <c r="O66" s="93"/>
      <c r="P66" s="98"/>
      <c r="Q66" s="102"/>
      <c r="R66" s="108"/>
      <c r="S66" s="231">
        <v>69.72</v>
      </c>
      <c r="T66" s="231">
        <v>1952.16</v>
      </c>
      <c r="U66" s="232">
        <v>0</v>
      </c>
      <c r="V66" s="232">
        <v>1</v>
      </c>
      <c r="W66" s="111"/>
    </row>
    <row r="67" spans="2:23" ht="15.75" customHeight="1">
      <c r="B67" t="s">
        <v>285</v>
      </c>
      <c r="C67" t="s">
        <v>133</v>
      </c>
      <c r="D67" s="87"/>
      <c r="E67" s="88"/>
      <c r="F67">
        <v>28</v>
      </c>
      <c r="G67" s="231">
        <v>3.56</v>
      </c>
      <c r="H67" s="231">
        <v>2.46</v>
      </c>
      <c r="I67" s="231">
        <v>99.68</v>
      </c>
      <c r="J67" s="105"/>
      <c r="K67">
        <v>28</v>
      </c>
      <c r="L67" s="231">
        <v>1.96</v>
      </c>
      <c r="M67" s="231">
        <v>54.88</v>
      </c>
      <c r="N67" s="232">
        <v>0.44940000000000002</v>
      </c>
      <c r="O67" s="93"/>
      <c r="P67" s="115"/>
      <c r="Q67" s="94"/>
      <c r="R67" s="94"/>
      <c r="S67" s="231">
        <v>54.88</v>
      </c>
      <c r="T67" s="231">
        <v>1536.64</v>
      </c>
      <c r="U67" s="232">
        <v>0</v>
      </c>
      <c r="V67" s="232">
        <v>1</v>
      </c>
      <c r="W67" s="111"/>
    </row>
    <row r="68" spans="2:23" ht="15.75" customHeight="1">
      <c r="B68" t="s">
        <v>286</v>
      </c>
      <c r="C68" t="s">
        <v>314</v>
      </c>
      <c r="D68" s="87"/>
      <c r="E68" s="100"/>
      <c r="F68">
        <v>28</v>
      </c>
      <c r="G68" s="231">
        <v>3.65</v>
      </c>
      <c r="H68" s="231">
        <v>2.52</v>
      </c>
      <c r="I68" s="231">
        <v>102.2</v>
      </c>
      <c r="J68" s="105"/>
      <c r="K68">
        <v>28</v>
      </c>
      <c r="L68" s="231">
        <v>2.0099999999999998</v>
      </c>
      <c r="M68" s="231">
        <v>56.28</v>
      </c>
      <c r="N68" s="232">
        <v>0.44929999999999998</v>
      </c>
      <c r="O68" s="93"/>
      <c r="P68" s="98"/>
      <c r="Q68" s="102"/>
      <c r="R68" s="108"/>
      <c r="S68" s="231">
        <v>56.28</v>
      </c>
      <c r="T68" s="231">
        <v>1575.84</v>
      </c>
      <c r="U68" s="232">
        <v>0</v>
      </c>
      <c r="V68" s="232">
        <v>1</v>
      </c>
      <c r="W68" s="111"/>
    </row>
    <row r="69" spans="2:23" ht="15.75" customHeight="1">
      <c r="D69" s="87"/>
      <c r="E69" s="88"/>
      <c r="H69" t="s">
        <v>120</v>
      </c>
      <c r="I69" t="s">
        <v>120</v>
      </c>
      <c r="J69" s="105"/>
      <c r="K69">
        <v>0</v>
      </c>
      <c r="L69" t="s">
        <v>120</v>
      </c>
      <c r="M69" t="s">
        <v>120</v>
      </c>
      <c r="O69" s="93"/>
      <c r="P69" s="115"/>
      <c r="Q69" s="94"/>
      <c r="R69" s="94"/>
      <c r="S69" t="s">
        <v>120</v>
      </c>
      <c r="T69" t="s">
        <v>120</v>
      </c>
      <c r="U69" s="232">
        <v>0</v>
      </c>
      <c r="V69" s="232">
        <v>0</v>
      </c>
      <c r="W69" s="111"/>
    </row>
    <row r="70" spans="2:23" ht="15.75" customHeight="1">
      <c r="B70" t="s">
        <v>402</v>
      </c>
      <c r="C70" t="s">
        <v>206</v>
      </c>
      <c r="D70" s="87"/>
      <c r="E70" s="100"/>
      <c r="F70">
        <v>3</v>
      </c>
      <c r="G70" s="231">
        <v>2053.06</v>
      </c>
      <c r="H70" s="231">
        <v>1415.9</v>
      </c>
      <c r="I70" s="231">
        <v>6159.18</v>
      </c>
      <c r="J70" s="105"/>
      <c r="K70">
        <v>3</v>
      </c>
      <c r="L70" s="231">
        <v>1129.18</v>
      </c>
      <c r="M70" s="231">
        <v>3387.54</v>
      </c>
      <c r="N70" s="232">
        <v>0.45</v>
      </c>
      <c r="O70" s="93"/>
      <c r="P70" s="98"/>
      <c r="Q70" s="102"/>
      <c r="R70" s="108"/>
      <c r="S70" s="231">
        <v>3387.54</v>
      </c>
      <c r="T70" s="231">
        <v>10162.620000000001</v>
      </c>
      <c r="U70" s="232">
        <v>0</v>
      </c>
      <c r="V70" s="232">
        <v>1</v>
      </c>
      <c r="W70" s="111"/>
    </row>
    <row r="71" spans="2:23" ht="15.75" customHeight="1">
      <c r="B71" t="s">
        <v>403</v>
      </c>
      <c r="C71" t="s">
        <v>404</v>
      </c>
      <c r="D71" s="87"/>
      <c r="E71" s="88"/>
      <c r="F71">
        <v>3</v>
      </c>
      <c r="G71" s="231">
        <v>224.12</v>
      </c>
      <c r="H71" s="231">
        <v>154.57</v>
      </c>
      <c r="I71" s="231">
        <v>672.36</v>
      </c>
      <c r="J71" s="105"/>
      <c r="K71">
        <v>3</v>
      </c>
      <c r="L71" s="231">
        <v>123.27</v>
      </c>
      <c r="M71" s="231">
        <v>369.81</v>
      </c>
      <c r="N71" s="232">
        <v>0.45</v>
      </c>
      <c r="O71" s="93"/>
      <c r="P71" s="115"/>
      <c r="Q71" s="94"/>
      <c r="R71" s="94"/>
      <c r="S71" s="231">
        <v>369.81</v>
      </c>
      <c r="T71" s="231">
        <v>1109.43</v>
      </c>
      <c r="U71" s="232">
        <v>0</v>
      </c>
      <c r="V71" s="232">
        <v>1</v>
      </c>
      <c r="W71" s="111"/>
    </row>
    <row r="72" spans="2:23" ht="15.75" customHeight="1">
      <c r="B72" t="s">
        <v>405</v>
      </c>
      <c r="C72" t="s">
        <v>290</v>
      </c>
      <c r="D72" s="87"/>
      <c r="E72" s="100"/>
      <c r="F72">
        <v>3</v>
      </c>
      <c r="G72" s="231">
        <v>164.9</v>
      </c>
      <c r="H72" s="231">
        <v>113.72</v>
      </c>
      <c r="I72" s="231">
        <v>494.7</v>
      </c>
      <c r="J72" s="105"/>
      <c r="K72">
        <v>3</v>
      </c>
      <c r="L72" s="231">
        <v>90.7</v>
      </c>
      <c r="M72" s="231">
        <v>272.10000000000002</v>
      </c>
      <c r="N72" s="232">
        <v>0.45</v>
      </c>
      <c r="O72" s="93"/>
      <c r="P72" s="98"/>
      <c r="Q72" s="102"/>
      <c r="R72" s="108"/>
      <c r="S72" s="231">
        <v>272.10000000000002</v>
      </c>
      <c r="T72" s="231">
        <v>816.3</v>
      </c>
      <c r="U72" s="232">
        <v>0</v>
      </c>
      <c r="V72" s="232">
        <v>1</v>
      </c>
      <c r="W72" s="111"/>
    </row>
    <row r="73" spans="2:23" ht="15.75" customHeight="1">
      <c r="B73" t="s">
        <v>406</v>
      </c>
      <c r="C73" t="s">
        <v>290</v>
      </c>
      <c r="D73" s="87"/>
      <c r="E73" s="88"/>
      <c r="F73">
        <v>3</v>
      </c>
      <c r="G73" s="231">
        <v>12.96</v>
      </c>
      <c r="H73" s="231">
        <v>8.94</v>
      </c>
      <c r="I73" s="231">
        <v>38.880000000000003</v>
      </c>
      <c r="J73" s="105"/>
      <c r="K73">
        <v>3</v>
      </c>
      <c r="L73" s="231">
        <v>7.13</v>
      </c>
      <c r="M73" s="231">
        <v>21.39</v>
      </c>
      <c r="N73" s="232">
        <v>0.44979999999999998</v>
      </c>
      <c r="O73" s="93"/>
      <c r="P73" s="115"/>
      <c r="Q73" s="94"/>
      <c r="R73" s="94"/>
      <c r="S73" s="231">
        <v>21.39</v>
      </c>
      <c r="T73" s="231">
        <v>64.17</v>
      </c>
      <c r="U73" s="232">
        <v>0</v>
      </c>
      <c r="V73" s="232">
        <v>1</v>
      </c>
      <c r="W73" s="111"/>
    </row>
    <row r="74" spans="2:23" ht="15.75" customHeight="1">
      <c r="B74" t="s">
        <v>291</v>
      </c>
      <c r="C74" t="s">
        <v>429</v>
      </c>
      <c r="D74" s="87"/>
      <c r="E74" s="100"/>
      <c r="F74">
        <v>3</v>
      </c>
      <c r="G74" s="231">
        <v>22.39</v>
      </c>
      <c r="H74" s="231">
        <v>15.44</v>
      </c>
      <c r="I74" s="231">
        <v>67.17</v>
      </c>
      <c r="J74" s="105"/>
      <c r="K74">
        <v>3</v>
      </c>
      <c r="L74" s="231">
        <v>12.32</v>
      </c>
      <c r="M74" s="231">
        <v>36.96</v>
      </c>
      <c r="N74" s="232">
        <v>0.44979999999999998</v>
      </c>
      <c r="O74" s="93"/>
      <c r="P74" s="98"/>
      <c r="Q74" s="102"/>
      <c r="R74" s="108"/>
      <c r="S74" s="231">
        <v>36.96</v>
      </c>
      <c r="T74" s="231">
        <v>110.88</v>
      </c>
      <c r="U74" s="232">
        <v>0</v>
      </c>
      <c r="V74" s="232">
        <v>1</v>
      </c>
      <c r="W74" s="111"/>
    </row>
    <row r="75" spans="2:23" ht="15.75" customHeight="1">
      <c r="B75" t="s">
        <v>408</v>
      </c>
      <c r="C75" t="s">
        <v>210</v>
      </c>
      <c r="D75" s="87"/>
      <c r="E75" s="88"/>
      <c r="F75">
        <v>6</v>
      </c>
      <c r="G75" s="231">
        <v>7.67</v>
      </c>
      <c r="H75" s="231">
        <v>5.29</v>
      </c>
      <c r="I75" s="231">
        <v>46.02</v>
      </c>
      <c r="J75" s="105"/>
      <c r="K75">
        <v>6</v>
      </c>
      <c r="L75" s="231">
        <v>4.22</v>
      </c>
      <c r="M75" s="231">
        <v>25.32</v>
      </c>
      <c r="N75" s="232">
        <v>0.44979999999999998</v>
      </c>
      <c r="O75" s="93"/>
      <c r="P75" s="115"/>
      <c r="Q75" s="94"/>
      <c r="R75" s="94"/>
      <c r="S75" s="231">
        <v>25.32</v>
      </c>
      <c r="T75" s="231">
        <v>151.91999999999999</v>
      </c>
      <c r="U75" s="232">
        <v>0</v>
      </c>
      <c r="V75" s="232">
        <v>1</v>
      </c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1372</v>
      </c>
      <c r="G78" s="121">
        <f t="shared" si="0"/>
        <v>29556.840000000004</v>
      </c>
      <c r="H78" s="122">
        <f t="shared" si="0"/>
        <v>20384.03</v>
      </c>
      <c r="I78" s="123">
        <f t="shared" si="0"/>
        <v>103215.44</v>
      </c>
      <c r="J78" s="124"/>
      <c r="K78" s="125">
        <f t="shared" ref="K78:M78" si="1">SUM(K19:K77)</f>
        <v>1372</v>
      </c>
      <c r="L78" s="122">
        <f t="shared" si="1"/>
        <v>16276.329999999998</v>
      </c>
      <c r="M78" s="123">
        <f t="shared" si="1"/>
        <v>57905.669999999976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57905.669999999976</v>
      </c>
      <c r="T78" s="123">
        <f t="shared" si="2"/>
        <v>1707899.3299999998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E19:E77" xr:uid="{74BFEF60-C064-4B68-A438-8B5C923384A8}">
      <formula1>$Z$19:$Z$58</formula1>
    </dataValidation>
    <dataValidation type="list" allowBlank="1" showErrorMessage="1" sqref="I14" xr:uid="{D13C4FD7-9DFE-4762-9FCF-11D19805B415}">
      <formula1>$Y$14:$Y$15</formula1>
    </dataValidation>
    <dataValidation type="list" allowBlank="1" showErrorMessage="1" sqref="J14" xr:uid="{1BA7591A-47F8-40FB-8740-BBAE82C6307D}">
      <formula1>$L$9</formula1>
    </dataValidation>
    <dataValidation type="list" allowBlank="1" showErrorMessage="1" sqref="Q15 G18 L18 Q18" xr:uid="{E189D02C-AC51-4CA3-A658-26D2B99A5A2C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5E44-627E-47E6-872D-889221C80B56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S19" sqref="S19:V6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430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114230.01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2018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63818.629999999976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50411.380000000019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431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0.4413146772901449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432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1126485.0499999998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433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63818.629999999976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220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944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149</v>
      </c>
      <c r="C19" t="s">
        <v>109</v>
      </c>
      <c r="D19" s="87"/>
      <c r="E19" s="88"/>
      <c r="F19">
        <v>1</v>
      </c>
      <c r="G19" s="231">
        <v>82.08</v>
      </c>
      <c r="H19" s="231">
        <v>56.61</v>
      </c>
      <c r="I19" s="231">
        <v>82.08</v>
      </c>
      <c r="J19" s="92"/>
      <c r="K19">
        <v>1</v>
      </c>
      <c r="L19" s="231">
        <v>41.04</v>
      </c>
      <c r="M19" s="231">
        <v>41.04</v>
      </c>
      <c r="N19" s="232">
        <v>0.5</v>
      </c>
      <c r="O19" s="232"/>
      <c r="P19" s="86"/>
      <c r="Q19" s="94"/>
      <c r="R19" s="94"/>
      <c r="S19" s="231">
        <v>41.04</v>
      </c>
      <c r="T19" s="231">
        <v>41.04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151</v>
      </c>
      <c r="C20" t="s">
        <v>123</v>
      </c>
      <c r="D20" s="87"/>
      <c r="E20" s="100"/>
      <c r="F20">
        <v>1</v>
      </c>
      <c r="G20" s="231">
        <v>104.86</v>
      </c>
      <c r="H20" s="231">
        <v>72.319999999999993</v>
      </c>
      <c r="I20" s="231">
        <v>104.86</v>
      </c>
      <c r="J20" s="105"/>
      <c r="K20">
        <v>1</v>
      </c>
      <c r="L20" s="231">
        <v>52.43</v>
      </c>
      <c r="M20" s="231">
        <v>52.43</v>
      </c>
      <c r="N20" s="232">
        <v>0.5</v>
      </c>
      <c r="O20" s="232"/>
      <c r="P20" s="98"/>
      <c r="Q20" s="102"/>
      <c r="R20" s="108"/>
      <c r="S20" s="231">
        <v>52.43</v>
      </c>
      <c r="T20" s="231">
        <v>52.43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150</v>
      </c>
      <c r="C21" t="s">
        <v>223</v>
      </c>
      <c r="D21" s="227"/>
      <c r="E21" s="100"/>
      <c r="F21">
        <v>2</v>
      </c>
      <c r="G21" s="231">
        <v>51.52</v>
      </c>
      <c r="H21" s="231">
        <v>35.53</v>
      </c>
      <c r="I21" s="231">
        <v>103.04</v>
      </c>
      <c r="J21" s="228"/>
      <c r="K21">
        <v>2</v>
      </c>
      <c r="L21" s="231">
        <v>25.76</v>
      </c>
      <c r="M21" s="231">
        <v>51.52</v>
      </c>
      <c r="N21" s="232">
        <v>0.5</v>
      </c>
      <c r="O21" s="232"/>
      <c r="P21" s="98"/>
      <c r="Q21" s="102"/>
      <c r="R21" s="108"/>
      <c r="S21" s="231">
        <v>51.52</v>
      </c>
      <c r="T21" s="231">
        <v>103.04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307</v>
      </c>
      <c r="C22" t="s">
        <v>144</v>
      </c>
      <c r="D22" s="227"/>
      <c r="E22" s="100"/>
      <c r="F22">
        <v>1</v>
      </c>
      <c r="G22" s="231">
        <v>171.55</v>
      </c>
      <c r="H22" s="231">
        <v>118.31</v>
      </c>
      <c r="I22" s="231">
        <v>171.55</v>
      </c>
      <c r="J22" s="228"/>
      <c r="K22">
        <v>1</v>
      </c>
      <c r="L22" s="231">
        <v>85.78</v>
      </c>
      <c r="M22" s="231">
        <v>85.78</v>
      </c>
      <c r="N22" s="232">
        <v>0.5</v>
      </c>
      <c r="O22" s="232"/>
      <c r="P22" s="98"/>
      <c r="Q22" s="102"/>
      <c r="R22" s="108"/>
      <c r="S22" s="231">
        <v>85.78</v>
      </c>
      <c r="T22" s="231">
        <v>85.78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308</v>
      </c>
      <c r="C23" t="s">
        <v>110</v>
      </c>
      <c r="D23" s="227"/>
      <c r="E23" s="100"/>
      <c r="F23">
        <v>1</v>
      </c>
      <c r="G23" s="231">
        <v>259.82</v>
      </c>
      <c r="H23" s="231">
        <v>179.19</v>
      </c>
      <c r="I23" s="231">
        <v>259.82</v>
      </c>
      <c r="J23" s="228"/>
      <c r="K23">
        <v>1</v>
      </c>
      <c r="L23" s="231">
        <v>168.88</v>
      </c>
      <c r="M23" s="231">
        <v>168.88</v>
      </c>
      <c r="N23" s="232">
        <v>0.35</v>
      </c>
      <c r="O23" s="232"/>
      <c r="P23" s="98"/>
      <c r="Q23" s="102"/>
      <c r="R23" s="108"/>
      <c r="S23" s="231">
        <v>168.88</v>
      </c>
      <c r="T23" s="231">
        <v>168.88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309</v>
      </c>
      <c r="C24" t="s">
        <v>138</v>
      </c>
      <c r="D24" s="227"/>
      <c r="E24" s="100"/>
      <c r="F24">
        <v>1</v>
      </c>
      <c r="G24" s="231">
        <v>109.02</v>
      </c>
      <c r="H24" s="231">
        <v>75.19</v>
      </c>
      <c r="I24" s="231">
        <v>109.02</v>
      </c>
      <c r="J24" s="228"/>
      <c r="K24">
        <v>1</v>
      </c>
      <c r="L24" s="231">
        <v>70.86</v>
      </c>
      <c r="M24" s="231">
        <v>70.86</v>
      </c>
      <c r="N24" s="232">
        <v>0.35</v>
      </c>
      <c r="O24" s="232"/>
      <c r="P24" s="98"/>
      <c r="Q24" s="102"/>
      <c r="R24" s="108"/>
      <c r="S24" s="231">
        <v>70.86</v>
      </c>
      <c r="T24" s="231">
        <v>70.86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434</v>
      </c>
      <c r="C25" t="s">
        <v>112</v>
      </c>
      <c r="D25" s="227"/>
      <c r="E25" s="100"/>
      <c r="F25">
        <v>1</v>
      </c>
      <c r="G25" s="231">
        <v>43.37</v>
      </c>
      <c r="H25" s="231">
        <v>29.91</v>
      </c>
      <c r="I25" s="231">
        <v>43.37</v>
      </c>
      <c r="J25" s="228"/>
      <c r="K25">
        <v>1</v>
      </c>
      <c r="L25" s="231">
        <v>28.2</v>
      </c>
      <c r="M25" s="231">
        <v>28.2</v>
      </c>
      <c r="N25" s="232">
        <v>0.3498</v>
      </c>
      <c r="O25" s="232"/>
      <c r="P25" s="98"/>
      <c r="Q25" s="102"/>
      <c r="R25" s="108"/>
      <c r="S25" s="231">
        <v>28.2</v>
      </c>
      <c r="T25" s="231">
        <v>28.2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152</v>
      </c>
      <c r="C26" t="s">
        <v>126</v>
      </c>
      <c r="D26" s="227"/>
      <c r="E26" s="100"/>
      <c r="F26">
        <v>6</v>
      </c>
      <c r="G26" s="231">
        <v>1474.09</v>
      </c>
      <c r="H26" s="231">
        <v>1016.61</v>
      </c>
      <c r="I26" s="231">
        <v>8844.5400000000009</v>
      </c>
      <c r="J26" s="228"/>
      <c r="K26">
        <v>6</v>
      </c>
      <c r="L26" s="231">
        <v>1031.8699999999999</v>
      </c>
      <c r="M26" s="231">
        <v>6191.22</v>
      </c>
      <c r="N26" s="232">
        <v>0.3</v>
      </c>
      <c r="O26" s="232"/>
      <c r="P26" s="98"/>
      <c r="Q26" s="102"/>
      <c r="R26" s="108"/>
      <c r="S26" s="231">
        <v>6191.22</v>
      </c>
      <c r="T26" s="231">
        <v>37147.32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435</v>
      </c>
      <c r="C27" t="s">
        <v>127</v>
      </c>
      <c r="D27" s="227"/>
      <c r="E27" s="100"/>
      <c r="F27">
        <v>1</v>
      </c>
      <c r="G27" s="231">
        <v>7083.49</v>
      </c>
      <c r="H27" s="231">
        <v>4885.17</v>
      </c>
      <c r="I27" s="231">
        <v>7083.49</v>
      </c>
      <c r="J27" s="228"/>
      <c r="K27">
        <v>1</v>
      </c>
      <c r="L27" s="231">
        <v>3541.75</v>
      </c>
      <c r="M27" s="231">
        <v>3541.75</v>
      </c>
      <c r="N27" s="232">
        <v>0.5</v>
      </c>
      <c r="O27" s="232"/>
      <c r="P27" s="98"/>
      <c r="Q27" s="102"/>
      <c r="R27" s="108"/>
      <c r="S27" s="231">
        <v>3541.75</v>
      </c>
      <c r="T27" s="231">
        <v>3541.75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D28" s="227"/>
      <c r="E28" s="100"/>
      <c r="H28" t="s">
        <v>120</v>
      </c>
      <c r="I28" t="s">
        <v>120</v>
      </c>
      <c r="J28" s="228"/>
      <c r="K28">
        <v>0</v>
      </c>
      <c r="L28" t="s">
        <v>120</v>
      </c>
      <c r="M28" t="s">
        <v>120</v>
      </c>
      <c r="P28" s="98"/>
      <c r="Q28" s="102"/>
      <c r="R28" s="108"/>
      <c r="S28" t="s">
        <v>120</v>
      </c>
      <c r="T28" t="s">
        <v>120</v>
      </c>
      <c r="U28" s="232">
        <v>0</v>
      </c>
      <c r="V28" s="232">
        <v>0</v>
      </c>
      <c r="W28" s="229"/>
      <c r="X28" s="230"/>
      <c r="Y28" s="8"/>
      <c r="Z28" s="8"/>
    </row>
    <row r="29" spans="2:26">
      <c r="B29" t="s">
        <v>436</v>
      </c>
      <c r="C29" t="s">
        <v>173</v>
      </c>
      <c r="D29" s="227"/>
      <c r="E29" s="100"/>
      <c r="F29">
        <v>10</v>
      </c>
      <c r="G29" s="231">
        <v>292.60000000000002</v>
      </c>
      <c r="H29" s="231">
        <v>201.79</v>
      </c>
      <c r="I29" s="231">
        <v>2926</v>
      </c>
      <c r="J29" s="228"/>
      <c r="K29">
        <v>10</v>
      </c>
      <c r="L29" s="231">
        <v>160.93</v>
      </c>
      <c r="M29" s="231">
        <v>1609.3</v>
      </c>
      <c r="N29" s="232">
        <v>0.45</v>
      </c>
      <c r="O29" s="232"/>
      <c r="P29" s="98"/>
      <c r="Q29" s="102"/>
      <c r="R29" s="108"/>
      <c r="S29" s="231">
        <v>1609.3</v>
      </c>
      <c r="T29" s="231">
        <v>16093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352</v>
      </c>
      <c r="C30" t="s">
        <v>128</v>
      </c>
      <c r="D30" s="227"/>
      <c r="E30" s="100"/>
      <c r="F30">
        <v>50</v>
      </c>
      <c r="G30" s="231">
        <v>3.14</v>
      </c>
      <c r="H30" s="231">
        <v>2.17</v>
      </c>
      <c r="I30" s="231">
        <v>157</v>
      </c>
      <c r="J30" s="228"/>
      <c r="K30">
        <v>50</v>
      </c>
      <c r="L30" s="231">
        <v>1.73</v>
      </c>
      <c r="M30" s="231">
        <v>86.5</v>
      </c>
      <c r="N30" s="232">
        <v>0.44900000000000001</v>
      </c>
      <c r="O30" s="232"/>
      <c r="P30" s="98"/>
      <c r="Q30" s="102"/>
      <c r="R30" s="108"/>
      <c r="S30" s="231">
        <v>86.5</v>
      </c>
      <c r="T30" s="231">
        <v>4325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353</v>
      </c>
      <c r="C31" t="s">
        <v>133</v>
      </c>
      <c r="D31" s="227"/>
      <c r="E31" s="100"/>
      <c r="F31">
        <v>50</v>
      </c>
      <c r="G31" s="231">
        <v>2.0499999999999998</v>
      </c>
      <c r="H31" s="231">
        <v>1.41</v>
      </c>
      <c r="I31" s="231">
        <v>102.5</v>
      </c>
      <c r="J31" s="228"/>
      <c r="K31">
        <v>50</v>
      </c>
      <c r="L31" s="231">
        <v>1.1299999999999999</v>
      </c>
      <c r="M31" s="231">
        <v>56.5</v>
      </c>
      <c r="N31" s="232">
        <v>0.44879999999999998</v>
      </c>
      <c r="O31" s="232"/>
      <c r="P31" s="98"/>
      <c r="Q31" s="102"/>
      <c r="R31" s="108"/>
      <c r="S31" s="231">
        <v>56.5</v>
      </c>
      <c r="T31" s="231">
        <v>2825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261</v>
      </c>
      <c r="C32" t="s">
        <v>314</v>
      </c>
      <c r="D32" s="227"/>
      <c r="E32" s="100"/>
      <c r="F32">
        <v>50</v>
      </c>
      <c r="G32" s="231">
        <v>3.41</v>
      </c>
      <c r="H32" s="231">
        <v>2.35</v>
      </c>
      <c r="I32" s="231">
        <v>170.5</v>
      </c>
      <c r="J32" s="228"/>
      <c r="K32">
        <v>50</v>
      </c>
      <c r="L32" s="231">
        <v>1.88</v>
      </c>
      <c r="M32" s="231">
        <v>94</v>
      </c>
      <c r="N32" s="232">
        <v>0.44869999999999999</v>
      </c>
      <c r="O32" s="232"/>
      <c r="P32" s="98"/>
      <c r="Q32" s="102"/>
      <c r="R32" s="108"/>
      <c r="S32" s="231">
        <v>94</v>
      </c>
      <c r="T32" s="231">
        <v>4700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D33" s="227"/>
      <c r="E33" s="100"/>
      <c r="H33" t="s">
        <v>120</v>
      </c>
      <c r="I33" t="s">
        <v>120</v>
      </c>
      <c r="J33" s="228"/>
      <c r="K33">
        <v>0</v>
      </c>
      <c r="L33" t="s">
        <v>120</v>
      </c>
      <c r="M33" t="s">
        <v>120</v>
      </c>
      <c r="O33" s="232"/>
      <c r="P33" s="98"/>
      <c r="Q33" s="102"/>
      <c r="R33" s="108"/>
      <c r="S33" t="s">
        <v>120</v>
      </c>
      <c r="T33" t="s">
        <v>120</v>
      </c>
      <c r="U33" s="232">
        <v>0</v>
      </c>
      <c r="V33" s="232">
        <v>0</v>
      </c>
      <c r="W33" s="229"/>
      <c r="X33" s="230"/>
      <c r="Y33" s="8"/>
      <c r="Z33" s="8"/>
    </row>
    <row r="34" spans="2:26">
      <c r="B34" t="s">
        <v>315</v>
      </c>
      <c r="C34" t="s">
        <v>114</v>
      </c>
      <c r="D34" s="227"/>
      <c r="E34" s="100"/>
      <c r="F34">
        <v>2</v>
      </c>
      <c r="G34" s="231">
        <v>594.54</v>
      </c>
      <c r="H34" s="231">
        <v>410.03</v>
      </c>
      <c r="I34" s="231">
        <v>1189.08</v>
      </c>
      <c r="J34" s="228"/>
      <c r="K34">
        <v>2</v>
      </c>
      <c r="L34" s="231">
        <v>327</v>
      </c>
      <c r="M34" s="231">
        <v>654</v>
      </c>
      <c r="N34" s="232">
        <v>0.45</v>
      </c>
      <c r="O34" s="232"/>
      <c r="P34" s="98"/>
      <c r="Q34" s="102"/>
      <c r="R34" s="108"/>
      <c r="S34" s="231">
        <v>654</v>
      </c>
      <c r="T34" s="231">
        <v>1308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316</v>
      </c>
      <c r="C35" t="s">
        <v>115</v>
      </c>
      <c r="D35" s="227"/>
      <c r="E35" s="100"/>
      <c r="F35">
        <v>4</v>
      </c>
      <c r="G35" s="231">
        <v>22.26</v>
      </c>
      <c r="H35" s="231">
        <v>15.35</v>
      </c>
      <c r="I35" s="231">
        <v>89.04</v>
      </c>
      <c r="J35" s="228"/>
      <c r="K35">
        <v>4</v>
      </c>
      <c r="L35" s="231">
        <v>12.24</v>
      </c>
      <c r="M35" s="231">
        <v>48.96</v>
      </c>
      <c r="N35" s="232">
        <v>0.4501</v>
      </c>
      <c r="O35" s="232"/>
      <c r="P35" s="98"/>
      <c r="Q35" s="102"/>
      <c r="R35" s="108"/>
      <c r="S35" s="231">
        <v>48.96</v>
      </c>
      <c r="T35" s="231">
        <v>195.84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317</v>
      </c>
      <c r="C36" t="s">
        <v>133</v>
      </c>
      <c r="D36" s="227"/>
      <c r="E36" s="100"/>
      <c r="F36">
        <v>4</v>
      </c>
      <c r="G36" s="231">
        <v>3.56</v>
      </c>
      <c r="H36" s="231">
        <v>2.46</v>
      </c>
      <c r="I36" s="231">
        <v>14.24</v>
      </c>
      <c r="J36" s="228"/>
      <c r="K36">
        <v>4</v>
      </c>
      <c r="L36" s="231">
        <v>1.96</v>
      </c>
      <c r="M36" s="231">
        <v>7.84</v>
      </c>
      <c r="N36" s="232">
        <v>0.44940000000000002</v>
      </c>
      <c r="O36" s="232"/>
      <c r="P36" s="98"/>
      <c r="Q36" s="102"/>
      <c r="R36" s="108"/>
      <c r="S36" s="231">
        <v>7.84</v>
      </c>
      <c r="T36" s="231">
        <v>31.36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318</v>
      </c>
      <c r="C37" t="s">
        <v>129</v>
      </c>
      <c r="D37" s="227"/>
      <c r="E37" s="100"/>
      <c r="F37">
        <v>4</v>
      </c>
      <c r="G37" s="231">
        <v>3032.3</v>
      </c>
      <c r="H37" s="231">
        <v>2091.2399999999998</v>
      </c>
      <c r="I37" s="231">
        <v>12129.2</v>
      </c>
      <c r="J37" s="228"/>
      <c r="K37">
        <v>4</v>
      </c>
      <c r="L37" s="231">
        <v>1667.77</v>
      </c>
      <c r="M37" s="231">
        <v>6671.08</v>
      </c>
      <c r="N37" s="232">
        <v>0.45</v>
      </c>
      <c r="P37" s="98"/>
      <c r="Q37" s="102"/>
      <c r="R37" s="108"/>
      <c r="S37" s="231">
        <v>6671.08</v>
      </c>
      <c r="T37" s="231">
        <v>26684.32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437</v>
      </c>
      <c r="C38" t="s">
        <v>438</v>
      </c>
      <c r="D38" s="227"/>
      <c r="E38" s="100"/>
      <c r="F38">
        <v>16</v>
      </c>
      <c r="G38" s="231">
        <v>27.02</v>
      </c>
      <c r="H38" s="231">
        <v>18.63</v>
      </c>
      <c r="I38" s="231">
        <v>432.32</v>
      </c>
      <c r="J38" s="228"/>
      <c r="K38">
        <v>16</v>
      </c>
      <c r="L38" s="231">
        <v>14.86</v>
      </c>
      <c r="M38" s="231">
        <v>237.76</v>
      </c>
      <c r="N38" s="232">
        <v>0.45</v>
      </c>
      <c r="O38" s="232"/>
      <c r="P38" s="98"/>
      <c r="Q38" s="102"/>
      <c r="R38" s="108"/>
      <c r="S38" s="231">
        <v>237.76</v>
      </c>
      <c r="T38" s="231">
        <v>3804.16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146</v>
      </c>
      <c r="C39" t="s">
        <v>133</v>
      </c>
      <c r="D39" s="227"/>
      <c r="E39" s="100"/>
      <c r="F39">
        <v>16</v>
      </c>
      <c r="G39" s="231">
        <v>2.83</v>
      </c>
      <c r="H39" s="231">
        <v>1.95</v>
      </c>
      <c r="I39" s="231">
        <v>45.28</v>
      </c>
      <c r="J39" s="228"/>
      <c r="K39">
        <v>16</v>
      </c>
      <c r="L39" s="231">
        <v>1.56</v>
      </c>
      <c r="M39" s="231">
        <v>24.96</v>
      </c>
      <c r="N39" s="232">
        <v>0.44879999999999998</v>
      </c>
      <c r="O39" s="232"/>
      <c r="P39" s="98"/>
      <c r="Q39" s="102"/>
      <c r="R39" s="108"/>
      <c r="S39" s="231">
        <v>24.96</v>
      </c>
      <c r="T39" s="231">
        <v>399.36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439</v>
      </c>
      <c r="C40" t="s">
        <v>265</v>
      </c>
      <c r="D40" s="227"/>
      <c r="E40" s="100"/>
      <c r="F40">
        <v>12</v>
      </c>
      <c r="G40" s="231">
        <v>1023.54</v>
      </c>
      <c r="H40" s="231">
        <v>705.89</v>
      </c>
      <c r="I40" s="231">
        <v>12282.48</v>
      </c>
      <c r="J40" s="228"/>
      <c r="K40">
        <v>12</v>
      </c>
      <c r="L40" s="231">
        <v>562.95000000000005</v>
      </c>
      <c r="M40" s="231">
        <v>6755.4</v>
      </c>
      <c r="N40" s="232">
        <v>0.45</v>
      </c>
      <c r="O40" s="232"/>
      <c r="P40" s="98"/>
      <c r="Q40" s="102"/>
      <c r="R40" s="108"/>
      <c r="S40" s="231">
        <v>6755.4</v>
      </c>
      <c r="T40" s="231">
        <v>81064.800000000003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440</v>
      </c>
      <c r="C41" t="s">
        <v>131</v>
      </c>
      <c r="D41" s="227"/>
      <c r="E41" s="100"/>
      <c r="F41">
        <v>4</v>
      </c>
      <c r="G41" s="231">
        <v>936.48</v>
      </c>
      <c r="H41" s="231">
        <v>645.85</v>
      </c>
      <c r="I41" s="231">
        <v>3745.92</v>
      </c>
      <c r="J41" s="228"/>
      <c r="K41">
        <v>4</v>
      </c>
      <c r="L41" s="231">
        <v>515.05999999999995</v>
      </c>
      <c r="M41" s="231">
        <v>2060.2399999999998</v>
      </c>
      <c r="N41" s="232">
        <v>0.45</v>
      </c>
      <c r="O41" s="232"/>
      <c r="P41" s="98"/>
      <c r="Q41" s="102"/>
      <c r="R41" s="108"/>
      <c r="S41" s="231">
        <v>2060.2399999999998</v>
      </c>
      <c r="T41" s="231">
        <v>8240.9599999999991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441</v>
      </c>
      <c r="C42" t="s">
        <v>147</v>
      </c>
      <c r="D42" s="227"/>
      <c r="E42" s="100"/>
      <c r="F42">
        <v>64</v>
      </c>
      <c r="G42" s="231">
        <v>13.48</v>
      </c>
      <c r="H42" s="231">
        <v>9.3000000000000007</v>
      </c>
      <c r="I42" s="231">
        <v>862.72</v>
      </c>
      <c r="J42" s="228"/>
      <c r="K42">
        <v>64</v>
      </c>
      <c r="L42" s="231">
        <v>7.41</v>
      </c>
      <c r="M42" s="231">
        <v>474.24</v>
      </c>
      <c r="N42" s="232">
        <v>0.45029999999999998</v>
      </c>
      <c r="P42" s="98"/>
      <c r="Q42" s="102"/>
      <c r="R42" s="108"/>
      <c r="S42" s="231">
        <v>474.24</v>
      </c>
      <c r="T42" s="231">
        <v>30351.360000000001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146</v>
      </c>
      <c r="C43" t="s">
        <v>133</v>
      </c>
      <c r="D43" s="227"/>
      <c r="E43" s="100"/>
      <c r="F43">
        <v>64</v>
      </c>
      <c r="G43" s="231">
        <v>2.83</v>
      </c>
      <c r="H43" s="231">
        <v>1.95</v>
      </c>
      <c r="I43" s="231">
        <v>181.12</v>
      </c>
      <c r="J43" s="228"/>
      <c r="K43">
        <v>64</v>
      </c>
      <c r="L43" s="231">
        <v>1.56</v>
      </c>
      <c r="M43" s="231">
        <v>99.84</v>
      </c>
      <c r="N43" s="232">
        <v>0.44879999999999998</v>
      </c>
      <c r="O43" s="232"/>
      <c r="P43" s="98"/>
      <c r="Q43" s="102"/>
      <c r="R43" s="108"/>
      <c r="S43" s="231">
        <v>99.84</v>
      </c>
      <c r="T43" s="231">
        <v>6389.76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D44" s="227"/>
      <c r="E44" s="100"/>
      <c r="H44" t="s">
        <v>120</v>
      </c>
      <c r="I44" t="s">
        <v>120</v>
      </c>
      <c r="J44" s="228"/>
      <c r="K44">
        <v>0</v>
      </c>
      <c r="L44" t="s">
        <v>120</v>
      </c>
      <c r="M44" t="s">
        <v>120</v>
      </c>
      <c r="P44" s="98"/>
      <c r="Q44" s="102"/>
      <c r="R44" s="108"/>
      <c r="S44" t="s">
        <v>120</v>
      </c>
      <c r="T44" t="s">
        <v>120</v>
      </c>
      <c r="U44" s="232">
        <v>0</v>
      </c>
      <c r="V44" s="232">
        <v>0</v>
      </c>
      <c r="W44" s="229"/>
      <c r="X44" s="230"/>
      <c r="Y44" s="8"/>
      <c r="Z44" s="8"/>
    </row>
    <row r="45" spans="2:26">
      <c r="B45" t="s">
        <v>442</v>
      </c>
      <c r="C45" t="s">
        <v>141</v>
      </c>
      <c r="D45" s="227"/>
      <c r="E45" s="100"/>
      <c r="F45">
        <v>2</v>
      </c>
      <c r="G45" s="231">
        <v>15772.81</v>
      </c>
      <c r="H45" s="231">
        <v>10877.8</v>
      </c>
      <c r="I45" s="231">
        <v>31545.62</v>
      </c>
      <c r="J45" s="228"/>
      <c r="K45">
        <v>2</v>
      </c>
      <c r="L45" s="231">
        <v>8675.0499999999993</v>
      </c>
      <c r="M45" s="231">
        <v>17350.099999999999</v>
      </c>
      <c r="N45" s="232">
        <v>0.45</v>
      </c>
      <c r="P45" s="98"/>
      <c r="Q45" s="102"/>
      <c r="R45" s="108"/>
      <c r="S45" s="231">
        <v>17350.099999999999</v>
      </c>
      <c r="T45" s="231">
        <v>34700.199999999997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443</v>
      </c>
      <c r="C46" t="s">
        <v>444</v>
      </c>
      <c r="D46" s="227"/>
      <c r="E46" s="100"/>
      <c r="F46">
        <v>44</v>
      </c>
      <c r="G46" s="231">
        <v>223.22</v>
      </c>
      <c r="H46" s="231">
        <v>153.94</v>
      </c>
      <c r="I46" s="231">
        <v>9821.68</v>
      </c>
      <c r="J46" s="228"/>
      <c r="K46">
        <v>44</v>
      </c>
      <c r="L46" s="231">
        <v>122.77</v>
      </c>
      <c r="M46" s="231">
        <v>5401.88</v>
      </c>
      <c r="N46" s="232">
        <v>0.45</v>
      </c>
      <c r="P46" s="98"/>
      <c r="Q46" s="102"/>
      <c r="R46" s="108"/>
      <c r="S46" s="231">
        <v>5401.88</v>
      </c>
      <c r="T46" s="231">
        <v>237682.72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445</v>
      </c>
      <c r="C47" t="s">
        <v>446</v>
      </c>
      <c r="D47" s="227"/>
      <c r="E47" s="100"/>
      <c r="F47">
        <v>44</v>
      </c>
      <c r="G47" s="231">
        <v>223.22</v>
      </c>
      <c r="H47" s="231">
        <v>153.94</v>
      </c>
      <c r="I47" s="231">
        <v>9821.68</v>
      </c>
      <c r="J47" s="228"/>
      <c r="K47">
        <v>44</v>
      </c>
      <c r="L47" s="231">
        <v>122.77</v>
      </c>
      <c r="M47" s="231">
        <v>5401.88</v>
      </c>
      <c r="N47" s="232">
        <v>0.45</v>
      </c>
      <c r="P47" s="98"/>
      <c r="Q47" s="102"/>
      <c r="R47" s="108"/>
      <c r="S47" s="231">
        <v>5401.88</v>
      </c>
      <c r="T47" s="231">
        <v>237682.72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447</v>
      </c>
      <c r="C48" t="s">
        <v>448</v>
      </c>
      <c r="D48" s="227"/>
      <c r="E48" s="100"/>
      <c r="F48">
        <v>1</v>
      </c>
      <c r="G48" s="231">
        <v>242.72</v>
      </c>
      <c r="H48" s="231">
        <v>167.39</v>
      </c>
      <c r="I48" s="231">
        <v>242.72</v>
      </c>
      <c r="J48" s="228"/>
      <c r="K48">
        <v>1</v>
      </c>
      <c r="L48" s="231">
        <v>133.5</v>
      </c>
      <c r="M48" s="231">
        <v>133.5</v>
      </c>
      <c r="N48" s="232">
        <v>0.45</v>
      </c>
      <c r="O48" s="232"/>
      <c r="P48" s="98"/>
      <c r="Q48" s="102"/>
      <c r="R48" s="108"/>
      <c r="S48" s="231">
        <v>133.5</v>
      </c>
      <c r="T48" s="231">
        <v>133.5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B49" t="s">
        <v>449</v>
      </c>
      <c r="C49" t="s">
        <v>450</v>
      </c>
      <c r="D49" s="87"/>
      <c r="E49" s="88"/>
      <c r="F49">
        <v>1</v>
      </c>
      <c r="G49" s="231">
        <v>235.62</v>
      </c>
      <c r="H49" s="231">
        <v>162.5</v>
      </c>
      <c r="I49" s="231">
        <v>235.62</v>
      </c>
      <c r="J49" s="105"/>
      <c r="K49">
        <v>1</v>
      </c>
      <c r="L49" s="231">
        <v>129.59</v>
      </c>
      <c r="M49" s="231">
        <v>129.59</v>
      </c>
      <c r="N49" s="232">
        <v>0.45</v>
      </c>
      <c r="O49" s="232"/>
      <c r="P49" s="115"/>
      <c r="Q49" s="94"/>
      <c r="R49" s="94"/>
      <c r="S49" s="231">
        <v>129.59</v>
      </c>
      <c r="T49" s="231">
        <v>129.59</v>
      </c>
      <c r="U49" s="232">
        <v>0</v>
      </c>
      <c r="V49" s="232">
        <v>1</v>
      </c>
      <c r="W49" s="96"/>
      <c r="X49" s="97"/>
      <c r="Y49" s="8"/>
      <c r="Z49" s="8"/>
    </row>
    <row r="50" spans="2:26" ht="15.75" customHeight="1">
      <c r="B50" t="s">
        <v>243</v>
      </c>
      <c r="C50" t="s">
        <v>116</v>
      </c>
      <c r="D50" s="87"/>
      <c r="E50" s="100"/>
      <c r="F50">
        <v>352</v>
      </c>
      <c r="G50" s="231">
        <v>5.38</v>
      </c>
      <c r="H50" s="231">
        <v>3.71</v>
      </c>
      <c r="I50" s="231">
        <v>1893.76</v>
      </c>
      <c r="J50" s="105"/>
      <c r="K50">
        <v>352</v>
      </c>
      <c r="L50" s="231">
        <v>2.96</v>
      </c>
      <c r="M50" s="231">
        <v>1041.92</v>
      </c>
      <c r="N50" s="232">
        <v>0.44979999999999998</v>
      </c>
      <c r="O50" s="232"/>
      <c r="P50" s="98"/>
      <c r="Q50" s="102"/>
      <c r="R50" s="108"/>
      <c r="S50" s="231">
        <v>1041.92</v>
      </c>
      <c r="T50" s="231">
        <v>366755.84000000003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B51" t="s">
        <v>330</v>
      </c>
      <c r="C51" t="s">
        <v>245</v>
      </c>
      <c r="D51" s="87"/>
      <c r="E51" s="88"/>
      <c r="F51">
        <v>8</v>
      </c>
      <c r="G51" s="231">
        <v>9.9600000000000009</v>
      </c>
      <c r="H51" s="231">
        <v>6.87</v>
      </c>
      <c r="I51" s="231">
        <v>79.680000000000007</v>
      </c>
      <c r="J51" s="105"/>
      <c r="K51">
        <v>8</v>
      </c>
      <c r="L51" s="231">
        <v>5.48</v>
      </c>
      <c r="M51" s="231">
        <v>43.84</v>
      </c>
      <c r="N51" s="232">
        <v>0.44979999999999998</v>
      </c>
      <c r="O51" s="232"/>
      <c r="P51" s="115"/>
      <c r="Q51" s="94"/>
      <c r="R51" s="94"/>
      <c r="S51" s="231">
        <v>43.84</v>
      </c>
      <c r="T51" s="231">
        <v>350.72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D52" s="87"/>
      <c r="E52" s="100"/>
      <c r="H52" t="s">
        <v>120</v>
      </c>
      <c r="I52" t="s">
        <v>120</v>
      </c>
      <c r="J52" s="105"/>
      <c r="K52">
        <v>0</v>
      </c>
      <c r="L52" t="s">
        <v>120</v>
      </c>
      <c r="M52" t="s">
        <v>120</v>
      </c>
      <c r="O52" s="93"/>
      <c r="P52" s="98"/>
      <c r="Q52" s="102"/>
      <c r="R52" s="108"/>
      <c r="S52" t="s">
        <v>120</v>
      </c>
      <c r="T52" t="s">
        <v>120</v>
      </c>
      <c r="U52" s="232">
        <v>0</v>
      </c>
      <c r="V52" s="232">
        <v>0</v>
      </c>
      <c r="W52" s="111"/>
      <c r="X52" s="97"/>
      <c r="Y52" s="8"/>
      <c r="Z52" s="8"/>
    </row>
    <row r="53" spans="2:26" ht="15.75" customHeight="1">
      <c r="B53" t="s">
        <v>451</v>
      </c>
      <c r="C53" t="s">
        <v>196</v>
      </c>
      <c r="D53" s="87"/>
      <c r="E53" s="88"/>
      <c r="F53">
        <v>2</v>
      </c>
      <c r="G53" s="231">
        <v>559.01</v>
      </c>
      <c r="H53" s="231">
        <v>385.52</v>
      </c>
      <c r="I53" s="231">
        <v>1118.02</v>
      </c>
      <c r="J53" s="105"/>
      <c r="K53">
        <v>2</v>
      </c>
      <c r="L53" s="231">
        <v>307.45999999999998</v>
      </c>
      <c r="M53" s="231">
        <v>614.91999999999996</v>
      </c>
      <c r="N53" s="232">
        <v>0.45</v>
      </c>
      <c r="O53" s="93"/>
      <c r="P53" s="115"/>
      <c r="Q53" s="94"/>
      <c r="R53" s="94"/>
      <c r="S53" s="231">
        <v>614.91999999999996</v>
      </c>
      <c r="T53" s="231">
        <v>1229.8399999999999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B54" t="s">
        <v>452</v>
      </c>
      <c r="C54" t="s">
        <v>282</v>
      </c>
      <c r="D54" s="87"/>
      <c r="E54" s="100"/>
      <c r="F54">
        <v>1</v>
      </c>
      <c r="G54" s="231">
        <v>219.63</v>
      </c>
      <c r="H54" s="231">
        <v>151.47</v>
      </c>
      <c r="I54" s="231">
        <v>219.63</v>
      </c>
      <c r="J54" s="105"/>
      <c r="K54">
        <v>1</v>
      </c>
      <c r="L54" s="231">
        <v>120.8</v>
      </c>
      <c r="M54" s="231">
        <v>120.8</v>
      </c>
      <c r="N54" s="232">
        <v>0.45</v>
      </c>
      <c r="O54" s="93"/>
      <c r="P54" s="98"/>
      <c r="Q54" s="102"/>
      <c r="R54" s="108"/>
      <c r="S54" s="231">
        <v>120.8</v>
      </c>
      <c r="T54" s="231">
        <v>120.8</v>
      </c>
      <c r="U54" s="232">
        <v>0</v>
      </c>
      <c r="V54" s="232">
        <v>1</v>
      </c>
      <c r="W54" s="111"/>
      <c r="X54" s="97"/>
      <c r="Y54" s="8"/>
      <c r="Z54" s="8"/>
    </row>
    <row r="55" spans="2:26" ht="15.75" customHeight="1">
      <c r="B55" t="s">
        <v>453</v>
      </c>
      <c r="C55" t="s">
        <v>280</v>
      </c>
      <c r="D55" s="87"/>
      <c r="E55" s="88"/>
      <c r="F55">
        <v>1</v>
      </c>
      <c r="G55" s="231">
        <v>219.63</v>
      </c>
      <c r="H55" s="231">
        <v>151.47</v>
      </c>
      <c r="I55" s="231">
        <v>219.63</v>
      </c>
      <c r="J55" s="105"/>
      <c r="K55">
        <v>1</v>
      </c>
      <c r="L55" s="231">
        <v>120.8</v>
      </c>
      <c r="M55" s="231">
        <v>120.8</v>
      </c>
      <c r="N55" s="232">
        <v>0.45</v>
      </c>
      <c r="O55" s="93"/>
      <c r="P55" s="115"/>
      <c r="Q55" s="94"/>
      <c r="R55" s="94"/>
      <c r="S55" s="231">
        <v>120.8</v>
      </c>
      <c r="T55" s="231">
        <v>120.8</v>
      </c>
      <c r="U55" s="232">
        <v>0</v>
      </c>
      <c r="V55" s="232">
        <v>1</v>
      </c>
      <c r="W55" s="96"/>
      <c r="X55" s="97"/>
      <c r="Y55" s="8"/>
      <c r="Z55" s="8"/>
    </row>
    <row r="56" spans="2:26" ht="15.75" customHeight="1">
      <c r="B56" t="s">
        <v>283</v>
      </c>
      <c r="C56" t="s">
        <v>284</v>
      </c>
      <c r="D56" s="87"/>
      <c r="E56" s="100"/>
      <c r="F56">
        <v>34</v>
      </c>
      <c r="G56" s="231">
        <v>4.51</v>
      </c>
      <c r="H56" s="231">
        <v>3.11</v>
      </c>
      <c r="I56" s="231">
        <v>153.34</v>
      </c>
      <c r="J56" s="105"/>
      <c r="K56">
        <v>34</v>
      </c>
      <c r="L56" s="231">
        <v>2.4900000000000002</v>
      </c>
      <c r="M56" s="231">
        <v>84.66</v>
      </c>
      <c r="N56" s="232">
        <v>0.44790000000000002</v>
      </c>
      <c r="O56" s="93"/>
      <c r="P56" s="98"/>
      <c r="Q56" s="102"/>
      <c r="R56" s="108"/>
      <c r="S56" s="231">
        <v>84.66</v>
      </c>
      <c r="T56" s="231">
        <v>2878.44</v>
      </c>
      <c r="U56" s="232">
        <v>0</v>
      </c>
      <c r="V56" s="232">
        <v>1</v>
      </c>
      <c r="W56" s="111"/>
      <c r="X56" s="97"/>
      <c r="Y56" s="8"/>
      <c r="Z56" s="116"/>
    </row>
    <row r="57" spans="2:26" ht="15.75" customHeight="1">
      <c r="B57" t="s">
        <v>285</v>
      </c>
      <c r="C57" t="s">
        <v>133</v>
      </c>
      <c r="D57" s="87"/>
      <c r="E57" s="88"/>
      <c r="F57">
        <v>34</v>
      </c>
      <c r="G57" s="231">
        <v>3.56</v>
      </c>
      <c r="H57" s="231">
        <v>2.46</v>
      </c>
      <c r="I57" s="231">
        <v>121.04</v>
      </c>
      <c r="J57" s="105"/>
      <c r="K57">
        <v>34</v>
      </c>
      <c r="L57" s="231">
        <v>1.96</v>
      </c>
      <c r="M57" s="231">
        <v>66.64</v>
      </c>
      <c r="N57" s="232">
        <v>0.44940000000000002</v>
      </c>
      <c r="O57" s="93"/>
      <c r="P57" s="115"/>
      <c r="Q57" s="94"/>
      <c r="R57" s="94"/>
      <c r="S57" s="231">
        <v>66.64</v>
      </c>
      <c r="T57" s="231">
        <v>2265.7600000000002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B58" t="s">
        <v>286</v>
      </c>
      <c r="C58" t="s">
        <v>314</v>
      </c>
      <c r="D58" s="87"/>
      <c r="E58" s="100"/>
      <c r="F58">
        <v>34</v>
      </c>
      <c r="G58" s="231">
        <v>3.65</v>
      </c>
      <c r="H58" s="231">
        <v>2.52</v>
      </c>
      <c r="I58" s="231">
        <v>124.1</v>
      </c>
      <c r="J58" s="105"/>
      <c r="K58">
        <v>34</v>
      </c>
      <c r="L58" s="231">
        <v>2.0099999999999998</v>
      </c>
      <c r="M58" s="231">
        <v>68.34</v>
      </c>
      <c r="N58" s="232">
        <v>0.44929999999999998</v>
      </c>
      <c r="O58" s="93"/>
      <c r="P58" s="98"/>
      <c r="Q58" s="102"/>
      <c r="R58" s="108"/>
      <c r="S58" s="231">
        <v>68.34</v>
      </c>
      <c r="T58" s="231">
        <v>2323.56</v>
      </c>
      <c r="U58" s="232">
        <v>0</v>
      </c>
      <c r="V58" s="232">
        <v>1</v>
      </c>
      <c r="W58" s="111"/>
      <c r="X58" s="97"/>
      <c r="Y58" s="8"/>
      <c r="Z58" s="8"/>
    </row>
    <row r="59" spans="2:26" ht="15.75" customHeight="1">
      <c r="D59" s="87"/>
      <c r="E59" s="88"/>
      <c r="H59" t="s">
        <v>120</v>
      </c>
      <c r="I59" t="s">
        <v>120</v>
      </c>
      <c r="J59" s="105"/>
      <c r="K59">
        <v>0</v>
      </c>
      <c r="L59" t="s">
        <v>120</v>
      </c>
      <c r="M59" t="s">
        <v>120</v>
      </c>
      <c r="O59" s="93"/>
      <c r="P59" s="115"/>
      <c r="Q59" s="94"/>
      <c r="R59" s="94"/>
      <c r="S59" t="s">
        <v>120</v>
      </c>
      <c r="T59" t="s">
        <v>120</v>
      </c>
      <c r="U59" s="232">
        <v>0</v>
      </c>
      <c r="V59" s="232">
        <v>0</v>
      </c>
      <c r="W59" s="96"/>
      <c r="X59" s="97"/>
      <c r="Y59" s="8"/>
      <c r="Z59" s="8"/>
    </row>
    <row r="60" spans="2:26" ht="15.75" customHeight="1">
      <c r="B60" t="s">
        <v>454</v>
      </c>
      <c r="C60" t="s">
        <v>206</v>
      </c>
      <c r="D60" s="87"/>
      <c r="E60" s="100"/>
      <c r="F60">
        <v>3</v>
      </c>
      <c r="G60" s="231">
        <v>2061.73</v>
      </c>
      <c r="H60" s="231">
        <v>1421.88</v>
      </c>
      <c r="I60" s="231">
        <v>6185.19</v>
      </c>
      <c r="J60" s="105"/>
      <c r="K60">
        <v>3</v>
      </c>
      <c r="L60" s="231">
        <v>1133.96</v>
      </c>
      <c r="M60" s="231">
        <v>3401.88</v>
      </c>
      <c r="N60" s="232">
        <v>0.45</v>
      </c>
      <c r="O60" s="93"/>
      <c r="P60" s="98"/>
      <c r="Q60" s="102"/>
      <c r="R60" s="108"/>
      <c r="S60" s="231">
        <v>3401.88</v>
      </c>
      <c r="T60" s="231">
        <v>10205.64</v>
      </c>
      <c r="U60" s="232">
        <v>0</v>
      </c>
      <c r="V60" s="232">
        <v>1</v>
      </c>
      <c r="W60" s="111"/>
      <c r="X60" s="97"/>
      <c r="Y60" s="8"/>
      <c r="Z60" s="8"/>
    </row>
    <row r="61" spans="2:26" ht="15.75" customHeight="1">
      <c r="B61" t="s">
        <v>455</v>
      </c>
      <c r="C61" t="s">
        <v>456</v>
      </c>
      <c r="D61" s="87"/>
      <c r="E61" s="88"/>
      <c r="F61">
        <v>3</v>
      </c>
      <c r="G61" s="231">
        <v>224.12</v>
      </c>
      <c r="H61" s="231">
        <v>154.57</v>
      </c>
      <c r="I61" s="231">
        <v>672.36</v>
      </c>
      <c r="J61" s="105"/>
      <c r="K61">
        <v>3</v>
      </c>
      <c r="L61" s="231">
        <v>123.27</v>
      </c>
      <c r="M61" s="231">
        <v>369.81</v>
      </c>
      <c r="N61" s="232">
        <v>0.45</v>
      </c>
      <c r="O61" s="93"/>
      <c r="P61" s="115"/>
      <c r="Q61" s="94"/>
      <c r="R61" s="94"/>
      <c r="S61" s="231">
        <v>369.81</v>
      </c>
      <c r="T61" s="231">
        <v>1109.43</v>
      </c>
      <c r="U61" s="232">
        <v>0</v>
      </c>
      <c r="V61" s="232">
        <v>1</v>
      </c>
      <c r="W61" s="96"/>
    </row>
    <row r="62" spans="2:26" ht="15.75" customHeight="1">
      <c r="B62" t="s">
        <v>406</v>
      </c>
      <c r="C62" t="s">
        <v>457</v>
      </c>
      <c r="D62" s="87"/>
      <c r="E62" s="100"/>
      <c r="F62">
        <v>3</v>
      </c>
      <c r="G62" s="231">
        <v>12.96</v>
      </c>
      <c r="H62" s="231">
        <v>8.94</v>
      </c>
      <c r="I62" s="231">
        <v>38.880000000000003</v>
      </c>
      <c r="J62" s="105"/>
      <c r="K62">
        <v>3</v>
      </c>
      <c r="L62" s="231">
        <v>7.13</v>
      </c>
      <c r="M62" s="231">
        <v>21.39</v>
      </c>
      <c r="N62" s="232">
        <v>0.44979999999999998</v>
      </c>
      <c r="O62" s="93"/>
      <c r="P62" s="98"/>
      <c r="Q62" s="102"/>
      <c r="R62" s="108"/>
      <c r="S62" s="231">
        <v>21.39</v>
      </c>
      <c r="T62" s="231">
        <v>64.17</v>
      </c>
      <c r="U62" s="232">
        <v>0</v>
      </c>
      <c r="V62" s="232">
        <v>1</v>
      </c>
      <c r="W62" s="111"/>
    </row>
    <row r="63" spans="2:26" ht="15.75" customHeight="1">
      <c r="B63" t="s">
        <v>405</v>
      </c>
      <c r="C63" t="s">
        <v>290</v>
      </c>
      <c r="D63" s="87"/>
      <c r="E63" s="88"/>
      <c r="F63">
        <v>3</v>
      </c>
      <c r="G63" s="231">
        <v>164.9</v>
      </c>
      <c r="H63" s="231">
        <v>113.72</v>
      </c>
      <c r="I63" s="231">
        <v>494.7</v>
      </c>
      <c r="J63" s="105"/>
      <c r="K63">
        <v>3</v>
      </c>
      <c r="L63" s="231">
        <v>90.7</v>
      </c>
      <c r="M63" s="231">
        <v>272.10000000000002</v>
      </c>
      <c r="N63" s="232">
        <v>0.45</v>
      </c>
      <c r="O63" s="93"/>
      <c r="P63" s="115"/>
      <c r="Q63" s="94"/>
      <c r="R63" s="94"/>
      <c r="S63" s="231">
        <v>272.10000000000002</v>
      </c>
      <c r="T63" s="231">
        <v>816.3</v>
      </c>
      <c r="U63" s="232">
        <v>0</v>
      </c>
      <c r="V63" s="232">
        <v>1</v>
      </c>
      <c r="W63" s="96"/>
    </row>
    <row r="64" spans="2:26" ht="15.75" customHeight="1">
      <c r="B64" t="s">
        <v>291</v>
      </c>
      <c r="C64" t="s">
        <v>292</v>
      </c>
      <c r="D64" s="87"/>
      <c r="E64" s="100"/>
      <c r="F64">
        <v>3</v>
      </c>
      <c r="G64" s="231">
        <v>22.39</v>
      </c>
      <c r="H64" s="231">
        <v>15.44</v>
      </c>
      <c r="I64" s="231">
        <v>67.17</v>
      </c>
      <c r="J64" s="105"/>
      <c r="K64">
        <v>3</v>
      </c>
      <c r="L64" s="231">
        <v>12.32</v>
      </c>
      <c r="M64" s="231">
        <v>36.96</v>
      </c>
      <c r="N64" s="232">
        <v>0.44979999999999998</v>
      </c>
      <c r="O64" s="93"/>
      <c r="P64" s="98"/>
      <c r="Q64" s="102"/>
      <c r="R64" s="108"/>
      <c r="S64" s="231">
        <v>36.96</v>
      </c>
      <c r="T64" s="231">
        <v>110.88</v>
      </c>
      <c r="U64" s="232">
        <v>0</v>
      </c>
      <c r="V64" s="232">
        <v>1</v>
      </c>
      <c r="W64" s="111"/>
    </row>
    <row r="65" spans="2:23" ht="15.75" customHeight="1">
      <c r="B65" t="s">
        <v>408</v>
      </c>
      <c r="C65" t="s">
        <v>210</v>
      </c>
      <c r="D65" s="87"/>
      <c r="E65" s="88"/>
      <c r="F65">
        <v>6</v>
      </c>
      <c r="G65" s="231">
        <v>7.67</v>
      </c>
      <c r="H65" s="231">
        <v>5.29</v>
      </c>
      <c r="I65" s="231">
        <v>46.02</v>
      </c>
      <c r="J65" s="105"/>
      <c r="K65">
        <v>6</v>
      </c>
      <c r="L65" s="231">
        <v>4.22</v>
      </c>
      <c r="M65" s="231">
        <v>25.32</v>
      </c>
      <c r="N65" s="232">
        <v>0.44979999999999998</v>
      </c>
      <c r="O65" s="93"/>
      <c r="P65" s="115"/>
      <c r="Q65" s="94"/>
      <c r="R65" s="94"/>
      <c r="S65" s="231">
        <v>25.32</v>
      </c>
      <c r="T65" s="231">
        <v>151.91999999999999</v>
      </c>
      <c r="U65" s="232">
        <v>0</v>
      </c>
      <c r="V65" s="232">
        <v>1</v>
      </c>
      <c r="W65" s="96"/>
    </row>
    <row r="66" spans="2:23" ht="15.75" customHeight="1">
      <c r="D66" s="87"/>
      <c r="E66" s="100"/>
      <c r="G66" s="231"/>
      <c r="H66" s="231"/>
      <c r="I66" s="231"/>
      <c r="J66" s="105"/>
      <c r="L66" s="231"/>
      <c r="M66" s="231"/>
      <c r="N66" s="232"/>
      <c r="O66" s="93"/>
      <c r="P66" s="98"/>
      <c r="Q66" s="102"/>
      <c r="R66" s="108"/>
      <c r="S66" s="231"/>
      <c r="T66" s="231"/>
      <c r="U66" s="232"/>
      <c r="V66" s="232"/>
      <c r="W66" s="111"/>
    </row>
    <row r="67" spans="2:23" ht="15.75" customHeight="1">
      <c r="D67" s="87"/>
      <c r="E67" s="88"/>
      <c r="G67" s="231"/>
      <c r="H67" s="231"/>
      <c r="I67" s="231"/>
      <c r="J67" s="105"/>
      <c r="L67" s="231"/>
      <c r="M67" s="231"/>
      <c r="N67" s="232"/>
      <c r="O67" s="93"/>
      <c r="P67" s="115"/>
      <c r="Q67" s="94"/>
      <c r="R67" s="94"/>
      <c r="S67" s="231"/>
      <c r="T67" s="231"/>
      <c r="U67" s="232"/>
      <c r="V67" s="232"/>
      <c r="W67" s="111"/>
    </row>
    <row r="68" spans="2:23" ht="15.75" customHeight="1">
      <c r="D68" s="87"/>
      <c r="E68" s="100"/>
      <c r="G68" s="231"/>
      <c r="H68" s="231"/>
      <c r="I68" s="231"/>
      <c r="J68" s="105"/>
      <c r="L68" s="231"/>
      <c r="M68" s="231"/>
      <c r="N68" s="232"/>
      <c r="O68" s="93"/>
      <c r="P68" s="98"/>
      <c r="Q68" s="102"/>
      <c r="R68" s="108"/>
      <c r="S68" s="231"/>
      <c r="T68" s="231"/>
      <c r="U68" s="232"/>
      <c r="V68" s="232"/>
      <c r="W68" s="111"/>
    </row>
    <row r="69" spans="2:23" ht="15.75" customHeight="1">
      <c r="D69" s="87"/>
      <c r="E69" s="88"/>
      <c r="J69" s="105"/>
      <c r="O69" s="93"/>
      <c r="P69" s="115"/>
      <c r="Q69" s="94"/>
      <c r="R69" s="94"/>
      <c r="U69" s="232"/>
      <c r="V69" s="232"/>
      <c r="W69" s="111"/>
    </row>
    <row r="70" spans="2:23" ht="15.75" customHeight="1">
      <c r="D70" s="87"/>
      <c r="E70" s="100"/>
      <c r="G70" s="231"/>
      <c r="H70" s="231"/>
      <c r="I70" s="231"/>
      <c r="J70" s="105"/>
      <c r="L70" s="231"/>
      <c r="M70" s="231"/>
      <c r="N70" s="232"/>
      <c r="O70" s="93"/>
      <c r="P70" s="98"/>
      <c r="Q70" s="102"/>
      <c r="R70" s="108"/>
      <c r="S70" s="231"/>
      <c r="T70" s="231"/>
      <c r="U70" s="232"/>
      <c r="V70" s="232"/>
      <c r="W70" s="111"/>
    </row>
    <row r="71" spans="2:23" ht="15.75" customHeight="1">
      <c r="D71" s="87"/>
      <c r="E71" s="88"/>
      <c r="G71" s="231"/>
      <c r="H71" s="231"/>
      <c r="I71" s="231"/>
      <c r="J71" s="105"/>
      <c r="L71" s="231"/>
      <c r="M71" s="231"/>
      <c r="N71" s="232"/>
      <c r="O71" s="93"/>
      <c r="P71" s="115"/>
      <c r="Q71" s="94"/>
      <c r="R71" s="94"/>
      <c r="S71" s="231"/>
      <c r="T71" s="231"/>
      <c r="U71" s="232"/>
      <c r="V71" s="232"/>
      <c r="W71" s="111"/>
    </row>
    <row r="72" spans="2:23" ht="15.75" customHeight="1">
      <c r="D72" s="87"/>
      <c r="E72" s="100"/>
      <c r="G72" s="231"/>
      <c r="H72" s="231"/>
      <c r="I72" s="231"/>
      <c r="J72" s="105"/>
      <c r="L72" s="231"/>
      <c r="M72" s="231"/>
      <c r="N72" s="232"/>
      <c r="O72" s="93"/>
      <c r="P72" s="98"/>
      <c r="Q72" s="102"/>
      <c r="R72" s="108"/>
      <c r="S72" s="231"/>
      <c r="T72" s="231"/>
      <c r="U72" s="232"/>
      <c r="V72" s="232"/>
      <c r="W72" s="111"/>
    </row>
    <row r="73" spans="2:23" ht="15.75" customHeight="1">
      <c r="D73" s="87"/>
      <c r="E73" s="88"/>
      <c r="G73" s="231"/>
      <c r="H73" s="231"/>
      <c r="I73" s="231"/>
      <c r="J73" s="105"/>
      <c r="L73" s="231"/>
      <c r="M73" s="231"/>
      <c r="N73" s="232"/>
      <c r="O73" s="93"/>
      <c r="P73" s="115"/>
      <c r="Q73" s="94"/>
      <c r="R73" s="94"/>
      <c r="S73" s="231"/>
      <c r="T73" s="231"/>
      <c r="U73" s="232"/>
      <c r="V73" s="232"/>
      <c r="W73" s="111"/>
    </row>
    <row r="74" spans="2:23" ht="15.75" customHeight="1">
      <c r="D74" s="87"/>
      <c r="E74" s="100"/>
      <c r="G74" s="231"/>
      <c r="H74" s="231"/>
      <c r="I74" s="231"/>
      <c r="J74" s="105"/>
      <c r="L74" s="231"/>
      <c r="M74" s="231"/>
      <c r="N74" s="232"/>
      <c r="O74" s="93"/>
      <c r="P74" s="98"/>
      <c r="Q74" s="102"/>
      <c r="R74" s="108"/>
      <c r="S74" s="231"/>
      <c r="T74" s="231"/>
      <c r="U74" s="232"/>
      <c r="V74" s="232"/>
      <c r="W74" s="111"/>
    </row>
    <row r="75" spans="2:23" ht="15.75" customHeight="1">
      <c r="D75" s="87"/>
      <c r="E75" s="88"/>
      <c r="G75" s="231"/>
      <c r="H75" s="231"/>
      <c r="I75" s="231"/>
      <c r="J75" s="105"/>
      <c r="L75" s="231"/>
      <c r="M75" s="231"/>
      <c r="N75" s="232"/>
      <c r="O75" s="93"/>
      <c r="P75" s="115"/>
      <c r="Q75" s="94"/>
      <c r="R75" s="94"/>
      <c r="S75" s="231"/>
      <c r="T75" s="231"/>
      <c r="U75" s="232"/>
      <c r="V75" s="232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944</v>
      </c>
      <c r="G78" s="121">
        <f t="shared" si="0"/>
        <v>35556.53</v>
      </c>
      <c r="H78" s="122">
        <f t="shared" si="0"/>
        <v>24521.749999999996</v>
      </c>
      <c r="I78" s="123">
        <f t="shared" si="0"/>
        <v>114230.01</v>
      </c>
      <c r="J78" s="124"/>
      <c r="K78" s="125">
        <f t="shared" ref="K78:M78" si="1">SUM(K19:K77)</f>
        <v>944</v>
      </c>
      <c r="L78" s="122">
        <f t="shared" si="1"/>
        <v>19443.849999999995</v>
      </c>
      <c r="M78" s="123">
        <f t="shared" si="1"/>
        <v>63818.629999999976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63818.629999999976</v>
      </c>
      <c r="T78" s="123">
        <f t="shared" si="2"/>
        <v>1126485.0499999998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Q15 G18 L18 Q18" xr:uid="{82418328-07DD-4730-88C4-468F4CE3BD6E}">
      <formula1>$Y$12:$Y$13</formula1>
    </dataValidation>
    <dataValidation type="list" allowBlank="1" showErrorMessage="1" sqref="J14" xr:uid="{C00351E2-93A5-4BFF-B3D8-E9CF86004D1D}">
      <formula1>$L$9</formula1>
    </dataValidation>
    <dataValidation type="list" allowBlank="1" showErrorMessage="1" sqref="I14" xr:uid="{EF2063D6-DC19-4CE9-8005-C859B762FEF6}">
      <formula1>$Y$14:$Y$15</formula1>
    </dataValidation>
    <dataValidation type="list" allowBlank="1" showErrorMessage="1" sqref="E19:E77" xr:uid="{973AD25D-99E6-489F-BC89-72003186AD60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7A45-5193-4748-8747-55BD453C87E0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S19" sqref="S19:V59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460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179151.11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2019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96897.47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82253.639999999985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458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0.45912994901343335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459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1393336.3099999998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96897.47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220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827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461</v>
      </c>
      <c r="C19" t="s">
        <v>109</v>
      </c>
      <c r="D19" s="87"/>
      <c r="E19" s="88"/>
      <c r="F19">
        <v>1</v>
      </c>
      <c r="G19" s="231">
        <v>17.309999999999999</v>
      </c>
      <c r="H19" s="231">
        <v>11.94</v>
      </c>
      <c r="I19" s="231">
        <v>17.309999999999999</v>
      </c>
      <c r="J19" s="92"/>
      <c r="K19">
        <v>1</v>
      </c>
      <c r="L19" s="231">
        <v>8.66</v>
      </c>
      <c r="M19" s="231">
        <v>8.66</v>
      </c>
      <c r="N19" s="232">
        <v>0.49969999999999998</v>
      </c>
      <c r="O19" s="232"/>
      <c r="P19" s="86"/>
      <c r="Q19" s="94"/>
      <c r="R19" s="94"/>
      <c r="S19" s="231">
        <v>8.66</v>
      </c>
      <c r="T19" s="231">
        <v>8.66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462</v>
      </c>
      <c r="C20" t="s">
        <v>306</v>
      </c>
      <c r="D20" s="87"/>
      <c r="E20" s="100"/>
      <c r="F20">
        <v>1</v>
      </c>
      <c r="G20" s="231">
        <v>104</v>
      </c>
      <c r="H20" s="231">
        <v>71.72</v>
      </c>
      <c r="I20" s="231">
        <v>104</v>
      </c>
      <c r="J20" s="105"/>
      <c r="K20">
        <v>1</v>
      </c>
      <c r="L20" s="231">
        <v>52</v>
      </c>
      <c r="M20" s="231">
        <v>52</v>
      </c>
      <c r="N20" s="232">
        <v>0.5</v>
      </c>
      <c r="O20" s="232"/>
      <c r="P20" s="98"/>
      <c r="Q20" s="102"/>
      <c r="R20" s="108"/>
      <c r="S20" s="231">
        <v>52</v>
      </c>
      <c r="T20" s="231">
        <v>52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158</v>
      </c>
      <c r="C21" t="s">
        <v>223</v>
      </c>
      <c r="D21" s="227"/>
      <c r="E21" s="100"/>
      <c r="F21">
        <v>1</v>
      </c>
      <c r="G21" s="231">
        <v>42.69</v>
      </c>
      <c r="H21" s="231">
        <v>29.44</v>
      </c>
      <c r="I21" s="231">
        <v>42.69</v>
      </c>
      <c r="J21" s="228"/>
      <c r="K21">
        <v>1</v>
      </c>
      <c r="L21" s="231">
        <v>21.35</v>
      </c>
      <c r="M21" s="231">
        <v>21.35</v>
      </c>
      <c r="N21" s="232">
        <v>0.49990000000000001</v>
      </c>
      <c r="O21" s="232"/>
      <c r="P21" s="98"/>
      <c r="Q21" s="102"/>
      <c r="R21" s="108"/>
      <c r="S21" s="231">
        <v>21.35</v>
      </c>
      <c r="T21" s="231">
        <v>21.35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463</v>
      </c>
      <c r="C22" t="s">
        <v>144</v>
      </c>
      <c r="D22" s="227"/>
      <c r="E22" s="100"/>
      <c r="F22">
        <v>1</v>
      </c>
      <c r="G22" s="231">
        <v>131.11000000000001</v>
      </c>
      <c r="H22" s="231">
        <v>90.42</v>
      </c>
      <c r="I22" s="231">
        <v>131.11000000000001</v>
      </c>
      <c r="J22" s="228"/>
      <c r="K22">
        <v>1</v>
      </c>
      <c r="L22" s="231">
        <v>65.56</v>
      </c>
      <c r="M22" s="231">
        <v>65.56</v>
      </c>
      <c r="N22" s="232">
        <v>0.5</v>
      </c>
      <c r="O22" s="232"/>
      <c r="P22" s="98"/>
      <c r="Q22" s="102"/>
      <c r="R22" s="108"/>
      <c r="S22" s="231">
        <v>65.56</v>
      </c>
      <c r="T22" s="231">
        <v>65.56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464</v>
      </c>
      <c r="C23" t="s">
        <v>110</v>
      </c>
      <c r="D23" s="227"/>
      <c r="E23" s="100"/>
      <c r="F23">
        <v>1</v>
      </c>
      <c r="G23" s="231">
        <v>116.66</v>
      </c>
      <c r="H23" s="231">
        <v>80.459999999999994</v>
      </c>
      <c r="I23" s="231">
        <v>116.66</v>
      </c>
      <c r="J23" s="228"/>
      <c r="K23">
        <v>1</v>
      </c>
      <c r="L23" s="231">
        <v>75.83</v>
      </c>
      <c r="M23" s="231">
        <v>75.83</v>
      </c>
      <c r="N23" s="232">
        <v>0.35</v>
      </c>
      <c r="O23" s="232"/>
      <c r="P23" s="98"/>
      <c r="Q23" s="102"/>
      <c r="R23" s="108"/>
      <c r="S23" s="231">
        <v>75.83</v>
      </c>
      <c r="T23" s="231">
        <v>75.83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465</v>
      </c>
      <c r="C24" t="s">
        <v>111</v>
      </c>
      <c r="D24" s="227"/>
      <c r="E24" s="100"/>
      <c r="F24">
        <v>1</v>
      </c>
      <c r="G24" s="231">
        <v>115.44</v>
      </c>
      <c r="H24" s="231">
        <v>79.61</v>
      </c>
      <c r="I24" s="231">
        <v>115.44</v>
      </c>
      <c r="J24" s="228"/>
      <c r="K24">
        <v>1</v>
      </c>
      <c r="L24" s="231">
        <v>75.040000000000006</v>
      </c>
      <c r="M24" s="231">
        <v>75.040000000000006</v>
      </c>
      <c r="N24" s="232">
        <v>0.35</v>
      </c>
      <c r="O24" s="232"/>
      <c r="P24" s="98"/>
      <c r="Q24" s="102"/>
      <c r="R24" s="108"/>
      <c r="S24" s="231">
        <v>75.040000000000006</v>
      </c>
      <c r="T24" s="231">
        <v>75.040000000000006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466</v>
      </c>
      <c r="C25" t="s">
        <v>112</v>
      </c>
      <c r="D25" s="227"/>
      <c r="E25" s="100"/>
      <c r="F25">
        <v>1</v>
      </c>
      <c r="G25" s="231">
        <v>121.67</v>
      </c>
      <c r="H25" s="231">
        <v>83.91</v>
      </c>
      <c r="I25" s="231">
        <v>121.67</v>
      </c>
      <c r="J25" s="228"/>
      <c r="K25">
        <v>1</v>
      </c>
      <c r="L25" s="231">
        <v>79.09</v>
      </c>
      <c r="M25" s="231">
        <v>79.09</v>
      </c>
      <c r="N25" s="232">
        <v>0.35</v>
      </c>
      <c r="O25" s="232"/>
      <c r="P25" s="98"/>
      <c r="Q25" s="102"/>
      <c r="R25" s="108"/>
      <c r="S25" s="231">
        <v>79.09</v>
      </c>
      <c r="T25" s="231">
        <v>79.09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467</v>
      </c>
      <c r="C26" t="s">
        <v>159</v>
      </c>
      <c r="D26" s="227"/>
      <c r="E26" s="100"/>
      <c r="F26">
        <v>1</v>
      </c>
      <c r="G26" s="231">
        <v>43.78</v>
      </c>
      <c r="H26" s="231">
        <v>30.19</v>
      </c>
      <c r="I26" s="231">
        <v>43.78</v>
      </c>
      <c r="J26" s="228"/>
      <c r="K26">
        <v>1</v>
      </c>
      <c r="L26" s="231">
        <v>21.89</v>
      </c>
      <c r="M26" s="231">
        <v>21.89</v>
      </c>
      <c r="N26" s="232">
        <v>0.5</v>
      </c>
      <c r="O26" s="232"/>
      <c r="P26" s="98"/>
      <c r="Q26" s="102"/>
      <c r="R26" s="108"/>
      <c r="S26" s="231">
        <v>21.89</v>
      </c>
      <c r="T26" s="231">
        <v>21.89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468</v>
      </c>
      <c r="C27" t="s">
        <v>173</v>
      </c>
      <c r="D27" s="227"/>
      <c r="E27" s="100"/>
      <c r="F27">
        <v>10</v>
      </c>
      <c r="G27" s="231">
        <v>111.66</v>
      </c>
      <c r="H27" s="231">
        <v>77.010000000000005</v>
      </c>
      <c r="I27" s="231">
        <v>1116.5999999999999</v>
      </c>
      <c r="J27" s="228"/>
      <c r="K27">
        <v>10</v>
      </c>
      <c r="L27" s="231">
        <v>61.41</v>
      </c>
      <c r="M27" s="231">
        <v>614.1</v>
      </c>
      <c r="N27" s="232">
        <v>0.45</v>
      </c>
      <c r="O27" s="232"/>
      <c r="P27" s="98"/>
      <c r="Q27" s="102"/>
      <c r="R27" s="108"/>
      <c r="S27" s="231">
        <v>614.1</v>
      </c>
      <c r="T27" s="231">
        <v>6141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469</v>
      </c>
      <c r="C28" t="s">
        <v>128</v>
      </c>
      <c r="D28" s="227"/>
      <c r="E28" s="100"/>
      <c r="F28">
        <v>40</v>
      </c>
      <c r="G28" s="231">
        <v>4.75</v>
      </c>
      <c r="H28" s="231">
        <v>3.28</v>
      </c>
      <c r="I28" s="231">
        <v>190</v>
      </c>
      <c r="J28" s="228"/>
      <c r="K28">
        <v>40</v>
      </c>
      <c r="L28" s="231">
        <v>2.62</v>
      </c>
      <c r="M28" s="231">
        <v>104.8</v>
      </c>
      <c r="N28" s="232">
        <v>0.44840000000000002</v>
      </c>
      <c r="P28" s="98"/>
      <c r="Q28" s="102"/>
      <c r="R28" s="108"/>
      <c r="S28" s="231">
        <v>104.8</v>
      </c>
      <c r="T28" s="231">
        <v>4192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261</v>
      </c>
      <c r="C29" t="s">
        <v>148</v>
      </c>
      <c r="D29" s="227"/>
      <c r="E29" s="100"/>
      <c r="F29">
        <v>40</v>
      </c>
      <c r="G29" s="231">
        <v>3.41</v>
      </c>
      <c r="H29" s="231">
        <v>2.35</v>
      </c>
      <c r="I29" s="231">
        <v>136.4</v>
      </c>
      <c r="J29" s="228"/>
      <c r="K29">
        <v>40</v>
      </c>
      <c r="L29" s="231">
        <v>1.88</v>
      </c>
      <c r="M29" s="231">
        <v>75.2</v>
      </c>
      <c r="N29" s="232">
        <v>0.44869999999999999</v>
      </c>
      <c r="O29" s="232"/>
      <c r="P29" s="98"/>
      <c r="Q29" s="102"/>
      <c r="R29" s="108"/>
      <c r="S29" s="231">
        <v>75.2</v>
      </c>
      <c r="T29" s="231">
        <v>3008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470</v>
      </c>
      <c r="C30" t="s">
        <v>471</v>
      </c>
      <c r="D30" s="227"/>
      <c r="E30" s="100"/>
      <c r="F30">
        <v>2</v>
      </c>
      <c r="G30" s="231">
        <v>3635.61</v>
      </c>
      <c r="H30" s="231">
        <v>2507.3200000000002</v>
      </c>
      <c r="I30" s="231">
        <v>7271.22</v>
      </c>
      <c r="J30" s="228"/>
      <c r="K30">
        <v>2</v>
      </c>
      <c r="L30" s="231">
        <v>1999.59</v>
      </c>
      <c r="M30" s="231">
        <v>3999.18</v>
      </c>
      <c r="N30" s="232">
        <v>0.45</v>
      </c>
      <c r="O30" s="232"/>
      <c r="P30" s="98"/>
      <c r="Q30" s="102"/>
      <c r="R30" s="108"/>
      <c r="S30" s="231">
        <v>3999.18</v>
      </c>
      <c r="T30" s="231">
        <v>7998.36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472</v>
      </c>
      <c r="C31" t="s">
        <v>114</v>
      </c>
      <c r="D31" s="227"/>
      <c r="E31" s="100"/>
      <c r="F31">
        <v>2</v>
      </c>
      <c r="G31" s="231">
        <v>722.36</v>
      </c>
      <c r="H31" s="231">
        <v>498.18</v>
      </c>
      <c r="I31" s="231">
        <v>1444.72</v>
      </c>
      <c r="J31" s="228"/>
      <c r="K31">
        <v>2</v>
      </c>
      <c r="L31" s="231">
        <v>397.3</v>
      </c>
      <c r="M31" s="231">
        <v>794.6</v>
      </c>
      <c r="N31" s="232">
        <v>0.45</v>
      </c>
      <c r="O31" s="232"/>
      <c r="P31" s="98"/>
      <c r="Q31" s="102"/>
      <c r="R31" s="108"/>
      <c r="S31" s="231">
        <v>794.6</v>
      </c>
      <c r="T31" s="231">
        <v>1589.2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473</v>
      </c>
      <c r="C32" t="s">
        <v>115</v>
      </c>
      <c r="D32" s="227"/>
      <c r="E32" s="100"/>
      <c r="F32">
        <v>6</v>
      </c>
      <c r="G32" s="231">
        <v>1.1599999999999999</v>
      </c>
      <c r="H32" s="231">
        <v>0.8</v>
      </c>
      <c r="I32" s="231">
        <v>6.96</v>
      </c>
      <c r="J32" s="228"/>
      <c r="K32">
        <v>6</v>
      </c>
      <c r="L32" s="231">
        <v>0.64</v>
      </c>
      <c r="M32" s="231">
        <v>3.84</v>
      </c>
      <c r="N32" s="232">
        <v>0.44829999999999998</v>
      </c>
      <c r="O32" s="232"/>
      <c r="P32" s="98"/>
      <c r="Q32" s="102"/>
      <c r="R32" s="108"/>
      <c r="S32" s="231">
        <v>3.84</v>
      </c>
      <c r="T32" s="231">
        <v>23.04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D33" s="227"/>
      <c r="E33" s="100"/>
      <c r="H33" t="s">
        <v>120</v>
      </c>
      <c r="I33" t="s">
        <v>120</v>
      </c>
      <c r="J33" s="228"/>
      <c r="K33">
        <v>0</v>
      </c>
      <c r="L33" t="s">
        <v>120</v>
      </c>
      <c r="M33" t="s">
        <v>120</v>
      </c>
      <c r="O33" s="232"/>
      <c r="P33" s="98"/>
      <c r="Q33" s="102"/>
      <c r="R33" s="108"/>
      <c r="S33" t="s">
        <v>120</v>
      </c>
      <c r="T33" t="s">
        <v>120</v>
      </c>
      <c r="U33" s="232">
        <v>0</v>
      </c>
      <c r="V33" s="232">
        <v>0</v>
      </c>
      <c r="W33" s="229"/>
      <c r="X33" s="230"/>
      <c r="Y33" s="8"/>
      <c r="Z33" s="8"/>
    </row>
    <row r="34" spans="2:26">
      <c r="B34" t="s">
        <v>474</v>
      </c>
      <c r="C34" t="s">
        <v>129</v>
      </c>
      <c r="D34" s="227"/>
      <c r="E34" s="100"/>
      <c r="F34">
        <v>2</v>
      </c>
      <c r="G34" s="231">
        <v>3497.04</v>
      </c>
      <c r="H34" s="231">
        <v>2411.75</v>
      </c>
      <c r="I34" s="231">
        <v>6994.08</v>
      </c>
      <c r="J34" s="228"/>
      <c r="K34">
        <v>2</v>
      </c>
      <c r="L34" s="231">
        <v>1923.37</v>
      </c>
      <c r="M34" s="231">
        <v>3846.74</v>
      </c>
      <c r="N34" s="232">
        <v>0.45</v>
      </c>
      <c r="O34" s="232"/>
      <c r="P34" s="98"/>
      <c r="Q34" s="102"/>
      <c r="R34" s="108"/>
      <c r="S34" s="231">
        <v>3846.74</v>
      </c>
      <c r="T34" s="231">
        <v>7693.48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475</v>
      </c>
      <c r="C35" t="s">
        <v>476</v>
      </c>
      <c r="D35" s="227"/>
      <c r="E35" s="100"/>
      <c r="F35">
        <v>12</v>
      </c>
      <c r="G35" s="231">
        <v>1169.26</v>
      </c>
      <c r="H35" s="231">
        <v>806.39</v>
      </c>
      <c r="I35" s="231">
        <v>14031.12</v>
      </c>
      <c r="J35" s="228"/>
      <c r="K35">
        <v>12</v>
      </c>
      <c r="L35" s="231">
        <v>643.09</v>
      </c>
      <c r="M35" s="231">
        <v>7717.08</v>
      </c>
      <c r="N35" s="232">
        <v>0.45</v>
      </c>
      <c r="O35" s="232"/>
      <c r="P35" s="98"/>
      <c r="Q35" s="102"/>
      <c r="R35" s="108"/>
      <c r="S35" s="231">
        <v>7717.08</v>
      </c>
      <c r="T35" s="231">
        <v>92604.96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477</v>
      </c>
      <c r="C36" t="s">
        <v>478</v>
      </c>
      <c r="D36" s="227"/>
      <c r="E36" s="100"/>
      <c r="F36">
        <v>12</v>
      </c>
      <c r="G36" s="231">
        <v>1122.06</v>
      </c>
      <c r="H36" s="231">
        <v>773.83</v>
      </c>
      <c r="I36" s="231">
        <v>13464.72</v>
      </c>
      <c r="J36" s="228"/>
      <c r="K36">
        <v>12</v>
      </c>
      <c r="L36" s="231">
        <v>617.13</v>
      </c>
      <c r="M36" s="231">
        <v>7405.56</v>
      </c>
      <c r="N36" s="232">
        <v>0.45</v>
      </c>
      <c r="O36" s="232"/>
      <c r="P36" s="98"/>
      <c r="Q36" s="102"/>
      <c r="R36" s="108"/>
      <c r="S36" s="231">
        <v>7405.56</v>
      </c>
      <c r="T36" s="231">
        <v>88866.72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D37" s="227"/>
      <c r="E37" s="100"/>
      <c r="H37" t="s">
        <v>120</v>
      </c>
      <c r="I37" t="s">
        <v>120</v>
      </c>
      <c r="J37" s="228"/>
      <c r="K37">
        <v>0</v>
      </c>
      <c r="L37" t="s">
        <v>120</v>
      </c>
      <c r="M37" t="s">
        <v>120</v>
      </c>
      <c r="P37" s="98"/>
      <c r="Q37" s="102"/>
      <c r="R37" s="108"/>
      <c r="S37" t="s">
        <v>120</v>
      </c>
      <c r="T37" t="s">
        <v>120</v>
      </c>
      <c r="U37" s="232">
        <v>0</v>
      </c>
      <c r="V37" s="232">
        <v>0</v>
      </c>
      <c r="W37" s="229"/>
      <c r="X37" s="230"/>
      <c r="Y37" s="8"/>
      <c r="Z37" s="8"/>
    </row>
    <row r="38" spans="2:26">
      <c r="B38" t="s">
        <v>479</v>
      </c>
      <c r="C38" t="s">
        <v>322</v>
      </c>
      <c r="D38" s="227"/>
      <c r="E38" s="100"/>
      <c r="F38">
        <v>2</v>
      </c>
      <c r="G38" s="231">
        <v>8674.7199999999993</v>
      </c>
      <c r="H38" s="231">
        <v>5982.57</v>
      </c>
      <c r="I38" s="231">
        <v>17349.439999999999</v>
      </c>
      <c r="J38" s="228"/>
      <c r="K38">
        <v>2</v>
      </c>
      <c r="L38" s="231">
        <v>4771.1000000000004</v>
      </c>
      <c r="M38" s="231">
        <v>9542.2000000000007</v>
      </c>
      <c r="N38" s="232">
        <v>0.45</v>
      </c>
      <c r="O38" s="232"/>
      <c r="P38" s="98"/>
      <c r="Q38" s="102"/>
      <c r="R38" s="108"/>
      <c r="S38" s="231">
        <v>9542.2000000000007</v>
      </c>
      <c r="T38" s="231">
        <v>19084.400000000001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480</v>
      </c>
      <c r="C39" t="s">
        <v>481</v>
      </c>
      <c r="D39" s="227"/>
      <c r="E39" s="100"/>
      <c r="F39">
        <v>2</v>
      </c>
      <c r="G39" s="231">
        <v>8201.7900000000009</v>
      </c>
      <c r="H39" s="231">
        <v>5656.41</v>
      </c>
      <c r="I39" s="231">
        <v>16403.580000000002</v>
      </c>
      <c r="J39" s="228"/>
      <c r="K39">
        <v>2</v>
      </c>
      <c r="L39" s="231">
        <v>4510.99</v>
      </c>
      <c r="M39" s="231">
        <v>9021.98</v>
      </c>
      <c r="N39" s="232">
        <v>0.45</v>
      </c>
      <c r="O39" s="232"/>
      <c r="P39" s="98"/>
      <c r="Q39" s="102"/>
      <c r="R39" s="108"/>
      <c r="S39" s="231">
        <v>9021.98</v>
      </c>
      <c r="T39" s="231">
        <v>18043.96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482</v>
      </c>
      <c r="C40" t="s">
        <v>326</v>
      </c>
      <c r="D40" s="227"/>
      <c r="E40" s="100"/>
      <c r="F40">
        <v>74</v>
      </c>
      <c r="G40" s="231">
        <v>250.75</v>
      </c>
      <c r="H40" s="231">
        <v>172.93</v>
      </c>
      <c r="I40" s="231">
        <v>18555.5</v>
      </c>
      <c r="J40" s="228"/>
      <c r="K40">
        <v>74</v>
      </c>
      <c r="L40" s="231">
        <v>137.91999999999999</v>
      </c>
      <c r="M40" s="231">
        <v>10206.08</v>
      </c>
      <c r="N40" s="232">
        <v>0.45</v>
      </c>
      <c r="O40" s="232"/>
      <c r="P40" s="98"/>
      <c r="Q40" s="102"/>
      <c r="R40" s="108"/>
      <c r="S40" s="231">
        <v>10206.08</v>
      </c>
      <c r="T40" s="231">
        <v>755249.92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483</v>
      </c>
      <c r="C41" t="s">
        <v>116</v>
      </c>
      <c r="D41" s="227"/>
      <c r="E41" s="100"/>
      <c r="F41">
        <v>296</v>
      </c>
      <c r="G41" s="231">
        <v>4.01</v>
      </c>
      <c r="H41" s="231">
        <v>2.77</v>
      </c>
      <c r="I41" s="231">
        <v>1186.96</v>
      </c>
      <c r="J41" s="228"/>
      <c r="K41">
        <v>296</v>
      </c>
      <c r="L41" s="231">
        <v>2.21</v>
      </c>
      <c r="M41" s="231">
        <v>654.16</v>
      </c>
      <c r="N41" s="232">
        <v>0.44890000000000002</v>
      </c>
      <c r="O41" s="232"/>
      <c r="P41" s="98"/>
      <c r="Q41" s="102"/>
      <c r="R41" s="108"/>
      <c r="S41" s="231">
        <v>654.16</v>
      </c>
      <c r="T41" s="231">
        <v>193631.35999999999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484</v>
      </c>
      <c r="C42" t="s">
        <v>142</v>
      </c>
      <c r="D42" s="227"/>
      <c r="E42" s="100"/>
      <c r="F42">
        <v>296</v>
      </c>
      <c r="G42" s="231">
        <v>2.94</v>
      </c>
      <c r="H42" s="231">
        <v>2.0299999999999998</v>
      </c>
      <c r="I42" s="231">
        <v>870.24</v>
      </c>
      <c r="J42" s="228"/>
      <c r="K42">
        <v>296</v>
      </c>
      <c r="L42" s="231">
        <v>1.62</v>
      </c>
      <c r="M42" s="231">
        <v>479.52</v>
      </c>
      <c r="N42" s="232">
        <v>0.44900000000000001</v>
      </c>
      <c r="P42" s="98"/>
      <c r="Q42" s="102"/>
      <c r="R42" s="108"/>
      <c r="S42" s="231">
        <v>479.52</v>
      </c>
      <c r="T42" s="231">
        <v>141937.92000000001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485</v>
      </c>
      <c r="C43" t="s">
        <v>329</v>
      </c>
      <c r="D43" s="227"/>
      <c r="E43" s="100"/>
      <c r="F43">
        <v>2</v>
      </c>
      <c r="G43" s="231">
        <v>199.65</v>
      </c>
      <c r="H43" s="231">
        <v>137.69</v>
      </c>
      <c r="I43" s="231">
        <v>399.3</v>
      </c>
      <c r="J43" s="228"/>
      <c r="K43">
        <v>2</v>
      </c>
      <c r="L43" s="231">
        <v>109.81</v>
      </c>
      <c r="M43" s="231">
        <v>219.62</v>
      </c>
      <c r="N43" s="232">
        <v>0.45</v>
      </c>
      <c r="O43" s="232"/>
      <c r="P43" s="98"/>
      <c r="Q43" s="102"/>
      <c r="R43" s="108"/>
      <c r="S43" s="231">
        <v>219.62</v>
      </c>
      <c r="T43" s="231">
        <v>439.24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486</v>
      </c>
      <c r="C44" t="s">
        <v>331</v>
      </c>
      <c r="D44" s="227"/>
      <c r="E44" s="100"/>
      <c r="F44">
        <v>4</v>
      </c>
      <c r="G44" s="231">
        <v>15.58</v>
      </c>
      <c r="H44" s="231">
        <v>10.74</v>
      </c>
      <c r="I44" s="231">
        <v>62.32</v>
      </c>
      <c r="J44" s="228"/>
      <c r="K44">
        <v>4</v>
      </c>
      <c r="L44" s="231">
        <v>8.57</v>
      </c>
      <c r="M44" s="231">
        <v>34.28</v>
      </c>
      <c r="N44" s="232">
        <v>0.44990000000000002</v>
      </c>
      <c r="P44" s="98"/>
      <c r="Q44" s="102"/>
      <c r="R44" s="108"/>
      <c r="S44" s="231">
        <v>34.28</v>
      </c>
      <c r="T44" s="231">
        <v>137.12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D45" s="227"/>
      <c r="E45" s="100"/>
      <c r="H45" t="s">
        <v>120</v>
      </c>
      <c r="I45" t="s">
        <v>120</v>
      </c>
      <c r="J45" s="228"/>
      <c r="K45">
        <v>0</v>
      </c>
      <c r="L45" t="s">
        <v>120</v>
      </c>
      <c r="M45" t="s">
        <v>120</v>
      </c>
      <c r="P45" s="98"/>
      <c r="Q45" s="102"/>
      <c r="R45" s="108"/>
      <c r="S45" t="s">
        <v>120</v>
      </c>
      <c r="T45" t="s">
        <v>120</v>
      </c>
      <c r="U45" s="232">
        <v>0</v>
      </c>
      <c r="V45" s="232">
        <v>0</v>
      </c>
      <c r="W45" s="229"/>
      <c r="X45" s="230"/>
      <c r="Y45" s="8"/>
      <c r="Z45" s="8"/>
    </row>
    <row r="46" spans="2:26">
      <c r="B46" t="s">
        <v>487</v>
      </c>
      <c r="C46" t="s">
        <v>488</v>
      </c>
      <c r="D46" s="227"/>
      <c r="E46" s="100"/>
      <c r="F46">
        <v>1</v>
      </c>
      <c r="G46" s="231">
        <v>27033.599999999999</v>
      </c>
      <c r="H46" s="231">
        <v>18643.86</v>
      </c>
      <c r="I46" s="231">
        <v>27033.599999999999</v>
      </c>
      <c r="J46" s="228"/>
      <c r="K46">
        <v>1</v>
      </c>
      <c r="L46" s="231">
        <v>14868.48</v>
      </c>
      <c r="M46" s="231">
        <v>14868.48</v>
      </c>
      <c r="N46" s="232">
        <v>0.45</v>
      </c>
      <c r="P46" s="98"/>
      <c r="Q46" s="102"/>
      <c r="R46" s="108"/>
      <c r="S46" s="231">
        <v>14868.48</v>
      </c>
      <c r="T46" s="231">
        <v>14868.48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489</v>
      </c>
      <c r="C47" t="s">
        <v>206</v>
      </c>
      <c r="D47" s="227"/>
      <c r="E47" s="100"/>
      <c r="F47">
        <v>1</v>
      </c>
      <c r="G47" s="231">
        <v>6515.49</v>
      </c>
      <c r="H47" s="231">
        <v>4493.4399999999996</v>
      </c>
      <c r="I47" s="231">
        <v>6515.49</v>
      </c>
      <c r="J47" s="228"/>
      <c r="K47">
        <v>1</v>
      </c>
      <c r="L47" s="231">
        <v>3583.53</v>
      </c>
      <c r="M47" s="231">
        <v>3583.53</v>
      </c>
      <c r="N47" s="232">
        <v>0.45</v>
      </c>
      <c r="P47" s="98"/>
      <c r="Q47" s="102"/>
      <c r="R47" s="108"/>
      <c r="S47" s="231">
        <v>3583.53</v>
      </c>
      <c r="T47" s="231">
        <v>3583.53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455</v>
      </c>
      <c r="C48" t="s">
        <v>404</v>
      </c>
      <c r="D48" s="227"/>
      <c r="E48" s="100"/>
      <c r="F48">
        <v>1</v>
      </c>
      <c r="G48" s="231">
        <v>224.15</v>
      </c>
      <c r="H48" s="231">
        <v>154.59</v>
      </c>
      <c r="I48" s="231">
        <v>224.15</v>
      </c>
      <c r="J48" s="228"/>
      <c r="K48">
        <v>1</v>
      </c>
      <c r="L48" s="231">
        <v>123.29</v>
      </c>
      <c r="M48" s="231">
        <v>123.29</v>
      </c>
      <c r="N48" s="232">
        <v>0.45</v>
      </c>
      <c r="O48" s="232"/>
      <c r="P48" s="98"/>
      <c r="Q48" s="102"/>
      <c r="R48" s="108"/>
      <c r="S48" s="231">
        <v>123.29</v>
      </c>
      <c r="T48" s="231">
        <v>123.29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B49" t="s">
        <v>406</v>
      </c>
      <c r="C49" t="s">
        <v>290</v>
      </c>
      <c r="D49" s="87"/>
      <c r="E49" s="88"/>
      <c r="F49">
        <v>1</v>
      </c>
      <c r="G49" s="231">
        <v>12.96</v>
      </c>
      <c r="H49" s="231">
        <v>8.94</v>
      </c>
      <c r="I49" s="231">
        <v>12.96</v>
      </c>
      <c r="J49" s="105"/>
      <c r="K49">
        <v>1</v>
      </c>
      <c r="L49" s="231">
        <v>7.13</v>
      </c>
      <c r="M49" s="231">
        <v>7.13</v>
      </c>
      <c r="N49" s="232">
        <v>0.44979999999999998</v>
      </c>
      <c r="O49" s="232"/>
      <c r="P49" s="115"/>
      <c r="Q49" s="94"/>
      <c r="R49" s="94"/>
      <c r="S49" s="231">
        <v>7.13</v>
      </c>
      <c r="T49" s="231">
        <v>7.13</v>
      </c>
      <c r="U49" s="232">
        <v>0</v>
      </c>
      <c r="V49" s="232">
        <v>1</v>
      </c>
      <c r="W49" s="96"/>
      <c r="X49" s="97"/>
      <c r="Y49" s="8"/>
      <c r="Z49" s="8"/>
    </row>
    <row r="50" spans="2:26" ht="15.75" customHeight="1">
      <c r="B50" t="s">
        <v>291</v>
      </c>
      <c r="C50" t="s">
        <v>429</v>
      </c>
      <c r="D50" s="87"/>
      <c r="E50" s="100"/>
      <c r="F50">
        <v>1</v>
      </c>
      <c r="G50" s="231">
        <v>22.39</v>
      </c>
      <c r="H50" s="231">
        <v>15.44</v>
      </c>
      <c r="I50" s="231">
        <v>22.39</v>
      </c>
      <c r="J50" s="105"/>
      <c r="K50">
        <v>1</v>
      </c>
      <c r="L50" s="231">
        <v>12.32</v>
      </c>
      <c r="M50" s="231">
        <v>12.32</v>
      </c>
      <c r="N50" s="232">
        <v>0.44979999999999998</v>
      </c>
      <c r="O50" s="232"/>
      <c r="P50" s="98"/>
      <c r="Q50" s="102"/>
      <c r="R50" s="108"/>
      <c r="S50" s="231">
        <v>12.32</v>
      </c>
      <c r="T50" s="231">
        <v>12.32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D51" s="87"/>
      <c r="E51" s="88"/>
      <c r="H51" t="s">
        <v>120</v>
      </c>
      <c r="I51" t="s">
        <v>120</v>
      </c>
      <c r="J51" s="105"/>
      <c r="K51">
        <v>0</v>
      </c>
      <c r="L51" t="s">
        <v>120</v>
      </c>
      <c r="M51" t="s">
        <v>120</v>
      </c>
      <c r="O51" s="232"/>
      <c r="P51" s="115"/>
      <c r="Q51" s="94"/>
      <c r="R51" s="94"/>
      <c r="S51" t="s">
        <v>120</v>
      </c>
      <c r="T51" t="s">
        <v>120</v>
      </c>
      <c r="U51" s="232">
        <v>0</v>
      </c>
      <c r="V51" s="232">
        <v>0</v>
      </c>
      <c r="W51" s="96"/>
      <c r="X51" s="97"/>
      <c r="Y51" s="8"/>
      <c r="Z51" s="8"/>
    </row>
    <row r="52" spans="2:26" ht="15.75" customHeight="1">
      <c r="B52" t="s">
        <v>490</v>
      </c>
      <c r="C52" t="s">
        <v>491</v>
      </c>
      <c r="D52" s="87"/>
      <c r="E52" s="100"/>
      <c r="F52">
        <v>1</v>
      </c>
      <c r="G52" s="231">
        <v>6725.5</v>
      </c>
      <c r="H52" s="231">
        <v>4638.28</v>
      </c>
      <c r="I52" s="231">
        <v>6725.5</v>
      </c>
      <c r="J52" s="105"/>
      <c r="K52">
        <v>1</v>
      </c>
      <c r="L52" s="231">
        <v>3362.75</v>
      </c>
      <c r="M52" s="231">
        <v>3362.75</v>
      </c>
      <c r="N52" s="232">
        <v>0.5</v>
      </c>
      <c r="O52" s="93"/>
      <c r="P52" s="98"/>
      <c r="Q52" s="102"/>
      <c r="R52" s="108"/>
      <c r="S52" s="231">
        <v>3362.75</v>
      </c>
      <c r="T52" s="231">
        <v>3362.75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s="233" t="s">
        <v>492</v>
      </c>
      <c r="C53" t="s">
        <v>493</v>
      </c>
      <c r="D53" s="87"/>
      <c r="E53" s="88"/>
      <c r="F53">
        <v>1</v>
      </c>
      <c r="G53" s="231">
        <v>3141.67</v>
      </c>
      <c r="H53" s="231">
        <v>2166.67</v>
      </c>
      <c r="I53" s="231">
        <v>3141.67</v>
      </c>
      <c r="J53" s="105"/>
      <c r="K53">
        <v>1</v>
      </c>
      <c r="L53" s="231">
        <v>1570.84</v>
      </c>
      <c r="M53" s="231">
        <v>1570.84</v>
      </c>
      <c r="N53" s="232">
        <v>0.5</v>
      </c>
      <c r="O53" s="93"/>
      <c r="P53" s="115"/>
      <c r="Q53" s="94"/>
      <c r="R53" s="94"/>
      <c r="S53" s="231">
        <v>1570.84</v>
      </c>
      <c r="T53" s="231">
        <v>1570.84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B54" t="s">
        <v>494</v>
      </c>
      <c r="C54" t="s">
        <v>118</v>
      </c>
      <c r="D54" s="87"/>
      <c r="E54" s="100"/>
      <c r="F54">
        <v>1</v>
      </c>
      <c r="G54" s="231">
        <v>17640.77</v>
      </c>
      <c r="H54" s="231">
        <v>12166.05</v>
      </c>
      <c r="I54" s="231">
        <v>17640.77</v>
      </c>
      <c r="J54" s="105"/>
      <c r="K54">
        <v>1</v>
      </c>
      <c r="L54" s="231">
        <v>8820.39</v>
      </c>
      <c r="M54" s="231">
        <v>8820.39</v>
      </c>
      <c r="N54" s="232">
        <v>0.5</v>
      </c>
      <c r="O54" s="93"/>
      <c r="P54" s="98"/>
      <c r="Q54" s="102"/>
      <c r="R54" s="108"/>
      <c r="S54" s="231">
        <v>8820.39</v>
      </c>
      <c r="T54" s="231">
        <v>8820.39</v>
      </c>
      <c r="U54" s="232">
        <v>0</v>
      </c>
      <c r="V54" s="232">
        <v>1</v>
      </c>
      <c r="W54" s="111"/>
      <c r="X54" s="97"/>
      <c r="Y54" s="8"/>
      <c r="Z54" s="8"/>
    </row>
    <row r="55" spans="2:26" ht="15.75" customHeight="1">
      <c r="B55" t="s">
        <v>495</v>
      </c>
      <c r="C55" t="s">
        <v>119</v>
      </c>
      <c r="D55" s="87"/>
      <c r="E55" s="88"/>
      <c r="F55">
        <v>1</v>
      </c>
      <c r="G55" s="231">
        <v>7409.03</v>
      </c>
      <c r="H55" s="231">
        <v>5109.68</v>
      </c>
      <c r="I55" s="231">
        <v>7409.03</v>
      </c>
      <c r="J55" s="105"/>
      <c r="K55">
        <v>1</v>
      </c>
      <c r="L55" s="231">
        <v>3704.52</v>
      </c>
      <c r="M55" s="231">
        <v>3704.52</v>
      </c>
      <c r="N55" s="232">
        <v>0.5</v>
      </c>
      <c r="O55" s="93"/>
      <c r="P55" s="115"/>
      <c r="Q55" s="94"/>
      <c r="R55" s="94"/>
      <c r="S55" s="231">
        <v>3704.52</v>
      </c>
      <c r="T55" s="231">
        <v>3704.52</v>
      </c>
      <c r="U55" s="232">
        <v>0</v>
      </c>
      <c r="V55" s="232">
        <v>1</v>
      </c>
      <c r="W55" s="96"/>
      <c r="X55" s="97"/>
      <c r="Y55" s="8"/>
      <c r="Z55" s="8"/>
    </row>
    <row r="56" spans="2:26" ht="15.75" customHeight="1">
      <c r="B56" t="s">
        <v>496</v>
      </c>
      <c r="C56" t="s">
        <v>497</v>
      </c>
      <c r="D56" s="87"/>
      <c r="E56" s="100"/>
      <c r="F56">
        <v>1</v>
      </c>
      <c r="G56" s="231">
        <v>6518.5</v>
      </c>
      <c r="H56" s="231">
        <v>4495.5200000000004</v>
      </c>
      <c r="I56" s="231">
        <v>6518.5</v>
      </c>
      <c r="J56" s="105"/>
      <c r="K56">
        <v>1</v>
      </c>
      <c r="L56" s="231">
        <v>3259.25</v>
      </c>
      <c r="M56" s="231">
        <v>3259.25</v>
      </c>
      <c r="N56" s="232">
        <v>0.5</v>
      </c>
      <c r="O56" s="93"/>
      <c r="P56" s="98"/>
      <c r="Q56" s="102"/>
      <c r="R56" s="108"/>
      <c r="S56" s="231">
        <v>3259.25</v>
      </c>
      <c r="T56" s="231">
        <v>3259.25</v>
      </c>
      <c r="U56" s="232">
        <v>0</v>
      </c>
      <c r="V56" s="232">
        <v>1</v>
      </c>
      <c r="W56" s="111"/>
      <c r="X56" s="97"/>
      <c r="Y56" s="8"/>
      <c r="Z56" s="116"/>
    </row>
    <row r="57" spans="2:26" ht="15.75" customHeight="1">
      <c r="B57" t="s">
        <v>498</v>
      </c>
      <c r="C57" t="s">
        <v>499</v>
      </c>
      <c r="D57" s="87"/>
      <c r="E57" s="88"/>
      <c r="F57">
        <v>6</v>
      </c>
      <c r="G57" s="231">
        <v>500.81</v>
      </c>
      <c r="H57" s="231">
        <v>345.39</v>
      </c>
      <c r="I57" s="231">
        <v>3004.86</v>
      </c>
      <c r="J57" s="105"/>
      <c r="K57">
        <v>6</v>
      </c>
      <c r="L57" s="231">
        <v>350.57</v>
      </c>
      <c r="M57" s="231">
        <v>2103.42</v>
      </c>
      <c r="N57" s="232">
        <v>0.3</v>
      </c>
      <c r="O57" s="93"/>
      <c r="P57" s="115"/>
      <c r="Q57" s="94"/>
      <c r="R57" s="94"/>
      <c r="S57" s="231">
        <v>2103.42</v>
      </c>
      <c r="T57" s="231">
        <v>12620.52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D58" s="87"/>
      <c r="E58" s="100"/>
      <c r="H58" t="s">
        <v>120</v>
      </c>
      <c r="I58" t="s">
        <v>120</v>
      </c>
      <c r="J58" s="105"/>
      <c r="K58">
        <v>0</v>
      </c>
      <c r="L58" t="s">
        <v>120</v>
      </c>
      <c r="M58" t="s">
        <v>120</v>
      </c>
      <c r="O58" s="93"/>
      <c r="P58" s="98"/>
      <c r="Q58" s="102"/>
      <c r="R58" s="108"/>
      <c r="S58" t="s">
        <v>120</v>
      </c>
      <c r="T58" t="s">
        <v>120</v>
      </c>
      <c r="U58" s="232">
        <v>0</v>
      </c>
      <c r="V58" s="232">
        <v>0</v>
      </c>
      <c r="W58" s="111"/>
      <c r="X58" s="97"/>
      <c r="Y58" s="8"/>
      <c r="Z58" s="8"/>
    </row>
    <row r="59" spans="2:26" ht="15.75" customHeight="1">
      <c r="B59" t="s">
        <v>167</v>
      </c>
      <c r="C59" t="s">
        <v>168</v>
      </c>
      <c r="D59" s="87"/>
      <c r="E59" s="88"/>
      <c r="F59">
        <v>1</v>
      </c>
      <c r="G59" s="231">
        <v>726.37</v>
      </c>
      <c r="H59" s="231">
        <v>500.94</v>
      </c>
      <c r="I59" s="231">
        <v>726.37</v>
      </c>
      <c r="J59" s="105"/>
      <c r="K59">
        <v>1</v>
      </c>
      <c r="L59" s="231">
        <v>363.19</v>
      </c>
      <c r="M59" s="231">
        <v>363.19</v>
      </c>
      <c r="N59" s="232">
        <v>0.5</v>
      </c>
      <c r="O59" s="93"/>
      <c r="P59" s="115"/>
      <c r="Q59" s="94"/>
      <c r="R59" s="94"/>
      <c r="S59" s="231">
        <v>363.19</v>
      </c>
      <c r="T59" s="231">
        <v>363.19</v>
      </c>
      <c r="U59" s="232">
        <v>0</v>
      </c>
      <c r="V59" s="232">
        <v>1</v>
      </c>
      <c r="W59" s="96"/>
      <c r="X59" s="97"/>
      <c r="Y59" s="8"/>
      <c r="Z59" s="8"/>
    </row>
    <row r="60" spans="2:26" ht="15.75" customHeight="1">
      <c r="D60" s="87"/>
      <c r="E60" s="100"/>
      <c r="G60" s="231"/>
      <c r="H60" s="231"/>
      <c r="I60" s="231"/>
      <c r="J60" s="105"/>
      <c r="L60" s="231"/>
      <c r="M60" s="231"/>
      <c r="N60" s="232"/>
      <c r="O60" s="93"/>
      <c r="P60" s="98"/>
      <c r="Q60" s="102"/>
      <c r="R60" s="108"/>
      <c r="S60" s="231"/>
      <c r="T60" s="231"/>
      <c r="U60" s="232"/>
      <c r="V60" s="232"/>
      <c r="W60" s="111"/>
      <c r="X60" s="97"/>
      <c r="Y60" s="8"/>
      <c r="Z60" s="8"/>
    </row>
    <row r="61" spans="2:26" ht="15.75" customHeight="1">
      <c r="D61" s="87"/>
      <c r="E61" s="88"/>
      <c r="G61" s="231"/>
      <c r="H61" s="231"/>
      <c r="I61" s="231"/>
      <c r="J61" s="105"/>
      <c r="L61" s="231"/>
      <c r="M61" s="231"/>
      <c r="N61" s="232"/>
      <c r="O61" s="93"/>
      <c r="P61" s="115"/>
      <c r="Q61" s="94"/>
      <c r="R61" s="94"/>
      <c r="S61" s="231"/>
      <c r="T61" s="231"/>
      <c r="U61" s="232"/>
      <c r="V61" s="232"/>
      <c r="W61" s="96"/>
    </row>
    <row r="62" spans="2:26" ht="15.75" customHeight="1">
      <c r="D62" s="87"/>
      <c r="E62" s="100"/>
      <c r="G62" s="231"/>
      <c r="H62" s="231"/>
      <c r="I62" s="231"/>
      <c r="J62" s="105"/>
      <c r="L62" s="231"/>
      <c r="M62" s="231"/>
      <c r="N62" s="232"/>
      <c r="O62" s="93"/>
      <c r="P62" s="98"/>
      <c r="Q62" s="102"/>
      <c r="R62" s="108"/>
      <c r="S62" s="231"/>
      <c r="T62" s="231"/>
      <c r="U62" s="232"/>
      <c r="V62" s="232"/>
      <c r="W62" s="111"/>
    </row>
    <row r="63" spans="2:26" ht="15.75" customHeight="1">
      <c r="D63" s="87"/>
      <c r="E63" s="88"/>
      <c r="G63" s="231"/>
      <c r="H63" s="231"/>
      <c r="I63" s="231"/>
      <c r="J63" s="105"/>
      <c r="L63" s="231"/>
      <c r="M63" s="231"/>
      <c r="N63" s="232"/>
      <c r="O63" s="93"/>
      <c r="P63" s="115"/>
      <c r="Q63" s="94"/>
      <c r="R63" s="94"/>
      <c r="S63" s="231"/>
      <c r="T63" s="231"/>
      <c r="U63" s="232"/>
      <c r="V63" s="232"/>
      <c r="W63" s="96"/>
    </row>
    <row r="64" spans="2:26" ht="15.75" customHeight="1">
      <c r="D64" s="87"/>
      <c r="E64" s="100"/>
      <c r="G64" s="231"/>
      <c r="H64" s="231"/>
      <c r="I64" s="231"/>
      <c r="J64" s="105"/>
      <c r="L64" s="231"/>
      <c r="M64" s="231"/>
      <c r="N64" s="232"/>
      <c r="O64" s="93"/>
      <c r="P64" s="98"/>
      <c r="Q64" s="102"/>
      <c r="R64" s="108"/>
      <c r="S64" s="231"/>
      <c r="T64" s="231"/>
      <c r="U64" s="232"/>
      <c r="V64" s="232"/>
      <c r="W64" s="111"/>
    </row>
    <row r="65" spans="2:23" ht="15.75" customHeight="1">
      <c r="D65" s="87"/>
      <c r="E65" s="88"/>
      <c r="G65" s="231"/>
      <c r="H65" s="231"/>
      <c r="I65" s="231"/>
      <c r="J65" s="105"/>
      <c r="L65" s="231"/>
      <c r="M65" s="231"/>
      <c r="N65" s="232"/>
      <c r="O65" s="93"/>
      <c r="P65" s="115"/>
      <c r="Q65" s="94"/>
      <c r="R65" s="94"/>
      <c r="S65" s="231"/>
      <c r="T65" s="231"/>
      <c r="U65" s="232"/>
      <c r="V65" s="232"/>
      <c r="W65" s="96"/>
    </row>
    <row r="66" spans="2:23" ht="15.75" customHeight="1">
      <c r="D66" s="87"/>
      <c r="E66" s="100"/>
      <c r="G66" s="231"/>
      <c r="H66" s="231"/>
      <c r="I66" s="231"/>
      <c r="J66" s="105"/>
      <c r="L66" s="231"/>
      <c r="M66" s="231"/>
      <c r="N66" s="232"/>
      <c r="O66" s="93"/>
      <c r="P66" s="98"/>
      <c r="Q66" s="102"/>
      <c r="R66" s="108"/>
      <c r="S66" s="231"/>
      <c r="T66" s="231"/>
      <c r="U66" s="232"/>
      <c r="V66" s="232"/>
      <c r="W66" s="111"/>
    </row>
    <row r="67" spans="2:23" ht="15.75" customHeight="1">
      <c r="D67" s="87"/>
      <c r="E67" s="88"/>
      <c r="G67" s="231"/>
      <c r="H67" s="231"/>
      <c r="I67" s="231"/>
      <c r="J67" s="105"/>
      <c r="L67" s="231"/>
      <c r="M67" s="231"/>
      <c r="N67" s="232"/>
      <c r="O67" s="93"/>
      <c r="P67" s="115"/>
      <c r="Q67" s="94"/>
      <c r="R67" s="94"/>
      <c r="S67" s="231"/>
      <c r="T67" s="231"/>
      <c r="U67" s="232"/>
      <c r="V67" s="232"/>
      <c r="W67" s="111"/>
    </row>
    <row r="68" spans="2:23" ht="15.75" customHeight="1">
      <c r="D68" s="87"/>
      <c r="E68" s="100"/>
      <c r="G68" s="231"/>
      <c r="H68" s="231"/>
      <c r="I68" s="231"/>
      <c r="J68" s="105"/>
      <c r="L68" s="231"/>
      <c r="M68" s="231"/>
      <c r="N68" s="232"/>
      <c r="O68" s="93"/>
      <c r="P68" s="98"/>
      <c r="Q68" s="102"/>
      <c r="R68" s="108"/>
      <c r="S68" s="231"/>
      <c r="T68" s="231"/>
      <c r="U68" s="232"/>
      <c r="V68" s="232"/>
      <c r="W68" s="111"/>
    </row>
    <row r="69" spans="2:23" ht="15.75" customHeight="1">
      <c r="D69" s="87"/>
      <c r="E69" s="88"/>
      <c r="J69" s="105"/>
      <c r="O69" s="93"/>
      <c r="P69" s="115"/>
      <c r="Q69" s="94"/>
      <c r="R69" s="94"/>
      <c r="U69" s="232"/>
      <c r="V69" s="232"/>
      <c r="W69" s="111"/>
    </row>
    <row r="70" spans="2:23" ht="15.75" customHeight="1">
      <c r="D70" s="87"/>
      <c r="E70" s="100"/>
      <c r="G70" s="231"/>
      <c r="H70" s="231"/>
      <c r="I70" s="231"/>
      <c r="J70" s="105"/>
      <c r="L70" s="231"/>
      <c r="M70" s="231"/>
      <c r="N70" s="232"/>
      <c r="O70" s="93"/>
      <c r="P70" s="98"/>
      <c r="Q70" s="102"/>
      <c r="R70" s="108"/>
      <c r="S70" s="231"/>
      <c r="T70" s="231"/>
      <c r="U70" s="232"/>
      <c r="V70" s="232"/>
      <c r="W70" s="111"/>
    </row>
    <row r="71" spans="2:23" ht="15.75" customHeight="1">
      <c r="D71" s="87"/>
      <c r="E71" s="88"/>
      <c r="G71" s="231"/>
      <c r="H71" s="231"/>
      <c r="I71" s="231"/>
      <c r="J71" s="105"/>
      <c r="L71" s="231"/>
      <c r="M71" s="231"/>
      <c r="N71" s="232"/>
      <c r="O71" s="93"/>
      <c r="P71" s="115"/>
      <c r="Q71" s="94"/>
      <c r="R71" s="94"/>
      <c r="S71" s="231"/>
      <c r="T71" s="231"/>
      <c r="U71" s="232"/>
      <c r="V71" s="232"/>
      <c r="W71" s="111"/>
    </row>
    <row r="72" spans="2:23" ht="15.75" customHeight="1">
      <c r="D72" s="87"/>
      <c r="E72" s="100"/>
      <c r="G72" s="231"/>
      <c r="H72" s="231"/>
      <c r="I72" s="231"/>
      <c r="J72" s="105"/>
      <c r="L72" s="231"/>
      <c r="M72" s="231"/>
      <c r="N72" s="232"/>
      <c r="O72" s="93"/>
      <c r="P72" s="98"/>
      <c r="Q72" s="102"/>
      <c r="R72" s="108"/>
      <c r="S72" s="231"/>
      <c r="T72" s="231"/>
      <c r="U72" s="232"/>
      <c r="V72" s="232"/>
      <c r="W72" s="111"/>
    </row>
    <row r="73" spans="2:23" ht="15.75" customHeight="1">
      <c r="D73" s="87"/>
      <c r="E73" s="88"/>
      <c r="G73" s="231"/>
      <c r="H73" s="231"/>
      <c r="I73" s="231"/>
      <c r="J73" s="105"/>
      <c r="L73" s="231"/>
      <c r="M73" s="231"/>
      <c r="N73" s="232"/>
      <c r="O73" s="93"/>
      <c r="P73" s="115"/>
      <c r="Q73" s="94"/>
      <c r="R73" s="94"/>
      <c r="S73" s="231"/>
      <c r="T73" s="231"/>
      <c r="U73" s="232"/>
      <c r="V73" s="232"/>
      <c r="W73" s="111"/>
    </row>
    <row r="74" spans="2:23" ht="15.75" customHeight="1">
      <c r="D74" s="87"/>
      <c r="E74" s="100"/>
      <c r="G74" s="231"/>
      <c r="H74" s="231"/>
      <c r="I74" s="231"/>
      <c r="J74" s="105"/>
      <c r="L74" s="231"/>
      <c r="M74" s="231"/>
      <c r="N74" s="232"/>
      <c r="O74" s="93"/>
      <c r="P74" s="98"/>
      <c r="Q74" s="102"/>
      <c r="R74" s="108"/>
      <c r="S74" s="231"/>
      <c r="T74" s="231"/>
      <c r="U74" s="232"/>
      <c r="V74" s="232"/>
      <c r="W74" s="111"/>
    </row>
    <row r="75" spans="2:23" ht="15.75" customHeight="1">
      <c r="D75" s="87"/>
      <c r="E75" s="88"/>
      <c r="G75" s="231"/>
      <c r="H75" s="231"/>
      <c r="I75" s="231"/>
      <c r="J75" s="105"/>
      <c r="L75" s="231"/>
      <c r="M75" s="231"/>
      <c r="N75" s="232"/>
      <c r="O75" s="93"/>
      <c r="P75" s="115"/>
      <c r="Q75" s="94"/>
      <c r="R75" s="94"/>
      <c r="S75" s="231"/>
      <c r="T75" s="231"/>
      <c r="U75" s="232"/>
      <c r="V75" s="232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827</v>
      </c>
      <c r="G78" s="121">
        <f t="shared" si="0"/>
        <v>104780.65</v>
      </c>
      <c r="H78" s="122">
        <f t="shared" si="0"/>
        <v>72262.540000000008</v>
      </c>
      <c r="I78" s="123">
        <f t="shared" si="0"/>
        <v>179151.11</v>
      </c>
      <c r="J78" s="124"/>
      <c r="K78" s="125">
        <f t="shared" ref="K78:M78" si="1">SUM(K19:K77)</f>
        <v>827</v>
      </c>
      <c r="L78" s="122">
        <f t="shared" si="1"/>
        <v>55614.929999999993</v>
      </c>
      <c r="M78" s="123">
        <f t="shared" si="1"/>
        <v>96897.47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96897.47</v>
      </c>
      <c r="T78" s="123">
        <f t="shared" si="2"/>
        <v>1393336.3099999998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77" xr:uid="{3818304D-0E82-4596-96EE-13964982672E}">
      <formula1>$Z$19:$Z$58</formula1>
    </dataValidation>
    <dataValidation type="list" allowBlank="1" showErrorMessage="1" sqref="I14" xr:uid="{15CD7191-40C4-4122-8F45-4D4E3A349179}">
      <formula1>$Y$14:$Y$15</formula1>
    </dataValidation>
    <dataValidation type="list" allowBlank="1" showErrorMessage="1" sqref="J14" xr:uid="{1677FCAD-E6CE-4B9D-A516-98C665E4567B}">
      <formula1>$L$9</formula1>
    </dataValidation>
    <dataValidation type="list" allowBlank="1" showErrorMessage="1" sqref="Q15 G18 L18 Q18" xr:uid="{A854D943-1072-47F3-A553-0DD5BE3BCF5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FEFB-8778-4EBC-97D8-FE3692800803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502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191536.52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2019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104696.34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86840.18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500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0.45338706164234371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501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3118612.7399999993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104696.34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523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732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503</v>
      </c>
      <c r="C19" t="s">
        <v>109</v>
      </c>
      <c r="D19" s="87"/>
      <c r="E19" s="88"/>
      <c r="F19">
        <v>1</v>
      </c>
      <c r="G19" s="231">
        <v>78</v>
      </c>
      <c r="H19" s="231">
        <v>53.79</v>
      </c>
      <c r="I19" s="231">
        <v>78</v>
      </c>
      <c r="J19" s="92"/>
      <c r="K19">
        <v>1</v>
      </c>
      <c r="L19" s="231">
        <v>39</v>
      </c>
      <c r="M19" s="231">
        <v>39</v>
      </c>
      <c r="N19" s="232">
        <v>0.5</v>
      </c>
      <c r="O19" s="232"/>
      <c r="P19" s="86"/>
      <c r="Q19" s="94"/>
      <c r="R19" s="94"/>
      <c r="S19" s="231">
        <v>39</v>
      </c>
      <c r="T19" s="231">
        <v>39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504</v>
      </c>
      <c r="C20" t="s">
        <v>306</v>
      </c>
      <c r="D20" s="87"/>
      <c r="E20" s="100"/>
      <c r="F20">
        <v>1</v>
      </c>
      <c r="G20" s="231">
        <v>60.23</v>
      </c>
      <c r="H20" s="231">
        <v>41.54</v>
      </c>
      <c r="I20" s="231">
        <v>60.23</v>
      </c>
      <c r="J20" s="105"/>
      <c r="K20">
        <v>1</v>
      </c>
      <c r="L20" s="231">
        <v>30.12</v>
      </c>
      <c r="M20" s="231">
        <v>30.12</v>
      </c>
      <c r="N20" s="232">
        <v>0.49990000000000001</v>
      </c>
      <c r="O20" s="232"/>
      <c r="P20" s="98"/>
      <c r="Q20" s="102"/>
      <c r="R20" s="108"/>
      <c r="S20" s="231">
        <v>30.12</v>
      </c>
      <c r="T20" s="231">
        <v>30.12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505</v>
      </c>
      <c r="C21" t="s">
        <v>159</v>
      </c>
      <c r="D21" s="227"/>
      <c r="E21" s="100"/>
      <c r="F21">
        <v>2</v>
      </c>
      <c r="G21" s="231">
        <v>51.52</v>
      </c>
      <c r="H21" s="231">
        <v>35.53</v>
      </c>
      <c r="I21" s="231">
        <v>103.04</v>
      </c>
      <c r="J21" s="228"/>
      <c r="K21">
        <v>2</v>
      </c>
      <c r="L21" s="231">
        <v>25.76</v>
      </c>
      <c r="M21" s="231">
        <v>51.52</v>
      </c>
      <c r="N21" s="232">
        <v>0.5</v>
      </c>
      <c r="O21" s="232"/>
      <c r="P21" s="98"/>
      <c r="Q21" s="102"/>
      <c r="R21" s="108"/>
      <c r="S21" s="231">
        <v>51.52</v>
      </c>
      <c r="T21" s="231">
        <v>103.04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307</v>
      </c>
      <c r="C22" t="s">
        <v>144</v>
      </c>
      <c r="D22" s="227"/>
      <c r="E22" s="100"/>
      <c r="F22">
        <v>1</v>
      </c>
      <c r="G22" s="231">
        <v>171.55</v>
      </c>
      <c r="H22" s="231">
        <v>118.31</v>
      </c>
      <c r="I22" s="231">
        <v>171.55</v>
      </c>
      <c r="J22" s="228"/>
      <c r="K22">
        <v>1</v>
      </c>
      <c r="L22" s="231">
        <v>85.78</v>
      </c>
      <c r="M22" s="231">
        <v>85.78</v>
      </c>
      <c r="N22" s="232">
        <v>0.5</v>
      </c>
      <c r="O22" s="232"/>
      <c r="P22" s="98"/>
      <c r="Q22" s="102"/>
      <c r="R22" s="108"/>
      <c r="S22" s="231">
        <v>85.78</v>
      </c>
      <c r="T22" s="231">
        <v>85.78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308</v>
      </c>
      <c r="C23" t="s">
        <v>110</v>
      </c>
      <c r="D23" s="227"/>
      <c r="E23" s="100"/>
      <c r="F23">
        <v>1</v>
      </c>
      <c r="G23" s="231">
        <v>259.82</v>
      </c>
      <c r="H23" s="231">
        <v>179.19</v>
      </c>
      <c r="I23" s="231">
        <v>259.82</v>
      </c>
      <c r="J23" s="228"/>
      <c r="K23">
        <v>1</v>
      </c>
      <c r="L23" s="231">
        <v>168.88</v>
      </c>
      <c r="M23" s="231">
        <v>168.88</v>
      </c>
      <c r="N23" s="232">
        <v>0.35</v>
      </c>
      <c r="O23" s="232"/>
      <c r="P23" s="98"/>
      <c r="Q23" s="102"/>
      <c r="R23" s="108"/>
      <c r="S23" s="231">
        <v>168.88</v>
      </c>
      <c r="T23" s="231">
        <v>168.88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309</v>
      </c>
      <c r="C24" t="s">
        <v>111</v>
      </c>
      <c r="D24" s="227"/>
      <c r="E24" s="100"/>
      <c r="F24">
        <v>1</v>
      </c>
      <c r="G24" s="231">
        <v>109.02</v>
      </c>
      <c r="H24" s="231">
        <v>75.19</v>
      </c>
      <c r="I24" s="231">
        <v>109.02</v>
      </c>
      <c r="J24" s="228"/>
      <c r="K24">
        <v>1</v>
      </c>
      <c r="L24" s="231">
        <v>70.86</v>
      </c>
      <c r="M24" s="231">
        <v>70.86</v>
      </c>
      <c r="N24" s="232">
        <v>0.35</v>
      </c>
      <c r="O24" s="232"/>
      <c r="P24" s="98"/>
      <c r="Q24" s="102"/>
      <c r="R24" s="108"/>
      <c r="S24" s="231">
        <v>70.86</v>
      </c>
      <c r="T24" s="231">
        <v>70.86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506</v>
      </c>
      <c r="C25" t="s">
        <v>112</v>
      </c>
      <c r="D25" s="227"/>
      <c r="E25" s="100"/>
      <c r="F25">
        <v>1</v>
      </c>
      <c r="G25" s="231">
        <v>1076.32</v>
      </c>
      <c r="H25" s="231">
        <v>742.29</v>
      </c>
      <c r="I25" s="231">
        <v>1076.32</v>
      </c>
      <c r="J25" s="228"/>
      <c r="K25">
        <v>1</v>
      </c>
      <c r="L25" s="231">
        <v>699.61</v>
      </c>
      <c r="M25" s="231">
        <v>699.61</v>
      </c>
      <c r="N25" s="232">
        <v>0.35</v>
      </c>
      <c r="O25" s="232"/>
      <c r="P25" s="98"/>
      <c r="Q25" s="102"/>
      <c r="R25" s="108"/>
      <c r="S25" s="231">
        <v>699.61</v>
      </c>
      <c r="T25" s="231">
        <v>699.61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D26" s="227"/>
      <c r="E26" s="100"/>
      <c r="H26" t="s">
        <v>120</v>
      </c>
      <c r="I26" t="s">
        <v>120</v>
      </c>
      <c r="J26" s="228"/>
      <c r="K26">
        <v>0</v>
      </c>
      <c r="L26" t="s">
        <v>120</v>
      </c>
      <c r="M26" t="s">
        <v>120</v>
      </c>
      <c r="O26" s="232"/>
      <c r="P26" s="98"/>
      <c r="Q26" s="102"/>
      <c r="R26" s="108"/>
      <c r="S26" t="s">
        <v>120</v>
      </c>
      <c r="T26" t="s">
        <v>120</v>
      </c>
      <c r="U26" s="232">
        <v>0</v>
      </c>
      <c r="V26" s="232">
        <v>0</v>
      </c>
      <c r="W26" s="229"/>
      <c r="X26" s="230"/>
      <c r="Y26" s="8"/>
      <c r="Z26" s="8"/>
    </row>
    <row r="27" spans="2:26">
      <c r="B27" t="s">
        <v>507</v>
      </c>
      <c r="C27" t="s">
        <v>508</v>
      </c>
      <c r="D27" s="227"/>
      <c r="E27" s="100"/>
      <c r="F27">
        <v>6</v>
      </c>
      <c r="G27" s="231">
        <v>1817.71</v>
      </c>
      <c r="H27" s="231">
        <v>1253.5899999999999</v>
      </c>
      <c r="I27" s="231">
        <v>10906.26</v>
      </c>
      <c r="J27" s="228"/>
      <c r="K27">
        <v>6</v>
      </c>
      <c r="L27" s="231">
        <v>1272.4000000000001</v>
      </c>
      <c r="M27" s="231">
        <v>7634.4</v>
      </c>
      <c r="N27" s="232">
        <v>0.3</v>
      </c>
      <c r="O27" s="232"/>
      <c r="P27" s="98"/>
      <c r="Q27" s="102"/>
      <c r="R27" s="108"/>
      <c r="S27" s="231">
        <v>7634.4</v>
      </c>
      <c r="T27" s="231">
        <v>45806.400000000001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139</v>
      </c>
      <c r="C28" t="s">
        <v>168</v>
      </c>
      <c r="D28" s="227"/>
      <c r="E28" s="100"/>
      <c r="F28">
        <v>2</v>
      </c>
      <c r="G28" s="231">
        <v>503.86</v>
      </c>
      <c r="H28" s="231">
        <v>347.49</v>
      </c>
      <c r="I28" s="231">
        <v>1007.72</v>
      </c>
      <c r="J28" s="228"/>
      <c r="K28">
        <v>2</v>
      </c>
      <c r="L28" s="231">
        <v>251.93</v>
      </c>
      <c r="M28" s="231">
        <v>503.86</v>
      </c>
      <c r="N28" s="232">
        <v>0.5</v>
      </c>
      <c r="P28" s="98"/>
      <c r="Q28" s="102"/>
      <c r="R28" s="108"/>
      <c r="S28" s="231">
        <v>503.86</v>
      </c>
      <c r="T28" s="231">
        <v>1007.72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509</v>
      </c>
      <c r="C29" t="s">
        <v>497</v>
      </c>
      <c r="D29" s="227"/>
      <c r="E29" s="100"/>
      <c r="F29">
        <v>1</v>
      </c>
      <c r="G29" s="231">
        <v>5839.53</v>
      </c>
      <c r="H29" s="231">
        <v>4027.26</v>
      </c>
      <c r="I29" s="231">
        <v>5839.53</v>
      </c>
      <c r="J29" s="228"/>
      <c r="K29">
        <v>1</v>
      </c>
      <c r="L29" s="231">
        <v>2919.77</v>
      </c>
      <c r="M29" s="231">
        <v>2919.77</v>
      </c>
      <c r="N29" s="232">
        <v>0.5</v>
      </c>
      <c r="O29" s="232"/>
      <c r="P29" s="98"/>
      <c r="Q29" s="102"/>
      <c r="R29" s="108"/>
      <c r="S29" s="231">
        <v>2919.77</v>
      </c>
      <c r="T29" s="231">
        <v>2919.77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510</v>
      </c>
      <c r="C30" t="s">
        <v>511</v>
      </c>
      <c r="D30" s="227"/>
      <c r="E30" s="100"/>
      <c r="F30">
        <v>1</v>
      </c>
      <c r="G30" s="231">
        <v>2482.65</v>
      </c>
      <c r="H30" s="231">
        <v>1712.17</v>
      </c>
      <c r="I30" s="231">
        <v>2482.65</v>
      </c>
      <c r="J30" s="228"/>
      <c r="K30">
        <v>1</v>
      </c>
      <c r="L30" s="231">
        <v>1241.33</v>
      </c>
      <c r="M30" s="231">
        <v>1241.33</v>
      </c>
      <c r="N30" s="232">
        <v>0.5</v>
      </c>
      <c r="O30" s="232"/>
      <c r="P30" s="98"/>
      <c r="Q30" s="102"/>
      <c r="R30" s="108"/>
      <c r="S30" s="231">
        <v>1241.33</v>
      </c>
      <c r="T30" s="231">
        <v>1241.33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120</v>
      </c>
      <c r="I31" t="s">
        <v>120</v>
      </c>
      <c r="J31" s="228"/>
      <c r="K31">
        <v>0</v>
      </c>
      <c r="L31" t="s">
        <v>120</v>
      </c>
      <c r="M31" t="s">
        <v>120</v>
      </c>
      <c r="O31" s="232"/>
      <c r="P31" s="98"/>
      <c r="Q31" s="102"/>
      <c r="R31" s="108"/>
      <c r="S31" t="s">
        <v>120</v>
      </c>
      <c r="T31" t="s">
        <v>120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D32" s="227"/>
      <c r="E32" s="100"/>
      <c r="H32" t="s">
        <v>120</v>
      </c>
      <c r="I32" t="s">
        <v>120</v>
      </c>
      <c r="J32" s="228"/>
      <c r="K32">
        <v>0</v>
      </c>
      <c r="L32" t="s">
        <v>120</v>
      </c>
      <c r="M32" t="s">
        <v>120</v>
      </c>
      <c r="O32" s="232"/>
      <c r="P32" s="98"/>
      <c r="Q32" s="102"/>
      <c r="R32" s="108"/>
      <c r="S32" t="s">
        <v>120</v>
      </c>
      <c r="T32" t="s">
        <v>120</v>
      </c>
      <c r="U32" s="232">
        <v>0</v>
      </c>
      <c r="V32" s="232">
        <v>0</v>
      </c>
      <c r="W32" s="229"/>
      <c r="X32" s="230"/>
      <c r="Y32" s="8"/>
      <c r="Z32" s="8"/>
    </row>
    <row r="33" spans="2:26">
      <c r="B33" t="s">
        <v>263</v>
      </c>
      <c r="C33" t="s">
        <v>512</v>
      </c>
      <c r="D33" s="227"/>
      <c r="E33" s="100"/>
      <c r="F33">
        <v>2</v>
      </c>
      <c r="G33" s="231">
        <v>3220.34</v>
      </c>
      <c r="H33" s="231">
        <v>2220.92</v>
      </c>
      <c r="I33" s="231">
        <v>6440.68</v>
      </c>
      <c r="J33" s="228"/>
      <c r="K33">
        <v>2</v>
      </c>
      <c r="L33" s="231">
        <v>1771.19</v>
      </c>
      <c r="M33" s="231">
        <v>3542.38</v>
      </c>
      <c r="N33" s="232">
        <v>0.45</v>
      </c>
      <c r="O33" s="232"/>
      <c r="P33" s="98"/>
      <c r="Q33" s="102"/>
      <c r="R33" s="108"/>
      <c r="S33" s="231">
        <v>3542.38</v>
      </c>
      <c r="T33" s="231">
        <v>7084.76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237</v>
      </c>
      <c r="C34" t="s">
        <v>114</v>
      </c>
      <c r="D34" s="227"/>
      <c r="E34" s="100"/>
      <c r="F34">
        <v>2</v>
      </c>
      <c r="G34" s="231">
        <v>520.11</v>
      </c>
      <c r="H34" s="231">
        <v>358.7</v>
      </c>
      <c r="I34" s="231">
        <v>1040.22</v>
      </c>
      <c r="J34" s="228"/>
      <c r="K34">
        <v>2</v>
      </c>
      <c r="L34" s="231">
        <v>286.07</v>
      </c>
      <c r="M34" s="231">
        <v>572.14</v>
      </c>
      <c r="N34" s="232">
        <v>0.45</v>
      </c>
      <c r="O34" s="232"/>
      <c r="P34" s="98"/>
      <c r="Q34" s="102"/>
      <c r="R34" s="108"/>
      <c r="S34" s="231">
        <v>572.14</v>
      </c>
      <c r="T34" s="231">
        <v>1144.28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264</v>
      </c>
      <c r="C35" t="s">
        <v>476</v>
      </c>
      <c r="D35" s="227"/>
      <c r="E35" s="100"/>
      <c r="F35">
        <v>2</v>
      </c>
      <c r="G35" s="231">
        <v>651.61</v>
      </c>
      <c r="H35" s="231">
        <v>449.39</v>
      </c>
      <c r="I35" s="231">
        <v>1303.22</v>
      </c>
      <c r="J35" s="228"/>
      <c r="K35">
        <v>2</v>
      </c>
      <c r="L35" s="231">
        <v>358.39</v>
      </c>
      <c r="M35" s="231">
        <v>716.78</v>
      </c>
      <c r="N35" s="232">
        <v>0.45</v>
      </c>
      <c r="O35" s="232"/>
      <c r="P35" s="98"/>
      <c r="Q35" s="102"/>
      <c r="R35" s="108"/>
      <c r="S35" s="231">
        <v>716.78</v>
      </c>
      <c r="T35" s="231">
        <v>1433.56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513</v>
      </c>
      <c r="C36" t="s">
        <v>200</v>
      </c>
      <c r="D36" s="227"/>
      <c r="E36" s="100"/>
      <c r="F36">
        <v>4</v>
      </c>
      <c r="G36" s="231">
        <v>8.76</v>
      </c>
      <c r="H36" s="231">
        <v>6.04</v>
      </c>
      <c r="I36" s="231">
        <v>35.04</v>
      </c>
      <c r="J36" s="228"/>
      <c r="K36">
        <v>4</v>
      </c>
      <c r="L36" s="231">
        <v>4.82</v>
      </c>
      <c r="M36" s="231">
        <v>19.28</v>
      </c>
      <c r="N36" s="232">
        <v>0.44979999999999998</v>
      </c>
      <c r="O36" s="232"/>
      <c r="P36" s="98"/>
      <c r="Q36" s="102"/>
      <c r="R36" s="108"/>
      <c r="S36" s="231">
        <v>19.28</v>
      </c>
      <c r="T36" s="231">
        <v>77.12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203</v>
      </c>
      <c r="C37" t="s">
        <v>204</v>
      </c>
      <c r="D37" s="227"/>
      <c r="E37" s="100"/>
      <c r="F37">
        <v>4</v>
      </c>
      <c r="G37" s="231">
        <v>2.83</v>
      </c>
      <c r="H37" s="231">
        <v>1.95</v>
      </c>
      <c r="I37" s="231">
        <v>11.32</v>
      </c>
      <c r="J37" s="228"/>
      <c r="K37">
        <v>4</v>
      </c>
      <c r="L37" s="231">
        <v>1.56</v>
      </c>
      <c r="M37" s="231">
        <v>6.24</v>
      </c>
      <c r="N37" s="232">
        <v>0.44879999999999998</v>
      </c>
      <c r="P37" s="98"/>
      <c r="Q37" s="102"/>
      <c r="R37" s="108"/>
      <c r="S37" s="231">
        <v>6.24</v>
      </c>
      <c r="T37" s="231">
        <v>24.96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266</v>
      </c>
      <c r="C38" t="s">
        <v>478</v>
      </c>
      <c r="D38" s="227"/>
      <c r="E38" s="100"/>
      <c r="F38">
        <v>14</v>
      </c>
      <c r="G38" s="231">
        <v>785.53</v>
      </c>
      <c r="H38" s="231">
        <v>541.74</v>
      </c>
      <c r="I38" s="231">
        <v>10997.42</v>
      </c>
      <c r="J38" s="228"/>
      <c r="K38">
        <v>14</v>
      </c>
      <c r="L38" s="231">
        <v>432.05</v>
      </c>
      <c r="M38" s="231">
        <v>6048.7</v>
      </c>
      <c r="N38" s="232">
        <v>0.45</v>
      </c>
      <c r="O38" s="232"/>
      <c r="P38" s="98"/>
      <c r="Q38" s="102"/>
      <c r="R38" s="108"/>
      <c r="S38" s="231">
        <v>6048.7</v>
      </c>
      <c r="T38" s="231">
        <v>84681.8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513</v>
      </c>
      <c r="C39" t="s">
        <v>200</v>
      </c>
      <c r="D39" s="227"/>
      <c r="E39" s="100"/>
      <c r="F39">
        <v>56</v>
      </c>
      <c r="G39" s="231">
        <v>8.76</v>
      </c>
      <c r="H39" s="231">
        <v>6.04</v>
      </c>
      <c r="I39" s="231">
        <v>490.56</v>
      </c>
      <c r="J39" s="228"/>
      <c r="K39">
        <v>56</v>
      </c>
      <c r="L39" s="231">
        <v>4.82</v>
      </c>
      <c r="M39" s="231">
        <v>269.92</v>
      </c>
      <c r="N39" s="232">
        <v>0.44979999999999998</v>
      </c>
      <c r="O39" s="232"/>
      <c r="P39" s="98"/>
      <c r="Q39" s="102"/>
      <c r="R39" s="108"/>
      <c r="S39" s="231">
        <v>269.92</v>
      </c>
      <c r="T39" s="231">
        <v>15115.52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203</v>
      </c>
      <c r="C40" t="s">
        <v>204</v>
      </c>
      <c r="D40" s="227"/>
      <c r="E40" s="100"/>
      <c r="F40">
        <v>56</v>
      </c>
      <c r="G40" s="231">
        <v>2.83</v>
      </c>
      <c r="H40" s="231">
        <v>1.95</v>
      </c>
      <c r="I40" s="231">
        <v>158.47999999999999</v>
      </c>
      <c r="J40" s="228"/>
      <c r="K40">
        <v>56</v>
      </c>
      <c r="L40" s="231">
        <v>1.56</v>
      </c>
      <c r="M40" s="231">
        <v>87.36</v>
      </c>
      <c r="N40" s="232">
        <v>0.44879999999999998</v>
      </c>
      <c r="O40" s="232"/>
      <c r="P40" s="98"/>
      <c r="Q40" s="102"/>
      <c r="R40" s="108"/>
      <c r="S40" s="231">
        <v>87.36</v>
      </c>
      <c r="T40" s="231">
        <v>4892.16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D41" s="227"/>
      <c r="E41" s="100"/>
      <c r="H41" t="s">
        <v>120</v>
      </c>
      <c r="I41" t="s">
        <v>120</v>
      </c>
      <c r="J41" s="228"/>
      <c r="K41">
        <v>0</v>
      </c>
      <c r="L41" t="s">
        <v>120</v>
      </c>
      <c r="M41" t="s">
        <v>120</v>
      </c>
      <c r="O41" s="232"/>
      <c r="P41" s="98"/>
      <c r="Q41" s="102"/>
      <c r="R41" s="108"/>
      <c r="S41" t="s">
        <v>120</v>
      </c>
      <c r="T41" t="s">
        <v>120</v>
      </c>
      <c r="U41" s="232">
        <v>0</v>
      </c>
      <c r="V41" s="232">
        <v>0</v>
      </c>
      <c r="W41" s="229"/>
      <c r="X41" s="230"/>
      <c r="Y41" s="8"/>
      <c r="Z41" s="8"/>
    </row>
    <row r="42" spans="2:26">
      <c r="D42" s="227"/>
      <c r="E42" s="100"/>
      <c r="H42" t="s">
        <v>120</v>
      </c>
      <c r="I42" t="s">
        <v>120</v>
      </c>
      <c r="J42" s="228"/>
      <c r="K42">
        <v>0</v>
      </c>
      <c r="L42" t="s">
        <v>120</v>
      </c>
      <c r="M42" t="s">
        <v>120</v>
      </c>
      <c r="P42" s="98"/>
      <c r="Q42" s="102"/>
      <c r="R42" s="108"/>
      <c r="S42" t="s">
        <v>120</v>
      </c>
      <c r="T42" t="s">
        <v>120</v>
      </c>
      <c r="U42" s="232">
        <v>0</v>
      </c>
      <c r="V42" s="232">
        <v>0</v>
      </c>
      <c r="W42" s="229"/>
      <c r="X42" s="230"/>
      <c r="Y42" s="8"/>
      <c r="Z42" s="8"/>
    </row>
    <row r="43" spans="2:26">
      <c r="B43" t="s">
        <v>259</v>
      </c>
      <c r="C43" t="s">
        <v>514</v>
      </c>
      <c r="D43" s="227"/>
      <c r="E43" s="100"/>
      <c r="F43">
        <v>10</v>
      </c>
      <c r="G43" s="231">
        <v>177.98</v>
      </c>
      <c r="H43" s="231">
        <v>122.74</v>
      </c>
      <c r="I43" s="231">
        <v>1779.8</v>
      </c>
      <c r="J43" s="228"/>
      <c r="K43">
        <v>10</v>
      </c>
      <c r="L43" s="231">
        <v>97.89</v>
      </c>
      <c r="M43" s="231">
        <v>978.9</v>
      </c>
      <c r="N43" s="232">
        <v>0.45</v>
      </c>
      <c r="O43" s="232"/>
      <c r="P43" s="98"/>
      <c r="Q43" s="102"/>
      <c r="R43" s="108"/>
      <c r="S43" s="231">
        <v>978.9</v>
      </c>
      <c r="T43" s="231">
        <v>9789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260</v>
      </c>
      <c r="C44" t="s">
        <v>128</v>
      </c>
      <c r="D44" s="227"/>
      <c r="E44" s="100"/>
      <c r="F44">
        <v>40</v>
      </c>
      <c r="G44" s="231">
        <v>2.94</v>
      </c>
      <c r="H44" s="231">
        <v>2.0299999999999998</v>
      </c>
      <c r="I44" s="231">
        <v>117.6</v>
      </c>
      <c r="J44" s="228"/>
      <c r="K44">
        <v>40</v>
      </c>
      <c r="L44" s="231">
        <v>1.62</v>
      </c>
      <c r="M44" s="231">
        <v>64.8</v>
      </c>
      <c r="N44" s="232">
        <v>0.44900000000000001</v>
      </c>
      <c r="P44" s="98"/>
      <c r="Q44" s="102"/>
      <c r="R44" s="108"/>
      <c r="S44" s="231">
        <v>64.8</v>
      </c>
      <c r="T44" s="231">
        <v>2592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261</v>
      </c>
      <c r="C45" t="s">
        <v>148</v>
      </c>
      <c r="D45" s="227"/>
      <c r="E45" s="100"/>
      <c r="F45">
        <v>40</v>
      </c>
      <c r="G45" s="231">
        <v>3.41</v>
      </c>
      <c r="H45" s="231">
        <v>2.35</v>
      </c>
      <c r="I45" s="231">
        <v>136.4</v>
      </c>
      <c r="J45" s="228"/>
      <c r="K45">
        <v>40</v>
      </c>
      <c r="L45" s="231">
        <v>1.88</v>
      </c>
      <c r="M45" s="231">
        <v>75.2</v>
      </c>
      <c r="N45" s="232">
        <v>0.44869999999999999</v>
      </c>
      <c r="P45" s="98"/>
      <c r="Q45" s="102"/>
      <c r="R45" s="108"/>
      <c r="S45" s="231">
        <v>75.2</v>
      </c>
      <c r="T45" s="231">
        <v>3008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262</v>
      </c>
      <c r="C46" t="s">
        <v>515</v>
      </c>
      <c r="D46" s="227"/>
      <c r="E46" s="100"/>
      <c r="F46">
        <v>40</v>
      </c>
      <c r="G46" s="231">
        <v>3.41</v>
      </c>
      <c r="H46" s="231">
        <v>2.35</v>
      </c>
      <c r="I46" s="231">
        <v>136.4</v>
      </c>
      <c r="J46" s="228"/>
      <c r="K46">
        <v>40</v>
      </c>
      <c r="L46" s="231">
        <v>1.88</v>
      </c>
      <c r="M46" s="231">
        <v>75.2</v>
      </c>
      <c r="N46" s="232">
        <v>0.44869999999999999</v>
      </c>
      <c r="P46" s="98"/>
      <c r="Q46" s="102"/>
      <c r="R46" s="108"/>
      <c r="S46" s="231">
        <v>75.2</v>
      </c>
      <c r="T46" s="231">
        <v>3008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D47" s="227"/>
      <c r="E47" s="100"/>
      <c r="H47" t="s">
        <v>120</v>
      </c>
      <c r="I47" t="s">
        <v>120</v>
      </c>
      <c r="J47" s="228"/>
      <c r="K47">
        <v>0</v>
      </c>
      <c r="L47" t="s">
        <v>120</v>
      </c>
      <c r="M47" t="s">
        <v>120</v>
      </c>
      <c r="P47" s="98"/>
      <c r="Q47" s="102"/>
      <c r="R47" s="108"/>
      <c r="S47" t="s">
        <v>120</v>
      </c>
      <c r="T47" t="s">
        <v>120</v>
      </c>
      <c r="U47" s="232">
        <v>0</v>
      </c>
      <c r="V47" s="232">
        <v>0</v>
      </c>
      <c r="W47" s="229"/>
      <c r="X47" s="230"/>
      <c r="Y47" s="8"/>
      <c r="Z47" s="8"/>
    </row>
    <row r="48" spans="2:26">
      <c r="B48" t="s">
        <v>516</v>
      </c>
      <c r="C48" t="s">
        <v>322</v>
      </c>
      <c r="D48" s="227"/>
      <c r="E48" s="100"/>
      <c r="F48">
        <v>2</v>
      </c>
      <c r="G48" s="231">
        <v>12613.63</v>
      </c>
      <c r="H48" s="231">
        <v>8699.06</v>
      </c>
      <c r="I48" s="231">
        <v>25227.26</v>
      </c>
      <c r="J48" s="228"/>
      <c r="K48">
        <v>2</v>
      </c>
      <c r="L48" s="231">
        <v>6937.5</v>
      </c>
      <c r="M48" s="231">
        <v>13875</v>
      </c>
      <c r="N48" s="232">
        <v>0.45</v>
      </c>
      <c r="O48" s="232"/>
      <c r="P48" s="98"/>
      <c r="Q48" s="102"/>
      <c r="R48" s="108"/>
      <c r="S48" s="231">
        <v>13875</v>
      </c>
      <c r="T48" s="231">
        <v>27750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B49" t="s">
        <v>268</v>
      </c>
      <c r="C49" t="s">
        <v>517</v>
      </c>
      <c r="D49" s="87"/>
      <c r="E49" s="88"/>
      <c r="F49">
        <v>2</v>
      </c>
      <c r="G49" s="231">
        <v>11935.92</v>
      </c>
      <c r="H49" s="231">
        <v>8231.67</v>
      </c>
      <c r="I49" s="231">
        <v>23871.84</v>
      </c>
      <c r="J49" s="105"/>
      <c r="K49">
        <v>2</v>
      </c>
      <c r="L49" s="231">
        <v>6564.76</v>
      </c>
      <c r="M49" s="231">
        <v>13129.52</v>
      </c>
      <c r="N49" s="232">
        <v>0.45</v>
      </c>
      <c r="O49" s="232"/>
      <c r="P49" s="115"/>
      <c r="Q49" s="94"/>
      <c r="R49" s="94"/>
      <c r="S49" s="231">
        <v>13129.52</v>
      </c>
      <c r="T49" s="231">
        <v>26259.040000000001</v>
      </c>
      <c r="U49" s="232">
        <v>0</v>
      </c>
      <c r="V49" s="232">
        <v>1</v>
      </c>
      <c r="W49" s="96"/>
      <c r="X49" s="97"/>
      <c r="Y49" s="8"/>
      <c r="Z49" s="8"/>
    </row>
    <row r="50" spans="2:26" ht="15.75" customHeight="1">
      <c r="B50" t="s">
        <v>518</v>
      </c>
      <c r="C50" t="s">
        <v>326</v>
      </c>
      <c r="D50" s="87"/>
      <c r="E50" s="100"/>
      <c r="F50">
        <v>88</v>
      </c>
      <c r="G50" s="231">
        <v>655.30999999999995</v>
      </c>
      <c r="H50" s="231">
        <v>451.94</v>
      </c>
      <c r="I50" s="231">
        <v>57667.28</v>
      </c>
      <c r="J50" s="105"/>
      <c r="K50">
        <v>88</v>
      </c>
      <c r="L50" s="231">
        <v>360.43</v>
      </c>
      <c r="M50" s="231">
        <v>31717.84</v>
      </c>
      <c r="N50" s="232">
        <v>0.45</v>
      </c>
      <c r="O50" s="232"/>
      <c r="P50" s="98"/>
      <c r="Q50" s="102"/>
      <c r="R50" s="108"/>
      <c r="S50" s="231">
        <v>31717.84</v>
      </c>
      <c r="T50" s="231">
        <v>2791169.92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B51" t="s">
        <v>273</v>
      </c>
      <c r="C51" t="s">
        <v>116</v>
      </c>
      <c r="D51" s="87"/>
      <c r="E51" s="88"/>
      <c r="F51">
        <v>86</v>
      </c>
      <c r="G51" s="231">
        <v>5.51</v>
      </c>
      <c r="H51" s="231">
        <v>3.8</v>
      </c>
      <c r="I51" s="231">
        <v>473.86</v>
      </c>
      <c r="J51" s="105"/>
      <c r="K51">
        <v>86</v>
      </c>
      <c r="L51" s="231">
        <v>3.04</v>
      </c>
      <c r="M51" s="231">
        <v>261.44</v>
      </c>
      <c r="N51" s="232">
        <v>0.44829999999999998</v>
      </c>
      <c r="O51" s="232"/>
      <c r="P51" s="115"/>
      <c r="Q51" s="94"/>
      <c r="R51" s="94"/>
      <c r="S51" s="231">
        <v>261.44</v>
      </c>
      <c r="T51" s="231">
        <v>22483.84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t="s">
        <v>274</v>
      </c>
      <c r="C52" t="s">
        <v>116</v>
      </c>
      <c r="D52" s="87"/>
      <c r="E52" s="100"/>
      <c r="F52">
        <v>86</v>
      </c>
      <c r="G52" s="231">
        <v>3.12</v>
      </c>
      <c r="H52" s="231">
        <v>2.15</v>
      </c>
      <c r="I52" s="231">
        <v>268.32</v>
      </c>
      <c r="J52" s="105"/>
      <c r="K52">
        <v>86</v>
      </c>
      <c r="L52" s="231">
        <v>1.72</v>
      </c>
      <c r="M52" s="231">
        <v>147.91999999999999</v>
      </c>
      <c r="N52" s="232">
        <v>0.44869999999999999</v>
      </c>
      <c r="O52" s="93"/>
      <c r="P52" s="98"/>
      <c r="Q52" s="102"/>
      <c r="R52" s="108"/>
      <c r="S52" s="231">
        <v>147.91999999999999</v>
      </c>
      <c r="T52" s="231">
        <v>12721.12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t="s">
        <v>275</v>
      </c>
      <c r="C53" t="s">
        <v>142</v>
      </c>
      <c r="D53" s="87"/>
      <c r="E53" s="88"/>
      <c r="F53">
        <v>172</v>
      </c>
      <c r="G53" s="231">
        <v>2.0699999999999998</v>
      </c>
      <c r="H53" s="231">
        <v>1.43</v>
      </c>
      <c r="I53" s="231">
        <v>356.04</v>
      </c>
      <c r="J53" s="105"/>
      <c r="K53">
        <v>172</v>
      </c>
      <c r="L53" s="231">
        <v>1.1399999999999999</v>
      </c>
      <c r="M53" s="231">
        <v>196.08</v>
      </c>
      <c r="N53" s="232">
        <v>0.44929999999999998</v>
      </c>
      <c r="O53" s="93"/>
      <c r="P53" s="115"/>
      <c r="Q53" s="94"/>
      <c r="R53" s="94"/>
      <c r="S53" s="231">
        <v>196.08</v>
      </c>
      <c r="T53" s="231">
        <v>33725.760000000002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B54" t="s">
        <v>271</v>
      </c>
      <c r="C54" t="s">
        <v>331</v>
      </c>
      <c r="D54" s="87"/>
      <c r="E54" s="100"/>
      <c r="F54">
        <v>2</v>
      </c>
      <c r="G54" s="231">
        <v>6.45</v>
      </c>
      <c r="H54" s="231">
        <v>4.45</v>
      </c>
      <c r="I54" s="231">
        <v>12.9</v>
      </c>
      <c r="J54" s="105"/>
      <c r="K54">
        <v>2</v>
      </c>
      <c r="L54" s="231">
        <v>3.55</v>
      </c>
      <c r="M54" s="231">
        <v>7.1</v>
      </c>
      <c r="N54" s="232">
        <v>0.4496</v>
      </c>
      <c r="O54" s="93"/>
      <c r="P54" s="98"/>
      <c r="Q54" s="102"/>
      <c r="R54" s="108"/>
      <c r="S54" s="231">
        <v>7.1</v>
      </c>
      <c r="T54" s="231">
        <v>14.2</v>
      </c>
      <c r="U54" s="232">
        <v>0</v>
      </c>
      <c r="V54" s="232">
        <v>1</v>
      </c>
      <c r="W54" s="111"/>
      <c r="X54" s="97"/>
      <c r="Y54" s="8"/>
      <c r="Z54" s="8"/>
    </row>
    <row r="55" spans="2:26" ht="15.75" customHeight="1">
      <c r="B55" t="s">
        <v>272</v>
      </c>
      <c r="C55" t="s">
        <v>331</v>
      </c>
      <c r="D55" s="87"/>
      <c r="E55" s="88"/>
      <c r="F55">
        <v>2</v>
      </c>
      <c r="G55" s="231">
        <v>5.25</v>
      </c>
      <c r="H55" s="231">
        <v>3.62</v>
      </c>
      <c r="I55" s="231">
        <v>10.5</v>
      </c>
      <c r="J55" s="105"/>
      <c r="K55">
        <v>2</v>
      </c>
      <c r="L55" s="231">
        <v>2.89</v>
      </c>
      <c r="M55" s="231">
        <v>5.78</v>
      </c>
      <c r="N55" s="232">
        <v>0.44950000000000001</v>
      </c>
      <c r="O55" s="93"/>
      <c r="P55" s="115"/>
      <c r="Q55" s="94"/>
      <c r="R55" s="94"/>
      <c r="S55" s="231">
        <v>5.78</v>
      </c>
      <c r="T55" s="231">
        <v>11.56</v>
      </c>
      <c r="U55" s="232">
        <v>0</v>
      </c>
      <c r="V55" s="232">
        <v>1</v>
      </c>
      <c r="W55" s="96"/>
      <c r="X55" s="97"/>
      <c r="Y55" s="8"/>
      <c r="Z55" s="8"/>
    </row>
    <row r="56" spans="2:26" ht="15.75" customHeight="1">
      <c r="D56" s="87"/>
      <c r="E56" s="100"/>
      <c r="H56" t="s">
        <v>120</v>
      </c>
      <c r="I56" t="s">
        <v>120</v>
      </c>
      <c r="J56" s="105"/>
      <c r="K56">
        <v>0</v>
      </c>
      <c r="L56" t="s">
        <v>120</v>
      </c>
      <c r="M56" t="s">
        <v>120</v>
      </c>
      <c r="O56" s="93"/>
      <c r="P56" s="98"/>
      <c r="Q56" s="102"/>
      <c r="R56" s="108"/>
      <c r="S56" t="s">
        <v>120</v>
      </c>
      <c r="T56" t="s">
        <v>120</v>
      </c>
      <c r="U56" s="232">
        <v>0</v>
      </c>
      <c r="V56" s="232">
        <v>0</v>
      </c>
      <c r="W56" s="111"/>
      <c r="X56" s="97"/>
      <c r="Y56" s="8"/>
      <c r="Z56" s="116"/>
    </row>
    <row r="57" spans="2:26" ht="15.75" customHeight="1">
      <c r="B57" t="s">
        <v>519</v>
      </c>
      <c r="C57" t="s">
        <v>117</v>
      </c>
      <c r="D57" s="87"/>
      <c r="E57" s="88"/>
      <c r="F57">
        <v>1</v>
      </c>
      <c r="G57" s="231">
        <v>6826.34</v>
      </c>
      <c r="H57" s="231">
        <v>4707.82</v>
      </c>
      <c r="I57" s="231">
        <v>6826.34</v>
      </c>
      <c r="J57" s="105"/>
      <c r="K57">
        <v>1</v>
      </c>
      <c r="L57" s="231">
        <v>3413.17</v>
      </c>
      <c r="M57" s="231">
        <v>3413.17</v>
      </c>
      <c r="N57" s="232">
        <v>0.5</v>
      </c>
      <c r="O57" s="93"/>
      <c r="P57" s="115"/>
      <c r="Q57" s="94"/>
      <c r="R57" s="94"/>
      <c r="S57" s="231">
        <v>3413.17</v>
      </c>
      <c r="T57" s="231">
        <v>3413.17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B58" t="s">
        <v>520</v>
      </c>
      <c r="C58" t="s">
        <v>298</v>
      </c>
      <c r="D58" s="87"/>
      <c r="E58" s="100"/>
      <c r="F58">
        <v>1</v>
      </c>
      <c r="G58" s="231">
        <v>4686.51</v>
      </c>
      <c r="H58" s="231">
        <v>3232.08</v>
      </c>
      <c r="I58" s="231">
        <v>4686.51</v>
      </c>
      <c r="J58" s="105"/>
      <c r="K58">
        <v>1</v>
      </c>
      <c r="L58" s="231">
        <v>2343.2600000000002</v>
      </c>
      <c r="M58" s="231">
        <v>2343.2600000000002</v>
      </c>
      <c r="N58" s="232">
        <v>0.5</v>
      </c>
      <c r="O58" s="93"/>
      <c r="P58" s="98"/>
      <c r="Q58" s="102"/>
      <c r="R58" s="108"/>
      <c r="S58" s="231">
        <v>2343.2600000000002</v>
      </c>
      <c r="T58" s="231">
        <v>2343.2600000000002</v>
      </c>
      <c r="U58" s="232">
        <v>0</v>
      </c>
      <c r="V58" s="232">
        <v>1</v>
      </c>
      <c r="W58" s="111"/>
      <c r="X58" s="97"/>
      <c r="Y58" s="8"/>
      <c r="Z58" s="8"/>
    </row>
    <row r="59" spans="2:26" ht="15.75" customHeight="1">
      <c r="B59" t="s">
        <v>299</v>
      </c>
      <c r="C59" t="s">
        <v>300</v>
      </c>
      <c r="D59" s="87"/>
      <c r="E59" s="88"/>
      <c r="F59">
        <v>1</v>
      </c>
      <c r="G59" s="231">
        <v>14944.09</v>
      </c>
      <c r="H59" s="231">
        <v>10306.27</v>
      </c>
      <c r="I59" s="231">
        <v>14944.09</v>
      </c>
      <c r="J59" s="105"/>
      <c r="K59">
        <v>1</v>
      </c>
      <c r="L59" s="231">
        <v>7472.05</v>
      </c>
      <c r="M59" s="231">
        <v>7472.05</v>
      </c>
      <c r="N59" s="232">
        <v>0.5</v>
      </c>
      <c r="O59" s="93"/>
      <c r="P59" s="115"/>
      <c r="Q59" s="94"/>
      <c r="R59" s="94"/>
      <c r="S59" s="231">
        <v>7472.05</v>
      </c>
      <c r="T59" s="231">
        <v>7472.05</v>
      </c>
      <c r="U59" s="232">
        <v>0</v>
      </c>
      <c r="V59" s="232">
        <v>1</v>
      </c>
      <c r="W59" s="96"/>
      <c r="X59" s="97"/>
      <c r="Y59" s="8"/>
      <c r="Z59" s="8"/>
    </row>
    <row r="60" spans="2:26" ht="15.75" customHeight="1">
      <c r="B60" t="s">
        <v>521</v>
      </c>
      <c r="C60" t="s">
        <v>119</v>
      </c>
      <c r="D60" s="87"/>
      <c r="E60" s="100"/>
      <c r="F60">
        <v>1</v>
      </c>
      <c r="G60" s="231">
        <v>12450.3</v>
      </c>
      <c r="H60" s="231">
        <v>8586.41</v>
      </c>
      <c r="I60" s="231">
        <v>12450.3</v>
      </c>
      <c r="J60" s="105"/>
      <c r="K60">
        <v>1</v>
      </c>
      <c r="L60" s="231">
        <v>6225.15</v>
      </c>
      <c r="M60" s="231">
        <v>6225.15</v>
      </c>
      <c r="N60" s="232">
        <v>0.5</v>
      </c>
      <c r="O60" s="93"/>
      <c r="P60" s="98"/>
      <c r="Q60" s="102"/>
      <c r="R60" s="108"/>
      <c r="S60" s="231">
        <v>6225.15</v>
      </c>
      <c r="T60" s="231">
        <v>6225.15</v>
      </c>
      <c r="U60" s="232">
        <v>0</v>
      </c>
      <c r="V60" s="232">
        <v>1</v>
      </c>
      <c r="W60" s="111"/>
      <c r="X60" s="97"/>
      <c r="Y60" s="8"/>
      <c r="Z60" s="8"/>
    </row>
    <row r="61" spans="2:26" ht="15.75" customHeight="1">
      <c r="D61" s="87"/>
      <c r="E61" s="88"/>
      <c r="G61" s="231"/>
      <c r="H61" s="231"/>
      <c r="I61" s="231"/>
      <c r="J61" s="105"/>
      <c r="L61" s="231"/>
      <c r="M61" s="231"/>
      <c r="N61" s="232"/>
      <c r="O61" s="93"/>
      <c r="P61" s="115"/>
      <c r="Q61" s="94"/>
      <c r="R61" s="94"/>
      <c r="S61" s="231"/>
      <c r="T61" s="231"/>
      <c r="U61" s="232"/>
      <c r="V61" s="232"/>
      <c r="W61" s="96"/>
    </row>
    <row r="62" spans="2:26" ht="15.75" customHeight="1">
      <c r="D62" s="87"/>
      <c r="E62" s="100"/>
      <c r="G62" s="231"/>
      <c r="H62" s="231"/>
      <c r="I62" s="231"/>
      <c r="J62" s="105"/>
      <c r="L62" s="231"/>
      <c r="M62" s="231"/>
      <c r="N62" s="232"/>
      <c r="O62" s="93"/>
      <c r="P62" s="98"/>
      <c r="Q62" s="102"/>
      <c r="R62" s="108"/>
      <c r="S62" s="231"/>
      <c r="T62" s="231"/>
      <c r="U62" s="232"/>
      <c r="V62" s="232"/>
      <c r="W62" s="111"/>
    </row>
    <row r="63" spans="2:26" ht="15.75" customHeight="1">
      <c r="D63" s="87"/>
      <c r="E63" s="88"/>
      <c r="G63" s="231"/>
      <c r="H63" s="231"/>
      <c r="I63" s="231"/>
      <c r="J63" s="105"/>
      <c r="L63" s="231"/>
      <c r="M63" s="231"/>
      <c r="N63" s="232"/>
      <c r="O63" s="93"/>
      <c r="P63" s="115"/>
      <c r="Q63" s="94"/>
      <c r="R63" s="94"/>
      <c r="S63" s="231"/>
      <c r="T63" s="231"/>
      <c r="U63" s="232"/>
      <c r="V63" s="232"/>
      <c r="W63" s="96"/>
    </row>
    <row r="64" spans="2:26" ht="15.75" customHeight="1">
      <c r="D64" s="87"/>
      <c r="E64" s="100"/>
      <c r="G64" s="231"/>
      <c r="H64" s="231"/>
      <c r="I64" s="231"/>
      <c r="J64" s="105"/>
      <c r="L64" s="231"/>
      <c r="M64" s="231"/>
      <c r="N64" s="232"/>
      <c r="O64" s="93"/>
      <c r="P64" s="98"/>
      <c r="Q64" s="102"/>
      <c r="R64" s="108"/>
      <c r="S64" s="231"/>
      <c r="T64" s="231"/>
      <c r="U64" s="232"/>
      <c r="V64" s="232"/>
      <c r="W64" s="111"/>
    </row>
    <row r="65" spans="2:23" ht="15.75" customHeight="1">
      <c r="D65" s="87"/>
      <c r="E65" s="88"/>
      <c r="G65" s="231"/>
      <c r="H65" s="231"/>
      <c r="I65" s="231"/>
      <c r="J65" s="105"/>
      <c r="L65" s="231"/>
      <c r="M65" s="231"/>
      <c r="N65" s="232"/>
      <c r="O65" s="93"/>
      <c r="P65" s="115"/>
      <c r="Q65" s="94"/>
      <c r="R65" s="94"/>
      <c r="S65" s="231"/>
      <c r="T65" s="231"/>
      <c r="U65" s="232"/>
      <c r="V65" s="232"/>
      <c r="W65" s="96"/>
    </row>
    <row r="66" spans="2:23" ht="15.75" customHeight="1">
      <c r="D66" s="87"/>
      <c r="E66" s="100"/>
      <c r="G66" s="231"/>
      <c r="H66" s="231"/>
      <c r="I66" s="231"/>
      <c r="J66" s="105"/>
      <c r="L66" s="231"/>
      <c r="M66" s="231"/>
      <c r="N66" s="232"/>
      <c r="O66" s="93"/>
      <c r="P66" s="98"/>
      <c r="Q66" s="102"/>
      <c r="R66" s="108"/>
      <c r="S66" s="231"/>
      <c r="T66" s="231"/>
      <c r="U66" s="232"/>
      <c r="V66" s="232"/>
      <c r="W66" s="111"/>
    </row>
    <row r="67" spans="2:23" ht="15.75" customHeight="1">
      <c r="D67" s="87"/>
      <c r="E67" s="88"/>
      <c r="G67" s="231"/>
      <c r="H67" s="231"/>
      <c r="I67" s="231"/>
      <c r="J67" s="105"/>
      <c r="L67" s="231"/>
      <c r="M67" s="231"/>
      <c r="N67" s="232"/>
      <c r="O67" s="93"/>
      <c r="P67" s="115"/>
      <c r="Q67" s="94"/>
      <c r="R67" s="94"/>
      <c r="S67" s="231"/>
      <c r="T67" s="231"/>
      <c r="U67" s="232"/>
      <c r="V67" s="232"/>
      <c r="W67" s="111"/>
    </row>
    <row r="68" spans="2:23" ht="15.75" customHeight="1">
      <c r="D68" s="87"/>
      <c r="E68" s="100"/>
      <c r="G68" s="231"/>
      <c r="H68" s="231"/>
      <c r="I68" s="231"/>
      <c r="J68" s="105"/>
      <c r="L68" s="231"/>
      <c r="M68" s="231"/>
      <c r="N68" s="232"/>
      <c r="O68" s="93"/>
      <c r="P68" s="98"/>
      <c r="Q68" s="102"/>
      <c r="R68" s="108"/>
      <c r="S68" s="231"/>
      <c r="T68" s="231"/>
      <c r="U68" s="232"/>
      <c r="V68" s="232"/>
      <c r="W68" s="111"/>
    </row>
    <row r="69" spans="2:23" ht="15.75" customHeight="1">
      <c r="D69" s="87"/>
      <c r="E69" s="88"/>
      <c r="J69" s="105"/>
      <c r="O69" s="93"/>
      <c r="P69" s="115"/>
      <c r="Q69" s="94"/>
      <c r="R69" s="94"/>
      <c r="U69" s="232"/>
      <c r="V69" s="232"/>
      <c r="W69" s="111"/>
    </row>
    <row r="70" spans="2:23" ht="15.75" customHeight="1">
      <c r="D70" s="87"/>
      <c r="E70" s="100"/>
      <c r="G70" s="231"/>
      <c r="H70" s="231"/>
      <c r="I70" s="231"/>
      <c r="J70" s="105"/>
      <c r="L70" s="231"/>
      <c r="M70" s="231"/>
      <c r="N70" s="232"/>
      <c r="O70" s="93"/>
      <c r="P70" s="98"/>
      <c r="Q70" s="102"/>
      <c r="R70" s="108"/>
      <c r="S70" s="231"/>
      <c r="T70" s="231"/>
      <c r="U70" s="232"/>
      <c r="V70" s="232"/>
      <c r="W70" s="111"/>
    </row>
    <row r="71" spans="2:23" ht="15.75" customHeight="1">
      <c r="D71" s="87"/>
      <c r="E71" s="88"/>
      <c r="G71" s="231"/>
      <c r="H71" s="231"/>
      <c r="I71" s="231"/>
      <c r="J71" s="105"/>
      <c r="L71" s="231"/>
      <c r="M71" s="231"/>
      <c r="N71" s="232"/>
      <c r="O71" s="93"/>
      <c r="P71" s="115"/>
      <c r="Q71" s="94"/>
      <c r="R71" s="94"/>
      <c r="S71" s="231"/>
      <c r="T71" s="231"/>
      <c r="U71" s="232"/>
      <c r="V71" s="232"/>
      <c r="W71" s="111"/>
    </row>
    <row r="72" spans="2:23" ht="15.75" customHeight="1">
      <c r="D72" s="87"/>
      <c r="E72" s="100"/>
      <c r="G72" s="231"/>
      <c r="H72" s="231"/>
      <c r="I72" s="231"/>
      <c r="J72" s="105"/>
      <c r="L72" s="231"/>
      <c r="M72" s="231"/>
      <c r="N72" s="232"/>
      <c r="O72" s="93"/>
      <c r="P72" s="98"/>
      <c r="Q72" s="102"/>
      <c r="R72" s="108"/>
      <c r="S72" s="231"/>
      <c r="T72" s="231"/>
      <c r="U72" s="232"/>
      <c r="V72" s="232"/>
      <c r="W72" s="111"/>
    </row>
    <row r="73" spans="2:23" ht="15.75" customHeight="1">
      <c r="D73" s="87"/>
      <c r="E73" s="88"/>
      <c r="G73" s="231"/>
      <c r="H73" s="231"/>
      <c r="I73" s="231"/>
      <c r="J73" s="105"/>
      <c r="L73" s="231"/>
      <c r="M73" s="231"/>
      <c r="N73" s="232"/>
      <c r="O73" s="93"/>
      <c r="P73" s="115"/>
      <c r="Q73" s="94"/>
      <c r="R73" s="94"/>
      <c r="S73" s="231"/>
      <c r="T73" s="231"/>
      <c r="U73" s="232"/>
      <c r="V73" s="232"/>
      <c r="W73" s="111"/>
    </row>
    <row r="74" spans="2:23" ht="15.75" customHeight="1">
      <c r="D74" s="87"/>
      <c r="E74" s="100"/>
      <c r="G74" s="231"/>
      <c r="H74" s="231"/>
      <c r="I74" s="231"/>
      <c r="J74" s="105"/>
      <c r="L74" s="231"/>
      <c r="M74" s="231"/>
      <c r="N74" s="232"/>
      <c r="O74" s="93"/>
      <c r="P74" s="98"/>
      <c r="Q74" s="102"/>
      <c r="R74" s="108"/>
      <c r="S74" s="231"/>
      <c r="T74" s="231"/>
      <c r="U74" s="232"/>
      <c r="V74" s="232"/>
      <c r="W74" s="111"/>
    </row>
    <row r="75" spans="2:23" ht="15.75" customHeight="1">
      <c r="D75" s="87"/>
      <c r="E75" s="88"/>
      <c r="G75" s="231"/>
      <c r="H75" s="231"/>
      <c r="I75" s="231"/>
      <c r="J75" s="105"/>
      <c r="L75" s="231"/>
      <c r="M75" s="231"/>
      <c r="N75" s="232"/>
      <c r="O75" s="93"/>
      <c r="P75" s="115"/>
      <c r="Q75" s="94"/>
      <c r="R75" s="94"/>
      <c r="S75" s="231"/>
      <c r="T75" s="231"/>
      <c r="U75" s="232"/>
      <c r="V75" s="232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732</v>
      </c>
      <c r="G78" s="121">
        <f t="shared" si="0"/>
        <v>81973.22</v>
      </c>
      <c r="H78" s="122">
        <f t="shared" si="0"/>
        <v>56533.250000000015</v>
      </c>
      <c r="I78" s="123">
        <f t="shared" si="0"/>
        <v>191536.52</v>
      </c>
      <c r="J78" s="124"/>
      <c r="K78" s="125">
        <f t="shared" ref="K78:M78" si="1">SUM(K19:K77)</f>
        <v>732</v>
      </c>
      <c r="L78" s="122">
        <f t="shared" si="1"/>
        <v>43097.83</v>
      </c>
      <c r="M78" s="123">
        <f t="shared" si="1"/>
        <v>104696.34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104696.34</v>
      </c>
      <c r="T78" s="123">
        <f t="shared" si="2"/>
        <v>3118612.7399999993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46E449B9-1A27-4301-9DCD-A6C15AC693BC}">
      <formula1>$Y$12:$Y$13</formula1>
    </dataValidation>
    <dataValidation type="list" allowBlank="1" showErrorMessage="1" sqref="J14" xr:uid="{ACBF7ABF-7DC0-4890-A8D9-57D5F9838A2E}">
      <formula1>$L$9</formula1>
    </dataValidation>
    <dataValidation type="list" allowBlank="1" showErrorMessage="1" sqref="I14" xr:uid="{7E0F2000-5488-4CC3-9A8D-33C93BE20F72}">
      <formula1>$Y$14:$Y$15</formula1>
    </dataValidation>
    <dataValidation type="list" allowBlank="1" showErrorMessage="1" sqref="E19:E77" xr:uid="{93ECBDA3-62B0-49EB-8F01-8209B882D023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6ADB-39B7-44A7-9DC5-6D311742649F}">
  <sheetPr>
    <pageSetUpPr fitToPage="1"/>
  </sheetPr>
  <dimension ref="B1:Z78"/>
  <sheetViews>
    <sheetView tabSelected="1" zoomScale="55" zoomScaleNormal="55" workbookViewId="0">
      <pane ySplit="18" topLeftCell="A19" activePane="bottomLeft" state="frozen"/>
      <selection pane="bottomLeft" activeCell="G9" sqref="G9:H9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538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116206.07999999999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2019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61995.38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54210.69999999999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522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0.46650485069283809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539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1059800.42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61995.38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523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877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503</v>
      </c>
      <c r="C19" t="s">
        <v>109</v>
      </c>
      <c r="D19" s="87"/>
      <c r="E19" s="88"/>
      <c r="F19">
        <v>1</v>
      </c>
      <c r="G19" s="231">
        <v>78</v>
      </c>
      <c r="H19" s="231">
        <v>53.79</v>
      </c>
      <c r="I19" s="231">
        <v>78</v>
      </c>
      <c r="J19" s="92"/>
      <c r="K19">
        <v>1</v>
      </c>
      <c r="L19" s="231">
        <v>39</v>
      </c>
      <c r="M19" s="231">
        <v>39</v>
      </c>
      <c r="N19" s="232">
        <v>0.5</v>
      </c>
      <c r="O19" s="232"/>
      <c r="P19" s="86"/>
      <c r="Q19" s="94"/>
      <c r="R19" s="94"/>
      <c r="S19" s="231">
        <v>39</v>
      </c>
      <c r="T19" s="231">
        <v>39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340</v>
      </c>
      <c r="C20" t="s">
        <v>306</v>
      </c>
      <c r="D20" s="87"/>
      <c r="E20" s="100"/>
      <c r="F20">
        <v>1</v>
      </c>
      <c r="G20" s="231">
        <v>62.25</v>
      </c>
      <c r="H20" s="231">
        <v>42.93</v>
      </c>
      <c r="I20" s="231">
        <v>62.25</v>
      </c>
      <c r="J20" s="105"/>
      <c r="K20">
        <v>1</v>
      </c>
      <c r="L20" s="231">
        <v>31.13</v>
      </c>
      <c r="M20" s="231">
        <v>31.13</v>
      </c>
      <c r="N20" s="232">
        <v>0.49990000000000001</v>
      </c>
      <c r="O20" s="232"/>
      <c r="P20" s="98"/>
      <c r="Q20" s="102"/>
      <c r="R20" s="108"/>
      <c r="S20" s="231">
        <v>31.13</v>
      </c>
      <c r="T20" s="231">
        <v>31.13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248</v>
      </c>
      <c r="C21" t="s">
        <v>159</v>
      </c>
      <c r="D21" s="227"/>
      <c r="E21" s="100"/>
      <c r="F21">
        <v>1</v>
      </c>
      <c r="G21" s="231">
        <v>47.05</v>
      </c>
      <c r="H21" s="231">
        <v>32.450000000000003</v>
      </c>
      <c r="I21" s="231">
        <v>47.05</v>
      </c>
      <c r="J21" s="228"/>
      <c r="K21">
        <v>1</v>
      </c>
      <c r="L21" s="231">
        <v>23.53</v>
      </c>
      <c r="M21" s="231">
        <v>23.53</v>
      </c>
      <c r="N21" s="232">
        <v>0.49990000000000001</v>
      </c>
      <c r="O21" s="232"/>
      <c r="P21" s="98"/>
      <c r="Q21" s="102"/>
      <c r="R21" s="108"/>
      <c r="S21" s="231">
        <v>23.53</v>
      </c>
      <c r="T21" s="231">
        <v>23.53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524</v>
      </c>
      <c r="C22" t="s">
        <v>144</v>
      </c>
      <c r="D22" s="227"/>
      <c r="E22" s="100"/>
      <c r="F22">
        <v>1</v>
      </c>
      <c r="G22" s="231">
        <v>150.47</v>
      </c>
      <c r="H22" s="231">
        <v>103.77</v>
      </c>
      <c r="I22" s="231">
        <v>150.47</v>
      </c>
      <c r="J22" s="228"/>
      <c r="K22">
        <v>1</v>
      </c>
      <c r="L22" s="231">
        <v>75.239999999999995</v>
      </c>
      <c r="M22" s="231">
        <v>75.239999999999995</v>
      </c>
      <c r="N22" s="232">
        <v>0.5</v>
      </c>
      <c r="O22" s="232"/>
      <c r="P22" s="98"/>
      <c r="Q22" s="102"/>
      <c r="R22" s="108"/>
      <c r="S22" s="231">
        <v>75.239999999999995</v>
      </c>
      <c r="T22" s="231">
        <v>75.239999999999995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345</v>
      </c>
      <c r="C23" t="s">
        <v>110</v>
      </c>
      <c r="D23" s="227"/>
      <c r="E23" s="100"/>
      <c r="F23">
        <v>1</v>
      </c>
      <c r="G23" s="231">
        <v>221.03</v>
      </c>
      <c r="H23" s="231">
        <v>152.43</v>
      </c>
      <c r="I23" s="231">
        <v>221.03</v>
      </c>
      <c r="J23" s="228"/>
      <c r="K23">
        <v>1</v>
      </c>
      <c r="L23" s="231">
        <v>143.68</v>
      </c>
      <c r="M23" s="231">
        <v>143.68</v>
      </c>
      <c r="N23" s="232">
        <v>0.35</v>
      </c>
      <c r="O23" s="232"/>
      <c r="P23" s="98"/>
      <c r="Q23" s="102"/>
      <c r="R23" s="108"/>
      <c r="S23" s="231">
        <v>143.68</v>
      </c>
      <c r="T23" s="231">
        <v>143.68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346</v>
      </c>
      <c r="C24" t="s">
        <v>111</v>
      </c>
      <c r="D24" s="227"/>
      <c r="E24" s="100"/>
      <c r="F24">
        <v>1</v>
      </c>
      <c r="G24" s="231">
        <v>152.66999999999999</v>
      </c>
      <c r="H24" s="231">
        <v>105.29</v>
      </c>
      <c r="I24" s="231">
        <v>152.66999999999999</v>
      </c>
      <c r="J24" s="228"/>
      <c r="K24">
        <v>1</v>
      </c>
      <c r="L24" s="231">
        <v>99.24</v>
      </c>
      <c r="M24" s="231">
        <v>99.24</v>
      </c>
      <c r="N24" s="232">
        <v>0.35</v>
      </c>
      <c r="O24" s="232"/>
      <c r="P24" s="98"/>
      <c r="Q24" s="102"/>
      <c r="R24" s="108"/>
      <c r="S24" s="231">
        <v>99.24</v>
      </c>
      <c r="T24" s="231">
        <v>99.24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525</v>
      </c>
      <c r="C25" t="s">
        <v>112</v>
      </c>
      <c r="D25" s="227"/>
      <c r="E25" s="100"/>
      <c r="F25">
        <v>1</v>
      </c>
      <c r="G25" s="231">
        <v>85.17</v>
      </c>
      <c r="H25" s="231">
        <v>58.74</v>
      </c>
      <c r="I25" s="231">
        <v>85.17</v>
      </c>
      <c r="J25" s="228"/>
      <c r="K25">
        <v>1</v>
      </c>
      <c r="L25" s="231">
        <v>55.37</v>
      </c>
      <c r="M25" s="231">
        <v>55.37</v>
      </c>
      <c r="N25" s="232">
        <v>0.34989999999999999</v>
      </c>
      <c r="O25" s="232"/>
      <c r="P25" s="98"/>
      <c r="Q25" s="102"/>
      <c r="R25" s="108"/>
      <c r="S25" s="231">
        <v>55.37</v>
      </c>
      <c r="T25" s="231">
        <v>55.37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D26" s="227"/>
      <c r="E26" s="100"/>
      <c r="H26" t="s">
        <v>120</v>
      </c>
      <c r="I26" t="s">
        <v>120</v>
      </c>
      <c r="J26" s="228"/>
      <c r="K26">
        <v>0</v>
      </c>
      <c r="L26" t="s">
        <v>120</v>
      </c>
      <c r="M26" t="s">
        <v>120</v>
      </c>
      <c r="O26" s="232"/>
      <c r="P26" s="98"/>
      <c r="Q26" s="102"/>
      <c r="R26" s="108"/>
      <c r="S26" t="s">
        <v>120</v>
      </c>
      <c r="T26" t="s">
        <v>120</v>
      </c>
      <c r="U26" s="232">
        <v>0</v>
      </c>
      <c r="V26" s="232">
        <v>0</v>
      </c>
      <c r="W26" s="229"/>
      <c r="X26" s="230"/>
      <c r="Y26" s="8"/>
      <c r="Z26" s="8"/>
    </row>
    <row r="27" spans="2:26">
      <c r="B27" t="s">
        <v>526</v>
      </c>
      <c r="C27" t="s">
        <v>514</v>
      </c>
      <c r="D27" s="227"/>
      <c r="E27" s="100"/>
      <c r="F27">
        <v>2</v>
      </c>
      <c r="G27" s="231">
        <v>1650.99</v>
      </c>
      <c r="H27" s="231">
        <v>1138.6099999999999</v>
      </c>
      <c r="I27" s="231">
        <v>3301.98</v>
      </c>
      <c r="J27" s="228"/>
      <c r="K27">
        <v>2</v>
      </c>
      <c r="L27" s="231">
        <v>908.05</v>
      </c>
      <c r="M27" s="231">
        <v>1816.1</v>
      </c>
      <c r="N27" s="232">
        <v>0.45</v>
      </c>
      <c r="O27" s="232"/>
      <c r="P27" s="98"/>
      <c r="Q27" s="102"/>
      <c r="R27" s="108"/>
      <c r="S27" s="231">
        <v>1816.1</v>
      </c>
      <c r="T27" s="231">
        <v>3632.2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260</v>
      </c>
      <c r="C28" t="s">
        <v>128</v>
      </c>
      <c r="D28" s="227"/>
      <c r="E28" s="100"/>
      <c r="F28">
        <v>54</v>
      </c>
      <c r="G28" s="231">
        <v>2.94</v>
      </c>
      <c r="H28" s="231">
        <v>2.0299999999999998</v>
      </c>
      <c r="I28" s="231">
        <v>158.76</v>
      </c>
      <c r="J28" s="228"/>
      <c r="K28">
        <v>54</v>
      </c>
      <c r="L28" s="231">
        <v>1.62</v>
      </c>
      <c r="M28" s="231">
        <v>87.48</v>
      </c>
      <c r="N28" s="232">
        <v>0.44900000000000001</v>
      </c>
      <c r="P28" s="98"/>
      <c r="Q28" s="102"/>
      <c r="R28" s="108"/>
      <c r="S28" s="231">
        <v>87.48</v>
      </c>
      <c r="T28" s="231">
        <v>4723.92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261</v>
      </c>
      <c r="C29" t="s">
        <v>148</v>
      </c>
      <c r="D29" s="227"/>
      <c r="E29" s="100"/>
      <c r="F29">
        <v>54</v>
      </c>
      <c r="G29" s="231">
        <v>3.41</v>
      </c>
      <c r="H29" s="231">
        <v>2.35</v>
      </c>
      <c r="I29" s="231">
        <v>184.14</v>
      </c>
      <c r="J29" s="228"/>
      <c r="K29">
        <v>54</v>
      </c>
      <c r="L29" s="231">
        <v>1.88</v>
      </c>
      <c r="M29" s="231">
        <v>101.52</v>
      </c>
      <c r="N29" s="232">
        <v>0.44869999999999999</v>
      </c>
      <c r="O29" s="232"/>
      <c r="P29" s="98"/>
      <c r="Q29" s="102"/>
      <c r="R29" s="108"/>
      <c r="S29" s="231">
        <v>101.52</v>
      </c>
      <c r="T29" s="231">
        <v>5482.08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D30" s="227"/>
      <c r="E30" s="100"/>
      <c r="H30" t="s">
        <v>120</v>
      </c>
      <c r="I30" t="s">
        <v>120</v>
      </c>
      <c r="J30" s="228"/>
      <c r="K30">
        <v>0</v>
      </c>
      <c r="L30" t="s">
        <v>120</v>
      </c>
      <c r="M30" t="s">
        <v>120</v>
      </c>
      <c r="O30" s="232"/>
      <c r="P30" s="98"/>
      <c r="Q30" s="102"/>
      <c r="R30" s="108"/>
      <c r="S30" t="s">
        <v>120</v>
      </c>
      <c r="T30" t="s">
        <v>120</v>
      </c>
      <c r="U30" s="232">
        <v>0</v>
      </c>
      <c r="V30" s="232">
        <v>0</v>
      </c>
      <c r="W30" s="229"/>
      <c r="X30" s="230"/>
      <c r="Y30" s="8"/>
      <c r="Z30" s="8"/>
    </row>
    <row r="31" spans="2:26">
      <c r="B31" t="s">
        <v>527</v>
      </c>
      <c r="C31" t="s">
        <v>114</v>
      </c>
      <c r="D31" s="227"/>
      <c r="E31" s="100"/>
      <c r="F31">
        <v>2</v>
      </c>
      <c r="G31" s="231">
        <v>558.77</v>
      </c>
      <c r="H31" s="231">
        <v>385.36</v>
      </c>
      <c r="I31" s="231">
        <v>1117.54</v>
      </c>
      <c r="J31" s="228"/>
      <c r="K31">
        <v>2</v>
      </c>
      <c r="L31" s="231">
        <v>307.33</v>
      </c>
      <c r="M31" s="231">
        <v>614.66</v>
      </c>
      <c r="N31" s="232">
        <v>0.45</v>
      </c>
      <c r="O31" s="232"/>
      <c r="P31" s="98"/>
      <c r="Q31" s="102"/>
      <c r="R31" s="108"/>
      <c r="S31" s="231">
        <v>614.66</v>
      </c>
      <c r="T31" s="231">
        <v>1229.32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528</v>
      </c>
      <c r="C32" t="s">
        <v>115</v>
      </c>
      <c r="D32" s="227"/>
      <c r="E32" s="100"/>
      <c r="F32">
        <v>4</v>
      </c>
      <c r="G32" s="231">
        <v>1.31</v>
      </c>
      <c r="H32" s="231">
        <v>0.9</v>
      </c>
      <c r="I32" s="231">
        <v>5.24</v>
      </c>
      <c r="J32" s="228"/>
      <c r="K32">
        <v>4</v>
      </c>
      <c r="L32" s="231">
        <v>0.73</v>
      </c>
      <c r="M32" s="231">
        <v>2.92</v>
      </c>
      <c r="N32" s="232">
        <v>0.44269999999999998</v>
      </c>
      <c r="O32" s="232"/>
      <c r="P32" s="98"/>
      <c r="Q32" s="102"/>
      <c r="R32" s="108"/>
      <c r="S32" s="231">
        <v>2.92</v>
      </c>
      <c r="T32" s="231">
        <v>11.68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D33" s="227"/>
      <c r="E33" s="100"/>
      <c r="H33" t="s">
        <v>120</v>
      </c>
      <c r="I33" t="s">
        <v>120</v>
      </c>
      <c r="J33" s="228"/>
      <c r="K33">
        <v>0</v>
      </c>
      <c r="L33" t="s">
        <v>120</v>
      </c>
      <c r="M33" t="s">
        <v>120</v>
      </c>
      <c r="O33" s="232"/>
      <c r="P33" s="98"/>
      <c r="Q33" s="102"/>
      <c r="R33" s="108"/>
      <c r="S33" t="s">
        <v>120</v>
      </c>
      <c r="T33" t="s">
        <v>120</v>
      </c>
      <c r="U33" s="232">
        <v>0</v>
      </c>
      <c r="V33" s="232">
        <v>0</v>
      </c>
      <c r="W33" s="229"/>
      <c r="X33" s="230"/>
      <c r="Y33" s="8"/>
      <c r="Z33" s="8"/>
    </row>
    <row r="34" spans="2:26">
      <c r="B34" t="s">
        <v>529</v>
      </c>
      <c r="C34" t="s">
        <v>129</v>
      </c>
      <c r="D34" s="227"/>
      <c r="E34" s="100"/>
      <c r="F34">
        <v>2</v>
      </c>
      <c r="G34" s="231">
        <v>3032.3</v>
      </c>
      <c r="H34" s="231">
        <v>2091.2399999999998</v>
      </c>
      <c r="I34" s="231">
        <v>6064.6</v>
      </c>
      <c r="J34" s="228"/>
      <c r="K34">
        <v>2</v>
      </c>
      <c r="L34" s="231">
        <v>1667.77</v>
      </c>
      <c r="M34" s="231">
        <v>3335.54</v>
      </c>
      <c r="N34" s="232">
        <v>0.45</v>
      </c>
      <c r="O34" s="232"/>
      <c r="P34" s="98"/>
      <c r="Q34" s="102"/>
      <c r="R34" s="108"/>
      <c r="S34" s="231">
        <v>3335.54</v>
      </c>
      <c r="T34" s="231">
        <v>6671.08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530</v>
      </c>
      <c r="C35" t="s">
        <v>476</v>
      </c>
      <c r="D35" s="227"/>
      <c r="E35" s="100"/>
      <c r="F35">
        <v>16</v>
      </c>
      <c r="G35" s="231">
        <v>564.07000000000005</v>
      </c>
      <c r="H35" s="231">
        <v>389.01</v>
      </c>
      <c r="I35" s="231">
        <v>9025.1200000000008</v>
      </c>
      <c r="J35" s="228"/>
      <c r="K35">
        <v>16</v>
      </c>
      <c r="L35" s="231">
        <v>310.24</v>
      </c>
      <c r="M35" s="231">
        <v>4963.84</v>
      </c>
      <c r="N35" s="232">
        <v>0.45</v>
      </c>
      <c r="O35" s="232"/>
      <c r="P35" s="98"/>
      <c r="Q35" s="102"/>
      <c r="R35" s="108"/>
      <c r="S35" s="231">
        <v>4963.84</v>
      </c>
      <c r="T35" s="231">
        <v>79421.440000000002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531</v>
      </c>
      <c r="C36" t="s">
        <v>478</v>
      </c>
      <c r="D36" s="227"/>
      <c r="E36" s="100"/>
      <c r="F36">
        <v>16</v>
      </c>
      <c r="G36" s="231">
        <v>537.23</v>
      </c>
      <c r="H36" s="231">
        <v>370.5</v>
      </c>
      <c r="I36" s="231">
        <v>8595.68</v>
      </c>
      <c r="J36" s="228"/>
      <c r="K36">
        <v>16</v>
      </c>
      <c r="L36" s="231">
        <v>295.48</v>
      </c>
      <c r="M36" s="231">
        <v>4727.68</v>
      </c>
      <c r="N36" s="232">
        <v>0.45</v>
      </c>
      <c r="O36" s="232"/>
      <c r="P36" s="98"/>
      <c r="Q36" s="102"/>
      <c r="R36" s="108"/>
      <c r="S36" s="231">
        <v>4727.68</v>
      </c>
      <c r="T36" s="231">
        <v>75642.880000000005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D37" s="227"/>
      <c r="E37" s="100"/>
      <c r="H37" t="s">
        <v>120</v>
      </c>
      <c r="I37" t="s">
        <v>120</v>
      </c>
      <c r="J37" s="228"/>
      <c r="K37">
        <v>0</v>
      </c>
      <c r="L37" t="s">
        <v>120</v>
      </c>
      <c r="M37" t="s">
        <v>120</v>
      </c>
      <c r="P37" s="98"/>
      <c r="Q37" s="102"/>
      <c r="R37" s="108"/>
      <c r="S37" t="s">
        <v>120</v>
      </c>
      <c r="T37" t="s">
        <v>120</v>
      </c>
      <c r="U37" s="232">
        <v>0</v>
      </c>
      <c r="V37" s="232">
        <v>0</v>
      </c>
      <c r="W37" s="229"/>
      <c r="X37" s="230"/>
      <c r="Y37" s="8"/>
      <c r="Z37" s="8"/>
    </row>
    <row r="38" spans="2:26">
      <c r="D38" s="227"/>
      <c r="E38" s="100"/>
      <c r="H38" t="s">
        <v>120</v>
      </c>
      <c r="I38" t="s">
        <v>120</v>
      </c>
      <c r="J38" s="228"/>
      <c r="K38">
        <v>0</v>
      </c>
      <c r="L38" t="s">
        <v>120</v>
      </c>
      <c r="M38" t="s">
        <v>120</v>
      </c>
      <c r="O38" s="232"/>
      <c r="P38" s="98"/>
      <c r="Q38" s="102"/>
      <c r="R38" s="108"/>
      <c r="S38" t="s">
        <v>120</v>
      </c>
      <c r="T38" t="s">
        <v>120</v>
      </c>
      <c r="U38" s="232">
        <v>0</v>
      </c>
      <c r="V38" s="232">
        <v>0</v>
      </c>
      <c r="W38" s="229"/>
      <c r="X38" s="230"/>
      <c r="Y38" s="8"/>
      <c r="Z38" s="8"/>
    </row>
    <row r="39" spans="2:26">
      <c r="D39" s="227"/>
      <c r="E39" s="100"/>
      <c r="H39" t="s">
        <v>120</v>
      </c>
      <c r="I39" t="s">
        <v>120</v>
      </c>
      <c r="J39" s="228"/>
      <c r="K39">
        <v>0</v>
      </c>
      <c r="L39" t="s">
        <v>120</v>
      </c>
      <c r="M39" t="s">
        <v>120</v>
      </c>
      <c r="O39" s="232"/>
      <c r="P39" s="98"/>
      <c r="Q39" s="102"/>
      <c r="R39" s="108"/>
      <c r="S39" t="s">
        <v>120</v>
      </c>
      <c r="T39" t="s">
        <v>120</v>
      </c>
      <c r="U39" s="232">
        <v>0</v>
      </c>
      <c r="V39" s="232">
        <v>0</v>
      </c>
      <c r="W39" s="229"/>
      <c r="X39" s="230"/>
      <c r="Y39" s="8"/>
      <c r="Z39" s="8"/>
    </row>
    <row r="40" spans="2:26">
      <c r="D40" s="227"/>
      <c r="E40" s="100"/>
      <c r="H40" t="s">
        <v>120</v>
      </c>
      <c r="I40" t="s">
        <v>120</v>
      </c>
      <c r="J40" s="228"/>
      <c r="K40">
        <v>0</v>
      </c>
      <c r="L40" t="s">
        <v>120</v>
      </c>
      <c r="M40" t="s">
        <v>120</v>
      </c>
      <c r="O40" s="232"/>
      <c r="P40" s="98"/>
      <c r="Q40" s="102"/>
      <c r="R40" s="108"/>
      <c r="S40" t="s">
        <v>120</v>
      </c>
      <c r="T40" t="s">
        <v>120</v>
      </c>
      <c r="U40" s="232">
        <v>0</v>
      </c>
      <c r="V40" s="232">
        <v>0</v>
      </c>
      <c r="W40" s="229"/>
      <c r="X40" s="230"/>
      <c r="Y40" s="8"/>
      <c r="Z40" s="8"/>
    </row>
    <row r="41" spans="2:26">
      <c r="B41" t="s">
        <v>532</v>
      </c>
      <c r="C41" t="s">
        <v>322</v>
      </c>
      <c r="D41" s="227"/>
      <c r="E41" s="100"/>
      <c r="F41">
        <v>2</v>
      </c>
      <c r="G41" s="231">
        <v>8945.7099999999991</v>
      </c>
      <c r="H41" s="231">
        <v>6169.46</v>
      </c>
      <c r="I41" s="231">
        <v>17891.419999999998</v>
      </c>
      <c r="J41" s="228"/>
      <c r="K41">
        <v>2</v>
      </c>
      <c r="L41" s="231">
        <v>4918.71</v>
      </c>
      <c r="M41" s="231">
        <v>9837.42</v>
      </c>
      <c r="N41" s="232">
        <v>0.45019999999999999</v>
      </c>
      <c r="O41" s="232"/>
      <c r="P41" s="98"/>
      <c r="Q41" s="102"/>
      <c r="R41" s="108"/>
      <c r="S41" s="231">
        <v>9837.42</v>
      </c>
      <c r="T41" s="231">
        <v>19674.84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533</v>
      </c>
      <c r="C42" t="s">
        <v>534</v>
      </c>
      <c r="D42" s="227"/>
      <c r="E42" s="100"/>
      <c r="F42">
        <v>2</v>
      </c>
      <c r="G42" s="231">
        <v>8654.5499999999993</v>
      </c>
      <c r="H42" s="231">
        <v>5968.66</v>
      </c>
      <c r="I42" s="231">
        <v>17309.099999999999</v>
      </c>
      <c r="J42" s="228"/>
      <c r="K42">
        <v>2</v>
      </c>
      <c r="L42" s="231">
        <v>4760.01</v>
      </c>
      <c r="M42" s="231">
        <v>9520.02</v>
      </c>
      <c r="N42" s="232">
        <v>0.45</v>
      </c>
      <c r="P42" s="98"/>
      <c r="Q42" s="102"/>
      <c r="R42" s="108"/>
      <c r="S42" s="231">
        <v>9520.02</v>
      </c>
      <c r="T42" s="231">
        <v>19040.04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535</v>
      </c>
      <c r="C43" t="s">
        <v>326</v>
      </c>
      <c r="D43" s="227"/>
      <c r="E43" s="100"/>
      <c r="F43">
        <v>78</v>
      </c>
      <c r="G43" s="231">
        <v>131.6</v>
      </c>
      <c r="H43" s="231">
        <v>90.76</v>
      </c>
      <c r="I43" s="231">
        <v>10264.799999999999</v>
      </c>
      <c r="J43" s="228"/>
      <c r="K43">
        <v>78</v>
      </c>
      <c r="L43" s="231">
        <v>72.38</v>
      </c>
      <c r="M43" s="231">
        <v>5645.64</v>
      </c>
      <c r="N43" s="232">
        <v>0.45</v>
      </c>
      <c r="O43" s="232"/>
      <c r="P43" s="98"/>
      <c r="Q43" s="102"/>
      <c r="R43" s="108"/>
      <c r="S43" s="231">
        <v>5645.64</v>
      </c>
      <c r="T43" s="231">
        <v>440359.92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243</v>
      </c>
      <c r="C44" t="s">
        <v>116</v>
      </c>
      <c r="D44" s="227"/>
      <c r="E44" s="100"/>
      <c r="F44">
        <v>312</v>
      </c>
      <c r="G44" s="231">
        <v>4.22</v>
      </c>
      <c r="H44" s="231">
        <v>2.91</v>
      </c>
      <c r="I44" s="231">
        <v>1316.64</v>
      </c>
      <c r="J44" s="228"/>
      <c r="K44">
        <v>312</v>
      </c>
      <c r="L44" s="231">
        <v>2.3199999999999998</v>
      </c>
      <c r="M44" s="231">
        <v>723.84</v>
      </c>
      <c r="N44" s="232">
        <v>0.45019999999999999</v>
      </c>
      <c r="P44" s="98"/>
      <c r="Q44" s="102"/>
      <c r="R44" s="108"/>
      <c r="S44" s="231">
        <v>723.84</v>
      </c>
      <c r="T44" s="231">
        <v>225838.07999999999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327</v>
      </c>
      <c r="C45" t="s">
        <v>142</v>
      </c>
      <c r="D45" s="227"/>
      <c r="E45" s="100"/>
      <c r="F45">
        <v>312</v>
      </c>
      <c r="G45" s="231">
        <v>2.94</v>
      </c>
      <c r="H45" s="231">
        <v>2.0299999999999998</v>
      </c>
      <c r="I45" s="231">
        <v>917.28</v>
      </c>
      <c r="J45" s="228"/>
      <c r="K45">
        <v>312</v>
      </c>
      <c r="L45" s="231">
        <v>1.62</v>
      </c>
      <c r="M45" s="231">
        <v>505.44</v>
      </c>
      <c r="N45" s="232">
        <v>0.44900000000000001</v>
      </c>
      <c r="P45" s="98"/>
      <c r="Q45" s="102"/>
      <c r="R45" s="108"/>
      <c r="S45" s="231">
        <v>505.44</v>
      </c>
      <c r="T45" s="231">
        <v>157697.28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536</v>
      </c>
      <c r="C46" t="s">
        <v>329</v>
      </c>
      <c r="D46" s="227"/>
      <c r="E46" s="100"/>
      <c r="F46">
        <v>2</v>
      </c>
      <c r="G46" s="231">
        <v>143.16999999999999</v>
      </c>
      <c r="H46" s="231">
        <v>98.74</v>
      </c>
      <c r="I46" s="231">
        <v>286.33999999999997</v>
      </c>
      <c r="J46" s="228"/>
      <c r="K46">
        <v>2</v>
      </c>
      <c r="L46" s="231">
        <v>78.75</v>
      </c>
      <c r="M46" s="231">
        <v>157.5</v>
      </c>
      <c r="N46" s="232">
        <v>0.45</v>
      </c>
      <c r="P46" s="98"/>
      <c r="Q46" s="102"/>
      <c r="R46" s="108"/>
      <c r="S46" s="231">
        <v>157.5</v>
      </c>
      <c r="T46" s="231">
        <v>315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246</v>
      </c>
      <c r="C47" t="s">
        <v>331</v>
      </c>
      <c r="D47" s="227"/>
      <c r="E47" s="100"/>
      <c r="F47">
        <v>4</v>
      </c>
      <c r="G47" s="231">
        <v>9.23</v>
      </c>
      <c r="H47" s="231">
        <v>6.37</v>
      </c>
      <c r="I47" s="231">
        <v>36.92</v>
      </c>
      <c r="J47" s="228"/>
      <c r="K47">
        <v>4</v>
      </c>
      <c r="L47" s="231">
        <v>5.08</v>
      </c>
      <c r="M47" s="231">
        <v>20.32</v>
      </c>
      <c r="N47" s="232">
        <v>0.4496</v>
      </c>
      <c r="P47" s="98"/>
      <c r="Q47" s="102"/>
      <c r="R47" s="108"/>
      <c r="S47" s="231">
        <v>20.32</v>
      </c>
      <c r="T47" s="231">
        <v>81.28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244</v>
      </c>
      <c r="C48" t="s">
        <v>331</v>
      </c>
      <c r="D48" s="227"/>
      <c r="E48" s="100"/>
      <c r="F48">
        <v>4</v>
      </c>
      <c r="G48" s="231">
        <v>6.66</v>
      </c>
      <c r="H48" s="231">
        <v>4.59</v>
      </c>
      <c r="I48" s="231">
        <v>26.64</v>
      </c>
      <c r="J48" s="228"/>
      <c r="K48">
        <v>4</v>
      </c>
      <c r="L48" s="231">
        <v>3.66</v>
      </c>
      <c r="M48" s="231">
        <v>14.64</v>
      </c>
      <c r="N48" s="232">
        <v>0.45050000000000001</v>
      </c>
      <c r="O48" s="232"/>
      <c r="P48" s="98"/>
      <c r="Q48" s="102"/>
      <c r="R48" s="108"/>
      <c r="S48" s="231">
        <v>14.64</v>
      </c>
      <c r="T48" s="231">
        <v>58.56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D49" s="87"/>
      <c r="E49" s="88"/>
      <c r="H49" t="s">
        <v>120</v>
      </c>
      <c r="I49" t="s">
        <v>120</v>
      </c>
      <c r="J49" s="105"/>
      <c r="K49">
        <v>0</v>
      </c>
      <c r="L49" t="s">
        <v>120</v>
      </c>
      <c r="M49" t="s">
        <v>120</v>
      </c>
      <c r="O49" s="232"/>
      <c r="P49" s="115"/>
      <c r="Q49" s="94"/>
      <c r="R49" s="94"/>
      <c r="S49" t="s">
        <v>120</v>
      </c>
      <c r="T49" t="s">
        <v>120</v>
      </c>
      <c r="U49" s="232">
        <v>0</v>
      </c>
      <c r="V49" s="232">
        <v>0</v>
      </c>
      <c r="W49" s="96"/>
      <c r="X49" s="97"/>
      <c r="Y49" s="8"/>
      <c r="Z49" s="8"/>
    </row>
    <row r="50" spans="2:26" ht="15.75" customHeight="1">
      <c r="B50" t="s">
        <v>537</v>
      </c>
      <c r="C50" t="s">
        <v>117</v>
      </c>
      <c r="D50" s="87"/>
      <c r="E50" s="100"/>
      <c r="F50">
        <v>1</v>
      </c>
      <c r="G50" s="231">
        <v>6826.34</v>
      </c>
      <c r="H50" s="231">
        <v>4707.82</v>
      </c>
      <c r="I50" s="231">
        <v>6826.34</v>
      </c>
      <c r="J50" s="105"/>
      <c r="K50">
        <v>1</v>
      </c>
      <c r="L50" s="231">
        <v>3413.17</v>
      </c>
      <c r="M50" s="231">
        <v>3413.17</v>
      </c>
      <c r="N50" s="232">
        <v>0.5</v>
      </c>
      <c r="O50" s="232"/>
      <c r="P50" s="98"/>
      <c r="Q50" s="102"/>
      <c r="R50" s="108"/>
      <c r="S50" s="231">
        <v>3413.17</v>
      </c>
      <c r="T50" s="231">
        <v>3413.17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B51" t="s">
        <v>520</v>
      </c>
      <c r="C51" t="s">
        <v>298</v>
      </c>
      <c r="D51" s="87"/>
      <c r="E51" s="88"/>
      <c r="F51">
        <v>1</v>
      </c>
      <c r="G51" s="231">
        <v>4686.51</v>
      </c>
      <c r="H51" s="231">
        <v>3232.08</v>
      </c>
      <c r="I51" s="231">
        <v>4686.51</v>
      </c>
      <c r="J51" s="105"/>
      <c r="K51">
        <v>1</v>
      </c>
      <c r="L51" s="231">
        <v>2343.2600000000002</v>
      </c>
      <c r="M51" s="231">
        <v>2343.2600000000002</v>
      </c>
      <c r="N51" s="232">
        <v>0.5</v>
      </c>
      <c r="O51" s="232"/>
      <c r="P51" s="115"/>
      <c r="Q51" s="94"/>
      <c r="R51" s="94"/>
      <c r="S51" s="231">
        <v>2343.2600000000002</v>
      </c>
      <c r="T51" s="231">
        <v>2343.2600000000002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t="s">
        <v>299</v>
      </c>
      <c r="C52" t="s">
        <v>300</v>
      </c>
      <c r="D52" s="87"/>
      <c r="E52" s="100"/>
      <c r="F52">
        <v>1</v>
      </c>
      <c r="G52" s="231">
        <v>14944.09</v>
      </c>
      <c r="H52" s="231">
        <v>10306.27</v>
      </c>
      <c r="I52" s="231">
        <v>14944.09</v>
      </c>
      <c r="J52" s="105"/>
      <c r="K52">
        <v>1</v>
      </c>
      <c r="L52" s="231">
        <v>7472.05</v>
      </c>
      <c r="M52" s="231">
        <v>7472.05</v>
      </c>
      <c r="N52" s="232">
        <v>0.5</v>
      </c>
      <c r="O52" s="93"/>
      <c r="P52" s="98"/>
      <c r="Q52" s="102"/>
      <c r="R52" s="108"/>
      <c r="S52" s="231">
        <v>7472.05</v>
      </c>
      <c r="T52" s="231">
        <v>7472.05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t="s">
        <v>521</v>
      </c>
      <c r="C53" t="s">
        <v>119</v>
      </c>
      <c r="D53" s="87"/>
      <c r="E53" s="88"/>
      <c r="F53">
        <v>1</v>
      </c>
      <c r="G53" s="231">
        <v>12450.3</v>
      </c>
      <c r="H53" s="231">
        <v>8586.41</v>
      </c>
      <c r="I53" s="231">
        <v>12450.3</v>
      </c>
      <c r="J53" s="105"/>
      <c r="K53">
        <v>1</v>
      </c>
      <c r="L53" s="231">
        <v>6225.15</v>
      </c>
      <c r="M53" s="231">
        <v>6225.15</v>
      </c>
      <c r="N53" s="232">
        <v>0.5</v>
      </c>
      <c r="O53" s="93"/>
      <c r="P53" s="115"/>
      <c r="Q53" s="94"/>
      <c r="R53" s="94"/>
      <c r="S53" s="231">
        <v>6225.15</v>
      </c>
      <c r="T53" s="231">
        <v>6225.15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D54" s="87"/>
      <c r="E54" s="100"/>
      <c r="G54" s="231"/>
      <c r="H54" s="231"/>
      <c r="I54" s="231"/>
      <c r="J54" s="105"/>
      <c r="L54" s="231"/>
      <c r="M54" s="231"/>
      <c r="N54" s="232"/>
      <c r="O54" s="93"/>
      <c r="P54" s="98"/>
      <c r="Q54" s="102"/>
      <c r="R54" s="108"/>
      <c r="S54" s="231"/>
      <c r="T54" s="231"/>
      <c r="U54" s="232"/>
      <c r="V54" s="232"/>
      <c r="W54" s="111"/>
      <c r="X54" s="97"/>
      <c r="Y54" s="8"/>
      <c r="Z54" s="8"/>
    </row>
    <row r="55" spans="2:26" ht="15.75" customHeight="1">
      <c r="D55" s="87"/>
      <c r="E55" s="88"/>
      <c r="G55" s="231"/>
      <c r="H55" s="231"/>
      <c r="I55" s="231"/>
      <c r="J55" s="105"/>
      <c r="L55" s="231"/>
      <c r="M55" s="231"/>
      <c r="N55" s="232"/>
      <c r="O55" s="93"/>
      <c r="P55" s="115"/>
      <c r="Q55" s="94"/>
      <c r="R55" s="94"/>
      <c r="S55" s="231"/>
      <c r="T55" s="231"/>
      <c r="U55" s="232"/>
      <c r="V55" s="232"/>
      <c r="W55" s="96"/>
      <c r="X55" s="97"/>
      <c r="Y55" s="8"/>
      <c r="Z55" s="8"/>
    </row>
    <row r="56" spans="2:26" ht="15.75" customHeight="1">
      <c r="D56" s="87"/>
      <c r="E56" s="100"/>
      <c r="J56" s="105"/>
      <c r="O56" s="93"/>
      <c r="P56" s="98"/>
      <c r="Q56" s="102"/>
      <c r="R56" s="108"/>
      <c r="U56" s="232"/>
      <c r="V56" s="232"/>
      <c r="W56" s="111"/>
      <c r="X56" s="97"/>
      <c r="Y56" s="8"/>
      <c r="Z56" s="116"/>
    </row>
    <row r="57" spans="2:26" ht="15.75" customHeight="1">
      <c r="D57" s="87"/>
      <c r="E57" s="88"/>
      <c r="G57" s="231"/>
      <c r="H57" s="231"/>
      <c r="I57" s="231"/>
      <c r="J57" s="105"/>
      <c r="L57" s="231"/>
      <c r="M57" s="231"/>
      <c r="N57" s="232"/>
      <c r="O57" s="93"/>
      <c r="P57" s="115"/>
      <c r="Q57" s="94"/>
      <c r="R57" s="94"/>
      <c r="S57" s="231"/>
      <c r="T57" s="231"/>
      <c r="U57" s="232"/>
      <c r="V57" s="232"/>
      <c r="W57" s="96"/>
      <c r="X57" s="97"/>
      <c r="Y57" s="8"/>
      <c r="Z57" s="8"/>
    </row>
    <row r="58" spans="2:26" ht="15.75" customHeight="1">
      <c r="D58" s="87"/>
      <c r="E58" s="100"/>
      <c r="G58" s="231"/>
      <c r="H58" s="231"/>
      <c r="I58" s="231"/>
      <c r="J58" s="105"/>
      <c r="L58" s="231"/>
      <c r="M58" s="231"/>
      <c r="N58" s="232"/>
      <c r="O58" s="93"/>
      <c r="P58" s="98"/>
      <c r="Q58" s="102"/>
      <c r="R58" s="108"/>
      <c r="S58" s="231"/>
      <c r="T58" s="231"/>
      <c r="U58" s="232"/>
      <c r="V58" s="232"/>
      <c r="W58" s="111"/>
      <c r="X58" s="97"/>
      <c r="Y58" s="8"/>
      <c r="Z58" s="8"/>
    </row>
    <row r="59" spans="2:26" ht="15.75" customHeight="1">
      <c r="D59" s="87"/>
      <c r="E59" s="88"/>
      <c r="G59" s="231"/>
      <c r="H59" s="231"/>
      <c r="I59" s="231"/>
      <c r="J59" s="105"/>
      <c r="L59" s="231"/>
      <c r="M59" s="231"/>
      <c r="N59" s="232"/>
      <c r="O59" s="93"/>
      <c r="P59" s="115"/>
      <c r="Q59" s="94"/>
      <c r="R59" s="94"/>
      <c r="S59" s="231"/>
      <c r="T59" s="231"/>
      <c r="U59" s="232"/>
      <c r="V59" s="232"/>
      <c r="W59" s="96"/>
      <c r="X59" s="97"/>
      <c r="Y59" s="8"/>
      <c r="Z59" s="8"/>
    </row>
    <row r="60" spans="2:26" ht="15.75" customHeight="1">
      <c r="D60" s="87"/>
      <c r="E60" s="100"/>
      <c r="G60" s="231"/>
      <c r="H60" s="231"/>
      <c r="I60" s="231"/>
      <c r="J60" s="105"/>
      <c r="L60" s="231"/>
      <c r="M60" s="231"/>
      <c r="N60" s="232"/>
      <c r="O60" s="93"/>
      <c r="P60" s="98"/>
      <c r="Q60" s="102"/>
      <c r="R60" s="108"/>
      <c r="S60" s="231"/>
      <c r="T60" s="231"/>
      <c r="U60" s="232"/>
      <c r="V60" s="232"/>
      <c r="W60" s="111"/>
      <c r="X60" s="97"/>
      <c r="Y60" s="8"/>
      <c r="Z60" s="8"/>
    </row>
    <row r="61" spans="2:26" ht="15.75" customHeight="1">
      <c r="D61" s="87"/>
      <c r="E61" s="88"/>
      <c r="G61" s="231"/>
      <c r="H61" s="231"/>
      <c r="I61" s="231"/>
      <c r="J61" s="105"/>
      <c r="L61" s="231"/>
      <c r="M61" s="231"/>
      <c r="N61" s="232"/>
      <c r="O61" s="93"/>
      <c r="P61" s="115"/>
      <c r="Q61" s="94"/>
      <c r="R61" s="94"/>
      <c r="S61" s="231"/>
      <c r="T61" s="231"/>
      <c r="U61" s="232"/>
      <c r="V61" s="232"/>
      <c r="W61" s="96"/>
    </row>
    <row r="62" spans="2:26" ht="15.75" customHeight="1">
      <c r="D62" s="87"/>
      <c r="E62" s="100"/>
      <c r="G62" s="231"/>
      <c r="H62" s="231"/>
      <c r="I62" s="231"/>
      <c r="J62" s="105"/>
      <c r="L62" s="231"/>
      <c r="M62" s="231"/>
      <c r="N62" s="232"/>
      <c r="O62" s="93"/>
      <c r="P62" s="98"/>
      <c r="Q62" s="102"/>
      <c r="R62" s="108"/>
      <c r="S62" s="231"/>
      <c r="T62" s="231"/>
      <c r="U62" s="232"/>
      <c r="V62" s="232"/>
      <c r="W62" s="111"/>
    </row>
    <row r="63" spans="2:26" ht="15.75" customHeight="1">
      <c r="D63" s="87"/>
      <c r="E63" s="88"/>
      <c r="G63" s="231"/>
      <c r="H63" s="231"/>
      <c r="I63" s="231"/>
      <c r="J63" s="105"/>
      <c r="L63" s="231"/>
      <c r="M63" s="231"/>
      <c r="N63" s="232"/>
      <c r="O63" s="93"/>
      <c r="P63" s="115"/>
      <c r="Q63" s="94"/>
      <c r="R63" s="94"/>
      <c r="S63" s="231"/>
      <c r="T63" s="231"/>
      <c r="U63" s="232"/>
      <c r="V63" s="232"/>
      <c r="W63" s="96"/>
    </row>
    <row r="64" spans="2:26" ht="15.75" customHeight="1">
      <c r="D64" s="87"/>
      <c r="E64" s="100"/>
      <c r="G64" s="231"/>
      <c r="H64" s="231"/>
      <c r="I64" s="231"/>
      <c r="J64" s="105"/>
      <c r="L64" s="231"/>
      <c r="M64" s="231"/>
      <c r="N64" s="232"/>
      <c r="O64" s="93"/>
      <c r="P64" s="98"/>
      <c r="Q64" s="102"/>
      <c r="R64" s="108"/>
      <c r="S64" s="231"/>
      <c r="T64" s="231"/>
      <c r="U64" s="232"/>
      <c r="V64" s="232"/>
      <c r="W64" s="111"/>
    </row>
    <row r="65" spans="2:23" ht="15.75" customHeight="1">
      <c r="D65" s="87"/>
      <c r="E65" s="88"/>
      <c r="G65" s="231"/>
      <c r="H65" s="231"/>
      <c r="I65" s="231"/>
      <c r="J65" s="105"/>
      <c r="L65" s="231"/>
      <c r="M65" s="231"/>
      <c r="N65" s="232"/>
      <c r="O65" s="93"/>
      <c r="P65" s="115"/>
      <c r="Q65" s="94"/>
      <c r="R65" s="94"/>
      <c r="S65" s="231"/>
      <c r="T65" s="231"/>
      <c r="U65" s="232"/>
      <c r="V65" s="232"/>
      <c r="W65" s="96"/>
    </row>
    <row r="66" spans="2:23" ht="15.75" customHeight="1">
      <c r="D66" s="87"/>
      <c r="E66" s="100"/>
      <c r="G66" s="231"/>
      <c r="H66" s="231"/>
      <c r="I66" s="231"/>
      <c r="J66" s="105"/>
      <c r="L66" s="231"/>
      <c r="M66" s="231"/>
      <c r="N66" s="232"/>
      <c r="O66" s="93"/>
      <c r="P66" s="98"/>
      <c r="Q66" s="102"/>
      <c r="R66" s="108"/>
      <c r="S66" s="231"/>
      <c r="T66" s="231"/>
      <c r="U66" s="232"/>
      <c r="V66" s="232"/>
      <c r="W66" s="111"/>
    </row>
    <row r="67" spans="2:23" ht="15.75" customHeight="1">
      <c r="D67" s="87"/>
      <c r="E67" s="88"/>
      <c r="G67" s="231"/>
      <c r="H67" s="231"/>
      <c r="I67" s="231"/>
      <c r="J67" s="105"/>
      <c r="L67" s="231"/>
      <c r="M67" s="231"/>
      <c r="N67" s="232"/>
      <c r="O67" s="93"/>
      <c r="P67" s="115"/>
      <c r="Q67" s="94"/>
      <c r="R67" s="94"/>
      <c r="S67" s="231"/>
      <c r="T67" s="231"/>
      <c r="U67" s="232"/>
      <c r="V67" s="232"/>
      <c r="W67" s="111"/>
    </row>
    <row r="68" spans="2:23" ht="15.75" customHeight="1">
      <c r="D68" s="87"/>
      <c r="E68" s="100"/>
      <c r="G68" s="231"/>
      <c r="H68" s="231"/>
      <c r="I68" s="231"/>
      <c r="J68" s="105"/>
      <c r="L68" s="231"/>
      <c r="M68" s="231"/>
      <c r="N68" s="232"/>
      <c r="O68" s="93"/>
      <c r="P68" s="98"/>
      <c r="Q68" s="102"/>
      <c r="R68" s="108"/>
      <c r="S68" s="231"/>
      <c r="T68" s="231"/>
      <c r="U68" s="232"/>
      <c r="V68" s="232"/>
      <c r="W68" s="111"/>
    </row>
    <row r="69" spans="2:23" ht="15.75" customHeight="1">
      <c r="D69" s="87"/>
      <c r="E69" s="88"/>
      <c r="J69" s="105"/>
      <c r="O69" s="93"/>
      <c r="P69" s="115"/>
      <c r="Q69" s="94"/>
      <c r="R69" s="94"/>
      <c r="U69" s="232"/>
      <c r="V69" s="232"/>
      <c r="W69" s="111"/>
    </row>
    <row r="70" spans="2:23" ht="15.75" customHeight="1">
      <c r="D70" s="87"/>
      <c r="E70" s="100"/>
      <c r="G70" s="231"/>
      <c r="H70" s="231"/>
      <c r="I70" s="231"/>
      <c r="J70" s="105"/>
      <c r="L70" s="231"/>
      <c r="M70" s="231"/>
      <c r="N70" s="232"/>
      <c r="O70" s="93"/>
      <c r="P70" s="98"/>
      <c r="Q70" s="102"/>
      <c r="R70" s="108"/>
      <c r="S70" s="231"/>
      <c r="T70" s="231"/>
      <c r="U70" s="232"/>
      <c r="V70" s="232"/>
      <c r="W70" s="111"/>
    </row>
    <row r="71" spans="2:23" ht="15.75" customHeight="1">
      <c r="D71" s="87"/>
      <c r="E71" s="88"/>
      <c r="G71" s="231"/>
      <c r="H71" s="231"/>
      <c r="I71" s="231"/>
      <c r="J71" s="105"/>
      <c r="L71" s="231"/>
      <c r="M71" s="231"/>
      <c r="N71" s="232"/>
      <c r="O71" s="93"/>
      <c r="P71" s="115"/>
      <c r="Q71" s="94"/>
      <c r="R71" s="94"/>
      <c r="S71" s="231"/>
      <c r="T71" s="231"/>
      <c r="U71" s="232"/>
      <c r="V71" s="232"/>
      <c r="W71" s="111"/>
    </row>
    <row r="72" spans="2:23" ht="15.75" customHeight="1">
      <c r="D72" s="87"/>
      <c r="E72" s="100"/>
      <c r="G72" s="231"/>
      <c r="H72" s="231"/>
      <c r="I72" s="231"/>
      <c r="J72" s="105"/>
      <c r="L72" s="231"/>
      <c r="M72" s="231"/>
      <c r="N72" s="232"/>
      <c r="O72" s="93"/>
      <c r="P72" s="98"/>
      <c r="Q72" s="102"/>
      <c r="R72" s="108"/>
      <c r="S72" s="231"/>
      <c r="T72" s="231"/>
      <c r="U72" s="232"/>
      <c r="V72" s="232"/>
      <c r="W72" s="111"/>
    </row>
    <row r="73" spans="2:23" ht="15.75" customHeight="1">
      <c r="D73" s="87"/>
      <c r="E73" s="88"/>
      <c r="G73" s="231"/>
      <c r="H73" s="231"/>
      <c r="I73" s="231"/>
      <c r="J73" s="105"/>
      <c r="L73" s="231"/>
      <c r="M73" s="231"/>
      <c r="N73" s="232"/>
      <c r="O73" s="93"/>
      <c r="P73" s="115"/>
      <c r="Q73" s="94"/>
      <c r="R73" s="94"/>
      <c r="S73" s="231"/>
      <c r="T73" s="231"/>
      <c r="U73" s="232"/>
      <c r="V73" s="232"/>
      <c r="W73" s="111"/>
    </row>
    <row r="74" spans="2:23" ht="15.75" customHeight="1">
      <c r="D74" s="87"/>
      <c r="E74" s="100"/>
      <c r="G74" s="231"/>
      <c r="H74" s="231"/>
      <c r="I74" s="231"/>
      <c r="J74" s="105"/>
      <c r="L74" s="231"/>
      <c r="M74" s="231"/>
      <c r="N74" s="232"/>
      <c r="O74" s="93"/>
      <c r="P74" s="98"/>
      <c r="Q74" s="102"/>
      <c r="R74" s="108"/>
      <c r="S74" s="231"/>
      <c r="T74" s="231"/>
      <c r="U74" s="232"/>
      <c r="V74" s="232"/>
      <c r="W74" s="111"/>
    </row>
    <row r="75" spans="2:23" ht="15.75" customHeight="1">
      <c r="D75" s="87"/>
      <c r="E75" s="88"/>
      <c r="G75" s="231"/>
      <c r="H75" s="231"/>
      <c r="I75" s="231"/>
      <c r="J75" s="105"/>
      <c r="L75" s="231"/>
      <c r="M75" s="231"/>
      <c r="N75" s="232"/>
      <c r="O75" s="93"/>
      <c r="P75" s="115"/>
      <c r="Q75" s="94"/>
      <c r="R75" s="94"/>
      <c r="S75" s="231"/>
      <c r="T75" s="231"/>
      <c r="U75" s="232"/>
      <c r="V75" s="232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877</v>
      </c>
      <c r="G78" s="121">
        <f t="shared" si="0"/>
        <v>63952.979999999996</v>
      </c>
      <c r="H78" s="122">
        <f t="shared" si="0"/>
        <v>44105.5</v>
      </c>
      <c r="I78" s="123">
        <f t="shared" si="0"/>
        <v>116206.07999999999</v>
      </c>
      <c r="J78" s="124"/>
      <c r="K78" s="125">
        <f t="shared" ref="K78:M78" si="1">SUM(K19:K77)</f>
        <v>877</v>
      </c>
      <c r="L78" s="122">
        <f t="shared" si="1"/>
        <v>33256.449999999997</v>
      </c>
      <c r="M78" s="123">
        <f t="shared" si="1"/>
        <v>61995.38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61995.38</v>
      </c>
      <c r="T78" s="123">
        <f t="shared" si="2"/>
        <v>1059800.42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77" xr:uid="{269319F6-40A8-4D01-9A07-907A31AA14C4}">
      <formula1>$Z$19:$Z$58</formula1>
    </dataValidation>
    <dataValidation type="list" allowBlank="1" showErrorMessage="1" sqref="I14" xr:uid="{0F2CD848-A21A-4004-85F1-C7E4C32C30E6}">
      <formula1>$Y$14:$Y$15</formula1>
    </dataValidation>
    <dataValidation type="list" allowBlank="1" showErrorMessage="1" sqref="J14" xr:uid="{D3DFB584-164A-4A2D-A006-E5F02B8505D8}">
      <formula1>$L$9</formula1>
    </dataValidation>
    <dataValidation type="list" allowBlank="1" showErrorMessage="1" sqref="Q15 G18 L18 Q18" xr:uid="{6CF8FD86-DD5B-4E75-A6A5-210B4E2FDF27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CAT D3 (1PJ)</vt:lpstr>
      <vt:lpstr>CAT D4 (66J)XXX</vt:lpstr>
      <vt:lpstr>CAT D5 (3CR)</vt:lpstr>
      <vt:lpstr>CAT D6 (RDC)</vt:lpstr>
      <vt:lpstr>CAT D6N LGP (GHS)</vt:lpstr>
      <vt:lpstr>CAT D6N LGP (PBA)</vt:lpstr>
      <vt:lpstr>CAT D6N LGP (SGG)</vt:lpstr>
      <vt:lpstr>CAT D6T (MH7)</vt:lpstr>
      <vt:lpstr>CAT D7G (92V)</vt:lpstr>
      <vt:lpstr>CAT 561N (CPH)</vt:lpstr>
      <vt:lpstr>CAT PL61 (WGS)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2025-07-11T15:50:11Z</dcterms:modified>
</cp:coreProperties>
</file>