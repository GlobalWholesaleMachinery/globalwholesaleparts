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5896D9DF-047C-4CAB-A11E-C3B75D72C26D}" xr6:coauthVersionLast="47" xr6:coauthVersionMax="47" xr10:uidLastSave="{00000000-0000-0000-0000-000000000000}"/>
  <bookViews>
    <workbookView xWindow="-120" yWindow="-120" windowWidth="20640" windowHeight="11160" firstSheet="4" activeTab="4" xr2:uid="{00000000-000D-0000-FFFF-FFFF00000000}"/>
  </bookViews>
  <sheets>
    <sheet name="Instructions" sheetId="1" r:id="rId1"/>
    <sheet name="D6K LGP DOZER (DHA)" sheetId="2" r:id="rId2"/>
    <sheet name="D6K LGP TRACK GROUP" sheetId="12" r:id="rId3"/>
    <sheet name="PL61 PIPELAYER (WGS)" sheetId="13" r:id="rId4"/>
    <sheet name="PL61 PIPELAYER TRACK GROUP" sheetId="14" r:id="rId5"/>
    <sheet name="572R II PIPELAYER(DSC)" sheetId="15" r:id="rId6"/>
    <sheet name="572R II PIPELAYER TRACK GROUP" sheetId="16" r:id="rId7"/>
    <sheet name="594H PIPELAYER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" i="17" l="1"/>
  <c r="S71" i="17"/>
  <c r="R71" i="17"/>
  <c r="P7" i="17" s="1"/>
  <c r="Q71" i="17"/>
  <c r="M71" i="17"/>
  <c r="L71" i="17"/>
  <c r="K71" i="17"/>
  <c r="I71" i="17"/>
  <c r="P2" i="17" s="1"/>
  <c r="H71" i="17"/>
  <c r="G71" i="17"/>
  <c r="F71" i="17"/>
  <c r="P11" i="17" s="1"/>
  <c r="R18" i="17"/>
  <c r="I18" i="17"/>
  <c r="H18" i="17"/>
  <c r="E16" i="17"/>
  <c r="V15" i="17"/>
  <c r="P9" i="17" s="1"/>
  <c r="P8" i="17"/>
  <c r="P6" i="17"/>
  <c r="P3" i="17"/>
  <c r="P1" i="17"/>
  <c r="T71" i="16"/>
  <c r="S71" i="16"/>
  <c r="R71" i="16"/>
  <c r="V15" i="16" s="1"/>
  <c r="P9" i="16" s="1"/>
  <c r="Q71" i="16"/>
  <c r="M71" i="16"/>
  <c r="L71" i="16"/>
  <c r="K71" i="16"/>
  <c r="I71" i="16"/>
  <c r="P2" i="16" s="1"/>
  <c r="H71" i="16"/>
  <c r="G71" i="16"/>
  <c r="F71" i="16"/>
  <c r="P11" i="16" s="1"/>
  <c r="R18" i="16"/>
  <c r="I18" i="16"/>
  <c r="H18" i="16"/>
  <c r="E16" i="16"/>
  <c r="P8" i="16"/>
  <c r="P6" i="16"/>
  <c r="P3" i="16"/>
  <c r="P1" i="16"/>
  <c r="T71" i="15"/>
  <c r="P6" i="15" s="1"/>
  <c r="S71" i="15"/>
  <c r="R71" i="15"/>
  <c r="P7" i="15" s="1"/>
  <c r="Q71" i="15"/>
  <c r="M71" i="15"/>
  <c r="P3" i="15" s="1"/>
  <c r="L71" i="15"/>
  <c r="K71" i="15"/>
  <c r="I71" i="15"/>
  <c r="P2" i="15" s="1"/>
  <c r="H71" i="15"/>
  <c r="G71" i="15"/>
  <c r="F71" i="15"/>
  <c r="P11" i="15" s="1"/>
  <c r="R18" i="15"/>
  <c r="I18" i="15"/>
  <c r="H18" i="15"/>
  <c r="E16" i="15"/>
  <c r="V15" i="15"/>
  <c r="P9" i="15" s="1"/>
  <c r="P8" i="15"/>
  <c r="P1" i="15"/>
  <c r="T71" i="14"/>
  <c r="S71" i="14"/>
  <c r="R71" i="14"/>
  <c r="P7" i="14" s="1"/>
  <c r="Q71" i="14"/>
  <c r="M71" i="14"/>
  <c r="L71" i="14"/>
  <c r="K71" i="14"/>
  <c r="I71" i="14"/>
  <c r="P2" i="14" s="1"/>
  <c r="H71" i="14"/>
  <c r="G71" i="14"/>
  <c r="F71" i="14"/>
  <c r="P11" i="14" s="1"/>
  <c r="R18" i="14"/>
  <c r="I18" i="14"/>
  <c r="H18" i="14"/>
  <c r="E16" i="14"/>
  <c r="V15" i="14"/>
  <c r="P9" i="14" s="1"/>
  <c r="P8" i="14"/>
  <c r="P6" i="14"/>
  <c r="P3" i="14"/>
  <c r="P1" i="14"/>
  <c r="T71" i="13"/>
  <c r="S71" i="13"/>
  <c r="R71" i="13"/>
  <c r="P7" i="13" s="1"/>
  <c r="Q71" i="13"/>
  <c r="M71" i="13"/>
  <c r="L71" i="13"/>
  <c r="K71" i="13"/>
  <c r="I71" i="13"/>
  <c r="P2" i="13" s="1"/>
  <c r="H71" i="13"/>
  <c r="G71" i="13"/>
  <c r="F71" i="13"/>
  <c r="P11" i="13" s="1"/>
  <c r="R18" i="13"/>
  <c r="I18" i="13"/>
  <c r="H18" i="13"/>
  <c r="E16" i="13"/>
  <c r="V15" i="13"/>
  <c r="P9" i="13" s="1"/>
  <c r="P8" i="13"/>
  <c r="P6" i="13"/>
  <c r="P3" i="13"/>
  <c r="P1" i="13"/>
  <c r="T71" i="12"/>
  <c r="S71" i="12"/>
  <c r="R71" i="12"/>
  <c r="P7" i="12" s="1"/>
  <c r="Q71" i="12"/>
  <c r="M71" i="12"/>
  <c r="P3" i="12" s="1"/>
  <c r="L71" i="12"/>
  <c r="K71" i="12"/>
  <c r="I71" i="12"/>
  <c r="P2" i="12" s="1"/>
  <c r="H71" i="12"/>
  <c r="G71" i="12"/>
  <c r="F71" i="12"/>
  <c r="P11" i="12" s="1"/>
  <c r="R18" i="12"/>
  <c r="I18" i="12"/>
  <c r="H18" i="12"/>
  <c r="E16" i="12"/>
  <c r="V15" i="12"/>
  <c r="P9" i="12" s="1"/>
  <c r="P6" i="12"/>
  <c r="P1" i="12"/>
  <c r="P8" i="12" s="1"/>
  <c r="S9" i="17" l="1"/>
  <c r="U9" i="17" s="1"/>
  <c r="P5" i="17"/>
  <c r="P4" i="17"/>
  <c r="T9" i="17"/>
  <c r="V9" i="17" s="1"/>
  <c r="P4" i="16"/>
  <c r="P5" i="16"/>
  <c r="P7" i="16"/>
  <c r="S9" i="16" s="1"/>
  <c r="T9" i="16" s="1"/>
  <c r="V9" i="16" s="1"/>
  <c r="S9" i="15"/>
  <c r="T9" i="15" s="1"/>
  <c r="V9" i="15" s="1"/>
  <c r="P5" i="15"/>
  <c r="P4" i="15"/>
  <c r="U9" i="15"/>
  <c r="S9" i="14"/>
  <c r="T9" i="14" s="1"/>
  <c r="V9" i="14" s="1"/>
  <c r="P4" i="14"/>
  <c r="P5" i="14"/>
  <c r="U9" i="14"/>
  <c r="P5" i="13"/>
  <c r="P4" i="13"/>
  <c r="S9" i="13"/>
  <c r="T9" i="13" s="1"/>
  <c r="V9" i="13" s="1"/>
  <c r="U9" i="13"/>
  <c r="P5" i="12"/>
  <c r="P4" i="12"/>
  <c r="S9" i="12"/>
  <c r="U9" i="12" s="1"/>
  <c r="U9" i="16" l="1"/>
  <c r="T9" i="12"/>
  <c r="V9" i="12" s="1"/>
  <c r="Q50" i="2" l="1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P7" i="2" l="1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<sst xmlns="http://schemas.openxmlformats.org/spreadsheetml/2006/main" count="916" uniqueCount="280">
  <si>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</si>
  <si>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</si>
  <si>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</si>
  <si>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</si>
  <si>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</si>
  <si>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</si>
  <si>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</si>
  <si>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</si>
  <si>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</si>
  <si>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</si>
  <si>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</si>
  <si>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</si>
  <si>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</si>
  <si>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</si>
  <si>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</si>
  <si>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</si>
  <si>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</si>
  <si>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</si>
  <si>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</si>
  <si>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</si>
  <si>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</si>
  <si>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</si>
  <si>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</si>
  <si>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</si>
  <si>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</si>
  <si>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</si>
  <si>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</si>
  <si>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</si>
  <si>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</si>
  <si>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</si>
  <si>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</si>
  <si>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</si>
  <si>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</si>
  <si>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</si>
  <si>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</si>
  <si>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</si>
  <si>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</si>
  <si>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</si>
  <si>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</si>
  <si>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</si>
  <si>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</si>
  <si>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</si>
  <si>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</si>
  <si>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</si>
  <si>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</si>
  <si>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</si>
  <si>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</si>
  <si>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</si>
  <si>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</si>
  <si>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</si>
  <si>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</si>
  <si>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</si>
  <si>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</si>
  <si>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</si>
  <si>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</si>
  <si>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</si>
  <si>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</si>
  <si>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</si>
  <si>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</si>
  <si>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</si>
  <si>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</si>
  <si>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</si>
  <si>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</si>
  <si>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</si>
  <si>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</si>
  <si>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</si>
  <si>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</si>
  <si>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</si>
  <si>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</si>
  <si>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</si>
  <si>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</si>
  <si>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</si>
  <si>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</si>
  <si>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</si>
  <si>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</si>
  <si>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</si>
  <si>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</si>
  <si>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</si>
  <si>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</si>
  <si>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</si>
  <si>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</si>
  <si>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</si>
  <si>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</si>
  <si>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</si>
  <si>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</si>
  <si>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</si>
  <si>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</si>
  <si>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</si>
  <si>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</si>
  <si>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</si>
  <si>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</si>
  <si>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</si>
  <si>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</si>
  <si>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</si>
  <si>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</si>
  <si>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</si>
  <si>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</si>
  <si>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</si>
  <si>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</si>
  <si>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</si>
  <si>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</si>
  <si>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</si>
  <si>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</si>
  <si>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</si>
  <si>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</si>
  <si>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</si>
  <si>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</si>
  <si>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</si>
  <si>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</si>
  <si>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D6K LGP</t>
  </si>
  <si>
    <t>DHA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</si>
  <si>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</si>
  <si>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</si>
  <si>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</si>
  <si>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</si>
  <si>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</si>
  <si>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</si>
  <si>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</si>
  <si>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</si>
  <si>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</si>
  <si>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</si>
  <si>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</si>
  <si>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</si>
  <si>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</si>
  <si>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</si>
  <si>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</si>
  <si>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</si>
  <si>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</si>
  <si>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</si>
  <si>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</si>
  <si>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</si>
  <si>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</si>
  <si>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</si>
  <si>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</si>
  <si>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</si>
  <si>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</si>
  <si>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3S-8182</t>
  </si>
  <si>
    <t>SPROCKET BOLTS</t>
  </si>
  <si>
    <t>7H-3607</t>
  </si>
  <si>
    <t>SPROCKET NUTS</t>
  </si>
  <si>
    <t>255-8095</t>
  </si>
  <si>
    <t>SPROCKET</t>
  </si>
  <si>
    <t>8E-9379</t>
  </si>
  <si>
    <t>Bit-End (RH)</t>
  </si>
  <si>
    <t>8E-9378</t>
  </si>
  <si>
    <t>Bit-End (LH)</t>
  </si>
  <si>
    <t>4T-8940</t>
  </si>
  <si>
    <t>Edge-Cutting</t>
  </si>
  <si>
    <t>5J-4773</t>
  </si>
  <si>
    <t>Bolt-Plow(3/4-10X2.5-IN)</t>
  </si>
  <si>
    <t>5P-8248</t>
  </si>
  <si>
    <t>Washer-Hard(20X36.5X3.5-MM Thk)</t>
  </si>
  <si>
    <t>2J-3506</t>
  </si>
  <si>
    <t>Nut-Full(3/4-10-THD)</t>
  </si>
  <si>
    <t xml:space="preserve"> $-   </t>
  </si>
  <si>
    <t>Crawler Tractor</t>
  </si>
  <si>
    <t>DHA TG</t>
  </si>
  <si>
    <t>362-3918</t>
  </si>
  <si>
    <t>IDLER FRONT GP (SYSTEMONE)</t>
  </si>
  <si>
    <t>362-0515</t>
  </si>
  <si>
    <t>CARRIER ROLLER GP (SYSTEMONE)</t>
  </si>
  <si>
    <t>357-5368</t>
  </si>
  <si>
    <t>SINGLE FLANGE ROLLER</t>
  </si>
  <si>
    <t>137-3301</t>
  </si>
  <si>
    <t>ROLLER BOLT</t>
  </si>
  <si>
    <t>218-4993</t>
  </si>
  <si>
    <t>ROLLER CAP</t>
  </si>
  <si>
    <t>9X-8268</t>
  </si>
  <si>
    <t>ROLLER WASHER</t>
  </si>
  <si>
    <t>561-1080Â </t>
  </si>
  <si>
    <t>LINK TRACK AS (SYSTEM ONE)</t>
  </si>
  <si>
    <t>235-2534</t>
  </si>
  <si>
    <t>TRACK SHOE (29.9-IN)</t>
  </si>
  <si>
    <t>255-4182</t>
  </si>
  <si>
    <t>TRACK SHOE MASTER (29.9-IN)</t>
  </si>
  <si>
    <t>238-0472</t>
  </si>
  <si>
    <t>TRACK SHOE BOLT (SYSTEM ONE)</t>
  </si>
  <si>
    <t>238-0473</t>
  </si>
  <si>
    <t>TRACK SHOE NUT (SYSTEM ONE)</t>
  </si>
  <si>
    <t>254-0227</t>
  </si>
  <si>
    <t>TRACK SHE BOLT MASTER (SYSTEM ONE)</t>
  </si>
  <si>
    <t>PL61</t>
  </si>
  <si>
    <t>WGS00506</t>
  </si>
  <si>
    <t>WGS</t>
  </si>
  <si>
    <t>363-3569</t>
  </si>
  <si>
    <t>363-3570</t>
  </si>
  <si>
    <t>6V-4316</t>
  </si>
  <si>
    <t>SPROCKET WASHER</t>
  </si>
  <si>
    <t>197-9674</t>
  </si>
  <si>
    <t>8T-3980</t>
  </si>
  <si>
    <t>SPROCKET NUT</t>
  </si>
  <si>
    <t>365-0752</t>
  </si>
  <si>
    <t>ROLLER SINGLE FLANGE</t>
  </si>
  <si>
    <t>365-0751</t>
  </si>
  <si>
    <t>ROLLER DOUBLE FLANGE</t>
  </si>
  <si>
    <t>368-9791</t>
  </si>
  <si>
    <t>IDLER GP</t>
  </si>
  <si>
    <t>372-3375</t>
  </si>
  <si>
    <t>TRACK CARRIER GP</t>
  </si>
  <si>
    <t>110-2976</t>
  </si>
  <si>
    <t>TRACK LINK AS</t>
  </si>
  <si>
    <t>106-1607</t>
  </si>
  <si>
    <t>TRACK SHOE</t>
  </si>
  <si>
    <t>106-1613</t>
  </si>
  <si>
    <t>TRACK SHOE MASTER</t>
  </si>
  <si>
    <t>106-1642</t>
  </si>
  <si>
    <t>TRACK SHOE BOLT MASTER</t>
  </si>
  <si>
    <t>107-0719</t>
  </si>
  <si>
    <t>1S-1860</t>
  </si>
  <si>
    <t>TRACK SHOE NUT</t>
  </si>
  <si>
    <t>6V-1792</t>
  </si>
  <si>
    <t>TRACK SHOE BOLT</t>
  </si>
  <si>
    <t>572R II</t>
  </si>
  <si>
    <t>DSC00369</t>
  </si>
  <si>
    <t>DSC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</si>
  <si>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</si>
  <si>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</si>
  <si>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</si>
  <si>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</si>
  <si>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</si>
  <si>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</si>
  <si>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</si>
  <si>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</si>
  <si>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</si>
  <si>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</si>
  <si>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</si>
  <si>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DSC TG</t>
  </si>
  <si>
    <t>5P-7665</t>
  </si>
  <si>
    <t>6V-5841</t>
  </si>
  <si>
    <t>7H-3608</t>
  </si>
  <si>
    <t>192-0220</t>
  </si>
  <si>
    <t>131-1647</t>
  </si>
  <si>
    <t>IDLER CAP</t>
  </si>
  <si>
    <t>7X-0392</t>
  </si>
  <si>
    <t>IDLER BOLT</t>
  </si>
  <si>
    <t>5P-8249</t>
  </si>
  <si>
    <t>IDLER WASHER</t>
  </si>
  <si>
    <t>507-6452</t>
  </si>
  <si>
    <t>IDLER BLOCK</t>
  </si>
  <si>
    <t>7X-0371</t>
  </si>
  <si>
    <t>CARRIER BOLT</t>
  </si>
  <si>
    <t>8T-4994</t>
  </si>
  <si>
    <t>CARRIER WASHER</t>
  </si>
  <si>
    <t>428-0056</t>
  </si>
  <si>
    <t>CARRIER ROLLER</t>
  </si>
  <si>
    <t>551-2067</t>
  </si>
  <si>
    <t>DOUBLE FLANGE ROLLER</t>
  </si>
  <si>
    <t>273-3996</t>
  </si>
  <si>
    <t>1D-4630</t>
  </si>
  <si>
    <t>ROLLER BOLTS</t>
  </si>
  <si>
    <t>9H-1031</t>
  </si>
  <si>
    <t>550-0278</t>
  </si>
  <si>
    <t>488-4067</t>
  </si>
  <si>
    <t>326-1129</t>
  </si>
  <si>
    <t>7H-3599</t>
  </si>
  <si>
    <t>6V-1723</t>
  </si>
  <si>
    <t>TRACK SHOE BOLT (MASTER)</t>
  </si>
  <si>
    <t>9W-9058</t>
  </si>
  <si>
    <t>2S-2140</t>
  </si>
  <si>
    <t>Pipelayer</t>
  </si>
  <si>
    <t>594H</t>
  </si>
  <si>
    <t>96V00555</t>
  </si>
  <si>
    <t>96V</t>
  </si>
  <si>
    <t>2P-4005</t>
  </si>
  <si>
    <t>1P-8483</t>
  </si>
  <si>
    <t>1P-8482</t>
  </si>
  <si>
    <t>1R-0750</t>
  </si>
  <si>
    <t>9M-2341</t>
  </si>
  <si>
    <t>1R-0728</t>
  </si>
  <si>
    <t>HYDRAULIC FILTER</t>
  </si>
  <si>
    <t>1R-0741</t>
  </si>
  <si>
    <t>153-5720</t>
  </si>
  <si>
    <t>8N-1831</t>
  </si>
  <si>
    <t>2P-2800</t>
  </si>
  <si>
    <t>4H-9983</t>
  </si>
  <si>
    <t>7N-2495</t>
  </si>
  <si>
    <t>5S-1532</t>
  </si>
  <si>
    <t>IDLER AS</t>
  </si>
  <si>
    <t>DSC_TG</t>
  </si>
  <si>
    <t>WGS_TG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</si>
</sst>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0" fontId="5" fillId="2" borderId="41" xfId="0" applyFont="1" applyFill="1" applyBorder="1" applyAlignment="1">
      <alignment horizontal="left"/>
    </xf>
    <xf numFmtId="0" fontId="5" fillId="0" borderId="74" xfId="0" applyFont="1" applyBorder="1" applyAlignment="1">
      <alignment horizontal="center"/>
    </xf>
    <xf numFmtId="44" fontId="5" fillId="7" borderId="41" xfId="0" applyNumberFormat="1" applyFont="1" applyFill="1" applyBorder="1"/>
    <xf numFmtId="9" fontId="5" fillId="7" borderId="41" xfId="0" applyNumberFormat="1" applyFont="1" applyFill="1" applyBorder="1"/>
    <xf numFmtId="0" fontId="5" fillId="0" borderId="97" xfId="0" applyFont="1" applyBorder="1" applyAlignment="1">
      <alignment horizontal="left"/>
    </xf>
    <xf numFmtId="10" fontId="5" fillId="2" borderId="65" xfId="0" applyNumberFormat="1" applyFont="1" applyFill="1" applyBorder="1"/>
  </cellXfs>
  <cellStyles count="1">
    <cellStyle name="Normal" xfId="0" builtinId="0"/>
  </cellStyles>
  <dxfs count="2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9BB2A-3881-4351-8ADA-6F30A70C28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F774401-4F06-47BA-BBB8-9A893E452C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114B7B9-7BF3-44F8-BD86-C02B4AECF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1991485-A88C-43B3-A218-B9F6891BB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0C62AC4-7C5F-4132-889E-1518702AD8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336E9B3-4F77-44F8-8294-29224402B9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110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I50</f>
        <v>24866.290000000005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M50</f>
        <v>14081.679999999998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10784.610000000006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0.43370402259444429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T50</f>
        <v>52627.619999999995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110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R50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14081.679999999998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F50</f>
        <v>209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87"/>
      <c r="E20" s="100"/>
      <c r="F20">
        <v>1</v>
      </c>
      <c r="G20" s="226">
        <v>55.1</v>
      </c>
      <c r="H20" s="226">
        <v>38</v>
      </c>
      <c r="I20" s="226">
        <v>55.1</v>
      </c>
      <c r="J20" s="105"/>
      <c r="K20">
        <v>1</v>
      </c>
      <c r="L20" s="226">
        <v>27.55</v>
      </c>
      <c r="M20" s="226">
        <v>27.55</v>
      </c>
      <c r="N20" s="227">
        <v>0.5</v>
      </c>
      <c r="O20" s="93"/>
      <c r="P20" s="98"/>
      <c r="Q20" s="102"/>
      <c r="R20" s="108"/>
      <c r="S20" s="226">
        <v>27.55</v>
      </c>
      <c r="T20" s="226">
        <v>27.55</v>
      </c>
      <c r="U20" s="227">
        <v>0</v>
      </c>
      <c r="V20" s="227">
        <v>1</v>
      </c>
      <c r="W20" s="111"/>
      <c r="X20" s="97"/>
      <c r="Y20" s="8"/>
      <c r="Z20" s="8"/>
    </row>
    <row r="21" spans="2:26">
      <c r="B21" t="s">
        <v>115</v>
      </c>
      <c r="C21" t="s">
        <v>116</v>
      </c>
      <c r="D21" s="87"/>
      <c r="E21" s="88"/>
      <c r="F21">
        <v>1</v>
      </c>
      <c r="G21" s="226">
        <v>142.79</v>
      </c>
      <c r="H21" s="226">
        <v>98.48</v>
      </c>
      <c r="I21" s="226">
        <v>142.79</v>
      </c>
      <c r="J21" s="105"/>
      <c r="K21">
        <v>1</v>
      </c>
      <c r="L21" s="226">
        <v>71.400000000000006</v>
      </c>
      <c r="M21" s="226">
        <v>71.400000000000006</v>
      </c>
      <c r="N21" s="227">
        <v>0.5</v>
      </c>
      <c r="O21" s="93"/>
      <c r="P21" s="115"/>
      <c r="Q21" s="94"/>
      <c r="R21" s="94"/>
      <c r="S21" s="226">
        <v>71.400000000000006</v>
      </c>
      <c r="T21" s="226">
        <v>71.400000000000006</v>
      </c>
      <c r="U21" s="227">
        <v>0</v>
      </c>
      <c r="V21" s="227">
        <v>1</v>
      </c>
      <c r="W21" s="96"/>
      <c r="X21" s="97"/>
      <c r="Y21" s="8"/>
      <c r="Z21" s="8"/>
    </row>
    <row r="22" spans="2:26" ht="15.75" customHeight="1">
      <c r="B22" t="s">
        <v>117</v>
      </c>
      <c r="C22" t="s">
        <v>118</v>
      </c>
      <c r="D22" s="87"/>
      <c r="E22" s="100"/>
      <c r="F22">
        <v>1</v>
      </c>
      <c r="G22" s="226">
        <v>98.27</v>
      </c>
      <c r="H22" s="226">
        <v>67.77</v>
      </c>
      <c r="I22" s="226">
        <v>98.27</v>
      </c>
      <c r="J22" s="105"/>
      <c r="K22">
        <v>1</v>
      </c>
      <c r="L22" s="226">
        <v>63.88</v>
      </c>
      <c r="M22" s="226">
        <v>63.88</v>
      </c>
      <c r="N22" s="227">
        <v>0.35</v>
      </c>
      <c r="O22" s="93"/>
      <c r="P22" s="98"/>
      <c r="Q22" s="102"/>
      <c r="R22" s="108"/>
      <c r="S22" s="226">
        <v>63.88</v>
      </c>
      <c r="T22" s="226">
        <v>63.88</v>
      </c>
      <c r="U22" s="227">
        <v>0</v>
      </c>
      <c r="V22" s="227">
        <v>1</v>
      </c>
      <c r="W22" s="111"/>
      <c r="X22" s="97"/>
      <c r="Y22" s="8"/>
      <c r="Z22" s="8"/>
    </row>
    <row r="23" spans="2:26" ht="15.75" customHeight="1">
      <c r="B23" t="s">
        <v>119</v>
      </c>
      <c r="C23" t="s">
        <v>120</v>
      </c>
      <c r="D23" s="87"/>
      <c r="E23" s="88"/>
      <c r="F23">
        <v>1</v>
      </c>
      <c r="G23" s="226">
        <v>54.82</v>
      </c>
      <c r="H23" s="226">
        <v>37.81</v>
      </c>
      <c r="I23" s="226">
        <v>54.82</v>
      </c>
      <c r="J23" s="105"/>
      <c r="K23">
        <v>1</v>
      </c>
      <c r="L23" s="226">
        <v>35.630000000000003</v>
      </c>
      <c r="M23" s="226">
        <v>35.630000000000003</v>
      </c>
      <c r="N23" s="227">
        <v>0.35010000000000002</v>
      </c>
      <c r="O23" s="93"/>
      <c r="P23" s="115"/>
      <c r="Q23" s="94"/>
      <c r="R23" s="94"/>
      <c r="S23" s="226">
        <v>35.630000000000003</v>
      </c>
      <c r="T23" s="226">
        <v>35.630000000000003</v>
      </c>
      <c r="U23" s="227">
        <v>0</v>
      </c>
      <c r="V23" s="227">
        <v>1</v>
      </c>
      <c r="W23" s="96"/>
      <c r="X23" s="97"/>
      <c r="Y23" s="8"/>
      <c r="Z23" s="8"/>
    </row>
    <row r="24" spans="2:26" ht="15.75" customHeight="1">
      <c r="B24" t="s">
        <v>121</v>
      </c>
      <c r="C24" t="s">
        <v>122</v>
      </c>
      <c r="D24" s="87"/>
      <c r="E24" s="100"/>
      <c r="F24">
        <v>1</v>
      </c>
      <c r="G24" s="226">
        <v>96.85</v>
      </c>
      <c r="H24" s="226">
        <v>66.790000000000006</v>
      </c>
      <c r="I24" s="226">
        <v>96.85</v>
      </c>
      <c r="J24" s="105"/>
      <c r="K24">
        <v>1</v>
      </c>
      <c r="L24" s="226">
        <v>48.43</v>
      </c>
      <c r="M24" s="226">
        <v>48.43</v>
      </c>
      <c r="N24" s="227">
        <v>0.49990000000000001</v>
      </c>
      <c r="O24" s="93"/>
      <c r="P24" s="98"/>
      <c r="Q24" s="102"/>
      <c r="R24" s="108"/>
      <c r="S24" s="226">
        <v>48.43</v>
      </c>
      <c r="T24" s="226">
        <v>48.43</v>
      </c>
      <c r="U24" s="227">
        <v>0</v>
      </c>
      <c r="V24" s="227">
        <v>1</v>
      </c>
      <c r="W24" s="111"/>
      <c r="X24" s="97"/>
      <c r="Y24" s="8"/>
      <c r="Z24" s="8"/>
    </row>
    <row r="25" spans="2:26" ht="15.75" customHeight="1">
      <c r="B25" t="s">
        <v>123</v>
      </c>
      <c r="C25" t="s">
        <v>124</v>
      </c>
      <c r="D25" s="87"/>
      <c r="E25" s="88"/>
      <c r="F25">
        <v>1</v>
      </c>
      <c r="G25" s="226">
        <v>48.72</v>
      </c>
      <c r="H25" s="226">
        <v>33.6</v>
      </c>
      <c r="I25" s="226">
        <v>48.72</v>
      </c>
      <c r="J25" s="105"/>
      <c r="K25">
        <v>1</v>
      </c>
      <c r="L25" s="226">
        <v>24.36</v>
      </c>
      <c r="M25" s="226">
        <v>24.36</v>
      </c>
      <c r="N25" s="227">
        <v>0.5</v>
      </c>
      <c r="O25" s="93"/>
      <c r="P25" s="115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97"/>
      <c r="Y25" s="8"/>
      <c r="Z25" s="8"/>
    </row>
    <row r="26" spans="2:26" ht="15.75" customHeight="1">
      <c r="B26" t="s">
        <v>125</v>
      </c>
      <c r="C26" t="s">
        <v>124</v>
      </c>
      <c r="D26" s="87"/>
      <c r="E26" s="100"/>
      <c r="F26">
        <v>1</v>
      </c>
      <c r="G26" s="226">
        <v>48.64</v>
      </c>
      <c r="H26" s="226">
        <v>33.54</v>
      </c>
      <c r="I26" s="226">
        <v>48.64</v>
      </c>
      <c r="J26" s="105"/>
      <c r="K26">
        <v>1</v>
      </c>
      <c r="L26" s="226">
        <v>24.32</v>
      </c>
      <c r="M26" s="226">
        <v>24.32</v>
      </c>
      <c r="N26" s="227">
        <v>0.5</v>
      </c>
      <c r="O26" s="93"/>
      <c r="P26" s="98"/>
      <c r="Q26" s="102"/>
      <c r="R26" s="108"/>
      <c r="S26" s="226">
        <v>24.32</v>
      </c>
      <c r="T26" s="226">
        <v>24.32</v>
      </c>
      <c r="U26" s="227">
        <v>0</v>
      </c>
      <c r="V26" s="227">
        <v>1</v>
      </c>
      <c r="W26" s="111"/>
      <c r="X26" s="97"/>
      <c r="Y26" s="8"/>
      <c r="Z26" s="8"/>
    </row>
    <row r="27" spans="2:26" ht="15.75" customHeight="1">
      <c r="B27" t="s">
        <v>126</v>
      </c>
      <c r="C27" t="s">
        <v>127</v>
      </c>
      <c r="D27" s="87"/>
      <c r="E27" s="88"/>
      <c r="F27">
        <v>2</v>
      </c>
      <c r="G27" s="226">
        <v>323.02999999999997</v>
      </c>
      <c r="H27" s="226">
        <v>222.78</v>
      </c>
      <c r="I27" s="226">
        <v>646.05999999999995</v>
      </c>
      <c r="J27" s="105"/>
      <c r="K27">
        <v>2</v>
      </c>
      <c r="L27" s="226">
        <v>161.52000000000001</v>
      </c>
      <c r="M27" s="226">
        <v>323.04000000000002</v>
      </c>
      <c r="N27" s="227">
        <v>0.5</v>
      </c>
      <c r="O27" s="93"/>
      <c r="P27" s="115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97"/>
      <c r="Y27" s="8"/>
      <c r="Z27" s="8"/>
    </row>
    <row r="28" spans="2:26" ht="15.75" customHeight="1">
      <c r="B28" t="s">
        <v>128</v>
      </c>
      <c r="C28" t="s">
        <v>129</v>
      </c>
      <c r="D28" s="87"/>
      <c r="E28" s="100"/>
      <c r="F28">
        <v>6</v>
      </c>
      <c r="G28" s="226">
        <v>1234.93</v>
      </c>
      <c r="H28" s="226">
        <v>851.68</v>
      </c>
      <c r="I28" s="226">
        <v>7409.58</v>
      </c>
      <c r="J28" s="105"/>
      <c r="K28">
        <v>6</v>
      </c>
      <c r="L28" s="226">
        <v>864.46</v>
      </c>
      <c r="M28" s="226">
        <v>5186.76</v>
      </c>
      <c r="N28" s="227">
        <v>0.3</v>
      </c>
      <c r="O28" s="93"/>
      <c r="P28" s="98"/>
      <c r="Q28" s="102"/>
      <c r="R28" s="108"/>
      <c r="S28" s="226">
        <v>5186.76</v>
      </c>
      <c r="T28" s="226">
        <v>31120.560000000001</v>
      </c>
      <c r="U28" s="227">
        <v>0</v>
      </c>
      <c r="V28" s="227">
        <v>1</v>
      </c>
      <c r="W28" s="111"/>
      <c r="X28" s="97"/>
      <c r="Y28" s="8"/>
      <c r="Z28" s="116"/>
    </row>
    <row r="29" spans="2:26" ht="15.75" customHeight="1">
      <c r="B29" t="s">
        <v>130</v>
      </c>
      <c r="C29" t="s">
        <v>131</v>
      </c>
      <c r="D29" s="87"/>
      <c r="E29" s="88"/>
      <c r="F29">
        <v>1</v>
      </c>
      <c r="G29" s="226">
        <v>6363.17</v>
      </c>
      <c r="H29" s="226">
        <v>4388.3900000000003</v>
      </c>
      <c r="I29" s="226">
        <v>6363.17</v>
      </c>
      <c r="J29" s="105"/>
      <c r="K29">
        <v>1</v>
      </c>
      <c r="L29" s="226">
        <v>3181.59</v>
      </c>
      <c r="M29" s="226">
        <v>3181.59</v>
      </c>
      <c r="N29" s="227">
        <v>0.5</v>
      </c>
      <c r="O29" s="93"/>
      <c r="P29" s="115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97"/>
      <c r="Y29" s="8"/>
      <c r="Z29" s="8"/>
    </row>
    <row r="30" spans="2:26" ht="15.75" customHeight="1">
      <c r="B30" t="s">
        <v>132</v>
      </c>
      <c r="C30" t="s">
        <v>133</v>
      </c>
      <c r="D30" s="87"/>
      <c r="E30" s="100"/>
      <c r="F30">
        <v>1</v>
      </c>
      <c r="G30" s="226">
        <v>744.17</v>
      </c>
      <c r="H30" s="226">
        <v>513.22</v>
      </c>
      <c r="I30" s="226">
        <v>744.17</v>
      </c>
      <c r="J30" s="105"/>
      <c r="K30">
        <v>1</v>
      </c>
      <c r="L30" s="226">
        <v>372.09</v>
      </c>
      <c r="M30" s="226">
        <v>372.09</v>
      </c>
      <c r="N30" s="227">
        <v>0.5</v>
      </c>
      <c r="O30" s="93"/>
      <c r="P30" s="98"/>
      <c r="Q30" s="102"/>
      <c r="R30" s="108"/>
      <c r="S30" s="226">
        <v>372.09</v>
      </c>
      <c r="T30" s="226">
        <v>372.09</v>
      </c>
      <c r="U30" s="227">
        <v>0</v>
      </c>
      <c r="V30" s="227">
        <v>1</v>
      </c>
      <c r="W30" s="111"/>
      <c r="X30" s="97"/>
      <c r="Y30" s="8"/>
      <c r="Z30" s="8"/>
    </row>
    <row r="31" spans="2:26" ht="15.75" customHeight="1">
      <c r="B31" t="s">
        <v>134</v>
      </c>
      <c r="C31" t="s">
        <v>135</v>
      </c>
      <c r="D31" s="87"/>
      <c r="E31" s="88"/>
      <c r="F31">
        <v>1</v>
      </c>
      <c r="G31" s="226">
        <v>6281.8</v>
      </c>
      <c r="H31" s="226">
        <v>4332.28</v>
      </c>
      <c r="I31" s="226">
        <v>6281.8</v>
      </c>
      <c r="J31" s="105"/>
      <c r="K31">
        <v>1</v>
      </c>
      <c r="L31" s="226">
        <v>3140.9</v>
      </c>
      <c r="M31" s="226">
        <v>3140.9</v>
      </c>
      <c r="N31" s="227">
        <v>0.5</v>
      </c>
      <c r="O31" s="93"/>
      <c r="P31" s="115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97"/>
      <c r="Y31" s="8"/>
      <c r="Z31" s="8"/>
    </row>
    <row r="32" spans="2:26" ht="15.75" customHeight="1">
      <c r="D32" s="87"/>
      <c r="E32" s="100"/>
      <c r="H32" t="s">
        <v>154</v>
      </c>
      <c r="I32" t="s">
        <v>154</v>
      </c>
      <c r="J32" s="105"/>
      <c r="K32">
        <v>0</v>
      </c>
      <c r="L32" t="s">
        <v>154</v>
      </c>
      <c r="M32" t="s">
        <v>154</v>
      </c>
      <c r="O32" s="93"/>
      <c r="P32" s="98"/>
      <c r="Q32" s="102"/>
      <c r="R32" s="108"/>
      <c r="S32" t="s">
        <v>154</v>
      </c>
      <c r="T32" t="s">
        <v>154</v>
      </c>
      <c r="U32" s="227">
        <v>0</v>
      </c>
      <c r="V32" s="227">
        <v>0</v>
      </c>
      <c r="W32" s="111"/>
      <c r="X32" s="97"/>
      <c r="Y32" s="8"/>
      <c r="Z32" s="8"/>
    </row>
    <row r="33" spans="2:23" ht="15.75" customHeight="1">
      <c r="B33" t="s">
        <v>136</v>
      </c>
      <c r="C33" t="s">
        <v>137</v>
      </c>
      <c r="D33" s="87"/>
      <c r="E33" s="88"/>
      <c r="F33">
        <v>56</v>
      </c>
      <c r="G33" s="226">
        <v>1.58</v>
      </c>
      <c r="H33" s="226">
        <v>1.0900000000000001</v>
      </c>
      <c r="I33" s="226">
        <v>88.48</v>
      </c>
      <c r="J33" s="105"/>
      <c r="K33">
        <v>56</v>
      </c>
      <c r="L33" s="226">
        <v>0.87</v>
      </c>
      <c r="M33" s="226">
        <v>48.72</v>
      </c>
      <c r="N33" s="227">
        <v>0.44940000000000002</v>
      </c>
      <c r="O33" s="93"/>
      <c r="P33" s="115"/>
      <c r="Q33" s="94"/>
      <c r="R33" s="94"/>
      <c r="S33" s="226">
        <v>48.72</v>
      </c>
      <c r="T33" s="226">
        <v>2728.32</v>
      </c>
      <c r="U33" s="227">
        <v>0</v>
      </c>
      <c r="V33" s="227">
        <v>1</v>
      </c>
      <c r="W33" s="96"/>
    </row>
    <row r="34" spans="2:23" ht="15.75" customHeight="1">
      <c r="B34" t="s">
        <v>138</v>
      </c>
      <c r="C34" t="s">
        <v>139</v>
      </c>
      <c r="D34" s="87"/>
      <c r="E34" s="100"/>
      <c r="F34">
        <v>56</v>
      </c>
      <c r="G34" s="226">
        <v>3.29</v>
      </c>
      <c r="H34" s="226">
        <v>2.27</v>
      </c>
      <c r="I34" s="226">
        <v>184.24</v>
      </c>
      <c r="J34" s="105"/>
      <c r="K34">
        <v>56</v>
      </c>
      <c r="L34" s="226">
        <v>1.82</v>
      </c>
      <c r="M34" s="226">
        <v>101.92</v>
      </c>
      <c r="N34" s="227">
        <v>0.44679999999999997</v>
      </c>
      <c r="O34" s="93"/>
      <c r="P34" s="98"/>
      <c r="Q34" s="102"/>
      <c r="R34" s="108"/>
      <c r="S34" s="226">
        <v>101.92</v>
      </c>
      <c r="T34" s="226">
        <v>5707.52</v>
      </c>
      <c r="U34" s="227">
        <v>0</v>
      </c>
      <c r="V34" s="227">
        <v>1</v>
      </c>
      <c r="W34" s="111"/>
    </row>
    <row r="35" spans="2:23" ht="15.75" customHeight="1">
      <c r="B35" t="s">
        <v>140</v>
      </c>
      <c r="C35" t="s">
        <v>141</v>
      </c>
      <c r="D35" s="87"/>
      <c r="E35" s="88"/>
      <c r="F35">
        <v>2</v>
      </c>
      <c r="G35" s="226">
        <v>954.79</v>
      </c>
      <c r="H35" s="226">
        <v>658.48</v>
      </c>
      <c r="I35" s="226">
        <v>1909.58</v>
      </c>
      <c r="J35" s="105"/>
      <c r="K35">
        <v>2</v>
      </c>
      <c r="L35" s="226">
        <v>525.14</v>
      </c>
      <c r="M35" s="226">
        <v>1050.28</v>
      </c>
      <c r="N35" s="227">
        <v>0.45</v>
      </c>
      <c r="O35" s="93"/>
      <c r="P35" s="115"/>
      <c r="Q35" s="94"/>
      <c r="R35" s="94"/>
      <c r="S35" s="226">
        <v>1050.28</v>
      </c>
      <c r="T35" s="226">
        <v>2100.56</v>
      </c>
      <c r="U35" s="227">
        <v>0</v>
      </c>
      <c r="V35" s="227">
        <v>1</v>
      </c>
      <c r="W35" s="96"/>
    </row>
    <row r="36" spans="2:23" ht="15.75" customHeight="1">
      <c r="D36" s="87"/>
      <c r="E36" s="100"/>
      <c r="H36" t="s">
        <v>154</v>
      </c>
      <c r="I36" t="s">
        <v>154</v>
      </c>
      <c r="J36" s="105"/>
      <c r="K36">
        <v>0</v>
      </c>
      <c r="L36" t="s">
        <v>154</v>
      </c>
      <c r="M36" t="s">
        <v>154</v>
      </c>
      <c r="O36" s="93"/>
      <c r="P36" s="98"/>
      <c r="Q36" s="102"/>
      <c r="R36" s="108"/>
      <c r="S36" t="s">
        <v>154</v>
      </c>
      <c r="T36" t="s">
        <v>154</v>
      </c>
      <c r="U36" s="227">
        <v>0</v>
      </c>
      <c r="V36" s="227">
        <v>0</v>
      </c>
      <c r="W36" s="111"/>
    </row>
    <row r="37" spans="2:23" ht="15.75" customHeight="1">
      <c r="B37" s="225" t="s">
        <v>142</v>
      </c>
      <c r="C37" t="s">
        <v>143</v>
      </c>
      <c r="D37" s="87"/>
      <c r="E37" s="88"/>
      <c r="F37">
        <v>1</v>
      </c>
      <c r="G37" s="226">
        <v>79.2</v>
      </c>
      <c r="H37" s="226">
        <v>54.62</v>
      </c>
      <c r="I37" s="226">
        <v>79.2</v>
      </c>
      <c r="J37" s="105"/>
      <c r="K37">
        <v>1</v>
      </c>
      <c r="L37" s="226">
        <v>43.56</v>
      </c>
      <c r="M37" s="226">
        <v>43.56</v>
      </c>
      <c r="N37" s="227">
        <v>0.45</v>
      </c>
      <c r="O37" s="93"/>
      <c r="P37" s="115"/>
      <c r="Q37" s="94"/>
      <c r="R37" s="94"/>
      <c r="S37" s="226">
        <v>43.56</v>
      </c>
      <c r="T37" s="226">
        <v>43.56</v>
      </c>
      <c r="U37" s="227">
        <v>0</v>
      </c>
      <c r="V37" s="227">
        <v>1</v>
      </c>
      <c r="W37" s="96"/>
    </row>
    <row r="38" spans="2:23" ht="15.75" customHeight="1">
      <c r="B38" s="225" t="s">
        <v>144</v>
      </c>
      <c r="C38" t="s">
        <v>145</v>
      </c>
      <c r="D38" s="87"/>
      <c r="E38" s="100"/>
      <c r="F38">
        <v>1</v>
      </c>
      <c r="G38" s="226">
        <v>79.2</v>
      </c>
      <c r="H38" s="226">
        <v>54.62</v>
      </c>
      <c r="I38" s="226">
        <v>79.2</v>
      </c>
      <c r="J38" s="105"/>
      <c r="K38">
        <v>1</v>
      </c>
      <c r="L38" s="226">
        <v>43.56</v>
      </c>
      <c r="M38" s="226">
        <v>43.56</v>
      </c>
      <c r="N38" s="227">
        <v>0.45</v>
      </c>
      <c r="O38" s="93"/>
      <c r="P38" s="98"/>
      <c r="Q38" s="102"/>
      <c r="R38" s="108"/>
      <c r="S38" s="226">
        <v>43.56</v>
      </c>
      <c r="T38" s="226">
        <v>43.56</v>
      </c>
      <c r="U38" s="227">
        <v>0</v>
      </c>
      <c r="V38" s="227">
        <v>1</v>
      </c>
      <c r="W38" s="111"/>
    </row>
    <row r="39" spans="2:23" ht="15.75" customHeight="1">
      <c r="B39" t="s">
        <v>146</v>
      </c>
      <c r="C39" t="s">
        <v>147</v>
      </c>
      <c r="D39" s="87"/>
      <c r="E39" s="88"/>
      <c r="F39">
        <v>2</v>
      </c>
      <c r="G39" s="226">
        <v>145.9</v>
      </c>
      <c r="H39" s="226">
        <v>100.62</v>
      </c>
      <c r="I39" s="226">
        <v>291.8</v>
      </c>
      <c r="J39" s="105"/>
      <c r="K39">
        <v>2</v>
      </c>
      <c r="L39" s="226">
        <v>80.25</v>
      </c>
      <c r="M39" s="226">
        <v>160.5</v>
      </c>
      <c r="N39" s="227">
        <v>0.45</v>
      </c>
      <c r="O39" s="93"/>
      <c r="P39" s="115"/>
      <c r="Q39" s="94"/>
      <c r="R39" s="94"/>
      <c r="S39" s="226">
        <v>160.5</v>
      </c>
      <c r="T39" s="226">
        <v>321</v>
      </c>
      <c r="U39" s="227">
        <v>0</v>
      </c>
      <c r="V39" s="227">
        <v>1</v>
      </c>
      <c r="W39" s="111"/>
    </row>
    <row r="40" spans="2:23" ht="15.75" customHeight="1">
      <c r="B40" t="s">
        <v>148</v>
      </c>
      <c r="C40" t="s">
        <v>149</v>
      </c>
      <c r="D40" s="87"/>
      <c r="E40" s="100"/>
      <c r="F40">
        <v>24</v>
      </c>
      <c r="G40" s="226">
        <v>2.2200000000000002</v>
      </c>
      <c r="H40" s="226">
        <v>1.53</v>
      </c>
      <c r="I40" s="226">
        <v>53.28</v>
      </c>
      <c r="J40" s="105"/>
      <c r="K40">
        <v>24</v>
      </c>
      <c r="L40" s="226">
        <v>1.22</v>
      </c>
      <c r="M40" s="226">
        <v>29.28</v>
      </c>
      <c r="N40" s="227">
        <v>0.45050000000000001</v>
      </c>
      <c r="O40" s="93"/>
      <c r="P40" s="98"/>
      <c r="Q40" s="102"/>
      <c r="R40" s="108"/>
      <c r="S40" s="226">
        <v>29.28</v>
      </c>
      <c r="T40" s="226">
        <v>702.72</v>
      </c>
      <c r="U40" s="227">
        <v>0</v>
      </c>
      <c r="V40" s="227">
        <v>1</v>
      </c>
      <c r="W40" s="111"/>
    </row>
    <row r="41" spans="2:23" ht="15.75" customHeight="1">
      <c r="B41" t="s">
        <v>150</v>
      </c>
      <c r="C41" t="s">
        <v>151</v>
      </c>
      <c r="D41" s="87"/>
      <c r="E41" s="88"/>
      <c r="F41">
        <v>24</v>
      </c>
      <c r="G41" s="226">
        <v>3.43</v>
      </c>
      <c r="H41" s="226">
        <v>2.37</v>
      </c>
      <c r="I41" s="226">
        <v>82.32</v>
      </c>
      <c r="J41" s="105"/>
      <c r="K41">
        <v>24</v>
      </c>
      <c r="L41" s="226">
        <v>1.89</v>
      </c>
      <c r="M41" s="226">
        <v>45.36</v>
      </c>
      <c r="N41" s="227">
        <v>0.44900000000000001</v>
      </c>
      <c r="O41" s="93"/>
      <c r="P41" s="115"/>
      <c r="Q41" s="94"/>
      <c r="R41" s="94"/>
      <c r="S41" s="226">
        <v>45.36</v>
      </c>
      <c r="T41" s="226">
        <v>1088.6400000000001</v>
      </c>
      <c r="U41" s="227">
        <v>0</v>
      </c>
      <c r="V41" s="227">
        <v>1</v>
      </c>
      <c r="W41" s="111"/>
    </row>
    <row r="42" spans="2:23" ht="15.75" customHeight="1">
      <c r="B42" t="s">
        <v>152</v>
      </c>
      <c r="C42" t="s">
        <v>153</v>
      </c>
      <c r="D42" s="87"/>
      <c r="E42" s="100"/>
      <c r="F42">
        <v>24</v>
      </c>
      <c r="G42" s="226">
        <v>3.53</v>
      </c>
      <c r="H42" s="226">
        <v>2.4300000000000002</v>
      </c>
      <c r="I42" s="226">
        <v>84.72</v>
      </c>
      <c r="J42" s="105"/>
      <c r="K42">
        <v>24</v>
      </c>
      <c r="L42" s="226">
        <v>1.95</v>
      </c>
      <c r="M42" s="226">
        <v>46.8</v>
      </c>
      <c r="N42" s="227">
        <v>0.4476</v>
      </c>
      <c r="O42" s="93"/>
      <c r="P42" s="98"/>
      <c r="Q42" s="102"/>
      <c r="R42" s="108"/>
      <c r="S42" s="226">
        <v>46.8</v>
      </c>
      <c r="T42" s="226">
        <v>1123.2</v>
      </c>
      <c r="U42" s="227">
        <v>0</v>
      </c>
      <c r="V42" s="227">
        <v>1</v>
      </c>
      <c r="W42" s="111"/>
    </row>
    <row r="43" spans="2:23" ht="15.75" customHeight="1">
      <c r="B43" s="86"/>
      <c r="C43" s="112"/>
      <c r="D43" s="87"/>
      <c r="E43" s="88"/>
      <c r="F43" s="113"/>
      <c r="G43" s="94"/>
      <c r="H43" s="90"/>
      <c r="I43" s="91"/>
      <c r="J43" s="105"/>
      <c r="K43" s="89"/>
      <c r="L43" s="90"/>
      <c r="M43" s="90"/>
      <c r="N43" s="114"/>
      <c r="O43" s="93"/>
      <c r="P43" s="115"/>
      <c r="Q43" s="94"/>
      <c r="R43" s="94"/>
      <c r="S43" s="94"/>
      <c r="T43" s="94"/>
      <c r="U43" s="95"/>
      <c r="V43" s="95"/>
      <c r="W43" s="111"/>
    </row>
    <row r="44" spans="2:23" ht="15.75" customHeight="1">
      <c r="B44" s="98"/>
      <c r="C44" s="99"/>
      <c r="D44" s="87"/>
      <c r="E44" s="100"/>
      <c r="F44" s="101"/>
      <c r="G44" s="102"/>
      <c r="H44" s="103"/>
      <c r="I44" s="104"/>
      <c r="J44" s="105"/>
      <c r="K44" s="106"/>
      <c r="L44" s="103"/>
      <c r="M44" s="103"/>
      <c r="N44" s="107"/>
      <c r="O44" s="93"/>
      <c r="P44" s="98"/>
      <c r="Q44" s="102"/>
      <c r="R44" s="108"/>
      <c r="S44" s="109"/>
      <c r="T44" s="109"/>
      <c r="U44" s="110"/>
      <c r="V44" s="110"/>
      <c r="W44" s="111"/>
    </row>
    <row r="45" spans="2:23" ht="15.75" customHeight="1">
      <c r="B45" s="86"/>
      <c r="C45" s="112"/>
      <c r="D45" s="87"/>
      <c r="E45" s="88"/>
      <c r="F45" s="113"/>
      <c r="G45" s="94"/>
      <c r="H45" s="90"/>
      <c r="I45" s="91"/>
      <c r="J45" s="105"/>
      <c r="K45" s="89"/>
      <c r="L45" s="90"/>
      <c r="M45" s="90"/>
      <c r="N45" s="114"/>
      <c r="O45" s="93"/>
      <c r="P45" s="115"/>
      <c r="Q45" s="94"/>
      <c r="R45" s="94"/>
      <c r="S45" s="94"/>
      <c r="T45" s="94"/>
      <c r="U45" s="95"/>
      <c r="V45" s="95"/>
      <c r="W45" s="111"/>
    </row>
    <row r="46" spans="2:23" ht="15.75" customHeight="1">
      <c r="B46" s="98"/>
      <c r="C46" s="99"/>
      <c r="D46" s="87"/>
      <c r="E46" s="100"/>
      <c r="F46" s="101"/>
      <c r="G46" s="102"/>
      <c r="H46" s="103"/>
      <c r="I46" s="104"/>
      <c r="J46" s="105"/>
      <c r="K46" s="106"/>
      <c r="L46" s="103"/>
      <c r="M46" s="103"/>
      <c r="N46" s="107"/>
      <c r="O46" s="93"/>
      <c r="P46" s="98"/>
      <c r="Q46" s="102"/>
      <c r="R46" s="108"/>
      <c r="S46" s="109"/>
      <c r="T46" s="109"/>
      <c r="U46" s="110"/>
      <c r="V46" s="110"/>
      <c r="W46" s="111"/>
    </row>
    <row r="47" spans="2:23" ht="15.75" customHeight="1">
      <c r="B47" s="86"/>
      <c r="C47" s="112"/>
      <c r="D47" s="87"/>
      <c r="E47" s="88"/>
      <c r="F47" s="113"/>
      <c r="G47" s="94"/>
      <c r="H47" s="90"/>
      <c r="I47" s="91"/>
      <c r="J47" s="105"/>
      <c r="K47" s="89"/>
      <c r="L47" s="90"/>
      <c r="M47" s="90"/>
      <c r="N47" s="114"/>
      <c r="O47" s="93"/>
      <c r="P47" s="115"/>
      <c r="Q47" s="94"/>
      <c r="R47" s="94"/>
      <c r="S47" s="94"/>
      <c r="T47" s="94"/>
      <c r="U47" s="95"/>
      <c r="V47" s="95"/>
      <c r="W47" s="111"/>
    </row>
    <row r="48" spans="2:23" ht="15.75" customHeight="1">
      <c r="B48" s="98"/>
      <c r="C48" s="99"/>
      <c r="D48" s="87"/>
      <c r="E48" s="100"/>
      <c r="F48" s="101"/>
      <c r="G48" s="102"/>
      <c r="H48" s="103"/>
      <c r="I48" s="104"/>
      <c r="J48" s="105"/>
      <c r="K48" s="106"/>
      <c r="L48" s="103"/>
      <c r="M48" s="103"/>
      <c r="N48" s="107"/>
      <c r="O48" s="93"/>
      <c r="P48" s="98"/>
      <c r="Q48" s="102"/>
      <c r="R48" s="108"/>
      <c r="S48" s="109"/>
      <c r="T48" s="109"/>
      <c r="U48" s="110"/>
      <c r="V48" s="110"/>
      <c r="W48" s="111"/>
    </row>
    <row r="49" spans="2:23" ht="15.75" customHeight="1">
      <c r="B49" s="86"/>
      <c r="C49" s="112"/>
      <c r="D49" s="87"/>
      <c r="E49" s="88"/>
      <c r="F49" s="113"/>
      <c r="G49" s="94"/>
      <c r="H49" s="90"/>
      <c r="I49" s="91"/>
      <c r="J49" s="105"/>
      <c r="K49" s="89"/>
      <c r="L49" s="90"/>
      <c r="M49" s="90"/>
      <c r="N49" s="114"/>
      <c r="O49" s="93"/>
      <c r="P49" s="115"/>
      <c r="Q49" s="94"/>
      <c r="R49" s="94"/>
      <c r="S49" s="94"/>
      <c r="T49" s="94"/>
      <c r="U49" s="95"/>
      <c r="V49" s="95"/>
      <c r="W49" s="111"/>
    </row>
    <row r="50" spans="2:23" ht="20.25" customHeight="1">
      <c r="B50" s="117"/>
      <c r="C50" s="117"/>
      <c r="D50" s="118"/>
      <c r="E50" s="119" t="s">
        <v>107</v>
      </c>
      <c r="F50" s="120">
        <f t="shared" ref="F50:I50" si="0">SUM(F19:F49)</f>
        <v>209</v>
      </c>
      <c r="G50" s="121">
        <f t="shared" si="0"/>
        <v>16788.930000000004</v>
      </c>
      <c r="H50" s="122">
        <f t="shared" si="0"/>
        <v>11578.580000000004</v>
      </c>
      <c r="I50" s="123">
        <f t="shared" si="0"/>
        <v>24866.290000000005</v>
      </c>
      <c r="J50" s="124"/>
      <c r="K50" s="125">
        <f t="shared" ref="K50:M50" si="1">SUM(K19:K49)</f>
        <v>209</v>
      </c>
      <c r="L50" s="122">
        <f t="shared" si="1"/>
        <v>8728.14</v>
      </c>
      <c r="M50" s="123">
        <f t="shared" si="1"/>
        <v>14081.679999999998</v>
      </c>
      <c r="N50" s="123"/>
      <c r="O50" s="126"/>
      <c r="P50" s="127"/>
      <c r="Q50" s="122">
        <f t="shared" ref="Q50:T50" si="2">SUM(Q19:Q49)</f>
        <v>0</v>
      </c>
      <c r="R50" s="122">
        <f t="shared" si="2"/>
        <v>0</v>
      </c>
      <c r="S50" s="123">
        <f t="shared" si="2"/>
        <v>14081.679999999998</v>
      </c>
      <c r="T50" s="123">
        <f t="shared" si="2"/>
        <v>52627.619999999995</v>
      </c>
      <c r="U50" s="128"/>
      <c r="V50" s="128"/>
      <c r="W50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FE1-EAD9-4C50-9EFA-04193F868DBF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156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44490.5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24473.920000000002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20016.579999999998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0.44990683404322268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644169.76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156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24473.920000000002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157</v>
      </c>
      <c r="C19" t="s">
        <v>158</v>
      </c>
      <c r="D19" s="87"/>
      <c r="E19" s="88"/>
      <c r="F19">
        <v>2</v>
      </c>
      <c r="G19" s="226">
        <v>3018.53</v>
      </c>
      <c r="H19" s="226">
        <v>2081.7399999999998</v>
      </c>
      <c r="I19" s="226">
        <v>6037.06</v>
      </c>
      <c r="J19" s="92"/>
      <c r="K19">
        <v>2</v>
      </c>
      <c r="L19" s="226">
        <v>1660.2</v>
      </c>
      <c r="M19" s="226">
        <v>3320.4</v>
      </c>
      <c r="N19" s="227">
        <v>0.45</v>
      </c>
      <c r="O19" s="93"/>
      <c r="P19" s="86"/>
      <c r="Q19" s="94"/>
      <c r="R19" s="94"/>
      <c r="S19" s="226">
        <v>3320.4</v>
      </c>
      <c r="T19" s="226">
        <v>6640.8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159</v>
      </c>
      <c r="C20" t="s">
        <v>160</v>
      </c>
      <c r="D20" s="228"/>
      <c r="E20" s="229"/>
      <c r="F20">
        <v>2</v>
      </c>
      <c r="G20" s="226">
        <v>477.03</v>
      </c>
      <c r="H20" s="226">
        <v>328.99</v>
      </c>
      <c r="I20" s="226">
        <v>954.06</v>
      </c>
      <c r="J20" s="230"/>
      <c r="K20">
        <v>2</v>
      </c>
      <c r="L20" s="226">
        <v>262.37</v>
      </c>
      <c r="M20" s="226">
        <v>524.74</v>
      </c>
      <c r="N20" s="227">
        <v>0.45</v>
      </c>
      <c r="O20" s="231"/>
      <c r="P20" s="232"/>
      <c r="Q20" s="94"/>
      <c r="R20" s="94"/>
      <c r="S20" s="226">
        <v>524.74</v>
      </c>
      <c r="T20" s="226">
        <v>1049.48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161</v>
      </c>
      <c r="C21" t="s">
        <v>162</v>
      </c>
      <c r="D21" s="228"/>
      <c r="E21" s="229"/>
      <c r="F21">
        <v>14</v>
      </c>
      <c r="G21" s="226">
        <v>554.54</v>
      </c>
      <c r="H21" s="226">
        <v>382.44</v>
      </c>
      <c r="I21" s="226">
        <v>7763.56</v>
      </c>
      <c r="J21" s="230"/>
      <c r="K21">
        <v>14</v>
      </c>
      <c r="L21" s="226">
        <v>305</v>
      </c>
      <c r="M21" s="226">
        <v>4270</v>
      </c>
      <c r="N21" s="227">
        <v>0.45</v>
      </c>
      <c r="O21" s="231"/>
      <c r="P21" s="232"/>
      <c r="Q21" s="94"/>
      <c r="R21" s="94"/>
      <c r="S21" s="226">
        <v>4270</v>
      </c>
      <c r="T21" s="226">
        <v>59780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163</v>
      </c>
      <c r="C22" t="s">
        <v>164</v>
      </c>
      <c r="D22" s="228"/>
      <c r="E22" s="229"/>
      <c r="F22">
        <v>56</v>
      </c>
      <c r="G22" s="226">
        <v>9.61</v>
      </c>
      <c r="H22" s="226">
        <v>6.63</v>
      </c>
      <c r="I22" s="226">
        <v>538.16</v>
      </c>
      <c r="J22" s="230"/>
      <c r="K22">
        <v>56</v>
      </c>
      <c r="L22" s="226">
        <v>5.29</v>
      </c>
      <c r="M22" s="226">
        <v>296.24</v>
      </c>
      <c r="N22" s="227">
        <v>0.44950000000000001</v>
      </c>
      <c r="O22" s="231"/>
      <c r="P22" s="232"/>
      <c r="Q22" s="94"/>
      <c r="R22" s="94"/>
      <c r="S22" s="226">
        <v>296.24</v>
      </c>
      <c r="T22" s="226">
        <v>16589.439999999999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165</v>
      </c>
      <c r="C23" t="s">
        <v>166</v>
      </c>
      <c r="D23" s="228"/>
      <c r="E23" s="229"/>
      <c r="F23">
        <v>28</v>
      </c>
      <c r="G23" s="226">
        <v>31.44</v>
      </c>
      <c r="H23" s="226">
        <v>21.68</v>
      </c>
      <c r="I23" s="226">
        <v>880.32</v>
      </c>
      <c r="J23" s="230"/>
      <c r="K23">
        <v>28</v>
      </c>
      <c r="L23" s="226">
        <v>17.29</v>
      </c>
      <c r="M23" s="226">
        <v>484.12</v>
      </c>
      <c r="N23" s="227">
        <v>0.4501</v>
      </c>
      <c r="O23" s="231"/>
      <c r="P23" s="232"/>
      <c r="Q23" s="94"/>
      <c r="R23" s="94"/>
      <c r="S23" s="226">
        <v>484.12</v>
      </c>
      <c r="T23" s="226">
        <v>13555.36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167</v>
      </c>
      <c r="C24" t="s">
        <v>168</v>
      </c>
      <c r="D24" s="228"/>
      <c r="E24" s="229"/>
      <c r="F24">
        <v>56</v>
      </c>
      <c r="G24" s="226">
        <v>2.39</v>
      </c>
      <c r="H24" s="226">
        <v>1.65</v>
      </c>
      <c r="I24" s="226">
        <v>133.84</v>
      </c>
      <c r="J24" s="230"/>
      <c r="K24">
        <v>56</v>
      </c>
      <c r="L24" s="226">
        <v>1.32</v>
      </c>
      <c r="M24" s="226">
        <v>73.92</v>
      </c>
      <c r="N24" s="227">
        <v>0.44769999999999999</v>
      </c>
      <c r="O24" s="231"/>
      <c r="P24" s="232"/>
      <c r="Q24" s="94"/>
      <c r="R24" s="94"/>
      <c r="S24" s="226">
        <v>73.92</v>
      </c>
      <c r="T24" s="226">
        <v>4139.5200000000004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169</v>
      </c>
      <c r="C25" t="s">
        <v>170</v>
      </c>
      <c r="D25" s="228"/>
      <c r="E25" s="229"/>
      <c r="F25">
        <v>2</v>
      </c>
      <c r="G25" s="226">
        <v>9723.14</v>
      </c>
      <c r="H25" s="226">
        <v>6705.61</v>
      </c>
      <c r="I25" s="226">
        <v>19446.28</v>
      </c>
      <c r="J25" s="230"/>
      <c r="K25">
        <v>2</v>
      </c>
      <c r="L25" s="226">
        <v>5347.73</v>
      </c>
      <c r="M25" s="226">
        <v>10695.46</v>
      </c>
      <c r="N25" s="227">
        <v>0.45</v>
      </c>
      <c r="O25" s="231"/>
      <c r="P25" s="232"/>
      <c r="Q25" s="94"/>
      <c r="R25" s="94"/>
      <c r="S25" s="226">
        <v>10695.46</v>
      </c>
      <c r="T25" s="226">
        <v>21390.92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171</v>
      </c>
      <c r="C26" t="s">
        <v>172</v>
      </c>
      <c r="D26" s="228"/>
      <c r="E26" s="229"/>
      <c r="F26">
        <v>78</v>
      </c>
      <c r="G26" s="226">
        <v>93.03</v>
      </c>
      <c r="H26" s="226">
        <v>64.16</v>
      </c>
      <c r="I26" s="226">
        <v>7256.34</v>
      </c>
      <c r="J26" s="230"/>
      <c r="K26">
        <v>78</v>
      </c>
      <c r="L26" s="226">
        <v>51.17</v>
      </c>
      <c r="M26" s="226">
        <v>3991.26</v>
      </c>
      <c r="N26" s="227">
        <v>0.45</v>
      </c>
      <c r="O26" s="231"/>
      <c r="P26" s="232"/>
      <c r="Q26" s="94"/>
      <c r="R26" s="94"/>
      <c r="S26" s="226">
        <v>3991.26</v>
      </c>
      <c r="T26" s="226">
        <v>311318.28000000003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173</v>
      </c>
      <c r="C27" t="s">
        <v>174</v>
      </c>
      <c r="D27" s="228"/>
      <c r="E27" s="229"/>
      <c r="F27">
        <v>2</v>
      </c>
      <c r="G27" s="226">
        <v>115.08</v>
      </c>
      <c r="H27" s="226">
        <v>79.37</v>
      </c>
      <c r="I27" s="226">
        <v>230.16</v>
      </c>
      <c r="J27" s="230"/>
      <c r="K27">
        <v>2</v>
      </c>
      <c r="L27" s="226">
        <v>63.29</v>
      </c>
      <c r="M27" s="226">
        <v>126.58</v>
      </c>
      <c r="N27" s="227">
        <v>0.45</v>
      </c>
      <c r="O27" s="231"/>
      <c r="P27" s="232"/>
      <c r="Q27" s="94"/>
      <c r="R27" s="94"/>
      <c r="S27" s="226">
        <v>126.58</v>
      </c>
      <c r="T27" s="226">
        <v>253.16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175</v>
      </c>
      <c r="C28" t="s">
        <v>176</v>
      </c>
      <c r="D28" s="228"/>
      <c r="E28" s="229"/>
      <c r="F28">
        <v>312</v>
      </c>
      <c r="G28" s="226">
        <v>2.4</v>
      </c>
      <c r="H28" s="226">
        <v>1.66</v>
      </c>
      <c r="I28" s="226">
        <v>748.8</v>
      </c>
      <c r="J28" s="230"/>
      <c r="K28">
        <v>312</v>
      </c>
      <c r="L28" s="226">
        <v>1.32</v>
      </c>
      <c r="M28" s="226">
        <v>411.84</v>
      </c>
      <c r="N28" s="227">
        <v>0.45</v>
      </c>
      <c r="O28" s="231"/>
      <c r="P28" s="232"/>
      <c r="Q28" s="94"/>
      <c r="R28" s="94"/>
      <c r="S28" s="226">
        <v>411.84</v>
      </c>
      <c r="T28" s="226">
        <v>128494.08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177</v>
      </c>
      <c r="C29" t="s">
        <v>178</v>
      </c>
      <c r="D29" s="228"/>
      <c r="E29" s="229"/>
      <c r="F29">
        <v>312</v>
      </c>
      <c r="G29" s="226">
        <v>1.49</v>
      </c>
      <c r="H29" s="226">
        <v>1.03</v>
      </c>
      <c r="I29" s="226">
        <v>464.88</v>
      </c>
      <c r="J29" s="230"/>
      <c r="K29">
        <v>312</v>
      </c>
      <c r="L29" s="226">
        <v>0.83</v>
      </c>
      <c r="M29" s="226">
        <v>258.95999999999998</v>
      </c>
      <c r="N29" s="227">
        <v>0.443</v>
      </c>
      <c r="O29" s="231"/>
      <c r="P29" s="232"/>
      <c r="Q29" s="94"/>
      <c r="R29" s="94"/>
      <c r="S29" s="226">
        <v>258.95999999999998</v>
      </c>
      <c r="T29" s="226">
        <v>80795.520000000004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179</v>
      </c>
      <c r="C30" t="s">
        <v>180</v>
      </c>
      <c r="D30" s="228"/>
      <c r="E30" s="229"/>
      <c r="F30">
        <v>8</v>
      </c>
      <c r="G30" s="226">
        <v>4.63</v>
      </c>
      <c r="H30" s="226">
        <v>3.19</v>
      </c>
      <c r="I30" s="226">
        <v>37.04</v>
      </c>
      <c r="J30" s="230"/>
      <c r="K30">
        <v>8</v>
      </c>
      <c r="L30" s="226">
        <v>2.5499999999999998</v>
      </c>
      <c r="M30" s="226">
        <v>20.399999999999999</v>
      </c>
      <c r="N30" s="227">
        <v>0.44919999999999999</v>
      </c>
      <c r="O30" s="231"/>
      <c r="P30" s="232"/>
      <c r="Q30" s="94"/>
      <c r="R30" s="94"/>
      <c r="S30" s="226">
        <v>20.399999999999999</v>
      </c>
      <c r="T30" s="226">
        <v>163.19999999999999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G31" s="226"/>
      <c r="H31" s="226"/>
      <c r="I31" s="226"/>
      <c r="J31" s="230"/>
      <c r="L31" s="226"/>
      <c r="M31" s="226"/>
      <c r="N31" s="227"/>
      <c r="O31" s="231"/>
      <c r="P31" s="232"/>
      <c r="Q31" s="94"/>
      <c r="R31" s="94"/>
      <c r="S31" s="226"/>
      <c r="T31" s="226"/>
      <c r="U31" s="227"/>
      <c r="V31" s="227"/>
      <c r="W31" s="96"/>
      <c r="X31" s="233"/>
      <c r="Y31" s="8"/>
      <c r="Z31" s="8"/>
    </row>
    <row r="32" spans="2:26">
      <c r="D32" s="228"/>
      <c r="E32" s="229"/>
      <c r="G32" s="226"/>
      <c r="H32" s="226"/>
      <c r="I32" s="226"/>
      <c r="J32" s="230"/>
      <c r="L32" s="226"/>
      <c r="M32" s="226"/>
      <c r="N32" s="227"/>
      <c r="O32" s="231"/>
      <c r="P32" s="232"/>
      <c r="Q32" s="94"/>
      <c r="R32" s="94"/>
      <c r="S32" s="226"/>
      <c r="T32" s="226"/>
      <c r="U32" s="227"/>
      <c r="V32" s="227"/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14033.31</v>
      </c>
      <c r="H71" s="122">
        <f t="shared" si="0"/>
        <v>9678.1500000000015</v>
      </c>
      <c r="I71" s="123">
        <f t="shared" si="0"/>
        <v>44490.5</v>
      </c>
      <c r="J71" s="124"/>
      <c r="K71" s="125">
        <f t="shared" ref="K71:M71" si="1">SUM(K19:K70)</f>
        <v>872</v>
      </c>
      <c r="L71" s="122">
        <f t="shared" si="1"/>
        <v>7718.36</v>
      </c>
      <c r="M71" s="123">
        <f t="shared" si="1"/>
        <v>24473.920000000002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24473.920000000002</v>
      </c>
      <c r="T71" s="123">
        <f t="shared" si="2"/>
        <v>644169.76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4E74545D-EFCC-42DE-920C-762B11EE0E4B}">
      <formula1>$Y$12:$Y$13</formula1>
    </dataValidation>
    <dataValidation type="list" allowBlank="1" showErrorMessage="1" sqref="J14" xr:uid="{7D2BC11D-D80D-4E31-9AF2-3C8B4690CA9F}">
      <formula1>$L$9</formula1>
    </dataValidation>
    <dataValidation type="list" allowBlank="1" showErrorMessage="1" sqref="I14" xr:uid="{B0307CA3-B7C0-49A9-A65B-D315C1EFD875}">
      <formula1>$Y$14:$Y$15</formula1>
    </dataValidation>
    <dataValidation type="list" allowBlank="1" showErrorMessage="1" sqref="E19:E70" xr:uid="{CEDF1475-8E9B-4738-8BC7-CB135B2CCFE4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6E7F-12A5-4E4A-B7DA-7CA1A9651F5C}">
  <sheetPr>
    <pageSetUpPr fitToPage="1"/>
  </sheetPr>
  <dimension ref="B1:Z71"/>
  <sheetViews>
    <sheetView zoomScale="55" zoomScaleNormal="55" workbookViewId="0">
      <pane ySplit="18" topLeftCell="A2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183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24110.95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13679.179999999998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10431.770000000002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0.43265694632521745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182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58511.9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183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13679.179999999998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193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228"/>
      <c r="E20" s="229"/>
      <c r="F20">
        <v>1</v>
      </c>
      <c r="G20" s="226">
        <v>55.1</v>
      </c>
      <c r="H20" s="226">
        <v>38</v>
      </c>
      <c r="I20" s="226">
        <v>55.1</v>
      </c>
      <c r="J20" s="230"/>
      <c r="K20">
        <v>1</v>
      </c>
      <c r="L20" s="226">
        <v>27.55</v>
      </c>
      <c r="M20" s="226">
        <v>27.55</v>
      </c>
      <c r="N20" s="227">
        <v>0.5</v>
      </c>
      <c r="O20" s="231"/>
      <c r="P20" s="232"/>
      <c r="Q20" s="94"/>
      <c r="R20" s="94"/>
      <c r="S20" s="226">
        <v>27.55</v>
      </c>
      <c r="T20" s="226">
        <v>27.55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115</v>
      </c>
      <c r="C21" t="s">
        <v>116</v>
      </c>
      <c r="D21" s="228"/>
      <c r="E21" s="229"/>
      <c r="F21">
        <v>1</v>
      </c>
      <c r="G21" s="226">
        <v>142.79</v>
      </c>
      <c r="H21" s="226">
        <v>98.48</v>
      </c>
      <c r="I21" s="226">
        <v>142.79</v>
      </c>
      <c r="J21" s="230"/>
      <c r="K21">
        <v>1</v>
      </c>
      <c r="L21" s="226">
        <v>92.82</v>
      </c>
      <c r="M21" s="226">
        <v>92.82</v>
      </c>
      <c r="N21" s="227">
        <v>0.35</v>
      </c>
      <c r="O21" s="231"/>
      <c r="P21" s="232"/>
      <c r="Q21" s="94"/>
      <c r="R21" s="94"/>
      <c r="S21" s="226">
        <v>92.82</v>
      </c>
      <c r="T21" s="226">
        <v>92.82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117</v>
      </c>
      <c r="C22" t="s">
        <v>118</v>
      </c>
      <c r="D22" s="228"/>
      <c r="E22" s="229"/>
      <c r="F22">
        <v>1</v>
      </c>
      <c r="G22" s="226">
        <v>98.27</v>
      </c>
      <c r="H22" s="226">
        <v>67.77</v>
      </c>
      <c r="I22" s="226">
        <v>98.27</v>
      </c>
      <c r="J22" s="230"/>
      <c r="K22">
        <v>1</v>
      </c>
      <c r="L22" s="226">
        <v>63.88</v>
      </c>
      <c r="M22" s="226">
        <v>63.88</v>
      </c>
      <c r="N22" s="227">
        <v>0.35</v>
      </c>
      <c r="O22" s="231"/>
      <c r="P22" s="232"/>
      <c r="Q22" s="94"/>
      <c r="R22" s="94"/>
      <c r="S22" s="226">
        <v>63.88</v>
      </c>
      <c r="T22" s="226">
        <v>63.88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119</v>
      </c>
      <c r="C23" t="s">
        <v>120</v>
      </c>
      <c r="D23" s="228"/>
      <c r="E23" s="229"/>
      <c r="F23">
        <v>1</v>
      </c>
      <c r="G23" s="226">
        <v>54.82</v>
      </c>
      <c r="H23" s="226">
        <v>37.81</v>
      </c>
      <c r="I23" s="226">
        <v>54.82</v>
      </c>
      <c r="J23" s="230"/>
      <c r="K23">
        <v>1</v>
      </c>
      <c r="L23" s="226">
        <v>27.41</v>
      </c>
      <c r="M23" s="226">
        <v>27.41</v>
      </c>
      <c r="N23" s="227">
        <v>0.5</v>
      </c>
      <c r="O23" s="231"/>
      <c r="P23" s="232"/>
      <c r="Q23" s="94"/>
      <c r="R23" s="94"/>
      <c r="S23" s="226">
        <v>27.41</v>
      </c>
      <c r="T23" s="226">
        <v>27.41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121</v>
      </c>
      <c r="C24" t="s">
        <v>122</v>
      </c>
      <c r="D24" s="228"/>
      <c r="E24" s="229"/>
      <c r="F24">
        <v>1</v>
      </c>
      <c r="G24" s="226">
        <v>96.85</v>
      </c>
      <c r="H24" s="226">
        <v>66.790000000000006</v>
      </c>
      <c r="I24" s="226">
        <v>96.85</v>
      </c>
      <c r="J24" s="230"/>
      <c r="K24">
        <v>1</v>
      </c>
      <c r="L24" s="226">
        <v>48.43</v>
      </c>
      <c r="M24" s="226">
        <v>48.43</v>
      </c>
      <c r="N24" s="227">
        <v>0.49990000000000001</v>
      </c>
      <c r="O24" s="231"/>
      <c r="P24" s="232"/>
      <c r="Q24" s="94"/>
      <c r="R24" s="94"/>
      <c r="S24" s="226">
        <v>48.43</v>
      </c>
      <c r="T24" s="226">
        <v>48.43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123</v>
      </c>
      <c r="C25" t="s">
        <v>124</v>
      </c>
      <c r="D25" s="228"/>
      <c r="E25" s="229"/>
      <c r="F25">
        <v>1</v>
      </c>
      <c r="G25" s="226">
        <v>48.72</v>
      </c>
      <c r="H25" s="226">
        <v>33.6</v>
      </c>
      <c r="I25" s="226">
        <v>48.72</v>
      </c>
      <c r="J25" s="230"/>
      <c r="K25">
        <v>1</v>
      </c>
      <c r="L25" s="226">
        <v>24.36</v>
      </c>
      <c r="M25" s="226">
        <v>24.36</v>
      </c>
      <c r="N25" s="227">
        <v>0.5</v>
      </c>
      <c r="O25" s="231"/>
      <c r="P25" s="232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125</v>
      </c>
      <c r="C26" t="s">
        <v>124</v>
      </c>
      <c r="D26" s="228"/>
      <c r="E26" s="229"/>
      <c r="F26">
        <v>1</v>
      </c>
      <c r="G26" s="226">
        <v>48.64</v>
      </c>
      <c r="H26" s="226">
        <v>33.54</v>
      </c>
      <c r="I26" s="226">
        <v>48.64</v>
      </c>
      <c r="J26" s="230"/>
      <c r="K26">
        <v>1</v>
      </c>
      <c r="L26" s="226">
        <v>24.32</v>
      </c>
      <c r="M26" s="226">
        <v>24.32</v>
      </c>
      <c r="N26" s="227">
        <v>0.5</v>
      </c>
      <c r="O26" s="231"/>
      <c r="P26" s="232"/>
      <c r="Q26" s="94"/>
      <c r="R26" s="94"/>
      <c r="S26" s="226">
        <v>24.32</v>
      </c>
      <c r="T26" s="226">
        <v>24.32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126</v>
      </c>
      <c r="C27" t="s">
        <v>127</v>
      </c>
      <c r="D27" s="228"/>
      <c r="E27" s="229"/>
      <c r="F27">
        <v>2</v>
      </c>
      <c r="G27" s="226">
        <v>323.02999999999997</v>
      </c>
      <c r="H27" s="226">
        <v>222.78</v>
      </c>
      <c r="I27" s="226">
        <v>646.05999999999995</v>
      </c>
      <c r="J27" s="230"/>
      <c r="K27">
        <v>2</v>
      </c>
      <c r="L27" s="226">
        <v>161.52000000000001</v>
      </c>
      <c r="M27" s="226">
        <v>323.04000000000002</v>
      </c>
      <c r="N27" s="227">
        <v>0.5</v>
      </c>
      <c r="O27" s="231"/>
      <c r="P27" s="232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128</v>
      </c>
      <c r="C28" t="s">
        <v>129</v>
      </c>
      <c r="D28" s="228"/>
      <c r="E28" s="229"/>
      <c r="F28">
        <v>6</v>
      </c>
      <c r="G28" s="226">
        <v>1234.93</v>
      </c>
      <c r="H28" s="226">
        <v>851.68</v>
      </c>
      <c r="I28" s="226">
        <v>7409.58</v>
      </c>
      <c r="J28" s="230"/>
      <c r="K28">
        <v>6</v>
      </c>
      <c r="L28" s="226">
        <v>864.46</v>
      </c>
      <c r="M28" s="226">
        <v>5186.76</v>
      </c>
      <c r="N28" s="227">
        <v>0.3</v>
      </c>
      <c r="O28" s="231"/>
      <c r="P28" s="232"/>
      <c r="Q28" s="94"/>
      <c r="R28" s="94"/>
      <c r="S28" s="226">
        <v>5186.76</v>
      </c>
      <c r="T28" s="226">
        <v>31120.560000000001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130</v>
      </c>
      <c r="C29" t="s">
        <v>131</v>
      </c>
      <c r="D29" s="228"/>
      <c r="E29" s="229"/>
      <c r="F29">
        <v>1</v>
      </c>
      <c r="G29" s="226">
        <v>6363.17</v>
      </c>
      <c r="H29" s="226">
        <v>4388.3900000000003</v>
      </c>
      <c r="I29" s="226">
        <v>6363.17</v>
      </c>
      <c r="J29" s="230"/>
      <c r="K29">
        <v>1</v>
      </c>
      <c r="L29" s="226">
        <v>3181.59</v>
      </c>
      <c r="M29" s="226">
        <v>3181.59</v>
      </c>
      <c r="N29" s="227">
        <v>0.5</v>
      </c>
      <c r="O29" s="231"/>
      <c r="P29" s="232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132</v>
      </c>
      <c r="C30" t="s">
        <v>133</v>
      </c>
      <c r="D30" s="228"/>
      <c r="E30" s="229"/>
      <c r="F30">
        <v>1</v>
      </c>
      <c r="G30" s="226">
        <v>744.17</v>
      </c>
      <c r="H30" s="226">
        <v>513.22</v>
      </c>
      <c r="I30" s="226">
        <v>744.17</v>
      </c>
      <c r="J30" s="230"/>
      <c r="K30">
        <v>1</v>
      </c>
      <c r="L30" s="226">
        <v>372.09</v>
      </c>
      <c r="M30" s="226">
        <v>372.09</v>
      </c>
      <c r="N30" s="227">
        <v>0.5</v>
      </c>
      <c r="O30" s="231"/>
      <c r="P30" s="232"/>
      <c r="Q30" s="94"/>
      <c r="R30" s="94"/>
      <c r="S30" s="226">
        <v>372.09</v>
      </c>
      <c r="T30" s="226">
        <v>372.09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134</v>
      </c>
      <c r="C31" t="s">
        <v>135</v>
      </c>
      <c r="D31" s="228"/>
      <c r="E31" s="229"/>
      <c r="F31">
        <v>1</v>
      </c>
      <c r="G31" s="226">
        <v>6281.8</v>
      </c>
      <c r="H31" s="226">
        <v>4332.28</v>
      </c>
      <c r="I31" s="226">
        <v>6281.8</v>
      </c>
      <c r="J31" s="230"/>
      <c r="K31">
        <v>1</v>
      </c>
      <c r="L31" s="226">
        <v>3140.9</v>
      </c>
      <c r="M31" s="226">
        <v>3140.9</v>
      </c>
      <c r="N31" s="227">
        <v>0.5</v>
      </c>
      <c r="O31" s="231"/>
      <c r="P31" s="232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184</v>
      </c>
      <c r="C32" t="s">
        <v>141</v>
      </c>
      <c r="D32" s="228"/>
      <c r="E32" s="229"/>
      <c r="F32">
        <v>6</v>
      </c>
      <c r="G32" s="226">
        <v>144.44</v>
      </c>
      <c r="H32" s="226">
        <v>99.61</v>
      </c>
      <c r="I32" s="226">
        <v>866.64</v>
      </c>
      <c r="J32" s="230"/>
      <c r="K32">
        <v>6</v>
      </c>
      <c r="L32" s="226">
        <v>79.44</v>
      </c>
      <c r="M32" s="226">
        <v>476.64</v>
      </c>
      <c r="N32" s="227">
        <v>0.45</v>
      </c>
      <c r="O32" s="231"/>
      <c r="P32" s="232"/>
      <c r="Q32" s="94"/>
      <c r="R32" s="94"/>
      <c r="S32" s="226">
        <v>476.64</v>
      </c>
      <c r="T32" s="226">
        <v>2859.84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185</v>
      </c>
      <c r="C33" t="s">
        <v>141</v>
      </c>
      <c r="D33" s="228"/>
      <c r="E33" s="229"/>
      <c r="F33">
        <v>6</v>
      </c>
      <c r="G33" s="226">
        <v>124.5</v>
      </c>
      <c r="H33" s="226">
        <v>85.86</v>
      </c>
      <c r="I33" s="226">
        <v>747</v>
      </c>
      <c r="J33" s="230"/>
      <c r="K33">
        <v>6</v>
      </c>
      <c r="L33" s="226">
        <v>68.48</v>
      </c>
      <c r="M33" s="226">
        <v>410.88</v>
      </c>
      <c r="N33" s="227">
        <v>0.45</v>
      </c>
      <c r="O33" s="231"/>
      <c r="P33" s="232"/>
      <c r="Q33" s="94"/>
      <c r="R33" s="94"/>
      <c r="S33" s="226">
        <v>410.88</v>
      </c>
      <c r="T33" s="226">
        <v>2465.2800000000002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186</v>
      </c>
      <c r="C34" t="s">
        <v>187</v>
      </c>
      <c r="D34" s="228"/>
      <c r="E34" s="229"/>
      <c r="F34">
        <v>54</v>
      </c>
      <c r="G34" s="226">
        <v>3.29</v>
      </c>
      <c r="H34" s="226">
        <v>2.27</v>
      </c>
      <c r="I34" s="226">
        <v>177.66</v>
      </c>
      <c r="J34" s="230"/>
      <c r="K34">
        <v>54</v>
      </c>
      <c r="L34" s="226">
        <v>1.82</v>
      </c>
      <c r="M34" s="226">
        <v>98.28</v>
      </c>
      <c r="N34" s="227">
        <v>0.44679999999999997</v>
      </c>
      <c r="O34" s="231"/>
      <c r="P34" s="232"/>
      <c r="Q34" s="94"/>
      <c r="R34" s="94"/>
      <c r="S34" s="226">
        <v>98.28</v>
      </c>
      <c r="T34" s="226">
        <v>5307.12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188</v>
      </c>
      <c r="C35" t="s">
        <v>137</v>
      </c>
      <c r="D35" s="228"/>
      <c r="E35" s="229"/>
      <c r="F35">
        <v>54</v>
      </c>
      <c r="G35" s="226">
        <v>2.27</v>
      </c>
      <c r="H35" s="226">
        <v>1.57</v>
      </c>
      <c r="I35" s="226">
        <v>122.58</v>
      </c>
      <c r="J35" s="230"/>
      <c r="K35">
        <v>54</v>
      </c>
      <c r="L35" s="226">
        <v>1.25</v>
      </c>
      <c r="M35" s="226">
        <v>67.5</v>
      </c>
      <c r="N35" s="227">
        <v>0.44929999999999998</v>
      </c>
      <c r="O35" s="231"/>
      <c r="P35" s="232"/>
      <c r="Q35" s="94"/>
      <c r="R35" s="94"/>
      <c r="S35" s="226">
        <v>67.5</v>
      </c>
      <c r="T35" s="226">
        <v>3645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189</v>
      </c>
      <c r="C36" t="s">
        <v>190</v>
      </c>
      <c r="D36" s="228"/>
      <c r="E36" s="229"/>
      <c r="F36">
        <v>54</v>
      </c>
      <c r="G36" s="226">
        <v>3.4</v>
      </c>
      <c r="H36" s="226">
        <v>2.34</v>
      </c>
      <c r="I36" s="226">
        <v>183.6</v>
      </c>
      <c r="J36" s="230"/>
      <c r="K36">
        <v>54</v>
      </c>
      <c r="L36" s="226">
        <v>1.87</v>
      </c>
      <c r="M36" s="226">
        <v>100.98</v>
      </c>
      <c r="N36" s="227">
        <v>0.45</v>
      </c>
      <c r="O36" s="231"/>
      <c r="P36" s="232"/>
      <c r="Q36" s="94"/>
      <c r="R36" s="94"/>
      <c r="S36" s="226">
        <v>100.98</v>
      </c>
      <c r="T36" s="226">
        <v>5452.92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193</v>
      </c>
      <c r="G71" s="121">
        <f t="shared" si="0"/>
        <v>15793.690000000002</v>
      </c>
      <c r="H71" s="122">
        <f t="shared" si="0"/>
        <v>10892.2</v>
      </c>
      <c r="I71" s="123">
        <f t="shared" si="0"/>
        <v>24110.95</v>
      </c>
      <c r="J71" s="124"/>
      <c r="K71" s="125">
        <f t="shared" ref="K71:M71" si="1">SUM(K19:K70)</f>
        <v>193</v>
      </c>
      <c r="L71" s="122">
        <f t="shared" si="1"/>
        <v>8193.94</v>
      </c>
      <c r="M71" s="123">
        <f t="shared" si="1"/>
        <v>13679.179999999998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13679.179999999998</v>
      </c>
      <c r="T71" s="123">
        <f t="shared" si="2"/>
        <v>58511.9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70" xr:uid="{17EFDFB9-0978-4C10-ADD5-D5D369D5B351}">
      <formula1>$Z$19:$Z$51</formula1>
    </dataValidation>
    <dataValidation type="list" allowBlank="1" showErrorMessage="1" sqref="I14" xr:uid="{BC6E65C7-F3C5-4CBA-98AD-53D97AAE239D}">
      <formula1>$Y$14:$Y$15</formula1>
    </dataValidation>
    <dataValidation type="list" allowBlank="1" showErrorMessage="1" sqref="J14" xr:uid="{01D2A167-D85B-42BA-A6BF-0BAD6986B96A}">
      <formula1>$L$9</formula1>
    </dataValidation>
    <dataValidation type="list" allowBlank="1" showErrorMessage="1" sqref="Q15 G18 L18 Q18" xr:uid="{3302843C-D5FE-4581-AF34-4D0EA9A60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F5E6-817F-4AB5-B1A1-84CFC20D6D19}">
  <sheetPr>
    <pageSetUpPr fitToPage="1"/>
  </sheetPr>
  <dimension ref="B1:Z71"/>
  <sheetViews>
    <sheetView tabSelected="1" zoomScale="55" zoomScaleNormal="55" workbookViewId="0">
      <pane ySplit="18" topLeftCell="A19" activePane="bottomLeft" state="frozen"/>
      <selection pane="bottomLeft" activeCell="G23" sqref="G2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279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31542.240000000002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17352.219999999998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14190.020000000004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0.44987356636687831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567447.32000000007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279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17352.219999999998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165</v>
      </c>
      <c r="C19" t="s">
        <v>166</v>
      </c>
      <c r="D19" s="87"/>
      <c r="E19" s="88"/>
      <c r="F19">
        <v>28</v>
      </c>
      <c r="G19" s="226">
        <v>31.44</v>
      </c>
      <c r="H19" s="226">
        <v>21.68</v>
      </c>
      <c r="I19" s="226">
        <v>880.32</v>
      </c>
      <c r="J19" s="92"/>
      <c r="K19">
        <v>28</v>
      </c>
      <c r="L19" s="226">
        <v>17.29</v>
      </c>
      <c r="M19" s="226">
        <v>484.12</v>
      </c>
      <c r="N19" s="227">
        <v>0.4501</v>
      </c>
      <c r="O19" s="93"/>
      <c r="P19" s="86"/>
      <c r="Q19" s="94"/>
      <c r="R19" s="94"/>
      <c r="S19" s="226">
        <v>484.12</v>
      </c>
      <c r="T19" s="226">
        <v>13555.36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191</v>
      </c>
      <c r="C20" t="s">
        <v>192</v>
      </c>
      <c r="D20" s="228"/>
      <c r="E20" s="229"/>
      <c r="F20">
        <v>8</v>
      </c>
      <c r="G20" s="226">
        <v>394.21</v>
      </c>
      <c r="H20" s="226">
        <v>271.87</v>
      </c>
      <c r="I20" s="226">
        <v>3153.68</v>
      </c>
      <c r="J20" s="230"/>
      <c r="K20">
        <v>8</v>
      </c>
      <c r="L20" s="226">
        <v>216.82</v>
      </c>
      <c r="M20" s="226">
        <v>1734.56</v>
      </c>
      <c r="N20" s="227">
        <v>0.45</v>
      </c>
      <c r="O20" s="231"/>
      <c r="P20" s="232"/>
      <c r="Q20" s="94"/>
      <c r="R20" s="94"/>
      <c r="S20" s="226">
        <v>1734.56</v>
      </c>
      <c r="T20" s="226">
        <v>13876.48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163</v>
      </c>
      <c r="C21" t="s">
        <v>164</v>
      </c>
      <c r="D21" s="228"/>
      <c r="E21" s="229"/>
      <c r="F21">
        <v>56</v>
      </c>
      <c r="G21" s="226">
        <v>9.61</v>
      </c>
      <c r="H21" s="226">
        <v>6.63</v>
      </c>
      <c r="I21" s="226">
        <v>538.16</v>
      </c>
      <c r="J21" s="230"/>
      <c r="K21">
        <v>56</v>
      </c>
      <c r="L21" s="226">
        <v>5.29</v>
      </c>
      <c r="M21" s="226">
        <v>296.24</v>
      </c>
      <c r="N21" s="227">
        <v>0.44950000000000001</v>
      </c>
      <c r="O21" s="231"/>
      <c r="P21" s="232"/>
      <c r="Q21" s="94"/>
      <c r="R21" s="94"/>
      <c r="S21" s="226">
        <v>296.24</v>
      </c>
      <c r="T21" s="226">
        <v>16589.439999999999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167</v>
      </c>
      <c r="C22" t="s">
        <v>168</v>
      </c>
      <c r="D22" s="228"/>
      <c r="E22" s="229"/>
      <c r="F22">
        <v>56</v>
      </c>
      <c r="G22" s="226">
        <v>2.39</v>
      </c>
      <c r="H22" s="226">
        <v>1.65</v>
      </c>
      <c r="I22" s="226">
        <v>133.84</v>
      </c>
      <c r="J22" s="230"/>
      <c r="K22">
        <v>56</v>
      </c>
      <c r="L22" s="226">
        <v>1.32</v>
      </c>
      <c r="M22" s="226">
        <v>73.92</v>
      </c>
      <c r="N22" s="227">
        <v>0.44769999999999999</v>
      </c>
      <c r="O22" s="231"/>
      <c r="P22" s="232"/>
      <c r="Q22" s="94"/>
      <c r="R22" s="94"/>
      <c r="S22" s="226">
        <v>73.92</v>
      </c>
      <c r="T22" s="226">
        <v>4139.5200000000004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193</v>
      </c>
      <c r="C23" t="s">
        <v>194</v>
      </c>
      <c r="D23" s="228"/>
      <c r="E23" s="229"/>
      <c r="F23">
        <v>6</v>
      </c>
      <c r="G23" s="226">
        <v>413.91</v>
      </c>
      <c r="H23" s="226">
        <v>285.45999999999998</v>
      </c>
      <c r="I23" s="226">
        <v>2483.46</v>
      </c>
      <c r="J23" s="230"/>
      <c r="K23">
        <v>6</v>
      </c>
      <c r="L23" s="226">
        <v>227.66</v>
      </c>
      <c r="M23" s="226">
        <v>1365.96</v>
      </c>
      <c r="N23" s="227">
        <v>0.45</v>
      </c>
      <c r="O23" s="231"/>
      <c r="P23" s="232"/>
      <c r="Q23" s="94"/>
      <c r="R23" s="94"/>
      <c r="S23" s="226">
        <v>1365.96</v>
      </c>
      <c r="T23" s="226">
        <v>8195.76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195</v>
      </c>
      <c r="C24" t="s">
        <v>196</v>
      </c>
      <c r="D24" s="228"/>
      <c r="E24" s="229"/>
      <c r="F24">
        <v>2</v>
      </c>
      <c r="G24" s="226">
        <v>1766.03</v>
      </c>
      <c r="H24" s="226">
        <v>1217.95</v>
      </c>
      <c r="I24" s="226">
        <v>3532.06</v>
      </c>
      <c r="J24" s="230"/>
      <c r="K24">
        <v>2</v>
      </c>
      <c r="L24" s="226">
        <v>971.32</v>
      </c>
      <c r="M24" s="226">
        <v>1942.64</v>
      </c>
      <c r="N24" s="227">
        <v>0.45</v>
      </c>
      <c r="O24" s="231"/>
      <c r="P24" s="232"/>
      <c r="Q24" s="94"/>
      <c r="R24" s="94"/>
      <c r="S24" s="226">
        <v>1942.64</v>
      </c>
      <c r="T24" s="226">
        <v>3885.28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197</v>
      </c>
      <c r="C25" t="s">
        <v>198</v>
      </c>
      <c r="D25" s="228"/>
      <c r="E25" s="229"/>
      <c r="F25">
        <v>2</v>
      </c>
      <c r="G25" s="226">
        <v>328.7</v>
      </c>
      <c r="H25" s="226">
        <v>226.69</v>
      </c>
      <c r="I25" s="226">
        <v>657.4</v>
      </c>
      <c r="J25" s="230"/>
      <c r="K25">
        <v>2</v>
      </c>
      <c r="L25" s="226">
        <v>180.79</v>
      </c>
      <c r="M25" s="226">
        <v>361.58</v>
      </c>
      <c r="N25" s="227">
        <v>0.45</v>
      </c>
      <c r="O25" s="231"/>
      <c r="P25" s="232"/>
      <c r="Q25" s="94"/>
      <c r="R25" s="94"/>
      <c r="S25" s="226">
        <v>361.58</v>
      </c>
      <c r="T25" s="226">
        <v>723.16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199</v>
      </c>
      <c r="C26" t="s">
        <v>200</v>
      </c>
      <c r="D26" s="228"/>
      <c r="E26" s="229"/>
      <c r="F26">
        <v>2</v>
      </c>
      <c r="G26" s="226">
        <v>6350.6</v>
      </c>
      <c r="H26" s="226">
        <v>4379.72</v>
      </c>
      <c r="I26" s="226">
        <v>12701.2</v>
      </c>
      <c r="J26" s="230"/>
      <c r="K26">
        <v>2</v>
      </c>
      <c r="L26" s="226">
        <v>3492.83</v>
      </c>
      <c r="M26" s="226">
        <v>6985.66</v>
      </c>
      <c r="N26" s="227">
        <v>0.45</v>
      </c>
      <c r="O26" s="231"/>
      <c r="P26" s="232"/>
      <c r="Q26" s="94"/>
      <c r="R26" s="94"/>
      <c r="S26" s="226">
        <v>6985.66</v>
      </c>
      <c r="T26" s="226">
        <v>13971.32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201</v>
      </c>
      <c r="C27" t="s">
        <v>202</v>
      </c>
      <c r="D27" s="228"/>
      <c r="E27" s="229"/>
      <c r="F27">
        <v>78</v>
      </c>
      <c r="G27" s="226">
        <v>75.260000000000005</v>
      </c>
      <c r="H27" s="226">
        <v>51.9</v>
      </c>
      <c r="I27" s="226">
        <v>5870.28</v>
      </c>
      <c r="J27" s="230"/>
      <c r="K27">
        <v>78</v>
      </c>
      <c r="L27" s="226">
        <v>41.39</v>
      </c>
      <c r="M27" s="226">
        <v>3228.42</v>
      </c>
      <c r="N27" s="227">
        <v>0.45</v>
      </c>
      <c r="O27" s="231"/>
      <c r="P27" s="232"/>
      <c r="Q27" s="94"/>
      <c r="R27" s="94"/>
      <c r="S27" s="226">
        <v>3228.42</v>
      </c>
      <c r="T27" s="226">
        <v>251816.76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203</v>
      </c>
      <c r="C28" t="s">
        <v>204</v>
      </c>
      <c r="D28" s="228"/>
      <c r="E28" s="229"/>
      <c r="F28">
        <v>2</v>
      </c>
      <c r="G28" s="226">
        <v>81.52</v>
      </c>
      <c r="H28" s="226">
        <v>56.22</v>
      </c>
      <c r="I28" s="226">
        <v>163.04</v>
      </c>
      <c r="J28" s="230"/>
      <c r="K28">
        <v>2</v>
      </c>
      <c r="L28" s="226">
        <v>44.84</v>
      </c>
      <c r="M28" s="226">
        <v>89.68</v>
      </c>
      <c r="N28" s="227">
        <v>0.45</v>
      </c>
      <c r="O28" s="231"/>
      <c r="P28" s="232"/>
      <c r="Q28" s="94"/>
      <c r="R28" s="94"/>
      <c r="S28" s="226">
        <v>89.68</v>
      </c>
      <c r="T28" s="226">
        <v>179.36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205</v>
      </c>
      <c r="C29" t="s">
        <v>206</v>
      </c>
      <c r="D29" s="228"/>
      <c r="E29" s="229"/>
      <c r="F29">
        <v>4</v>
      </c>
      <c r="G29" s="226">
        <v>3.58</v>
      </c>
      <c r="H29" s="226">
        <v>2.4700000000000002</v>
      </c>
      <c r="I29" s="226">
        <v>14.32</v>
      </c>
      <c r="J29" s="230"/>
      <c r="K29">
        <v>4</v>
      </c>
      <c r="L29" s="226">
        <v>1.97</v>
      </c>
      <c r="M29" s="226">
        <v>7.88</v>
      </c>
      <c r="N29" s="227">
        <v>0.44969999999999999</v>
      </c>
      <c r="O29" s="231"/>
      <c r="P29" s="232"/>
      <c r="Q29" s="94"/>
      <c r="R29" s="94"/>
      <c r="S29" s="226">
        <v>7.88</v>
      </c>
      <c r="T29" s="226">
        <v>31.52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207</v>
      </c>
      <c r="C30" t="s">
        <v>206</v>
      </c>
      <c r="D30" s="228"/>
      <c r="E30" s="229"/>
      <c r="F30">
        <v>4</v>
      </c>
      <c r="G30" s="226">
        <v>4.96</v>
      </c>
      <c r="H30" s="226">
        <v>3.42</v>
      </c>
      <c r="I30" s="226">
        <v>19.84</v>
      </c>
      <c r="J30" s="230"/>
      <c r="K30">
        <v>4</v>
      </c>
      <c r="L30" s="226">
        <v>2.73</v>
      </c>
      <c r="M30" s="226">
        <v>10.92</v>
      </c>
      <c r="N30" s="227">
        <v>0.4496</v>
      </c>
      <c r="O30" s="231"/>
      <c r="P30" s="232"/>
      <c r="Q30" s="94"/>
      <c r="R30" s="94"/>
      <c r="S30" s="226">
        <v>10.92</v>
      </c>
      <c r="T30" s="226">
        <v>43.68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208</v>
      </c>
      <c r="C31" t="s">
        <v>209</v>
      </c>
      <c r="D31" s="228"/>
      <c r="E31" s="229"/>
      <c r="F31">
        <v>312</v>
      </c>
      <c r="G31" s="226">
        <v>1.58</v>
      </c>
      <c r="H31" s="226">
        <v>1.0900000000000001</v>
      </c>
      <c r="I31" s="226">
        <v>492.96</v>
      </c>
      <c r="J31" s="230"/>
      <c r="K31">
        <v>312</v>
      </c>
      <c r="L31" s="226">
        <v>0.87</v>
      </c>
      <c r="M31" s="226">
        <v>271.44</v>
      </c>
      <c r="N31" s="227">
        <v>0.44940000000000002</v>
      </c>
      <c r="O31" s="231"/>
      <c r="P31" s="232"/>
      <c r="Q31" s="94"/>
      <c r="R31" s="94"/>
      <c r="S31" s="226">
        <v>271.44</v>
      </c>
      <c r="T31" s="226">
        <v>84689.279999999999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210</v>
      </c>
      <c r="C32" t="s">
        <v>211</v>
      </c>
      <c r="D32" s="228"/>
      <c r="E32" s="229"/>
      <c r="F32">
        <v>312</v>
      </c>
      <c r="G32" s="226">
        <v>2.89</v>
      </c>
      <c r="H32" s="226">
        <v>1.99</v>
      </c>
      <c r="I32" s="226">
        <v>901.68</v>
      </c>
      <c r="J32" s="230"/>
      <c r="K32">
        <v>312</v>
      </c>
      <c r="L32" s="226">
        <v>1.6</v>
      </c>
      <c r="M32" s="226">
        <v>499.2</v>
      </c>
      <c r="N32" s="227">
        <v>0.44640000000000002</v>
      </c>
      <c r="O32" s="231"/>
      <c r="P32" s="232"/>
      <c r="Q32" s="94"/>
      <c r="R32" s="94"/>
      <c r="S32" s="226">
        <v>499.2</v>
      </c>
      <c r="T32" s="226">
        <v>155750.39999999999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9466.6799999999985</v>
      </c>
      <c r="H71" s="122">
        <f t="shared" si="0"/>
        <v>6528.7400000000007</v>
      </c>
      <c r="I71" s="123">
        <f t="shared" si="0"/>
        <v>31542.240000000002</v>
      </c>
      <c r="J71" s="124"/>
      <c r="K71" s="125">
        <f t="shared" ref="K71:M71" si="1">SUM(K19:K70)</f>
        <v>872</v>
      </c>
      <c r="L71" s="122">
        <f t="shared" si="1"/>
        <v>5206.72</v>
      </c>
      <c r="M71" s="123">
        <f t="shared" si="1"/>
        <v>17352.219999999998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17352.219999999998</v>
      </c>
      <c r="T71" s="123">
        <f t="shared" si="2"/>
        <v>567447.32000000007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06ACA4AA-BF93-43E5-880D-00EA255EC0F0}">
      <formula1>$Y$12:$Y$13</formula1>
    </dataValidation>
    <dataValidation type="list" allowBlank="1" showErrorMessage="1" sqref="J14" xr:uid="{5AE2ABB5-6B85-4273-A980-9A513BAB8039}">
      <formula1>$L$9</formula1>
    </dataValidation>
    <dataValidation type="list" allowBlank="1" showErrorMessage="1" sqref="I14" xr:uid="{0AEFA600-53F1-4100-AB1F-E134CCFA55AB}">
      <formula1>$Y$14:$Y$15</formula1>
    </dataValidation>
    <dataValidation type="list" allowBlank="1" showErrorMessage="1" sqref="E19:E70" xr:uid="{4D8B953D-A61A-4608-8B41-67E82BB8D0A5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EF68-6BEB-4B5C-93BD-D568D1002CC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214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47925.42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26294.36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21631.059999999998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212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0.45134836585678328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213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82799.5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214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26294.36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167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215</v>
      </c>
      <c r="C19" t="s">
        <v>112</v>
      </c>
      <c r="D19" s="87"/>
      <c r="E19" s="88"/>
      <c r="F19">
        <v>1</v>
      </c>
      <c r="G19" s="226">
        <v>39.659999999999997</v>
      </c>
      <c r="H19" s="226">
        <v>27.35</v>
      </c>
      <c r="I19" s="226">
        <v>39.659999999999997</v>
      </c>
      <c r="J19" s="92"/>
      <c r="K19">
        <v>1</v>
      </c>
      <c r="L19" s="226">
        <v>19.829999999999998</v>
      </c>
      <c r="M19" s="226">
        <v>19.829999999999998</v>
      </c>
      <c r="N19" s="227">
        <v>0.5</v>
      </c>
      <c r="O19" s="93"/>
      <c r="P19" s="86"/>
      <c r="Q19" s="94"/>
      <c r="R19" s="94"/>
      <c r="S19" s="226">
        <v>19.829999999999998</v>
      </c>
      <c r="T19" s="226">
        <v>19.829999999999998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216</v>
      </c>
      <c r="C20" t="s">
        <v>114</v>
      </c>
      <c r="D20" s="228"/>
      <c r="E20" s="229"/>
      <c r="F20">
        <v>1</v>
      </c>
      <c r="G20" s="226">
        <v>51.12</v>
      </c>
      <c r="H20" s="226">
        <v>35.26</v>
      </c>
      <c r="I20" s="226">
        <v>51.12</v>
      </c>
      <c r="J20" s="230"/>
      <c r="K20">
        <v>1</v>
      </c>
      <c r="L20" s="226">
        <v>25.56</v>
      </c>
      <c r="M20" s="226">
        <v>25.56</v>
      </c>
      <c r="N20" s="227">
        <v>0.5</v>
      </c>
      <c r="O20" s="231"/>
      <c r="P20" s="232"/>
      <c r="Q20" s="94"/>
      <c r="R20" s="94"/>
      <c r="S20" s="226">
        <v>25.56</v>
      </c>
      <c r="T20" s="226">
        <v>25.56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217</v>
      </c>
      <c r="C21" t="s">
        <v>116</v>
      </c>
      <c r="D21" s="228"/>
      <c r="E21" s="229"/>
      <c r="F21">
        <v>1</v>
      </c>
      <c r="G21" s="226">
        <v>100.07</v>
      </c>
      <c r="H21" s="226">
        <v>69.010000000000005</v>
      </c>
      <c r="I21" s="226">
        <v>100.07</v>
      </c>
      <c r="J21" s="230"/>
      <c r="K21">
        <v>1</v>
      </c>
      <c r="L21" s="226">
        <v>65.05</v>
      </c>
      <c r="M21" s="226">
        <v>65.05</v>
      </c>
      <c r="N21" s="227">
        <v>0.35</v>
      </c>
      <c r="O21" s="231"/>
      <c r="P21" s="232"/>
      <c r="Q21" s="94"/>
      <c r="R21" s="94"/>
      <c r="S21" s="226">
        <v>65.05</v>
      </c>
      <c r="T21" s="226">
        <v>65.05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218</v>
      </c>
      <c r="C22" t="s">
        <v>118</v>
      </c>
      <c r="D22" s="228"/>
      <c r="E22" s="229"/>
      <c r="F22">
        <v>1</v>
      </c>
      <c r="G22" s="226">
        <v>76.53</v>
      </c>
      <c r="H22" s="226">
        <v>52.78</v>
      </c>
      <c r="I22" s="226">
        <v>76.53</v>
      </c>
      <c r="J22" s="230"/>
      <c r="K22">
        <v>1</v>
      </c>
      <c r="L22" s="226">
        <v>49.75</v>
      </c>
      <c r="M22" s="226">
        <v>49.75</v>
      </c>
      <c r="N22" s="227">
        <v>0.34989999999999999</v>
      </c>
      <c r="O22" s="231"/>
      <c r="P22" s="232"/>
      <c r="Q22" s="94"/>
      <c r="R22" s="94"/>
      <c r="S22" s="226">
        <v>49.75</v>
      </c>
      <c r="T22" s="226">
        <v>49.75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219</v>
      </c>
      <c r="C23" t="s">
        <v>124</v>
      </c>
      <c r="D23" s="228"/>
      <c r="E23" s="229"/>
      <c r="F23">
        <v>1</v>
      </c>
      <c r="G23" s="226">
        <v>33.17</v>
      </c>
      <c r="H23" s="226">
        <v>22.88</v>
      </c>
      <c r="I23" s="226">
        <v>33.17</v>
      </c>
      <c r="J23" s="230"/>
      <c r="K23">
        <v>1</v>
      </c>
      <c r="L23" s="226">
        <v>16.59</v>
      </c>
      <c r="M23" s="226">
        <v>16.59</v>
      </c>
      <c r="N23" s="227">
        <v>0.49980000000000002</v>
      </c>
      <c r="O23" s="231"/>
      <c r="P23" s="232"/>
      <c r="Q23" s="94"/>
      <c r="R23" s="94"/>
      <c r="S23" s="226">
        <v>16.59</v>
      </c>
      <c r="T23" s="226">
        <v>16.59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220</v>
      </c>
      <c r="C24" t="s">
        <v>122</v>
      </c>
      <c r="D24" s="228"/>
      <c r="E24" s="229"/>
      <c r="F24">
        <v>1</v>
      </c>
      <c r="G24" s="226">
        <v>131.54</v>
      </c>
      <c r="H24" s="226">
        <v>90.72</v>
      </c>
      <c r="I24" s="226">
        <v>131.54</v>
      </c>
      <c r="J24" s="230"/>
      <c r="K24">
        <v>1</v>
      </c>
      <c r="L24" s="226">
        <v>65.77</v>
      </c>
      <c r="M24" s="226">
        <v>65.77</v>
      </c>
      <c r="N24" s="227">
        <v>0.5</v>
      </c>
      <c r="O24" s="231"/>
      <c r="P24" s="232"/>
      <c r="Q24" s="94"/>
      <c r="R24" s="94"/>
      <c r="S24" s="226">
        <v>65.77</v>
      </c>
      <c r="T24" s="226">
        <v>65.77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221</v>
      </c>
      <c r="C25" t="s">
        <v>127</v>
      </c>
      <c r="D25" s="228"/>
      <c r="E25" s="229"/>
      <c r="F25">
        <v>2</v>
      </c>
      <c r="G25" s="226">
        <v>520.34</v>
      </c>
      <c r="H25" s="226">
        <v>358.86</v>
      </c>
      <c r="I25" s="226">
        <v>1040.68</v>
      </c>
      <c r="J25" s="230"/>
      <c r="K25">
        <v>2</v>
      </c>
      <c r="L25" s="226">
        <v>260.17</v>
      </c>
      <c r="M25" s="226">
        <v>520.34</v>
      </c>
      <c r="N25" s="227">
        <v>0.5</v>
      </c>
      <c r="O25" s="231"/>
      <c r="P25" s="232"/>
      <c r="Q25" s="94"/>
      <c r="R25" s="94"/>
      <c r="S25" s="226">
        <v>520.34</v>
      </c>
      <c r="T25" s="226">
        <v>1040.68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222</v>
      </c>
      <c r="C26" t="s">
        <v>129</v>
      </c>
      <c r="D26" s="228"/>
      <c r="E26" s="229"/>
      <c r="F26">
        <v>6</v>
      </c>
      <c r="G26" s="226">
        <v>1895.94</v>
      </c>
      <c r="H26" s="226">
        <v>1307.54</v>
      </c>
      <c r="I26" s="226">
        <v>11375.64</v>
      </c>
      <c r="J26" s="230"/>
      <c r="K26">
        <v>6</v>
      </c>
      <c r="L26" s="226">
        <v>1327.16</v>
      </c>
      <c r="M26" s="226">
        <v>7962.96</v>
      </c>
      <c r="N26" s="227">
        <v>0.3</v>
      </c>
      <c r="O26" s="231"/>
      <c r="P26" s="232"/>
      <c r="Q26" s="94"/>
      <c r="R26" s="94"/>
      <c r="S26" s="226">
        <v>7962.96</v>
      </c>
      <c r="T26" s="226">
        <v>47777.760000000002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223</v>
      </c>
      <c r="C27" t="s">
        <v>131</v>
      </c>
      <c r="D27" s="228"/>
      <c r="E27" s="229"/>
      <c r="F27">
        <v>1</v>
      </c>
      <c r="G27" s="226">
        <v>20109.560000000001</v>
      </c>
      <c r="H27" s="226">
        <v>13868.66</v>
      </c>
      <c r="I27" s="226">
        <v>20109.560000000001</v>
      </c>
      <c r="J27" s="230"/>
      <c r="K27">
        <v>1</v>
      </c>
      <c r="L27" s="226">
        <v>10054.780000000001</v>
      </c>
      <c r="M27" s="226">
        <v>10054.780000000001</v>
      </c>
      <c r="N27" s="227">
        <v>0.5</v>
      </c>
      <c r="O27" s="231"/>
      <c r="P27" s="232"/>
      <c r="Q27" s="94"/>
      <c r="R27" s="94"/>
      <c r="S27" s="226">
        <v>10054.780000000001</v>
      </c>
      <c r="T27" s="226">
        <v>10054.780000000001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224</v>
      </c>
      <c r="C28" t="s">
        <v>133</v>
      </c>
      <c r="D28" s="228"/>
      <c r="E28" s="229"/>
      <c r="F28">
        <v>1</v>
      </c>
      <c r="G28" s="226">
        <v>6723.47</v>
      </c>
      <c r="H28" s="226">
        <v>4636.88</v>
      </c>
      <c r="I28" s="226">
        <v>6723.47</v>
      </c>
      <c r="J28" s="230"/>
      <c r="K28">
        <v>1</v>
      </c>
      <c r="L28" s="226">
        <v>3361.74</v>
      </c>
      <c r="M28" s="226">
        <v>3361.74</v>
      </c>
      <c r="N28" s="227">
        <v>0.5</v>
      </c>
      <c r="O28" s="231"/>
      <c r="P28" s="232"/>
      <c r="Q28" s="94"/>
      <c r="R28" s="94"/>
      <c r="S28" s="226">
        <v>3361.74</v>
      </c>
      <c r="T28" s="226">
        <v>3361.74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225</v>
      </c>
      <c r="C29" t="s">
        <v>135</v>
      </c>
      <c r="D29" s="228"/>
      <c r="E29" s="229"/>
      <c r="F29">
        <v>1</v>
      </c>
      <c r="G29" s="226">
        <v>7643.98</v>
      </c>
      <c r="H29" s="226">
        <v>5271.71</v>
      </c>
      <c r="I29" s="226">
        <v>7643.98</v>
      </c>
      <c r="J29" s="230"/>
      <c r="K29">
        <v>1</v>
      </c>
      <c r="L29" s="226">
        <v>3821.99</v>
      </c>
      <c r="M29" s="226">
        <v>3821.99</v>
      </c>
      <c r="N29" s="227">
        <v>0.5</v>
      </c>
      <c r="O29" s="231"/>
      <c r="P29" s="232"/>
      <c r="Q29" s="94"/>
      <c r="R29" s="94"/>
      <c r="S29" s="226">
        <v>3821.99</v>
      </c>
      <c r="T29" s="226">
        <v>3821.99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227</v>
      </c>
      <c r="C30" t="s">
        <v>137</v>
      </c>
      <c r="D30" s="228"/>
      <c r="E30" s="229"/>
      <c r="F30">
        <v>50</v>
      </c>
      <c r="G30" s="226">
        <v>2.96</v>
      </c>
      <c r="H30" s="226">
        <v>2.04</v>
      </c>
      <c r="I30" s="226">
        <v>148</v>
      </c>
      <c r="J30" s="230"/>
      <c r="K30">
        <v>50</v>
      </c>
      <c r="L30" s="226">
        <v>1.63</v>
      </c>
      <c r="M30" s="226">
        <v>81.5</v>
      </c>
      <c r="N30" s="227">
        <v>0.44929999999999998</v>
      </c>
      <c r="O30" s="231"/>
      <c r="P30" s="232"/>
      <c r="Q30" s="94"/>
      <c r="R30" s="94"/>
      <c r="S30" s="226">
        <v>81.5</v>
      </c>
      <c r="T30" s="226">
        <v>4075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228</v>
      </c>
      <c r="C31" t="s">
        <v>187</v>
      </c>
      <c r="D31" s="228"/>
      <c r="E31" s="229"/>
      <c r="F31">
        <v>50</v>
      </c>
      <c r="G31" s="226">
        <v>3.88</v>
      </c>
      <c r="H31" s="226">
        <v>2.68</v>
      </c>
      <c r="I31" s="226">
        <v>194</v>
      </c>
      <c r="J31" s="230"/>
      <c r="K31">
        <v>50</v>
      </c>
      <c r="L31" s="226">
        <v>2.13</v>
      </c>
      <c r="M31" s="226">
        <v>106.5</v>
      </c>
      <c r="N31" s="227">
        <v>0.45100000000000001</v>
      </c>
      <c r="O31" s="231"/>
      <c r="P31" s="232"/>
      <c r="Q31" s="94"/>
      <c r="R31" s="94"/>
      <c r="S31" s="226">
        <v>106.5</v>
      </c>
      <c r="T31" s="226">
        <v>5325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229</v>
      </c>
      <c r="C32" t="s">
        <v>190</v>
      </c>
      <c r="D32" s="228"/>
      <c r="E32" s="229"/>
      <c r="F32">
        <v>50</v>
      </c>
      <c r="G32" s="226">
        <v>5.16</v>
      </c>
      <c r="H32" s="226">
        <v>3.56</v>
      </c>
      <c r="I32" s="226">
        <v>258</v>
      </c>
      <c r="J32" s="230"/>
      <c r="K32">
        <v>50</v>
      </c>
      <c r="L32" s="226">
        <v>2.84</v>
      </c>
      <c r="M32" s="226">
        <v>142</v>
      </c>
      <c r="N32" s="227">
        <v>0.4496</v>
      </c>
      <c r="O32" s="231"/>
      <c r="P32" s="232"/>
      <c r="Q32" s="94"/>
      <c r="R32" s="94"/>
      <c r="S32" s="226">
        <v>142</v>
      </c>
      <c r="T32" s="226">
        <v>7100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167</v>
      </c>
      <c r="G71" s="121">
        <f t="shared" si="0"/>
        <v>37337.380000000005</v>
      </c>
      <c r="H71" s="122">
        <f t="shared" si="0"/>
        <v>25749.93</v>
      </c>
      <c r="I71" s="123">
        <f t="shared" si="0"/>
        <v>47925.42</v>
      </c>
      <c r="J71" s="124"/>
      <c r="K71" s="125">
        <f t="shared" ref="K71:M71" si="1">SUM(K19:K70)</f>
        <v>167</v>
      </c>
      <c r="L71" s="122">
        <f t="shared" si="1"/>
        <v>19074.990000000002</v>
      </c>
      <c r="M71" s="123">
        <f t="shared" si="1"/>
        <v>26294.36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26294.36</v>
      </c>
      <c r="T71" s="123">
        <f t="shared" si="2"/>
        <v>82799.5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70" xr:uid="{CEF2BC1C-C0DF-4C0A-8F62-BCB2971322C5}">
      <formula1>$Z$19:$Z$51</formula1>
    </dataValidation>
    <dataValidation type="list" allowBlank="1" showErrorMessage="1" sqref="I14" xr:uid="{DB3B1023-E6DB-49C6-82C2-661443E498A7}">
      <formula1>$Y$14:$Y$15</formula1>
    </dataValidation>
    <dataValidation type="list" allowBlank="1" showErrorMessage="1" sqref="J14" xr:uid="{654FB4F1-D8AF-4EFB-AE47-BD88065A6E31}">
      <formula1>$L$9</formula1>
    </dataValidation>
    <dataValidation type="list" allowBlank="1" showErrorMessage="1" sqref="Q15 G18 L18 Q18" xr:uid="{45F07779-FFAF-4964-B3FB-4D26F654C3D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740-7F40-4E60-8B3E-B40420C13107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3" sqref="G3:H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278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72443.38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39847.140000000007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32596.239999999998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212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0.44995470945723398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1059413.96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226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39847.140000000007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984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230</v>
      </c>
      <c r="C19" t="s">
        <v>196</v>
      </c>
      <c r="D19" s="87"/>
      <c r="E19" s="88"/>
      <c r="F19">
        <v>4</v>
      </c>
      <c r="G19" s="226">
        <v>4256.8900000000003</v>
      </c>
      <c r="H19" s="226">
        <v>2935.79</v>
      </c>
      <c r="I19" s="226">
        <v>17027.560000000001</v>
      </c>
      <c r="J19" s="92"/>
      <c r="K19">
        <v>4</v>
      </c>
      <c r="L19" s="226">
        <v>2341.3000000000002</v>
      </c>
      <c r="M19" s="226">
        <v>9365.2000000000007</v>
      </c>
      <c r="N19" s="227">
        <v>0.45</v>
      </c>
      <c r="O19" s="93"/>
      <c r="P19" s="86"/>
      <c r="Q19" s="94"/>
      <c r="R19" s="94"/>
      <c r="S19" s="226">
        <v>9365.2000000000007</v>
      </c>
      <c r="T19" s="226">
        <v>37460.800000000003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231</v>
      </c>
      <c r="C20" t="s">
        <v>232</v>
      </c>
      <c r="D20" s="228"/>
      <c r="E20" s="229"/>
      <c r="F20">
        <v>8</v>
      </c>
      <c r="G20" s="226">
        <v>150</v>
      </c>
      <c r="H20" s="226">
        <v>103.45</v>
      </c>
      <c r="I20" s="226">
        <v>1200</v>
      </c>
      <c r="J20" s="230"/>
      <c r="K20">
        <v>8</v>
      </c>
      <c r="L20" s="226">
        <v>82.5</v>
      </c>
      <c r="M20" s="226">
        <v>660</v>
      </c>
      <c r="N20" s="227">
        <v>0.45</v>
      </c>
      <c r="O20" s="231"/>
      <c r="P20" s="232"/>
      <c r="Q20" s="94"/>
      <c r="R20" s="94"/>
      <c r="S20" s="226">
        <v>660</v>
      </c>
      <c r="T20" s="226">
        <v>5280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233</v>
      </c>
      <c r="C21" t="s">
        <v>234</v>
      </c>
      <c r="D21" s="228"/>
      <c r="E21" s="229"/>
      <c r="F21">
        <v>16</v>
      </c>
      <c r="G21" s="226">
        <v>36.380000000000003</v>
      </c>
      <c r="H21" s="226">
        <v>25.09</v>
      </c>
      <c r="I21" s="226">
        <v>582.08000000000004</v>
      </c>
      <c r="J21" s="230"/>
      <c r="K21">
        <v>16</v>
      </c>
      <c r="L21" s="226">
        <v>20.010000000000002</v>
      </c>
      <c r="M21" s="226">
        <v>320.16000000000003</v>
      </c>
      <c r="N21" s="227">
        <v>0.45</v>
      </c>
      <c r="O21" s="231"/>
      <c r="P21" s="232"/>
      <c r="Q21" s="94"/>
      <c r="R21" s="94"/>
      <c r="S21" s="226">
        <v>320.16000000000003</v>
      </c>
      <c r="T21" s="226">
        <v>5122.5600000000004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235</v>
      </c>
      <c r="C22" t="s">
        <v>236</v>
      </c>
      <c r="D22" s="228"/>
      <c r="E22" s="229"/>
      <c r="F22">
        <v>16</v>
      </c>
      <c r="G22" s="226">
        <v>4.6100000000000003</v>
      </c>
      <c r="H22" s="226">
        <v>3.18</v>
      </c>
      <c r="I22" s="226">
        <v>73.760000000000005</v>
      </c>
      <c r="J22" s="230"/>
      <c r="K22">
        <v>16</v>
      </c>
      <c r="L22" s="226">
        <v>2.54</v>
      </c>
      <c r="M22" s="226">
        <v>40.64</v>
      </c>
      <c r="N22" s="227">
        <v>0.44900000000000001</v>
      </c>
      <c r="O22" s="231"/>
      <c r="P22" s="232"/>
      <c r="Q22" s="94"/>
      <c r="R22" s="94"/>
      <c r="S22" s="226">
        <v>40.64</v>
      </c>
      <c r="T22" s="226">
        <v>650.24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237</v>
      </c>
      <c r="C23" t="s">
        <v>238</v>
      </c>
      <c r="D23" s="228"/>
      <c r="E23" s="229"/>
      <c r="F23">
        <v>8</v>
      </c>
      <c r="G23" s="226">
        <v>156.58000000000001</v>
      </c>
      <c r="H23" s="226">
        <v>107.99</v>
      </c>
      <c r="I23" s="226">
        <v>1252.6400000000001</v>
      </c>
      <c r="J23" s="230"/>
      <c r="K23">
        <v>8</v>
      </c>
      <c r="L23" s="226">
        <v>86.12</v>
      </c>
      <c r="M23" s="226">
        <v>688.96</v>
      </c>
      <c r="N23" s="227">
        <v>0.45</v>
      </c>
      <c r="O23" s="231"/>
      <c r="P23" s="232"/>
      <c r="Q23" s="94"/>
      <c r="R23" s="94"/>
      <c r="S23" s="226">
        <v>688.96</v>
      </c>
      <c r="T23" s="226">
        <v>5511.68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239</v>
      </c>
      <c r="C24" t="s">
        <v>240</v>
      </c>
      <c r="D24" s="228"/>
      <c r="E24" s="229"/>
      <c r="F24">
        <v>4</v>
      </c>
      <c r="G24" s="226">
        <v>16.920000000000002</v>
      </c>
      <c r="H24" s="226">
        <v>11.67</v>
      </c>
      <c r="I24" s="226">
        <v>67.680000000000007</v>
      </c>
      <c r="J24" s="230"/>
      <c r="K24">
        <v>4</v>
      </c>
      <c r="L24" s="226">
        <v>9.31</v>
      </c>
      <c r="M24" s="226">
        <v>37.24</v>
      </c>
      <c r="N24" s="227">
        <v>0.44979999999999998</v>
      </c>
      <c r="O24" s="231"/>
      <c r="P24" s="232"/>
      <c r="Q24" s="94"/>
      <c r="R24" s="94"/>
      <c r="S24" s="226">
        <v>37.24</v>
      </c>
      <c r="T24" s="226">
        <v>148.96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241</v>
      </c>
      <c r="C25" t="s">
        <v>242</v>
      </c>
      <c r="D25" s="228"/>
      <c r="E25" s="229"/>
      <c r="F25">
        <v>4</v>
      </c>
      <c r="G25" s="226">
        <v>3.47</v>
      </c>
      <c r="H25" s="226">
        <v>2.39</v>
      </c>
      <c r="I25" s="226">
        <v>13.88</v>
      </c>
      <c r="J25" s="230"/>
      <c r="K25">
        <v>4</v>
      </c>
      <c r="L25" s="226">
        <v>1.91</v>
      </c>
      <c r="M25" s="226">
        <v>7.64</v>
      </c>
      <c r="N25" s="227">
        <v>0.4496</v>
      </c>
      <c r="O25" s="231"/>
      <c r="P25" s="232"/>
      <c r="Q25" s="94"/>
      <c r="R25" s="94"/>
      <c r="S25" s="226">
        <v>7.64</v>
      </c>
      <c r="T25" s="226">
        <v>30.56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243</v>
      </c>
      <c r="C26" t="s">
        <v>244</v>
      </c>
      <c r="D26" s="228"/>
      <c r="E26" s="229"/>
      <c r="F26">
        <v>2</v>
      </c>
      <c r="G26" s="226">
        <v>547.03</v>
      </c>
      <c r="H26" s="226">
        <v>377.26</v>
      </c>
      <c r="I26" s="226">
        <v>1094.06</v>
      </c>
      <c r="J26" s="230"/>
      <c r="K26">
        <v>2</v>
      </c>
      <c r="L26" s="226">
        <v>300.87</v>
      </c>
      <c r="M26" s="226">
        <v>601.74</v>
      </c>
      <c r="N26" s="227">
        <v>0.45</v>
      </c>
      <c r="O26" s="231"/>
      <c r="P26" s="232"/>
      <c r="Q26" s="94"/>
      <c r="R26" s="94"/>
      <c r="S26" s="226">
        <v>601.74</v>
      </c>
      <c r="T26" s="226">
        <v>1203.48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245</v>
      </c>
      <c r="C27" t="s">
        <v>246</v>
      </c>
      <c r="D27" s="228"/>
      <c r="E27" s="229"/>
      <c r="F27">
        <v>6</v>
      </c>
      <c r="G27" s="226">
        <v>885.45</v>
      </c>
      <c r="H27" s="226">
        <v>610.66</v>
      </c>
      <c r="I27" s="226">
        <v>5312.7</v>
      </c>
      <c r="J27" s="230"/>
      <c r="K27">
        <v>6</v>
      </c>
      <c r="L27" s="226">
        <v>487</v>
      </c>
      <c r="M27" s="226">
        <v>2922</v>
      </c>
      <c r="N27" s="227">
        <v>0.45</v>
      </c>
      <c r="O27" s="231"/>
      <c r="P27" s="232"/>
      <c r="Q27" s="94"/>
      <c r="R27" s="94"/>
      <c r="S27" s="226">
        <v>2922</v>
      </c>
      <c r="T27" s="226">
        <v>17532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247</v>
      </c>
      <c r="C28" t="s">
        <v>166</v>
      </c>
      <c r="D28" s="228"/>
      <c r="E28" s="229"/>
      <c r="F28">
        <v>28</v>
      </c>
      <c r="G28" s="226">
        <v>52.18</v>
      </c>
      <c r="H28" s="226">
        <v>35.99</v>
      </c>
      <c r="I28" s="226">
        <v>1461.04</v>
      </c>
      <c r="J28" s="230"/>
      <c r="K28">
        <v>28</v>
      </c>
      <c r="L28" s="226">
        <v>28.7</v>
      </c>
      <c r="M28" s="226">
        <v>803.6</v>
      </c>
      <c r="N28" s="227">
        <v>0.45</v>
      </c>
      <c r="O28" s="231"/>
      <c r="P28" s="232"/>
      <c r="Q28" s="94"/>
      <c r="R28" s="94"/>
      <c r="S28" s="226">
        <v>803.6</v>
      </c>
      <c r="T28" s="226">
        <v>22500.799999999999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248</v>
      </c>
      <c r="C29" t="s">
        <v>249</v>
      </c>
      <c r="D29" s="228"/>
      <c r="E29" s="229"/>
      <c r="F29">
        <v>56</v>
      </c>
      <c r="G29" s="226">
        <v>23.29</v>
      </c>
      <c r="H29" s="226">
        <v>16.059999999999999</v>
      </c>
      <c r="I29" s="226">
        <v>1304.24</v>
      </c>
      <c r="J29" s="230"/>
      <c r="K29">
        <v>56</v>
      </c>
      <c r="L29" s="226">
        <v>12.82</v>
      </c>
      <c r="M29" s="226">
        <v>717.92</v>
      </c>
      <c r="N29" s="227">
        <v>0.44950000000000001</v>
      </c>
      <c r="O29" s="231"/>
      <c r="P29" s="232"/>
      <c r="Q29" s="94"/>
      <c r="R29" s="94"/>
      <c r="S29" s="226">
        <v>717.92</v>
      </c>
      <c r="T29" s="226">
        <v>40203.519999999997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250</v>
      </c>
      <c r="C30" t="s">
        <v>168</v>
      </c>
      <c r="D30" s="228"/>
      <c r="E30" s="229"/>
      <c r="F30">
        <v>56</v>
      </c>
      <c r="G30" s="226">
        <v>6.17</v>
      </c>
      <c r="H30" s="226">
        <v>4.26</v>
      </c>
      <c r="I30" s="226">
        <v>345.52</v>
      </c>
      <c r="J30" s="230"/>
      <c r="K30">
        <v>56</v>
      </c>
      <c r="L30" s="226">
        <v>3.4</v>
      </c>
      <c r="M30" s="226">
        <v>190.4</v>
      </c>
      <c r="N30" s="227">
        <v>0.44890000000000002</v>
      </c>
      <c r="O30" s="231"/>
      <c r="P30" s="232"/>
      <c r="Q30" s="94"/>
      <c r="R30" s="94"/>
      <c r="S30" s="226">
        <v>190.4</v>
      </c>
      <c r="T30" s="226">
        <v>10662.4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251</v>
      </c>
      <c r="C31" t="s">
        <v>162</v>
      </c>
      <c r="D31" s="228"/>
      <c r="E31" s="229"/>
      <c r="F31">
        <v>8</v>
      </c>
      <c r="G31" s="226">
        <v>849.71</v>
      </c>
      <c r="H31" s="226">
        <v>586.01</v>
      </c>
      <c r="I31" s="226">
        <v>6797.68</v>
      </c>
      <c r="J31" s="230"/>
      <c r="K31">
        <v>8</v>
      </c>
      <c r="L31" s="226">
        <v>467.35</v>
      </c>
      <c r="M31" s="226">
        <v>3738.8</v>
      </c>
      <c r="N31" s="227">
        <v>0.45</v>
      </c>
      <c r="O31" s="231"/>
      <c r="P31" s="232"/>
      <c r="Q31" s="94"/>
      <c r="R31" s="94"/>
      <c r="S31" s="226">
        <v>3738.8</v>
      </c>
      <c r="T31" s="226">
        <v>29910.400000000001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252</v>
      </c>
      <c r="C32" t="s">
        <v>200</v>
      </c>
      <c r="D32" s="228"/>
      <c r="E32" s="229"/>
      <c r="F32">
        <v>2</v>
      </c>
      <c r="G32" s="226">
        <v>12216.16</v>
      </c>
      <c r="H32" s="226">
        <v>8424.94</v>
      </c>
      <c r="I32" s="226">
        <v>24432.32</v>
      </c>
      <c r="J32" s="230"/>
      <c r="K32">
        <v>2</v>
      </c>
      <c r="L32" s="226">
        <v>6718.89</v>
      </c>
      <c r="M32" s="226">
        <v>13437.78</v>
      </c>
      <c r="N32" s="227">
        <v>0.45</v>
      </c>
      <c r="O32" s="231"/>
      <c r="P32" s="232"/>
      <c r="Q32" s="94"/>
      <c r="R32" s="94"/>
      <c r="S32" s="226">
        <v>13437.78</v>
      </c>
      <c r="T32" s="226">
        <v>26875.56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253</v>
      </c>
      <c r="C33" t="s">
        <v>202</v>
      </c>
      <c r="D33" s="228"/>
      <c r="E33" s="229"/>
      <c r="F33">
        <v>86</v>
      </c>
      <c r="G33" s="226">
        <v>106.11</v>
      </c>
      <c r="H33" s="226">
        <v>73.180000000000007</v>
      </c>
      <c r="I33" s="226">
        <v>9125.4599999999991</v>
      </c>
      <c r="J33" s="230"/>
      <c r="K33">
        <v>86</v>
      </c>
      <c r="L33" s="226">
        <v>58.37</v>
      </c>
      <c r="M33" s="226">
        <v>5019.82</v>
      </c>
      <c r="N33" s="227">
        <v>0.44990000000000002</v>
      </c>
      <c r="O33" s="231"/>
      <c r="P33" s="232"/>
      <c r="Q33" s="94"/>
      <c r="R33" s="94"/>
      <c r="S33" s="226">
        <v>5019.82</v>
      </c>
      <c r="T33" s="226">
        <v>431704.52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254</v>
      </c>
      <c r="C34" t="s">
        <v>211</v>
      </c>
      <c r="D34" s="228"/>
      <c r="E34" s="229"/>
      <c r="F34">
        <v>336</v>
      </c>
      <c r="G34" s="226">
        <v>4.63</v>
      </c>
      <c r="H34" s="226">
        <v>3.19</v>
      </c>
      <c r="I34" s="226">
        <v>1555.68</v>
      </c>
      <c r="J34" s="230"/>
      <c r="K34">
        <v>336</v>
      </c>
      <c r="L34" s="226">
        <v>2.5499999999999998</v>
      </c>
      <c r="M34" s="226">
        <v>856.8</v>
      </c>
      <c r="N34" s="227">
        <v>0.44919999999999999</v>
      </c>
      <c r="O34" s="231"/>
      <c r="P34" s="232"/>
      <c r="Q34" s="94"/>
      <c r="R34" s="94"/>
      <c r="S34" s="226">
        <v>856.8</v>
      </c>
      <c r="T34" s="226">
        <v>287884.79999999999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255</v>
      </c>
      <c r="C35" t="s">
        <v>256</v>
      </c>
      <c r="D35" s="228"/>
      <c r="E35" s="229"/>
      <c r="F35">
        <v>4</v>
      </c>
      <c r="G35" s="226">
        <v>6.09</v>
      </c>
      <c r="H35" s="226">
        <v>4.2</v>
      </c>
      <c r="I35" s="226">
        <v>24.36</v>
      </c>
      <c r="J35" s="230"/>
      <c r="K35">
        <v>4</v>
      </c>
      <c r="L35" s="226">
        <v>3.36</v>
      </c>
      <c r="M35" s="226">
        <v>13.44</v>
      </c>
      <c r="N35" s="227">
        <v>0.44829999999999998</v>
      </c>
      <c r="O35" s="231"/>
      <c r="P35" s="232"/>
      <c r="Q35" s="94"/>
      <c r="R35" s="94"/>
      <c r="S35" s="226">
        <v>13.44</v>
      </c>
      <c r="T35" s="226">
        <v>53.76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257</v>
      </c>
      <c r="C36" t="s">
        <v>256</v>
      </c>
      <c r="D36" s="228"/>
      <c r="E36" s="229"/>
      <c r="F36">
        <v>4</v>
      </c>
      <c r="G36" s="226">
        <v>8.3800000000000008</v>
      </c>
      <c r="H36" s="226">
        <v>5.78</v>
      </c>
      <c r="I36" s="226">
        <v>33.520000000000003</v>
      </c>
      <c r="J36" s="230"/>
      <c r="K36">
        <v>4</v>
      </c>
      <c r="L36" s="226">
        <v>4.6100000000000003</v>
      </c>
      <c r="M36" s="226">
        <v>18.440000000000001</v>
      </c>
      <c r="N36" s="227">
        <v>0.44990000000000002</v>
      </c>
      <c r="O36" s="231"/>
      <c r="P36" s="232"/>
      <c r="Q36" s="94"/>
      <c r="R36" s="94"/>
      <c r="S36" s="226">
        <v>18.440000000000001</v>
      </c>
      <c r="T36" s="226">
        <v>73.760000000000005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B37" t="s">
        <v>258</v>
      </c>
      <c r="C37" t="s">
        <v>209</v>
      </c>
      <c r="D37" s="228"/>
      <c r="E37" s="229"/>
      <c r="F37">
        <v>336</v>
      </c>
      <c r="G37" s="226">
        <v>2.2000000000000002</v>
      </c>
      <c r="H37" s="226">
        <v>1.52</v>
      </c>
      <c r="I37" s="226">
        <v>739.2</v>
      </c>
      <c r="J37" s="230"/>
      <c r="K37">
        <v>336</v>
      </c>
      <c r="L37" s="226">
        <v>1.21</v>
      </c>
      <c r="M37" s="226">
        <v>406.56</v>
      </c>
      <c r="N37" s="227">
        <v>0.45</v>
      </c>
      <c r="O37" s="231"/>
      <c r="P37" s="232"/>
      <c r="Q37" s="94"/>
      <c r="R37" s="94"/>
      <c r="S37" s="226">
        <v>406.56</v>
      </c>
      <c r="T37" s="226">
        <v>136604.16</v>
      </c>
      <c r="U37" s="227">
        <v>0</v>
      </c>
      <c r="V37" s="227">
        <v>1</v>
      </c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984</v>
      </c>
      <c r="G71" s="121">
        <f t="shared" si="0"/>
        <v>19332.250000000004</v>
      </c>
      <c r="H71" s="122">
        <f t="shared" si="0"/>
        <v>13332.610000000004</v>
      </c>
      <c r="I71" s="123">
        <f t="shared" si="0"/>
        <v>72443.38</v>
      </c>
      <c r="J71" s="124"/>
      <c r="K71" s="125">
        <f t="shared" ref="K71:M71" si="1">SUM(K19:K70)</f>
        <v>984</v>
      </c>
      <c r="L71" s="122">
        <f t="shared" si="1"/>
        <v>10632.820000000002</v>
      </c>
      <c r="M71" s="123">
        <f t="shared" si="1"/>
        <v>39847.140000000007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39847.140000000007</v>
      </c>
      <c r="T71" s="123">
        <f t="shared" si="2"/>
        <v>1059413.96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06E5AF9C-5133-4B91-AE43-B740F9EBA4A9}">
      <formula1>$Y$12:$Y$13</formula1>
    </dataValidation>
    <dataValidation type="list" allowBlank="1" showErrorMessage="1" sqref="J14" xr:uid="{4CF9B189-F025-4824-B561-40684064DACA}">
      <formula1>$L$9</formula1>
    </dataValidation>
    <dataValidation type="list" allowBlank="1" showErrorMessage="1" sqref="I14" xr:uid="{E3EFA7C6-166D-48BD-A9D2-80EF8B77A22B}">
      <formula1>$Y$14:$Y$15</formula1>
    </dataValidation>
    <dataValidation type="list" allowBlank="1" showErrorMessage="1" sqref="E19:E70" xr:uid="{C4FBB07E-9BCB-43D7-8FDF-82C3A92C1CD8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8569-F442-4414-8B15-7F1C8272E52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262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89915.83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45948.249999999993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43967.580000000009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260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0.48898597721891696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261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58518.149999999994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45948.249999999993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22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263</v>
      </c>
      <c r="C19" t="s">
        <v>112</v>
      </c>
      <c r="D19" s="87"/>
      <c r="E19" s="88"/>
      <c r="F19">
        <v>1</v>
      </c>
      <c r="G19" s="226">
        <v>28.67</v>
      </c>
      <c r="H19" s="226">
        <v>19.77</v>
      </c>
      <c r="I19" s="226">
        <v>28.67</v>
      </c>
      <c r="J19" s="92"/>
      <c r="K19">
        <v>1</v>
      </c>
      <c r="L19" s="226">
        <v>14.34</v>
      </c>
      <c r="M19" s="226">
        <v>14.34</v>
      </c>
      <c r="N19" s="227">
        <v>0.49980000000000002</v>
      </c>
      <c r="O19" s="93"/>
      <c r="P19" s="86"/>
      <c r="Q19" s="94"/>
      <c r="R19" s="94"/>
      <c r="S19" s="226">
        <v>14.34</v>
      </c>
      <c r="T19" s="226">
        <v>14.34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264</v>
      </c>
      <c r="C20" t="s">
        <v>116</v>
      </c>
      <c r="D20" s="228"/>
      <c r="E20" s="229"/>
      <c r="F20">
        <v>1</v>
      </c>
      <c r="H20" t="s">
        <v>154</v>
      </c>
      <c r="I20" t="s">
        <v>154</v>
      </c>
      <c r="J20" s="230"/>
      <c r="K20">
        <v>1</v>
      </c>
      <c r="L20" t="s">
        <v>154</v>
      </c>
      <c r="M20" t="s">
        <v>154</v>
      </c>
      <c r="O20" s="231"/>
      <c r="P20" s="232"/>
      <c r="Q20" s="94"/>
      <c r="R20" s="94"/>
      <c r="S20" t="s">
        <v>154</v>
      </c>
      <c r="T20" t="s">
        <v>154</v>
      </c>
      <c r="U20" s="227">
        <v>0</v>
      </c>
      <c r="V20" s="227">
        <v>0</v>
      </c>
      <c r="W20" s="96"/>
      <c r="X20" s="233"/>
      <c r="Y20" s="8"/>
      <c r="Z20" s="8"/>
    </row>
    <row r="21" spans="2:26">
      <c r="B21" t="s">
        <v>265</v>
      </c>
      <c r="C21" t="s">
        <v>118</v>
      </c>
      <c r="D21" s="228"/>
      <c r="E21" s="229"/>
      <c r="F21">
        <v>1</v>
      </c>
      <c r="G21" s="226">
        <v>148</v>
      </c>
      <c r="H21" s="226">
        <v>102.07</v>
      </c>
      <c r="I21" s="226">
        <v>148</v>
      </c>
      <c r="J21" s="230"/>
      <c r="K21">
        <v>1</v>
      </c>
      <c r="L21" s="226">
        <v>96.2</v>
      </c>
      <c r="M21" s="226">
        <v>96.2</v>
      </c>
      <c r="N21" s="227">
        <v>0.35</v>
      </c>
      <c r="O21" s="231"/>
      <c r="P21" s="232"/>
      <c r="Q21" s="94"/>
      <c r="R21" s="94"/>
      <c r="S21" s="226">
        <v>96.2</v>
      </c>
      <c r="T21" s="226">
        <v>96.2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266</v>
      </c>
      <c r="C22" t="s">
        <v>124</v>
      </c>
      <c r="D22" s="228"/>
      <c r="E22" s="229"/>
      <c r="F22">
        <v>2</v>
      </c>
      <c r="G22" s="226">
        <v>32.33</v>
      </c>
      <c r="H22" s="226">
        <v>22.3</v>
      </c>
      <c r="I22" s="226">
        <v>64.66</v>
      </c>
      <c r="J22" s="230"/>
      <c r="K22">
        <v>2</v>
      </c>
      <c r="L22" s="226">
        <v>16.170000000000002</v>
      </c>
      <c r="M22" s="226">
        <v>32.340000000000003</v>
      </c>
      <c r="N22" s="227">
        <v>0.49980000000000002</v>
      </c>
      <c r="O22" s="231"/>
      <c r="P22" s="232"/>
      <c r="Q22" s="94"/>
      <c r="R22" s="94"/>
      <c r="S22" s="226">
        <v>32.340000000000003</v>
      </c>
      <c r="T22" s="226">
        <v>64.680000000000007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267</v>
      </c>
      <c r="C23" t="s">
        <v>124</v>
      </c>
      <c r="D23" s="228"/>
      <c r="E23" s="229"/>
      <c r="F23">
        <v>1</v>
      </c>
      <c r="G23" s="226">
        <v>20.63</v>
      </c>
      <c r="H23" s="226">
        <v>14.23</v>
      </c>
      <c r="I23" s="226">
        <v>20.63</v>
      </c>
      <c r="J23" s="230"/>
      <c r="K23">
        <v>1</v>
      </c>
      <c r="L23" s="226">
        <v>10.32</v>
      </c>
      <c r="M23" s="226">
        <v>10.32</v>
      </c>
      <c r="N23" s="227">
        <v>0.49980000000000002</v>
      </c>
      <c r="O23" s="231"/>
      <c r="P23" s="232"/>
      <c r="Q23" s="94"/>
      <c r="R23" s="94"/>
      <c r="S23" s="226">
        <v>10.32</v>
      </c>
      <c r="T23" s="226">
        <v>10.32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268</v>
      </c>
      <c r="C24" t="s">
        <v>269</v>
      </c>
      <c r="D24" s="228"/>
      <c r="E24" s="229"/>
      <c r="F24">
        <v>1</v>
      </c>
      <c r="G24" s="226">
        <v>37.630000000000003</v>
      </c>
      <c r="H24" s="226">
        <v>25.95</v>
      </c>
      <c r="I24" s="226">
        <v>37.630000000000003</v>
      </c>
      <c r="J24" s="230"/>
      <c r="K24">
        <v>1</v>
      </c>
      <c r="L24" s="226">
        <v>18.82</v>
      </c>
      <c r="M24" s="226">
        <v>18.82</v>
      </c>
      <c r="N24" s="227">
        <v>0.49990000000000001</v>
      </c>
      <c r="O24" s="231"/>
      <c r="P24" s="232"/>
      <c r="Q24" s="94"/>
      <c r="R24" s="94"/>
      <c r="S24" s="226">
        <v>18.82</v>
      </c>
      <c r="T24" s="226">
        <v>18.82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270</v>
      </c>
      <c r="C25" t="s">
        <v>269</v>
      </c>
      <c r="D25" s="228"/>
      <c r="E25" s="229"/>
      <c r="F25">
        <v>2</v>
      </c>
      <c r="G25" s="226">
        <v>30.04</v>
      </c>
      <c r="H25" s="226">
        <v>20.72</v>
      </c>
      <c r="I25" s="226">
        <v>60.08</v>
      </c>
      <c r="J25" s="230"/>
      <c r="K25">
        <v>2</v>
      </c>
      <c r="L25" s="226">
        <v>15.02</v>
      </c>
      <c r="M25" s="226">
        <v>30.04</v>
      </c>
      <c r="N25" s="227">
        <v>0.5</v>
      </c>
      <c r="O25" s="231"/>
      <c r="P25" s="232"/>
      <c r="Q25" s="94"/>
      <c r="R25" s="94"/>
      <c r="S25" s="226">
        <v>30.04</v>
      </c>
      <c r="T25" s="226">
        <v>60.08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271</v>
      </c>
      <c r="C26" t="s">
        <v>127</v>
      </c>
      <c r="D26" s="228"/>
      <c r="E26" s="229"/>
      <c r="F26">
        <v>2</v>
      </c>
      <c r="G26" s="226">
        <v>642.85</v>
      </c>
      <c r="H26" s="226">
        <v>443.34</v>
      </c>
      <c r="I26" s="226">
        <v>1285.7</v>
      </c>
      <c r="J26" s="230"/>
      <c r="K26">
        <v>2</v>
      </c>
      <c r="L26" s="226">
        <v>321.43</v>
      </c>
      <c r="M26" s="226">
        <v>642.86</v>
      </c>
      <c r="N26" s="227">
        <v>0.5</v>
      </c>
      <c r="O26" s="231"/>
      <c r="P26" s="232"/>
      <c r="Q26" s="94"/>
      <c r="R26" s="94"/>
      <c r="S26" s="226">
        <v>642.86</v>
      </c>
      <c r="T26" s="226">
        <v>1285.72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272</v>
      </c>
      <c r="C27" t="s">
        <v>129</v>
      </c>
      <c r="D27" s="228"/>
      <c r="E27" s="229"/>
      <c r="F27">
        <v>6</v>
      </c>
      <c r="G27" s="226">
        <v>155.88</v>
      </c>
      <c r="H27" s="226">
        <v>107.5</v>
      </c>
      <c r="I27" s="226">
        <v>935.28</v>
      </c>
      <c r="J27" s="230"/>
      <c r="K27">
        <v>6</v>
      </c>
      <c r="L27" s="226">
        <v>109.12</v>
      </c>
      <c r="M27" s="226">
        <v>654.72</v>
      </c>
      <c r="N27" s="227">
        <v>0.3</v>
      </c>
      <c r="O27" s="231"/>
      <c r="P27" s="232"/>
      <c r="Q27" s="94"/>
      <c r="R27" s="94"/>
      <c r="S27" s="226">
        <v>654.72</v>
      </c>
      <c r="T27" s="226">
        <v>3928.32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273</v>
      </c>
      <c r="C28" t="s">
        <v>131</v>
      </c>
      <c r="D28" s="228"/>
      <c r="E28" s="229"/>
      <c r="F28">
        <v>1</v>
      </c>
      <c r="G28" s="226">
        <v>57259.02</v>
      </c>
      <c r="H28" s="226">
        <v>39488.980000000003</v>
      </c>
      <c r="I28" s="226">
        <v>57259.02</v>
      </c>
      <c r="J28" s="230"/>
      <c r="K28">
        <v>1</v>
      </c>
      <c r="L28" s="226">
        <v>28629.51</v>
      </c>
      <c r="M28" s="226">
        <v>28629.51</v>
      </c>
      <c r="N28" s="227">
        <v>0.5</v>
      </c>
      <c r="O28" s="231"/>
      <c r="P28" s="232"/>
      <c r="Q28" s="94"/>
      <c r="R28" s="94"/>
      <c r="S28" s="226">
        <v>28629.51</v>
      </c>
      <c r="T28" s="226">
        <v>28629.51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274</v>
      </c>
      <c r="C29" t="s">
        <v>133</v>
      </c>
      <c r="D29" s="228"/>
      <c r="E29" s="229"/>
      <c r="F29">
        <v>1</v>
      </c>
      <c r="G29" s="226">
        <v>4061.13</v>
      </c>
      <c r="H29" s="226">
        <v>2800.78</v>
      </c>
      <c r="I29" s="226">
        <v>4061.13</v>
      </c>
      <c r="J29" s="230"/>
      <c r="K29">
        <v>1</v>
      </c>
      <c r="L29" s="226">
        <v>2030.57</v>
      </c>
      <c r="M29" s="226">
        <v>2030.57</v>
      </c>
      <c r="N29" s="227">
        <v>0.5</v>
      </c>
      <c r="O29" s="231"/>
      <c r="P29" s="232"/>
      <c r="Q29" s="94"/>
      <c r="R29" s="94"/>
      <c r="S29" s="226">
        <v>2030.57</v>
      </c>
      <c r="T29" s="226">
        <v>2030.57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275</v>
      </c>
      <c r="C30" t="s">
        <v>135</v>
      </c>
      <c r="D30" s="228"/>
      <c r="E30" s="229"/>
      <c r="F30">
        <v>1</v>
      </c>
      <c r="G30" s="226">
        <v>10394.93</v>
      </c>
      <c r="H30" s="226">
        <v>7168.92</v>
      </c>
      <c r="I30" s="226">
        <v>10394.93</v>
      </c>
      <c r="J30" s="230"/>
      <c r="K30">
        <v>1</v>
      </c>
      <c r="L30" s="226">
        <v>5197.47</v>
      </c>
      <c r="M30" s="226">
        <v>5197.47</v>
      </c>
      <c r="N30" s="227">
        <v>0.5</v>
      </c>
      <c r="O30" s="231"/>
      <c r="P30" s="232"/>
      <c r="Q30" s="94"/>
      <c r="R30" s="94"/>
      <c r="S30" s="226">
        <v>5197.47</v>
      </c>
      <c r="T30" s="226">
        <v>5197.47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H31" t="s">
        <v>154</v>
      </c>
      <c r="I31" t="s">
        <v>154</v>
      </c>
      <c r="J31" s="230"/>
      <c r="K31">
        <v>0</v>
      </c>
      <c r="L31" t="s">
        <v>154</v>
      </c>
      <c r="M31" t="s">
        <v>154</v>
      </c>
      <c r="O31" s="231"/>
      <c r="P31" s="232"/>
      <c r="Q31" s="94"/>
      <c r="R31" s="94"/>
      <c r="S31" t="s">
        <v>154</v>
      </c>
      <c r="T31" t="s">
        <v>154</v>
      </c>
      <c r="U31" s="227">
        <v>0</v>
      </c>
      <c r="V31" s="227">
        <v>0</v>
      </c>
      <c r="W31" s="96"/>
      <c r="X31" s="233"/>
      <c r="Y31" s="8"/>
      <c r="Z31" s="8"/>
    </row>
    <row r="32" spans="2:26">
      <c r="B32" t="s">
        <v>276</v>
      </c>
      <c r="C32" t="s">
        <v>277</v>
      </c>
      <c r="D32" s="228"/>
      <c r="E32" s="229"/>
      <c r="F32">
        <v>2</v>
      </c>
      <c r="G32" s="226">
        <v>7810.05</v>
      </c>
      <c r="H32" s="226">
        <v>5386.24</v>
      </c>
      <c r="I32" s="226">
        <v>15620.1</v>
      </c>
      <c r="J32" s="230"/>
      <c r="K32">
        <v>2</v>
      </c>
      <c r="L32" s="226">
        <v>4295.53</v>
      </c>
      <c r="M32" s="226">
        <v>8591.06</v>
      </c>
      <c r="N32" s="227">
        <v>0.45</v>
      </c>
      <c r="O32" s="231"/>
      <c r="P32" s="232"/>
      <c r="Q32" s="94"/>
      <c r="R32" s="94"/>
      <c r="S32" s="226">
        <v>8591.06</v>
      </c>
      <c r="T32" s="226">
        <v>17182.12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22</v>
      </c>
      <c r="G71" s="121">
        <f t="shared" si="0"/>
        <v>80621.159999999989</v>
      </c>
      <c r="H71" s="122">
        <f t="shared" si="0"/>
        <v>55600.799999999996</v>
      </c>
      <c r="I71" s="123">
        <f t="shared" si="0"/>
        <v>89915.83</v>
      </c>
      <c r="J71" s="124"/>
      <c r="K71" s="125">
        <f t="shared" ref="K71:M71" si="1">SUM(K19:K70)</f>
        <v>22</v>
      </c>
      <c r="L71" s="122">
        <f t="shared" si="1"/>
        <v>40754.5</v>
      </c>
      <c r="M71" s="123">
        <f t="shared" si="1"/>
        <v>45948.249999999993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45948.249999999993</v>
      </c>
      <c r="T71" s="123">
        <f t="shared" si="2"/>
        <v>58518.149999999994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70" xr:uid="{C0205BA8-F4B6-419C-AEFA-6FF74770C979}">
      <formula1>$Z$19:$Z$51</formula1>
    </dataValidation>
    <dataValidation type="list" allowBlank="1" showErrorMessage="1" sqref="I14" xr:uid="{D6D673A7-B43E-49DF-9D00-7EB9142E466F}">
      <formula1>$Y$14:$Y$15</formula1>
    </dataValidation>
    <dataValidation type="list" allowBlank="1" showErrorMessage="1" sqref="J14" xr:uid="{CAB4E23A-F280-4651-8CFF-B390032BCEF2}">
      <formula1>$L$9</formula1>
    </dataValidation>
    <dataValidation type="list" allowBlank="1" showErrorMessage="1" sqref="Q15 G18 L18 Q18" xr:uid="{743D4F3F-DFA7-4039-AFFD-1967F85A07A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D6K LGP DOZER (DHA)</vt:lpstr>
      <vt:lpstr>D6K LGP TRACK GROUP</vt:lpstr>
      <vt:lpstr>PL61 PIPELAYER (WGS)</vt:lpstr>
      <vt:lpstr>PL61 PIPELAYER TRACK GROUP</vt:lpstr>
      <vt:lpstr>572R II PIPELAYER(DSC)</vt:lpstr>
      <vt:lpstr>572R II PIPELAYER TRACK GROUP</vt:lpstr>
      <vt:lpstr>594H PIPELAYER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2025-07-11T17:49:10Z</dcterms:modified>
</cp:coreProperties>
</file>