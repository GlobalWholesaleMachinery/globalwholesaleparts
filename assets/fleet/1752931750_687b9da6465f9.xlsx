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B5ABE594-A4BA-4D51-8B48-351F401782A2}" xr6:coauthVersionLast="47" xr6:coauthVersionMax="47" xr10:uidLastSave="{00000000-0000-0000-0000-000000000000}"/>
  <bookViews>
    <workbookView xWindow="-120" yWindow="-120" windowWidth="20640" windowHeight="11160" firstSheet="11" activeTab="15" xr2:uid="{00000000-000D-0000-FFFF-FFFF00000000}"/>
  </bookViews>
  <sheets>
    <sheet name="Instructions" sheetId="1" r:id="rId1"/>
    <sheet name="CAT D8T (JJ5) UNDERCARRIAGE" sheetId="16" r:id="rId2"/>
    <sheet name="CAT D8T (JJ5)" sheetId="17" r:id="rId3"/>
    <sheet name="CAT D8 (JJ8) TRACK GROUP" sheetId="18" r:id="rId4"/>
    <sheet name="CAT D8 (JJ8)" sheetId="19" r:id="rId5"/>
    <sheet name="CAT D8 (AE8) TRACK GROUP" sheetId="20" r:id="rId6"/>
    <sheet name="CAT D8 (AE8)" sheetId="21" r:id="rId7"/>
    <sheet name="CAT D8 (MN8) TRACK GROUP" sheetId="22" r:id="rId8"/>
    <sheet name="CAT D8 (MN8)" sheetId="23" r:id="rId9"/>
    <sheet name="CAT 14H (ASE)" sheetId="24" r:id="rId10"/>
    <sheet name="CAT 14L (B94)" sheetId="25" r:id="rId11"/>
    <sheet name="CAT 14M (B9J)" sheetId="26" r:id="rId12"/>
    <sheet name="CAT 966 (EL9)" sheetId="27" r:id="rId13"/>
    <sheet name="CAT 966H (A6G)" sheetId="28" r:id="rId14"/>
    <sheet name="CAT 966H (BJ6)" sheetId="29" r:id="rId15"/>
    <sheet name="CAT 966L (FSL)" sheetId="30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30" l="1"/>
  <c r="S66" i="30"/>
  <c r="R66" i="30"/>
  <c r="P7" i="30" s="1"/>
  <c r="Q66" i="30"/>
  <c r="M66" i="30"/>
  <c r="L66" i="30"/>
  <c r="K66" i="30"/>
  <c r="I66" i="30"/>
  <c r="P2" i="30" s="1"/>
  <c r="H66" i="30"/>
  <c r="G66" i="30"/>
  <c r="F66" i="30"/>
  <c r="P11" i="30" s="1"/>
  <c r="R18" i="30"/>
  <c r="I18" i="30"/>
  <c r="H18" i="30"/>
  <c r="E16" i="30"/>
  <c r="V15" i="30"/>
  <c r="P9" i="30" s="1"/>
  <c r="P8" i="30"/>
  <c r="P6" i="30"/>
  <c r="P3" i="30"/>
  <c r="P1" i="30"/>
  <c r="T66" i="29"/>
  <c r="S66" i="29"/>
  <c r="R66" i="29"/>
  <c r="P7" i="29" s="1"/>
  <c r="Q66" i="29"/>
  <c r="M66" i="29"/>
  <c r="L66" i="29"/>
  <c r="K66" i="29"/>
  <c r="I66" i="29"/>
  <c r="P2" i="29" s="1"/>
  <c r="H66" i="29"/>
  <c r="G66" i="29"/>
  <c r="F66" i="29"/>
  <c r="P11" i="29" s="1"/>
  <c r="R18" i="29"/>
  <c r="I18" i="29"/>
  <c r="H18" i="29"/>
  <c r="E16" i="29"/>
  <c r="V15" i="29"/>
  <c r="P9" i="29" s="1"/>
  <c r="P8" i="29"/>
  <c r="P6" i="29"/>
  <c r="P3" i="29"/>
  <c r="P1" i="29"/>
  <c r="T66" i="28"/>
  <c r="P6" i="28" s="1"/>
  <c r="S66" i="28"/>
  <c r="R66" i="28"/>
  <c r="V15" i="28" s="1"/>
  <c r="P9" i="28" s="1"/>
  <c r="Q66" i="28"/>
  <c r="M66" i="28"/>
  <c r="P3" i="28" s="1"/>
  <c r="L66" i="28"/>
  <c r="K66" i="28"/>
  <c r="I66" i="28"/>
  <c r="P2" i="28" s="1"/>
  <c r="H66" i="28"/>
  <c r="G66" i="28"/>
  <c r="F66" i="28"/>
  <c r="P11" i="28" s="1"/>
  <c r="R18" i="28"/>
  <c r="I18" i="28"/>
  <c r="H18" i="28"/>
  <c r="E16" i="28"/>
  <c r="P8" i="28"/>
  <c r="P7" i="28"/>
  <c r="P1" i="28"/>
  <c r="T66" i="27"/>
  <c r="S66" i="27"/>
  <c r="R66" i="27"/>
  <c r="P7" i="27" s="1"/>
  <c r="Q66" i="27"/>
  <c r="M66" i="27"/>
  <c r="L66" i="27"/>
  <c r="K66" i="27"/>
  <c r="I66" i="27"/>
  <c r="P2" i="27" s="1"/>
  <c r="H66" i="27"/>
  <c r="G66" i="27"/>
  <c r="F66" i="27"/>
  <c r="P11" i="27" s="1"/>
  <c r="R18" i="27"/>
  <c r="I18" i="27"/>
  <c r="H18" i="27"/>
  <c r="E16" i="27"/>
  <c r="V15" i="27"/>
  <c r="P9" i="27" s="1"/>
  <c r="P8" i="27"/>
  <c r="P6" i="27"/>
  <c r="P3" i="27"/>
  <c r="P1" i="27"/>
  <c r="T66" i="26"/>
  <c r="S66" i="26"/>
  <c r="R66" i="26"/>
  <c r="Q66" i="26"/>
  <c r="M66" i="26"/>
  <c r="L66" i="26"/>
  <c r="K66" i="26"/>
  <c r="I66" i="26"/>
  <c r="P2" i="26" s="1"/>
  <c r="H66" i="26"/>
  <c r="G66" i="26"/>
  <c r="F66" i="26"/>
  <c r="P11" i="26" s="1"/>
  <c r="R18" i="26"/>
  <c r="I18" i="26"/>
  <c r="H18" i="26"/>
  <c r="E16" i="26"/>
  <c r="V15" i="26"/>
  <c r="P9" i="26" s="1"/>
  <c r="P8" i="26"/>
  <c r="P7" i="26"/>
  <c r="P6" i="26"/>
  <c r="P3" i="26"/>
  <c r="P1" i="26"/>
  <c r="T66" i="25"/>
  <c r="S66" i="25"/>
  <c r="R66" i="25"/>
  <c r="Q66" i="25"/>
  <c r="M66" i="25"/>
  <c r="L66" i="25"/>
  <c r="K66" i="25"/>
  <c r="I66" i="25"/>
  <c r="P2" i="25" s="1"/>
  <c r="H66" i="25"/>
  <c r="G66" i="25"/>
  <c r="F66" i="25"/>
  <c r="R18" i="25"/>
  <c r="I18" i="25"/>
  <c r="H18" i="25"/>
  <c r="E16" i="25"/>
  <c r="V15" i="25"/>
  <c r="P9" i="25" s="1"/>
  <c r="P11" i="25"/>
  <c r="P7" i="25"/>
  <c r="P6" i="25"/>
  <c r="P3" i="25"/>
  <c r="P1" i="25"/>
  <c r="P8" i="25" s="1"/>
  <c r="T66" i="24"/>
  <c r="S66" i="24"/>
  <c r="R66" i="24"/>
  <c r="P7" i="24" s="1"/>
  <c r="Q66" i="24"/>
  <c r="M66" i="24"/>
  <c r="L66" i="24"/>
  <c r="K66" i="24"/>
  <c r="I66" i="24"/>
  <c r="P2" i="24" s="1"/>
  <c r="H66" i="24"/>
  <c r="G66" i="24"/>
  <c r="F66" i="24"/>
  <c r="P11" i="24" s="1"/>
  <c r="R18" i="24"/>
  <c r="I18" i="24"/>
  <c r="H18" i="24"/>
  <c r="E16" i="24"/>
  <c r="V15" i="24"/>
  <c r="P9" i="24" s="1"/>
  <c r="P8" i="24"/>
  <c r="P6" i="24"/>
  <c r="P3" i="24"/>
  <c r="P1" i="24"/>
  <c r="T66" i="23"/>
  <c r="S66" i="23"/>
  <c r="R66" i="23"/>
  <c r="P7" i="23" s="1"/>
  <c r="Q66" i="23"/>
  <c r="M66" i="23"/>
  <c r="L66" i="23"/>
  <c r="K66" i="23"/>
  <c r="I66" i="23"/>
  <c r="P2" i="23" s="1"/>
  <c r="H66" i="23"/>
  <c r="G66" i="23"/>
  <c r="F66" i="23"/>
  <c r="P11" i="23" s="1"/>
  <c r="R18" i="23"/>
  <c r="I18" i="23"/>
  <c r="H18" i="23"/>
  <c r="E16" i="23"/>
  <c r="V15" i="23"/>
  <c r="P9" i="23" s="1"/>
  <c r="P8" i="23"/>
  <c r="P6" i="23"/>
  <c r="P3" i="23"/>
  <c r="P1" i="23"/>
  <c r="T66" i="22"/>
  <c r="P6" i="22" s="1"/>
  <c r="S66" i="22"/>
  <c r="R66" i="22"/>
  <c r="Q66" i="22"/>
  <c r="M66" i="22"/>
  <c r="P3" i="22" s="1"/>
  <c r="L66" i="22"/>
  <c r="K66" i="22"/>
  <c r="I66" i="22"/>
  <c r="P2" i="22" s="1"/>
  <c r="H66" i="22"/>
  <c r="G66" i="22"/>
  <c r="F66" i="22"/>
  <c r="P11" i="22" s="1"/>
  <c r="R18" i="22"/>
  <c r="I18" i="22"/>
  <c r="H18" i="22"/>
  <c r="E16" i="22"/>
  <c r="V15" i="22"/>
  <c r="P9" i="22" s="1"/>
  <c r="P8" i="22"/>
  <c r="P7" i="22"/>
  <c r="P1" i="22"/>
  <c r="T66" i="21"/>
  <c r="S66" i="21"/>
  <c r="R66" i="21"/>
  <c r="Q66" i="21"/>
  <c r="M66" i="21"/>
  <c r="L66" i="21"/>
  <c r="K66" i="21"/>
  <c r="I66" i="21"/>
  <c r="P2" i="21" s="1"/>
  <c r="H66" i="21"/>
  <c r="G66" i="21"/>
  <c r="F66" i="21"/>
  <c r="P11" i="21" s="1"/>
  <c r="R18" i="21"/>
  <c r="I18" i="21"/>
  <c r="H18" i="21"/>
  <c r="E16" i="21"/>
  <c r="V15" i="21"/>
  <c r="P9" i="21" s="1"/>
  <c r="P8" i="21"/>
  <c r="P7" i="21"/>
  <c r="P6" i="21"/>
  <c r="P3" i="21"/>
  <c r="P1" i="21"/>
  <c r="T66" i="20"/>
  <c r="S66" i="20"/>
  <c r="R66" i="20"/>
  <c r="Q66" i="20"/>
  <c r="M66" i="20"/>
  <c r="L66" i="20"/>
  <c r="K66" i="20"/>
  <c r="I66" i="20"/>
  <c r="P2" i="20" s="1"/>
  <c r="H66" i="20"/>
  <c r="G66" i="20"/>
  <c r="F66" i="20"/>
  <c r="P11" i="20" s="1"/>
  <c r="R18" i="20"/>
  <c r="I18" i="20"/>
  <c r="H18" i="20"/>
  <c r="E16" i="20"/>
  <c r="V15" i="20"/>
  <c r="P9" i="20" s="1"/>
  <c r="P8" i="20"/>
  <c r="P7" i="20"/>
  <c r="P6" i="20"/>
  <c r="P3" i="20"/>
  <c r="P1" i="20"/>
  <c r="T66" i="19"/>
  <c r="P6" i="19" s="1"/>
  <c r="S66" i="19"/>
  <c r="R66" i="19"/>
  <c r="Q66" i="19"/>
  <c r="M66" i="19"/>
  <c r="L66" i="19"/>
  <c r="K66" i="19"/>
  <c r="I66" i="19"/>
  <c r="P2" i="19" s="1"/>
  <c r="H66" i="19"/>
  <c r="G66" i="19"/>
  <c r="F66" i="19"/>
  <c r="P11" i="19" s="1"/>
  <c r="R18" i="19"/>
  <c r="I18" i="19"/>
  <c r="H18" i="19"/>
  <c r="E16" i="19"/>
  <c r="V15" i="19"/>
  <c r="P9" i="19" s="1"/>
  <c r="P8" i="19"/>
  <c r="P7" i="19"/>
  <c r="P3" i="19"/>
  <c r="P1" i="19"/>
  <c r="T66" i="18"/>
  <c r="S66" i="18"/>
  <c r="R66" i="18"/>
  <c r="Q66" i="18"/>
  <c r="M66" i="18"/>
  <c r="L66" i="18"/>
  <c r="K66" i="18"/>
  <c r="I66" i="18"/>
  <c r="P2" i="18" s="1"/>
  <c r="H66" i="18"/>
  <c r="G66" i="18"/>
  <c r="F66" i="18"/>
  <c r="P11" i="18" s="1"/>
  <c r="R18" i="18"/>
  <c r="I18" i="18"/>
  <c r="H18" i="18"/>
  <c r="E16" i="18"/>
  <c r="V15" i="18"/>
  <c r="P9" i="18" s="1"/>
  <c r="P8" i="18"/>
  <c r="P7" i="18"/>
  <c r="P6" i="18"/>
  <c r="P3" i="18"/>
  <c r="P1" i="18"/>
  <c r="T66" i="17"/>
  <c r="S66" i="17"/>
  <c r="R66" i="17"/>
  <c r="P7" i="17" s="1"/>
  <c r="Q66" i="17"/>
  <c r="M66" i="17"/>
  <c r="L66" i="17"/>
  <c r="K66" i="17"/>
  <c r="I66" i="17"/>
  <c r="P2" i="17" s="1"/>
  <c r="H66" i="17"/>
  <c r="G66" i="17"/>
  <c r="F66" i="17"/>
  <c r="P11" i="17" s="1"/>
  <c r="R18" i="17"/>
  <c r="I18" i="17"/>
  <c r="H18" i="17"/>
  <c r="E16" i="17"/>
  <c r="V15" i="17"/>
  <c r="P9" i="17" s="1"/>
  <c r="P8" i="17"/>
  <c r="P6" i="17"/>
  <c r="P3" i="17"/>
  <c r="P1" i="17"/>
  <c r="T66" i="16"/>
  <c r="P6" i="16" s="1"/>
  <c r="S66" i="16"/>
  <c r="R66" i="16"/>
  <c r="Q66" i="16"/>
  <c r="M66" i="16"/>
  <c r="L66" i="16"/>
  <c r="K66" i="16"/>
  <c r="I66" i="16"/>
  <c r="P2" i="16" s="1"/>
  <c r="H66" i="16"/>
  <c r="G66" i="16"/>
  <c r="F66" i="16"/>
  <c r="P11" i="16" s="1"/>
  <c r="R18" i="16"/>
  <c r="I18" i="16"/>
  <c r="H18" i="16"/>
  <c r="E16" i="16"/>
  <c r="V15" i="16"/>
  <c r="P9" i="16" s="1"/>
  <c r="P8" i="16"/>
  <c r="P7" i="16"/>
  <c r="P3" i="16"/>
  <c r="P1" i="16"/>
  <c r="P4" i="30" l="1"/>
  <c r="P5" i="30"/>
  <c r="S9" i="30"/>
  <c r="T9" i="30" s="1"/>
  <c r="V9" i="30" s="1"/>
  <c r="S9" i="29"/>
  <c r="U9" i="29" s="1"/>
  <c r="P5" i="29"/>
  <c r="P4" i="29"/>
  <c r="P5" i="28"/>
  <c r="P4" i="28"/>
  <c r="S9" i="28"/>
  <c r="T9" i="28" s="1"/>
  <c r="V9" i="28" s="1"/>
  <c r="U9" i="28"/>
  <c r="S9" i="27"/>
  <c r="U9" i="27" s="1"/>
  <c r="P5" i="27"/>
  <c r="P4" i="27"/>
  <c r="T9" i="27"/>
  <c r="V9" i="27" s="1"/>
  <c r="S9" i="26"/>
  <c r="U9" i="26" s="1"/>
  <c r="P4" i="26"/>
  <c r="P5" i="26"/>
  <c r="S9" i="25"/>
  <c r="T9" i="25" s="1"/>
  <c r="V9" i="25" s="1"/>
  <c r="P5" i="25"/>
  <c r="P4" i="25"/>
  <c r="U9" i="25"/>
  <c r="P5" i="24"/>
  <c r="P4" i="24"/>
  <c r="S9" i="24"/>
  <c r="U9" i="24" s="1"/>
  <c r="T9" i="24"/>
  <c r="V9" i="24" s="1"/>
  <c r="P4" i="23"/>
  <c r="P5" i="23"/>
  <c r="S9" i="23"/>
  <c r="T9" i="23" s="1"/>
  <c r="V9" i="23" s="1"/>
  <c r="U9" i="23"/>
  <c r="P5" i="22"/>
  <c r="P4" i="22"/>
  <c r="S9" i="22"/>
  <c r="U9" i="22" s="1"/>
  <c r="S9" i="21"/>
  <c r="U9" i="21" s="1"/>
  <c r="P5" i="21"/>
  <c r="P4" i="21"/>
  <c r="T9" i="21"/>
  <c r="V9" i="21" s="1"/>
  <c r="P4" i="20"/>
  <c r="P5" i="20"/>
  <c r="S9" i="20"/>
  <c r="T9" i="20" s="1"/>
  <c r="V9" i="20" s="1"/>
  <c r="S9" i="19"/>
  <c r="U9" i="19" s="1"/>
  <c r="P5" i="19"/>
  <c r="P4" i="19"/>
  <c r="T9" i="19"/>
  <c r="V9" i="19" s="1"/>
  <c r="S9" i="18"/>
  <c r="U9" i="18" s="1"/>
  <c r="P5" i="18"/>
  <c r="P4" i="18"/>
  <c r="T9" i="18"/>
  <c r="V9" i="18" s="1"/>
  <c r="P5" i="17"/>
  <c r="P4" i="17"/>
  <c r="S9" i="17"/>
  <c r="U9" i="17" s="1"/>
  <c r="S9" i="16"/>
  <c r="T9" i="16" s="1"/>
  <c r="V9" i="16" s="1"/>
  <c r="P5" i="16"/>
  <c r="P4" i="16"/>
  <c r="U9" i="30" l="1"/>
  <c r="T9" i="29"/>
  <c r="V9" i="29" s="1"/>
  <c r="T9" i="26"/>
  <c r="V9" i="26" s="1"/>
  <c r="T9" i="22"/>
  <c r="V9" i="22" s="1"/>
  <c r="U9" i="20"/>
  <c r="T9" i="17"/>
  <c r="V9" i="17" s="1"/>
  <c r="U9" i="16"/>
</calcChain>
</file>

<file path=xl/sharedStrings.xml><?xml version="1.0" encoding="utf-8"?>
<sst xmlns="http://schemas.openxmlformats.org/spreadsheetml/2006/main" count="2474" uniqueCount="360">
  <si>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</si>
  <si>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</si>
  <si>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</si>
  <si>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</si>
  <si>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</si>
  <si>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</si>
  <si>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</si>
  <si>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</si>
  <si>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</si>
  <si>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</si>
  <si>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</si>
  <si>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</si>
  <si>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</si>
  <si>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</si>
  <si>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</si>
  <si>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</si>
  <si>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</si>
  <si>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</si>
  <si>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</si>
  <si>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</si>
  <si>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</si>
  <si>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</si>
  <si>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</si>
  <si>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</si>
  <si>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</si>
  <si>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</si>
  <si>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</si>
  <si>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</si>
  <si>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</si>
  <si>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</si>
  <si>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</si>
  <si>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</si>
  <si>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</si>
  <si>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</si>
  <si>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</si>
  <si>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</si>
  <si>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</si>
  <si>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</si>
  <si>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</si>
  <si>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</si>
  <si>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</si>
  <si>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</si>
  <si>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</si>
  <si>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</si>
  <si>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</si>
  <si>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</si>
  <si>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</si>
  <si>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</si>
  <si>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</si>
  <si>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</si>
  <si>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</si>
  <si>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</si>
  <si>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</si>
  <si>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</si>
  <si>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</si>
  <si>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</si>
  <si>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</si>
  <si>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</si>
  <si>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</si>
  <si>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</si>
  <si>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</si>
  <si>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</si>
  <si>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</si>
  <si>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</si>
  <si>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</si>
  <si>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</si>
  <si>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</si>
  <si>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</si>
  <si>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</si>
  <si>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</si>
  <si>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</si>
  <si>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</si>
  <si>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</si>
  <si>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</si>
  <si>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</si>
  <si>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</si>
  <si>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</si>
  <si>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</si>
  <si>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</si>
  <si>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</si>
  <si>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</si>
  <si>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</si>
  <si>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</si>
  <si>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</si>
  <si>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</si>
  <si>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</si>
  <si>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</si>
  <si>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</si>
  <si>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</si>
  <si>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</si>
  <si>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</si>
  <si>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</si>
  <si>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</si>
  <si>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</si>
  <si>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</si>
  <si>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</si>
  <si>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</si>
  <si>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</si>
  <si>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</si>
  <si>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</si>
  <si>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</si>
  <si>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</si>
  <si>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</si>
  <si>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</si>
  <si>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</si>
  <si>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</si>
  <si>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</si>
  <si>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</si>
  <si>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</si>
  <si>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ENGINE OIL FILTER</t>
  </si>
  <si>
    <t>FUEL WATER SEPARATOR FILTER</t>
  </si>
  <si>
    <t>SECONDARY AIR FILTER ELEMENT</t>
  </si>
  <si>
    <t>CABIN AIR FILTER ELEMENT</t>
  </si>
  <si>
    <t>CAMSHAFT</t>
  </si>
  <si>
    <t>CRANKSHAFT</t>
  </si>
  <si>
    <t>CYLINDER HEAD</t>
  </si>
  <si>
    <t>TURBOCHARGER</t>
  </si>
  <si>
    <t>FUEL FILTER</t>
  </si>
  <si>
    <t>211-2660</t>
  </si>
  <si>
    <t>153-5700</t>
  </si>
  <si>
    <t>PLOW BOLT</t>
  </si>
  <si>
    <t>2J-3506</t>
  </si>
  <si>
    <t>5J-4773</t>
  </si>
  <si>
    <t xml:space="preserve"> $-   </t>
  </si>
  <si>
    <t>CUTTING EDGE</t>
  </si>
  <si>
    <t>RIPPER CYLINDER</t>
  </si>
  <si>
    <t>9J-6586</t>
  </si>
  <si>
    <t>RIPPER SHANK</t>
  </si>
  <si>
    <t>6Y-0309</t>
  </si>
  <si>
    <t>RIPPER TIP</t>
  </si>
  <si>
    <t>3B-5325</t>
  </si>
  <si>
    <t>2K-6413</t>
  </si>
  <si>
    <t>114-0359</t>
  </si>
  <si>
    <t>136-8308</t>
  </si>
  <si>
    <t>1R-0749</t>
  </si>
  <si>
    <t>326-1644</t>
  </si>
  <si>
    <t>571-5253</t>
  </si>
  <si>
    <t>245-6375</t>
  </si>
  <si>
    <t>245-6376</t>
  </si>
  <si>
    <t>347-7109</t>
  </si>
  <si>
    <t>282-7958</t>
  </si>
  <si>
    <t>497-5506</t>
  </si>
  <si>
    <t>Cat</t>
  </si>
  <si>
    <t>D8</t>
  </si>
  <si>
    <t>D8T</t>
  </si>
  <si>
    <t>JJ501343</t>
  </si>
  <si>
    <t>314-5462</t>
  </si>
  <si>
    <t>SPROCKET SEGMENT</t>
  </si>
  <si>
    <t>5P-7665</t>
  </si>
  <si>
    <t>SPROCKET BOLT</t>
  </si>
  <si>
    <t>7H-3608</t>
  </si>
  <si>
    <t>SPROCKET NUT</t>
  </si>
  <si>
    <t>6V-5841</t>
  </si>
  <si>
    <t>SPROCKET WASHER</t>
  </si>
  <si>
    <t>615-6356</t>
  </si>
  <si>
    <t>CARRIER ROLLER/SINGLE FLANGE ROLLER</t>
  </si>
  <si>
    <t>7X-0408</t>
  </si>
  <si>
    <t>CARRIER BOLT</t>
  </si>
  <si>
    <t>8T-5361</t>
  </si>
  <si>
    <t>CARRIER WASHER</t>
  </si>
  <si>
    <t>111-1729</t>
  </si>
  <si>
    <t>TRACK IDLER</t>
  </si>
  <si>
    <t>620-6402</t>
  </si>
  <si>
    <t>DUAL FLANGE ROLLER</t>
  </si>
  <si>
    <t>627-7997</t>
  </si>
  <si>
    <t>44 JOINT TRACK LINK</t>
  </si>
  <si>
    <t>1Q-4621</t>
  </si>
  <si>
    <t>38" TRACK SHOE</t>
  </si>
  <si>
    <t>6V-1723</t>
  </si>
  <si>
    <t>TRACK BOLT</t>
  </si>
  <si>
    <t>7G-6442</t>
  </si>
  <si>
    <t>TRACK NUT</t>
  </si>
  <si>
    <t>6V-1724</t>
  </si>
  <si>
    <t>MASTER BOLT</t>
  </si>
  <si>
    <t>6V-1725</t>
  </si>
  <si>
    <t>MASTER TRACK BOLT</t>
  </si>
  <si>
    <t>D8T - UC</t>
  </si>
  <si>
    <t>JJ5 - UC</t>
  </si>
  <si>
    <t>JJ5</t>
  </si>
  <si>
    <t>1R-1807</t>
  </si>
  <si>
    <t>326-1643</t>
  </si>
  <si>
    <t>TRANSMISSION FILTER</t>
  </si>
  <si>
    <t>6I-2505</t>
  </si>
  <si>
    <t>PRIMARY AIR FILTER ELEMENT</t>
  </si>
  <si>
    <t>6I-2506</t>
  </si>
  <si>
    <t>389-3067</t>
  </si>
  <si>
    <t>CUSTOM UC TRACK</t>
  </si>
  <si>
    <t>38" GQP COMPLETE UNDERCARRIAGE</t>
  </si>
  <si>
    <t>8E-5347</t>
  </si>
  <si>
    <t>9W-2451</t>
  </si>
  <si>
    <t>6Y-3394</t>
  </si>
  <si>
    <t>RIPPER PIN</t>
  </si>
  <si>
    <t>8E-4743</t>
  </si>
  <si>
    <t>RIPPER RETAINER</t>
  </si>
  <si>
    <t>398-0451</t>
  </si>
  <si>
    <t>SILVER ENGINE OVERHAUL KIT</t>
  </si>
  <si>
    <t>310-7612</t>
  </si>
  <si>
    <t>CAMSHAFT ASSY</t>
  </si>
  <si>
    <t>337-0201</t>
  </si>
  <si>
    <t>CRANKSHAFT ASSY</t>
  </si>
  <si>
    <t>583-9493</t>
  </si>
  <si>
    <t>483-0845</t>
  </si>
  <si>
    <t>355-6110</t>
  </si>
  <si>
    <t>INJECTORS</t>
  </si>
  <si>
    <t>115-2422</t>
  </si>
  <si>
    <t>BATTERY</t>
  </si>
  <si>
    <t>510-8677</t>
  </si>
  <si>
    <t>SEMI-UNIVERSAL BLADE</t>
  </si>
  <si>
    <t>4Z-9058</t>
  </si>
  <si>
    <t>DOZER CUTTING EDGE</t>
  </si>
  <si>
    <t>6Y-5540</t>
  </si>
  <si>
    <t>4J-9058</t>
  </si>
  <si>
    <t>5P-8250</t>
  </si>
  <si>
    <t>WASHER</t>
  </si>
  <si>
    <t>2J-3507</t>
  </si>
  <si>
    <t>NUT</t>
  </si>
  <si>
    <t>8E-4193</t>
  </si>
  <si>
    <t>RIGHT HAND END BIT</t>
  </si>
  <si>
    <t>8E-4194</t>
  </si>
  <si>
    <t>LEFT HAND END BIT</t>
  </si>
  <si>
    <t>585-6314</t>
  </si>
  <si>
    <t>347-3272</t>
  </si>
  <si>
    <t>BLADE CYLINDER</t>
  </si>
  <si>
    <t>Dozer</t>
  </si>
  <si>
    <t>JJ800753</t>
  </si>
  <si>
    <t>JJ8 - TG</t>
  </si>
  <si>
    <t>D8 - TG</t>
  </si>
  <si>
    <t>TRACK SHOE</t>
  </si>
  <si>
    <t>JJ8</t>
  </si>
  <si>
    <t>602-8869</t>
  </si>
  <si>
    <t>SEMI UNIVERSAL BLADE</t>
  </si>
  <si>
    <t>460-4973</t>
  </si>
  <si>
    <t>AE800805</t>
  </si>
  <si>
    <t>AE8 - TG</t>
  </si>
  <si>
    <t>436-7077</t>
  </si>
  <si>
    <t>CUSTOM SLVK O.K</t>
  </si>
  <si>
    <t>SILVER ENGINE OVERHAUL KIT (398-0451)</t>
  </si>
  <si>
    <t>653-6110</t>
  </si>
  <si>
    <t>AE8</t>
  </si>
  <si>
    <t>MN800497</t>
  </si>
  <si>
    <t>MN8</t>
  </si>
  <si>
    <t>MN8 - TG</t>
  </si>
  <si>
    <t>500-0483</t>
  </si>
  <si>
    <t>570-1623</t>
  </si>
  <si>
    <t>6I-2509</t>
  </si>
  <si>
    <t>545-8339</t>
  </si>
  <si>
    <t>378-3187</t>
  </si>
  <si>
    <t>DIESEL EXHAUST FLUID FILTER</t>
  </si>
  <si>
    <t>CUSTOM SLVR O.K</t>
  </si>
  <si>
    <t>GQP SILVER ENGINE KIT (reference 356-1448)</t>
  </si>
  <si>
    <t>432-5470</t>
  </si>
  <si>
    <t>263-9574</t>
  </si>
  <si>
    <t>627-2902</t>
  </si>
  <si>
    <t>UNIVERSAL BLADE</t>
  </si>
  <si>
    <t>4T-6378</t>
  </si>
  <si>
    <t>9W-5232</t>
  </si>
  <si>
    <t>END BIT RH</t>
  </si>
  <si>
    <t>END BIT LH</t>
  </si>
  <si>
    <t>1R-0716</t>
  </si>
  <si>
    <t>513-4490</t>
  </si>
  <si>
    <t>1R-0762</t>
  </si>
  <si>
    <t>343-4464</t>
  </si>
  <si>
    <t>HYDRAULIC/TRANSMISSION FILTER ELEMENT</t>
  </si>
  <si>
    <t>6I-0273</t>
  </si>
  <si>
    <t>6I-0274</t>
  </si>
  <si>
    <t>7T-7358</t>
  </si>
  <si>
    <t>GQP ENGINE OVERHAUL KIT (417-9506)</t>
  </si>
  <si>
    <t>171-3063</t>
  </si>
  <si>
    <t>326-4278</t>
  </si>
  <si>
    <t>148-2149</t>
  </si>
  <si>
    <t>174-1644</t>
  </si>
  <si>
    <t>317-5278</t>
  </si>
  <si>
    <t>8W-8089</t>
  </si>
  <si>
    <t>MOLDBOARD</t>
  </si>
  <si>
    <t>7D-1158</t>
  </si>
  <si>
    <t>1J-6762</t>
  </si>
  <si>
    <t>8E-5529</t>
  </si>
  <si>
    <t>END BIT</t>
  </si>
  <si>
    <t>COTTER PIN</t>
  </si>
  <si>
    <t>GROOVED PIN</t>
  </si>
  <si>
    <t>RETAINER ASSY</t>
  </si>
  <si>
    <t>OUTER PIN</t>
  </si>
  <si>
    <t>ASE01666</t>
  </si>
  <si>
    <t>14H</t>
  </si>
  <si>
    <t>ASE</t>
  </si>
  <si>
    <t>B9400544</t>
  </si>
  <si>
    <t>14L</t>
  </si>
  <si>
    <t>B94</t>
  </si>
  <si>
    <t>1R-1808</t>
  </si>
  <si>
    <t>328-3655</t>
  </si>
  <si>
    <t>149-1912</t>
  </si>
  <si>
    <t>CUSTOM Engine O.K</t>
  </si>
  <si>
    <t>GQP ENGINE OVERHAUL KIT (SILVER 398-0451)</t>
  </si>
  <si>
    <t>242-0673</t>
  </si>
  <si>
    <t>261-1544</t>
  </si>
  <si>
    <t>344-2149</t>
  </si>
  <si>
    <t>352-2395</t>
  </si>
  <si>
    <t>557-7633</t>
  </si>
  <si>
    <t>260-7796</t>
  </si>
  <si>
    <t xml:space="preserve">MOLDBOARD </t>
  </si>
  <si>
    <t>4T-2236</t>
  </si>
  <si>
    <t>5F-8933</t>
  </si>
  <si>
    <t>14M</t>
  </si>
  <si>
    <t>B9J00877</t>
  </si>
  <si>
    <t>B9J</t>
  </si>
  <si>
    <t>380-8941</t>
  </si>
  <si>
    <t>380-8942</t>
  </si>
  <si>
    <t>CUSTOM Engine SLVR O.K</t>
  </si>
  <si>
    <t>223-7468</t>
  </si>
  <si>
    <t>313-3996</t>
  </si>
  <si>
    <t>345-3752</t>
  </si>
  <si>
    <t>247-2956</t>
  </si>
  <si>
    <t>249-0712</t>
  </si>
  <si>
    <t>260-7786</t>
  </si>
  <si>
    <t>452-2509</t>
  </si>
  <si>
    <t>QUICK COUPLER CYLINDER</t>
  </si>
  <si>
    <t>Wheel Loader</t>
  </si>
  <si>
    <t>EL900443</t>
  </si>
  <si>
    <t>EL9</t>
  </si>
  <si>
    <t>436-3443</t>
  </si>
  <si>
    <t>577-1436</t>
  </si>
  <si>
    <t>331-8111</t>
  </si>
  <si>
    <t>578-1844</t>
  </si>
  <si>
    <t>GQP ENGINE OVERHAUL KIT (398-0451)</t>
  </si>
  <si>
    <t>516-8215</t>
  </si>
  <si>
    <t>463-1704</t>
  </si>
  <si>
    <t>559-0877</t>
  </si>
  <si>
    <t>617-1905</t>
  </si>
  <si>
    <t>153-5710</t>
  </si>
  <si>
    <t>133-1669</t>
  </si>
  <si>
    <t>BUCKET GENERAL PURPOSE</t>
  </si>
  <si>
    <t>161-8573</t>
  </si>
  <si>
    <t>WEAR PLATE</t>
  </si>
  <si>
    <t>5P-8248</t>
  </si>
  <si>
    <t>220-9099</t>
  </si>
  <si>
    <t>BUCKET TIP</t>
  </si>
  <si>
    <t>220-9090</t>
  </si>
  <si>
    <t>TIP RETAINER</t>
  </si>
  <si>
    <t>A6G05670</t>
  </si>
  <si>
    <t>A6G</t>
  </si>
  <si>
    <t>966H</t>
  </si>
  <si>
    <t>144-0832</t>
  </si>
  <si>
    <t>245-3818</t>
  </si>
  <si>
    <t>245-3819</t>
  </si>
  <si>
    <t>7X-6041</t>
  </si>
  <si>
    <t>305-0617</t>
  </si>
  <si>
    <t>247-2957</t>
  </si>
  <si>
    <t>249-0712Â </t>
  </si>
  <si>
    <t>BJ601005</t>
  </si>
  <si>
    <t>BJ6</t>
  </si>
  <si>
    <t>376-1288</t>
  </si>
  <si>
    <t>FSL10706</t>
  </si>
  <si>
    <t>500-0481</t>
  </si>
  <si>
    <t>577-1435</t>
  </si>
  <si>
    <t>331-8108</t>
  </si>
  <si>
    <t>290-2287</t>
  </si>
  <si>
    <t>434-0576</t>
  </si>
  <si>
    <t>460-8213</t>
  </si>
  <si>
    <t>966L</t>
  </si>
  <si>
    <t>FSL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</si>
</sst>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5" fillId="2" borderId="41" xfId="0" applyFont="1" applyFill="1" applyBorder="1" applyAlignment="1">
      <alignment horizontal="left"/>
    </xf>
    <xf numFmtId="44" fontId="5" fillId="2" borderId="41" xfId="0" applyNumberFormat="1" applyFont="1" applyFill="1" applyBorder="1"/>
    <xf numFmtId="9" fontId="5" fillId="7" borderId="41" xfId="0" applyNumberFormat="1" applyFont="1" applyFill="1" applyBorder="1"/>
    <xf numFmtId="10" fontId="5" fillId="5" borderId="65" xfId="0" applyNumberFormat="1" applyFont="1" applyFill="1" applyBorder="1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0" fontId="6" fillId="3" borderId="2" xfId="0" applyFont="1" applyFill="1" applyBorder="1" applyAlignment="1">
      <alignment horizontal="center"/>
    </xf>
    <xf numFmtId="0" fontId="7" fillId="0" borderId="7" xfId="0" applyFont="1" applyBorder="1"/>
    <xf numFmtId="0" fontId="7" fillId="0" borderId="8" xfId="0" applyFont="1" applyBorder="1"/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5" borderId="18" xfId="0" applyFont="1" applyFill="1" applyBorder="1" applyAlignment="1">
      <alignment horizontal="left"/>
    </xf>
    <xf numFmtId="0" fontId="7" fillId="0" borderId="20" xfId="0" applyFont="1" applyBorder="1"/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0" fontId="8" fillId="5" borderId="15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right"/>
    </xf>
    <xf numFmtId="0" fontId="7" fillId="0" borderId="19" xfId="0" applyFont="1" applyBorder="1"/>
    <xf numFmtId="0" fontId="8" fillId="6" borderId="18" xfId="0" applyFont="1" applyFill="1" applyBorder="1" applyAlignment="1">
      <alignment horizontal="center"/>
    </xf>
    <xf numFmtId="165" fontId="10" fillId="0" borderId="19" xfId="0" applyNumberFormat="1" applyFont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0" fontId="8" fillId="6" borderId="15" xfId="0" applyFont="1" applyFill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31" xfId="0" applyFont="1" applyFill="1" applyBorder="1" applyAlignment="1">
      <alignment horizontal="left"/>
    </xf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5" xfId="0" applyFont="1" applyBorder="1"/>
    <xf numFmtId="0" fontId="7" fillId="0" borderId="56" xfId="0" applyFont="1" applyBorder="1"/>
    <xf numFmtId="0" fontId="7" fillId="0" borderId="61" xfId="0" applyFont="1" applyBorder="1"/>
    <xf numFmtId="0" fontId="7" fillId="0" borderId="62" xfId="0" applyFont="1" applyBorder="1"/>
    <xf numFmtId="0" fontId="17" fillId="11" borderId="46" xfId="0" applyFont="1" applyFill="1" applyBorder="1" applyAlignment="1">
      <alignment horizontal="center" vertical="center"/>
    </xf>
    <xf numFmtId="0" fontId="7" fillId="0" borderId="50" xfId="0" applyFont="1" applyBorder="1"/>
    <xf numFmtId="0" fontId="7" fillId="0" borderId="51" xfId="0" applyFont="1" applyBorder="1"/>
    <xf numFmtId="0" fontId="7" fillId="0" borderId="58" xfId="0" applyFont="1" applyBorder="1"/>
    <xf numFmtId="0" fontId="7" fillId="0" borderId="59" xfId="0" applyFont="1" applyBorder="1"/>
    <xf numFmtId="0" fontId="19" fillId="11" borderId="48" xfId="0" applyFont="1" applyFill="1" applyBorder="1" applyAlignment="1">
      <alignment horizontal="center" vertical="center" wrapText="1"/>
    </xf>
    <xf numFmtId="0" fontId="0" fillId="0" borderId="0" xfId="0"/>
    <xf numFmtId="0" fontId="7" fillId="0" borderId="60" xfId="0" applyFont="1" applyBorder="1"/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0" fillId="4" borderId="2" xfId="0" applyFont="1" applyFill="1" applyBorder="1" applyAlignment="1">
      <alignment horizontal="right" vertical="center"/>
    </xf>
    <xf numFmtId="0" fontId="17" fillId="11" borderId="70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 wrapText="1"/>
    </xf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165" fontId="8" fillId="10" borderId="39" xfId="0" applyNumberFormat="1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9" fontId="10" fillId="0" borderId="39" xfId="0" applyNumberFormat="1" applyFont="1" applyBorder="1" applyAlignment="1">
      <alignment horizontal="center" vertical="center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15" fillId="11" borderId="85" xfId="0" applyFont="1" applyFill="1" applyBorder="1" applyAlignment="1">
      <alignment horizontal="center" vertical="center" wrapText="1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2" fillId="5" borderId="15" xfId="0" applyFont="1" applyFill="1" applyBorder="1" applyAlignment="1">
      <alignment horizontal="center" vertical="center"/>
    </xf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11" fontId="0" fillId="0" borderId="0" xfId="0" applyNumberFormat="1"/>
  </cellXfs>
  <cellStyles count="1">
    <cellStyle name="Normal" xfId="0" builtinId="0"/>
  </cellStyles>
  <dxfs count="60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703B92C-997E-4D1A-9945-87A1CD334F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E714B48-B6D0-4762-92C4-023A3CD7F9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470E574-EB19-40F8-BB2F-F238712113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5C46F276-8100-41AD-9F1A-92FB2D7B92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3278005A-A067-4909-BE26-BE1B5727D4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1C30572-1D2D-4DFE-BF88-CA723BB1CC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9F85A9EC-F847-447F-9617-FD874A590C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687801B3-74B3-4B07-86BE-411B336427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E68F8B48-A8CF-4A13-816A-98734B5278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5AA55491-1B87-4B47-B695-0BCA9941BC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21634CDC-FC3A-401C-82A6-6257CE2D41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AA54F609-E590-417D-BE36-C1B6CF1DC9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E6FF2179-C0F0-48F5-830F-D67D102FF5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5B1BD64C-D5FC-4E36-BDFF-D213885191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2DBE97D-2EC9-4DCB-BD08-38DEA17FF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9E9C-B9BA-4557-924B-F753E096D945}">
  <sheetPr>
    <pageSetUpPr fitToPage="1"/>
  </sheetPr>
  <dimension ref="B1:Z66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177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337856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168928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168928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 t="s">
        <v>176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0.5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145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168928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168928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223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1064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146</v>
      </c>
      <c r="C19" t="s">
        <v>147</v>
      </c>
      <c r="D19" s="87"/>
      <c r="E19" s="88"/>
      <c r="F19">
        <v>10</v>
      </c>
      <c r="G19" s="134">
        <v>1313</v>
      </c>
      <c r="H19" s="134">
        <v>354.51</v>
      </c>
      <c r="I19" s="134">
        <v>13130</v>
      </c>
      <c r="J19" s="92"/>
      <c r="K19">
        <v>10</v>
      </c>
      <c r="L19" s="134">
        <v>656.5</v>
      </c>
      <c r="M19" s="134">
        <v>6565</v>
      </c>
      <c r="O19" s="93"/>
      <c r="P19" s="86"/>
      <c r="Q19" s="94"/>
      <c r="R19" s="94"/>
      <c r="S19" s="134">
        <v>656.5</v>
      </c>
      <c r="T19" s="134">
        <v>6565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148</v>
      </c>
      <c r="C20" t="s">
        <v>149</v>
      </c>
      <c r="D20" s="87"/>
      <c r="E20" s="100"/>
      <c r="F20">
        <v>70</v>
      </c>
      <c r="G20" s="134">
        <v>19</v>
      </c>
      <c r="H20" s="134">
        <v>5.13</v>
      </c>
      <c r="I20" s="134">
        <v>1330</v>
      </c>
      <c r="J20" s="105"/>
      <c r="K20">
        <v>70</v>
      </c>
      <c r="L20" s="134">
        <v>9.5</v>
      </c>
      <c r="M20" s="134">
        <v>665</v>
      </c>
      <c r="O20" s="93"/>
      <c r="P20" s="98"/>
      <c r="Q20" s="102"/>
      <c r="R20" s="108"/>
      <c r="S20" s="134">
        <v>9.5</v>
      </c>
      <c r="T20" s="134">
        <v>665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150</v>
      </c>
      <c r="C21" t="s">
        <v>151</v>
      </c>
      <c r="D21" s="87"/>
      <c r="E21" s="88"/>
      <c r="F21">
        <v>70</v>
      </c>
      <c r="G21" s="134">
        <v>13.5</v>
      </c>
      <c r="H21" s="134">
        <v>3.65</v>
      </c>
      <c r="I21" s="134">
        <v>945</v>
      </c>
      <c r="J21" s="105"/>
      <c r="K21">
        <v>70</v>
      </c>
      <c r="L21" s="134">
        <v>6.75</v>
      </c>
      <c r="M21" s="134">
        <v>472.5</v>
      </c>
      <c r="O21" s="93"/>
      <c r="P21" s="115"/>
      <c r="Q21" s="94"/>
      <c r="R21" s="94"/>
      <c r="S21" s="134">
        <v>6.75</v>
      </c>
      <c r="T21" s="134">
        <v>472.5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152</v>
      </c>
      <c r="C22" t="s">
        <v>153</v>
      </c>
      <c r="D22" s="87"/>
      <c r="E22" s="100"/>
      <c r="F22">
        <v>70</v>
      </c>
      <c r="G22" s="134">
        <v>10.5</v>
      </c>
      <c r="H22" s="134">
        <v>2.84</v>
      </c>
      <c r="I22" s="134">
        <v>735</v>
      </c>
      <c r="J22" s="105"/>
      <c r="K22">
        <v>70</v>
      </c>
      <c r="L22" s="134">
        <v>5.25</v>
      </c>
      <c r="M22" s="134">
        <v>367.5</v>
      </c>
      <c r="O22" s="93"/>
      <c r="P22" s="98"/>
      <c r="Q22" s="102"/>
      <c r="R22" s="108"/>
      <c r="S22" s="134">
        <v>5.25</v>
      </c>
      <c r="T22" s="134">
        <v>367.5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154</v>
      </c>
      <c r="C23" t="s">
        <v>155</v>
      </c>
      <c r="D23" s="87"/>
      <c r="E23" s="88"/>
      <c r="F23">
        <v>4</v>
      </c>
      <c r="G23" s="134">
        <v>2525.5</v>
      </c>
      <c r="H23" s="134">
        <v>681.89</v>
      </c>
      <c r="I23" s="134">
        <v>10102</v>
      </c>
      <c r="J23" s="105"/>
      <c r="K23">
        <v>4</v>
      </c>
      <c r="L23" s="134">
        <v>1262.75</v>
      </c>
      <c r="M23" s="134">
        <v>5051</v>
      </c>
      <c r="O23" s="93"/>
      <c r="P23" s="115"/>
      <c r="Q23" s="94"/>
      <c r="R23" s="94"/>
      <c r="S23" s="134">
        <v>1262.75</v>
      </c>
      <c r="T23" s="134">
        <v>5051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156</v>
      </c>
      <c r="C24" t="s">
        <v>157</v>
      </c>
      <c r="D24" s="87"/>
      <c r="E24" s="100"/>
      <c r="F24">
        <v>24</v>
      </c>
      <c r="G24" s="134">
        <v>73</v>
      </c>
      <c r="H24" s="134">
        <v>19.71</v>
      </c>
      <c r="I24" s="134">
        <v>1752</v>
      </c>
      <c r="J24" s="105"/>
      <c r="K24">
        <v>24</v>
      </c>
      <c r="L24" s="134">
        <v>36.5</v>
      </c>
      <c r="M24" s="134">
        <v>876</v>
      </c>
      <c r="N24" s="136"/>
      <c r="O24" s="93"/>
      <c r="P24" s="98"/>
      <c r="Q24" s="102"/>
      <c r="R24" s="108"/>
      <c r="S24" s="134">
        <v>36.5</v>
      </c>
      <c r="T24" s="134">
        <v>876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158</v>
      </c>
      <c r="C25" t="s">
        <v>159</v>
      </c>
      <c r="D25" s="87"/>
      <c r="E25" s="88"/>
      <c r="F25">
        <v>24</v>
      </c>
      <c r="G25" s="134">
        <v>19.5</v>
      </c>
      <c r="H25" s="134">
        <v>5.27</v>
      </c>
      <c r="I25" s="134">
        <v>468</v>
      </c>
      <c r="J25" s="105"/>
      <c r="K25">
        <v>24</v>
      </c>
      <c r="L25" s="134">
        <v>9.75</v>
      </c>
      <c r="M25" s="134">
        <v>234</v>
      </c>
      <c r="N25" s="136"/>
      <c r="O25" s="93"/>
      <c r="P25" s="115"/>
      <c r="Q25" s="94"/>
      <c r="R25" s="94"/>
      <c r="S25" s="134">
        <v>9.75</v>
      </c>
      <c r="T25" s="134">
        <v>234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160</v>
      </c>
      <c r="C26" t="s">
        <v>161</v>
      </c>
      <c r="D26" s="87"/>
      <c r="E26" s="100"/>
      <c r="F26">
        <v>2</v>
      </c>
      <c r="G26" s="134">
        <v>26698.5</v>
      </c>
      <c r="H26" s="134">
        <v>7208.6</v>
      </c>
      <c r="I26" s="134">
        <v>53397</v>
      </c>
      <c r="J26" s="105"/>
      <c r="K26">
        <v>2</v>
      </c>
      <c r="L26" s="134">
        <v>13349.25</v>
      </c>
      <c r="M26" s="134">
        <v>26698.5</v>
      </c>
      <c r="N26" s="136"/>
      <c r="O26" s="93"/>
      <c r="P26" s="98"/>
      <c r="Q26" s="102"/>
      <c r="R26" s="108"/>
      <c r="S26" s="134">
        <v>13349.25</v>
      </c>
      <c r="T26" s="134">
        <v>26698.5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t="s">
        <v>162</v>
      </c>
      <c r="C27" t="s">
        <v>163</v>
      </c>
      <c r="D27" s="87"/>
      <c r="E27" s="88"/>
      <c r="F27">
        <v>4</v>
      </c>
      <c r="G27" s="134">
        <v>5216.5</v>
      </c>
      <c r="H27" s="134">
        <v>1408.46</v>
      </c>
      <c r="I27" s="134">
        <v>20866</v>
      </c>
      <c r="J27" s="105"/>
      <c r="K27">
        <v>4</v>
      </c>
      <c r="L27" s="134">
        <v>2608.25</v>
      </c>
      <c r="M27" s="134">
        <v>10433</v>
      </c>
      <c r="O27" s="93"/>
      <c r="P27" s="115"/>
      <c r="Q27" s="94"/>
      <c r="R27" s="94"/>
      <c r="S27" s="134">
        <v>2608.25</v>
      </c>
      <c r="T27" s="134">
        <v>10433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123</v>
      </c>
      <c r="I28" t="s">
        <v>123</v>
      </c>
      <c r="J28" s="105"/>
      <c r="K28">
        <v>0</v>
      </c>
      <c r="L28" t="s">
        <v>123</v>
      </c>
      <c r="M28" t="s">
        <v>123</v>
      </c>
      <c r="O28" s="93"/>
      <c r="P28" s="98"/>
      <c r="Q28" s="102"/>
      <c r="R28" s="108"/>
      <c r="S28" t="s">
        <v>123</v>
      </c>
      <c r="T28" t="s">
        <v>123</v>
      </c>
      <c r="U28" s="135">
        <v>0</v>
      </c>
      <c r="V28" s="135">
        <v>0</v>
      </c>
      <c r="W28" s="111"/>
      <c r="X28" s="97"/>
      <c r="Y28" s="8"/>
      <c r="Z28" s="116"/>
    </row>
    <row r="29" spans="2:26" ht="15.75" customHeight="1">
      <c r="D29" s="87"/>
      <c r="E29" s="88"/>
      <c r="H29" t="s">
        <v>123</v>
      </c>
      <c r="I29" t="s">
        <v>123</v>
      </c>
      <c r="J29" s="105"/>
      <c r="K29">
        <v>0</v>
      </c>
      <c r="L29" t="s">
        <v>123</v>
      </c>
      <c r="M29" t="s">
        <v>123</v>
      </c>
      <c r="O29" s="93"/>
      <c r="P29" s="115"/>
      <c r="Q29" s="94"/>
      <c r="R29" s="94"/>
      <c r="S29" t="s">
        <v>123</v>
      </c>
      <c r="T29" t="s">
        <v>123</v>
      </c>
      <c r="U29" s="135">
        <v>0</v>
      </c>
      <c r="V29" s="135">
        <v>0</v>
      </c>
      <c r="W29" s="96"/>
      <c r="X29" s="97"/>
      <c r="Y29" s="8"/>
      <c r="Z29" s="8"/>
    </row>
    <row r="30" spans="2:26" ht="15.75" customHeight="1">
      <c r="D30" s="87"/>
      <c r="E30" s="100"/>
      <c r="H30" t="s">
        <v>123</v>
      </c>
      <c r="I30" t="s">
        <v>123</v>
      </c>
      <c r="J30" s="105"/>
      <c r="K30">
        <v>0</v>
      </c>
      <c r="L30" t="s">
        <v>123</v>
      </c>
      <c r="M30" t="s">
        <v>123</v>
      </c>
      <c r="O30" s="93"/>
      <c r="P30" s="98"/>
      <c r="Q30" s="102"/>
      <c r="R30" s="108"/>
      <c r="S30" t="s">
        <v>123</v>
      </c>
      <c r="T30" t="s">
        <v>123</v>
      </c>
      <c r="U30" s="135">
        <v>0</v>
      </c>
      <c r="V30" s="135">
        <v>0</v>
      </c>
      <c r="W30" s="111"/>
      <c r="X30" s="97"/>
      <c r="Y30" s="8"/>
      <c r="Z30" s="8"/>
    </row>
    <row r="31" spans="2:26" ht="15.75" customHeight="1">
      <c r="D31" s="87"/>
      <c r="E31" s="88"/>
      <c r="H31" t="s">
        <v>123</v>
      </c>
      <c r="I31" t="s">
        <v>123</v>
      </c>
      <c r="J31" s="105"/>
      <c r="K31">
        <v>0</v>
      </c>
      <c r="L31" t="s">
        <v>123</v>
      </c>
      <c r="M31" t="s">
        <v>123</v>
      </c>
      <c r="O31" s="93"/>
      <c r="P31" s="115"/>
      <c r="Q31" s="94"/>
      <c r="R31" s="94"/>
      <c r="S31" t="s">
        <v>123</v>
      </c>
      <c r="T31" t="s">
        <v>123</v>
      </c>
      <c r="U31" s="135">
        <v>0</v>
      </c>
      <c r="V31" s="135">
        <v>0</v>
      </c>
      <c r="W31" s="96"/>
      <c r="X31" s="97"/>
      <c r="Y31" s="8"/>
      <c r="Z31" s="8"/>
    </row>
    <row r="32" spans="2:26" ht="15.75" customHeight="1">
      <c r="D32" s="87"/>
      <c r="E32" s="100"/>
      <c r="H32" t="s">
        <v>123</v>
      </c>
      <c r="I32" t="s">
        <v>123</v>
      </c>
      <c r="J32" s="105"/>
      <c r="K32">
        <v>0</v>
      </c>
      <c r="L32" t="s">
        <v>123</v>
      </c>
      <c r="M32" t="s">
        <v>123</v>
      </c>
      <c r="O32" s="93"/>
      <c r="P32" s="98"/>
      <c r="Q32" s="102"/>
      <c r="R32" s="108"/>
      <c r="S32" t="s">
        <v>123</v>
      </c>
      <c r="T32" t="s">
        <v>123</v>
      </c>
      <c r="U32" s="135">
        <v>0</v>
      </c>
      <c r="V32" s="135">
        <v>0</v>
      </c>
      <c r="W32" s="111"/>
      <c r="X32" s="97"/>
      <c r="Y32" s="8"/>
      <c r="Z32" s="8"/>
    </row>
    <row r="33" spans="2:23" ht="15.75" customHeight="1">
      <c r="B33" t="s">
        <v>164</v>
      </c>
      <c r="C33" t="s">
        <v>165</v>
      </c>
      <c r="D33" s="87"/>
      <c r="E33" s="88"/>
      <c r="F33">
        <v>2</v>
      </c>
      <c r="G33" s="134">
        <v>56144.5</v>
      </c>
      <c r="H33" s="134">
        <v>15159.02</v>
      </c>
      <c r="I33" s="134">
        <v>112289</v>
      </c>
      <c r="J33" s="105"/>
      <c r="K33">
        <v>2</v>
      </c>
      <c r="L33" s="134">
        <v>28072.25</v>
      </c>
      <c r="M33" s="134">
        <v>56144.5</v>
      </c>
      <c r="O33" s="93"/>
      <c r="P33" s="115"/>
      <c r="Q33" s="94"/>
      <c r="R33" s="94"/>
      <c r="S33" s="134">
        <v>28072.25</v>
      </c>
      <c r="T33" s="134">
        <v>56144.5</v>
      </c>
      <c r="U33" s="135">
        <v>0</v>
      </c>
      <c r="V33" s="135">
        <v>1</v>
      </c>
      <c r="W33" s="96"/>
    </row>
    <row r="34" spans="2:23" ht="15.75" customHeight="1">
      <c r="B34" t="s">
        <v>166</v>
      </c>
      <c r="C34" t="s">
        <v>167</v>
      </c>
      <c r="D34" s="87"/>
      <c r="E34" s="100"/>
      <c r="F34">
        <v>88</v>
      </c>
      <c r="G34" s="134">
        <v>1188</v>
      </c>
      <c r="H34" s="134">
        <v>320.76</v>
      </c>
      <c r="I34" s="134">
        <v>104544</v>
      </c>
      <c r="J34" s="105"/>
      <c r="K34">
        <v>88</v>
      </c>
      <c r="L34" s="134">
        <v>594</v>
      </c>
      <c r="M34" s="134">
        <v>52272</v>
      </c>
      <c r="O34" s="93"/>
      <c r="P34" s="98"/>
      <c r="Q34" s="102"/>
      <c r="R34" s="108"/>
      <c r="S34" s="134">
        <v>594</v>
      </c>
      <c r="T34" s="134">
        <v>52272</v>
      </c>
      <c r="U34" s="135">
        <v>0</v>
      </c>
      <c r="V34" s="135">
        <v>1</v>
      </c>
      <c r="W34" s="111"/>
    </row>
    <row r="35" spans="2:23" ht="15.75" customHeight="1">
      <c r="B35" t="s">
        <v>168</v>
      </c>
      <c r="C35" t="s">
        <v>169</v>
      </c>
      <c r="D35" s="87"/>
      <c r="E35" s="88"/>
      <c r="F35">
        <v>344</v>
      </c>
      <c r="G35" s="134">
        <v>39</v>
      </c>
      <c r="H35" s="134">
        <v>10.53</v>
      </c>
      <c r="I35" s="134">
        <v>13416</v>
      </c>
      <c r="J35" s="105"/>
      <c r="K35">
        <v>344</v>
      </c>
      <c r="L35" s="134">
        <v>19.5</v>
      </c>
      <c r="M35" s="134">
        <v>6708</v>
      </c>
      <c r="O35" s="93"/>
      <c r="P35" s="115"/>
      <c r="Q35" s="94"/>
      <c r="R35" s="94"/>
      <c r="S35" s="134">
        <v>19.5</v>
      </c>
      <c r="T35" s="134">
        <v>6708</v>
      </c>
      <c r="U35" s="135">
        <v>0</v>
      </c>
      <c r="V35" s="135">
        <v>1</v>
      </c>
      <c r="W35" s="96"/>
    </row>
    <row r="36" spans="2:23" ht="15.75" customHeight="1">
      <c r="B36" t="s">
        <v>170</v>
      </c>
      <c r="C36" t="s">
        <v>171</v>
      </c>
      <c r="D36" s="87"/>
      <c r="E36" s="100"/>
      <c r="F36">
        <v>344</v>
      </c>
      <c r="G36" s="134">
        <v>13</v>
      </c>
      <c r="H36" s="134">
        <v>3.51</v>
      </c>
      <c r="I36" s="134">
        <v>4472</v>
      </c>
      <c r="J36" s="105"/>
      <c r="K36">
        <v>344</v>
      </c>
      <c r="L36" s="134">
        <v>6.5</v>
      </c>
      <c r="M36" s="134">
        <v>2236</v>
      </c>
      <c r="O36" s="93"/>
      <c r="P36" s="98"/>
      <c r="Q36" s="102"/>
      <c r="R36" s="108"/>
      <c r="S36" s="134">
        <v>6.5</v>
      </c>
      <c r="T36" s="134">
        <v>2236</v>
      </c>
      <c r="U36" s="135">
        <v>0</v>
      </c>
      <c r="V36" s="135">
        <v>1</v>
      </c>
      <c r="W36" s="111"/>
    </row>
    <row r="37" spans="2:23" ht="15.75" customHeight="1">
      <c r="B37" t="s">
        <v>172</v>
      </c>
      <c r="C37" t="s">
        <v>173</v>
      </c>
      <c r="D37" s="87"/>
      <c r="E37" s="88"/>
      <c r="F37">
        <v>4</v>
      </c>
      <c r="G37" s="134">
        <v>43.5</v>
      </c>
      <c r="H37" s="134">
        <v>11.75</v>
      </c>
      <c r="I37" s="134">
        <v>174</v>
      </c>
      <c r="J37" s="105"/>
      <c r="K37">
        <v>4</v>
      </c>
      <c r="L37" s="134">
        <v>21.75</v>
      </c>
      <c r="M37" s="134">
        <v>87</v>
      </c>
      <c r="O37" s="93"/>
      <c r="P37" s="115"/>
      <c r="Q37" s="94"/>
      <c r="R37" s="94"/>
      <c r="S37" s="134">
        <v>21.75</v>
      </c>
      <c r="T37" s="134">
        <v>87</v>
      </c>
      <c r="U37" s="135">
        <v>0</v>
      </c>
      <c r="V37" s="135">
        <v>1</v>
      </c>
      <c r="W37" s="96"/>
    </row>
    <row r="38" spans="2:23" ht="15.75" customHeight="1">
      <c r="B38" t="s">
        <v>174</v>
      </c>
      <c r="C38" t="s">
        <v>175</v>
      </c>
      <c r="D38" s="87"/>
      <c r="E38" s="100"/>
      <c r="F38">
        <v>4</v>
      </c>
      <c r="G38" s="134">
        <v>59</v>
      </c>
      <c r="H38" s="134">
        <v>15.93</v>
      </c>
      <c r="I38" s="134">
        <v>236</v>
      </c>
      <c r="J38" s="105"/>
      <c r="K38">
        <v>4</v>
      </c>
      <c r="L38" s="134">
        <v>29.5</v>
      </c>
      <c r="M38" s="134">
        <v>118</v>
      </c>
      <c r="O38" s="93"/>
      <c r="P38" s="98"/>
      <c r="Q38" s="102"/>
      <c r="R38" s="108"/>
      <c r="S38" s="134">
        <v>29.5</v>
      </c>
      <c r="T38" s="134">
        <v>118</v>
      </c>
      <c r="U38" s="135">
        <v>0</v>
      </c>
      <c r="V38" s="135">
        <v>1</v>
      </c>
      <c r="W38" s="111"/>
    </row>
    <row r="39" spans="2:23" ht="15.75" customHeight="1">
      <c r="D39" s="87"/>
      <c r="E39" s="88"/>
      <c r="G39" s="134"/>
      <c r="H39" s="134"/>
      <c r="I39" s="134"/>
      <c r="J39" s="105"/>
      <c r="L39" s="134"/>
      <c r="M39" s="134"/>
      <c r="O39" s="93"/>
      <c r="P39" s="115"/>
      <c r="Q39" s="94"/>
      <c r="R39" s="94"/>
      <c r="S39" s="134"/>
      <c r="T39" s="134"/>
      <c r="U39" s="135"/>
      <c r="V39" s="135"/>
      <c r="W39" s="111"/>
    </row>
    <row r="40" spans="2:23" ht="15.75" customHeight="1">
      <c r="D40" s="87"/>
      <c r="E40" s="100"/>
      <c r="G40" s="134"/>
      <c r="H40" s="134"/>
      <c r="I40" s="134"/>
      <c r="J40" s="105"/>
      <c r="L40" s="134"/>
      <c r="M40" s="134"/>
      <c r="O40" s="93"/>
      <c r="P40" s="98"/>
      <c r="Q40" s="102"/>
      <c r="R40" s="108"/>
      <c r="S40" s="134"/>
      <c r="T40" s="134"/>
      <c r="U40" s="135"/>
      <c r="V40" s="135"/>
      <c r="W40" s="111"/>
    </row>
    <row r="41" spans="2:23" ht="15.75" customHeight="1">
      <c r="D41" s="130"/>
      <c r="E41" s="100"/>
      <c r="G41" s="134"/>
      <c r="H41" s="134"/>
      <c r="I41" s="134"/>
      <c r="J41" s="131"/>
      <c r="L41" s="134"/>
      <c r="M41" s="134"/>
      <c r="O41" s="132"/>
      <c r="P41" s="98"/>
      <c r="Q41" s="102"/>
      <c r="R41" s="108"/>
      <c r="S41" s="134"/>
      <c r="T41" s="134"/>
      <c r="U41" s="135"/>
      <c r="V41" s="135"/>
      <c r="W41" s="133"/>
    </row>
    <row r="42" spans="2:23" ht="15.75" customHeight="1">
      <c r="D42" s="130"/>
      <c r="E42" s="100"/>
      <c r="G42" s="134"/>
      <c r="H42" s="134"/>
      <c r="I42" s="134"/>
      <c r="J42" s="131"/>
      <c r="L42" s="134"/>
      <c r="M42" s="134"/>
      <c r="O42" s="132"/>
      <c r="P42" s="98"/>
      <c r="Q42" s="102"/>
      <c r="R42" s="108"/>
      <c r="S42" s="134"/>
      <c r="T42" s="134"/>
      <c r="U42" s="135"/>
      <c r="V42" s="135"/>
      <c r="W42" s="133"/>
    </row>
    <row r="43" spans="2:23" ht="15.75" customHeight="1">
      <c r="D43" s="130"/>
      <c r="E43" s="100"/>
      <c r="G43" s="134"/>
      <c r="H43" s="134"/>
      <c r="I43" s="134"/>
      <c r="J43" s="131"/>
      <c r="L43" s="134"/>
      <c r="M43" s="134"/>
      <c r="O43" s="132"/>
      <c r="P43" s="98"/>
      <c r="Q43" s="102"/>
      <c r="R43" s="108"/>
      <c r="S43" s="134"/>
      <c r="T43" s="134"/>
      <c r="U43" s="135"/>
      <c r="V43" s="135"/>
      <c r="W43" s="133"/>
    </row>
    <row r="44" spans="2:23" ht="15.75" customHeight="1">
      <c r="D44" s="130"/>
      <c r="E44" s="100"/>
      <c r="G44" s="134"/>
      <c r="H44" s="134"/>
      <c r="I44" s="134"/>
      <c r="J44" s="131"/>
      <c r="L44" s="134"/>
      <c r="M44" s="134"/>
      <c r="O44" s="132"/>
      <c r="P44" s="98"/>
      <c r="Q44" s="102"/>
      <c r="R44" s="108"/>
      <c r="S44" s="134"/>
      <c r="T44" s="134"/>
      <c r="U44" s="135"/>
      <c r="V44" s="135"/>
      <c r="W44" s="133"/>
    </row>
    <row r="45" spans="2:23" ht="15.75" customHeight="1">
      <c r="D45" s="130"/>
      <c r="E45" s="100"/>
      <c r="J45" s="131"/>
      <c r="O45" s="132"/>
      <c r="P45" s="98"/>
      <c r="Q45" s="102"/>
      <c r="R45" s="108"/>
      <c r="U45" s="135"/>
      <c r="V45" s="135"/>
      <c r="W45" s="133"/>
    </row>
    <row r="46" spans="2:23" ht="15.75" customHeight="1">
      <c r="D46" s="130"/>
      <c r="E46" s="100"/>
      <c r="J46" s="131"/>
      <c r="O46" s="132"/>
      <c r="P46" s="98"/>
      <c r="Q46" s="102"/>
      <c r="R46" s="108"/>
      <c r="U46" s="135"/>
      <c r="V46" s="135"/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G49" s="134"/>
      <c r="H49" s="134"/>
      <c r="I49" s="134"/>
      <c r="J49" s="131"/>
      <c r="L49" s="134"/>
      <c r="M49" s="134"/>
      <c r="O49" s="132"/>
      <c r="P49" s="98"/>
      <c r="Q49" s="102"/>
      <c r="R49" s="108"/>
      <c r="S49" s="134"/>
      <c r="T49" s="134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1064</v>
      </c>
      <c r="G66" s="121">
        <f t="shared" si="0"/>
        <v>93376</v>
      </c>
      <c r="H66" s="122">
        <f t="shared" si="0"/>
        <v>25211.559999999998</v>
      </c>
      <c r="I66" s="123">
        <f t="shared" si="0"/>
        <v>337856</v>
      </c>
      <c r="J66" s="124"/>
      <c r="K66" s="125">
        <f t="shared" ref="K66:M66" si="1">SUM(K19:K65)</f>
        <v>1064</v>
      </c>
      <c r="L66" s="122">
        <f t="shared" si="1"/>
        <v>46688</v>
      </c>
      <c r="M66" s="123">
        <f t="shared" si="1"/>
        <v>168928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46688</v>
      </c>
      <c r="T66" s="123">
        <f t="shared" si="2"/>
        <v>168928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K17:K18"/>
    <mergeCell ref="P17:P18"/>
    <mergeCell ref="B17:B18"/>
    <mergeCell ref="C17:C18"/>
    <mergeCell ref="E17:E18"/>
    <mergeCell ref="F17:F18"/>
    <mergeCell ref="G17:H17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S9:S11"/>
    <mergeCell ref="T9:T11"/>
    <mergeCell ref="U9:U11"/>
    <mergeCell ref="V9:V11"/>
    <mergeCell ref="D8:F8"/>
    <mergeCell ref="G8:H8"/>
    <mergeCell ref="I8:K8"/>
    <mergeCell ref="M8:N8"/>
    <mergeCell ref="P8:R8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59" priority="1" stopIfTrue="1">
      <formula>$U$9&gt;100%</formula>
    </cfRule>
    <cfRule type="expression" dxfId="58" priority="2">
      <formula>$U$9&lt;50%</formula>
    </cfRule>
  </conditionalFormatting>
  <conditionalFormatting sqref="V9:V11">
    <cfRule type="expression" dxfId="57" priority="3">
      <formula>$V$9&lt;50%</formula>
    </cfRule>
    <cfRule type="expression" dxfId="56" priority="4">
      <formula>$V$9&gt;50%</formula>
    </cfRule>
  </conditionalFormatting>
  <dataValidations count="4">
    <dataValidation type="list" allowBlank="1" showErrorMessage="1" sqref="Q15 G18 L18 Q18" xr:uid="{8EABC255-9113-41C8-BA95-95E0C7266167}">
      <formula1>$Y$12:$Y$13</formula1>
    </dataValidation>
    <dataValidation type="list" allowBlank="1" showErrorMessage="1" sqref="J14" xr:uid="{A8B20D21-B4E2-4AC4-B258-CAE60FAF579F}">
      <formula1>$L$9</formula1>
    </dataValidation>
    <dataValidation type="list" allowBlank="1" showErrorMessage="1" sqref="I14" xr:uid="{CC9548D8-6C2A-4F01-8A55-625B82FA92DA}">
      <formula1>$Y$14:$Y$15</formula1>
    </dataValidation>
    <dataValidation type="list" allowBlank="1" showErrorMessage="1" sqref="E19:E65" xr:uid="{D2BC93FE-BE08-4E6C-B494-F961B2B8E497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39F2-C28B-43FA-8DC4-55504A57217D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178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1125443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562721.5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562721.5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 t="s">
        <v>144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0.5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145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562721.5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562721.5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223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146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179</v>
      </c>
      <c r="C19" t="s">
        <v>109</v>
      </c>
      <c r="D19" s="87"/>
      <c r="E19" s="88"/>
      <c r="F19">
        <v>1</v>
      </c>
      <c r="G19" s="134">
        <v>125.5</v>
      </c>
      <c r="H19" s="134">
        <v>33.89</v>
      </c>
      <c r="I19" s="134">
        <v>125.5</v>
      </c>
      <c r="J19" s="92"/>
      <c r="K19">
        <v>1</v>
      </c>
      <c r="L19" s="134">
        <v>62.75</v>
      </c>
      <c r="M19" s="134">
        <v>62.75</v>
      </c>
      <c r="O19" s="93"/>
      <c r="P19" s="86"/>
      <c r="Q19" s="94"/>
      <c r="R19" s="94"/>
      <c r="S19" s="134">
        <v>62.75</v>
      </c>
      <c r="T19" s="134">
        <v>62.75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180</v>
      </c>
      <c r="C20" t="s">
        <v>110</v>
      </c>
      <c r="D20" s="87"/>
      <c r="E20" s="100"/>
      <c r="F20">
        <v>1</v>
      </c>
      <c r="G20" s="134">
        <v>293</v>
      </c>
      <c r="H20" s="134">
        <v>79.11</v>
      </c>
      <c r="I20" s="134">
        <v>293</v>
      </c>
      <c r="J20" s="105"/>
      <c r="K20">
        <v>1</v>
      </c>
      <c r="L20" s="134">
        <v>146.5</v>
      </c>
      <c r="M20" s="134">
        <v>146.5</v>
      </c>
      <c r="O20" s="93"/>
      <c r="P20" s="98"/>
      <c r="Q20" s="102"/>
      <c r="R20" s="108"/>
      <c r="S20" s="134">
        <v>146.5</v>
      </c>
      <c r="T20" s="134">
        <v>146.5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134</v>
      </c>
      <c r="C21" t="s">
        <v>117</v>
      </c>
      <c r="D21" s="87"/>
      <c r="E21" s="88"/>
      <c r="F21">
        <v>1</v>
      </c>
      <c r="G21" s="134">
        <v>147</v>
      </c>
      <c r="H21" s="134">
        <v>39.69</v>
      </c>
      <c r="I21" s="134">
        <v>147</v>
      </c>
      <c r="J21" s="105"/>
      <c r="K21">
        <v>1</v>
      </c>
      <c r="L21" s="134">
        <v>73.5</v>
      </c>
      <c r="M21" s="134">
        <v>73.5</v>
      </c>
      <c r="O21" s="93"/>
      <c r="P21" s="115"/>
      <c r="Q21" s="94"/>
      <c r="R21" s="94"/>
      <c r="S21" s="134">
        <v>73.5</v>
      </c>
      <c r="T21" s="134">
        <v>73.5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136</v>
      </c>
      <c r="C22" t="s">
        <v>181</v>
      </c>
      <c r="D22" s="87"/>
      <c r="E22" s="100"/>
      <c r="F22">
        <v>1</v>
      </c>
      <c r="G22" s="134">
        <v>484.5</v>
      </c>
      <c r="H22" s="134">
        <v>130.82</v>
      </c>
      <c r="I22" s="134">
        <v>484.5</v>
      </c>
      <c r="J22" s="105"/>
      <c r="K22">
        <v>1</v>
      </c>
      <c r="L22" s="134">
        <v>242.25</v>
      </c>
      <c r="M22" s="134">
        <v>242.25</v>
      </c>
      <c r="O22" s="93"/>
      <c r="P22" s="98"/>
      <c r="Q22" s="102"/>
      <c r="R22" s="108"/>
      <c r="S22" s="134">
        <v>242.25</v>
      </c>
      <c r="T22" s="134">
        <v>242.25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182</v>
      </c>
      <c r="C23" t="s">
        <v>183</v>
      </c>
      <c r="D23" s="87"/>
      <c r="E23" s="88"/>
      <c r="F23">
        <v>1</v>
      </c>
      <c r="G23" s="134">
        <v>556</v>
      </c>
      <c r="H23" s="134">
        <v>150.12</v>
      </c>
      <c r="I23" s="134">
        <v>556</v>
      </c>
      <c r="J23" s="105"/>
      <c r="K23">
        <v>1</v>
      </c>
      <c r="L23" s="134">
        <v>278</v>
      </c>
      <c r="M23" s="134">
        <v>278</v>
      </c>
      <c r="O23" s="93"/>
      <c r="P23" s="115"/>
      <c r="Q23" s="94"/>
      <c r="R23" s="94"/>
      <c r="S23" s="134">
        <v>278</v>
      </c>
      <c r="T23" s="134">
        <v>278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184</v>
      </c>
      <c r="C24" t="s">
        <v>111</v>
      </c>
      <c r="D24" s="87"/>
      <c r="E24" s="100"/>
      <c r="F24">
        <v>1</v>
      </c>
      <c r="G24" s="134">
        <v>493</v>
      </c>
      <c r="H24" s="134">
        <v>133.11000000000001</v>
      </c>
      <c r="I24" s="134">
        <v>493</v>
      </c>
      <c r="J24" s="105"/>
      <c r="K24">
        <v>1</v>
      </c>
      <c r="L24" s="134">
        <v>246.5</v>
      </c>
      <c r="M24" s="134">
        <v>246.5</v>
      </c>
      <c r="N24" s="136"/>
      <c r="O24" s="93"/>
      <c r="P24" s="98"/>
      <c r="Q24" s="102"/>
      <c r="R24" s="108"/>
      <c r="S24" s="134">
        <v>246.5</v>
      </c>
      <c r="T24" s="134">
        <v>246.5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185</v>
      </c>
      <c r="C25" t="s">
        <v>112</v>
      </c>
      <c r="D25" s="87"/>
      <c r="E25" s="88"/>
      <c r="F25">
        <v>1</v>
      </c>
      <c r="G25" s="134">
        <v>2025</v>
      </c>
      <c r="H25" s="134">
        <v>546.75</v>
      </c>
      <c r="I25" s="134">
        <v>2025</v>
      </c>
      <c r="J25" s="105"/>
      <c r="K25">
        <v>1</v>
      </c>
      <c r="L25" s="134">
        <v>1012.5</v>
      </c>
      <c r="M25" s="134">
        <v>1012.5</v>
      </c>
      <c r="N25" s="136"/>
      <c r="O25" s="93"/>
      <c r="P25" s="115"/>
      <c r="Q25" s="94"/>
      <c r="R25" s="94"/>
      <c r="S25" s="134">
        <v>1012.5</v>
      </c>
      <c r="T25" s="134">
        <v>1012.5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186</v>
      </c>
      <c r="C26" t="s">
        <v>187</v>
      </c>
      <c r="D26" s="87"/>
      <c r="E26" s="100"/>
      <c r="F26">
        <v>1</v>
      </c>
      <c r="G26" s="134">
        <v>168928</v>
      </c>
      <c r="H26" s="134">
        <v>45610.559999999998</v>
      </c>
      <c r="I26" s="134">
        <v>168928</v>
      </c>
      <c r="J26" s="105"/>
      <c r="K26">
        <v>1</v>
      </c>
      <c r="L26" s="134">
        <v>84464</v>
      </c>
      <c r="M26" s="134">
        <v>84464</v>
      </c>
      <c r="N26" s="136"/>
      <c r="O26" s="93"/>
      <c r="P26" s="98"/>
      <c r="Q26" s="102"/>
      <c r="R26" s="108"/>
      <c r="S26" s="134">
        <v>84464</v>
      </c>
      <c r="T26" s="134">
        <v>84464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s="232" t="s">
        <v>188</v>
      </c>
      <c r="C27" t="s">
        <v>127</v>
      </c>
      <c r="D27" s="87"/>
      <c r="E27" s="88"/>
      <c r="F27">
        <v>1</v>
      </c>
      <c r="G27" s="134">
        <v>69676.5</v>
      </c>
      <c r="H27" s="134">
        <v>18812.66</v>
      </c>
      <c r="I27" s="134">
        <v>69676.5</v>
      </c>
      <c r="J27" s="105"/>
      <c r="K27">
        <v>1</v>
      </c>
      <c r="L27" s="134">
        <v>34838.25</v>
      </c>
      <c r="M27" s="134">
        <v>34838.25</v>
      </c>
      <c r="O27" s="93"/>
      <c r="P27" s="115"/>
      <c r="Q27" s="94"/>
      <c r="R27" s="94"/>
      <c r="S27" s="134">
        <v>34838.25</v>
      </c>
      <c r="T27" s="134">
        <v>34838.25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t="s">
        <v>189</v>
      </c>
      <c r="C28" t="s">
        <v>129</v>
      </c>
      <c r="D28" s="87"/>
      <c r="E28" s="100"/>
      <c r="F28">
        <v>1</v>
      </c>
      <c r="G28" s="134">
        <v>936.5</v>
      </c>
      <c r="H28" s="134">
        <v>252.86</v>
      </c>
      <c r="I28" s="134">
        <v>936.5</v>
      </c>
      <c r="J28" s="105"/>
      <c r="K28">
        <v>1</v>
      </c>
      <c r="L28" s="134">
        <v>468.25</v>
      </c>
      <c r="M28" s="134">
        <v>468.25</v>
      </c>
      <c r="O28" s="93"/>
      <c r="P28" s="98"/>
      <c r="Q28" s="102"/>
      <c r="R28" s="108"/>
      <c r="S28" s="134">
        <v>468.25</v>
      </c>
      <c r="T28" s="134">
        <v>468.25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190</v>
      </c>
      <c r="C29" t="s">
        <v>191</v>
      </c>
      <c r="D29" s="87"/>
      <c r="E29" s="88"/>
      <c r="F29">
        <v>1</v>
      </c>
      <c r="G29" s="134">
        <v>15</v>
      </c>
      <c r="H29" s="134">
        <v>4.05</v>
      </c>
      <c r="I29" s="134">
        <v>15</v>
      </c>
      <c r="J29" s="105"/>
      <c r="K29">
        <v>1</v>
      </c>
      <c r="L29" s="134">
        <v>7.5</v>
      </c>
      <c r="M29" s="134">
        <v>7.5</v>
      </c>
      <c r="O29" s="93"/>
      <c r="P29" s="115"/>
      <c r="Q29" s="94"/>
      <c r="R29" s="94"/>
      <c r="S29" s="134">
        <v>7.5</v>
      </c>
      <c r="T29" s="134">
        <v>7.5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s="232" t="s">
        <v>192</v>
      </c>
      <c r="C30" t="s">
        <v>193</v>
      </c>
      <c r="D30" s="87"/>
      <c r="E30" s="100"/>
      <c r="F30">
        <v>1</v>
      </c>
      <c r="G30" s="134">
        <v>49</v>
      </c>
      <c r="H30" s="134">
        <v>13.23</v>
      </c>
      <c r="I30" s="134">
        <v>49</v>
      </c>
      <c r="J30" s="105"/>
      <c r="K30">
        <v>1</v>
      </c>
      <c r="L30" s="134">
        <v>24.5</v>
      </c>
      <c r="M30" s="134">
        <v>24.5</v>
      </c>
      <c r="O30" s="93"/>
      <c r="P30" s="98"/>
      <c r="Q30" s="102"/>
      <c r="R30" s="108"/>
      <c r="S30" s="134">
        <v>24.5</v>
      </c>
      <c r="T30" s="134">
        <v>24.5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194</v>
      </c>
      <c r="C31" t="s">
        <v>195</v>
      </c>
      <c r="D31" s="87"/>
      <c r="E31" s="88"/>
      <c r="F31">
        <v>1</v>
      </c>
      <c r="G31" s="134">
        <v>38950.5</v>
      </c>
      <c r="H31" s="134">
        <v>10516.64</v>
      </c>
      <c r="I31" s="134">
        <v>38950.5</v>
      </c>
      <c r="J31" s="105"/>
      <c r="K31">
        <v>1</v>
      </c>
      <c r="L31" s="134">
        <v>19475.25</v>
      </c>
      <c r="M31" s="134">
        <v>19475.25</v>
      </c>
      <c r="O31" s="93"/>
      <c r="P31" s="115"/>
      <c r="Q31" s="94"/>
      <c r="R31" s="94"/>
      <c r="S31" s="134">
        <v>19475.25</v>
      </c>
      <c r="T31" s="134">
        <v>19475.25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196</v>
      </c>
      <c r="C32" t="s">
        <v>197</v>
      </c>
      <c r="D32" s="87"/>
      <c r="E32" s="100"/>
      <c r="F32">
        <v>1</v>
      </c>
      <c r="G32" s="134">
        <v>17248</v>
      </c>
      <c r="H32" s="134">
        <v>4656.96</v>
      </c>
      <c r="I32" s="134">
        <v>17248</v>
      </c>
      <c r="J32" s="105"/>
      <c r="K32">
        <v>1</v>
      </c>
      <c r="L32" s="134">
        <v>8624</v>
      </c>
      <c r="M32" s="134">
        <v>8624</v>
      </c>
      <c r="O32" s="93"/>
      <c r="P32" s="98"/>
      <c r="Q32" s="102"/>
      <c r="R32" s="108"/>
      <c r="S32" s="134">
        <v>8624</v>
      </c>
      <c r="T32" s="134">
        <v>8624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198</v>
      </c>
      <c r="C33" t="s">
        <v>199</v>
      </c>
      <c r="D33" s="87"/>
      <c r="E33" s="88"/>
      <c r="F33">
        <v>1</v>
      </c>
      <c r="G33" s="134">
        <v>66474.5</v>
      </c>
      <c r="H33" s="134">
        <v>17948.12</v>
      </c>
      <c r="I33" s="134">
        <v>66474.5</v>
      </c>
      <c r="J33" s="105"/>
      <c r="K33">
        <v>1</v>
      </c>
      <c r="L33" s="134">
        <v>33237.25</v>
      </c>
      <c r="M33" s="134">
        <v>33237.25</v>
      </c>
      <c r="O33" s="93"/>
      <c r="P33" s="115"/>
      <c r="Q33" s="94"/>
      <c r="R33" s="94"/>
      <c r="S33" s="134">
        <v>33237.25</v>
      </c>
      <c r="T33" s="134">
        <v>33237.25</v>
      </c>
      <c r="U33" s="135">
        <v>0</v>
      </c>
      <c r="V33" s="135">
        <v>1</v>
      </c>
      <c r="W33" s="96"/>
    </row>
    <row r="34" spans="2:23" ht="15.75" customHeight="1">
      <c r="B34" t="s">
        <v>200</v>
      </c>
      <c r="C34" t="s">
        <v>115</v>
      </c>
      <c r="D34" s="87"/>
      <c r="E34" s="100"/>
      <c r="F34">
        <v>1</v>
      </c>
      <c r="G34" s="134">
        <v>43651.5</v>
      </c>
      <c r="H34" s="134">
        <v>11785.91</v>
      </c>
      <c r="I34" s="134">
        <v>43651.5</v>
      </c>
      <c r="J34" s="105"/>
      <c r="K34">
        <v>1</v>
      </c>
      <c r="L34" s="134">
        <v>21825.75</v>
      </c>
      <c r="M34" s="134">
        <v>21825.75</v>
      </c>
      <c r="O34" s="93"/>
      <c r="P34" s="98"/>
      <c r="Q34" s="102"/>
      <c r="R34" s="108"/>
      <c r="S34" s="134">
        <v>21825.75</v>
      </c>
      <c r="T34" s="134">
        <v>21825.75</v>
      </c>
      <c r="U34" s="135">
        <v>0</v>
      </c>
      <c r="V34" s="135">
        <v>1</v>
      </c>
      <c r="W34" s="111"/>
    </row>
    <row r="35" spans="2:23" ht="15.75" customHeight="1">
      <c r="B35" t="s">
        <v>201</v>
      </c>
      <c r="C35" t="s">
        <v>116</v>
      </c>
      <c r="D35" s="87"/>
      <c r="E35" s="88"/>
      <c r="F35">
        <v>1</v>
      </c>
      <c r="G35" s="134">
        <v>29434.5</v>
      </c>
      <c r="H35" s="134">
        <v>7947.32</v>
      </c>
      <c r="I35" s="134">
        <v>29434.5</v>
      </c>
      <c r="J35" s="105"/>
      <c r="K35">
        <v>1</v>
      </c>
      <c r="L35" s="134">
        <v>14717.25</v>
      </c>
      <c r="M35" s="134">
        <v>14717.25</v>
      </c>
      <c r="O35" s="93"/>
      <c r="P35" s="115"/>
      <c r="Q35" s="94"/>
      <c r="R35" s="94"/>
      <c r="S35" s="134">
        <v>14717.25</v>
      </c>
      <c r="T35" s="134">
        <v>14717.25</v>
      </c>
      <c r="U35" s="135">
        <v>0</v>
      </c>
      <c r="V35" s="135">
        <v>1</v>
      </c>
      <c r="W35" s="96"/>
    </row>
    <row r="36" spans="2:23" ht="15.75" customHeight="1">
      <c r="B36" t="s">
        <v>202</v>
      </c>
      <c r="C36" t="s">
        <v>203</v>
      </c>
      <c r="D36" s="87"/>
      <c r="E36" s="100"/>
      <c r="F36">
        <v>6</v>
      </c>
      <c r="G36" s="134">
        <v>5403.5</v>
      </c>
      <c r="H36" s="134">
        <v>1458.95</v>
      </c>
      <c r="I36" s="134">
        <v>32421</v>
      </c>
      <c r="J36" s="105"/>
      <c r="K36">
        <v>6</v>
      </c>
      <c r="L36" s="134">
        <v>2701.75</v>
      </c>
      <c r="M36" s="134">
        <v>16210.5</v>
      </c>
      <c r="O36" s="93"/>
      <c r="P36" s="98"/>
      <c r="Q36" s="102"/>
      <c r="R36" s="108"/>
      <c r="S36" s="134">
        <v>2701.75</v>
      </c>
      <c r="T36" s="134">
        <v>16210.5</v>
      </c>
      <c r="U36" s="135">
        <v>0</v>
      </c>
      <c r="V36" s="135">
        <v>1</v>
      </c>
      <c r="W36" s="111"/>
    </row>
    <row r="37" spans="2:23" ht="15.75" customHeight="1">
      <c r="B37" t="s">
        <v>204</v>
      </c>
      <c r="C37" t="s">
        <v>205</v>
      </c>
      <c r="D37" s="87"/>
      <c r="E37" s="88"/>
      <c r="F37">
        <v>2</v>
      </c>
      <c r="G37" s="134">
        <v>1050.5</v>
      </c>
      <c r="H37" s="134">
        <v>283.64</v>
      </c>
      <c r="I37" s="134">
        <v>2101</v>
      </c>
      <c r="J37" s="105"/>
      <c r="K37">
        <v>2</v>
      </c>
      <c r="L37" s="134">
        <v>525.25</v>
      </c>
      <c r="M37" s="134">
        <v>1050.5</v>
      </c>
      <c r="O37" s="93"/>
      <c r="P37" s="115"/>
      <c r="Q37" s="94"/>
      <c r="R37" s="94"/>
      <c r="S37" s="134">
        <v>525.25</v>
      </c>
      <c r="T37" s="134">
        <v>1050.5</v>
      </c>
      <c r="U37" s="135">
        <v>0</v>
      </c>
      <c r="V37" s="135">
        <v>1</v>
      </c>
      <c r="W37" s="96"/>
    </row>
    <row r="38" spans="2:23" ht="15.75" customHeight="1">
      <c r="B38" t="s">
        <v>206</v>
      </c>
      <c r="C38" t="s">
        <v>207</v>
      </c>
      <c r="D38" s="87"/>
      <c r="E38" s="100"/>
      <c r="F38">
        <v>1</v>
      </c>
      <c r="G38" s="134">
        <v>379226</v>
      </c>
      <c r="H38" s="134">
        <v>102391.02</v>
      </c>
      <c r="I38" s="134">
        <v>379226</v>
      </c>
      <c r="J38" s="105"/>
      <c r="K38">
        <v>1</v>
      </c>
      <c r="L38" s="134">
        <v>189613</v>
      </c>
      <c r="M38" s="134">
        <v>189613</v>
      </c>
      <c r="O38" s="93"/>
      <c r="P38" s="98"/>
      <c r="Q38" s="102"/>
      <c r="R38" s="108"/>
      <c r="S38" s="134">
        <v>189613</v>
      </c>
      <c r="T38" s="134">
        <v>189613</v>
      </c>
      <c r="U38" s="135">
        <v>0</v>
      </c>
      <c r="V38" s="135">
        <v>1</v>
      </c>
      <c r="W38" s="111"/>
    </row>
    <row r="39" spans="2:23" ht="15.75" customHeight="1">
      <c r="B39" t="s">
        <v>208</v>
      </c>
      <c r="C39" t="s">
        <v>209</v>
      </c>
      <c r="D39" s="87"/>
      <c r="E39" s="88"/>
      <c r="F39">
        <v>1</v>
      </c>
      <c r="G39" s="134">
        <v>4912</v>
      </c>
      <c r="H39" s="134">
        <v>1326.24</v>
      </c>
      <c r="I39" s="134">
        <v>4912</v>
      </c>
      <c r="J39" s="105"/>
      <c r="K39">
        <v>1</v>
      </c>
      <c r="L39" s="134">
        <v>2456</v>
      </c>
      <c r="M39" s="134">
        <v>2456</v>
      </c>
      <c r="O39" s="93"/>
      <c r="P39" s="115"/>
      <c r="Q39" s="94"/>
      <c r="R39" s="94"/>
      <c r="S39" s="134">
        <v>2456</v>
      </c>
      <c r="T39" s="134">
        <v>2456</v>
      </c>
      <c r="U39" s="135">
        <v>0</v>
      </c>
      <c r="V39" s="135">
        <v>1</v>
      </c>
      <c r="W39" s="111"/>
    </row>
    <row r="40" spans="2:23" ht="15.75" customHeight="1">
      <c r="B40" t="s">
        <v>210</v>
      </c>
      <c r="C40" t="s">
        <v>209</v>
      </c>
      <c r="D40" s="87"/>
      <c r="E40" s="100"/>
      <c r="F40">
        <v>2</v>
      </c>
      <c r="G40" s="134">
        <v>2108.5</v>
      </c>
      <c r="H40" s="134">
        <v>569.29999999999995</v>
      </c>
      <c r="I40" s="134">
        <v>4217</v>
      </c>
      <c r="J40" s="105"/>
      <c r="K40">
        <v>2</v>
      </c>
      <c r="L40" s="134">
        <v>1054.25</v>
      </c>
      <c r="M40" s="134">
        <v>2108.5</v>
      </c>
      <c r="O40" s="93"/>
      <c r="P40" s="98"/>
      <c r="Q40" s="102"/>
      <c r="R40" s="108"/>
      <c r="S40" s="134">
        <v>1054.25</v>
      </c>
      <c r="T40" s="134">
        <v>2108.5</v>
      </c>
      <c r="U40" s="135">
        <v>0</v>
      </c>
      <c r="V40" s="135">
        <v>1</v>
      </c>
      <c r="W40" s="111"/>
    </row>
    <row r="41" spans="2:23" ht="15.75" customHeight="1">
      <c r="B41" t="s">
        <v>211</v>
      </c>
      <c r="C41" t="s">
        <v>120</v>
      </c>
      <c r="D41" s="130"/>
      <c r="E41" s="100"/>
      <c r="F41">
        <v>37</v>
      </c>
      <c r="G41" s="134">
        <v>24</v>
      </c>
      <c r="H41" s="134">
        <v>6.48</v>
      </c>
      <c r="I41" s="134">
        <v>888</v>
      </c>
      <c r="J41" s="131"/>
      <c r="K41">
        <v>37</v>
      </c>
      <c r="L41" s="134">
        <v>12</v>
      </c>
      <c r="M41" s="134">
        <v>444</v>
      </c>
      <c r="O41" s="132"/>
      <c r="P41" s="98"/>
      <c r="Q41" s="102"/>
      <c r="R41" s="108"/>
      <c r="S41" s="134">
        <v>12</v>
      </c>
      <c r="T41" s="134">
        <v>444</v>
      </c>
      <c r="U41" s="135">
        <v>0</v>
      </c>
      <c r="V41" s="135">
        <v>1</v>
      </c>
      <c r="W41" s="133"/>
    </row>
    <row r="42" spans="2:23" ht="15.75" customHeight="1">
      <c r="B42" t="s">
        <v>212</v>
      </c>
      <c r="C42" t="s">
        <v>213</v>
      </c>
      <c r="D42" s="130"/>
      <c r="E42" s="100"/>
      <c r="F42">
        <v>37</v>
      </c>
      <c r="G42" s="134">
        <v>19.5</v>
      </c>
      <c r="H42" s="134">
        <v>5.27</v>
      </c>
      <c r="I42" s="134">
        <v>721.5</v>
      </c>
      <c r="J42" s="131"/>
      <c r="K42">
        <v>37</v>
      </c>
      <c r="L42" s="134">
        <v>9.75</v>
      </c>
      <c r="M42" s="134">
        <v>360.75</v>
      </c>
      <c r="O42" s="132"/>
      <c r="P42" s="98"/>
      <c r="Q42" s="102"/>
      <c r="R42" s="108"/>
      <c r="S42" s="134">
        <v>9.75</v>
      </c>
      <c r="T42" s="134">
        <v>360.75</v>
      </c>
      <c r="U42" s="135">
        <v>0</v>
      </c>
      <c r="V42" s="135">
        <v>1</v>
      </c>
      <c r="W42" s="133"/>
    </row>
    <row r="43" spans="2:23" ht="15.75" customHeight="1">
      <c r="B43" t="s">
        <v>214</v>
      </c>
      <c r="C43" t="s">
        <v>215</v>
      </c>
      <c r="D43" s="130"/>
      <c r="E43" s="100"/>
      <c r="F43">
        <v>37</v>
      </c>
      <c r="G43" s="134">
        <v>20.5</v>
      </c>
      <c r="H43" s="134">
        <v>5.54</v>
      </c>
      <c r="I43" s="134">
        <v>758.5</v>
      </c>
      <c r="J43" s="131"/>
      <c r="K43">
        <v>37</v>
      </c>
      <c r="L43" s="134">
        <v>10.25</v>
      </c>
      <c r="M43" s="134">
        <v>379.25</v>
      </c>
      <c r="O43" s="132"/>
      <c r="P43" s="98"/>
      <c r="Q43" s="102"/>
      <c r="R43" s="108"/>
      <c r="S43" s="134">
        <v>10.25</v>
      </c>
      <c r="T43" s="134">
        <v>379.25</v>
      </c>
      <c r="U43" s="135">
        <v>0</v>
      </c>
      <c r="V43" s="135">
        <v>1</v>
      </c>
      <c r="W43" s="133"/>
    </row>
    <row r="44" spans="2:23" ht="15.75" customHeight="1">
      <c r="B44" s="232" t="s">
        <v>216</v>
      </c>
      <c r="C44" t="s">
        <v>217</v>
      </c>
      <c r="D44" s="130"/>
      <c r="E44" s="100"/>
      <c r="F44">
        <v>1</v>
      </c>
      <c r="G44" s="134">
        <v>2805.5</v>
      </c>
      <c r="H44" s="134">
        <v>757.49</v>
      </c>
      <c r="I44" s="134">
        <v>2805.5</v>
      </c>
      <c r="J44" s="131"/>
      <c r="K44">
        <v>1</v>
      </c>
      <c r="L44" s="134">
        <v>1402.75</v>
      </c>
      <c r="M44" s="134">
        <v>1402.75</v>
      </c>
      <c r="O44" s="132"/>
      <c r="P44" s="98"/>
      <c r="Q44" s="102"/>
      <c r="R44" s="108"/>
      <c r="S44" s="134">
        <v>1402.75</v>
      </c>
      <c r="T44" s="134">
        <v>1402.75</v>
      </c>
      <c r="U44" s="135">
        <v>0</v>
      </c>
      <c r="V44" s="135">
        <v>1</v>
      </c>
      <c r="W44" s="133"/>
    </row>
    <row r="45" spans="2:23" ht="15.75" customHeight="1">
      <c r="B45" s="232" t="s">
        <v>218</v>
      </c>
      <c r="C45" t="s">
        <v>219</v>
      </c>
      <c r="D45" s="130"/>
      <c r="E45" s="100"/>
      <c r="F45">
        <v>1</v>
      </c>
      <c r="G45" s="134">
        <v>2805.5</v>
      </c>
      <c r="H45" s="134">
        <v>757.49</v>
      </c>
      <c r="I45" s="134">
        <v>2805.5</v>
      </c>
      <c r="J45" s="131"/>
      <c r="K45">
        <v>1</v>
      </c>
      <c r="L45" s="134">
        <v>1402.75</v>
      </c>
      <c r="M45" s="134">
        <v>1402.75</v>
      </c>
      <c r="O45" s="132"/>
      <c r="P45" s="98"/>
      <c r="Q45" s="102"/>
      <c r="R45" s="108"/>
      <c r="S45" s="134">
        <v>1402.75</v>
      </c>
      <c r="T45" s="134">
        <v>1402.75</v>
      </c>
      <c r="U45" s="135">
        <v>0</v>
      </c>
      <c r="V45" s="135">
        <v>1</v>
      </c>
      <c r="W45" s="133"/>
    </row>
    <row r="46" spans="2:23" ht="15.75" customHeight="1">
      <c r="B46" t="s">
        <v>220</v>
      </c>
      <c r="C46" t="s">
        <v>125</v>
      </c>
      <c r="D46" s="130"/>
      <c r="E46" s="100"/>
      <c r="F46">
        <v>2</v>
      </c>
      <c r="G46" s="134">
        <v>73393.5</v>
      </c>
      <c r="H46" s="134">
        <v>19816.25</v>
      </c>
      <c r="I46" s="134">
        <v>146787</v>
      </c>
      <c r="J46" s="131"/>
      <c r="K46">
        <v>2</v>
      </c>
      <c r="L46" s="134">
        <v>36696.75</v>
      </c>
      <c r="M46" s="134">
        <v>73393.5</v>
      </c>
      <c r="O46" s="132"/>
      <c r="P46" s="98"/>
      <c r="Q46" s="102"/>
      <c r="R46" s="108"/>
      <c r="S46" s="134">
        <v>36696.75</v>
      </c>
      <c r="T46" s="134">
        <v>73393.5</v>
      </c>
      <c r="U46" s="135">
        <v>0</v>
      </c>
      <c r="V46" s="135">
        <v>1</v>
      </c>
      <c r="W46" s="133"/>
    </row>
    <row r="47" spans="2:23" ht="15.75" customHeight="1">
      <c r="B47" t="s">
        <v>221</v>
      </c>
      <c r="C47" t="s">
        <v>222</v>
      </c>
      <c r="D47" s="130"/>
      <c r="E47" s="100"/>
      <c r="F47">
        <v>2</v>
      </c>
      <c r="G47" s="134">
        <v>54156</v>
      </c>
      <c r="H47" s="134">
        <v>14622.12</v>
      </c>
      <c r="I47" s="134">
        <v>108312</v>
      </c>
      <c r="J47" s="131"/>
      <c r="K47">
        <v>2</v>
      </c>
      <c r="L47" s="134">
        <v>27078</v>
      </c>
      <c r="M47" s="134">
        <v>54156</v>
      </c>
      <c r="O47" s="132"/>
      <c r="P47" s="98"/>
      <c r="Q47" s="102"/>
      <c r="R47" s="108"/>
      <c r="S47" s="134">
        <v>27078</v>
      </c>
      <c r="T47" s="134">
        <v>54156</v>
      </c>
      <c r="U47" s="135">
        <v>0</v>
      </c>
      <c r="V47" s="135">
        <v>1</v>
      </c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G49" s="134"/>
      <c r="H49" s="134"/>
      <c r="I49" s="134"/>
      <c r="J49" s="131"/>
      <c r="L49" s="134"/>
      <c r="M49" s="134"/>
      <c r="O49" s="132"/>
      <c r="P49" s="98"/>
      <c r="Q49" s="102"/>
      <c r="R49" s="108"/>
      <c r="S49" s="134"/>
      <c r="T49" s="134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146</v>
      </c>
      <c r="G66" s="121">
        <f t="shared" si="0"/>
        <v>965413</v>
      </c>
      <c r="H66" s="122">
        <f t="shared" si="0"/>
        <v>260661.58999999994</v>
      </c>
      <c r="I66" s="123">
        <f t="shared" si="0"/>
        <v>1125443</v>
      </c>
      <c r="J66" s="124"/>
      <c r="K66" s="125">
        <f t="shared" ref="K66:M66" si="1">SUM(K19:K65)</f>
        <v>146</v>
      </c>
      <c r="L66" s="122">
        <f t="shared" si="1"/>
        <v>482706.5</v>
      </c>
      <c r="M66" s="123">
        <f t="shared" si="1"/>
        <v>562721.5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482706.5</v>
      </c>
      <c r="T66" s="123">
        <f t="shared" si="2"/>
        <v>562721.5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55" priority="1" stopIfTrue="1">
      <formula>$U$9&gt;100%</formula>
    </cfRule>
    <cfRule type="expression" dxfId="54" priority="2">
      <formula>$U$9&lt;50%</formula>
    </cfRule>
  </conditionalFormatting>
  <conditionalFormatting sqref="V9:V11">
    <cfRule type="expression" dxfId="53" priority="3">
      <formula>$V$9&lt;50%</formula>
    </cfRule>
    <cfRule type="expression" dxfId="52" priority="4">
      <formula>$V$9&gt;50%</formula>
    </cfRule>
  </conditionalFormatting>
  <dataValidations count="4">
    <dataValidation type="list" allowBlank="1" showErrorMessage="1" sqref="E19:E65" xr:uid="{1698E5D0-019D-48A6-BBBF-31520A557925}">
      <formula1>$Z$19:$Z$30</formula1>
    </dataValidation>
    <dataValidation type="list" allowBlank="1" showErrorMessage="1" sqref="I14" xr:uid="{D8B671E5-D09C-4085-9259-2350A19C5E3A}">
      <formula1>$Y$14:$Y$15</formula1>
    </dataValidation>
    <dataValidation type="list" allowBlank="1" showErrorMessage="1" sqref="J14" xr:uid="{602ED9CB-04EE-468E-81D9-5B908CB89342}">
      <formula1>$L$9</formula1>
    </dataValidation>
    <dataValidation type="list" allowBlank="1" showErrorMessage="1" sqref="Q15 G18 L18 Q18" xr:uid="{F1F260B1-D88C-4323-BE46-AF54AB41C17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B327-987F-4F1B-90A8-FB78FDA28BB0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225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337856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168928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168928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 t="s">
        <v>226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0.5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224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168928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168928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223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1064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146</v>
      </c>
      <c r="C19" t="s">
        <v>147</v>
      </c>
      <c r="D19" s="87"/>
      <c r="E19" s="88"/>
      <c r="F19">
        <v>10</v>
      </c>
      <c r="G19" s="134">
        <v>1313</v>
      </c>
      <c r="H19" s="134">
        <v>354.51</v>
      </c>
      <c r="I19" s="134">
        <v>13130</v>
      </c>
      <c r="J19" s="92"/>
      <c r="K19">
        <v>10</v>
      </c>
      <c r="L19" s="134">
        <v>656.5</v>
      </c>
      <c r="M19" s="134">
        <v>6565</v>
      </c>
      <c r="O19" s="93"/>
      <c r="P19" s="86"/>
      <c r="Q19" s="94"/>
      <c r="R19" s="94"/>
      <c r="S19" s="134">
        <v>656.5</v>
      </c>
      <c r="T19" s="134">
        <v>6565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148</v>
      </c>
      <c r="C20" t="s">
        <v>149</v>
      </c>
      <c r="D20" s="87"/>
      <c r="E20" s="100"/>
      <c r="F20">
        <v>70</v>
      </c>
      <c r="G20" s="134">
        <v>19</v>
      </c>
      <c r="H20" s="134">
        <v>5.13</v>
      </c>
      <c r="I20" s="134">
        <v>1330</v>
      </c>
      <c r="J20" s="105"/>
      <c r="K20">
        <v>70</v>
      </c>
      <c r="L20" s="134">
        <v>9.5</v>
      </c>
      <c r="M20" s="134">
        <v>665</v>
      </c>
      <c r="O20" s="93"/>
      <c r="P20" s="98"/>
      <c r="Q20" s="102"/>
      <c r="R20" s="108"/>
      <c r="S20" s="134">
        <v>9.5</v>
      </c>
      <c r="T20" s="134">
        <v>665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150</v>
      </c>
      <c r="C21" t="s">
        <v>151</v>
      </c>
      <c r="D21" s="87"/>
      <c r="E21" s="88"/>
      <c r="F21">
        <v>70</v>
      </c>
      <c r="G21" s="134">
        <v>13.5</v>
      </c>
      <c r="H21" s="134">
        <v>3.65</v>
      </c>
      <c r="I21" s="134">
        <v>945</v>
      </c>
      <c r="J21" s="105"/>
      <c r="K21">
        <v>70</v>
      </c>
      <c r="L21" s="134">
        <v>6.75</v>
      </c>
      <c r="M21" s="134">
        <v>472.5</v>
      </c>
      <c r="O21" s="93"/>
      <c r="P21" s="115"/>
      <c r="Q21" s="94"/>
      <c r="R21" s="94"/>
      <c r="S21" s="134">
        <v>6.75</v>
      </c>
      <c r="T21" s="134">
        <v>472.5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152</v>
      </c>
      <c r="C22" t="s">
        <v>153</v>
      </c>
      <c r="D22" s="87"/>
      <c r="E22" s="100"/>
      <c r="F22">
        <v>70</v>
      </c>
      <c r="G22" s="134">
        <v>10.5</v>
      </c>
      <c r="H22" s="134">
        <v>2.84</v>
      </c>
      <c r="I22" s="134">
        <v>735</v>
      </c>
      <c r="J22" s="105"/>
      <c r="K22">
        <v>70</v>
      </c>
      <c r="L22" s="134">
        <v>5.25</v>
      </c>
      <c r="M22" s="134">
        <v>367.5</v>
      </c>
      <c r="O22" s="93"/>
      <c r="P22" s="98"/>
      <c r="Q22" s="102"/>
      <c r="R22" s="108"/>
      <c r="S22" s="134">
        <v>5.25</v>
      </c>
      <c r="T22" s="134">
        <v>367.5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154</v>
      </c>
      <c r="C23" t="s">
        <v>155</v>
      </c>
      <c r="D23" s="87"/>
      <c r="E23" s="88"/>
      <c r="F23">
        <v>4</v>
      </c>
      <c r="G23" s="134">
        <v>2525.5</v>
      </c>
      <c r="H23" s="134">
        <v>681.89</v>
      </c>
      <c r="I23" s="134">
        <v>10102</v>
      </c>
      <c r="J23" s="105"/>
      <c r="K23">
        <v>4</v>
      </c>
      <c r="L23" s="134">
        <v>1262.75</v>
      </c>
      <c r="M23" s="134">
        <v>5051</v>
      </c>
      <c r="O23" s="93"/>
      <c r="P23" s="115"/>
      <c r="Q23" s="94"/>
      <c r="R23" s="94"/>
      <c r="S23" s="134">
        <v>1262.75</v>
      </c>
      <c r="T23" s="134">
        <v>5051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156</v>
      </c>
      <c r="C24" t="s">
        <v>157</v>
      </c>
      <c r="D24" s="87"/>
      <c r="E24" s="100"/>
      <c r="F24">
        <v>24</v>
      </c>
      <c r="G24" s="134">
        <v>73</v>
      </c>
      <c r="H24" s="134">
        <v>19.71</v>
      </c>
      <c r="I24" s="134">
        <v>1752</v>
      </c>
      <c r="J24" s="105"/>
      <c r="K24">
        <v>24</v>
      </c>
      <c r="L24" s="134">
        <v>36.5</v>
      </c>
      <c r="M24" s="134">
        <v>876</v>
      </c>
      <c r="N24" s="136"/>
      <c r="O24" s="93"/>
      <c r="P24" s="98"/>
      <c r="Q24" s="102"/>
      <c r="R24" s="108"/>
      <c r="S24" s="134">
        <v>36.5</v>
      </c>
      <c r="T24" s="134">
        <v>876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158</v>
      </c>
      <c r="C25" t="s">
        <v>159</v>
      </c>
      <c r="D25" s="87"/>
      <c r="E25" s="88"/>
      <c r="F25">
        <v>24</v>
      </c>
      <c r="G25" s="134">
        <v>19.5</v>
      </c>
      <c r="H25" s="134">
        <v>5.27</v>
      </c>
      <c r="I25" s="134">
        <v>468</v>
      </c>
      <c r="J25" s="105"/>
      <c r="K25">
        <v>24</v>
      </c>
      <c r="L25" s="134">
        <v>9.75</v>
      </c>
      <c r="M25" s="134">
        <v>234</v>
      </c>
      <c r="N25" s="136"/>
      <c r="O25" s="93"/>
      <c r="P25" s="115"/>
      <c r="Q25" s="94"/>
      <c r="R25" s="94"/>
      <c r="S25" s="134">
        <v>9.75</v>
      </c>
      <c r="T25" s="134">
        <v>234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160</v>
      </c>
      <c r="C26" t="s">
        <v>161</v>
      </c>
      <c r="D26" s="87"/>
      <c r="E26" s="100"/>
      <c r="F26">
        <v>2</v>
      </c>
      <c r="G26" s="134">
        <v>26698.5</v>
      </c>
      <c r="H26" s="134">
        <v>7208.6</v>
      </c>
      <c r="I26" s="134">
        <v>53397</v>
      </c>
      <c r="J26" s="105"/>
      <c r="K26">
        <v>2</v>
      </c>
      <c r="L26" s="134">
        <v>13349.25</v>
      </c>
      <c r="M26" s="134">
        <v>26698.5</v>
      </c>
      <c r="N26" s="136"/>
      <c r="O26" s="93"/>
      <c r="P26" s="98"/>
      <c r="Q26" s="102"/>
      <c r="R26" s="108"/>
      <c r="S26" s="134">
        <v>13349.25</v>
      </c>
      <c r="T26" s="134">
        <v>26698.5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t="s">
        <v>162</v>
      </c>
      <c r="C27" t="s">
        <v>163</v>
      </c>
      <c r="D27" s="87"/>
      <c r="E27" s="88"/>
      <c r="F27">
        <v>4</v>
      </c>
      <c r="G27" s="134">
        <v>5216.5</v>
      </c>
      <c r="H27" s="134">
        <v>1408.46</v>
      </c>
      <c r="I27" s="134">
        <v>20866</v>
      </c>
      <c r="J27" s="105"/>
      <c r="K27">
        <v>4</v>
      </c>
      <c r="L27" s="134">
        <v>2608.25</v>
      </c>
      <c r="M27" s="134">
        <v>10433</v>
      </c>
      <c r="O27" s="93"/>
      <c r="P27" s="115"/>
      <c r="Q27" s="94"/>
      <c r="R27" s="94"/>
      <c r="S27" s="134">
        <v>2608.25</v>
      </c>
      <c r="T27" s="134">
        <v>10433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123</v>
      </c>
      <c r="I28" t="s">
        <v>123</v>
      </c>
      <c r="J28" s="105"/>
      <c r="K28">
        <v>0</v>
      </c>
      <c r="L28" t="s">
        <v>123</v>
      </c>
      <c r="M28" t="s">
        <v>123</v>
      </c>
      <c r="O28" s="93"/>
      <c r="P28" s="98"/>
      <c r="Q28" s="102"/>
      <c r="R28" s="108"/>
      <c r="S28" t="s">
        <v>123</v>
      </c>
      <c r="T28" t="s">
        <v>123</v>
      </c>
      <c r="U28" s="135">
        <v>0</v>
      </c>
      <c r="V28" s="135">
        <v>0</v>
      </c>
      <c r="W28" s="111"/>
      <c r="X28" s="97"/>
      <c r="Y28" s="8"/>
      <c r="Z28" s="116"/>
    </row>
    <row r="29" spans="2:26" ht="15.75" customHeight="1">
      <c r="D29" s="87"/>
      <c r="E29" s="88"/>
      <c r="H29" t="s">
        <v>123</v>
      </c>
      <c r="I29" t="s">
        <v>123</v>
      </c>
      <c r="J29" s="105"/>
      <c r="K29">
        <v>0</v>
      </c>
      <c r="L29" t="s">
        <v>123</v>
      </c>
      <c r="M29" t="s">
        <v>123</v>
      </c>
      <c r="O29" s="93"/>
      <c r="P29" s="115"/>
      <c r="Q29" s="94"/>
      <c r="R29" s="94"/>
      <c r="S29" t="s">
        <v>123</v>
      </c>
      <c r="T29" t="s">
        <v>123</v>
      </c>
      <c r="U29" s="135">
        <v>0</v>
      </c>
      <c r="V29" s="135">
        <v>0</v>
      </c>
      <c r="W29" s="96"/>
      <c r="X29" s="97"/>
      <c r="Y29" s="8"/>
      <c r="Z29" s="8"/>
    </row>
    <row r="30" spans="2:26" ht="15.75" customHeight="1">
      <c r="D30" s="87"/>
      <c r="E30" s="100"/>
      <c r="H30" t="s">
        <v>123</v>
      </c>
      <c r="I30" t="s">
        <v>123</v>
      </c>
      <c r="J30" s="105"/>
      <c r="K30">
        <v>0</v>
      </c>
      <c r="L30" t="s">
        <v>123</v>
      </c>
      <c r="M30" t="s">
        <v>123</v>
      </c>
      <c r="O30" s="93"/>
      <c r="P30" s="98"/>
      <c r="Q30" s="102"/>
      <c r="R30" s="108"/>
      <c r="S30" t="s">
        <v>123</v>
      </c>
      <c r="T30" t="s">
        <v>123</v>
      </c>
      <c r="U30" s="135">
        <v>0</v>
      </c>
      <c r="V30" s="135">
        <v>0</v>
      </c>
      <c r="W30" s="111"/>
      <c r="X30" s="97"/>
      <c r="Y30" s="8"/>
      <c r="Z30" s="8"/>
    </row>
    <row r="31" spans="2:26" ht="15.75" customHeight="1">
      <c r="D31" s="87"/>
      <c r="E31" s="88"/>
      <c r="H31" t="s">
        <v>123</v>
      </c>
      <c r="I31" t="s">
        <v>123</v>
      </c>
      <c r="J31" s="105"/>
      <c r="K31">
        <v>0</v>
      </c>
      <c r="L31" t="s">
        <v>123</v>
      </c>
      <c r="M31" t="s">
        <v>123</v>
      </c>
      <c r="O31" s="93"/>
      <c r="P31" s="115"/>
      <c r="Q31" s="94"/>
      <c r="R31" s="94"/>
      <c r="S31" t="s">
        <v>123</v>
      </c>
      <c r="T31" t="s">
        <v>123</v>
      </c>
      <c r="U31" s="135">
        <v>0</v>
      </c>
      <c r="V31" s="135">
        <v>0</v>
      </c>
      <c r="W31" s="96"/>
      <c r="X31" s="97"/>
      <c r="Y31" s="8"/>
      <c r="Z31" s="8"/>
    </row>
    <row r="32" spans="2:26" ht="15.75" customHeight="1">
      <c r="D32" s="87"/>
      <c r="E32" s="100"/>
      <c r="H32" t="s">
        <v>123</v>
      </c>
      <c r="I32" t="s">
        <v>123</v>
      </c>
      <c r="J32" s="105"/>
      <c r="K32">
        <v>0</v>
      </c>
      <c r="L32" t="s">
        <v>123</v>
      </c>
      <c r="M32" t="s">
        <v>123</v>
      </c>
      <c r="O32" s="93"/>
      <c r="P32" s="98"/>
      <c r="Q32" s="102"/>
      <c r="R32" s="108"/>
      <c r="S32" t="s">
        <v>123</v>
      </c>
      <c r="T32" t="s">
        <v>123</v>
      </c>
      <c r="U32" s="135">
        <v>0</v>
      </c>
      <c r="V32" s="135">
        <v>0</v>
      </c>
      <c r="W32" s="111"/>
      <c r="X32" s="97"/>
      <c r="Y32" s="8"/>
      <c r="Z32" s="8"/>
    </row>
    <row r="33" spans="2:23" ht="15.75" customHeight="1">
      <c r="D33" s="87"/>
      <c r="E33" s="88"/>
      <c r="H33" t="s">
        <v>123</v>
      </c>
      <c r="I33" t="s">
        <v>123</v>
      </c>
      <c r="J33" s="105"/>
      <c r="K33">
        <v>0</v>
      </c>
      <c r="L33" t="s">
        <v>123</v>
      </c>
      <c r="M33" t="s">
        <v>123</v>
      </c>
      <c r="O33" s="93"/>
      <c r="P33" s="115"/>
      <c r="Q33" s="94"/>
      <c r="R33" s="94"/>
      <c r="S33" t="s">
        <v>123</v>
      </c>
      <c r="T33" t="s">
        <v>123</v>
      </c>
      <c r="U33" s="135">
        <v>0</v>
      </c>
      <c r="V33" s="135">
        <v>0</v>
      </c>
      <c r="W33" s="96"/>
    </row>
    <row r="34" spans="2:23" ht="15.75" customHeight="1">
      <c r="D34" s="87"/>
      <c r="E34" s="100"/>
      <c r="H34" t="s">
        <v>123</v>
      </c>
      <c r="I34" t="s">
        <v>123</v>
      </c>
      <c r="J34" s="105"/>
      <c r="K34">
        <v>0</v>
      </c>
      <c r="L34" t="s">
        <v>123</v>
      </c>
      <c r="M34" t="s">
        <v>123</v>
      </c>
      <c r="O34" s="93"/>
      <c r="P34" s="98"/>
      <c r="Q34" s="102"/>
      <c r="R34" s="108"/>
      <c r="S34" t="s">
        <v>123</v>
      </c>
      <c r="T34" t="s">
        <v>123</v>
      </c>
      <c r="U34" s="135">
        <v>0</v>
      </c>
      <c r="V34" s="135">
        <v>0</v>
      </c>
      <c r="W34" s="111"/>
    </row>
    <row r="35" spans="2:23" ht="15.75" customHeight="1">
      <c r="D35" s="87"/>
      <c r="E35" s="88"/>
      <c r="H35" t="s">
        <v>123</v>
      </c>
      <c r="I35" t="s">
        <v>123</v>
      </c>
      <c r="J35" s="105"/>
      <c r="K35">
        <v>0</v>
      </c>
      <c r="L35" t="s">
        <v>123</v>
      </c>
      <c r="M35" t="s">
        <v>123</v>
      </c>
      <c r="O35" s="93"/>
      <c r="P35" s="115"/>
      <c r="Q35" s="94"/>
      <c r="R35" s="94"/>
      <c r="S35" t="s">
        <v>123</v>
      </c>
      <c r="T35" t="s">
        <v>123</v>
      </c>
      <c r="U35" s="135">
        <v>0</v>
      </c>
      <c r="V35" s="135">
        <v>0</v>
      </c>
      <c r="W35" s="96"/>
    </row>
    <row r="36" spans="2:23" ht="15.75" customHeight="1">
      <c r="B36" t="s">
        <v>164</v>
      </c>
      <c r="C36" t="s">
        <v>165</v>
      </c>
      <c r="D36" s="87"/>
      <c r="E36" s="100"/>
      <c r="F36">
        <v>2</v>
      </c>
      <c r="G36" s="134">
        <v>56144.5</v>
      </c>
      <c r="H36" s="134">
        <v>15159.02</v>
      </c>
      <c r="I36" s="134">
        <v>112289</v>
      </c>
      <c r="J36" s="105"/>
      <c r="K36">
        <v>2</v>
      </c>
      <c r="L36" s="134">
        <v>28072.25</v>
      </c>
      <c r="M36" s="134">
        <v>56144.5</v>
      </c>
      <c r="O36" s="93"/>
      <c r="P36" s="98"/>
      <c r="Q36" s="102"/>
      <c r="R36" s="108"/>
      <c r="S36" s="134">
        <v>28072.25</v>
      </c>
      <c r="T36" s="134">
        <v>56144.5</v>
      </c>
      <c r="U36" s="135">
        <v>0</v>
      </c>
      <c r="V36" s="135">
        <v>1</v>
      </c>
      <c r="W36" s="111"/>
    </row>
    <row r="37" spans="2:23" ht="15.75" customHeight="1">
      <c r="B37" t="s">
        <v>166</v>
      </c>
      <c r="C37" t="s">
        <v>227</v>
      </c>
      <c r="D37" s="87"/>
      <c r="E37" s="88"/>
      <c r="F37">
        <v>88</v>
      </c>
      <c r="G37" s="134">
        <v>1188</v>
      </c>
      <c r="H37" s="134">
        <v>320.76</v>
      </c>
      <c r="I37" s="134">
        <v>104544</v>
      </c>
      <c r="J37" s="105"/>
      <c r="K37">
        <v>88</v>
      </c>
      <c r="L37" s="134">
        <v>594</v>
      </c>
      <c r="M37" s="134">
        <v>52272</v>
      </c>
      <c r="O37" s="93"/>
      <c r="P37" s="115"/>
      <c r="Q37" s="94"/>
      <c r="R37" s="94"/>
      <c r="S37" s="134">
        <v>594</v>
      </c>
      <c r="T37" s="134">
        <v>52272</v>
      </c>
      <c r="U37" s="135">
        <v>0</v>
      </c>
      <c r="V37" s="135">
        <v>1</v>
      </c>
      <c r="W37" s="96"/>
    </row>
    <row r="38" spans="2:23" ht="15.75" customHeight="1">
      <c r="B38" t="s">
        <v>168</v>
      </c>
      <c r="C38" t="s">
        <v>169</v>
      </c>
      <c r="D38" s="87"/>
      <c r="E38" s="100"/>
      <c r="F38">
        <v>344</v>
      </c>
      <c r="G38" s="134">
        <v>39</v>
      </c>
      <c r="H38" s="134">
        <v>10.53</v>
      </c>
      <c r="I38" s="134">
        <v>13416</v>
      </c>
      <c r="J38" s="105"/>
      <c r="K38">
        <v>344</v>
      </c>
      <c r="L38" s="134">
        <v>19.5</v>
      </c>
      <c r="M38" s="134">
        <v>6708</v>
      </c>
      <c r="O38" s="93"/>
      <c r="P38" s="98"/>
      <c r="Q38" s="102"/>
      <c r="R38" s="108"/>
      <c r="S38" s="134">
        <v>19.5</v>
      </c>
      <c r="T38" s="134">
        <v>6708</v>
      </c>
      <c r="U38" s="135">
        <v>0</v>
      </c>
      <c r="V38" s="135">
        <v>1</v>
      </c>
      <c r="W38" s="111"/>
    </row>
    <row r="39" spans="2:23" ht="15.75" customHeight="1">
      <c r="B39" t="s">
        <v>170</v>
      </c>
      <c r="C39" t="s">
        <v>171</v>
      </c>
      <c r="D39" s="87"/>
      <c r="E39" s="88"/>
      <c r="F39">
        <v>344</v>
      </c>
      <c r="G39" s="134">
        <v>13</v>
      </c>
      <c r="H39" s="134">
        <v>3.51</v>
      </c>
      <c r="I39" s="134">
        <v>4472</v>
      </c>
      <c r="J39" s="105"/>
      <c r="K39">
        <v>344</v>
      </c>
      <c r="L39" s="134">
        <v>6.5</v>
      </c>
      <c r="M39" s="134">
        <v>2236</v>
      </c>
      <c r="O39" s="93"/>
      <c r="P39" s="115"/>
      <c r="Q39" s="94"/>
      <c r="R39" s="94"/>
      <c r="S39" s="134">
        <v>6.5</v>
      </c>
      <c r="T39" s="134">
        <v>2236</v>
      </c>
      <c r="U39" s="135">
        <v>0</v>
      </c>
      <c r="V39" s="135">
        <v>1</v>
      </c>
      <c r="W39" s="111"/>
    </row>
    <row r="40" spans="2:23" ht="15.75" customHeight="1">
      <c r="B40" t="s">
        <v>172</v>
      </c>
      <c r="C40" t="s">
        <v>173</v>
      </c>
      <c r="D40" s="87"/>
      <c r="E40" s="100"/>
      <c r="F40">
        <v>4</v>
      </c>
      <c r="G40" s="134">
        <v>43.5</v>
      </c>
      <c r="H40" s="134">
        <v>11.75</v>
      </c>
      <c r="I40" s="134">
        <v>174</v>
      </c>
      <c r="J40" s="105"/>
      <c r="K40">
        <v>4</v>
      </c>
      <c r="L40" s="134">
        <v>21.75</v>
      </c>
      <c r="M40" s="134">
        <v>87</v>
      </c>
      <c r="O40" s="93"/>
      <c r="P40" s="98"/>
      <c r="Q40" s="102"/>
      <c r="R40" s="108"/>
      <c r="S40" s="134">
        <v>21.75</v>
      </c>
      <c r="T40" s="134">
        <v>87</v>
      </c>
      <c r="U40" s="135">
        <v>0</v>
      </c>
      <c r="V40" s="135">
        <v>1</v>
      </c>
      <c r="W40" s="111"/>
    </row>
    <row r="41" spans="2:23" ht="15.75" customHeight="1">
      <c r="B41" t="s">
        <v>174</v>
      </c>
      <c r="C41" t="s">
        <v>175</v>
      </c>
      <c r="D41" s="130"/>
      <c r="E41" s="100"/>
      <c r="F41">
        <v>4</v>
      </c>
      <c r="G41" s="134">
        <v>59</v>
      </c>
      <c r="H41" s="134">
        <v>15.93</v>
      </c>
      <c r="I41" s="134">
        <v>236</v>
      </c>
      <c r="J41" s="131"/>
      <c r="K41">
        <v>4</v>
      </c>
      <c r="L41" s="134">
        <v>29.5</v>
      </c>
      <c r="M41" s="134">
        <v>118</v>
      </c>
      <c r="O41" s="132"/>
      <c r="P41" s="98"/>
      <c r="Q41" s="102"/>
      <c r="R41" s="108"/>
      <c r="S41" s="134">
        <v>29.5</v>
      </c>
      <c r="T41" s="134">
        <v>118</v>
      </c>
      <c r="U41" s="135">
        <v>0</v>
      </c>
      <c r="V41" s="135">
        <v>1</v>
      </c>
      <c r="W41" s="133"/>
    </row>
    <row r="42" spans="2:23" ht="15.75" customHeight="1">
      <c r="D42" s="130"/>
      <c r="E42" s="100"/>
      <c r="G42" s="134"/>
      <c r="H42" s="134"/>
      <c r="I42" s="134"/>
      <c r="J42" s="131"/>
      <c r="L42" s="134"/>
      <c r="M42" s="134"/>
      <c r="O42" s="132"/>
      <c r="P42" s="98"/>
      <c r="Q42" s="102"/>
      <c r="R42" s="108"/>
      <c r="S42" s="134"/>
      <c r="T42" s="134"/>
      <c r="U42" s="135"/>
      <c r="V42" s="135"/>
      <c r="W42" s="133"/>
    </row>
    <row r="43" spans="2:23" ht="15.75" customHeight="1">
      <c r="D43" s="130"/>
      <c r="E43" s="100"/>
      <c r="G43" s="134"/>
      <c r="H43" s="134"/>
      <c r="I43" s="134"/>
      <c r="J43" s="131"/>
      <c r="L43" s="134"/>
      <c r="M43" s="134"/>
      <c r="O43" s="132"/>
      <c r="P43" s="98"/>
      <c r="Q43" s="102"/>
      <c r="R43" s="108"/>
      <c r="S43" s="134"/>
      <c r="T43" s="134"/>
      <c r="U43" s="135"/>
      <c r="V43" s="135"/>
      <c r="W43" s="133"/>
    </row>
    <row r="44" spans="2:23" ht="15.75" customHeight="1">
      <c r="B44" s="232"/>
      <c r="D44" s="130"/>
      <c r="E44" s="100"/>
      <c r="G44" s="134"/>
      <c r="H44" s="134"/>
      <c r="I44" s="134"/>
      <c r="J44" s="131"/>
      <c r="L44" s="134"/>
      <c r="M44" s="134"/>
      <c r="O44" s="132"/>
      <c r="P44" s="98"/>
      <c r="Q44" s="102"/>
      <c r="R44" s="108"/>
      <c r="S44" s="134"/>
      <c r="T44" s="134"/>
      <c r="U44" s="135"/>
      <c r="V44" s="135"/>
      <c r="W44" s="133"/>
    </row>
    <row r="45" spans="2:23" ht="15.75" customHeight="1">
      <c r="B45" s="232"/>
      <c r="D45" s="130"/>
      <c r="E45" s="100"/>
      <c r="G45" s="134"/>
      <c r="H45" s="134"/>
      <c r="I45" s="134"/>
      <c r="J45" s="131"/>
      <c r="L45" s="134"/>
      <c r="M45" s="134"/>
      <c r="O45" s="132"/>
      <c r="P45" s="98"/>
      <c r="Q45" s="102"/>
      <c r="R45" s="108"/>
      <c r="S45" s="134"/>
      <c r="T45" s="134"/>
      <c r="U45" s="135"/>
      <c r="V45" s="135"/>
      <c r="W45" s="133"/>
    </row>
    <row r="46" spans="2:23" ht="15.75" customHeight="1">
      <c r="D46" s="130"/>
      <c r="E46" s="100"/>
      <c r="G46" s="134"/>
      <c r="H46" s="134"/>
      <c r="I46" s="134"/>
      <c r="J46" s="131"/>
      <c r="L46" s="134"/>
      <c r="M46" s="134"/>
      <c r="O46" s="132"/>
      <c r="P46" s="98"/>
      <c r="Q46" s="102"/>
      <c r="R46" s="108"/>
      <c r="S46" s="134"/>
      <c r="T46" s="134"/>
      <c r="U46" s="135"/>
      <c r="V46" s="135"/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G49" s="134"/>
      <c r="H49" s="134"/>
      <c r="I49" s="134"/>
      <c r="J49" s="131"/>
      <c r="L49" s="134"/>
      <c r="M49" s="134"/>
      <c r="O49" s="132"/>
      <c r="P49" s="98"/>
      <c r="Q49" s="102"/>
      <c r="R49" s="108"/>
      <c r="S49" s="134"/>
      <c r="T49" s="134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1064</v>
      </c>
      <c r="G66" s="121">
        <f t="shared" si="0"/>
        <v>93376</v>
      </c>
      <c r="H66" s="122">
        <f t="shared" si="0"/>
        <v>25211.559999999998</v>
      </c>
      <c r="I66" s="123">
        <f t="shared" si="0"/>
        <v>337856</v>
      </c>
      <c r="J66" s="124"/>
      <c r="K66" s="125">
        <f t="shared" ref="K66:M66" si="1">SUM(K19:K65)</f>
        <v>1064</v>
      </c>
      <c r="L66" s="122">
        <f t="shared" si="1"/>
        <v>46688</v>
      </c>
      <c r="M66" s="123">
        <f t="shared" si="1"/>
        <v>168928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46688</v>
      </c>
      <c r="T66" s="123">
        <f t="shared" si="2"/>
        <v>168928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51" priority="1" stopIfTrue="1">
      <formula>$U$9&gt;100%</formula>
    </cfRule>
    <cfRule type="expression" dxfId="50" priority="2">
      <formula>$U$9&lt;50%</formula>
    </cfRule>
  </conditionalFormatting>
  <conditionalFormatting sqref="V9:V11">
    <cfRule type="expression" dxfId="49" priority="3">
      <formula>$V$9&lt;50%</formula>
    </cfRule>
    <cfRule type="expression" dxfId="48" priority="4">
      <formula>$V$9&gt;50%</formula>
    </cfRule>
  </conditionalFormatting>
  <dataValidations count="4">
    <dataValidation type="list" allowBlank="1" showErrorMessage="1" sqref="Q15 G18 L18 Q18" xr:uid="{91EC90CF-BFF7-4685-A299-BBECE181B09E}">
      <formula1>$Y$12:$Y$13</formula1>
    </dataValidation>
    <dataValidation type="list" allowBlank="1" showErrorMessage="1" sqref="J14" xr:uid="{A5768586-C3A0-4ABD-9EFD-83E2A4C808B8}">
      <formula1>$L$9</formula1>
    </dataValidation>
    <dataValidation type="list" allowBlank="1" showErrorMessage="1" sqref="I14" xr:uid="{28946C9E-B276-4F0C-9B00-FABF90527A8A}">
      <formula1>$Y$14:$Y$15</formula1>
    </dataValidation>
    <dataValidation type="list" allowBlank="1" showErrorMessage="1" sqref="E19:E65" xr:uid="{D00713B2-7094-468D-9B4D-F487C0E71D28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5101-7A84-419D-89DF-988A85281217}">
  <sheetPr>
    <pageSetUpPr fitToPage="1"/>
  </sheetPr>
  <dimension ref="B1:Z66"/>
  <sheetViews>
    <sheetView zoomScale="55" zoomScaleNormal="55" workbookViewId="0">
      <pane ySplit="18" topLeftCell="A44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228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1203381.5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601690.75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601690.75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 t="s">
        <v>143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0.5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224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601690.75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601690.75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223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134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179</v>
      </c>
      <c r="C19" t="s">
        <v>109</v>
      </c>
      <c r="D19" s="87"/>
      <c r="E19" s="88"/>
      <c r="F19">
        <v>1</v>
      </c>
      <c r="G19" s="134">
        <v>125.5</v>
      </c>
      <c r="H19" s="134">
        <v>33.89</v>
      </c>
      <c r="I19" s="134">
        <v>125.5</v>
      </c>
      <c r="J19" s="92"/>
      <c r="K19">
        <v>1</v>
      </c>
      <c r="L19" s="134">
        <v>62.75</v>
      </c>
      <c r="M19" s="134">
        <v>62.75</v>
      </c>
      <c r="O19" s="93"/>
      <c r="P19" s="86"/>
      <c r="Q19" s="94"/>
      <c r="R19" s="94"/>
      <c r="S19" s="134">
        <v>62.75</v>
      </c>
      <c r="T19" s="134">
        <v>62.75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180</v>
      </c>
      <c r="C20" t="s">
        <v>110</v>
      </c>
      <c r="D20" s="87"/>
      <c r="E20" s="100"/>
      <c r="F20">
        <v>1</v>
      </c>
      <c r="G20" s="134">
        <v>293</v>
      </c>
      <c r="H20" s="134">
        <v>79.11</v>
      </c>
      <c r="I20" s="134">
        <v>293</v>
      </c>
      <c r="J20" s="105"/>
      <c r="K20">
        <v>1</v>
      </c>
      <c r="L20" s="134">
        <v>146.5</v>
      </c>
      <c r="M20" s="134">
        <v>146.5</v>
      </c>
      <c r="O20" s="93"/>
      <c r="P20" s="98"/>
      <c r="Q20" s="102"/>
      <c r="R20" s="108"/>
      <c r="S20" s="134">
        <v>146.5</v>
      </c>
      <c r="T20" s="134">
        <v>146.5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134</v>
      </c>
      <c r="C21" t="s">
        <v>117</v>
      </c>
      <c r="D21" s="87"/>
      <c r="E21" s="88"/>
      <c r="F21">
        <v>1</v>
      </c>
      <c r="G21" s="134">
        <v>147</v>
      </c>
      <c r="H21" s="134">
        <v>39.69</v>
      </c>
      <c r="I21" s="134">
        <v>147</v>
      </c>
      <c r="J21" s="105"/>
      <c r="K21">
        <v>1</v>
      </c>
      <c r="L21" s="134">
        <v>73.5</v>
      </c>
      <c r="M21" s="134">
        <v>73.5</v>
      </c>
      <c r="O21" s="93"/>
      <c r="P21" s="115"/>
      <c r="Q21" s="94"/>
      <c r="R21" s="94"/>
      <c r="S21" s="134">
        <v>73.5</v>
      </c>
      <c r="T21" s="134">
        <v>73.5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136</v>
      </c>
      <c r="C22" t="s">
        <v>181</v>
      </c>
      <c r="D22" s="87"/>
      <c r="E22" s="100"/>
      <c r="F22">
        <v>1</v>
      </c>
      <c r="G22" s="134">
        <v>484.5</v>
      </c>
      <c r="H22" s="134">
        <v>130.82</v>
      </c>
      <c r="I22" s="134">
        <v>484.5</v>
      </c>
      <c r="J22" s="105"/>
      <c r="K22">
        <v>1</v>
      </c>
      <c r="L22" s="134">
        <v>242.25</v>
      </c>
      <c r="M22" s="134">
        <v>242.25</v>
      </c>
      <c r="O22" s="93"/>
      <c r="P22" s="98"/>
      <c r="Q22" s="102"/>
      <c r="R22" s="108"/>
      <c r="S22" s="134">
        <v>242.25</v>
      </c>
      <c r="T22" s="134">
        <v>242.25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182</v>
      </c>
      <c r="C23" t="s">
        <v>183</v>
      </c>
      <c r="D23" s="87"/>
      <c r="E23" s="88"/>
      <c r="F23">
        <v>1</v>
      </c>
      <c r="G23" s="134">
        <v>556</v>
      </c>
      <c r="H23" s="134">
        <v>150.12</v>
      </c>
      <c r="I23" s="134">
        <v>556</v>
      </c>
      <c r="J23" s="105"/>
      <c r="K23">
        <v>1</v>
      </c>
      <c r="L23" s="134">
        <v>278</v>
      </c>
      <c r="M23" s="134">
        <v>278</v>
      </c>
      <c r="O23" s="93"/>
      <c r="P23" s="115"/>
      <c r="Q23" s="94"/>
      <c r="R23" s="94"/>
      <c r="S23" s="134">
        <v>278</v>
      </c>
      <c r="T23" s="134">
        <v>278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184</v>
      </c>
      <c r="C24" t="s">
        <v>111</v>
      </c>
      <c r="D24" s="87"/>
      <c r="E24" s="100"/>
      <c r="F24">
        <v>1</v>
      </c>
      <c r="G24" s="134">
        <v>493</v>
      </c>
      <c r="H24" s="134">
        <v>133.11000000000001</v>
      </c>
      <c r="I24" s="134">
        <v>493</v>
      </c>
      <c r="J24" s="105"/>
      <c r="K24">
        <v>1</v>
      </c>
      <c r="L24" s="134">
        <v>246.5</v>
      </c>
      <c r="M24" s="134">
        <v>246.5</v>
      </c>
      <c r="N24" s="136"/>
      <c r="O24" s="93"/>
      <c r="P24" s="98"/>
      <c r="Q24" s="102"/>
      <c r="R24" s="108"/>
      <c r="S24" s="134">
        <v>246.5</v>
      </c>
      <c r="T24" s="134">
        <v>246.5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185</v>
      </c>
      <c r="C25" t="s">
        <v>112</v>
      </c>
      <c r="D25" s="87"/>
      <c r="E25" s="88"/>
      <c r="F25">
        <v>1</v>
      </c>
      <c r="G25" s="134">
        <v>2025</v>
      </c>
      <c r="H25" s="134">
        <v>546.75</v>
      </c>
      <c r="I25" s="134">
        <v>2025</v>
      </c>
      <c r="J25" s="105"/>
      <c r="K25">
        <v>1</v>
      </c>
      <c r="L25" s="134">
        <v>1012.5</v>
      </c>
      <c r="M25" s="134">
        <v>1012.5</v>
      </c>
      <c r="N25" s="136"/>
      <c r="O25" s="93"/>
      <c r="P25" s="115"/>
      <c r="Q25" s="94"/>
      <c r="R25" s="94"/>
      <c r="S25" s="134">
        <v>1012.5</v>
      </c>
      <c r="T25" s="134">
        <v>1012.5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186</v>
      </c>
      <c r="C26" t="s">
        <v>187</v>
      </c>
      <c r="D26" s="87"/>
      <c r="E26" s="100"/>
      <c r="F26">
        <v>1</v>
      </c>
      <c r="G26" s="134">
        <v>168928</v>
      </c>
      <c r="H26" s="134">
        <v>45610.559999999998</v>
      </c>
      <c r="I26" s="134">
        <v>168928</v>
      </c>
      <c r="J26" s="105"/>
      <c r="K26">
        <v>1</v>
      </c>
      <c r="L26" s="134">
        <v>84464</v>
      </c>
      <c r="M26" s="134">
        <v>84464</v>
      </c>
      <c r="N26" s="136"/>
      <c r="O26" s="93"/>
      <c r="P26" s="98"/>
      <c r="Q26" s="102"/>
      <c r="R26" s="108"/>
      <c r="S26" s="134">
        <v>84464</v>
      </c>
      <c r="T26" s="134">
        <v>84464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s="232" t="s">
        <v>188</v>
      </c>
      <c r="C27" t="s">
        <v>127</v>
      </c>
      <c r="D27" s="87"/>
      <c r="E27" s="88"/>
      <c r="F27">
        <v>1</v>
      </c>
      <c r="G27" s="134">
        <v>69676.5</v>
      </c>
      <c r="H27" s="134">
        <v>18812.66</v>
      </c>
      <c r="I27" s="134">
        <v>69676.5</v>
      </c>
      <c r="J27" s="105"/>
      <c r="K27">
        <v>1</v>
      </c>
      <c r="L27" s="134">
        <v>34838.25</v>
      </c>
      <c r="M27" s="134">
        <v>34838.25</v>
      </c>
      <c r="O27" s="93"/>
      <c r="P27" s="115"/>
      <c r="Q27" s="94"/>
      <c r="R27" s="94"/>
      <c r="S27" s="134">
        <v>34838.25</v>
      </c>
      <c r="T27" s="134">
        <v>34838.25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t="s">
        <v>189</v>
      </c>
      <c r="C28" t="s">
        <v>129</v>
      </c>
      <c r="D28" s="87"/>
      <c r="E28" s="100"/>
      <c r="F28">
        <v>1</v>
      </c>
      <c r="G28" s="134">
        <v>936.5</v>
      </c>
      <c r="H28" s="134">
        <v>252.86</v>
      </c>
      <c r="I28" s="134">
        <v>936.5</v>
      </c>
      <c r="J28" s="105"/>
      <c r="K28">
        <v>1</v>
      </c>
      <c r="L28" s="134">
        <v>468.25</v>
      </c>
      <c r="M28" s="134">
        <v>468.25</v>
      </c>
      <c r="O28" s="93"/>
      <c r="P28" s="98"/>
      <c r="Q28" s="102"/>
      <c r="R28" s="108"/>
      <c r="S28" s="134">
        <v>468.25</v>
      </c>
      <c r="T28" s="134">
        <v>468.25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190</v>
      </c>
      <c r="C29" t="s">
        <v>191</v>
      </c>
      <c r="D29" s="87"/>
      <c r="E29" s="88"/>
      <c r="F29">
        <v>1</v>
      </c>
      <c r="G29" s="134">
        <v>15</v>
      </c>
      <c r="H29" s="134">
        <v>4.05</v>
      </c>
      <c r="I29" s="134">
        <v>15</v>
      </c>
      <c r="J29" s="105"/>
      <c r="K29">
        <v>1</v>
      </c>
      <c r="L29" s="134">
        <v>7.5</v>
      </c>
      <c r="M29" s="134">
        <v>7.5</v>
      </c>
      <c r="O29" s="93"/>
      <c r="P29" s="115"/>
      <c r="Q29" s="94"/>
      <c r="R29" s="94"/>
      <c r="S29" s="134">
        <v>7.5</v>
      </c>
      <c r="T29" s="134">
        <v>7.5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s="232" t="s">
        <v>192</v>
      </c>
      <c r="C30" t="s">
        <v>193</v>
      </c>
      <c r="D30" s="87"/>
      <c r="E30" s="100"/>
      <c r="F30">
        <v>1</v>
      </c>
      <c r="G30" s="134">
        <v>49</v>
      </c>
      <c r="H30" s="134">
        <v>13.23</v>
      </c>
      <c r="I30" s="134">
        <v>49</v>
      </c>
      <c r="J30" s="105"/>
      <c r="K30">
        <v>1</v>
      </c>
      <c r="L30" s="134">
        <v>24.5</v>
      </c>
      <c r="M30" s="134">
        <v>24.5</v>
      </c>
      <c r="O30" s="93"/>
      <c r="P30" s="98"/>
      <c r="Q30" s="102"/>
      <c r="R30" s="108"/>
      <c r="S30" s="134">
        <v>24.5</v>
      </c>
      <c r="T30" s="134">
        <v>24.5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D31" s="87"/>
      <c r="E31" s="88"/>
      <c r="H31" t="s">
        <v>123</v>
      </c>
      <c r="I31" t="s">
        <v>123</v>
      </c>
      <c r="J31" s="105"/>
      <c r="K31">
        <v>0</v>
      </c>
      <c r="L31" t="s">
        <v>123</v>
      </c>
      <c r="M31" t="s">
        <v>123</v>
      </c>
      <c r="O31" s="93"/>
      <c r="P31" s="115"/>
      <c r="Q31" s="94"/>
      <c r="R31" s="94"/>
      <c r="S31" t="s">
        <v>123</v>
      </c>
      <c r="T31" t="s">
        <v>123</v>
      </c>
      <c r="U31" s="135">
        <v>0</v>
      </c>
      <c r="V31" s="135">
        <v>0</v>
      </c>
      <c r="W31" s="96"/>
      <c r="X31" s="97"/>
      <c r="Y31" s="8"/>
      <c r="Z31" s="8"/>
    </row>
    <row r="32" spans="2:26" ht="15.75" customHeight="1">
      <c r="B32" t="s">
        <v>194</v>
      </c>
      <c r="C32" t="s">
        <v>195</v>
      </c>
      <c r="D32" s="87"/>
      <c r="E32" s="100"/>
      <c r="F32">
        <v>1</v>
      </c>
      <c r="G32" s="134">
        <v>38950.5</v>
      </c>
      <c r="H32" s="134">
        <v>10516.64</v>
      </c>
      <c r="I32" s="134">
        <v>38950.5</v>
      </c>
      <c r="J32" s="105"/>
      <c r="K32">
        <v>1</v>
      </c>
      <c r="L32" s="134">
        <v>19475.25</v>
      </c>
      <c r="M32" s="134">
        <v>19475.25</v>
      </c>
      <c r="O32" s="93"/>
      <c r="P32" s="98"/>
      <c r="Q32" s="102"/>
      <c r="R32" s="108"/>
      <c r="S32" s="134">
        <v>19475.25</v>
      </c>
      <c r="T32" s="134">
        <v>19475.25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196</v>
      </c>
      <c r="C33" t="s">
        <v>197</v>
      </c>
      <c r="D33" s="87"/>
      <c r="E33" s="88"/>
      <c r="F33">
        <v>1</v>
      </c>
      <c r="G33" s="134">
        <v>17248</v>
      </c>
      <c r="H33" s="134">
        <v>4656.96</v>
      </c>
      <c r="I33" s="134">
        <v>17248</v>
      </c>
      <c r="J33" s="105"/>
      <c r="K33">
        <v>1</v>
      </c>
      <c r="L33" s="134">
        <v>8624</v>
      </c>
      <c r="M33" s="134">
        <v>8624</v>
      </c>
      <c r="O33" s="93"/>
      <c r="P33" s="115"/>
      <c r="Q33" s="94"/>
      <c r="R33" s="94"/>
      <c r="S33" s="134">
        <v>8624</v>
      </c>
      <c r="T33" s="134">
        <v>8624</v>
      </c>
      <c r="U33" s="135">
        <v>0</v>
      </c>
      <c r="V33" s="135">
        <v>1</v>
      </c>
      <c r="W33" s="96"/>
    </row>
    <row r="34" spans="2:23" ht="15.75" customHeight="1">
      <c r="B34" t="s">
        <v>198</v>
      </c>
      <c r="C34" t="s">
        <v>199</v>
      </c>
      <c r="D34" s="87"/>
      <c r="E34" s="100"/>
      <c r="F34">
        <v>1</v>
      </c>
      <c r="G34" s="134">
        <v>66474.5</v>
      </c>
      <c r="H34" s="134">
        <v>17948.12</v>
      </c>
      <c r="I34" s="134">
        <v>66474.5</v>
      </c>
      <c r="J34" s="105"/>
      <c r="K34">
        <v>1</v>
      </c>
      <c r="L34" s="134">
        <v>33237.25</v>
      </c>
      <c r="M34" s="134">
        <v>33237.25</v>
      </c>
      <c r="O34" s="93"/>
      <c r="P34" s="98"/>
      <c r="Q34" s="102"/>
      <c r="R34" s="108"/>
      <c r="S34" s="134">
        <v>33237.25</v>
      </c>
      <c r="T34" s="134">
        <v>33237.25</v>
      </c>
      <c r="U34" s="135">
        <v>0</v>
      </c>
      <c r="V34" s="135">
        <v>1</v>
      </c>
      <c r="W34" s="111"/>
    </row>
    <row r="35" spans="2:23" ht="15.75" customHeight="1">
      <c r="B35" t="s">
        <v>200</v>
      </c>
      <c r="C35" t="s">
        <v>115</v>
      </c>
      <c r="D35" s="87"/>
      <c r="E35" s="88"/>
      <c r="F35">
        <v>1</v>
      </c>
      <c r="G35" s="134">
        <v>43651.5</v>
      </c>
      <c r="H35" s="134">
        <v>11785.91</v>
      </c>
      <c r="I35" s="134">
        <v>43651.5</v>
      </c>
      <c r="J35" s="105"/>
      <c r="K35">
        <v>1</v>
      </c>
      <c r="L35" s="134">
        <v>21825.75</v>
      </c>
      <c r="M35" s="134">
        <v>21825.75</v>
      </c>
      <c r="O35" s="93"/>
      <c r="P35" s="115"/>
      <c r="Q35" s="94"/>
      <c r="R35" s="94"/>
      <c r="S35" s="134">
        <v>21825.75</v>
      </c>
      <c r="T35" s="134">
        <v>21825.75</v>
      </c>
      <c r="U35" s="135">
        <v>0</v>
      </c>
      <c r="V35" s="135">
        <v>1</v>
      </c>
      <c r="W35" s="96"/>
    </row>
    <row r="36" spans="2:23" ht="15.75" customHeight="1">
      <c r="B36" t="s">
        <v>201</v>
      </c>
      <c r="C36" t="s">
        <v>116</v>
      </c>
      <c r="D36" s="87"/>
      <c r="E36" s="100"/>
      <c r="F36">
        <v>1</v>
      </c>
      <c r="G36" s="134">
        <v>29434.5</v>
      </c>
      <c r="H36" s="134">
        <v>7947.32</v>
      </c>
      <c r="I36" s="134">
        <v>29434.5</v>
      </c>
      <c r="J36" s="105"/>
      <c r="K36">
        <v>1</v>
      </c>
      <c r="L36" s="134">
        <v>14717.25</v>
      </c>
      <c r="M36" s="134">
        <v>14717.25</v>
      </c>
      <c r="O36" s="93"/>
      <c r="P36" s="98"/>
      <c r="Q36" s="102"/>
      <c r="R36" s="108"/>
      <c r="S36" s="134">
        <v>14717.25</v>
      </c>
      <c r="T36" s="134">
        <v>14717.25</v>
      </c>
      <c r="U36" s="135">
        <v>0</v>
      </c>
      <c r="V36" s="135">
        <v>1</v>
      </c>
      <c r="W36" s="111"/>
    </row>
    <row r="37" spans="2:23" ht="15.75" customHeight="1">
      <c r="B37" t="s">
        <v>202</v>
      </c>
      <c r="C37" t="s">
        <v>203</v>
      </c>
      <c r="D37" s="87"/>
      <c r="E37" s="88"/>
      <c r="F37">
        <v>6</v>
      </c>
      <c r="G37" s="134">
        <v>5403.5</v>
      </c>
      <c r="H37" s="134">
        <v>1458.95</v>
      </c>
      <c r="I37" s="134">
        <v>32421</v>
      </c>
      <c r="J37" s="105"/>
      <c r="K37">
        <v>6</v>
      </c>
      <c r="L37" s="134">
        <v>2701.75</v>
      </c>
      <c r="M37" s="134">
        <v>16210.5</v>
      </c>
      <c r="O37" s="93"/>
      <c r="P37" s="115"/>
      <c r="Q37" s="94"/>
      <c r="R37" s="94"/>
      <c r="S37" s="134">
        <v>2701.75</v>
      </c>
      <c r="T37" s="134">
        <v>16210.5</v>
      </c>
      <c r="U37" s="135">
        <v>0</v>
      </c>
      <c r="V37" s="135">
        <v>1</v>
      </c>
      <c r="W37" s="96"/>
    </row>
    <row r="38" spans="2:23" ht="15.75" customHeight="1">
      <c r="D38" s="87"/>
      <c r="E38" s="100"/>
      <c r="H38" t="s">
        <v>123</v>
      </c>
      <c r="I38" t="s">
        <v>123</v>
      </c>
      <c r="J38" s="105"/>
      <c r="K38">
        <v>0</v>
      </c>
      <c r="L38" t="s">
        <v>123</v>
      </c>
      <c r="M38" t="s">
        <v>123</v>
      </c>
      <c r="O38" s="93"/>
      <c r="P38" s="98"/>
      <c r="Q38" s="102"/>
      <c r="R38" s="108"/>
      <c r="S38" t="s">
        <v>123</v>
      </c>
      <c r="T38" t="s">
        <v>123</v>
      </c>
      <c r="U38" s="135">
        <v>0</v>
      </c>
      <c r="V38" s="135">
        <v>0</v>
      </c>
      <c r="W38" s="111"/>
    </row>
    <row r="39" spans="2:23" ht="15.75" customHeight="1">
      <c r="B39" t="s">
        <v>204</v>
      </c>
      <c r="C39" t="s">
        <v>205</v>
      </c>
      <c r="D39" s="87"/>
      <c r="E39" s="88"/>
      <c r="F39">
        <v>2</v>
      </c>
      <c r="G39" s="134">
        <v>1050.5</v>
      </c>
      <c r="H39" s="134">
        <v>283.64</v>
      </c>
      <c r="I39" s="134">
        <v>2101</v>
      </c>
      <c r="J39" s="105"/>
      <c r="K39">
        <v>2</v>
      </c>
      <c r="L39" s="134">
        <v>525.25</v>
      </c>
      <c r="M39" s="134">
        <v>1050.5</v>
      </c>
      <c r="O39" s="93"/>
      <c r="P39" s="115"/>
      <c r="Q39" s="94"/>
      <c r="R39" s="94"/>
      <c r="S39" s="134">
        <v>525.25</v>
      </c>
      <c r="T39" s="134">
        <v>1050.5</v>
      </c>
      <c r="U39" s="135">
        <v>0</v>
      </c>
      <c r="V39" s="135">
        <v>1</v>
      </c>
      <c r="W39" s="111"/>
    </row>
    <row r="40" spans="2:23" ht="15.75" customHeight="1">
      <c r="D40" s="87"/>
      <c r="E40" s="100"/>
      <c r="H40" t="s">
        <v>123</v>
      </c>
      <c r="I40" t="s">
        <v>123</v>
      </c>
      <c r="J40" s="105"/>
      <c r="K40">
        <v>0</v>
      </c>
      <c r="L40" t="s">
        <v>123</v>
      </c>
      <c r="M40" t="s">
        <v>123</v>
      </c>
      <c r="O40" s="93"/>
      <c r="P40" s="98"/>
      <c r="Q40" s="102"/>
      <c r="R40" s="108"/>
      <c r="S40" t="s">
        <v>123</v>
      </c>
      <c r="T40" t="s">
        <v>123</v>
      </c>
      <c r="U40" s="135">
        <v>0</v>
      </c>
      <c r="V40" s="135">
        <v>0</v>
      </c>
      <c r="W40" s="111"/>
    </row>
    <row r="41" spans="2:23" ht="15.75" customHeight="1">
      <c r="B41" t="s">
        <v>229</v>
      </c>
      <c r="C41" t="s">
        <v>230</v>
      </c>
      <c r="D41" s="130"/>
      <c r="E41" s="100"/>
      <c r="F41">
        <v>1</v>
      </c>
      <c r="G41" s="134">
        <v>460409.5</v>
      </c>
      <c r="H41" s="134">
        <v>124310.57</v>
      </c>
      <c r="I41" s="134">
        <v>460409.5</v>
      </c>
      <c r="J41" s="131"/>
      <c r="K41">
        <v>1</v>
      </c>
      <c r="L41" s="134">
        <v>230204.75</v>
      </c>
      <c r="M41" s="134">
        <v>230204.75</v>
      </c>
      <c r="O41" s="132"/>
      <c r="P41" s="98"/>
      <c r="Q41" s="102"/>
      <c r="R41" s="108"/>
      <c r="S41" s="134">
        <v>230204.75</v>
      </c>
      <c r="T41" s="134">
        <v>230204.75</v>
      </c>
      <c r="U41" s="135">
        <v>0</v>
      </c>
      <c r="V41" s="135">
        <v>1</v>
      </c>
      <c r="W41" s="133"/>
    </row>
    <row r="42" spans="2:23" ht="15.75" customHeight="1">
      <c r="B42" t="s">
        <v>210</v>
      </c>
      <c r="C42" t="s">
        <v>209</v>
      </c>
      <c r="D42" s="130"/>
      <c r="E42" s="100"/>
      <c r="F42">
        <v>2</v>
      </c>
      <c r="G42" s="134">
        <v>2108.5</v>
      </c>
      <c r="H42" s="134">
        <v>569.29999999999995</v>
      </c>
      <c r="I42" s="134">
        <v>4217</v>
      </c>
      <c r="J42" s="131"/>
      <c r="K42">
        <v>2</v>
      </c>
      <c r="L42" s="134">
        <v>1054.25</v>
      </c>
      <c r="M42" s="134">
        <v>2108.5</v>
      </c>
      <c r="O42" s="132"/>
      <c r="P42" s="98"/>
      <c r="Q42" s="102"/>
      <c r="R42" s="108"/>
      <c r="S42" s="134">
        <v>1054.25</v>
      </c>
      <c r="T42" s="134">
        <v>2108.5</v>
      </c>
      <c r="U42" s="135">
        <v>0</v>
      </c>
      <c r="V42" s="135">
        <v>1</v>
      </c>
      <c r="W42" s="133"/>
    </row>
    <row r="43" spans="2:23" ht="15.75" customHeight="1">
      <c r="B43" t="s">
        <v>231</v>
      </c>
      <c r="C43" t="s">
        <v>209</v>
      </c>
      <c r="D43" s="130"/>
      <c r="E43" s="100"/>
      <c r="F43">
        <v>1</v>
      </c>
      <c r="G43" s="134">
        <v>1923</v>
      </c>
      <c r="H43" s="134">
        <v>519.21</v>
      </c>
      <c r="I43" s="134">
        <v>1923</v>
      </c>
      <c r="J43" s="131"/>
      <c r="K43">
        <v>1</v>
      </c>
      <c r="L43" s="134">
        <v>961.5</v>
      </c>
      <c r="M43" s="134">
        <v>961.5</v>
      </c>
      <c r="O43" s="132"/>
      <c r="P43" s="98"/>
      <c r="Q43" s="102"/>
      <c r="R43" s="108"/>
      <c r="S43" s="134">
        <v>961.5</v>
      </c>
      <c r="T43" s="134">
        <v>961.5</v>
      </c>
      <c r="U43" s="135">
        <v>0</v>
      </c>
      <c r="V43" s="135">
        <v>1</v>
      </c>
      <c r="W43" s="133"/>
    </row>
    <row r="44" spans="2:23" ht="15.75" customHeight="1">
      <c r="B44" t="s">
        <v>211</v>
      </c>
      <c r="C44" t="s">
        <v>120</v>
      </c>
      <c r="D44" s="130"/>
      <c r="E44" s="100"/>
      <c r="F44">
        <v>33</v>
      </c>
      <c r="G44" s="134">
        <v>24</v>
      </c>
      <c r="H44" s="134">
        <v>6.48</v>
      </c>
      <c r="I44" s="134">
        <v>792</v>
      </c>
      <c r="J44" s="131"/>
      <c r="K44">
        <v>33</v>
      </c>
      <c r="L44" s="134">
        <v>12</v>
      </c>
      <c r="M44" s="134">
        <v>396</v>
      </c>
      <c r="O44" s="132"/>
      <c r="P44" s="98"/>
      <c r="Q44" s="102"/>
      <c r="R44" s="108"/>
      <c r="S44" s="134">
        <v>12</v>
      </c>
      <c r="T44" s="134">
        <v>396</v>
      </c>
      <c r="U44" s="135">
        <v>0</v>
      </c>
      <c r="V44" s="135">
        <v>1</v>
      </c>
      <c r="W44" s="133"/>
    </row>
    <row r="45" spans="2:23" ht="15.75" customHeight="1">
      <c r="B45" t="s">
        <v>212</v>
      </c>
      <c r="C45" t="s">
        <v>213</v>
      </c>
      <c r="D45" s="130"/>
      <c r="E45" s="100"/>
      <c r="F45">
        <v>33</v>
      </c>
      <c r="G45" s="134">
        <v>19.5</v>
      </c>
      <c r="H45" s="134">
        <v>5.27</v>
      </c>
      <c r="I45" s="134">
        <v>643.5</v>
      </c>
      <c r="J45" s="131"/>
      <c r="K45">
        <v>33</v>
      </c>
      <c r="L45" s="134">
        <v>9.75</v>
      </c>
      <c r="M45" s="134">
        <v>321.75</v>
      </c>
      <c r="O45" s="132"/>
      <c r="P45" s="98"/>
      <c r="Q45" s="102"/>
      <c r="R45" s="108"/>
      <c r="S45" s="134">
        <v>9.75</v>
      </c>
      <c r="T45" s="134">
        <v>321.75</v>
      </c>
      <c r="U45" s="135">
        <v>0</v>
      </c>
      <c r="V45" s="135">
        <v>1</v>
      </c>
      <c r="W45" s="133"/>
    </row>
    <row r="46" spans="2:23" ht="15.75" customHeight="1">
      <c r="B46" t="s">
        <v>214</v>
      </c>
      <c r="C46" t="s">
        <v>215</v>
      </c>
      <c r="D46" s="130"/>
      <c r="E46" s="100"/>
      <c r="F46">
        <v>33</v>
      </c>
      <c r="G46" s="134">
        <v>20.5</v>
      </c>
      <c r="H46" s="134">
        <v>5.54</v>
      </c>
      <c r="I46" s="134">
        <v>676.5</v>
      </c>
      <c r="J46" s="131"/>
      <c r="K46">
        <v>33</v>
      </c>
      <c r="L46" s="134">
        <v>10.25</v>
      </c>
      <c r="M46" s="134">
        <v>338.25</v>
      </c>
      <c r="O46" s="132"/>
      <c r="P46" s="98"/>
      <c r="Q46" s="102"/>
      <c r="R46" s="108"/>
      <c r="S46" s="134">
        <v>10.25</v>
      </c>
      <c r="T46" s="134">
        <v>338.25</v>
      </c>
      <c r="U46" s="135">
        <v>0</v>
      </c>
      <c r="V46" s="135">
        <v>1</v>
      </c>
      <c r="W46" s="133"/>
    </row>
    <row r="47" spans="2:23" ht="15.75" customHeight="1">
      <c r="B47" s="232" t="s">
        <v>216</v>
      </c>
      <c r="C47" t="s">
        <v>217</v>
      </c>
      <c r="D47" s="130"/>
      <c r="E47" s="100"/>
      <c r="F47">
        <v>1</v>
      </c>
      <c r="G47" s="134">
        <v>2805.5</v>
      </c>
      <c r="H47" s="134">
        <v>757.49</v>
      </c>
      <c r="I47" s="134">
        <v>2805.5</v>
      </c>
      <c r="J47" s="131"/>
      <c r="K47">
        <v>1</v>
      </c>
      <c r="L47" s="134">
        <v>1402.75</v>
      </c>
      <c r="M47" s="134">
        <v>1402.75</v>
      </c>
      <c r="O47" s="132"/>
      <c r="P47" s="98"/>
      <c r="Q47" s="102"/>
      <c r="R47" s="108"/>
      <c r="S47" s="134">
        <v>1402.75</v>
      </c>
      <c r="T47" s="134">
        <v>1402.75</v>
      </c>
      <c r="U47" s="135">
        <v>0</v>
      </c>
      <c r="V47" s="135">
        <v>1</v>
      </c>
      <c r="W47" s="133"/>
    </row>
    <row r="48" spans="2:23" ht="15.75" customHeight="1">
      <c r="B48" s="232" t="s">
        <v>218</v>
      </c>
      <c r="C48" t="s">
        <v>219</v>
      </c>
      <c r="D48" s="130"/>
      <c r="E48" s="100"/>
      <c r="F48">
        <v>1</v>
      </c>
      <c r="G48" s="134">
        <v>2805.5</v>
      </c>
      <c r="H48" s="134">
        <v>757.49</v>
      </c>
      <c r="I48" s="134">
        <v>2805.5</v>
      </c>
      <c r="J48" s="131"/>
      <c r="K48">
        <v>1</v>
      </c>
      <c r="L48" s="134">
        <v>1402.75</v>
      </c>
      <c r="M48" s="134">
        <v>1402.75</v>
      </c>
      <c r="O48" s="132"/>
      <c r="P48" s="98"/>
      <c r="Q48" s="102"/>
      <c r="R48" s="108"/>
      <c r="S48" s="134">
        <v>1402.75</v>
      </c>
      <c r="T48" s="134">
        <v>1402.75</v>
      </c>
      <c r="U48" s="135">
        <v>0</v>
      </c>
      <c r="V48" s="135">
        <v>1</v>
      </c>
      <c r="W48" s="133"/>
    </row>
    <row r="49" spans="2:23" ht="15.75" customHeight="1">
      <c r="D49" s="130"/>
      <c r="E49" s="100"/>
      <c r="H49" t="s">
        <v>123</v>
      </c>
      <c r="I49" t="s">
        <v>123</v>
      </c>
      <c r="J49" s="131"/>
      <c r="K49">
        <v>0</v>
      </c>
      <c r="L49" t="s">
        <v>123</v>
      </c>
      <c r="M49" t="s">
        <v>123</v>
      </c>
      <c r="O49" s="132"/>
      <c r="P49" s="98"/>
      <c r="Q49" s="102"/>
      <c r="R49" s="108"/>
      <c r="S49" t="s">
        <v>123</v>
      </c>
      <c r="T49" t="s">
        <v>123</v>
      </c>
      <c r="U49" s="135">
        <v>0</v>
      </c>
      <c r="V49" s="135">
        <v>0</v>
      </c>
      <c r="W49" s="133"/>
    </row>
    <row r="50" spans="2:23" ht="15.75" customHeight="1">
      <c r="B50" t="s">
        <v>220</v>
      </c>
      <c r="C50" t="s">
        <v>125</v>
      </c>
      <c r="D50" s="130"/>
      <c r="E50" s="100"/>
      <c r="F50">
        <v>2</v>
      </c>
      <c r="G50" s="134">
        <v>73393.5</v>
      </c>
      <c r="H50" s="134">
        <v>19816.25</v>
      </c>
      <c r="I50" s="134">
        <v>146787</v>
      </c>
      <c r="J50" s="131"/>
      <c r="K50">
        <v>2</v>
      </c>
      <c r="L50" s="134">
        <v>36696.75</v>
      </c>
      <c r="M50" s="134">
        <v>73393.5</v>
      </c>
      <c r="O50" s="132"/>
      <c r="P50" s="98"/>
      <c r="Q50" s="102"/>
      <c r="R50" s="108"/>
      <c r="S50" s="134">
        <v>36696.75</v>
      </c>
      <c r="T50" s="134">
        <v>73393.5</v>
      </c>
      <c r="U50" s="135">
        <v>0</v>
      </c>
      <c r="V50" s="135">
        <v>1</v>
      </c>
      <c r="W50" s="133"/>
    </row>
    <row r="51" spans="2:23" ht="15.75" customHeight="1">
      <c r="B51" t="s">
        <v>221</v>
      </c>
      <c r="C51" t="s">
        <v>222</v>
      </c>
      <c r="D51" s="130"/>
      <c r="E51" s="100"/>
      <c r="F51">
        <v>2</v>
      </c>
      <c r="G51" s="134">
        <v>54156</v>
      </c>
      <c r="H51" s="134">
        <v>14622.12</v>
      </c>
      <c r="I51" s="134">
        <v>108312</v>
      </c>
      <c r="J51" s="131"/>
      <c r="K51">
        <v>2</v>
      </c>
      <c r="L51" s="134">
        <v>27078</v>
      </c>
      <c r="M51" s="134">
        <v>54156</v>
      </c>
      <c r="O51" s="132"/>
      <c r="P51" s="98"/>
      <c r="Q51" s="102"/>
      <c r="R51" s="108"/>
      <c r="S51" s="134">
        <v>27078</v>
      </c>
      <c r="T51" s="134">
        <v>54156</v>
      </c>
      <c r="U51" s="135">
        <v>0</v>
      </c>
      <c r="V51" s="135">
        <v>1</v>
      </c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134</v>
      </c>
      <c r="G66" s="121">
        <f t="shared" si="0"/>
        <v>1043607.5</v>
      </c>
      <c r="H66" s="122">
        <f t="shared" si="0"/>
        <v>281774.11</v>
      </c>
      <c r="I66" s="123">
        <f t="shared" si="0"/>
        <v>1203381.5</v>
      </c>
      <c r="J66" s="124"/>
      <c r="K66" s="125">
        <f t="shared" ref="K66:M66" si="1">SUM(K19:K65)</f>
        <v>134</v>
      </c>
      <c r="L66" s="122">
        <f t="shared" si="1"/>
        <v>521803.75</v>
      </c>
      <c r="M66" s="123">
        <f t="shared" si="1"/>
        <v>601690.75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521803.75</v>
      </c>
      <c r="T66" s="123">
        <f t="shared" si="2"/>
        <v>601690.75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47" priority="1" stopIfTrue="1">
      <formula>$U$9&gt;100%</formula>
    </cfRule>
    <cfRule type="expression" dxfId="46" priority="2">
      <formula>$U$9&lt;50%</formula>
    </cfRule>
  </conditionalFormatting>
  <conditionalFormatting sqref="V9:V11">
    <cfRule type="expression" dxfId="45" priority="3">
      <formula>$V$9&lt;50%</formula>
    </cfRule>
    <cfRule type="expression" dxfId="44" priority="4">
      <formula>$V$9&gt;50%</formula>
    </cfRule>
  </conditionalFormatting>
  <dataValidations count="4">
    <dataValidation type="list" allowBlank="1" showErrorMessage="1" sqref="E19:E65" xr:uid="{8CAF0B16-2DA0-421D-BBA7-F92B2CD619FD}">
      <formula1>$Z$19:$Z$30</formula1>
    </dataValidation>
    <dataValidation type="list" allowBlank="1" showErrorMessage="1" sqref="I14" xr:uid="{AD384D0D-4AF9-4CDF-BEC3-5792BA51CCB0}">
      <formula1>$Y$14:$Y$15</formula1>
    </dataValidation>
    <dataValidation type="list" allowBlank="1" showErrorMessage="1" sqref="J14" xr:uid="{7528835A-D987-4AFF-B1F5-2707D9015772}">
      <formula1>$L$9</formula1>
    </dataValidation>
    <dataValidation type="list" allowBlank="1" showErrorMessage="1" sqref="Q15 G18 L18 Q18" xr:uid="{09BB9C5E-B672-47B4-A0EF-9D8F41EF490C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B565-FD2A-4A36-8651-90158FF45AE1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233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337856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168928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168928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 t="s">
        <v>226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0.5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232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168928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168928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223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1064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146</v>
      </c>
      <c r="C19" t="s">
        <v>147</v>
      </c>
      <c r="D19" s="87"/>
      <c r="E19" s="88"/>
      <c r="F19">
        <v>10</v>
      </c>
      <c r="G19" s="134">
        <v>1313</v>
      </c>
      <c r="H19" s="134">
        <v>354.51</v>
      </c>
      <c r="I19" s="134">
        <v>13130</v>
      </c>
      <c r="J19" s="92"/>
      <c r="K19">
        <v>10</v>
      </c>
      <c r="L19" s="134">
        <v>656.5</v>
      </c>
      <c r="M19" s="134">
        <v>6565</v>
      </c>
      <c r="O19" s="93"/>
      <c r="P19" s="86"/>
      <c r="Q19" s="94"/>
      <c r="R19" s="94"/>
      <c r="S19" s="134">
        <v>656.5</v>
      </c>
      <c r="T19" s="134">
        <v>6565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148</v>
      </c>
      <c r="C20" t="s">
        <v>149</v>
      </c>
      <c r="D20" s="87"/>
      <c r="E20" s="100"/>
      <c r="F20">
        <v>70</v>
      </c>
      <c r="G20" s="134">
        <v>19</v>
      </c>
      <c r="H20" s="134">
        <v>5.13</v>
      </c>
      <c r="I20" s="134">
        <v>1330</v>
      </c>
      <c r="J20" s="105"/>
      <c r="K20">
        <v>70</v>
      </c>
      <c r="L20" s="134">
        <v>9.5</v>
      </c>
      <c r="M20" s="134">
        <v>665</v>
      </c>
      <c r="O20" s="93"/>
      <c r="P20" s="98"/>
      <c r="Q20" s="102"/>
      <c r="R20" s="108"/>
      <c r="S20" s="134">
        <v>9.5</v>
      </c>
      <c r="T20" s="134">
        <v>665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150</v>
      </c>
      <c r="C21" t="s">
        <v>151</v>
      </c>
      <c r="D21" s="87"/>
      <c r="E21" s="88"/>
      <c r="F21">
        <v>70</v>
      </c>
      <c r="G21" s="134">
        <v>13.5</v>
      </c>
      <c r="H21" s="134">
        <v>3.65</v>
      </c>
      <c r="I21" s="134">
        <v>945</v>
      </c>
      <c r="J21" s="105"/>
      <c r="K21">
        <v>70</v>
      </c>
      <c r="L21" s="134">
        <v>6.75</v>
      </c>
      <c r="M21" s="134">
        <v>472.5</v>
      </c>
      <c r="O21" s="93"/>
      <c r="P21" s="115"/>
      <c r="Q21" s="94"/>
      <c r="R21" s="94"/>
      <c r="S21" s="134">
        <v>6.75</v>
      </c>
      <c r="T21" s="134">
        <v>472.5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152</v>
      </c>
      <c r="C22" t="s">
        <v>153</v>
      </c>
      <c r="D22" s="87"/>
      <c r="E22" s="100"/>
      <c r="F22">
        <v>70</v>
      </c>
      <c r="G22" s="134">
        <v>10.5</v>
      </c>
      <c r="H22" s="134">
        <v>2.84</v>
      </c>
      <c r="I22" s="134">
        <v>735</v>
      </c>
      <c r="J22" s="105"/>
      <c r="K22">
        <v>70</v>
      </c>
      <c r="L22" s="134">
        <v>5.25</v>
      </c>
      <c r="M22" s="134">
        <v>367.5</v>
      </c>
      <c r="O22" s="93"/>
      <c r="P22" s="98"/>
      <c r="Q22" s="102"/>
      <c r="R22" s="108"/>
      <c r="S22" s="134">
        <v>5.25</v>
      </c>
      <c r="T22" s="134">
        <v>367.5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154</v>
      </c>
      <c r="C23" t="s">
        <v>155</v>
      </c>
      <c r="D23" s="87"/>
      <c r="E23" s="88"/>
      <c r="F23">
        <v>4</v>
      </c>
      <c r="G23" s="134">
        <v>2525.5</v>
      </c>
      <c r="H23" s="134">
        <v>681.89</v>
      </c>
      <c r="I23" s="134">
        <v>10102</v>
      </c>
      <c r="J23" s="105"/>
      <c r="K23">
        <v>4</v>
      </c>
      <c r="L23" s="134">
        <v>1262.75</v>
      </c>
      <c r="M23" s="134">
        <v>5051</v>
      </c>
      <c r="O23" s="93"/>
      <c r="P23" s="115"/>
      <c r="Q23" s="94"/>
      <c r="R23" s="94"/>
      <c r="S23" s="134">
        <v>1262.75</v>
      </c>
      <c r="T23" s="134">
        <v>5051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156</v>
      </c>
      <c r="C24" t="s">
        <v>157</v>
      </c>
      <c r="D24" s="87"/>
      <c r="E24" s="100"/>
      <c r="F24">
        <v>24</v>
      </c>
      <c r="G24" s="134">
        <v>73</v>
      </c>
      <c r="H24" s="134">
        <v>19.71</v>
      </c>
      <c r="I24" s="134">
        <v>1752</v>
      </c>
      <c r="J24" s="105"/>
      <c r="K24">
        <v>24</v>
      </c>
      <c r="L24" s="134">
        <v>36.5</v>
      </c>
      <c r="M24" s="134">
        <v>876</v>
      </c>
      <c r="N24" s="136"/>
      <c r="O24" s="93"/>
      <c r="P24" s="98"/>
      <c r="Q24" s="102"/>
      <c r="R24" s="108"/>
      <c r="S24" s="134">
        <v>36.5</v>
      </c>
      <c r="T24" s="134">
        <v>876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158</v>
      </c>
      <c r="C25" t="s">
        <v>159</v>
      </c>
      <c r="D25" s="87"/>
      <c r="E25" s="88"/>
      <c r="F25">
        <v>24</v>
      </c>
      <c r="G25" s="134">
        <v>19.5</v>
      </c>
      <c r="H25" s="134">
        <v>5.27</v>
      </c>
      <c r="I25" s="134">
        <v>468</v>
      </c>
      <c r="J25" s="105"/>
      <c r="K25">
        <v>24</v>
      </c>
      <c r="L25" s="134">
        <v>9.75</v>
      </c>
      <c r="M25" s="134">
        <v>234</v>
      </c>
      <c r="N25" s="136"/>
      <c r="O25" s="93"/>
      <c r="P25" s="115"/>
      <c r="Q25" s="94"/>
      <c r="R25" s="94"/>
      <c r="S25" s="134">
        <v>9.75</v>
      </c>
      <c r="T25" s="134">
        <v>234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160</v>
      </c>
      <c r="C26" t="s">
        <v>161</v>
      </c>
      <c r="D26" s="87"/>
      <c r="E26" s="100"/>
      <c r="F26">
        <v>2</v>
      </c>
      <c r="G26" s="134">
        <v>26698.5</v>
      </c>
      <c r="H26" s="134">
        <v>7208.6</v>
      </c>
      <c r="I26" s="134">
        <v>53397</v>
      </c>
      <c r="J26" s="105"/>
      <c r="K26">
        <v>2</v>
      </c>
      <c r="L26" s="134">
        <v>13349.25</v>
      </c>
      <c r="M26" s="134">
        <v>26698.5</v>
      </c>
      <c r="N26" s="136"/>
      <c r="O26" s="93"/>
      <c r="P26" s="98"/>
      <c r="Q26" s="102"/>
      <c r="R26" s="108"/>
      <c r="S26" s="134">
        <v>13349.25</v>
      </c>
      <c r="T26" s="134">
        <v>26698.5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t="s">
        <v>162</v>
      </c>
      <c r="C27" t="s">
        <v>163</v>
      </c>
      <c r="D27" s="87"/>
      <c r="E27" s="88"/>
      <c r="F27">
        <v>4</v>
      </c>
      <c r="G27" s="134">
        <v>5216.5</v>
      </c>
      <c r="H27" s="134">
        <v>1408.46</v>
      </c>
      <c r="I27" s="134">
        <v>20866</v>
      </c>
      <c r="J27" s="105"/>
      <c r="K27">
        <v>4</v>
      </c>
      <c r="L27" s="134">
        <v>2608.25</v>
      </c>
      <c r="M27" s="134">
        <v>10433</v>
      </c>
      <c r="O27" s="93"/>
      <c r="P27" s="115"/>
      <c r="Q27" s="94"/>
      <c r="R27" s="94"/>
      <c r="S27" s="134">
        <v>2608.25</v>
      </c>
      <c r="T27" s="134">
        <v>10433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123</v>
      </c>
      <c r="I28" t="s">
        <v>123</v>
      </c>
      <c r="J28" s="105"/>
      <c r="K28">
        <v>0</v>
      </c>
      <c r="L28" t="s">
        <v>123</v>
      </c>
      <c r="M28" t="s">
        <v>123</v>
      </c>
      <c r="O28" s="93"/>
      <c r="P28" s="98"/>
      <c r="Q28" s="102"/>
      <c r="R28" s="108"/>
      <c r="S28" t="s">
        <v>123</v>
      </c>
      <c r="T28" t="s">
        <v>123</v>
      </c>
      <c r="U28" s="135">
        <v>0</v>
      </c>
      <c r="V28" s="135">
        <v>0</v>
      </c>
      <c r="W28" s="111"/>
      <c r="X28" s="97"/>
      <c r="Y28" s="8"/>
      <c r="Z28" s="116"/>
    </row>
    <row r="29" spans="2:26" ht="15.75" customHeight="1">
      <c r="D29" s="87"/>
      <c r="E29" s="88"/>
      <c r="H29" t="s">
        <v>123</v>
      </c>
      <c r="I29" t="s">
        <v>123</v>
      </c>
      <c r="J29" s="105"/>
      <c r="K29">
        <v>0</v>
      </c>
      <c r="L29" t="s">
        <v>123</v>
      </c>
      <c r="M29" t="s">
        <v>123</v>
      </c>
      <c r="O29" s="93"/>
      <c r="P29" s="115"/>
      <c r="Q29" s="94"/>
      <c r="R29" s="94"/>
      <c r="S29" t="s">
        <v>123</v>
      </c>
      <c r="T29" t="s">
        <v>123</v>
      </c>
      <c r="U29" s="135">
        <v>0</v>
      </c>
      <c r="V29" s="135">
        <v>0</v>
      </c>
      <c r="W29" s="96"/>
      <c r="X29" s="97"/>
      <c r="Y29" s="8"/>
      <c r="Z29" s="8"/>
    </row>
    <row r="30" spans="2:26" ht="15.75" customHeight="1">
      <c r="D30" s="87"/>
      <c r="E30" s="100"/>
      <c r="H30" t="s">
        <v>123</v>
      </c>
      <c r="I30" t="s">
        <v>123</v>
      </c>
      <c r="J30" s="105"/>
      <c r="K30">
        <v>0</v>
      </c>
      <c r="L30" t="s">
        <v>123</v>
      </c>
      <c r="M30" t="s">
        <v>123</v>
      </c>
      <c r="O30" s="93"/>
      <c r="P30" s="98"/>
      <c r="Q30" s="102"/>
      <c r="R30" s="108"/>
      <c r="S30" t="s">
        <v>123</v>
      </c>
      <c r="T30" t="s">
        <v>123</v>
      </c>
      <c r="U30" s="135">
        <v>0</v>
      </c>
      <c r="V30" s="135">
        <v>0</v>
      </c>
      <c r="W30" s="111"/>
      <c r="X30" s="97"/>
      <c r="Y30" s="8"/>
      <c r="Z30" s="8"/>
    </row>
    <row r="31" spans="2:26" ht="15.75" customHeight="1">
      <c r="D31" s="87"/>
      <c r="E31" s="88"/>
      <c r="H31" t="s">
        <v>123</v>
      </c>
      <c r="I31" t="s">
        <v>123</v>
      </c>
      <c r="J31" s="105"/>
      <c r="K31">
        <v>0</v>
      </c>
      <c r="L31" t="s">
        <v>123</v>
      </c>
      <c r="M31" t="s">
        <v>123</v>
      </c>
      <c r="O31" s="93"/>
      <c r="P31" s="115"/>
      <c r="Q31" s="94"/>
      <c r="R31" s="94"/>
      <c r="S31" t="s">
        <v>123</v>
      </c>
      <c r="T31" t="s">
        <v>123</v>
      </c>
      <c r="U31" s="135">
        <v>0</v>
      </c>
      <c r="V31" s="135">
        <v>0</v>
      </c>
      <c r="W31" s="96"/>
      <c r="X31" s="97"/>
      <c r="Y31" s="8"/>
      <c r="Z31" s="8"/>
    </row>
    <row r="32" spans="2:26" ht="15.75" customHeight="1">
      <c r="D32" s="87"/>
      <c r="E32" s="100"/>
      <c r="H32" t="s">
        <v>123</v>
      </c>
      <c r="I32" t="s">
        <v>123</v>
      </c>
      <c r="J32" s="105"/>
      <c r="K32">
        <v>0</v>
      </c>
      <c r="L32" t="s">
        <v>123</v>
      </c>
      <c r="M32" t="s">
        <v>123</v>
      </c>
      <c r="O32" s="93"/>
      <c r="P32" s="98"/>
      <c r="Q32" s="102"/>
      <c r="R32" s="108"/>
      <c r="S32" t="s">
        <v>123</v>
      </c>
      <c r="T32" t="s">
        <v>123</v>
      </c>
      <c r="U32" s="135">
        <v>0</v>
      </c>
      <c r="V32" s="135">
        <v>0</v>
      </c>
      <c r="W32" s="111"/>
      <c r="X32" s="97"/>
      <c r="Y32" s="8"/>
      <c r="Z32" s="8"/>
    </row>
    <row r="33" spans="2:23" ht="15.75" customHeight="1">
      <c r="D33" s="87"/>
      <c r="E33" s="88"/>
      <c r="H33" t="s">
        <v>123</v>
      </c>
      <c r="I33" t="s">
        <v>123</v>
      </c>
      <c r="J33" s="105"/>
      <c r="K33">
        <v>0</v>
      </c>
      <c r="L33" t="s">
        <v>123</v>
      </c>
      <c r="M33" t="s">
        <v>123</v>
      </c>
      <c r="O33" s="93"/>
      <c r="P33" s="115"/>
      <c r="Q33" s="94"/>
      <c r="R33" s="94"/>
      <c r="S33" t="s">
        <v>123</v>
      </c>
      <c r="T33" t="s">
        <v>123</v>
      </c>
      <c r="U33" s="135">
        <v>0</v>
      </c>
      <c r="V33" s="135">
        <v>0</v>
      </c>
      <c r="W33" s="96"/>
    </row>
    <row r="34" spans="2:23" ht="15.75" customHeight="1">
      <c r="D34" s="87"/>
      <c r="E34" s="100"/>
      <c r="H34" t="s">
        <v>123</v>
      </c>
      <c r="I34" t="s">
        <v>123</v>
      </c>
      <c r="J34" s="105"/>
      <c r="K34">
        <v>0</v>
      </c>
      <c r="L34" t="s">
        <v>123</v>
      </c>
      <c r="M34" t="s">
        <v>123</v>
      </c>
      <c r="O34" s="93"/>
      <c r="P34" s="98"/>
      <c r="Q34" s="102"/>
      <c r="R34" s="108"/>
      <c r="S34" t="s">
        <v>123</v>
      </c>
      <c r="T34" t="s">
        <v>123</v>
      </c>
      <c r="U34" s="135">
        <v>0</v>
      </c>
      <c r="V34" s="135">
        <v>0</v>
      </c>
      <c r="W34" s="111"/>
    </row>
    <row r="35" spans="2:23" ht="15.75" customHeight="1">
      <c r="D35" s="87"/>
      <c r="E35" s="88"/>
      <c r="H35" t="s">
        <v>123</v>
      </c>
      <c r="I35" t="s">
        <v>123</v>
      </c>
      <c r="J35" s="105"/>
      <c r="K35">
        <v>0</v>
      </c>
      <c r="L35" t="s">
        <v>123</v>
      </c>
      <c r="M35" t="s">
        <v>123</v>
      </c>
      <c r="O35" s="93"/>
      <c r="P35" s="115"/>
      <c r="Q35" s="94"/>
      <c r="R35" s="94"/>
      <c r="S35" t="s">
        <v>123</v>
      </c>
      <c r="T35" t="s">
        <v>123</v>
      </c>
      <c r="U35" s="135">
        <v>0</v>
      </c>
      <c r="V35" s="135">
        <v>0</v>
      </c>
      <c r="W35" s="96"/>
    </row>
    <row r="36" spans="2:23" ht="15.75" customHeight="1">
      <c r="B36" t="s">
        <v>164</v>
      </c>
      <c r="C36" t="s">
        <v>165</v>
      </c>
      <c r="D36" s="87"/>
      <c r="E36" s="100"/>
      <c r="F36">
        <v>2</v>
      </c>
      <c r="G36" s="134">
        <v>56144.5</v>
      </c>
      <c r="H36" s="134">
        <v>15159.02</v>
      </c>
      <c r="I36" s="134">
        <v>112289</v>
      </c>
      <c r="J36" s="105"/>
      <c r="K36">
        <v>2</v>
      </c>
      <c r="L36" s="134">
        <v>28072.25</v>
      </c>
      <c r="M36" s="134">
        <v>56144.5</v>
      </c>
      <c r="O36" s="93"/>
      <c r="P36" s="98"/>
      <c r="Q36" s="102"/>
      <c r="R36" s="108"/>
      <c r="S36" s="134">
        <v>28072.25</v>
      </c>
      <c r="T36" s="134">
        <v>56144.5</v>
      </c>
      <c r="U36" s="135">
        <v>0</v>
      </c>
      <c r="V36" s="135">
        <v>1</v>
      </c>
      <c r="W36" s="111"/>
    </row>
    <row r="37" spans="2:23" ht="15.75" customHeight="1">
      <c r="B37" t="s">
        <v>166</v>
      </c>
      <c r="C37" t="s">
        <v>227</v>
      </c>
      <c r="D37" s="87"/>
      <c r="E37" s="88"/>
      <c r="F37">
        <v>88</v>
      </c>
      <c r="G37" s="134">
        <v>1188</v>
      </c>
      <c r="H37" s="134">
        <v>320.76</v>
      </c>
      <c r="I37" s="134">
        <v>104544</v>
      </c>
      <c r="J37" s="105"/>
      <c r="K37">
        <v>88</v>
      </c>
      <c r="L37" s="134">
        <v>594</v>
      </c>
      <c r="M37" s="134">
        <v>52272</v>
      </c>
      <c r="O37" s="93"/>
      <c r="P37" s="115"/>
      <c r="Q37" s="94"/>
      <c r="R37" s="94"/>
      <c r="S37" s="134">
        <v>594</v>
      </c>
      <c r="T37" s="134">
        <v>52272</v>
      </c>
      <c r="U37" s="135">
        <v>0</v>
      </c>
      <c r="V37" s="135">
        <v>1</v>
      </c>
      <c r="W37" s="96"/>
    </row>
    <row r="38" spans="2:23" ht="15.75" customHeight="1">
      <c r="B38" t="s">
        <v>168</v>
      </c>
      <c r="C38" t="s">
        <v>169</v>
      </c>
      <c r="D38" s="87"/>
      <c r="E38" s="100"/>
      <c r="F38">
        <v>344</v>
      </c>
      <c r="G38" s="134">
        <v>39</v>
      </c>
      <c r="H38" s="134">
        <v>10.53</v>
      </c>
      <c r="I38" s="134">
        <v>13416</v>
      </c>
      <c r="J38" s="105"/>
      <c r="K38">
        <v>344</v>
      </c>
      <c r="L38" s="134">
        <v>19.5</v>
      </c>
      <c r="M38" s="134">
        <v>6708</v>
      </c>
      <c r="O38" s="93"/>
      <c r="P38" s="98"/>
      <c r="Q38" s="102"/>
      <c r="R38" s="108"/>
      <c r="S38" s="134">
        <v>19.5</v>
      </c>
      <c r="T38" s="134">
        <v>6708</v>
      </c>
      <c r="U38" s="135">
        <v>0</v>
      </c>
      <c r="V38" s="135">
        <v>1</v>
      </c>
      <c r="W38" s="111"/>
    </row>
    <row r="39" spans="2:23" ht="15.75" customHeight="1">
      <c r="B39" t="s">
        <v>170</v>
      </c>
      <c r="C39" t="s">
        <v>171</v>
      </c>
      <c r="D39" s="87"/>
      <c r="E39" s="88"/>
      <c r="F39">
        <v>344</v>
      </c>
      <c r="G39" s="134">
        <v>13</v>
      </c>
      <c r="H39" s="134">
        <v>3.51</v>
      </c>
      <c r="I39" s="134">
        <v>4472</v>
      </c>
      <c r="J39" s="105"/>
      <c r="K39">
        <v>344</v>
      </c>
      <c r="L39" s="134">
        <v>6.5</v>
      </c>
      <c r="M39" s="134">
        <v>2236</v>
      </c>
      <c r="O39" s="93"/>
      <c r="P39" s="115"/>
      <c r="Q39" s="94"/>
      <c r="R39" s="94"/>
      <c r="S39" s="134">
        <v>6.5</v>
      </c>
      <c r="T39" s="134">
        <v>2236</v>
      </c>
      <c r="U39" s="135">
        <v>0</v>
      </c>
      <c r="V39" s="135">
        <v>1</v>
      </c>
      <c r="W39" s="111"/>
    </row>
    <row r="40" spans="2:23" ht="15.75" customHeight="1">
      <c r="B40" t="s">
        <v>172</v>
      </c>
      <c r="C40" t="s">
        <v>173</v>
      </c>
      <c r="D40" s="87"/>
      <c r="E40" s="100"/>
      <c r="F40">
        <v>4</v>
      </c>
      <c r="G40" s="134">
        <v>43.5</v>
      </c>
      <c r="H40" s="134">
        <v>11.75</v>
      </c>
      <c r="I40" s="134">
        <v>174</v>
      </c>
      <c r="J40" s="105"/>
      <c r="K40">
        <v>4</v>
      </c>
      <c r="L40" s="134">
        <v>21.75</v>
      </c>
      <c r="M40" s="134">
        <v>87</v>
      </c>
      <c r="O40" s="93"/>
      <c r="P40" s="98"/>
      <c r="Q40" s="102"/>
      <c r="R40" s="108"/>
      <c r="S40" s="134">
        <v>21.75</v>
      </c>
      <c r="T40" s="134">
        <v>87</v>
      </c>
      <c r="U40" s="135">
        <v>0</v>
      </c>
      <c r="V40" s="135">
        <v>1</v>
      </c>
      <c r="W40" s="111"/>
    </row>
    <row r="41" spans="2:23" ht="15.75" customHeight="1">
      <c r="B41" t="s">
        <v>174</v>
      </c>
      <c r="C41" t="s">
        <v>175</v>
      </c>
      <c r="D41" s="130"/>
      <c r="E41" s="100"/>
      <c r="F41">
        <v>4</v>
      </c>
      <c r="G41" s="134">
        <v>59</v>
      </c>
      <c r="H41" s="134">
        <v>15.93</v>
      </c>
      <c r="I41" s="134">
        <v>236</v>
      </c>
      <c r="J41" s="131"/>
      <c r="K41">
        <v>4</v>
      </c>
      <c r="L41" s="134">
        <v>29.5</v>
      </c>
      <c r="M41" s="134">
        <v>118</v>
      </c>
      <c r="O41" s="132"/>
      <c r="P41" s="98"/>
      <c r="Q41" s="102"/>
      <c r="R41" s="108"/>
      <c r="S41" s="134">
        <v>29.5</v>
      </c>
      <c r="T41" s="134">
        <v>118</v>
      </c>
      <c r="U41" s="135">
        <v>0</v>
      </c>
      <c r="V41" s="135">
        <v>1</v>
      </c>
      <c r="W41" s="133"/>
    </row>
    <row r="42" spans="2:23" ht="15.75" customHeight="1">
      <c r="D42" s="130"/>
      <c r="E42" s="100"/>
      <c r="G42" s="134"/>
      <c r="H42" s="134"/>
      <c r="I42" s="134"/>
      <c r="J42" s="131"/>
      <c r="L42" s="134"/>
      <c r="M42" s="134"/>
      <c r="O42" s="132"/>
      <c r="P42" s="98"/>
      <c r="Q42" s="102"/>
      <c r="R42" s="108"/>
      <c r="S42" s="134"/>
      <c r="T42" s="134"/>
      <c r="U42" s="135"/>
      <c r="V42" s="135"/>
      <c r="W42" s="133"/>
    </row>
    <row r="43" spans="2:23" ht="15.75" customHeight="1">
      <c r="D43" s="130"/>
      <c r="E43" s="100"/>
      <c r="G43" s="134"/>
      <c r="H43" s="134"/>
      <c r="I43" s="134"/>
      <c r="J43" s="131"/>
      <c r="L43" s="134"/>
      <c r="M43" s="134"/>
      <c r="O43" s="132"/>
      <c r="P43" s="98"/>
      <c r="Q43" s="102"/>
      <c r="R43" s="108"/>
      <c r="S43" s="134"/>
      <c r="T43" s="134"/>
      <c r="U43" s="135"/>
      <c r="V43" s="135"/>
      <c r="W43" s="133"/>
    </row>
    <row r="44" spans="2:23" ht="15.75" customHeight="1">
      <c r="D44" s="130"/>
      <c r="E44" s="100"/>
      <c r="G44" s="134"/>
      <c r="H44" s="134"/>
      <c r="I44" s="134"/>
      <c r="J44" s="131"/>
      <c r="L44" s="134"/>
      <c r="M44" s="134"/>
      <c r="O44" s="132"/>
      <c r="P44" s="98"/>
      <c r="Q44" s="102"/>
      <c r="R44" s="108"/>
      <c r="S44" s="134"/>
      <c r="T44" s="134"/>
      <c r="U44" s="135"/>
      <c r="V44" s="135"/>
      <c r="W44" s="133"/>
    </row>
    <row r="45" spans="2:23" ht="15.75" customHeight="1">
      <c r="D45" s="130"/>
      <c r="E45" s="100"/>
      <c r="G45" s="134"/>
      <c r="H45" s="134"/>
      <c r="I45" s="134"/>
      <c r="J45" s="131"/>
      <c r="L45" s="134"/>
      <c r="M45" s="134"/>
      <c r="O45" s="132"/>
      <c r="P45" s="98"/>
      <c r="Q45" s="102"/>
      <c r="R45" s="108"/>
      <c r="S45" s="134"/>
      <c r="T45" s="134"/>
      <c r="U45" s="135"/>
      <c r="V45" s="135"/>
      <c r="W45" s="133"/>
    </row>
    <row r="46" spans="2:23" ht="15.75" customHeight="1">
      <c r="D46" s="130"/>
      <c r="E46" s="100"/>
      <c r="G46" s="134"/>
      <c r="H46" s="134"/>
      <c r="I46" s="134"/>
      <c r="J46" s="131"/>
      <c r="L46" s="134"/>
      <c r="M46" s="134"/>
      <c r="O46" s="132"/>
      <c r="P46" s="98"/>
      <c r="Q46" s="102"/>
      <c r="R46" s="108"/>
      <c r="S46" s="134"/>
      <c r="T46" s="134"/>
      <c r="U46" s="135"/>
      <c r="V46" s="135"/>
      <c r="W46" s="133"/>
    </row>
    <row r="47" spans="2:23" ht="15.75" customHeight="1">
      <c r="B47" s="232"/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B48" s="232"/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J49" s="131"/>
      <c r="O49" s="132"/>
      <c r="P49" s="98"/>
      <c r="Q49" s="102"/>
      <c r="R49" s="108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1064</v>
      </c>
      <c r="G66" s="121">
        <f t="shared" si="0"/>
        <v>93376</v>
      </c>
      <c r="H66" s="122">
        <f t="shared" si="0"/>
        <v>25211.559999999998</v>
      </c>
      <c r="I66" s="123">
        <f t="shared" si="0"/>
        <v>337856</v>
      </c>
      <c r="J66" s="124"/>
      <c r="K66" s="125">
        <f t="shared" ref="K66:M66" si="1">SUM(K19:K65)</f>
        <v>1064</v>
      </c>
      <c r="L66" s="122">
        <f t="shared" si="1"/>
        <v>46688</v>
      </c>
      <c r="M66" s="123">
        <f t="shared" si="1"/>
        <v>168928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46688</v>
      </c>
      <c r="T66" s="123">
        <f t="shared" si="2"/>
        <v>168928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43" priority="1" stopIfTrue="1">
      <formula>$U$9&gt;100%</formula>
    </cfRule>
    <cfRule type="expression" dxfId="42" priority="2">
      <formula>$U$9&lt;50%</formula>
    </cfRule>
  </conditionalFormatting>
  <conditionalFormatting sqref="V9:V11">
    <cfRule type="expression" dxfId="41" priority="3">
      <formula>$V$9&lt;50%</formula>
    </cfRule>
    <cfRule type="expression" dxfId="40" priority="4">
      <formula>$V$9&gt;50%</formula>
    </cfRule>
  </conditionalFormatting>
  <dataValidations count="4">
    <dataValidation type="list" allowBlank="1" showErrorMessage="1" sqref="Q15 G18 L18 Q18" xr:uid="{B8939B37-8179-4E12-A673-64F483D0823E}">
      <formula1>$Y$12:$Y$13</formula1>
    </dataValidation>
    <dataValidation type="list" allowBlank="1" showErrorMessage="1" sqref="J14" xr:uid="{414D7B5F-B8E9-4B5E-8D6A-5E0F3FADA1F0}">
      <formula1>$L$9</formula1>
    </dataValidation>
    <dataValidation type="list" allowBlank="1" showErrorMessage="1" sqref="I14" xr:uid="{0AF49293-5818-46CF-BB0E-E0BED2ABF4B3}">
      <formula1>$Y$14:$Y$15</formula1>
    </dataValidation>
    <dataValidation type="list" allowBlank="1" showErrorMessage="1" sqref="E19:E65" xr:uid="{5BA89770-98EE-4F2F-8680-401C4EB18E87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8EA1-92EC-44B5-AEA3-7ADB20ACED21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238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1203339.5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601669.75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601669.75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 t="s">
        <v>143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0.5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232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601669.75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601669.75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223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134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179</v>
      </c>
      <c r="C19" t="s">
        <v>109</v>
      </c>
      <c r="D19" s="87"/>
      <c r="E19" s="88"/>
      <c r="F19">
        <v>1</v>
      </c>
      <c r="G19" s="134">
        <v>125.5</v>
      </c>
      <c r="H19" s="134">
        <v>33.89</v>
      </c>
      <c r="I19" s="134">
        <v>125.5</v>
      </c>
      <c r="J19" s="92"/>
      <c r="K19">
        <v>1</v>
      </c>
      <c r="L19" s="134">
        <v>62.75</v>
      </c>
      <c r="M19" s="134">
        <v>62.75</v>
      </c>
      <c r="O19" s="93"/>
      <c r="P19" s="86"/>
      <c r="Q19" s="94"/>
      <c r="R19" s="94"/>
      <c r="S19" s="134">
        <v>62.75</v>
      </c>
      <c r="T19" s="134">
        <v>62.75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234</v>
      </c>
      <c r="C20" t="s">
        <v>110</v>
      </c>
      <c r="D20" s="87"/>
      <c r="E20" s="100"/>
      <c r="F20">
        <v>1</v>
      </c>
      <c r="G20" s="134">
        <v>251</v>
      </c>
      <c r="H20" s="134">
        <v>67.77</v>
      </c>
      <c r="I20" s="134">
        <v>251</v>
      </c>
      <c r="J20" s="105"/>
      <c r="K20">
        <v>1</v>
      </c>
      <c r="L20" s="134">
        <v>125.5</v>
      </c>
      <c r="M20" s="134">
        <v>125.5</v>
      </c>
      <c r="O20" s="93"/>
      <c r="P20" s="98"/>
      <c r="Q20" s="102"/>
      <c r="R20" s="108"/>
      <c r="S20" s="134">
        <v>125.5</v>
      </c>
      <c r="T20" s="134">
        <v>125.5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134</v>
      </c>
      <c r="C21" t="s">
        <v>117</v>
      </c>
      <c r="D21" s="87"/>
      <c r="E21" s="88"/>
      <c r="F21">
        <v>1</v>
      </c>
      <c r="G21" s="134">
        <v>147</v>
      </c>
      <c r="H21" s="134">
        <v>39.69</v>
      </c>
      <c r="I21" s="134">
        <v>147</v>
      </c>
      <c r="J21" s="105"/>
      <c r="K21">
        <v>1</v>
      </c>
      <c r="L21" s="134">
        <v>73.5</v>
      </c>
      <c r="M21" s="134">
        <v>73.5</v>
      </c>
      <c r="O21" s="93"/>
      <c r="P21" s="115"/>
      <c r="Q21" s="94"/>
      <c r="R21" s="94"/>
      <c r="S21" s="134">
        <v>73.5</v>
      </c>
      <c r="T21" s="134">
        <v>73.5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136</v>
      </c>
      <c r="C22" t="s">
        <v>181</v>
      </c>
      <c r="D22" s="87"/>
      <c r="E22" s="100"/>
      <c r="F22">
        <v>1</v>
      </c>
      <c r="G22" s="134">
        <v>484.5</v>
      </c>
      <c r="H22" s="134">
        <v>130.82</v>
      </c>
      <c r="I22" s="134">
        <v>484.5</v>
      </c>
      <c r="J22" s="105"/>
      <c r="K22">
        <v>1</v>
      </c>
      <c r="L22" s="134">
        <v>242.25</v>
      </c>
      <c r="M22" s="134">
        <v>242.25</v>
      </c>
      <c r="O22" s="93"/>
      <c r="P22" s="98"/>
      <c r="Q22" s="102"/>
      <c r="R22" s="108"/>
      <c r="S22" s="134">
        <v>242.25</v>
      </c>
      <c r="T22" s="134">
        <v>242.25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182</v>
      </c>
      <c r="C23" t="s">
        <v>183</v>
      </c>
      <c r="D23" s="87"/>
      <c r="E23" s="88"/>
      <c r="F23">
        <v>1</v>
      </c>
      <c r="G23" s="134">
        <v>556</v>
      </c>
      <c r="H23" s="134">
        <v>150.12</v>
      </c>
      <c r="I23" s="134">
        <v>556</v>
      </c>
      <c r="J23" s="105"/>
      <c r="K23">
        <v>1</v>
      </c>
      <c r="L23" s="134">
        <v>278</v>
      </c>
      <c r="M23" s="134">
        <v>278</v>
      </c>
      <c r="O23" s="93"/>
      <c r="P23" s="115"/>
      <c r="Q23" s="94"/>
      <c r="R23" s="94"/>
      <c r="S23" s="134">
        <v>278</v>
      </c>
      <c r="T23" s="134">
        <v>278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184</v>
      </c>
      <c r="C24" t="s">
        <v>111</v>
      </c>
      <c r="D24" s="87"/>
      <c r="E24" s="100"/>
      <c r="F24">
        <v>1</v>
      </c>
      <c r="G24" s="134">
        <v>493</v>
      </c>
      <c r="H24" s="134">
        <v>133.11000000000001</v>
      </c>
      <c r="I24" s="134">
        <v>493</v>
      </c>
      <c r="J24" s="105"/>
      <c r="K24">
        <v>1</v>
      </c>
      <c r="L24" s="134">
        <v>246.5</v>
      </c>
      <c r="M24" s="134">
        <v>246.5</v>
      </c>
      <c r="N24" s="136"/>
      <c r="O24" s="93"/>
      <c r="P24" s="98"/>
      <c r="Q24" s="102"/>
      <c r="R24" s="108"/>
      <c r="S24" s="134">
        <v>246.5</v>
      </c>
      <c r="T24" s="134">
        <v>246.5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185</v>
      </c>
      <c r="C25" t="s">
        <v>112</v>
      </c>
      <c r="D25" s="87"/>
      <c r="E25" s="88"/>
      <c r="F25">
        <v>1</v>
      </c>
      <c r="G25" s="134">
        <v>2025</v>
      </c>
      <c r="H25" s="134">
        <v>546.75</v>
      </c>
      <c r="I25" s="134">
        <v>2025</v>
      </c>
      <c r="J25" s="105"/>
      <c r="K25">
        <v>1</v>
      </c>
      <c r="L25" s="134">
        <v>1012.5</v>
      </c>
      <c r="M25" s="134">
        <v>1012.5</v>
      </c>
      <c r="N25" s="136"/>
      <c r="O25" s="93"/>
      <c r="P25" s="115"/>
      <c r="Q25" s="94"/>
      <c r="R25" s="94"/>
      <c r="S25" s="134">
        <v>1012.5</v>
      </c>
      <c r="T25" s="134">
        <v>1012.5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186</v>
      </c>
      <c r="C26" t="s">
        <v>187</v>
      </c>
      <c r="D26" s="87"/>
      <c r="E26" s="100"/>
      <c r="F26">
        <v>1</v>
      </c>
      <c r="G26" s="134">
        <v>168928</v>
      </c>
      <c r="H26" s="134">
        <v>45610.559999999998</v>
      </c>
      <c r="I26" s="134">
        <v>168928</v>
      </c>
      <c r="J26" s="105"/>
      <c r="K26">
        <v>1</v>
      </c>
      <c r="L26" s="134">
        <v>84464</v>
      </c>
      <c r="M26" s="134">
        <v>84464</v>
      </c>
      <c r="N26" s="136"/>
      <c r="O26" s="93"/>
      <c r="P26" s="98"/>
      <c r="Q26" s="102"/>
      <c r="R26" s="108"/>
      <c r="S26" s="134">
        <v>84464</v>
      </c>
      <c r="T26" s="134">
        <v>84464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s="232" t="s">
        <v>188</v>
      </c>
      <c r="C27" t="s">
        <v>127</v>
      </c>
      <c r="D27" s="87"/>
      <c r="E27" s="88"/>
      <c r="F27">
        <v>1</v>
      </c>
      <c r="G27" s="134">
        <v>69676.5</v>
      </c>
      <c r="H27" s="134">
        <v>18812.66</v>
      </c>
      <c r="I27" s="134">
        <v>69676.5</v>
      </c>
      <c r="J27" s="105"/>
      <c r="K27">
        <v>1</v>
      </c>
      <c r="L27" s="134">
        <v>34838.25</v>
      </c>
      <c r="M27" s="134">
        <v>34838.25</v>
      </c>
      <c r="O27" s="93"/>
      <c r="P27" s="115"/>
      <c r="Q27" s="94"/>
      <c r="R27" s="94"/>
      <c r="S27" s="134">
        <v>34838.25</v>
      </c>
      <c r="T27" s="134">
        <v>34838.25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t="s">
        <v>189</v>
      </c>
      <c r="C28" t="s">
        <v>129</v>
      </c>
      <c r="D28" s="87"/>
      <c r="E28" s="100"/>
      <c r="F28">
        <v>1</v>
      </c>
      <c r="G28" s="134">
        <v>936.5</v>
      </c>
      <c r="H28" s="134">
        <v>252.86</v>
      </c>
      <c r="I28" s="134">
        <v>936.5</v>
      </c>
      <c r="J28" s="105"/>
      <c r="K28">
        <v>1</v>
      </c>
      <c r="L28" s="134">
        <v>468.25</v>
      </c>
      <c r="M28" s="134">
        <v>468.25</v>
      </c>
      <c r="O28" s="93"/>
      <c r="P28" s="98"/>
      <c r="Q28" s="102"/>
      <c r="R28" s="108"/>
      <c r="S28" s="134">
        <v>468.25</v>
      </c>
      <c r="T28" s="134">
        <v>468.25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190</v>
      </c>
      <c r="C29" t="s">
        <v>191</v>
      </c>
      <c r="D29" s="87"/>
      <c r="E29" s="88"/>
      <c r="F29">
        <v>1</v>
      </c>
      <c r="G29" s="134">
        <v>15</v>
      </c>
      <c r="H29" s="134">
        <v>4.05</v>
      </c>
      <c r="I29" s="134">
        <v>15</v>
      </c>
      <c r="J29" s="105"/>
      <c r="K29">
        <v>1</v>
      </c>
      <c r="L29" s="134">
        <v>7.5</v>
      </c>
      <c r="M29" s="134">
        <v>7.5</v>
      </c>
      <c r="O29" s="93"/>
      <c r="P29" s="115"/>
      <c r="Q29" s="94"/>
      <c r="R29" s="94"/>
      <c r="S29" s="134">
        <v>7.5</v>
      </c>
      <c r="T29" s="134">
        <v>7.5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s="232" t="s">
        <v>192</v>
      </c>
      <c r="C30" t="s">
        <v>193</v>
      </c>
      <c r="D30" s="87"/>
      <c r="E30" s="100"/>
      <c r="F30">
        <v>1</v>
      </c>
      <c r="G30" s="134">
        <v>49</v>
      </c>
      <c r="H30" s="134">
        <v>13.23</v>
      </c>
      <c r="I30" s="134">
        <v>49</v>
      </c>
      <c r="J30" s="105"/>
      <c r="K30">
        <v>1</v>
      </c>
      <c r="L30" s="134">
        <v>24.5</v>
      </c>
      <c r="M30" s="134">
        <v>24.5</v>
      </c>
      <c r="O30" s="93"/>
      <c r="P30" s="98"/>
      <c r="Q30" s="102"/>
      <c r="R30" s="108"/>
      <c r="S30" s="134">
        <v>24.5</v>
      </c>
      <c r="T30" s="134">
        <v>24.5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235</v>
      </c>
      <c r="C31" t="s">
        <v>236</v>
      </c>
      <c r="D31" s="87"/>
      <c r="E31" s="88"/>
      <c r="F31">
        <v>1</v>
      </c>
      <c r="G31" s="134">
        <v>38950.5</v>
      </c>
      <c r="H31" s="134">
        <v>10516.64</v>
      </c>
      <c r="I31" s="134">
        <v>38950.5</v>
      </c>
      <c r="J31" s="105"/>
      <c r="K31">
        <v>1</v>
      </c>
      <c r="L31" s="134">
        <v>19475.25</v>
      </c>
      <c r="M31" s="134">
        <v>19475.25</v>
      </c>
      <c r="O31" s="93"/>
      <c r="P31" s="115"/>
      <c r="Q31" s="94"/>
      <c r="R31" s="94"/>
      <c r="S31" s="134">
        <v>19475.25</v>
      </c>
      <c r="T31" s="134">
        <v>19475.25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196</v>
      </c>
      <c r="C32" t="s">
        <v>197</v>
      </c>
      <c r="D32" s="87"/>
      <c r="E32" s="100"/>
      <c r="F32">
        <v>1</v>
      </c>
      <c r="G32" s="134">
        <v>17248</v>
      </c>
      <c r="H32" s="134">
        <v>4656.96</v>
      </c>
      <c r="I32" s="134">
        <v>17248</v>
      </c>
      <c r="J32" s="105"/>
      <c r="K32">
        <v>1</v>
      </c>
      <c r="L32" s="134">
        <v>8624</v>
      </c>
      <c r="M32" s="134">
        <v>8624</v>
      </c>
      <c r="O32" s="93"/>
      <c r="P32" s="98"/>
      <c r="Q32" s="102"/>
      <c r="R32" s="108"/>
      <c r="S32" s="134">
        <v>8624</v>
      </c>
      <c r="T32" s="134">
        <v>8624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198</v>
      </c>
      <c r="C33" t="s">
        <v>199</v>
      </c>
      <c r="D33" s="87"/>
      <c r="E33" s="88"/>
      <c r="F33">
        <v>1</v>
      </c>
      <c r="G33" s="134">
        <v>66474.5</v>
      </c>
      <c r="H33" s="134">
        <v>17948.12</v>
      </c>
      <c r="I33" s="134">
        <v>66474.5</v>
      </c>
      <c r="J33" s="105"/>
      <c r="K33">
        <v>1</v>
      </c>
      <c r="L33" s="134">
        <v>33237.25</v>
      </c>
      <c r="M33" s="134">
        <v>33237.25</v>
      </c>
      <c r="O33" s="93"/>
      <c r="P33" s="115"/>
      <c r="Q33" s="94"/>
      <c r="R33" s="94"/>
      <c r="S33" s="134">
        <v>33237.25</v>
      </c>
      <c r="T33" s="134">
        <v>33237.25</v>
      </c>
      <c r="U33" s="135">
        <v>0</v>
      </c>
      <c r="V33" s="135">
        <v>1</v>
      </c>
      <c r="W33" s="96"/>
    </row>
    <row r="34" spans="2:23" ht="15.75" customHeight="1">
      <c r="B34" t="s">
        <v>200</v>
      </c>
      <c r="C34" t="s">
        <v>115</v>
      </c>
      <c r="D34" s="87"/>
      <c r="E34" s="100"/>
      <c r="F34">
        <v>1</v>
      </c>
      <c r="G34" s="134">
        <v>43651.5</v>
      </c>
      <c r="H34" s="134">
        <v>11785.91</v>
      </c>
      <c r="I34" s="134">
        <v>43651.5</v>
      </c>
      <c r="J34" s="105"/>
      <c r="K34">
        <v>1</v>
      </c>
      <c r="L34" s="134">
        <v>21825.75</v>
      </c>
      <c r="M34" s="134">
        <v>21825.75</v>
      </c>
      <c r="O34" s="93"/>
      <c r="P34" s="98"/>
      <c r="Q34" s="102"/>
      <c r="R34" s="108"/>
      <c r="S34" s="134">
        <v>21825.75</v>
      </c>
      <c r="T34" s="134">
        <v>21825.75</v>
      </c>
      <c r="U34" s="135">
        <v>0</v>
      </c>
      <c r="V34" s="135">
        <v>1</v>
      </c>
      <c r="W34" s="111"/>
    </row>
    <row r="35" spans="2:23" ht="15.75" customHeight="1">
      <c r="B35" t="s">
        <v>201</v>
      </c>
      <c r="C35" t="s">
        <v>116</v>
      </c>
      <c r="D35" s="87"/>
      <c r="E35" s="88"/>
      <c r="F35">
        <v>1</v>
      </c>
      <c r="G35" s="134">
        <v>29434.5</v>
      </c>
      <c r="H35" s="134">
        <v>7947.32</v>
      </c>
      <c r="I35" s="134">
        <v>29434.5</v>
      </c>
      <c r="J35" s="105"/>
      <c r="K35">
        <v>1</v>
      </c>
      <c r="L35" s="134">
        <v>14717.25</v>
      </c>
      <c r="M35" s="134">
        <v>14717.25</v>
      </c>
      <c r="O35" s="93"/>
      <c r="P35" s="115"/>
      <c r="Q35" s="94"/>
      <c r="R35" s="94"/>
      <c r="S35" s="134">
        <v>14717.25</v>
      </c>
      <c r="T35" s="134">
        <v>14717.25</v>
      </c>
      <c r="U35" s="135">
        <v>0</v>
      </c>
      <c r="V35" s="135">
        <v>1</v>
      </c>
      <c r="W35" s="96"/>
    </row>
    <row r="36" spans="2:23" ht="15.75" customHeight="1">
      <c r="B36" t="s">
        <v>237</v>
      </c>
      <c r="C36" t="s">
        <v>203</v>
      </c>
      <c r="D36" s="87"/>
      <c r="E36" s="100"/>
      <c r="F36">
        <v>6</v>
      </c>
      <c r="G36" s="134">
        <v>5403.5</v>
      </c>
      <c r="H36" s="134">
        <v>1458.95</v>
      </c>
      <c r="I36" s="134">
        <v>32421</v>
      </c>
      <c r="J36" s="105"/>
      <c r="K36">
        <v>6</v>
      </c>
      <c r="L36" s="134">
        <v>2701.75</v>
      </c>
      <c r="M36" s="134">
        <v>16210.5</v>
      </c>
      <c r="O36" s="93"/>
      <c r="P36" s="98"/>
      <c r="Q36" s="102"/>
      <c r="R36" s="108"/>
      <c r="S36" s="134">
        <v>2701.75</v>
      </c>
      <c r="T36" s="134">
        <v>16210.5</v>
      </c>
      <c r="U36" s="135">
        <v>0</v>
      </c>
      <c r="V36" s="135">
        <v>1</v>
      </c>
      <c r="W36" s="111"/>
    </row>
    <row r="37" spans="2:23" ht="15.75" customHeight="1">
      <c r="B37" t="s">
        <v>204</v>
      </c>
      <c r="C37" t="s">
        <v>205</v>
      </c>
      <c r="D37" s="87"/>
      <c r="E37" s="88"/>
      <c r="F37">
        <v>2</v>
      </c>
      <c r="G37" s="134">
        <v>1050.5</v>
      </c>
      <c r="H37" s="134">
        <v>283.64</v>
      </c>
      <c r="I37" s="134">
        <v>2101</v>
      </c>
      <c r="J37" s="105"/>
      <c r="K37">
        <v>2</v>
      </c>
      <c r="L37" s="134">
        <v>525.25</v>
      </c>
      <c r="M37" s="134">
        <v>1050.5</v>
      </c>
      <c r="O37" s="93"/>
      <c r="P37" s="115"/>
      <c r="Q37" s="94"/>
      <c r="R37" s="94"/>
      <c r="S37" s="134">
        <v>525.25</v>
      </c>
      <c r="T37" s="134">
        <v>1050.5</v>
      </c>
      <c r="U37" s="135">
        <v>0</v>
      </c>
      <c r="V37" s="135">
        <v>1</v>
      </c>
      <c r="W37" s="96"/>
    </row>
    <row r="38" spans="2:23" ht="15.75" customHeight="1">
      <c r="B38" t="s">
        <v>229</v>
      </c>
      <c r="C38" t="s">
        <v>230</v>
      </c>
      <c r="D38" s="87"/>
      <c r="E38" s="100"/>
      <c r="F38">
        <v>1</v>
      </c>
      <c r="G38" s="134">
        <v>460409.5</v>
      </c>
      <c r="H38" s="134">
        <v>124310.57</v>
      </c>
      <c r="I38" s="134">
        <v>460409.5</v>
      </c>
      <c r="J38" s="105"/>
      <c r="K38">
        <v>1</v>
      </c>
      <c r="L38" s="134">
        <v>230204.75</v>
      </c>
      <c r="M38" s="134">
        <v>230204.75</v>
      </c>
      <c r="O38" s="93"/>
      <c r="P38" s="98"/>
      <c r="Q38" s="102"/>
      <c r="R38" s="108"/>
      <c r="S38" s="134">
        <v>230204.75</v>
      </c>
      <c r="T38" s="134">
        <v>230204.75</v>
      </c>
      <c r="U38" s="135">
        <v>0</v>
      </c>
      <c r="V38" s="135">
        <v>1</v>
      </c>
      <c r="W38" s="111"/>
    </row>
    <row r="39" spans="2:23" ht="15.75" customHeight="1">
      <c r="B39" t="s">
        <v>210</v>
      </c>
      <c r="C39" t="s">
        <v>209</v>
      </c>
      <c r="D39" s="87"/>
      <c r="E39" s="88"/>
      <c r="F39">
        <v>2</v>
      </c>
      <c r="G39" s="134">
        <v>2108.5</v>
      </c>
      <c r="H39" s="134">
        <v>569.29999999999995</v>
      </c>
      <c r="I39" s="134">
        <v>4217</v>
      </c>
      <c r="J39" s="105"/>
      <c r="K39">
        <v>2</v>
      </c>
      <c r="L39" s="134">
        <v>1054.25</v>
      </c>
      <c r="M39" s="134">
        <v>2108.5</v>
      </c>
      <c r="O39" s="93"/>
      <c r="P39" s="115"/>
      <c r="Q39" s="94"/>
      <c r="R39" s="94"/>
      <c r="S39" s="134">
        <v>1054.25</v>
      </c>
      <c r="T39" s="134">
        <v>2108.5</v>
      </c>
      <c r="U39" s="135">
        <v>0</v>
      </c>
      <c r="V39" s="135">
        <v>1</v>
      </c>
      <c r="W39" s="111"/>
    </row>
    <row r="40" spans="2:23" ht="15.75" customHeight="1">
      <c r="B40" t="s">
        <v>231</v>
      </c>
      <c r="C40" t="s">
        <v>209</v>
      </c>
      <c r="D40" s="87"/>
      <c r="E40" s="100"/>
      <c r="F40">
        <v>1</v>
      </c>
      <c r="G40" s="134">
        <v>1923</v>
      </c>
      <c r="H40" s="134">
        <v>519.21</v>
      </c>
      <c r="I40" s="134">
        <v>1923</v>
      </c>
      <c r="J40" s="105"/>
      <c r="K40">
        <v>1</v>
      </c>
      <c r="L40" s="134">
        <v>961.5</v>
      </c>
      <c r="M40" s="134">
        <v>961.5</v>
      </c>
      <c r="O40" s="93"/>
      <c r="P40" s="98"/>
      <c r="Q40" s="102"/>
      <c r="R40" s="108"/>
      <c r="S40" s="134">
        <v>961.5</v>
      </c>
      <c r="T40" s="134">
        <v>961.5</v>
      </c>
      <c r="U40" s="135">
        <v>0</v>
      </c>
      <c r="V40" s="135">
        <v>1</v>
      </c>
      <c r="W40" s="111"/>
    </row>
    <row r="41" spans="2:23" ht="15.75" customHeight="1">
      <c r="B41" t="s">
        <v>211</v>
      </c>
      <c r="C41" t="s">
        <v>120</v>
      </c>
      <c r="D41" s="130"/>
      <c r="E41" s="100"/>
      <c r="F41">
        <v>33</v>
      </c>
      <c r="G41" s="134">
        <v>24</v>
      </c>
      <c r="H41" s="134">
        <v>6.48</v>
      </c>
      <c r="I41" s="134">
        <v>792</v>
      </c>
      <c r="J41" s="131"/>
      <c r="K41">
        <v>33</v>
      </c>
      <c r="L41" s="134">
        <v>12</v>
      </c>
      <c r="M41" s="134">
        <v>396</v>
      </c>
      <c r="O41" s="132"/>
      <c r="P41" s="98"/>
      <c r="Q41" s="102"/>
      <c r="R41" s="108"/>
      <c r="S41" s="134">
        <v>12</v>
      </c>
      <c r="T41" s="134">
        <v>396</v>
      </c>
      <c r="U41" s="135">
        <v>0</v>
      </c>
      <c r="V41" s="135">
        <v>1</v>
      </c>
      <c r="W41" s="133"/>
    </row>
    <row r="42" spans="2:23" ht="15.75" customHeight="1">
      <c r="B42" t="s">
        <v>212</v>
      </c>
      <c r="C42" t="s">
        <v>213</v>
      </c>
      <c r="D42" s="130"/>
      <c r="E42" s="100"/>
      <c r="F42">
        <v>33</v>
      </c>
      <c r="G42" s="134">
        <v>19.5</v>
      </c>
      <c r="H42" s="134">
        <v>5.27</v>
      </c>
      <c r="I42" s="134">
        <v>643.5</v>
      </c>
      <c r="J42" s="131"/>
      <c r="K42">
        <v>33</v>
      </c>
      <c r="L42" s="134">
        <v>9.75</v>
      </c>
      <c r="M42" s="134">
        <v>321.75</v>
      </c>
      <c r="O42" s="132"/>
      <c r="P42" s="98"/>
      <c r="Q42" s="102"/>
      <c r="R42" s="108"/>
      <c r="S42" s="134">
        <v>9.75</v>
      </c>
      <c r="T42" s="134">
        <v>321.75</v>
      </c>
      <c r="U42" s="135">
        <v>0</v>
      </c>
      <c r="V42" s="135">
        <v>1</v>
      </c>
      <c r="W42" s="133"/>
    </row>
    <row r="43" spans="2:23" ht="15.75" customHeight="1">
      <c r="B43" t="s">
        <v>214</v>
      </c>
      <c r="C43" t="s">
        <v>215</v>
      </c>
      <c r="D43" s="130"/>
      <c r="E43" s="100"/>
      <c r="F43">
        <v>33</v>
      </c>
      <c r="G43" s="134">
        <v>20.5</v>
      </c>
      <c r="H43" s="134">
        <v>5.54</v>
      </c>
      <c r="I43" s="134">
        <v>676.5</v>
      </c>
      <c r="J43" s="131"/>
      <c r="K43">
        <v>33</v>
      </c>
      <c r="L43" s="134">
        <v>10.25</v>
      </c>
      <c r="M43" s="134">
        <v>338.25</v>
      </c>
      <c r="O43" s="132"/>
      <c r="P43" s="98"/>
      <c r="Q43" s="102"/>
      <c r="R43" s="108"/>
      <c r="S43" s="134">
        <v>10.25</v>
      </c>
      <c r="T43" s="134">
        <v>338.25</v>
      </c>
      <c r="U43" s="135">
        <v>0</v>
      </c>
      <c r="V43" s="135">
        <v>1</v>
      </c>
      <c r="W43" s="133"/>
    </row>
    <row r="44" spans="2:23" ht="15.75" customHeight="1">
      <c r="B44" s="232" t="s">
        <v>216</v>
      </c>
      <c r="C44" t="s">
        <v>217</v>
      </c>
      <c r="D44" s="130"/>
      <c r="E44" s="100"/>
      <c r="F44">
        <v>1</v>
      </c>
      <c r="G44" s="134">
        <v>2805.5</v>
      </c>
      <c r="H44" s="134">
        <v>757.49</v>
      </c>
      <c r="I44" s="134">
        <v>2805.5</v>
      </c>
      <c r="J44" s="131"/>
      <c r="K44">
        <v>1</v>
      </c>
      <c r="L44" s="134">
        <v>1402.75</v>
      </c>
      <c r="M44" s="134">
        <v>1402.75</v>
      </c>
      <c r="O44" s="132"/>
      <c r="P44" s="98"/>
      <c r="Q44" s="102"/>
      <c r="R44" s="108"/>
      <c r="S44" s="134">
        <v>1402.75</v>
      </c>
      <c r="T44" s="134">
        <v>1402.75</v>
      </c>
      <c r="U44" s="135">
        <v>0</v>
      </c>
      <c r="V44" s="135">
        <v>1</v>
      </c>
      <c r="W44" s="133"/>
    </row>
    <row r="45" spans="2:23" ht="15.75" customHeight="1">
      <c r="B45" s="232" t="s">
        <v>218</v>
      </c>
      <c r="C45" t="s">
        <v>219</v>
      </c>
      <c r="D45" s="130"/>
      <c r="E45" s="100"/>
      <c r="F45">
        <v>1</v>
      </c>
      <c r="G45" s="134">
        <v>2805.5</v>
      </c>
      <c r="H45" s="134">
        <v>757.49</v>
      </c>
      <c r="I45" s="134">
        <v>2805.5</v>
      </c>
      <c r="J45" s="131"/>
      <c r="K45">
        <v>1</v>
      </c>
      <c r="L45" s="134">
        <v>1402.75</v>
      </c>
      <c r="M45" s="134">
        <v>1402.75</v>
      </c>
      <c r="O45" s="132"/>
      <c r="P45" s="98"/>
      <c r="Q45" s="102"/>
      <c r="R45" s="108"/>
      <c r="S45" s="134">
        <v>1402.75</v>
      </c>
      <c r="T45" s="134">
        <v>1402.75</v>
      </c>
      <c r="U45" s="135">
        <v>0</v>
      </c>
      <c r="V45" s="135">
        <v>1</v>
      </c>
      <c r="W45" s="133"/>
    </row>
    <row r="46" spans="2:23" ht="15.75" customHeight="1">
      <c r="D46" s="130"/>
      <c r="E46" s="100"/>
      <c r="H46" t="s">
        <v>123</v>
      </c>
      <c r="I46" t="s">
        <v>123</v>
      </c>
      <c r="J46" s="131"/>
      <c r="K46">
        <v>0</v>
      </c>
      <c r="L46" t="s">
        <v>123</v>
      </c>
      <c r="M46" t="s">
        <v>123</v>
      </c>
      <c r="O46" s="132"/>
      <c r="P46" s="98"/>
      <c r="Q46" s="102"/>
      <c r="R46" s="108"/>
      <c r="S46" t="s">
        <v>123</v>
      </c>
      <c r="T46" t="s">
        <v>123</v>
      </c>
      <c r="U46" s="135">
        <v>0</v>
      </c>
      <c r="V46" s="135">
        <v>0</v>
      </c>
      <c r="W46" s="133"/>
    </row>
    <row r="47" spans="2:23" ht="15.75" customHeight="1">
      <c r="B47" t="s">
        <v>220</v>
      </c>
      <c r="C47" t="s">
        <v>125</v>
      </c>
      <c r="D47" s="130"/>
      <c r="E47" s="100"/>
      <c r="F47">
        <v>2</v>
      </c>
      <c r="G47" s="134">
        <v>73393.5</v>
      </c>
      <c r="H47" s="134">
        <v>19816.25</v>
      </c>
      <c r="I47" s="134">
        <v>146787</v>
      </c>
      <c r="J47" s="131"/>
      <c r="K47">
        <v>2</v>
      </c>
      <c r="L47" s="134">
        <v>36696.75</v>
      </c>
      <c r="M47" s="134">
        <v>73393.5</v>
      </c>
      <c r="O47" s="132"/>
      <c r="P47" s="98"/>
      <c r="Q47" s="102"/>
      <c r="R47" s="108"/>
      <c r="S47" s="134">
        <v>36696.75</v>
      </c>
      <c r="T47" s="134">
        <v>73393.5</v>
      </c>
      <c r="U47" s="135">
        <v>0</v>
      </c>
      <c r="V47" s="135">
        <v>1</v>
      </c>
      <c r="W47" s="133"/>
    </row>
    <row r="48" spans="2:23" ht="15.75" customHeight="1">
      <c r="B48" t="s">
        <v>221</v>
      </c>
      <c r="C48" t="s">
        <v>222</v>
      </c>
      <c r="D48" s="130"/>
      <c r="E48" s="100"/>
      <c r="F48">
        <v>2</v>
      </c>
      <c r="G48" s="134">
        <v>54156</v>
      </c>
      <c r="H48" s="134">
        <v>14622.12</v>
      </c>
      <c r="I48" s="134">
        <v>108312</v>
      </c>
      <c r="J48" s="131"/>
      <c r="K48">
        <v>2</v>
      </c>
      <c r="L48" s="134">
        <v>27078</v>
      </c>
      <c r="M48" s="134">
        <v>54156</v>
      </c>
      <c r="O48" s="132"/>
      <c r="P48" s="98"/>
      <c r="Q48" s="102"/>
      <c r="R48" s="108"/>
      <c r="S48" s="134">
        <v>27078</v>
      </c>
      <c r="T48" s="134">
        <v>54156</v>
      </c>
      <c r="U48" s="135">
        <v>0</v>
      </c>
      <c r="V48" s="135">
        <v>1</v>
      </c>
      <c r="W48" s="133"/>
    </row>
    <row r="49" spans="2:23" ht="15.75" customHeight="1">
      <c r="D49" s="130"/>
      <c r="E49" s="100"/>
      <c r="J49" s="131"/>
      <c r="O49" s="132"/>
      <c r="P49" s="98"/>
      <c r="Q49" s="102"/>
      <c r="R49" s="108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134</v>
      </c>
      <c r="G66" s="121">
        <f t="shared" si="0"/>
        <v>1043565.5</v>
      </c>
      <c r="H66" s="122">
        <f t="shared" si="0"/>
        <v>281762.76999999996</v>
      </c>
      <c r="I66" s="123">
        <f t="shared" si="0"/>
        <v>1203339.5</v>
      </c>
      <c r="J66" s="124"/>
      <c r="K66" s="125">
        <f t="shared" ref="K66:M66" si="1">SUM(K19:K65)</f>
        <v>134</v>
      </c>
      <c r="L66" s="122">
        <f t="shared" si="1"/>
        <v>521782.75</v>
      </c>
      <c r="M66" s="123">
        <f t="shared" si="1"/>
        <v>601669.75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521782.75</v>
      </c>
      <c r="T66" s="123">
        <f t="shared" si="2"/>
        <v>601669.75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9" priority="1" stopIfTrue="1">
      <formula>$U$9&gt;100%</formula>
    </cfRule>
    <cfRule type="expression" dxfId="38" priority="2">
      <formula>$U$9&lt;50%</formula>
    </cfRule>
  </conditionalFormatting>
  <conditionalFormatting sqref="V9:V11">
    <cfRule type="expression" dxfId="37" priority="3">
      <formula>$V$9&lt;50%</formula>
    </cfRule>
    <cfRule type="expression" dxfId="36" priority="4">
      <formula>$V$9&gt;50%</formula>
    </cfRule>
  </conditionalFormatting>
  <dataValidations count="4">
    <dataValidation type="list" allowBlank="1" showErrorMessage="1" sqref="E19:E65" xr:uid="{BE602A47-D4F1-4C0D-ADB6-ECFFDA0C8815}">
      <formula1>$Z$19:$Z$30</formula1>
    </dataValidation>
    <dataValidation type="list" allowBlank="1" showErrorMessage="1" sqref="I14" xr:uid="{37A387D6-2D56-4465-92E9-E6A760608BE3}">
      <formula1>$Y$14:$Y$15</formula1>
    </dataValidation>
    <dataValidation type="list" allowBlank="1" showErrorMessage="1" sqref="J14" xr:uid="{567AEDD0-2AFD-4B53-B547-9D229758CA41}">
      <formula1>$L$9</formula1>
    </dataValidation>
    <dataValidation type="list" allowBlank="1" showErrorMessage="1" sqref="Q15 G18 L18 Q18" xr:uid="{C430BCCB-5253-4F19-82C0-11037B97468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8590-015C-4401-819C-184B74684EA7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S19" sqref="S19:V33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241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337856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168928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168928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 t="s">
        <v>226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0.5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239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168928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168928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223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1064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146</v>
      </c>
      <c r="C19" t="s">
        <v>147</v>
      </c>
      <c r="D19" s="87"/>
      <c r="E19" s="88"/>
      <c r="F19">
        <v>10</v>
      </c>
      <c r="G19" s="134">
        <v>1313</v>
      </c>
      <c r="H19" s="134">
        <v>354.51</v>
      </c>
      <c r="I19" s="134">
        <v>13130</v>
      </c>
      <c r="J19" s="92"/>
      <c r="K19">
        <v>10</v>
      </c>
      <c r="L19" s="134">
        <v>656.5</v>
      </c>
      <c r="M19" s="134">
        <v>6565</v>
      </c>
      <c r="O19" s="93"/>
      <c r="P19" s="86"/>
      <c r="Q19" s="94"/>
      <c r="R19" s="94"/>
      <c r="S19" s="134">
        <v>656.5</v>
      </c>
      <c r="T19" s="134">
        <v>6565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148</v>
      </c>
      <c r="C20" t="s">
        <v>149</v>
      </c>
      <c r="D20" s="87"/>
      <c r="E20" s="100"/>
      <c r="F20">
        <v>70</v>
      </c>
      <c r="G20" s="134">
        <v>19</v>
      </c>
      <c r="H20" s="134">
        <v>5.13</v>
      </c>
      <c r="I20" s="134">
        <v>1330</v>
      </c>
      <c r="J20" s="105"/>
      <c r="K20">
        <v>70</v>
      </c>
      <c r="L20" s="134">
        <v>9.5</v>
      </c>
      <c r="M20" s="134">
        <v>665</v>
      </c>
      <c r="O20" s="93"/>
      <c r="P20" s="98"/>
      <c r="Q20" s="102"/>
      <c r="R20" s="108"/>
      <c r="S20" s="134">
        <v>9.5</v>
      </c>
      <c r="T20" s="134">
        <v>665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150</v>
      </c>
      <c r="C21" t="s">
        <v>151</v>
      </c>
      <c r="D21" s="87"/>
      <c r="E21" s="88"/>
      <c r="F21">
        <v>70</v>
      </c>
      <c r="G21" s="134">
        <v>13.5</v>
      </c>
      <c r="H21" s="134">
        <v>3.65</v>
      </c>
      <c r="I21" s="134">
        <v>945</v>
      </c>
      <c r="J21" s="105"/>
      <c r="K21">
        <v>70</v>
      </c>
      <c r="L21" s="134">
        <v>6.75</v>
      </c>
      <c r="M21" s="134">
        <v>472.5</v>
      </c>
      <c r="O21" s="93"/>
      <c r="P21" s="115"/>
      <c r="Q21" s="94"/>
      <c r="R21" s="94"/>
      <c r="S21" s="134">
        <v>6.75</v>
      </c>
      <c r="T21" s="134">
        <v>472.5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152</v>
      </c>
      <c r="C22" t="s">
        <v>153</v>
      </c>
      <c r="D22" s="87"/>
      <c r="E22" s="100"/>
      <c r="F22">
        <v>70</v>
      </c>
      <c r="G22" s="134">
        <v>10.5</v>
      </c>
      <c r="H22" s="134">
        <v>2.84</v>
      </c>
      <c r="I22" s="134">
        <v>735</v>
      </c>
      <c r="J22" s="105"/>
      <c r="K22">
        <v>70</v>
      </c>
      <c r="L22" s="134">
        <v>5.25</v>
      </c>
      <c r="M22" s="134">
        <v>367.5</v>
      </c>
      <c r="O22" s="93"/>
      <c r="P22" s="98"/>
      <c r="Q22" s="102"/>
      <c r="R22" s="108"/>
      <c r="S22" s="134">
        <v>5.25</v>
      </c>
      <c r="T22" s="134">
        <v>367.5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154</v>
      </c>
      <c r="C23" t="s">
        <v>155</v>
      </c>
      <c r="D23" s="87"/>
      <c r="E23" s="88"/>
      <c r="F23">
        <v>4</v>
      </c>
      <c r="G23" s="134">
        <v>2525.5</v>
      </c>
      <c r="H23" s="134">
        <v>681.89</v>
      </c>
      <c r="I23" s="134">
        <v>10102</v>
      </c>
      <c r="J23" s="105"/>
      <c r="K23">
        <v>4</v>
      </c>
      <c r="L23" s="134">
        <v>1262.75</v>
      </c>
      <c r="M23" s="134">
        <v>5051</v>
      </c>
      <c r="O23" s="93"/>
      <c r="P23" s="115"/>
      <c r="Q23" s="94"/>
      <c r="R23" s="94"/>
      <c r="S23" s="134">
        <v>1262.75</v>
      </c>
      <c r="T23" s="134">
        <v>5051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156</v>
      </c>
      <c r="C24" t="s">
        <v>157</v>
      </c>
      <c r="D24" s="87"/>
      <c r="E24" s="100"/>
      <c r="F24">
        <v>24</v>
      </c>
      <c r="G24" s="134">
        <v>73</v>
      </c>
      <c r="H24" s="134">
        <v>19.71</v>
      </c>
      <c r="I24" s="134">
        <v>1752</v>
      </c>
      <c r="J24" s="105"/>
      <c r="K24">
        <v>24</v>
      </c>
      <c r="L24" s="134">
        <v>36.5</v>
      </c>
      <c r="M24" s="134">
        <v>876</v>
      </c>
      <c r="N24" s="136"/>
      <c r="O24" s="93"/>
      <c r="P24" s="98"/>
      <c r="Q24" s="102"/>
      <c r="R24" s="108"/>
      <c r="S24" s="134">
        <v>36.5</v>
      </c>
      <c r="T24" s="134">
        <v>876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158</v>
      </c>
      <c r="C25" t="s">
        <v>159</v>
      </c>
      <c r="D25" s="87"/>
      <c r="E25" s="88"/>
      <c r="F25">
        <v>24</v>
      </c>
      <c r="G25" s="134">
        <v>19.5</v>
      </c>
      <c r="H25" s="134">
        <v>5.27</v>
      </c>
      <c r="I25" s="134">
        <v>468</v>
      </c>
      <c r="J25" s="105"/>
      <c r="K25">
        <v>24</v>
      </c>
      <c r="L25" s="134">
        <v>9.75</v>
      </c>
      <c r="M25" s="134">
        <v>234</v>
      </c>
      <c r="N25" s="136"/>
      <c r="O25" s="93"/>
      <c r="P25" s="115"/>
      <c r="Q25" s="94"/>
      <c r="R25" s="94"/>
      <c r="S25" s="134">
        <v>9.75</v>
      </c>
      <c r="T25" s="134">
        <v>234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160</v>
      </c>
      <c r="C26" t="s">
        <v>161</v>
      </c>
      <c r="D26" s="87"/>
      <c r="E26" s="100"/>
      <c r="F26">
        <v>2</v>
      </c>
      <c r="G26" s="134">
        <v>26698.5</v>
      </c>
      <c r="H26" s="134">
        <v>7208.6</v>
      </c>
      <c r="I26" s="134">
        <v>53397</v>
      </c>
      <c r="J26" s="105"/>
      <c r="K26">
        <v>2</v>
      </c>
      <c r="L26" s="134">
        <v>13349.25</v>
      </c>
      <c r="M26" s="134">
        <v>26698.5</v>
      </c>
      <c r="N26" s="136"/>
      <c r="O26" s="93"/>
      <c r="P26" s="98"/>
      <c r="Q26" s="102"/>
      <c r="R26" s="108"/>
      <c r="S26" s="134">
        <v>13349.25</v>
      </c>
      <c r="T26" s="134">
        <v>26698.5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t="s">
        <v>162</v>
      </c>
      <c r="C27" t="s">
        <v>163</v>
      </c>
      <c r="D27" s="87"/>
      <c r="E27" s="88"/>
      <c r="F27">
        <v>4</v>
      </c>
      <c r="G27" s="134">
        <v>5216.5</v>
      </c>
      <c r="H27" s="134">
        <v>1408.46</v>
      </c>
      <c r="I27" s="134">
        <v>20866</v>
      </c>
      <c r="J27" s="105"/>
      <c r="K27">
        <v>4</v>
      </c>
      <c r="L27" s="134">
        <v>2608.25</v>
      </c>
      <c r="M27" s="134">
        <v>10433</v>
      </c>
      <c r="O27" s="93"/>
      <c r="P27" s="115"/>
      <c r="Q27" s="94"/>
      <c r="R27" s="94"/>
      <c r="S27" s="134">
        <v>2608.25</v>
      </c>
      <c r="T27" s="134">
        <v>10433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t="s">
        <v>164</v>
      </c>
      <c r="C28" t="s">
        <v>165</v>
      </c>
      <c r="D28" s="87"/>
      <c r="E28" s="100"/>
      <c r="F28">
        <v>2</v>
      </c>
      <c r="G28" s="134">
        <v>56144.5</v>
      </c>
      <c r="H28" s="134">
        <v>15159.02</v>
      </c>
      <c r="I28" s="134">
        <v>112289</v>
      </c>
      <c r="J28" s="105"/>
      <c r="K28">
        <v>2</v>
      </c>
      <c r="L28" s="134">
        <v>28072.25</v>
      </c>
      <c r="M28" s="134">
        <v>56144.5</v>
      </c>
      <c r="O28" s="93"/>
      <c r="P28" s="98"/>
      <c r="Q28" s="102"/>
      <c r="R28" s="108"/>
      <c r="S28" s="134">
        <v>28072.25</v>
      </c>
      <c r="T28" s="134">
        <v>56144.5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166</v>
      </c>
      <c r="C29" t="s">
        <v>227</v>
      </c>
      <c r="D29" s="87"/>
      <c r="E29" s="88"/>
      <c r="F29">
        <v>88</v>
      </c>
      <c r="G29" s="134">
        <v>1188</v>
      </c>
      <c r="H29" s="134">
        <v>320.76</v>
      </c>
      <c r="I29" s="134">
        <v>104544</v>
      </c>
      <c r="J29" s="105"/>
      <c r="K29">
        <v>88</v>
      </c>
      <c r="L29" s="134">
        <v>594</v>
      </c>
      <c r="M29" s="134">
        <v>52272</v>
      </c>
      <c r="O29" s="93"/>
      <c r="P29" s="115"/>
      <c r="Q29" s="94"/>
      <c r="R29" s="94"/>
      <c r="S29" s="134">
        <v>594</v>
      </c>
      <c r="T29" s="134">
        <v>52272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t="s">
        <v>168</v>
      </c>
      <c r="C30" t="s">
        <v>169</v>
      </c>
      <c r="D30" s="87"/>
      <c r="E30" s="100"/>
      <c r="F30">
        <v>344</v>
      </c>
      <c r="G30" s="134">
        <v>39</v>
      </c>
      <c r="H30" s="134">
        <v>10.53</v>
      </c>
      <c r="I30" s="134">
        <v>13416</v>
      </c>
      <c r="J30" s="105"/>
      <c r="K30">
        <v>344</v>
      </c>
      <c r="L30" s="134">
        <v>19.5</v>
      </c>
      <c r="M30" s="134">
        <v>6708</v>
      </c>
      <c r="O30" s="93"/>
      <c r="P30" s="98"/>
      <c r="Q30" s="102"/>
      <c r="R30" s="108"/>
      <c r="S30" s="134">
        <v>19.5</v>
      </c>
      <c r="T30" s="134">
        <v>6708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170</v>
      </c>
      <c r="C31" t="s">
        <v>171</v>
      </c>
      <c r="D31" s="87"/>
      <c r="E31" s="88"/>
      <c r="F31">
        <v>344</v>
      </c>
      <c r="G31" s="134">
        <v>13</v>
      </c>
      <c r="H31" s="134">
        <v>3.51</v>
      </c>
      <c r="I31" s="134">
        <v>4472</v>
      </c>
      <c r="J31" s="105"/>
      <c r="K31">
        <v>344</v>
      </c>
      <c r="L31" s="134">
        <v>6.5</v>
      </c>
      <c r="M31" s="134">
        <v>2236</v>
      </c>
      <c r="O31" s="93"/>
      <c r="P31" s="115"/>
      <c r="Q31" s="94"/>
      <c r="R31" s="94"/>
      <c r="S31" s="134">
        <v>6.5</v>
      </c>
      <c r="T31" s="134">
        <v>2236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172</v>
      </c>
      <c r="C32" t="s">
        <v>173</v>
      </c>
      <c r="D32" s="87"/>
      <c r="E32" s="100"/>
      <c r="F32">
        <v>4</v>
      </c>
      <c r="G32" s="134">
        <v>43.5</v>
      </c>
      <c r="H32" s="134">
        <v>11.75</v>
      </c>
      <c r="I32" s="134">
        <v>174</v>
      </c>
      <c r="J32" s="105"/>
      <c r="K32">
        <v>4</v>
      </c>
      <c r="L32" s="134">
        <v>21.75</v>
      </c>
      <c r="M32" s="134">
        <v>87</v>
      </c>
      <c r="O32" s="93"/>
      <c r="P32" s="98"/>
      <c r="Q32" s="102"/>
      <c r="R32" s="108"/>
      <c r="S32" s="134">
        <v>21.75</v>
      </c>
      <c r="T32" s="134">
        <v>87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174</v>
      </c>
      <c r="C33" t="s">
        <v>175</v>
      </c>
      <c r="D33" s="87"/>
      <c r="E33" s="88"/>
      <c r="F33">
        <v>4</v>
      </c>
      <c r="G33" s="134">
        <v>59</v>
      </c>
      <c r="H33" s="134">
        <v>15.93</v>
      </c>
      <c r="I33" s="134">
        <v>236</v>
      </c>
      <c r="J33" s="105"/>
      <c r="K33">
        <v>4</v>
      </c>
      <c r="L33" s="134">
        <v>29.5</v>
      </c>
      <c r="M33" s="134">
        <v>118</v>
      </c>
      <c r="O33" s="93"/>
      <c r="P33" s="115"/>
      <c r="Q33" s="94"/>
      <c r="R33" s="94"/>
      <c r="S33" s="134">
        <v>29.5</v>
      </c>
      <c r="T33" s="134">
        <v>118</v>
      </c>
      <c r="U33" s="135">
        <v>0</v>
      </c>
      <c r="V33" s="135">
        <v>1</v>
      </c>
      <c r="W33" s="96"/>
    </row>
    <row r="34" spans="2:23" ht="15.75" customHeight="1">
      <c r="D34" s="87"/>
      <c r="E34" s="100"/>
      <c r="G34" s="134"/>
      <c r="H34" s="134"/>
      <c r="I34" s="134"/>
      <c r="J34" s="105"/>
      <c r="L34" s="134"/>
      <c r="M34" s="134"/>
      <c r="O34" s="93"/>
      <c r="P34" s="98"/>
      <c r="Q34" s="102"/>
      <c r="R34" s="108"/>
      <c r="S34" s="134"/>
      <c r="T34" s="134"/>
      <c r="U34" s="135"/>
      <c r="V34" s="135"/>
      <c r="W34" s="111"/>
    </row>
    <row r="35" spans="2:23" ht="15.75" customHeight="1">
      <c r="D35" s="87"/>
      <c r="E35" s="88"/>
      <c r="G35" s="134"/>
      <c r="H35" s="134"/>
      <c r="I35" s="134"/>
      <c r="J35" s="105"/>
      <c r="L35" s="134"/>
      <c r="M35" s="134"/>
      <c r="O35" s="93"/>
      <c r="P35" s="115"/>
      <c r="Q35" s="94"/>
      <c r="R35" s="94"/>
      <c r="S35" s="134"/>
      <c r="T35" s="134"/>
      <c r="U35" s="135"/>
      <c r="V35" s="135"/>
      <c r="W35" s="96"/>
    </row>
    <row r="36" spans="2:23" ht="15.75" customHeight="1">
      <c r="D36" s="87"/>
      <c r="E36" s="100"/>
      <c r="G36" s="134"/>
      <c r="H36" s="134"/>
      <c r="I36" s="134"/>
      <c r="J36" s="105"/>
      <c r="L36" s="134"/>
      <c r="M36" s="134"/>
      <c r="O36" s="93"/>
      <c r="P36" s="98"/>
      <c r="Q36" s="102"/>
      <c r="R36" s="108"/>
      <c r="S36" s="134"/>
      <c r="T36" s="134"/>
      <c r="U36" s="135"/>
      <c r="V36" s="135"/>
      <c r="W36" s="111"/>
    </row>
    <row r="37" spans="2:23" ht="15.75" customHeight="1">
      <c r="D37" s="87"/>
      <c r="E37" s="88"/>
      <c r="G37" s="134"/>
      <c r="H37" s="134"/>
      <c r="I37" s="134"/>
      <c r="J37" s="105"/>
      <c r="L37" s="134"/>
      <c r="M37" s="134"/>
      <c r="O37" s="93"/>
      <c r="P37" s="115"/>
      <c r="Q37" s="94"/>
      <c r="R37" s="94"/>
      <c r="S37" s="134"/>
      <c r="T37" s="134"/>
      <c r="U37" s="135"/>
      <c r="V37" s="135"/>
      <c r="W37" s="96"/>
    </row>
    <row r="38" spans="2:23" ht="15.75" customHeight="1">
      <c r="D38" s="87"/>
      <c r="E38" s="100"/>
      <c r="G38" s="134"/>
      <c r="H38" s="134"/>
      <c r="I38" s="134"/>
      <c r="J38" s="105"/>
      <c r="L38" s="134"/>
      <c r="M38" s="134"/>
      <c r="O38" s="93"/>
      <c r="P38" s="98"/>
      <c r="Q38" s="102"/>
      <c r="R38" s="108"/>
      <c r="S38" s="134"/>
      <c r="T38" s="134"/>
      <c r="U38" s="135"/>
      <c r="V38" s="135"/>
      <c r="W38" s="111"/>
    </row>
    <row r="39" spans="2:23" ht="15.75" customHeight="1">
      <c r="D39" s="87"/>
      <c r="E39" s="88"/>
      <c r="G39" s="134"/>
      <c r="H39" s="134"/>
      <c r="I39" s="134"/>
      <c r="J39" s="105"/>
      <c r="L39" s="134"/>
      <c r="M39" s="134"/>
      <c r="O39" s="93"/>
      <c r="P39" s="115"/>
      <c r="Q39" s="94"/>
      <c r="R39" s="94"/>
      <c r="S39" s="134"/>
      <c r="T39" s="134"/>
      <c r="U39" s="135"/>
      <c r="V39" s="135"/>
      <c r="W39" s="111"/>
    </row>
    <row r="40" spans="2:23" ht="15.75" customHeight="1">
      <c r="D40" s="87"/>
      <c r="E40" s="100"/>
      <c r="G40" s="134"/>
      <c r="H40" s="134"/>
      <c r="I40" s="134"/>
      <c r="J40" s="105"/>
      <c r="L40" s="134"/>
      <c r="M40" s="134"/>
      <c r="O40" s="93"/>
      <c r="P40" s="98"/>
      <c r="Q40" s="102"/>
      <c r="R40" s="108"/>
      <c r="S40" s="134"/>
      <c r="T40" s="134"/>
      <c r="U40" s="135"/>
      <c r="V40" s="135"/>
      <c r="W40" s="111"/>
    </row>
    <row r="41" spans="2:23" ht="15.75" customHeight="1">
      <c r="D41" s="130"/>
      <c r="E41" s="100"/>
      <c r="G41" s="134"/>
      <c r="H41" s="134"/>
      <c r="I41" s="134"/>
      <c r="J41" s="131"/>
      <c r="L41" s="134"/>
      <c r="M41" s="134"/>
      <c r="O41" s="132"/>
      <c r="P41" s="98"/>
      <c r="Q41" s="102"/>
      <c r="R41" s="108"/>
      <c r="S41" s="134"/>
      <c r="T41" s="134"/>
      <c r="U41" s="135"/>
      <c r="V41" s="135"/>
      <c r="W41" s="133"/>
    </row>
    <row r="42" spans="2:23" ht="15.75" customHeight="1">
      <c r="D42" s="130"/>
      <c r="E42" s="100"/>
      <c r="G42" s="134"/>
      <c r="H42" s="134"/>
      <c r="I42" s="134"/>
      <c r="J42" s="131"/>
      <c r="L42" s="134"/>
      <c r="M42" s="134"/>
      <c r="O42" s="132"/>
      <c r="P42" s="98"/>
      <c r="Q42" s="102"/>
      <c r="R42" s="108"/>
      <c r="S42" s="134"/>
      <c r="T42" s="134"/>
      <c r="U42" s="135"/>
      <c r="V42" s="135"/>
      <c r="W42" s="133"/>
    </row>
    <row r="43" spans="2:23" ht="15.75" customHeight="1">
      <c r="D43" s="130"/>
      <c r="E43" s="100"/>
      <c r="G43" s="134"/>
      <c r="H43" s="134"/>
      <c r="I43" s="134"/>
      <c r="J43" s="131"/>
      <c r="L43" s="134"/>
      <c r="M43" s="134"/>
      <c r="O43" s="132"/>
      <c r="P43" s="98"/>
      <c r="Q43" s="102"/>
      <c r="R43" s="108"/>
      <c r="S43" s="134"/>
      <c r="T43" s="134"/>
      <c r="U43" s="135"/>
      <c r="V43" s="135"/>
      <c r="W43" s="133"/>
    </row>
    <row r="44" spans="2:23" ht="15.75" customHeight="1">
      <c r="B44" s="232"/>
      <c r="D44" s="130"/>
      <c r="E44" s="100"/>
      <c r="G44" s="134"/>
      <c r="H44" s="134"/>
      <c r="I44" s="134"/>
      <c r="J44" s="131"/>
      <c r="L44" s="134"/>
      <c r="M44" s="134"/>
      <c r="O44" s="132"/>
      <c r="P44" s="98"/>
      <c r="Q44" s="102"/>
      <c r="R44" s="108"/>
      <c r="S44" s="134"/>
      <c r="T44" s="134"/>
      <c r="U44" s="135"/>
      <c r="V44" s="135"/>
      <c r="W44" s="133"/>
    </row>
    <row r="45" spans="2:23" ht="15.75" customHeight="1">
      <c r="B45" s="232"/>
      <c r="D45" s="130"/>
      <c r="E45" s="100"/>
      <c r="G45" s="134"/>
      <c r="H45" s="134"/>
      <c r="I45" s="134"/>
      <c r="J45" s="131"/>
      <c r="L45" s="134"/>
      <c r="M45" s="134"/>
      <c r="O45" s="132"/>
      <c r="P45" s="98"/>
      <c r="Q45" s="102"/>
      <c r="R45" s="108"/>
      <c r="S45" s="134"/>
      <c r="T45" s="134"/>
      <c r="U45" s="135"/>
      <c r="V45" s="135"/>
      <c r="W45" s="133"/>
    </row>
    <row r="46" spans="2:23" ht="15.75" customHeight="1">
      <c r="D46" s="130"/>
      <c r="E46" s="100"/>
      <c r="J46" s="131"/>
      <c r="O46" s="132"/>
      <c r="P46" s="98"/>
      <c r="Q46" s="102"/>
      <c r="R46" s="108"/>
      <c r="U46" s="135"/>
      <c r="V46" s="135"/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J49" s="131"/>
      <c r="O49" s="132"/>
      <c r="P49" s="98"/>
      <c r="Q49" s="102"/>
      <c r="R49" s="108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1064</v>
      </c>
      <c r="G66" s="121">
        <f t="shared" si="0"/>
        <v>93376</v>
      </c>
      <c r="H66" s="122">
        <f t="shared" si="0"/>
        <v>25211.559999999998</v>
      </c>
      <c r="I66" s="123">
        <f t="shared" si="0"/>
        <v>337856</v>
      </c>
      <c r="J66" s="124"/>
      <c r="K66" s="125">
        <f t="shared" ref="K66:M66" si="1">SUM(K19:K65)</f>
        <v>1064</v>
      </c>
      <c r="L66" s="122">
        <f t="shared" si="1"/>
        <v>46688</v>
      </c>
      <c r="M66" s="123">
        <f t="shared" si="1"/>
        <v>168928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46688</v>
      </c>
      <c r="T66" s="123">
        <f t="shared" si="2"/>
        <v>168928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5" priority="1" stopIfTrue="1">
      <formula>$U$9&gt;100%</formula>
    </cfRule>
    <cfRule type="expression" dxfId="34" priority="2">
      <formula>$U$9&lt;50%</formula>
    </cfRule>
  </conditionalFormatting>
  <conditionalFormatting sqref="V9:V11">
    <cfRule type="expression" dxfId="33" priority="3">
      <formula>$V$9&lt;50%</formula>
    </cfRule>
    <cfRule type="expression" dxfId="32" priority="4">
      <formula>$V$9&gt;50%</formula>
    </cfRule>
  </conditionalFormatting>
  <dataValidations count="4">
    <dataValidation type="list" allowBlank="1" showErrorMessage="1" sqref="Q15 G18 L18 Q18" xr:uid="{438FF606-E2F6-4032-BA24-AA7EB0BC1D1F}">
      <formula1>$Y$12:$Y$13</formula1>
    </dataValidation>
    <dataValidation type="list" allowBlank="1" showErrorMessage="1" sqref="J14" xr:uid="{61B27381-B1CC-4157-AD93-C13957CF82A5}">
      <formula1>$L$9</formula1>
    </dataValidation>
    <dataValidation type="list" allowBlank="1" showErrorMessage="1" sqref="I14" xr:uid="{9BD425F3-3DE3-41AF-B8FE-4581222B8F03}">
      <formula1>$Y$14:$Y$15</formula1>
    </dataValidation>
    <dataValidation type="list" allowBlank="1" showErrorMessage="1" sqref="E19:E65" xr:uid="{630A6B18-D177-4FC0-B6AE-D0478459E9F1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DB91-CACA-47A4-AA9F-F63B701B6D42}">
  <sheetPr>
    <pageSetUpPr fitToPage="1"/>
  </sheetPr>
  <dimension ref="B1:Z66"/>
  <sheetViews>
    <sheetView zoomScale="55" zoomScaleNormal="55" workbookViewId="0">
      <pane ySplit="18" topLeftCell="A44" activePane="bottomLeft" state="frozen"/>
      <selection pane="bottomLeft" activeCell="G3" sqref="G3:H3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240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1084216.5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542108.25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542108.25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 t="s">
        <v>143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0.5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239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542108.25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542108.25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223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142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242</v>
      </c>
      <c r="C19" t="s">
        <v>109</v>
      </c>
      <c r="D19" s="87"/>
      <c r="E19" s="88"/>
      <c r="F19">
        <v>1</v>
      </c>
      <c r="G19" s="134">
        <v>221.5</v>
      </c>
      <c r="H19" s="134">
        <v>59.81</v>
      </c>
      <c r="I19" s="134">
        <v>221.5</v>
      </c>
      <c r="J19" s="92"/>
      <c r="K19">
        <v>1</v>
      </c>
      <c r="L19" s="134">
        <v>110.75</v>
      </c>
      <c r="M19" s="134">
        <v>110.75</v>
      </c>
      <c r="O19" s="93"/>
      <c r="P19" s="86"/>
      <c r="Q19" s="94"/>
      <c r="R19" s="94"/>
      <c r="S19" s="134">
        <v>110.75</v>
      </c>
      <c r="T19" s="134">
        <v>110.75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234</v>
      </c>
      <c r="C20" t="s">
        <v>110</v>
      </c>
      <c r="D20" s="87"/>
      <c r="E20" s="100"/>
      <c r="F20">
        <v>1</v>
      </c>
      <c r="G20" s="134">
        <v>251</v>
      </c>
      <c r="H20" s="134">
        <v>67.77</v>
      </c>
      <c r="I20" s="134">
        <v>251</v>
      </c>
      <c r="J20" s="105"/>
      <c r="K20">
        <v>1</v>
      </c>
      <c r="L20" s="134">
        <v>125.5</v>
      </c>
      <c r="M20" s="134">
        <v>125.5</v>
      </c>
      <c r="O20" s="93"/>
      <c r="P20" s="98"/>
      <c r="Q20" s="102"/>
      <c r="R20" s="108"/>
      <c r="S20" s="134">
        <v>125.5</v>
      </c>
      <c r="T20" s="134">
        <v>125.5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243</v>
      </c>
      <c r="C21" t="s">
        <v>117</v>
      </c>
      <c r="D21" s="87"/>
      <c r="E21" s="88"/>
      <c r="F21">
        <v>1</v>
      </c>
      <c r="G21" s="134">
        <v>300</v>
      </c>
      <c r="H21" s="134">
        <v>81</v>
      </c>
      <c r="I21" s="134">
        <v>300</v>
      </c>
      <c r="J21" s="105"/>
      <c r="K21">
        <v>1</v>
      </c>
      <c r="L21" s="134">
        <v>150</v>
      </c>
      <c r="M21" s="134">
        <v>150</v>
      </c>
      <c r="O21" s="93"/>
      <c r="P21" s="115"/>
      <c r="Q21" s="94"/>
      <c r="R21" s="94"/>
      <c r="S21" s="134">
        <v>150</v>
      </c>
      <c r="T21" s="134">
        <v>150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136</v>
      </c>
      <c r="C22" t="s">
        <v>181</v>
      </c>
      <c r="D22" s="87"/>
      <c r="E22" s="100"/>
      <c r="F22">
        <v>1</v>
      </c>
      <c r="G22" s="134">
        <v>484.5</v>
      </c>
      <c r="H22" s="134">
        <v>130.82</v>
      </c>
      <c r="I22" s="134">
        <v>484.5</v>
      </c>
      <c r="J22" s="105"/>
      <c r="K22">
        <v>1</v>
      </c>
      <c r="L22" s="134">
        <v>242.25</v>
      </c>
      <c r="M22" s="134">
        <v>242.25</v>
      </c>
      <c r="O22" s="93"/>
      <c r="P22" s="98"/>
      <c r="Q22" s="102"/>
      <c r="R22" s="108"/>
      <c r="S22" s="134">
        <v>242.25</v>
      </c>
      <c r="T22" s="134">
        <v>242.25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244</v>
      </c>
      <c r="C23" t="s">
        <v>183</v>
      </c>
      <c r="D23" s="87"/>
      <c r="E23" s="88"/>
      <c r="F23">
        <v>1</v>
      </c>
      <c r="G23" s="134">
        <v>646.5</v>
      </c>
      <c r="H23" s="134">
        <v>174.56</v>
      </c>
      <c r="I23" s="134">
        <v>646.5</v>
      </c>
      <c r="J23" s="105"/>
      <c r="K23">
        <v>1</v>
      </c>
      <c r="L23" s="134">
        <v>323.25</v>
      </c>
      <c r="M23" s="134">
        <v>323.25</v>
      </c>
      <c r="O23" s="93"/>
      <c r="P23" s="115"/>
      <c r="Q23" s="94"/>
      <c r="R23" s="94"/>
      <c r="S23" s="134">
        <v>323.25</v>
      </c>
      <c r="T23" s="134">
        <v>323.25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184</v>
      </c>
      <c r="C24" t="s">
        <v>111</v>
      </c>
      <c r="D24" s="87"/>
      <c r="E24" s="100"/>
      <c r="F24">
        <v>1</v>
      </c>
      <c r="G24" s="134">
        <v>493</v>
      </c>
      <c r="H24" s="134">
        <v>133.11000000000001</v>
      </c>
      <c r="I24" s="134">
        <v>493</v>
      </c>
      <c r="J24" s="105"/>
      <c r="K24">
        <v>1</v>
      </c>
      <c r="L24" s="134">
        <v>246.5</v>
      </c>
      <c r="M24" s="134">
        <v>246.5</v>
      </c>
      <c r="N24" s="136"/>
      <c r="O24" s="93"/>
      <c r="P24" s="98"/>
      <c r="Q24" s="102"/>
      <c r="R24" s="108"/>
      <c r="S24" s="134">
        <v>246.5</v>
      </c>
      <c r="T24" s="134">
        <v>246.5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245</v>
      </c>
      <c r="C25" t="s">
        <v>112</v>
      </c>
      <c r="D25" s="87"/>
      <c r="E25" s="88"/>
      <c r="F25">
        <v>1</v>
      </c>
      <c r="G25" s="134">
        <v>403.5</v>
      </c>
      <c r="H25" s="134">
        <v>108.95</v>
      </c>
      <c r="I25" s="134">
        <v>403.5</v>
      </c>
      <c r="J25" s="105"/>
      <c r="K25">
        <v>1</v>
      </c>
      <c r="L25" s="134">
        <v>201.75</v>
      </c>
      <c r="M25" s="134">
        <v>201.75</v>
      </c>
      <c r="N25" s="136"/>
      <c r="O25" s="93"/>
      <c r="P25" s="115"/>
      <c r="Q25" s="94"/>
      <c r="R25" s="94"/>
      <c r="S25" s="134">
        <v>201.75</v>
      </c>
      <c r="T25" s="134">
        <v>201.75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246</v>
      </c>
      <c r="C26" t="s">
        <v>247</v>
      </c>
      <c r="D26" s="87"/>
      <c r="E26" s="100"/>
      <c r="F26">
        <v>1</v>
      </c>
      <c r="G26" s="134">
        <v>365.5</v>
      </c>
      <c r="H26" s="134">
        <v>98.69</v>
      </c>
      <c r="I26" s="134">
        <v>365.5</v>
      </c>
      <c r="J26" s="105"/>
      <c r="K26">
        <v>1</v>
      </c>
      <c r="L26" s="134">
        <v>182.75</v>
      </c>
      <c r="M26" s="134">
        <v>182.75</v>
      </c>
      <c r="N26" s="136"/>
      <c r="O26" s="93"/>
      <c r="P26" s="98"/>
      <c r="Q26" s="102"/>
      <c r="R26" s="108"/>
      <c r="S26" s="134">
        <v>182.75</v>
      </c>
      <c r="T26" s="134">
        <v>182.75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t="s">
        <v>186</v>
      </c>
      <c r="C27" t="s">
        <v>187</v>
      </c>
      <c r="D27" s="87"/>
      <c r="E27" s="88"/>
      <c r="F27">
        <v>1</v>
      </c>
      <c r="G27" s="134">
        <v>168928</v>
      </c>
      <c r="H27" s="134">
        <v>45610.559999999998</v>
      </c>
      <c r="I27" s="134">
        <v>168928</v>
      </c>
      <c r="J27" s="105"/>
      <c r="K27">
        <v>1</v>
      </c>
      <c r="L27" s="134">
        <v>84464</v>
      </c>
      <c r="M27" s="134">
        <v>84464</v>
      </c>
      <c r="O27" s="93"/>
      <c r="P27" s="115"/>
      <c r="Q27" s="94"/>
      <c r="R27" s="94"/>
      <c r="S27" s="134">
        <v>84464</v>
      </c>
      <c r="T27" s="134">
        <v>84464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s="232" t="s">
        <v>188</v>
      </c>
      <c r="C28" t="s">
        <v>127</v>
      </c>
      <c r="D28" s="87"/>
      <c r="E28" s="100"/>
      <c r="F28">
        <v>1</v>
      </c>
      <c r="G28" s="134">
        <v>69676.5</v>
      </c>
      <c r="H28" s="134">
        <v>18812.66</v>
      </c>
      <c r="I28" s="134">
        <v>69676.5</v>
      </c>
      <c r="J28" s="105"/>
      <c r="K28">
        <v>1</v>
      </c>
      <c r="L28" s="134">
        <v>34838.25</v>
      </c>
      <c r="M28" s="134">
        <v>34838.25</v>
      </c>
      <c r="O28" s="93"/>
      <c r="P28" s="98"/>
      <c r="Q28" s="102"/>
      <c r="R28" s="108"/>
      <c r="S28" s="134">
        <v>34838.25</v>
      </c>
      <c r="T28" s="134">
        <v>34838.25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189</v>
      </c>
      <c r="C29" t="s">
        <v>129</v>
      </c>
      <c r="D29" s="87"/>
      <c r="E29" s="88"/>
      <c r="F29">
        <v>1</v>
      </c>
      <c r="G29" s="134">
        <v>396.5</v>
      </c>
      <c r="H29" s="134">
        <v>107.06</v>
      </c>
      <c r="I29" s="134">
        <v>396.5</v>
      </c>
      <c r="J29" s="105"/>
      <c r="K29">
        <v>1</v>
      </c>
      <c r="L29" s="134">
        <v>198.25</v>
      </c>
      <c r="M29" s="134">
        <v>198.25</v>
      </c>
      <c r="O29" s="93"/>
      <c r="P29" s="115"/>
      <c r="Q29" s="94"/>
      <c r="R29" s="94"/>
      <c r="S29" s="134">
        <v>198.25</v>
      </c>
      <c r="T29" s="134">
        <v>198.25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t="s">
        <v>190</v>
      </c>
      <c r="C30" t="s">
        <v>191</v>
      </c>
      <c r="D30" s="87"/>
      <c r="E30" s="100"/>
      <c r="F30">
        <v>1</v>
      </c>
      <c r="G30" s="134">
        <v>105</v>
      </c>
      <c r="H30" s="134">
        <v>28.35</v>
      </c>
      <c r="I30" s="134">
        <v>105</v>
      </c>
      <c r="J30" s="105"/>
      <c r="K30">
        <v>1</v>
      </c>
      <c r="L30" s="134">
        <v>52.5</v>
      </c>
      <c r="M30" s="134">
        <v>52.5</v>
      </c>
      <c r="O30" s="93"/>
      <c r="P30" s="98"/>
      <c r="Q30" s="102"/>
      <c r="R30" s="108"/>
      <c r="S30" s="134">
        <v>52.5</v>
      </c>
      <c r="T30" s="134">
        <v>52.5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s="232" t="s">
        <v>192</v>
      </c>
      <c r="C31" t="s">
        <v>193</v>
      </c>
      <c r="D31" s="87"/>
      <c r="E31" s="88"/>
      <c r="F31">
        <v>1</v>
      </c>
      <c r="G31" s="134">
        <v>49</v>
      </c>
      <c r="H31" s="134">
        <v>13.23</v>
      </c>
      <c r="I31" s="134">
        <v>49</v>
      </c>
      <c r="J31" s="105"/>
      <c r="K31">
        <v>1</v>
      </c>
      <c r="L31" s="134">
        <v>24.5</v>
      </c>
      <c r="M31" s="134">
        <v>24.5</v>
      </c>
      <c r="O31" s="93"/>
      <c r="P31" s="115"/>
      <c r="Q31" s="94"/>
      <c r="R31" s="94"/>
      <c r="S31" s="134">
        <v>24.5</v>
      </c>
      <c r="T31" s="134">
        <v>24.5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248</v>
      </c>
      <c r="C32" t="s">
        <v>249</v>
      </c>
      <c r="D32" s="87"/>
      <c r="E32" s="100"/>
      <c r="F32">
        <v>1</v>
      </c>
      <c r="G32" s="134">
        <v>40615.5</v>
      </c>
      <c r="H32" s="134">
        <v>10966.19</v>
      </c>
      <c r="I32" s="134">
        <v>40615.5</v>
      </c>
      <c r="J32" s="105"/>
      <c r="K32">
        <v>1</v>
      </c>
      <c r="L32" s="134">
        <v>20307.75</v>
      </c>
      <c r="M32" s="134">
        <v>20307.75</v>
      </c>
      <c r="O32" s="93"/>
      <c r="P32" s="98"/>
      <c r="Q32" s="102"/>
      <c r="R32" s="108"/>
      <c r="S32" s="134">
        <v>20307.75</v>
      </c>
      <c r="T32" s="134">
        <v>20307.75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196</v>
      </c>
      <c r="C33" t="s">
        <v>197</v>
      </c>
      <c r="D33" s="87"/>
      <c r="E33" s="88"/>
      <c r="F33">
        <v>1</v>
      </c>
      <c r="G33" s="134">
        <v>17248</v>
      </c>
      <c r="H33" s="134">
        <v>4656.96</v>
      </c>
      <c r="I33" s="134">
        <v>17248</v>
      </c>
      <c r="J33" s="105"/>
      <c r="K33">
        <v>1</v>
      </c>
      <c r="L33" s="134">
        <v>8624</v>
      </c>
      <c r="M33" s="134">
        <v>8624</v>
      </c>
      <c r="O33" s="93"/>
      <c r="P33" s="115"/>
      <c r="Q33" s="94"/>
      <c r="R33" s="94"/>
      <c r="S33" s="134">
        <v>8624</v>
      </c>
      <c r="T33" s="134">
        <v>8624</v>
      </c>
      <c r="U33" s="135">
        <v>0</v>
      </c>
      <c r="V33" s="135">
        <v>1</v>
      </c>
      <c r="W33" s="96"/>
    </row>
    <row r="34" spans="2:23" ht="15.75" customHeight="1">
      <c r="B34" t="s">
        <v>198</v>
      </c>
      <c r="C34" t="s">
        <v>199</v>
      </c>
      <c r="D34" s="87"/>
      <c r="E34" s="100"/>
      <c r="F34">
        <v>1</v>
      </c>
      <c r="G34" s="134">
        <v>66474.5</v>
      </c>
      <c r="H34" s="134">
        <v>17948.12</v>
      </c>
      <c r="I34" s="134">
        <v>66474.5</v>
      </c>
      <c r="J34" s="105"/>
      <c r="K34">
        <v>1</v>
      </c>
      <c r="L34" s="134">
        <v>33237.25</v>
      </c>
      <c r="M34" s="134">
        <v>33237.25</v>
      </c>
      <c r="O34" s="93"/>
      <c r="P34" s="98"/>
      <c r="Q34" s="102"/>
      <c r="R34" s="108"/>
      <c r="S34" s="134">
        <v>33237.25</v>
      </c>
      <c r="T34" s="134">
        <v>33237.25</v>
      </c>
      <c r="U34" s="135">
        <v>0</v>
      </c>
      <c r="V34" s="135">
        <v>1</v>
      </c>
      <c r="W34" s="111"/>
    </row>
    <row r="35" spans="2:23" ht="15.75" customHeight="1">
      <c r="B35" t="s">
        <v>250</v>
      </c>
      <c r="C35" t="s">
        <v>115</v>
      </c>
      <c r="D35" s="87"/>
      <c r="E35" s="88"/>
      <c r="F35">
        <v>1</v>
      </c>
      <c r="G35" s="134">
        <v>63255.5</v>
      </c>
      <c r="H35" s="134">
        <v>17078.990000000002</v>
      </c>
      <c r="I35" s="134">
        <v>63255.5</v>
      </c>
      <c r="J35" s="105"/>
      <c r="K35">
        <v>1</v>
      </c>
      <c r="L35" s="134">
        <v>31627.75</v>
      </c>
      <c r="M35" s="134">
        <v>31627.75</v>
      </c>
      <c r="O35" s="93"/>
      <c r="P35" s="115"/>
      <c r="Q35" s="94"/>
      <c r="R35" s="94"/>
      <c r="S35" s="134">
        <v>31627.75</v>
      </c>
      <c r="T35" s="134">
        <v>31627.75</v>
      </c>
      <c r="U35" s="135">
        <v>0</v>
      </c>
      <c r="V35" s="135">
        <v>1</v>
      </c>
      <c r="W35" s="96"/>
    </row>
    <row r="36" spans="2:23" ht="15.75" customHeight="1">
      <c r="B36" t="s">
        <v>201</v>
      </c>
      <c r="C36" t="s">
        <v>116</v>
      </c>
      <c r="D36" s="87"/>
      <c r="E36" s="100"/>
      <c r="F36">
        <v>1</v>
      </c>
      <c r="G36" s="134">
        <v>29434.5</v>
      </c>
      <c r="H36" s="134">
        <v>7947.32</v>
      </c>
      <c r="I36" s="134">
        <v>29434.5</v>
      </c>
      <c r="J36" s="105"/>
      <c r="K36">
        <v>1</v>
      </c>
      <c r="L36" s="134">
        <v>14717.25</v>
      </c>
      <c r="M36" s="134">
        <v>14717.25</v>
      </c>
      <c r="O36" s="93"/>
      <c r="P36" s="98"/>
      <c r="Q36" s="102"/>
      <c r="R36" s="108"/>
      <c r="S36" s="134">
        <v>14717.25</v>
      </c>
      <c r="T36" s="134">
        <v>14717.25</v>
      </c>
      <c r="U36" s="135">
        <v>0</v>
      </c>
      <c r="V36" s="135">
        <v>1</v>
      </c>
      <c r="W36" s="111"/>
    </row>
    <row r="37" spans="2:23" ht="15.75" customHeight="1">
      <c r="B37" t="s">
        <v>202</v>
      </c>
      <c r="C37" t="s">
        <v>203</v>
      </c>
      <c r="D37" s="87"/>
      <c r="E37" s="88"/>
      <c r="F37">
        <v>6</v>
      </c>
      <c r="G37" s="134">
        <v>7298</v>
      </c>
      <c r="H37" s="134">
        <v>1970.46</v>
      </c>
      <c r="I37" s="134">
        <v>43788</v>
      </c>
      <c r="J37" s="105"/>
      <c r="K37">
        <v>6</v>
      </c>
      <c r="L37" s="134">
        <v>3649</v>
      </c>
      <c r="M37" s="134">
        <v>21894</v>
      </c>
      <c r="O37" s="93"/>
      <c r="P37" s="115"/>
      <c r="Q37" s="94"/>
      <c r="R37" s="94"/>
      <c r="S37" s="134">
        <v>3649</v>
      </c>
      <c r="T37" s="134">
        <v>21894</v>
      </c>
      <c r="U37" s="135">
        <v>0</v>
      </c>
      <c r="V37" s="135">
        <v>1</v>
      </c>
      <c r="W37" s="96"/>
    </row>
    <row r="38" spans="2:23" ht="15.75" customHeight="1">
      <c r="B38" t="s">
        <v>251</v>
      </c>
      <c r="C38" t="s">
        <v>205</v>
      </c>
      <c r="D38" s="87"/>
      <c r="E38" s="100"/>
      <c r="F38">
        <v>4</v>
      </c>
      <c r="G38" s="134">
        <v>921</v>
      </c>
      <c r="H38" s="134">
        <v>248.67</v>
      </c>
      <c r="I38" s="134">
        <v>3684</v>
      </c>
      <c r="J38" s="105"/>
      <c r="K38">
        <v>4</v>
      </c>
      <c r="L38" s="134">
        <v>460.5</v>
      </c>
      <c r="M38" s="134">
        <v>1842</v>
      </c>
      <c r="O38" s="93"/>
      <c r="P38" s="98"/>
      <c r="Q38" s="102"/>
      <c r="R38" s="108"/>
      <c r="S38" s="134">
        <v>460.5</v>
      </c>
      <c r="T38" s="134">
        <v>1842</v>
      </c>
      <c r="U38" s="135">
        <v>0</v>
      </c>
      <c r="V38" s="135">
        <v>1</v>
      </c>
      <c r="W38" s="111"/>
    </row>
    <row r="39" spans="2:23" ht="15.75" customHeight="1">
      <c r="B39" t="s">
        <v>252</v>
      </c>
      <c r="C39" t="s">
        <v>253</v>
      </c>
      <c r="D39" s="87"/>
      <c r="E39" s="88"/>
      <c r="F39">
        <v>1</v>
      </c>
      <c r="G39" s="134">
        <v>562238</v>
      </c>
      <c r="H39" s="134">
        <v>151804.26</v>
      </c>
      <c r="I39" s="134">
        <v>562238</v>
      </c>
      <c r="J39" s="105"/>
      <c r="K39">
        <v>1</v>
      </c>
      <c r="L39" s="134">
        <v>281119</v>
      </c>
      <c r="M39" s="134">
        <v>281119</v>
      </c>
      <c r="O39" s="93"/>
      <c r="P39" s="115"/>
      <c r="Q39" s="94"/>
      <c r="R39" s="94"/>
      <c r="S39" s="134">
        <v>281119</v>
      </c>
      <c r="T39" s="134">
        <v>281119</v>
      </c>
      <c r="U39" s="135">
        <v>0</v>
      </c>
      <c r="V39" s="135">
        <v>1</v>
      </c>
      <c r="W39" s="111"/>
    </row>
    <row r="40" spans="2:23" ht="15.75" customHeight="1">
      <c r="B40" t="s">
        <v>254</v>
      </c>
      <c r="C40" t="s">
        <v>124</v>
      </c>
      <c r="D40" s="87"/>
      <c r="E40" s="100"/>
      <c r="F40">
        <v>2</v>
      </c>
      <c r="G40" s="134">
        <v>2542</v>
      </c>
      <c r="H40" s="134">
        <v>686.34</v>
      </c>
      <c r="I40" s="134">
        <v>5084</v>
      </c>
      <c r="J40" s="105"/>
      <c r="K40">
        <v>2</v>
      </c>
      <c r="L40" s="134">
        <v>1271</v>
      </c>
      <c r="M40" s="134">
        <v>2542</v>
      </c>
      <c r="O40" s="93"/>
      <c r="P40" s="98"/>
      <c r="Q40" s="102"/>
      <c r="R40" s="108"/>
      <c r="S40" s="134">
        <v>1271</v>
      </c>
      <c r="T40" s="134">
        <v>2542</v>
      </c>
      <c r="U40" s="135">
        <v>0</v>
      </c>
      <c r="V40" s="135">
        <v>1</v>
      </c>
      <c r="W40" s="111"/>
    </row>
    <row r="41" spans="2:23" ht="15.75" customHeight="1">
      <c r="B41" t="s">
        <v>255</v>
      </c>
      <c r="C41" t="s">
        <v>124</v>
      </c>
      <c r="D41" s="130"/>
      <c r="E41" s="100"/>
      <c r="F41">
        <v>1</v>
      </c>
      <c r="G41" s="134">
        <v>2159</v>
      </c>
      <c r="H41" s="134">
        <v>582.92999999999995</v>
      </c>
      <c r="I41" s="134">
        <v>2159</v>
      </c>
      <c r="J41" s="131"/>
      <c r="K41">
        <v>1</v>
      </c>
      <c r="L41" s="134">
        <v>1079.5</v>
      </c>
      <c r="M41" s="134">
        <v>1079.5</v>
      </c>
      <c r="O41" s="132"/>
      <c r="P41" s="98"/>
      <c r="Q41" s="102"/>
      <c r="R41" s="108"/>
      <c r="S41" s="134">
        <v>1079.5</v>
      </c>
      <c r="T41" s="134">
        <v>1079.5</v>
      </c>
      <c r="U41" s="135">
        <v>0</v>
      </c>
      <c r="V41" s="135">
        <v>1</v>
      </c>
      <c r="W41" s="133"/>
    </row>
    <row r="42" spans="2:23" ht="15.75" customHeight="1">
      <c r="B42" t="s">
        <v>211</v>
      </c>
      <c r="C42" t="s">
        <v>120</v>
      </c>
      <c r="D42" s="130"/>
      <c r="E42" s="100"/>
      <c r="F42">
        <v>36</v>
      </c>
      <c r="G42" s="134">
        <v>24</v>
      </c>
      <c r="H42" s="134">
        <v>6.48</v>
      </c>
      <c r="I42" s="134">
        <v>864</v>
      </c>
      <c r="J42" s="131"/>
      <c r="K42">
        <v>36</v>
      </c>
      <c r="L42" s="134">
        <v>12</v>
      </c>
      <c r="M42" s="134">
        <v>432</v>
      </c>
      <c r="O42" s="132"/>
      <c r="P42" s="98"/>
      <c r="Q42" s="102"/>
      <c r="R42" s="108"/>
      <c r="S42" s="134">
        <v>12</v>
      </c>
      <c r="T42" s="134">
        <v>432</v>
      </c>
      <c r="U42" s="135">
        <v>0</v>
      </c>
      <c r="V42" s="135">
        <v>1</v>
      </c>
      <c r="W42" s="133"/>
    </row>
    <row r="43" spans="2:23" ht="15.75" customHeight="1">
      <c r="B43" t="s">
        <v>212</v>
      </c>
      <c r="C43" t="s">
        <v>213</v>
      </c>
      <c r="D43" s="130"/>
      <c r="E43" s="100"/>
      <c r="F43">
        <v>36</v>
      </c>
      <c r="G43" s="134">
        <v>19.5</v>
      </c>
      <c r="H43" s="134">
        <v>5.27</v>
      </c>
      <c r="I43" s="134">
        <v>702</v>
      </c>
      <c r="J43" s="131"/>
      <c r="K43">
        <v>36</v>
      </c>
      <c r="L43" s="134">
        <v>9.75</v>
      </c>
      <c r="M43" s="134">
        <v>351</v>
      </c>
      <c r="O43" s="132"/>
      <c r="P43" s="98"/>
      <c r="Q43" s="102"/>
      <c r="R43" s="108"/>
      <c r="S43" s="134">
        <v>9.75</v>
      </c>
      <c r="T43" s="134">
        <v>351</v>
      </c>
      <c r="U43" s="135">
        <v>0</v>
      </c>
      <c r="V43" s="135">
        <v>1</v>
      </c>
      <c r="W43" s="133"/>
    </row>
    <row r="44" spans="2:23" ht="15.75" customHeight="1">
      <c r="B44" t="s">
        <v>214</v>
      </c>
      <c r="C44" t="s">
        <v>215</v>
      </c>
      <c r="D44" s="130"/>
      <c r="E44" s="100"/>
      <c r="F44">
        <v>36</v>
      </c>
      <c r="G44" s="134">
        <v>20.5</v>
      </c>
      <c r="H44" s="134">
        <v>5.54</v>
      </c>
      <c r="I44" s="134">
        <v>738</v>
      </c>
      <c r="J44" s="131"/>
      <c r="K44">
        <v>36</v>
      </c>
      <c r="L44" s="134">
        <v>10.25</v>
      </c>
      <c r="M44" s="134">
        <v>369</v>
      </c>
      <c r="O44" s="132"/>
      <c r="P44" s="98"/>
      <c r="Q44" s="102"/>
      <c r="R44" s="108"/>
      <c r="S44" s="134">
        <v>10.25</v>
      </c>
      <c r="T44" s="134">
        <v>369</v>
      </c>
      <c r="U44" s="135">
        <v>0</v>
      </c>
      <c r="V44" s="135">
        <v>1</v>
      </c>
      <c r="W44" s="133"/>
    </row>
    <row r="45" spans="2:23" ht="15.75" customHeight="1">
      <c r="B45" s="232" t="s">
        <v>216</v>
      </c>
      <c r="C45" t="s">
        <v>256</v>
      </c>
      <c r="D45" s="130"/>
      <c r="E45" s="100"/>
      <c r="F45">
        <v>1</v>
      </c>
      <c r="G45" s="134">
        <v>2805.5</v>
      </c>
      <c r="H45" s="134">
        <v>757.49</v>
      </c>
      <c r="I45" s="134">
        <v>2805.5</v>
      </c>
      <c r="J45" s="131"/>
      <c r="K45">
        <v>1</v>
      </c>
      <c r="L45" s="134">
        <v>1402.75</v>
      </c>
      <c r="M45" s="134">
        <v>1402.75</v>
      </c>
      <c r="O45" s="132"/>
      <c r="P45" s="98"/>
      <c r="Q45" s="102"/>
      <c r="R45" s="108"/>
      <c r="S45" s="134">
        <v>1402.75</v>
      </c>
      <c r="T45" s="134">
        <v>1402.75</v>
      </c>
      <c r="U45" s="135">
        <v>0</v>
      </c>
      <c r="V45" s="135">
        <v>1</v>
      </c>
      <c r="W45" s="133"/>
    </row>
    <row r="46" spans="2:23" ht="15.75" customHeight="1">
      <c r="B46" s="232" t="s">
        <v>218</v>
      </c>
      <c r="C46" t="s">
        <v>257</v>
      </c>
      <c r="D46" s="130"/>
      <c r="E46" s="100"/>
      <c r="F46">
        <v>1</v>
      </c>
      <c r="G46" s="134">
        <v>2805.5</v>
      </c>
      <c r="H46" s="134">
        <v>757.49</v>
      </c>
      <c r="I46" s="134">
        <v>2805.5</v>
      </c>
      <c r="J46" s="131"/>
      <c r="K46">
        <v>1</v>
      </c>
      <c r="L46" s="134">
        <v>1402.75</v>
      </c>
      <c r="M46" s="134">
        <v>1402.75</v>
      </c>
      <c r="O46" s="132"/>
      <c r="P46" s="98"/>
      <c r="Q46" s="102"/>
      <c r="R46" s="108"/>
      <c r="S46" s="134">
        <v>1402.75</v>
      </c>
      <c r="T46" s="134">
        <v>1402.75</v>
      </c>
      <c r="U46" s="135">
        <v>0</v>
      </c>
      <c r="V46" s="135">
        <v>1</v>
      </c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J49" s="131"/>
      <c r="O49" s="132"/>
      <c r="P49" s="98"/>
      <c r="Q49" s="102"/>
      <c r="R49" s="108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142</v>
      </c>
      <c r="G66" s="121">
        <f t="shared" si="0"/>
        <v>1040181.5</v>
      </c>
      <c r="H66" s="122">
        <f t="shared" si="0"/>
        <v>280849.08</v>
      </c>
      <c r="I66" s="123">
        <f t="shared" si="0"/>
        <v>1084216.5</v>
      </c>
      <c r="J66" s="124"/>
      <c r="K66" s="125">
        <f t="shared" ref="K66:M66" si="1">SUM(K19:K65)</f>
        <v>142</v>
      </c>
      <c r="L66" s="122">
        <f t="shared" si="1"/>
        <v>520090.75</v>
      </c>
      <c r="M66" s="123">
        <f t="shared" si="1"/>
        <v>542108.25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520090.75</v>
      </c>
      <c r="T66" s="123">
        <f t="shared" si="2"/>
        <v>542108.25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1" priority="1" stopIfTrue="1">
      <formula>$U$9&gt;100%</formula>
    </cfRule>
    <cfRule type="expression" dxfId="30" priority="2">
      <formula>$U$9&lt;50%</formula>
    </cfRule>
  </conditionalFormatting>
  <conditionalFormatting sqref="V9:V11">
    <cfRule type="expression" dxfId="29" priority="3">
      <formula>$V$9&lt;50%</formula>
    </cfRule>
    <cfRule type="expression" dxfId="28" priority="4">
      <formula>$V$9&gt;50%</formula>
    </cfRule>
  </conditionalFormatting>
  <dataValidations count="4">
    <dataValidation type="list" allowBlank="1" showErrorMessage="1" sqref="E19:E65" xr:uid="{5283D34B-CCA7-4C5B-A11F-CBC0AE6BEE1D}">
      <formula1>$Z$19:$Z$30</formula1>
    </dataValidation>
    <dataValidation type="list" allowBlank="1" showErrorMessage="1" sqref="I14" xr:uid="{7DBB4F3D-4416-49D4-AD9F-26B677C688FE}">
      <formula1>$Y$14:$Y$15</formula1>
    </dataValidation>
    <dataValidation type="list" allowBlank="1" showErrorMessage="1" sqref="J14" xr:uid="{74BE0B0A-C863-48B0-9EA2-C84263FC66DA}">
      <formula1>$L$9</formula1>
    </dataValidation>
    <dataValidation type="list" allowBlank="1" showErrorMessage="1" sqref="Q15 G18 L18 Q18" xr:uid="{4189F722-C910-4E7D-AEFF-DA68C6F98413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45E2-FF58-4452-A340-80A810A23C14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284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246159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123079.5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123079.5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 t="s">
        <v>283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0.5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282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123079.5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123079.5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108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110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258</v>
      </c>
      <c r="C19" t="s">
        <v>109</v>
      </c>
      <c r="D19" s="87"/>
      <c r="E19" s="88"/>
      <c r="F19">
        <v>1</v>
      </c>
      <c r="G19" s="134">
        <v>173.5</v>
      </c>
      <c r="H19" s="134">
        <v>46.85</v>
      </c>
      <c r="I19" s="134">
        <v>173.5</v>
      </c>
      <c r="J19" s="92"/>
      <c r="K19">
        <v>1</v>
      </c>
      <c r="L19" s="134">
        <v>86.75</v>
      </c>
      <c r="M19" s="134">
        <v>86.75</v>
      </c>
      <c r="O19" s="93"/>
      <c r="P19" s="86"/>
      <c r="Q19" s="94"/>
      <c r="R19" s="94"/>
      <c r="S19" s="134">
        <v>86.75</v>
      </c>
      <c r="T19" s="134">
        <v>86.75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259</v>
      </c>
      <c r="C20" t="s">
        <v>110</v>
      </c>
      <c r="D20" s="87"/>
      <c r="E20" s="100"/>
      <c r="F20">
        <v>1</v>
      </c>
      <c r="G20" s="134">
        <v>291</v>
      </c>
      <c r="H20" s="134">
        <v>78.569999999999993</v>
      </c>
      <c r="I20" s="134">
        <v>291</v>
      </c>
      <c r="J20" s="105"/>
      <c r="K20">
        <v>1</v>
      </c>
      <c r="L20" s="134">
        <v>145.5</v>
      </c>
      <c r="M20" s="134">
        <v>145.5</v>
      </c>
      <c r="O20" s="93"/>
      <c r="P20" s="98"/>
      <c r="Q20" s="102"/>
      <c r="R20" s="108"/>
      <c r="S20" s="134">
        <v>145.5</v>
      </c>
      <c r="T20" s="134">
        <v>145.5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260</v>
      </c>
      <c r="C21" t="s">
        <v>117</v>
      </c>
      <c r="D21" s="87"/>
      <c r="E21" s="88"/>
      <c r="F21">
        <v>1</v>
      </c>
      <c r="G21" s="134">
        <v>197</v>
      </c>
      <c r="H21" s="134">
        <v>53.19</v>
      </c>
      <c r="I21" s="134">
        <v>197</v>
      </c>
      <c r="J21" s="105"/>
      <c r="K21">
        <v>1</v>
      </c>
      <c r="L21" s="134">
        <v>98.5</v>
      </c>
      <c r="M21" s="134">
        <v>98.5</v>
      </c>
      <c r="O21" s="93"/>
      <c r="P21" s="115"/>
      <c r="Q21" s="94"/>
      <c r="R21" s="94"/>
      <c r="S21" s="134">
        <v>98.5</v>
      </c>
      <c r="T21" s="134">
        <v>98.5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261</v>
      </c>
      <c r="C22" t="s">
        <v>262</v>
      </c>
      <c r="D22" s="87"/>
      <c r="E22" s="100"/>
      <c r="F22">
        <v>1</v>
      </c>
      <c r="G22" s="134">
        <v>202.5</v>
      </c>
      <c r="H22" s="134">
        <v>54.68</v>
      </c>
      <c r="I22" s="134">
        <v>202.5</v>
      </c>
      <c r="J22" s="105"/>
      <c r="K22">
        <v>1</v>
      </c>
      <c r="L22" s="134">
        <v>101.25</v>
      </c>
      <c r="M22" s="134">
        <v>101.25</v>
      </c>
      <c r="O22" s="93"/>
      <c r="P22" s="98"/>
      <c r="Q22" s="102"/>
      <c r="R22" s="108"/>
      <c r="S22" s="134">
        <v>101.25</v>
      </c>
      <c r="T22" s="134">
        <v>101.25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263</v>
      </c>
      <c r="C23" t="s">
        <v>183</v>
      </c>
      <c r="D23" s="87"/>
      <c r="E23" s="88"/>
      <c r="F23">
        <v>1</v>
      </c>
      <c r="G23" s="134">
        <v>436.5</v>
      </c>
      <c r="H23" s="134">
        <v>117.86</v>
      </c>
      <c r="I23" s="134">
        <v>436.5</v>
      </c>
      <c r="J23" s="105"/>
      <c r="K23">
        <v>1</v>
      </c>
      <c r="L23" s="134">
        <v>218.25</v>
      </c>
      <c r="M23" s="134">
        <v>218.25</v>
      </c>
      <c r="O23" s="93"/>
      <c r="P23" s="115"/>
      <c r="Q23" s="94"/>
      <c r="R23" s="94"/>
      <c r="S23" s="134">
        <v>218.25</v>
      </c>
      <c r="T23" s="134">
        <v>218.25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264</v>
      </c>
      <c r="C24" t="s">
        <v>111</v>
      </c>
      <c r="D24" s="87"/>
      <c r="E24" s="100"/>
      <c r="F24">
        <v>1</v>
      </c>
      <c r="G24" s="134">
        <v>334</v>
      </c>
      <c r="H24" s="134">
        <v>90.18</v>
      </c>
      <c r="I24" s="134">
        <v>334</v>
      </c>
      <c r="J24" s="105"/>
      <c r="K24">
        <v>1</v>
      </c>
      <c r="L24" s="134">
        <v>167</v>
      </c>
      <c r="M24" s="134">
        <v>167</v>
      </c>
      <c r="N24" s="136"/>
      <c r="O24" s="93"/>
      <c r="P24" s="98"/>
      <c r="Q24" s="102"/>
      <c r="R24" s="108"/>
      <c r="S24" s="134">
        <v>167</v>
      </c>
      <c r="T24" s="134">
        <v>167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265</v>
      </c>
      <c r="C25" t="s">
        <v>112</v>
      </c>
      <c r="D25" s="87"/>
      <c r="E25" s="88"/>
      <c r="F25">
        <v>1</v>
      </c>
      <c r="G25" s="134">
        <v>289</v>
      </c>
      <c r="H25" s="134">
        <v>78.03</v>
      </c>
      <c r="I25" s="134">
        <v>289</v>
      </c>
      <c r="J25" s="105"/>
      <c r="K25">
        <v>1</v>
      </c>
      <c r="L25" s="134">
        <v>144.5</v>
      </c>
      <c r="M25" s="134">
        <v>144.5</v>
      </c>
      <c r="N25" s="136"/>
      <c r="O25" s="93"/>
      <c r="P25" s="115"/>
      <c r="Q25" s="94"/>
      <c r="R25" s="94"/>
      <c r="S25" s="134">
        <v>144.5</v>
      </c>
      <c r="T25" s="134">
        <v>144.5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D26" s="87"/>
      <c r="E26" s="100"/>
      <c r="H26" t="s">
        <v>123</v>
      </c>
      <c r="I26" t="s">
        <v>123</v>
      </c>
      <c r="J26" s="105"/>
      <c r="K26">
        <v>0</v>
      </c>
      <c r="L26" t="s">
        <v>123</v>
      </c>
      <c r="M26" t="s">
        <v>123</v>
      </c>
      <c r="N26" s="136"/>
      <c r="O26" s="93"/>
      <c r="P26" s="98"/>
      <c r="Q26" s="102"/>
      <c r="R26" s="108"/>
      <c r="S26" t="s">
        <v>123</v>
      </c>
      <c r="T26" t="s">
        <v>123</v>
      </c>
      <c r="U26" s="135">
        <v>0</v>
      </c>
      <c r="V26" s="135">
        <v>0</v>
      </c>
      <c r="W26" s="111"/>
      <c r="X26" s="97"/>
      <c r="Y26" s="8"/>
      <c r="Z26" s="8"/>
    </row>
    <row r="27" spans="2:26" ht="15.75" customHeight="1">
      <c r="B27" t="s">
        <v>119</v>
      </c>
      <c r="C27" t="s">
        <v>205</v>
      </c>
      <c r="D27" s="87"/>
      <c r="E27" s="88"/>
      <c r="F27">
        <v>4</v>
      </c>
      <c r="G27" s="134">
        <v>1327</v>
      </c>
      <c r="H27" s="134">
        <v>358.29</v>
      </c>
      <c r="I27" s="134">
        <v>5308</v>
      </c>
      <c r="J27" s="105"/>
      <c r="K27">
        <v>4</v>
      </c>
      <c r="L27" s="134">
        <v>663.5</v>
      </c>
      <c r="M27" s="134">
        <v>2654</v>
      </c>
      <c r="O27" s="93"/>
      <c r="P27" s="115"/>
      <c r="Q27" s="94"/>
      <c r="R27" s="94"/>
      <c r="S27" s="134">
        <v>663.5</v>
      </c>
      <c r="T27" s="134">
        <v>2654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123</v>
      </c>
      <c r="I28" t="s">
        <v>123</v>
      </c>
      <c r="J28" s="105"/>
      <c r="K28">
        <v>0</v>
      </c>
      <c r="L28" t="s">
        <v>123</v>
      </c>
      <c r="M28" t="s">
        <v>123</v>
      </c>
      <c r="O28" s="93"/>
      <c r="P28" s="98"/>
      <c r="Q28" s="102"/>
      <c r="R28" s="108"/>
      <c r="S28" t="s">
        <v>123</v>
      </c>
      <c r="T28" t="s">
        <v>123</v>
      </c>
      <c r="U28" s="135">
        <v>0</v>
      </c>
      <c r="V28" s="135">
        <v>0</v>
      </c>
      <c r="W28" s="111"/>
      <c r="X28" s="97"/>
      <c r="Y28" s="8"/>
      <c r="Z28" s="116"/>
    </row>
    <row r="29" spans="2:26" ht="15.75" customHeight="1">
      <c r="D29" s="87"/>
      <c r="E29" s="88"/>
      <c r="H29" t="s">
        <v>123</v>
      </c>
      <c r="I29" t="s">
        <v>123</v>
      </c>
      <c r="J29" s="105"/>
      <c r="K29">
        <v>0</v>
      </c>
      <c r="L29" t="s">
        <v>123</v>
      </c>
      <c r="M29" t="s">
        <v>123</v>
      </c>
      <c r="O29" s="93"/>
      <c r="P29" s="115"/>
      <c r="Q29" s="94"/>
      <c r="R29" s="94"/>
      <c r="S29" t="s">
        <v>123</v>
      </c>
      <c r="T29" t="s">
        <v>123</v>
      </c>
      <c r="U29" s="135">
        <v>0</v>
      </c>
      <c r="V29" s="135">
        <v>0</v>
      </c>
      <c r="W29" s="96"/>
      <c r="X29" s="97"/>
      <c r="Y29" s="8"/>
      <c r="Z29" s="8"/>
    </row>
    <row r="30" spans="2:26" ht="15.75" customHeight="1">
      <c r="B30" t="s">
        <v>248</v>
      </c>
      <c r="C30" t="s">
        <v>266</v>
      </c>
      <c r="D30" s="87"/>
      <c r="E30" s="100"/>
      <c r="F30">
        <v>1</v>
      </c>
      <c r="G30" s="134">
        <v>37824.5</v>
      </c>
      <c r="H30" s="134">
        <v>10212.620000000001</v>
      </c>
      <c r="I30" s="134">
        <v>37824.5</v>
      </c>
      <c r="J30" s="105"/>
      <c r="K30">
        <v>1</v>
      </c>
      <c r="L30" s="134">
        <v>18912.25</v>
      </c>
      <c r="M30" s="134">
        <v>18912.25</v>
      </c>
      <c r="O30" s="93"/>
      <c r="P30" s="98"/>
      <c r="Q30" s="102"/>
      <c r="R30" s="108"/>
      <c r="S30" s="134">
        <v>18912.25</v>
      </c>
      <c r="T30" s="134">
        <v>18912.25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267</v>
      </c>
      <c r="C31" t="s">
        <v>113</v>
      </c>
      <c r="D31" s="87"/>
      <c r="E31" s="88"/>
      <c r="F31">
        <v>1</v>
      </c>
      <c r="G31" s="134">
        <v>22833.5</v>
      </c>
      <c r="H31" s="134">
        <v>6165.05</v>
      </c>
      <c r="I31" s="134">
        <v>22833.5</v>
      </c>
      <c r="J31" s="105"/>
      <c r="K31">
        <v>1</v>
      </c>
      <c r="L31" s="134">
        <v>11416.75</v>
      </c>
      <c r="M31" s="134">
        <v>11416.75</v>
      </c>
      <c r="O31" s="93"/>
      <c r="P31" s="115"/>
      <c r="Q31" s="94"/>
      <c r="R31" s="94"/>
      <c r="S31" s="134">
        <v>11416.75</v>
      </c>
      <c r="T31" s="134">
        <v>11416.75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268</v>
      </c>
      <c r="C32" t="s">
        <v>114</v>
      </c>
      <c r="D32" s="87"/>
      <c r="E32" s="100"/>
      <c r="F32">
        <v>1</v>
      </c>
      <c r="G32" s="134">
        <v>67065.5</v>
      </c>
      <c r="H32" s="134">
        <v>18107.689999999999</v>
      </c>
      <c r="I32" s="134">
        <v>67065.5</v>
      </c>
      <c r="J32" s="105"/>
      <c r="K32">
        <v>1</v>
      </c>
      <c r="L32" s="134">
        <v>33532.75</v>
      </c>
      <c r="M32" s="134">
        <v>33532.75</v>
      </c>
      <c r="O32" s="93"/>
      <c r="P32" s="98"/>
      <c r="Q32" s="102"/>
      <c r="R32" s="108"/>
      <c r="S32" s="134">
        <v>33532.75</v>
      </c>
      <c r="T32" s="134">
        <v>33532.75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269</v>
      </c>
      <c r="C33" t="s">
        <v>115</v>
      </c>
      <c r="D33" s="87"/>
      <c r="E33" s="88"/>
      <c r="F33">
        <v>1</v>
      </c>
      <c r="G33" s="134">
        <v>42171.5</v>
      </c>
      <c r="H33" s="134">
        <v>11386.31</v>
      </c>
      <c r="I33" s="134">
        <v>42171.5</v>
      </c>
      <c r="J33" s="105"/>
      <c r="K33">
        <v>1</v>
      </c>
      <c r="L33" s="134">
        <v>21085.75</v>
      </c>
      <c r="M33" s="134">
        <v>21085.75</v>
      </c>
      <c r="O33" s="93"/>
      <c r="P33" s="115"/>
      <c r="Q33" s="94"/>
      <c r="R33" s="94"/>
      <c r="S33" s="134">
        <v>21085.75</v>
      </c>
      <c r="T33" s="134">
        <v>21085.75</v>
      </c>
      <c r="U33" s="135">
        <v>0</v>
      </c>
      <c r="V33" s="135">
        <v>1</v>
      </c>
      <c r="W33" s="96"/>
    </row>
    <row r="34" spans="2:23" ht="15.75" customHeight="1">
      <c r="B34" t="s">
        <v>270</v>
      </c>
      <c r="C34" t="s">
        <v>116</v>
      </c>
      <c r="D34" s="87"/>
      <c r="E34" s="100"/>
      <c r="F34">
        <v>1</v>
      </c>
      <c r="G34" s="134">
        <v>21430.5</v>
      </c>
      <c r="H34" s="134">
        <v>5786.24</v>
      </c>
      <c r="I34" s="134">
        <v>21430.5</v>
      </c>
      <c r="J34" s="105"/>
      <c r="K34">
        <v>1</v>
      </c>
      <c r="L34" s="134">
        <v>10715.25</v>
      </c>
      <c r="M34" s="134">
        <v>10715.25</v>
      </c>
      <c r="O34" s="93"/>
      <c r="P34" s="98"/>
      <c r="Q34" s="102"/>
      <c r="R34" s="108"/>
      <c r="S34" s="134">
        <v>10715.25</v>
      </c>
      <c r="T34" s="134">
        <v>10715.25</v>
      </c>
      <c r="U34" s="135">
        <v>0</v>
      </c>
      <c r="V34" s="135">
        <v>1</v>
      </c>
      <c r="W34" s="111"/>
    </row>
    <row r="35" spans="2:23" ht="15.75" customHeight="1">
      <c r="B35" t="s">
        <v>271</v>
      </c>
      <c r="C35" t="s">
        <v>203</v>
      </c>
      <c r="D35" s="87"/>
      <c r="E35" s="88"/>
      <c r="F35">
        <v>6</v>
      </c>
      <c r="G35" s="134">
        <v>6763.5</v>
      </c>
      <c r="H35" s="134">
        <v>1826.15</v>
      </c>
      <c r="I35" s="134">
        <v>40581</v>
      </c>
      <c r="J35" s="105"/>
      <c r="K35">
        <v>6</v>
      </c>
      <c r="L35" s="134">
        <v>3381.75</v>
      </c>
      <c r="M35" s="134">
        <v>20290.5</v>
      </c>
      <c r="O35" s="93"/>
      <c r="P35" s="115"/>
      <c r="Q35" s="94"/>
      <c r="R35" s="94"/>
      <c r="S35" s="134">
        <v>3381.75</v>
      </c>
      <c r="T35" s="134">
        <v>20290.5</v>
      </c>
      <c r="U35" s="135">
        <v>0</v>
      </c>
      <c r="V35" s="135">
        <v>1</v>
      </c>
      <c r="W35" s="96"/>
    </row>
    <row r="36" spans="2:23" ht="15.75" customHeight="1">
      <c r="D36" s="87"/>
      <c r="E36" s="100"/>
      <c r="H36" t="s">
        <v>123</v>
      </c>
      <c r="I36" t="s">
        <v>123</v>
      </c>
      <c r="J36" s="105"/>
      <c r="K36">
        <v>0</v>
      </c>
      <c r="L36" t="s">
        <v>123</v>
      </c>
      <c r="M36" t="s">
        <v>123</v>
      </c>
      <c r="O36" s="93"/>
      <c r="P36" s="98"/>
      <c r="Q36" s="102"/>
      <c r="R36" s="108"/>
      <c r="S36" t="s">
        <v>123</v>
      </c>
      <c r="T36" t="s">
        <v>123</v>
      </c>
      <c r="U36" s="135">
        <v>0</v>
      </c>
      <c r="V36" s="135">
        <v>0</v>
      </c>
      <c r="W36" s="111"/>
    </row>
    <row r="37" spans="2:23" ht="15.75" customHeight="1">
      <c r="B37" t="s">
        <v>272</v>
      </c>
      <c r="C37" t="s">
        <v>273</v>
      </c>
      <c r="D37" s="87"/>
      <c r="E37" s="88"/>
      <c r="F37">
        <v>1</v>
      </c>
      <c r="H37" t="s">
        <v>123</v>
      </c>
      <c r="I37" t="s">
        <v>123</v>
      </c>
      <c r="J37" s="105"/>
      <c r="K37">
        <v>1</v>
      </c>
      <c r="L37" t="s">
        <v>123</v>
      </c>
      <c r="M37" t="s">
        <v>123</v>
      </c>
      <c r="O37" s="93"/>
      <c r="P37" s="115"/>
      <c r="Q37" s="94"/>
      <c r="R37" s="94"/>
      <c r="S37" t="s">
        <v>123</v>
      </c>
      <c r="T37" t="s">
        <v>123</v>
      </c>
      <c r="U37" s="135">
        <v>0</v>
      </c>
      <c r="V37" s="135">
        <v>0</v>
      </c>
      <c r="W37" s="96"/>
    </row>
    <row r="38" spans="2:23" ht="15.75" customHeight="1">
      <c r="B38" t="s">
        <v>274</v>
      </c>
      <c r="C38" t="s">
        <v>124</v>
      </c>
      <c r="D38" s="87"/>
      <c r="E38" s="100"/>
      <c r="F38">
        <v>2</v>
      </c>
      <c r="G38" s="134">
        <v>1103</v>
      </c>
      <c r="H38" s="134">
        <v>297.81</v>
      </c>
      <c r="I38" s="134">
        <v>2206</v>
      </c>
      <c r="J38" s="105"/>
      <c r="K38">
        <v>2</v>
      </c>
      <c r="L38" s="134">
        <v>551.5</v>
      </c>
      <c r="M38" s="134">
        <v>1103</v>
      </c>
      <c r="O38" s="93"/>
      <c r="P38" s="98"/>
      <c r="Q38" s="102"/>
      <c r="R38" s="108"/>
      <c r="S38" s="134">
        <v>551.5</v>
      </c>
      <c r="T38" s="134">
        <v>1103</v>
      </c>
      <c r="U38" s="135">
        <v>0</v>
      </c>
      <c r="V38" s="135">
        <v>1</v>
      </c>
      <c r="W38" s="111"/>
    </row>
    <row r="39" spans="2:23" ht="15.75" customHeight="1">
      <c r="B39" t="s">
        <v>275</v>
      </c>
      <c r="C39" t="s">
        <v>120</v>
      </c>
      <c r="D39" s="87"/>
      <c r="E39" s="88"/>
      <c r="F39">
        <v>28</v>
      </c>
      <c r="G39" s="134">
        <v>10</v>
      </c>
      <c r="H39" s="134">
        <v>2.7</v>
      </c>
      <c r="I39" s="134">
        <v>280</v>
      </c>
      <c r="J39" s="105"/>
      <c r="K39">
        <v>28</v>
      </c>
      <c r="L39" s="134">
        <v>5</v>
      </c>
      <c r="M39" s="134">
        <v>140</v>
      </c>
      <c r="O39" s="93"/>
      <c r="P39" s="115"/>
      <c r="Q39" s="94"/>
      <c r="R39" s="94"/>
      <c r="S39" s="134">
        <v>5</v>
      </c>
      <c r="T39" s="134">
        <v>140</v>
      </c>
      <c r="U39" s="135">
        <v>0</v>
      </c>
      <c r="V39" s="135">
        <v>1</v>
      </c>
      <c r="W39" s="111"/>
    </row>
    <row r="40" spans="2:23" ht="15.75" customHeight="1">
      <c r="B40" t="s">
        <v>121</v>
      </c>
      <c r="C40" t="s">
        <v>215</v>
      </c>
      <c r="D40" s="87"/>
      <c r="E40" s="100"/>
      <c r="F40">
        <v>38</v>
      </c>
      <c r="G40" s="134">
        <v>10</v>
      </c>
      <c r="H40" s="134">
        <v>2.7</v>
      </c>
      <c r="I40" s="134">
        <v>380</v>
      </c>
      <c r="J40" s="105"/>
      <c r="K40">
        <v>38</v>
      </c>
      <c r="L40" s="134">
        <v>5</v>
      </c>
      <c r="M40" s="134">
        <v>190</v>
      </c>
      <c r="O40" s="93"/>
      <c r="P40" s="98"/>
      <c r="Q40" s="102"/>
      <c r="R40" s="108"/>
      <c r="S40" s="134">
        <v>5</v>
      </c>
      <c r="T40" s="134">
        <v>190</v>
      </c>
      <c r="U40" s="135">
        <v>0</v>
      </c>
      <c r="V40" s="135">
        <v>1</v>
      </c>
      <c r="W40" s="111"/>
    </row>
    <row r="41" spans="2:23" ht="15.75" customHeight="1">
      <c r="B41" s="232" t="s">
        <v>276</v>
      </c>
      <c r="C41" t="s">
        <v>277</v>
      </c>
      <c r="D41" s="130"/>
      <c r="E41" s="100"/>
      <c r="F41">
        <v>2</v>
      </c>
      <c r="G41" s="134">
        <v>370</v>
      </c>
      <c r="H41" s="134">
        <v>99.9</v>
      </c>
      <c r="I41" s="134">
        <v>740</v>
      </c>
      <c r="J41" s="131"/>
      <c r="K41">
        <v>2</v>
      </c>
      <c r="L41" s="134">
        <v>185</v>
      </c>
      <c r="M41" s="134">
        <v>370</v>
      </c>
      <c r="O41" s="132"/>
      <c r="P41" s="98"/>
      <c r="Q41" s="102"/>
      <c r="R41" s="108"/>
      <c r="S41" s="134">
        <v>185</v>
      </c>
      <c r="T41" s="134">
        <v>370</v>
      </c>
      <c r="U41" s="135">
        <v>0</v>
      </c>
      <c r="V41" s="135">
        <v>1</v>
      </c>
      <c r="W41" s="133"/>
    </row>
    <row r="42" spans="2:23" ht="15.75" customHeight="1">
      <c r="B42" t="s">
        <v>122</v>
      </c>
      <c r="C42" t="s">
        <v>120</v>
      </c>
      <c r="D42" s="130"/>
      <c r="E42" s="100"/>
      <c r="F42">
        <v>10</v>
      </c>
      <c r="G42" s="134">
        <v>8</v>
      </c>
      <c r="H42" s="134">
        <v>2.16</v>
      </c>
      <c r="I42" s="134">
        <v>80</v>
      </c>
      <c r="J42" s="131"/>
      <c r="K42">
        <v>10</v>
      </c>
      <c r="L42" s="134">
        <v>4</v>
      </c>
      <c r="M42" s="134">
        <v>40</v>
      </c>
      <c r="O42" s="132"/>
      <c r="P42" s="98"/>
      <c r="Q42" s="102"/>
      <c r="R42" s="108"/>
      <c r="S42" s="134">
        <v>4</v>
      </c>
      <c r="T42" s="134">
        <v>40</v>
      </c>
      <c r="U42" s="135">
        <v>0</v>
      </c>
      <c r="V42" s="135">
        <v>1</v>
      </c>
      <c r="W42" s="133"/>
    </row>
    <row r="43" spans="2:23" ht="15.75" customHeight="1">
      <c r="D43" s="130"/>
      <c r="E43" s="100"/>
      <c r="H43" t="s">
        <v>123</v>
      </c>
      <c r="I43" t="s">
        <v>123</v>
      </c>
      <c r="J43" s="131"/>
      <c r="K43">
        <v>0</v>
      </c>
      <c r="L43" t="s">
        <v>123</v>
      </c>
      <c r="M43" t="s">
        <v>123</v>
      </c>
      <c r="O43" s="132"/>
      <c r="P43" s="98"/>
      <c r="Q43" s="102"/>
      <c r="R43" s="108"/>
      <c r="S43" t="s">
        <v>123</v>
      </c>
      <c r="T43" t="s">
        <v>123</v>
      </c>
      <c r="U43" s="135">
        <v>0</v>
      </c>
      <c r="V43" s="135">
        <v>0</v>
      </c>
      <c r="W43" s="133"/>
    </row>
    <row r="44" spans="2:23" ht="15.75" customHeight="1">
      <c r="B44" t="s">
        <v>126</v>
      </c>
      <c r="C44" t="s">
        <v>127</v>
      </c>
      <c r="D44" s="130"/>
      <c r="E44" s="100"/>
      <c r="F44">
        <v>1</v>
      </c>
      <c r="G44" s="134">
        <v>2385</v>
      </c>
      <c r="H44" s="134">
        <v>643.95000000000005</v>
      </c>
      <c r="I44" s="134">
        <v>2385</v>
      </c>
      <c r="J44" s="131"/>
      <c r="K44">
        <v>1</v>
      </c>
      <c r="L44" s="134">
        <v>1192.5</v>
      </c>
      <c r="M44" s="134">
        <v>1192.5</v>
      </c>
      <c r="O44" s="132"/>
      <c r="P44" s="98"/>
      <c r="Q44" s="102"/>
      <c r="R44" s="108"/>
      <c r="S44" s="134">
        <v>1192.5</v>
      </c>
      <c r="T44" s="134">
        <v>1192.5</v>
      </c>
      <c r="U44" s="135">
        <v>0</v>
      </c>
      <c r="V44" s="135">
        <v>1</v>
      </c>
      <c r="W44" s="133"/>
    </row>
    <row r="45" spans="2:23" ht="15.75" customHeight="1">
      <c r="B45" t="s">
        <v>128</v>
      </c>
      <c r="C45" t="s">
        <v>129</v>
      </c>
      <c r="D45" s="130"/>
      <c r="E45" s="100"/>
      <c r="F45">
        <v>1</v>
      </c>
      <c r="G45" s="134">
        <v>277</v>
      </c>
      <c r="H45" s="134">
        <v>74.790000000000006</v>
      </c>
      <c r="I45" s="134">
        <v>277</v>
      </c>
      <c r="J45" s="131"/>
      <c r="K45">
        <v>1</v>
      </c>
      <c r="L45" s="134">
        <v>138.5</v>
      </c>
      <c r="M45" s="134">
        <v>138.5</v>
      </c>
      <c r="O45" s="132"/>
      <c r="P45" s="98"/>
      <c r="Q45" s="102"/>
      <c r="R45" s="108"/>
      <c r="S45" s="134">
        <v>138.5</v>
      </c>
      <c r="T45" s="134">
        <v>138.5</v>
      </c>
      <c r="U45" s="135">
        <v>0</v>
      </c>
      <c r="V45" s="135">
        <v>1</v>
      </c>
      <c r="W45" s="133"/>
    </row>
    <row r="46" spans="2:23" ht="15.75" customHeight="1">
      <c r="B46" t="s">
        <v>130</v>
      </c>
      <c r="C46" t="s">
        <v>278</v>
      </c>
      <c r="D46" s="130"/>
      <c r="E46" s="100"/>
      <c r="F46">
        <v>2</v>
      </c>
      <c r="G46" s="134">
        <v>20</v>
      </c>
      <c r="H46" s="134">
        <v>5.4</v>
      </c>
      <c r="I46" s="134">
        <v>40</v>
      </c>
      <c r="J46" s="131"/>
      <c r="K46">
        <v>2</v>
      </c>
      <c r="L46" s="134">
        <v>10</v>
      </c>
      <c r="M46" s="134">
        <v>20</v>
      </c>
      <c r="O46" s="132"/>
      <c r="P46" s="98"/>
      <c r="Q46" s="102"/>
      <c r="R46" s="108"/>
      <c r="S46" s="134">
        <v>10</v>
      </c>
      <c r="T46" s="134">
        <v>20</v>
      </c>
      <c r="U46" s="135">
        <v>0</v>
      </c>
      <c r="V46" s="135">
        <v>1</v>
      </c>
      <c r="W46" s="133"/>
    </row>
    <row r="47" spans="2:23" ht="15.75" customHeight="1">
      <c r="B47" t="s">
        <v>133</v>
      </c>
      <c r="C47" t="s">
        <v>279</v>
      </c>
      <c r="D47" s="130"/>
      <c r="E47" s="100"/>
      <c r="F47">
        <v>1</v>
      </c>
      <c r="G47" s="134">
        <v>44.5</v>
      </c>
      <c r="H47" s="134">
        <v>12.02</v>
      </c>
      <c r="I47" s="134">
        <v>44.5</v>
      </c>
      <c r="J47" s="131"/>
      <c r="K47">
        <v>1</v>
      </c>
      <c r="L47" s="134">
        <v>22.25</v>
      </c>
      <c r="M47" s="134">
        <v>22.25</v>
      </c>
      <c r="O47" s="132"/>
      <c r="P47" s="98"/>
      <c r="Q47" s="102"/>
      <c r="R47" s="108"/>
      <c r="S47" s="134">
        <v>22.25</v>
      </c>
      <c r="T47" s="134">
        <v>22.25</v>
      </c>
      <c r="U47" s="135">
        <v>0</v>
      </c>
      <c r="V47" s="135">
        <v>1</v>
      </c>
      <c r="W47" s="133"/>
    </row>
    <row r="48" spans="2:23" ht="15.75" customHeight="1">
      <c r="B48" t="s">
        <v>132</v>
      </c>
      <c r="C48" t="s">
        <v>280</v>
      </c>
      <c r="D48" s="130"/>
      <c r="E48" s="100"/>
      <c r="F48">
        <v>1</v>
      </c>
      <c r="G48" s="134">
        <v>43</v>
      </c>
      <c r="H48" s="134">
        <v>11.61</v>
      </c>
      <c r="I48" s="134">
        <v>43</v>
      </c>
      <c r="J48" s="131"/>
      <c r="K48">
        <v>1</v>
      </c>
      <c r="L48" s="134">
        <v>21.5</v>
      </c>
      <c r="M48" s="134">
        <v>21.5</v>
      </c>
      <c r="O48" s="132"/>
      <c r="P48" s="98"/>
      <c r="Q48" s="102"/>
      <c r="R48" s="108"/>
      <c r="S48" s="134">
        <v>21.5</v>
      </c>
      <c r="T48" s="134">
        <v>21.5</v>
      </c>
      <c r="U48" s="135">
        <v>0</v>
      </c>
      <c r="V48" s="135">
        <v>1</v>
      </c>
      <c r="W48" s="133"/>
    </row>
    <row r="49" spans="2:23" ht="15.75" customHeight="1">
      <c r="B49" t="s">
        <v>131</v>
      </c>
      <c r="C49" t="s">
        <v>281</v>
      </c>
      <c r="D49" s="130"/>
      <c r="E49" s="100"/>
      <c r="F49">
        <v>1</v>
      </c>
      <c r="G49" s="134">
        <v>545.5</v>
      </c>
      <c r="H49" s="134">
        <v>147.29</v>
      </c>
      <c r="I49" s="134">
        <v>545.5</v>
      </c>
      <c r="J49" s="131"/>
      <c r="K49">
        <v>1</v>
      </c>
      <c r="L49" s="134">
        <v>272.75</v>
      </c>
      <c r="M49" s="134">
        <v>272.75</v>
      </c>
      <c r="O49" s="132"/>
      <c r="P49" s="98"/>
      <c r="Q49" s="102"/>
      <c r="R49" s="108"/>
      <c r="S49" s="134">
        <v>272.75</v>
      </c>
      <c r="T49" s="134">
        <v>272.75</v>
      </c>
      <c r="U49" s="135">
        <v>0</v>
      </c>
      <c r="V49" s="135">
        <v>1</v>
      </c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110</v>
      </c>
      <c r="G66" s="121">
        <f t="shared" si="0"/>
        <v>206155.5</v>
      </c>
      <c r="H66" s="122">
        <f t="shared" si="0"/>
        <v>55662.039999999986</v>
      </c>
      <c r="I66" s="123">
        <f t="shared" si="0"/>
        <v>246159</v>
      </c>
      <c r="J66" s="124"/>
      <c r="K66" s="125">
        <f t="shared" ref="K66:M66" si="1">SUM(K19:K65)</f>
        <v>110</v>
      </c>
      <c r="L66" s="122">
        <f t="shared" si="1"/>
        <v>103077.75</v>
      </c>
      <c r="M66" s="123">
        <f t="shared" si="1"/>
        <v>123079.5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103077.75</v>
      </c>
      <c r="T66" s="123">
        <f t="shared" si="2"/>
        <v>123079.5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Q15 G18 L18 Q18" xr:uid="{3055F01E-E77A-48D4-B8C7-DD0BBCD94A48}">
      <formula1>$Y$12:$Y$13</formula1>
    </dataValidation>
    <dataValidation type="list" allowBlank="1" showErrorMessage="1" sqref="J14" xr:uid="{F5BC2066-D04E-4DC7-8B44-F9F17766ED41}">
      <formula1>$L$9</formula1>
    </dataValidation>
    <dataValidation type="list" allowBlank="1" showErrorMessage="1" sqref="I14" xr:uid="{EE040E0D-D79B-420B-9620-8E9E638B6FBD}">
      <formula1>$Y$14:$Y$15</formula1>
    </dataValidation>
    <dataValidation type="list" allowBlank="1" showErrorMessage="1" sqref="E19:E65" xr:uid="{161BF0CF-BE00-43DE-8942-E964E54D7E52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5CD4-A02F-4510-B974-ECDFA0FE0B86}">
  <sheetPr>
    <pageSetUpPr fitToPage="1"/>
  </sheetPr>
  <dimension ref="B1:Z66"/>
  <sheetViews>
    <sheetView zoomScale="55" zoomScaleNormal="55" workbookViewId="0">
      <pane ySplit="18" topLeftCell="A44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287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106907.63000000002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197976.5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-91068.869999999981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 t="s">
        <v>286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-0.85184630881818224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285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197976.5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197976.5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108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125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288</v>
      </c>
      <c r="C19" t="s">
        <v>109</v>
      </c>
      <c r="D19" s="87"/>
      <c r="E19" s="88"/>
      <c r="F19">
        <v>1</v>
      </c>
      <c r="G19" s="134">
        <v>233</v>
      </c>
      <c r="H19" s="134">
        <v>62.91</v>
      </c>
      <c r="I19" s="134">
        <v>62.91</v>
      </c>
      <c r="J19" s="92"/>
      <c r="K19">
        <v>1</v>
      </c>
      <c r="L19" s="134">
        <v>116.5</v>
      </c>
      <c r="M19" s="134">
        <v>116.5</v>
      </c>
      <c r="O19" s="93"/>
      <c r="P19" s="86"/>
      <c r="Q19" s="94"/>
      <c r="R19" s="94"/>
      <c r="S19" s="134">
        <v>116.5</v>
      </c>
      <c r="T19" s="134">
        <v>116.5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135</v>
      </c>
      <c r="C20" t="s">
        <v>110</v>
      </c>
      <c r="D20" s="87"/>
      <c r="E20" s="100"/>
      <c r="F20">
        <v>1</v>
      </c>
      <c r="G20" s="134">
        <v>239</v>
      </c>
      <c r="H20" s="134">
        <v>64.53</v>
      </c>
      <c r="I20" s="134">
        <v>64.53</v>
      </c>
      <c r="J20" s="105"/>
      <c r="K20">
        <v>1</v>
      </c>
      <c r="L20" s="134">
        <v>119.5</v>
      </c>
      <c r="M20" s="134">
        <v>119.5</v>
      </c>
      <c r="O20" s="93"/>
      <c r="P20" s="98"/>
      <c r="Q20" s="102"/>
      <c r="R20" s="108"/>
      <c r="S20" s="134">
        <v>119.5</v>
      </c>
      <c r="T20" s="134">
        <v>119.5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260</v>
      </c>
      <c r="C21" t="s">
        <v>117</v>
      </c>
      <c r="D21" s="87"/>
      <c r="E21" s="88"/>
      <c r="F21">
        <v>1</v>
      </c>
      <c r="G21" s="134">
        <v>197</v>
      </c>
      <c r="H21" s="134">
        <v>53.19</v>
      </c>
      <c r="I21" s="134">
        <v>53.19</v>
      </c>
      <c r="J21" s="105"/>
      <c r="K21">
        <v>1</v>
      </c>
      <c r="L21" s="134">
        <v>98.5</v>
      </c>
      <c r="M21" s="134">
        <v>98.5</v>
      </c>
      <c r="O21" s="93"/>
      <c r="P21" s="115"/>
      <c r="Q21" s="94"/>
      <c r="R21" s="94"/>
      <c r="S21" s="134">
        <v>98.5</v>
      </c>
      <c r="T21" s="134">
        <v>98.5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289</v>
      </c>
      <c r="C22" t="s">
        <v>262</v>
      </c>
      <c r="D22" s="87"/>
      <c r="E22" s="100"/>
      <c r="F22">
        <v>1</v>
      </c>
      <c r="G22" s="134">
        <v>577</v>
      </c>
      <c r="H22" s="134">
        <v>155.79</v>
      </c>
      <c r="I22" s="134">
        <v>155.79</v>
      </c>
      <c r="J22" s="105"/>
      <c r="K22">
        <v>1</v>
      </c>
      <c r="L22" s="134">
        <v>288.5</v>
      </c>
      <c r="M22" s="134">
        <v>288.5</v>
      </c>
      <c r="O22" s="93"/>
      <c r="P22" s="98"/>
      <c r="Q22" s="102"/>
      <c r="R22" s="108"/>
      <c r="S22" s="134">
        <v>288.5</v>
      </c>
      <c r="T22" s="134">
        <v>288.5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137</v>
      </c>
      <c r="C23" t="s">
        <v>183</v>
      </c>
      <c r="D23" s="87"/>
      <c r="E23" s="88"/>
      <c r="F23">
        <v>1</v>
      </c>
      <c r="G23" s="134">
        <v>469</v>
      </c>
      <c r="H23" s="134">
        <v>126.63</v>
      </c>
      <c r="I23" s="134">
        <v>126.63</v>
      </c>
      <c r="J23" s="105"/>
      <c r="K23">
        <v>1</v>
      </c>
      <c r="L23" s="134">
        <v>234.5</v>
      </c>
      <c r="M23" s="134">
        <v>234.5</v>
      </c>
      <c r="O23" s="93"/>
      <c r="P23" s="115"/>
      <c r="Q23" s="94"/>
      <c r="R23" s="94"/>
      <c r="S23" s="134">
        <v>234.5</v>
      </c>
      <c r="T23" s="134">
        <v>234.5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138</v>
      </c>
      <c r="C24" t="s">
        <v>111</v>
      </c>
      <c r="D24" s="87"/>
      <c r="E24" s="100"/>
      <c r="F24">
        <v>1</v>
      </c>
      <c r="G24" s="134">
        <v>308</v>
      </c>
      <c r="H24" s="134">
        <v>83.16</v>
      </c>
      <c r="I24" s="134">
        <v>83.16</v>
      </c>
      <c r="J24" s="105"/>
      <c r="K24">
        <v>1</v>
      </c>
      <c r="L24" s="134">
        <v>154</v>
      </c>
      <c r="M24" s="134">
        <v>154</v>
      </c>
      <c r="N24" s="136"/>
      <c r="O24" s="93"/>
      <c r="P24" s="98"/>
      <c r="Q24" s="102"/>
      <c r="R24" s="108"/>
      <c r="S24" s="134">
        <v>154</v>
      </c>
      <c r="T24" s="134">
        <v>154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118</v>
      </c>
      <c r="C25" t="s">
        <v>112</v>
      </c>
      <c r="D25" s="87"/>
      <c r="E25" s="88"/>
      <c r="F25">
        <v>1</v>
      </c>
      <c r="G25" s="134">
        <v>217.5</v>
      </c>
      <c r="H25" s="134">
        <v>58.73</v>
      </c>
      <c r="I25" s="134">
        <v>58.73</v>
      </c>
      <c r="J25" s="105"/>
      <c r="K25">
        <v>1</v>
      </c>
      <c r="L25" s="134">
        <v>108.75</v>
      </c>
      <c r="M25" s="134">
        <v>108.75</v>
      </c>
      <c r="N25" s="136"/>
      <c r="O25" s="93"/>
      <c r="P25" s="115"/>
      <c r="Q25" s="94"/>
      <c r="R25" s="94"/>
      <c r="S25" s="134">
        <v>108.75</v>
      </c>
      <c r="T25" s="134">
        <v>108.75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290</v>
      </c>
      <c r="C26" t="s">
        <v>112</v>
      </c>
      <c r="D26" s="87"/>
      <c r="E26" s="100"/>
      <c r="F26">
        <v>1</v>
      </c>
      <c r="G26" s="134">
        <v>270.5</v>
      </c>
      <c r="H26" s="134">
        <v>73.040000000000006</v>
      </c>
      <c r="I26" s="134">
        <v>73.040000000000006</v>
      </c>
      <c r="J26" s="105"/>
      <c r="K26">
        <v>1</v>
      </c>
      <c r="L26" s="134">
        <v>135.25</v>
      </c>
      <c r="M26" s="134">
        <v>135.25</v>
      </c>
      <c r="N26" s="136"/>
      <c r="O26" s="93"/>
      <c r="P26" s="98"/>
      <c r="Q26" s="102"/>
      <c r="R26" s="108"/>
      <c r="S26" s="134">
        <v>135.25</v>
      </c>
      <c r="T26" s="134">
        <v>135.25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D27" s="87"/>
      <c r="E27" s="88"/>
      <c r="H27" t="s">
        <v>123</v>
      </c>
      <c r="I27" t="s">
        <v>123</v>
      </c>
      <c r="J27" s="105"/>
      <c r="K27">
        <v>0</v>
      </c>
      <c r="L27" t="s">
        <v>123</v>
      </c>
      <c r="M27" t="s">
        <v>123</v>
      </c>
      <c r="O27" s="93"/>
      <c r="P27" s="115"/>
      <c r="Q27" s="94"/>
      <c r="R27" s="94"/>
      <c r="S27" t="s">
        <v>123</v>
      </c>
      <c r="T27" t="s">
        <v>123</v>
      </c>
      <c r="U27" s="135">
        <v>0</v>
      </c>
      <c r="V27" s="135">
        <v>0</v>
      </c>
      <c r="W27" s="96"/>
      <c r="X27" s="97"/>
      <c r="Y27" s="8"/>
      <c r="Z27" s="8"/>
    </row>
    <row r="28" spans="2:26" ht="15.75" customHeight="1">
      <c r="B28" t="s">
        <v>291</v>
      </c>
      <c r="C28" t="s">
        <v>292</v>
      </c>
      <c r="D28" s="87"/>
      <c r="E28" s="100"/>
      <c r="F28">
        <v>1</v>
      </c>
      <c r="G28" s="134">
        <v>38950.5</v>
      </c>
      <c r="H28" s="134">
        <v>10516.64</v>
      </c>
      <c r="I28" s="134">
        <v>10516.64</v>
      </c>
      <c r="J28" s="105"/>
      <c r="K28">
        <v>1</v>
      </c>
      <c r="L28" s="134">
        <v>19475.25</v>
      </c>
      <c r="M28" s="134">
        <v>19475.25</v>
      </c>
      <c r="O28" s="93"/>
      <c r="P28" s="98"/>
      <c r="Q28" s="102"/>
      <c r="R28" s="108"/>
      <c r="S28" s="134">
        <v>19475.25</v>
      </c>
      <c r="T28" s="134">
        <v>19475.25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293</v>
      </c>
      <c r="C29" t="s">
        <v>113</v>
      </c>
      <c r="D29" s="87"/>
      <c r="E29" s="88"/>
      <c r="F29">
        <v>1</v>
      </c>
      <c r="G29" s="134">
        <v>14702.5</v>
      </c>
      <c r="H29" s="134">
        <v>3969.68</v>
      </c>
      <c r="I29" s="134">
        <v>3969.68</v>
      </c>
      <c r="J29" s="105"/>
      <c r="K29">
        <v>1</v>
      </c>
      <c r="L29" s="134">
        <v>7351.25</v>
      </c>
      <c r="M29" s="134">
        <v>7351.25</v>
      </c>
      <c r="O29" s="93"/>
      <c r="P29" s="115"/>
      <c r="Q29" s="94"/>
      <c r="R29" s="94"/>
      <c r="S29" s="134">
        <v>7351.25</v>
      </c>
      <c r="T29" s="134">
        <v>7351.25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t="s">
        <v>294</v>
      </c>
      <c r="C30" t="s">
        <v>114</v>
      </c>
      <c r="D30" s="87"/>
      <c r="E30" s="100"/>
      <c r="F30">
        <v>1</v>
      </c>
      <c r="G30" s="134">
        <v>51871.5</v>
      </c>
      <c r="H30" s="134">
        <v>14005.31</v>
      </c>
      <c r="I30" s="134">
        <v>14005.31</v>
      </c>
      <c r="J30" s="105"/>
      <c r="K30">
        <v>1</v>
      </c>
      <c r="L30" s="134">
        <v>25935.75</v>
      </c>
      <c r="M30" s="134">
        <v>25935.75</v>
      </c>
      <c r="O30" s="93"/>
      <c r="P30" s="98"/>
      <c r="Q30" s="102"/>
      <c r="R30" s="108"/>
      <c r="S30" s="134">
        <v>25935.75</v>
      </c>
      <c r="T30" s="134">
        <v>25935.75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295</v>
      </c>
      <c r="C31" t="s">
        <v>115</v>
      </c>
      <c r="D31" s="87"/>
      <c r="E31" s="88"/>
      <c r="F31">
        <v>1</v>
      </c>
      <c r="G31" s="134">
        <v>40601.5</v>
      </c>
      <c r="H31" s="134">
        <v>10962.41</v>
      </c>
      <c r="I31" s="134">
        <v>10962.41</v>
      </c>
      <c r="J31" s="105"/>
      <c r="K31">
        <v>1</v>
      </c>
      <c r="L31" s="134">
        <v>20300.75</v>
      </c>
      <c r="M31" s="134">
        <v>20300.75</v>
      </c>
      <c r="O31" s="93"/>
      <c r="P31" s="115"/>
      <c r="Q31" s="94"/>
      <c r="R31" s="94"/>
      <c r="S31" s="134">
        <v>20300.75</v>
      </c>
      <c r="T31" s="134">
        <v>20300.75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296</v>
      </c>
      <c r="C32" t="s">
        <v>116</v>
      </c>
      <c r="D32" s="87"/>
      <c r="E32" s="100"/>
      <c r="F32">
        <v>1</v>
      </c>
      <c r="G32" s="134">
        <v>20394.5</v>
      </c>
      <c r="H32" s="134">
        <v>5506.52</v>
      </c>
      <c r="I32" s="134">
        <v>5506.52</v>
      </c>
      <c r="J32" s="105"/>
      <c r="K32">
        <v>1</v>
      </c>
      <c r="L32" s="134">
        <v>10197.25</v>
      </c>
      <c r="M32" s="134">
        <v>10197.25</v>
      </c>
      <c r="O32" s="93"/>
      <c r="P32" s="98"/>
      <c r="Q32" s="102"/>
      <c r="R32" s="108"/>
      <c r="S32" s="134">
        <v>10197.25</v>
      </c>
      <c r="T32" s="134">
        <v>10197.25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297</v>
      </c>
      <c r="C33" t="s">
        <v>203</v>
      </c>
      <c r="D33" s="87"/>
      <c r="E33" s="88"/>
      <c r="F33">
        <v>6</v>
      </c>
      <c r="G33" s="134">
        <v>6613.5</v>
      </c>
      <c r="H33" s="134">
        <v>1785.65</v>
      </c>
      <c r="I33" s="134">
        <v>10713.9</v>
      </c>
      <c r="J33" s="105"/>
      <c r="K33">
        <v>6</v>
      </c>
      <c r="L33" s="134">
        <v>3306.75</v>
      </c>
      <c r="M33" s="134">
        <v>19840.5</v>
      </c>
      <c r="O33" s="93"/>
      <c r="P33" s="115"/>
      <c r="Q33" s="94"/>
      <c r="R33" s="94"/>
      <c r="S33" s="134">
        <v>3306.75</v>
      </c>
      <c r="T33" s="134">
        <v>19840.5</v>
      </c>
      <c r="U33" s="135">
        <v>0</v>
      </c>
      <c r="V33" s="135">
        <v>1</v>
      </c>
      <c r="W33" s="96"/>
    </row>
    <row r="34" spans="2:23" ht="15.75" customHeight="1">
      <c r="D34" s="87"/>
      <c r="E34" s="100"/>
      <c r="H34" t="s">
        <v>123</v>
      </c>
      <c r="I34" t="s">
        <v>123</v>
      </c>
      <c r="J34" s="105"/>
      <c r="K34">
        <v>0</v>
      </c>
      <c r="L34" t="s">
        <v>123</v>
      </c>
      <c r="M34" t="s">
        <v>123</v>
      </c>
      <c r="O34" s="93"/>
      <c r="P34" s="98"/>
      <c r="Q34" s="102"/>
      <c r="R34" s="108"/>
      <c r="S34" t="s">
        <v>123</v>
      </c>
      <c r="T34" t="s">
        <v>123</v>
      </c>
      <c r="U34" s="135">
        <v>0</v>
      </c>
      <c r="V34" s="135">
        <v>0</v>
      </c>
      <c r="W34" s="111"/>
    </row>
    <row r="35" spans="2:23" ht="15.75" customHeight="1">
      <c r="B35" t="s">
        <v>119</v>
      </c>
      <c r="C35" t="s">
        <v>205</v>
      </c>
      <c r="D35" s="87"/>
      <c r="E35" s="88"/>
      <c r="F35">
        <v>2</v>
      </c>
      <c r="G35" s="134">
        <v>1327</v>
      </c>
      <c r="H35" s="134">
        <v>358.29</v>
      </c>
      <c r="I35" s="134">
        <v>716.58</v>
      </c>
      <c r="J35" s="105"/>
      <c r="K35">
        <v>2</v>
      </c>
      <c r="L35" s="134">
        <v>663.5</v>
      </c>
      <c r="M35" s="134">
        <v>1327</v>
      </c>
      <c r="O35" s="93"/>
      <c r="P35" s="115"/>
      <c r="Q35" s="94"/>
      <c r="R35" s="94"/>
      <c r="S35" s="134">
        <v>663.5</v>
      </c>
      <c r="T35" s="134">
        <v>1327</v>
      </c>
      <c r="U35" s="135">
        <v>0</v>
      </c>
      <c r="V35" s="135">
        <v>1</v>
      </c>
      <c r="W35" s="96"/>
    </row>
    <row r="36" spans="2:23" ht="15.75" customHeight="1">
      <c r="D36" s="87"/>
      <c r="E36" s="100"/>
      <c r="H36" t="s">
        <v>123</v>
      </c>
      <c r="I36" t="s">
        <v>123</v>
      </c>
      <c r="J36" s="105"/>
      <c r="K36">
        <v>0</v>
      </c>
      <c r="L36" t="s">
        <v>123</v>
      </c>
      <c r="M36" t="s">
        <v>123</v>
      </c>
      <c r="O36" s="93"/>
      <c r="P36" s="98"/>
      <c r="Q36" s="102"/>
      <c r="R36" s="108"/>
      <c r="S36" t="s">
        <v>123</v>
      </c>
      <c r="T36" t="s">
        <v>123</v>
      </c>
      <c r="U36" s="135">
        <v>0</v>
      </c>
      <c r="V36" s="135">
        <v>0</v>
      </c>
      <c r="W36" s="111"/>
    </row>
    <row r="37" spans="2:23" ht="15.75" customHeight="1">
      <c r="B37" t="s">
        <v>298</v>
      </c>
      <c r="C37" t="s">
        <v>299</v>
      </c>
      <c r="D37" s="87"/>
      <c r="E37" s="88"/>
      <c r="F37">
        <v>1</v>
      </c>
      <c r="G37" s="134">
        <v>175671.5</v>
      </c>
      <c r="H37" s="134">
        <v>47431.31</v>
      </c>
      <c r="I37" s="134">
        <v>47431.31</v>
      </c>
      <c r="J37" s="105"/>
      <c r="K37">
        <v>1</v>
      </c>
      <c r="L37" s="134">
        <v>87835.75</v>
      </c>
      <c r="M37" s="134">
        <v>87835.75</v>
      </c>
      <c r="O37" s="93"/>
      <c r="P37" s="115"/>
      <c r="Q37" s="94"/>
      <c r="R37" s="94"/>
      <c r="S37" s="134">
        <v>87835.75</v>
      </c>
      <c r="T37" s="134">
        <v>87835.75</v>
      </c>
      <c r="U37" s="135">
        <v>0</v>
      </c>
      <c r="V37" s="135">
        <v>1</v>
      </c>
      <c r="W37" s="96"/>
    </row>
    <row r="38" spans="2:23" ht="15.75" customHeight="1">
      <c r="B38" t="s">
        <v>300</v>
      </c>
      <c r="C38" t="s">
        <v>124</v>
      </c>
      <c r="D38" s="87"/>
      <c r="E38" s="100"/>
      <c r="F38">
        <v>2</v>
      </c>
      <c r="G38" s="134">
        <v>1993.5</v>
      </c>
      <c r="H38" s="134">
        <v>538.25</v>
      </c>
      <c r="I38" s="134">
        <v>1076.5</v>
      </c>
      <c r="J38" s="105"/>
      <c r="K38">
        <v>2</v>
      </c>
      <c r="L38" s="134">
        <v>996.75</v>
      </c>
      <c r="M38" s="134">
        <v>1993.5</v>
      </c>
      <c r="O38" s="93"/>
      <c r="P38" s="98"/>
      <c r="Q38" s="102"/>
      <c r="R38" s="108"/>
      <c r="S38" s="134">
        <v>996.75</v>
      </c>
      <c r="T38" s="134">
        <v>1993.5</v>
      </c>
      <c r="U38" s="135">
        <v>0</v>
      </c>
      <c r="V38" s="135">
        <v>1</v>
      </c>
      <c r="W38" s="111"/>
    </row>
    <row r="39" spans="2:23" ht="15.75" customHeight="1">
      <c r="B39" t="s">
        <v>122</v>
      </c>
      <c r="C39" t="s">
        <v>120</v>
      </c>
      <c r="D39" s="87"/>
      <c r="E39" s="88"/>
      <c r="F39">
        <v>34</v>
      </c>
      <c r="G39" s="134">
        <v>8</v>
      </c>
      <c r="H39" s="134">
        <v>2.16</v>
      </c>
      <c r="I39" s="134">
        <v>73.44</v>
      </c>
      <c r="J39" s="105"/>
      <c r="K39">
        <v>34</v>
      </c>
      <c r="L39" s="134">
        <v>4</v>
      </c>
      <c r="M39" s="134">
        <v>136</v>
      </c>
      <c r="O39" s="93"/>
      <c r="P39" s="115"/>
      <c r="Q39" s="94"/>
      <c r="R39" s="94"/>
      <c r="S39" s="134">
        <v>4</v>
      </c>
      <c r="T39" s="134">
        <v>136</v>
      </c>
      <c r="U39" s="135">
        <v>0</v>
      </c>
      <c r="V39" s="135">
        <v>1</v>
      </c>
      <c r="W39" s="111"/>
    </row>
    <row r="40" spans="2:23" ht="15.75" customHeight="1">
      <c r="B40" t="s">
        <v>121</v>
      </c>
      <c r="C40" t="s">
        <v>215</v>
      </c>
      <c r="D40" s="87"/>
      <c r="E40" s="100"/>
      <c r="F40">
        <v>34</v>
      </c>
      <c r="G40" s="134">
        <v>9.5</v>
      </c>
      <c r="H40" s="134">
        <v>2.57</v>
      </c>
      <c r="I40" s="134">
        <v>87.38</v>
      </c>
      <c r="J40" s="105"/>
      <c r="K40">
        <v>34</v>
      </c>
      <c r="L40" s="134">
        <v>4.75</v>
      </c>
      <c r="M40" s="134">
        <v>161.5</v>
      </c>
      <c r="O40" s="93"/>
      <c r="P40" s="98"/>
      <c r="Q40" s="102"/>
      <c r="R40" s="108"/>
      <c r="S40" s="134">
        <v>4.75</v>
      </c>
      <c r="T40" s="134">
        <v>161.5</v>
      </c>
      <c r="U40" s="135">
        <v>0</v>
      </c>
      <c r="V40" s="135">
        <v>1</v>
      </c>
      <c r="W40" s="111"/>
    </row>
    <row r="41" spans="2:23" ht="15.75" customHeight="1">
      <c r="B41" s="232" t="s">
        <v>276</v>
      </c>
      <c r="C41" t="s">
        <v>277</v>
      </c>
      <c r="D41" s="130"/>
      <c r="E41" s="100"/>
      <c r="F41">
        <v>2</v>
      </c>
      <c r="G41" s="134">
        <v>370</v>
      </c>
      <c r="H41" s="134">
        <v>99.9</v>
      </c>
      <c r="I41" s="134">
        <v>199.8</v>
      </c>
      <c r="J41" s="131"/>
      <c r="K41">
        <v>2</v>
      </c>
      <c r="L41" s="134">
        <v>185</v>
      </c>
      <c r="M41" s="134">
        <v>370</v>
      </c>
      <c r="O41" s="132"/>
      <c r="P41" s="98"/>
      <c r="Q41" s="102"/>
      <c r="R41" s="108"/>
      <c r="S41" s="134">
        <v>185</v>
      </c>
      <c r="T41" s="134">
        <v>370</v>
      </c>
      <c r="U41" s="135">
        <v>0</v>
      </c>
      <c r="V41" s="135">
        <v>1</v>
      </c>
      <c r="W41" s="133"/>
    </row>
    <row r="42" spans="2:23" ht="15.75" customHeight="1">
      <c r="B42" t="s">
        <v>301</v>
      </c>
      <c r="C42" t="s">
        <v>120</v>
      </c>
      <c r="D42" s="130"/>
      <c r="E42" s="100"/>
      <c r="F42">
        <v>12</v>
      </c>
      <c r="G42" s="134">
        <v>12</v>
      </c>
      <c r="H42" s="134">
        <v>3.24</v>
      </c>
      <c r="I42" s="134">
        <v>38.880000000000003</v>
      </c>
      <c r="J42" s="131"/>
      <c r="K42">
        <v>12</v>
      </c>
      <c r="L42" s="134">
        <v>6</v>
      </c>
      <c r="M42" s="134">
        <v>72</v>
      </c>
      <c r="O42" s="132"/>
      <c r="P42" s="98"/>
      <c r="Q42" s="102"/>
      <c r="R42" s="108"/>
      <c r="S42" s="134">
        <v>6</v>
      </c>
      <c r="T42" s="134">
        <v>72</v>
      </c>
      <c r="U42" s="135">
        <v>0</v>
      </c>
      <c r="V42" s="135">
        <v>1</v>
      </c>
      <c r="W42" s="133"/>
    </row>
    <row r="43" spans="2:23" ht="15.75" customHeight="1">
      <c r="B43" t="s">
        <v>121</v>
      </c>
      <c r="C43" t="s">
        <v>215</v>
      </c>
      <c r="D43" s="130"/>
      <c r="E43" s="100"/>
      <c r="F43">
        <v>12</v>
      </c>
      <c r="G43" s="134">
        <v>9.5</v>
      </c>
      <c r="H43" s="134">
        <v>2.57</v>
      </c>
      <c r="I43" s="134">
        <v>30.84</v>
      </c>
      <c r="J43" s="131"/>
      <c r="K43">
        <v>12</v>
      </c>
      <c r="L43" s="134">
        <v>4.75</v>
      </c>
      <c r="M43" s="134">
        <v>57</v>
      </c>
      <c r="O43" s="132"/>
      <c r="P43" s="98"/>
      <c r="Q43" s="102"/>
      <c r="R43" s="108"/>
      <c r="S43" s="134">
        <v>4.75</v>
      </c>
      <c r="T43" s="134">
        <v>57</v>
      </c>
      <c r="U43" s="135">
        <v>0</v>
      </c>
      <c r="V43" s="135">
        <v>1</v>
      </c>
      <c r="W43" s="133"/>
    </row>
    <row r="44" spans="2:23" ht="15.75" customHeight="1">
      <c r="D44" s="130"/>
      <c r="E44" s="100"/>
      <c r="H44" t="s">
        <v>123</v>
      </c>
      <c r="I44" t="s">
        <v>123</v>
      </c>
      <c r="J44" s="131"/>
      <c r="K44">
        <v>0</v>
      </c>
      <c r="L44" t="s">
        <v>123</v>
      </c>
      <c r="M44" t="s">
        <v>123</v>
      </c>
      <c r="O44" s="132"/>
      <c r="P44" s="98"/>
      <c r="Q44" s="102"/>
      <c r="R44" s="108"/>
      <c r="S44" t="s">
        <v>123</v>
      </c>
      <c r="T44" t="s">
        <v>123</v>
      </c>
      <c r="U44" s="135">
        <v>0</v>
      </c>
      <c r="V44" s="135">
        <v>0</v>
      </c>
      <c r="W44" s="133"/>
    </row>
    <row r="45" spans="2:23" ht="15.75" customHeight="1">
      <c r="B45" t="s">
        <v>126</v>
      </c>
      <c r="C45" t="s">
        <v>127</v>
      </c>
      <c r="D45" s="130"/>
      <c r="E45" s="100"/>
      <c r="F45">
        <v>1</v>
      </c>
      <c r="G45" s="134">
        <v>2385</v>
      </c>
      <c r="H45" s="134">
        <v>643.95000000000005</v>
      </c>
      <c r="I45" s="134">
        <v>643.95000000000005</v>
      </c>
      <c r="J45" s="131"/>
      <c r="K45">
        <v>1</v>
      </c>
      <c r="L45" s="134">
        <v>1192.5</v>
      </c>
      <c r="M45" s="134">
        <v>1192.5</v>
      </c>
      <c r="O45" s="132"/>
      <c r="P45" s="98"/>
      <c r="Q45" s="102"/>
      <c r="R45" s="108"/>
      <c r="S45" s="134">
        <v>1192.5</v>
      </c>
      <c r="T45" s="134">
        <v>1192.5</v>
      </c>
      <c r="U45" s="135">
        <v>0</v>
      </c>
      <c r="V45" s="135">
        <v>1</v>
      </c>
      <c r="W45" s="133"/>
    </row>
    <row r="46" spans="2:23" ht="15.75" customHeight="1">
      <c r="B46" t="s">
        <v>128</v>
      </c>
      <c r="C46" t="s">
        <v>129</v>
      </c>
      <c r="D46" s="130"/>
      <c r="E46" s="100"/>
      <c r="F46">
        <v>1</v>
      </c>
      <c r="G46" s="134">
        <v>277</v>
      </c>
      <c r="H46" s="134">
        <v>74.790000000000006</v>
      </c>
      <c r="I46" s="134">
        <v>74.790000000000006</v>
      </c>
      <c r="J46" s="131"/>
      <c r="K46">
        <v>1</v>
      </c>
      <c r="L46" s="134">
        <v>138.5</v>
      </c>
      <c r="M46" s="134">
        <v>138.5</v>
      </c>
      <c r="O46" s="132"/>
      <c r="P46" s="98"/>
      <c r="Q46" s="102"/>
      <c r="R46" s="108"/>
      <c r="S46" s="134">
        <v>138.5</v>
      </c>
      <c r="T46" s="134">
        <v>138.5</v>
      </c>
      <c r="U46" s="135">
        <v>0</v>
      </c>
      <c r="V46" s="135">
        <v>1</v>
      </c>
      <c r="W46" s="133"/>
    </row>
    <row r="47" spans="2:23" ht="15.75" customHeight="1">
      <c r="B47" t="s">
        <v>130</v>
      </c>
      <c r="C47" t="s">
        <v>278</v>
      </c>
      <c r="D47" s="130"/>
      <c r="E47" s="100"/>
      <c r="F47">
        <v>2</v>
      </c>
      <c r="G47" s="134">
        <v>20</v>
      </c>
      <c r="H47" s="134">
        <v>5.4</v>
      </c>
      <c r="I47" s="134">
        <v>10.8</v>
      </c>
      <c r="J47" s="131"/>
      <c r="K47">
        <v>2</v>
      </c>
      <c r="L47" s="134">
        <v>10</v>
      </c>
      <c r="M47" s="134">
        <v>20</v>
      </c>
      <c r="O47" s="132"/>
      <c r="P47" s="98"/>
      <c r="Q47" s="102"/>
      <c r="R47" s="108"/>
      <c r="S47" s="134">
        <v>10</v>
      </c>
      <c r="T47" s="134">
        <v>20</v>
      </c>
      <c r="U47" s="135">
        <v>0</v>
      </c>
      <c r="V47" s="135">
        <v>1</v>
      </c>
      <c r="W47" s="133"/>
    </row>
    <row r="48" spans="2:23" ht="15.75" customHeight="1">
      <c r="B48" t="s">
        <v>133</v>
      </c>
      <c r="C48" t="s">
        <v>279</v>
      </c>
      <c r="D48" s="130"/>
      <c r="E48" s="100"/>
      <c r="F48">
        <v>1</v>
      </c>
      <c r="G48" s="134">
        <v>44.5</v>
      </c>
      <c r="H48" s="134">
        <v>12.02</v>
      </c>
      <c r="I48" s="134">
        <v>12.02</v>
      </c>
      <c r="J48" s="131"/>
      <c r="K48">
        <v>1</v>
      </c>
      <c r="L48" s="134">
        <v>22.25</v>
      </c>
      <c r="M48" s="134">
        <v>22.25</v>
      </c>
      <c r="O48" s="132"/>
      <c r="P48" s="98"/>
      <c r="Q48" s="102"/>
      <c r="R48" s="108"/>
      <c r="S48" s="134">
        <v>22.25</v>
      </c>
      <c r="T48" s="134">
        <v>22.25</v>
      </c>
      <c r="U48" s="135">
        <v>0</v>
      </c>
      <c r="V48" s="135">
        <v>1</v>
      </c>
      <c r="W48" s="133"/>
    </row>
    <row r="49" spans="2:23" ht="15.75" customHeight="1">
      <c r="B49" t="s">
        <v>132</v>
      </c>
      <c r="C49" t="s">
        <v>280</v>
      </c>
      <c r="D49" s="130"/>
      <c r="E49" s="100"/>
      <c r="F49">
        <v>1</v>
      </c>
      <c r="G49" s="134">
        <v>43</v>
      </c>
      <c r="H49" s="134">
        <v>11.61</v>
      </c>
      <c r="I49" s="134">
        <v>11.61</v>
      </c>
      <c r="J49" s="131"/>
      <c r="K49">
        <v>1</v>
      </c>
      <c r="L49" s="134">
        <v>21.5</v>
      </c>
      <c r="M49" s="134">
        <v>21.5</v>
      </c>
      <c r="O49" s="132"/>
      <c r="P49" s="98"/>
      <c r="Q49" s="102"/>
      <c r="R49" s="108"/>
      <c r="S49" s="134">
        <v>21.5</v>
      </c>
      <c r="T49" s="134">
        <v>21.5</v>
      </c>
      <c r="U49" s="135">
        <v>0</v>
      </c>
      <c r="V49" s="135">
        <v>1</v>
      </c>
      <c r="W49" s="133"/>
    </row>
    <row r="50" spans="2:23" ht="15.75" customHeight="1">
      <c r="B50" t="s">
        <v>131</v>
      </c>
      <c r="C50" t="s">
        <v>281</v>
      </c>
      <c r="D50" s="130"/>
      <c r="E50" s="100"/>
      <c r="F50">
        <v>1</v>
      </c>
      <c r="G50" s="134">
        <v>545.5</v>
      </c>
      <c r="H50" s="134">
        <v>147.29</v>
      </c>
      <c r="I50" s="134">
        <v>147.29</v>
      </c>
      <c r="J50" s="131"/>
      <c r="K50">
        <v>1</v>
      </c>
      <c r="L50" s="134">
        <v>272.75</v>
      </c>
      <c r="M50" s="134">
        <v>272.75</v>
      </c>
      <c r="O50" s="132"/>
      <c r="P50" s="98"/>
      <c r="Q50" s="102"/>
      <c r="R50" s="108"/>
      <c r="S50" s="134">
        <v>272.75</v>
      </c>
      <c r="T50" s="134">
        <v>272.75</v>
      </c>
      <c r="U50" s="135">
        <v>0</v>
      </c>
      <c r="V50" s="135">
        <v>1</v>
      </c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125</v>
      </c>
      <c r="G66" s="121">
        <f t="shared" si="0"/>
        <v>358361</v>
      </c>
      <c r="H66" s="122">
        <f t="shared" si="0"/>
        <v>96757.540000000008</v>
      </c>
      <c r="I66" s="123">
        <f t="shared" si="0"/>
        <v>106907.63000000002</v>
      </c>
      <c r="J66" s="124"/>
      <c r="K66" s="125">
        <f t="shared" ref="K66:M66" si="1">SUM(K19:K65)</f>
        <v>125</v>
      </c>
      <c r="L66" s="122">
        <f t="shared" si="1"/>
        <v>179180.5</v>
      </c>
      <c r="M66" s="123">
        <f t="shared" si="1"/>
        <v>197976.5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179180.5</v>
      </c>
      <c r="T66" s="123">
        <f t="shared" si="2"/>
        <v>197976.5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E19:E65" xr:uid="{F6AD3BB2-5CA8-4034-90D3-ACF7ED889C3E}">
      <formula1>$Z$19:$Z$30</formula1>
    </dataValidation>
    <dataValidation type="list" allowBlank="1" showErrorMessage="1" sqref="I14" xr:uid="{B1F94C3B-9B2B-48EE-94A2-451DA28646A5}">
      <formula1>$Y$14:$Y$15</formula1>
    </dataValidation>
    <dataValidation type="list" allowBlank="1" showErrorMessage="1" sqref="J14" xr:uid="{DD9F5F99-30D1-47E7-95DA-40E5A95280BC}">
      <formula1>$L$9</formula1>
    </dataValidation>
    <dataValidation type="list" allowBlank="1" showErrorMessage="1" sqref="Q15 G18 L18 Q18" xr:uid="{626205AA-7A91-4B5B-9C3E-ECE7F60ECA6F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3D3A-1975-4136-AC97-FBBB1A32EADD}">
  <sheetPr>
    <pageSetUpPr fitToPage="1"/>
  </sheetPr>
  <dimension ref="B1:Z66"/>
  <sheetViews>
    <sheetView zoomScale="55" zoomScaleNormal="55" workbookViewId="0">
      <pane ySplit="18" topLeftCell="A35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304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403681.5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201840.75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201840.75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 t="s">
        <v>302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0.5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303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201840.75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201840.75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108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122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288</v>
      </c>
      <c r="C19" t="s">
        <v>109</v>
      </c>
      <c r="D19" s="87"/>
      <c r="E19" s="88"/>
      <c r="F19">
        <v>1</v>
      </c>
      <c r="G19" s="134">
        <v>233</v>
      </c>
      <c r="H19" s="134">
        <v>62.91</v>
      </c>
      <c r="I19" s="134">
        <v>233</v>
      </c>
      <c r="J19" s="92"/>
      <c r="K19">
        <v>1</v>
      </c>
      <c r="L19" s="134">
        <v>116.5</v>
      </c>
      <c r="M19" s="134">
        <v>116.5</v>
      </c>
      <c r="O19" s="93"/>
      <c r="P19" s="86"/>
      <c r="Q19" s="94"/>
      <c r="R19" s="94"/>
      <c r="S19" s="134">
        <v>116.5</v>
      </c>
      <c r="T19" s="134">
        <v>116.5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135</v>
      </c>
      <c r="C20" t="s">
        <v>110</v>
      </c>
      <c r="D20" s="87"/>
      <c r="E20" s="100"/>
      <c r="F20">
        <v>1</v>
      </c>
      <c r="G20" s="134">
        <v>239</v>
      </c>
      <c r="H20" s="134">
        <v>64.53</v>
      </c>
      <c r="I20" s="134">
        <v>239</v>
      </c>
      <c r="J20" s="105"/>
      <c r="K20">
        <v>1</v>
      </c>
      <c r="L20" s="134">
        <v>119.5</v>
      </c>
      <c r="M20" s="134">
        <v>119.5</v>
      </c>
      <c r="O20" s="93"/>
      <c r="P20" s="98"/>
      <c r="Q20" s="102"/>
      <c r="R20" s="108"/>
      <c r="S20" s="134">
        <v>119.5</v>
      </c>
      <c r="T20" s="134">
        <v>119.5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260</v>
      </c>
      <c r="C21" t="s">
        <v>117</v>
      </c>
      <c r="D21" s="87"/>
      <c r="E21" s="88"/>
      <c r="F21">
        <v>1</v>
      </c>
      <c r="G21" s="134">
        <v>197</v>
      </c>
      <c r="H21" s="134">
        <v>53.19</v>
      </c>
      <c r="I21" s="134">
        <v>197</v>
      </c>
      <c r="J21" s="105"/>
      <c r="K21">
        <v>1</v>
      </c>
      <c r="L21" s="134">
        <v>98.5</v>
      </c>
      <c r="M21" s="134">
        <v>98.5</v>
      </c>
      <c r="O21" s="93"/>
      <c r="P21" s="115"/>
      <c r="Q21" s="94"/>
      <c r="R21" s="94"/>
      <c r="S21" s="134">
        <v>98.5</v>
      </c>
      <c r="T21" s="134">
        <v>98.5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289</v>
      </c>
      <c r="C22" t="s">
        <v>262</v>
      </c>
      <c r="D22" s="87"/>
      <c r="E22" s="100"/>
      <c r="F22">
        <v>1</v>
      </c>
      <c r="G22" s="134">
        <v>577</v>
      </c>
      <c r="H22" s="134">
        <v>155.79</v>
      </c>
      <c r="I22" s="134">
        <v>577</v>
      </c>
      <c r="J22" s="105"/>
      <c r="K22">
        <v>1</v>
      </c>
      <c r="L22" s="134">
        <v>288.5</v>
      </c>
      <c r="M22" s="134">
        <v>288.5</v>
      </c>
      <c r="O22" s="93"/>
      <c r="P22" s="98"/>
      <c r="Q22" s="102"/>
      <c r="R22" s="108"/>
      <c r="S22" s="134">
        <v>288.5</v>
      </c>
      <c r="T22" s="134">
        <v>288.5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305</v>
      </c>
      <c r="C23" t="s">
        <v>183</v>
      </c>
      <c r="D23" s="87"/>
      <c r="E23" s="88"/>
      <c r="F23">
        <v>1</v>
      </c>
      <c r="G23" s="134">
        <v>604</v>
      </c>
      <c r="H23" s="134">
        <v>163.08000000000001</v>
      </c>
      <c r="I23" s="134">
        <v>604</v>
      </c>
      <c r="J23" s="105"/>
      <c r="K23">
        <v>1</v>
      </c>
      <c r="L23" s="134">
        <v>302</v>
      </c>
      <c r="M23" s="134">
        <v>302</v>
      </c>
      <c r="O23" s="93"/>
      <c r="P23" s="115"/>
      <c r="Q23" s="94"/>
      <c r="R23" s="94"/>
      <c r="S23" s="134">
        <v>302</v>
      </c>
      <c r="T23" s="134">
        <v>302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306</v>
      </c>
      <c r="C24" t="s">
        <v>111</v>
      </c>
      <c r="D24" s="87"/>
      <c r="E24" s="100"/>
      <c r="F24">
        <v>1</v>
      </c>
      <c r="G24" s="134">
        <v>347</v>
      </c>
      <c r="H24" s="134">
        <v>93.69</v>
      </c>
      <c r="I24" s="134">
        <v>347</v>
      </c>
      <c r="J24" s="105"/>
      <c r="K24">
        <v>1</v>
      </c>
      <c r="L24" s="134">
        <v>173.5</v>
      </c>
      <c r="M24" s="134">
        <v>173.5</v>
      </c>
      <c r="N24" s="136"/>
      <c r="O24" s="93"/>
      <c r="P24" s="98"/>
      <c r="Q24" s="102"/>
      <c r="R24" s="108"/>
      <c r="S24" s="134">
        <v>173.5</v>
      </c>
      <c r="T24" s="134">
        <v>173.5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118</v>
      </c>
      <c r="C25" t="s">
        <v>112</v>
      </c>
      <c r="D25" s="87"/>
      <c r="E25" s="88"/>
      <c r="F25">
        <v>1</v>
      </c>
      <c r="G25" s="134">
        <v>217.5</v>
      </c>
      <c r="H25" s="134">
        <v>58.73</v>
      </c>
      <c r="I25" s="134">
        <v>217.5</v>
      </c>
      <c r="J25" s="105"/>
      <c r="K25">
        <v>1</v>
      </c>
      <c r="L25" s="134">
        <v>108.75</v>
      </c>
      <c r="M25" s="134">
        <v>108.75</v>
      </c>
      <c r="N25" s="136"/>
      <c r="O25" s="93"/>
      <c r="P25" s="115"/>
      <c r="Q25" s="94"/>
      <c r="R25" s="94"/>
      <c r="S25" s="134">
        <v>108.75</v>
      </c>
      <c r="T25" s="134">
        <v>108.75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290</v>
      </c>
      <c r="C26" t="s">
        <v>112</v>
      </c>
      <c r="D26" s="87"/>
      <c r="E26" s="100"/>
      <c r="F26">
        <v>1</v>
      </c>
      <c r="G26" s="134">
        <v>270.5</v>
      </c>
      <c r="H26" s="134">
        <v>73.040000000000006</v>
      </c>
      <c r="I26" s="134">
        <v>270.5</v>
      </c>
      <c r="J26" s="105"/>
      <c r="K26">
        <v>1</v>
      </c>
      <c r="L26" s="134">
        <v>135.25</v>
      </c>
      <c r="M26" s="134">
        <v>135.25</v>
      </c>
      <c r="N26" s="136"/>
      <c r="O26" s="93"/>
      <c r="P26" s="98"/>
      <c r="Q26" s="102"/>
      <c r="R26" s="108"/>
      <c r="S26" s="134">
        <v>135.25</v>
      </c>
      <c r="T26" s="134">
        <v>135.25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D27" s="87"/>
      <c r="E27" s="88"/>
      <c r="H27" t="s">
        <v>123</v>
      </c>
      <c r="I27" t="s">
        <v>123</v>
      </c>
      <c r="J27" s="105"/>
      <c r="K27">
        <v>0</v>
      </c>
      <c r="L27" t="s">
        <v>123</v>
      </c>
      <c r="M27" t="s">
        <v>123</v>
      </c>
      <c r="O27" s="93"/>
      <c r="P27" s="115"/>
      <c r="Q27" s="94"/>
      <c r="R27" s="94"/>
      <c r="S27" t="s">
        <v>123</v>
      </c>
      <c r="T27" t="s">
        <v>123</v>
      </c>
      <c r="U27" s="135">
        <v>0</v>
      </c>
      <c r="V27" s="135">
        <v>0</v>
      </c>
      <c r="W27" s="96"/>
      <c r="X27" s="97"/>
      <c r="Y27" s="8"/>
      <c r="Z27" s="8"/>
    </row>
    <row r="28" spans="2:26" ht="15.75" customHeight="1">
      <c r="B28" t="s">
        <v>307</v>
      </c>
      <c r="C28" t="s">
        <v>266</v>
      </c>
      <c r="D28" s="87"/>
      <c r="E28" s="100"/>
      <c r="F28">
        <v>1</v>
      </c>
      <c r="G28" s="134">
        <v>37824.5</v>
      </c>
      <c r="H28" s="134">
        <v>10212.620000000001</v>
      </c>
      <c r="I28" s="134">
        <v>37824.5</v>
      </c>
      <c r="J28" s="105"/>
      <c r="K28">
        <v>1</v>
      </c>
      <c r="L28" s="134">
        <v>18912.25</v>
      </c>
      <c r="M28" s="134">
        <v>18912.25</v>
      </c>
      <c r="O28" s="93"/>
      <c r="P28" s="98"/>
      <c r="Q28" s="102"/>
      <c r="R28" s="108"/>
      <c r="S28" s="134">
        <v>18912.25</v>
      </c>
      <c r="T28" s="134">
        <v>18912.25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D29" s="87"/>
      <c r="E29" s="88"/>
      <c r="H29" t="s">
        <v>123</v>
      </c>
      <c r="I29" t="s">
        <v>123</v>
      </c>
      <c r="J29" s="105"/>
      <c r="K29">
        <v>0</v>
      </c>
      <c r="L29" t="s">
        <v>123</v>
      </c>
      <c r="M29" t="s">
        <v>123</v>
      </c>
      <c r="O29" s="93"/>
      <c r="P29" s="115"/>
      <c r="Q29" s="94"/>
      <c r="R29" s="94"/>
      <c r="S29" t="s">
        <v>123</v>
      </c>
      <c r="T29" t="s">
        <v>123</v>
      </c>
      <c r="U29" s="135">
        <v>0</v>
      </c>
      <c r="V29" s="135">
        <v>0</v>
      </c>
      <c r="W29" s="96"/>
      <c r="X29" s="97"/>
      <c r="Y29" s="8"/>
      <c r="Z29" s="8"/>
    </row>
    <row r="30" spans="2:26" ht="15.75" customHeight="1">
      <c r="D30" s="87"/>
      <c r="E30" s="100"/>
      <c r="H30" t="s">
        <v>123</v>
      </c>
      <c r="I30" t="s">
        <v>123</v>
      </c>
      <c r="J30" s="105"/>
      <c r="K30">
        <v>0</v>
      </c>
      <c r="L30" t="s">
        <v>123</v>
      </c>
      <c r="M30" t="s">
        <v>123</v>
      </c>
      <c r="O30" s="93"/>
      <c r="P30" s="98"/>
      <c r="Q30" s="102"/>
      <c r="R30" s="108"/>
      <c r="S30" t="s">
        <v>123</v>
      </c>
      <c r="T30" t="s">
        <v>123</v>
      </c>
      <c r="U30" s="135">
        <v>0</v>
      </c>
      <c r="V30" s="135">
        <v>0</v>
      </c>
      <c r="W30" s="111"/>
      <c r="X30" s="97"/>
      <c r="Y30" s="8"/>
      <c r="Z30" s="8"/>
    </row>
    <row r="31" spans="2:26" ht="15.75" customHeight="1">
      <c r="B31" t="s">
        <v>308</v>
      </c>
      <c r="C31" t="s">
        <v>113</v>
      </c>
      <c r="D31" s="87"/>
      <c r="E31" s="88"/>
      <c r="F31">
        <v>1</v>
      </c>
      <c r="G31" s="134">
        <v>22435.5</v>
      </c>
      <c r="H31" s="134">
        <v>6057.59</v>
      </c>
      <c r="I31" s="134">
        <v>22435.5</v>
      </c>
      <c r="J31" s="105"/>
      <c r="K31">
        <v>1</v>
      </c>
      <c r="L31" s="134">
        <v>11217.75</v>
      </c>
      <c r="M31" s="134">
        <v>11217.75</v>
      </c>
      <c r="O31" s="93"/>
      <c r="P31" s="115"/>
      <c r="Q31" s="94"/>
      <c r="R31" s="94"/>
      <c r="S31" s="134">
        <v>11217.75</v>
      </c>
      <c r="T31" s="134">
        <v>11217.75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309</v>
      </c>
      <c r="C32" t="s">
        <v>114</v>
      </c>
      <c r="D32" s="87"/>
      <c r="E32" s="100"/>
      <c r="F32">
        <v>1</v>
      </c>
      <c r="G32" s="134">
        <v>64140.5</v>
      </c>
      <c r="H32" s="134">
        <v>17317.939999999999</v>
      </c>
      <c r="I32" s="134">
        <v>64140.5</v>
      </c>
      <c r="J32" s="105"/>
      <c r="K32">
        <v>1</v>
      </c>
      <c r="L32" s="134">
        <v>32070.25</v>
      </c>
      <c r="M32" s="134">
        <v>32070.25</v>
      </c>
      <c r="O32" s="93"/>
      <c r="P32" s="98"/>
      <c r="Q32" s="102"/>
      <c r="R32" s="108"/>
      <c r="S32" s="134">
        <v>32070.25</v>
      </c>
      <c r="T32" s="134">
        <v>32070.25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310</v>
      </c>
      <c r="C33" t="s">
        <v>115</v>
      </c>
      <c r="D33" s="87"/>
      <c r="E33" s="88"/>
      <c r="F33">
        <v>1</v>
      </c>
      <c r="H33" t="s">
        <v>123</v>
      </c>
      <c r="I33" t="s">
        <v>123</v>
      </c>
      <c r="J33" s="105"/>
      <c r="K33">
        <v>1</v>
      </c>
      <c r="L33" t="s">
        <v>123</v>
      </c>
      <c r="M33" t="s">
        <v>123</v>
      </c>
      <c r="O33" s="93"/>
      <c r="P33" s="115"/>
      <c r="Q33" s="94"/>
      <c r="R33" s="94"/>
      <c r="S33" t="s">
        <v>123</v>
      </c>
      <c r="T33" t="s">
        <v>123</v>
      </c>
      <c r="U33" s="135">
        <v>0</v>
      </c>
      <c r="V33" s="135">
        <v>0</v>
      </c>
      <c r="W33" s="96"/>
    </row>
    <row r="34" spans="2:23" ht="15.75" customHeight="1">
      <c r="B34" t="s">
        <v>311</v>
      </c>
      <c r="C34" t="s">
        <v>116</v>
      </c>
      <c r="D34" s="87"/>
      <c r="E34" s="100"/>
      <c r="F34">
        <v>1</v>
      </c>
      <c r="G34" s="134">
        <v>21806.5</v>
      </c>
      <c r="H34" s="134">
        <v>5887.76</v>
      </c>
      <c r="I34" s="134">
        <v>21806.5</v>
      </c>
      <c r="J34" s="105"/>
      <c r="K34">
        <v>1</v>
      </c>
      <c r="L34" s="134">
        <v>10903.25</v>
      </c>
      <c r="M34" s="134">
        <v>10903.25</v>
      </c>
      <c r="O34" s="93"/>
      <c r="P34" s="98"/>
      <c r="Q34" s="102"/>
      <c r="R34" s="108"/>
      <c r="S34" s="134">
        <v>10903.25</v>
      </c>
      <c r="T34" s="134">
        <v>10903.25</v>
      </c>
      <c r="U34" s="135">
        <v>0</v>
      </c>
      <c r="V34" s="135">
        <v>1</v>
      </c>
      <c r="W34" s="111"/>
    </row>
    <row r="35" spans="2:23" ht="15.75" customHeight="1">
      <c r="B35" t="s">
        <v>312</v>
      </c>
      <c r="C35" t="s">
        <v>203</v>
      </c>
      <c r="D35" s="87"/>
      <c r="E35" s="88"/>
      <c r="F35">
        <v>6</v>
      </c>
      <c r="G35" s="134">
        <v>5956.5</v>
      </c>
      <c r="H35" s="134">
        <v>1608.26</v>
      </c>
      <c r="I35" s="134">
        <v>35739</v>
      </c>
      <c r="J35" s="105"/>
      <c r="K35">
        <v>6</v>
      </c>
      <c r="L35" s="134">
        <v>2978.25</v>
      </c>
      <c r="M35" s="134">
        <v>17869.5</v>
      </c>
      <c r="O35" s="93"/>
      <c r="P35" s="115"/>
      <c r="Q35" s="94"/>
      <c r="R35" s="94"/>
      <c r="S35" s="134">
        <v>2978.25</v>
      </c>
      <c r="T35" s="134">
        <v>17869.5</v>
      </c>
      <c r="U35" s="135">
        <v>0</v>
      </c>
      <c r="V35" s="135">
        <v>1</v>
      </c>
      <c r="W35" s="96"/>
    </row>
    <row r="36" spans="2:23" ht="15.75" customHeight="1">
      <c r="D36" s="87"/>
      <c r="E36" s="100"/>
      <c r="H36" t="s">
        <v>123</v>
      </c>
      <c r="I36" t="s">
        <v>123</v>
      </c>
      <c r="J36" s="105"/>
      <c r="K36">
        <v>0</v>
      </c>
      <c r="L36" t="s">
        <v>123</v>
      </c>
      <c r="M36" t="s">
        <v>123</v>
      </c>
      <c r="O36" s="93"/>
      <c r="P36" s="98"/>
      <c r="Q36" s="102"/>
      <c r="R36" s="108"/>
      <c r="S36" t="s">
        <v>123</v>
      </c>
      <c r="T36" t="s">
        <v>123</v>
      </c>
      <c r="U36" s="135">
        <v>0</v>
      </c>
      <c r="V36" s="135">
        <v>0</v>
      </c>
      <c r="W36" s="111"/>
    </row>
    <row r="37" spans="2:23" ht="15.75" customHeight="1">
      <c r="B37" t="s">
        <v>119</v>
      </c>
      <c r="C37" t="s">
        <v>205</v>
      </c>
      <c r="D37" s="87"/>
      <c r="E37" s="88"/>
      <c r="F37">
        <v>2</v>
      </c>
      <c r="G37" s="134">
        <v>1327</v>
      </c>
      <c r="H37" s="134">
        <v>358.29</v>
      </c>
      <c r="I37" s="134">
        <v>2654</v>
      </c>
      <c r="J37" s="105"/>
      <c r="K37">
        <v>2</v>
      </c>
      <c r="L37" s="134">
        <v>663.5</v>
      </c>
      <c r="M37" s="134">
        <v>1327</v>
      </c>
      <c r="O37" s="93"/>
      <c r="P37" s="115"/>
      <c r="Q37" s="94"/>
      <c r="R37" s="94"/>
      <c r="S37" s="134">
        <v>663.5</v>
      </c>
      <c r="T37" s="134">
        <v>1327</v>
      </c>
      <c r="U37" s="135">
        <v>0</v>
      </c>
      <c r="V37" s="135">
        <v>1</v>
      </c>
      <c r="W37" s="96"/>
    </row>
    <row r="38" spans="2:23" ht="15.75" customHeight="1">
      <c r="D38" s="87"/>
      <c r="E38" s="100"/>
      <c r="H38" t="s">
        <v>123</v>
      </c>
      <c r="I38" t="s">
        <v>123</v>
      </c>
      <c r="J38" s="105"/>
      <c r="K38">
        <v>0</v>
      </c>
      <c r="L38" t="s">
        <v>123</v>
      </c>
      <c r="M38" t="s">
        <v>123</v>
      </c>
      <c r="O38" s="93"/>
      <c r="P38" s="98"/>
      <c r="Q38" s="102"/>
      <c r="R38" s="108"/>
      <c r="S38" t="s">
        <v>123</v>
      </c>
      <c r="T38" t="s">
        <v>123</v>
      </c>
      <c r="U38" s="135">
        <v>0</v>
      </c>
      <c r="V38" s="135">
        <v>0</v>
      </c>
      <c r="W38" s="111"/>
    </row>
    <row r="39" spans="2:23" ht="15.75" customHeight="1">
      <c r="B39" t="s">
        <v>313</v>
      </c>
      <c r="C39" t="s">
        <v>299</v>
      </c>
      <c r="D39" s="87"/>
      <c r="E39" s="88"/>
      <c r="F39">
        <v>1</v>
      </c>
      <c r="G39" s="134">
        <v>199679</v>
      </c>
      <c r="H39" s="134">
        <v>53913.33</v>
      </c>
      <c r="I39" s="134">
        <v>199679</v>
      </c>
      <c r="J39" s="105"/>
      <c r="K39">
        <v>1</v>
      </c>
      <c r="L39" s="134">
        <v>99839.5</v>
      </c>
      <c r="M39" s="134">
        <v>99839.5</v>
      </c>
      <c r="O39" s="93"/>
      <c r="P39" s="115"/>
      <c r="Q39" s="94"/>
      <c r="R39" s="94"/>
      <c r="S39" s="134">
        <v>99839.5</v>
      </c>
      <c r="T39" s="134">
        <v>99839.5</v>
      </c>
      <c r="U39" s="135">
        <v>0</v>
      </c>
      <c r="V39" s="135">
        <v>1</v>
      </c>
      <c r="W39" s="111"/>
    </row>
    <row r="40" spans="2:23" ht="15.75" customHeight="1">
      <c r="B40" t="s">
        <v>300</v>
      </c>
      <c r="C40" t="s">
        <v>124</v>
      </c>
      <c r="D40" s="87"/>
      <c r="E40" s="100"/>
      <c r="F40">
        <v>2</v>
      </c>
      <c r="G40" s="134">
        <v>1993.5</v>
      </c>
      <c r="H40" s="134">
        <v>538.25</v>
      </c>
      <c r="I40" s="134">
        <v>3987</v>
      </c>
      <c r="J40" s="105"/>
      <c r="K40">
        <v>2</v>
      </c>
      <c r="L40" s="134">
        <v>996.75</v>
      </c>
      <c r="M40" s="134">
        <v>1993.5</v>
      </c>
      <c r="O40" s="93"/>
      <c r="P40" s="98"/>
      <c r="Q40" s="102"/>
      <c r="R40" s="108"/>
      <c r="S40" s="134">
        <v>996.75</v>
      </c>
      <c r="T40" s="134">
        <v>1993.5</v>
      </c>
      <c r="U40" s="135">
        <v>0</v>
      </c>
      <c r="V40" s="135">
        <v>1</v>
      </c>
      <c r="W40" s="111"/>
    </row>
    <row r="41" spans="2:23" ht="15.75" customHeight="1">
      <c r="B41" t="s">
        <v>122</v>
      </c>
      <c r="C41" t="s">
        <v>120</v>
      </c>
      <c r="D41" s="130"/>
      <c r="E41" s="100"/>
      <c r="F41">
        <v>34</v>
      </c>
      <c r="G41" s="134">
        <v>8</v>
      </c>
      <c r="H41" s="134">
        <v>2.16</v>
      </c>
      <c r="I41" s="134">
        <v>272</v>
      </c>
      <c r="J41" s="131"/>
      <c r="K41">
        <v>34</v>
      </c>
      <c r="L41" s="134">
        <v>4</v>
      </c>
      <c r="M41" s="134">
        <v>136</v>
      </c>
      <c r="O41" s="132"/>
      <c r="P41" s="98"/>
      <c r="Q41" s="102"/>
      <c r="R41" s="108"/>
      <c r="S41" s="134">
        <v>4</v>
      </c>
      <c r="T41" s="134">
        <v>136</v>
      </c>
      <c r="U41" s="135">
        <v>0</v>
      </c>
      <c r="V41" s="135">
        <v>1</v>
      </c>
      <c r="W41" s="133"/>
    </row>
    <row r="42" spans="2:23" ht="15.75" customHeight="1">
      <c r="B42" t="s">
        <v>121</v>
      </c>
      <c r="C42" t="s">
        <v>215</v>
      </c>
      <c r="D42" s="130"/>
      <c r="E42" s="100"/>
      <c r="F42">
        <v>34</v>
      </c>
      <c r="G42" s="134">
        <v>9.5</v>
      </c>
      <c r="H42" s="134">
        <v>2.57</v>
      </c>
      <c r="I42" s="134">
        <v>323</v>
      </c>
      <c r="J42" s="131"/>
      <c r="K42">
        <v>34</v>
      </c>
      <c r="L42" s="134">
        <v>4.75</v>
      </c>
      <c r="M42" s="134">
        <v>161.5</v>
      </c>
      <c r="O42" s="132"/>
      <c r="P42" s="98"/>
      <c r="Q42" s="102"/>
      <c r="R42" s="108"/>
      <c r="S42" s="134">
        <v>4.75</v>
      </c>
      <c r="T42" s="134">
        <v>161.5</v>
      </c>
      <c r="U42" s="135">
        <v>0</v>
      </c>
      <c r="V42" s="135">
        <v>1</v>
      </c>
      <c r="W42" s="133"/>
    </row>
    <row r="43" spans="2:23" ht="15.75" customHeight="1">
      <c r="B43" s="232" t="s">
        <v>276</v>
      </c>
      <c r="C43" t="s">
        <v>277</v>
      </c>
      <c r="D43" s="130"/>
      <c r="E43" s="100"/>
      <c r="F43">
        <v>2</v>
      </c>
      <c r="G43" s="134">
        <v>370</v>
      </c>
      <c r="H43" s="134">
        <v>99.9</v>
      </c>
      <c r="I43" s="134">
        <v>740</v>
      </c>
      <c r="J43" s="131"/>
      <c r="K43">
        <v>2</v>
      </c>
      <c r="L43" s="134">
        <v>185</v>
      </c>
      <c r="M43" s="134">
        <v>370</v>
      </c>
      <c r="O43" s="132"/>
      <c r="P43" s="98"/>
      <c r="Q43" s="102"/>
      <c r="R43" s="108"/>
      <c r="S43" s="134">
        <v>185</v>
      </c>
      <c r="T43" s="134">
        <v>370</v>
      </c>
      <c r="U43" s="135">
        <v>0</v>
      </c>
      <c r="V43" s="135">
        <v>1</v>
      </c>
      <c r="W43" s="133"/>
    </row>
    <row r="44" spans="2:23" ht="15.75" customHeight="1">
      <c r="B44" t="s">
        <v>122</v>
      </c>
      <c r="C44" t="s">
        <v>120</v>
      </c>
      <c r="D44" s="130"/>
      <c r="E44" s="100"/>
      <c r="F44">
        <v>10</v>
      </c>
      <c r="G44" s="134">
        <v>8</v>
      </c>
      <c r="H44" s="134">
        <v>2.16</v>
      </c>
      <c r="I44" s="134">
        <v>80</v>
      </c>
      <c r="J44" s="131"/>
      <c r="K44">
        <v>10</v>
      </c>
      <c r="L44" s="134">
        <v>4</v>
      </c>
      <c r="M44" s="134">
        <v>40</v>
      </c>
      <c r="O44" s="132"/>
      <c r="P44" s="98"/>
      <c r="Q44" s="102"/>
      <c r="R44" s="108"/>
      <c r="S44" s="134">
        <v>4</v>
      </c>
      <c r="T44" s="134">
        <v>40</v>
      </c>
      <c r="U44" s="135">
        <v>0</v>
      </c>
      <c r="V44" s="135">
        <v>1</v>
      </c>
      <c r="W44" s="133"/>
    </row>
    <row r="45" spans="2:23" ht="15.75" customHeight="1">
      <c r="B45" t="s">
        <v>121</v>
      </c>
      <c r="C45" t="s">
        <v>215</v>
      </c>
      <c r="D45" s="130"/>
      <c r="E45" s="100"/>
      <c r="F45">
        <v>10</v>
      </c>
      <c r="G45" s="134">
        <v>9.5</v>
      </c>
      <c r="H45" s="134">
        <v>2.57</v>
      </c>
      <c r="I45" s="134">
        <v>95</v>
      </c>
      <c r="J45" s="131"/>
      <c r="K45">
        <v>10</v>
      </c>
      <c r="L45" s="134">
        <v>4.75</v>
      </c>
      <c r="M45" s="134">
        <v>47.5</v>
      </c>
      <c r="O45" s="132"/>
      <c r="P45" s="98"/>
      <c r="Q45" s="102"/>
      <c r="R45" s="108"/>
      <c r="S45" s="134">
        <v>4.75</v>
      </c>
      <c r="T45" s="134">
        <v>47.5</v>
      </c>
      <c r="U45" s="135">
        <v>0</v>
      </c>
      <c r="V45" s="135">
        <v>1</v>
      </c>
      <c r="W45" s="133"/>
    </row>
    <row r="46" spans="2:23" ht="15.75" customHeight="1">
      <c r="D46" s="130"/>
      <c r="E46" s="100"/>
      <c r="H46" t="s">
        <v>123</v>
      </c>
      <c r="I46" t="s">
        <v>123</v>
      </c>
      <c r="J46" s="131"/>
      <c r="K46">
        <v>0</v>
      </c>
      <c r="L46" t="s">
        <v>123</v>
      </c>
      <c r="M46" t="s">
        <v>123</v>
      </c>
      <c r="O46" s="132"/>
      <c r="P46" s="98"/>
      <c r="Q46" s="102"/>
      <c r="R46" s="108"/>
      <c r="S46" t="s">
        <v>123</v>
      </c>
      <c r="T46" t="s">
        <v>123</v>
      </c>
      <c r="U46" s="135">
        <v>0</v>
      </c>
      <c r="V46" s="135">
        <v>0</v>
      </c>
      <c r="W46" s="133"/>
    </row>
    <row r="47" spans="2:23" ht="15.75" customHeight="1">
      <c r="B47" t="s">
        <v>126</v>
      </c>
      <c r="C47" t="s">
        <v>127</v>
      </c>
      <c r="D47" s="130"/>
      <c r="E47" s="100"/>
      <c r="F47">
        <v>1</v>
      </c>
      <c r="G47" s="134">
        <v>2385</v>
      </c>
      <c r="H47" s="134">
        <v>643.95000000000005</v>
      </c>
      <c r="I47" s="134">
        <v>2385</v>
      </c>
      <c r="J47" s="131"/>
      <c r="K47">
        <v>1</v>
      </c>
      <c r="L47" s="134">
        <v>1192.5</v>
      </c>
      <c r="M47" s="134">
        <v>1192.5</v>
      </c>
      <c r="O47" s="132"/>
      <c r="P47" s="98"/>
      <c r="Q47" s="102"/>
      <c r="R47" s="108"/>
      <c r="S47" s="134">
        <v>1192.5</v>
      </c>
      <c r="T47" s="134">
        <v>1192.5</v>
      </c>
      <c r="U47" s="135">
        <v>0</v>
      </c>
      <c r="V47" s="135">
        <v>1</v>
      </c>
      <c r="W47" s="133"/>
    </row>
    <row r="48" spans="2:23" ht="15.75" customHeight="1">
      <c r="B48" t="s">
        <v>128</v>
      </c>
      <c r="C48" t="s">
        <v>129</v>
      </c>
      <c r="D48" s="130"/>
      <c r="E48" s="100"/>
      <c r="F48">
        <v>1</v>
      </c>
      <c r="G48" s="134">
        <v>277</v>
      </c>
      <c r="H48" s="134">
        <v>74.790000000000006</v>
      </c>
      <c r="I48" s="134">
        <v>277</v>
      </c>
      <c r="J48" s="131"/>
      <c r="K48">
        <v>1</v>
      </c>
      <c r="L48" s="134">
        <v>138.5</v>
      </c>
      <c r="M48" s="134">
        <v>138.5</v>
      </c>
      <c r="O48" s="132"/>
      <c r="P48" s="98"/>
      <c r="Q48" s="102"/>
      <c r="R48" s="108"/>
      <c r="S48" s="134">
        <v>138.5</v>
      </c>
      <c r="T48" s="134">
        <v>138.5</v>
      </c>
      <c r="U48" s="135">
        <v>0</v>
      </c>
      <c r="V48" s="135">
        <v>1</v>
      </c>
      <c r="W48" s="133"/>
    </row>
    <row r="49" spans="2:23" ht="15.75" customHeight="1">
      <c r="B49" t="s">
        <v>130</v>
      </c>
      <c r="C49" t="s">
        <v>278</v>
      </c>
      <c r="D49" s="130"/>
      <c r="E49" s="100"/>
      <c r="F49">
        <v>2</v>
      </c>
      <c r="G49" s="134">
        <v>20</v>
      </c>
      <c r="H49" s="134">
        <v>5.4</v>
      </c>
      <c r="I49" s="134">
        <v>40</v>
      </c>
      <c r="J49" s="131"/>
      <c r="K49">
        <v>2</v>
      </c>
      <c r="L49" s="134">
        <v>10</v>
      </c>
      <c r="M49" s="134">
        <v>20</v>
      </c>
      <c r="O49" s="132"/>
      <c r="P49" s="98"/>
      <c r="Q49" s="102"/>
      <c r="R49" s="108"/>
      <c r="S49" s="134">
        <v>10</v>
      </c>
      <c r="T49" s="134">
        <v>20</v>
      </c>
      <c r="U49" s="135">
        <v>0</v>
      </c>
      <c r="V49" s="135">
        <v>1</v>
      </c>
      <c r="W49" s="133"/>
    </row>
    <row r="50" spans="2:23" ht="15.75" customHeight="1">
      <c r="B50" t="s">
        <v>133</v>
      </c>
      <c r="C50" t="s">
        <v>279</v>
      </c>
      <c r="D50" s="130"/>
      <c r="E50" s="100"/>
      <c r="F50">
        <v>1</v>
      </c>
      <c r="G50" s="134">
        <v>44.5</v>
      </c>
      <c r="H50" s="134">
        <v>12.02</v>
      </c>
      <c r="I50" s="134">
        <v>44.5</v>
      </c>
      <c r="J50" s="131"/>
      <c r="K50">
        <v>1</v>
      </c>
      <c r="L50" s="134">
        <v>22.25</v>
      </c>
      <c r="M50" s="134">
        <v>22.25</v>
      </c>
      <c r="O50" s="132"/>
      <c r="P50" s="98"/>
      <c r="Q50" s="102"/>
      <c r="R50" s="108"/>
      <c r="S50" s="134">
        <v>22.25</v>
      </c>
      <c r="T50" s="134">
        <v>22.25</v>
      </c>
      <c r="U50" s="135">
        <v>0</v>
      </c>
      <c r="V50" s="135">
        <v>1</v>
      </c>
      <c r="W50" s="133"/>
    </row>
    <row r="51" spans="2:23" ht="15.75" customHeight="1">
      <c r="B51" t="s">
        <v>132</v>
      </c>
      <c r="C51" t="s">
        <v>280</v>
      </c>
      <c r="D51" s="130"/>
      <c r="E51" s="100"/>
      <c r="F51">
        <v>1</v>
      </c>
      <c r="G51" s="134">
        <v>43</v>
      </c>
      <c r="H51" s="134">
        <v>11.61</v>
      </c>
      <c r="I51" s="134">
        <v>43</v>
      </c>
      <c r="J51" s="131"/>
      <c r="K51">
        <v>1</v>
      </c>
      <c r="L51" s="134">
        <v>21.5</v>
      </c>
      <c r="M51" s="134">
        <v>21.5</v>
      </c>
      <c r="O51" s="132"/>
      <c r="P51" s="98"/>
      <c r="Q51" s="102"/>
      <c r="R51" s="108"/>
      <c r="S51" s="134">
        <v>21.5</v>
      </c>
      <c r="T51" s="134">
        <v>21.5</v>
      </c>
      <c r="U51" s="135">
        <v>0</v>
      </c>
      <c r="V51" s="135">
        <v>1</v>
      </c>
      <c r="W51" s="133"/>
    </row>
    <row r="52" spans="2:23" ht="15.75" customHeight="1">
      <c r="B52" t="s">
        <v>131</v>
      </c>
      <c r="C52" t="s">
        <v>281</v>
      </c>
      <c r="D52" s="130"/>
      <c r="E52" s="100"/>
      <c r="F52">
        <v>1</v>
      </c>
      <c r="G52" s="134">
        <v>545.5</v>
      </c>
      <c r="H52" s="134">
        <v>147.29</v>
      </c>
      <c r="I52" s="134">
        <v>545.5</v>
      </c>
      <c r="J52" s="131"/>
      <c r="K52">
        <v>1</v>
      </c>
      <c r="L52" s="134">
        <v>272.75</v>
      </c>
      <c r="M52" s="134">
        <v>272.75</v>
      </c>
      <c r="O52" s="132"/>
      <c r="P52" s="98"/>
      <c r="Q52" s="102"/>
      <c r="R52" s="108"/>
      <c r="S52" s="134">
        <v>272.75</v>
      </c>
      <c r="T52" s="134">
        <v>272.75</v>
      </c>
      <c r="U52" s="135">
        <v>0</v>
      </c>
      <c r="V52" s="135">
        <v>1</v>
      </c>
      <c r="W52" s="133"/>
    </row>
    <row r="53" spans="2:23" ht="15.75" customHeight="1">
      <c r="D53" s="130"/>
      <c r="E53" s="100"/>
      <c r="H53" t="s">
        <v>123</v>
      </c>
      <c r="I53" t="s">
        <v>123</v>
      </c>
      <c r="J53" s="131"/>
      <c r="K53">
        <v>0</v>
      </c>
      <c r="L53" t="s">
        <v>123</v>
      </c>
      <c r="M53" t="s">
        <v>123</v>
      </c>
      <c r="O53" s="132"/>
      <c r="P53" s="98"/>
      <c r="Q53" s="102"/>
      <c r="R53" s="108"/>
      <c r="S53" t="s">
        <v>123</v>
      </c>
      <c r="T53" t="s">
        <v>123</v>
      </c>
      <c r="U53" s="135">
        <v>0</v>
      </c>
      <c r="V53" s="135">
        <v>0</v>
      </c>
      <c r="W53" s="133"/>
    </row>
    <row r="54" spans="2:23" ht="15.75" customHeight="1">
      <c r="B54" t="s">
        <v>314</v>
      </c>
      <c r="C54" t="s">
        <v>315</v>
      </c>
      <c r="D54" s="130"/>
      <c r="E54" s="100"/>
      <c r="F54">
        <v>1</v>
      </c>
      <c r="G54" s="134">
        <v>7885.5</v>
      </c>
      <c r="H54" s="134">
        <v>2129.09</v>
      </c>
      <c r="I54" s="134">
        <v>7885.5</v>
      </c>
      <c r="J54" s="131"/>
      <c r="K54">
        <v>1</v>
      </c>
      <c r="L54" s="134">
        <v>3942.75</v>
      </c>
      <c r="M54" s="134">
        <v>3942.75</v>
      </c>
      <c r="O54" s="132"/>
      <c r="P54" s="98"/>
      <c r="Q54" s="102"/>
      <c r="R54" s="108"/>
      <c r="S54" s="134">
        <v>3942.75</v>
      </c>
      <c r="T54" s="134">
        <v>3942.75</v>
      </c>
      <c r="U54" s="135">
        <v>0</v>
      </c>
      <c r="V54" s="135">
        <v>1</v>
      </c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122</v>
      </c>
      <c r="G66" s="121">
        <f t="shared" si="0"/>
        <v>369453.5</v>
      </c>
      <c r="H66" s="122">
        <f t="shared" si="0"/>
        <v>99752.51</v>
      </c>
      <c r="I66" s="123">
        <f t="shared" si="0"/>
        <v>403681.5</v>
      </c>
      <c r="J66" s="124"/>
      <c r="K66" s="125">
        <f t="shared" ref="K66:M66" si="1">SUM(K19:K65)</f>
        <v>122</v>
      </c>
      <c r="L66" s="122">
        <f t="shared" si="1"/>
        <v>184726.75</v>
      </c>
      <c r="M66" s="123">
        <f t="shared" si="1"/>
        <v>201840.75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184726.75</v>
      </c>
      <c r="T66" s="123">
        <f t="shared" si="2"/>
        <v>201840.75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Q15 G18 L18 Q18" xr:uid="{68C82CBF-CEB3-45C0-B2BA-A4FA8126ECC8}">
      <formula1>$Y$12:$Y$13</formula1>
    </dataValidation>
    <dataValidation type="list" allowBlank="1" showErrorMessage="1" sqref="J14" xr:uid="{16A9B0DC-69CB-445B-946D-056550B3652A}">
      <formula1>$L$9</formula1>
    </dataValidation>
    <dataValidation type="list" allowBlank="1" showErrorMessage="1" sqref="I14" xr:uid="{D7FF944E-9B3F-4F67-B395-68713C29D4C2}">
      <formula1>$Y$14:$Y$15</formula1>
    </dataValidation>
    <dataValidation type="list" allowBlank="1" showErrorMessage="1" sqref="E19:E65" xr:uid="{CB1DA955-7CCF-4BC6-96F9-7502E3EE7F08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2EEC-449E-490D-9E38-D1F30B25CBAB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318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282357.5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141178.75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141178.75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>
        <v>966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0.5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317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141178.75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141178.75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316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68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242</v>
      </c>
      <c r="C19" t="s">
        <v>109</v>
      </c>
      <c r="D19" s="87"/>
      <c r="E19" s="88"/>
      <c r="F19">
        <v>1</v>
      </c>
      <c r="G19" s="134">
        <v>221.5</v>
      </c>
      <c r="H19" s="134">
        <v>59.81</v>
      </c>
      <c r="I19" s="134">
        <v>221.5</v>
      </c>
      <c r="J19" s="92"/>
      <c r="K19">
        <v>1</v>
      </c>
      <c r="L19" s="134">
        <v>110.75</v>
      </c>
      <c r="M19" s="134">
        <v>110.75</v>
      </c>
      <c r="O19" s="93"/>
      <c r="P19" s="86"/>
      <c r="Q19" s="94"/>
      <c r="R19" s="94"/>
      <c r="S19" s="134">
        <v>110.75</v>
      </c>
      <c r="T19" s="134">
        <v>110.75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135</v>
      </c>
      <c r="C20" t="s">
        <v>110</v>
      </c>
      <c r="D20" s="87"/>
      <c r="E20" s="100"/>
      <c r="F20">
        <v>1</v>
      </c>
      <c r="G20" s="134">
        <v>239</v>
      </c>
      <c r="H20" s="134">
        <v>64.53</v>
      </c>
      <c r="I20" s="134">
        <v>239</v>
      </c>
      <c r="J20" s="105"/>
      <c r="K20">
        <v>1</v>
      </c>
      <c r="L20" s="134">
        <v>119.5</v>
      </c>
      <c r="M20" s="134">
        <v>119.5</v>
      </c>
      <c r="O20" s="93"/>
      <c r="P20" s="98"/>
      <c r="Q20" s="102"/>
      <c r="R20" s="108"/>
      <c r="S20" s="134">
        <v>119.5</v>
      </c>
      <c r="T20" s="134">
        <v>119.5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260</v>
      </c>
      <c r="C21" t="s">
        <v>117</v>
      </c>
      <c r="D21" s="87"/>
      <c r="E21" s="88"/>
      <c r="F21">
        <v>1</v>
      </c>
      <c r="G21" s="134">
        <v>197</v>
      </c>
      <c r="H21" s="134">
        <v>53.19</v>
      </c>
      <c r="I21" s="134">
        <v>197</v>
      </c>
      <c r="J21" s="105"/>
      <c r="K21">
        <v>1</v>
      </c>
      <c r="L21" s="134">
        <v>98.5</v>
      </c>
      <c r="M21" s="134">
        <v>98.5</v>
      </c>
      <c r="O21" s="93"/>
      <c r="P21" s="115"/>
      <c r="Q21" s="94"/>
      <c r="R21" s="94"/>
      <c r="S21" s="134">
        <v>98.5</v>
      </c>
      <c r="T21" s="134">
        <v>98.5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319</v>
      </c>
      <c r="C22" t="s">
        <v>262</v>
      </c>
      <c r="D22" s="87"/>
      <c r="E22" s="100"/>
      <c r="F22">
        <v>1</v>
      </c>
      <c r="G22" s="134">
        <v>372</v>
      </c>
      <c r="H22" s="134">
        <v>100.44</v>
      </c>
      <c r="I22" s="134">
        <v>372</v>
      </c>
      <c r="J22" s="105"/>
      <c r="K22">
        <v>1</v>
      </c>
      <c r="L22" s="134">
        <v>186</v>
      </c>
      <c r="M22" s="134">
        <v>186</v>
      </c>
      <c r="O22" s="93"/>
      <c r="P22" s="98"/>
      <c r="Q22" s="102"/>
      <c r="R22" s="108"/>
      <c r="S22" s="134">
        <v>186</v>
      </c>
      <c r="T22" s="134">
        <v>186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320</v>
      </c>
      <c r="C23" t="s">
        <v>183</v>
      </c>
      <c r="D23" s="87"/>
      <c r="E23" s="88"/>
      <c r="F23">
        <v>1</v>
      </c>
      <c r="G23" s="134">
        <v>824.5</v>
      </c>
      <c r="H23" s="134">
        <v>222.62</v>
      </c>
      <c r="I23" s="134">
        <v>824.5</v>
      </c>
      <c r="J23" s="105"/>
      <c r="K23">
        <v>1</v>
      </c>
      <c r="L23" s="134">
        <v>412.25</v>
      </c>
      <c r="M23" s="134">
        <v>412.25</v>
      </c>
      <c r="O23" s="93"/>
      <c r="P23" s="115"/>
      <c r="Q23" s="94"/>
      <c r="R23" s="94"/>
      <c r="S23" s="134">
        <v>412.25</v>
      </c>
      <c r="T23" s="134">
        <v>412.25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321</v>
      </c>
      <c r="C24" t="s">
        <v>111</v>
      </c>
      <c r="D24" s="87"/>
      <c r="E24" s="100"/>
      <c r="F24">
        <v>1</v>
      </c>
      <c r="G24" s="134">
        <v>333</v>
      </c>
      <c r="H24" s="134">
        <v>89.91</v>
      </c>
      <c r="I24" s="134">
        <v>333</v>
      </c>
      <c r="J24" s="105"/>
      <c r="K24">
        <v>1</v>
      </c>
      <c r="L24" s="134">
        <v>166.5</v>
      </c>
      <c r="M24" s="134">
        <v>166.5</v>
      </c>
      <c r="N24" s="136"/>
      <c r="O24" s="93"/>
      <c r="P24" s="98"/>
      <c r="Q24" s="102"/>
      <c r="R24" s="108"/>
      <c r="S24" s="134">
        <v>166.5</v>
      </c>
      <c r="T24" s="134">
        <v>166.5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322</v>
      </c>
      <c r="C25" t="s">
        <v>112</v>
      </c>
      <c r="D25" s="87"/>
      <c r="E25" s="88"/>
      <c r="F25">
        <v>1</v>
      </c>
      <c r="G25" s="134">
        <v>389</v>
      </c>
      <c r="H25" s="134">
        <v>105.03</v>
      </c>
      <c r="I25" s="134">
        <v>389</v>
      </c>
      <c r="J25" s="105"/>
      <c r="K25">
        <v>1</v>
      </c>
      <c r="L25" s="134">
        <v>194.5</v>
      </c>
      <c r="M25" s="134">
        <v>194.5</v>
      </c>
      <c r="N25" s="136"/>
      <c r="O25" s="93"/>
      <c r="P25" s="115"/>
      <c r="Q25" s="94"/>
      <c r="R25" s="94"/>
      <c r="S25" s="134">
        <v>194.5</v>
      </c>
      <c r="T25" s="134">
        <v>194.5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D26" s="87"/>
      <c r="E26" s="100"/>
      <c r="H26" t="s">
        <v>123</v>
      </c>
      <c r="I26" t="s">
        <v>123</v>
      </c>
      <c r="J26" s="105"/>
      <c r="K26">
        <v>0</v>
      </c>
      <c r="L26" t="s">
        <v>123</v>
      </c>
      <c r="M26" t="s">
        <v>123</v>
      </c>
      <c r="N26" s="136"/>
      <c r="O26" s="93"/>
      <c r="P26" s="98"/>
      <c r="Q26" s="102"/>
      <c r="R26" s="108"/>
      <c r="S26" t="s">
        <v>123</v>
      </c>
      <c r="T26" t="s">
        <v>123</v>
      </c>
      <c r="U26" s="135">
        <v>0</v>
      </c>
      <c r="V26" s="135">
        <v>0</v>
      </c>
      <c r="W26" s="111"/>
      <c r="X26" s="97"/>
      <c r="Y26" s="8"/>
      <c r="Z26" s="8"/>
    </row>
    <row r="27" spans="2:26" ht="15.75" customHeight="1">
      <c r="B27" t="s">
        <v>307</v>
      </c>
      <c r="C27" t="s">
        <v>323</v>
      </c>
      <c r="D27" s="87"/>
      <c r="E27" s="88"/>
      <c r="F27">
        <v>1</v>
      </c>
      <c r="G27" s="134">
        <v>38950.5</v>
      </c>
      <c r="H27" s="134">
        <v>10516.64</v>
      </c>
      <c r="I27" s="134">
        <v>38950.5</v>
      </c>
      <c r="J27" s="105"/>
      <c r="K27">
        <v>1</v>
      </c>
      <c r="L27" s="134">
        <v>19475.25</v>
      </c>
      <c r="M27" s="134">
        <v>19475.25</v>
      </c>
      <c r="O27" s="93"/>
      <c r="P27" s="115"/>
      <c r="Q27" s="94"/>
      <c r="R27" s="94"/>
      <c r="S27" s="134">
        <v>19475.25</v>
      </c>
      <c r="T27" s="134">
        <v>19475.25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t="s">
        <v>324</v>
      </c>
      <c r="C28" t="s">
        <v>113</v>
      </c>
      <c r="D28" s="87"/>
      <c r="E28" s="100"/>
      <c r="F28">
        <v>1</v>
      </c>
      <c r="G28" s="134">
        <v>17564</v>
      </c>
      <c r="H28" s="134">
        <v>4742.28</v>
      </c>
      <c r="I28" s="134">
        <v>17564</v>
      </c>
      <c r="J28" s="105"/>
      <c r="K28">
        <v>1</v>
      </c>
      <c r="L28" s="134">
        <v>8782</v>
      </c>
      <c r="M28" s="134">
        <v>8782</v>
      </c>
      <c r="O28" s="93"/>
      <c r="P28" s="98"/>
      <c r="Q28" s="102"/>
      <c r="R28" s="108"/>
      <c r="S28" s="134">
        <v>8782</v>
      </c>
      <c r="T28" s="134">
        <v>8782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325</v>
      </c>
      <c r="C29" t="s">
        <v>114</v>
      </c>
      <c r="D29" s="87"/>
      <c r="E29" s="88"/>
      <c r="F29">
        <v>1</v>
      </c>
      <c r="G29" s="134">
        <v>51877</v>
      </c>
      <c r="H29" s="134">
        <v>14006.79</v>
      </c>
      <c r="I29" s="134">
        <v>51877</v>
      </c>
      <c r="J29" s="105"/>
      <c r="K29">
        <v>1</v>
      </c>
      <c r="L29" s="134">
        <v>25938.5</v>
      </c>
      <c r="M29" s="134">
        <v>25938.5</v>
      </c>
      <c r="O29" s="93"/>
      <c r="P29" s="115"/>
      <c r="Q29" s="94"/>
      <c r="R29" s="94"/>
      <c r="S29" s="134">
        <v>25938.5</v>
      </c>
      <c r="T29" s="134">
        <v>25938.5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>
        <v>5227499</v>
      </c>
      <c r="C30" t="s">
        <v>115</v>
      </c>
      <c r="D30" s="87"/>
      <c r="E30" s="100"/>
      <c r="F30">
        <v>1</v>
      </c>
      <c r="G30" s="134">
        <v>39806</v>
      </c>
      <c r="H30" s="134">
        <v>10747.62</v>
      </c>
      <c r="I30" s="134">
        <v>39806</v>
      </c>
      <c r="J30" s="105"/>
      <c r="K30">
        <v>1</v>
      </c>
      <c r="L30" s="134">
        <v>19903</v>
      </c>
      <c r="M30" s="134">
        <v>19903</v>
      </c>
      <c r="O30" s="93"/>
      <c r="P30" s="98"/>
      <c r="Q30" s="102"/>
      <c r="R30" s="108"/>
      <c r="S30" s="134">
        <v>19903</v>
      </c>
      <c r="T30" s="134">
        <v>19903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326</v>
      </c>
      <c r="C31" t="s">
        <v>116</v>
      </c>
      <c r="D31" s="87"/>
      <c r="E31" s="88"/>
      <c r="F31">
        <v>1</v>
      </c>
      <c r="G31" s="134">
        <v>17951</v>
      </c>
      <c r="H31" s="134">
        <v>4846.7700000000004</v>
      </c>
      <c r="I31" s="134">
        <v>17951</v>
      </c>
      <c r="J31" s="105"/>
      <c r="K31">
        <v>1</v>
      </c>
      <c r="L31" s="134">
        <v>8975.5</v>
      </c>
      <c r="M31" s="134">
        <v>8975.5</v>
      </c>
      <c r="O31" s="93"/>
      <c r="P31" s="115"/>
      <c r="Q31" s="94"/>
      <c r="R31" s="94"/>
      <c r="S31" s="134">
        <v>8975.5</v>
      </c>
      <c r="T31" s="134">
        <v>8975.5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327</v>
      </c>
      <c r="C32" t="s">
        <v>203</v>
      </c>
      <c r="D32" s="87"/>
      <c r="E32" s="100"/>
      <c r="F32">
        <v>6</v>
      </c>
      <c r="G32" s="134">
        <v>5114</v>
      </c>
      <c r="H32" s="134">
        <v>1380.78</v>
      </c>
      <c r="I32" s="134">
        <v>30684</v>
      </c>
      <c r="J32" s="105"/>
      <c r="K32">
        <v>6</v>
      </c>
      <c r="L32" s="134">
        <v>2557</v>
      </c>
      <c r="M32" s="134">
        <v>15342</v>
      </c>
      <c r="O32" s="93"/>
      <c r="P32" s="98"/>
      <c r="Q32" s="102"/>
      <c r="R32" s="108"/>
      <c r="S32" s="134">
        <v>2557</v>
      </c>
      <c r="T32" s="134">
        <v>15342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D33" s="87"/>
      <c r="E33" s="88"/>
      <c r="H33" t="s">
        <v>123</v>
      </c>
      <c r="I33" t="s">
        <v>123</v>
      </c>
      <c r="J33" s="105"/>
      <c r="K33">
        <v>0</v>
      </c>
      <c r="L33" t="s">
        <v>123</v>
      </c>
      <c r="M33" t="s">
        <v>123</v>
      </c>
      <c r="O33" s="93"/>
      <c r="P33" s="115"/>
      <c r="Q33" s="94"/>
      <c r="R33" s="94"/>
      <c r="S33" t="s">
        <v>123</v>
      </c>
      <c r="T33" t="s">
        <v>123</v>
      </c>
      <c r="U33" s="135">
        <v>0</v>
      </c>
      <c r="V33" s="135">
        <v>0</v>
      </c>
      <c r="W33" s="96"/>
    </row>
    <row r="34" spans="2:23" ht="15.75" customHeight="1">
      <c r="B34" t="s">
        <v>328</v>
      </c>
      <c r="C34" t="s">
        <v>205</v>
      </c>
      <c r="D34" s="87"/>
      <c r="E34" s="100"/>
      <c r="F34">
        <v>2</v>
      </c>
      <c r="G34" s="134">
        <v>1483</v>
      </c>
      <c r="H34" s="134">
        <v>400.41</v>
      </c>
      <c r="I34" s="134">
        <v>2966</v>
      </c>
      <c r="J34" s="105"/>
      <c r="K34">
        <v>2</v>
      </c>
      <c r="L34" s="134">
        <v>741.5</v>
      </c>
      <c r="M34" s="134">
        <v>1483</v>
      </c>
      <c r="O34" s="93"/>
      <c r="P34" s="98"/>
      <c r="Q34" s="102"/>
      <c r="R34" s="108"/>
      <c r="S34" s="134">
        <v>741.5</v>
      </c>
      <c r="T34" s="134">
        <v>1483</v>
      </c>
      <c r="U34" s="135">
        <v>0</v>
      </c>
      <c r="V34" s="135">
        <v>1</v>
      </c>
      <c r="W34" s="111"/>
    </row>
    <row r="35" spans="2:23" ht="15.75" customHeight="1">
      <c r="D35" s="87"/>
      <c r="E35" s="88"/>
      <c r="H35" t="s">
        <v>123</v>
      </c>
      <c r="I35" t="s">
        <v>123</v>
      </c>
      <c r="J35" s="105"/>
      <c r="K35">
        <v>0</v>
      </c>
      <c r="L35" t="s">
        <v>123</v>
      </c>
      <c r="M35" t="s">
        <v>123</v>
      </c>
      <c r="O35" s="93"/>
      <c r="P35" s="115"/>
      <c r="Q35" s="94"/>
      <c r="R35" s="94"/>
      <c r="S35" t="s">
        <v>123</v>
      </c>
      <c r="T35" t="s">
        <v>123</v>
      </c>
      <c r="U35" s="135">
        <v>0</v>
      </c>
      <c r="V35" s="135">
        <v>0</v>
      </c>
      <c r="W35" s="96"/>
    </row>
    <row r="36" spans="2:23" ht="15.75" customHeight="1">
      <c r="B36" t="s">
        <v>329</v>
      </c>
      <c r="C36" t="s">
        <v>330</v>
      </c>
      <c r="D36" s="87"/>
      <c r="E36" s="100"/>
      <c r="F36">
        <v>1</v>
      </c>
      <c r="G36" s="134">
        <v>65150.5</v>
      </c>
      <c r="H36" s="134">
        <v>17590.64</v>
      </c>
      <c r="I36" s="134">
        <v>65150.5</v>
      </c>
      <c r="J36" s="105"/>
      <c r="K36">
        <v>1</v>
      </c>
      <c r="L36" s="134">
        <v>32575.25</v>
      </c>
      <c r="M36" s="134">
        <v>32575.25</v>
      </c>
      <c r="O36" s="93"/>
      <c r="P36" s="98"/>
      <c r="Q36" s="102"/>
      <c r="R36" s="108"/>
      <c r="S36" s="134">
        <v>32575.25</v>
      </c>
      <c r="T36" s="134">
        <v>32575.25</v>
      </c>
      <c r="U36" s="135">
        <v>0</v>
      </c>
      <c r="V36" s="135">
        <v>1</v>
      </c>
      <c r="W36" s="111"/>
    </row>
    <row r="37" spans="2:23" ht="15.75" customHeight="1">
      <c r="B37" t="s">
        <v>331</v>
      </c>
      <c r="C37" t="s">
        <v>332</v>
      </c>
      <c r="D37" s="87"/>
      <c r="E37" s="88"/>
      <c r="F37">
        <v>2</v>
      </c>
      <c r="G37" s="134">
        <v>930</v>
      </c>
      <c r="H37" s="134">
        <v>251.1</v>
      </c>
      <c r="I37" s="134">
        <v>1860</v>
      </c>
      <c r="J37" s="105"/>
      <c r="K37">
        <v>2</v>
      </c>
      <c r="L37" s="134">
        <v>465</v>
      </c>
      <c r="M37" s="134">
        <v>930</v>
      </c>
      <c r="O37" s="93"/>
      <c r="P37" s="115"/>
      <c r="Q37" s="94"/>
      <c r="R37" s="94"/>
      <c r="S37" s="134">
        <v>465</v>
      </c>
      <c r="T37" s="134">
        <v>930</v>
      </c>
      <c r="U37" s="135">
        <v>0</v>
      </c>
      <c r="V37" s="135">
        <v>1</v>
      </c>
      <c r="W37" s="96"/>
    </row>
    <row r="38" spans="2:23" ht="15.75" customHeight="1">
      <c r="B38" t="s">
        <v>122</v>
      </c>
      <c r="C38" t="s">
        <v>120</v>
      </c>
      <c r="D38" s="87"/>
      <c r="E38" s="100"/>
      <c r="F38">
        <v>8</v>
      </c>
      <c r="G38" s="134">
        <v>8</v>
      </c>
      <c r="H38" s="134">
        <v>2.16</v>
      </c>
      <c r="I38" s="134">
        <v>64</v>
      </c>
      <c r="J38" s="105"/>
      <c r="K38">
        <v>8</v>
      </c>
      <c r="L38" s="134">
        <v>4</v>
      </c>
      <c r="M38" s="134">
        <v>32</v>
      </c>
      <c r="O38" s="93"/>
      <c r="P38" s="98"/>
      <c r="Q38" s="102"/>
      <c r="R38" s="108"/>
      <c r="S38" s="134">
        <v>4</v>
      </c>
      <c r="T38" s="134">
        <v>32</v>
      </c>
      <c r="U38" s="135">
        <v>0</v>
      </c>
      <c r="V38" s="135">
        <v>1</v>
      </c>
      <c r="W38" s="111"/>
    </row>
    <row r="39" spans="2:23" ht="15.75" customHeight="1">
      <c r="B39" t="s">
        <v>333</v>
      </c>
      <c r="C39" t="s">
        <v>213</v>
      </c>
      <c r="D39" s="87"/>
      <c r="E39" s="88"/>
      <c r="F39">
        <v>8</v>
      </c>
      <c r="G39" s="134">
        <v>9</v>
      </c>
      <c r="H39" s="134">
        <v>2.4300000000000002</v>
      </c>
      <c r="I39" s="134">
        <v>72</v>
      </c>
      <c r="J39" s="105"/>
      <c r="K39">
        <v>8</v>
      </c>
      <c r="L39" s="134">
        <v>4.5</v>
      </c>
      <c r="M39" s="134">
        <v>36</v>
      </c>
      <c r="O39" s="93"/>
      <c r="P39" s="115"/>
      <c r="Q39" s="94"/>
      <c r="R39" s="94"/>
      <c r="S39" s="134">
        <v>4.5</v>
      </c>
      <c r="T39" s="134">
        <v>36</v>
      </c>
      <c r="U39" s="135">
        <v>0</v>
      </c>
      <c r="V39" s="135">
        <v>1</v>
      </c>
      <c r="W39" s="111"/>
    </row>
    <row r="40" spans="2:23" ht="15.75" customHeight="1">
      <c r="B40" t="s">
        <v>121</v>
      </c>
      <c r="C40" t="s">
        <v>215</v>
      </c>
      <c r="D40" s="87"/>
      <c r="E40" s="100"/>
      <c r="F40">
        <v>8</v>
      </c>
      <c r="G40" s="134">
        <v>9.5</v>
      </c>
      <c r="H40" s="134">
        <v>2.57</v>
      </c>
      <c r="I40" s="134">
        <v>76</v>
      </c>
      <c r="J40" s="105"/>
      <c r="K40">
        <v>8</v>
      </c>
      <c r="L40" s="134">
        <v>4.75</v>
      </c>
      <c r="M40" s="134">
        <v>38</v>
      </c>
      <c r="O40" s="93"/>
      <c r="P40" s="98"/>
      <c r="Q40" s="102"/>
      <c r="R40" s="108"/>
      <c r="S40" s="134">
        <v>4.75</v>
      </c>
      <c r="T40" s="134">
        <v>38</v>
      </c>
      <c r="U40" s="135">
        <v>0</v>
      </c>
      <c r="V40" s="135">
        <v>1</v>
      </c>
      <c r="W40" s="111"/>
    </row>
    <row r="41" spans="2:23" ht="15.75" customHeight="1">
      <c r="D41" s="130"/>
      <c r="E41" s="100"/>
      <c r="H41" t="s">
        <v>123</v>
      </c>
      <c r="I41" t="s">
        <v>123</v>
      </c>
      <c r="J41" s="131"/>
      <c r="K41">
        <v>0</v>
      </c>
      <c r="L41" t="s">
        <v>123</v>
      </c>
      <c r="M41" t="s">
        <v>123</v>
      </c>
      <c r="O41" s="132"/>
      <c r="P41" s="98"/>
      <c r="Q41" s="102"/>
      <c r="R41" s="108"/>
      <c r="S41" t="s">
        <v>123</v>
      </c>
      <c r="T41" t="s">
        <v>123</v>
      </c>
      <c r="U41" s="135">
        <v>0</v>
      </c>
      <c r="V41" s="135">
        <v>0</v>
      </c>
      <c r="W41" s="133"/>
    </row>
    <row r="42" spans="2:23" ht="15.75" customHeight="1">
      <c r="B42" t="s">
        <v>334</v>
      </c>
      <c r="C42" t="s">
        <v>335</v>
      </c>
      <c r="D42" s="130"/>
      <c r="E42" s="100"/>
      <c r="F42">
        <v>10</v>
      </c>
      <c r="G42" s="134">
        <v>414.5</v>
      </c>
      <c r="H42" s="134">
        <v>111.92</v>
      </c>
      <c r="I42" s="134">
        <v>4145</v>
      </c>
      <c r="J42" s="131"/>
      <c r="K42">
        <v>10</v>
      </c>
      <c r="L42" s="134">
        <v>207.25</v>
      </c>
      <c r="M42" s="134">
        <v>2072.5</v>
      </c>
      <c r="O42" s="132"/>
      <c r="P42" s="98"/>
      <c r="Q42" s="102"/>
      <c r="R42" s="108"/>
      <c r="S42" s="134">
        <v>207.25</v>
      </c>
      <c r="T42" s="134">
        <v>2072.5</v>
      </c>
      <c r="U42" s="135">
        <v>0</v>
      </c>
      <c r="V42" s="135">
        <v>1</v>
      </c>
      <c r="W42" s="133"/>
    </row>
    <row r="43" spans="2:23" ht="15.75" customHeight="1">
      <c r="B43" t="s">
        <v>336</v>
      </c>
      <c r="C43" t="s">
        <v>337</v>
      </c>
      <c r="D43" s="130"/>
      <c r="E43" s="100"/>
      <c r="F43">
        <v>10</v>
      </c>
      <c r="G43" s="134">
        <v>73</v>
      </c>
      <c r="H43" s="134">
        <v>19.71</v>
      </c>
      <c r="I43" s="134">
        <v>730</v>
      </c>
      <c r="J43" s="131"/>
      <c r="K43">
        <v>10</v>
      </c>
      <c r="L43" s="134">
        <v>36.5</v>
      </c>
      <c r="M43" s="134">
        <v>365</v>
      </c>
      <c r="O43" s="132"/>
      <c r="P43" s="98"/>
      <c r="Q43" s="102"/>
      <c r="R43" s="108"/>
      <c r="S43" s="134">
        <v>36.5</v>
      </c>
      <c r="T43" s="134">
        <v>365</v>
      </c>
      <c r="U43" s="135">
        <v>0</v>
      </c>
      <c r="V43" s="135">
        <v>1</v>
      </c>
      <c r="W43" s="133"/>
    </row>
    <row r="44" spans="2:23" ht="15.75" customHeight="1">
      <c r="D44" s="130"/>
      <c r="E44" s="100"/>
      <c r="H44" t="s">
        <v>123</v>
      </c>
      <c r="I44" t="s">
        <v>123</v>
      </c>
      <c r="J44" s="131"/>
      <c r="K44">
        <v>0</v>
      </c>
      <c r="L44" t="s">
        <v>123</v>
      </c>
      <c r="M44" t="s">
        <v>123</v>
      </c>
      <c r="O44" s="132"/>
      <c r="P44" s="98"/>
      <c r="Q44" s="102"/>
      <c r="R44" s="108"/>
      <c r="S44" t="s">
        <v>123</v>
      </c>
      <c r="T44" t="s">
        <v>123</v>
      </c>
      <c r="U44" s="135">
        <v>0</v>
      </c>
      <c r="V44" s="135">
        <v>0</v>
      </c>
      <c r="W44" s="133"/>
    </row>
    <row r="45" spans="2:23" ht="15.75" customHeight="1">
      <c r="B45" t="s">
        <v>314</v>
      </c>
      <c r="C45" t="s">
        <v>315</v>
      </c>
      <c r="D45" s="130"/>
      <c r="E45" s="100"/>
      <c r="F45">
        <v>1</v>
      </c>
      <c r="G45" s="134">
        <v>7885.5</v>
      </c>
      <c r="H45" s="134">
        <v>2129.09</v>
      </c>
      <c r="I45" s="134">
        <v>7885.5</v>
      </c>
      <c r="J45" s="131"/>
      <c r="K45">
        <v>1</v>
      </c>
      <c r="L45" s="134">
        <v>3942.75</v>
      </c>
      <c r="M45" s="134">
        <v>3942.75</v>
      </c>
      <c r="O45" s="132"/>
      <c r="P45" s="98"/>
      <c r="Q45" s="102"/>
      <c r="R45" s="108"/>
      <c r="S45" s="134">
        <v>3942.75</v>
      </c>
      <c r="T45" s="134">
        <v>3942.75</v>
      </c>
      <c r="U45" s="135">
        <v>0</v>
      </c>
      <c r="V45" s="135">
        <v>1</v>
      </c>
      <c r="W45" s="133"/>
    </row>
    <row r="46" spans="2:23" ht="15.75" customHeight="1">
      <c r="D46" s="130"/>
      <c r="E46" s="100"/>
      <c r="J46" s="131"/>
      <c r="O46" s="132"/>
      <c r="P46" s="98"/>
      <c r="Q46" s="102"/>
      <c r="R46" s="108"/>
      <c r="U46" s="135"/>
      <c r="V46" s="135"/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G49" s="134"/>
      <c r="H49" s="134"/>
      <c r="I49" s="134"/>
      <c r="J49" s="131"/>
      <c r="L49" s="134"/>
      <c r="M49" s="134"/>
      <c r="O49" s="132"/>
      <c r="P49" s="98"/>
      <c r="Q49" s="102"/>
      <c r="R49" s="108"/>
      <c r="S49" s="134"/>
      <c r="T49" s="134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J53" s="131"/>
      <c r="O53" s="132"/>
      <c r="P53" s="98"/>
      <c r="Q53" s="102"/>
      <c r="R53" s="108"/>
      <c r="U53" s="135"/>
      <c r="V53" s="135"/>
      <c r="W53" s="133"/>
    </row>
    <row r="54" spans="2:23" ht="15.75" customHeight="1">
      <c r="D54" s="130"/>
      <c r="E54" s="100"/>
      <c r="G54" s="134"/>
      <c r="H54" s="134"/>
      <c r="I54" s="134"/>
      <c r="J54" s="131"/>
      <c r="L54" s="134"/>
      <c r="M54" s="134"/>
      <c r="O54" s="132"/>
      <c r="P54" s="98"/>
      <c r="Q54" s="102"/>
      <c r="R54" s="108"/>
      <c r="S54" s="134"/>
      <c r="T54" s="134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68</v>
      </c>
      <c r="G66" s="121">
        <f t="shared" si="0"/>
        <v>249801.5</v>
      </c>
      <c r="H66" s="122">
        <f t="shared" si="0"/>
        <v>67446.44</v>
      </c>
      <c r="I66" s="123">
        <f t="shared" si="0"/>
        <v>282357.5</v>
      </c>
      <c r="J66" s="124"/>
      <c r="K66" s="125">
        <f t="shared" ref="K66:M66" si="1">SUM(K19:K65)</f>
        <v>68</v>
      </c>
      <c r="L66" s="122">
        <f t="shared" si="1"/>
        <v>124900.75</v>
      </c>
      <c r="M66" s="123">
        <f t="shared" si="1"/>
        <v>141178.75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124900.75</v>
      </c>
      <c r="T66" s="123">
        <f t="shared" si="2"/>
        <v>141178.75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E19:E65" xr:uid="{26393EF0-2761-4535-A0E9-A2CC8771BFA8}">
      <formula1>$Z$19:$Z$30</formula1>
    </dataValidation>
    <dataValidation type="list" allowBlank="1" showErrorMessage="1" sqref="I14" xr:uid="{C28ED667-AD63-464D-BDF7-4E5A7D61877F}">
      <formula1>$Y$14:$Y$15</formula1>
    </dataValidation>
    <dataValidation type="list" allowBlank="1" showErrorMessage="1" sqref="J14" xr:uid="{BCEE85AA-1499-453D-872F-F183915A2ECC}">
      <formula1>$L$9</formula1>
    </dataValidation>
    <dataValidation type="list" allowBlank="1" showErrorMessage="1" sqref="Q15 G18 L18 Q18" xr:uid="{AAF1964C-2920-4199-98DF-B9A748B3A91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4896-4032-4243-9FCF-5CD964B8CF4A}">
  <sheetPr>
    <pageSetUpPr fitToPage="1"/>
  </sheetPr>
  <dimension ref="B1:Z66"/>
  <sheetViews>
    <sheetView zoomScale="55" zoomScaleNormal="55" workbookViewId="0">
      <pane ySplit="18" topLeftCell="A41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339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311218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155609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155609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 t="s">
        <v>340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0.5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338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155609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155609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316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68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288</v>
      </c>
      <c r="C19" t="s">
        <v>109</v>
      </c>
      <c r="D19" s="87"/>
      <c r="E19" s="88"/>
      <c r="F19">
        <v>1</v>
      </c>
      <c r="G19" s="134">
        <v>233</v>
      </c>
      <c r="H19" s="134">
        <v>62.91</v>
      </c>
      <c r="I19" s="134">
        <v>233</v>
      </c>
      <c r="J19" s="92"/>
      <c r="K19">
        <v>1</v>
      </c>
      <c r="L19" s="134">
        <v>116.5</v>
      </c>
      <c r="M19" s="134">
        <v>116.5</v>
      </c>
      <c r="O19" s="93"/>
      <c r="P19" s="86"/>
      <c r="Q19" s="94"/>
      <c r="R19" s="94"/>
      <c r="S19" s="134">
        <v>116.5</v>
      </c>
      <c r="T19" s="134">
        <v>116.5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135</v>
      </c>
      <c r="C20" t="s">
        <v>110</v>
      </c>
      <c r="D20" s="87"/>
      <c r="E20" s="100"/>
      <c r="F20">
        <v>1</v>
      </c>
      <c r="G20" s="134">
        <v>239</v>
      </c>
      <c r="H20" s="134">
        <v>64.53</v>
      </c>
      <c r="I20" s="134">
        <v>239</v>
      </c>
      <c r="J20" s="105"/>
      <c r="K20">
        <v>1</v>
      </c>
      <c r="L20" s="134">
        <v>119.5</v>
      </c>
      <c r="M20" s="134">
        <v>119.5</v>
      </c>
      <c r="O20" s="93"/>
      <c r="P20" s="98"/>
      <c r="Q20" s="102"/>
      <c r="R20" s="108"/>
      <c r="S20" s="134">
        <v>119.5</v>
      </c>
      <c r="T20" s="134">
        <v>119.5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260</v>
      </c>
      <c r="C21" t="s">
        <v>117</v>
      </c>
      <c r="D21" s="87"/>
      <c r="E21" s="88"/>
      <c r="F21">
        <v>1</v>
      </c>
      <c r="G21" s="134">
        <v>197</v>
      </c>
      <c r="H21" s="134">
        <v>53.19</v>
      </c>
      <c r="I21" s="134">
        <v>197</v>
      </c>
      <c r="J21" s="105"/>
      <c r="K21">
        <v>1</v>
      </c>
      <c r="L21" s="134">
        <v>98.5</v>
      </c>
      <c r="M21" s="134">
        <v>98.5</v>
      </c>
      <c r="O21" s="93"/>
      <c r="P21" s="115"/>
      <c r="Q21" s="94"/>
      <c r="R21" s="94"/>
      <c r="S21" s="134">
        <v>98.5</v>
      </c>
      <c r="T21" s="134">
        <v>98.5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341</v>
      </c>
      <c r="C22" t="s">
        <v>262</v>
      </c>
      <c r="D22" s="87"/>
      <c r="E22" s="100"/>
      <c r="F22">
        <v>1</v>
      </c>
      <c r="G22" s="134">
        <v>430</v>
      </c>
      <c r="H22" s="134">
        <v>116.1</v>
      </c>
      <c r="I22" s="134">
        <v>430</v>
      </c>
      <c r="J22" s="105"/>
      <c r="K22">
        <v>1</v>
      </c>
      <c r="L22" s="134">
        <v>215</v>
      </c>
      <c r="M22" s="134">
        <v>215</v>
      </c>
      <c r="O22" s="93"/>
      <c r="P22" s="98"/>
      <c r="Q22" s="102"/>
      <c r="R22" s="108"/>
      <c r="S22" s="134">
        <v>215</v>
      </c>
      <c r="T22" s="134">
        <v>215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342</v>
      </c>
      <c r="C23" t="s">
        <v>183</v>
      </c>
      <c r="D23" s="87"/>
      <c r="E23" s="88"/>
      <c r="F23">
        <v>1</v>
      </c>
      <c r="G23" s="134">
        <v>624</v>
      </c>
      <c r="H23" s="134">
        <v>168.48</v>
      </c>
      <c r="I23" s="134">
        <v>624</v>
      </c>
      <c r="J23" s="105"/>
      <c r="K23">
        <v>1</v>
      </c>
      <c r="L23" s="134">
        <v>312</v>
      </c>
      <c r="M23" s="134">
        <v>312</v>
      </c>
      <c r="O23" s="93"/>
      <c r="P23" s="115"/>
      <c r="Q23" s="94"/>
      <c r="R23" s="94"/>
      <c r="S23" s="134">
        <v>312</v>
      </c>
      <c r="T23" s="134">
        <v>312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343</v>
      </c>
      <c r="C24" t="s">
        <v>111</v>
      </c>
      <c r="D24" s="87"/>
      <c r="E24" s="100"/>
      <c r="F24">
        <v>1</v>
      </c>
      <c r="G24" s="134">
        <v>341.5</v>
      </c>
      <c r="H24" s="134">
        <v>92.21</v>
      </c>
      <c r="I24" s="134">
        <v>341.5</v>
      </c>
      <c r="J24" s="105"/>
      <c r="K24">
        <v>1</v>
      </c>
      <c r="L24" s="134">
        <v>170.75</v>
      </c>
      <c r="M24" s="134">
        <v>170.75</v>
      </c>
      <c r="N24" s="136"/>
      <c r="O24" s="93"/>
      <c r="P24" s="98"/>
      <c r="Q24" s="102"/>
      <c r="R24" s="108"/>
      <c r="S24" s="134">
        <v>170.75</v>
      </c>
      <c r="T24" s="134">
        <v>170.75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344</v>
      </c>
      <c r="C25" t="s">
        <v>112</v>
      </c>
      <c r="D25" s="87"/>
      <c r="E25" s="88"/>
      <c r="F25">
        <v>1</v>
      </c>
      <c r="G25" s="134">
        <v>261</v>
      </c>
      <c r="H25" s="134">
        <v>70.47</v>
      </c>
      <c r="I25" s="134">
        <v>261</v>
      </c>
      <c r="J25" s="105"/>
      <c r="K25">
        <v>1</v>
      </c>
      <c r="L25" s="134">
        <v>130.5</v>
      </c>
      <c r="M25" s="134">
        <v>130.5</v>
      </c>
      <c r="N25" s="136"/>
      <c r="O25" s="93"/>
      <c r="P25" s="115"/>
      <c r="Q25" s="94"/>
      <c r="R25" s="94"/>
      <c r="S25" s="134">
        <v>130.5</v>
      </c>
      <c r="T25" s="134">
        <v>130.5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D26" s="87"/>
      <c r="E26" s="100"/>
      <c r="H26" t="s">
        <v>123</v>
      </c>
      <c r="I26" t="s">
        <v>123</v>
      </c>
      <c r="J26" s="105"/>
      <c r="K26">
        <v>0</v>
      </c>
      <c r="L26" t="s">
        <v>123</v>
      </c>
      <c r="M26" t="s">
        <v>123</v>
      </c>
      <c r="N26" s="136"/>
      <c r="O26" s="93"/>
      <c r="P26" s="98"/>
      <c r="Q26" s="102"/>
      <c r="R26" s="108"/>
      <c r="S26" t="s">
        <v>123</v>
      </c>
      <c r="T26" t="s">
        <v>123</v>
      </c>
      <c r="U26" s="135">
        <v>0</v>
      </c>
      <c r="V26" s="135">
        <v>0</v>
      </c>
      <c r="W26" s="111"/>
      <c r="X26" s="97"/>
      <c r="Y26" s="8"/>
      <c r="Z26" s="8"/>
    </row>
    <row r="27" spans="2:26" ht="15.75" customHeight="1">
      <c r="B27" t="s">
        <v>307</v>
      </c>
      <c r="C27" t="s">
        <v>323</v>
      </c>
      <c r="D27" s="87"/>
      <c r="E27" s="88"/>
      <c r="F27">
        <v>1</v>
      </c>
      <c r="G27" s="134">
        <v>38950.5</v>
      </c>
      <c r="H27" s="134">
        <v>10516.64</v>
      </c>
      <c r="I27" s="134">
        <v>38950.5</v>
      </c>
      <c r="J27" s="105"/>
      <c r="K27">
        <v>1</v>
      </c>
      <c r="L27" s="134">
        <v>19475.25</v>
      </c>
      <c r="M27" s="134">
        <v>19475.25</v>
      </c>
      <c r="O27" s="93"/>
      <c r="P27" s="115"/>
      <c r="Q27" s="94"/>
      <c r="R27" s="94"/>
      <c r="S27" s="134">
        <v>19475.25</v>
      </c>
      <c r="T27" s="134">
        <v>19475.25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t="s">
        <v>308</v>
      </c>
      <c r="C28" t="s">
        <v>113</v>
      </c>
      <c r="D28" s="87"/>
      <c r="E28" s="100"/>
      <c r="F28">
        <v>1</v>
      </c>
      <c r="G28" s="134">
        <v>22435.5</v>
      </c>
      <c r="H28" s="134">
        <v>6057.59</v>
      </c>
      <c r="I28" s="134">
        <v>22435.5</v>
      </c>
      <c r="J28" s="105"/>
      <c r="K28">
        <v>1</v>
      </c>
      <c r="L28" s="134">
        <v>11217.75</v>
      </c>
      <c r="M28" s="134">
        <v>11217.75</v>
      </c>
      <c r="O28" s="93"/>
      <c r="P28" s="98"/>
      <c r="Q28" s="102"/>
      <c r="R28" s="108"/>
      <c r="S28" s="134">
        <v>11217.75</v>
      </c>
      <c r="T28" s="134">
        <v>11217.75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309</v>
      </c>
      <c r="C29" t="s">
        <v>114</v>
      </c>
      <c r="D29" s="87"/>
      <c r="E29" s="88"/>
      <c r="F29">
        <v>1</v>
      </c>
      <c r="G29" s="134">
        <v>64140.5</v>
      </c>
      <c r="H29" s="134">
        <v>17317.939999999999</v>
      </c>
      <c r="I29" s="134">
        <v>64140.5</v>
      </c>
      <c r="J29" s="105"/>
      <c r="K29">
        <v>1</v>
      </c>
      <c r="L29" s="134">
        <v>32070.25</v>
      </c>
      <c r="M29" s="134">
        <v>32070.25</v>
      </c>
      <c r="O29" s="93"/>
      <c r="P29" s="115"/>
      <c r="Q29" s="94"/>
      <c r="R29" s="94"/>
      <c r="S29" s="134">
        <v>32070.25</v>
      </c>
      <c r="T29" s="134">
        <v>32070.25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t="s">
        <v>345</v>
      </c>
      <c r="C30" t="s">
        <v>115</v>
      </c>
      <c r="D30" s="87"/>
      <c r="E30" s="100"/>
      <c r="F30">
        <v>1</v>
      </c>
      <c r="G30" s="134">
        <v>52221</v>
      </c>
      <c r="H30" s="134">
        <v>14099.67</v>
      </c>
      <c r="I30" s="134">
        <v>52221</v>
      </c>
      <c r="J30" s="105"/>
      <c r="K30">
        <v>1</v>
      </c>
      <c r="L30" s="134">
        <v>26110.5</v>
      </c>
      <c r="M30" s="134">
        <v>26110.5</v>
      </c>
      <c r="O30" s="93"/>
      <c r="P30" s="98"/>
      <c r="Q30" s="102"/>
      <c r="R30" s="108"/>
      <c r="S30" s="134">
        <v>26110.5</v>
      </c>
      <c r="T30" s="134">
        <v>26110.5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346</v>
      </c>
      <c r="C31" t="s">
        <v>116</v>
      </c>
      <c r="D31" s="87"/>
      <c r="E31" s="88"/>
      <c r="F31">
        <v>1</v>
      </c>
      <c r="G31" s="134">
        <v>12457</v>
      </c>
      <c r="H31" s="134">
        <v>3363.39</v>
      </c>
      <c r="I31" s="134">
        <v>12457</v>
      </c>
      <c r="J31" s="105"/>
      <c r="K31">
        <v>1</v>
      </c>
      <c r="L31" s="134">
        <v>6228.5</v>
      </c>
      <c r="M31" s="134">
        <v>6228.5</v>
      </c>
      <c r="O31" s="93"/>
      <c r="P31" s="115"/>
      <c r="Q31" s="94"/>
      <c r="R31" s="94"/>
      <c r="S31" s="134">
        <v>6228.5</v>
      </c>
      <c r="T31" s="134">
        <v>6228.5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347</v>
      </c>
      <c r="C32" t="s">
        <v>203</v>
      </c>
      <c r="D32" s="87"/>
      <c r="E32" s="100"/>
      <c r="F32">
        <v>6</v>
      </c>
      <c r="G32" s="134">
        <v>5956.5</v>
      </c>
      <c r="H32" s="134">
        <v>1608.26</v>
      </c>
      <c r="I32" s="134">
        <v>35739</v>
      </c>
      <c r="J32" s="105"/>
      <c r="K32">
        <v>6</v>
      </c>
      <c r="L32" s="134">
        <v>2978.25</v>
      </c>
      <c r="M32" s="134">
        <v>17869.5</v>
      </c>
      <c r="O32" s="93"/>
      <c r="P32" s="98"/>
      <c r="Q32" s="102"/>
      <c r="R32" s="108"/>
      <c r="S32" s="134">
        <v>2978.25</v>
      </c>
      <c r="T32" s="134">
        <v>17869.5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D33" s="87"/>
      <c r="E33" s="88"/>
      <c r="H33" t="s">
        <v>123</v>
      </c>
      <c r="I33" t="s">
        <v>123</v>
      </c>
      <c r="J33" s="105"/>
      <c r="K33">
        <v>0</v>
      </c>
      <c r="L33" t="s">
        <v>123</v>
      </c>
      <c r="M33" t="s">
        <v>123</v>
      </c>
      <c r="O33" s="93"/>
      <c r="P33" s="115"/>
      <c r="Q33" s="94"/>
      <c r="R33" s="94"/>
      <c r="S33" t="s">
        <v>123</v>
      </c>
      <c r="T33" t="s">
        <v>123</v>
      </c>
      <c r="U33" s="135">
        <v>0</v>
      </c>
      <c r="V33" s="135">
        <v>0</v>
      </c>
      <c r="W33" s="96"/>
    </row>
    <row r="34" spans="2:23" ht="15.75" customHeight="1">
      <c r="B34" t="s">
        <v>328</v>
      </c>
      <c r="C34" t="s">
        <v>205</v>
      </c>
      <c r="D34" s="87"/>
      <c r="E34" s="100"/>
      <c r="F34">
        <v>2</v>
      </c>
      <c r="G34" s="134">
        <v>1483</v>
      </c>
      <c r="H34" s="134">
        <v>400.41</v>
      </c>
      <c r="I34" s="134">
        <v>2966</v>
      </c>
      <c r="J34" s="105"/>
      <c r="K34">
        <v>2</v>
      </c>
      <c r="L34" s="134">
        <v>741.5</v>
      </c>
      <c r="M34" s="134">
        <v>1483</v>
      </c>
      <c r="O34" s="93"/>
      <c r="P34" s="98"/>
      <c r="Q34" s="102"/>
      <c r="R34" s="108"/>
      <c r="S34" s="134">
        <v>741.5</v>
      </c>
      <c r="T34" s="134">
        <v>1483</v>
      </c>
      <c r="U34" s="135">
        <v>0</v>
      </c>
      <c r="V34" s="135">
        <v>1</v>
      </c>
      <c r="W34" s="111"/>
    </row>
    <row r="35" spans="2:23" ht="15.75" customHeight="1">
      <c r="D35" s="87"/>
      <c r="E35" s="88"/>
      <c r="H35" t="s">
        <v>123</v>
      </c>
      <c r="I35" t="s">
        <v>123</v>
      </c>
      <c r="J35" s="105"/>
      <c r="K35">
        <v>0</v>
      </c>
      <c r="L35" t="s">
        <v>123</v>
      </c>
      <c r="M35" t="s">
        <v>123</v>
      </c>
      <c r="O35" s="93"/>
      <c r="P35" s="115"/>
      <c r="Q35" s="94"/>
      <c r="R35" s="94"/>
      <c r="S35" t="s">
        <v>123</v>
      </c>
      <c r="T35" t="s">
        <v>123</v>
      </c>
      <c r="U35" s="135">
        <v>0</v>
      </c>
      <c r="V35" s="135">
        <v>0</v>
      </c>
      <c r="W35" s="96"/>
    </row>
    <row r="36" spans="2:23" ht="15.75" customHeight="1">
      <c r="B36" t="s">
        <v>329</v>
      </c>
      <c r="C36" t="s">
        <v>330</v>
      </c>
      <c r="D36" s="87"/>
      <c r="E36" s="100"/>
      <c r="F36">
        <v>1</v>
      </c>
      <c r="G36" s="134">
        <v>65150.5</v>
      </c>
      <c r="H36" s="134">
        <v>17590.64</v>
      </c>
      <c r="I36" s="134">
        <v>65150.5</v>
      </c>
      <c r="J36" s="105"/>
      <c r="K36">
        <v>1</v>
      </c>
      <c r="L36" s="134">
        <v>32575.25</v>
      </c>
      <c r="M36" s="134">
        <v>32575.25</v>
      </c>
      <c r="O36" s="93"/>
      <c r="P36" s="98"/>
      <c r="Q36" s="102"/>
      <c r="R36" s="108"/>
      <c r="S36" s="134">
        <v>32575.25</v>
      </c>
      <c r="T36" s="134">
        <v>32575.25</v>
      </c>
      <c r="U36" s="135">
        <v>0</v>
      </c>
      <c r="V36" s="135">
        <v>1</v>
      </c>
      <c r="W36" s="111"/>
    </row>
    <row r="37" spans="2:23" ht="15.75" customHeight="1">
      <c r="B37" t="s">
        <v>331</v>
      </c>
      <c r="C37" t="s">
        <v>332</v>
      </c>
      <c r="D37" s="87"/>
      <c r="E37" s="88"/>
      <c r="F37">
        <v>2</v>
      </c>
      <c r="G37" s="134">
        <v>930</v>
      </c>
      <c r="H37" s="134">
        <v>251.1</v>
      </c>
      <c r="I37" s="134">
        <v>1860</v>
      </c>
      <c r="J37" s="105"/>
      <c r="K37">
        <v>2</v>
      </c>
      <c r="L37" s="134">
        <v>465</v>
      </c>
      <c r="M37" s="134">
        <v>930</v>
      </c>
      <c r="O37" s="93"/>
      <c r="P37" s="115"/>
      <c r="Q37" s="94"/>
      <c r="R37" s="94"/>
      <c r="S37" s="134">
        <v>465</v>
      </c>
      <c r="T37" s="134">
        <v>930</v>
      </c>
      <c r="U37" s="135">
        <v>0</v>
      </c>
      <c r="V37" s="135">
        <v>1</v>
      </c>
      <c r="W37" s="96"/>
    </row>
    <row r="38" spans="2:23" ht="15.75" customHeight="1">
      <c r="B38" t="s">
        <v>122</v>
      </c>
      <c r="C38" t="s">
        <v>120</v>
      </c>
      <c r="D38" s="87"/>
      <c r="E38" s="100"/>
      <c r="F38">
        <v>8</v>
      </c>
      <c r="G38" s="134">
        <v>8</v>
      </c>
      <c r="H38" s="134">
        <v>2.16</v>
      </c>
      <c r="I38" s="134">
        <v>64</v>
      </c>
      <c r="J38" s="105"/>
      <c r="K38">
        <v>8</v>
      </c>
      <c r="L38" s="134">
        <v>4</v>
      </c>
      <c r="M38" s="134">
        <v>32</v>
      </c>
      <c r="O38" s="93"/>
      <c r="P38" s="98"/>
      <c r="Q38" s="102"/>
      <c r="R38" s="108"/>
      <c r="S38" s="134">
        <v>4</v>
      </c>
      <c r="T38" s="134">
        <v>32</v>
      </c>
      <c r="U38" s="135">
        <v>0</v>
      </c>
      <c r="V38" s="135">
        <v>1</v>
      </c>
      <c r="W38" s="111"/>
    </row>
    <row r="39" spans="2:23" ht="15.75" customHeight="1">
      <c r="B39" t="s">
        <v>333</v>
      </c>
      <c r="C39" t="s">
        <v>213</v>
      </c>
      <c r="D39" s="87"/>
      <c r="E39" s="88"/>
      <c r="F39">
        <v>8</v>
      </c>
      <c r="G39" s="134">
        <v>9</v>
      </c>
      <c r="H39" s="134">
        <v>2.4300000000000002</v>
      </c>
      <c r="I39" s="134">
        <v>72</v>
      </c>
      <c r="J39" s="105"/>
      <c r="K39">
        <v>8</v>
      </c>
      <c r="L39" s="134">
        <v>4.5</v>
      </c>
      <c r="M39" s="134">
        <v>36</v>
      </c>
      <c r="O39" s="93"/>
      <c r="P39" s="115"/>
      <c r="Q39" s="94"/>
      <c r="R39" s="94"/>
      <c r="S39" s="134">
        <v>4.5</v>
      </c>
      <c r="T39" s="134">
        <v>36</v>
      </c>
      <c r="U39" s="135">
        <v>0</v>
      </c>
      <c r="V39" s="135">
        <v>1</v>
      </c>
      <c r="W39" s="111"/>
    </row>
    <row r="40" spans="2:23" ht="15.75" customHeight="1">
      <c r="B40" t="s">
        <v>121</v>
      </c>
      <c r="C40" t="s">
        <v>215</v>
      </c>
      <c r="D40" s="87"/>
      <c r="E40" s="100"/>
      <c r="F40">
        <v>8</v>
      </c>
      <c r="G40" s="134">
        <v>9.5</v>
      </c>
      <c r="H40" s="134">
        <v>2.57</v>
      </c>
      <c r="I40" s="134">
        <v>76</v>
      </c>
      <c r="J40" s="105"/>
      <c r="K40">
        <v>8</v>
      </c>
      <c r="L40" s="134">
        <v>4.75</v>
      </c>
      <c r="M40" s="134">
        <v>38</v>
      </c>
      <c r="O40" s="93"/>
      <c r="P40" s="98"/>
      <c r="Q40" s="102"/>
      <c r="R40" s="108"/>
      <c r="S40" s="134">
        <v>4.75</v>
      </c>
      <c r="T40" s="134">
        <v>38</v>
      </c>
      <c r="U40" s="135">
        <v>0</v>
      </c>
      <c r="V40" s="135">
        <v>1</v>
      </c>
      <c r="W40" s="111"/>
    </row>
    <row r="41" spans="2:23" ht="15.75" customHeight="1">
      <c r="D41" s="130"/>
      <c r="E41" s="100"/>
      <c r="H41" t="s">
        <v>123</v>
      </c>
      <c r="I41" t="s">
        <v>123</v>
      </c>
      <c r="J41" s="131"/>
      <c r="K41">
        <v>0</v>
      </c>
      <c r="L41" t="s">
        <v>123</v>
      </c>
      <c r="M41" t="s">
        <v>123</v>
      </c>
      <c r="O41" s="132"/>
      <c r="P41" s="98"/>
      <c r="Q41" s="102"/>
      <c r="R41" s="108"/>
      <c r="S41" t="s">
        <v>123</v>
      </c>
      <c r="T41" t="s">
        <v>123</v>
      </c>
      <c r="U41" s="135">
        <v>0</v>
      </c>
      <c r="V41" s="135">
        <v>0</v>
      </c>
      <c r="W41" s="133"/>
    </row>
    <row r="42" spans="2:23" ht="15.75" customHeight="1">
      <c r="B42" t="s">
        <v>334</v>
      </c>
      <c r="C42" t="s">
        <v>335</v>
      </c>
      <c r="D42" s="130"/>
      <c r="E42" s="100"/>
      <c r="F42">
        <v>10</v>
      </c>
      <c r="G42" s="134">
        <v>414.5</v>
      </c>
      <c r="H42" s="134">
        <v>111.92</v>
      </c>
      <c r="I42" s="134">
        <v>4145</v>
      </c>
      <c r="J42" s="131"/>
      <c r="K42">
        <v>10</v>
      </c>
      <c r="L42" s="134">
        <v>207.25</v>
      </c>
      <c r="M42" s="134">
        <v>2072.5</v>
      </c>
      <c r="O42" s="132"/>
      <c r="P42" s="98"/>
      <c r="Q42" s="102"/>
      <c r="R42" s="108"/>
      <c r="S42" s="134">
        <v>207.25</v>
      </c>
      <c r="T42" s="134">
        <v>2072.5</v>
      </c>
      <c r="U42" s="135">
        <v>0</v>
      </c>
      <c r="V42" s="135">
        <v>1</v>
      </c>
      <c r="W42" s="133"/>
    </row>
    <row r="43" spans="2:23" ht="15.75" customHeight="1">
      <c r="B43" t="s">
        <v>336</v>
      </c>
      <c r="C43" t="s">
        <v>337</v>
      </c>
      <c r="D43" s="130"/>
      <c r="E43" s="100"/>
      <c r="F43">
        <v>10</v>
      </c>
      <c r="G43" s="134">
        <v>73</v>
      </c>
      <c r="H43" s="134">
        <v>19.71</v>
      </c>
      <c r="I43" s="134">
        <v>730</v>
      </c>
      <c r="J43" s="131"/>
      <c r="K43">
        <v>10</v>
      </c>
      <c r="L43" s="134">
        <v>36.5</v>
      </c>
      <c r="M43" s="134">
        <v>365</v>
      </c>
      <c r="O43" s="132"/>
      <c r="P43" s="98"/>
      <c r="Q43" s="102"/>
      <c r="R43" s="108"/>
      <c r="S43" s="134">
        <v>36.5</v>
      </c>
      <c r="T43" s="134">
        <v>365</v>
      </c>
      <c r="U43" s="135">
        <v>0</v>
      </c>
      <c r="V43" s="135">
        <v>1</v>
      </c>
      <c r="W43" s="133"/>
    </row>
    <row r="44" spans="2:23" ht="15.75" customHeight="1">
      <c r="D44" s="130"/>
      <c r="E44" s="100"/>
      <c r="H44" t="s">
        <v>123</v>
      </c>
      <c r="I44" t="s">
        <v>123</v>
      </c>
      <c r="J44" s="131"/>
      <c r="K44">
        <v>0</v>
      </c>
      <c r="L44" t="s">
        <v>123</v>
      </c>
      <c r="M44" t="s">
        <v>123</v>
      </c>
      <c r="O44" s="132"/>
      <c r="P44" s="98"/>
      <c r="Q44" s="102"/>
      <c r="R44" s="108"/>
      <c r="S44" t="s">
        <v>123</v>
      </c>
      <c r="T44" t="s">
        <v>123</v>
      </c>
      <c r="U44" s="135">
        <v>0</v>
      </c>
      <c r="V44" s="135">
        <v>0</v>
      </c>
      <c r="W44" s="133"/>
    </row>
    <row r="45" spans="2:23" ht="15.75" customHeight="1">
      <c r="B45" t="s">
        <v>314</v>
      </c>
      <c r="C45" t="s">
        <v>315</v>
      </c>
      <c r="D45" s="130"/>
      <c r="E45" s="100"/>
      <c r="F45">
        <v>1</v>
      </c>
      <c r="G45" s="134">
        <v>7885.5</v>
      </c>
      <c r="H45" s="134">
        <v>2129.09</v>
      </c>
      <c r="I45" s="134">
        <v>7885.5</v>
      </c>
      <c r="J45" s="131"/>
      <c r="K45">
        <v>1</v>
      </c>
      <c r="L45" s="134">
        <v>3942.75</v>
      </c>
      <c r="M45" s="134">
        <v>3942.75</v>
      </c>
      <c r="O45" s="132"/>
      <c r="P45" s="98"/>
      <c r="Q45" s="102"/>
      <c r="R45" s="108"/>
      <c r="S45" s="134">
        <v>3942.75</v>
      </c>
      <c r="T45" s="134">
        <v>3942.75</v>
      </c>
      <c r="U45" s="135">
        <v>0</v>
      </c>
      <c r="V45" s="135">
        <v>1</v>
      </c>
      <c r="W45" s="133"/>
    </row>
    <row r="46" spans="2:23" ht="15.75" customHeight="1">
      <c r="D46" s="130"/>
      <c r="E46" s="100"/>
      <c r="J46" s="131"/>
      <c r="O46" s="132"/>
      <c r="P46" s="98"/>
      <c r="Q46" s="102"/>
      <c r="R46" s="108"/>
      <c r="U46" s="135"/>
      <c r="V46" s="135"/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G49" s="134"/>
      <c r="H49" s="134"/>
      <c r="I49" s="134"/>
      <c r="J49" s="131"/>
      <c r="L49" s="134"/>
      <c r="M49" s="134"/>
      <c r="O49" s="132"/>
      <c r="P49" s="98"/>
      <c r="Q49" s="102"/>
      <c r="R49" s="108"/>
      <c r="S49" s="134"/>
      <c r="T49" s="134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J53" s="131"/>
      <c r="O53" s="132"/>
      <c r="P53" s="98"/>
      <c r="Q53" s="102"/>
      <c r="R53" s="108"/>
      <c r="U53" s="135"/>
      <c r="V53" s="135"/>
      <c r="W53" s="133"/>
    </row>
    <row r="54" spans="2:23" ht="15.75" customHeight="1">
      <c r="D54" s="130"/>
      <c r="E54" s="100"/>
      <c r="G54" s="134"/>
      <c r="H54" s="134"/>
      <c r="I54" s="134"/>
      <c r="J54" s="131"/>
      <c r="L54" s="134"/>
      <c r="M54" s="134"/>
      <c r="O54" s="132"/>
      <c r="P54" s="98"/>
      <c r="Q54" s="102"/>
      <c r="R54" s="108"/>
      <c r="S54" s="134"/>
      <c r="T54" s="134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68</v>
      </c>
      <c r="G66" s="121">
        <f t="shared" si="0"/>
        <v>274449.5</v>
      </c>
      <c r="H66" s="122">
        <f t="shared" si="0"/>
        <v>74101.41</v>
      </c>
      <c r="I66" s="123">
        <f t="shared" si="0"/>
        <v>311218</v>
      </c>
      <c r="J66" s="124"/>
      <c r="K66" s="125">
        <f t="shared" ref="K66:M66" si="1">SUM(K19:K65)</f>
        <v>68</v>
      </c>
      <c r="L66" s="122">
        <f t="shared" si="1"/>
        <v>137224.75</v>
      </c>
      <c r="M66" s="123">
        <f t="shared" si="1"/>
        <v>155609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137224.75</v>
      </c>
      <c r="T66" s="123">
        <f t="shared" si="2"/>
        <v>155609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Q15 G18 L18 Q18" xr:uid="{3CBAD678-8C68-45C7-AC8C-10333A1DC3D8}">
      <formula1>$Y$12:$Y$13</formula1>
    </dataValidation>
    <dataValidation type="list" allowBlank="1" showErrorMessage="1" sqref="J14" xr:uid="{CAC605BB-0EE2-4780-A66E-CE406D90C74C}">
      <formula1>$L$9</formula1>
    </dataValidation>
    <dataValidation type="list" allowBlank="1" showErrorMessage="1" sqref="I14" xr:uid="{7D92B601-7402-4CDD-AA15-C528F56BEAA9}">
      <formula1>$Y$14:$Y$15</formula1>
    </dataValidation>
    <dataValidation type="list" allowBlank="1" showErrorMessage="1" sqref="E19:E65" xr:uid="{070B33E4-F136-4A69-BB5A-AAB76FF44024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069A-4D32-4A99-B600-8454C3F68633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S19" sqref="S19:V4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349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311304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155652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155652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 t="s">
        <v>340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0.5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348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155652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155652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316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68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288</v>
      </c>
      <c r="C19" t="s">
        <v>109</v>
      </c>
      <c r="D19" s="87"/>
      <c r="E19" s="88"/>
      <c r="F19">
        <v>1</v>
      </c>
      <c r="G19" s="134">
        <v>233</v>
      </c>
      <c r="H19" s="134">
        <v>62.91</v>
      </c>
      <c r="I19" s="134">
        <v>233</v>
      </c>
      <c r="J19" s="92"/>
      <c r="K19">
        <v>1</v>
      </c>
      <c r="L19" s="134">
        <v>116.5</v>
      </c>
      <c r="M19" s="134">
        <v>116.5</v>
      </c>
      <c r="O19" s="93"/>
      <c r="P19" s="86"/>
      <c r="Q19" s="94"/>
      <c r="R19" s="94"/>
      <c r="S19" s="134">
        <v>116.5</v>
      </c>
      <c r="T19" s="134">
        <v>116.5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135</v>
      </c>
      <c r="C20" t="s">
        <v>110</v>
      </c>
      <c r="D20" s="87"/>
      <c r="E20" s="100"/>
      <c r="F20">
        <v>1</v>
      </c>
      <c r="G20" s="134">
        <v>239</v>
      </c>
      <c r="H20" s="134">
        <v>64.53</v>
      </c>
      <c r="I20" s="134">
        <v>239</v>
      </c>
      <c r="J20" s="105"/>
      <c r="K20">
        <v>1</v>
      </c>
      <c r="L20" s="134">
        <v>119.5</v>
      </c>
      <c r="M20" s="134">
        <v>119.5</v>
      </c>
      <c r="O20" s="93"/>
      <c r="P20" s="98"/>
      <c r="Q20" s="102"/>
      <c r="R20" s="108"/>
      <c r="S20" s="134">
        <v>119.5</v>
      </c>
      <c r="T20" s="134">
        <v>119.5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134</v>
      </c>
      <c r="C21" t="s">
        <v>117</v>
      </c>
      <c r="D21" s="87"/>
      <c r="E21" s="88"/>
      <c r="F21">
        <v>1</v>
      </c>
      <c r="G21" s="134">
        <v>147</v>
      </c>
      <c r="H21" s="134">
        <v>39.69</v>
      </c>
      <c r="I21" s="134">
        <v>147</v>
      </c>
      <c r="J21" s="105"/>
      <c r="K21">
        <v>1</v>
      </c>
      <c r="L21" s="134">
        <v>73.5</v>
      </c>
      <c r="M21" s="134">
        <v>73.5</v>
      </c>
      <c r="O21" s="93"/>
      <c r="P21" s="115"/>
      <c r="Q21" s="94"/>
      <c r="R21" s="94"/>
      <c r="S21" s="134">
        <v>73.5</v>
      </c>
      <c r="T21" s="134">
        <v>73.5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350</v>
      </c>
      <c r="C22" t="s">
        <v>262</v>
      </c>
      <c r="D22" s="87"/>
      <c r="E22" s="100"/>
      <c r="F22">
        <v>1</v>
      </c>
      <c r="G22" s="134">
        <v>566</v>
      </c>
      <c r="H22" s="134">
        <v>152.82</v>
      </c>
      <c r="I22" s="134">
        <v>566</v>
      </c>
      <c r="J22" s="105"/>
      <c r="K22">
        <v>1</v>
      </c>
      <c r="L22" s="134">
        <v>283</v>
      </c>
      <c r="M22" s="134">
        <v>283</v>
      </c>
      <c r="O22" s="93"/>
      <c r="P22" s="98"/>
      <c r="Q22" s="102"/>
      <c r="R22" s="108"/>
      <c r="S22" s="134">
        <v>283</v>
      </c>
      <c r="T22" s="134">
        <v>283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342</v>
      </c>
      <c r="C23" t="s">
        <v>183</v>
      </c>
      <c r="D23" s="87"/>
      <c r="E23" s="88"/>
      <c r="F23">
        <v>1</v>
      </c>
      <c r="G23" s="134">
        <v>624</v>
      </c>
      <c r="H23" s="134">
        <v>168.48</v>
      </c>
      <c r="I23" s="134">
        <v>624</v>
      </c>
      <c r="J23" s="105"/>
      <c r="K23">
        <v>1</v>
      </c>
      <c r="L23" s="134">
        <v>312</v>
      </c>
      <c r="M23" s="134">
        <v>312</v>
      </c>
      <c r="O23" s="93"/>
      <c r="P23" s="115"/>
      <c r="Q23" s="94"/>
      <c r="R23" s="94"/>
      <c r="S23" s="134">
        <v>312</v>
      </c>
      <c r="T23" s="134">
        <v>312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343</v>
      </c>
      <c r="C24" t="s">
        <v>111</v>
      </c>
      <c r="D24" s="87"/>
      <c r="E24" s="100"/>
      <c r="F24">
        <v>1</v>
      </c>
      <c r="G24" s="134">
        <v>341.5</v>
      </c>
      <c r="H24" s="134">
        <v>92.21</v>
      </c>
      <c r="I24" s="134">
        <v>341.5</v>
      </c>
      <c r="J24" s="105"/>
      <c r="K24">
        <v>1</v>
      </c>
      <c r="L24" s="134">
        <v>170.75</v>
      </c>
      <c r="M24" s="134">
        <v>170.75</v>
      </c>
      <c r="N24" s="136"/>
      <c r="O24" s="93"/>
      <c r="P24" s="98"/>
      <c r="Q24" s="102"/>
      <c r="R24" s="108"/>
      <c r="S24" s="134">
        <v>170.75</v>
      </c>
      <c r="T24" s="134">
        <v>170.75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344</v>
      </c>
      <c r="C25" t="s">
        <v>112</v>
      </c>
      <c r="D25" s="87"/>
      <c r="E25" s="88"/>
      <c r="F25">
        <v>1</v>
      </c>
      <c r="G25" s="134">
        <v>261</v>
      </c>
      <c r="H25" s="134">
        <v>70.47</v>
      </c>
      <c r="I25" s="134">
        <v>261</v>
      </c>
      <c r="J25" s="105"/>
      <c r="K25">
        <v>1</v>
      </c>
      <c r="L25" s="134">
        <v>130.5</v>
      </c>
      <c r="M25" s="134">
        <v>130.5</v>
      </c>
      <c r="N25" s="136"/>
      <c r="O25" s="93"/>
      <c r="P25" s="115"/>
      <c r="Q25" s="94"/>
      <c r="R25" s="94"/>
      <c r="S25" s="134">
        <v>130.5</v>
      </c>
      <c r="T25" s="134">
        <v>130.5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D26" s="87"/>
      <c r="E26" s="100"/>
      <c r="H26" t="s">
        <v>123</v>
      </c>
      <c r="I26" t="s">
        <v>123</v>
      </c>
      <c r="J26" s="105"/>
      <c r="K26">
        <v>0</v>
      </c>
      <c r="L26" t="s">
        <v>123</v>
      </c>
      <c r="M26" t="s">
        <v>123</v>
      </c>
      <c r="N26" s="136"/>
      <c r="O26" s="93"/>
      <c r="P26" s="98"/>
      <c r="Q26" s="102"/>
      <c r="R26" s="108"/>
      <c r="S26" t="s">
        <v>123</v>
      </c>
      <c r="T26" t="s">
        <v>123</v>
      </c>
      <c r="U26" s="135">
        <v>0</v>
      </c>
      <c r="V26" s="135">
        <v>0</v>
      </c>
      <c r="W26" s="111"/>
      <c r="X26" s="97"/>
      <c r="Y26" s="8"/>
      <c r="Z26" s="8"/>
    </row>
    <row r="27" spans="2:26" ht="15.75" customHeight="1">
      <c r="B27" t="s">
        <v>307</v>
      </c>
      <c r="C27" t="s">
        <v>323</v>
      </c>
      <c r="D27" s="87"/>
      <c r="E27" s="88"/>
      <c r="F27">
        <v>1</v>
      </c>
      <c r="G27" s="134">
        <v>38950.5</v>
      </c>
      <c r="H27" s="134">
        <v>10516.64</v>
      </c>
      <c r="I27" s="134">
        <v>38950.5</v>
      </c>
      <c r="J27" s="105"/>
      <c r="K27">
        <v>1</v>
      </c>
      <c r="L27" s="134">
        <v>19475.25</v>
      </c>
      <c r="M27" s="134">
        <v>19475.25</v>
      </c>
      <c r="O27" s="93"/>
      <c r="P27" s="115"/>
      <c r="Q27" s="94"/>
      <c r="R27" s="94"/>
      <c r="S27" s="134">
        <v>19475.25</v>
      </c>
      <c r="T27" s="134">
        <v>19475.25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t="s">
        <v>308</v>
      </c>
      <c r="C28" t="s">
        <v>113</v>
      </c>
      <c r="D28" s="87"/>
      <c r="E28" s="100"/>
      <c r="F28">
        <v>1</v>
      </c>
      <c r="G28" s="134">
        <v>22435.5</v>
      </c>
      <c r="H28" s="134">
        <v>6057.59</v>
      </c>
      <c r="I28" s="134">
        <v>22435.5</v>
      </c>
      <c r="J28" s="105"/>
      <c r="K28">
        <v>1</v>
      </c>
      <c r="L28" s="134">
        <v>11217.75</v>
      </c>
      <c r="M28" s="134">
        <v>11217.75</v>
      </c>
      <c r="O28" s="93"/>
      <c r="P28" s="98"/>
      <c r="Q28" s="102"/>
      <c r="R28" s="108"/>
      <c r="S28" s="134">
        <v>11217.75</v>
      </c>
      <c r="T28" s="134">
        <v>11217.75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309</v>
      </c>
      <c r="C29" t="s">
        <v>114</v>
      </c>
      <c r="D29" s="87"/>
      <c r="E29" s="88"/>
      <c r="F29">
        <v>1</v>
      </c>
      <c r="G29" s="134">
        <v>64140.5</v>
      </c>
      <c r="H29" s="134">
        <v>17317.939999999999</v>
      </c>
      <c r="I29" s="134">
        <v>64140.5</v>
      </c>
      <c r="J29" s="105"/>
      <c r="K29">
        <v>1</v>
      </c>
      <c r="L29" s="134">
        <v>32070.25</v>
      </c>
      <c r="M29" s="134">
        <v>32070.25</v>
      </c>
      <c r="O29" s="93"/>
      <c r="P29" s="115"/>
      <c r="Q29" s="94"/>
      <c r="R29" s="94"/>
      <c r="S29" s="134">
        <v>32070.25</v>
      </c>
      <c r="T29" s="134">
        <v>32070.25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t="s">
        <v>345</v>
      </c>
      <c r="C30" t="s">
        <v>115</v>
      </c>
      <c r="D30" s="87"/>
      <c r="E30" s="100"/>
      <c r="F30">
        <v>1</v>
      </c>
      <c r="G30" s="134">
        <v>52221</v>
      </c>
      <c r="H30" s="134">
        <v>14099.67</v>
      </c>
      <c r="I30" s="134">
        <v>52221</v>
      </c>
      <c r="J30" s="105"/>
      <c r="K30">
        <v>1</v>
      </c>
      <c r="L30" s="134">
        <v>26110.5</v>
      </c>
      <c r="M30" s="134">
        <v>26110.5</v>
      </c>
      <c r="O30" s="93"/>
      <c r="P30" s="98"/>
      <c r="Q30" s="102"/>
      <c r="R30" s="108"/>
      <c r="S30" s="134">
        <v>26110.5</v>
      </c>
      <c r="T30" s="134">
        <v>26110.5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346</v>
      </c>
      <c r="C31" t="s">
        <v>116</v>
      </c>
      <c r="D31" s="87"/>
      <c r="E31" s="88"/>
      <c r="F31">
        <v>1</v>
      </c>
      <c r="G31" s="134">
        <v>12457</v>
      </c>
      <c r="H31" s="134">
        <v>3363.39</v>
      </c>
      <c r="I31" s="134">
        <v>12457</v>
      </c>
      <c r="J31" s="105"/>
      <c r="K31">
        <v>1</v>
      </c>
      <c r="L31" s="134">
        <v>6228.5</v>
      </c>
      <c r="M31" s="134">
        <v>6228.5</v>
      </c>
      <c r="O31" s="93"/>
      <c r="P31" s="115"/>
      <c r="Q31" s="94"/>
      <c r="R31" s="94"/>
      <c r="S31" s="134">
        <v>6228.5</v>
      </c>
      <c r="T31" s="134">
        <v>6228.5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347</v>
      </c>
      <c r="C32" t="s">
        <v>203</v>
      </c>
      <c r="D32" s="87"/>
      <c r="E32" s="100"/>
      <c r="F32">
        <v>6</v>
      </c>
      <c r="G32" s="134">
        <v>5956.5</v>
      </c>
      <c r="H32" s="134">
        <v>1608.26</v>
      </c>
      <c r="I32" s="134">
        <v>35739</v>
      </c>
      <c r="J32" s="105"/>
      <c r="K32">
        <v>6</v>
      </c>
      <c r="L32" s="134">
        <v>2978.25</v>
      </c>
      <c r="M32" s="134">
        <v>17869.5</v>
      </c>
      <c r="O32" s="93"/>
      <c r="P32" s="98"/>
      <c r="Q32" s="102"/>
      <c r="R32" s="108"/>
      <c r="S32" s="134">
        <v>2978.25</v>
      </c>
      <c r="T32" s="134">
        <v>17869.5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D33" s="87"/>
      <c r="E33" s="88"/>
      <c r="H33" t="s">
        <v>123</v>
      </c>
      <c r="I33" t="s">
        <v>123</v>
      </c>
      <c r="J33" s="105"/>
      <c r="K33">
        <v>0</v>
      </c>
      <c r="L33" t="s">
        <v>123</v>
      </c>
      <c r="M33" t="s">
        <v>123</v>
      </c>
      <c r="O33" s="93"/>
      <c r="P33" s="115"/>
      <c r="Q33" s="94"/>
      <c r="R33" s="94"/>
      <c r="S33" t="s">
        <v>123</v>
      </c>
      <c r="T33" t="s">
        <v>123</v>
      </c>
      <c r="U33" s="135">
        <v>0</v>
      </c>
      <c r="V33" s="135">
        <v>0</v>
      </c>
      <c r="W33" s="96"/>
    </row>
    <row r="34" spans="2:23" ht="15.75" customHeight="1">
      <c r="B34" t="s">
        <v>328</v>
      </c>
      <c r="C34" t="s">
        <v>205</v>
      </c>
      <c r="D34" s="87"/>
      <c r="E34" s="100"/>
      <c r="F34">
        <v>2</v>
      </c>
      <c r="G34" s="134">
        <v>1483</v>
      </c>
      <c r="H34" s="134">
        <v>400.41</v>
      </c>
      <c r="I34" s="134">
        <v>2966</v>
      </c>
      <c r="J34" s="105"/>
      <c r="K34">
        <v>2</v>
      </c>
      <c r="L34" s="134">
        <v>741.5</v>
      </c>
      <c r="M34" s="134">
        <v>1483</v>
      </c>
      <c r="O34" s="93"/>
      <c r="P34" s="98"/>
      <c r="Q34" s="102"/>
      <c r="R34" s="108"/>
      <c r="S34" s="134">
        <v>741.5</v>
      </c>
      <c r="T34" s="134">
        <v>1483</v>
      </c>
      <c r="U34" s="135">
        <v>0</v>
      </c>
      <c r="V34" s="135">
        <v>1</v>
      </c>
      <c r="W34" s="111"/>
    </row>
    <row r="35" spans="2:23" ht="15.75" customHeight="1">
      <c r="D35" s="87"/>
      <c r="E35" s="88"/>
      <c r="H35" t="s">
        <v>123</v>
      </c>
      <c r="I35" t="s">
        <v>123</v>
      </c>
      <c r="J35" s="105"/>
      <c r="K35">
        <v>0</v>
      </c>
      <c r="L35" t="s">
        <v>123</v>
      </c>
      <c r="M35" t="s">
        <v>123</v>
      </c>
      <c r="O35" s="93"/>
      <c r="P35" s="115"/>
      <c r="Q35" s="94"/>
      <c r="R35" s="94"/>
      <c r="S35" t="s">
        <v>123</v>
      </c>
      <c r="T35" t="s">
        <v>123</v>
      </c>
      <c r="U35" s="135">
        <v>0</v>
      </c>
      <c r="V35" s="135">
        <v>0</v>
      </c>
      <c r="W35" s="96"/>
    </row>
    <row r="36" spans="2:23" ht="15.75" customHeight="1">
      <c r="B36" t="s">
        <v>329</v>
      </c>
      <c r="C36" t="s">
        <v>330</v>
      </c>
      <c r="D36" s="87"/>
      <c r="E36" s="100"/>
      <c r="F36">
        <v>1</v>
      </c>
      <c r="G36" s="134">
        <v>65150.5</v>
      </c>
      <c r="H36" s="134">
        <v>17590.64</v>
      </c>
      <c r="I36" s="134">
        <v>65150.5</v>
      </c>
      <c r="J36" s="105"/>
      <c r="K36">
        <v>1</v>
      </c>
      <c r="L36" s="134">
        <v>32575.25</v>
      </c>
      <c r="M36" s="134">
        <v>32575.25</v>
      </c>
      <c r="O36" s="93"/>
      <c r="P36" s="98"/>
      <c r="Q36" s="102"/>
      <c r="R36" s="108"/>
      <c r="S36" s="134">
        <v>32575.25</v>
      </c>
      <c r="T36" s="134">
        <v>32575.25</v>
      </c>
      <c r="U36" s="135">
        <v>0</v>
      </c>
      <c r="V36" s="135">
        <v>1</v>
      </c>
      <c r="W36" s="111"/>
    </row>
    <row r="37" spans="2:23" ht="15.75" customHeight="1">
      <c r="B37" t="s">
        <v>331</v>
      </c>
      <c r="C37" t="s">
        <v>332</v>
      </c>
      <c r="D37" s="87"/>
      <c r="E37" s="88"/>
      <c r="F37">
        <v>2</v>
      </c>
      <c r="G37" s="134">
        <v>930</v>
      </c>
      <c r="H37" s="134">
        <v>251.1</v>
      </c>
      <c r="I37" s="134">
        <v>1860</v>
      </c>
      <c r="J37" s="105"/>
      <c r="K37">
        <v>2</v>
      </c>
      <c r="L37" s="134">
        <v>465</v>
      </c>
      <c r="M37" s="134">
        <v>930</v>
      </c>
      <c r="O37" s="93"/>
      <c r="P37" s="115"/>
      <c r="Q37" s="94"/>
      <c r="R37" s="94"/>
      <c r="S37" s="134">
        <v>465</v>
      </c>
      <c r="T37" s="134">
        <v>930</v>
      </c>
      <c r="U37" s="135">
        <v>0</v>
      </c>
      <c r="V37" s="135">
        <v>1</v>
      </c>
      <c r="W37" s="96"/>
    </row>
    <row r="38" spans="2:23" ht="15.75" customHeight="1">
      <c r="B38" t="s">
        <v>122</v>
      </c>
      <c r="C38" t="s">
        <v>120</v>
      </c>
      <c r="D38" s="87"/>
      <c r="E38" s="100"/>
      <c r="F38">
        <v>8</v>
      </c>
      <c r="G38" s="134">
        <v>8</v>
      </c>
      <c r="H38" s="134">
        <v>2.16</v>
      </c>
      <c r="I38" s="134">
        <v>64</v>
      </c>
      <c r="J38" s="105"/>
      <c r="K38">
        <v>8</v>
      </c>
      <c r="L38" s="134">
        <v>4</v>
      </c>
      <c r="M38" s="134">
        <v>32</v>
      </c>
      <c r="O38" s="93"/>
      <c r="P38" s="98"/>
      <c r="Q38" s="102"/>
      <c r="R38" s="108"/>
      <c r="S38" s="134">
        <v>4</v>
      </c>
      <c r="T38" s="134">
        <v>32</v>
      </c>
      <c r="U38" s="135">
        <v>0</v>
      </c>
      <c r="V38" s="135">
        <v>1</v>
      </c>
      <c r="W38" s="111"/>
    </row>
    <row r="39" spans="2:23" ht="15.75" customHeight="1">
      <c r="B39" t="s">
        <v>333</v>
      </c>
      <c r="C39" t="s">
        <v>213</v>
      </c>
      <c r="D39" s="87"/>
      <c r="E39" s="88"/>
      <c r="F39">
        <v>8</v>
      </c>
      <c r="G39" s="134">
        <v>9</v>
      </c>
      <c r="H39" s="134">
        <v>2.4300000000000002</v>
      </c>
      <c r="I39" s="134">
        <v>72</v>
      </c>
      <c r="J39" s="105"/>
      <c r="K39">
        <v>8</v>
      </c>
      <c r="L39" s="134">
        <v>4.5</v>
      </c>
      <c r="M39" s="134">
        <v>36</v>
      </c>
      <c r="O39" s="93"/>
      <c r="P39" s="115"/>
      <c r="Q39" s="94"/>
      <c r="R39" s="94"/>
      <c r="S39" s="134">
        <v>4.5</v>
      </c>
      <c r="T39" s="134">
        <v>36</v>
      </c>
      <c r="U39" s="135">
        <v>0</v>
      </c>
      <c r="V39" s="135">
        <v>1</v>
      </c>
      <c r="W39" s="111"/>
    </row>
    <row r="40" spans="2:23" ht="15.75" customHeight="1">
      <c r="B40" t="s">
        <v>121</v>
      </c>
      <c r="C40" t="s">
        <v>215</v>
      </c>
      <c r="D40" s="87"/>
      <c r="E40" s="100"/>
      <c r="F40">
        <v>8</v>
      </c>
      <c r="G40" s="134">
        <v>9.5</v>
      </c>
      <c r="H40" s="134">
        <v>2.57</v>
      </c>
      <c r="I40" s="134">
        <v>76</v>
      </c>
      <c r="J40" s="105"/>
      <c r="K40">
        <v>8</v>
      </c>
      <c r="L40" s="134">
        <v>4.75</v>
      </c>
      <c r="M40" s="134">
        <v>38</v>
      </c>
      <c r="O40" s="93"/>
      <c r="P40" s="98"/>
      <c r="Q40" s="102"/>
      <c r="R40" s="108"/>
      <c r="S40" s="134">
        <v>4.75</v>
      </c>
      <c r="T40" s="134">
        <v>38</v>
      </c>
      <c r="U40" s="135">
        <v>0</v>
      </c>
      <c r="V40" s="135">
        <v>1</v>
      </c>
      <c r="W40" s="111"/>
    </row>
    <row r="41" spans="2:23" ht="15.75" customHeight="1">
      <c r="D41" s="130"/>
      <c r="E41" s="100"/>
      <c r="H41" t="s">
        <v>123</v>
      </c>
      <c r="I41" t="s">
        <v>123</v>
      </c>
      <c r="J41" s="131"/>
      <c r="K41">
        <v>0</v>
      </c>
      <c r="L41" t="s">
        <v>123</v>
      </c>
      <c r="M41" t="s">
        <v>123</v>
      </c>
      <c r="O41" s="132"/>
      <c r="P41" s="98"/>
      <c r="Q41" s="102"/>
      <c r="R41" s="108"/>
      <c r="S41" t="s">
        <v>123</v>
      </c>
      <c r="T41" t="s">
        <v>123</v>
      </c>
      <c r="U41" s="135">
        <v>0</v>
      </c>
      <c r="V41" s="135">
        <v>0</v>
      </c>
      <c r="W41" s="133"/>
    </row>
    <row r="42" spans="2:23" ht="15.75" customHeight="1">
      <c r="B42" t="s">
        <v>334</v>
      </c>
      <c r="C42" t="s">
        <v>335</v>
      </c>
      <c r="D42" s="130"/>
      <c r="E42" s="100"/>
      <c r="F42">
        <v>10</v>
      </c>
      <c r="G42" s="134">
        <v>414.5</v>
      </c>
      <c r="H42" s="134">
        <v>111.92</v>
      </c>
      <c r="I42" s="134">
        <v>4145</v>
      </c>
      <c r="J42" s="131"/>
      <c r="K42">
        <v>10</v>
      </c>
      <c r="L42" s="134">
        <v>207.25</v>
      </c>
      <c r="M42" s="134">
        <v>2072.5</v>
      </c>
      <c r="O42" s="132"/>
      <c r="P42" s="98"/>
      <c r="Q42" s="102"/>
      <c r="R42" s="108"/>
      <c r="S42" s="134">
        <v>207.25</v>
      </c>
      <c r="T42" s="134">
        <v>2072.5</v>
      </c>
      <c r="U42" s="135">
        <v>0</v>
      </c>
      <c r="V42" s="135">
        <v>1</v>
      </c>
      <c r="W42" s="133"/>
    </row>
    <row r="43" spans="2:23" ht="15.75" customHeight="1">
      <c r="B43" t="s">
        <v>336</v>
      </c>
      <c r="C43" t="s">
        <v>337</v>
      </c>
      <c r="D43" s="130"/>
      <c r="E43" s="100"/>
      <c r="F43">
        <v>10</v>
      </c>
      <c r="G43" s="134">
        <v>73</v>
      </c>
      <c r="H43" s="134">
        <v>19.71</v>
      </c>
      <c r="I43" s="134">
        <v>730</v>
      </c>
      <c r="J43" s="131"/>
      <c r="K43">
        <v>10</v>
      </c>
      <c r="L43" s="134">
        <v>36.5</v>
      </c>
      <c r="M43" s="134">
        <v>365</v>
      </c>
      <c r="O43" s="132"/>
      <c r="P43" s="98"/>
      <c r="Q43" s="102"/>
      <c r="R43" s="108"/>
      <c r="S43" s="134">
        <v>36.5</v>
      </c>
      <c r="T43" s="134">
        <v>365</v>
      </c>
      <c r="U43" s="135">
        <v>0</v>
      </c>
      <c r="V43" s="135">
        <v>1</v>
      </c>
      <c r="W43" s="133"/>
    </row>
    <row r="44" spans="2:23" ht="15.75" customHeight="1">
      <c r="D44" s="130"/>
      <c r="E44" s="100"/>
      <c r="H44" t="s">
        <v>123</v>
      </c>
      <c r="I44" t="s">
        <v>123</v>
      </c>
      <c r="J44" s="131"/>
      <c r="K44">
        <v>0</v>
      </c>
      <c r="L44" t="s">
        <v>123</v>
      </c>
      <c r="M44" t="s">
        <v>123</v>
      </c>
      <c r="O44" s="132"/>
      <c r="P44" s="98"/>
      <c r="Q44" s="102"/>
      <c r="R44" s="108"/>
      <c r="S44" t="s">
        <v>123</v>
      </c>
      <c r="T44" t="s">
        <v>123</v>
      </c>
      <c r="U44" s="135">
        <v>0</v>
      </c>
      <c r="V44" s="135">
        <v>0</v>
      </c>
      <c r="W44" s="133"/>
    </row>
    <row r="45" spans="2:23" ht="15.75" customHeight="1">
      <c r="B45" t="s">
        <v>314</v>
      </c>
      <c r="C45" t="s">
        <v>315</v>
      </c>
      <c r="D45" s="130"/>
      <c r="E45" s="100"/>
      <c r="F45">
        <v>1</v>
      </c>
      <c r="G45" s="134">
        <v>7885.5</v>
      </c>
      <c r="H45" s="134">
        <v>2129.09</v>
      </c>
      <c r="I45" s="134">
        <v>7885.5</v>
      </c>
      <c r="J45" s="131"/>
      <c r="K45">
        <v>1</v>
      </c>
      <c r="L45" s="134">
        <v>3942.75</v>
      </c>
      <c r="M45" s="134">
        <v>3942.75</v>
      </c>
      <c r="O45" s="132"/>
      <c r="P45" s="98"/>
      <c r="Q45" s="102"/>
      <c r="R45" s="108"/>
      <c r="S45" s="134">
        <v>3942.75</v>
      </c>
      <c r="T45" s="134">
        <v>3942.75</v>
      </c>
      <c r="U45" s="135">
        <v>0</v>
      </c>
      <c r="V45" s="135">
        <v>1</v>
      </c>
      <c r="W45" s="133"/>
    </row>
    <row r="46" spans="2:23" ht="15.75" customHeight="1">
      <c r="D46" s="130"/>
      <c r="E46" s="100"/>
      <c r="J46" s="131"/>
      <c r="O46" s="132"/>
      <c r="P46" s="98"/>
      <c r="Q46" s="102"/>
      <c r="R46" s="108"/>
      <c r="U46" s="135"/>
      <c r="V46" s="135"/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G49" s="134"/>
      <c r="H49" s="134"/>
      <c r="I49" s="134"/>
      <c r="J49" s="131"/>
      <c r="L49" s="134"/>
      <c r="M49" s="134"/>
      <c r="O49" s="132"/>
      <c r="P49" s="98"/>
      <c r="Q49" s="102"/>
      <c r="R49" s="108"/>
      <c r="S49" s="134"/>
      <c r="T49" s="134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J53" s="131"/>
      <c r="O53" s="132"/>
      <c r="P53" s="98"/>
      <c r="Q53" s="102"/>
      <c r="R53" s="108"/>
      <c r="U53" s="135"/>
      <c r="V53" s="135"/>
      <c r="W53" s="133"/>
    </row>
    <row r="54" spans="2:23" ht="15.75" customHeight="1">
      <c r="D54" s="130"/>
      <c r="E54" s="100"/>
      <c r="G54" s="134"/>
      <c r="H54" s="134"/>
      <c r="I54" s="134"/>
      <c r="J54" s="131"/>
      <c r="L54" s="134"/>
      <c r="M54" s="134"/>
      <c r="O54" s="132"/>
      <c r="P54" s="98"/>
      <c r="Q54" s="102"/>
      <c r="R54" s="108"/>
      <c r="S54" s="134"/>
      <c r="T54" s="134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68</v>
      </c>
      <c r="G66" s="121">
        <f t="shared" si="0"/>
        <v>274535.5</v>
      </c>
      <c r="H66" s="122">
        <f t="shared" si="0"/>
        <v>74124.63</v>
      </c>
      <c r="I66" s="123">
        <f t="shared" si="0"/>
        <v>311304</v>
      </c>
      <c r="J66" s="124"/>
      <c r="K66" s="125">
        <f t="shared" ref="K66:M66" si="1">SUM(K19:K65)</f>
        <v>68</v>
      </c>
      <c r="L66" s="122">
        <f t="shared" si="1"/>
        <v>137267.75</v>
      </c>
      <c r="M66" s="123">
        <f t="shared" si="1"/>
        <v>155652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137267.75</v>
      </c>
      <c r="T66" s="123">
        <f t="shared" si="2"/>
        <v>155652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65" xr:uid="{767FDCEC-36DB-4BF5-A3B2-19C7C349EA53}">
      <formula1>$Z$19:$Z$30</formula1>
    </dataValidation>
    <dataValidation type="list" allowBlank="1" showErrorMessage="1" sqref="I14" xr:uid="{2DF52302-802A-4B85-BF00-33327EDC2980}">
      <formula1>$Y$14:$Y$15</formula1>
    </dataValidation>
    <dataValidation type="list" allowBlank="1" showErrorMessage="1" sqref="J14" xr:uid="{B254C426-C551-438A-BE02-3C984DC4063D}">
      <formula1>$L$9</formula1>
    </dataValidation>
    <dataValidation type="list" allowBlank="1" showErrorMessage="1" sqref="Q15 G18 L18 Q18" xr:uid="{2F167AC2-B936-4213-8A87-FF95B6DF3585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84D5-A05A-417C-B707-5639EEEB7AFF}">
  <sheetPr>
    <pageSetUpPr fitToPage="1"/>
  </sheetPr>
  <dimension ref="B1:Z66"/>
  <sheetViews>
    <sheetView tabSelected="1"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37" t="s">
        <v>29</v>
      </c>
      <c r="C1" s="140"/>
      <c r="D1" s="141" t="s">
        <v>30</v>
      </c>
      <c r="E1" s="142"/>
      <c r="F1" s="142"/>
      <c r="G1" s="142"/>
      <c r="H1" s="143"/>
      <c r="I1" s="137" t="s">
        <v>31</v>
      </c>
      <c r="J1" s="138"/>
      <c r="K1" s="138"/>
      <c r="L1" s="139"/>
      <c r="M1" s="144" t="s">
        <v>32</v>
      </c>
      <c r="N1" s="145"/>
      <c r="O1" s="146"/>
      <c r="P1" s="147" t="str">
        <f>L18</f>
        <v>CAD $</v>
      </c>
      <c r="Q1" s="138"/>
      <c r="R1" s="139"/>
      <c r="S1" s="137" t="s">
        <v>33</v>
      </c>
      <c r="T1" s="138"/>
      <c r="U1" s="138"/>
      <c r="V1" s="138"/>
      <c r="W1" s="139"/>
      <c r="X1" s="6"/>
      <c r="Y1" s="7"/>
    </row>
    <row r="2" spans="2:25" ht="15" customHeight="1">
      <c r="B2" s="9" t="s">
        <v>34</v>
      </c>
      <c r="C2" s="10"/>
      <c r="D2" s="150" t="s">
        <v>35</v>
      </c>
      <c r="E2" s="151"/>
      <c r="F2" s="152"/>
      <c r="G2" s="153" t="s">
        <v>359</v>
      </c>
      <c r="H2" s="152"/>
      <c r="I2" s="157" t="s">
        <v>36</v>
      </c>
      <c r="J2" s="158"/>
      <c r="K2" s="149"/>
      <c r="L2" s="12"/>
      <c r="M2" s="159" t="s">
        <v>37</v>
      </c>
      <c r="N2" s="149"/>
      <c r="O2" s="13"/>
      <c r="P2" s="160">
        <f>I66</f>
        <v>287875.5</v>
      </c>
      <c r="Q2" s="158"/>
      <c r="R2" s="149"/>
      <c r="S2" s="159" t="s">
        <v>38</v>
      </c>
      <c r="T2" s="149"/>
      <c r="U2" s="148"/>
      <c r="V2" s="149"/>
      <c r="W2" s="14"/>
      <c r="X2" s="15"/>
      <c r="Y2" s="7"/>
    </row>
    <row r="3" spans="2:25" ht="15" customHeight="1">
      <c r="B3" s="16" t="s">
        <v>39</v>
      </c>
      <c r="C3" s="11"/>
      <c r="D3" s="150" t="s">
        <v>40</v>
      </c>
      <c r="E3" s="151"/>
      <c r="F3" s="152"/>
      <c r="G3" s="153"/>
      <c r="H3" s="152"/>
      <c r="I3" s="150" t="s">
        <v>41</v>
      </c>
      <c r="J3" s="151"/>
      <c r="K3" s="152"/>
      <c r="L3" s="17"/>
      <c r="M3" s="154" t="s">
        <v>42</v>
      </c>
      <c r="N3" s="152"/>
      <c r="O3" s="13"/>
      <c r="P3" s="155">
        <f>M66</f>
        <v>143937.75</v>
      </c>
      <c r="Q3" s="151"/>
      <c r="R3" s="152"/>
      <c r="S3" s="154" t="s">
        <v>43</v>
      </c>
      <c r="T3" s="152"/>
      <c r="U3" s="156"/>
      <c r="V3" s="152"/>
      <c r="W3" s="18"/>
      <c r="X3" s="5"/>
      <c r="Y3" s="19"/>
    </row>
    <row r="4" spans="2:25" ht="15" customHeight="1">
      <c r="B4" s="20" t="s">
        <v>44</v>
      </c>
      <c r="C4" s="11"/>
      <c r="D4" s="150" t="s">
        <v>45</v>
      </c>
      <c r="E4" s="151"/>
      <c r="F4" s="152"/>
      <c r="G4" s="153" t="s">
        <v>142</v>
      </c>
      <c r="H4" s="152"/>
      <c r="I4" s="150" t="s">
        <v>46</v>
      </c>
      <c r="J4" s="151"/>
      <c r="K4" s="152"/>
      <c r="L4" s="17"/>
      <c r="M4" s="154" t="s">
        <v>47</v>
      </c>
      <c r="N4" s="152"/>
      <c r="O4" s="13"/>
      <c r="P4" s="155">
        <f>P2-P3</f>
        <v>143937.75</v>
      </c>
      <c r="Q4" s="151"/>
      <c r="R4" s="152"/>
      <c r="S4" s="154" t="s">
        <v>48</v>
      </c>
      <c r="T4" s="152"/>
      <c r="U4" s="156"/>
      <c r="V4" s="152"/>
      <c r="W4" s="18"/>
      <c r="X4" s="5"/>
      <c r="Y4" s="19"/>
    </row>
    <row r="5" spans="2:25" ht="15" customHeight="1" thickBot="1">
      <c r="B5" s="20" t="s">
        <v>49</v>
      </c>
      <c r="C5" s="11"/>
      <c r="D5" s="150" t="s">
        <v>50</v>
      </c>
      <c r="E5" s="151"/>
      <c r="F5" s="152"/>
      <c r="G5" s="153" t="s">
        <v>358</v>
      </c>
      <c r="H5" s="152"/>
      <c r="I5" s="150" t="s">
        <v>51</v>
      </c>
      <c r="J5" s="151"/>
      <c r="K5" s="152"/>
      <c r="L5" s="17"/>
      <c r="M5" s="161" t="s">
        <v>52</v>
      </c>
      <c r="N5" s="162"/>
      <c r="O5" s="13"/>
      <c r="P5" s="163">
        <f>IFERROR((P2-P3)/P2,"")</f>
        <v>0.5</v>
      </c>
      <c r="Q5" s="164"/>
      <c r="R5" s="162"/>
      <c r="S5" s="154" t="s">
        <v>53</v>
      </c>
      <c r="T5" s="152"/>
      <c r="U5" s="156"/>
      <c r="V5" s="152"/>
      <c r="W5" s="18"/>
      <c r="X5" s="5"/>
      <c r="Y5" s="19"/>
    </row>
    <row r="6" spans="2:25" ht="15" customHeight="1">
      <c r="B6" s="20" t="s">
        <v>54</v>
      </c>
      <c r="C6" s="21"/>
      <c r="D6" s="150" t="s">
        <v>55</v>
      </c>
      <c r="E6" s="151"/>
      <c r="F6" s="152"/>
      <c r="G6" s="153" t="s">
        <v>351</v>
      </c>
      <c r="H6" s="152"/>
      <c r="I6" s="150" t="s">
        <v>56</v>
      </c>
      <c r="J6" s="151"/>
      <c r="K6" s="152"/>
      <c r="L6" s="17"/>
      <c r="M6" s="170" t="s">
        <v>57</v>
      </c>
      <c r="N6" s="171"/>
      <c r="O6" s="13"/>
      <c r="P6" s="172">
        <f>T66</f>
        <v>143937.75</v>
      </c>
      <c r="Q6" s="173"/>
      <c r="R6" s="171"/>
      <c r="S6" s="154" t="s">
        <v>58</v>
      </c>
      <c r="T6" s="152"/>
      <c r="U6" s="156"/>
      <c r="V6" s="152"/>
      <c r="W6" s="22"/>
      <c r="X6" s="23"/>
      <c r="Y6" s="24"/>
    </row>
    <row r="7" spans="2:25" ht="15" customHeight="1">
      <c r="B7" s="20" t="s">
        <v>59</v>
      </c>
      <c r="C7" s="11"/>
      <c r="D7" s="150" t="s">
        <v>60</v>
      </c>
      <c r="E7" s="151"/>
      <c r="F7" s="152"/>
      <c r="G7" s="25"/>
      <c r="H7" s="25"/>
      <c r="I7" s="150" t="s">
        <v>61</v>
      </c>
      <c r="J7" s="151"/>
      <c r="K7" s="152"/>
      <c r="L7" s="17"/>
      <c r="M7" s="165" t="s">
        <v>62</v>
      </c>
      <c r="N7" s="152"/>
      <c r="O7" s="13"/>
      <c r="P7" s="166">
        <f>R66</f>
        <v>0</v>
      </c>
      <c r="Q7" s="151"/>
      <c r="R7" s="152"/>
      <c r="S7" s="167" t="s">
        <v>63</v>
      </c>
      <c r="T7" s="168"/>
      <c r="U7" s="169"/>
      <c r="V7" s="168"/>
      <c r="W7" s="22"/>
      <c r="X7" s="26"/>
      <c r="Y7" s="8"/>
    </row>
    <row r="8" spans="2:25" ht="15" customHeight="1">
      <c r="B8" s="27"/>
      <c r="C8" s="28"/>
      <c r="D8" s="150" t="s">
        <v>64</v>
      </c>
      <c r="E8" s="151"/>
      <c r="F8" s="152"/>
      <c r="G8" s="153"/>
      <c r="H8" s="152"/>
      <c r="I8" s="150" t="s">
        <v>65</v>
      </c>
      <c r="J8" s="151"/>
      <c r="K8" s="152"/>
      <c r="L8" s="17"/>
      <c r="M8" s="165" t="s">
        <v>66</v>
      </c>
      <c r="N8" s="152"/>
      <c r="O8" s="13"/>
      <c r="P8" s="166">
        <f>IF(P1=Q15,R15,IF(Q15="CAD $",R15*E16,IF(Q15="USD $",R15*F16,0)))</f>
        <v>0</v>
      </c>
      <c r="Q8" s="151"/>
      <c r="R8" s="15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50" t="s">
        <v>71</v>
      </c>
      <c r="E9" s="151"/>
      <c r="F9" s="152"/>
      <c r="G9" s="153"/>
      <c r="H9" s="152"/>
      <c r="I9" s="35"/>
      <c r="J9" s="36"/>
      <c r="K9" s="36"/>
      <c r="L9" s="37"/>
      <c r="M9" s="165" t="s">
        <v>72</v>
      </c>
      <c r="N9" s="152"/>
      <c r="O9" s="13"/>
      <c r="P9" s="177">
        <f>V15</f>
        <v>0</v>
      </c>
      <c r="Q9" s="151"/>
      <c r="R9" s="152"/>
      <c r="S9" s="208">
        <f>P7+P8+P9</f>
        <v>0</v>
      </c>
      <c r="T9" s="208">
        <f>P3-S9</f>
        <v>143937.75</v>
      </c>
      <c r="U9" s="211">
        <f>IFERROR(((P3-S9)/S9),0)</f>
        <v>0</v>
      </c>
      <c r="V9" s="211">
        <f>IFERROR(T9/P3,0)</f>
        <v>1</v>
      </c>
      <c r="W9" s="174"/>
      <c r="X9" s="33"/>
      <c r="Y9" s="8"/>
    </row>
    <row r="10" spans="2:25" ht="15" customHeight="1">
      <c r="B10" s="34"/>
      <c r="C10" s="28"/>
      <c r="D10" s="150" t="s">
        <v>73</v>
      </c>
      <c r="E10" s="151"/>
      <c r="F10" s="152"/>
      <c r="G10" s="153" t="s">
        <v>316</v>
      </c>
      <c r="H10" s="152"/>
      <c r="I10" s="35"/>
      <c r="J10" s="36"/>
      <c r="K10" s="36"/>
      <c r="L10" s="37"/>
      <c r="M10" s="165"/>
      <c r="N10" s="152"/>
      <c r="O10" s="13"/>
      <c r="P10" s="177"/>
      <c r="Q10" s="151"/>
      <c r="R10" s="152"/>
      <c r="S10" s="209"/>
      <c r="T10" s="209"/>
      <c r="U10" s="209"/>
      <c r="V10" s="209"/>
      <c r="W10" s="17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4" t="s">
        <v>74</v>
      </c>
      <c r="N11" s="152"/>
      <c r="O11" s="13"/>
      <c r="P11" s="178">
        <f>F66</f>
        <v>68</v>
      </c>
      <c r="Q11" s="151"/>
      <c r="R11" s="152"/>
      <c r="S11" s="210"/>
      <c r="T11" s="210"/>
      <c r="U11" s="210"/>
      <c r="V11" s="210"/>
      <c r="W11" s="176"/>
      <c r="X11" s="33"/>
      <c r="Y11" s="8"/>
    </row>
    <row r="12" spans="2:25" ht="15" customHeight="1">
      <c r="B12" s="179"/>
      <c r="C12" s="180"/>
      <c r="D12" s="41"/>
      <c r="E12" s="185" t="s">
        <v>75</v>
      </c>
      <c r="F12" s="186"/>
      <c r="G12" s="191" t="s">
        <v>37</v>
      </c>
      <c r="H12" s="192"/>
      <c r="I12" s="193"/>
      <c r="J12" s="42"/>
      <c r="K12" s="196" t="s">
        <v>76</v>
      </c>
      <c r="L12" s="192"/>
      <c r="M12" s="192"/>
      <c r="N12" s="193"/>
      <c r="O12" s="13"/>
      <c r="P12" s="199" t="s">
        <v>77</v>
      </c>
      <c r="Q12" s="192"/>
      <c r="R12" s="192"/>
      <c r="S12" s="192"/>
      <c r="T12" s="192"/>
      <c r="U12" s="192"/>
      <c r="V12" s="186"/>
      <c r="W12" s="43"/>
      <c r="X12" s="44"/>
      <c r="Y12" s="8" t="s">
        <v>78</v>
      </c>
    </row>
    <row r="13" spans="2:25" ht="15" customHeight="1">
      <c r="B13" s="181"/>
      <c r="C13" s="182"/>
      <c r="D13" s="45"/>
      <c r="E13" s="187"/>
      <c r="F13" s="188"/>
      <c r="G13" s="183"/>
      <c r="H13" s="194"/>
      <c r="I13" s="195"/>
      <c r="J13" s="46"/>
      <c r="K13" s="187"/>
      <c r="L13" s="197"/>
      <c r="M13" s="197"/>
      <c r="N13" s="198"/>
      <c r="O13" s="47"/>
      <c r="P13" s="187"/>
      <c r="Q13" s="197"/>
      <c r="R13" s="197"/>
      <c r="S13" s="197"/>
      <c r="T13" s="197"/>
      <c r="U13" s="197"/>
      <c r="V13" s="188"/>
      <c r="W13" s="48"/>
      <c r="X13" s="44"/>
      <c r="Y13" s="8" t="s">
        <v>79</v>
      </c>
    </row>
    <row r="14" spans="2:25" ht="15" customHeight="1">
      <c r="B14" s="181"/>
      <c r="C14" s="182"/>
      <c r="D14" s="45"/>
      <c r="E14" s="189"/>
      <c r="F14" s="190"/>
      <c r="G14" s="203" t="s">
        <v>80</v>
      </c>
      <c r="H14" s="139"/>
      <c r="I14" s="49" t="s">
        <v>81</v>
      </c>
      <c r="J14" s="50"/>
      <c r="K14" s="189"/>
      <c r="L14" s="194"/>
      <c r="M14" s="194"/>
      <c r="N14" s="195"/>
      <c r="O14" s="47"/>
      <c r="P14" s="200"/>
      <c r="Q14" s="201"/>
      <c r="R14" s="201"/>
      <c r="S14" s="201"/>
      <c r="T14" s="201"/>
      <c r="U14" s="201"/>
      <c r="V14" s="202"/>
      <c r="W14" s="51"/>
      <c r="X14" s="44"/>
      <c r="Y14" s="8" t="s">
        <v>81</v>
      </c>
    </row>
    <row r="15" spans="2:25" ht="30" customHeight="1">
      <c r="B15" s="181"/>
      <c r="C15" s="182"/>
      <c r="D15" s="45"/>
      <c r="E15" s="52" t="s">
        <v>82</v>
      </c>
      <c r="F15" s="53" t="s">
        <v>83</v>
      </c>
      <c r="G15" s="204" t="s">
        <v>84</v>
      </c>
      <c r="H15" s="158"/>
      <c r="I15" s="149"/>
      <c r="J15" s="54"/>
      <c r="K15" s="205" t="s">
        <v>85</v>
      </c>
      <c r="L15" s="143"/>
      <c r="M15" s="206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83"/>
      <c r="C16" s="184"/>
      <c r="D16" s="45"/>
      <c r="E16" s="63">
        <f>1/F16</f>
        <v>0.7246376811594204</v>
      </c>
      <c r="F16" s="64">
        <v>1.38</v>
      </c>
      <c r="G16" s="222"/>
      <c r="H16" s="151"/>
      <c r="I16" s="152"/>
      <c r="J16" s="65"/>
      <c r="K16" s="189"/>
      <c r="L16" s="190"/>
      <c r="M16" s="207"/>
      <c r="N16" s="223" t="s">
        <v>90</v>
      </c>
      <c r="O16" s="56"/>
      <c r="P16" s="226" t="s">
        <v>91</v>
      </c>
      <c r="Q16" s="227"/>
      <c r="R16" s="227"/>
      <c r="S16" s="227"/>
      <c r="T16" s="227"/>
      <c r="U16" s="227"/>
      <c r="V16" s="228"/>
      <c r="W16" s="66"/>
      <c r="X16" s="67"/>
      <c r="Y16" s="8"/>
    </row>
    <row r="17" spans="2:26" ht="15" customHeight="1">
      <c r="B17" s="212" t="s">
        <v>92</v>
      </c>
      <c r="C17" s="213" t="s">
        <v>93</v>
      </c>
      <c r="D17" s="68"/>
      <c r="E17" s="215" t="s">
        <v>94</v>
      </c>
      <c r="F17" s="217" t="s">
        <v>95</v>
      </c>
      <c r="G17" s="218" t="s">
        <v>96</v>
      </c>
      <c r="H17" s="219"/>
      <c r="I17" s="69" t="s">
        <v>97</v>
      </c>
      <c r="J17" s="70"/>
      <c r="K17" s="229" t="s">
        <v>95</v>
      </c>
      <c r="L17" s="71" t="s">
        <v>98</v>
      </c>
      <c r="M17" s="72" t="s">
        <v>99</v>
      </c>
      <c r="N17" s="224"/>
      <c r="O17" s="73"/>
      <c r="P17" s="230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207"/>
      <c r="C18" s="214"/>
      <c r="D18" s="78"/>
      <c r="E18" s="216"/>
      <c r="F18" s="207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6"/>
      <c r="L18" s="220" t="s">
        <v>78</v>
      </c>
      <c r="M18" s="149"/>
      <c r="N18" s="225"/>
      <c r="O18" s="82"/>
      <c r="P18" s="231"/>
      <c r="Q18" s="58" t="s">
        <v>79</v>
      </c>
      <c r="R18" s="221" t="str">
        <f>L18</f>
        <v>CAD $</v>
      </c>
      <c r="S18" s="158"/>
      <c r="T18" s="158"/>
      <c r="U18" s="158"/>
      <c r="V18" s="149"/>
      <c r="W18" s="83"/>
      <c r="X18" s="84"/>
      <c r="Y18" s="85"/>
      <c r="Z18" s="85"/>
    </row>
    <row r="19" spans="2:26">
      <c r="B19" t="s">
        <v>288</v>
      </c>
      <c r="C19" t="s">
        <v>109</v>
      </c>
      <c r="D19" s="87"/>
      <c r="E19" s="88"/>
      <c r="F19">
        <v>1</v>
      </c>
      <c r="G19" s="134">
        <v>233</v>
      </c>
      <c r="H19" s="134">
        <v>62.91</v>
      </c>
      <c r="I19" s="134">
        <v>233</v>
      </c>
      <c r="J19" s="92"/>
      <c r="K19">
        <v>1</v>
      </c>
      <c r="L19" s="134">
        <v>116.5</v>
      </c>
      <c r="M19" s="134">
        <v>116.5</v>
      </c>
      <c r="O19" s="93"/>
      <c r="P19" s="86"/>
      <c r="Q19" s="94"/>
      <c r="R19" s="94"/>
      <c r="S19" s="134">
        <v>116.5</v>
      </c>
      <c r="T19" s="134">
        <v>116.5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352</v>
      </c>
      <c r="C20" t="s">
        <v>110</v>
      </c>
      <c r="D20" s="87"/>
      <c r="E20" s="100"/>
      <c r="F20">
        <v>1</v>
      </c>
      <c r="G20" s="134">
        <v>361</v>
      </c>
      <c r="H20" s="134">
        <v>97.47</v>
      </c>
      <c r="I20" s="134">
        <v>361</v>
      </c>
      <c r="J20" s="105"/>
      <c r="K20">
        <v>1</v>
      </c>
      <c r="L20" s="134">
        <v>180.5</v>
      </c>
      <c r="M20" s="134">
        <v>180.5</v>
      </c>
      <c r="O20" s="93"/>
      <c r="P20" s="98"/>
      <c r="Q20" s="102"/>
      <c r="R20" s="108"/>
      <c r="S20" s="134">
        <v>180.5</v>
      </c>
      <c r="T20" s="134">
        <v>180.5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243</v>
      </c>
      <c r="C21" t="s">
        <v>117</v>
      </c>
      <c r="D21" s="87"/>
      <c r="E21" s="88"/>
      <c r="F21">
        <v>1</v>
      </c>
      <c r="G21" s="134">
        <v>300</v>
      </c>
      <c r="H21" s="134">
        <v>81</v>
      </c>
      <c r="I21" s="134">
        <v>300</v>
      </c>
      <c r="J21" s="105"/>
      <c r="K21">
        <v>1</v>
      </c>
      <c r="L21" s="134">
        <v>150</v>
      </c>
      <c r="M21" s="134">
        <v>150</v>
      </c>
      <c r="O21" s="93"/>
      <c r="P21" s="115"/>
      <c r="Q21" s="94"/>
      <c r="R21" s="94"/>
      <c r="S21" s="134">
        <v>150</v>
      </c>
      <c r="T21" s="134">
        <v>150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350</v>
      </c>
      <c r="C22" t="s">
        <v>262</v>
      </c>
      <c r="D22" s="87"/>
      <c r="E22" s="100"/>
      <c r="F22">
        <v>1</v>
      </c>
      <c r="G22" s="134">
        <v>566</v>
      </c>
      <c r="H22" s="134">
        <v>152.82</v>
      </c>
      <c r="I22" s="134">
        <v>566</v>
      </c>
      <c r="J22" s="105"/>
      <c r="K22">
        <v>1</v>
      </c>
      <c r="L22" s="134">
        <v>283</v>
      </c>
      <c r="M22" s="134">
        <v>283</v>
      </c>
      <c r="O22" s="93"/>
      <c r="P22" s="98"/>
      <c r="Q22" s="102"/>
      <c r="R22" s="108"/>
      <c r="S22" s="134">
        <v>283</v>
      </c>
      <c r="T22" s="134">
        <v>283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353</v>
      </c>
      <c r="C23" t="s">
        <v>183</v>
      </c>
      <c r="D23" s="87"/>
      <c r="E23" s="88"/>
      <c r="F23">
        <v>1</v>
      </c>
      <c r="G23" s="134">
        <v>729.5</v>
      </c>
      <c r="H23" s="134">
        <v>196.97</v>
      </c>
      <c r="I23" s="134">
        <v>729.5</v>
      </c>
      <c r="J23" s="105"/>
      <c r="K23">
        <v>1</v>
      </c>
      <c r="L23" s="134">
        <v>364.75</v>
      </c>
      <c r="M23" s="134">
        <v>364.75</v>
      </c>
      <c r="O23" s="93"/>
      <c r="P23" s="115"/>
      <c r="Q23" s="94"/>
      <c r="R23" s="94"/>
      <c r="S23" s="134">
        <v>364.75</v>
      </c>
      <c r="T23" s="134">
        <v>364.75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354</v>
      </c>
      <c r="C24" t="s">
        <v>111</v>
      </c>
      <c r="D24" s="87"/>
      <c r="E24" s="100"/>
      <c r="F24">
        <v>1</v>
      </c>
      <c r="G24" s="134">
        <v>306</v>
      </c>
      <c r="H24" s="134">
        <v>82.62</v>
      </c>
      <c r="I24" s="134">
        <v>306</v>
      </c>
      <c r="J24" s="105"/>
      <c r="K24">
        <v>1</v>
      </c>
      <c r="L24" s="134">
        <v>153</v>
      </c>
      <c r="M24" s="134">
        <v>153</v>
      </c>
      <c r="N24" s="136"/>
      <c r="O24" s="93"/>
      <c r="P24" s="98"/>
      <c r="Q24" s="102"/>
      <c r="R24" s="108"/>
      <c r="S24" s="134">
        <v>153</v>
      </c>
      <c r="T24" s="134">
        <v>153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355</v>
      </c>
      <c r="C25" t="s">
        <v>112</v>
      </c>
      <c r="D25" s="87"/>
      <c r="E25" s="88"/>
      <c r="F25">
        <v>1</v>
      </c>
      <c r="G25" s="134">
        <v>364.5</v>
      </c>
      <c r="H25" s="134">
        <v>98.42</v>
      </c>
      <c r="I25" s="134">
        <v>364.5</v>
      </c>
      <c r="J25" s="105"/>
      <c r="K25">
        <v>1</v>
      </c>
      <c r="L25" s="134">
        <v>182.25</v>
      </c>
      <c r="M25" s="134">
        <v>182.25</v>
      </c>
      <c r="N25" s="136"/>
      <c r="O25" s="93"/>
      <c r="P25" s="115"/>
      <c r="Q25" s="94"/>
      <c r="R25" s="94"/>
      <c r="S25" s="134">
        <v>182.25</v>
      </c>
      <c r="T25" s="134">
        <v>182.25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D26" s="87"/>
      <c r="E26" s="100"/>
      <c r="H26" t="s">
        <v>123</v>
      </c>
      <c r="I26" t="s">
        <v>123</v>
      </c>
      <c r="J26" s="105"/>
      <c r="K26">
        <v>0</v>
      </c>
      <c r="L26" t="s">
        <v>123</v>
      </c>
      <c r="M26" t="s">
        <v>123</v>
      </c>
      <c r="N26" s="136"/>
      <c r="O26" s="93"/>
      <c r="P26" s="98"/>
      <c r="Q26" s="102"/>
      <c r="R26" s="108"/>
      <c r="S26" t="s">
        <v>123</v>
      </c>
      <c r="T26" t="s">
        <v>123</v>
      </c>
      <c r="U26" s="135">
        <v>0</v>
      </c>
      <c r="V26" s="135">
        <v>0</v>
      </c>
      <c r="W26" s="111"/>
      <c r="X26" s="97"/>
      <c r="Y26" s="8"/>
      <c r="Z26" s="8"/>
    </row>
    <row r="27" spans="2:26" ht="15.75" customHeight="1">
      <c r="D27" s="87"/>
      <c r="E27" s="88"/>
      <c r="H27" t="s">
        <v>123</v>
      </c>
      <c r="I27" t="s">
        <v>123</v>
      </c>
      <c r="J27" s="105"/>
      <c r="K27">
        <v>0</v>
      </c>
      <c r="L27" t="s">
        <v>123</v>
      </c>
      <c r="M27" t="s">
        <v>123</v>
      </c>
      <c r="O27" s="93"/>
      <c r="P27" s="115"/>
      <c r="Q27" s="94"/>
      <c r="R27" s="94"/>
      <c r="S27" t="s">
        <v>123</v>
      </c>
      <c r="T27" t="s">
        <v>123</v>
      </c>
      <c r="U27" s="135">
        <v>0</v>
      </c>
      <c r="V27" s="135">
        <v>0</v>
      </c>
      <c r="W27" s="96"/>
      <c r="X27" s="97"/>
      <c r="Y27" s="8"/>
      <c r="Z27" s="8"/>
    </row>
    <row r="28" spans="2:26" ht="15.75" customHeight="1">
      <c r="B28" t="s">
        <v>307</v>
      </c>
      <c r="C28" t="s">
        <v>323</v>
      </c>
      <c r="D28" s="87"/>
      <c r="E28" s="100"/>
      <c r="F28">
        <v>1</v>
      </c>
      <c r="G28" s="134">
        <v>38950.5</v>
      </c>
      <c r="H28" s="134">
        <v>10516.64</v>
      </c>
      <c r="I28" s="134">
        <v>38950.5</v>
      </c>
      <c r="J28" s="105"/>
      <c r="K28">
        <v>1</v>
      </c>
      <c r="L28" s="134">
        <v>19475.25</v>
      </c>
      <c r="M28" s="134">
        <v>19475.25</v>
      </c>
      <c r="O28" s="93"/>
      <c r="P28" s="98"/>
      <c r="Q28" s="102"/>
      <c r="R28" s="108"/>
      <c r="S28" s="134">
        <v>19475.25</v>
      </c>
      <c r="T28" s="134">
        <v>19475.25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139</v>
      </c>
      <c r="C29" t="s">
        <v>113</v>
      </c>
      <c r="D29" s="87"/>
      <c r="E29" s="88"/>
      <c r="F29">
        <v>1</v>
      </c>
      <c r="G29" s="134">
        <v>17519.5</v>
      </c>
      <c r="H29" s="134">
        <v>4730.2700000000004</v>
      </c>
      <c r="I29" s="134">
        <v>17519.5</v>
      </c>
      <c r="J29" s="105"/>
      <c r="K29">
        <v>1</v>
      </c>
      <c r="L29" s="134">
        <v>8759.75</v>
      </c>
      <c r="M29" s="134">
        <v>8759.75</v>
      </c>
      <c r="O29" s="93"/>
      <c r="P29" s="115"/>
      <c r="Q29" s="94"/>
      <c r="R29" s="94"/>
      <c r="S29" s="134">
        <v>8759.75</v>
      </c>
      <c r="T29" s="134">
        <v>8759.75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t="s">
        <v>140</v>
      </c>
      <c r="C30" t="s">
        <v>114</v>
      </c>
      <c r="D30" s="87"/>
      <c r="E30" s="100"/>
      <c r="F30">
        <v>1</v>
      </c>
      <c r="G30" s="134">
        <v>51871.5</v>
      </c>
      <c r="H30" s="134">
        <v>14005.31</v>
      </c>
      <c r="I30" s="134">
        <v>51871.5</v>
      </c>
      <c r="J30" s="105"/>
      <c r="K30">
        <v>1</v>
      </c>
      <c r="L30" s="134">
        <v>25935.75</v>
      </c>
      <c r="M30" s="134">
        <v>25935.75</v>
      </c>
      <c r="O30" s="93"/>
      <c r="P30" s="98"/>
      <c r="Q30" s="102"/>
      <c r="R30" s="108"/>
      <c r="S30" s="134">
        <v>25935.75</v>
      </c>
      <c r="T30" s="134">
        <v>25935.75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141</v>
      </c>
      <c r="C31" t="s">
        <v>115</v>
      </c>
      <c r="D31" s="87"/>
      <c r="E31" s="88"/>
      <c r="F31">
        <v>1</v>
      </c>
      <c r="G31" s="134">
        <v>40601.5</v>
      </c>
      <c r="H31" s="134">
        <v>10962.41</v>
      </c>
      <c r="I31" s="134">
        <v>40601.5</v>
      </c>
      <c r="J31" s="105"/>
      <c r="K31">
        <v>1</v>
      </c>
      <c r="L31" s="134">
        <v>20300.75</v>
      </c>
      <c r="M31" s="134">
        <v>20300.75</v>
      </c>
      <c r="O31" s="93"/>
      <c r="P31" s="115"/>
      <c r="Q31" s="94"/>
      <c r="R31" s="94"/>
      <c r="S31" s="134">
        <v>20300.75</v>
      </c>
      <c r="T31" s="134">
        <v>20300.75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356</v>
      </c>
      <c r="C32" t="s">
        <v>116</v>
      </c>
      <c r="D32" s="87"/>
      <c r="E32" s="100"/>
      <c r="F32">
        <v>1</v>
      </c>
      <c r="G32" s="134">
        <v>22439.5</v>
      </c>
      <c r="H32" s="134">
        <v>6058.67</v>
      </c>
      <c r="I32" s="134">
        <v>22439.5</v>
      </c>
      <c r="J32" s="105"/>
      <c r="K32">
        <v>1</v>
      </c>
      <c r="L32" s="134">
        <v>11219.75</v>
      </c>
      <c r="M32" s="134">
        <v>11219.75</v>
      </c>
      <c r="O32" s="93"/>
      <c r="P32" s="98"/>
      <c r="Q32" s="102"/>
      <c r="R32" s="108"/>
      <c r="S32" s="134">
        <v>11219.75</v>
      </c>
      <c r="T32" s="134">
        <v>11219.75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357</v>
      </c>
      <c r="C33" t="s">
        <v>203</v>
      </c>
      <c r="D33" s="87"/>
      <c r="E33" s="88"/>
      <c r="F33">
        <v>6</v>
      </c>
      <c r="G33" s="134">
        <v>5114</v>
      </c>
      <c r="H33" s="134">
        <v>1380.78</v>
      </c>
      <c r="I33" s="134">
        <v>30684</v>
      </c>
      <c r="J33" s="105"/>
      <c r="K33">
        <v>6</v>
      </c>
      <c r="L33" s="134">
        <v>2557</v>
      </c>
      <c r="M33" s="134">
        <v>15342</v>
      </c>
      <c r="O33" s="93"/>
      <c r="P33" s="115"/>
      <c r="Q33" s="94"/>
      <c r="R33" s="94"/>
      <c r="S33" s="134">
        <v>2557</v>
      </c>
      <c r="T33" s="134">
        <v>15342</v>
      </c>
      <c r="U33" s="135">
        <v>0</v>
      </c>
      <c r="V33" s="135">
        <v>1</v>
      </c>
      <c r="W33" s="96"/>
    </row>
    <row r="34" spans="2:23" ht="15.75" customHeight="1">
      <c r="D34" s="87"/>
      <c r="E34" s="100"/>
      <c r="H34" t="s">
        <v>123</v>
      </c>
      <c r="I34" t="s">
        <v>123</v>
      </c>
      <c r="J34" s="105"/>
      <c r="K34">
        <v>0</v>
      </c>
      <c r="L34" t="s">
        <v>123</v>
      </c>
      <c r="M34" t="s">
        <v>123</v>
      </c>
      <c r="O34" s="93"/>
      <c r="P34" s="98"/>
      <c r="Q34" s="102"/>
      <c r="R34" s="108"/>
      <c r="S34" t="s">
        <v>123</v>
      </c>
      <c r="T34" t="s">
        <v>123</v>
      </c>
      <c r="U34" s="135">
        <v>0</v>
      </c>
      <c r="V34" s="135">
        <v>0</v>
      </c>
      <c r="W34" s="111"/>
    </row>
    <row r="35" spans="2:23" ht="15.75" customHeight="1">
      <c r="B35" t="s">
        <v>328</v>
      </c>
      <c r="C35" t="s">
        <v>205</v>
      </c>
      <c r="D35" s="87"/>
      <c r="E35" s="88"/>
      <c r="F35">
        <v>2</v>
      </c>
      <c r="G35" s="134">
        <v>1483</v>
      </c>
      <c r="H35" s="134">
        <v>400.41</v>
      </c>
      <c r="I35" s="134">
        <v>2966</v>
      </c>
      <c r="J35" s="105"/>
      <c r="K35">
        <v>2</v>
      </c>
      <c r="L35" s="134">
        <v>741.5</v>
      </c>
      <c r="M35" s="134">
        <v>1483</v>
      </c>
      <c r="O35" s="93"/>
      <c r="P35" s="115"/>
      <c r="Q35" s="94"/>
      <c r="R35" s="94"/>
      <c r="S35" s="134">
        <v>741.5</v>
      </c>
      <c r="T35" s="134">
        <v>1483</v>
      </c>
      <c r="U35" s="135">
        <v>0</v>
      </c>
      <c r="V35" s="135">
        <v>1</v>
      </c>
      <c r="W35" s="96"/>
    </row>
    <row r="36" spans="2:23" ht="15.75" customHeight="1">
      <c r="D36" s="87"/>
      <c r="E36" s="100"/>
      <c r="H36" t="s">
        <v>123</v>
      </c>
      <c r="I36" t="s">
        <v>123</v>
      </c>
      <c r="J36" s="105"/>
      <c r="K36">
        <v>0</v>
      </c>
      <c r="L36" t="s">
        <v>123</v>
      </c>
      <c r="M36" t="s">
        <v>123</v>
      </c>
      <c r="O36" s="93"/>
      <c r="P36" s="98"/>
      <c r="Q36" s="102"/>
      <c r="R36" s="108"/>
      <c r="S36" t="s">
        <v>123</v>
      </c>
      <c r="T36" t="s">
        <v>123</v>
      </c>
      <c r="U36" s="135">
        <v>0</v>
      </c>
      <c r="V36" s="135">
        <v>0</v>
      </c>
      <c r="W36" s="111"/>
    </row>
    <row r="37" spans="2:23" ht="15.75" customHeight="1">
      <c r="B37" t="s">
        <v>329</v>
      </c>
      <c r="C37" t="s">
        <v>330</v>
      </c>
      <c r="D37" s="87"/>
      <c r="E37" s="88"/>
      <c r="F37">
        <v>1</v>
      </c>
      <c r="G37" s="134">
        <v>65150.5</v>
      </c>
      <c r="H37" s="134">
        <v>17590.64</v>
      </c>
      <c r="I37" s="134">
        <v>65150.5</v>
      </c>
      <c r="J37" s="105"/>
      <c r="K37">
        <v>1</v>
      </c>
      <c r="L37" s="134">
        <v>32575.25</v>
      </c>
      <c r="M37" s="134">
        <v>32575.25</v>
      </c>
      <c r="O37" s="93"/>
      <c r="P37" s="115"/>
      <c r="Q37" s="94"/>
      <c r="R37" s="94"/>
      <c r="S37" s="134">
        <v>32575.25</v>
      </c>
      <c r="T37" s="134">
        <v>32575.25</v>
      </c>
      <c r="U37" s="135">
        <v>0</v>
      </c>
      <c r="V37" s="135">
        <v>1</v>
      </c>
      <c r="W37" s="96"/>
    </row>
    <row r="38" spans="2:23" ht="15.75" customHeight="1">
      <c r="B38" t="s">
        <v>331</v>
      </c>
      <c r="C38" t="s">
        <v>332</v>
      </c>
      <c r="D38" s="87"/>
      <c r="E38" s="100"/>
      <c r="F38">
        <v>2</v>
      </c>
      <c r="G38" s="134">
        <v>930</v>
      </c>
      <c r="H38" s="134">
        <v>251.1</v>
      </c>
      <c r="I38" s="134">
        <v>1860</v>
      </c>
      <c r="J38" s="105"/>
      <c r="K38">
        <v>2</v>
      </c>
      <c r="L38" s="134">
        <v>465</v>
      </c>
      <c r="M38" s="134">
        <v>930</v>
      </c>
      <c r="O38" s="93"/>
      <c r="P38" s="98"/>
      <c r="Q38" s="102"/>
      <c r="R38" s="108"/>
      <c r="S38" s="134">
        <v>465</v>
      </c>
      <c r="T38" s="134">
        <v>930</v>
      </c>
      <c r="U38" s="135">
        <v>0</v>
      </c>
      <c r="V38" s="135">
        <v>1</v>
      </c>
      <c r="W38" s="111"/>
    </row>
    <row r="39" spans="2:23" ht="15.75" customHeight="1">
      <c r="B39" t="s">
        <v>122</v>
      </c>
      <c r="C39" t="s">
        <v>120</v>
      </c>
      <c r="D39" s="87"/>
      <c r="E39" s="88"/>
      <c r="F39">
        <v>8</v>
      </c>
      <c r="G39" s="134">
        <v>8</v>
      </c>
      <c r="H39" s="134">
        <v>2.16</v>
      </c>
      <c r="I39" s="134">
        <v>64</v>
      </c>
      <c r="J39" s="105"/>
      <c r="K39">
        <v>8</v>
      </c>
      <c r="L39" s="134">
        <v>4</v>
      </c>
      <c r="M39" s="134">
        <v>32</v>
      </c>
      <c r="O39" s="93"/>
      <c r="P39" s="115"/>
      <c r="Q39" s="94"/>
      <c r="R39" s="94"/>
      <c r="S39" s="134">
        <v>4</v>
      </c>
      <c r="T39" s="134">
        <v>32</v>
      </c>
      <c r="U39" s="135">
        <v>0</v>
      </c>
      <c r="V39" s="135">
        <v>1</v>
      </c>
      <c r="W39" s="111"/>
    </row>
    <row r="40" spans="2:23" ht="15.75" customHeight="1">
      <c r="B40" t="s">
        <v>333</v>
      </c>
      <c r="C40" t="s">
        <v>213</v>
      </c>
      <c r="D40" s="87"/>
      <c r="E40" s="100"/>
      <c r="F40">
        <v>8</v>
      </c>
      <c r="G40" s="134">
        <v>9</v>
      </c>
      <c r="H40" s="134">
        <v>2.4300000000000002</v>
      </c>
      <c r="I40" s="134">
        <v>72</v>
      </c>
      <c r="J40" s="105"/>
      <c r="K40">
        <v>8</v>
      </c>
      <c r="L40" s="134">
        <v>4.5</v>
      </c>
      <c r="M40" s="134">
        <v>36</v>
      </c>
      <c r="O40" s="93"/>
      <c r="P40" s="98"/>
      <c r="Q40" s="102"/>
      <c r="R40" s="108"/>
      <c r="S40" s="134">
        <v>4.5</v>
      </c>
      <c r="T40" s="134">
        <v>36</v>
      </c>
      <c r="U40" s="135">
        <v>0</v>
      </c>
      <c r="V40" s="135">
        <v>1</v>
      </c>
      <c r="W40" s="111"/>
    </row>
    <row r="41" spans="2:23" ht="15.75" customHeight="1">
      <c r="B41" t="s">
        <v>121</v>
      </c>
      <c r="C41" t="s">
        <v>215</v>
      </c>
      <c r="D41" s="130"/>
      <c r="E41" s="100"/>
      <c r="F41">
        <v>8</v>
      </c>
      <c r="G41" s="134">
        <v>9.5</v>
      </c>
      <c r="H41" s="134">
        <v>2.57</v>
      </c>
      <c r="I41" s="134">
        <v>76</v>
      </c>
      <c r="J41" s="131"/>
      <c r="K41">
        <v>8</v>
      </c>
      <c r="L41" s="134">
        <v>4.75</v>
      </c>
      <c r="M41" s="134">
        <v>38</v>
      </c>
      <c r="O41" s="132"/>
      <c r="P41" s="98"/>
      <c r="Q41" s="102"/>
      <c r="R41" s="108"/>
      <c r="S41" s="134">
        <v>4.75</v>
      </c>
      <c r="T41" s="134">
        <v>38</v>
      </c>
      <c r="U41" s="135">
        <v>0</v>
      </c>
      <c r="V41" s="135">
        <v>1</v>
      </c>
      <c r="W41" s="133"/>
    </row>
    <row r="42" spans="2:23" ht="15.75" customHeight="1">
      <c r="D42" s="130"/>
      <c r="E42" s="100"/>
      <c r="H42" t="s">
        <v>123</v>
      </c>
      <c r="I42" t="s">
        <v>123</v>
      </c>
      <c r="J42" s="131"/>
      <c r="K42">
        <v>0</v>
      </c>
      <c r="L42" t="s">
        <v>123</v>
      </c>
      <c r="M42" t="s">
        <v>123</v>
      </c>
      <c r="O42" s="132"/>
      <c r="P42" s="98"/>
      <c r="Q42" s="102"/>
      <c r="R42" s="108"/>
      <c r="S42" t="s">
        <v>123</v>
      </c>
      <c r="T42" t="s">
        <v>123</v>
      </c>
      <c r="U42" s="135">
        <v>0</v>
      </c>
      <c r="V42" s="135">
        <v>0</v>
      </c>
      <c r="W42" s="133"/>
    </row>
    <row r="43" spans="2:23" ht="15.75" customHeight="1">
      <c r="B43" t="s">
        <v>334</v>
      </c>
      <c r="C43" t="s">
        <v>335</v>
      </c>
      <c r="D43" s="130"/>
      <c r="E43" s="100"/>
      <c r="F43">
        <v>10</v>
      </c>
      <c r="G43" s="134">
        <v>414.5</v>
      </c>
      <c r="H43" s="134">
        <v>111.92</v>
      </c>
      <c r="I43" s="134">
        <v>4145</v>
      </c>
      <c r="J43" s="131"/>
      <c r="K43">
        <v>10</v>
      </c>
      <c r="L43" s="134">
        <v>207.25</v>
      </c>
      <c r="M43" s="134">
        <v>2072.5</v>
      </c>
      <c r="O43" s="132"/>
      <c r="P43" s="98"/>
      <c r="Q43" s="102"/>
      <c r="R43" s="108"/>
      <c r="S43" s="134">
        <v>207.25</v>
      </c>
      <c r="T43" s="134">
        <v>2072.5</v>
      </c>
      <c r="U43" s="135">
        <v>0</v>
      </c>
      <c r="V43" s="135">
        <v>1</v>
      </c>
      <c r="W43" s="133"/>
    </row>
    <row r="44" spans="2:23" ht="15.75" customHeight="1">
      <c r="B44" t="s">
        <v>336</v>
      </c>
      <c r="C44" t="s">
        <v>337</v>
      </c>
      <c r="D44" s="130"/>
      <c r="E44" s="100"/>
      <c r="F44">
        <v>10</v>
      </c>
      <c r="G44" s="134">
        <v>73</v>
      </c>
      <c r="H44" s="134">
        <v>19.71</v>
      </c>
      <c r="I44" s="134">
        <v>730</v>
      </c>
      <c r="J44" s="131"/>
      <c r="K44">
        <v>10</v>
      </c>
      <c r="L44" s="134">
        <v>36.5</v>
      </c>
      <c r="M44" s="134">
        <v>365</v>
      </c>
      <c r="O44" s="132"/>
      <c r="P44" s="98"/>
      <c r="Q44" s="102"/>
      <c r="R44" s="108"/>
      <c r="S44" s="134">
        <v>36.5</v>
      </c>
      <c r="T44" s="134">
        <v>365</v>
      </c>
      <c r="U44" s="135">
        <v>0</v>
      </c>
      <c r="V44" s="135">
        <v>1</v>
      </c>
      <c r="W44" s="133"/>
    </row>
    <row r="45" spans="2:23" ht="15.75" customHeight="1">
      <c r="D45" s="130"/>
      <c r="E45" s="100"/>
      <c r="H45" t="s">
        <v>123</v>
      </c>
      <c r="I45" t="s">
        <v>123</v>
      </c>
      <c r="J45" s="131"/>
      <c r="K45">
        <v>0</v>
      </c>
      <c r="L45" t="s">
        <v>123</v>
      </c>
      <c r="M45" t="s">
        <v>123</v>
      </c>
      <c r="O45" s="132"/>
      <c r="P45" s="98"/>
      <c r="Q45" s="102"/>
      <c r="R45" s="108"/>
      <c r="S45" t="s">
        <v>123</v>
      </c>
      <c r="T45" t="s">
        <v>123</v>
      </c>
      <c r="U45" s="135">
        <v>0</v>
      </c>
      <c r="V45" s="135">
        <v>0</v>
      </c>
      <c r="W45" s="133"/>
    </row>
    <row r="46" spans="2:23" ht="15.75" customHeight="1">
      <c r="B46" t="s">
        <v>314</v>
      </c>
      <c r="C46" t="s">
        <v>315</v>
      </c>
      <c r="D46" s="130"/>
      <c r="E46" s="100"/>
      <c r="F46">
        <v>1</v>
      </c>
      <c r="G46" s="134">
        <v>7885.5</v>
      </c>
      <c r="H46" s="134">
        <v>2129.09</v>
      </c>
      <c r="I46" s="134">
        <v>7885.5</v>
      </c>
      <c r="J46" s="131"/>
      <c r="K46">
        <v>1</v>
      </c>
      <c r="L46" s="134">
        <v>3942.75</v>
      </c>
      <c r="M46" s="134">
        <v>3942.75</v>
      </c>
      <c r="O46" s="132"/>
      <c r="P46" s="98"/>
      <c r="Q46" s="102"/>
      <c r="R46" s="108"/>
      <c r="S46" s="134">
        <v>3942.75</v>
      </c>
      <c r="T46" s="134">
        <v>3942.75</v>
      </c>
      <c r="U46" s="135">
        <v>0</v>
      </c>
      <c r="V46" s="135">
        <v>1</v>
      </c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G49" s="134"/>
      <c r="H49" s="134"/>
      <c r="I49" s="134"/>
      <c r="J49" s="131"/>
      <c r="L49" s="134"/>
      <c r="M49" s="134"/>
      <c r="O49" s="132"/>
      <c r="P49" s="98"/>
      <c r="Q49" s="102"/>
      <c r="R49" s="108"/>
      <c r="S49" s="134"/>
      <c r="T49" s="134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J53" s="131"/>
      <c r="O53" s="132"/>
      <c r="P53" s="98"/>
      <c r="Q53" s="102"/>
      <c r="R53" s="108"/>
      <c r="U53" s="135"/>
      <c r="V53" s="135"/>
      <c r="W53" s="133"/>
    </row>
    <row r="54" spans="2:23" ht="15.75" customHeight="1">
      <c r="D54" s="130"/>
      <c r="E54" s="100"/>
      <c r="G54" s="134"/>
      <c r="H54" s="134"/>
      <c r="I54" s="134"/>
      <c r="J54" s="131"/>
      <c r="L54" s="134"/>
      <c r="M54" s="134"/>
      <c r="O54" s="132"/>
      <c r="P54" s="98"/>
      <c r="Q54" s="102"/>
      <c r="R54" s="108"/>
      <c r="S54" s="134"/>
      <c r="T54" s="134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68</v>
      </c>
      <c r="G66" s="121">
        <f t="shared" si="0"/>
        <v>255319.5</v>
      </c>
      <c r="H66" s="122">
        <f t="shared" si="0"/>
        <v>68936.320000000007</v>
      </c>
      <c r="I66" s="123">
        <f t="shared" si="0"/>
        <v>287875.5</v>
      </c>
      <c r="J66" s="124"/>
      <c r="K66" s="125">
        <f t="shared" ref="K66:M66" si="1">SUM(K19:K65)</f>
        <v>68</v>
      </c>
      <c r="L66" s="122">
        <f t="shared" si="1"/>
        <v>127659.75</v>
      </c>
      <c r="M66" s="123">
        <f t="shared" si="1"/>
        <v>143937.75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127659.75</v>
      </c>
      <c r="T66" s="123">
        <f t="shared" si="2"/>
        <v>143937.75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Q15 G18 L18 Q18" xr:uid="{1CFCF60B-E05E-4E28-BADC-D3C0643957CB}">
      <formula1>$Y$12:$Y$13</formula1>
    </dataValidation>
    <dataValidation type="list" allowBlank="1" showErrorMessage="1" sqref="J14" xr:uid="{649CC0FB-FE16-4476-9E59-C1CEAB087A28}">
      <formula1>$L$9</formula1>
    </dataValidation>
    <dataValidation type="list" allowBlank="1" showErrorMessage="1" sqref="I14" xr:uid="{E5828F11-9A11-40DE-9B7A-200B70E5FBCC}">
      <formula1>$Y$14:$Y$15</formula1>
    </dataValidation>
    <dataValidation type="list" allowBlank="1" showErrorMessage="1" sqref="E19:E65" xr:uid="{E3B9FE45-83D0-4AF3-9ACF-9A4176939DA9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Instructions</vt:lpstr>
      <vt:lpstr>CAT D8T (JJ5) UNDERCARRIAGE</vt:lpstr>
      <vt:lpstr>CAT D8T (JJ5)</vt:lpstr>
      <vt:lpstr>CAT D8 (JJ8) TRACK GROUP</vt:lpstr>
      <vt:lpstr>CAT D8 (JJ8)</vt:lpstr>
      <vt:lpstr>CAT D8 (AE8) TRACK GROUP</vt:lpstr>
      <vt:lpstr>CAT D8 (AE8)</vt:lpstr>
      <vt:lpstr>CAT D8 (MN8) TRACK GROUP</vt:lpstr>
      <vt:lpstr>CAT D8 (MN8)</vt:lpstr>
      <vt:lpstr>CAT 14H (ASE)</vt:lpstr>
      <vt:lpstr>CAT 14L (B94)</vt:lpstr>
      <vt:lpstr>CAT 14M (B9J)</vt:lpstr>
      <vt:lpstr>CAT 966 (EL9)</vt:lpstr>
      <vt:lpstr>CAT 966H (A6G)</vt:lpstr>
      <vt:lpstr>CAT 966H (BJ6)</vt:lpstr>
      <vt:lpstr>CAT 966L (FSL)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2025-07-19T13:26:29Z</dcterms:modified>
</cp:coreProperties>
</file>