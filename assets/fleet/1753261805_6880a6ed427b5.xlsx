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6E4D43AE-6F27-4FF6-A293-E41B6C26504D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Instructions" sheetId="1" r:id="rId1"/>
    <sheet name="CAT 16G MOTOR GRADER" sheetId="2" r:id="rId2"/>
    <sheet name="CAT 140H MOTOR GRADER" sheetId="3" r:id="rId3"/>
    <sheet name="CAT 305.E2 EXCAVATOR" sheetId="5" r:id="rId4"/>
    <sheet name="CAT 349 EXCAVATOR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11" l="1"/>
  <c r="L50" i="11"/>
  <c r="G50" i="11"/>
  <c r="F50" i="11"/>
  <c r="K50" i="11"/>
  <c r="R18" i="11"/>
  <c r="I18" i="11"/>
  <c r="H18" i="11"/>
  <c r="E16" i="11"/>
  <c r="P11" i="11"/>
  <c r="P8" i="11"/>
  <c r="P1" i="11"/>
  <c r="Q50" i="5"/>
  <c r="G50" i="5"/>
  <c r="F50" i="5"/>
  <c r="P11" i="5" s="1"/>
  <c r="R18" i="5"/>
  <c r="I18" i="5"/>
  <c r="H18" i="5"/>
  <c r="E16" i="5"/>
  <c r="P8" i="5"/>
  <c r="P1" i="5"/>
  <c r="Q50" i="3"/>
  <c r="L50" i="3"/>
  <c r="G50" i="3"/>
  <c r="F50" i="3"/>
  <c r="K50" i="3"/>
  <c r="R18" i="3"/>
  <c r="I18" i="3"/>
  <c r="H18" i="3"/>
  <c r="E16" i="3"/>
  <c r="P11" i="3"/>
  <c r="P8" i="3"/>
  <c r="P1" i="3"/>
  <c r="Q50" i="2"/>
  <c r="G50" i="2"/>
  <c r="F50" i="2"/>
  <c r="P11" i="2" s="1"/>
  <c r="L50" i="2"/>
  <c r="K50" i="2"/>
  <c r="R18" i="2"/>
  <c r="I18" i="2"/>
  <c r="H18" i="2"/>
  <c r="E16" i="2"/>
  <c r="P1" i="2"/>
  <c r="P8" i="2" s="1"/>
  <c r="M50" i="2" l="1"/>
  <c r="P3" i="2" s="1"/>
  <c r="R50" i="2"/>
  <c r="K50" i="5"/>
  <c r="L50" i="5"/>
  <c r="M50" i="5" l="1"/>
  <c r="P3" i="5" s="1"/>
  <c r="R50" i="3"/>
  <c r="P7" i="2"/>
  <c r="V15" i="2"/>
  <c r="P9" i="2" s="1"/>
  <c r="R50" i="11"/>
  <c r="I50" i="2"/>
  <c r="P2" i="2" s="1"/>
  <c r="H50" i="2"/>
  <c r="I50" i="11"/>
  <c r="P2" i="11" s="1"/>
  <c r="I50" i="5"/>
  <c r="P2" i="5" s="1"/>
  <c r="H50" i="5"/>
  <c r="H50" i="11"/>
  <c r="H50" i="3"/>
  <c r="R50" i="5"/>
  <c r="I50" i="3"/>
  <c r="P2" i="3" s="1"/>
  <c r="M50" i="11"/>
  <c r="P3" i="11" s="1"/>
  <c r="M50" i="3"/>
  <c r="P3" i="3" s="1"/>
  <c r="S9" i="2" l="1"/>
  <c r="P5" i="5"/>
  <c r="P4" i="5"/>
  <c r="V15" i="5"/>
  <c r="P9" i="5" s="1"/>
  <c r="P7" i="5"/>
  <c r="S9" i="5" s="1"/>
  <c r="U9" i="5" s="1"/>
  <c r="P5" i="11"/>
  <c r="P4" i="11"/>
  <c r="S50" i="2"/>
  <c r="T50" i="2"/>
  <c r="P6" i="2" s="1"/>
  <c r="S50" i="11"/>
  <c r="T50" i="11"/>
  <c r="P6" i="11" s="1"/>
  <c r="V15" i="11"/>
  <c r="P9" i="11" s="1"/>
  <c r="P7" i="11"/>
  <c r="S50" i="3"/>
  <c r="T50" i="3"/>
  <c r="P6" i="3" s="1"/>
  <c r="P5" i="2"/>
  <c r="P4" i="2"/>
  <c r="V15" i="3"/>
  <c r="P9" i="3" s="1"/>
  <c r="P7" i="3"/>
  <c r="P5" i="3"/>
  <c r="P4" i="3"/>
  <c r="S50" i="5"/>
  <c r="T50" i="5"/>
  <c r="P6" i="5" s="1"/>
  <c r="T9" i="5" l="1"/>
  <c r="V9" i="5" s="1"/>
  <c r="T9" i="2"/>
  <c r="V9" i="2" s="1"/>
  <c r="U9" i="2"/>
  <c r="S9" i="3"/>
  <c r="S9" i="11"/>
  <c r="U9" i="3" l="1"/>
  <c r="T9" i="3"/>
  <c r="V9" i="3" s="1"/>
  <c r="U9" i="11"/>
  <c r="T9" i="11"/>
  <c r="V9" i="11" s="1"/>
</calcChain>
</file>

<file path=xl/sharedStrings.xml><?xml version="1.0" encoding="utf-8"?>
<sst xmlns="http://schemas.openxmlformats.org/spreadsheetml/2006/main" count="381" uniqueCount="114">
  <si>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</si>
  <si>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</si>
  <si>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</si>
  <si>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</si>
  <si>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</si>
  <si>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</si>
  <si>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</si>
  <si>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</si>
  <si>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</si>
  <si>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</si>
  <si>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</si>
  <si>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</si>
  <si>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</si>
  <si>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</si>
  <si>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</si>
  <si>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</si>
  <si>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</si>
  <si>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</si>
  <si>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</si>
  <si>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</si>
  <si>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</si>
  <si>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</si>
  <si>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</si>
  <si>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</si>
  <si>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</si>
  <si>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</si>
  <si>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</si>
  <si>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</si>
  <si>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</si>
  <si>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</si>
  <si>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</si>
  <si>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</si>
  <si>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</si>
  <si>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</si>
  <si>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</si>
  <si>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</si>
  <si>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</si>
  <si>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</si>
  <si>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</si>
  <si>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</si>
  <si>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</si>
  <si>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</si>
  <si>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</si>
  <si>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</si>
  <si>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</si>
  <si>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</si>
  <si>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</si>
  <si>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</si>
  <si>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</si>
  <si>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</si>
  <si>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</si>
  <si>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</si>
  <si>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</si>
  <si>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</si>
  <si>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</si>
  <si>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</si>
  <si>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</si>
  <si>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</si>
  <si>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</si>
  <si>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</si>
  <si>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</si>
  <si>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</si>
  <si>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</si>
  <si>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</si>
  <si>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</si>
  <si>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</si>
  <si>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</si>
  <si>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</si>
  <si>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</si>
  <si>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</si>
  <si>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</si>
  <si>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</si>
  <si>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</si>
  <si>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</si>
  <si>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</si>
  <si>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</si>
  <si>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</si>
  <si>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</si>
  <si>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</si>
  <si>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</si>
  <si>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</si>
  <si>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</si>
  <si>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</si>
  <si>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</si>
  <si>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</si>
  <si>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</si>
  <si>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</si>
  <si>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</si>
  <si>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</si>
  <si>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</si>
  <si>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</si>
  <si>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</si>
  <si>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</si>
  <si>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</si>
  <si>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</si>
  <si>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</si>
  <si>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</si>
  <si>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</si>
  <si>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</si>
  <si>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</si>
  <si>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</si>
  <si>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</si>
  <si>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</si>
  <si>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</si>
  <si>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</si>
  <si>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</si>
  <si>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</si>
  <si>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</si>
  <si>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</si>
  <si>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Excavator</t>
  </si>
  <si>
    <t>GR-001</t>
  </si>
  <si>
    <t>Caterpillar</t>
  </si>
  <si>
    <t>140H Motor Grader</t>
  </si>
  <si>
    <t>CAT0140HCB9E00740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</si>
</sst>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"/>
    <numFmt numFmtId="165" formatCode="&quot;$&quot;#,##0.00"/>
    <numFmt numFmtId="166" formatCode="_(&quot;$&quot;* #,##0.00_);_(&quot;$&quot;* \(#,##0.00\);_(&quot;$&quot;* &quot;-&quot;??_);_(@_)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2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166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166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0" borderId="96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166" fontId="5" fillId="0" borderId="44" xfId="0" applyNumberFormat="1" applyFont="1" applyBorder="1"/>
    <xf numFmtId="166" fontId="5" fillId="0" borderId="96" xfId="0" applyNumberFormat="1" applyFont="1" applyBorder="1"/>
    <xf numFmtId="166" fontId="5" fillId="7" borderId="22" xfId="0" applyNumberFormat="1" applyFont="1" applyFill="1" applyBorder="1"/>
    <xf numFmtId="9" fontId="5" fillId="0" borderId="96" xfId="0" applyNumberFormat="1" applyFont="1" applyBorder="1"/>
    <xf numFmtId="9" fontId="5" fillId="7" borderId="22" xfId="0" applyNumberFormat="1" applyFont="1" applyFill="1" applyBorder="1"/>
    <xf numFmtId="166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166" fontId="5" fillId="5" borderId="24" xfId="0" applyNumberFormat="1" applyFont="1" applyFill="1" applyBorder="1"/>
    <xf numFmtId="166" fontId="5" fillId="12" borderId="97" xfId="0" applyNumberFormat="1" applyFont="1" applyFill="1" applyBorder="1"/>
    <xf numFmtId="166" fontId="5" fillId="12" borderId="13" xfId="0" applyNumberFormat="1" applyFont="1" applyFill="1" applyBorder="1"/>
    <xf numFmtId="166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166" fontId="5" fillId="12" borderId="24" xfId="0" applyNumberFormat="1" applyFont="1" applyFill="1" applyBorder="1"/>
    <xf numFmtId="166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166" fontId="8" fillId="12" borderId="24" xfId="0" applyNumberFormat="1" applyFont="1" applyFill="1" applyBorder="1" applyAlignment="1">
      <alignment horizontal="center"/>
    </xf>
    <xf numFmtId="166" fontId="8" fillId="12" borderId="24" xfId="0" applyNumberFormat="1" applyFont="1" applyFill="1" applyBorder="1" applyAlignment="1">
      <alignment horizontal="right"/>
    </xf>
    <xf numFmtId="166" fontId="8" fillId="12" borderId="24" xfId="0" applyNumberFormat="1" applyFont="1" applyFill="1" applyBorder="1"/>
    <xf numFmtId="166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166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164" fontId="5" fillId="5" borderId="13" xfId="0" applyNumberFormat="1" applyFont="1" applyFill="1" applyBorder="1" applyAlignment="1">
      <alignment horizontal="left"/>
    </xf>
    <xf numFmtId="1" fontId="11" fillId="5" borderId="23" xfId="0" applyNumberFormat="1" applyFont="1" applyFill="1" applyBorder="1" applyAlignment="1">
      <alignment horizontal="left"/>
    </xf>
    <xf numFmtId="0" fontId="8" fillId="8" borderId="1" xfId="0" applyFont="1" applyFill="1" applyBorder="1" applyAlignment="1">
      <alignment horizontal="right"/>
    </xf>
    <xf numFmtId="11" fontId="5" fillId="5" borderId="24" xfId="0" applyNumberFormat="1" applyFont="1" applyFill="1" applyBorder="1" applyAlignment="1">
      <alignment horizontal="left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6" fillId="3" borderId="101" xfId="0" applyFont="1" applyFill="1" applyBorder="1" applyAlignment="1">
      <alignment horizontal="center"/>
    </xf>
    <xf numFmtId="0" fontId="5" fillId="5" borderId="18" xfId="0" applyFont="1" applyFill="1" applyBorder="1" applyAlignment="1">
      <alignment horizontal="left"/>
    </xf>
  </cellXfs>
  <cellStyles count="1">
    <cellStyle name="Normal" xfId="0" builtinId="0"/>
  </cellStyles>
  <dxfs count="16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7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4296875" defaultRowHeight="15" customHeight="1"/>
  <cols>
    <col min="1" max="1" width="5.453125" customWidth="1"/>
    <col min="2" max="26" width="8.54296875" customWidth="1"/>
  </cols>
  <sheetData>
    <row r="1" spans="1:2" ht="14.5">
      <c r="A1" s="1" t="s">
        <v>0</v>
      </c>
    </row>
    <row r="2" spans="1:2" ht="14.5">
      <c r="A2" s="1" t="s">
        <v>1</v>
      </c>
    </row>
    <row r="4" spans="1:2" ht="14.5">
      <c r="A4" s="2" t="s">
        <v>2</v>
      </c>
    </row>
    <row r="5" spans="1:2" ht="14.5">
      <c r="A5" s="2" t="s">
        <v>3</v>
      </c>
    </row>
    <row r="7" spans="1:2" ht="14.5">
      <c r="A7" s="3" t="s">
        <v>4</v>
      </c>
    </row>
    <row r="8" spans="1:2" ht="14.5">
      <c r="B8" s="2" t="s">
        <v>5</v>
      </c>
    </row>
    <row r="10" spans="1:2" ht="14.5">
      <c r="A10" s="3" t="s">
        <v>6</v>
      </c>
    </row>
    <row r="11" spans="1:2" ht="14.5">
      <c r="B11" s="4" t="s">
        <v>7</v>
      </c>
    </row>
    <row r="12" spans="1:2" ht="14.5">
      <c r="B12" s="4" t="s">
        <v>8</v>
      </c>
    </row>
    <row r="13" spans="1:2" ht="14.5">
      <c r="B13" s="4" t="s">
        <v>9</v>
      </c>
    </row>
    <row r="15" spans="1:2" ht="14.5">
      <c r="A15" s="3" t="s">
        <v>10</v>
      </c>
    </row>
    <row r="16" spans="1:2" ht="14.5">
      <c r="B16" s="4" t="s">
        <v>11</v>
      </c>
    </row>
    <row r="17" spans="1:10" ht="14.5">
      <c r="B17" s="4" t="s">
        <v>12</v>
      </c>
    </row>
    <row r="19" spans="1:10" ht="14.5">
      <c r="A19" s="3" t="s">
        <v>13</v>
      </c>
    </row>
    <row r="20" spans="1:10" ht="14.5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2" sqref="G2:H7"/>
    </sheetView>
  </sheetViews>
  <sheetFormatPr defaultColWidth="12.54296875" defaultRowHeight="15" customHeight="1"/>
  <cols>
    <col min="1" max="1" width="0.81640625" customWidth="1"/>
    <col min="2" max="2" width="25.7265625" customWidth="1"/>
    <col min="3" max="3" width="43.26953125" customWidth="1"/>
    <col min="4" max="4" width="0.81640625" customWidth="1"/>
    <col min="5" max="6" width="9.7265625" customWidth="1"/>
    <col min="7" max="9" width="18.7265625" customWidth="1"/>
    <col min="10" max="10" width="0.81640625" customWidth="1"/>
    <col min="11" max="11" width="9.54296875" customWidth="1"/>
    <col min="12" max="13" width="18.7265625" customWidth="1"/>
    <col min="14" max="14" width="13.7265625" customWidth="1"/>
    <col min="15" max="15" width="0.81640625" customWidth="1"/>
    <col min="16" max="16" width="17.81640625" customWidth="1"/>
    <col min="17" max="20" width="18.7265625" customWidth="1"/>
    <col min="21" max="21" width="15" customWidth="1"/>
    <col min="22" max="22" width="14.7265625" customWidth="1"/>
    <col min="23" max="23" width="13.453125" hidden="1" customWidth="1"/>
    <col min="24" max="24" width="0.81640625" customWidth="1"/>
    <col min="25" max="26" width="9.1796875" hidden="1" customWidth="1"/>
    <col min="27" max="27" width="9.1796875" customWidth="1"/>
    <col min="28" max="28" width="10.54296875" customWidth="1"/>
  </cols>
  <sheetData>
    <row r="1" spans="2:25" ht="23.25" customHeight="1">
      <c r="B1" s="205" t="s">
        <v>29</v>
      </c>
      <c r="C1" s="206"/>
      <c r="D1" s="207" t="s">
        <v>30</v>
      </c>
      <c r="E1" s="208"/>
      <c r="F1" s="208"/>
      <c r="G1" s="208"/>
      <c r="H1" s="157"/>
      <c r="I1" s="205" t="s">
        <v>31</v>
      </c>
      <c r="J1" s="209"/>
      <c r="K1" s="209"/>
      <c r="L1" s="183"/>
      <c r="M1" s="210" t="s">
        <v>32</v>
      </c>
      <c r="N1" s="211"/>
      <c r="O1" s="212"/>
      <c r="P1" s="213" t="str">
        <f>L18</f>
        <v>CAD $</v>
      </c>
      <c r="Q1" s="209"/>
      <c r="R1" s="183"/>
      <c r="S1" s="205" t="s">
        <v>33</v>
      </c>
      <c r="T1" s="209"/>
      <c r="U1" s="209"/>
      <c r="V1" s="209"/>
      <c r="W1" s="183"/>
      <c r="X1" s="6"/>
      <c r="Y1" s="7"/>
    </row>
    <row r="2" spans="2:25" ht="15" customHeight="1">
      <c r="B2" s="9" t="s">
        <v>34</v>
      </c>
      <c r="C2" s="10"/>
      <c r="D2" s="136" t="s">
        <v>35</v>
      </c>
      <c r="E2" s="137"/>
      <c r="F2" s="138"/>
      <c r="G2" s="139"/>
      <c r="H2" s="138"/>
      <c r="I2" s="215" t="s">
        <v>36</v>
      </c>
      <c r="J2" s="144"/>
      <c r="K2" s="145"/>
      <c r="L2" s="12"/>
      <c r="M2" s="214" t="s">
        <v>37</v>
      </c>
      <c r="N2" s="145"/>
      <c r="O2" s="13"/>
      <c r="P2" s="225">
        <f>I50</f>
        <v>0</v>
      </c>
      <c r="Q2" s="144"/>
      <c r="R2" s="145"/>
      <c r="S2" s="214" t="s">
        <v>38</v>
      </c>
      <c r="T2" s="145"/>
      <c r="U2" s="224"/>
      <c r="V2" s="145"/>
      <c r="W2" s="14"/>
      <c r="X2" s="15"/>
      <c r="Y2" s="7"/>
    </row>
    <row r="3" spans="2:25" ht="15" customHeight="1">
      <c r="B3" s="16" t="s">
        <v>39</v>
      </c>
      <c r="C3" s="11"/>
      <c r="D3" s="136" t="s">
        <v>40</v>
      </c>
      <c r="E3" s="137"/>
      <c r="F3" s="138"/>
      <c r="G3" s="139"/>
      <c r="H3" s="138"/>
      <c r="I3" s="136" t="s">
        <v>41</v>
      </c>
      <c r="J3" s="137"/>
      <c r="K3" s="138"/>
      <c r="L3" s="17"/>
      <c r="M3" s="185" t="s">
        <v>42</v>
      </c>
      <c r="N3" s="138"/>
      <c r="O3" s="13"/>
      <c r="P3" s="226">
        <f>M50</f>
        <v>0</v>
      </c>
      <c r="Q3" s="137"/>
      <c r="R3" s="138"/>
      <c r="S3" s="185" t="s">
        <v>43</v>
      </c>
      <c r="T3" s="138"/>
      <c r="U3" s="218"/>
      <c r="V3" s="138"/>
      <c r="W3" s="18"/>
      <c r="X3" s="5"/>
      <c r="Y3" s="19"/>
    </row>
    <row r="4" spans="2:25" ht="15" customHeight="1">
      <c r="B4" s="20" t="s">
        <v>44</v>
      </c>
      <c r="C4" s="11"/>
      <c r="D4" s="136" t="s">
        <v>45</v>
      </c>
      <c r="E4" s="137"/>
      <c r="F4" s="138"/>
      <c r="G4" s="139"/>
      <c r="H4" s="138"/>
      <c r="I4" s="136" t="s">
        <v>46</v>
      </c>
      <c r="J4" s="137"/>
      <c r="K4" s="138"/>
      <c r="L4" s="17"/>
      <c r="M4" s="185" t="s">
        <v>47</v>
      </c>
      <c r="N4" s="138"/>
      <c r="O4" s="13"/>
      <c r="P4" s="226">
        <f>P2-P3</f>
        <v>0</v>
      </c>
      <c r="Q4" s="137"/>
      <c r="R4" s="138"/>
      <c r="S4" s="185" t="s">
        <v>48</v>
      </c>
      <c r="T4" s="138"/>
      <c r="U4" s="218"/>
      <c r="V4" s="138"/>
      <c r="W4" s="18"/>
      <c r="X4" s="5"/>
      <c r="Y4" s="19"/>
    </row>
    <row r="5" spans="2:25" ht="15" customHeight="1">
      <c r="B5" s="20" t="s">
        <v>49</v>
      </c>
      <c r="C5" s="11"/>
      <c r="D5" s="136" t="s">
        <v>50</v>
      </c>
      <c r="E5" s="137"/>
      <c r="F5" s="138"/>
      <c r="G5" s="139"/>
      <c r="H5" s="138"/>
      <c r="I5" s="136" t="s">
        <v>51</v>
      </c>
      <c r="J5" s="137"/>
      <c r="K5" s="138"/>
      <c r="L5" s="17"/>
      <c r="M5" s="220" t="s">
        <v>52</v>
      </c>
      <c r="N5" s="221"/>
      <c r="O5" s="13"/>
      <c r="P5" s="227" t="str">
        <f>IFERROR((P2-P3)/P2,"")</f>
        <v/>
      </c>
      <c r="Q5" s="228"/>
      <c r="R5" s="221"/>
      <c r="S5" s="185" t="s">
        <v>53</v>
      </c>
      <c r="T5" s="138"/>
      <c r="U5" s="218"/>
      <c r="V5" s="138"/>
      <c r="W5" s="18"/>
      <c r="X5" s="5"/>
      <c r="Y5" s="19"/>
    </row>
    <row r="6" spans="2:25" ht="15" customHeight="1">
      <c r="B6" s="20" t="s">
        <v>54</v>
      </c>
      <c r="C6" s="21"/>
      <c r="D6" s="136" t="s">
        <v>55</v>
      </c>
      <c r="E6" s="137"/>
      <c r="F6" s="138"/>
      <c r="G6" s="139"/>
      <c r="H6" s="138"/>
      <c r="I6" s="136" t="s">
        <v>56</v>
      </c>
      <c r="J6" s="137"/>
      <c r="K6" s="138"/>
      <c r="L6" s="17"/>
      <c r="M6" s="222" t="s">
        <v>57</v>
      </c>
      <c r="N6" s="223"/>
      <c r="O6" s="13"/>
      <c r="P6" s="229">
        <f>T50</f>
        <v>0</v>
      </c>
      <c r="Q6" s="230"/>
      <c r="R6" s="223"/>
      <c r="S6" s="185" t="s">
        <v>58</v>
      </c>
      <c r="T6" s="138"/>
      <c r="U6" s="218"/>
      <c r="V6" s="138"/>
      <c r="W6" s="22"/>
      <c r="X6" s="23"/>
      <c r="Y6" s="24"/>
    </row>
    <row r="7" spans="2:25" ht="15" customHeight="1">
      <c r="B7" s="20" t="s">
        <v>59</v>
      </c>
      <c r="C7" s="11"/>
      <c r="D7" s="136" t="s">
        <v>60</v>
      </c>
      <c r="E7" s="137"/>
      <c r="F7" s="138"/>
      <c r="G7" s="25"/>
      <c r="H7" s="25"/>
      <c r="I7" s="136" t="s">
        <v>61</v>
      </c>
      <c r="J7" s="137"/>
      <c r="K7" s="138"/>
      <c r="L7" s="17"/>
      <c r="M7" s="146" t="s">
        <v>62</v>
      </c>
      <c r="N7" s="138"/>
      <c r="O7" s="13"/>
      <c r="P7" s="184">
        <f>R50</f>
        <v>0</v>
      </c>
      <c r="Q7" s="137"/>
      <c r="R7" s="138"/>
      <c r="S7" s="216" t="s">
        <v>63</v>
      </c>
      <c r="T7" s="217"/>
      <c r="U7" s="219"/>
      <c r="V7" s="217"/>
      <c r="W7" s="22"/>
      <c r="X7" s="26"/>
      <c r="Y7" s="8"/>
    </row>
    <row r="8" spans="2:25" ht="15" customHeight="1">
      <c r="B8" s="27"/>
      <c r="C8" s="28"/>
      <c r="D8" s="136" t="s">
        <v>64</v>
      </c>
      <c r="E8" s="137"/>
      <c r="F8" s="138"/>
      <c r="G8" s="139"/>
      <c r="H8" s="138"/>
      <c r="I8" s="136" t="s">
        <v>65</v>
      </c>
      <c r="J8" s="137"/>
      <c r="K8" s="138"/>
      <c r="L8" s="17"/>
      <c r="M8" s="146" t="s">
        <v>66</v>
      </c>
      <c r="N8" s="138"/>
      <c r="O8" s="13"/>
      <c r="P8" s="184">
        <f>IF(P1=Q15,R15,IF(Q15="CAD $",R15*E16,IF(Q15="USD $",R15*F16,0)))</f>
        <v>0</v>
      </c>
      <c r="Q8" s="137"/>
      <c r="R8" s="138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6" t="s">
        <v>71</v>
      </c>
      <c r="E9" s="137"/>
      <c r="F9" s="138"/>
      <c r="G9" s="139"/>
      <c r="H9" s="138"/>
      <c r="I9" s="35"/>
      <c r="J9" s="36"/>
      <c r="K9" s="36"/>
      <c r="L9" s="37"/>
      <c r="M9" s="146" t="s">
        <v>72</v>
      </c>
      <c r="N9" s="138"/>
      <c r="O9" s="13"/>
      <c r="P9" s="192">
        <f>V15</f>
        <v>0</v>
      </c>
      <c r="Q9" s="137"/>
      <c r="R9" s="138"/>
      <c r="S9" s="193">
        <f>P7+P8+P9</f>
        <v>0</v>
      </c>
      <c r="T9" s="193">
        <f>P3-S9</f>
        <v>0</v>
      </c>
      <c r="U9" s="186">
        <f>IFERROR(((P3-S9)/S9),0)</f>
        <v>0</v>
      </c>
      <c r="V9" s="186">
        <f>IFERROR(T9/P3,0)</f>
        <v>0</v>
      </c>
      <c r="W9" s="189"/>
      <c r="X9" s="33"/>
      <c r="Y9" s="8"/>
    </row>
    <row r="10" spans="2:25" ht="15" customHeight="1">
      <c r="B10" s="34"/>
      <c r="C10" s="28"/>
      <c r="D10" s="136" t="s">
        <v>73</v>
      </c>
      <c r="E10" s="137"/>
      <c r="F10" s="138"/>
      <c r="G10" s="139" t="s">
        <v>108</v>
      </c>
      <c r="H10" s="138"/>
      <c r="I10" s="35"/>
      <c r="J10" s="36"/>
      <c r="K10" s="36"/>
      <c r="L10" s="37"/>
      <c r="M10" s="146"/>
      <c r="N10" s="138"/>
      <c r="O10" s="13"/>
      <c r="P10" s="192"/>
      <c r="Q10" s="137"/>
      <c r="R10" s="138"/>
      <c r="S10" s="187"/>
      <c r="T10" s="187"/>
      <c r="U10" s="187"/>
      <c r="V10" s="187"/>
      <c r="W10" s="190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5" t="s">
        <v>74</v>
      </c>
      <c r="N11" s="138"/>
      <c r="O11" s="13"/>
      <c r="P11" s="194">
        <f>F50</f>
        <v>0</v>
      </c>
      <c r="Q11" s="137"/>
      <c r="R11" s="138"/>
      <c r="S11" s="188"/>
      <c r="T11" s="188"/>
      <c r="U11" s="188"/>
      <c r="V11" s="188"/>
      <c r="W11" s="191"/>
      <c r="X11" s="33"/>
      <c r="Y11" s="8"/>
    </row>
    <row r="12" spans="2:25" ht="15" customHeight="1">
      <c r="B12" s="172"/>
      <c r="C12" s="173"/>
      <c r="D12" s="41"/>
      <c r="E12" s="178" t="s">
        <v>75</v>
      </c>
      <c r="F12" s="179"/>
      <c r="G12" s="181" t="s">
        <v>37</v>
      </c>
      <c r="H12" s="148"/>
      <c r="I12" s="149"/>
      <c r="J12" s="42"/>
      <c r="K12" s="147" t="s">
        <v>76</v>
      </c>
      <c r="L12" s="148"/>
      <c r="M12" s="148"/>
      <c r="N12" s="149"/>
      <c r="O12" s="13"/>
      <c r="P12" s="195" t="s">
        <v>77</v>
      </c>
      <c r="Q12" s="148"/>
      <c r="R12" s="148"/>
      <c r="S12" s="148"/>
      <c r="T12" s="148"/>
      <c r="U12" s="148"/>
      <c r="V12" s="179"/>
      <c r="W12" s="43"/>
      <c r="X12" s="44"/>
      <c r="Y12" s="8" t="s">
        <v>78</v>
      </c>
    </row>
    <row r="13" spans="2:25" ht="15" customHeight="1">
      <c r="B13" s="174"/>
      <c r="C13" s="175"/>
      <c r="D13" s="45"/>
      <c r="E13" s="150"/>
      <c r="F13" s="180"/>
      <c r="G13" s="176"/>
      <c r="H13" s="154"/>
      <c r="I13" s="155"/>
      <c r="J13" s="46"/>
      <c r="K13" s="150"/>
      <c r="L13" s="151"/>
      <c r="M13" s="151"/>
      <c r="N13" s="152"/>
      <c r="O13" s="47"/>
      <c r="P13" s="150"/>
      <c r="Q13" s="151"/>
      <c r="R13" s="151"/>
      <c r="S13" s="151"/>
      <c r="T13" s="151"/>
      <c r="U13" s="151"/>
      <c r="V13" s="180"/>
      <c r="W13" s="48"/>
      <c r="X13" s="44"/>
      <c r="Y13" s="8" t="s">
        <v>79</v>
      </c>
    </row>
    <row r="14" spans="2:25" ht="15" customHeight="1">
      <c r="B14" s="174"/>
      <c r="C14" s="175"/>
      <c r="D14" s="45"/>
      <c r="E14" s="153"/>
      <c r="F14" s="158"/>
      <c r="G14" s="182" t="s">
        <v>80</v>
      </c>
      <c r="H14" s="183"/>
      <c r="I14" s="49" t="s">
        <v>81</v>
      </c>
      <c r="J14" s="50"/>
      <c r="K14" s="153"/>
      <c r="L14" s="154"/>
      <c r="M14" s="154"/>
      <c r="N14" s="155"/>
      <c r="O14" s="47"/>
      <c r="P14" s="196"/>
      <c r="Q14" s="197"/>
      <c r="R14" s="197"/>
      <c r="S14" s="197"/>
      <c r="T14" s="197"/>
      <c r="U14" s="197"/>
      <c r="V14" s="198"/>
      <c r="W14" s="51"/>
      <c r="X14" s="44"/>
      <c r="Y14" s="8" t="s">
        <v>81</v>
      </c>
    </row>
    <row r="15" spans="2:25" ht="30" customHeight="1">
      <c r="B15" s="174"/>
      <c r="C15" s="175"/>
      <c r="D15" s="45"/>
      <c r="E15" s="52" t="s">
        <v>82</v>
      </c>
      <c r="F15" s="53" t="s">
        <v>83</v>
      </c>
      <c r="G15" s="143" t="s">
        <v>84</v>
      </c>
      <c r="H15" s="144"/>
      <c r="I15" s="145"/>
      <c r="J15" s="54"/>
      <c r="K15" s="156" t="s">
        <v>85</v>
      </c>
      <c r="L15" s="157"/>
      <c r="M15" s="15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>
      <c r="B16" s="176"/>
      <c r="C16" s="177"/>
      <c r="D16" s="45"/>
      <c r="E16" s="63">
        <f>1/F16</f>
        <v>0.7246376811594204</v>
      </c>
      <c r="F16" s="64">
        <v>1.38</v>
      </c>
      <c r="G16" s="140"/>
      <c r="H16" s="137"/>
      <c r="I16" s="138"/>
      <c r="J16" s="65"/>
      <c r="K16" s="153"/>
      <c r="L16" s="158"/>
      <c r="M16" s="160"/>
      <c r="N16" s="161" t="s">
        <v>90</v>
      </c>
      <c r="O16" s="56"/>
      <c r="P16" s="199" t="s">
        <v>91</v>
      </c>
      <c r="Q16" s="200"/>
      <c r="R16" s="200"/>
      <c r="S16" s="200"/>
      <c r="T16" s="200"/>
      <c r="U16" s="200"/>
      <c r="V16" s="201"/>
      <c r="W16" s="66"/>
      <c r="X16" s="67"/>
      <c r="Y16" s="8"/>
    </row>
    <row r="17" spans="2:26" ht="15" customHeight="1">
      <c r="B17" s="167" t="s">
        <v>92</v>
      </c>
      <c r="C17" s="168" t="s">
        <v>93</v>
      </c>
      <c r="D17" s="68"/>
      <c r="E17" s="170" t="s">
        <v>94</v>
      </c>
      <c r="F17" s="171" t="s">
        <v>95</v>
      </c>
      <c r="G17" s="141" t="s">
        <v>96</v>
      </c>
      <c r="H17" s="142"/>
      <c r="I17" s="69" t="s">
        <v>97</v>
      </c>
      <c r="J17" s="70"/>
      <c r="K17" s="164" t="s">
        <v>95</v>
      </c>
      <c r="L17" s="71" t="s">
        <v>98</v>
      </c>
      <c r="M17" s="72" t="s">
        <v>99</v>
      </c>
      <c r="N17" s="162"/>
      <c r="O17" s="73"/>
      <c r="P17" s="20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60"/>
      <c r="C18" s="169"/>
      <c r="D18" s="78"/>
      <c r="E18" s="165"/>
      <c r="F18" s="160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5"/>
      <c r="L18" s="166" t="s">
        <v>78</v>
      </c>
      <c r="M18" s="145"/>
      <c r="N18" s="163"/>
      <c r="O18" s="82"/>
      <c r="P18" s="203"/>
      <c r="Q18" s="58" t="s">
        <v>79</v>
      </c>
      <c r="R18" s="204" t="str">
        <f>L18</f>
        <v>CAD $</v>
      </c>
      <c r="S18" s="144"/>
      <c r="T18" s="144"/>
      <c r="U18" s="144"/>
      <c r="V18" s="145"/>
      <c r="W18" s="83"/>
      <c r="X18" s="84"/>
      <c r="Y18" s="85"/>
      <c r="Z18" s="85"/>
    </row>
    <row r="19" spans="2:26" ht="14.5">
      <c r="B19" s="86"/>
      <c r="C19" s="87"/>
      <c r="D19" s="88"/>
      <c r="E19" s="89"/>
      <c r="F19" s="90"/>
      <c r="G19" s="91"/>
      <c r="H19" s="91"/>
      <c r="I19" s="92"/>
      <c r="J19" s="93"/>
      <c r="K19" s="90"/>
      <c r="L19" s="91"/>
      <c r="M19" s="91"/>
      <c r="N19" s="94"/>
      <c r="O19" s="95"/>
      <c r="P19" s="86"/>
      <c r="Q19" s="96"/>
      <c r="R19" s="96"/>
      <c r="S19" s="96"/>
      <c r="T19" s="96"/>
      <c r="U19" s="97"/>
      <c r="V19" s="97"/>
      <c r="W19" s="98"/>
      <c r="X19" s="99"/>
      <c r="Y19" s="8"/>
      <c r="Z19" s="8"/>
    </row>
    <row r="20" spans="2:26" ht="14.5">
      <c r="B20" s="100"/>
      <c r="C20" s="101"/>
      <c r="D20" s="88"/>
      <c r="E20" s="102"/>
      <c r="F20" s="103"/>
      <c r="G20" s="104"/>
      <c r="H20" s="105"/>
      <c r="I20" s="106"/>
      <c r="J20" s="107"/>
      <c r="K20" s="108"/>
      <c r="L20" s="105"/>
      <c r="M20" s="105"/>
      <c r="N20" s="109"/>
      <c r="O20" s="95"/>
      <c r="P20" s="100"/>
      <c r="Q20" s="104"/>
      <c r="R20" s="110"/>
      <c r="S20" s="111"/>
      <c r="T20" s="111"/>
      <c r="U20" s="112"/>
      <c r="V20" s="112"/>
      <c r="W20" s="113"/>
      <c r="X20" s="99"/>
      <c r="Y20" s="8"/>
      <c r="Z20" s="8"/>
    </row>
    <row r="21" spans="2:26" ht="14.5">
      <c r="B21" s="86"/>
      <c r="C21" s="114"/>
      <c r="D21" s="88"/>
      <c r="E21" s="89"/>
      <c r="F21" s="115"/>
      <c r="G21" s="96"/>
      <c r="H21" s="91"/>
      <c r="I21" s="92"/>
      <c r="J21" s="107"/>
      <c r="K21" s="90"/>
      <c r="L21" s="91"/>
      <c r="M21" s="91"/>
      <c r="N21" s="116"/>
      <c r="O21" s="95"/>
      <c r="P21" s="117"/>
      <c r="Q21" s="96"/>
      <c r="R21" s="96"/>
      <c r="S21" s="96"/>
      <c r="T21" s="96"/>
      <c r="U21" s="97"/>
      <c r="V21" s="97"/>
      <c r="W21" s="98"/>
      <c r="X21" s="99"/>
      <c r="Y21" s="8"/>
      <c r="Z21" s="8"/>
    </row>
    <row r="22" spans="2:26" ht="15.75" customHeight="1">
      <c r="B22" s="100"/>
      <c r="C22" s="101"/>
      <c r="D22" s="88"/>
      <c r="E22" s="102"/>
      <c r="F22" s="103"/>
      <c r="G22" s="104"/>
      <c r="H22" s="105"/>
      <c r="I22" s="106"/>
      <c r="J22" s="107"/>
      <c r="K22" s="108"/>
      <c r="L22" s="105"/>
      <c r="M22" s="105"/>
      <c r="N22" s="109"/>
      <c r="O22" s="95"/>
      <c r="P22" s="100"/>
      <c r="Q22" s="104"/>
      <c r="R22" s="110"/>
      <c r="S22" s="111"/>
      <c r="T22" s="111"/>
      <c r="U22" s="112"/>
      <c r="V22" s="112"/>
      <c r="W22" s="113"/>
      <c r="X22" s="99"/>
      <c r="Y22" s="8"/>
      <c r="Z22" s="8"/>
    </row>
    <row r="23" spans="2:26" ht="15.75" customHeight="1">
      <c r="B23" s="86"/>
      <c r="C23" s="114"/>
      <c r="D23" s="88"/>
      <c r="E23" s="89"/>
      <c r="F23" s="115"/>
      <c r="G23" s="96"/>
      <c r="H23" s="91"/>
      <c r="I23" s="92"/>
      <c r="J23" s="107"/>
      <c r="K23" s="90"/>
      <c r="L23" s="91"/>
      <c r="M23" s="91"/>
      <c r="N23" s="116"/>
      <c r="O23" s="95"/>
      <c r="P23" s="117"/>
      <c r="Q23" s="96"/>
      <c r="R23" s="96"/>
      <c r="S23" s="96"/>
      <c r="T23" s="96"/>
      <c r="U23" s="97"/>
      <c r="V23" s="97"/>
      <c r="W23" s="98"/>
      <c r="X23" s="99"/>
      <c r="Y23" s="8"/>
      <c r="Z23" s="8"/>
    </row>
    <row r="24" spans="2:26" ht="15.75" customHeight="1">
      <c r="B24" s="100"/>
      <c r="C24" s="101"/>
      <c r="D24" s="88"/>
      <c r="E24" s="102"/>
      <c r="F24" s="103"/>
      <c r="G24" s="104"/>
      <c r="H24" s="105"/>
      <c r="I24" s="106"/>
      <c r="J24" s="107"/>
      <c r="K24" s="108"/>
      <c r="L24" s="105"/>
      <c r="M24" s="105"/>
      <c r="N24" s="109"/>
      <c r="O24" s="95"/>
      <c r="P24" s="100"/>
      <c r="Q24" s="104"/>
      <c r="R24" s="110"/>
      <c r="S24" s="111"/>
      <c r="T24" s="111"/>
      <c r="U24" s="112"/>
      <c r="V24" s="112"/>
      <c r="W24" s="113"/>
      <c r="X24" s="99"/>
      <c r="Y24" s="8"/>
      <c r="Z24" s="8"/>
    </row>
    <row r="25" spans="2:26" ht="15.75" customHeight="1">
      <c r="B25" s="86"/>
      <c r="C25" s="114"/>
      <c r="D25" s="88"/>
      <c r="E25" s="89"/>
      <c r="F25" s="115"/>
      <c r="G25" s="96"/>
      <c r="H25" s="91"/>
      <c r="I25" s="92"/>
      <c r="J25" s="107"/>
      <c r="K25" s="90"/>
      <c r="L25" s="91"/>
      <c r="M25" s="91"/>
      <c r="N25" s="116"/>
      <c r="O25" s="95"/>
      <c r="P25" s="117"/>
      <c r="Q25" s="96"/>
      <c r="R25" s="96"/>
      <c r="S25" s="96"/>
      <c r="T25" s="96"/>
      <c r="U25" s="97"/>
      <c r="V25" s="97"/>
      <c r="W25" s="98"/>
      <c r="X25" s="99"/>
      <c r="Y25" s="8"/>
      <c r="Z25" s="8"/>
    </row>
    <row r="26" spans="2:26" ht="15.75" customHeight="1">
      <c r="B26" s="100"/>
      <c r="C26" s="101"/>
      <c r="D26" s="88"/>
      <c r="E26" s="102"/>
      <c r="F26" s="103"/>
      <c r="G26" s="104"/>
      <c r="H26" s="105"/>
      <c r="I26" s="106"/>
      <c r="J26" s="107"/>
      <c r="K26" s="108"/>
      <c r="L26" s="105"/>
      <c r="M26" s="105"/>
      <c r="N26" s="109"/>
      <c r="O26" s="95"/>
      <c r="P26" s="100"/>
      <c r="Q26" s="104"/>
      <c r="R26" s="110"/>
      <c r="S26" s="111"/>
      <c r="T26" s="111"/>
      <c r="U26" s="112"/>
      <c r="V26" s="112"/>
      <c r="W26" s="113"/>
      <c r="X26" s="99"/>
      <c r="Y26" s="8"/>
      <c r="Z26" s="8"/>
    </row>
    <row r="27" spans="2:26" ht="15.75" customHeight="1">
      <c r="B27" s="86"/>
      <c r="C27" s="114"/>
      <c r="D27" s="88"/>
      <c r="E27" s="89"/>
      <c r="F27" s="115"/>
      <c r="G27" s="96"/>
      <c r="H27" s="91"/>
      <c r="I27" s="92"/>
      <c r="J27" s="107"/>
      <c r="K27" s="90"/>
      <c r="L27" s="91"/>
      <c r="M27" s="91"/>
      <c r="N27" s="116"/>
      <c r="O27" s="95"/>
      <c r="P27" s="117"/>
      <c r="Q27" s="96"/>
      <c r="R27" s="96"/>
      <c r="S27" s="96"/>
      <c r="T27" s="96"/>
      <c r="U27" s="97"/>
      <c r="V27" s="97"/>
      <c r="W27" s="98"/>
      <c r="X27" s="99"/>
      <c r="Y27" s="8"/>
      <c r="Z27" s="8"/>
    </row>
    <row r="28" spans="2:26" ht="15.75" customHeight="1">
      <c r="B28" s="100"/>
      <c r="C28" s="101"/>
      <c r="D28" s="88"/>
      <c r="E28" s="102"/>
      <c r="F28" s="103"/>
      <c r="G28" s="104"/>
      <c r="H28" s="105"/>
      <c r="I28" s="106"/>
      <c r="J28" s="107"/>
      <c r="K28" s="108"/>
      <c r="L28" s="105"/>
      <c r="M28" s="105"/>
      <c r="N28" s="109"/>
      <c r="O28" s="95"/>
      <c r="P28" s="100"/>
      <c r="Q28" s="104"/>
      <c r="R28" s="110"/>
      <c r="S28" s="111"/>
      <c r="T28" s="111"/>
      <c r="U28" s="112"/>
      <c r="V28" s="112"/>
      <c r="W28" s="113"/>
      <c r="X28" s="99"/>
      <c r="Y28" s="8"/>
      <c r="Z28" s="118"/>
    </row>
    <row r="29" spans="2:26" ht="15.75" customHeight="1">
      <c r="B29" s="86"/>
      <c r="C29" s="114"/>
      <c r="D29" s="88"/>
      <c r="E29" s="89"/>
      <c r="F29" s="115"/>
      <c r="G29" s="96"/>
      <c r="H29" s="91"/>
      <c r="I29" s="92"/>
      <c r="J29" s="107"/>
      <c r="K29" s="90"/>
      <c r="L29" s="91"/>
      <c r="M29" s="91"/>
      <c r="N29" s="116"/>
      <c r="O29" s="95"/>
      <c r="P29" s="117"/>
      <c r="Q29" s="96"/>
      <c r="R29" s="96"/>
      <c r="S29" s="96"/>
      <c r="T29" s="96"/>
      <c r="U29" s="97"/>
      <c r="V29" s="97"/>
      <c r="W29" s="98"/>
      <c r="X29" s="99"/>
      <c r="Y29" s="8"/>
      <c r="Z29" s="8"/>
    </row>
    <row r="30" spans="2:26" ht="15.75" customHeight="1">
      <c r="B30" s="100"/>
      <c r="C30" s="101"/>
      <c r="D30" s="88"/>
      <c r="E30" s="102"/>
      <c r="F30" s="103"/>
      <c r="G30" s="104"/>
      <c r="H30" s="105"/>
      <c r="I30" s="106"/>
      <c r="J30" s="107"/>
      <c r="K30" s="108"/>
      <c r="L30" s="105"/>
      <c r="M30" s="105"/>
      <c r="N30" s="109"/>
      <c r="O30" s="95"/>
      <c r="P30" s="100"/>
      <c r="Q30" s="104"/>
      <c r="R30" s="110"/>
      <c r="S30" s="111"/>
      <c r="T30" s="111"/>
      <c r="U30" s="112"/>
      <c r="V30" s="112"/>
      <c r="W30" s="113"/>
      <c r="X30" s="99"/>
      <c r="Y30" s="8"/>
      <c r="Z30" s="8"/>
    </row>
    <row r="31" spans="2:26" ht="15.75" customHeight="1">
      <c r="B31" s="86"/>
      <c r="C31" s="114"/>
      <c r="D31" s="88"/>
      <c r="E31" s="89"/>
      <c r="F31" s="115"/>
      <c r="G31" s="96"/>
      <c r="H31" s="91"/>
      <c r="I31" s="92"/>
      <c r="J31" s="107"/>
      <c r="K31" s="90"/>
      <c r="L31" s="91"/>
      <c r="M31" s="91"/>
      <c r="N31" s="116"/>
      <c r="O31" s="95"/>
      <c r="P31" s="117"/>
      <c r="Q31" s="96"/>
      <c r="R31" s="96"/>
      <c r="S31" s="96"/>
      <c r="T31" s="96"/>
      <c r="U31" s="97"/>
      <c r="V31" s="97"/>
      <c r="W31" s="98"/>
      <c r="X31" s="99"/>
      <c r="Y31" s="8"/>
      <c r="Z31" s="8"/>
    </row>
    <row r="32" spans="2:26" ht="15.75" customHeight="1">
      <c r="B32" s="100"/>
      <c r="C32" s="101"/>
      <c r="D32" s="88"/>
      <c r="E32" s="102"/>
      <c r="F32" s="103"/>
      <c r="G32" s="104"/>
      <c r="H32" s="105"/>
      <c r="I32" s="106"/>
      <c r="J32" s="107"/>
      <c r="K32" s="108"/>
      <c r="L32" s="105"/>
      <c r="M32" s="105"/>
      <c r="N32" s="109"/>
      <c r="O32" s="95"/>
      <c r="P32" s="100"/>
      <c r="Q32" s="104"/>
      <c r="R32" s="110"/>
      <c r="S32" s="111"/>
      <c r="T32" s="111"/>
      <c r="U32" s="112"/>
      <c r="V32" s="112"/>
      <c r="W32" s="113"/>
      <c r="X32" s="99"/>
      <c r="Y32" s="8"/>
      <c r="Z32" s="8"/>
    </row>
    <row r="33" spans="2:23" ht="15.75" customHeight="1">
      <c r="B33" s="86"/>
      <c r="C33" s="114"/>
      <c r="D33" s="88"/>
      <c r="E33" s="89"/>
      <c r="F33" s="115"/>
      <c r="G33" s="96"/>
      <c r="H33" s="91"/>
      <c r="I33" s="92"/>
      <c r="J33" s="107"/>
      <c r="K33" s="90"/>
      <c r="L33" s="91"/>
      <c r="M33" s="91"/>
      <c r="N33" s="116"/>
      <c r="O33" s="95"/>
      <c r="P33" s="117"/>
      <c r="Q33" s="96"/>
      <c r="R33" s="96"/>
      <c r="S33" s="96"/>
      <c r="T33" s="96"/>
      <c r="U33" s="97"/>
      <c r="V33" s="97"/>
      <c r="W33" s="98"/>
    </row>
    <row r="34" spans="2:23" ht="15.75" customHeight="1">
      <c r="B34" s="100"/>
      <c r="C34" s="101"/>
      <c r="D34" s="88"/>
      <c r="E34" s="102"/>
      <c r="F34" s="103"/>
      <c r="G34" s="104"/>
      <c r="H34" s="105"/>
      <c r="I34" s="106"/>
      <c r="J34" s="107"/>
      <c r="K34" s="108"/>
      <c r="L34" s="105"/>
      <c r="M34" s="105"/>
      <c r="N34" s="109"/>
      <c r="O34" s="95"/>
      <c r="P34" s="100"/>
      <c r="Q34" s="104"/>
      <c r="R34" s="110"/>
      <c r="S34" s="111"/>
      <c r="T34" s="111"/>
      <c r="U34" s="112"/>
      <c r="V34" s="112"/>
      <c r="W34" s="113"/>
    </row>
    <row r="35" spans="2:23" ht="15.75" customHeight="1">
      <c r="B35" s="86"/>
      <c r="C35" s="114"/>
      <c r="D35" s="88"/>
      <c r="E35" s="89"/>
      <c r="F35" s="115"/>
      <c r="G35" s="96"/>
      <c r="H35" s="91"/>
      <c r="I35" s="92"/>
      <c r="J35" s="107"/>
      <c r="K35" s="90"/>
      <c r="L35" s="91"/>
      <c r="M35" s="91"/>
      <c r="N35" s="116"/>
      <c r="O35" s="95"/>
      <c r="P35" s="117"/>
      <c r="Q35" s="96"/>
      <c r="R35" s="96"/>
      <c r="S35" s="96"/>
      <c r="T35" s="96"/>
      <c r="U35" s="97"/>
      <c r="V35" s="97"/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/>
      <c r="I36" s="106"/>
      <c r="J36" s="107"/>
      <c r="K36" s="108"/>
      <c r="L36" s="105"/>
      <c r="M36" s="105"/>
      <c r="N36" s="109"/>
      <c r="O36" s="95"/>
      <c r="P36" s="100"/>
      <c r="Q36" s="104"/>
      <c r="R36" s="110"/>
      <c r="S36" s="111"/>
      <c r="T36" s="111"/>
      <c r="U36" s="112"/>
      <c r="V36" s="112"/>
      <c r="W36" s="113"/>
    </row>
    <row r="37" spans="2:23" ht="15.75" customHeight="1">
      <c r="B37" s="86"/>
      <c r="C37" s="114"/>
      <c r="D37" s="88"/>
      <c r="E37" s="89"/>
      <c r="F37" s="115"/>
      <c r="G37" s="96"/>
      <c r="H37" s="91"/>
      <c r="I37" s="92"/>
      <c r="J37" s="107"/>
      <c r="K37" s="90"/>
      <c r="L37" s="91"/>
      <c r="M37" s="91"/>
      <c r="N37" s="116"/>
      <c r="O37" s="95"/>
      <c r="P37" s="117"/>
      <c r="Q37" s="96"/>
      <c r="R37" s="96"/>
      <c r="S37" s="96"/>
      <c r="T37" s="96"/>
      <c r="U37" s="97"/>
      <c r="V37" s="97"/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/>
      <c r="I38" s="106"/>
      <c r="J38" s="107"/>
      <c r="K38" s="108"/>
      <c r="L38" s="105"/>
      <c r="M38" s="105"/>
      <c r="N38" s="109"/>
      <c r="O38" s="95"/>
      <c r="P38" s="100"/>
      <c r="Q38" s="104"/>
      <c r="R38" s="110"/>
      <c r="S38" s="111"/>
      <c r="T38" s="111"/>
      <c r="U38" s="112"/>
      <c r="V38" s="112"/>
      <c r="W38" s="113"/>
    </row>
    <row r="39" spans="2:23" ht="15.75" customHeight="1">
      <c r="B39" s="86"/>
      <c r="C39" s="114"/>
      <c r="D39" s="88"/>
      <c r="E39" s="89"/>
      <c r="F39" s="115"/>
      <c r="G39" s="96"/>
      <c r="H39" s="91"/>
      <c r="I39" s="92"/>
      <c r="J39" s="107"/>
      <c r="K39" s="90"/>
      <c r="L39" s="91"/>
      <c r="M39" s="91"/>
      <c r="N39" s="116"/>
      <c r="O39" s="95"/>
      <c r="P39" s="117"/>
      <c r="Q39" s="96"/>
      <c r="R39" s="96"/>
      <c r="S39" s="96"/>
      <c r="T39" s="96"/>
      <c r="U39" s="97"/>
      <c r="V39" s="97"/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/>
      <c r="I40" s="106"/>
      <c r="J40" s="107"/>
      <c r="K40" s="108"/>
      <c r="L40" s="105"/>
      <c r="M40" s="105"/>
      <c r="N40" s="109"/>
      <c r="O40" s="95"/>
      <c r="P40" s="100"/>
      <c r="Q40" s="104"/>
      <c r="R40" s="110"/>
      <c r="S40" s="111"/>
      <c r="T40" s="111"/>
      <c r="U40" s="112"/>
      <c r="V40" s="112"/>
      <c r="W40" s="113"/>
    </row>
    <row r="41" spans="2:23" ht="15.75" customHeight="1">
      <c r="B41" s="86"/>
      <c r="C41" s="114"/>
      <c r="D41" s="88"/>
      <c r="E41" s="89"/>
      <c r="F41" s="115"/>
      <c r="G41" s="96"/>
      <c r="H41" s="91"/>
      <c r="I41" s="92"/>
      <c r="J41" s="107"/>
      <c r="K41" s="90"/>
      <c r="L41" s="91"/>
      <c r="M41" s="91"/>
      <c r="N41" s="116"/>
      <c r="O41" s="95"/>
      <c r="P41" s="117"/>
      <c r="Q41" s="96"/>
      <c r="R41" s="96"/>
      <c r="S41" s="96"/>
      <c r="T41" s="96"/>
      <c r="U41" s="97"/>
      <c r="V41" s="97"/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/>
      <c r="I42" s="106"/>
      <c r="J42" s="107"/>
      <c r="K42" s="108"/>
      <c r="L42" s="105"/>
      <c r="M42" s="105"/>
      <c r="N42" s="109"/>
      <c r="O42" s="95"/>
      <c r="P42" s="100"/>
      <c r="Q42" s="104"/>
      <c r="R42" s="110"/>
      <c r="S42" s="111"/>
      <c r="T42" s="111"/>
      <c r="U42" s="112"/>
      <c r="V42" s="112"/>
      <c r="W42" s="113"/>
    </row>
    <row r="43" spans="2:23" ht="15.75" customHeight="1">
      <c r="B43" s="86"/>
      <c r="C43" s="114"/>
      <c r="D43" s="88"/>
      <c r="E43" s="89"/>
      <c r="F43" s="115"/>
      <c r="G43" s="96"/>
      <c r="H43" s="91"/>
      <c r="I43" s="92"/>
      <c r="J43" s="107"/>
      <c r="K43" s="90"/>
      <c r="L43" s="91"/>
      <c r="M43" s="91"/>
      <c r="N43" s="116"/>
      <c r="O43" s="95"/>
      <c r="P43" s="117"/>
      <c r="Q43" s="96"/>
      <c r="R43" s="96"/>
      <c r="S43" s="96"/>
      <c r="T43" s="96"/>
      <c r="U43" s="97"/>
      <c r="V43" s="97"/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/>
      <c r="I44" s="106"/>
      <c r="J44" s="107"/>
      <c r="K44" s="108"/>
      <c r="L44" s="105"/>
      <c r="M44" s="105"/>
      <c r="N44" s="109"/>
      <c r="O44" s="95"/>
      <c r="P44" s="100"/>
      <c r="Q44" s="104"/>
      <c r="R44" s="110"/>
      <c r="S44" s="111"/>
      <c r="T44" s="111"/>
      <c r="U44" s="112"/>
      <c r="V44" s="112"/>
      <c r="W44" s="113"/>
    </row>
    <row r="45" spans="2:23" ht="15.75" customHeight="1">
      <c r="B45" s="86"/>
      <c r="C45" s="114"/>
      <c r="D45" s="88"/>
      <c r="E45" s="89"/>
      <c r="F45" s="115"/>
      <c r="G45" s="96"/>
      <c r="H45" s="91"/>
      <c r="I45" s="92"/>
      <c r="J45" s="107"/>
      <c r="K45" s="90"/>
      <c r="L45" s="91"/>
      <c r="M45" s="91"/>
      <c r="N45" s="116"/>
      <c r="O45" s="95"/>
      <c r="P45" s="117"/>
      <c r="Q45" s="96"/>
      <c r="R45" s="96"/>
      <c r="S45" s="96"/>
      <c r="T45" s="96"/>
      <c r="U45" s="97"/>
      <c r="V45" s="97"/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/>
      <c r="I46" s="106"/>
      <c r="J46" s="107"/>
      <c r="K46" s="108"/>
      <c r="L46" s="105"/>
      <c r="M46" s="105"/>
      <c r="N46" s="109"/>
      <c r="O46" s="95"/>
      <c r="P46" s="100"/>
      <c r="Q46" s="104"/>
      <c r="R46" s="110"/>
      <c r="S46" s="111"/>
      <c r="T46" s="111"/>
      <c r="U46" s="112"/>
      <c r="V46" s="112"/>
      <c r="W46" s="113"/>
    </row>
    <row r="47" spans="2:23" ht="15.75" customHeight="1">
      <c r="B47" s="86"/>
      <c r="C47" s="114"/>
      <c r="D47" s="88"/>
      <c r="E47" s="89"/>
      <c r="F47" s="115"/>
      <c r="G47" s="96"/>
      <c r="H47" s="91"/>
      <c r="I47" s="92"/>
      <c r="J47" s="107"/>
      <c r="K47" s="90"/>
      <c r="L47" s="91"/>
      <c r="M47" s="91"/>
      <c r="N47" s="116"/>
      <c r="O47" s="95"/>
      <c r="P47" s="117"/>
      <c r="Q47" s="96"/>
      <c r="R47" s="96"/>
      <c r="S47" s="96"/>
      <c r="T47" s="96"/>
      <c r="U47" s="97"/>
      <c r="V47" s="97"/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/>
      <c r="I48" s="106"/>
      <c r="J48" s="107"/>
      <c r="K48" s="108"/>
      <c r="L48" s="105"/>
      <c r="M48" s="105"/>
      <c r="N48" s="109"/>
      <c r="O48" s="95"/>
      <c r="P48" s="100"/>
      <c r="Q48" s="104"/>
      <c r="R48" s="110"/>
      <c r="S48" s="111"/>
      <c r="T48" s="111"/>
      <c r="U48" s="112"/>
      <c r="V48" s="112"/>
      <c r="W48" s="113"/>
    </row>
    <row r="49" spans="2:23" ht="15.75" customHeight="1">
      <c r="B49" s="86"/>
      <c r="C49" s="114"/>
      <c r="D49" s="88"/>
      <c r="E49" s="89"/>
      <c r="F49" s="115"/>
      <c r="G49" s="96"/>
      <c r="H49" s="91"/>
      <c r="I49" s="92"/>
      <c r="J49" s="107"/>
      <c r="K49" s="90"/>
      <c r="L49" s="91"/>
      <c r="M49" s="91"/>
      <c r="N49" s="116"/>
      <c r="O49" s="95"/>
      <c r="P49" s="117"/>
      <c r="Q49" s="96"/>
      <c r="R49" s="96"/>
      <c r="S49" s="96"/>
      <c r="T49" s="96"/>
      <c r="U49" s="97"/>
      <c r="V49" s="97"/>
      <c r="W49" s="113"/>
    </row>
    <row r="50" spans="2:23" ht="20.25" customHeight="1">
      <c r="B50" s="119"/>
      <c r="C50" s="119"/>
      <c r="D50" s="120"/>
      <c r="E50" s="121" t="s">
        <v>107</v>
      </c>
      <c r="F50" s="122">
        <f t="shared" ref="F50:I50" si="0">SUM(F19:F49)</f>
        <v>0</v>
      </c>
      <c r="G50" s="123">
        <f t="shared" si="0"/>
        <v>0</v>
      </c>
      <c r="H50" s="124">
        <f t="shared" si="0"/>
        <v>0</v>
      </c>
      <c r="I50" s="125">
        <f t="shared" si="0"/>
        <v>0</v>
      </c>
      <c r="J50" s="126"/>
      <c r="K50" s="127">
        <f t="shared" ref="K50:M50" si="1">SUM(K19:K49)</f>
        <v>0</v>
      </c>
      <c r="L50" s="124">
        <f t="shared" si="1"/>
        <v>0</v>
      </c>
      <c r="M50" s="125">
        <f t="shared" si="1"/>
        <v>0</v>
      </c>
      <c r="N50" s="125"/>
      <c r="O50" s="128"/>
      <c r="P50" s="129"/>
      <c r="Q50" s="124">
        <f t="shared" ref="Q50:T50" si="2">SUM(Q19:Q49)</f>
        <v>0</v>
      </c>
      <c r="R50" s="124">
        <f t="shared" si="2"/>
        <v>0</v>
      </c>
      <c r="S50" s="125">
        <f t="shared" si="2"/>
        <v>0</v>
      </c>
      <c r="T50" s="125">
        <f t="shared" si="2"/>
        <v>0</v>
      </c>
      <c r="U50" s="130"/>
      <c r="V50" s="130"/>
      <c r="W50" s="131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E19:E49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Z50"/>
  <sheetViews>
    <sheetView tabSelected="1" workbookViewId="0">
      <pane ySplit="18" topLeftCell="A41" activePane="bottomLeft" state="frozen"/>
      <selection pane="bottomLeft" activeCell="I8" sqref="I8:K8"/>
    </sheetView>
  </sheetViews>
  <sheetFormatPr defaultColWidth="12.54296875" defaultRowHeight="15" customHeight="1"/>
  <cols>
    <col min="1" max="1" width="0.81640625" customWidth="1"/>
    <col min="2" max="2" width="25.7265625" customWidth="1"/>
    <col min="3" max="3" width="43.26953125" customWidth="1"/>
    <col min="4" max="4" width="0.81640625" customWidth="1"/>
    <col min="5" max="6" width="9.7265625" customWidth="1"/>
    <col min="7" max="9" width="18.7265625" customWidth="1"/>
    <col min="10" max="10" width="0.81640625" customWidth="1"/>
    <col min="11" max="11" width="9.54296875" customWidth="1"/>
    <col min="12" max="13" width="18.7265625" customWidth="1"/>
    <col min="14" max="14" width="13.7265625" customWidth="1"/>
    <col min="15" max="15" width="0.81640625" customWidth="1"/>
    <col min="16" max="16" width="17.81640625" customWidth="1"/>
    <col min="17" max="20" width="18.7265625" customWidth="1"/>
    <col min="21" max="21" width="15" customWidth="1"/>
    <col min="22" max="22" width="14.7265625" customWidth="1"/>
    <col min="23" max="23" width="13.453125" hidden="1" customWidth="1"/>
    <col min="24" max="24" width="0.81640625" customWidth="1"/>
    <col min="25" max="26" width="9.1796875" hidden="1" customWidth="1"/>
    <col min="27" max="27" width="9.1796875" customWidth="1"/>
    <col min="28" max="28" width="10.54296875" customWidth="1"/>
  </cols>
  <sheetData>
    <row r="1" spans="2:25" ht="23.25" customHeight="1">
      <c r="B1" s="205" t="s">
        <v>29</v>
      </c>
      <c r="C1" s="206"/>
      <c r="D1" s="231" t="s">
        <v>30</v>
      </c>
      <c r="E1" s="209"/>
      <c r="F1" s="209"/>
      <c r="G1" s="209"/>
      <c r="H1" s="183"/>
      <c r="I1" s="205" t="s">
        <v>31</v>
      </c>
      <c r="J1" s="209"/>
      <c r="K1" s="209"/>
      <c r="L1" s="183"/>
      <c r="M1" s="210" t="s">
        <v>32</v>
      </c>
      <c r="N1" s="211"/>
      <c r="O1" s="212"/>
      <c r="P1" s="213" t="str">
        <f>L18</f>
        <v>CAD $</v>
      </c>
      <c r="Q1" s="209"/>
      <c r="R1" s="183"/>
      <c r="S1" s="205" t="s">
        <v>33</v>
      </c>
      <c r="T1" s="209"/>
      <c r="U1" s="209"/>
      <c r="V1" s="209"/>
      <c r="W1" s="183"/>
      <c r="X1" s="6"/>
      <c r="Y1" s="7"/>
    </row>
    <row r="2" spans="2:25" ht="15" customHeight="1">
      <c r="B2" s="9" t="s">
        <v>34</v>
      </c>
      <c r="C2" s="132"/>
      <c r="D2" s="215" t="s">
        <v>35</v>
      </c>
      <c r="E2" s="144"/>
      <c r="F2" s="145"/>
      <c r="G2" s="232" t="s">
        <v>110</v>
      </c>
      <c r="H2" s="145"/>
      <c r="I2" s="215" t="s">
        <v>36</v>
      </c>
      <c r="J2" s="144"/>
      <c r="K2" s="145"/>
      <c r="L2" s="12"/>
      <c r="M2" s="214" t="s">
        <v>37</v>
      </c>
      <c r="N2" s="145"/>
      <c r="O2" s="13"/>
      <c r="P2" s="225">
        <f>I50</f>
        <v>0</v>
      </c>
      <c r="Q2" s="144"/>
      <c r="R2" s="145"/>
      <c r="S2" s="214" t="s">
        <v>38</v>
      </c>
      <c r="T2" s="145"/>
      <c r="U2" s="224"/>
      <c r="V2" s="145"/>
      <c r="W2" s="14"/>
      <c r="X2" s="15"/>
      <c r="Y2" s="7"/>
    </row>
    <row r="3" spans="2:25" ht="15" customHeight="1">
      <c r="B3" s="16" t="s">
        <v>39</v>
      </c>
      <c r="C3" s="101"/>
      <c r="D3" s="136" t="s">
        <v>40</v>
      </c>
      <c r="E3" s="137"/>
      <c r="F3" s="138"/>
      <c r="G3" s="139">
        <v>2017</v>
      </c>
      <c r="H3" s="138"/>
      <c r="I3" s="136" t="s">
        <v>41</v>
      </c>
      <c r="J3" s="137"/>
      <c r="K3" s="138"/>
      <c r="L3" s="17"/>
      <c r="M3" s="185" t="s">
        <v>42</v>
      </c>
      <c r="N3" s="138"/>
      <c r="O3" s="13"/>
      <c r="P3" s="226">
        <f>M50</f>
        <v>0</v>
      </c>
      <c r="Q3" s="137"/>
      <c r="R3" s="138"/>
      <c r="S3" s="185" t="s">
        <v>43</v>
      </c>
      <c r="T3" s="138"/>
      <c r="U3" s="218"/>
      <c r="V3" s="138"/>
      <c r="W3" s="18"/>
      <c r="X3" s="5"/>
      <c r="Y3" s="19"/>
    </row>
    <row r="4" spans="2:25" ht="15" customHeight="1">
      <c r="B4" s="20" t="s">
        <v>44</v>
      </c>
      <c r="C4" s="101"/>
      <c r="D4" s="136" t="s">
        <v>45</v>
      </c>
      <c r="E4" s="137"/>
      <c r="F4" s="138"/>
      <c r="G4" s="139" t="s">
        <v>111</v>
      </c>
      <c r="H4" s="138"/>
      <c r="I4" s="136" t="s">
        <v>46</v>
      </c>
      <c r="J4" s="137"/>
      <c r="K4" s="138"/>
      <c r="L4" s="17"/>
      <c r="M4" s="185" t="s">
        <v>47</v>
      </c>
      <c r="N4" s="138"/>
      <c r="O4" s="13"/>
      <c r="P4" s="226">
        <f>P2-P3</f>
        <v>0</v>
      </c>
      <c r="Q4" s="137"/>
      <c r="R4" s="138"/>
      <c r="S4" s="185" t="s">
        <v>48</v>
      </c>
      <c r="T4" s="138"/>
      <c r="U4" s="218"/>
      <c r="V4" s="138"/>
      <c r="W4" s="18"/>
      <c r="X4" s="5"/>
      <c r="Y4" s="19"/>
    </row>
    <row r="5" spans="2:25" ht="15" customHeight="1">
      <c r="B5" s="20" t="s">
        <v>49</v>
      </c>
      <c r="C5" s="101"/>
      <c r="D5" s="136" t="s">
        <v>50</v>
      </c>
      <c r="E5" s="137"/>
      <c r="F5" s="138"/>
      <c r="G5" s="139" t="s">
        <v>112</v>
      </c>
      <c r="H5" s="138"/>
      <c r="I5" s="136" t="s">
        <v>51</v>
      </c>
      <c r="J5" s="137"/>
      <c r="K5" s="138"/>
      <c r="L5" s="17"/>
      <c r="M5" s="220" t="s">
        <v>52</v>
      </c>
      <c r="N5" s="221"/>
      <c r="O5" s="13"/>
      <c r="P5" s="227" t="str">
        <f>IFERROR((P2-P3)/P2,"")</f>
        <v/>
      </c>
      <c r="Q5" s="228"/>
      <c r="R5" s="221"/>
      <c r="S5" s="185" t="s">
        <v>53</v>
      </c>
      <c r="T5" s="138"/>
      <c r="U5" s="218"/>
      <c r="V5" s="138"/>
      <c r="W5" s="18"/>
      <c r="X5" s="5"/>
      <c r="Y5" s="19"/>
    </row>
    <row r="6" spans="2:25" ht="15" customHeight="1">
      <c r="B6" s="20" t="s">
        <v>54</v>
      </c>
      <c r="C6" s="133"/>
      <c r="D6" s="136" t="s">
        <v>55</v>
      </c>
      <c r="E6" s="137"/>
      <c r="F6" s="138"/>
      <c r="G6" s="139" t="s">
        <v>113</v>
      </c>
      <c r="H6" s="138"/>
      <c r="I6" s="136" t="s">
        <v>56</v>
      </c>
      <c r="J6" s="137"/>
      <c r="K6" s="138"/>
      <c r="L6" s="17"/>
      <c r="M6" s="222" t="s">
        <v>57</v>
      </c>
      <c r="N6" s="223"/>
      <c r="O6" s="13"/>
      <c r="P6" s="229">
        <f>T50</f>
        <v>0</v>
      </c>
      <c r="Q6" s="230"/>
      <c r="R6" s="223"/>
      <c r="S6" s="185" t="s">
        <v>58</v>
      </c>
      <c r="T6" s="138"/>
      <c r="U6" s="218"/>
      <c r="V6" s="138"/>
      <c r="W6" s="22"/>
      <c r="X6" s="23"/>
      <c r="Y6" s="24"/>
    </row>
    <row r="7" spans="2:25" ht="15" customHeight="1">
      <c r="B7" s="20" t="s">
        <v>59</v>
      </c>
      <c r="C7" s="101"/>
      <c r="D7" s="136" t="s">
        <v>60</v>
      </c>
      <c r="E7" s="137"/>
      <c r="F7" s="138"/>
      <c r="G7" s="139">
        <v>740960810</v>
      </c>
      <c r="H7" s="138"/>
      <c r="I7" s="136" t="s">
        <v>61</v>
      </c>
      <c r="J7" s="137"/>
      <c r="K7" s="138"/>
      <c r="L7" s="17"/>
      <c r="M7" s="146" t="s">
        <v>62</v>
      </c>
      <c r="N7" s="138"/>
      <c r="O7" s="13"/>
      <c r="P7" s="184">
        <f>R50</f>
        <v>0</v>
      </c>
      <c r="Q7" s="137"/>
      <c r="R7" s="138"/>
      <c r="S7" s="216" t="s">
        <v>63</v>
      </c>
      <c r="T7" s="217"/>
      <c r="U7" s="219"/>
      <c r="V7" s="217"/>
      <c r="W7" s="22"/>
      <c r="X7" s="26"/>
      <c r="Y7" s="8"/>
    </row>
    <row r="8" spans="2:25" ht="15" customHeight="1">
      <c r="B8" s="27"/>
      <c r="C8" s="34"/>
      <c r="D8" s="136" t="s">
        <v>64</v>
      </c>
      <c r="E8" s="137"/>
      <c r="F8" s="138"/>
      <c r="G8" s="139">
        <v>2100</v>
      </c>
      <c r="H8" s="138"/>
      <c r="I8" s="136" t="s">
        <v>65</v>
      </c>
      <c r="J8" s="137"/>
      <c r="K8" s="138"/>
      <c r="L8" s="17"/>
      <c r="M8" s="146" t="s">
        <v>66</v>
      </c>
      <c r="N8" s="138"/>
      <c r="O8" s="13"/>
      <c r="P8" s="184">
        <f>IF(P1=Q15,R15,IF(Q15="CAD $",R15*E16,IF(Q15="USD $",R15*F16,0)))</f>
        <v>0</v>
      </c>
      <c r="Q8" s="137"/>
      <c r="R8" s="138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34"/>
      <c r="D9" s="136" t="s">
        <v>71</v>
      </c>
      <c r="E9" s="137"/>
      <c r="F9" s="138"/>
      <c r="G9" s="139">
        <v>192</v>
      </c>
      <c r="H9" s="138"/>
      <c r="I9" s="40"/>
      <c r="J9" s="36"/>
      <c r="K9" s="36"/>
      <c r="L9" s="37"/>
      <c r="M9" s="146" t="s">
        <v>72</v>
      </c>
      <c r="N9" s="138"/>
      <c r="O9" s="13"/>
      <c r="P9" s="192">
        <f>V15</f>
        <v>0</v>
      </c>
      <c r="Q9" s="137"/>
      <c r="R9" s="138"/>
      <c r="S9" s="193">
        <f>P7+P8+P9</f>
        <v>0</v>
      </c>
      <c r="T9" s="193">
        <f>P3-S9</f>
        <v>0</v>
      </c>
      <c r="U9" s="186">
        <f>IFERROR(((P3-S9)/S9),0)</f>
        <v>0</v>
      </c>
      <c r="V9" s="186">
        <f>IFERROR(T9/P3,0)</f>
        <v>0</v>
      </c>
      <c r="W9" s="189"/>
      <c r="X9" s="33"/>
      <c r="Y9" s="8"/>
    </row>
    <row r="10" spans="2:25" ht="15" customHeight="1">
      <c r="B10" s="34"/>
      <c r="C10" s="34"/>
      <c r="D10" s="136" t="s">
        <v>73</v>
      </c>
      <c r="E10" s="137"/>
      <c r="F10" s="138"/>
      <c r="G10" s="139" t="s">
        <v>108</v>
      </c>
      <c r="H10" s="138"/>
      <c r="I10" s="40"/>
      <c r="J10" s="36"/>
      <c r="K10" s="36"/>
      <c r="L10" s="37"/>
      <c r="M10" s="146"/>
      <c r="N10" s="138"/>
      <c r="O10" s="13"/>
      <c r="P10" s="192"/>
      <c r="Q10" s="137"/>
      <c r="R10" s="138"/>
      <c r="S10" s="187"/>
      <c r="T10" s="187"/>
      <c r="U10" s="187"/>
      <c r="V10" s="187"/>
      <c r="W10" s="190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85" t="s">
        <v>74</v>
      </c>
      <c r="N11" s="138"/>
      <c r="O11" s="13"/>
      <c r="P11" s="194">
        <f>F50</f>
        <v>0</v>
      </c>
      <c r="Q11" s="137"/>
      <c r="R11" s="138"/>
      <c r="S11" s="188"/>
      <c r="T11" s="188"/>
      <c r="U11" s="188"/>
      <c r="V11" s="188"/>
      <c r="W11" s="191"/>
      <c r="X11" s="33"/>
      <c r="Y11" s="8"/>
    </row>
    <row r="12" spans="2:25" ht="15" customHeight="1">
      <c r="B12" s="172"/>
      <c r="C12" s="173"/>
      <c r="D12" s="41"/>
      <c r="E12" s="178" t="s">
        <v>75</v>
      </c>
      <c r="F12" s="179"/>
      <c r="G12" s="181" t="s">
        <v>37</v>
      </c>
      <c r="H12" s="148"/>
      <c r="I12" s="149"/>
      <c r="J12" s="42"/>
      <c r="K12" s="147" t="s">
        <v>76</v>
      </c>
      <c r="L12" s="148"/>
      <c r="M12" s="148"/>
      <c r="N12" s="149"/>
      <c r="O12" s="13"/>
      <c r="P12" s="195" t="s">
        <v>77</v>
      </c>
      <c r="Q12" s="148"/>
      <c r="R12" s="148"/>
      <c r="S12" s="148"/>
      <c r="T12" s="148"/>
      <c r="U12" s="148"/>
      <c r="V12" s="179"/>
      <c r="W12" s="43"/>
      <c r="X12" s="44"/>
      <c r="Y12" s="8" t="s">
        <v>78</v>
      </c>
    </row>
    <row r="13" spans="2:25" ht="15" customHeight="1">
      <c r="B13" s="174"/>
      <c r="C13" s="175"/>
      <c r="D13" s="45"/>
      <c r="E13" s="150"/>
      <c r="F13" s="180"/>
      <c r="G13" s="176"/>
      <c r="H13" s="154"/>
      <c r="I13" s="155"/>
      <c r="J13" s="46"/>
      <c r="K13" s="150"/>
      <c r="L13" s="151"/>
      <c r="M13" s="151"/>
      <c r="N13" s="152"/>
      <c r="O13" s="47"/>
      <c r="P13" s="150"/>
      <c r="Q13" s="151"/>
      <c r="R13" s="151"/>
      <c r="S13" s="151"/>
      <c r="T13" s="151"/>
      <c r="U13" s="151"/>
      <c r="V13" s="180"/>
      <c r="W13" s="48"/>
      <c r="X13" s="44"/>
      <c r="Y13" s="8" t="s">
        <v>79</v>
      </c>
    </row>
    <row r="14" spans="2:25" ht="15" customHeight="1">
      <c r="B14" s="174"/>
      <c r="C14" s="175"/>
      <c r="D14" s="45"/>
      <c r="E14" s="153"/>
      <c r="F14" s="158"/>
      <c r="G14" s="182" t="s">
        <v>80</v>
      </c>
      <c r="H14" s="183"/>
      <c r="I14" s="49" t="s">
        <v>81</v>
      </c>
      <c r="J14" s="50"/>
      <c r="K14" s="153"/>
      <c r="L14" s="154"/>
      <c r="M14" s="154"/>
      <c r="N14" s="155"/>
      <c r="O14" s="47"/>
      <c r="P14" s="196"/>
      <c r="Q14" s="197"/>
      <c r="R14" s="197"/>
      <c r="S14" s="197"/>
      <c r="T14" s="197"/>
      <c r="U14" s="197"/>
      <c r="V14" s="198"/>
      <c r="W14" s="51"/>
      <c r="X14" s="44"/>
      <c r="Y14" s="8" t="s">
        <v>81</v>
      </c>
    </row>
    <row r="15" spans="2:25" ht="30" customHeight="1">
      <c r="B15" s="174"/>
      <c r="C15" s="175"/>
      <c r="D15" s="45"/>
      <c r="E15" s="52" t="s">
        <v>82</v>
      </c>
      <c r="F15" s="53" t="s">
        <v>83</v>
      </c>
      <c r="G15" s="143" t="s">
        <v>84</v>
      </c>
      <c r="H15" s="144"/>
      <c r="I15" s="145"/>
      <c r="J15" s="54"/>
      <c r="K15" s="156" t="s">
        <v>85</v>
      </c>
      <c r="L15" s="157"/>
      <c r="M15" s="15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>
      <c r="B16" s="176"/>
      <c r="C16" s="177"/>
      <c r="D16" s="45"/>
      <c r="E16" s="63">
        <f>1/F16</f>
        <v>0.7246376811594204</v>
      </c>
      <c r="F16" s="64">
        <v>1.38</v>
      </c>
      <c r="G16" s="140"/>
      <c r="H16" s="137"/>
      <c r="I16" s="138"/>
      <c r="J16" s="65"/>
      <c r="K16" s="153"/>
      <c r="L16" s="158"/>
      <c r="M16" s="160"/>
      <c r="N16" s="161" t="s">
        <v>90</v>
      </c>
      <c r="O16" s="56"/>
      <c r="P16" s="199" t="s">
        <v>91</v>
      </c>
      <c r="Q16" s="200"/>
      <c r="R16" s="200"/>
      <c r="S16" s="200"/>
      <c r="T16" s="200"/>
      <c r="U16" s="200"/>
      <c r="V16" s="201"/>
      <c r="W16" s="66"/>
      <c r="X16" s="67"/>
      <c r="Y16" s="8"/>
    </row>
    <row r="17" spans="2:26" ht="15" customHeight="1">
      <c r="B17" s="167" t="s">
        <v>92</v>
      </c>
      <c r="C17" s="168" t="s">
        <v>93</v>
      </c>
      <c r="D17" s="68"/>
      <c r="E17" s="170" t="s">
        <v>94</v>
      </c>
      <c r="F17" s="171" t="s">
        <v>95</v>
      </c>
      <c r="G17" s="141" t="s">
        <v>96</v>
      </c>
      <c r="H17" s="142"/>
      <c r="I17" s="69" t="s">
        <v>97</v>
      </c>
      <c r="J17" s="70"/>
      <c r="K17" s="164" t="s">
        <v>95</v>
      </c>
      <c r="L17" s="71" t="s">
        <v>98</v>
      </c>
      <c r="M17" s="72" t="s">
        <v>99</v>
      </c>
      <c r="N17" s="162"/>
      <c r="O17" s="73"/>
      <c r="P17" s="20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60"/>
      <c r="C18" s="169"/>
      <c r="D18" s="78"/>
      <c r="E18" s="165"/>
      <c r="F18" s="160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5"/>
      <c r="L18" s="166" t="s">
        <v>78</v>
      </c>
      <c r="M18" s="145"/>
      <c r="N18" s="163"/>
      <c r="O18" s="82"/>
      <c r="P18" s="203"/>
      <c r="Q18" s="58" t="s">
        <v>79</v>
      </c>
      <c r="R18" s="204" t="str">
        <f>L18</f>
        <v>CAD $</v>
      </c>
      <c r="S18" s="144"/>
      <c r="T18" s="144"/>
      <c r="U18" s="144"/>
      <c r="V18" s="145"/>
      <c r="W18" s="83"/>
      <c r="X18" s="84"/>
      <c r="Y18" s="85"/>
      <c r="Z18" s="85"/>
    </row>
    <row r="19" spans="2:26" ht="14.5">
      <c r="B19" s="86"/>
      <c r="C19" s="87"/>
      <c r="D19" s="88"/>
      <c r="E19" s="89"/>
      <c r="F19" s="90"/>
      <c r="G19" s="91"/>
      <c r="H19" s="91"/>
      <c r="I19" s="92"/>
      <c r="J19" s="93"/>
      <c r="K19" s="90"/>
      <c r="L19" s="91"/>
      <c r="M19" s="91"/>
      <c r="N19" s="94"/>
      <c r="O19" s="95"/>
      <c r="P19" s="86"/>
      <c r="Q19" s="96"/>
      <c r="R19" s="96"/>
      <c r="S19" s="96"/>
      <c r="T19" s="96"/>
      <c r="U19" s="97"/>
      <c r="V19" s="97"/>
      <c r="W19" s="98"/>
      <c r="X19" s="99"/>
      <c r="Y19" s="8"/>
      <c r="Z19" s="8"/>
    </row>
    <row r="20" spans="2:26" ht="14.5">
      <c r="B20" s="100"/>
      <c r="C20" s="101"/>
      <c r="D20" s="88"/>
      <c r="E20" s="102"/>
      <c r="F20" s="103"/>
      <c r="G20" s="104"/>
      <c r="H20" s="105"/>
      <c r="I20" s="106"/>
      <c r="J20" s="107"/>
      <c r="K20" s="108"/>
      <c r="L20" s="105"/>
      <c r="M20" s="105"/>
      <c r="N20" s="109"/>
      <c r="O20" s="95"/>
      <c r="P20" s="100"/>
      <c r="Q20" s="104"/>
      <c r="R20" s="110"/>
      <c r="S20" s="111"/>
      <c r="T20" s="111"/>
      <c r="U20" s="112"/>
      <c r="V20" s="112"/>
      <c r="W20" s="113"/>
      <c r="X20" s="99"/>
      <c r="Y20" s="8"/>
      <c r="Z20" s="8"/>
    </row>
    <row r="21" spans="2:26" ht="14.5">
      <c r="B21" s="86"/>
      <c r="C21" s="114"/>
      <c r="D21" s="88"/>
      <c r="E21" s="89"/>
      <c r="F21" s="115"/>
      <c r="G21" s="96"/>
      <c r="H21" s="91"/>
      <c r="I21" s="92"/>
      <c r="J21" s="107"/>
      <c r="K21" s="90"/>
      <c r="L21" s="91"/>
      <c r="M21" s="91"/>
      <c r="N21" s="116"/>
      <c r="O21" s="95"/>
      <c r="P21" s="117"/>
      <c r="Q21" s="96"/>
      <c r="R21" s="96"/>
      <c r="S21" s="96"/>
      <c r="T21" s="96"/>
      <c r="U21" s="97"/>
      <c r="V21" s="97"/>
      <c r="W21" s="98"/>
      <c r="X21" s="99"/>
      <c r="Y21" s="8"/>
      <c r="Z21" s="8"/>
    </row>
    <row r="22" spans="2:26" ht="15.75" customHeight="1">
      <c r="B22" s="100"/>
      <c r="C22" s="101"/>
      <c r="D22" s="88"/>
      <c r="E22" s="102"/>
      <c r="F22" s="103"/>
      <c r="G22" s="104"/>
      <c r="H22" s="105"/>
      <c r="I22" s="106"/>
      <c r="J22" s="107"/>
      <c r="K22" s="108"/>
      <c r="L22" s="105"/>
      <c r="M22" s="105"/>
      <c r="N22" s="109"/>
      <c r="O22" s="95"/>
      <c r="P22" s="100"/>
      <c r="Q22" s="104"/>
      <c r="R22" s="110"/>
      <c r="S22" s="111"/>
      <c r="T22" s="111"/>
      <c r="U22" s="112"/>
      <c r="V22" s="112"/>
      <c r="W22" s="113"/>
      <c r="X22" s="99"/>
      <c r="Y22" s="8"/>
      <c r="Z22" s="8"/>
    </row>
    <row r="23" spans="2:26" ht="15.75" customHeight="1">
      <c r="B23" s="86"/>
      <c r="C23" s="114"/>
      <c r="D23" s="88"/>
      <c r="E23" s="89"/>
      <c r="F23" s="115"/>
      <c r="G23" s="96"/>
      <c r="H23" s="91"/>
      <c r="I23" s="92"/>
      <c r="J23" s="107"/>
      <c r="K23" s="90"/>
      <c r="L23" s="91"/>
      <c r="M23" s="91"/>
      <c r="N23" s="116"/>
      <c r="O23" s="95"/>
      <c r="P23" s="117"/>
      <c r="Q23" s="96"/>
      <c r="R23" s="96"/>
      <c r="S23" s="96"/>
      <c r="T23" s="96"/>
      <c r="U23" s="97"/>
      <c r="V23" s="97"/>
      <c r="W23" s="98"/>
      <c r="X23" s="99"/>
      <c r="Y23" s="8"/>
      <c r="Z23" s="8"/>
    </row>
    <row r="24" spans="2:26" ht="15.75" customHeight="1">
      <c r="B24" s="100"/>
      <c r="C24" s="101"/>
      <c r="D24" s="88"/>
      <c r="E24" s="102"/>
      <c r="F24" s="103"/>
      <c r="G24" s="104"/>
      <c r="H24" s="105"/>
      <c r="I24" s="106"/>
      <c r="J24" s="107"/>
      <c r="K24" s="108"/>
      <c r="L24" s="105"/>
      <c r="M24" s="105"/>
      <c r="N24" s="109"/>
      <c r="O24" s="95"/>
      <c r="P24" s="100"/>
      <c r="Q24" s="104"/>
      <c r="R24" s="110"/>
      <c r="S24" s="111"/>
      <c r="T24" s="111"/>
      <c r="U24" s="112"/>
      <c r="V24" s="112"/>
      <c r="W24" s="113"/>
      <c r="X24" s="99"/>
      <c r="Y24" s="8"/>
      <c r="Z24" s="8"/>
    </row>
    <row r="25" spans="2:26" ht="15.75" customHeight="1">
      <c r="B25" s="86"/>
      <c r="C25" s="114"/>
      <c r="D25" s="88"/>
      <c r="E25" s="89"/>
      <c r="F25" s="115"/>
      <c r="G25" s="96"/>
      <c r="H25" s="91"/>
      <c r="I25" s="92"/>
      <c r="J25" s="107"/>
      <c r="K25" s="90"/>
      <c r="L25" s="91"/>
      <c r="M25" s="91"/>
      <c r="N25" s="116"/>
      <c r="O25" s="95"/>
      <c r="P25" s="117"/>
      <c r="Q25" s="96"/>
      <c r="R25" s="96"/>
      <c r="S25" s="96"/>
      <c r="T25" s="96"/>
      <c r="U25" s="97"/>
      <c r="V25" s="97"/>
      <c r="W25" s="98"/>
      <c r="X25" s="99"/>
      <c r="Y25" s="8"/>
      <c r="Z25" s="8"/>
    </row>
    <row r="26" spans="2:26" ht="15.75" customHeight="1">
      <c r="B26" s="100"/>
      <c r="C26" s="101"/>
      <c r="D26" s="88"/>
      <c r="E26" s="102"/>
      <c r="F26" s="103"/>
      <c r="G26" s="104"/>
      <c r="H26" s="105"/>
      <c r="I26" s="106"/>
      <c r="J26" s="107"/>
      <c r="K26" s="108"/>
      <c r="L26" s="105"/>
      <c r="M26" s="105"/>
      <c r="N26" s="109"/>
      <c r="O26" s="95"/>
      <c r="P26" s="100"/>
      <c r="Q26" s="104"/>
      <c r="R26" s="110"/>
      <c r="S26" s="111"/>
      <c r="T26" s="111"/>
      <c r="U26" s="112"/>
      <c r="V26" s="112"/>
      <c r="W26" s="113"/>
      <c r="X26" s="99"/>
      <c r="Y26" s="8"/>
      <c r="Z26" s="8"/>
    </row>
    <row r="27" spans="2:26" ht="15.75" customHeight="1">
      <c r="B27" s="86"/>
      <c r="C27" s="114"/>
      <c r="D27" s="88"/>
      <c r="E27" s="89"/>
      <c r="F27" s="115"/>
      <c r="G27" s="96"/>
      <c r="H27" s="91"/>
      <c r="I27" s="92"/>
      <c r="J27" s="107"/>
      <c r="K27" s="90"/>
      <c r="L27" s="91"/>
      <c r="M27" s="91"/>
      <c r="N27" s="116"/>
      <c r="O27" s="95"/>
      <c r="P27" s="117"/>
      <c r="Q27" s="96"/>
      <c r="R27" s="96"/>
      <c r="S27" s="96"/>
      <c r="T27" s="96"/>
      <c r="U27" s="97"/>
      <c r="V27" s="97"/>
      <c r="W27" s="98"/>
      <c r="X27" s="99"/>
      <c r="Y27" s="8"/>
      <c r="Z27" s="8"/>
    </row>
    <row r="28" spans="2:26" ht="15.75" customHeight="1">
      <c r="B28" s="100"/>
      <c r="C28" s="101"/>
      <c r="D28" s="88"/>
      <c r="E28" s="102"/>
      <c r="F28" s="103"/>
      <c r="G28" s="104"/>
      <c r="H28" s="105"/>
      <c r="I28" s="106"/>
      <c r="J28" s="107"/>
      <c r="K28" s="108"/>
      <c r="L28" s="105"/>
      <c r="M28" s="105"/>
      <c r="N28" s="109"/>
      <c r="O28" s="95"/>
      <c r="P28" s="100"/>
      <c r="Q28" s="104"/>
      <c r="R28" s="110"/>
      <c r="S28" s="111"/>
      <c r="T28" s="111"/>
      <c r="U28" s="112"/>
      <c r="V28" s="112"/>
      <c r="W28" s="113"/>
      <c r="X28" s="99"/>
      <c r="Y28" s="8"/>
      <c r="Z28" s="118"/>
    </row>
    <row r="29" spans="2:26" ht="15.75" customHeight="1">
      <c r="B29" s="86"/>
      <c r="C29" s="114"/>
      <c r="D29" s="88"/>
      <c r="E29" s="89"/>
      <c r="F29" s="115"/>
      <c r="G29" s="96"/>
      <c r="H29" s="91"/>
      <c r="I29" s="92"/>
      <c r="J29" s="107"/>
      <c r="K29" s="90"/>
      <c r="L29" s="91"/>
      <c r="M29" s="91"/>
      <c r="N29" s="116"/>
      <c r="O29" s="95"/>
      <c r="P29" s="117"/>
      <c r="Q29" s="96"/>
      <c r="R29" s="96"/>
      <c r="S29" s="96"/>
      <c r="T29" s="96"/>
      <c r="U29" s="97"/>
      <c r="V29" s="97"/>
      <c r="W29" s="98"/>
      <c r="X29" s="99"/>
      <c r="Y29" s="8"/>
      <c r="Z29" s="8"/>
    </row>
    <row r="30" spans="2:26" ht="15.75" customHeight="1">
      <c r="B30" s="100"/>
      <c r="C30" s="101"/>
      <c r="D30" s="88"/>
      <c r="E30" s="102"/>
      <c r="F30" s="103"/>
      <c r="G30" s="104"/>
      <c r="H30" s="105"/>
      <c r="I30" s="106"/>
      <c r="J30" s="107"/>
      <c r="K30" s="108"/>
      <c r="L30" s="105"/>
      <c r="M30" s="105"/>
      <c r="N30" s="109"/>
      <c r="O30" s="95"/>
      <c r="P30" s="100"/>
      <c r="Q30" s="104"/>
      <c r="R30" s="110"/>
      <c r="S30" s="111"/>
      <c r="T30" s="111"/>
      <c r="U30" s="112"/>
      <c r="V30" s="112"/>
      <c r="W30" s="113"/>
      <c r="X30" s="99"/>
      <c r="Y30" s="8"/>
      <c r="Z30" s="8"/>
    </row>
    <row r="31" spans="2:26" ht="15.75" customHeight="1">
      <c r="B31" s="86"/>
      <c r="C31" s="114"/>
      <c r="D31" s="88"/>
      <c r="E31" s="89"/>
      <c r="F31" s="115"/>
      <c r="G31" s="96"/>
      <c r="H31" s="91"/>
      <c r="I31" s="92"/>
      <c r="J31" s="107"/>
      <c r="K31" s="90"/>
      <c r="L31" s="91"/>
      <c r="M31" s="91"/>
      <c r="N31" s="116"/>
      <c r="O31" s="95"/>
      <c r="P31" s="117"/>
      <c r="Q31" s="96"/>
      <c r="R31" s="96"/>
      <c r="S31" s="96"/>
      <c r="T31" s="96"/>
      <c r="U31" s="97"/>
      <c r="V31" s="97"/>
      <c r="W31" s="98"/>
      <c r="X31" s="99"/>
      <c r="Y31" s="8"/>
      <c r="Z31" s="8"/>
    </row>
    <row r="32" spans="2:26" ht="15.75" customHeight="1">
      <c r="B32" s="100"/>
      <c r="C32" s="101"/>
      <c r="D32" s="88"/>
      <c r="E32" s="102"/>
      <c r="F32" s="103"/>
      <c r="G32" s="104"/>
      <c r="H32" s="105"/>
      <c r="I32" s="106"/>
      <c r="J32" s="107"/>
      <c r="K32" s="108"/>
      <c r="L32" s="105"/>
      <c r="M32" s="105"/>
      <c r="N32" s="109"/>
      <c r="O32" s="95"/>
      <c r="P32" s="100"/>
      <c r="Q32" s="104"/>
      <c r="R32" s="110"/>
      <c r="S32" s="111"/>
      <c r="T32" s="111"/>
      <c r="U32" s="112"/>
      <c r="V32" s="112"/>
      <c r="W32" s="113"/>
      <c r="X32" s="99"/>
      <c r="Y32" s="8"/>
      <c r="Z32" s="8"/>
    </row>
    <row r="33" spans="2:23" ht="15.75" customHeight="1">
      <c r="B33" s="86"/>
      <c r="C33" s="114"/>
      <c r="D33" s="88"/>
      <c r="E33" s="89"/>
      <c r="F33" s="115"/>
      <c r="G33" s="96"/>
      <c r="H33" s="91"/>
      <c r="I33" s="92"/>
      <c r="J33" s="107"/>
      <c r="K33" s="90"/>
      <c r="L33" s="91"/>
      <c r="M33" s="91"/>
      <c r="N33" s="116"/>
      <c r="O33" s="95"/>
      <c r="P33" s="117"/>
      <c r="Q33" s="96"/>
      <c r="R33" s="96"/>
      <c r="S33" s="96"/>
      <c r="T33" s="96"/>
      <c r="U33" s="97"/>
      <c r="V33" s="97"/>
      <c r="W33" s="98"/>
    </row>
    <row r="34" spans="2:23" ht="15.75" customHeight="1">
      <c r="B34" s="135"/>
      <c r="C34" s="101"/>
      <c r="D34" s="88"/>
      <c r="E34" s="102"/>
      <c r="F34" s="103"/>
      <c r="G34" s="104"/>
      <c r="H34" s="105"/>
      <c r="I34" s="106"/>
      <c r="J34" s="107"/>
      <c r="K34" s="108"/>
      <c r="L34" s="105"/>
      <c r="M34" s="105"/>
      <c r="N34" s="109"/>
      <c r="O34" s="95"/>
      <c r="P34" s="100"/>
      <c r="Q34" s="104"/>
      <c r="R34" s="110"/>
      <c r="S34" s="111"/>
      <c r="T34" s="111"/>
      <c r="U34" s="112"/>
      <c r="V34" s="112"/>
      <c r="W34" s="113"/>
    </row>
    <row r="35" spans="2:23" ht="15.75" customHeight="1">
      <c r="B35" s="86"/>
      <c r="C35" s="114"/>
      <c r="D35" s="88"/>
      <c r="E35" s="89"/>
      <c r="F35" s="115"/>
      <c r="G35" s="96"/>
      <c r="H35" s="91"/>
      <c r="I35" s="92"/>
      <c r="J35" s="107"/>
      <c r="K35" s="90"/>
      <c r="L35" s="91"/>
      <c r="M35" s="91"/>
      <c r="N35" s="116"/>
      <c r="O35" s="95"/>
      <c r="P35" s="117"/>
      <c r="Q35" s="96"/>
      <c r="R35" s="96"/>
      <c r="S35" s="96"/>
      <c r="T35" s="96"/>
      <c r="U35" s="97"/>
      <c r="V35" s="97"/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/>
      <c r="I36" s="106"/>
      <c r="J36" s="107"/>
      <c r="K36" s="108"/>
      <c r="L36" s="105"/>
      <c r="M36" s="105"/>
      <c r="N36" s="109"/>
      <c r="O36" s="95"/>
      <c r="P36" s="100"/>
      <c r="Q36" s="104"/>
      <c r="R36" s="110"/>
      <c r="S36" s="111"/>
      <c r="T36" s="111"/>
      <c r="U36" s="112"/>
      <c r="V36" s="112"/>
      <c r="W36" s="113"/>
    </row>
    <row r="37" spans="2:23" ht="15.75" customHeight="1">
      <c r="B37" s="86"/>
      <c r="C37" s="114"/>
      <c r="D37" s="88"/>
      <c r="E37" s="89"/>
      <c r="F37" s="115"/>
      <c r="G37" s="96"/>
      <c r="H37" s="91"/>
      <c r="I37" s="92"/>
      <c r="J37" s="107"/>
      <c r="K37" s="90"/>
      <c r="L37" s="91"/>
      <c r="M37" s="91"/>
      <c r="N37" s="116"/>
      <c r="O37" s="95"/>
      <c r="P37" s="117"/>
      <c r="Q37" s="96"/>
      <c r="R37" s="96"/>
      <c r="S37" s="96"/>
      <c r="T37" s="96"/>
      <c r="U37" s="97"/>
      <c r="V37" s="97"/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/>
      <c r="I38" s="106"/>
      <c r="J38" s="107"/>
      <c r="K38" s="108"/>
      <c r="L38" s="105"/>
      <c r="M38" s="105"/>
      <c r="N38" s="109"/>
      <c r="O38" s="95"/>
      <c r="P38" s="100"/>
      <c r="Q38" s="104"/>
      <c r="R38" s="110"/>
      <c r="S38" s="111"/>
      <c r="T38" s="111"/>
      <c r="U38" s="112"/>
      <c r="V38" s="112"/>
      <c r="W38" s="113"/>
    </row>
    <row r="39" spans="2:23" ht="15.75" customHeight="1">
      <c r="B39" s="86"/>
      <c r="C39" s="114"/>
      <c r="D39" s="88"/>
      <c r="E39" s="89"/>
      <c r="F39" s="115"/>
      <c r="G39" s="96"/>
      <c r="H39" s="91"/>
      <c r="I39" s="92"/>
      <c r="J39" s="107"/>
      <c r="K39" s="90"/>
      <c r="L39" s="91"/>
      <c r="M39" s="91"/>
      <c r="N39" s="116"/>
      <c r="O39" s="95"/>
      <c r="P39" s="117"/>
      <c r="Q39" s="96"/>
      <c r="R39" s="96"/>
      <c r="S39" s="96"/>
      <c r="T39" s="96"/>
      <c r="U39" s="97"/>
      <c r="V39" s="97"/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/>
      <c r="I40" s="106"/>
      <c r="J40" s="107"/>
      <c r="K40" s="108"/>
      <c r="L40" s="105"/>
      <c r="M40" s="105"/>
      <c r="N40" s="109"/>
      <c r="O40" s="95"/>
      <c r="P40" s="100"/>
      <c r="Q40" s="104"/>
      <c r="R40" s="110"/>
      <c r="S40" s="111"/>
      <c r="T40" s="111"/>
      <c r="U40" s="112"/>
      <c r="V40" s="112"/>
      <c r="W40" s="113"/>
    </row>
    <row r="41" spans="2:23" ht="15.75" customHeight="1">
      <c r="B41" s="86"/>
      <c r="C41" s="114"/>
      <c r="D41" s="88"/>
      <c r="E41" s="89"/>
      <c r="F41" s="115"/>
      <c r="G41" s="96"/>
      <c r="H41" s="91"/>
      <c r="I41" s="92"/>
      <c r="J41" s="107"/>
      <c r="K41" s="90"/>
      <c r="L41" s="91"/>
      <c r="M41" s="91"/>
      <c r="N41" s="116"/>
      <c r="O41" s="95"/>
      <c r="P41" s="117"/>
      <c r="Q41" s="96"/>
      <c r="R41" s="96"/>
      <c r="S41" s="96"/>
      <c r="T41" s="96"/>
      <c r="U41" s="97"/>
      <c r="V41" s="97"/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/>
      <c r="I42" s="106"/>
      <c r="J42" s="107"/>
      <c r="K42" s="108"/>
      <c r="L42" s="105"/>
      <c r="M42" s="105"/>
      <c r="N42" s="109"/>
      <c r="O42" s="95"/>
      <c r="P42" s="100"/>
      <c r="Q42" s="104"/>
      <c r="R42" s="110"/>
      <c r="S42" s="111"/>
      <c r="T42" s="111"/>
      <c r="U42" s="112"/>
      <c r="V42" s="112"/>
      <c r="W42" s="113"/>
    </row>
    <row r="43" spans="2:23" ht="15.75" customHeight="1">
      <c r="B43" s="86"/>
      <c r="C43" s="114"/>
      <c r="D43" s="88"/>
      <c r="E43" s="89"/>
      <c r="F43" s="115"/>
      <c r="G43" s="96"/>
      <c r="H43" s="91"/>
      <c r="I43" s="92"/>
      <c r="J43" s="107"/>
      <c r="K43" s="90"/>
      <c r="L43" s="91"/>
      <c r="M43" s="91"/>
      <c r="N43" s="116"/>
      <c r="O43" s="95"/>
      <c r="P43" s="117"/>
      <c r="Q43" s="96"/>
      <c r="R43" s="96"/>
      <c r="S43" s="96"/>
      <c r="T43" s="96"/>
      <c r="U43" s="97"/>
      <c r="V43" s="97"/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/>
      <c r="I44" s="106"/>
      <c r="J44" s="107"/>
      <c r="K44" s="108"/>
      <c r="L44" s="105"/>
      <c r="M44" s="105"/>
      <c r="N44" s="109"/>
      <c r="O44" s="95"/>
      <c r="P44" s="100"/>
      <c r="Q44" s="104"/>
      <c r="R44" s="110"/>
      <c r="S44" s="111"/>
      <c r="T44" s="111"/>
      <c r="U44" s="112"/>
      <c r="V44" s="112"/>
      <c r="W44" s="113"/>
    </row>
    <row r="45" spans="2:23" ht="15.75" customHeight="1">
      <c r="B45" s="86"/>
      <c r="C45" s="114"/>
      <c r="D45" s="88"/>
      <c r="E45" s="89"/>
      <c r="F45" s="115"/>
      <c r="G45" s="96"/>
      <c r="H45" s="91"/>
      <c r="I45" s="92"/>
      <c r="J45" s="107"/>
      <c r="K45" s="90"/>
      <c r="L45" s="91"/>
      <c r="M45" s="91"/>
      <c r="N45" s="116"/>
      <c r="O45" s="95"/>
      <c r="P45" s="117"/>
      <c r="Q45" s="96"/>
      <c r="R45" s="96"/>
      <c r="S45" s="96"/>
      <c r="T45" s="96"/>
      <c r="U45" s="97"/>
      <c r="V45" s="97"/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/>
      <c r="I46" s="106"/>
      <c r="J46" s="107"/>
      <c r="K46" s="108"/>
      <c r="L46" s="105"/>
      <c r="M46" s="105"/>
      <c r="N46" s="109"/>
      <c r="O46" s="95"/>
      <c r="P46" s="100"/>
      <c r="Q46" s="104"/>
      <c r="R46" s="110"/>
      <c r="S46" s="111"/>
      <c r="T46" s="111"/>
      <c r="U46" s="112"/>
      <c r="V46" s="112"/>
      <c r="W46" s="113"/>
    </row>
    <row r="47" spans="2:23" ht="15.75" customHeight="1">
      <c r="B47" s="86"/>
      <c r="C47" s="114"/>
      <c r="D47" s="88"/>
      <c r="E47" s="89"/>
      <c r="F47" s="115"/>
      <c r="G47" s="96"/>
      <c r="H47" s="91"/>
      <c r="I47" s="92"/>
      <c r="J47" s="107"/>
      <c r="K47" s="90"/>
      <c r="L47" s="91"/>
      <c r="M47" s="91"/>
      <c r="N47" s="116"/>
      <c r="O47" s="95"/>
      <c r="P47" s="117"/>
      <c r="Q47" s="96"/>
      <c r="R47" s="96"/>
      <c r="S47" s="96"/>
      <c r="T47" s="96"/>
      <c r="U47" s="97"/>
      <c r="V47" s="97"/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/>
      <c r="I48" s="106"/>
      <c r="J48" s="107"/>
      <c r="K48" s="108"/>
      <c r="L48" s="105"/>
      <c r="M48" s="105"/>
      <c r="N48" s="109"/>
      <c r="O48" s="95"/>
      <c r="P48" s="100"/>
      <c r="Q48" s="104"/>
      <c r="R48" s="110"/>
      <c r="S48" s="111"/>
      <c r="T48" s="111"/>
      <c r="U48" s="112"/>
      <c r="V48" s="112"/>
      <c r="W48" s="113"/>
    </row>
    <row r="49" spans="2:23" ht="15.75" customHeight="1">
      <c r="B49" s="86"/>
      <c r="C49" s="114"/>
      <c r="D49" s="88"/>
      <c r="E49" s="89"/>
      <c r="F49" s="115"/>
      <c r="G49" s="96"/>
      <c r="H49" s="91"/>
      <c r="I49" s="92"/>
      <c r="J49" s="107"/>
      <c r="K49" s="90"/>
      <c r="L49" s="91"/>
      <c r="M49" s="91"/>
      <c r="N49" s="116"/>
      <c r="O49" s="95"/>
      <c r="P49" s="117"/>
      <c r="Q49" s="96"/>
      <c r="R49" s="96"/>
      <c r="S49" s="96"/>
      <c r="T49" s="96"/>
      <c r="U49" s="97"/>
      <c r="V49" s="97"/>
      <c r="W49" s="113"/>
    </row>
    <row r="50" spans="2:23" ht="20.25" customHeight="1">
      <c r="B50" s="119"/>
      <c r="C50" s="119"/>
      <c r="D50" s="120"/>
      <c r="E50" s="121" t="s">
        <v>107</v>
      </c>
      <c r="F50" s="122">
        <f t="shared" ref="F50:I50" si="0">SUM(F19:F49)</f>
        <v>0</v>
      </c>
      <c r="G50" s="123">
        <f t="shared" si="0"/>
        <v>0</v>
      </c>
      <c r="H50" s="124">
        <f t="shared" si="0"/>
        <v>0</v>
      </c>
      <c r="I50" s="125">
        <f t="shared" si="0"/>
        <v>0</v>
      </c>
      <c r="J50" s="126"/>
      <c r="K50" s="127">
        <f t="shared" ref="K50:M50" si="1">SUM(K19:K49)</f>
        <v>0</v>
      </c>
      <c r="L50" s="124">
        <f t="shared" si="1"/>
        <v>0</v>
      </c>
      <c r="M50" s="125">
        <f t="shared" si="1"/>
        <v>0</v>
      </c>
      <c r="N50" s="125"/>
      <c r="O50" s="128"/>
      <c r="P50" s="129"/>
      <c r="Q50" s="124">
        <f t="shared" ref="Q50:T50" si="2">SUM(Q19:Q49)</f>
        <v>0</v>
      </c>
      <c r="R50" s="124">
        <f t="shared" si="2"/>
        <v>0</v>
      </c>
      <c r="S50" s="125">
        <f t="shared" si="2"/>
        <v>0</v>
      </c>
      <c r="T50" s="125">
        <f t="shared" si="2"/>
        <v>0</v>
      </c>
      <c r="U50" s="130"/>
      <c r="V50" s="130"/>
      <c r="W50" s="131"/>
    </row>
  </sheetData>
  <mergeCells count="89">
    <mergeCell ref="P1:R1"/>
    <mergeCell ref="P2:R2"/>
    <mergeCell ref="P3:R3"/>
    <mergeCell ref="P4:R4"/>
    <mergeCell ref="P5:R5"/>
    <mergeCell ref="D8:F8"/>
    <mergeCell ref="G8:H8"/>
    <mergeCell ref="I8:K8"/>
    <mergeCell ref="M8:N8"/>
    <mergeCell ref="D9:F9"/>
    <mergeCell ref="G9:H9"/>
    <mergeCell ref="M9:N9"/>
    <mergeCell ref="U6:V6"/>
    <mergeCell ref="U7:V7"/>
    <mergeCell ref="S2:T2"/>
    <mergeCell ref="U2:V2"/>
    <mergeCell ref="S3:T3"/>
    <mergeCell ref="U3:V3"/>
    <mergeCell ref="S4:T4"/>
    <mergeCell ref="U4:V4"/>
    <mergeCell ref="U5:V5"/>
    <mergeCell ref="M3:N3"/>
    <mergeCell ref="M4:N4"/>
    <mergeCell ref="S5:T5"/>
    <mergeCell ref="S6:T6"/>
    <mergeCell ref="S7:T7"/>
    <mergeCell ref="P6:R6"/>
    <mergeCell ref="P7:R7"/>
    <mergeCell ref="P12:V14"/>
    <mergeCell ref="P16:V16"/>
    <mergeCell ref="P17:P18"/>
    <mergeCell ref="R18:V18"/>
    <mergeCell ref="B1:C1"/>
    <mergeCell ref="D1:H1"/>
    <mergeCell ref="I1:L1"/>
    <mergeCell ref="M1:O1"/>
    <mergeCell ref="S1:W1"/>
    <mergeCell ref="D2:F2"/>
    <mergeCell ref="M2:N2"/>
    <mergeCell ref="G2:H2"/>
    <mergeCell ref="I2:K2"/>
    <mergeCell ref="D3:F3"/>
    <mergeCell ref="G3:H3"/>
    <mergeCell ref="I3:K3"/>
    <mergeCell ref="V9:V11"/>
    <mergeCell ref="W9:W11"/>
    <mergeCell ref="P10:R10"/>
    <mergeCell ref="P9:R9"/>
    <mergeCell ref="P11:R11"/>
    <mergeCell ref="P8:R8"/>
    <mergeCell ref="M11:N11"/>
    <mergeCell ref="S9:S11"/>
    <mergeCell ref="T9:T11"/>
    <mergeCell ref="U9:U11"/>
    <mergeCell ref="D4:F4"/>
    <mergeCell ref="D5:F5"/>
    <mergeCell ref="G5:H5"/>
    <mergeCell ref="D6:F6"/>
    <mergeCell ref="G6:H6"/>
    <mergeCell ref="G4:H4"/>
    <mergeCell ref="B17:B18"/>
    <mergeCell ref="C17:C18"/>
    <mergeCell ref="E17:E18"/>
    <mergeCell ref="F17:F18"/>
    <mergeCell ref="K15:L16"/>
    <mergeCell ref="K17:K18"/>
    <mergeCell ref="G17:H17"/>
    <mergeCell ref="L18:M18"/>
    <mergeCell ref="I7:K7"/>
    <mergeCell ref="M7:N7"/>
    <mergeCell ref="G15:I15"/>
    <mergeCell ref="G16:I16"/>
    <mergeCell ref="B12:C16"/>
    <mergeCell ref="E12:F14"/>
    <mergeCell ref="G12:I13"/>
    <mergeCell ref="K12:N14"/>
    <mergeCell ref="G14:H14"/>
    <mergeCell ref="M15:M16"/>
    <mergeCell ref="N16:N18"/>
    <mergeCell ref="D10:F10"/>
    <mergeCell ref="G10:H10"/>
    <mergeCell ref="M10:N10"/>
    <mergeCell ref="D7:F7"/>
    <mergeCell ref="G7:H7"/>
    <mergeCell ref="I4:K4"/>
    <mergeCell ref="I5:K5"/>
    <mergeCell ref="M5:N5"/>
    <mergeCell ref="I6:K6"/>
    <mergeCell ref="M6:N6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49" xr:uid="{00000000-0002-0000-0200-000000000000}">
      <formula1>$Z$19:$Z$30</formula1>
    </dataValidation>
    <dataValidation type="list" allowBlank="1" showErrorMessage="1" sqref="I14" xr:uid="{00000000-0002-0000-0200-000001000000}">
      <formula1>$Y$14:$Y$15</formula1>
    </dataValidation>
    <dataValidation type="list" allowBlank="1" showErrorMessage="1" sqref="J14" xr:uid="{00000000-0002-0000-0200-000002000000}">
      <formula1>$L$9</formula1>
    </dataValidation>
    <dataValidation type="list" allowBlank="1" showErrorMessage="1" sqref="Q15 G18 L18 Q18" xr:uid="{00000000-0002-0000-02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2" sqref="G2:H6"/>
    </sheetView>
  </sheetViews>
  <sheetFormatPr defaultColWidth="12.54296875" defaultRowHeight="15" customHeight="1"/>
  <cols>
    <col min="1" max="1" width="0.81640625" customWidth="1"/>
    <col min="2" max="2" width="25.7265625" customWidth="1"/>
    <col min="3" max="3" width="43.26953125" customWidth="1"/>
    <col min="4" max="4" width="0.81640625" customWidth="1"/>
    <col min="5" max="6" width="9.7265625" customWidth="1"/>
    <col min="7" max="9" width="18.7265625" customWidth="1"/>
    <col min="10" max="10" width="0.81640625" customWidth="1"/>
    <col min="11" max="11" width="9.54296875" customWidth="1"/>
    <col min="12" max="13" width="18.7265625" customWidth="1"/>
    <col min="14" max="14" width="13.7265625" customWidth="1"/>
    <col min="15" max="15" width="0.81640625" customWidth="1"/>
    <col min="16" max="16" width="17.81640625" customWidth="1"/>
    <col min="17" max="20" width="18.7265625" customWidth="1"/>
    <col min="21" max="21" width="15" customWidth="1"/>
    <col min="22" max="22" width="14.7265625" customWidth="1"/>
    <col min="23" max="23" width="13.453125" hidden="1" customWidth="1"/>
    <col min="24" max="24" width="0.81640625" customWidth="1"/>
    <col min="25" max="26" width="9.1796875" hidden="1" customWidth="1"/>
    <col min="27" max="27" width="9.1796875" customWidth="1"/>
    <col min="28" max="28" width="10.54296875" customWidth="1"/>
  </cols>
  <sheetData>
    <row r="1" spans="2:25" ht="23.25" customHeight="1">
      <c r="B1" s="205" t="s">
        <v>29</v>
      </c>
      <c r="C1" s="206"/>
      <c r="D1" s="231" t="s">
        <v>30</v>
      </c>
      <c r="E1" s="209"/>
      <c r="F1" s="209"/>
      <c r="G1" s="209"/>
      <c r="H1" s="183"/>
      <c r="I1" s="205" t="s">
        <v>31</v>
      </c>
      <c r="J1" s="209"/>
      <c r="K1" s="209"/>
      <c r="L1" s="183"/>
      <c r="M1" s="210" t="s">
        <v>32</v>
      </c>
      <c r="N1" s="211"/>
      <c r="O1" s="212"/>
      <c r="P1" s="213" t="str">
        <f>L18</f>
        <v>CAD $</v>
      </c>
      <c r="Q1" s="209"/>
      <c r="R1" s="183"/>
      <c r="S1" s="205" t="s">
        <v>33</v>
      </c>
      <c r="T1" s="209"/>
      <c r="U1" s="209"/>
      <c r="V1" s="209"/>
      <c r="W1" s="183"/>
      <c r="X1" s="6"/>
      <c r="Y1" s="7"/>
    </row>
    <row r="2" spans="2:25" ht="15" customHeight="1">
      <c r="B2" s="9" t="s">
        <v>34</v>
      </c>
      <c r="C2" s="132"/>
      <c r="D2" s="215" t="s">
        <v>35</v>
      </c>
      <c r="E2" s="144"/>
      <c r="F2" s="145"/>
      <c r="G2" s="232"/>
      <c r="H2" s="145"/>
      <c r="I2" s="215" t="s">
        <v>36</v>
      </c>
      <c r="J2" s="144"/>
      <c r="K2" s="145"/>
      <c r="L2" s="12"/>
      <c r="M2" s="214" t="s">
        <v>37</v>
      </c>
      <c r="N2" s="145"/>
      <c r="O2" s="13"/>
      <c r="P2" s="225">
        <f>I50</f>
        <v>0</v>
      </c>
      <c r="Q2" s="144"/>
      <c r="R2" s="145"/>
      <c r="S2" s="214" t="s">
        <v>38</v>
      </c>
      <c r="T2" s="145"/>
      <c r="U2" s="224"/>
      <c r="V2" s="145"/>
      <c r="W2" s="14"/>
      <c r="X2" s="15"/>
      <c r="Y2" s="7"/>
    </row>
    <row r="3" spans="2:25" ht="15" customHeight="1">
      <c r="B3" s="16" t="s">
        <v>39</v>
      </c>
      <c r="C3" s="101"/>
      <c r="D3" s="136" t="s">
        <v>40</v>
      </c>
      <c r="E3" s="137"/>
      <c r="F3" s="138"/>
      <c r="G3" s="139"/>
      <c r="H3" s="138"/>
      <c r="I3" s="136" t="s">
        <v>41</v>
      </c>
      <c r="J3" s="137"/>
      <c r="K3" s="138"/>
      <c r="L3" s="17"/>
      <c r="M3" s="185" t="s">
        <v>42</v>
      </c>
      <c r="N3" s="138"/>
      <c r="O3" s="13"/>
      <c r="P3" s="226">
        <f>M50</f>
        <v>0</v>
      </c>
      <c r="Q3" s="137"/>
      <c r="R3" s="138"/>
      <c r="S3" s="185" t="s">
        <v>43</v>
      </c>
      <c r="T3" s="138"/>
      <c r="U3" s="218"/>
      <c r="V3" s="138"/>
      <c r="W3" s="18"/>
      <c r="X3" s="5"/>
      <c r="Y3" s="19"/>
    </row>
    <row r="4" spans="2:25" ht="15" customHeight="1">
      <c r="B4" s="20" t="s">
        <v>44</v>
      </c>
      <c r="C4" s="101"/>
      <c r="D4" s="136" t="s">
        <v>45</v>
      </c>
      <c r="E4" s="137"/>
      <c r="F4" s="138"/>
      <c r="G4" s="139"/>
      <c r="H4" s="138"/>
      <c r="I4" s="136" t="s">
        <v>46</v>
      </c>
      <c r="J4" s="137"/>
      <c r="K4" s="138"/>
      <c r="L4" s="17"/>
      <c r="M4" s="185" t="s">
        <v>47</v>
      </c>
      <c r="N4" s="138"/>
      <c r="O4" s="13"/>
      <c r="P4" s="226">
        <f>P2-P3</f>
        <v>0</v>
      </c>
      <c r="Q4" s="137"/>
      <c r="R4" s="138"/>
      <c r="S4" s="185" t="s">
        <v>48</v>
      </c>
      <c r="T4" s="138"/>
      <c r="U4" s="218"/>
      <c r="V4" s="138"/>
      <c r="W4" s="18"/>
      <c r="X4" s="5"/>
      <c r="Y4" s="19"/>
    </row>
    <row r="5" spans="2:25" ht="15" customHeight="1">
      <c r="B5" s="20" t="s">
        <v>49</v>
      </c>
      <c r="C5" s="101"/>
      <c r="D5" s="136" t="s">
        <v>50</v>
      </c>
      <c r="E5" s="137"/>
      <c r="F5" s="138"/>
      <c r="G5" s="139"/>
      <c r="H5" s="138"/>
      <c r="I5" s="136" t="s">
        <v>51</v>
      </c>
      <c r="J5" s="137"/>
      <c r="K5" s="138"/>
      <c r="L5" s="17"/>
      <c r="M5" s="220" t="s">
        <v>52</v>
      </c>
      <c r="N5" s="221"/>
      <c r="O5" s="13"/>
      <c r="P5" s="227" t="str">
        <f>IFERROR((P2-P3)/P2,"")</f>
        <v/>
      </c>
      <c r="Q5" s="228"/>
      <c r="R5" s="221"/>
      <c r="S5" s="185" t="s">
        <v>53</v>
      </c>
      <c r="T5" s="138"/>
      <c r="U5" s="218"/>
      <c r="V5" s="138"/>
      <c r="W5" s="18"/>
      <c r="X5" s="5"/>
      <c r="Y5" s="19"/>
    </row>
    <row r="6" spans="2:25" ht="15" customHeight="1">
      <c r="B6" s="20" t="s">
        <v>54</v>
      </c>
      <c r="C6" s="133"/>
      <c r="D6" s="136" t="s">
        <v>55</v>
      </c>
      <c r="E6" s="137"/>
      <c r="F6" s="138"/>
      <c r="G6" s="139"/>
      <c r="H6" s="138"/>
      <c r="I6" s="136" t="s">
        <v>56</v>
      </c>
      <c r="J6" s="137"/>
      <c r="K6" s="138"/>
      <c r="L6" s="17"/>
      <c r="M6" s="222" t="s">
        <v>57</v>
      </c>
      <c r="N6" s="223"/>
      <c r="O6" s="13"/>
      <c r="P6" s="229">
        <f>T50</f>
        <v>0</v>
      </c>
      <c r="Q6" s="230"/>
      <c r="R6" s="223"/>
      <c r="S6" s="185" t="s">
        <v>58</v>
      </c>
      <c r="T6" s="138"/>
      <c r="U6" s="218"/>
      <c r="V6" s="138"/>
      <c r="W6" s="22"/>
      <c r="X6" s="23"/>
      <c r="Y6" s="24"/>
    </row>
    <row r="7" spans="2:25" ht="15" customHeight="1">
      <c r="B7" s="20" t="s">
        <v>59</v>
      </c>
      <c r="C7" s="101"/>
      <c r="D7" s="136" t="s">
        <v>60</v>
      </c>
      <c r="E7" s="137"/>
      <c r="F7" s="138"/>
      <c r="G7" s="139"/>
      <c r="H7" s="138"/>
      <c r="I7" s="136" t="s">
        <v>61</v>
      </c>
      <c r="J7" s="137"/>
      <c r="K7" s="138"/>
      <c r="L7" s="17"/>
      <c r="M7" s="146" t="s">
        <v>62</v>
      </c>
      <c r="N7" s="138"/>
      <c r="O7" s="13"/>
      <c r="P7" s="184">
        <f>R50</f>
        <v>0</v>
      </c>
      <c r="Q7" s="137"/>
      <c r="R7" s="138"/>
      <c r="S7" s="216" t="s">
        <v>63</v>
      </c>
      <c r="T7" s="217"/>
      <c r="U7" s="219"/>
      <c r="V7" s="217"/>
      <c r="W7" s="22"/>
      <c r="X7" s="26"/>
      <c r="Y7" s="8"/>
    </row>
    <row r="8" spans="2:25" ht="15" customHeight="1">
      <c r="B8" s="27"/>
      <c r="C8" s="34"/>
      <c r="D8" s="136" t="s">
        <v>64</v>
      </c>
      <c r="E8" s="137"/>
      <c r="F8" s="138"/>
      <c r="G8" s="139"/>
      <c r="H8" s="138"/>
      <c r="I8" s="136" t="s">
        <v>65</v>
      </c>
      <c r="J8" s="137"/>
      <c r="K8" s="138"/>
      <c r="L8" s="17"/>
      <c r="M8" s="146" t="s">
        <v>66</v>
      </c>
      <c r="N8" s="138"/>
      <c r="O8" s="13"/>
      <c r="P8" s="184">
        <f>IF(P1=Q15,R15,IF(Q15="CAD $",R15*E16,IF(Q15="USD $",R15*F16,0)))</f>
        <v>0</v>
      </c>
      <c r="Q8" s="137"/>
      <c r="R8" s="138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34"/>
      <c r="D9" s="136" t="s">
        <v>71</v>
      </c>
      <c r="E9" s="137"/>
      <c r="F9" s="138"/>
      <c r="G9" s="139"/>
      <c r="H9" s="138"/>
      <c r="I9" s="40"/>
      <c r="J9" s="36"/>
      <c r="K9" s="36"/>
      <c r="L9" s="37"/>
      <c r="M9" s="146" t="s">
        <v>72</v>
      </c>
      <c r="N9" s="138"/>
      <c r="O9" s="13"/>
      <c r="P9" s="192">
        <f>V15</f>
        <v>0</v>
      </c>
      <c r="Q9" s="137"/>
      <c r="R9" s="138"/>
      <c r="S9" s="193">
        <f>P7+P8+P9</f>
        <v>0</v>
      </c>
      <c r="T9" s="193">
        <f>P3-S9</f>
        <v>0</v>
      </c>
      <c r="U9" s="186">
        <f>IFERROR(((P3-S9)/S9),0)</f>
        <v>0</v>
      </c>
      <c r="V9" s="186">
        <f>IFERROR(T9/P3,0)</f>
        <v>0</v>
      </c>
      <c r="W9" s="189"/>
      <c r="X9" s="33"/>
      <c r="Y9" s="8"/>
    </row>
    <row r="10" spans="2:25" ht="15" customHeight="1">
      <c r="B10" s="34"/>
      <c r="C10" s="34"/>
      <c r="D10" s="136" t="s">
        <v>73</v>
      </c>
      <c r="E10" s="137"/>
      <c r="F10" s="138"/>
      <c r="G10" s="139" t="s">
        <v>109</v>
      </c>
      <c r="H10" s="138"/>
      <c r="I10" s="40"/>
      <c r="J10" s="36"/>
      <c r="K10" s="36"/>
      <c r="L10" s="37"/>
      <c r="M10" s="146"/>
      <c r="N10" s="138"/>
      <c r="O10" s="13"/>
      <c r="P10" s="192"/>
      <c r="Q10" s="137"/>
      <c r="R10" s="138"/>
      <c r="S10" s="187"/>
      <c r="T10" s="187"/>
      <c r="U10" s="187"/>
      <c r="V10" s="187"/>
      <c r="W10" s="190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85" t="s">
        <v>74</v>
      </c>
      <c r="N11" s="138"/>
      <c r="O11" s="13"/>
      <c r="P11" s="194">
        <f>F50</f>
        <v>0</v>
      </c>
      <c r="Q11" s="137"/>
      <c r="R11" s="138"/>
      <c r="S11" s="188"/>
      <c r="T11" s="188"/>
      <c r="U11" s="188"/>
      <c r="V11" s="188"/>
      <c r="W11" s="191"/>
      <c r="X11" s="33"/>
      <c r="Y11" s="8"/>
    </row>
    <row r="12" spans="2:25" ht="15" customHeight="1">
      <c r="B12" s="172"/>
      <c r="C12" s="173"/>
      <c r="D12" s="41"/>
      <c r="E12" s="178" t="s">
        <v>75</v>
      </c>
      <c r="F12" s="179"/>
      <c r="G12" s="181" t="s">
        <v>37</v>
      </c>
      <c r="H12" s="148"/>
      <c r="I12" s="149"/>
      <c r="J12" s="42"/>
      <c r="K12" s="147" t="s">
        <v>76</v>
      </c>
      <c r="L12" s="148"/>
      <c r="M12" s="148"/>
      <c r="N12" s="149"/>
      <c r="O12" s="13"/>
      <c r="P12" s="195" t="s">
        <v>77</v>
      </c>
      <c r="Q12" s="148"/>
      <c r="R12" s="148"/>
      <c r="S12" s="148"/>
      <c r="T12" s="148"/>
      <c r="U12" s="148"/>
      <c r="V12" s="179"/>
      <c r="W12" s="43"/>
      <c r="X12" s="44"/>
      <c r="Y12" s="8" t="s">
        <v>78</v>
      </c>
    </row>
    <row r="13" spans="2:25" ht="15" customHeight="1">
      <c r="B13" s="174"/>
      <c r="C13" s="175"/>
      <c r="D13" s="45"/>
      <c r="E13" s="150"/>
      <c r="F13" s="180"/>
      <c r="G13" s="176"/>
      <c r="H13" s="154"/>
      <c r="I13" s="155"/>
      <c r="J13" s="46"/>
      <c r="K13" s="150"/>
      <c r="L13" s="151"/>
      <c r="M13" s="151"/>
      <c r="N13" s="152"/>
      <c r="O13" s="47"/>
      <c r="P13" s="150"/>
      <c r="Q13" s="151"/>
      <c r="R13" s="151"/>
      <c r="S13" s="151"/>
      <c r="T13" s="151"/>
      <c r="U13" s="151"/>
      <c r="V13" s="180"/>
      <c r="W13" s="48"/>
      <c r="X13" s="44"/>
      <c r="Y13" s="8" t="s">
        <v>79</v>
      </c>
    </row>
    <row r="14" spans="2:25" ht="15" customHeight="1">
      <c r="B14" s="174"/>
      <c r="C14" s="175"/>
      <c r="D14" s="45"/>
      <c r="E14" s="153"/>
      <c r="F14" s="158"/>
      <c r="G14" s="182" t="s">
        <v>80</v>
      </c>
      <c r="H14" s="183"/>
      <c r="I14" s="49" t="s">
        <v>81</v>
      </c>
      <c r="J14" s="50"/>
      <c r="K14" s="153"/>
      <c r="L14" s="154"/>
      <c r="M14" s="154"/>
      <c r="N14" s="155"/>
      <c r="O14" s="47"/>
      <c r="P14" s="196"/>
      <c r="Q14" s="197"/>
      <c r="R14" s="197"/>
      <c r="S14" s="197"/>
      <c r="T14" s="197"/>
      <c r="U14" s="197"/>
      <c r="V14" s="198"/>
      <c r="W14" s="51"/>
      <c r="X14" s="44"/>
      <c r="Y14" s="8" t="s">
        <v>81</v>
      </c>
    </row>
    <row r="15" spans="2:25" ht="30" customHeight="1">
      <c r="B15" s="174"/>
      <c r="C15" s="175"/>
      <c r="D15" s="45"/>
      <c r="E15" s="52" t="s">
        <v>82</v>
      </c>
      <c r="F15" s="53" t="s">
        <v>83</v>
      </c>
      <c r="G15" s="143" t="s">
        <v>84</v>
      </c>
      <c r="H15" s="144"/>
      <c r="I15" s="145"/>
      <c r="J15" s="54"/>
      <c r="K15" s="156" t="s">
        <v>85</v>
      </c>
      <c r="L15" s="157"/>
      <c r="M15" s="15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>
      <c r="B16" s="176"/>
      <c r="C16" s="177"/>
      <c r="D16" s="45"/>
      <c r="E16" s="63">
        <f>1/F16</f>
        <v>0.7246376811594204</v>
      </c>
      <c r="F16" s="64">
        <v>1.38</v>
      </c>
      <c r="G16" s="140"/>
      <c r="H16" s="137"/>
      <c r="I16" s="138"/>
      <c r="J16" s="65"/>
      <c r="K16" s="153"/>
      <c r="L16" s="158"/>
      <c r="M16" s="160"/>
      <c r="N16" s="161" t="s">
        <v>90</v>
      </c>
      <c r="O16" s="56"/>
      <c r="P16" s="199" t="s">
        <v>91</v>
      </c>
      <c r="Q16" s="200"/>
      <c r="R16" s="200"/>
      <c r="S16" s="200"/>
      <c r="T16" s="200"/>
      <c r="U16" s="200"/>
      <c r="V16" s="201"/>
      <c r="W16" s="66"/>
      <c r="X16" s="67"/>
      <c r="Y16" s="8"/>
    </row>
    <row r="17" spans="2:26" ht="15" customHeight="1">
      <c r="B17" s="167" t="s">
        <v>92</v>
      </c>
      <c r="C17" s="168" t="s">
        <v>93</v>
      </c>
      <c r="D17" s="68"/>
      <c r="E17" s="170" t="s">
        <v>94</v>
      </c>
      <c r="F17" s="171" t="s">
        <v>95</v>
      </c>
      <c r="G17" s="141" t="s">
        <v>96</v>
      </c>
      <c r="H17" s="142"/>
      <c r="I17" s="69" t="s">
        <v>97</v>
      </c>
      <c r="J17" s="70"/>
      <c r="K17" s="164" t="s">
        <v>95</v>
      </c>
      <c r="L17" s="71" t="s">
        <v>98</v>
      </c>
      <c r="M17" s="72" t="s">
        <v>99</v>
      </c>
      <c r="N17" s="162"/>
      <c r="O17" s="73"/>
      <c r="P17" s="20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60"/>
      <c r="C18" s="169"/>
      <c r="D18" s="78"/>
      <c r="E18" s="165"/>
      <c r="F18" s="160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5"/>
      <c r="L18" s="166" t="s">
        <v>78</v>
      </c>
      <c r="M18" s="145"/>
      <c r="N18" s="163"/>
      <c r="O18" s="82"/>
      <c r="P18" s="203"/>
      <c r="Q18" s="58" t="s">
        <v>79</v>
      </c>
      <c r="R18" s="204" t="str">
        <f>L18</f>
        <v>CAD $</v>
      </c>
      <c r="S18" s="144"/>
      <c r="T18" s="144"/>
      <c r="U18" s="144"/>
      <c r="V18" s="145"/>
      <c r="W18" s="83"/>
      <c r="X18" s="84"/>
      <c r="Y18" s="85"/>
      <c r="Z18" s="85"/>
    </row>
    <row r="19" spans="2:26" ht="14.5">
      <c r="B19" s="86"/>
      <c r="C19" s="87"/>
      <c r="D19" s="88"/>
      <c r="E19" s="89"/>
      <c r="F19" s="90"/>
      <c r="G19" s="91"/>
      <c r="H19" s="91"/>
      <c r="I19" s="92"/>
      <c r="J19" s="93"/>
      <c r="K19" s="90"/>
      <c r="L19" s="91"/>
      <c r="M19" s="91"/>
      <c r="N19" s="94"/>
      <c r="O19" s="95"/>
      <c r="P19" s="86"/>
      <c r="Q19" s="96"/>
      <c r="R19" s="96"/>
      <c r="S19" s="96"/>
      <c r="T19" s="96"/>
      <c r="U19" s="97"/>
      <c r="V19" s="97"/>
      <c r="W19" s="98"/>
      <c r="X19" s="99"/>
      <c r="Y19" s="8"/>
      <c r="Z19" s="8"/>
    </row>
    <row r="20" spans="2:26" ht="14.5">
      <c r="B20" s="100"/>
      <c r="C20" s="101"/>
      <c r="D20" s="88"/>
      <c r="E20" s="102"/>
      <c r="F20" s="103"/>
      <c r="G20" s="104"/>
      <c r="H20" s="105"/>
      <c r="I20" s="106"/>
      <c r="J20" s="107"/>
      <c r="K20" s="108"/>
      <c r="L20" s="105"/>
      <c r="M20" s="105"/>
      <c r="N20" s="109"/>
      <c r="O20" s="95"/>
      <c r="P20" s="100"/>
      <c r="Q20" s="104"/>
      <c r="R20" s="110"/>
      <c r="S20" s="111"/>
      <c r="T20" s="111"/>
      <c r="U20" s="112"/>
      <c r="V20" s="112"/>
      <c r="W20" s="113"/>
      <c r="X20" s="99"/>
      <c r="Y20" s="8"/>
      <c r="Z20" s="8"/>
    </row>
    <row r="21" spans="2:26" ht="14.5">
      <c r="B21" s="86"/>
      <c r="C21" s="114"/>
      <c r="D21" s="88"/>
      <c r="E21" s="89"/>
      <c r="F21" s="115"/>
      <c r="G21" s="96"/>
      <c r="H21" s="91"/>
      <c r="I21" s="92"/>
      <c r="J21" s="107"/>
      <c r="K21" s="90"/>
      <c r="L21" s="91"/>
      <c r="M21" s="91"/>
      <c r="N21" s="116"/>
      <c r="O21" s="95"/>
      <c r="P21" s="117"/>
      <c r="Q21" s="96"/>
      <c r="R21" s="96"/>
      <c r="S21" s="96"/>
      <c r="T21" s="96"/>
      <c r="U21" s="97"/>
      <c r="V21" s="97"/>
      <c r="W21" s="98"/>
      <c r="X21" s="99"/>
      <c r="Y21" s="8"/>
      <c r="Z21" s="8"/>
    </row>
    <row r="22" spans="2:26" ht="15.75" customHeight="1">
      <c r="B22" s="100"/>
      <c r="C22" s="101"/>
      <c r="D22" s="88"/>
      <c r="E22" s="102"/>
      <c r="F22" s="103"/>
      <c r="G22" s="104"/>
      <c r="H22" s="105"/>
      <c r="I22" s="106"/>
      <c r="J22" s="107"/>
      <c r="K22" s="108"/>
      <c r="L22" s="105"/>
      <c r="M22" s="105"/>
      <c r="N22" s="109"/>
      <c r="O22" s="95"/>
      <c r="P22" s="100"/>
      <c r="Q22" s="104"/>
      <c r="R22" s="110"/>
      <c r="S22" s="111"/>
      <c r="T22" s="111"/>
      <c r="U22" s="112"/>
      <c r="V22" s="112"/>
      <c r="W22" s="113"/>
      <c r="X22" s="99"/>
      <c r="Y22" s="8"/>
      <c r="Z22" s="8"/>
    </row>
    <row r="23" spans="2:26" ht="15.75" customHeight="1">
      <c r="B23" s="86"/>
      <c r="C23" s="114"/>
      <c r="D23" s="88"/>
      <c r="E23" s="89"/>
      <c r="F23" s="115"/>
      <c r="G23" s="96"/>
      <c r="H23" s="91"/>
      <c r="I23" s="92"/>
      <c r="J23" s="107"/>
      <c r="K23" s="90"/>
      <c r="L23" s="91"/>
      <c r="M23" s="91"/>
      <c r="N23" s="116"/>
      <c r="O23" s="95"/>
      <c r="P23" s="117"/>
      <c r="Q23" s="96"/>
      <c r="R23" s="96"/>
      <c r="S23" s="96"/>
      <c r="T23" s="96"/>
      <c r="U23" s="97"/>
      <c r="V23" s="97"/>
      <c r="W23" s="98"/>
      <c r="X23" s="99"/>
      <c r="Y23" s="8"/>
      <c r="Z23" s="8"/>
    </row>
    <row r="24" spans="2:26" ht="15.75" customHeight="1">
      <c r="B24" s="100"/>
      <c r="C24" s="101"/>
      <c r="D24" s="88"/>
      <c r="E24" s="102"/>
      <c r="F24" s="103"/>
      <c r="G24" s="104"/>
      <c r="H24" s="105"/>
      <c r="I24" s="106"/>
      <c r="J24" s="107"/>
      <c r="K24" s="108"/>
      <c r="L24" s="105"/>
      <c r="M24" s="105"/>
      <c r="N24" s="109"/>
      <c r="O24" s="95"/>
      <c r="P24" s="100"/>
      <c r="Q24" s="104"/>
      <c r="R24" s="110"/>
      <c r="S24" s="111"/>
      <c r="T24" s="111"/>
      <c r="U24" s="112"/>
      <c r="V24" s="112"/>
      <c r="W24" s="113"/>
      <c r="X24" s="99"/>
      <c r="Y24" s="8"/>
      <c r="Z24" s="8"/>
    </row>
    <row r="25" spans="2:26" ht="15.75" customHeight="1">
      <c r="B25" s="86"/>
      <c r="C25" s="114"/>
      <c r="D25" s="88"/>
      <c r="E25" s="89"/>
      <c r="F25" s="115"/>
      <c r="G25" s="96"/>
      <c r="H25" s="91"/>
      <c r="I25" s="92"/>
      <c r="J25" s="107"/>
      <c r="K25" s="90"/>
      <c r="L25" s="91"/>
      <c r="M25" s="91"/>
      <c r="N25" s="116"/>
      <c r="O25" s="95"/>
      <c r="P25" s="117"/>
      <c r="Q25" s="96"/>
      <c r="R25" s="96"/>
      <c r="S25" s="96"/>
      <c r="T25" s="96"/>
      <c r="U25" s="97"/>
      <c r="V25" s="97"/>
      <c r="W25" s="98"/>
      <c r="X25" s="99"/>
      <c r="Y25" s="8"/>
      <c r="Z25" s="8"/>
    </row>
    <row r="26" spans="2:26" ht="15.75" customHeight="1">
      <c r="B26" s="100"/>
      <c r="C26" s="101"/>
      <c r="D26" s="88"/>
      <c r="E26" s="102"/>
      <c r="F26" s="103"/>
      <c r="G26" s="104"/>
      <c r="H26" s="105"/>
      <c r="I26" s="106"/>
      <c r="J26" s="107"/>
      <c r="K26" s="108"/>
      <c r="L26" s="105"/>
      <c r="M26" s="105"/>
      <c r="N26" s="109"/>
      <c r="O26" s="95"/>
      <c r="P26" s="100"/>
      <c r="Q26" s="104"/>
      <c r="R26" s="110"/>
      <c r="S26" s="111"/>
      <c r="T26" s="111"/>
      <c r="U26" s="112"/>
      <c r="V26" s="112"/>
      <c r="W26" s="113"/>
      <c r="X26" s="99"/>
      <c r="Y26" s="8"/>
      <c r="Z26" s="8"/>
    </row>
    <row r="27" spans="2:26" ht="15.75" customHeight="1">
      <c r="B27" s="86"/>
      <c r="C27" s="114"/>
      <c r="D27" s="88"/>
      <c r="E27" s="89"/>
      <c r="F27" s="115"/>
      <c r="G27" s="96"/>
      <c r="H27" s="91"/>
      <c r="I27" s="92"/>
      <c r="J27" s="107"/>
      <c r="K27" s="90"/>
      <c r="L27" s="91"/>
      <c r="M27" s="91"/>
      <c r="N27" s="116"/>
      <c r="O27" s="95"/>
      <c r="P27" s="117"/>
      <c r="Q27" s="96"/>
      <c r="R27" s="96"/>
      <c r="S27" s="96"/>
      <c r="T27" s="96"/>
      <c r="U27" s="97"/>
      <c r="V27" s="97"/>
      <c r="W27" s="98"/>
      <c r="X27" s="99"/>
      <c r="Y27" s="8"/>
      <c r="Z27" s="8"/>
    </row>
    <row r="28" spans="2:26" ht="15.75" customHeight="1">
      <c r="B28" s="100"/>
      <c r="C28" s="101"/>
      <c r="D28" s="88"/>
      <c r="E28" s="102"/>
      <c r="F28" s="103"/>
      <c r="G28" s="104"/>
      <c r="H28" s="105"/>
      <c r="I28" s="106"/>
      <c r="J28" s="107"/>
      <c r="K28" s="108"/>
      <c r="L28" s="105"/>
      <c r="M28" s="105"/>
      <c r="N28" s="109"/>
      <c r="O28" s="95"/>
      <c r="P28" s="100"/>
      <c r="Q28" s="104"/>
      <c r="R28" s="110"/>
      <c r="S28" s="111"/>
      <c r="T28" s="111"/>
      <c r="U28" s="112"/>
      <c r="V28" s="112"/>
      <c r="W28" s="113"/>
      <c r="X28" s="99"/>
      <c r="Y28" s="8"/>
      <c r="Z28" s="118"/>
    </row>
    <row r="29" spans="2:26" ht="15.75" customHeight="1">
      <c r="B29" s="86"/>
      <c r="C29" s="114"/>
      <c r="D29" s="88"/>
      <c r="E29" s="89"/>
      <c r="F29" s="115"/>
      <c r="G29" s="96"/>
      <c r="H29" s="91"/>
      <c r="I29" s="92"/>
      <c r="J29" s="107"/>
      <c r="K29" s="90"/>
      <c r="L29" s="91"/>
      <c r="M29" s="91"/>
      <c r="N29" s="116"/>
      <c r="O29" s="95"/>
      <c r="P29" s="117"/>
      <c r="Q29" s="96"/>
      <c r="R29" s="96"/>
      <c r="S29" s="96"/>
      <c r="T29" s="96"/>
      <c r="U29" s="97"/>
      <c r="V29" s="97"/>
      <c r="W29" s="98"/>
      <c r="X29" s="99"/>
      <c r="Y29" s="8"/>
      <c r="Z29" s="8"/>
    </row>
    <row r="30" spans="2:26" ht="15.75" customHeight="1">
      <c r="B30" s="100"/>
      <c r="C30" s="101"/>
      <c r="D30" s="88"/>
      <c r="E30" s="102"/>
      <c r="F30" s="103"/>
      <c r="G30" s="104"/>
      <c r="H30" s="105"/>
      <c r="I30" s="106"/>
      <c r="J30" s="107"/>
      <c r="K30" s="108"/>
      <c r="L30" s="105"/>
      <c r="M30" s="105"/>
      <c r="N30" s="109"/>
      <c r="O30" s="95"/>
      <c r="P30" s="100"/>
      <c r="Q30" s="104"/>
      <c r="R30" s="110"/>
      <c r="S30" s="111"/>
      <c r="T30" s="111"/>
      <c r="U30" s="112"/>
      <c r="V30" s="112"/>
      <c r="W30" s="113"/>
      <c r="X30" s="99"/>
      <c r="Y30" s="8"/>
      <c r="Z30" s="8"/>
    </row>
    <row r="31" spans="2:26" ht="15.75" customHeight="1">
      <c r="B31" s="86"/>
      <c r="C31" s="114"/>
      <c r="D31" s="88"/>
      <c r="E31" s="89"/>
      <c r="F31" s="115"/>
      <c r="G31" s="96"/>
      <c r="H31" s="91"/>
      <c r="I31" s="92"/>
      <c r="J31" s="107"/>
      <c r="K31" s="90"/>
      <c r="L31" s="91"/>
      <c r="M31" s="91"/>
      <c r="N31" s="116"/>
      <c r="O31" s="95"/>
      <c r="P31" s="117"/>
      <c r="Q31" s="96"/>
      <c r="R31" s="96"/>
      <c r="S31" s="96"/>
      <c r="T31" s="96"/>
      <c r="U31" s="97"/>
      <c r="V31" s="97"/>
      <c r="W31" s="98"/>
      <c r="X31" s="99"/>
      <c r="Y31" s="8"/>
      <c r="Z31" s="8"/>
    </row>
    <row r="32" spans="2:26" ht="15.75" customHeight="1">
      <c r="B32" s="100"/>
      <c r="C32" s="101"/>
      <c r="D32" s="88"/>
      <c r="E32" s="102"/>
      <c r="F32" s="103"/>
      <c r="G32" s="104"/>
      <c r="H32" s="105"/>
      <c r="I32" s="106"/>
      <c r="J32" s="107"/>
      <c r="K32" s="108"/>
      <c r="L32" s="105"/>
      <c r="M32" s="105"/>
      <c r="N32" s="109"/>
      <c r="O32" s="95"/>
      <c r="P32" s="100"/>
      <c r="Q32" s="104"/>
      <c r="R32" s="110"/>
      <c r="S32" s="111"/>
      <c r="T32" s="111"/>
      <c r="U32" s="112"/>
      <c r="V32" s="112"/>
      <c r="W32" s="113"/>
      <c r="X32" s="99"/>
      <c r="Y32" s="8"/>
      <c r="Z32" s="8"/>
    </row>
    <row r="33" spans="2:23" ht="15.75" customHeight="1">
      <c r="B33" s="86"/>
      <c r="C33" s="114"/>
      <c r="D33" s="88"/>
      <c r="E33" s="89"/>
      <c r="F33" s="115"/>
      <c r="G33" s="96"/>
      <c r="H33" s="91"/>
      <c r="I33" s="92"/>
      <c r="J33" s="107"/>
      <c r="K33" s="90"/>
      <c r="L33" s="91"/>
      <c r="M33" s="91"/>
      <c r="N33" s="116"/>
      <c r="O33" s="95"/>
      <c r="P33" s="117"/>
      <c r="Q33" s="96"/>
      <c r="R33" s="96"/>
      <c r="S33" s="96"/>
      <c r="T33" s="96"/>
      <c r="U33" s="97"/>
      <c r="V33" s="97"/>
      <c r="W33" s="98"/>
    </row>
    <row r="34" spans="2:23" ht="15.75" customHeight="1">
      <c r="B34" s="100"/>
      <c r="C34" s="101"/>
      <c r="D34" s="88"/>
      <c r="E34" s="102"/>
      <c r="F34" s="103"/>
      <c r="G34" s="104"/>
      <c r="H34" s="105"/>
      <c r="I34" s="106"/>
      <c r="J34" s="107"/>
      <c r="K34" s="108"/>
      <c r="L34" s="105"/>
      <c r="M34" s="105"/>
      <c r="N34" s="109"/>
      <c r="O34" s="95"/>
      <c r="P34" s="100"/>
      <c r="Q34" s="104"/>
      <c r="R34" s="110"/>
      <c r="S34" s="111"/>
      <c r="T34" s="111"/>
      <c r="U34" s="112"/>
      <c r="V34" s="112"/>
      <c r="W34" s="113"/>
    </row>
    <row r="35" spans="2:23" ht="15.75" customHeight="1">
      <c r="B35" s="86"/>
      <c r="C35" s="114"/>
      <c r="D35" s="88"/>
      <c r="E35" s="89"/>
      <c r="F35" s="115"/>
      <c r="G35" s="96"/>
      <c r="H35" s="91"/>
      <c r="I35" s="92"/>
      <c r="J35" s="107"/>
      <c r="K35" s="90"/>
      <c r="L35" s="91"/>
      <c r="M35" s="91"/>
      <c r="N35" s="116"/>
      <c r="O35" s="95"/>
      <c r="P35" s="117"/>
      <c r="Q35" s="96"/>
      <c r="R35" s="96"/>
      <c r="S35" s="96"/>
      <c r="T35" s="96"/>
      <c r="U35" s="97"/>
      <c r="V35" s="97"/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/>
      <c r="I36" s="106"/>
      <c r="J36" s="107"/>
      <c r="K36" s="108"/>
      <c r="L36" s="105"/>
      <c r="M36" s="105"/>
      <c r="N36" s="109"/>
      <c r="O36" s="95"/>
      <c r="P36" s="100"/>
      <c r="Q36" s="104"/>
      <c r="R36" s="110"/>
      <c r="S36" s="111"/>
      <c r="T36" s="111"/>
      <c r="U36" s="112"/>
      <c r="V36" s="112"/>
      <c r="W36" s="113"/>
    </row>
    <row r="37" spans="2:23" ht="15.75" customHeight="1">
      <c r="B37" s="86"/>
      <c r="C37" s="114"/>
      <c r="D37" s="88"/>
      <c r="E37" s="89"/>
      <c r="F37" s="115"/>
      <c r="G37" s="96"/>
      <c r="H37" s="91"/>
      <c r="I37" s="92"/>
      <c r="J37" s="107"/>
      <c r="K37" s="90"/>
      <c r="L37" s="91"/>
      <c r="M37" s="91"/>
      <c r="N37" s="116"/>
      <c r="O37" s="95"/>
      <c r="P37" s="117"/>
      <c r="Q37" s="96"/>
      <c r="R37" s="96"/>
      <c r="S37" s="96"/>
      <c r="T37" s="96"/>
      <c r="U37" s="97"/>
      <c r="V37" s="97"/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/>
      <c r="I38" s="106"/>
      <c r="J38" s="107"/>
      <c r="K38" s="108"/>
      <c r="L38" s="105"/>
      <c r="M38" s="105"/>
      <c r="N38" s="109"/>
      <c r="O38" s="95"/>
      <c r="P38" s="100"/>
      <c r="Q38" s="104"/>
      <c r="R38" s="110"/>
      <c r="S38" s="111"/>
      <c r="T38" s="111"/>
      <c r="U38" s="112"/>
      <c r="V38" s="112"/>
      <c r="W38" s="113"/>
    </row>
    <row r="39" spans="2:23" ht="15.75" customHeight="1">
      <c r="B39" s="86"/>
      <c r="C39" s="114"/>
      <c r="D39" s="88"/>
      <c r="E39" s="89"/>
      <c r="F39" s="115"/>
      <c r="G39" s="96"/>
      <c r="H39" s="91"/>
      <c r="I39" s="92"/>
      <c r="J39" s="107"/>
      <c r="K39" s="90"/>
      <c r="L39" s="91"/>
      <c r="M39" s="91"/>
      <c r="N39" s="116"/>
      <c r="O39" s="95"/>
      <c r="P39" s="117"/>
      <c r="Q39" s="96"/>
      <c r="R39" s="96"/>
      <c r="S39" s="96"/>
      <c r="T39" s="96"/>
      <c r="U39" s="97"/>
      <c r="V39" s="97"/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/>
      <c r="I40" s="106"/>
      <c r="J40" s="107"/>
      <c r="K40" s="108"/>
      <c r="L40" s="105"/>
      <c r="M40" s="105"/>
      <c r="N40" s="109"/>
      <c r="O40" s="95"/>
      <c r="P40" s="100"/>
      <c r="Q40" s="104"/>
      <c r="R40" s="110"/>
      <c r="S40" s="111"/>
      <c r="T40" s="111"/>
      <c r="U40" s="112"/>
      <c r="V40" s="112"/>
      <c r="W40" s="113"/>
    </row>
    <row r="41" spans="2:23" ht="15.75" customHeight="1">
      <c r="B41" s="86"/>
      <c r="C41" s="114"/>
      <c r="D41" s="88"/>
      <c r="E41" s="89"/>
      <c r="F41" s="115"/>
      <c r="G41" s="96"/>
      <c r="H41" s="91"/>
      <c r="I41" s="92"/>
      <c r="J41" s="107"/>
      <c r="K41" s="90"/>
      <c r="L41" s="91"/>
      <c r="M41" s="91"/>
      <c r="N41" s="116"/>
      <c r="O41" s="95"/>
      <c r="P41" s="117"/>
      <c r="Q41" s="96"/>
      <c r="R41" s="96"/>
      <c r="S41" s="96"/>
      <c r="T41" s="96"/>
      <c r="U41" s="97"/>
      <c r="V41" s="97"/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/>
      <c r="I42" s="106"/>
      <c r="J42" s="107"/>
      <c r="K42" s="108"/>
      <c r="L42" s="105"/>
      <c r="M42" s="105"/>
      <c r="N42" s="109"/>
      <c r="O42" s="95"/>
      <c r="P42" s="100"/>
      <c r="Q42" s="104"/>
      <c r="R42" s="110"/>
      <c r="S42" s="111"/>
      <c r="T42" s="111"/>
      <c r="U42" s="112"/>
      <c r="V42" s="112"/>
      <c r="W42" s="113"/>
    </row>
    <row r="43" spans="2:23" ht="15.75" customHeight="1">
      <c r="B43" s="86"/>
      <c r="C43" s="114"/>
      <c r="D43" s="88"/>
      <c r="E43" s="89"/>
      <c r="F43" s="115"/>
      <c r="G43" s="96"/>
      <c r="H43" s="91"/>
      <c r="I43" s="92"/>
      <c r="J43" s="107"/>
      <c r="K43" s="90"/>
      <c r="L43" s="91"/>
      <c r="M43" s="91"/>
      <c r="N43" s="116"/>
      <c r="O43" s="95"/>
      <c r="P43" s="117"/>
      <c r="Q43" s="96"/>
      <c r="R43" s="96"/>
      <c r="S43" s="96"/>
      <c r="T43" s="96"/>
      <c r="U43" s="97"/>
      <c r="V43" s="97"/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/>
      <c r="I44" s="106"/>
      <c r="J44" s="107"/>
      <c r="K44" s="108"/>
      <c r="L44" s="105"/>
      <c r="M44" s="105"/>
      <c r="N44" s="109"/>
      <c r="O44" s="95"/>
      <c r="P44" s="100"/>
      <c r="Q44" s="104"/>
      <c r="R44" s="110"/>
      <c r="S44" s="111"/>
      <c r="T44" s="111"/>
      <c r="U44" s="112"/>
      <c r="V44" s="112"/>
      <c r="W44" s="113"/>
    </row>
    <row r="45" spans="2:23" ht="15.75" customHeight="1">
      <c r="B45" s="86"/>
      <c r="C45" s="114"/>
      <c r="D45" s="88"/>
      <c r="E45" s="89"/>
      <c r="F45" s="115"/>
      <c r="G45" s="96"/>
      <c r="H45" s="91"/>
      <c r="I45" s="92"/>
      <c r="J45" s="107"/>
      <c r="K45" s="90"/>
      <c r="L45" s="91"/>
      <c r="M45" s="91"/>
      <c r="N45" s="116"/>
      <c r="O45" s="95"/>
      <c r="P45" s="117"/>
      <c r="Q45" s="96"/>
      <c r="R45" s="96"/>
      <c r="S45" s="96"/>
      <c r="T45" s="96"/>
      <c r="U45" s="97"/>
      <c r="V45" s="97"/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/>
      <c r="I46" s="106"/>
      <c r="J46" s="107"/>
      <c r="K46" s="108"/>
      <c r="L46" s="105"/>
      <c r="M46" s="105"/>
      <c r="N46" s="109"/>
      <c r="O46" s="95"/>
      <c r="P46" s="100"/>
      <c r="Q46" s="104"/>
      <c r="R46" s="110"/>
      <c r="S46" s="111"/>
      <c r="T46" s="111"/>
      <c r="U46" s="112"/>
      <c r="V46" s="112"/>
      <c r="W46" s="113"/>
    </row>
    <row r="47" spans="2:23" ht="15.75" customHeight="1">
      <c r="B47" s="86"/>
      <c r="C47" s="114"/>
      <c r="D47" s="88"/>
      <c r="E47" s="89"/>
      <c r="F47" s="115"/>
      <c r="G47" s="96"/>
      <c r="H47" s="91"/>
      <c r="I47" s="92"/>
      <c r="J47" s="107"/>
      <c r="K47" s="90"/>
      <c r="L47" s="91"/>
      <c r="M47" s="91"/>
      <c r="N47" s="116"/>
      <c r="O47" s="95"/>
      <c r="P47" s="117"/>
      <c r="Q47" s="96"/>
      <c r="R47" s="96"/>
      <c r="S47" s="96"/>
      <c r="T47" s="96"/>
      <c r="U47" s="97"/>
      <c r="V47" s="97"/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/>
      <c r="I48" s="106"/>
      <c r="J48" s="107"/>
      <c r="K48" s="108"/>
      <c r="L48" s="105"/>
      <c r="M48" s="105"/>
      <c r="N48" s="109"/>
      <c r="O48" s="95"/>
      <c r="P48" s="100"/>
      <c r="Q48" s="104"/>
      <c r="R48" s="110"/>
      <c r="S48" s="111"/>
      <c r="T48" s="111"/>
      <c r="U48" s="112"/>
      <c r="V48" s="112"/>
      <c r="W48" s="113"/>
    </row>
    <row r="49" spans="2:23" ht="15.75" customHeight="1">
      <c r="B49" s="86"/>
      <c r="C49" s="114"/>
      <c r="D49" s="88"/>
      <c r="E49" s="89"/>
      <c r="F49" s="115"/>
      <c r="G49" s="96"/>
      <c r="H49" s="91"/>
      <c r="I49" s="92"/>
      <c r="J49" s="107"/>
      <c r="K49" s="90"/>
      <c r="L49" s="91"/>
      <c r="M49" s="91"/>
      <c r="N49" s="116"/>
      <c r="O49" s="95"/>
      <c r="P49" s="117"/>
      <c r="Q49" s="96"/>
      <c r="R49" s="96"/>
      <c r="S49" s="96"/>
      <c r="T49" s="96"/>
      <c r="U49" s="97"/>
      <c r="V49" s="97"/>
      <c r="W49" s="113"/>
    </row>
    <row r="50" spans="2:23" ht="20.25" customHeight="1">
      <c r="B50" s="119"/>
      <c r="C50" s="119"/>
      <c r="D50" s="120"/>
      <c r="E50" s="121" t="s">
        <v>107</v>
      </c>
      <c r="F50" s="122">
        <f t="shared" ref="F50:I50" si="0">SUM(F19:F49)</f>
        <v>0</v>
      </c>
      <c r="G50" s="123">
        <f t="shared" si="0"/>
        <v>0</v>
      </c>
      <c r="H50" s="124">
        <f t="shared" si="0"/>
        <v>0</v>
      </c>
      <c r="I50" s="125">
        <f t="shared" si="0"/>
        <v>0</v>
      </c>
      <c r="J50" s="126"/>
      <c r="K50" s="127">
        <f t="shared" ref="K50:M50" si="1">SUM(K19:K49)</f>
        <v>0</v>
      </c>
      <c r="L50" s="124">
        <f t="shared" si="1"/>
        <v>0</v>
      </c>
      <c r="M50" s="125">
        <f t="shared" si="1"/>
        <v>0</v>
      </c>
      <c r="N50" s="125"/>
      <c r="O50" s="128"/>
      <c r="P50" s="129"/>
      <c r="Q50" s="124">
        <f t="shared" ref="Q50:T50" si="2">SUM(Q19:Q49)</f>
        <v>0</v>
      </c>
      <c r="R50" s="124">
        <f t="shared" si="2"/>
        <v>0</v>
      </c>
      <c r="S50" s="125">
        <f t="shared" si="2"/>
        <v>0</v>
      </c>
      <c r="T50" s="125">
        <f t="shared" si="2"/>
        <v>0</v>
      </c>
      <c r="U50" s="130"/>
      <c r="V50" s="130"/>
      <c r="W50" s="131"/>
    </row>
  </sheetData>
  <mergeCells count="89">
    <mergeCell ref="B17:B18"/>
    <mergeCell ref="C17:C18"/>
    <mergeCell ref="E17:E18"/>
    <mergeCell ref="F17:F18"/>
    <mergeCell ref="K15:L16"/>
    <mergeCell ref="K17:K18"/>
    <mergeCell ref="G17:H17"/>
    <mergeCell ref="L18:M18"/>
    <mergeCell ref="G15:I15"/>
    <mergeCell ref="G16:I16"/>
    <mergeCell ref="M5:N5"/>
    <mergeCell ref="I6:K6"/>
    <mergeCell ref="M6:N6"/>
    <mergeCell ref="M4:N4"/>
    <mergeCell ref="B12:C16"/>
    <mergeCell ref="K12:N14"/>
    <mergeCell ref="M10:N10"/>
    <mergeCell ref="E12:F14"/>
    <mergeCell ref="G12:I13"/>
    <mergeCell ref="G14:H14"/>
    <mergeCell ref="M15:M16"/>
    <mergeCell ref="N16:N18"/>
    <mergeCell ref="D10:F10"/>
    <mergeCell ref="G10:H10"/>
    <mergeCell ref="D7:F7"/>
    <mergeCell ref="G7:H7"/>
    <mergeCell ref="I8:K8"/>
    <mergeCell ref="G4:H4"/>
    <mergeCell ref="I4:K4"/>
    <mergeCell ref="I5:K5"/>
    <mergeCell ref="D4:F4"/>
    <mergeCell ref="D5:F5"/>
    <mergeCell ref="G5:H5"/>
    <mergeCell ref="M8:N8"/>
    <mergeCell ref="D9:F9"/>
    <mergeCell ref="G9:H9"/>
    <mergeCell ref="M9:N9"/>
    <mergeCell ref="S2:T2"/>
    <mergeCell ref="S5:T5"/>
    <mergeCell ref="S6:T6"/>
    <mergeCell ref="S7:T7"/>
    <mergeCell ref="P6:R6"/>
    <mergeCell ref="I7:K7"/>
    <mergeCell ref="M7:N7"/>
    <mergeCell ref="P8:R8"/>
    <mergeCell ref="D6:F6"/>
    <mergeCell ref="G6:H6"/>
    <mergeCell ref="D8:F8"/>
    <mergeCell ref="G8:H8"/>
    <mergeCell ref="U2:V2"/>
    <mergeCell ref="S3:T3"/>
    <mergeCell ref="U3:V3"/>
    <mergeCell ref="S4:T4"/>
    <mergeCell ref="U4:V4"/>
    <mergeCell ref="U6:V6"/>
    <mergeCell ref="U7:V7"/>
    <mergeCell ref="U5:V5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P2:R2"/>
    <mergeCell ref="P3:R3"/>
    <mergeCell ref="P4:R4"/>
    <mergeCell ref="P5:R5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M11:N11"/>
    <mergeCell ref="V9:V11"/>
    <mergeCell ref="W9:W11"/>
    <mergeCell ref="P10:R10"/>
    <mergeCell ref="T9:T11"/>
    <mergeCell ref="U9:U11"/>
    <mergeCell ref="P9:R9"/>
    <mergeCell ref="P11:R1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49" xr:uid="{00000000-0002-0000-0400-000000000000}">
      <formula1>$Z$19:$Z$30</formula1>
    </dataValidation>
    <dataValidation type="list" allowBlank="1" showErrorMessage="1" sqref="I14" xr:uid="{00000000-0002-0000-0400-000001000000}">
      <formula1>$Y$14:$Y$15</formula1>
    </dataValidation>
    <dataValidation type="list" allowBlank="1" showErrorMessage="1" sqref="J14" xr:uid="{00000000-0002-0000-0400-000002000000}">
      <formula1>$L$9</formula1>
    </dataValidation>
    <dataValidation type="list" allowBlank="1" showErrorMessage="1" sqref="Q15 G18 L18 Q18" xr:uid="{00000000-0002-0000-04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Z50"/>
  <sheetViews>
    <sheetView workbookViewId="0">
      <pane ySplit="18" topLeftCell="A19" activePane="bottomLeft" state="frozen"/>
      <selection pane="bottomLeft" activeCell="G2" sqref="G2:H8"/>
    </sheetView>
  </sheetViews>
  <sheetFormatPr defaultColWidth="12.54296875" defaultRowHeight="15" customHeight="1"/>
  <cols>
    <col min="1" max="1" width="0.81640625" customWidth="1"/>
    <col min="2" max="2" width="25.7265625" customWidth="1"/>
    <col min="3" max="3" width="43.26953125" customWidth="1"/>
    <col min="4" max="4" width="0.81640625" customWidth="1"/>
    <col min="5" max="6" width="9.7265625" customWidth="1"/>
    <col min="7" max="9" width="18.7265625" customWidth="1"/>
    <col min="10" max="10" width="0.81640625" customWidth="1"/>
    <col min="11" max="11" width="9.54296875" customWidth="1"/>
    <col min="12" max="13" width="18.7265625" customWidth="1"/>
    <col min="14" max="14" width="13.7265625" customWidth="1"/>
    <col min="15" max="15" width="0.81640625" customWidth="1"/>
    <col min="16" max="16" width="17.81640625" customWidth="1"/>
    <col min="17" max="20" width="18.7265625" customWidth="1"/>
    <col min="21" max="21" width="15" customWidth="1"/>
    <col min="22" max="22" width="14.7265625" customWidth="1"/>
    <col min="23" max="23" width="13.453125" hidden="1" customWidth="1"/>
    <col min="24" max="24" width="0.81640625" customWidth="1"/>
    <col min="25" max="26" width="9.1796875" hidden="1" customWidth="1"/>
    <col min="27" max="27" width="9.1796875" customWidth="1"/>
    <col min="28" max="28" width="10.54296875" customWidth="1"/>
  </cols>
  <sheetData>
    <row r="1" spans="2:25" ht="23.25" customHeight="1">
      <c r="B1" s="205" t="s">
        <v>29</v>
      </c>
      <c r="C1" s="206"/>
      <c r="D1" s="231" t="s">
        <v>30</v>
      </c>
      <c r="E1" s="209"/>
      <c r="F1" s="209"/>
      <c r="G1" s="209"/>
      <c r="H1" s="183"/>
      <c r="I1" s="205" t="s">
        <v>31</v>
      </c>
      <c r="J1" s="209"/>
      <c r="K1" s="209"/>
      <c r="L1" s="183"/>
      <c r="M1" s="210" t="s">
        <v>32</v>
      </c>
      <c r="N1" s="211"/>
      <c r="O1" s="212"/>
      <c r="P1" s="213" t="str">
        <f>L18</f>
        <v>CAD $</v>
      </c>
      <c r="Q1" s="209"/>
      <c r="R1" s="183"/>
      <c r="S1" s="205" t="s">
        <v>33</v>
      </c>
      <c r="T1" s="209"/>
      <c r="U1" s="209"/>
      <c r="V1" s="209"/>
      <c r="W1" s="183"/>
      <c r="X1" s="6"/>
      <c r="Y1" s="7"/>
    </row>
    <row r="2" spans="2:25" ht="15" customHeight="1">
      <c r="B2" s="9" t="s">
        <v>34</v>
      </c>
      <c r="C2" s="132"/>
      <c r="D2" s="215" t="s">
        <v>35</v>
      </c>
      <c r="E2" s="144"/>
      <c r="F2" s="145"/>
      <c r="G2" s="232"/>
      <c r="H2" s="145"/>
      <c r="I2" s="215" t="s">
        <v>36</v>
      </c>
      <c r="J2" s="144"/>
      <c r="K2" s="145"/>
      <c r="L2" s="12"/>
      <c r="M2" s="214" t="s">
        <v>37</v>
      </c>
      <c r="N2" s="145"/>
      <c r="O2" s="13"/>
      <c r="P2" s="225">
        <f>I50</f>
        <v>0</v>
      </c>
      <c r="Q2" s="144"/>
      <c r="R2" s="145"/>
      <c r="S2" s="214" t="s">
        <v>38</v>
      </c>
      <c r="T2" s="145"/>
      <c r="U2" s="224"/>
      <c r="V2" s="145"/>
      <c r="W2" s="14"/>
      <c r="X2" s="15"/>
      <c r="Y2" s="7"/>
    </row>
    <row r="3" spans="2:25" ht="15" customHeight="1">
      <c r="B3" s="16" t="s">
        <v>39</v>
      </c>
      <c r="C3" s="101"/>
      <c r="D3" s="136" t="s">
        <v>40</v>
      </c>
      <c r="E3" s="137"/>
      <c r="F3" s="138"/>
      <c r="G3" s="139"/>
      <c r="H3" s="138"/>
      <c r="I3" s="136" t="s">
        <v>41</v>
      </c>
      <c r="J3" s="137"/>
      <c r="K3" s="138"/>
      <c r="L3" s="17"/>
      <c r="M3" s="185" t="s">
        <v>42</v>
      </c>
      <c r="N3" s="138"/>
      <c r="O3" s="13"/>
      <c r="P3" s="226">
        <f>M50</f>
        <v>0</v>
      </c>
      <c r="Q3" s="137"/>
      <c r="R3" s="138"/>
      <c r="S3" s="185" t="s">
        <v>43</v>
      </c>
      <c r="T3" s="138"/>
      <c r="U3" s="218"/>
      <c r="V3" s="138"/>
      <c r="W3" s="18"/>
      <c r="X3" s="5"/>
      <c r="Y3" s="19"/>
    </row>
    <row r="4" spans="2:25" ht="15" customHeight="1">
      <c r="B4" s="20" t="s">
        <v>44</v>
      </c>
      <c r="C4" s="101"/>
      <c r="D4" s="136" t="s">
        <v>45</v>
      </c>
      <c r="E4" s="137"/>
      <c r="F4" s="138"/>
      <c r="G4" s="139"/>
      <c r="H4" s="138"/>
      <c r="I4" s="136" t="s">
        <v>46</v>
      </c>
      <c r="J4" s="137"/>
      <c r="K4" s="138"/>
      <c r="L4" s="17"/>
      <c r="M4" s="185" t="s">
        <v>47</v>
      </c>
      <c r="N4" s="138"/>
      <c r="O4" s="13"/>
      <c r="P4" s="226">
        <f>P2-P3</f>
        <v>0</v>
      </c>
      <c r="Q4" s="137"/>
      <c r="R4" s="138"/>
      <c r="S4" s="185" t="s">
        <v>48</v>
      </c>
      <c r="T4" s="138"/>
      <c r="U4" s="218"/>
      <c r="V4" s="138"/>
      <c r="W4" s="18"/>
      <c r="X4" s="5"/>
      <c r="Y4" s="19"/>
    </row>
    <row r="5" spans="2:25" ht="15" customHeight="1">
      <c r="B5" s="20" t="s">
        <v>49</v>
      </c>
      <c r="C5" s="101"/>
      <c r="D5" s="136" t="s">
        <v>50</v>
      </c>
      <c r="E5" s="137"/>
      <c r="F5" s="138"/>
      <c r="G5" s="139"/>
      <c r="H5" s="138"/>
      <c r="I5" s="136" t="s">
        <v>51</v>
      </c>
      <c r="J5" s="137"/>
      <c r="K5" s="138"/>
      <c r="L5" s="17"/>
      <c r="M5" s="220" t="s">
        <v>52</v>
      </c>
      <c r="N5" s="221"/>
      <c r="O5" s="13"/>
      <c r="P5" s="227" t="str">
        <f>IFERROR((P2-P3)/P2,"")</f>
        <v/>
      </c>
      <c r="Q5" s="228"/>
      <c r="R5" s="221"/>
      <c r="S5" s="185" t="s">
        <v>53</v>
      </c>
      <c r="T5" s="138"/>
      <c r="U5" s="218"/>
      <c r="V5" s="138"/>
      <c r="W5" s="18"/>
      <c r="X5" s="5"/>
      <c r="Y5" s="19"/>
    </row>
    <row r="6" spans="2:25" ht="15" customHeight="1">
      <c r="B6" s="20" t="s">
        <v>54</v>
      </c>
      <c r="C6" s="133"/>
      <c r="D6" s="136" t="s">
        <v>55</v>
      </c>
      <c r="E6" s="137"/>
      <c r="F6" s="138"/>
      <c r="G6" s="139"/>
      <c r="H6" s="138"/>
      <c r="I6" s="136" t="s">
        <v>56</v>
      </c>
      <c r="J6" s="137"/>
      <c r="K6" s="138"/>
      <c r="L6" s="17"/>
      <c r="M6" s="222" t="s">
        <v>57</v>
      </c>
      <c r="N6" s="223"/>
      <c r="O6" s="13"/>
      <c r="P6" s="229">
        <f>T50</f>
        <v>0</v>
      </c>
      <c r="Q6" s="230"/>
      <c r="R6" s="223"/>
      <c r="S6" s="185" t="s">
        <v>58</v>
      </c>
      <c r="T6" s="138"/>
      <c r="U6" s="218"/>
      <c r="V6" s="138"/>
      <c r="W6" s="22"/>
      <c r="X6" s="23"/>
      <c r="Y6" s="24"/>
    </row>
    <row r="7" spans="2:25" ht="15" customHeight="1">
      <c r="B7" s="20" t="s">
        <v>59</v>
      </c>
      <c r="C7" s="101"/>
      <c r="D7" s="136" t="s">
        <v>60</v>
      </c>
      <c r="E7" s="137"/>
      <c r="F7" s="138"/>
      <c r="G7" s="139"/>
      <c r="H7" s="138"/>
      <c r="I7" s="136" t="s">
        <v>61</v>
      </c>
      <c r="J7" s="137"/>
      <c r="K7" s="138"/>
      <c r="L7" s="17"/>
      <c r="M7" s="146" t="s">
        <v>62</v>
      </c>
      <c r="N7" s="138"/>
      <c r="O7" s="13"/>
      <c r="P7" s="184">
        <f>R50</f>
        <v>0</v>
      </c>
      <c r="Q7" s="137"/>
      <c r="R7" s="138"/>
      <c r="S7" s="216" t="s">
        <v>63</v>
      </c>
      <c r="T7" s="217"/>
      <c r="U7" s="219"/>
      <c r="V7" s="217"/>
      <c r="W7" s="22"/>
      <c r="X7" s="26"/>
      <c r="Y7" s="8"/>
    </row>
    <row r="8" spans="2:25" ht="15" customHeight="1">
      <c r="B8" s="27"/>
      <c r="C8" s="34"/>
      <c r="D8" s="136" t="s">
        <v>64</v>
      </c>
      <c r="E8" s="137"/>
      <c r="F8" s="138"/>
      <c r="G8" s="139"/>
      <c r="H8" s="138"/>
      <c r="I8" s="136" t="s">
        <v>65</v>
      </c>
      <c r="J8" s="137"/>
      <c r="K8" s="138"/>
      <c r="L8" s="17"/>
      <c r="M8" s="146" t="s">
        <v>66</v>
      </c>
      <c r="N8" s="138"/>
      <c r="O8" s="13"/>
      <c r="P8" s="184">
        <f>IF(P1=Q15,R15,IF(Q15="CAD $",R15*E16,IF(Q15="USD $",R15*F16,0)))</f>
        <v>0</v>
      </c>
      <c r="Q8" s="137"/>
      <c r="R8" s="138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34"/>
      <c r="D9" s="136" t="s">
        <v>71</v>
      </c>
      <c r="E9" s="137"/>
      <c r="F9" s="138"/>
      <c r="G9" s="139"/>
      <c r="H9" s="138"/>
      <c r="I9" s="40"/>
      <c r="J9" s="36"/>
      <c r="K9" s="36"/>
      <c r="L9" s="37"/>
      <c r="M9" s="146" t="s">
        <v>72</v>
      </c>
      <c r="N9" s="138"/>
      <c r="O9" s="13"/>
      <c r="P9" s="192">
        <f>V15</f>
        <v>0</v>
      </c>
      <c r="Q9" s="137"/>
      <c r="R9" s="138"/>
      <c r="S9" s="193">
        <f>P7+P8+P9</f>
        <v>0</v>
      </c>
      <c r="T9" s="193">
        <f>P3-S9</f>
        <v>0</v>
      </c>
      <c r="U9" s="186">
        <f>IFERROR(((P3-S9)/S9),0)</f>
        <v>0</v>
      </c>
      <c r="V9" s="186">
        <f>IFERROR(T9/P3,0)</f>
        <v>0</v>
      </c>
      <c r="W9" s="189"/>
      <c r="X9" s="33"/>
      <c r="Y9" s="8"/>
    </row>
    <row r="10" spans="2:25" ht="15" customHeight="1">
      <c r="B10" s="34"/>
      <c r="C10" s="34"/>
      <c r="D10" s="136" t="s">
        <v>73</v>
      </c>
      <c r="E10" s="137"/>
      <c r="F10" s="138"/>
      <c r="G10" s="139" t="s">
        <v>109</v>
      </c>
      <c r="H10" s="138"/>
      <c r="I10" s="40"/>
      <c r="J10" s="36"/>
      <c r="K10" s="36"/>
      <c r="L10" s="37"/>
      <c r="M10" s="146"/>
      <c r="N10" s="138"/>
      <c r="O10" s="13"/>
      <c r="P10" s="192"/>
      <c r="Q10" s="137"/>
      <c r="R10" s="138"/>
      <c r="S10" s="187"/>
      <c r="T10" s="187"/>
      <c r="U10" s="187"/>
      <c r="V10" s="187"/>
      <c r="W10" s="190"/>
      <c r="X10" s="33"/>
      <c r="Y10" s="8"/>
    </row>
    <row r="11" spans="2:25" ht="15" customHeight="1">
      <c r="B11" s="34"/>
      <c r="C11" s="34"/>
      <c r="D11" s="134"/>
      <c r="E11" s="134"/>
      <c r="F11" s="134"/>
      <c r="G11" s="40"/>
      <c r="H11" s="40"/>
      <c r="I11" s="40"/>
      <c r="J11" s="36"/>
      <c r="K11" s="36"/>
      <c r="L11" s="37"/>
      <c r="M11" s="185" t="s">
        <v>74</v>
      </c>
      <c r="N11" s="138"/>
      <c r="O11" s="13"/>
      <c r="P11" s="194">
        <f>F50</f>
        <v>0</v>
      </c>
      <c r="Q11" s="137"/>
      <c r="R11" s="138"/>
      <c r="S11" s="188"/>
      <c r="T11" s="188"/>
      <c r="U11" s="188"/>
      <c r="V11" s="188"/>
      <c r="W11" s="191"/>
      <c r="X11" s="33"/>
      <c r="Y11" s="8"/>
    </row>
    <row r="12" spans="2:25" ht="15" customHeight="1">
      <c r="B12" s="172"/>
      <c r="C12" s="173"/>
      <c r="D12" s="41"/>
      <c r="E12" s="178" t="s">
        <v>75</v>
      </c>
      <c r="F12" s="179"/>
      <c r="G12" s="181" t="s">
        <v>37</v>
      </c>
      <c r="H12" s="148"/>
      <c r="I12" s="149"/>
      <c r="J12" s="42"/>
      <c r="K12" s="147" t="s">
        <v>76</v>
      </c>
      <c r="L12" s="148"/>
      <c r="M12" s="148"/>
      <c r="N12" s="149"/>
      <c r="O12" s="13"/>
      <c r="P12" s="195" t="s">
        <v>77</v>
      </c>
      <c r="Q12" s="148"/>
      <c r="R12" s="148"/>
      <c r="S12" s="148"/>
      <c r="T12" s="148"/>
      <c r="U12" s="148"/>
      <c r="V12" s="179"/>
      <c r="W12" s="43"/>
      <c r="X12" s="44"/>
      <c r="Y12" s="8" t="s">
        <v>78</v>
      </c>
    </row>
    <row r="13" spans="2:25" ht="15" customHeight="1">
      <c r="B13" s="174"/>
      <c r="C13" s="175"/>
      <c r="D13" s="45"/>
      <c r="E13" s="150"/>
      <c r="F13" s="180"/>
      <c r="G13" s="176"/>
      <c r="H13" s="154"/>
      <c r="I13" s="155"/>
      <c r="J13" s="46"/>
      <c r="K13" s="150"/>
      <c r="L13" s="151"/>
      <c r="M13" s="151"/>
      <c r="N13" s="152"/>
      <c r="O13" s="47"/>
      <c r="P13" s="150"/>
      <c r="Q13" s="151"/>
      <c r="R13" s="151"/>
      <c r="S13" s="151"/>
      <c r="T13" s="151"/>
      <c r="U13" s="151"/>
      <c r="V13" s="180"/>
      <c r="W13" s="48"/>
      <c r="X13" s="44"/>
      <c r="Y13" s="8" t="s">
        <v>79</v>
      </c>
    </row>
    <row r="14" spans="2:25" ht="15" customHeight="1">
      <c r="B14" s="174"/>
      <c r="C14" s="175"/>
      <c r="D14" s="45"/>
      <c r="E14" s="153"/>
      <c r="F14" s="158"/>
      <c r="G14" s="182" t="s">
        <v>80</v>
      </c>
      <c r="H14" s="183"/>
      <c r="I14" s="49" t="s">
        <v>81</v>
      </c>
      <c r="J14" s="50"/>
      <c r="K14" s="153"/>
      <c r="L14" s="154"/>
      <c r="M14" s="154"/>
      <c r="N14" s="155"/>
      <c r="O14" s="47"/>
      <c r="P14" s="196"/>
      <c r="Q14" s="197"/>
      <c r="R14" s="197"/>
      <c r="S14" s="197"/>
      <c r="T14" s="197"/>
      <c r="U14" s="197"/>
      <c r="V14" s="198"/>
      <c r="W14" s="51"/>
      <c r="X14" s="44"/>
      <c r="Y14" s="8" t="s">
        <v>81</v>
      </c>
    </row>
    <row r="15" spans="2:25" ht="30" customHeight="1">
      <c r="B15" s="174"/>
      <c r="C15" s="175"/>
      <c r="D15" s="45"/>
      <c r="E15" s="52" t="s">
        <v>82</v>
      </c>
      <c r="F15" s="53" t="s">
        <v>83</v>
      </c>
      <c r="G15" s="143" t="s">
        <v>84</v>
      </c>
      <c r="H15" s="144"/>
      <c r="I15" s="145"/>
      <c r="J15" s="54"/>
      <c r="K15" s="156" t="s">
        <v>85</v>
      </c>
      <c r="L15" s="157"/>
      <c r="M15" s="15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>
      <c r="B16" s="176"/>
      <c r="C16" s="177"/>
      <c r="D16" s="45"/>
      <c r="E16" s="63">
        <f>1/F16</f>
        <v>0.7246376811594204</v>
      </c>
      <c r="F16" s="64">
        <v>1.38</v>
      </c>
      <c r="G16" s="140"/>
      <c r="H16" s="137"/>
      <c r="I16" s="138"/>
      <c r="J16" s="65"/>
      <c r="K16" s="153"/>
      <c r="L16" s="158"/>
      <c r="M16" s="160"/>
      <c r="N16" s="161" t="s">
        <v>90</v>
      </c>
      <c r="O16" s="56"/>
      <c r="P16" s="199" t="s">
        <v>91</v>
      </c>
      <c r="Q16" s="200"/>
      <c r="R16" s="200"/>
      <c r="S16" s="200"/>
      <c r="T16" s="200"/>
      <c r="U16" s="200"/>
      <c r="V16" s="201"/>
      <c r="W16" s="66"/>
      <c r="X16" s="67"/>
      <c r="Y16" s="8"/>
    </row>
    <row r="17" spans="2:26" ht="15" customHeight="1">
      <c r="B17" s="167" t="s">
        <v>92</v>
      </c>
      <c r="C17" s="168" t="s">
        <v>93</v>
      </c>
      <c r="D17" s="68"/>
      <c r="E17" s="170" t="s">
        <v>94</v>
      </c>
      <c r="F17" s="171" t="s">
        <v>95</v>
      </c>
      <c r="G17" s="141" t="s">
        <v>96</v>
      </c>
      <c r="H17" s="142"/>
      <c r="I17" s="69" t="s">
        <v>97</v>
      </c>
      <c r="J17" s="70"/>
      <c r="K17" s="164" t="s">
        <v>95</v>
      </c>
      <c r="L17" s="71" t="s">
        <v>98</v>
      </c>
      <c r="M17" s="72" t="s">
        <v>99</v>
      </c>
      <c r="N17" s="162"/>
      <c r="O17" s="73"/>
      <c r="P17" s="202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60"/>
      <c r="C18" s="169"/>
      <c r="D18" s="78"/>
      <c r="E18" s="165"/>
      <c r="F18" s="160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5"/>
      <c r="L18" s="166" t="s">
        <v>78</v>
      </c>
      <c r="M18" s="145"/>
      <c r="N18" s="163"/>
      <c r="O18" s="82"/>
      <c r="P18" s="203"/>
      <c r="Q18" s="58" t="s">
        <v>79</v>
      </c>
      <c r="R18" s="204" t="str">
        <f>L18</f>
        <v>CAD $</v>
      </c>
      <c r="S18" s="144"/>
      <c r="T18" s="144"/>
      <c r="U18" s="144"/>
      <c r="V18" s="145"/>
      <c r="W18" s="83"/>
      <c r="X18" s="84"/>
      <c r="Y18" s="85"/>
      <c r="Z18" s="85"/>
    </row>
    <row r="19" spans="2:26" ht="14.5">
      <c r="B19" s="86"/>
      <c r="C19" s="87"/>
      <c r="D19" s="88"/>
      <c r="E19" s="89"/>
      <c r="F19" s="90"/>
      <c r="G19" s="91"/>
      <c r="H19" s="91"/>
      <c r="I19" s="92"/>
      <c r="J19" s="93"/>
      <c r="K19" s="90"/>
      <c r="L19" s="91"/>
      <c r="M19" s="91"/>
      <c r="N19" s="94"/>
      <c r="O19" s="95"/>
      <c r="P19" s="86"/>
      <c r="Q19" s="96"/>
      <c r="R19" s="96"/>
      <c r="S19" s="96"/>
      <c r="T19" s="96"/>
      <c r="U19" s="97"/>
      <c r="V19" s="97"/>
      <c r="W19" s="98"/>
      <c r="X19" s="99"/>
      <c r="Y19" s="8"/>
      <c r="Z19" s="8"/>
    </row>
    <row r="20" spans="2:26" ht="14.5">
      <c r="B20" s="100"/>
      <c r="C20" s="101"/>
      <c r="D20" s="88"/>
      <c r="E20" s="102"/>
      <c r="F20" s="103"/>
      <c r="G20" s="104"/>
      <c r="H20" s="105"/>
      <c r="I20" s="106"/>
      <c r="J20" s="107"/>
      <c r="K20" s="108"/>
      <c r="L20" s="105"/>
      <c r="M20" s="105"/>
      <c r="N20" s="109"/>
      <c r="O20" s="95"/>
      <c r="P20" s="100"/>
      <c r="Q20" s="104"/>
      <c r="R20" s="110"/>
      <c r="S20" s="111"/>
      <c r="T20" s="111"/>
      <c r="U20" s="112"/>
      <c r="V20" s="112"/>
      <c r="W20" s="113"/>
      <c r="X20" s="99"/>
      <c r="Y20" s="8"/>
      <c r="Z20" s="8"/>
    </row>
    <row r="21" spans="2:26" ht="14.5">
      <c r="B21" s="86"/>
      <c r="C21" s="114"/>
      <c r="D21" s="88"/>
      <c r="E21" s="89"/>
      <c r="F21" s="115"/>
      <c r="G21" s="96"/>
      <c r="H21" s="91"/>
      <c r="I21" s="92"/>
      <c r="J21" s="107"/>
      <c r="K21" s="90"/>
      <c r="L21" s="91"/>
      <c r="M21" s="91"/>
      <c r="N21" s="116"/>
      <c r="O21" s="95"/>
      <c r="P21" s="117"/>
      <c r="Q21" s="96"/>
      <c r="R21" s="96"/>
      <c r="S21" s="96"/>
      <c r="T21" s="96"/>
      <c r="U21" s="97"/>
      <c r="V21" s="97"/>
      <c r="W21" s="98"/>
      <c r="X21" s="99"/>
      <c r="Y21" s="8"/>
      <c r="Z21" s="8"/>
    </row>
    <row r="22" spans="2:26" ht="15.75" customHeight="1">
      <c r="B22" s="100"/>
      <c r="C22" s="101"/>
      <c r="D22" s="88"/>
      <c r="E22" s="102"/>
      <c r="F22" s="103"/>
      <c r="G22" s="104"/>
      <c r="H22" s="105"/>
      <c r="I22" s="106"/>
      <c r="J22" s="107"/>
      <c r="K22" s="108"/>
      <c r="L22" s="105"/>
      <c r="M22" s="105"/>
      <c r="N22" s="109"/>
      <c r="O22" s="95"/>
      <c r="P22" s="100"/>
      <c r="Q22" s="104"/>
      <c r="R22" s="110"/>
      <c r="S22" s="111"/>
      <c r="T22" s="111"/>
      <c r="U22" s="112"/>
      <c r="V22" s="112"/>
      <c r="W22" s="113"/>
      <c r="X22" s="99"/>
      <c r="Y22" s="8"/>
      <c r="Z22" s="8"/>
    </row>
    <row r="23" spans="2:26" ht="15.75" customHeight="1">
      <c r="B23" s="86"/>
      <c r="C23" s="114"/>
      <c r="D23" s="88"/>
      <c r="E23" s="89"/>
      <c r="F23" s="115"/>
      <c r="G23" s="96"/>
      <c r="H23" s="91"/>
      <c r="I23" s="92"/>
      <c r="J23" s="107"/>
      <c r="K23" s="90"/>
      <c r="L23" s="91"/>
      <c r="M23" s="91"/>
      <c r="N23" s="116"/>
      <c r="O23" s="95"/>
      <c r="P23" s="117"/>
      <c r="Q23" s="96"/>
      <c r="R23" s="96"/>
      <c r="S23" s="96"/>
      <c r="T23" s="96"/>
      <c r="U23" s="97"/>
      <c r="V23" s="97"/>
      <c r="W23" s="98"/>
      <c r="X23" s="99"/>
      <c r="Y23" s="8"/>
      <c r="Z23" s="8"/>
    </row>
    <row r="24" spans="2:26" ht="15.75" customHeight="1">
      <c r="B24" s="100"/>
      <c r="C24" s="101"/>
      <c r="D24" s="88"/>
      <c r="E24" s="102"/>
      <c r="F24" s="103"/>
      <c r="G24" s="104"/>
      <c r="H24" s="105"/>
      <c r="I24" s="106"/>
      <c r="J24" s="107"/>
      <c r="K24" s="108"/>
      <c r="L24" s="105"/>
      <c r="M24" s="105"/>
      <c r="N24" s="109"/>
      <c r="O24" s="95"/>
      <c r="P24" s="100"/>
      <c r="Q24" s="104"/>
      <c r="R24" s="110"/>
      <c r="S24" s="111"/>
      <c r="T24" s="111"/>
      <c r="U24" s="112"/>
      <c r="V24" s="112"/>
      <c r="W24" s="113"/>
      <c r="X24" s="99"/>
      <c r="Y24" s="8"/>
      <c r="Z24" s="8"/>
    </row>
    <row r="25" spans="2:26" ht="15.75" customHeight="1">
      <c r="B25" s="86"/>
      <c r="C25" s="114"/>
      <c r="D25" s="88"/>
      <c r="E25" s="89"/>
      <c r="F25" s="115"/>
      <c r="G25" s="96"/>
      <c r="H25" s="91"/>
      <c r="I25" s="92"/>
      <c r="J25" s="107"/>
      <c r="K25" s="90"/>
      <c r="L25" s="91"/>
      <c r="M25" s="91"/>
      <c r="N25" s="116"/>
      <c r="O25" s="95"/>
      <c r="P25" s="117"/>
      <c r="Q25" s="96"/>
      <c r="R25" s="96"/>
      <c r="S25" s="96"/>
      <c r="T25" s="96"/>
      <c r="U25" s="97"/>
      <c r="V25" s="97"/>
      <c r="W25" s="98"/>
      <c r="X25" s="99"/>
      <c r="Y25" s="8"/>
      <c r="Z25" s="8"/>
    </row>
    <row r="26" spans="2:26" ht="15.75" customHeight="1">
      <c r="B26" s="100"/>
      <c r="C26" s="101"/>
      <c r="D26" s="88"/>
      <c r="E26" s="102"/>
      <c r="F26" s="103"/>
      <c r="G26" s="104"/>
      <c r="H26" s="105"/>
      <c r="I26" s="106"/>
      <c r="J26" s="107"/>
      <c r="K26" s="108"/>
      <c r="L26" s="105"/>
      <c r="M26" s="105"/>
      <c r="N26" s="109"/>
      <c r="O26" s="95"/>
      <c r="P26" s="100"/>
      <c r="Q26" s="104"/>
      <c r="R26" s="110"/>
      <c r="S26" s="111"/>
      <c r="T26" s="111"/>
      <c r="U26" s="112"/>
      <c r="V26" s="112"/>
      <c r="W26" s="113"/>
      <c r="X26" s="99"/>
      <c r="Y26" s="8"/>
      <c r="Z26" s="8"/>
    </row>
    <row r="27" spans="2:26" ht="15.75" customHeight="1">
      <c r="B27" s="86"/>
      <c r="C27" s="114"/>
      <c r="D27" s="88"/>
      <c r="E27" s="89"/>
      <c r="F27" s="115"/>
      <c r="G27" s="96"/>
      <c r="H27" s="91"/>
      <c r="I27" s="92"/>
      <c r="J27" s="107"/>
      <c r="K27" s="90"/>
      <c r="L27" s="91"/>
      <c r="M27" s="91"/>
      <c r="N27" s="116"/>
      <c r="O27" s="95"/>
      <c r="P27" s="117"/>
      <c r="Q27" s="96"/>
      <c r="R27" s="96"/>
      <c r="S27" s="96"/>
      <c r="T27" s="96"/>
      <c r="U27" s="97"/>
      <c r="V27" s="97"/>
      <c r="W27" s="98"/>
      <c r="X27" s="99"/>
      <c r="Y27" s="8"/>
      <c r="Z27" s="8"/>
    </row>
    <row r="28" spans="2:26" ht="15.75" customHeight="1">
      <c r="B28" s="100"/>
      <c r="C28" s="101"/>
      <c r="D28" s="88"/>
      <c r="E28" s="102"/>
      <c r="F28" s="103"/>
      <c r="G28" s="104"/>
      <c r="H28" s="105"/>
      <c r="I28" s="106"/>
      <c r="J28" s="107"/>
      <c r="K28" s="108"/>
      <c r="L28" s="105"/>
      <c r="M28" s="105"/>
      <c r="N28" s="109"/>
      <c r="O28" s="95"/>
      <c r="P28" s="100"/>
      <c r="Q28" s="104"/>
      <c r="R28" s="110"/>
      <c r="S28" s="111"/>
      <c r="T28" s="111"/>
      <c r="U28" s="112"/>
      <c r="V28" s="112"/>
      <c r="W28" s="113"/>
      <c r="X28" s="99"/>
      <c r="Y28" s="8"/>
      <c r="Z28" s="118"/>
    </row>
    <row r="29" spans="2:26" ht="15.75" customHeight="1">
      <c r="B29" s="86"/>
      <c r="C29" s="114"/>
      <c r="D29" s="88"/>
      <c r="E29" s="89"/>
      <c r="F29" s="115"/>
      <c r="G29" s="96"/>
      <c r="H29" s="91"/>
      <c r="I29" s="92"/>
      <c r="J29" s="107"/>
      <c r="K29" s="90"/>
      <c r="L29" s="91"/>
      <c r="M29" s="91"/>
      <c r="N29" s="116"/>
      <c r="O29" s="95"/>
      <c r="P29" s="117"/>
      <c r="Q29" s="96"/>
      <c r="R29" s="96"/>
      <c r="S29" s="96"/>
      <c r="T29" s="96"/>
      <c r="U29" s="97"/>
      <c r="V29" s="97"/>
      <c r="W29" s="98"/>
      <c r="X29" s="99"/>
      <c r="Y29" s="8"/>
      <c r="Z29" s="8"/>
    </row>
    <row r="30" spans="2:26" ht="15.75" customHeight="1">
      <c r="B30" s="100"/>
      <c r="C30" s="101"/>
      <c r="D30" s="88"/>
      <c r="E30" s="102"/>
      <c r="F30" s="103"/>
      <c r="G30" s="104"/>
      <c r="H30" s="105"/>
      <c r="I30" s="106"/>
      <c r="J30" s="107"/>
      <c r="K30" s="108"/>
      <c r="L30" s="105"/>
      <c r="M30" s="105"/>
      <c r="N30" s="109"/>
      <c r="O30" s="95"/>
      <c r="P30" s="100"/>
      <c r="Q30" s="104"/>
      <c r="R30" s="110"/>
      <c r="S30" s="111"/>
      <c r="T30" s="111"/>
      <c r="U30" s="112"/>
      <c r="V30" s="112"/>
      <c r="W30" s="113"/>
      <c r="X30" s="99"/>
      <c r="Y30" s="8"/>
      <c r="Z30" s="8"/>
    </row>
    <row r="31" spans="2:26" ht="15.75" customHeight="1">
      <c r="B31" s="86"/>
      <c r="C31" s="114"/>
      <c r="D31" s="88"/>
      <c r="E31" s="89"/>
      <c r="F31" s="115"/>
      <c r="G31" s="96"/>
      <c r="H31" s="91"/>
      <c r="I31" s="92"/>
      <c r="J31" s="107"/>
      <c r="K31" s="90"/>
      <c r="L31" s="91"/>
      <c r="M31" s="91"/>
      <c r="N31" s="116"/>
      <c r="O31" s="95"/>
      <c r="P31" s="117"/>
      <c r="Q31" s="96"/>
      <c r="R31" s="96"/>
      <c r="S31" s="96"/>
      <c r="T31" s="96"/>
      <c r="U31" s="97"/>
      <c r="V31" s="97"/>
      <c r="W31" s="98"/>
      <c r="X31" s="99"/>
      <c r="Y31" s="8"/>
      <c r="Z31" s="8"/>
    </row>
    <row r="32" spans="2:26" ht="15.75" customHeight="1">
      <c r="B32" s="100"/>
      <c r="C32" s="101"/>
      <c r="D32" s="88"/>
      <c r="E32" s="102"/>
      <c r="F32" s="103"/>
      <c r="G32" s="104"/>
      <c r="H32" s="105"/>
      <c r="I32" s="106"/>
      <c r="J32" s="107"/>
      <c r="K32" s="108"/>
      <c r="L32" s="105"/>
      <c r="M32" s="105"/>
      <c r="N32" s="109"/>
      <c r="O32" s="95"/>
      <c r="P32" s="100"/>
      <c r="Q32" s="104"/>
      <c r="R32" s="110"/>
      <c r="S32" s="111"/>
      <c r="T32" s="111"/>
      <c r="U32" s="112"/>
      <c r="V32" s="112"/>
      <c r="W32" s="113"/>
      <c r="X32" s="99"/>
      <c r="Y32" s="8"/>
      <c r="Z32" s="8"/>
    </row>
    <row r="33" spans="2:23" ht="15.75" customHeight="1">
      <c r="B33" s="86"/>
      <c r="C33" s="114"/>
      <c r="D33" s="88"/>
      <c r="E33" s="89"/>
      <c r="F33" s="115"/>
      <c r="G33" s="96"/>
      <c r="H33" s="91"/>
      <c r="I33" s="92"/>
      <c r="J33" s="107"/>
      <c r="K33" s="90"/>
      <c r="L33" s="91"/>
      <c r="M33" s="91"/>
      <c r="N33" s="116"/>
      <c r="O33" s="95"/>
      <c r="P33" s="117"/>
      <c r="Q33" s="96"/>
      <c r="R33" s="96"/>
      <c r="S33" s="96"/>
      <c r="T33" s="96"/>
      <c r="U33" s="97"/>
      <c r="V33" s="97"/>
      <c r="W33" s="98"/>
    </row>
    <row r="34" spans="2:23" ht="15.75" customHeight="1">
      <c r="B34" s="100"/>
      <c r="C34" s="101"/>
      <c r="D34" s="88"/>
      <c r="E34" s="102"/>
      <c r="F34" s="103"/>
      <c r="G34" s="104"/>
      <c r="H34" s="105"/>
      <c r="I34" s="106"/>
      <c r="J34" s="107"/>
      <c r="K34" s="108"/>
      <c r="L34" s="105"/>
      <c r="M34" s="105"/>
      <c r="N34" s="109"/>
      <c r="O34" s="95"/>
      <c r="P34" s="100"/>
      <c r="Q34" s="104"/>
      <c r="R34" s="110"/>
      <c r="S34" s="111"/>
      <c r="T34" s="111"/>
      <c r="U34" s="112"/>
      <c r="V34" s="112"/>
      <c r="W34" s="113"/>
    </row>
    <row r="35" spans="2:23" ht="15.75" customHeight="1">
      <c r="B35" s="86"/>
      <c r="C35" s="114"/>
      <c r="D35" s="88"/>
      <c r="E35" s="89"/>
      <c r="F35" s="115"/>
      <c r="G35" s="96"/>
      <c r="H35" s="91"/>
      <c r="I35" s="92"/>
      <c r="J35" s="107"/>
      <c r="K35" s="90"/>
      <c r="L35" s="91"/>
      <c r="M35" s="91"/>
      <c r="N35" s="116"/>
      <c r="O35" s="95"/>
      <c r="P35" s="117"/>
      <c r="Q35" s="96"/>
      <c r="R35" s="96"/>
      <c r="S35" s="96"/>
      <c r="T35" s="96"/>
      <c r="U35" s="97"/>
      <c r="V35" s="97"/>
      <c r="W35" s="98"/>
    </row>
    <row r="36" spans="2:23" ht="15.75" customHeight="1">
      <c r="B36" s="100"/>
      <c r="C36" s="101"/>
      <c r="D36" s="88"/>
      <c r="E36" s="102"/>
      <c r="F36" s="103"/>
      <c r="G36" s="104"/>
      <c r="H36" s="105"/>
      <c r="I36" s="106"/>
      <c r="J36" s="107"/>
      <c r="K36" s="108"/>
      <c r="L36" s="105"/>
      <c r="M36" s="105"/>
      <c r="N36" s="109"/>
      <c r="O36" s="95"/>
      <c r="P36" s="100"/>
      <c r="Q36" s="104"/>
      <c r="R36" s="110"/>
      <c r="S36" s="111"/>
      <c r="T36" s="111"/>
      <c r="U36" s="112"/>
      <c r="V36" s="112"/>
      <c r="W36" s="113"/>
    </row>
    <row r="37" spans="2:23" ht="15.75" customHeight="1">
      <c r="B37" s="86"/>
      <c r="C37" s="114"/>
      <c r="D37" s="88"/>
      <c r="E37" s="89"/>
      <c r="F37" s="115"/>
      <c r="G37" s="96"/>
      <c r="H37" s="91"/>
      <c r="I37" s="92"/>
      <c r="J37" s="107"/>
      <c r="K37" s="90"/>
      <c r="L37" s="91"/>
      <c r="M37" s="91"/>
      <c r="N37" s="116"/>
      <c r="O37" s="95"/>
      <c r="P37" s="117"/>
      <c r="Q37" s="96"/>
      <c r="R37" s="96"/>
      <c r="S37" s="96"/>
      <c r="T37" s="96"/>
      <c r="U37" s="97"/>
      <c r="V37" s="97"/>
      <c r="W37" s="98"/>
    </row>
    <row r="38" spans="2:23" ht="15.75" customHeight="1">
      <c r="B38" s="100"/>
      <c r="C38" s="101"/>
      <c r="D38" s="88"/>
      <c r="E38" s="102"/>
      <c r="F38" s="103"/>
      <c r="G38" s="104"/>
      <c r="H38" s="105"/>
      <c r="I38" s="106"/>
      <c r="J38" s="107"/>
      <c r="K38" s="108"/>
      <c r="L38" s="105"/>
      <c r="M38" s="105"/>
      <c r="N38" s="109"/>
      <c r="O38" s="95"/>
      <c r="P38" s="100"/>
      <c r="Q38" s="104"/>
      <c r="R38" s="110"/>
      <c r="S38" s="111"/>
      <c r="T38" s="111"/>
      <c r="U38" s="112"/>
      <c r="V38" s="112"/>
      <c r="W38" s="113"/>
    </row>
    <row r="39" spans="2:23" ht="15.75" customHeight="1">
      <c r="B39" s="86"/>
      <c r="C39" s="114"/>
      <c r="D39" s="88"/>
      <c r="E39" s="89"/>
      <c r="F39" s="115"/>
      <c r="G39" s="96"/>
      <c r="H39" s="91"/>
      <c r="I39" s="92"/>
      <c r="J39" s="107"/>
      <c r="K39" s="90"/>
      <c r="L39" s="91"/>
      <c r="M39" s="91"/>
      <c r="N39" s="116"/>
      <c r="O39" s="95"/>
      <c r="P39" s="117"/>
      <c r="Q39" s="96"/>
      <c r="R39" s="96"/>
      <c r="S39" s="96"/>
      <c r="T39" s="96"/>
      <c r="U39" s="97"/>
      <c r="V39" s="97"/>
      <c r="W39" s="113"/>
    </row>
    <row r="40" spans="2:23" ht="15.75" customHeight="1">
      <c r="B40" s="100"/>
      <c r="C40" s="101"/>
      <c r="D40" s="88"/>
      <c r="E40" s="102"/>
      <c r="F40" s="103"/>
      <c r="G40" s="104"/>
      <c r="H40" s="105"/>
      <c r="I40" s="106"/>
      <c r="J40" s="107"/>
      <c r="K40" s="108"/>
      <c r="L40" s="105"/>
      <c r="M40" s="105"/>
      <c r="N40" s="109"/>
      <c r="O40" s="95"/>
      <c r="P40" s="100"/>
      <c r="Q40" s="104"/>
      <c r="R40" s="110"/>
      <c r="S40" s="111"/>
      <c r="T40" s="111"/>
      <c r="U40" s="112"/>
      <c r="V40" s="112"/>
      <c r="W40" s="113"/>
    </row>
    <row r="41" spans="2:23" ht="15.75" customHeight="1">
      <c r="B41" s="86"/>
      <c r="C41" s="114"/>
      <c r="D41" s="88"/>
      <c r="E41" s="89"/>
      <c r="F41" s="115"/>
      <c r="G41" s="96"/>
      <c r="H41" s="91"/>
      <c r="I41" s="92"/>
      <c r="J41" s="107"/>
      <c r="K41" s="90"/>
      <c r="L41" s="91"/>
      <c r="M41" s="91"/>
      <c r="N41" s="116"/>
      <c r="O41" s="95"/>
      <c r="P41" s="117"/>
      <c r="Q41" s="96"/>
      <c r="R41" s="96"/>
      <c r="S41" s="96"/>
      <c r="T41" s="96"/>
      <c r="U41" s="97"/>
      <c r="V41" s="97"/>
      <c r="W41" s="113"/>
    </row>
    <row r="42" spans="2:23" ht="15.75" customHeight="1">
      <c r="B42" s="100"/>
      <c r="C42" s="101"/>
      <c r="D42" s="88"/>
      <c r="E42" s="102"/>
      <c r="F42" s="103"/>
      <c r="G42" s="104"/>
      <c r="H42" s="105"/>
      <c r="I42" s="106"/>
      <c r="J42" s="107"/>
      <c r="K42" s="108"/>
      <c r="L42" s="105"/>
      <c r="M42" s="105"/>
      <c r="N42" s="109"/>
      <c r="O42" s="95"/>
      <c r="P42" s="100"/>
      <c r="Q42" s="104"/>
      <c r="R42" s="110"/>
      <c r="S42" s="111"/>
      <c r="T42" s="111"/>
      <c r="U42" s="112"/>
      <c r="V42" s="112"/>
      <c r="W42" s="113"/>
    </row>
    <row r="43" spans="2:23" ht="15.75" customHeight="1">
      <c r="B43" s="86"/>
      <c r="C43" s="114"/>
      <c r="D43" s="88"/>
      <c r="E43" s="89"/>
      <c r="F43" s="115"/>
      <c r="G43" s="96"/>
      <c r="H43" s="91"/>
      <c r="I43" s="92"/>
      <c r="J43" s="107"/>
      <c r="K43" s="90"/>
      <c r="L43" s="91"/>
      <c r="M43" s="91"/>
      <c r="N43" s="116"/>
      <c r="O43" s="95"/>
      <c r="P43" s="117"/>
      <c r="Q43" s="96"/>
      <c r="R43" s="96"/>
      <c r="S43" s="96"/>
      <c r="T43" s="96"/>
      <c r="U43" s="97"/>
      <c r="V43" s="97"/>
      <c r="W43" s="113"/>
    </row>
    <row r="44" spans="2:23" ht="15.75" customHeight="1">
      <c r="B44" s="100"/>
      <c r="C44" s="101"/>
      <c r="D44" s="88"/>
      <c r="E44" s="102"/>
      <c r="F44" s="103"/>
      <c r="G44" s="104"/>
      <c r="H44" s="105"/>
      <c r="I44" s="106"/>
      <c r="J44" s="107"/>
      <c r="K44" s="108"/>
      <c r="L44" s="105"/>
      <c r="M44" s="105"/>
      <c r="N44" s="109"/>
      <c r="O44" s="95"/>
      <c r="P44" s="100"/>
      <c r="Q44" s="104"/>
      <c r="R44" s="110"/>
      <c r="S44" s="111"/>
      <c r="T44" s="111"/>
      <c r="U44" s="112"/>
      <c r="V44" s="112"/>
      <c r="W44" s="113"/>
    </row>
    <row r="45" spans="2:23" ht="15.75" customHeight="1">
      <c r="B45" s="86"/>
      <c r="C45" s="114"/>
      <c r="D45" s="88"/>
      <c r="E45" s="89"/>
      <c r="F45" s="115"/>
      <c r="G45" s="96"/>
      <c r="H45" s="91"/>
      <c r="I45" s="92"/>
      <c r="J45" s="107"/>
      <c r="K45" s="90"/>
      <c r="L45" s="91"/>
      <c r="M45" s="91"/>
      <c r="N45" s="116"/>
      <c r="O45" s="95"/>
      <c r="P45" s="117"/>
      <c r="Q45" s="96"/>
      <c r="R45" s="96"/>
      <c r="S45" s="96"/>
      <c r="T45" s="96"/>
      <c r="U45" s="97"/>
      <c r="V45" s="97"/>
      <c r="W45" s="113"/>
    </row>
    <row r="46" spans="2:23" ht="15.75" customHeight="1">
      <c r="B46" s="100"/>
      <c r="C46" s="101"/>
      <c r="D46" s="88"/>
      <c r="E46" s="102"/>
      <c r="F46" s="103"/>
      <c r="G46" s="104"/>
      <c r="H46" s="105"/>
      <c r="I46" s="106"/>
      <c r="J46" s="107"/>
      <c r="K46" s="108"/>
      <c r="L46" s="105"/>
      <c r="M46" s="105"/>
      <c r="N46" s="109"/>
      <c r="O46" s="95"/>
      <c r="P46" s="100"/>
      <c r="Q46" s="104"/>
      <c r="R46" s="110"/>
      <c r="S46" s="111"/>
      <c r="T46" s="111"/>
      <c r="U46" s="112"/>
      <c r="V46" s="112"/>
      <c r="W46" s="113"/>
    </row>
    <row r="47" spans="2:23" ht="15.75" customHeight="1">
      <c r="B47" s="86"/>
      <c r="C47" s="114"/>
      <c r="D47" s="88"/>
      <c r="E47" s="89"/>
      <c r="F47" s="115"/>
      <c r="G47" s="96"/>
      <c r="H47" s="91"/>
      <c r="I47" s="92"/>
      <c r="J47" s="107"/>
      <c r="K47" s="90"/>
      <c r="L47" s="91"/>
      <c r="M47" s="91"/>
      <c r="N47" s="116"/>
      <c r="O47" s="95"/>
      <c r="P47" s="117"/>
      <c r="Q47" s="96"/>
      <c r="R47" s="96"/>
      <c r="S47" s="96"/>
      <c r="T47" s="96"/>
      <c r="U47" s="97"/>
      <c r="V47" s="97"/>
      <c r="W47" s="113"/>
    </row>
    <row r="48" spans="2:23" ht="15.75" customHeight="1">
      <c r="B48" s="100"/>
      <c r="C48" s="101"/>
      <c r="D48" s="88"/>
      <c r="E48" s="102"/>
      <c r="F48" s="103"/>
      <c r="G48" s="104"/>
      <c r="H48" s="105"/>
      <c r="I48" s="106"/>
      <c r="J48" s="107"/>
      <c r="K48" s="108"/>
      <c r="L48" s="105"/>
      <c r="M48" s="105"/>
      <c r="N48" s="109"/>
      <c r="O48" s="95"/>
      <c r="P48" s="100"/>
      <c r="Q48" s="104"/>
      <c r="R48" s="110"/>
      <c r="S48" s="111"/>
      <c r="T48" s="111"/>
      <c r="U48" s="112"/>
      <c r="V48" s="112"/>
      <c r="W48" s="113"/>
    </row>
    <row r="49" spans="2:23" ht="15.75" customHeight="1">
      <c r="B49" s="86"/>
      <c r="C49" s="114"/>
      <c r="D49" s="88"/>
      <c r="E49" s="89"/>
      <c r="F49" s="115"/>
      <c r="G49" s="96"/>
      <c r="H49" s="91"/>
      <c r="I49" s="92"/>
      <c r="J49" s="107"/>
      <c r="K49" s="90"/>
      <c r="L49" s="91"/>
      <c r="M49" s="91"/>
      <c r="N49" s="116"/>
      <c r="O49" s="95"/>
      <c r="P49" s="117"/>
      <c r="Q49" s="96"/>
      <c r="R49" s="96"/>
      <c r="S49" s="96"/>
      <c r="T49" s="96"/>
      <c r="U49" s="97"/>
      <c r="V49" s="97"/>
      <c r="W49" s="113"/>
    </row>
    <row r="50" spans="2:23" ht="20.25" customHeight="1">
      <c r="B50" s="119"/>
      <c r="C50" s="119"/>
      <c r="D50" s="120"/>
      <c r="E50" s="121" t="s">
        <v>107</v>
      </c>
      <c r="F50" s="122">
        <f t="shared" ref="F50:I50" si="0">SUM(F19:F49)</f>
        <v>0</v>
      </c>
      <c r="G50" s="123">
        <f t="shared" si="0"/>
        <v>0</v>
      </c>
      <c r="H50" s="124">
        <f t="shared" si="0"/>
        <v>0</v>
      </c>
      <c r="I50" s="125">
        <f t="shared" si="0"/>
        <v>0</v>
      </c>
      <c r="J50" s="126"/>
      <c r="K50" s="127">
        <f t="shared" ref="K50:M50" si="1">SUM(K19:K49)</f>
        <v>0</v>
      </c>
      <c r="L50" s="124">
        <f t="shared" si="1"/>
        <v>0</v>
      </c>
      <c r="M50" s="125">
        <f t="shared" si="1"/>
        <v>0</v>
      </c>
      <c r="N50" s="125"/>
      <c r="O50" s="128"/>
      <c r="P50" s="129"/>
      <c r="Q50" s="124">
        <f t="shared" ref="Q50:T50" si="2">SUM(Q19:Q49)</f>
        <v>0</v>
      </c>
      <c r="R50" s="124">
        <f t="shared" si="2"/>
        <v>0</v>
      </c>
      <c r="S50" s="125">
        <f t="shared" si="2"/>
        <v>0</v>
      </c>
      <c r="T50" s="125">
        <f t="shared" si="2"/>
        <v>0</v>
      </c>
      <c r="U50" s="130"/>
      <c r="V50" s="130"/>
      <c r="W50" s="131"/>
    </row>
  </sheetData>
  <mergeCells count="89">
    <mergeCell ref="B17:B18"/>
    <mergeCell ref="C17:C18"/>
    <mergeCell ref="E17:E18"/>
    <mergeCell ref="F17:F18"/>
    <mergeCell ref="K15:L16"/>
    <mergeCell ref="K17:K18"/>
    <mergeCell ref="G17:H17"/>
    <mergeCell ref="L18:M18"/>
    <mergeCell ref="G15:I15"/>
    <mergeCell ref="G16:I16"/>
    <mergeCell ref="M5:N5"/>
    <mergeCell ref="I6:K6"/>
    <mergeCell ref="M6:N6"/>
    <mergeCell ref="M4:N4"/>
    <mergeCell ref="B12:C16"/>
    <mergeCell ref="K12:N14"/>
    <mergeCell ref="M10:N10"/>
    <mergeCell ref="E12:F14"/>
    <mergeCell ref="G12:I13"/>
    <mergeCell ref="G14:H14"/>
    <mergeCell ref="M15:M16"/>
    <mergeCell ref="N16:N18"/>
    <mergeCell ref="D10:F10"/>
    <mergeCell ref="G10:H10"/>
    <mergeCell ref="D7:F7"/>
    <mergeCell ref="G7:H7"/>
    <mergeCell ref="I8:K8"/>
    <mergeCell ref="G4:H4"/>
    <mergeCell ref="I4:K4"/>
    <mergeCell ref="I5:K5"/>
    <mergeCell ref="D4:F4"/>
    <mergeCell ref="D5:F5"/>
    <mergeCell ref="G5:H5"/>
    <mergeCell ref="M8:N8"/>
    <mergeCell ref="D9:F9"/>
    <mergeCell ref="G9:H9"/>
    <mergeCell ref="M9:N9"/>
    <mergeCell ref="S2:T2"/>
    <mergeCell ref="S5:T5"/>
    <mergeCell ref="S6:T6"/>
    <mergeCell ref="S7:T7"/>
    <mergeCell ref="P6:R6"/>
    <mergeCell ref="I7:K7"/>
    <mergeCell ref="M7:N7"/>
    <mergeCell ref="P8:R8"/>
    <mergeCell ref="D6:F6"/>
    <mergeCell ref="G6:H6"/>
    <mergeCell ref="D8:F8"/>
    <mergeCell ref="G8:H8"/>
    <mergeCell ref="U2:V2"/>
    <mergeCell ref="S3:T3"/>
    <mergeCell ref="U3:V3"/>
    <mergeCell ref="S4:T4"/>
    <mergeCell ref="U4:V4"/>
    <mergeCell ref="U6:V6"/>
    <mergeCell ref="U7:V7"/>
    <mergeCell ref="U5:V5"/>
    <mergeCell ref="P7:R7"/>
    <mergeCell ref="D2:F2"/>
    <mergeCell ref="M2:N2"/>
    <mergeCell ref="G2:H2"/>
    <mergeCell ref="I2:K2"/>
    <mergeCell ref="D3:F3"/>
    <mergeCell ref="G3:H3"/>
    <mergeCell ref="I3:K3"/>
    <mergeCell ref="M3:N3"/>
    <mergeCell ref="P2:R2"/>
    <mergeCell ref="P3:R3"/>
    <mergeCell ref="P4:R4"/>
    <mergeCell ref="P5:R5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M11:N11"/>
    <mergeCell ref="V9:V11"/>
    <mergeCell ref="W9:W11"/>
    <mergeCell ref="P10:R10"/>
    <mergeCell ref="T9:T11"/>
    <mergeCell ref="U9:U11"/>
    <mergeCell ref="P9:R9"/>
    <mergeCell ref="P11:R1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49" xr:uid="{00000000-0002-0000-0A00-000000000000}">
      <formula1>$Z$19:$Z$30</formula1>
    </dataValidation>
    <dataValidation type="list" allowBlank="1" showErrorMessage="1" sqref="I14" xr:uid="{00000000-0002-0000-0A00-000001000000}">
      <formula1>$Y$14:$Y$15</formula1>
    </dataValidation>
    <dataValidation type="list" allowBlank="1" showErrorMessage="1" sqref="J14" xr:uid="{00000000-0002-0000-0A00-000002000000}">
      <formula1>$L$9</formula1>
    </dataValidation>
    <dataValidation type="list" allowBlank="1" showErrorMessage="1" sqref="Q15 G18 L18 Q18" xr:uid="{00000000-0002-0000-0A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CAT 16G MOTOR GRADER</vt:lpstr>
      <vt:lpstr>CAT 140H MOTOR GRADER</vt:lpstr>
      <vt:lpstr>CAT 305.E2 EXCAVATOR</vt:lpstr>
      <vt:lpstr>CAT 349 EXCAVATOR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Rosene</cp:lastModifiedBy>
  <dcterms:modified xsi:type="dcterms:W3CDTF">2025-06-03T16:05:30Z</dcterms:modified>
</cp:coreProperties>
</file>