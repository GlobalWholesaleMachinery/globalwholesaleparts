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B9C4440D-5019-4032-BACA-31EADF39B3FC}" xr6:coauthVersionLast="47" xr6:coauthVersionMax="47" xr10:uidLastSave="{00000000-0000-0000-0000-000000000000}"/>
  <bookViews>
    <workbookView xWindow="-108" yWindow="-108" windowWidth="23256" windowHeight="12456" firstSheet="19" activeTab="21" xr2:uid="{00000000-000D-0000-FFFF-FFFF00000000}"/>
  </bookViews>
  <sheets>
    <sheet name="Instructions" sheetId="1" r:id="rId1"/>
    <sheet name="KOMATSU D61PX-24 (B60814)" sheetId="2" r:id="rId2"/>
    <sheet name="KOMATSU D71PX-24 (70180)" sheetId="13" r:id="rId3"/>
    <sheet name="KOMATSU D71PX-24 (70181)" sheetId="14" r:id="rId4"/>
    <sheet name="KOMATSU D71PX-24 (70673)" sheetId="15" r:id="rId5"/>
    <sheet name="KOMATSU D71PX-24 (70685)" sheetId="16" r:id="rId6"/>
    <sheet name="KOMATSU D71PX-24 (70689)" sheetId="17" r:id="rId7"/>
    <sheet name="KOMATSU D71PX-24 (71422)" sheetId="18" r:id="rId8"/>
    <sheet name="KOMATSU D71PX-24 (71426)" sheetId="19" r:id="rId9"/>
    <sheet name="KOMATSU PC290LC-11 (K73146)" sheetId="20" r:id="rId10"/>
    <sheet name="KOMATSU PC290LC-11 (A37612)" sheetId="21" r:id="rId11"/>
    <sheet name="KOMATSU PC290LC-11 (A38125)" sheetId="22" r:id="rId12"/>
    <sheet name="KOMATSU PC290LC-11 (A39298)" sheetId="23" r:id="rId13"/>
    <sheet name="KOMATSU PC290LC-11 (A39301)" sheetId="24" r:id="rId14"/>
    <sheet name="KOMATSU PC290LC-11 (A42774)" sheetId="25" r:id="rId15"/>
    <sheet name="KOMATSU PC290LC-11 (A42788)" sheetId="26" r:id="rId16"/>
    <sheet name="KOMATSU PC290LC-11 (A42800)" sheetId="27" r:id="rId17"/>
    <sheet name="KOMATSU PC290LC-11 (A42804)" sheetId="28" r:id="rId18"/>
    <sheet name="KOMATSU PC290LC-11 (A42918)" sheetId="29" r:id="rId19"/>
    <sheet name="KOMATSU PC290LC-11 (A42970)" sheetId="30" r:id="rId20"/>
    <sheet name="KOMATSU PC290LC-11 (A42987)" sheetId="31" r:id="rId21"/>
    <sheet name="KOMATSU PC290LC-11 (A43077)" sheetId="3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0" i="32" l="1"/>
  <c r="S50" i="32"/>
  <c r="R50" i="32"/>
  <c r="V15" i="32" s="1"/>
  <c r="P9" i="32" s="1"/>
  <c r="Q50" i="32"/>
  <c r="M50" i="32"/>
  <c r="P3" i="32" s="1"/>
  <c r="L50" i="32"/>
  <c r="K50" i="32"/>
  <c r="I50" i="32"/>
  <c r="P2" i="32" s="1"/>
  <c r="H50" i="32"/>
  <c r="G50" i="32"/>
  <c r="F50" i="32"/>
  <c r="P11" i="32" s="1"/>
  <c r="R18" i="32"/>
  <c r="I18" i="32"/>
  <c r="H18" i="32"/>
  <c r="E16" i="32"/>
  <c r="P8" i="32"/>
  <c r="P7" i="32"/>
  <c r="P6" i="32"/>
  <c r="P1" i="32"/>
  <c r="T50" i="31"/>
  <c r="P6" i="31" s="1"/>
  <c r="S50" i="31"/>
  <c r="R50" i="31"/>
  <c r="Q50" i="31"/>
  <c r="M50" i="31"/>
  <c r="P3" i="31" s="1"/>
  <c r="L50" i="31"/>
  <c r="K50" i="31"/>
  <c r="I50" i="31"/>
  <c r="P2" i="31" s="1"/>
  <c r="H50" i="31"/>
  <c r="G50" i="31"/>
  <c r="F50" i="31"/>
  <c r="P11" i="31" s="1"/>
  <c r="R18" i="31"/>
  <c r="I18" i="31"/>
  <c r="H18" i="31"/>
  <c r="E16" i="31"/>
  <c r="V15" i="31"/>
  <c r="P9" i="31"/>
  <c r="P8" i="31"/>
  <c r="P7" i="31"/>
  <c r="S9" i="31" s="1"/>
  <c r="P1" i="31"/>
  <c r="T50" i="30"/>
  <c r="P6" i="30" s="1"/>
  <c r="S50" i="30"/>
  <c r="R50" i="30"/>
  <c r="V15" i="30" s="1"/>
  <c r="P9" i="30" s="1"/>
  <c r="Q50" i="30"/>
  <c r="M50" i="30"/>
  <c r="P3" i="30" s="1"/>
  <c r="L50" i="30"/>
  <c r="K50" i="30"/>
  <c r="I50" i="30"/>
  <c r="P2" i="30" s="1"/>
  <c r="H50" i="30"/>
  <c r="G50" i="30"/>
  <c r="F50" i="30"/>
  <c r="P11" i="30" s="1"/>
  <c r="R18" i="30"/>
  <c r="I18" i="30"/>
  <c r="H18" i="30"/>
  <c r="E16" i="30"/>
  <c r="P8" i="30"/>
  <c r="P7" i="30"/>
  <c r="P1" i="30"/>
  <c r="T50" i="29"/>
  <c r="S50" i="29"/>
  <c r="R50" i="29"/>
  <c r="V15" i="29" s="1"/>
  <c r="P9" i="29" s="1"/>
  <c r="Q50" i="29"/>
  <c r="M50" i="29"/>
  <c r="P3" i="29" s="1"/>
  <c r="L50" i="29"/>
  <c r="K50" i="29"/>
  <c r="I50" i="29"/>
  <c r="P2" i="29" s="1"/>
  <c r="H50" i="29"/>
  <c r="G50" i="29"/>
  <c r="F50" i="29"/>
  <c r="P11" i="29" s="1"/>
  <c r="R18" i="29"/>
  <c r="I18" i="29"/>
  <c r="H18" i="29"/>
  <c r="E16" i="29"/>
  <c r="P8" i="29"/>
  <c r="P7" i="29"/>
  <c r="S9" i="29" s="1"/>
  <c r="P6" i="29"/>
  <c r="P1" i="29"/>
  <c r="T50" i="28"/>
  <c r="S50" i="28"/>
  <c r="R50" i="28"/>
  <c r="Q50" i="28"/>
  <c r="M50" i="28"/>
  <c r="P3" i="28" s="1"/>
  <c r="L50" i="28"/>
  <c r="K50" i="28"/>
  <c r="I50" i="28"/>
  <c r="P2" i="28" s="1"/>
  <c r="H50" i="28"/>
  <c r="G50" i="28"/>
  <c r="F50" i="28"/>
  <c r="P11" i="28" s="1"/>
  <c r="R18" i="28"/>
  <c r="I18" i="28"/>
  <c r="H18" i="28"/>
  <c r="E16" i="28"/>
  <c r="V15" i="28"/>
  <c r="P9" i="28" s="1"/>
  <c r="P8" i="28"/>
  <c r="P7" i="28"/>
  <c r="P6" i="28"/>
  <c r="P1" i="28"/>
  <c r="T50" i="27"/>
  <c r="S50" i="27"/>
  <c r="R50" i="27"/>
  <c r="Q50" i="27"/>
  <c r="M50" i="27"/>
  <c r="P3" i="27" s="1"/>
  <c r="L50" i="27"/>
  <c r="K50" i="27"/>
  <c r="I50" i="27"/>
  <c r="P2" i="27" s="1"/>
  <c r="H50" i="27"/>
  <c r="G50" i="27"/>
  <c r="F50" i="27"/>
  <c r="P11" i="27" s="1"/>
  <c r="R18" i="27"/>
  <c r="I18" i="27"/>
  <c r="H18" i="27"/>
  <c r="E16" i="27"/>
  <c r="V15" i="27"/>
  <c r="P9" i="27" s="1"/>
  <c r="P8" i="27"/>
  <c r="P7" i="27"/>
  <c r="P6" i="27"/>
  <c r="P1" i="27"/>
  <c r="T50" i="26"/>
  <c r="S50" i="26"/>
  <c r="R50" i="26"/>
  <c r="V15" i="26" s="1"/>
  <c r="P9" i="26" s="1"/>
  <c r="Q50" i="26"/>
  <c r="M50" i="26"/>
  <c r="P3" i="26" s="1"/>
  <c r="L50" i="26"/>
  <c r="K50" i="26"/>
  <c r="I50" i="26"/>
  <c r="P2" i="26" s="1"/>
  <c r="H50" i="26"/>
  <c r="G50" i="26"/>
  <c r="F50" i="26"/>
  <c r="P11" i="26" s="1"/>
  <c r="R18" i="26"/>
  <c r="I18" i="26"/>
  <c r="H18" i="26"/>
  <c r="E16" i="26"/>
  <c r="P8" i="26"/>
  <c r="P7" i="26"/>
  <c r="S9" i="26" s="1"/>
  <c r="P6" i="26"/>
  <c r="P1" i="26"/>
  <c r="T50" i="25"/>
  <c r="P6" i="25" s="1"/>
  <c r="S50" i="25"/>
  <c r="R50" i="25"/>
  <c r="Q50" i="25"/>
  <c r="M50" i="25"/>
  <c r="P3" i="25" s="1"/>
  <c r="L50" i="25"/>
  <c r="K50" i="25"/>
  <c r="I50" i="25"/>
  <c r="P2" i="25" s="1"/>
  <c r="H50" i="25"/>
  <c r="G50" i="25"/>
  <c r="F50" i="25"/>
  <c r="P11" i="25" s="1"/>
  <c r="R18" i="25"/>
  <c r="I18" i="25"/>
  <c r="H18" i="25"/>
  <c r="E16" i="25"/>
  <c r="V15" i="25"/>
  <c r="P9" i="25" s="1"/>
  <c r="P8" i="25"/>
  <c r="P7" i="25"/>
  <c r="P1" i="25"/>
  <c r="T50" i="24"/>
  <c r="P6" i="24" s="1"/>
  <c r="S50" i="24"/>
  <c r="R50" i="24"/>
  <c r="Q50" i="24"/>
  <c r="M50" i="24"/>
  <c r="P3" i="24" s="1"/>
  <c r="L50" i="24"/>
  <c r="K50" i="24"/>
  <c r="I50" i="24"/>
  <c r="P2" i="24" s="1"/>
  <c r="H50" i="24"/>
  <c r="G50" i="24"/>
  <c r="F50" i="24"/>
  <c r="P11" i="24" s="1"/>
  <c r="R18" i="24"/>
  <c r="I18" i="24"/>
  <c r="H18" i="24"/>
  <c r="E16" i="24"/>
  <c r="V15" i="24"/>
  <c r="P9" i="24"/>
  <c r="P8" i="24"/>
  <c r="P7" i="24"/>
  <c r="S9" i="24" s="1"/>
  <c r="P1" i="24"/>
  <c r="T50" i="23"/>
  <c r="S50" i="23"/>
  <c r="R50" i="23"/>
  <c r="Q50" i="23"/>
  <c r="M50" i="23"/>
  <c r="P3" i="23" s="1"/>
  <c r="L50" i="23"/>
  <c r="K50" i="23"/>
  <c r="I50" i="23"/>
  <c r="P2" i="23" s="1"/>
  <c r="H50" i="23"/>
  <c r="G50" i="23"/>
  <c r="F50" i="23"/>
  <c r="P11" i="23" s="1"/>
  <c r="R18" i="23"/>
  <c r="I18" i="23"/>
  <c r="H18" i="23"/>
  <c r="E16" i="23"/>
  <c r="V15" i="23"/>
  <c r="P9" i="23" s="1"/>
  <c r="P8" i="23"/>
  <c r="P7" i="23"/>
  <c r="P6" i="23"/>
  <c r="P1" i="23"/>
  <c r="T50" i="22"/>
  <c r="P6" i="22" s="1"/>
  <c r="S50" i="22"/>
  <c r="R50" i="22"/>
  <c r="V15" i="22" s="1"/>
  <c r="P9" i="22" s="1"/>
  <c r="Q50" i="22"/>
  <c r="M50" i="22"/>
  <c r="P3" i="22" s="1"/>
  <c r="L50" i="22"/>
  <c r="K50" i="22"/>
  <c r="I50" i="22"/>
  <c r="P2" i="22" s="1"/>
  <c r="H50" i="22"/>
  <c r="G50" i="22"/>
  <c r="F50" i="22"/>
  <c r="P11" i="22" s="1"/>
  <c r="R18" i="22"/>
  <c r="I18" i="22"/>
  <c r="H18" i="22"/>
  <c r="E16" i="22"/>
  <c r="P8" i="22"/>
  <c r="P7" i="22"/>
  <c r="S9" i="22" s="1"/>
  <c r="P1" i="22"/>
  <c r="T50" i="21"/>
  <c r="S50" i="21"/>
  <c r="R50" i="21"/>
  <c r="Q50" i="21"/>
  <c r="M50" i="21"/>
  <c r="P3" i="21" s="1"/>
  <c r="L50" i="21"/>
  <c r="K50" i="21"/>
  <c r="I50" i="21"/>
  <c r="P2" i="21" s="1"/>
  <c r="H50" i="21"/>
  <c r="G50" i="21"/>
  <c r="F50" i="21"/>
  <c r="P11" i="21" s="1"/>
  <c r="R18" i="21"/>
  <c r="I18" i="21"/>
  <c r="H18" i="21"/>
  <c r="E16" i="21"/>
  <c r="V15" i="21"/>
  <c r="P9" i="21"/>
  <c r="P8" i="21"/>
  <c r="P7" i="21"/>
  <c r="S9" i="21" s="1"/>
  <c r="P6" i="21"/>
  <c r="P1" i="21"/>
  <c r="T50" i="20"/>
  <c r="P6" i="20" s="1"/>
  <c r="S50" i="20"/>
  <c r="R50" i="20"/>
  <c r="V15" i="20" s="1"/>
  <c r="P9" i="20" s="1"/>
  <c r="Q50" i="20"/>
  <c r="M50" i="20"/>
  <c r="P3" i="20" s="1"/>
  <c r="L50" i="20"/>
  <c r="K50" i="20"/>
  <c r="I50" i="20"/>
  <c r="P2" i="20" s="1"/>
  <c r="H50" i="20"/>
  <c r="G50" i="20"/>
  <c r="F50" i="20"/>
  <c r="P11" i="20" s="1"/>
  <c r="R18" i="20"/>
  <c r="I18" i="20"/>
  <c r="H18" i="20"/>
  <c r="E16" i="20"/>
  <c r="P8" i="20"/>
  <c r="P7" i="20"/>
  <c r="P1" i="20"/>
  <c r="T50" i="19"/>
  <c r="P6" i="19" s="1"/>
  <c r="S50" i="19"/>
  <c r="R50" i="19"/>
  <c r="Q50" i="19"/>
  <c r="M50" i="19"/>
  <c r="P3" i="19" s="1"/>
  <c r="L50" i="19"/>
  <c r="K50" i="19"/>
  <c r="I50" i="19"/>
  <c r="P2" i="19" s="1"/>
  <c r="H50" i="19"/>
  <c r="G50" i="19"/>
  <c r="F50" i="19"/>
  <c r="P11" i="19" s="1"/>
  <c r="R18" i="19"/>
  <c r="I18" i="19"/>
  <c r="H18" i="19"/>
  <c r="E16" i="19"/>
  <c r="V15" i="19"/>
  <c r="P9" i="19" s="1"/>
  <c r="P8" i="19"/>
  <c r="P7" i="19"/>
  <c r="P1" i="19"/>
  <c r="T50" i="18"/>
  <c r="P6" i="18" s="1"/>
  <c r="S50" i="18"/>
  <c r="R50" i="18"/>
  <c r="P7" i="18" s="1"/>
  <c r="Q50" i="18"/>
  <c r="M50" i="18"/>
  <c r="P3" i="18" s="1"/>
  <c r="L50" i="18"/>
  <c r="K50" i="18"/>
  <c r="I50" i="18"/>
  <c r="P2" i="18" s="1"/>
  <c r="H50" i="18"/>
  <c r="G50" i="18"/>
  <c r="F50" i="18"/>
  <c r="P11" i="18" s="1"/>
  <c r="R18" i="18"/>
  <c r="I18" i="18"/>
  <c r="H18" i="18"/>
  <c r="E16" i="18"/>
  <c r="V15" i="18"/>
  <c r="P9" i="18" s="1"/>
  <c r="P8" i="18"/>
  <c r="P1" i="18"/>
  <c r="T50" i="17"/>
  <c r="P6" i="17" s="1"/>
  <c r="S50" i="17"/>
  <c r="R50" i="17"/>
  <c r="V15" i="17" s="1"/>
  <c r="P9" i="17" s="1"/>
  <c r="Q50" i="17"/>
  <c r="M50" i="17"/>
  <c r="P3" i="17" s="1"/>
  <c r="L50" i="17"/>
  <c r="K50" i="17"/>
  <c r="I50" i="17"/>
  <c r="P2" i="17" s="1"/>
  <c r="H50" i="17"/>
  <c r="G50" i="17"/>
  <c r="F50" i="17"/>
  <c r="P11" i="17" s="1"/>
  <c r="R18" i="17"/>
  <c r="I18" i="17"/>
  <c r="H18" i="17"/>
  <c r="E16" i="17"/>
  <c r="P8" i="17"/>
  <c r="P1" i="17"/>
  <c r="T50" i="16"/>
  <c r="P6" i="16" s="1"/>
  <c r="S50" i="16"/>
  <c r="R50" i="16"/>
  <c r="Q50" i="16"/>
  <c r="M50" i="16"/>
  <c r="P3" i="16" s="1"/>
  <c r="L50" i="16"/>
  <c r="K50" i="16"/>
  <c r="I50" i="16"/>
  <c r="P2" i="16" s="1"/>
  <c r="H50" i="16"/>
  <c r="G50" i="16"/>
  <c r="F50" i="16"/>
  <c r="P11" i="16" s="1"/>
  <c r="R18" i="16"/>
  <c r="I18" i="16"/>
  <c r="H18" i="16"/>
  <c r="E16" i="16"/>
  <c r="V15" i="16"/>
  <c r="P9" i="16"/>
  <c r="P8" i="16"/>
  <c r="P7" i="16"/>
  <c r="S9" i="16" s="1"/>
  <c r="P1" i="16"/>
  <c r="T50" i="15"/>
  <c r="P6" i="15" s="1"/>
  <c r="S50" i="15"/>
  <c r="R50" i="15"/>
  <c r="P7" i="15" s="1"/>
  <c r="Q50" i="15"/>
  <c r="M50" i="15"/>
  <c r="P3" i="15" s="1"/>
  <c r="L50" i="15"/>
  <c r="K50" i="15"/>
  <c r="I50" i="15"/>
  <c r="P2" i="15" s="1"/>
  <c r="H50" i="15"/>
  <c r="G50" i="15"/>
  <c r="F50" i="15"/>
  <c r="P11" i="15" s="1"/>
  <c r="R18" i="15"/>
  <c r="I18" i="15"/>
  <c r="H18" i="15"/>
  <c r="E16" i="15"/>
  <c r="P8" i="15"/>
  <c r="P1" i="15"/>
  <c r="T50" i="14"/>
  <c r="S50" i="14"/>
  <c r="R50" i="14"/>
  <c r="Q50" i="14"/>
  <c r="M50" i="14"/>
  <c r="P3" i="14" s="1"/>
  <c r="L50" i="14"/>
  <c r="K50" i="14"/>
  <c r="I50" i="14"/>
  <c r="P2" i="14" s="1"/>
  <c r="H50" i="14"/>
  <c r="G50" i="14"/>
  <c r="F50" i="14"/>
  <c r="P11" i="14" s="1"/>
  <c r="R18" i="14"/>
  <c r="I18" i="14"/>
  <c r="H18" i="14"/>
  <c r="E16" i="14"/>
  <c r="V15" i="14"/>
  <c r="P9" i="14" s="1"/>
  <c r="P8" i="14"/>
  <c r="P7" i="14"/>
  <c r="P6" i="14"/>
  <c r="P1" i="14"/>
  <c r="T50" i="13"/>
  <c r="P6" i="13" s="1"/>
  <c r="S50" i="13"/>
  <c r="R50" i="13"/>
  <c r="V15" i="13" s="1"/>
  <c r="P9" i="13" s="1"/>
  <c r="Q50" i="13"/>
  <c r="M50" i="13"/>
  <c r="L50" i="13"/>
  <c r="K50" i="13"/>
  <c r="I50" i="13"/>
  <c r="P2" i="13" s="1"/>
  <c r="H50" i="13"/>
  <c r="G50" i="13"/>
  <c r="F50" i="13"/>
  <c r="P11" i="13" s="1"/>
  <c r="R18" i="13"/>
  <c r="I18" i="13"/>
  <c r="H18" i="13"/>
  <c r="E16" i="13"/>
  <c r="P8" i="13"/>
  <c r="P3" i="13"/>
  <c r="P1" i="13"/>
  <c r="Q50" i="2"/>
  <c r="G50" i="2"/>
  <c r="F50" i="2"/>
  <c r="P11" i="2" s="1"/>
  <c r="L50" i="2"/>
  <c r="K50" i="2"/>
  <c r="R18" i="2"/>
  <c r="I18" i="2"/>
  <c r="H18" i="2"/>
  <c r="E16" i="2"/>
  <c r="P1" i="2"/>
  <c r="P8" i="2" s="1"/>
  <c r="S9" i="32" l="1"/>
  <c r="T9" i="32" s="1"/>
  <c r="V9" i="32" s="1"/>
  <c r="P5" i="32"/>
  <c r="P4" i="32"/>
  <c r="P5" i="31"/>
  <c r="P4" i="31"/>
  <c r="U9" i="31"/>
  <c r="T9" i="31"/>
  <c r="V9" i="31" s="1"/>
  <c r="P5" i="30"/>
  <c r="P4" i="30"/>
  <c r="S9" i="30"/>
  <c r="U9" i="30"/>
  <c r="T9" i="30"/>
  <c r="V9" i="30" s="1"/>
  <c r="P5" i="29"/>
  <c r="P4" i="29"/>
  <c r="T9" i="29"/>
  <c r="V9" i="29" s="1"/>
  <c r="U9" i="29"/>
  <c r="S9" i="28"/>
  <c r="P5" i="28"/>
  <c r="P4" i="28"/>
  <c r="T9" i="28"/>
  <c r="V9" i="28" s="1"/>
  <c r="U9" i="28"/>
  <c r="S9" i="27"/>
  <c r="P5" i="27"/>
  <c r="P4" i="27"/>
  <c r="T9" i="27"/>
  <c r="V9" i="27" s="1"/>
  <c r="U9" i="27"/>
  <c r="P5" i="26"/>
  <c r="P4" i="26"/>
  <c r="T9" i="26"/>
  <c r="V9" i="26" s="1"/>
  <c r="U9" i="26"/>
  <c r="S9" i="25"/>
  <c r="T9" i="25" s="1"/>
  <c r="V9" i="25" s="1"/>
  <c r="P5" i="25"/>
  <c r="P4" i="25"/>
  <c r="U9" i="25"/>
  <c r="P5" i="24"/>
  <c r="P4" i="24"/>
  <c r="U9" i="24"/>
  <c r="T9" i="24"/>
  <c r="V9" i="24" s="1"/>
  <c r="S9" i="23"/>
  <c r="U9" i="23" s="1"/>
  <c r="P5" i="23"/>
  <c r="P4" i="23"/>
  <c r="U9" i="22"/>
  <c r="T9" i="22"/>
  <c r="V9" i="22" s="1"/>
  <c r="P4" i="22"/>
  <c r="P5" i="22"/>
  <c r="P5" i="21"/>
  <c r="P4" i="21"/>
  <c r="U9" i="21"/>
  <c r="T9" i="21"/>
  <c r="V9" i="21" s="1"/>
  <c r="S9" i="20"/>
  <c r="P5" i="20"/>
  <c r="P4" i="20"/>
  <c r="U9" i="20"/>
  <c r="T9" i="20"/>
  <c r="V9" i="20" s="1"/>
  <c r="S9" i="19"/>
  <c r="P5" i="19"/>
  <c r="P4" i="19"/>
  <c r="U9" i="19"/>
  <c r="T9" i="19"/>
  <c r="V9" i="19" s="1"/>
  <c r="P5" i="18"/>
  <c r="U9" i="18"/>
  <c r="S9" i="18"/>
  <c r="T9" i="18" s="1"/>
  <c r="V9" i="18" s="1"/>
  <c r="P4" i="18"/>
  <c r="P4" i="17"/>
  <c r="P5" i="17"/>
  <c r="P7" i="17"/>
  <c r="S9" i="17" s="1"/>
  <c r="T9" i="17" s="1"/>
  <c r="V9" i="17" s="1"/>
  <c r="P4" i="16"/>
  <c r="P5" i="16"/>
  <c r="U9" i="16"/>
  <c r="T9" i="16"/>
  <c r="V9" i="16" s="1"/>
  <c r="V15" i="15"/>
  <c r="P9" i="15" s="1"/>
  <c r="S9" i="15"/>
  <c r="U9" i="15" s="1"/>
  <c r="P5" i="15"/>
  <c r="P4" i="15"/>
  <c r="S9" i="14"/>
  <c r="P7" i="13"/>
  <c r="S9" i="13" s="1"/>
  <c r="P4" i="14"/>
  <c r="P5" i="14"/>
  <c r="U9" i="14"/>
  <c r="T9" i="14"/>
  <c r="V9" i="14" s="1"/>
  <c r="P4" i="13"/>
  <c r="P5" i="13"/>
  <c r="U9" i="13"/>
  <c r="T9" i="13"/>
  <c r="V9" i="13" s="1"/>
  <c r="M50" i="2"/>
  <c r="P3" i="2" s="1"/>
  <c r="R50" i="2"/>
  <c r="U9" i="32" l="1"/>
  <c r="T9" i="23"/>
  <c r="V9" i="23" s="1"/>
  <c r="U9" i="17"/>
  <c r="T9" i="15"/>
  <c r="V9" i="15" s="1"/>
  <c r="P7" i="2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<sst xmlns="http://schemas.openxmlformats.org/spreadsheetml/2006/main" count="4347" uniqueCount="538">
  <si>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</si>
  <si>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</si>
  <si>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</si>
  <si>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</si>
  <si>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</si>
  <si>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</si>
  <si>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</si>
  <si>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</si>
  <si>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</si>
  <si>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</si>
  <si>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</si>
  <si>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</si>
  <si>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</si>
  <si>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</si>
  <si>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</si>
  <si>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</si>
  <si>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</si>
  <si>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</si>
  <si>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</si>
  <si>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</si>
  <si>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</si>
  <si>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</si>
  <si>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</si>
  <si>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</si>
  <si>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</si>
  <si>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</si>
  <si>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</si>
  <si>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</si>
  <si>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</si>
  <si>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</si>
  <si>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</si>
  <si>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</si>
  <si>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</si>
  <si>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</si>
  <si>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</si>
  <si>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</si>
  <si>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</si>
  <si>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</si>
  <si>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</si>
  <si>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</si>
  <si>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</si>
  <si>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</si>
  <si>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</si>
  <si>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</si>
  <si>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</si>
  <si>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</si>
  <si>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</si>
  <si>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</si>
  <si>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</si>
  <si>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</si>
  <si>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</si>
  <si>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</si>
  <si>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</si>
  <si>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</si>
  <si>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</si>
  <si>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</si>
  <si>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</si>
  <si>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</si>
  <si>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</si>
  <si>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</si>
  <si>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</si>
  <si>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</si>
  <si>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</si>
  <si>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</si>
  <si>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</si>
  <si>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</si>
  <si>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</si>
  <si>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</si>
  <si>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</si>
  <si>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</si>
  <si>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</si>
  <si>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</si>
  <si>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</si>
  <si>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</si>
  <si>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</si>
  <si>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</si>
  <si>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</si>
  <si>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</si>
  <si>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</si>
  <si>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</si>
  <si>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</si>
  <si>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</si>
  <si>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</si>
  <si>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</si>
  <si>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</si>
  <si>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</si>
  <si>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</si>
  <si>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</si>
  <si>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</si>
  <si>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</si>
  <si>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</si>
  <si>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</si>
  <si>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</si>
  <si>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</si>
  <si>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</si>
  <si>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</si>
  <si>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</si>
  <si>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</si>
  <si>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</si>
  <si>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</si>
  <si>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</si>
  <si>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</si>
  <si>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</si>
  <si>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</si>
  <si>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</si>
  <si>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</si>
  <si>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</si>
  <si>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</si>
  <si>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Excavator</t>
  </si>
  <si>
    <t>KOMATSU</t>
  </si>
  <si>
    <t>D61PX-24</t>
  </si>
  <si>
    <t>B60814</t>
  </si>
  <si>
    <t>13G-32-03002</t>
  </si>
  <si>
    <t>134-27-15210</t>
  </si>
  <si>
    <t>09203-21865</t>
  </si>
  <si>
    <t>01803-01824</t>
  </si>
  <si>
    <t>13Y-30-00035</t>
  </si>
  <si>
    <t>01016-51245</t>
  </si>
  <si>
    <t>01643-31232</t>
  </si>
  <si>
    <t>134-30-01040</t>
  </si>
  <si>
    <t>01010-62085</t>
  </si>
  <si>
    <t>01643-32060</t>
  </si>
  <si>
    <t>134-30-01032</t>
  </si>
  <si>
    <t>134-30-01022</t>
  </si>
  <si>
    <t>01010-61670</t>
  </si>
  <si>
    <t>01643-31645</t>
  </si>
  <si>
    <t>TRACK SHOE ASSEMBLY 34"</t>
  </si>
  <si>
    <t>SEGMENT SPROCKET</t>
  </si>
  <si>
    <t>SPROCKET BOLT</t>
  </si>
  <si>
    <t>SPROCKET NUT</t>
  </si>
  <si>
    <t>IDLER CONVENTIONAL</t>
  </si>
  <si>
    <t xml:space="preserve">IDLER BOLT </t>
  </si>
  <si>
    <t>IDLER WASHER</t>
  </si>
  <si>
    <t xml:space="preserve">CARRIER ROLLER </t>
  </si>
  <si>
    <t>CARRIER BOLT</t>
  </si>
  <si>
    <t xml:space="preserve">CARRIER WASHER </t>
  </si>
  <si>
    <t xml:space="preserve">ROLLER GP DF </t>
  </si>
  <si>
    <t>ROLLER GP SF</t>
  </si>
  <si>
    <t xml:space="preserve">ROLLER BOLT </t>
  </si>
  <si>
    <t xml:space="preserve">ROLLER WASHER </t>
  </si>
  <si>
    <t xml:space="preserve"> $38,054.95 </t>
  </si>
  <si>
    <t xml:space="preserve"> $119.47 </t>
  </si>
  <si>
    <t xml:space="preserve"> $8.03 </t>
  </si>
  <si>
    <t xml:space="preserve"> $8.29 </t>
  </si>
  <si>
    <t xml:space="preserve"> $3,887.68 </t>
  </si>
  <si>
    <t xml:space="preserve"> $10.51 </t>
  </si>
  <si>
    <t xml:space="preserve"> $2.74 </t>
  </si>
  <si>
    <t xml:space="preserve"> $444.43 </t>
  </si>
  <si>
    <t xml:space="preserve"> $14.71 </t>
  </si>
  <si>
    <t xml:space="preserve"> $6.42 </t>
  </si>
  <si>
    <t xml:space="preserve"> $775.87 </t>
  </si>
  <si>
    <t xml:space="preserve"> $714.46 </t>
  </si>
  <si>
    <t xml:space="preserve"> $6.34 </t>
  </si>
  <si>
    <t xml:space="preserve"> $3.14 </t>
  </si>
  <si>
    <t>$26,244.79</t>
  </si>
  <si>
    <t>$82.39</t>
  </si>
  <si>
    <t>$5.54</t>
  </si>
  <si>
    <t>$5.72</t>
  </si>
  <si>
    <t>$2,681.16</t>
  </si>
  <si>
    <t>$7.25</t>
  </si>
  <si>
    <t>$1.89</t>
  </si>
  <si>
    <t>$306.50</t>
  </si>
  <si>
    <t>$10.14</t>
  </si>
  <si>
    <t>$4.43</t>
  </si>
  <si>
    <t>$535.08</t>
  </si>
  <si>
    <t>$492.73</t>
  </si>
  <si>
    <t>$4.37</t>
  </si>
  <si>
    <t>$2.17</t>
  </si>
  <si>
    <t>$76,109.90</t>
  </si>
  <si>
    <t>$2,150.46</t>
  </si>
  <si>
    <t>$433.62</t>
  </si>
  <si>
    <t>$447.66</t>
  </si>
  <si>
    <t>$7,775.36</t>
  </si>
  <si>
    <t>$42.04</t>
  </si>
  <si>
    <t>$10.96</t>
  </si>
  <si>
    <t>$1,777.72</t>
  </si>
  <si>
    <t>$117.68</t>
  </si>
  <si>
    <t>$51.36</t>
  </si>
  <si>
    <t>$3,103.48</t>
  </si>
  <si>
    <t>$8,573.52</t>
  </si>
  <si>
    <t>$405.76</t>
  </si>
  <si>
    <t>$200.96</t>
  </si>
  <si>
    <t>$17,124.73</t>
  </si>
  <si>
    <t>$53.76</t>
  </si>
  <si>
    <t>$3.61</t>
  </si>
  <si>
    <t>$3.73</t>
  </si>
  <si>
    <t>$1,749.46</t>
  </si>
  <si>
    <t>$4.73</t>
  </si>
  <si>
    <t>$1.23</t>
  </si>
  <si>
    <t>$199.99</t>
  </si>
  <si>
    <t>$6.62</t>
  </si>
  <si>
    <t>$2.89</t>
  </si>
  <si>
    <t>$349.14</t>
  </si>
  <si>
    <t>$321.51</t>
  </si>
  <si>
    <t>$2.85</t>
  </si>
  <si>
    <t>$1.41</t>
  </si>
  <si>
    <t>$34,249.46</t>
  </si>
  <si>
    <t>$967.68</t>
  </si>
  <si>
    <t>$194.94</t>
  </si>
  <si>
    <t>$201.42</t>
  </si>
  <si>
    <t>$3,498.92</t>
  </si>
  <si>
    <t>$18.92</t>
  </si>
  <si>
    <t>$4.92</t>
  </si>
  <si>
    <t>$799.96</t>
  </si>
  <si>
    <t>$52.96</t>
  </si>
  <si>
    <t>$23.12</t>
  </si>
  <si>
    <t>$1,396.56</t>
  </si>
  <si>
    <t>$3,858.12</t>
  </si>
  <si>
    <t>$182.40</t>
  </si>
  <si>
    <t>$90.24</t>
  </si>
  <si>
    <t xml:space="preserve"> $20,930.22 </t>
  </si>
  <si>
    <t xml:space="preserve"> $65.71 </t>
  </si>
  <si>
    <t xml:space="preserve"> $4.42 </t>
  </si>
  <si>
    <t xml:space="preserve"> $4.56 </t>
  </si>
  <si>
    <t xml:space="preserve"> $2,138.22 </t>
  </si>
  <si>
    <t xml:space="preserve"> $5.78 </t>
  </si>
  <si>
    <t xml:space="preserve"> $1.51 </t>
  </si>
  <si>
    <t xml:space="preserve"> $244.44 </t>
  </si>
  <si>
    <t xml:space="preserve"> $8.09 </t>
  </si>
  <si>
    <t xml:space="preserve"> $3.53 </t>
  </si>
  <si>
    <t xml:space="preserve"> $426.73 </t>
  </si>
  <si>
    <t xml:space="preserve"> $392.95 </t>
  </si>
  <si>
    <t xml:space="preserve"> $3.49 </t>
  </si>
  <si>
    <t xml:space="preserve"> $1.73 </t>
  </si>
  <si>
    <t xml:space="preserve"> $41,860.44 </t>
  </si>
  <si>
    <t xml:space="preserve"> $1,182.78 </t>
  </si>
  <si>
    <t xml:space="preserve"> $238.68 </t>
  </si>
  <si>
    <t xml:space="preserve"> $246.24 </t>
  </si>
  <si>
    <t xml:space="preserve"> $4,276.44 </t>
  </si>
  <si>
    <t xml:space="preserve"> $23.12 </t>
  </si>
  <si>
    <t xml:space="preserve"> $6.04 </t>
  </si>
  <si>
    <t xml:space="preserve"> $977.76 </t>
  </si>
  <si>
    <t xml:space="preserve"> $64.72 </t>
  </si>
  <si>
    <t xml:space="preserve"> $28.24 </t>
  </si>
  <si>
    <t xml:space="preserve"> $1,706.92 </t>
  </si>
  <si>
    <t xml:space="preserve"> $4,715.40 </t>
  </si>
  <si>
    <t xml:space="preserve"> $223.36 </t>
  </si>
  <si>
    <t xml:space="preserve"> $110.72 </t>
  </si>
  <si>
    <t>Dozer</t>
  </si>
  <si>
    <t>D71PX-24</t>
  </si>
  <si>
    <t>14X-32-51120</t>
  </si>
  <si>
    <t xml:space="preserve">TRACK SHOE  30" </t>
  </si>
  <si>
    <t xml:space="preserve">14X-30-00143 </t>
  </si>
  <si>
    <t>14X-30-00089</t>
  </si>
  <si>
    <t>14X-30-00098</t>
  </si>
  <si>
    <t xml:space="preserve">14X-30-78672 </t>
  </si>
  <si>
    <t>01643-21845</t>
  </si>
  <si>
    <t>14X-30-00581</t>
  </si>
  <si>
    <t xml:space="preserve">IDLER </t>
  </si>
  <si>
    <t>14X-27-15211</t>
  </si>
  <si>
    <t xml:space="preserve">SEGEMT-SPROCKET </t>
  </si>
  <si>
    <t>154-27-12320</t>
  </si>
  <si>
    <t xml:space="preserve">SPROCKET BOLT </t>
  </si>
  <si>
    <t>01803-02228</t>
  </si>
  <si>
    <t>14Y-32-07350</t>
  </si>
  <si>
    <t>TRACK LINK AS</t>
  </si>
  <si>
    <t xml:space="preserve"> $125.19 </t>
  </si>
  <si>
    <t xml:space="preserve"> $579.96 </t>
  </si>
  <si>
    <t xml:space="preserve"> $684.14 </t>
  </si>
  <si>
    <t xml:space="preserve"> $775.46 </t>
  </si>
  <si>
    <t xml:space="preserve"> $8.71 </t>
  </si>
  <si>
    <t xml:space="preserve"> $4.28 </t>
  </si>
  <si>
    <t xml:space="preserve"> $4,200.78 </t>
  </si>
  <si>
    <t xml:space="preserve"> $107.17 </t>
  </si>
  <si>
    <t xml:space="preserve"> $9.11 </t>
  </si>
  <si>
    <t xml:space="preserve"> $8.99 </t>
  </si>
  <si>
    <t xml:space="preserve"> $23,988.25 </t>
  </si>
  <si>
    <t xml:space="preserve"> $86.34 </t>
  </si>
  <si>
    <t xml:space="preserve"> $399.97 </t>
  </si>
  <si>
    <t xml:space="preserve"> $10.14 </t>
  </si>
  <si>
    <t xml:space="preserve"> $4.43 </t>
  </si>
  <si>
    <t xml:space="preserve"> $471.82 </t>
  </si>
  <si>
    <t xml:space="preserve"> $534.80 </t>
  </si>
  <si>
    <t xml:space="preserve"> $6.01 </t>
  </si>
  <si>
    <t xml:space="preserve"> $2.95 </t>
  </si>
  <si>
    <t xml:space="preserve"> $2,897.09 </t>
  </si>
  <si>
    <t xml:space="preserve"> $73.91 </t>
  </si>
  <si>
    <t xml:space="preserve"> $6.28 </t>
  </si>
  <si>
    <t xml:space="preserve"> $6.20 </t>
  </si>
  <si>
    <t xml:space="preserve"> $16,543.62 </t>
  </si>
  <si>
    <t xml:space="preserve"> $11,267.10 </t>
  </si>
  <si>
    <t xml:space="preserve"> $2,319.84 </t>
  </si>
  <si>
    <t xml:space="preserve"> $117.68 </t>
  </si>
  <si>
    <t xml:space="preserve"> $51.36 </t>
  </si>
  <si>
    <t xml:space="preserve"> $8,209.68 </t>
  </si>
  <si>
    <t xml:space="preserve"> $3,101.84 </t>
  </si>
  <si>
    <t xml:space="preserve"> $557.44 </t>
  </si>
  <si>
    <t xml:space="preserve"> $273.92 </t>
  </si>
  <si>
    <t xml:space="preserve"> $8,401.56 </t>
  </si>
  <si>
    <t xml:space="preserve"> $1,929.06 </t>
  </si>
  <si>
    <t xml:space="preserve"> $491.94 </t>
  </si>
  <si>
    <t xml:space="preserve"> $485.46 </t>
  </si>
  <si>
    <t xml:space="preserve"> $47,976.50 </t>
  </si>
  <si>
    <t xml:space="preserve"> $56.34 </t>
  </si>
  <si>
    <t xml:space="preserve"> $260.98 </t>
  </si>
  <si>
    <t xml:space="preserve"> $6.62 </t>
  </si>
  <si>
    <t xml:space="preserve"> $2.89 </t>
  </si>
  <si>
    <t xml:space="preserve"> $307.86 </t>
  </si>
  <si>
    <t xml:space="preserve"> $348.96 </t>
  </si>
  <si>
    <t xml:space="preserve"> $3.92 </t>
  </si>
  <si>
    <t xml:space="preserve"> $1.93 </t>
  </si>
  <si>
    <t xml:space="preserve"> $1,890.35 </t>
  </si>
  <si>
    <t xml:space="preserve"> $48.23 </t>
  </si>
  <si>
    <t xml:space="preserve"> $4.10 </t>
  </si>
  <si>
    <t xml:space="preserve"> $4.05 </t>
  </si>
  <si>
    <t xml:space="preserve"> $10,794.71 </t>
  </si>
  <si>
    <t xml:space="preserve"> $5,070.60 </t>
  </si>
  <si>
    <t xml:space="preserve"> $1,043.92 </t>
  </si>
  <si>
    <t xml:space="preserve"> $52.96 </t>
  </si>
  <si>
    <t xml:space="preserve"> $3,694.32 </t>
  </si>
  <si>
    <t xml:space="preserve"> $1,395.84 </t>
  </si>
  <si>
    <t xml:space="preserve"> $250.88 </t>
  </si>
  <si>
    <t xml:space="preserve"> $123.52 </t>
  </si>
  <si>
    <t xml:space="preserve"> $3,780.70 </t>
  </si>
  <si>
    <t xml:space="preserve"> $868.14 </t>
  </si>
  <si>
    <t xml:space="preserve"> $221.40 </t>
  </si>
  <si>
    <t xml:space="preserve"> $218.70 </t>
  </si>
  <si>
    <t xml:space="preserve"> $21,589.42 </t>
  </si>
  <si>
    <t xml:space="preserve"> $68.85 </t>
  </si>
  <si>
    <t xml:space="preserve"> $318.98 </t>
  </si>
  <si>
    <t xml:space="preserve"> $376.28 </t>
  </si>
  <si>
    <t xml:space="preserve"> $426.50 </t>
  </si>
  <si>
    <t xml:space="preserve"> $4.79 </t>
  </si>
  <si>
    <t xml:space="preserve"> $2.35 </t>
  </si>
  <si>
    <t xml:space="preserve"> $2,310.43 </t>
  </si>
  <si>
    <t xml:space="preserve"> $58.94 </t>
  </si>
  <si>
    <t xml:space="preserve"> $5.01 </t>
  </si>
  <si>
    <t xml:space="preserve"> $4.94 </t>
  </si>
  <si>
    <t xml:space="preserve"> $13,193.54 </t>
  </si>
  <si>
    <t xml:space="preserve"> $6,196.50 </t>
  </si>
  <si>
    <t xml:space="preserve"> $1,275.92 </t>
  </si>
  <si>
    <t xml:space="preserve"> $4,515.36 </t>
  </si>
  <si>
    <t xml:space="preserve"> $1,706.00 </t>
  </si>
  <si>
    <t xml:space="preserve"> $306.56 </t>
  </si>
  <si>
    <t xml:space="preserve"> $150.40 </t>
  </si>
  <si>
    <t xml:space="preserve"> $4,620.86 </t>
  </si>
  <si>
    <t xml:space="preserve"> $1,060.92 </t>
  </si>
  <si>
    <t xml:space="preserve"> $270.54 </t>
  </si>
  <si>
    <t xml:space="preserve"> $266.76 </t>
  </si>
  <si>
    <t xml:space="preserve"> $26,387.08 </t>
  </si>
  <si>
    <t>PC290LC-11</t>
  </si>
  <si>
    <t>K73146</t>
  </si>
  <si>
    <t>207-32-03892</t>
  </si>
  <si>
    <t>TRACK SHOE AS 800MM TRIPLE GROUSER</t>
  </si>
  <si>
    <t>207-27-72270</t>
  </si>
  <si>
    <t>SPROCKET</t>
  </si>
  <si>
    <t>207-27-51311</t>
  </si>
  <si>
    <t>207-30-48110</t>
  </si>
  <si>
    <t>01010-82075</t>
  </si>
  <si>
    <t>IDLER BOLT</t>
  </si>
  <si>
    <t>207-30-21610</t>
  </si>
  <si>
    <t>01010-62095</t>
  </si>
  <si>
    <t>207-30-21510</t>
  </si>
  <si>
    <t xml:space="preserve">BOTTOM ROLLER </t>
  </si>
  <si>
    <t>207-30-56191</t>
  </si>
  <si>
    <t>ROLLER BOLT</t>
  </si>
  <si>
    <t xml:space="preserve"> $39,397.30 </t>
  </si>
  <si>
    <t xml:space="preserve"> $708.95 </t>
  </si>
  <si>
    <t xml:space="preserve"> $5.43 </t>
  </si>
  <si>
    <t xml:space="preserve"> $1,894.57 </t>
  </si>
  <si>
    <t xml:space="preserve"> $20.33 </t>
  </si>
  <si>
    <t xml:space="preserve"> $387.34 </t>
  </si>
  <si>
    <t xml:space="preserve"> $17.19 </t>
  </si>
  <si>
    <t xml:space="preserve"> $590.46 </t>
  </si>
  <si>
    <t xml:space="preserve"> $9.03 </t>
  </si>
  <si>
    <t xml:space="preserve"> $27,170.55 </t>
  </si>
  <si>
    <t xml:space="preserve"> $488.93 </t>
  </si>
  <si>
    <t xml:space="preserve"> $3.74 </t>
  </si>
  <si>
    <t xml:space="preserve"> $1,306.60 </t>
  </si>
  <si>
    <t xml:space="preserve"> $14.02 </t>
  </si>
  <si>
    <t xml:space="preserve"> $267.13 </t>
  </si>
  <si>
    <t xml:space="preserve"> $11.86 </t>
  </si>
  <si>
    <t xml:space="preserve"> $407.21 </t>
  </si>
  <si>
    <t xml:space="preserve"> $6.23 </t>
  </si>
  <si>
    <t xml:space="preserve"> $78,794.60 </t>
  </si>
  <si>
    <t xml:space="preserve"> $1,417.90 </t>
  </si>
  <si>
    <t xml:space="preserve"> $260.64 </t>
  </si>
  <si>
    <t xml:space="preserve"> $3,789.14 </t>
  </si>
  <si>
    <t xml:space="preserve"> $81.32 </t>
  </si>
  <si>
    <t xml:space="preserve"> $25.68 </t>
  </si>
  <si>
    <t xml:space="preserve"> $1,549.36 </t>
  </si>
  <si>
    <t xml:space="preserve"> $137.52 </t>
  </si>
  <si>
    <t xml:space="preserve"> $9,447.36 </t>
  </si>
  <si>
    <t xml:space="preserve"> $577.92 </t>
  </si>
  <si>
    <t xml:space="preserve"> $410.88 </t>
  </si>
  <si>
    <t xml:space="preserve"> $17,728.79 </t>
  </si>
  <si>
    <t xml:space="preserve"> $319.03 </t>
  </si>
  <si>
    <t xml:space="preserve"> $2.44 </t>
  </si>
  <si>
    <t xml:space="preserve"> $852.56 </t>
  </si>
  <si>
    <t xml:space="preserve"> $9.15 </t>
  </si>
  <si>
    <t xml:space="preserve"> $174.30 </t>
  </si>
  <si>
    <t xml:space="preserve"> $7.74 </t>
  </si>
  <si>
    <t xml:space="preserve"> $265.71 </t>
  </si>
  <si>
    <t xml:space="preserve"> $4.06 </t>
  </si>
  <si>
    <t xml:space="preserve"> $35,457.58 </t>
  </si>
  <si>
    <t xml:space="preserve"> $638.06 </t>
  </si>
  <si>
    <t xml:space="preserve"> $117.12 </t>
  </si>
  <si>
    <t xml:space="preserve"> $1,705.12 </t>
  </si>
  <si>
    <t xml:space="preserve"> $36.60 </t>
  </si>
  <si>
    <t xml:space="preserve"> $11.56 </t>
  </si>
  <si>
    <t xml:space="preserve"> $697.20 </t>
  </si>
  <si>
    <t xml:space="preserve"> $61.92 </t>
  </si>
  <si>
    <t xml:space="preserve"> $4,251.36 </t>
  </si>
  <si>
    <t xml:space="preserve"> $259.84 </t>
  </si>
  <si>
    <t xml:space="preserve"> $184.96 </t>
  </si>
  <si>
    <t xml:space="preserve"> $21,668.51 </t>
  </si>
  <si>
    <t xml:space="preserve"> $43,337.02 </t>
  </si>
  <si>
    <t xml:space="preserve"> $389.92 </t>
  </si>
  <si>
    <t xml:space="preserve"> $779.84 </t>
  </si>
  <si>
    <t xml:space="preserve"> $2.99 </t>
  </si>
  <si>
    <t xml:space="preserve"> $143.52 </t>
  </si>
  <si>
    <t xml:space="preserve"> $1,042.01 </t>
  </si>
  <si>
    <t xml:space="preserve"> $2,084.02 </t>
  </si>
  <si>
    <t xml:space="preserve"> $11.18 </t>
  </si>
  <si>
    <t xml:space="preserve"> $44.72 </t>
  </si>
  <si>
    <t xml:space="preserve"> $14.12 </t>
  </si>
  <si>
    <t xml:space="preserve"> $213.04 </t>
  </si>
  <si>
    <t xml:space="preserve"> $852.16 </t>
  </si>
  <si>
    <t xml:space="preserve"> $9.45 </t>
  </si>
  <si>
    <t xml:space="preserve"> $75.60 </t>
  </si>
  <si>
    <t xml:space="preserve"> $324.75 </t>
  </si>
  <si>
    <t xml:space="preserve"> $5,196.00 </t>
  </si>
  <si>
    <t xml:space="preserve"> $4.97 </t>
  </si>
  <si>
    <t xml:space="preserve"> $318.08 </t>
  </si>
  <si>
    <t xml:space="preserve"> $225.92 </t>
  </si>
  <si>
    <t>A37612</t>
  </si>
  <si>
    <t>207-32-03891</t>
  </si>
  <si>
    <t xml:space="preserve">TRACK SHOE ASSEMBLY 800MM </t>
  </si>
  <si>
    <t>207-30-00620</t>
  </si>
  <si>
    <t xml:space="preserve"> $68,420.38 </t>
  </si>
  <si>
    <t xml:space="preserve"> $536.40 </t>
  </si>
  <si>
    <t xml:space="preserve"> $47,186.47 </t>
  </si>
  <si>
    <t xml:space="preserve"> $369.93 </t>
  </si>
  <si>
    <t xml:space="preserve"> $136,840.76 </t>
  </si>
  <si>
    <t xml:space="preserve"> $2,145.60 </t>
  </si>
  <si>
    <t xml:space="preserve"> $30,789.17 </t>
  </si>
  <si>
    <t xml:space="preserve"> $241.38 </t>
  </si>
  <si>
    <t xml:space="preserve"> $61,578.34 </t>
  </si>
  <si>
    <t xml:space="preserve"> $965.52 </t>
  </si>
  <si>
    <t xml:space="preserve"> $37,631.21 </t>
  </si>
  <si>
    <t xml:space="preserve"> $75,262.42 </t>
  </si>
  <si>
    <t xml:space="preserve"> $295.02 </t>
  </si>
  <si>
    <t xml:space="preserve"> $1,180.08 </t>
  </si>
  <si>
    <t>A38125</t>
  </si>
  <si>
    <t>A39298</t>
  </si>
  <si>
    <t>A39301</t>
  </si>
  <si>
    <t>A42774</t>
  </si>
  <si>
    <t>208-32-03870</t>
  </si>
  <si>
    <t>TRACK SHOE ASSEMBLY 800MM</t>
  </si>
  <si>
    <t>208-27-41110</t>
  </si>
  <si>
    <t>SPROCKET GP</t>
  </si>
  <si>
    <t>208-30-53411</t>
  </si>
  <si>
    <t>170-30-13331</t>
  </si>
  <si>
    <t>01580-11613</t>
  </si>
  <si>
    <t>IDLER NUT</t>
  </si>
  <si>
    <t>208-30-55411</t>
  </si>
  <si>
    <t>01010-82095</t>
  </si>
  <si>
    <t>208-30-00464</t>
  </si>
  <si>
    <t>208-30-41260</t>
  </si>
  <si>
    <t>01643-32260</t>
  </si>
  <si>
    <t xml:space="preserve"> $85,978.95 </t>
  </si>
  <si>
    <t xml:space="preserve"> $1,979.28 </t>
  </si>
  <si>
    <t xml:space="preserve"> $7,044.54 </t>
  </si>
  <si>
    <t xml:space="preserve"> $12.91 </t>
  </si>
  <si>
    <t xml:space="preserve"> $6.57 </t>
  </si>
  <si>
    <t xml:space="preserve"> $475.09 </t>
  </si>
  <si>
    <t xml:space="preserve"> $1,302.35 </t>
  </si>
  <si>
    <t xml:space="preserve"> $30.88 </t>
  </si>
  <si>
    <t xml:space="preserve"> $5.73 </t>
  </si>
  <si>
    <t xml:space="preserve"> $59,295.83 </t>
  </si>
  <si>
    <t xml:space="preserve"> $1,365.02 </t>
  </si>
  <si>
    <t xml:space="preserve"> $4,858.30 </t>
  </si>
  <si>
    <t xml:space="preserve"> $8.90 </t>
  </si>
  <si>
    <t xml:space="preserve"> $4.53 </t>
  </si>
  <si>
    <t xml:space="preserve"> $2.17 </t>
  </si>
  <si>
    <t xml:space="preserve"> $327.65 </t>
  </si>
  <si>
    <t xml:space="preserve"> $898.17 </t>
  </si>
  <si>
    <t xml:space="preserve"> $21.30 </t>
  </si>
  <si>
    <t xml:space="preserve"> $3.95 </t>
  </si>
  <si>
    <t xml:space="preserve"> $171,957.90 </t>
  </si>
  <si>
    <t xml:space="preserve"> $3,958.56 </t>
  </si>
  <si>
    <t xml:space="preserve"> $282.36 </t>
  </si>
  <si>
    <t xml:space="preserve"> $14,089.08 </t>
  </si>
  <si>
    <t xml:space="preserve"> $51.64 </t>
  </si>
  <si>
    <t xml:space="preserve"> $26.28 </t>
  </si>
  <si>
    <t xml:space="preserve"> $12.56 </t>
  </si>
  <si>
    <t xml:space="preserve"> $1,900.36 </t>
  </si>
  <si>
    <t xml:space="preserve"> $20,837.60 </t>
  </si>
  <si>
    <t xml:space="preserve"> $1,976.32 </t>
  </si>
  <si>
    <t xml:space="preserve"> $366.72 </t>
  </si>
  <si>
    <t xml:space="preserve"> $38,690.53 </t>
  </si>
  <si>
    <t xml:space="preserve"> $890.68 </t>
  </si>
  <si>
    <t xml:space="preserve"> $3,170.04 </t>
  </si>
  <si>
    <t xml:space="preserve"> $5.81 </t>
  </si>
  <si>
    <t xml:space="preserve"> $2.96 </t>
  </si>
  <si>
    <t xml:space="preserve"> $1.41 </t>
  </si>
  <si>
    <t xml:space="preserve"> $213.79 </t>
  </si>
  <si>
    <t xml:space="preserve"> $586.06 </t>
  </si>
  <si>
    <t xml:space="preserve"> $13.90 </t>
  </si>
  <si>
    <t xml:space="preserve"> $2.58 </t>
  </si>
  <si>
    <t xml:space="preserve"> $77,381.06 </t>
  </si>
  <si>
    <t xml:space="preserve"> $1,781.36 </t>
  </si>
  <si>
    <t xml:space="preserve"> $126.88 </t>
  </si>
  <si>
    <t xml:space="preserve"> $6,340.08 </t>
  </si>
  <si>
    <t xml:space="preserve"> $23.24 </t>
  </si>
  <si>
    <t xml:space="preserve"> $11.84 </t>
  </si>
  <si>
    <t xml:space="preserve"> $5.64 </t>
  </si>
  <si>
    <t xml:space="preserve"> $855.16 </t>
  </si>
  <si>
    <t xml:space="preserve"> $9,376.96 </t>
  </si>
  <si>
    <t xml:space="preserve"> $889.60 </t>
  </si>
  <si>
    <t xml:space="preserve"> $165.12 </t>
  </si>
  <si>
    <t xml:space="preserve"> $47,288.42 </t>
  </si>
  <si>
    <t xml:space="preserve"> $94,576.84 </t>
  </si>
  <si>
    <t xml:space="preserve"> $1,088.60 </t>
  </si>
  <si>
    <t xml:space="preserve"> $2,177.20 </t>
  </si>
  <si>
    <t xml:space="preserve"> $155.48 </t>
  </si>
  <si>
    <t xml:space="preserve"> $3,874.50 </t>
  </si>
  <si>
    <t xml:space="preserve"> $7,749.00 </t>
  </si>
  <si>
    <t xml:space="preserve"> $7.10 </t>
  </si>
  <si>
    <t xml:space="preserve"> $28.40 </t>
  </si>
  <si>
    <t xml:space="preserve"> $3.61 </t>
  </si>
  <si>
    <t xml:space="preserve"> $14.44 </t>
  </si>
  <si>
    <t xml:space="preserve"> $6.92 </t>
  </si>
  <si>
    <t xml:space="preserve"> $261.30 </t>
  </si>
  <si>
    <t xml:space="preserve"> $1,045.20 </t>
  </si>
  <si>
    <t xml:space="preserve"> $716.29 </t>
  </si>
  <si>
    <t xml:space="preserve"> $11,460.64 </t>
  </si>
  <si>
    <t xml:space="preserve"> $16.98 </t>
  </si>
  <si>
    <t xml:space="preserve"> $1,086.72 </t>
  </si>
  <si>
    <t xml:space="preserve"> $3.15 </t>
  </si>
  <si>
    <t xml:space="preserve"> $201.60 </t>
  </si>
  <si>
    <t>A42788</t>
  </si>
  <si>
    <t>A42800</t>
  </si>
  <si>
    <t>A42804</t>
  </si>
  <si>
    <t>A42918</t>
  </si>
  <si>
    <t>A42970</t>
  </si>
  <si>
    <t>A42987</t>
  </si>
  <si>
    <t>A43077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</si>
</sst>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409]mmmm\ d\,\ yyyy"/>
    <numFmt numFmtId="165" formatCode="&quot;$&quot;#,##0.00"/>
    <numFmt numFmtId="166" formatCode="_(&quot;$&quot;* #,##0.00_);_(&quot;$&quot;* \(#,##0.00\);_(&quot;$&quot;* &quot;-&quot;??_);_(@_)"/>
  </numFmts>
  <fonts count="30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166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166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166" fontId="5" fillId="0" borderId="44" xfId="0" applyNumberFormat="1" applyFont="1" applyBorder="1"/>
    <xf numFmtId="166" fontId="5" fillId="0" borderId="96" xfId="0" applyNumberFormat="1" applyFont="1" applyBorder="1"/>
    <xf numFmtId="166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166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166" fontId="5" fillId="5" borderId="24" xfId="0" applyNumberFormat="1" applyFont="1" applyFill="1" applyBorder="1"/>
    <xf numFmtId="166" fontId="5" fillId="12" borderId="97" xfId="0" applyNumberFormat="1" applyFont="1" applyFill="1" applyBorder="1"/>
    <xf numFmtId="166" fontId="5" fillId="12" borderId="13" xfId="0" applyNumberFormat="1" applyFont="1" applyFill="1" applyBorder="1"/>
    <xf numFmtId="166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166" fontId="5" fillId="12" borderId="24" xfId="0" applyNumberFormat="1" applyFont="1" applyFill="1" applyBorder="1"/>
    <xf numFmtId="166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166" fontId="8" fillId="12" borderId="24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right"/>
    </xf>
    <xf numFmtId="166" fontId="8" fillId="12" borderId="24" xfId="0" applyNumberFormat="1" applyFont="1" applyFill="1" applyBorder="1"/>
    <xf numFmtId="166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166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28" fillId="0" borderId="101" xfId="0" applyFont="1" applyBorder="1" applyAlignment="1" applyProtection="1">
      <alignment horizontal="left"/>
      <protection locked="0"/>
    </xf>
    <xf numFmtId="0" fontId="28" fillId="14" borderId="102" xfId="0" applyFont="1" applyFill="1" applyBorder="1" applyAlignment="1" applyProtection="1">
      <alignment horizontal="left"/>
      <protection locked="0"/>
    </xf>
    <xf numFmtId="0" fontId="0" fillId="0" borderId="101" xfId="0" applyBorder="1" applyAlignment="1" applyProtection="1">
      <alignment horizontal="left"/>
      <protection locked="0"/>
    </xf>
    <xf numFmtId="0" fontId="0" fillId="14" borderId="102" xfId="0" applyFill="1" applyBorder="1" applyAlignment="1" applyProtection="1">
      <alignment horizontal="left"/>
      <protection locked="0"/>
    </xf>
    <xf numFmtId="0" fontId="28" fillId="0" borderId="103" xfId="0" applyFont="1" applyBorder="1" applyAlignment="1" applyProtection="1">
      <alignment horizontal="left"/>
      <protection locked="0"/>
    </xf>
    <xf numFmtId="0" fontId="28" fillId="14" borderId="104" xfId="0" applyFont="1" applyFill="1" applyBorder="1" applyAlignment="1" applyProtection="1">
      <alignment horizontal="left"/>
      <protection locked="0"/>
    </xf>
    <xf numFmtId="0" fontId="28" fillId="0" borderId="104" xfId="0" applyFont="1" applyBorder="1" applyAlignment="1" applyProtection="1">
      <alignment horizontal="left"/>
      <protection locked="0"/>
    </xf>
    <xf numFmtId="3" fontId="29" fillId="0" borderId="101" xfId="0" applyNumberFormat="1" applyFont="1" applyBorder="1" applyAlignment="1" applyProtection="1">
      <alignment horizontal="center"/>
      <protection locked="0"/>
    </xf>
    <xf numFmtId="3" fontId="29" fillId="14" borderId="102" xfId="0" applyNumberFormat="1" applyFont="1" applyFill="1" applyBorder="1" applyAlignment="1" applyProtection="1">
      <alignment horizontal="center"/>
      <protection locked="0"/>
    </xf>
    <xf numFmtId="3" fontId="29" fillId="0" borderId="102" xfId="0" applyNumberFormat="1" applyFont="1" applyBorder="1" applyAlignment="1" applyProtection="1">
      <alignment horizontal="center"/>
      <protection locked="0"/>
    </xf>
    <xf numFmtId="44" fontId="29" fillId="0" borderId="101" xfId="1" applyFont="1" applyFill="1" applyBorder="1" applyProtection="1"/>
    <xf numFmtId="44" fontId="29" fillId="0" borderId="103" xfId="1" applyFont="1" applyFill="1" applyBorder="1" applyProtection="1"/>
    <xf numFmtId="44" fontId="29" fillId="15" borderId="101" xfId="1" applyFont="1" applyFill="1" applyBorder="1" applyProtection="1"/>
    <xf numFmtId="44" fontId="29" fillId="15" borderId="103" xfId="1" applyFont="1" applyFill="1" applyBorder="1" applyProtection="1"/>
    <xf numFmtId="10" fontId="0" fillId="0" borderId="0" xfId="0" applyNumberFormat="1"/>
  </cellXfs>
  <cellStyles count="2">
    <cellStyle name="Currency" xfId="1" builtinId="4"/>
    <cellStyle name="Normal" xfId="0" builtinId="0"/>
  </cellStyles>
  <dxfs count="8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80B3EFA-52E6-4DC4-9C48-B887F0F66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2F38F2A-14E6-4762-91F7-9FD224A2A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B3AD09D-8BCD-44FB-8CE3-1B6E22EC30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32F4D8B-EDD5-4B62-AC76-CAE2E4327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AEC8ABE-FC22-4033-A9B7-9229565BC7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1EF589F-E252-4594-B821-256C1F4A5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BA20959-0530-46E6-8CB6-76AF58FCC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8F28A12-FC40-4EF9-94C6-BE29098204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25A091B-C043-46B2-A218-34D870736F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C8AD584E-BE37-4B33-98FD-43EB8B69BB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A6319AF-8C93-430B-BED5-751FBA5492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AC9FF79-6183-401B-BA42-029D5A6147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9FB9FDB-36B6-4B4B-9708-A493FDACA7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8D7F319-1A4F-4F7D-9F48-0A7D65619E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425CA95-D6D4-41A9-8279-FE21C4F0D2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B596B5A-060B-4C70-9C05-C5098C4EEC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1B469E9-D6E8-47DB-B52B-FF8EC4839C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B5A23E9-F6A8-4367-B342-9F823A1109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D75F8A3-B4E4-463A-9F46-2E5886E279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76CED2-0E12-4599-9616-1DD845839E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546875" defaultRowHeight="15" customHeight="1" x14ac:dyDescent="0.3"/>
  <cols>
    <col min="1" max="1" width="5.44140625" customWidth="1"/>
    <col min="2" max="26" width="8.5546875" customWidth="1"/>
  </cols>
  <sheetData>
    <row r="1" spans="1:2" ht="14.4" x14ac:dyDescent="0.3">
      <c r="A1" s="1" t="s">
        <v>0</v>
      </c>
    </row>
    <row r="2" spans="1:2" ht="14.4" x14ac:dyDescent="0.3">
      <c r="A2" s="1" t="s">
        <v>1</v>
      </c>
    </row>
    <row r="4" spans="1:2" ht="14.4" x14ac:dyDescent="0.3">
      <c r="A4" s="2" t="s">
        <v>2</v>
      </c>
    </row>
    <row r="5" spans="1:2" ht="14.4" x14ac:dyDescent="0.3">
      <c r="A5" s="2" t="s">
        <v>3</v>
      </c>
    </row>
    <row r="7" spans="1:2" ht="14.4" x14ac:dyDescent="0.3">
      <c r="A7" s="3" t="s">
        <v>4</v>
      </c>
    </row>
    <row r="8" spans="1:2" ht="14.4" x14ac:dyDescent="0.3">
      <c r="B8" s="2" t="s">
        <v>5</v>
      </c>
    </row>
    <row r="10" spans="1:2" ht="14.4" x14ac:dyDescent="0.3">
      <c r="A10" s="3" t="s">
        <v>6</v>
      </c>
    </row>
    <row r="11" spans="1:2" ht="14.4" x14ac:dyDescent="0.3">
      <c r="B11" s="4" t="s">
        <v>7</v>
      </c>
    </row>
    <row r="12" spans="1:2" ht="14.4" x14ac:dyDescent="0.3">
      <c r="B12" s="4" t="s">
        <v>8</v>
      </c>
    </row>
    <row r="13" spans="1:2" ht="14.4" x14ac:dyDescent="0.3">
      <c r="B13" s="4" t="s">
        <v>9</v>
      </c>
    </row>
    <row r="15" spans="1:2" ht="14.4" x14ac:dyDescent="0.3">
      <c r="A15" s="3" t="s">
        <v>10</v>
      </c>
    </row>
    <row r="16" spans="1:2" ht="14.4" x14ac:dyDescent="0.3">
      <c r="B16" s="4" t="s">
        <v>11</v>
      </c>
    </row>
    <row r="17" spans="1:10" ht="14.4" x14ac:dyDescent="0.3">
      <c r="B17" s="4" t="s">
        <v>12</v>
      </c>
    </row>
    <row r="19" spans="1:10" ht="14.4" x14ac:dyDescent="0.3">
      <c r="A19" s="3" t="s">
        <v>13</v>
      </c>
    </row>
    <row r="20" spans="1:10" ht="14.4" x14ac:dyDescent="0.3">
      <c r="B20" s="4" t="s">
        <v>14</v>
      </c>
    </row>
    <row r="21" spans="1:10" ht="15.75" customHeight="1" x14ac:dyDescent="0.3">
      <c r="B21" s="4" t="s">
        <v>15</v>
      </c>
    </row>
    <row r="22" spans="1:10" ht="15.75" customHeight="1" x14ac:dyDescent="0.3">
      <c r="B22" s="4" t="s">
        <v>16</v>
      </c>
    </row>
    <row r="23" spans="1:10" ht="15.75" customHeight="1" x14ac:dyDescent="0.3">
      <c r="B23" s="4" t="s">
        <v>17</v>
      </c>
    </row>
    <row r="24" spans="1:10" ht="15.75" customHeight="1" x14ac:dyDescent="0.3">
      <c r="B24" s="4" t="s">
        <v>18</v>
      </c>
    </row>
    <row r="25" spans="1:10" ht="15.75" customHeight="1" x14ac:dyDescent="0.3"/>
    <row r="26" spans="1:10" ht="15.75" customHeight="1" x14ac:dyDescent="0.3">
      <c r="A26" s="3" t="s">
        <v>19</v>
      </c>
    </row>
    <row r="27" spans="1:10" ht="15.75" customHeight="1" x14ac:dyDescent="0.3">
      <c r="A27" s="2"/>
      <c r="B27" s="4" t="s">
        <v>20</v>
      </c>
      <c r="J27" s="4" t="s">
        <v>21</v>
      </c>
    </row>
    <row r="47" spans="1:1" ht="15.75" customHeight="1" x14ac:dyDescent="0.3">
      <c r="A47" s="3" t="s">
        <v>22</v>
      </c>
    </row>
    <row r="48" spans="1:1" ht="15.75" customHeight="1" x14ac:dyDescent="0.3">
      <c r="A48" s="4" t="s">
        <v>23</v>
      </c>
    </row>
    <row r="49" spans="1:2" ht="15.75" customHeight="1" x14ac:dyDescent="0.3">
      <c r="B49" s="4" t="s">
        <v>24</v>
      </c>
    </row>
    <row r="50" spans="1:2" ht="15.75" customHeight="1" x14ac:dyDescent="0.3"/>
    <row r="51" spans="1:2" ht="15.75" customHeight="1" x14ac:dyDescent="0.3"/>
    <row r="52" spans="1:2" ht="15.75" customHeight="1" x14ac:dyDescent="0.3"/>
    <row r="53" spans="1:2" ht="15.75" customHeight="1" x14ac:dyDescent="0.3"/>
    <row r="54" spans="1:2" ht="15.75" customHeight="1" x14ac:dyDescent="0.3"/>
    <row r="55" spans="1:2" ht="15.75" customHeight="1" x14ac:dyDescent="0.3">
      <c r="A55" s="4" t="s">
        <v>25</v>
      </c>
    </row>
    <row r="56" spans="1:2" ht="15.75" customHeight="1" x14ac:dyDescent="0.3">
      <c r="B56" s="4" t="s">
        <v>26</v>
      </c>
    </row>
    <row r="65" spans="1:2" ht="15.75" customHeight="1" x14ac:dyDescent="0.3">
      <c r="A65" s="4" t="s">
        <v>27</v>
      </c>
    </row>
    <row r="66" spans="1:2" ht="15.75" customHeight="1" x14ac:dyDescent="0.3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27" sqref="G27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111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x14ac:dyDescent="0.3">
      <c r="B5" s="20" t="s">
        <v>49</v>
      </c>
      <c r="C5" s="11"/>
      <c r="D5" s="131" t="s">
        <v>50</v>
      </c>
      <c r="E5" s="132"/>
      <c r="F5" s="133"/>
      <c r="G5" s="134" t="s">
        <v>110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111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x14ac:dyDescent="0.3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302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s="226" t="s">
        <v>112</v>
      </c>
      <c r="C19" s="230" t="s">
        <v>126</v>
      </c>
      <c r="D19" s="87"/>
      <c r="E19" s="88"/>
      <c r="F19" s="233">
        <v>2</v>
      </c>
      <c r="G19" t="s">
        <v>140</v>
      </c>
      <c r="H19" s="236" t="s">
        <v>154</v>
      </c>
      <c r="I19" s="237" t="s">
        <v>168</v>
      </c>
      <c r="J19" s="92"/>
      <c r="K19">
        <v>2</v>
      </c>
      <c r="L19" s="90" t="s">
        <v>182</v>
      </c>
      <c r="M19" s="90" t="s">
        <v>196</v>
      </c>
      <c r="N19" s="93"/>
      <c r="O19" s="94"/>
      <c r="P19" s="86"/>
      <c r="Q19" s="95"/>
      <c r="R19" s="95"/>
      <c r="S19" t="s">
        <v>210</v>
      </c>
      <c r="T19" t="s">
        <v>224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s="227" t="s">
        <v>113</v>
      </c>
      <c r="C20" s="231" t="s">
        <v>127</v>
      </c>
      <c r="D20" s="87"/>
      <c r="E20" s="101"/>
      <c r="F20" s="234">
        <v>18</v>
      </c>
      <c r="G20" t="s">
        <v>141</v>
      </c>
      <c r="H20" s="238" t="s">
        <v>155</v>
      </c>
      <c r="I20" s="239" t="s">
        <v>169</v>
      </c>
      <c r="J20" s="106"/>
      <c r="K20">
        <v>18</v>
      </c>
      <c r="L20" s="104" t="s">
        <v>183</v>
      </c>
      <c r="M20" s="104" t="s">
        <v>197</v>
      </c>
      <c r="N20" s="108"/>
      <c r="O20" s="94"/>
      <c r="P20" s="99"/>
      <c r="Q20" s="103"/>
      <c r="R20" s="109"/>
      <c r="S20" t="s">
        <v>211</v>
      </c>
      <c r="T20" t="s">
        <v>225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s="228" t="s">
        <v>114</v>
      </c>
      <c r="C21" s="232" t="s">
        <v>128</v>
      </c>
      <c r="D21" s="87"/>
      <c r="E21" s="88"/>
      <c r="F21" s="235">
        <v>54</v>
      </c>
      <c r="G21" t="s">
        <v>142</v>
      </c>
      <c r="H21" s="236" t="s">
        <v>156</v>
      </c>
      <c r="I21" s="237" t="s">
        <v>170</v>
      </c>
      <c r="J21" s="106"/>
      <c r="K21">
        <v>54</v>
      </c>
      <c r="L21" s="90" t="s">
        <v>184</v>
      </c>
      <c r="M21" s="90" t="s">
        <v>198</v>
      </c>
      <c r="N21" s="115"/>
      <c r="O21" s="94"/>
      <c r="P21" s="116"/>
      <c r="Q21" s="95"/>
      <c r="R21" s="95"/>
      <c r="S21" t="s">
        <v>212</v>
      </c>
      <c r="T21" t="s">
        <v>226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s="227" t="s">
        <v>115</v>
      </c>
      <c r="C22" s="231" t="s">
        <v>129</v>
      </c>
      <c r="D22" s="87"/>
      <c r="E22" s="101"/>
      <c r="F22" s="234">
        <v>54</v>
      </c>
      <c r="G22" t="s">
        <v>143</v>
      </c>
      <c r="H22" s="238" t="s">
        <v>157</v>
      </c>
      <c r="I22" s="239" t="s">
        <v>171</v>
      </c>
      <c r="J22" s="106"/>
      <c r="K22">
        <v>54</v>
      </c>
      <c r="L22" s="104" t="s">
        <v>185</v>
      </c>
      <c r="M22" s="104" t="s">
        <v>199</v>
      </c>
      <c r="N22" s="108"/>
      <c r="O22" s="94"/>
      <c r="P22" s="99"/>
      <c r="Q22" s="103"/>
      <c r="R22" s="109"/>
      <c r="S22" t="s">
        <v>213</v>
      </c>
      <c r="T22" t="s">
        <v>227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s="226" t="s">
        <v>116</v>
      </c>
      <c r="C23" s="232" t="s">
        <v>130</v>
      </c>
      <c r="D23" s="87"/>
      <c r="E23" s="88"/>
      <c r="F23" s="235">
        <v>2</v>
      </c>
      <c r="G23" t="s">
        <v>144</v>
      </c>
      <c r="H23" s="236" t="s">
        <v>158</v>
      </c>
      <c r="I23" s="237" t="s">
        <v>172</v>
      </c>
      <c r="J23" s="106"/>
      <c r="K23">
        <v>2</v>
      </c>
      <c r="L23" s="90" t="s">
        <v>186</v>
      </c>
      <c r="M23" s="90" t="s">
        <v>200</v>
      </c>
      <c r="N23" s="115"/>
      <c r="O23" s="94"/>
      <c r="P23" s="116"/>
      <c r="Q23" s="95"/>
      <c r="R23" s="95"/>
      <c r="S23" t="s">
        <v>214</v>
      </c>
      <c r="T23" t="s">
        <v>228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s="227" t="s">
        <v>117</v>
      </c>
      <c r="C24" s="231" t="s">
        <v>131</v>
      </c>
      <c r="D24" s="87"/>
      <c r="E24" s="101"/>
      <c r="F24" s="234">
        <v>4</v>
      </c>
      <c r="G24" t="s">
        <v>145</v>
      </c>
      <c r="H24" s="238" t="s">
        <v>159</v>
      </c>
      <c r="I24" s="239" t="s">
        <v>173</v>
      </c>
      <c r="J24" s="106"/>
      <c r="K24">
        <v>4</v>
      </c>
      <c r="L24" s="104" t="s">
        <v>187</v>
      </c>
      <c r="M24" s="104" t="s">
        <v>201</v>
      </c>
      <c r="N24" s="108"/>
      <c r="O24" s="94"/>
      <c r="P24" s="99"/>
      <c r="Q24" s="103"/>
      <c r="R24" s="109"/>
      <c r="S24" t="s">
        <v>215</v>
      </c>
      <c r="T24" t="s">
        <v>229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s="226" t="s">
        <v>118</v>
      </c>
      <c r="C25" s="232" t="s">
        <v>132</v>
      </c>
      <c r="D25" s="87"/>
      <c r="E25" s="88"/>
      <c r="F25" s="235">
        <v>4</v>
      </c>
      <c r="G25" t="s">
        <v>146</v>
      </c>
      <c r="H25" s="236" t="s">
        <v>160</v>
      </c>
      <c r="I25" s="237" t="s">
        <v>174</v>
      </c>
      <c r="J25" s="106"/>
      <c r="K25">
        <v>4</v>
      </c>
      <c r="L25" s="90" t="s">
        <v>188</v>
      </c>
      <c r="M25" s="90" t="s">
        <v>202</v>
      </c>
      <c r="N25" s="115"/>
      <c r="O25" s="94"/>
      <c r="P25" s="116"/>
      <c r="Q25" s="95"/>
      <c r="R25" s="95"/>
      <c r="S25" t="s">
        <v>216</v>
      </c>
      <c r="T25" t="s">
        <v>230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s="229" t="s">
        <v>119</v>
      </c>
      <c r="C26" s="231" t="s">
        <v>133</v>
      </c>
      <c r="D26" s="87"/>
      <c r="E26" s="101"/>
      <c r="F26" s="234">
        <v>4</v>
      </c>
      <c r="G26" t="s">
        <v>147</v>
      </c>
      <c r="H26" s="238" t="s">
        <v>161</v>
      </c>
      <c r="I26" s="239" t="s">
        <v>175</v>
      </c>
      <c r="J26" s="106"/>
      <c r="K26">
        <v>4</v>
      </c>
      <c r="L26" s="104" t="s">
        <v>189</v>
      </c>
      <c r="M26" s="104" t="s">
        <v>203</v>
      </c>
      <c r="N26" s="108"/>
      <c r="O26" s="94"/>
      <c r="P26" s="99"/>
      <c r="Q26" s="103"/>
      <c r="R26" s="109"/>
      <c r="S26" t="s">
        <v>217</v>
      </c>
      <c r="T26" t="s">
        <v>231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s="226" t="s">
        <v>120</v>
      </c>
      <c r="C27" s="232" t="s">
        <v>134</v>
      </c>
      <c r="D27" s="87"/>
      <c r="E27" s="88"/>
      <c r="F27" s="235">
        <v>8</v>
      </c>
      <c r="G27" t="s">
        <v>148</v>
      </c>
      <c r="H27" s="236" t="s">
        <v>162</v>
      </c>
      <c r="I27" s="237" t="s">
        <v>176</v>
      </c>
      <c r="J27" s="106"/>
      <c r="K27">
        <v>8</v>
      </c>
      <c r="L27" s="90" t="s">
        <v>190</v>
      </c>
      <c r="M27" s="90" t="s">
        <v>204</v>
      </c>
      <c r="N27" s="115"/>
      <c r="O27" s="94"/>
      <c r="P27" s="116"/>
      <c r="Q27" s="95"/>
      <c r="R27" s="95"/>
      <c r="S27" t="s">
        <v>218</v>
      </c>
      <c r="T27" t="s">
        <v>232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s="229" t="s">
        <v>121</v>
      </c>
      <c r="C28" s="231" t="s">
        <v>135</v>
      </c>
      <c r="D28" s="87"/>
      <c r="E28" s="101"/>
      <c r="F28" s="234">
        <v>8</v>
      </c>
      <c r="G28" t="s">
        <v>149</v>
      </c>
      <c r="H28" s="238" t="s">
        <v>163</v>
      </c>
      <c r="I28" s="239" t="s">
        <v>177</v>
      </c>
      <c r="J28" s="106"/>
      <c r="K28">
        <v>8</v>
      </c>
      <c r="L28" s="104" t="s">
        <v>191</v>
      </c>
      <c r="M28" s="104" t="s">
        <v>205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s="226" t="s">
        <v>122</v>
      </c>
      <c r="C29" s="232" t="s">
        <v>136</v>
      </c>
      <c r="D29" s="87"/>
      <c r="E29" s="88"/>
      <c r="F29" s="235">
        <v>4</v>
      </c>
      <c r="G29" t="s">
        <v>150</v>
      </c>
      <c r="H29" s="236" t="s">
        <v>164</v>
      </c>
      <c r="I29" s="237" t="s">
        <v>178</v>
      </c>
      <c r="J29" s="106"/>
      <c r="K29">
        <v>4</v>
      </c>
      <c r="L29" s="90" t="s">
        <v>192</v>
      </c>
      <c r="M29" s="90" t="s">
        <v>206</v>
      </c>
      <c r="N29" s="115"/>
      <c r="O29" s="94"/>
      <c r="P29" s="116"/>
      <c r="Q29" s="95"/>
      <c r="R29" s="95"/>
      <c r="S29" t="s">
        <v>220</v>
      </c>
      <c r="T29" t="s">
        <v>234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s="229" t="s">
        <v>123</v>
      </c>
      <c r="C30" s="231" t="s">
        <v>137</v>
      </c>
      <c r="D30" s="87"/>
      <c r="E30" s="101"/>
      <c r="F30" s="234">
        <v>12</v>
      </c>
      <c r="G30" t="s">
        <v>151</v>
      </c>
      <c r="H30" s="238" t="s">
        <v>165</v>
      </c>
      <c r="I30" s="239" t="s">
        <v>179</v>
      </c>
      <c r="J30" s="106"/>
      <c r="K30">
        <v>12</v>
      </c>
      <c r="L30" s="104" t="s">
        <v>193</v>
      </c>
      <c r="M30" s="104" t="s">
        <v>207</v>
      </c>
      <c r="N30" s="108"/>
      <c r="O30" s="94"/>
      <c r="P30" s="99"/>
      <c r="Q30" s="103"/>
      <c r="R30" s="109"/>
      <c r="S30" t="s">
        <v>221</v>
      </c>
      <c r="T30" t="s">
        <v>235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s="226" t="s">
        <v>124</v>
      </c>
      <c r="C31" s="232" t="s">
        <v>138</v>
      </c>
      <c r="D31" s="87"/>
      <c r="E31" s="88"/>
      <c r="F31" s="235">
        <v>64</v>
      </c>
      <c r="G31" t="s">
        <v>152</v>
      </c>
      <c r="H31" s="236" t="s">
        <v>166</v>
      </c>
      <c r="I31" s="237" t="s">
        <v>180</v>
      </c>
      <c r="J31" s="106"/>
      <c r="K31">
        <v>64</v>
      </c>
      <c r="L31" s="90" t="s">
        <v>194</v>
      </c>
      <c r="M31" s="90" t="s">
        <v>208</v>
      </c>
      <c r="N31" s="115"/>
      <c r="O31" s="94"/>
      <c r="P31" s="116"/>
      <c r="Q31" s="95"/>
      <c r="R31" s="95"/>
      <c r="S31" t="s">
        <v>222</v>
      </c>
      <c r="T31" t="s">
        <v>236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 t="s">
        <v>125</v>
      </c>
      <c r="C32" s="231" t="s">
        <v>139</v>
      </c>
      <c r="D32" s="87"/>
      <c r="E32" s="101"/>
      <c r="F32" s="234">
        <v>64</v>
      </c>
      <c r="G32" t="s">
        <v>153</v>
      </c>
      <c r="H32" s="238" t="s">
        <v>167</v>
      </c>
      <c r="I32" s="239" t="s">
        <v>181</v>
      </c>
      <c r="J32" s="106"/>
      <c r="K32">
        <v>64</v>
      </c>
      <c r="L32" s="104" t="s">
        <v>195</v>
      </c>
      <c r="M32" s="104" t="s">
        <v>209</v>
      </c>
      <c r="N32" s="108"/>
      <c r="O32" s="94"/>
      <c r="P32" s="99"/>
      <c r="Q32" s="103"/>
      <c r="R32" s="109"/>
      <c r="S32" t="s">
        <v>223</v>
      </c>
      <c r="T32" t="s">
        <v>237</v>
      </c>
      <c r="U32" s="240">
        <v>0</v>
      </c>
      <c r="V32" s="240">
        <v>1</v>
      </c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302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302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83" priority="1" stopIfTrue="1">
      <formula>$U$9&gt;100%</formula>
    </cfRule>
    <cfRule type="expression" dxfId="82" priority="2">
      <formula>$U$9&lt;50%</formula>
    </cfRule>
  </conditionalFormatting>
  <conditionalFormatting sqref="V9:V11">
    <cfRule type="expression" dxfId="81" priority="3">
      <formula>$V$9&lt;50%</formula>
    </cfRule>
    <cfRule type="expression" dxfId="80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58FA-2599-4F98-B563-4547AE2427F4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2" sqref="G2:H2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70180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70180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9" priority="1" stopIfTrue="1">
      <formula>$U$9&gt;100%</formula>
    </cfRule>
    <cfRule type="expression" dxfId="78" priority="2">
      <formula>$U$9&lt;50%</formula>
    </cfRule>
  </conditionalFormatting>
  <conditionalFormatting sqref="V9:V11">
    <cfRule type="expression" dxfId="77" priority="3">
      <formula>$V$9&lt;50%</formula>
    </cfRule>
    <cfRule type="expression" dxfId="76" priority="4">
      <formula>$V$9&gt;50%</formula>
    </cfRule>
  </conditionalFormatting>
  <dataValidations count="4">
    <dataValidation type="list" allowBlank="1" showErrorMessage="1" sqref="Q15 G18 L18 Q18" xr:uid="{8A58952C-DA99-4610-91A3-2687C74B951C}">
      <formula1>$Y$12:$Y$13</formula1>
    </dataValidation>
    <dataValidation type="list" allowBlank="1" showErrorMessage="1" sqref="J14" xr:uid="{6E31E949-EEEC-4D82-B354-E150514CC91E}">
      <formula1>$L$9</formula1>
    </dataValidation>
    <dataValidation type="list" allowBlank="1" showErrorMessage="1" sqref="I14" xr:uid="{76CF35B9-09F2-4079-AD65-0A2E0FBF1CA6}">
      <formula1>$Y$14:$Y$15</formula1>
    </dataValidation>
    <dataValidation type="list" allowBlank="1" showErrorMessage="1" sqref="E19:E49" xr:uid="{A1BA0BA1-FD4D-4BD2-89AD-0E2FFACA150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5149-6631-4D72-8931-3C437350872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2" sqref="G2:H2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70181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70181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5" priority="1" stopIfTrue="1">
      <formula>$U$9&gt;100%</formula>
    </cfRule>
    <cfRule type="expression" dxfId="74" priority="2">
      <formula>$U$9&lt;50%</formula>
    </cfRule>
  </conditionalFormatting>
  <conditionalFormatting sqref="V9:V11">
    <cfRule type="expression" dxfId="73" priority="3">
      <formula>$V$9&lt;50%</formula>
    </cfRule>
    <cfRule type="expression" dxfId="72" priority="4">
      <formula>$V$9&gt;50%</formula>
    </cfRule>
  </conditionalFormatting>
  <dataValidations count="4">
    <dataValidation type="list" allowBlank="1" showErrorMessage="1" sqref="E19:E49" xr:uid="{364F8132-9290-454A-845B-490408939856}">
      <formula1>$Z$19:$Z$30</formula1>
    </dataValidation>
    <dataValidation type="list" allowBlank="1" showErrorMessage="1" sqref="I14" xr:uid="{1276E096-F655-4DF2-A093-9E55262720D3}">
      <formula1>$Y$14:$Y$15</formula1>
    </dataValidation>
    <dataValidation type="list" allowBlank="1" showErrorMessage="1" sqref="J14" xr:uid="{B3C864EC-C5A9-4784-B80B-5521408054C9}">
      <formula1>$L$9</formula1>
    </dataValidation>
    <dataValidation type="list" allowBlank="1" showErrorMessage="1" sqref="Q15 G18 L18 Q18" xr:uid="{06C43178-D913-4C09-9246-DC65A662E19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33C7-7F80-4C6A-AB2F-05ADBB5B3AE5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U19" sqref="U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70673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70673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1" priority="1" stopIfTrue="1">
      <formula>$U$9&gt;100%</formula>
    </cfRule>
    <cfRule type="expression" dxfId="70" priority="2">
      <formula>$U$9&lt;50%</formula>
    </cfRule>
  </conditionalFormatting>
  <conditionalFormatting sqref="V9:V11">
    <cfRule type="expression" dxfId="69" priority="3">
      <formula>$V$9&lt;50%</formula>
    </cfRule>
    <cfRule type="expression" dxfId="68" priority="4">
      <formula>$V$9&gt;50%</formula>
    </cfRule>
  </conditionalFormatting>
  <dataValidations count="4">
    <dataValidation type="list" allowBlank="1" showErrorMessage="1" sqref="Q15 G18 L18 Q18" xr:uid="{245A2073-44F4-48DA-A62F-08B194BE5E43}">
      <formula1>$Y$12:$Y$13</formula1>
    </dataValidation>
    <dataValidation type="list" allowBlank="1" showErrorMessage="1" sqref="J14" xr:uid="{E7FC2B35-758F-4479-BFB5-48FB18C371A0}">
      <formula1>$L$9</formula1>
    </dataValidation>
    <dataValidation type="list" allowBlank="1" showErrorMessage="1" sqref="I14" xr:uid="{C7E8F30E-9D50-457C-9EB3-74FFA1EFEDE7}">
      <formula1>$Y$14:$Y$15</formula1>
    </dataValidation>
    <dataValidation type="list" allowBlank="1" showErrorMessage="1" sqref="E19:E49" xr:uid="{3496F62A-5318-4608-BF9F-8174B46806F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B396-A38C-4992-B586-565F06146BA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U19" sqref="U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70685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70685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67" priority="1" stopIfTrue="1">
      <formula>$U$9&gt;100%</formula>
    </cfRule>
    <cfRule type="expression" dxfId="66" priority="2">
      <formula>$U$9&lt;50%</formula>
    </cfRule>
  </conditionalFormatting>
  <conditionalFormatting sqref="V9:V11">
    <cfRule type="expression" dxfId="65" priority="3">
      <formula>$V$9&lt;50%</formula>
    </cfRule>
    <cfRule type="expression" dxfId="64" priority="4">
      <formula>$V$9&gt;50%</formula>
    </cfRule>
  </conditionalFormatting>
  <dataValidations count="4">
    <dataValidation type="list" allowBlank="1" showErrorMessage="1" sqref="E19:E49" xr:uid="{D906F30B-D04A-415C-B584-352E0E114C58}">
      <formula1>$Z$19:$Z$30</formula1>
    </dataValidation>
    <dataValidation type="list" allowBlank="1" showErrorMessage="1" sqref="I14" xr:uid="{7D4D8ECC-C552-4C2B-B773-3C9975DB9E2A}">
      <formula1>$Y$14:$Y$15</formula1>
    </dataValidation>
    <dataValidation type="list" allowBlank="1" showErrorMessage="1" sqref="J14" xr:uid="{8F43D359-7C8C-43E5-8FC7-0C4149D37E9D}">
      <formula1>$L$9</formula1>
    </dataValidation>
    <dataValidation type="list" allowBlank="1" showErrorMessage="1" sqref="Q15 G18 L18 Q18" xr:uid="{5006B853-E221-4C7C-A429-8FFE79B30B5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EDE3-6D03-4C10-8BB6-5C7C403C983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U19" sqref="U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70689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70689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63" priority="1" stopIfTrue="1">
      <formula>$U$9&gt;100%</formula>
    </cfRule>
    <cfRule type="expression" dxfId="62" priority="2">
      <formula>$U$9&lt;50%</formula>
    </cfRule>
  </conditionalFormatting>
  <conditionalFormatting sqref="V9:V11">
    <cfRule type="expression" dxfId="61" priority="3">
      <formula>$V$9&lt;50%</formula>
    </cfRule>
    <cfRule type="expression" dxfId="60" priority="4">
      <formula>$V$9&gt;50%</formula>
    </cfRule>
  </conditionalFormatting>
  <dataValidations count="4">
    <dataValidation type="list" allowBlank="1" showErrorMessage="1" sqref="Q15 G18 L18 Q18" xr:uid="{90C1747F-47FB-4045-936F-415A54C91CE4}">
      <formula1>$Y$12:$Y$13</formula1>
    </dataValidation>
    <dataValidation type="list" allowBlank="1" showErrorMessage="1" sqref="J14" xr:uid="{B74F849D-4BA5-40EF-8554-9CED72713125}">
      <formula1>$L$9</formula1>
    </dataValidation>
    <dataValidation type="list" allowBlank="1" showErrorMessage="1" sqref="I14" xr:uid="{5DF42C7B-1DDF-4124-9229-452F00ED0B30}">
      <formula1>$Y$14:$Y$15</formula1>
    </dataValidation>
    <dataValidation type="list" allowBlank="1" showErrorMessage="1" sqref="E19:E49" xr:uid="{D1A30F12-84C3-4B05-8261-467AA0DE0083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2335-ED00-48FD-A3D7-01FB290C2E8B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U19" sqref="U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71422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71422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E19:E49" xr:uid="{1330D693-5FF1-47CB-AA68-37A3C86F8CB2}">
      <formula1>$Z$19:$Z$30</formula1>
    </dataValidation>
    <dataValidation type="list" allowBlank="1" showErrorMessage="1" sqref="I14" xr:uid="{0D06F38A-7A24-4912-B7A7-4230565052DD}">
      <formula1>$Y$14:$Y$15</formula1>
    </dataValidation>
    <dataValidation type="list" allowBlank="1" showErrorMessage="1" sqref="J14" xr:uid="{13588410-B0D7-4235-8169-AED10AD09A65}">
      <formula1>$L$9</formula1>
    </dataValidation>
    <dataValidation type="list" allowBlank="1" showErrorMessage="1" sqref="Q15 G18 L18 Q18" xr:uid="{74A6151C-F6C5-4356-A82E-388C69317F5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F8B-DECE-4AEB-B6CC-12109F538E6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U19" sqref="U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>
        <v>71426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239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>
        <v>71426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238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384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240</v>
      </c>
      <c r="C19" t="s">
        <v>241</v>
      </c>
      <c r="D19" s="87"/>
      <c r="E19" s="88"/>
      <c r="F19">
        <v>90</v>
      </c>
      <c r="G19" t="s">
        <v>256</v>
      </c>
      <c r="H19" t="s">
        <v>267</v>
      </c>
      <c r="I19" t="s">
        <v>280</v>
      </c>
      <c r="J19" s="92"/>
      <c r="K19">
        <v>90</v>
      </c>
      <c r="L19" t="s">
        <v>293</v>
      </c>
      <c r="M19" t="s">
        <v>306</v>
      </c>
      <c r="N19" s="93"/>
      <c r="O19" s="94"/>
      <c r="P19" s="86"/>
      <c r="Q19" s="95"/>
      <c r="R19" s="95"/>
      <c r="S19" t="s">
        <v>318</v>
      </c>
      <c r="T19" t="s">
        <v>329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242</v>
      </c>
      <c r="C20" t="s">
        <v>133</v>
      </c>
      <c r="D20" s="87"/>
      <c r="E20" s="101"/>
      <c r="F20">
        <v>4</v>
      </c>
      <c r="G20" t="s">
        <v>257</v>
      </c>
      <c r="H20" t="s">
        <v>268</v>
      </c>
      <c r="I20" t="s">
        <v>281</v>
      </c>
      <c r="J20" s="106"/>
      <c r="K20">
        <v>4</v>
      </c>
      <c r="L20" t="s">
        <v>294</v>
      </c>
      <c r="M20" t="s">
        <v>307</v>
      </c>
      <c r="N20" s="108"/>
      <c r="O20" s="94"/>
      <c r="P20" s="99"/>
      <c r="Q20" s="103"/>
      <c r="R20" s="109"/>
      <c r="S20" t="s">
        <v>319</v>
      </c>
      <c r="T20" t="s">
        <v>330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120</v>
      </c>
      <c r="C21" t="s">
        <v>134</v>
      </c>
      <c r="D21" s="87"/>
      <c r="E21" s="88"/>
      <c r="F21">
        <v>8</v>
      </c>
      <c r="G21" t="s">
        <v>148</v>
      </c>
      <c r="H21" t="s">
        <v>269</v>
      </c>
      <c r="I21" t="s">
        <v>282</v>
      </c>
      <c r="J21" s="106"/>
      <c r="K21">
        <v>8</v>
      </c>
      <c r="L21" t="s">
        <v>295</v>
      </c>
      <c r="M21" t="s">
        <v>308</v>
      </c>
      <c r="N21" s="115"/>
      <c r="O21" s="94"/>
      <c r="P21" s="116"/>
      <c r="Q21" s="95"/>
      <c r="R21" s="95"/>
      <c r="S21" t="s">
        <v>218</v>
      </c>
      <c r="T21" t="s">
        <v>232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121</v>
      </c>
      <c r="C22" t="s">
        <v>135</v>
      </c>
      <c r="D22" s="87"/>
      <c r="E22" s="101"/>
      <c r="F22">
        <v>8</v>
      </c>
      <c r="G22" t="s">
        <v>149</v>
      </c>
      <c r="H22" t="s">
        <v>270</v>
      </c>
      <c r="I22" t="s">
        <v>283</v>
      </c>
      <c r="J22" s="106"/>
      <c r="K22">
        <v>8</v>
      </c>
      <c r="L22" t="s">
        <v>296</v>
      </c>
      <c r="M22" t="s">
        <v>229</v>
      </c>
      <c r="N22" s="108"/>
      <c r="O22" s="94"/>
      <c r="P22" s="99"/>
      <c r="Q22" s="103"/>
      <c r="R22" s="109"/>
      <c r="S22" t="s">
        <v>219</v>
      </c>
      <c r="T22" t="s">
        <v>233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243</v>
      </c>
      <c r="C23" t="s">
        <v>137</v>
      </c>
      <c r="D23" s="87"/>
      <c r="E23" s="88"/>
      <c r="F23">
        <v>12</v>
      </c>
      <c r="G23" t="s">
        <v>258</v>
      </c>
      <c r="H23" t="s">
        <v>271</v>
      </c>
      <c r="I23" t="s">
        <v>284</v>
      </c>
      <c r="J23" s="106"/>
      <c r="K23">
        <v>12</v>
      </c>
      <c r="L23" t="s">
        <v>297</v>
      </c>
      <c r="M23" t="s">
        <v>309</v>
      </c>
      <c r="N23" s="115"/>
      <c r="O23" s="94"/>
      <c r="P23" s="116"/>
      <c r="Q23" s="95"/>
      <c r="R23" s="95"/>
      <c r="S23" t="s">
        <v>320</v>
      </c>
      <c r="T23" t="s">
        <v>331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244</v>
      </c>
      <c r="C24" t="s">
        <v>136</v>
      </c>
      <c r="D24" s="87"/>
      <c r="E24" s="101"/>
      <c r="F24">
        <v>4</v>
      </c>
      <c r="G24" t="s">
        <v>259</v>
      </c>
      <c r="H24" t="s">
        <v>272</v>
      </c>
      <c r="I24" t="s">
        <v>285</v>
      </c>
      <c r="J24" s="106"/>
      <c r="K24">
        <v>4</v>
      </c>
      <c r="L24" t="s">
        <v>298</v>
      </c>
      <c r="M24" t="s">
        <v>310</v>
      </c>
      <c r="N24" s="108"/>
      <c r="O24" s="94"/>
      <c r="P24" s="99"/>
      <c r="Q24" s="103"/>
      <c r="R24" s="109"/>
      <c r="S24" t="s">
        <v>321</v>
      </c>
      <c r="T24" t="s">
        <v>332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245</v>
      </c>
      <c r="C25" t="s">
        <v>138</v>
      </c>
      <c r="D25" s="87"/>
      <c r="E25" s="88"/>
      <c r="F25">
        <v>64</v>
      </c>
      <c r="G25" t="s">
        <v>260</v>
      </c>
      <c r="H25" t="s">
        <v>273</v>
      </c>
      <c r="I25" t="s">
        <v>286</v>
      </c>
      <c r="J25" s="106"/>
      <c r="K25">
        <v>64</v>
      </c>
      <c r="L25" t="s">
        <v>299</v>
      </c>
      <c r="M25" t="s">
        <v>311</v>
      </c>
      <c r="N25" s="115"/>
      <c r="O25" s="94"/>
      <c r="P25" s="116"/>
      <c r="Q25" s="95"/>
      <c r="R25" s="95"/>
      <c r="S25" t="s">
        <v>322</v>
      </c>
      <c r="T25" t="s">
        <v>333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246</v>
      </c>
      <c r="C26" t="s">
        <v>139</v>
      </c>
      <c r="D26" s="87"/>
      <c r="E26" s="101"/>
      <c r="F26">
        <v>64</v>
      </c>
      <c r="G26" t="s">
        <v>261</v>
      </c>
      <c r="H26" t="s">
        <v>274</v>
      </c>
      <c r="I26" t="s">
        <v>287</v>
      </c>
      <c r="J26" s="106"/>
      <c r="K26">
        <v>64</v>
      </c>
      <c r="L26" t="s">
        <v>300</v>
      </c>
      <c r="M26" t="s">
        <v>312</v>
      </c>
      <c r="N26" s="108"/>
      <c r="O26" s="94"/>
      <c r="P26" s="99"/>
      <c r="Q26" s="103"/>
      <c r="R26" s="109"/>
      <c r="S26" t="s">
        <v>323</v>
      </c>
      <c r="T26" t="s">
        <v>334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247</v>
      </c>
      <c r="C27" t="s">
        <v>248</v>
      </c>
      <c r="D27" s="87"/>
      <c r="E27" s="88"/>
      <c r="F27">
        <v>2</v>
      </c>
      <c r="G27" t="s">
        <v>262</v>
      </c>
      <c r="H27" t="s">
        <v>275</v>
      </c>
      <c r="I27" t="s">
        <v>288</v>
      </c>
      <c r="J27" s="106"/>
      <c r="K27">
        <v>2</v>
      </c>
      <c r="L27" t="s">
        <v>301</v>
      </c>
      <c r="M27" t="s">
        <v>313</v>
      </c>
      <c r="N27" s="115"/>
      <c r="O27" s="94"/>
      <c r="P27" s="116"/>
      <c r="Q27" s="95"/>
      <c r="R27" s="95"/>
      <c r="S27" t="s">
        <v>324</v>
      </c>
      <c r="T27" t="s">
        <v>335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249</v>
      </c>
      <c r="C28" t="s">
        <v>250</v>
      </c>
      <c r="D28" s="87"/>
      <c r="E28" s="101"/>
      <c r="F28">
        <v>18</v>
      </c>
      <c r="G28" t="s">
        <v>263</v>
      </c>
      <c r="H28" t="s">
        <v>276</v>
      </c>
      <c r="I28" t="s">
        <v>289</v>
      </c>
      <c r="J28" s="106"/>
      <c r="K28">
        <v>18</v>
      </c>
      <c r="L28" t="s">
        <v>302</v>
      </c>
      <c r="M28" t="s">
        <v>314</v>
      </c>
      <c r="N28" s="108"/>
      <c r="O28" s="94"/>
      <c r="P28" s="99"/>
      <c r="Q28" s="103"/>
      <c r="R28" s="109"/>
      <c r="S28" t="s">
        <v>325</v>
      </c>
      <c r="T28" t="s">
        <v>336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251</v>
      </c>
      <c r="C29" t="s">
        <v>252</v>
      </c>
      <c r="D29" s="87"/>
      <c r="E29" s="88"/>
      <c r="F29">
        <v>54</v>
      </c>
      <c r="G29" t="s">
        <v>264</v>
      </c>
      <c r="H29" t="s">
        <v>277</v>
      </c>
      <c r="I29" t="s">
        <v>290</v>
      </c>
      <c r="J29" s="106"/>
      <c r="K29">
        <v>54</v>
      </c>
      <c r="L29" t="s">
        <v>303</v>
      </c>
      <c r="M29" t="s">
        <v>315</v>
      </c>
      <c r="N29" s="115"/>
      <c r="O29" s="94"/>
      <c r="P29" s="116"/>
      <c r="Q29" s="95"/>
      <c r="R29" s="95"/>
      <c r="S29" t="s">
        <v>326</v>
      </c>
      <c r="T29" t="s">
        <v>337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253</v>
      </c>
      <c r="C30" t="s">
        <v>129</v>
      </c>
      <c r="D30" s="87"/>
      <c r="E30" s="101"/>
      <c r="F30">
        <v>54</v>
      </c>
      <c r="G30" t="s">
        <v>265</v>
      </c>
      <c r="H30" t="s">
        <v>278</v>
      </c>
      <c r="I30" t="s">
        <v>291</v>
      </c>
      <c r="J30" s="106"/>
      <c r="K30">
        <v>54</v>
      </c>
      <c r="L30" t="s">
        <v>304</v>
      </c>
      <c r="M30" t="s">
        <v>316</v>
      </c>
      <c r="N30" s="108"/>
      <c r="O30" s="94"/>
      <c r="P30" s="99"/>
      <c r="Q30" s="103"/>
      <c r="R30" s="109"/>
      <c r="S30" t="s">
        <v>327</v>
      </c>
      <c r="T30" t="s">
        <v>338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254</v>
      </c>
      <c r="C31" t="s">
        <v>255</v>
      </c>
      <c r="D31" s="87"/>
      <c r="E31" s="88"/>
      <c r="F31">
        <v>2</v>
      </c>
      <c r="G31" t="s">
        <v>266</v>
      </c>
      <c r="H31" t="s">
        <v>279</v>
      </c>
      <c r="I31" t="s">
        <v>292</v>
      </c>
      <c r="J31" s="106"/>
      <c r="K31">
        <v>2</v>
      </c>
      <c r="L31" t="s">
        <v>305</v>
      </c>
      <c r="M31" t="s">
        <v>317</v>
      </c>
      <c r="N31" s="115"/>
      <c r="O31" s="94"/>
      <c r="P31" s="116"/>
      <c r="Q31" s="95"/>
      <c r="R31" s="95"/>
      <c r="S31" t="s">
        <v>328</v>
      </c>
      <c r="T31" t="s">
        <v>339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Q15 G18 L18 Q18" xr:uid="{2265D6E6-99F5-4ACC-9854-FFF931395168}">
      <formula1>$Y$12:$Y$13</formula1>
    </dataValidation>
    <dataValidation type="list" allowBlank="1" showErrorMessage="1" sqref="J14" xr:uid="{46A026F5-7561-4997-9096-B1E8BD25769B}">
      <formula1>$L$9</formula1>
    </dataValidation>
    <dataValidation type="list" allowBlank="1" showErrorMessage="1" sqref="I14" xr:uid="{37A77E56-C2FE-4241-B2E8-EEC2AB4C2FD7}">
      <formula1>$Y$14:$Y$15</formula1>
    </dataValidation>
    <dataValidation type="list" allowBlank="1" showErrorMessage="1" sqref="E19:E49" xr:uid="{793A6ED4-2432-451A-8F19-E8ADC12ADA1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E2B4-5F2E-4578-8A35-6C5A03BC2863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6" sqref="G6:H6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341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341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226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342</v>
      </c>
      <c r="C19" t="s">
        <v>343</v>
      </c>
      <c r="D19" s="87"/>
      <c r="E19" s="88"/>
      <c r="F19">
        <v>2</v>
      </c>
      <c r="G19" t="s">
        <v>356</v>
      </c>
      <c r="H19" t="s">
        <v>365</v>
      </c>
      <c r="I19" t="s">
        <v>374</v>
      </c>
      <c r="J19" s="92"/>
      <c r="K19">
        <v>2</v>
      </c>
      <c r="L19" t="s">
        <v>385</v>
      </c>
      <c r="M19" t="s">
        <v>394</v>
      </c>
      <c r="N19" s="93"/>
      <c r="O19" s="94"/>
      <c r="P19" s="86"/>
      <c r="Q19" s="95"/>
      <c r="R19" s="95"/>
      <c r="S19" t="s">
        <v>405</v>
      </c>
      <c r="T19" t="s">
        <v>406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344</v>
      </c>
      <c r="C20" t="s">
        <v>345</v>
      </c>
      <c r="D20" s="87"/>
      <c r="E20" s="101"/>
      <c r="F20">
        <v>2</v>
      </c>
      <c r="G20" t="s">
        <v>357</v>
      </c>
      <c r="H20" t="s">
        <v>366</v>
      </c>
      <c r="I20" t="s">
        <v>375</v>
      </c>
      <c r="J20" s="106"/>
      <c r="K20">
        <v>2</v>
      </c>
      <c r="L20" t="s">
        <v>386</v>
      </c>
      <c r="M20" t="s">
        <v>395</v>
      </c>
      <c r="N20" s="108"/>
      <c r="O20" s="94"/>
      <c r="P20" s="99"/>
      <c r="Q20" s="103"/>
      <c r="R20" s="109"/>
      <c r="S20" t="s">
        <v>407</v>
      </c>
      <c r="T20" t="s">
        <v>408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48</v>
      </c>
      <c r="G21" t="s">
        <v>358</v>
      </c>
      <c r="H21" t="s">
        <v>367</v>
      </c>
      <c r="I21" t="s">
        <v>376</v>
      </c>
      <c r="J21" s="106"/>
      <c r="K21">
        <v>48</v>
      </c>
      <c r="L21" t="s">
        <v>387</v>
      </c>
      <c r="M21" t="s">
        <v>396</v>
      </c>
      <c r="N21" s="115"/>
      <c r="O21" s="94"/>
      <c r="P21" s="116"/>
      <c r="Q21" s="95"/>
      <c r="R21" s="95"/>
      <c r="S21" t="s">
        <v>409</v>
      </c>
      <c r="T21" t="s">
        <v>410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347</v>
      </c>
      <c r="C22" t="s">
        <v>248</v>
      </c>
      <c r="D22" s="87"/>
      <c r="E22" s="101"/>
      <c r="F22">
        <v>2</v>
      </c>
      <c r="G22" t="s">
        <v>359</v>
      </c>
      <c r="H22" t="s">
        <v>368</v>
      </c>
      <c r="I22" t="s">
        <v>377</v>
      </c>
      <c r="J22" s="106"/>
      <c r="K22">
        <v>2</v>
      </c>
      <c r="L22" t="s">
        <v>388</v>
      </c>
      <c r="M22" t="s">
        <v>397</v>
      </c>
      <c r="N22" s="108"/>
      <c r="O22" s="94"/>
      <c r="P22" s="99"/>
      <c r="Q22" s="103"/>
      <c r="R22" s="109"/>
      <c r="S22" t="s">
        <v>411</v>
      </c>
      <c r="T22" t="s">
        <v>412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348</v>
      </c>
      <c r="C23" t="s">
        <v>349</v>
      </c>
      <c r="D23" s="87"/>
      <c r="E23" s="88"/>
      <c r="F23">
        <v>4</v>
      </c>
      <c r="G23" t="s">
        <v>360</v>
      </c>
      <c r="H23" t="s">
        <v>369</v>
      </c>
      <c r="I23" t="s">
        <v>378</v>
      </c>
      <c r="J23" s="106"/>
      <c r="K23">
        <v>4</v>
      </c>
      <c r="L23" t="s">
        <v>389</v>
      </c>
      <c r="M23" t="s">
        <v>398</v>
      </c>
      <c r="N23" s="115"/>
      <c r="O23" s="94"/>
      <c r="P23" s="116"/>
      <c r="Q23" s="95"/>
      <c r="R23" s="95"/>
      <c r="S23" t="s">
        <v>413</v>
      </c>
      <c r="T23" t="s">
        <v>414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121</v>
      </c>
      <c r="C24" t="s">
        <v>132</v>
      </c>
      <c r="D24" s="87"/>
      <c r="E24" s="101"/>
      <c r="F24">
        <v>4</v>
      </c>
      <c r="G24" t="s">
        <v>149</v>
      </c>
      <c r="H24" t="s">
        <v>270</v>
      </c>
      <c r="I24" t="s">
        <v>379</v>
      </c>
      <c r="J24" s="106"/>
      <c r="K24">
        <v>4</v>
      </c>
      <c r="L24" t="s">
        <v>296</v>
      </c>
      <c r="M24" t="s">
        <v>399</v>
      </c>
      <c r="N24" s="108"/>
      <c r="O24" s="94"/>
      <c r="P24" s="99"/>
      <c r="Q24" s="103"/>
      <c r="R24" s="109"/>
      <c r="S24" t="s">
        <v>219</v>
      </c>
      <c r="T24" t="s">
        <v>415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350</v>
      </c>
      <c r="C25" t="s">
        <v>133</v>
      </c>
      <c r="D25" s="87"/>
      <c r="E25" s="88"/>
      <c r="F25">
        <v>4</v>
      </c>
      <c r="G25" t="s">
        <v>361</v>
      </c>
      <c r="H25" t="s">
        <v>370</v>
      </c>
      <c r="I25" t="s">
        <v>380</v>
      </c>
      <c r="J25" s="106"/>
      <c r="K25">
        <v>4</v>
      </c>
      <c r="L25" t="s">
        <v>390</v>
      </c>
      <c r="M25" t="s">
        <v>400</v>
      </c>
      <c r="N25" s="115"/>
      <c r="O25" s="94"/>
      <c r="P25" s="116"/>
      <c r="Q25" s="95"/>
      <c r="R25" s="95"/>
      <c r="S25" t="s">
        <v>416</v>
      </c>
      <c r="T25" t="s">
        <v>417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351</v>
      </c>
      <c r="C26" t="s">
        <v>134</v>
      </c>
      <c r="D26" s="87"/>
      <c r="E26" s="101"/>
      <c r="F26">
        <v>8</v>
      </c>
      <c r="G26" t="s">
        <v>362</v>
      </c>
      <c r="H26" t="s">
        <v>371</v>
      </c>
      <c r="I26" t="s">
        <v>381</v>
      </c>
      <c r="J26" s="106"/>
      <c r="K26">
        <v>8</v>
      </c>
      <c r="L26" t="s">
        <v>391</v>
      </c>
      <c r="M26" t="s">
        <v>401</v>
      </c>
      <c r="N26" s="108"/>
      <c r="O26" s="94"/>
      <c r="P26" s="99"/>
      <c r="Q26" s="103"/>
      <c r="R26" s="109"/>
      <c r="S26" t="s">
        <v>418</v>
      </c>
      <c r="T26" t="s">
        <v>419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121</v>
      </c>
      <c r="C27" t="s">
        <v>135</v>
      </c>
      <c r="D27" s="87"/>
      <c r="E27" s="88"/>
      <c r="F27">
        <v>8</v>
      </c>
      <c r="G27" t="s">
        <v>149</v>
      </c>
      <c r="H27" t="s">
        <v>270</v>
      </c>
      <c r="I27" t="s">
        <v>283</v>
      </c>
      <c r="J27" s="106"/>
      <c r="K27">
        <v>8</v>
      </c>
      <c r="L27" t="s">
        <v>296</v>
      </c>
      <c r="M27" t="s">
        <v>229</v>
      </c>
      <c r="N27" s="115"/>
      <c r="O27" s="94"/>
      <c r="P27" s="116"/>
      <c r="Q27" s="95"/>
      <c r="R27" s="95"/>
      <c r="S27" t="s">
        <v>219</v>
      </c>
      <c r="T27" t="s">
        <v>233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352</v>
      </c>
      <c r="C28" t="s">
        <v>353</v>
      </c>
      <c r="D28" s="87"/>
      <c r="E28" s="101"/>
      <c r="F28">
        <v>16</v>
      </c>
      <c r="G28" t="s">
        <v>363</v>
      </c>
      <c r="H28" t="s">
        <v>372</v>
      </c>
      <c r="I28" t="s">
        <v>382</v>
      </c>
      <c r="J28" s="106"/>
      <c r="K28">
        <v>16</v>
      </c>
      <c r="L28" t="s">
        <v>392</v>
      </c>
      <c r="M28" t="s">
        <v>402</v>
      </c>
      <c r="N28" s="108"/>
      <c r="O28" s="94"/>
      <c r="P28" s="99"/>
      <c r="Q28" s="103"/>
      <c r="R28" s="109"/>
      <c r="S28" t="s">
        <v>420</v>
      </c>
      <c r="T28" t="s">
        <v>421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354</v>
      </c>
      <c r="C29" t="s">
        <v>355</v>
      </c>
      <c r="D29" s="87"/>
      <c r="E29" s="88"/>
      <c r="F29">
        <v>64</v>
      </c>
      <c r="G29" t="s">
        <v>364</v>
      </c>
      <c r="H29" t="s">
        <v>373</v>
      </c>
      <c r="I29" t="s">
        <v>383</v>
      </c>
      <c r="J29" s="106"/>
      <c r="K29">
        <v>64</v>
      </c>
      <c r="L29" t="s">
        <v>393</v>
      </c>
      <c r="M29" t="s">
        <v>403</v>
      </c>
      <c r="N29" s="115"/>
      <c r="O29" s="94"/>
      <c r="P29" s="116"/>
      <c r="Q29" s="95"/>
      <c r="R29" s="95"/>
      <c r="S29" t="s">
        <v>422</v>
      </c>
      <c r="T29" t="s">
        <v>423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121</v>
      </c>
      <c r="C30" t="s">
        <v>139</v>
      </c>
      <c r="D30" s="87"/>
      <c r="E30" s="101"/>
      <c r="F30">
        <v>64</v>
      </c>
      <c r="G30" t="s">
        <v>149</v>
      </c>
      <c r="H30" t="s">
        <v>270</v>
      </c>
      <c r="I30" t="s">
        <v>384</v>
      </c>
      <c r="J30" s="106"/>
      <c r="K30">
        <v>64</v>
      </c>
      <c r="L30" t="s">
        <v>296</v>
      </c>
      <c r="M30" t="s">
        <v>404</v>
      </c>
      <c r="N30" s="108"/>
      <c r="O30" s="94"/>
      <c r="P30" s="99"/>
      <c r="Q30" s="103"/>
      <c r="R30" s="109"/>
      <c r="S30" t="s">
        <v>219</v>
      </c>
      <c r="T30" t="s">
        <v>424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240"/>
      <c r="V31" s="240"/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E19:E49" xr:uid="{D2EC1B2D-B800-4F99-953D-AC2AA0B9BCB5}">
      <formula1>$Z$19:$Z$30</formula1>
    </dataValidation>
    <dataValidation type="list" allowBlank="1" showErrorMessage="1" sqref="I14" xr:uid="{F9549DE0-E621-4739-B00A-1237F51F9ED2}">
      <formula1>$Y$14:$Y$15</formula1>
    </dataValidation>
    <dataValidation type="list" allowBlank="1" showErrorMessage="1" sqref="J14" xr:uid="{7A6C7BDF-332F-4D49-BEA2-9A6C2679EB1E}">
      <formula1>$L$9</formula1>
    </dataValidation>
    <dataValidation type="list" allowBlank="1" showErrorMessage="1" sqref="Q15 G18 L18 Q18" xr:uid="{A4F03DE2-CBB5-4B77-8423-198A5B908E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70E9-4EA5-4F42-8DAD-05EB0E150CC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425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425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226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426</v>
      </c>
      <c r="C19" t="s">
        <v>427</v>
      </c>
      <c r="D19" s="87"/>
      <c r="E19" s="88"/>
      <c r="F19">
        <v>2</v>
      </c>
      <c r="G19" t="s">
        <v>429</v>
      </c>
      <c r="H19" t="s">
        <v>431</v>
      </c>
      <c r="I19" t="s">
        <v>433</v>
      </c>
      <c r="J19" s="92"/>
      <c r="K19">
        <v>2</v>
      </c>
      <c r="L19" t="s">
        <v>435</v>
      </c>
      <c r="M19" t="s">
        <v>437</v>
      </c>
      <c r="N19" s="93"/>
      <c r="O19" s="94"/>
      <c r="P19" s="86"/>
      <c r="Q19" s="95"/>
      <c r="R19" s="95"/>
      <c r="S19" t="s">
        <v>439</v>
      </c>
      <c r="T19" t="s">
        <v>440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344</v>
      </c>
      <c r="C20" t="s">
        <v>345</v>
      </c>
      <c r="D20" s="87"/>
      <c r="E20" s="101"/>
      <c r="F20">
        <v>2</v>
      </c>
      <c r="G20" t="s">
        <v>357</v>
      </c>
      <c r="H20" t="s">
        <v>366</v>
      </c>
      <c r="I20" t="s">
        <v>375</v>
      </c>
      <c r="J20" s="106"/>
      <c r="K20">
        <v>2</v>
      </c>
      <c r="L20" t="s">
        <v>386</v>
      </c>
      <c r="M20" t="s">
        <v>395</v>
      </c>
      <c r="N20" s="108"/>
      <c r="O20" s="94"/>
      <c r="P20" s="99"/>
      <c r="Q20" s="103"/>
      <c r="R20" s="109"/>
      <c r="S20" t="s">
        <v>407</v>
      </c>
      <c r="T20" t="s">
        <v>408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252</v>
      </c>
      <c r="D21" s="87"/>
      <c r="E21" s="88"/>
      <c r="F21">
        <v>48</v>
      </c>
      <c r="G21" t="s">
        <v>358</v>
      </c>
      <c r="H21" t="s">
        <v>367</v>
      </c>
      <c r="I21" t="s">
        <v>376</v>
      </c>
      <c r="J21" s="106"/>
      <c r="K21">
        <v>48</v>
      </c>
      <c r="L21" t="s">
        <v>387</v>
      </c>
      <c r="M21" t="s">
        <v>396</v>
      </c>
      <c r="N21" s="115"/>
      <c r="O21" s="94"/>
      <c r="P21" s="116"/>
      <c r="Q21" s="95"/>
      <c r="R21" s="95"/>
      <c r="S21" t="s">
        <v>409</v>
      </c>
      <c r="T21" t="s">
        <v>410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347</v>
      </c>
      <c r="C22" t="s">
        <v>248</v>
      </c>
      <c r="D22" s="87"/>
      <c r="E22" s="101"/>
      <c r="F22">
        <v>2</v>
      </c>
      <c r="G22" t="s">
        <v>359</v>
      </c>
      <c r="H22" t="s">
        <v>368</v>
      </c>
      <c r="I22" t="s">
        <v>377</v>
      </c>
      <c r="J22" s="106"/>
      <c r="K22">
        <v>2</v>
      </c>
      <c r="L22" t="s">
        <v>388</v>
      </c>
      <c r="M22" t="s">
        <v>397</v>
      </c>
      <c r="N22" s="108"/>
      <c r="O22" s="94"/>
      <c r="P22" s="99"/>
      <c r="Q22" s="103"/>
      <c r="R22" s="109"/>
      <c r="S22" t="s">
        <v>411</v>
      </c>
      <c r="T22" t="s">
        <v>412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348</v>
      </c>
      <c r="C23" t="s">
        <v>349</v>
      </c>
      <c r="D23" s="87"/>
      <c r="E23" s="88"/>
      <c r="F23">
        <v>4</v>
      </c>
      <c r="G23" t="s">
        <v>360</v>
      </c>
      <c r="H23" t="s">
        <v>369</v>
      </c>
      <c r="I23" t="s">
        <v>378</v>
      </c>
      <c r="J23" s="106"/>
      <c r="K23">
        <v>4</v>
      </c>
      <c r="L23" t="s">
        <v>389</v>
      </c>
      <c r="M23" t="s">
        <v>398</v>
      </c>
      <c r="N23" s="115"/>
      <c r="O23" s="94"/>
      <c r="P23" s="116"/>
      <c r="Q23" s="95"/>
      <c r="R23" s="95"/>
      <c r="S23" t="s">
        <v>413</v>
      </c>
      <c r="T23" t="s">
        <v>414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121</v>
      </c>
      <c r="C24" t="s">
        <v>132</v>
      </c>
      <c r="D24" s="87"/>
      <c r="E24" s="101"/>
      <c r="F24">
        <v>4</v>
      </c>
      <c r="G24" t="s">
        <v>149</v>
      </c>
      <c r="H24" t="s">
        <v>270</v>
      </c>
      <c r="I24" t="s">
        <v>379</v>
      </c>
      <c r="J24" s="106"/>
      <c r="K24">
        <v>4</v>
      </c>
      <c r="L24" t="s">
        <v>296</v>
      </c>
      <c r="M24" t="s">
        <v>399</v>
      </c>
      <c r="N24" s="108"/>
      <c r="O24" s="94"/>
      <c r="P24" s="99"/>
      <c r="Q24" s="103"/>
      <c r="R24" s="109"/>
      <c r="S24" t="s">
        <v>219</v>
      </c>
      <c r="T24" t="s">
        <v>415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428</v>
      </c>
      <c r="C25" t="s">
        <v>133</v>
      </c>
      <c r="D25" s="87"/>
      <c r="E25" s="88"/>
      <c r="F25">
        <v>4</v>
      </c>
      <c r="G25" t="s">
        <v>430</v>
      </c>
      <c r="H25" t="s">
        <v>432</v>
      </c>
      <c r="I25" t="s">
        <v>434</v>
      </c>
      <c r="J25" s="106"/>
      <c r="K25">
        <v>4</v>
      </c>
      <c r="L25" t="s">
        <v>436</v>
      </c>
      <c r="M25" t="s">
        <v>438</v>
      </c>
      <c r="N25" s="115"/>
      <c r="O25" s="94"/>
      <c r="P25" s="116"/>
      <c r="Q25" s="95"/>
      <c r="R25" s="95"/>
      <c r="S25" t="s">
        <v>441</v>
      </c>
      <c r="T25" t="s">
        <v>442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351</v>
      </c>
      <c r="C26" t="s">
        <v>134</v>
      </c>
      <c r="D26" s="87"/>
      <c r="E26" s="101"/>
      <c r="F26">
        <v>8</v>
      </c>
      <c r="G26" t="s">
        <v>362</v>
      </c>
      <c r="H26" t="s">
        <v>371</v>
      </c>
      <c r="I26" t="s">
        <v>381</v>
      </c>
      <c r="J26" s="106"/>
      <c r="K26">
        <v>8</v>
      </c>
      <c r="L26" t="s">
        <v>391</v>
      </c>
      <c r="M26" t="s">
        <v>401</v>
      </c>
      <c r="N26" s="108"/>
      <c r="O26" s="94"/>
      <c r="P26" s="99"/>
      <c r="Q26" s="103"/>
      <c r="R26" s="109"/>
      <c r="S26" t="s">
        <v>418</v>
      </c>
      <c r="T26" t="s">
        <v>419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121</v>
      </c>
      <c r="C27" t="s">
        <v>135</v>
      </c>
      <c r="D27" s="87"/>
      <c r="E27" s="88"/>
      <c r="F27">
        <v>8</v>
      </c>
      <c r="G27" t="s">
        <v>149</v>
      </c>
      <c r="H27" t="s">
        <v>270</v>
      </c>
      <c r="I27" t="s">
        <v>283</v>
      </c>
      <c r="J27" s="106"/>
      <c r="K27">
        <v>8</v>
      </c>
      <c r="L27" t="s">
        <v>296</v>
      </c>
      <c r="M27" t="s">
        <v>229</v>
      </c>
      <c r="N27" s="115"/>
      <c r="O27" s="94"/>
      <c r="P27" s="116"/>
      <c r="Q27" s="95"/>
      <c r="R27" s="95"/>
      <c r="S27" t="s">
        <v>219</v>
      </c>
      <c r="T27" t="s">
        <v>233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352</v>
      </c>
      <c r="C28" t="s">
        <v>353</v>
      </c>
      <c r="D28" s="87"/>
      <c r="E28" s="101"/>
      <c r="F28">
        <v>16</v>
      </c>
      <c r="G28" t="s">
        <v>363</v>
      </c>
      <c r="H28" t="s">
        <v>372</v>
      </c>
      <c r="I28" t="s">
        <v>382</v>
      </c>
      <c r="J28" s="106"/>
      <c r="K28">
        <v>16</v>
      </c>
      <c r="L28" t="s">
        <v>392</v>
      </c>
      <c r="M28" t="s">
        <v>402</v>
      </c>
      <c r="N28" s="108"/>
      <c r="O28" s="94"/>
      <c r="P28" s="99"/>
      <c r="Q28" s="103"/>
      <c r="R28" s="109"/>
      <c r="S28" t="s">
        <v>420</v>
      </c>
      <c r="T28" t="s">
        <v>421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354</v>
      </c>
      <c r="C29" t="s">
        <v>355</v>
      </c>
      <c r="D29" s="87"/>
      <c r="E29" s="88"/>
      <c r="F29">
        <v>64</v>
      </c>
      <c r="G29" t="s">
        <v>364</v>
      </c>
      <c r="H29" t="s">
        <v>373</v>
      </c>
      <c r="I29" t="s">
        <v>383</v>
      </c>
      <c r="J29" s="106"/>
      <c r="K29">
        <v>64</v>
      </c>
      <c r="L29" t="s">
        <v>393</v>
      </c>
      <c r="M29" t="s">
        <v>403</v>
      </c>
      <c r="N29" s="115"/>
      <c r="O29" s="94"/>
      <c r="P29" s="116"/>
      <c r="Q29" s="95"/>
      <c r="R29" s="95"/>
      <c r="S29" t="s">
        <v>422</v>
      </c>
      <c r="T29" t="s">
        <v>423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121</v>
      </c>
      <c r="C30" t="s">
        <v>139</v>
      </c>
      <c r="D30" s="87"/>
      <c r="E30" s="101"/>
      <c r="F30">
        <v>64</v>
      </c>
      <c r="G30" t="s">
        <v>149</v>
      </c>
      <c r="H30" t="s">
        <v>270</v>
      </c>
      <c r="I30" t="s">
        <v>384</v>
      </c>
      <c r="J30" s="106"/>
      <c r="K30">
        <v>64</v>
      </c>
      <c r="L30" t="s">
        <v>296</v>
      </c>
      <c r="M30" t="s">
        <v>404</v>
      </c>
      <c r="N30" s="108"/>
      <c r="O30" s="94"/>
      <c r="P30" s="99"/>
      <c r="Q30" s="103"/>
      <c r="R30" s="109"/>
      <c r="S30" t="s">
        <v>219</v>
      </c>
      <c r="T30" t="s">
        <v>424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240"/>
      <c r="V31" s="240"/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Q15 G18 L18 Q18" xr:uid="{02B928CD-FDDC-49F1-8B93-20895402AA57}">
      <formula1>$Y$12:$Y$13</formula1>
    </dataValidation>
    <dataValidation type="list" allowBlank="1" showErrorMessage="1" sqref="J14" xr:uid="{8E8FC202-2262-479C-B678-AD82167BCBF6}">
      <formula1>$L$9</formula1>
    </dataValidation>
    <dataValidation type="list" allowBlank="1" showErrorMessage="1" sqref="I14" xr:uid="{499DE219-F265-4594-B427-80501DCB5BC7}">
      <formula1>$Y$14:$Y$15</formula1>
    </dataValidation>
    <dataValidation type="list" allowBlank="1" showErrorMessage="1" sqref="E19:E49" xr:uid="{00E9EDAC-C6BB-4793-A8F3-76E2F3B8D65B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729D-4BA3-4778-AD15-B34B0957FC3C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443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443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226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426</v>
      </c>
      <c r="C19" t="s">
        <v>427</v>
      </c>
      <c r="D19" s="87"/>
      <c r="E19" s="88"/>
      <c r="F19">
        <v>2</v>
      </c>
      <c r="G19" t="s">
        <v>429</v>
      </c>
      <c r="H19" t="s">
        <v>431</v>
      </c>
      <c r="I19" t="s">
        <v>433</v>
      </c>
      <c r="J19" s="92"/>
      <c r="K19">
        <v>2</v>
      </c>
      <c r="L19" t="s">
        <v>435</v>
      </c>
      <c r="M19" t="s">
        <v>437</v>
      </c>
      <c r="N19" s="93"/>
      <c r="O19" s="94"/>
      <c r="P19" s="86"/>
      <c r="Q19" s="95"/>
      <c r="R19" s="95"/>
      <c r="S19" t="s">
        <v>439</v>
      </c>
      <c r="T19" t="s">
        <v>440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344</v>
      </c>
      <c r="C20" t="s">
        <v>345</v>
      </c>
      <c r="D20" s="87"/>
      <c r="E20" s="101"/>
      <c r="F20">
        <v>2</v>
      </c>
      <c r="G20" t="s">
        <v>357</v>
      </c>
      <c r="H20" t="s">
        <v>366</v>
      </c>
      <c r="I20" t="s">
        <v>375</v>
      </c>
      <c r="J20" s="106"/>
      <c r="K20">
        <v>2</v>
      </c>
      <c r="L20" t="s">
        <v>386</v>
      </c>
      <c r="M20" t="s">
        <v>395</v>
      </c>
      <c r="N20" s="108"/>
      <c r="O20" s="94"/>
      <c r="P20" s="99"/>
      <c r="Q20" s="103"/>
      <c r="R20" s="109"/>
      <c r="S20" t="s">
        <v>407</v>
      </c>
      <c r="T20" t="s">
        <v>408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252</v>
      </c>
      <c r="D21" s="87"/>
      <c r="E21" s="88"/>
      <c r="F21">
        <v>48</v>
      </c>
      <c r="G21" t="s">
        <v>358</v>
      </c>
      <c r="H21" t="s">
        <v>367</v>
      </c>
      <c r="I21" t="s">
        <v>376</v>
      </c>
      <c r="J21" s="106"/>
      <c r="K21">
        <v>48</v>
      </c>
      <c r="L21" t="s">
        <v>387</v>
      </c>
      <c r="M21" t="s">
        <v>396</v>
      </c>
      <c r="N21" s="115"/>
      <c r="O21" s="94"/>
      <c r="P21" s="116"/>
      <c r="Q21" s="95"/>
      <c r="R21" s="95"/>
      <c r="S21" t="s">
        <v>409</v>
      </c>
      <c r="T21" t="s">
        <v>410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347</v>
      </c>
      <c r="C22" t="s">
        <v>248</v>
      </c>
      <c r="D22" s="87"/>
      <c r="E22" s="101"/>
      <c r="F22">
        <v>2</v>
      </c>
      <c r="G22" t="s">
        <v>359</v>
      </c>
      <c r="H22" t="s">
        <v>368</v>
      </c>
      <c r="I22" t="s">
        <v>377</v>
      </c>
      <c r="J22" s="106"/>
      <c r="K22">
        <v>2</v>
      </c>
      <c r="L22" t="s">
        <v>388</v>
      </c>
      <c r="M22" t="s">
        <v>397</v>
      </c>
      <c r="N22" s="108"/>
      <c r="O22" s="94"/>
      <c r="P22" s="99"/>
      <c r="Q22" s="103"/>
      <c r="R22" s="109"/>
      <c r="S22" t="s">
        <v>411</v>
      </c>
      <c r="T22" t="s">
        <v>412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348</v>
      </c>
      <c r="C23" t="s">
        <v>349</v>
      </c>
      <c r="D23" s="87"/>
      <c r="E23" s="88"/>
      <c r="F23">
        <v>4</v>
      </c>
      <c r="G23" t="s">
        <v>360</v>
      </c>
      <c r="H23" t="s">
        <v>369</v>
      </c>
      <c r="I23" t="s">
        <v>378</v>
      </c>
      <c r="J23" s="106"/>
      <c r="K23">
        <v>4</v>
      </c>
      <c r="L23" t="s">
        <v>389</v>
      </c>
      <c r="M23" t="s">
        <v>398</v>
      </c>
      <c r="N23" s="115"/>
      <c r="O23" s="94"/>
      <c r="P23" s="116"/>
      <c r="Q23" s="95"/>
      <c r="R23" s="95"/>
      <c r="S23" t="s">
        <v>413</v>
      </c>
      <c r="T23" t="s">
        <v>414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121</v>
      </c>
      <c r="C24" t="s">
        <v>132</v>
      </c>
      <c r="D24" s="87"/>
      <c r="E24" s="101"/>
      <c r="F24">
        <v>4</v>
      </c>
      <c r="G24" t="s">
        <v>149</v>
      </c>
      <c r="H24" t="s">
        <v>270</v>
      </c>
      <c r="I24" t="s">
        <v>379</v>
      </c>
      <c r="J24" s="106"/>
      <c r="K24">
        <v>4</v>
      </c>
      <c r="L24" t="s">
        <v>296</v>
      </c>
      <c r="M24" t="s">
        <v>399</v>
      </c>
      <c r="N24" s="108"/>
      <c r="O24" s="94"/>
      <c r="P24" s="99"/>
      <c r="Q24" s="103"/>
      <c r="R24" s="109"/>
      <c r="S24" t="s">
        <v>219</v>
      </c>
      <c r="T24" t="s">
        <v>415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428</v>
      </c>
      <c r="C25" t="s">
        <v>133</v>
      </c>
      <c r="D25" s="87"/>
      <c r="E25" s="88"/>
      <c r="F25">
        <v>4</v>
      </c>
      <c r="G25" t="s">
        <v>430</v>
      </c>
      <c r="H25" t="s">
        <v>432</v>
      </c>
      <c r="I25" t="s">
        <v>434</v>
      </c>
      <c r="J25" s="106"/>
      <c r="K25">
        <v>4</v>
      </c>
      <c r="L25" t="s">
        <v>436</v>
      </c>
      <c r="M25" t="s">
        <v>438</v>
      </c>
      <c r="N25" s="115"/>
      <c r="O25" s="94"/>
      <c r="P25" s="116"/>
      <c r="Q25" s="95"/>
      <c r="R25" s="95"/>
      <c r="S25" t="s">
        <v>441</v>
      </c>
      <c r="T25" t="s">
        <v>442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351</v>
      </c>
      <c r="C26" t="s">
        <v>134</v>
      </c>
      <c r="D26" s="87"/>
      <c r="E26" s="101"/>
      <c r="F26">
        <v>8</v>
      </c>
      <c r="G26" t="s">
        <v>362</v>
      </c>
      <c r="H26" t="s">
        <v>371</v>
      </c>
      <c r="I26" t="s">
        <v>381</v>
      </c>
      <c r="J26" s="106"/>
      <c r="K26">
        <v>8</v>
      </c>
      <c r="L26" t="s">
        <v>391</v>
      </c>
      <c r="M26" t="s">
        <v>401</v>
      </c>
      <c r="N26" s="108"/>
      <c r="O26" s="94"/>
      <c r="P26" s="99"/>
      <c r="Q26" s="103"/>
      <c r="R26" s="109"/>
      <c r="S26" t="s">
        <v>418</v>
      </c>
      <c r="T26" t="s">
        <v>419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121</v>
      </c>
      <c r="C27" t="s">
        <v>135</v>
      </c>
      <c r="D27" s="87"/>
      <c r="E27" s="88"/>
      <c r="F27">
        <v>8</v>
      </c>
      <c r="G27" t="s">
        <v>149</v>
      </c>
      <c r="H27" t="s">
        <v>270</v>
      </c>
      <c r="I27" t="s">
        <v>283</v>
      </c>
      <c r="J27" s="106"/>
      <c r="K27">
        <v>8</v>
      </c>
      <c r="L27" t="s">
        <v>296</v>
      </c>
      <c r="M27" t="s">
        <v>229</v>
      </c>
      <c r="N27" s="115"/>
      <c r="O27" s="94"/>
      <c r="P27" s="116"/>
      <c r="Q27" s="95"/>
      <c r="R27" s="95"/>
      <c r="S27" t="s">
        <v>219</v>
      </c>
      <c r="T27" t="s">
        <v>233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352</v>
      </c>
      <c r="C28" t="s">
        <v>353</v>
      </c>
      <c r="D28" s="87"/>
      <c r="E28" s="101"/>
      <c r="F28">
        <v>16</v>
      </c>
      <c r="G28" t="s">
        <v>363</v>
      </c>
      <c r="H28" t="s">
        <v>372</v>
      </c>
      <c r="I28" t="s">
        <v>382</v>
      </c>
      <c r="J28" s="106"/>
      <c r="K28">
        <v>16</v>
      </c>
      <c r="L28" t="s">
        <v>392</v>
      </c>
      <c r="M28" t="s">
        <v>402</v>
      </c>
      <c r="N28" s="108"/>
      <c r="O28" s="94"/>
      <c r="P28" s="99"/>
      <c r="Q28" s="103"/>
      <c r="R28" s="109"/>
      <c r="S28" t="s">
        <v>420</v>
      </c>
      <c r="T28" t="s">
        <v>421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354</v>
      </c>
      <c r="C29" t="s">
        <v>355</v>
      </c>
      <c r="D29" s="87"/>
      <c r="E29" s="88"/>
      <c r="F29">
        <v>64</v>
      </c>
      <c r="G29" t="s">
        <v>364</v>
      </c>
      <c r="H29" t="s">
        <v>373</v>
      </c>
      <c r="I29" t="s">
        <v>383</v>
      </c>
      <c r="J29" s="106"/>
      <c r="K29">
        <v>64</v>
      </c>
      <c r="L29" t="s">
        <v>393</v>
      </c>
      <c r="M29" t="s">
        <v>403</v>
      </c>
      <c r="N29" s="115"/>
      <c r="O29" s="94"/>
      <c r="P29" s="116"/>
      <c r="Q29" s="95"/>
      <c r="R29" s="95"/>
      <c r="S29" t="s">
        <v>422</v>
      </c>
      <c r="T29" t="s">
        <v>423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121</v>
      </c>
      <c r="C30" t="s">
        <v>139</v>
      </c>
      <c r="D30" s="87"/>
      <c r="E30" s="101"/>
      <c r="F30">
        <v>64</v>
      </c>
      <c r="G30" t="s">
        <v>149</v>
      </c>
      <c r="H30" t="s">
        <v>270</v>
      </c>
      <c r="I30" t="s">
        <v>384</v>
      </c>
      <c r="J30" s="106"/>
      <c r="K30">
        <v>64</v>
      </c>
      <c r="L30" t="s">
        <v>296</v>
      </c>
      <c r="M30" t="s">
        <v>404</v>
      </c>
      <c r="N30" s="108"/>
      <c r="O30" s="94"/>
      <c r="P30" s="99"/>
      <c r="Q30" s="103"/>
      <c r="R30" s="109"/>
      <c r="S30" t="s">
        <v>219</v>
      </c>
      <c r="T30" t="s">
        <v>424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240"/>
      <c r="V31" s="240"/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E19:E49" xr:uid="{DEF488E7-873A-42D0-B0CB-203F8E42298F}">
      <formula1>$Z$19:$Z$30</formula1>
    </dataValidation>
    <dataValidation type="list" allowBlank="1" showErrorMessage="1" sqref="I14" xr:uid="{DC553CDB-0BDE-4F86-961E-9D5068A43798}">
      <formula1>$Y$14:$Y$15</formula1>
    </dataValidation>
    <dataValidation type="list" allowBlank="1" showErrorMessage="1" sqref="J14" xr:uid="{FB5ECB44-6932-4066-B0F0-2C7AD8EC54EA}">
      <formula1>$L$9</formula1>
    </dataValidation>
    <dataValidation type="list" allowBlank="1" showErrorMessage="1" sqref="Q15 G18 L18 Q18" xr:uid="{A230599A-42C7-423C-9FF1-27BCB641F7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758A-7874-43F2-AB01-1FB754144D6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444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444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226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426</v>
      </c>
      <c r="C19" t="s">
        <v>427</v>
      </c>
      <c r="D19" s="87"/>
      <c r="E19" s="88"/>
      <c r="F19">
        <v>2</v>
      </c>
      <c r="G19" t="s">
        <v>429</v>
      </c>
      <c r="H19" t="s">
        <v>431</v>
      </c>
      <c r="I19" t="s">
        <v>433</v>
      </c>
      <c r="J19" s="92"/>
      <c r="K19">
        <v>2</v>
      </c>
      <c r="L19" t="s">
        <v>435</v>
      </c>
      <c r="M19" t="s">
        <v>437</v>
      </c>
      <c r="N19" s="93"/>
      <c r="O19" s="94"/>
      <c r="P19" s="86"/>
      <c r="Q19" s="95"/>
      <c r="R19" s="95"/>
      <c r="S19" t="s">
        <v>439</v>
      </c>
      <c r="T19" t="s">
        <v>440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344</v>
      </c>
      <c r="C20" t="s">
        <v>345</v>
      </c>
      <c r="D20" s="87"/>
      <c r="E20" s="101"/>
      <c r="F20">
        <v>2</v>
      </c>
      <c r="G20" t="s">
        <v>357</v>
      </c>
      <c r="H20" t="s">
        <v>366</v>
      </c>
      <c r="I20" t="s">
        <v>375</v>
      </c>
      <c r="J20" s="106"/>
      <c r="K20">
        <v>2</v>
      </c>
      <c r="L20" t="s">
        <v>386</v>
      </c>
      <c r="M20" t="s">
        <v>395</v>
      </c>
      <c r="N20" s="108"/>
      <c r="O20" s="94"/>
      <c r="P20" s="99"/>
      <c r="Q20" s="103"/>
      <c r="R20" s="109"/>
      <c r="S20" t="s">
        <v>407</v>
      </c>
      <c r="T20" t="s">
        <v>408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252</v>
      </c>
      <c r="D21" s="87"/>
      <c r="E21" s="88"/>
      <c r="F21">
        <v>48</v>
      </c>
      <c r="G21" t="s">
        <v>358</v>
      </c>
      <c r="H21" t="s">
        <v>367</v>
      </c>
      <c r="I21" t="s">
        <v>376</v>
      </c>
      <c r="J21" s="106"/>
      <c r="K21">
        <v>48</v>
      </c>
      <c r="L21" t="s">
        <v>387</v>
      </c>
      <c r="M21" t="s">
        <v>396</v>
      </c>
      <c r="N21" s="115"/>
      <c r="O21" s="94"/>
      <c r="P21" s="116"/>
      <c r="Q21" s="95"/>
      <c r="R21" s="95"/>
      <c r="S21" t="s">
        <v>409</v>
      </c>
      <c r="T21" t="s">
        <v>410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347</v>
      </c>
      <c r="C22" t="s">
        <v>248</v>
      </c>
      <c r="D22" s="87"/>
      <c r="E22" s="101"/>
      <c r="F22">
        <v>2</v>
      </c>
      <c r="G22" t="s">
        <v>359</v>
      </c>
      <c r="H22" t="s">
        <v>368</v>
      </c>
      <c r="I22" t="s">
        <v>377</v>
      </c>
      <c r="J22" s="106"/>
      <c r="K22">
        <v>2</v>
      </c>
      <c r="L22" t="s">
        <v>388</v>
      </c>
      <c r="M22" t="s">
        <v>397</v>
      </c>
      <c r="N22" s="108"/>
      <c r="O22" s="94"/>
      <c r="P22" s="99"/>
      <c r="Q22" s="103"/>
      <c r="R22" s="109"/>
      <c r="S22" t="s">
        <v>411</v>
      </c>
      <c r="T22" t="s">
        <v>412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348</v>
      </c>
      <c r="C23" t="s">
        <v>349</v>
      </c>
      <c r="D23" s="87"/>
      <c r="E23" s="88"/>
      <c r="F23">
        <v>4</v>
      </c>
      <c r="G23" t="s">
        <v>360</v>
      </c>
      <c r="H23" t="s">
        <v>369</v>
      </c>
      <c r="I23" t="s">
        <v>378</v>
      </c>
      <c r="J23" s="106"/>
      <c r="K23">
        <v>4</v>
      </c>
      <c r="L23" t="s">
        <v>389</v>
      </c>
      <c r="M23" t="s">
        <v>398</v>
      </c>
      <c r="N23" s="115"/>
      <c r="O23" s="94"/>
      <c r="P23" s="116"/>
      <c r="Q23" s="95"/>
      <c r="R23" s="95"/>
      <c r="S23" t="s">
        <v>413</v>
      </c>
      <c r="T23" t="s">
        <v>414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121</v>
      </c>
      <c r="C24" t="s">
        <v>132</v>
      </c>
      <c r="D24" s="87"/>
      <c r="E24" s="101"/>
      <c r="F24">
        <v>4</v>
      </c>
      <c r="G24" t="s">
        <v>149</v>
      </c>
      <c r="H24" t="s">
        <v>270</v>
      </c>
      <c r="I24" t="s">
        <v>379</v>
      </c>
      <c r="J24" s="106"/>
      <c r="K24">
        <v>4</v>
      </c>
      <c r="L24" t="s">
        <v>296</v>
      </c>
      <c r="M24" t="s">
        <v>399</v>
      </c>
      <c r="N24" s="108"/>
      <c r="O24" s="94"/>
      <c r="P24" s="99"/>
      <c r="Q24" s="103"/>
      <c r="R24" s="109"/>
      <c r="S24" t="s">
        <v>219</v>
      </c>
      <c r="T24" t="s">
        <v>415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428</v>
      </c>
      <c r="C25" t="s">
        <v>133</v>
      </c>
      <c r="D25" s="87"/>
      <c r="E25" s="88"/>
      <c r="F25">
        <v>4</v>
      </c>
      <c r="G25" t="s">
        <v>430</v>
      </c>
      <c r="H25" t="s">
        <v>432</v>
      </c>
      <c r="I25" t="s">
        <v>434</v>
      </c>
      <c r="J25" s="106"/>
      <c r="K25">
        <v>4</v>
      </c>
      <c r="L25" t="s">
        <v>436</v>
      </c>
      <c r="M25" t="s">
        <v>438</v>
      </c>
      <c r="N25" s="115"/>
      <c r="O25" s="94"/>
      <c r="P25" s="116"/>
      <c r="Q25" s="95"/>
      <c r="R25" s="95"/>
      <c r="S25" t="s">
        <v>441</v>
      </c>
      <c r="T25" t="s">
        <v>442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351</v>
      </c>
      <c r="C26" t="s">
        <v>134</v>
      </c>
      <c r="D26" s="87"/>
      <c r="E26" s="101"/>
      <c r="F26">
        <v>8</v>
      </c>
      <c r="G26" t="s">
        <v>362</v>
      </c>
      <c r="H26" t="s">
        <v>371</v>
      </c>
      <c r="I26" t="s">
        <v>381</v>
      </c>
      <c r="J26" s="106"/>
      <c r="K26">
        <v>8</v>
      </c>
      <c r="L26" t="s">
        <v>391</v>
      </c>
      <c r="M26" t="s">
        <v>401</v>
      </c>
      <c r="N26" s="108"/>
      <c r="O26" s="94"/>
      <c r="P26" s="99"/>
      <c r="Q26" s="103"/>
      <c r="R26" s="109"/>
      <c r="S26" t="s">
        <v>418</v>
      </c>
      <c r="T26" t="s">
        <v>419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121</v>
      </c>
      <c r="C27" t="s">
        <v>135</v>
      </c>
      <c r="D27" s="87"/>
      <c r="E27" s="88"/>
      <c r="F27">
        <v>8</v>
      </c>
      <c r="G27" t="s">
        <v>149</v>
      </c>
      <c r="H27" t="s">
        <v>270</v>
      </c>
      <c r="I27" t="s">
        <v>283</v>
      </c>
      <c r="J27" s="106"/>
      <c r="K27">
        <v>8</v>
      </c>
      <c r="L27" t="s">
        <v>296</v>
      </c>
      <c r="M27" t="s">
        <v>229</v>
      </c>
      <c r="N27" s="115"/>
      <c r="O27" s="94"/>
      <c r="P27" s="116"/>
      <c r="Q27" s="95"/>
      <c r="R27" s="95"/>
      <c r="S27" t="s">
        <v>219</v>
      </c>
      <c r="T27" t="s">
        <v>233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352</v>
      </c>
      <c r="C28" t="s">
        <v>353</v>
      </c>
      <c r="D28" s="87"/>
      <c r="E28" s="101"/>
      <c r="F28">
        <v>16</v>
      </c>
      <c r="G28" t="s">
        <v>363</v>
      </c>
      <c r="H28" t="s">
        <v>372</v>
      </c>
      <c r="I28" t="s">
        <v>382</v>
      </c>
      <c r="J28" s="106"/>
      <c r="K28">
        <v>16</v>
      </c>
      <c r="L28" t="s">
        <v>392</v>
      </c>
      <c r="M28" t="s">
        <v>402</v>
      </c>
      <c r="N28" s="108"/>
      <c r="O28" s="94"/>
      <c r="P28" s="99"/>
      <c r="Q28" s="103"/>
      <c r="R28" s="109"/>
      <c r="S28" t="s">
        <v>420</v>
      </c>
      <c r="T28" t="s">
        <v>421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354</v>
      </c>
      <c r="C29" t="s">
        <v>355</v>
      </c>
      <c r="D29" s="87"/>
      <c r="E29" s="88"/>
      <c r="F29">
        <v>64</v>
      </c>
      <c r="G29" t="s">
        <v>364</v>
      </c>
      <c r="H29" t="s">
        <v>373</v>
      </c>
      <c r="I29" t="s">
        <v>383</v>
      </c>
      <c r="J29" s="106"/>
      <c r="K29">
        <v>64</v>
      </c>
      <c r="L29" t="s">
        <v>393</v>
      </c>
      <c r="M29" t="s">
        <v>403</v>
      </c>
      <c r="N29" s="115"/>
      <c r="O29" s="94"/>
      <c r="P29" s="116"/>
      <c r="Q29" s="95"/>
      <c r="R29" s="95"/>
      <c r="S29" t="s">
        <v>422</v>
      </c>
      <c r="T29" t="s">
        <v>423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121</v>
      </c>
      <c r="C30" t="s">
        <v>139</v>
      </c>
      <c r="D30" s="87"/>
      <c r="E30" s="101"/>
      <c r="F30">
        <v>64</v>
      </c>
      <c r="G30" t="s">
        <v>149</v>
      </c>
      <c r="H30" t="s">
        <v>270</v>
      </c>
      <c r="I30" t="s">
        <v>384</v>
      </c>
      <c r="J30" s="106"/>
      <c r="K30">
        <v>64</v>
      </c>
      <c r="L30" t="s">
        <v>296</v>
      </c>
      <c r="M30" t="s">
        <v>404</v>
      </c>
      <c r="N30" s="108"/>
      <c r="O30" s="94"/>
      <c r="P30" s="99"/>
      <c r="Q30" s="103"/>
      <c r="R30" s="109"/>
      <c r="S30" t="s">
        <v>219</v>
      </c>
      <c r="T30" t="s">
        <v>424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240"/>
      <c r="V31" s="240"/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Q15 G18 L18 Q18" xr:uid="{C0DE1EAA-A620-4573-9960-2D08C16B24FE}">
      <formula1>$Y$12:$Y$13</formula1>
    </dataValidation>
    <dataValidation type="list" allowBlank="1" showErrorMessage="1" sqref="J14" xr:uid="{5BAB8B6D-D9E8-4B0E-8259-A7E9329404C2}">
      <formula1>$L$9</formula1>
    </dataValidation>
    <dataValidation type="list" allowBlank="1" showErrorMessage="1" sqref="I14" xr:uid="{51BECFD2-A9B0-46BA-A443-3F4297E369B3}">
      <formula1>$Y$14:$Y$15</formula1>
    </dataValidation>
    <dataValidation type="list" allowBlank="1" showErrorMessage="1" sqref="E19:E49" xr:uid="{1A8B9A8F-77FD-4901-8923-C87A75B8A154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BEBE-A1EC-4068-A427-013DEA39FA0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445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445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226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426</v>
      </c>
      <c r="C19" t="s">
        <v>427</v>
      </c>
      <c r="D19" s="87"/>
      <c r="E19" s="88"/>
      <c r="F19">
        <v>2</v>
      </c>
      <c r="G19" t="s">
        <v>429</v>
      </c>
      <c r="H19" t="s">
        <v>431</v>
      </c>
      <c r="I19" t="s">
        <v>433</v>
      </c>
      <c r="J19" s="92"/>
      <c r="K19">
        <v>2</v>
      </c>
      <c r="L19" t="s">
        <v>435</v>
      </c>
      <c r="M19" t="s">
        <v>437</v>
      </c>
      <c r="N19" s="93"/>
      <c r="O19" s="94"/>
      <c r="P19" s="86"/>
      <c r="Q19" s="95"/>
      <c r="R19" s="95"/>
      <c r="S19" t="s">
        <v>439</v>
      </c>
      <c r="T19" t="s">
        <v>440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344</v>
      </c>
      <c r="C20" t="s">
        <v>345</v>
      </c>
      <c r="D20" s="87"/>
      <c r="E20" s="101"/>
      <c r="F20">
        <v>2</v>
      </c>
      <c r="G20" t="s">
        <v>357</v>
      </c>
      <c r="H20" t="s">
        <v>366</v>
      </c>
      <c r="I20" t="s">
        <v>375</v>
      </c>
      <c r="J20" s="106"/>
      <c r="K20">
        <v>2</v>
      </c>
      <c r="L20" t="s">
        <v>386</v>
      </c>
      <c r="M20" t="s">
        <v>395</v>
      </c>
      <c r="N20" s="108"/>
      <c r="O20" s="94"/>
      <c r="P20" s="99"/>
      <c r="Q20" s="103"/>
      <c r="R20" s="109"/>
      <c r="S20" t="s">
        <v>407</v>
      </c>
      <c r="T20" t="s">
        <v>408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252</v>
      </c>
      <c r="D21" s="87"/>
      <c r="E21" s="88"/>
      <c r="F21">
        <v>48</v>
      </c>
      <c r="G21" t="s">
        <v>358</v>
      </c>
      <c r="H21" t="s">
        <v>367</v>
      </c>
      <c r="I21" t="s">
        <v>376</v>
      </c>
      <c r="J21" s="106"/>
      <c r="K21">
        <v>48</v>
      </c>
      <c r="L21" t="s">
        <v>387</v>
      </c>
      <c r="M21" t="s">
        <v>396</v>
      </c>
      <c r="N21" s="115"/>
      <c r="O21" s="94"/>
      <c r="P21" s="116"/>
      <c r="Q21" s="95"/>
      <c r="R21" s="95"/>
      <c r="S21" t="s">
        <v>409</v>
      </c>
      <c r="T21" t="s">
        <v>410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347</v>
      </c>
      <c r="C22" t="s">
        <v>248</v>
      </c>
      <c r="D22" s="87"/>
      <c r="E22" s="101"/>
      <c r="F22">
        <v>2</v>
      </c>
      <c r="G22" t="s">
        <v>359</v>
      </c>
      <c r="H22" t="s">
        <v>368</v>
      </c>
      <c r="I22" t="s">
        <v>377</v>
      </c>
      <c r="J22" s="106"/>
      <c r="K22">
        <v>2</v>
      </c>
      <c r="L22" t="s">
        <v>388</v>
      </c>
      <c r="M22" t="s">
        <v>397</v>
      </c>
      <c r="N22" s="108"/>
      <c r="O22" s="94"/>
      <c r="P22" s="99"/>
      <c r="Q22" s="103"/>
      <c r="R22" s="109"/>
      <c r="S22" t="s">
        <v>411</v>
      </c>
      <c r="T22" t="s">
        <v>412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348</v>
      </c>
      <c r="C23" t="s">
        <v>349</v>
      </c>
      <c r="D23" s="87"/>
      <c r="E23" s="88"/>
      <c r="F23">
        <v>4</v>
      </c>
      <c r="G23" t="s">
        <v>360</v>
      </c>
      <c r="H23" t="s">
        <v>369</v>
      </c>
      <c r="I23" t="s">
        <v>378</v>
      </c>
      <c r="J23" s="106"/>
      <c r="K23">
        <v>4</v>
      </c>
      <c r="L23" t="s">
        <v>389</v>
      </c>
      <c r="M23" t="s">
        <v>398</v>
      </c>
      <c r="N23" s="115"/>
      <c r="O23" s="94"/>
      <c r="P23" s="116"/>
      <c r="Q23" s="95"/>
      <c r="R23" s="95"/>
      <c r="S23" t="s">
        <v>413</v>
      </c>
      <c r="T23" t="s">
        <v>414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121</v>
      </c>
      <c r="C24" t="s">
        <v>132</v>
      </c>
      <c r="D24" s="87"/>
      <c r="E24" s="101"/>
      <c r="F24">
        <v>4</v>
      </c>
      <c r="G24" t="s">
        <v>149</v>
      </c>
      <c r="H24" t="s">
        <v>270</v>
      </c>
      <c r="I24" t="s">
        <v>379</v>
      </c>
      <c r="J24" s="106"/>
      <c r="K24">
        <v>4</v>
      </c>
      <c r="L24" t="s">
        <v>296</v>
      </c>
      <c r="M24" t="s">
        <v>399</v>
      </c>
      <c r="N24" s="108"/>
      <c r="O24" s="94"/>
      <c r="P24" s="99"/>
      <c r="Q24" s="103"/>
      <c r="R24" s="109"/>
      <c r="S24" t="s">
        <v>219</v>
      </c>
      <c r="T24" t="s">
        <v>415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428</v>
      </c>
      <c r="C25" t="s">
        <v>133</v>
      </c>
      <c r="D25" s="87"/>
      <c r="E25" s="88"/>
      <c r="F25">
        <v>4</v>
      </c>
      <c r="G25" t="s">
        <v>430</v>
      </c>
      <c r="H25" t="s">
        <v>432</v>
      </c>
      <c r="I25" t="s">
        <v>434</v>
      </c>
      <c r="J25" s="106"/>
      <c r="K25">
        <v>4</v>
      </c>
      <c r="L25" t="s">
        <v>436</v>
      </c>
      <c r="M25" t="s">
        <v>438</v>
      </c>
      <c r="N25" s="115"/>
      <c r="O25" s="94"/>
      <c r="P25" s="116"/>
      <c r="Q25" s="95"/>
      <c r="R25" s="95"/>
      <c r="S25" t="s">
        <v>441</v>
      </c>
      <c r="T25" t="s">
        <v>442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351</v>
      </c>
      <c r="C26" t="s">
        <v>134</v>
      </c>
      <c r="D26" s="87"/>
      <c r="E26" s="101"/>
      <c r="F26">
        <v>8</v>
      </c>
      <c r="G26" t="s">
        <v>362</v>
      </c>
      <c r="H26" t="s">
        <v>371</v>
      </c>
      <c r="I26" t="s">
        <v>381</v>
      </c>
      <c r="J26" s="106"/>
      <c r="K26">
        <v>8</v>
      </c>
      <c r="L26" t="s">
        <v>391</v>
      </c>
      <c r="M26" t="s">
        <v>401</v>
      </c>
      <c r="N26" s="108"/>
      <c r="O26" s="94"/>
      <c r="P26" s="99"/>
      <c r="Q26" s="103"/>
      <c r="R26" s="109"/>
      <c r="S26" t="s">
        <v>418</v>
      </c>
      <c r="T26" t="s">
        <v>419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121</v>
      </c>
      <c r="C27" t="s">
        <v>135</v>
      </c>
      <c r="D27" s="87"/>
      <c r="E27" s="88"/>
      <c r="F27">
        <v>8</v>
      </c>
      <c r="G27" t="s">
        <v>149</v>
      </c>
      <c r="H27" t="s">
        <v>270</v>
      </c>
      <c r="I27" t="s">
        <v>283</v>
      </c>
      <c r="J27" s="106"/>
      <c r="K27">
        <v>8</v>
      </c>
      <c r="L27" t="s">
        <v>296</v>
      </c>
      <c r="M27" t="s">
        <v>229</v>
      </c>
      <c r="N27" s="115"/>
      <c r="O27" s="94"/>
      <c r="P27" s="116"/>
      <c r="Q27" s="95"/>
      <c r="R27" s="95"/>
      <c r="S27" t="s">
        <v>219</v>
      </c>
      <c r="T27" t="s">
        <v>233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352</v>
      </c>
      <c r="C28" t="s">
        <v>353</v>
      </c>
      <c r="D28" s="87"/>
      <c r="E28" s="101"/>
      <c r="F28">
        <v>16</v>
      </c>
      <c r="G28" t="s">
        <v>363</v>
      </c>
      <c r="H28" t="s">
        <v>372</v>
      </c>
      <c r="I28" t="s">
        <v>382</v>
      </c>
      <c r="J28" s="106"/>
      <c r="K28">
        <v>16</v>
      </c>
      <c r="L28" t="s">
        <v>392</v>
      </c>
      <c r="M28" t="s">
        <v>402</v>
      </c>
      <c r="N28" s="108"/>
      <c r="O28" s="94"/>
      <c r="P28" s="99"/>
      <c r="Q28" s="103"/>
      <c r="R28" s="109"/>
      <c r="S28" t="s">
        <v>420</v>
      </c>
      <c r="T28" t="s">
        <v>421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354</v>
      </c>
      <c r="C29" t="s">
        <v>355</v>
      </c>
      <c r="D29" s="87"/>
      <c r="E29" s="88"/>
      <c r="F29">
        <v>64</v>
      </c>
      <c r="G29" t="s">
        <v>364</v>
      </c>
      <c r="H29" t="s">
        <v>373</v>
      </c>
      <c r="I29" t="s">
        <v>383</v>
      </c>
      <c r="J29" s="106"/>
      <c r="K29">
        <v>64</v>
      </c>
      <c r="L29" t="s">
        <v>393</v>
      </c>
      <c r="M29" t="s">
        <v>403</v>
      </c>
      <c r="N29" s="115"/>
      <c r="O29" s="94"/>
      <c r="P29" s="116"/>
      <c r="Q29" s="95"/>
      <c r="R29" s="95"/>
      <c r="S29" t="s">
        <v>422</v>
      </c>
      <c r="T29" t="s">
        <v>423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121</v>
      </c>
      <c r="C30" t="s">
        <v>139</v>
      </c>
      <c r="D30" s="87"/>
      <c r="E30" s="101"/>
      <c r="F30">
        <v>64</v>
      </c>
      <c r="G30" t="s">
        <v>149</v>
      </c>
      <c r="H30" t="s">
        <v>270</v>
      </c>
      <c r="I30" t="s">
        <v>384</v>
      </c>
      <c r="J30" s="106"/>
      <c r="K30">
        <v>64</v>
      </c>
      <c r="L30" t="s">
        <v>296</v>
      </c>
      <c r="M30" t="s">
        <v>404</v>
      </c>
      <c r="N30" s="108"/>
      <c r="O30" s="94"/>
      <c r="P30" s="99"/>
      <c r="Q30" s="103"/>
      <c r="R30" s="109"/>
      <c r="S30" t="s">
        <v>219</v>
      </c>
      <c r="T30" t="s">
        <v>424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240"/>
      <c r="V31" s="240"/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49" xr:uid="{1CBB8484-6082-4E56-A531-2054C9A1FA76}">
      <formula1>$Z$19:$Z$30</formula1>
    </dataValidation>
    <dataValidation type="list" allowBlank="1" showErrorMessage="1" sqref="I14" xr:uid="{A9AF077B-3364-43B2-B9F5-8360DAF457FD}">
      <formula1>$Y$14:$Y$15</formula1>
    </dataValidation>
    <dataValidation type="list" allowBlank="1" showErrorMessage="1" sqref="J14" xr:uid="{9067AC90-F7BF-4F9B-A032-3E9BF85D27B3}">
      <formula1>$L$9</formula1>
    </dataValidation>
    <dataValidation type="list" allowBlank="1" showErrorMessage="1" sqref="Q15 G18 L18 Q18" xr:uid="{1DA1A128-6E9A-4C6C-8CB4-62138AB9F6E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AE69-2191-4668-8FBA-56AC911FC76A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446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446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D481DAEB-1753-4684-9CB3-68A9DEF7C12E}">
      <formula1>$Y$12:$Y$13</formula1>
    </dataValidation>
    <dataValidation type="list" allowBlank="1" showErrorMessage="1" sqref="J14" xr:uid="{67CC008C-CAD8-4EB8-A4C3-21B210508464}">
      <formula1>$L$9</formula1>
    </dataValidation>
    <dataValidation type="list" allowBlank="1" showErrorMessage="1" sqref="I14" xr:uid="{3186442C-D038-42DF-B4FD-B5E67C76711A}">
      <formula1>$Y$14:$Y$15</formula1>
    </dataValidation>
    <dataValidation type="list" allowBlank="1" showErrorMessage="1" sqref="E19:E49" xr:uid="{8BD976DA-E7EB-47EC-96D5-6A1BE9C3DF8C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6AA4-00DC-4E1C-82B6-8490932FB6F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531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531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BD03C6B-AE53-454D-B91C-3EF3C9FA41A3}">
      <formula1>$Z$19:$Z$30</formula1>
    </dataValidation>
    <dataValidation type="list" allowBlank="1" showErrorMessage="1" sqref="I14" xr:uid="{44AABE63-C45B-468D-BB2E-CB9FE6B6C6EE}">
      <formula1>$Y$14:$Y$15</formula1>
    </dataValidation>
    <dataValidation type="list" allowBlank="1" showErrorMessage="1" sqref="J14" xr:uid="{F7461A63-3BB7-48DC-8D7E-F6D5B0B213DF}">
      <formula1>$L$9</formula1>
    </dataValidation>
    <dataValidation type="list" allowBlank="1" showErrorMessage="1" sqref="Q15 G18 L18 Q18" xr:uid="{99EC711C-D60C-445B-9259-9D5F522260F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ED62-E76B-4694-A9FE-59CD230D07C9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532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532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1DD84B77-D802-426B-ABC9-5B3D80A50663}">
      <formula1>$Y$12:$Y$13</formula1>
    </dataValidation>
    <dataValidation type="list" allowBlank="1" showErrorMessage="1" sqref="J14" xr:uid="{84392E9B-58D5-48B6-A0B9-7872DCFE7023}">
      <formula1>$L$9</formula1>
    </dataValidation>
    <dataValidation type="list" allowBlank="1" showErrorMessage="1" sqref="I14" xr:uid="{D852A048-1F92-41FE-A177-AB4C33357D0C}">
      <formula1>$Y$14:$Y$15</formula1>
    </dataValidation>
    <dataValidation type="list" allowBlank="1" showErrorMessage="1" sqref="E19:E49" xr:uid="{8D9A1934-3717-42A1-8428-668F26ADA03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6620-E1FE-428D-A604-38728D58082D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533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533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49" xr:uid="{13B42E86-5896-472E-B794-6CDBD2A2A651}">
      <formula1>$Z$19:$Z$30</formula1>
    </dataValidation>
    <dataValidation type="list" allowBlank="1" showErrorMessage="1" sqref="I14" xr:uid="{19E158F6-AA71-49C2-816C-6F334C1A37BC}">
      <formula1>$Y$14:$Y$15</formula1>
    </dataValidation>
    <dataValidation type="list" allowBlank="1" showErrorMessage="1" sqref="J14" xr:uid="{92703064-5F9B-42AA-89B4-F16D5F3F3ECE}">
      <formula1>$L$9</formula1>
    </dataValidation>
    <dataValidation type="list" allowBlank="1" showErrorMessage="1" sqref="Q15 G18 L18 Q18" xr:uid="{FA975660-EF4D-48CE-8F93-C0233BE8F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8F01-E522-4B0E-B6A6-31B9429DB31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534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534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8D57B71A-22E9-4778-AF3E-4B18ABD0C0D7}">
      <formula1>$Y$12:$Y$13</formula1>
    </dataValidation>
    <dataValidation type="list" allowBlank="1" showErrorMessage="1" sqref="J14" xr:uid="{52BA0934-5628-4D96-97A0-B603B01B9200}">
      <formula1>$L$9</formula1>
    </dataValidation>
    <dataValidation type="list" allowBlank="1" showErrorMessage="1" sqref="I14" xr:uid="{45127599-E811-4C39-A1DB-DE4CE28B9EF9}">
      <formula1>$Y$14:$Y$15</formula1>
    </dataValidation>
    <dataValidation type="list" allowBlank="1" showErrorMessage="1" sqref="E19:E49" xr:uid="{A4613F0B-6436-4F0B-B729-B0EAE15FEDFA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2290-8158-4EB0-853C-89C086C6688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535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535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49" xr:uid="{7BFFA22D-3855-4126-99E9-B08DC4027642}">
      <formula1>$Z$19:$Z$30</formula1>
    </dataValidation>
    <dataValidation type="list" allowBlank="1" showErrorMessage="1" sqref="I14" xr:uid="{38AC08EB-DECF-406D-B229-E5C1105C4DDB}">
      <formula1>$Y$14:$Y$15</formula1>
    </dataValidation>
    <dataValidation type="list" allowBlank="1" showErrorMessage="1" sqref="J14" xr:uid="{33F8D37B-9EF9-4A2F-A6F5-88076F5B390F}">
      <formula1>$L$9</formula1>
    </dataValidation>
    <dataValidation type="list" allowBlank="1" showErrorMessage="1" sqref="Q15 G18 L18 Q18" xr:uid="{656EB1FC-0980-4181-9F39-CB3BE2FE282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3AA-F8F4-4879-994D-4DF8EF4EEBB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536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536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C1C781F5-57AD-4919-A31C-DE819B950DB4}">
      <formula1>$Y$12:$Y$13</formula1>
    </dataValidation>
    <dataValidation type="list" allowBlank="1" showErrorMessage="1" sqref="J14" xr:uid="{91D76018-F03C-4376-855D-69DC474B27F4}">
      <formula1>$L$9</formula1>
    </dataValidation>
    <dataValidation type="list" allowBlank="1" showErrorMessage="1" sqref="I14" xr:uid="{B0F5276C-1A86-4123-A3A7-F1F677EE08A3}">
      <formula1>$Y$14:$Y$15</formula1>
    </dataValidation>
    <dataValidation type="list" allowBlank="1" showErrorMessage="1" sqref="E19:E49" xr:uid="{48B2CC2A-08B6-4946-AF1C-A215153C789F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5DF-772F-461C-8E51-692BC691340C}">
  <sheetPr>
    <pageSetUpPr fitToPage="1"/>
  </sheetPr>
  <dimension ref="B1:Z50"/>
  <sheetViews>
    <sheetView tabSelected="1" zoomScale="55" zoomScaleNormal="55" workbookViewId="0">
      <pane ySplit="18" topLeftCell="A19" activePane="bottomLeft" state="frozen"/>
      <selection pane="bottomLeft" activeCell="S19" sqref="S19:V31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 x14ac:dyDescent="0.3">
      <c r="B2" s="9" t="s">
        <v>34</v>
      </c>
      <c r="C2" s="10"/>
      <c r="D2" s="131" t="s">
        <v>35</v>
      </c>
      <c r="E2" s="132"/>
      <c r="F2" s="133"/>
      <c r="G2" s="134" t="s">
        <v>537</v>
      </c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0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 x14ac:dyDescent="0.3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0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 x14ac:dyDescent="0.3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0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31" t="s">
        <v>50</v>
      </c>
      <c r="E5" s="132"/>
      <c r="F5" s="133"/>
      <c r="G5" s="134" t="s">
        <v>340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 t="str">
        <f>IFERROR((P2-P3)/P2,"")</f>
        <v/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 x14ac:dyDescent="0.3">
      <c r="B6" s="20" t="s">
        <v>54</v>
      </c>
      <c r="C6" s="21"/>
      <c r="D6" s="131" t="s">
        <v>55</v>
      </c>
      <c r="E6" s="132"/>
      <c r="F6" s="133"/>
      <c r="G6" s="134" t="s">
        <v>537</v>
      </c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0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 x14ac:dyDescent="0.3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 x14ac:dyDescent="0.3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0</v>
      </c>
      <c r="U9" s="181">
        <f>IFERROR(((P3-S9)/S9),0)</f>
        <v>0</v>
      </c>
      <c r="V9" s="181">
        <f>IFERROR(T9/P3,0)</f>
        <v>0</v>
      </c>
      <c r="W9" s="184"/>
      <c r="X9" s="33"/>
      <c r="Y9" s="8"/>
    </row>
    <row r="10" spans="2:25" ht="15" customHeight="1" x14ac:dyDescent="0.3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234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 x14ac:dyDescent="0.3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 x14ac:dyDescent="0.3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 x14ac:dyDescent="0.3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 x14ac:dyDescent="0.3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 x14ac:dyDescent="0.3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 ht="14.4" x14ac:dyDescent="0.3">
      <c r="B19" t="s">
        <v>447</v>
      </c>
      <c r="C19" t="s">
        <v>448</v>
      </c>
      <c r="D19" s="87"/>
      <c r="E19" s="88"/>
      <c r="F19">
        <v>2</v>
      </c>
      <c r="G19" t="s">
        <v>460</v>
      </c>
      <c r="H19" t="s">
        <v>469</v>
      </c>
      <c r="I19" t="s">
        <v>479</v>
      </c>
      <c r="J19" s="92"/>
      <c r="K19">
        <v>2</v>
      </c>
      <c r="L19" t="s">
        <v>490</v>
      </c>
      <c r="M19" t="s">
        <v>500</v>
      </c>
      <c r="N19" s="93"/>
      <c r="O19" s="94"/>
      <c r="P19" s="86"/>
      <c r="Q19" s="95"/>
      <c r="R19" s="95"/>
      <c r="S19" t="s">
        <v>511</v>
      </c>
      <c r="T19" t="s">
        <v>512</v>
      </c>
      <c r="U19" s="240">
        <v>0</v>
      </c>
      <c r="V19" s="240">
        <v>1</v>
      </c>
      <c r="W19" s="97"/>
      <c r="X19" s="98"/>
      <c r="Y19" s="8"/>
      <c r="Z19" s="8"/>
    </row>
    <row r="20" spans="2:26" ht="14.4" x14ac:dyDescent="0.3">
      <c r="B20" t="s">
        <v>449</v>
      </c>
      <c r="C20" t="s">
        <v>450</v>
      </c>
      <c r="D20" s="87"/>
      <c r="E20" s="101"/>
      <c r="F20">
        <v>2</v>
      </c>
      <c r="G20" t="s">
        <v>461</v>
      </c>
      <c r="H20" t="s">
        <v>470</v>
      </c>
      <c r="I20" t="s">
        <v>480</v>
      </c>
      <c r="J20" s="106"/>
      <c r="K20">
        <v>2</v>
      </c>
      <c r="L20" t="s">
        <v>491</v>
      </c>
      <c r="M20" t="s">
        <v>501</v>
      </c>
      <c r="N20" s="108"/>
      <c r="O20" s="94"/>
      <c r="P20" s="99"/>
      <c r="Q20" s="103"/>
      <c r="R20" s="109"/>
      <c r="S20" t="s">
        <v>513</v>
      </c>
      <c r="T20" t="s">
        <v>514</v>
      </c>
      <c r="U20" s="240">
        <v>0</v>
      </c>
      <c r="V20" s="240">
        <v>1</v>
      </c>
      <c r="W20" s="112"/>
      <c r="X20" s="98"/>
      <c r="Y20" s="8"/>
      <c r="Z20" s="8"/>
    </row>
    <row r="21" spans="2:26" ht="14.4" x14ac:dyDescent="0.3">
      <c r="B21" t="s">
        <v>346</v>
      </c>
      <c r="C21" t="s">
        <v>128</v>
      </c>
      <c r="D21" s="87"/>
      <c r="E21" s="88"/>
      <c r="F21">
        <v>52</v>
      </c>
      <c r="G21" t="s">
        <v>358</v>
      </c>
      <c r="H21" t="s">
        <v>367</v>
      </c>
      <c r="I21" t="s">
        <v>481</v>
      </c>
      <c r="J21" s="106"/>
      <c r="K21">
        <v>52</v>
      </c>
      <c r="L21" t="s">
        <v>387</v>
      </c>
      <c r="M21" t="s">
        <v>502</v>
      </c>
      <c r="N21" s="115"/>
      <c r="O21" s="94"/>
      <c r="P21" s="116"/>
      <c r="Q21" s="95"/>
      <c r="R21" s="95"/>
      <c r="S21" t="s">
        <v>409</v>
      </c>
      <c r="T21" t="s">
        <v>515</v>
      </c>
      <c r="U21" s="240">
        <v>0</v>
      </c>
      <c r="V21" s="240">
        <v>1</v>
      </c>
      <c r="W21" s="97"/>
      <c r="X21" s="98"/>
      <c r="Y21" s="8"/>
      <c r="Z21" s="8"/>
    </row>
    <row r="22" spans="2:26" ht="15.75" customHeight="1" x14ac:dyDescent="0.3">
      <c r="B22" t="s">
        <v>451</v>
      </c>
      <c r="C22" t="s">
        <v>248</v>
      </c>
      <c r="D22" s="87"/>
      <c r="E22" s="101"/>
      <c r="F22">
        <v>2</v>
      </c>
      <c r="G22" t="s">
        <v>462</v>
      </c>
      <c r="H22" t="s">
        <v>471</v>
      </c>
      <c r="I22" t="s">
        <v>482</v>
      </c>
      <c r="J22" s="106"/>
      <c r="K22">
        <v>2</v>
      </c>
      <c r="L22" t="s">
        <v>492</v>
      </c>
      <c r="M22" t="s">
        <v>503</v>
      </c>
      <c r="N22" s="108"/>
      <c r="O22" s="94"/>
      <c r="P22" s="99"/>
      <c r="Q22" s="103"/>
      <c r="R22" s="109"/>
      <c r="S22" t="s">
        <v>516</v>
      </c>
      <c r="T22" t="s">
        <v>517</v>
      </c>
      <c r="U22" s="240">
        <v>0</v>
      </c>
      <c r="V22" s="240">
        <v>1</v>
      </c>
      <c r="W22" s="112"/>
      <c r="X22" s="98"/>
      <c r="Y22" s="8"/>
      <c r="Z22" s="8"/>
    </row>
    <row r="23" spans="2:26" ht="15.75" customHeight="1" x14ac:dyDescent="0.3">
      <c r="B23" t="s">
        <v>452</v>
      </c>
      <c r="C23" t="s">
        <v>349</v>
      </c>
      <c r="D23" s="87"/>
      <c r="E23" s="88"/>
      <c r="F23">
        <v>4</v>
      </c>
      <c r="G23" t="s">
        <v>463</v>
      </c>
      <c r="H23" t="s">
        <v>472</v>
      </c>
      <c r="I23" t="s">
        <v>483</v>
      </c>
      <c r="J23" s="106"/>
      <c r="K23">
        <v>4</v>
      </c>
      <c r="L23" t="s">
        <v>493</v>
      </c>
      <c r="M23" t="s">
        <v>504</v>
      </c>
      <c r="N23" s="115"/>
      <c r="O23" s="94"/>
      <c r="P23" s="116"/>
      <c r="Q23" s="95"/>
      <c r="R23" s="95"/>
      <c r="S23" t="s">
        <v>518</v>
      </c>
      <c r="T23" t="s">
        <v>519</v>
      </c>
      <c r="U23" s="240">
        <v>0</v>
      </c>
      <c r="V23" s="240">
        <v>1</v>
      </c>
      <c r="W23" s="97"/>
      <c r="X23" s="98"/>
      <c r="Y23" s="8"/>
      <c r="Z23" s="8"/>
    </row>
    <row r="24" spans="2:26" ht="15.75" customHeight="1" x14ac:dyDescent="0.3">
      <c r="B24" t="s">
        <v>453</v>
      </c>
      <c r="C24" t="s">
        <v>454</v>
      </c>
      <c r="D24" s="87"/>
      <c r="E24" s="101"/>
      <c r="F24">
        <v>4</v>
      </c>
      <c r="G24" t="s">
        <v>464</v>
      </c>
      <c r="H24" t="s">
        <v>473</v>
      </c>
      <c r="I24" t="s">
        <v>484</v>
      </c>
      <c r="J24" s="106"/>
      <c r="K24">
        <v>4</v>
      </c>
      <c r="L24" t="s">
        <v>494</v>
      </c>
      <c r="M24" t="s">
        <v>505</v>
      </c>
      <c r="N24" s="108"/>
      <c r="O24" s="94"/>
      <c r="P24" s="99"/>
      <c r="Q24" s="103"/>
      <c r="R24" s="109"/>
      <c r="S24" t="s">
        <v>520</v>
      </c>
      <c r="T24" t="s">
        <v>521</v>
      </c>
      <c r="U24" s="240">
        <v>0</v>
      </c>
      <c r="V24" s="240">
        <v>1</v>
      </c>
      <c r="W24" s="112"/>
      <c r="X24" s="98"/>
      <c r="Y24" s="8"/>
      <c r="Z24" s="8"/>
    </row>
    <row r="25" spans="2:26" ht="15.75" customHeight="1" x14ac:dyDescent="0.3">
      <c r="B25" t="s">
        <v>125</v>
      </c>
      <c r="C25" t="s">
        <v>132</v>
      </c>
      <c r="D25" s="87"/>
      <c r="E25" s="88"/>
      <c r="F25">
        <v>4</v>
      </c>
      <c r="G25" t="s">
        <v>153</v>
      </c>
      <c r="H25" t="s">
        <v>474</v>
      </c>
      <c r="I25" t="s">
        <v>485</v>
      </c>
      <c r="J25" s="106"/>
      <c r="K25">
        <v>4</v>
      </c>
      <c r="L25" t="s">
        <v>495</v>
      </c>
      <c r="M25" t="s">
        <v>506</v>
      </c>
      <c r="N25" s="115"/>
      <c r="O25" s="94"/>
      <c r="P25" s="116"/>
      <c r="Q25" s="95"/>
      <c r="R25" s="95"/>
      <c r="S25" t="s">
        <v>223</v>
      </c>
      <c r="T25" t="s">
        <v>522</v>
      </c>
      <c r="U25" s="240">
        <v>0</v>
      </c>
      <c r="V25" s="240">
        <v>1</v>
      </c>
      <c r="W25" s="97"/>
      <c r="X25" s="98"/>
      <c r="Y25" s="8"/>
      <c r="Z25" s="8"/>
    </row>
    <row r="26" spans="2:26" ht="15.75" customHeight="1" x14ac:dyDescent="0.3">
      <c r="B26" t="s">
        <v>455</v>
      </c>
      <c r="C26" t="s">
        <v>133</v>
      </c>
      <c r="D26" s="87"/>
      <c r="E26" s="101"/>
      <c r="F26">
        <v>4</v>
      </c>
      <c r="G26" t="s">
        <v>465</v>
      </c>
      <c r="H26" t="s">
        <v>475</v>
      </c>
      <c r="I26" t="s">
        <v>486</v>
      </c>
      <c r="J26" s="106"/>
      <c r="K26">
        <v>4</v>
      </c>
      <c r="L26" t="s">
        <v>496</v>
      </c>
      <c r="M26" t="s">
        <v>507</v>
      </c>
      <c r="N26" s="108"/>
      <c r="O26" s="94"/>
      <c r="P26" s="99"/>
      <c r="Q26" s="103"/>
      <c r="R26" s="109"/>
      <c r="S26" t="s">
        <v>523</v>
      </c>
      <c r="T26" t="s">
        <v>524</v>
      </c>
      <c r="U26" s="240">
        <v>0</v>
      </c>
      <c r="V26" s="240">
        <v>1</v>
      </c>
      <c r="W26" s="112"/>
      <c r="X26" s="98"/>
      <c r="Y26" s="8"/>
      <c r="Z26" s="8"/>
    </row>
    <row r="27" spans="2:26" ht="15.75" customHeight="1" x14ac:dyDescent="0.3">
      <c r="B27" t="s">
        <v>456</v>
      </c>
      <c r="C27" t="s">
        <v>134</v>
      </c>
      <c r="D27" s="87"/>
      <c r="E27" s="88"/>
      <c r="F27">
        <v>8</v>
      </c>
      <c r="G27" t="s">
        <v>362</v>
      </c>
      <c r="H27" t="s">
        <v>371</v>
      </c>
      <c r="I27" t="s">
        <v>381</v>
      </c>
      <c r="J27" s="106"/>
      <c r="K27">
        <v>8</v>
      </c>
      <c r="L27" t="s">
        <v>391</v>
      </c>
      <c r="M27" t="s">
        <v>401</v>
      </c>
      <c r="N27" s="115"/>
      <c r="O27" s="94"/>
      <c r="P27" s="116"/>
      <c r="Q27" s="95"/>
      <c r="R27" s="95"/>
      <c r="S27" t="s">
        <v>418</v>
      </c>
      <c r="T27" t="s">
        <v>419</v>
      </c>
      <c r="U27" s="240">
        <v>0</v>
      </c>
      <c r="V27" s="240">
        <v>1</v>
      </c>
      <c r="W27" s="97"/>
      <c r="X27" s="98"/>
      <c r="Y27" s="8"/>
      <c r="Z27" s="8"/>
    </row>
    <row r="28" spans="2:26" ht="15.75" customHeight="1" x14ac:dyDescent="0.3">
      <c r="B28" t="s">
        <v>121</v>
      </c>
      <c r="C28" t="s">
        <v>135</v>
      </c>
      <c r="D28" s="87"/>
      <c r="E28" s="101"/>
      <c r="F28">
        <v>8</v>
      </c>
      <c r="G28" t="s">
        <v>149</v>
      </c>
      <c r="H28" t="s">
        <v>270</v>
      </c>
      <c r="I28" t="s">
        <v>283</v>
      </c>
      <c r="J28" s="106"/>
      <c r="K28">
        <v>8</v>
      </c>
      <c r="L28" t="s">
        <v>296</v>
      </c>
      <c r="M28" t="s">
        <v>229</v>
      </c>
      <c r="N28" s="108"/>
      <c r="O28" s="94"/>
      <c r="P28" s="99"/>
      <c r="Q28" s="103"/>
      <c r="R28" s="109"/>
      <c r="S28" t="s">
        <v>219</v>
      </c>
      <c r="T28" t="s">
        <v>233</v>
      </c>
      <c r="U28" s="240">
        <v>0</v>
      </c>
      <c r="V28" s="240">
        <v>1</v>
      </c>
      <c r="W28" s="112"/>
      <c r="X28" s="98"/>
      <c r="Y28" s="8"/>
      <c r="Z28" s="117"/>
    </row>
    <row r="29" spans="2:26" ht="15.75" customHeight="1" x14ac:dyDescent="0.3">
      <c r="B29" t="s">
        <v>457</v>
      </c>
      <c r="C29" t="s">
        <v>353</v>
      </c>
      <c r="D29" s="87"/>
      <c r="E29" s="88"/>
      <c r="F29">
        <v>16</v>
      </c>
      <c r="G29" t="s">
        <v>466</v>
      </c>
      <c r="H29" t="s">
        <v>476</v>
      </c>
      <c r="I29" t="s">
        <v>487</v>
      </c>
      <c r="J29" s="106"/>
      <c r="K29">
        <v>16</v>
      </c>
      <c r="L29" t="s">
        <v>497</v>
      </c>
      <c r="M29" t="s">
        <v>508</v>
      </c>
      <c r="N29" s="115"/>
      <c r="O29" s="94"/>
      <c r="P29" s="116"/>
      <c r="Q29" s="95"/>
      <c r="R29" s="95"/>
      <c r="S29" t="s">
        <v>525</v>
      </c>
      <c r="T29" t="s">
        <v>526</v>
      </c>
      <c r="U29" s="240">
        <v>0</v>
      </c>
      <c r="V29" s="240">
        <v>1</v>
      </c>
      <c r="W29" s="97"/>
      <c r="X29" s="98"/>
      <c r="Y29" s="8"/>
      <c r="Z29" s="8"/>
    </row>
    <row r="30" spans="2:26" ht="15.75" customHeight="1" x14ac:dyDescent="0.3">
      <c r="B30" t="s">
        <v>458</v>
      </c>
      <c r="C30" t="s">
        <v>355</v>
      </c>
      <c r="D30" s="87"/>
      <c r="E30" s="101"/>
      <c r="F30">
        <v>64</v>
      </c>
      <c r="G30" t="s">
        <v>467</v>
      </c>
      <c r="H30" t="s">
        <v>477</v>
      </c>
      <c r="I30" t="s">
        <v>488</v>
      </c>
      <c r="J30" s="106"/>
      <c r="K30">
        <v>64</v>
      </c>
      <c r="L30" t="s">
        <v>498</v>
      </c>
      <c r="M30" t="s">
        <v>509</v>
      </c>
      <c r="N30" s="108"/>
      <c r="O30" s="94"/>
      <c r="P30" s="99"/>
      <c r="Q30" s="103"/>
      <c r="R30" s="109"/>
      <c r="S30" t="s">
        <v>527</v>
      </c>
      <c r="T30" t="s">
        <v>528</v>
      </c>
      <c r="U30" s="240">
        <v>0</v>
      </c>
      <c r="V30" s="240">
        <v>1</v>
      </c>
      <c r="W30" s="112"/>
      <c r="X30" s="98"/>
      <c r="Y30" s="8"/>
      <c r="Z30" s="8"/>
    </row>
    <row r="31" spans="2:26" ht="15.75" customHeight="1" x14ac:dyDescent="0.3">
      <c r="B31" t="s">
        <v>459</v>
      </c>
      <c r="C31" t="s">
        <v>139</v>
      </c>
      <c r="D31" s="87"/>
      <c r="E31" s="88"/>
      <c r="F31">
        <v>64</v>
      </c>
      <c r="G31" t="s">
        <v>468</v>
      </c>
      <c r="H31" t="s">
        <v>478</v>
      </c>
      <c r="I31" t="s">
        <v>489</v>
      </c>
      <c r="J31" s="106"/>
      <c r="K31">
        <v>64</v>
      </c>
      <c r="L31" t="s">
        <v>499</v>
      </c>
      <c r="M31" t="s">
        <v>510</v>
      </c>
      <c r="N31" s="115"/>
      <c r="O31" s="94"/>
      <c r="P31" s="116"/>
      <c r="Q31" s="95"/>
      <c r="R31" s="95"/>
      <c r="S31" t="s">
        <v>529</v>
      </c>
      <c r="T31" t="s">
        <v>530</v>
      </c>
      <c r="U31" s="240">
        <v>0</v>
      </c>
      <c r="V31" s="240">
        <v>1</v>
      </c>
      <c r="W31" s="97"/>
      <c r="X31" s="98"/>
      <c r="Y31" s="8"/>
      <c r="Z31" s="8"/>
    </row>
    <row r="32" spans="2:26" ht="15.75" customHeight="1" x14ac:dyDescent="0.3">
      <c r="B32" s="227"/>
      <c r="C32" s="231"/>
      <c r="D32" s="87"/>
      <c r="E32" s="101"/>
      <c r="F32" s="234"/>
      <c r="H32" s="238"/>
      <c r="I32" s="239"/>
      <c r="J32" s="106"/>
      <c r="L32" s="104"/>
      <c r="M32" s="104"/>
      <c r="N32" s="108"/>
      <c r="O32" s="94"/>
      <c r="P32" s="99"/>
      <c r="Q32" s="103"/>
      <c r="R32" s="109"/>
      <c r="U32" s="240"/>
      <c r="V32" s="240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9227D098-0230-46A9-BEF3-F7F749CE80F6}">
      <formula1>$Z$19:$Z$30</formula1>
    </dataValidation>
    <dataValidation type="list" allowBlank="1" showErrorMessage="1" sqref="I14" xr:uid="{E5064CE3-C207-4C8D-A834-EA0B28A5EA69}">
      <formula1>$Y$14:$Y$15</formula1>
    </dataValidation>
    <dataValidation type="list" allowBlank="1" showErrorMessage="1" sqref="J14" xr:uid="{5A25600A-C6CC-4185-9E45-4C40D9B9603E}">
      <formula1>$L$9</formula1>
    </dataValidation>
    <dataValidation type="list" allowBlank="1" showErrorMessage="1" sqref="Q15 G18 L18 Q18" xr:uid="{8DB2CF8E-DCD5-409F-B829-EDCF2BE6277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KOMATSU D61PX-24 (B60814)</vt:lpstr>
      <vt:lpstr>KOMATSU D71PX-24 (70180)</vt:lpstr>
      <vt:lpstr>KOMATSU D71PX-24 (70181)</vt:lpstr>
      <vt:lpstr>KOMATSU D71PX-24 (70673)</vt:lpstr>
      <vt:lpstr>KOMATSU D71PX-24 (70685)</vt:lpstr>
      <vt:lpstr>KOMATSU D71PX-24 (70689)</vt:lpstr>
      <vt:lpstr>KOMATSU D71PX-24 (71422)</vt:lpstr>
      <vt:lpstr>KOMATSU D71PX-24 (71426)</vt:lpstr>
      <vt:lpstr>KOMATSU PC290LC-11 (K73146)</vt:lpstr>
      <vt:lpstr>KOMATSU PC290LC-11 (A37612)</vt:lpstr>
      <vt:lpstr>KOMATSU PC290LC-11 (A38125)</vt:lpstr>
      <vt:lpstr>KOMATSU PC290LC-11 (A39298)</vt:lpstr>
      <vt:lpstr>KOMATSU PC290LC-11 (A39301)</vt:lpstr>
      <vt:lpstr>KOMATSU PC290LC-11 (A42774)</vt:lpstr>
      <vt:lpstr>KOMATSU PC290LC-11 (A42788)</vt:lpstr>
      <vt:lpstr>KOMATSU PC290LC-11 (A42800)</vt:lpstr>
      <vt:lpstr>KOMATSU PC290LC-11 (A42804)</vt:lpstr>
      <vt:lpstr>KOMATSU PC290LC-11 (A42918)</vt:lpstr>
      <vt:lpstr>KOMATSU PC290LC-11 (A42970)</vt:lpstr>
      <vt:lpstr>KOMATSU PC290LC-11 (A42987)</vt:lpstr>
      <vt:lpstr>KOMATSU PC290LC-11 (A43077)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Rushil Patel</cp:lastModifiedBy>
  <dcterms:modified xsi:type="dcterms:W3CDTF">2025-09-10T13:37:58Z</dcterms:modified>
</cp:coreProperties>
</file>