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ushil\Downloads\"/>
    </mc:Choice>
  </mc:AlternateContent>
  <xr:revisionPtr revIDLastSave="0" documentId="13_ncr:1_{203DDF31-063B-469F-A6B3-1326AA0E23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tions" sheetId="1" r:id="rId1"/>
    <sheet name="KOMATSU D61PX-24 (B60814)" sheetId="2" r:id="rId2"/>
    <sheet name="KOMATSU D71PX-24 (70180)" sheetId="13" r:id="rId3"/>
    <sheet name="KOMATSU D71PX-24 (70181)" sheetId="14" r:id="rId4"/>
    <sheet name="KOMATSU D71PX-24 (70673)" sheetId="15" r:id="rId5"/>
    <sheet name="KOMATSU D71PX-24 (70685)" sheetId="16" r:id="rId6"/>
    <sheet name="KOMATSU D71PX-24 (70689)" sheetId="17" r:id="rId7"/>
    <sheet name="KOMATSU D71PX-24 (71422)" sheetId="18" r:id="rId8"/>
    <sheet name="KOMATSU D71PX-24 (71426)" sheetId="19" r:id="rId9"/>
    <sheet name="KOMATSU PC290LC-11 (K73146)" sheetId="20" r:id="rId10"/>
    <sheet name="KOMATSU PC290LC-11 (A37612)" sheetId="21" r:id="rId11"/>
    <sheet name="KOMATSU PC290LC-11 (A38125)" sheetId="22" r:id="rId12"/>
    <sheet name="KOMATSU PC290LC-11 (A39298)" sheetId="23" r:id="rId13"/>
    <sheet name="KOMATSU PC290LC-11 (A39301)" sheetId="24" r:id="rId14"/>
    <sheet name="KOMATSU PC290LC-11 (A42774)" sheetId="25" r:id="rId15"/>
    <sheet name="KOMATSU PC290LC-11 (A42788)" sheetId="26" r:id="rId16"/>
    <sheet name="KOMATSU PC290LC-11 (A42800)" sheetId="27" r:id="rId17"/>
    <sheet name="KOMATSU PC290LC-11 (A42804)" sheetId="28" r:id="rId18"/>
    <sheet name="KOMATSU PC290LC-11 (A42918)" sheetId="29" r:id="rId19"/>
    <sheet name="KOMATSU PC290LC-11 (A42970)" sheetId="30" r:id="rId20"/>
    <sheet name="KOMATSU PC290LC-11 (A42987)" sheetId="31" r:id="rId21"/>
    <sheet name="KOMATSU PC290LC-11 (A43077)" sheetId="3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0" i="32" l="1"/>
  <c r="S50" i="32"/>
  <c r="R50" i="32"/>
  <c r="V15" i="32" s="1"/>
  <c r="P9" i="32" s="1"/>
  <c r="Q50" i="32"/>
  <c r="M50" i="32"/>
  <c r="P3" i="32" s="1"/>
  <c r="L50" i="32"/>
  <c r="K50" i="32"/>
  <c r="I50" i="32"/>
  <c r="P2" i="32" s="1"/>
  <c r="H50" i="32"/>
  <c r="G50" i="32"/>
  <c r="F50" i="32"/>
  <c r="P11" i="32" s="1"/>
  <c r="R18" i="32"/>
  <c r="I18" i="32"/>
  <c r="H18" i="32"/>
  <c r="E16" i="32"/>
  <c r="P8" i="32"/>
  <c r="P7" i="32"/>
  <c r="P6" i="32"/>
  <c r="P1" i="32"/>
  <c r="T50" i="31"/>
  <c r="P6" i="31" s="1"/>
  <c r="S50" i="31"/>
  <c r="R50" i="31"/>
  <c r="Q50" i="31"/>
  <c r="M50" i="31"/>
  <c r="P3" i="31" s="1"/>
  <c r="L50" i="31"/>
  <c r="K50" i="31"/>
  <c r="I50" i="31"/>
  <c r="P2" i="31" s="1"/>
  <c r="H50" i="31"/>
  <c r="G50" i="31"/>
  <c r="F50" i="31"/>
  <c r="P11" i="31" s="1"/>
  <c r="R18" i="31"/>
  <c r="I18" i="31"/>
  <c r="H18" i="31"/>
  <c r="E16" i="31"/>
  <c r="V15" i="31"/>
  <c r="P9" i="31"/>
  <c r="P8" i="31"/>
  <c r="P7" i="31"/>
  <c r="S9" i="31" s="1"/>
  <c r="P1" i="31"/>
  <c r="T50" i="30"/>
  <c r="P6" i="30" s="1"/>
  <c r="S50" i="30"/>
  <c r="R50" i="30"/>
  <c r="V15" i="30" s="1"/>
  <c r="P9" i="30" s="1"/>
  <c r="Q50" i="30"/>
  <c r="M50" i="30"/>
  <c r="P3" i="30" s="1"/>
  <c r="L50" i="30"/>
  <c r="K50" i="30"/>
  <c r="I50" i="30"/>
  <c r="P2" i="30" s="1"/>
  <c r="H50" i="30"/>
  <c r="G50" i="30"/>
  <c r="F50" i="30"/>
  <c r="P11" i="30" s="1"/>
  <c r="R18" i="30"/>
  <c r="I18" i="30"/>
  <c r="H18" i="30"/>
  <c r="E16" i="30"/>
  <c r="P8" i="30"/>
  <c r="P7" i="30"/>
  <c r="P1" i="30"/>
  <c r="T50" i="29"/>
  <c r="S50" i="29"/>
  <c r="R50" i="29"/>
  <c r="V15" i="29" s="1"/>
  <c r="P9" i="29" s="1"/>
  <c r="Q50" i="29"/>
  <c r="M50" i="29"/>
  <c r="P3" i="29" s="1"/>
  <c r="L50" i="29"/>
  <c r="K50" i="29"/>
  <c r="I50" i="29"/>
  <c r="P2" i="29" s="1"/>
  <c r="H50" i="29"/>
  <c r="G50" i="29"/>
  <c r="F50" i="29"/>
  <c r="P11" i="29" s="1"/>
  <c r="R18" i="29"/>
  <c r="I18" i="29"/>
  <c r="H18" i="29"/>
  <c r="E16" i="29"/>
  <c r="P8" i="29"/>
  <c r="P7" i="29"/>
  <c r="S9" i="29" s="1"/>
  <c r="P6" i="29"/>
  <c r="P1" i="29"/>
  <c r="T50" i="28"/>
  <c r="S50" i="28"/>
  <c r="R50" i="28"/>
  <c r="Q50" i="28"/>
  <c r="M50" i="28"/>
  <c r="P3" i="28" s="1"/>
  <c r="L50" i="28"/>
  <c r="K50" i="28"/>
  <c r="I50" i="28"/>
  <c r="P2" i="28" s="1"/>
  <c r="H50" i="28"/>
  <c r="G50" i="28"/>
  <c r="F50" i="28"/>
  <c r="P11" i="28" s="1"/>
  <c r="R18" i="28"/>
  <c r="I18" i="28"/>
  <c r="H18" i="28"/>
  <c r="E16" i="28"/>
  <c r="V15" i="28"/>
  <c r="P9" i="28" s="1"/>
  <c r="P8" i="28"/>
  <c r="P7" i="28"/>
  <c r="P6" i="28"/>
  <c r="P1" i="28"/>
  <c r="T50" i="27"/>
  <c r="S50" i="27"/>
  <c r="R50" i="27"/>
  <c r="Q50" i="27"/>
  <c r="M50" i="27"/>
  <c r="P3" i="27" s="1"/>
  <c r="L50" i="27"/>
  <c r="K50" i="27"/>
  <c r="I50" i="27"/>
  <c r="P2" i="27" s="1"/>
  <c r="H50" i="27"/>
  <c r="G50" i="27"/>
  <c r="F50" i="27"/>
  <c r="P11" i="27" s="1"/>
  <c r="R18" i="27"/>
  <c r="I18" i="27"/>
  <c r="H18" i="27"/>
  <c r="E16" i="27"/>
  <c r="V15" i="27"/>
  <c r="P9" i="27" s="1"/>
  <c r="P8" i="27"/>
  <c r="P7" i="27"/>
  <c r="P6" i="27"/>
  <c r="P1" i="27"/>
  <c r="T50" i="26"/>
  <c r="S50" i="26"/>
  <c r="R50" i="26"/>
  <c r="V15" i="26" s="1"/>
  <c r="P9" i="26" s="1"/>
  <c r="Q50" i="26"/>
  <c r="M50" i="26"/>
  <c r="P3" i="26" s="1"/>
  <c r="L50" i="26"/>
  <c r="K50" i="26"/>
  <c r="I50" i="26"/>
  <c r="P2" i="26" s="1"/>
  <c r="H50" i="26"/>
  <c r="G50" i="26"/>
  <c r="F50" i="26"/>
  <c r="P11" i="26" s="1"/>
  <c r="R18" i="26"/>
  <c r="I18" i="26"/>
  <c r="H18" i="26"/>
  <c r="E16" i="26"/>
  <c r="P8" i="26"/>
  <c r="P7" i="26"/>
  <c r="S9" i="26" s="1"/>
  <c r="P6" i="26"/>
  <c r="P1" i="26"/>
  <c r="T50" i="25"/>
  <c r="P6" i="25" s="1"/>
  <c r="S50" i="25"/>
  <c r="R50" i="25"/>
  <c r="Q50" i="25"/>
  <c r="M50" i="25"/>
  <c r="P3" i="25" s="1"/>
  <c r="L50" i="25"/>
  <c r="K50" i="25"/>
  <c r="I50" i="25"/>
  <c r="P2" i="25" s="1"/>
  <c r="H50" i="25"/>
  <c r="G50" i="25"/>
  <c r="F50" i="25"/>
  <c r="P11" i="25" s="1"/>
  <c r="R18" i="25"/>
  <c r="I18" i="25"/>
  <c r="H18" i="25"/>
  <c r="E16" i="25"/>
  <c r="V15" i="25"/>
  <c r="P9" i="25" s="1"/>
  <c r="P8" i="25"/>
  <c r="P7" i="25"/>
  <c r="P1" i="25"/>
  <c r="T50" i="24"/>
  <c r="P6" i="24" s="1"/>
  <c r="S50" i="24"/>
  <c r="R50" i="24"/>
  <c r="Q50" i="24"/>
  <c r="M50" i="24"/>
  <c r="P3" i="24" s="1"/>
  <c r="L50" i="24"/>
  <c r="K50" i="24"/>
  <c r="I50" i="24"/>
  <c r="P2" i="24" s="1"/>
  <c r="H50" i="24"/>
  <c r="G50" i="24"/>
  <c r="F50" i="24"/>
  <c r="P11" i="24" s="1"/>
  <c r="R18" i="24"/>
  <c r="I18" i="24"/>
  <c r="H18" i="24"/>
  <c r="E16" i="24"/>
  <c r="V15" i="24"/>
  <c r="P9" i="24"/>
  <c r="P8" i="24"/>
  <c r="P7" i="24"/>
  <c r="S9" i="24" s="1"/>
  <c r="P1" i="24"/>
  <c r="T50" i="23"/>
  <c r="S50" i="23"/>
  <c r="R50" i="23"/>
  <c r="Q50" i="23"/>
  <c r="M50" i="23"/>
  <c r="P3" i="23" s="1"/>
  <c r="L50" i="23"/>
  <c r="K50" i="23"/>
  <c r="I50" i="23"/>
  <c r="P2" i="23" s="1"/>
  <c r="H50" i="23"/>
  <c r="G50" i="23"/>
  <c r="F50" i="23"/>
  <c r="P11" i="23" s="1"/>
  <c r="R18" i="23"/>
  <c r="I18" i="23"/>
  <c r="H18" i="23"/>
  <c r="E16" i="23"/>
  <c r="V15" i="23"/>
  <c r="P9" i="23" s="1"/>
  <c r="P8" i="23"/>
  <c r="P7" i="23"/>
  <c r="P6" i="23"/>
  <c r="P1" i="23"/>
  <c r="T50" i="22"/>
  <c r="P6" i="22" s="1"/>
  <c r="S50" i="22"/>
  <c r="R50" i="22"/>
  <c r="V15" i="22" s="1"/>
  <c r="P9" i="22" s="1"/>
  <c r="Q50" i="22"/>
  <c r="M50" i="22"/>
  <c r="P3" i="22" s="1"/>
  <c r="L50" i="22"/>
  <c r="K50" i="22"/>
  <c r="I50" i="22"/>
  <c r="P2" i="22" s="1"/>
  <c r="H50" i="22"/>
  <c r="G50" i="22"/>
  <c r="F50" i="22"/>
  <c r="P11" i="22" s="1"/>
  <c r="R18" i="22"/>
  <c r="I18" i="22"/>
  <c r="H18" i="22"/>
  <c r="E16" i="22"/>
  <c r="P8" i="22"/>
  <c r="P7" i="22"/>
  <c r="S9" i="22" s="1"/>
  <c r="P1" i="22"/>
  <c r="T50" i="21"/>
  <c r="S50" i="21"/>
  <c r="R50" i="21"/>
  <c r="Q50" i="21"/>
  <c r="M50" i="21"/>
  <c r="P3" i="21" s="1"/>
  <c r="L50" i="21"/>
  <c r="K50" i="21"/>
  <c r="I50" i="21"/>
  <c r="P2" i="21" s="1"/>
  <c r="H50" i="21"/>
  <c r="G50" i="21"/>
  <c r="F50" i="21"/>
  <c r="P11" i="21" s="1"/>
  <c r="R18" i="21"/>
  <c r="I18" i="21"/>
  <c r="H18" i="21"/>
  <c r="E16" i="21"/>
  <c r="V15" i="21"/>
  <c r="P9" i="21"/>
  <c r="P8" i="21"/>
  <c r="P7" i="21"/>
  <c r="S9" i="21" s="1"/>
  <c r="P6" i="21"/>
  <c r="P1" i="21"/>
  <c r="T50" i="20"/>
  <c r="P6" i="20" s="1"/>
  <c r="S50" i="20"/>
  <c r="R50" i="20"/>
  <c r="V15" i="20" s="1"/>
  <c r="P9" i="20" s="1"/>
  <c r="Q50" i="20"/>
  <c r="M50" i="20"/>
  <c r="P3" i="20" s="1"/>
  <c r="L50" i="20"/>
  <c r="K50" i="20"/>
  <c r="I50" i="20"/>
  <c r="P2" i="20" s="1"/>
  <c r="H50" i="20"/>
  <c r="G50" i="20"/>
  <c r="F50" i="20"/>
  <c r="P11" i="20" s="1"/>
  <c r="R18" i="20"/>
  <c r="I18" i="20"/>
  <c r="H18" i="20"/>
  <c r="E16" i="20"/>
  <c r="P8" i="20"/>
  <c r="P7" i="20"/>
  <c r="P1" i="20"/>
  <c r="T50" i="19"/>
  <c r="P6" i="19" s="1"/>
  <c r="S50" i="19"/>
  <c r="R50" i="19"/>
  <c r="Q50" i="19"/>
  <c r="M50" i="19"/>
  <c r="P3" i="19" s="1"/>
  <c r="L50" i="19"/>
  <c r="K50" i="19"/>
  <c r="I50" i="19"/>
  <c r="P2" i="19" s="1"/>
  <c r="H50" i="19"/>
  <c r="G50" i="19"/>
  <c r="F50" i="19"/>
  <c r="P11" i="19" s="1"/>
  <c r="R18" i="19"/>
  <c r="I18" i="19"/>
  <c r="H18" i="19"/>
  <c r="E16" i="19"/>
  <c r="V15" i="19"/>
  <c r="P9" i="19" s="1"/>
  <c r="P8" i="19"/>
  <c r="P7" i="19"/>
  <c r="P1" i="19"/>
  <c r="T50" i="18"/>
  <c r="P6" i="18" s="1"/>
  <c r="S50" i="18"/>
  <c r="R50" i="18"/>
  <c r="P7" i="18" s="1"/>
  <c r="Q50" i="18"/>
  <c r="M50" i="18"/>
  <c r="P3" i="18" s="1"/>
  <c r="L50" i="18"/>
  <c r="K50" i="18"/>
  <c r="I50" i="18"/>
  <c r="P2" i="18" s="1"/>
  <c r="H50" i="18"/>
  <c r="G50" i="18"/>
  <c r="F50" i="18"/>
  <c r="P11" i="18" s="1"/>
  <c r="R18" i="18"/>
  <c r="I18" i="18"/>
  <c r="H18" i="18"/>
  <c r="E16" i="18"/>
  <c r="V15" i="18"/>
  <c r="P9" i="18" s="1"/>
  <c r="P8" i="18"/>
  <c r="P1" i="18"/>
  <c r="T50" i="17"/>
  <c r="P6" i="17" s="1"/>
  <c r="S50" i="17"/>
  <c r="R50" i="17"/>
  <c r="V15" i="17" s="1"/>
  <c r="P9" i="17" s="1"/>
  <c r="Q50" i="17"/>
  <c r="M50" i="17"/>
  <c r="P3" i="17" s="1"/>
  <c r="L50" i="17"/>
  <c r="K50" i="17"/>
  <c r="I50" i="17"/>
  <c r="P2" i="17" s="1"/>
  <c r="H50" i="17"/>
  <c r="G50" i="17"/>
  <c r="F50" i="17"/>
  <c r="P11" i="17" s="1"/>
  <c r="R18" i="17"/>
  <c r="I18" i="17"/>
  <c r="H18" i="17"/>
  <c r="E16" i="17"/>
  <c r="P8" i="17"/>
  <c r="P1" i="17"/>
  <c r="T50" i="16"/>
  <c r="P6" i="16" s="1"/>
  <c r="S50" i="16"/>
  <c r="R50" i="16"/>
  <c r="Q50" i="16"/>
  <c r="M50" i="16"/>
  <c r="P3" i="16" s="1"/>
  <c r="L50" i="16"/>
  <c r="K50" i="16"/>
  <c r="I50" i="16"/>
  <c r="P2" i="16" s="1"/>
  <c r="H50" i="16"/>
  <c r="G50" i="16"/>
  <c r="F50" i="16"/>
  <c r="P11" i="16" s="1"/>
  <c r="R18" i="16"/>
  <c r="I18" i="16"/>
  <c r="H18" i="16"/>
  <c r="E16" i="16"/>
  <c r="V15" i="16"/>
  <c r="P9" i="16"/>
  <c r="P8" i="16"/>
  <c r="P7" i="16"/>
  <c r="S9" i="16" s="1"/>
  <c r="P1" i="16"/>
  <c r="T50" i="15"/>
  <c r="P6" i="15" s="1"/>
  <c r="S50" i="15"/>
  <c r="R50" i="15"/>
  <c r="P7" i="15" s="1"/>
  <c r="Q50" i="15"/>
  <c r="M50" i="15"/>
  <c r="P3" i="15" s="1"/>
  <c r="L50" i="15"/>
  <c r="K50" i="15"/>
  <c r="I50" i="15"/>
  <c r="P2" i="15" s="1"/>
  <c r="H50" i="15"/>
  <c r="G50" i="15"/>
  <c r="F50" i="15"/>
  <c r="P11" i="15" s="1"/>
  <c r="R18" i="15"/>
  <c r="I18" i="15"/>
  <c r="H18" i="15"/>
  <c r="E16" i="15"/>
  <c r="P8" i="15"/>
  <c r="P1" i="15"/>
  <c r="T50" i="14"/>
  <c r="S50" i="14"/>
  <c r="R50" i="14"/>
  <c r="Q50" i="14"/>
  <c r="M50" i="14"/>
  <c r="P3" i="14" s="1"/>
  <c r="L50" i="14"/>
  <c r="K50" i="14"/>
  <c r="I50" i="14"/>
  <c r="P2" i="14" s="1"/>
  <c r="H50" i="14"/>
  <c r="G50" i="14"/>
  <c r="F50" i="14"/>
  <c r="P11" i="14" s="1"/>
  <c r="R18" i="14"/>
  <c r="I18" i="14"/>
  <c r="H18" i="14"/>
  <c r="E16" i="14"/>
  <c r="V15" i="14"/>
  <c r="P9" i="14" s="1"/>
  <c r="P8" i="14"/>
  <c r="P7" i="14"/>
  <c r="P6" i="14"/>
  <c r="P1" i="14"/>
  <c r="T50" i="13"/>
  <c r="P6" i="13" s="1"/>
  <c r="S50" i="13"/>
  <c r="R50" i="13"/>
  <c r="V15" i="13" s="1"/>
  <c r="P9" i="13" s="1"/>
  <c r="Q50" i="13"/>
  <c r="M50" i="13"/>
  <c r="L50" i="13"/>
  <c r="K50" i="13"/>
  <c r="I50" i="13"/>
  <c r="P2" i="13" s="1"/>
  <c r="H50" i="13"/>
  <c r="G50" i="13"/>
  <c r="F50" i="13"/>
  <c r="P11" i="13" s="1"/>
  <c r="R18" i="13"/>
  <c r="I18" i="13"/>
  <c r="H18" i="13"/>
  <c r="E16" i="13"/>
  <c r="P8" i="13"/>
  <c r="P3" i="13"/>
  <c r="P1" i="13"/>
  <c r="Q50" i="2"/>
  <c r="G50" i="2"/>
  <c r="F50" i="2"/>
  <c r="P11" i="2" s="1"/>
  <c r="L50" i="2"/>
  <c r="K50" i="2"/>
  <c r="R18" i="2"/>
  <c r="I18" i="2"/>
  <c r="H18" i="2"/>
  <c r="E16" i="2"/>
  <c r="P1" i="2"/>
  <c r="P8" i="2" s="1"/>
  <c r="S9" i="32" l="1"/>
  <c r="T9" i="32" s="1"/>
  <c r="V9" i="32" s="1"/>
  <c r="P5" i="32"/>
  <c r="P4" i="32"/>
  <c r="P5" i="31"/>
  <c r="P4" i="31"/>
  <c r="U9" i="31"/>
  <c r="T9" i="31"/>
  <c r="V9" i="31" s="1"/>
  <c r="P5" i="30"/>
  <c r="P4" i="30"/>
  <c r="S9" i="30"/>
  <c r="U9" i="30"/>
  <c r="T9" i="30"/>
  <c r="V9" i="30" s="1"/>
  <c r="P5" i="29"/>
  <c r="P4" i="29"/>
  <c r="T9" i="29"/>
  <c r="V9" i="29" s="1"/>
  <c r="U9" i="29"/>
  <c r="S9" i="28"/>
  <c r="P5" i="28"/>
  <c r="P4" i="28"/>
  <c r="T9" i="28"/>
  <c r="V9" i="28" s="1"/>
  <c r="U9" i="28"/>
  <c r="S9" i="27"/>
  <c r="P5" i="27"/>
  <c r="P4" i="27"/>
  <c r="T9" i="27"/>
  <c r="V9" i="27" s="1"/>
  <c r="U9" i="27"/>
  <c r="P5" i="26"/>
  <c r="P4" i="26"/>
  <c r="T9" i="26"/>
  <c r="V9" i="26" s="1"/>
  <c r="U9" i="26"/>
  <c r="S9" i="25"/>
  <c r="T9" i="25" s="1"/>
  <c r="V9" i="25" s="1"/>
  <c r="P5" i="25"/>
  <c r="P4" i="25"/>
  <c r="U9" i="25"/>
  <c r="P5" i="24"/>
  <c r="P4" i="24"/>
  <c r="U9" i="24"/>
  <c r="T9" i="24"/>
  <c r="V9" i="24" s="1"/>
  <c r="S9" i="23"/>
  <c r="U9" i="23" s="1"/>
  <c r="P5" i="23"/>
  <c r="P4" i="23"/>
  <c r="U9" i="22"/>
  <c r="T9" i="22"/>
  <c r="V9" i="22" s="1"/>
  <c r="P4" i="22"/>
  <c r="P5" i="22"/>
  <c r="P5" i="21"/>
  <c r="P4" i="21"/>
  <c r="U9" i="21"/>
  <c r="T9" i="21"/>
  <c r="V9" i="21" s="1"/>
  <c r="S9" i="20"/>
  <c r="P5" i="20"/>
  <c r="P4" i="20"/>
  <c r="U9" i="20"/>
  <c r="T9" i="20"/>
  <c r="V9" i="20" s="1"/>
  <c r="S9" i="19"/>
  <c r="P5" i="19"/>
  <c r="P4" i="19"/>
  <c r="U9" i="19"/>
  <c r="T9" i="19"/>
  <c r="V9" i="19" s="1"/>
  <c r="P5" i="18"/>
  <c r="U9" i="18"/>
  <c r="S9" i="18"/>
  <c r="T9" i="18" s="1"/>
  <c r="V9" i="18" s="1"/>
  <c r="P4" i="18"/>
  <c r="P4" i="17"/>
  <c r="P5" i="17"/>
  <c r="P7" i="17"/>
  <c r="S9" i="17" s="1"/>
  <c r="T9" i="17" s="1"/>
  <c r="V9" i="17" s="1"/>
  <c r="P4" i="16"/>
  <c r="P5" i="16"/>
  <c r="U9" i="16"/>
  <c r="T9" i="16"/>
  <c r="V9" i="16" s="1"/>
  <c r="V15" i="15"/>
  <c r="P9" i="15" s="1"/>
  <c r="S9" i="15"/>
  <c r="U9" i="15" s="1"/>
  <c r="P5" i="15"/>
  <c r="P4" i="15"/>
  <c r="S9" i="14"/>
  <c r="P7" i="13"/>
  <c r="S9" i="13" s="1"/>
  <c r="P4" i="14"/>
  <c r="P5" i="14"/>
  <c r="U9" i="14"/>
  <c r="T9" i="14"/>
  <c r="V9" i="14" s="1"/>
  <c r="P4" i="13"/>
  <c r="P5" i="13"/>
  <c r="U9" i="13"/>
  <c r="T9" i="13"/>
  <c r="V9" i="13" s="1"/>
  <c r="M50" i="2"/>
  <c r="P3" i="2" s="1"/>
  <c r="R50" i="2"/>
  <c r="U9" i="32" l="1"/>
  <c r="T9" i="23"/>
  <c r="V9" i="23" s="1"/>
  <c r="U9" i="17"/>
  <c r="T9" i="15"/>
  <c r="V9" i="15" s="1"/>
  <c r="P7" i="2"/>
  <c r="V15" i="2"/>
  <c r="P9" i="2" s="1"/>
  <c r="I50" i="2"/>
  <c r="P2" i="2" s="1"/>
  <c r="H50" i="2"/>
  <c r="S9" i="2" l="1"/>
  <c r="S50" i="2"/>
  <c r="T50" i="2"/>
  <c r="P6" i="2" s="1"/>
  <c r="P5" i="2"/>
  <c r="P4" i="2"/>
  <c r="T9" i="2" l="1"/>
  <c r="V9" i="2" s="1"/>
  <c r="U9" i="2"/>
</calcChain>
</file>

<file path=xl/sharedStrings.xml><?xml version="1.0" encoding="utf-8"?>
<sst xmlns="http://schemas.openxmlformats.org/spreadsheetml/2006/main" count="4347" uniqueCount="538">
  <si>
    <t>Global Wholesale Machinery Inc.</t>
  </si>
  <si>
    <t>MOQ Workbook Instructions</t>
  </si>
  <si>
    <t>Purpose of MOQ Workbook is used to determine service requrements and savings for each machine model.</t>
  </si>
  <si>
    <t>Total MOQ presented to the VIP Customers/Certified Dealers will be summarized and totalled on a separate working paper.</t>
  </si>
  <si>
    <t>Customer Information Section</t>
  </si>
  <si>
    <t>Required. Highly recommended to be completed first before making new worksheets.</t>
  </si>
  <si>
    <t>Machine Information Section</t>
  </si>
  <si>
    <t>Make and Model are manditory fields.</t>
  </si>
  <si>
    <t>Recommand one sheet for each model of machine to reduce workload.</t>
  </si>
  <si>
    <t>Fleet list can be provided separately to determine the number of units for each model in the MOQ.</t>
  </si>
  <si>
    <t>Machine Service Interval Section</t>
  </si>
  <si>
    <t>Optional - depends on customer request.</t>
  </si>
  <si>
    <t>For internal use only.</t>
  </si>
  <si>
    <t>Parts Pricing and Cost Section</t>
  </si>
  <si>
    <t>Part Number - OEM Part Number (with exception to UC and Tires)</t>
  </si>
  <si>
    <t>Description - Description of Part</t>
  </si>
  <si>
    <t>Vendor - Name of the Vendor where we acquire parts from</t>
  </si>
  <si>
    <t>OEM Name - Name of OEM Manufacturer used for MSRP comparison</t>
  </si>
  <si>
    <t>Freight Cost - Vendor shipping cost.</t>
  </si>
  <si>
    <t>Create a New OEM COMPARISON worksheet</t>
  </si>
  <si>
    <t>1) Right Click on the tab you want to copy and select Move or Copy…</t>
  </si>
  <si>
    <t>2) Check off the box "Create a copy". Chose which the position of the new sheet as instructed below. Click "OK" button.</t>
  </si>
  <si>
    <t>Customizable Features</t>
  </si>
  <si>
    <t>1) Enter OEM pricing in USD or CAD.</t>
  </si>
  <si>
    <t>Select from drop down option at cell G17</t>
  </si>
  <si>
    <t>2) Provide customer quotes in USD or CAD.</t>
  </si>
  <si>
    <t>Select from drop down option at cell L17</t>
  </si>
  <si>
    <t>3) Enter Vendor pricing in USD or CAD.</t>
  </si>
  <si>
    <t>Select from drop down option at cell Q17</t>
  </si>
  <si>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</si>
  <si>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</si>
  <si>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</si>
  <si>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</si>
  <si>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</si>
  <si>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</si>
  <si>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</si>
  <si>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</si>
  <si>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</si>
  <si>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</si>
  <si>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</si>
  <si>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</si>
  <si>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</si>
  <si>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</si>
  <si>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</si>
  <si>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</si>
  <si>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</si>
  <si>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</si>
  <si>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</si>
  <si>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</si>
  <si>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</si>
  <si>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</si>
  <si>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</si>
  <si>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</si>
  <si>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</si>
  <si>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</si>
  <si>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</si>
  <si>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</si>
  <si>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</si>
  <si>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</si>
  <si>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</si>
  <si>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</si>
  <si>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</si>
  <si>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</si>
  <si>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</si>
  <si>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</si>
  <si>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</si>
  <si>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</si>
  <si>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</si>
  <si>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</si>
  <si>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</si>
  <si>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</si>
  <si>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</si>
  <si>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</si>
  <si>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</si>
  <si>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</si>
  <si>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</si>
  <si>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</si>
  <si>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</si>
  <si>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</si>
  <si>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</si>
  <si>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</si>
  <si>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</si>
  <si>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</si>
  <si>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</si>
  <si>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</si>
  <si>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</si>
  <si>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</si>
  <si>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</si>
  <si>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</si>
  <si>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</si>
  <si>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</si>
  <si>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</si>
  <si>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</si>
  <si>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</si>
  <si>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</si>
  <si>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</si>
  <si>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</si>
  <si>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</si>
  <si>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</si>
  <si>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</si>
  <si>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</si>
  <si>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</si>
  <si>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</si>
  <si>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</si>
  <si>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</si>
  <si>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</si>
  <si>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</si>
  <si>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</si>
  <si>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Excavator</t>
  </si>
  <si>
    <t>D61PX-24</t>
  </si>
  <si>
    <t>B60814</t>
  </si>
  <si>
    <t>13G-32-03002</t>
  </si>
  <si>
    <t>134-27-15210</t>
  </si>
  <si>
    <t>09203-21865</t>
  </si>
  <si>
    <t>01803-01824</t>
  </si>
  <si>
    <t>13Y-30-00035</t>
  </si>
  <si>
    <t>01016-51245</t>
  </si>
  <si>
    <t>01643-31232</t>
  </si>
  <si>
    <t>134-30-01040</t>
  </si>
  <si>
    <t>01010-62085</t>
  </si>
  <si>
    <t>01643-32060</t>
  </si>
  <si>
    <t>134-30-01032</t>
  </si>
  <si>
    <t>134-30-01022</t>
  </si>
  <si>
    <t>01010-61670</t>
  </si>
  <si>
    <t>01643-31645</t>
  </si>
  <si>
    <t>TRACK SHOE ASSEMBLY 34"</t>
  </si>
  <si>
    <t>SEGMENT SPROCKET</t>
  </si>
  <si>
    <t>SPROCKET BOLT</t>
  </si>
  <si>
    <t>SPROCKET NUT</t>
  </si>
  <si>
    <t>IDLER CONVENTIONAL</t>
  </si>
  <si>
    <t xml:space="preserve">IDLER BOLT </t>
  </si>
  <si>
    <t>IDLER WASHER</t>
  </si>
  <si>
    <t xml:space="preserve">CARRIER ROLLER </t>
  </si>
  <si>
    <t>CARRIER BOLT</t>
  </si>
  <si>
    <t xml:space="preserve">CARRIER WASHER </t>
  </si>
  <si>
    <t xml:space="preserve">ROLLER GP DF </t>
  </si>
  <si>
    <t>ROLLER GP SF</t>
  </si>
  <si>
    <t xml:space="preserve">ROLLER BOLT </t>
  </si>
  <si>
    <t xml:space="preserve">ROLLER WASHER </t>
  </si>
  <si>
    <t xml:space="preserve"> $38,054.95 </t>
  </si>
  <si>
    <t xml:space="preserve"> $119.47 </t>
  </si>
  <si>
    <t xml:space="preserve"> $8.03 </t>
  </si>
  <si>
    <t xml:space="preserve"> $8.29 </t>
  </si>
  <si>
    <t xml:space="preserve"> $3,887.68 </t>
  </si>
  <si>
    <t xml:space="preserve"> $10.51 </t>
  </si>
  <si>
    <t xml:space="preserve"> $2.74 </t>
  </si>
  <si>
    <t xml:space="preserve"> $444.43 </t>
  </si>
  <si>
    <t xml:space="preserve"> $14.71 </t>
  </si>
  <si>
    <t xml:space="preserve"> $6.42 </t>
  </si>
  <si>
    <t xml:space="preserve"> $775.87 </t>
  </si>
  <si>
    <t xml:space="preserve"> $714.46 </t>
  </si>
  <si>
    <t xml:space="preserve"> $6.34 </t>
  </si>
  <si>
    <t xml:space="preserve"> $3.14 </t>
  </si>
  <si>
    <t>$26,244.79</t>
  </si>
  <si>
    <t>$82.39</t>
  </si>
  <si>
    <t>$5.54</t>
  </si>
  <si>
    <t>$5.72</t>
  </si>
  <si>
    <t>$2,681.16</t>
  </si>
  <si>
    <t>$7.25</t>
  </si>
  <si>
    <t>$1.89</t>
  </si>
  <si>
    <t>$306.50</t>
  </si>
  <si>
    <t>$10.14</t>
  </si>
  <si>
    <t>$4.43</t>
  </si>
  <si>
    <t>$535.08</t>
  </si>
  <si>
    <t>$492.73</t>
  </si>
  <si>
    <t>$4.37</t>
  </si>
  <si>
    <t>$2.17</t>
  </si>
  <si>
    <t>$76,109.90</t>
  </si>
  <si>
    <t>$2,150.46</t>
  </si>
  <si>
    <t>$433.62</t>
  </si>
  <si>
    <t>$447.66</t>
  </si>
  <si>
    <t>$7,775.36</t>
  </si>
  <si>
    <t>$42.04</t>
  </si>
  <si>
    <t>$10.96</t>
  </si>
  <si>
    <t>$1,777.72</t>
  </si>
  <si>
    <t>$117.68</t>
  </si>
  <si>
    <t>$51.36</t>
  </si>
  <si>
    <t>$3,103.48</t>
  </si>
  <si>
    <t>$8,573.52</t>
  </si>
  <si>
    <t>$405.76</t>
  </si>
  <si>
    <t>$200.96</t>
  </si>
  <si>
    <t>$17,124.73</t>
  </si>
  <si>
    <t>$53.76</t>
  </si>
  <si>
    <t>$3.61</t>
  </si>
  <si>
    <t>$3.73</t>
  </si>
  <si>
    <t>$1,749.46</t>
  </si>
  <si>
    <t>$4.73</t>
  </si>
  <si>
    <t>$1.23</t>
  </si>
  <si>
    <t>$199.99</t>
  </si>
  <si>
    <t>$6.62</t>
  </si>
  <si>
    <t>$2.89</t>
  </si>
  <si>
    <t>$349.14</t>
  </si>
  <si>
    <t>$321.51</t>
  </si>
  <si>
    <t>$2.85</t>
  </si>
  <si>
    <t>$1.41</t>
  </si>
  <si>
    <t>$34,249.46</t>
  </si>
  <si>
    <t>$967.68</t>
  </si>
  <si>
    <t>$194.94</t>
  </si>
  <si>
    <t>$201.42</t>
  </si>
  <si>
    <t>$3,498.92</t>
  </si>
  <si>
    <t>$18.92</t>
  </si>
  <si>
    <t>$4.92</t>
  </si>
  <si>
    <t>$799.96</t>
  </si>
  <si>
    <t>$52.96</t>
  </si>
  <si>
    <t>$23.12</t>
  </si>
  <si>
    <t>$1,396.56</t>
  </si>
  <si>
    <t>$3,858.12</t>
  </si>
  <si>
    <t>$182.40</t>
  </si>
  <si>
    <t>$90.24</t>
  </si>
  <si>
    <t xml:space="preserve"> $20,930.22 </t>
  </si>
  <si>
    <t xml:space="preserve"> $65.71 </t>
  </si>
  <si>
    <t xml:space="preserve"> $4.42 </t>
  </si>
  <si>
    <t xml:space="preserve"> $4.56 </t>
  </si>
  <si>
    <t xml:space="preserve"> $2,138.22 </t>
  </si>
  <si>
    <t xml:space="preserve"> $5.78 </t>
  </si>
  <si>
    <t xml:space="preserve"> $1.51 </t>
  </si>
  <si>
    <t xml:space="preserve"> $244.44 </t>
  </si>
  <si>
    <t xml:space="preserve"> $8.09 </t>
  </si>
  <si>
    <t xml:space="preserve"> $3.53 </t>
  </si>
  <si>
    <t xml:space="preserve"> $426.73 </t>
  </si>
  <si>
    <t xml:space="preserve"> $392.95 </t>
  </si>
  <si>
    <t xml:space="preserve"> $3.49 </t>
  </si>
  <si>
    <t xml:space="preserve"> $1.73 </t>
  </si>
  <si>
    <t xml:space="preserve"> $41,860.44 </t>
  </si>
  <si>
    <t xml:space="preserve"> $1,182.78 </t>
  </si>
  <si>
    <t xml:space="preserve"> $238.68 </t>
  </si>
  <si>
    <t xml:space="preserve"> $246.24 </t>
  </si>
  <si>
    <t xml:space="preserve"> $4,276.44 </t>
  </si>
  <si>
    <t xml:space="preserve"> $23.12 </t>
  </si>
  <si>
    <t xml:space="preserve"> $6.04 </t>
  </si>
  <si>
    <t xml:space="preserve"> $977.76 </t>
  </si>
  <si>
    <t xml:space="preserve"> $64.72 </t>
  </si>
  <si>
    <t xml:space="preserve"> $28.24 </t>
  </si>
  <si>
    <t xml:space="preserve"> $1,706.92 </t>
  </si>
  <si>
    <t xml:space="preserve"> $4,715.40 </t>
  </si>
  <si>
    <t xml:space="preserve"> $223.36 </t>
  </si>
  <si>
    <t xml:space="preserve"> $110.72 </t>
  </si>
  <si>
    <t>Dozer</t>
  </si>
  <si>
    <t>D71PX-24</t>
  </si>
  <si>
    <t>14X-32-51120</t>
  </si>
  <si>
    <t xml:space="preserve">TRACK SHOE  30" </t>
  </si>
  <si>
    <t xml:space="preserve">14X-30-00143 </t>
  </si>
  <si>
    <t>14X-30-00089</t>
  </si>
  <si>
    <t>14X-30-00098</t>
  </si>
  <si>
    <t xml:space="preserve">14X-30-78672 </t>
  </si>
  <si>
    <t>01643-21845</t>
  </si>
  <si>
    <t>14X-30-00581</t>
  </si>
  <si>
    <t xml:space="preserve">IDLER </t>
  </si>
  <si>
    <t>14X-27-15211</t>
  </si>
  <si>
    <t xml:space="preserve">SEGEMT-SPROCKET </t>
  </si>
  <si>
    <t>154-27-12320</t>
  </si>
  <si>
    <t xml:space="preserve">SPROCKET BOLT </t>
  </si>
  <si>
    <t>01803-02228</t>
  </si>
  <si>
    <t>14Y-32-07350</t>
  </si>
  <si>
    <t>TRACK LINK AS</t>
  </si>
  <si>
    <t xml:space="preserve"> $125.19 </t>
  </si>
  <si>
    <t xml:space="preserve"> $579.96 </t>
  </si>
  <si>
    <t xml:space="preserve"> $684.14 </t>
  </si>
  <si>
    <t xml:space="preserve"> $775.46 </t>
  </si>
  <si>
    <t xml:space="preserve"> $8.71 </t>
  </si>
  <si>
    <t xml:space="preserve"> $4.28 </t>
  </si>
  <si>
    <t xml:space="preserve"> $4,200.78 </t>
  </si>
  <si>
    <t xml:space="preserve"> $107.17 </t>
  </si>
  <si>
    <t xml:space="preserve"> $9.11 </t>
  </si>
  <si>
    <t xml:space="preserve"> $8.99 </t>
  </si>
  <si>
    <t xml:space="preserve"> $23,988.25 </t>
  </si>
  <si>
    <t xml:space="preserve"> $86.34 </t>
  </si>
  <si>
    <t xml:space="preserve"> $399.97 </t>
  </si>
  <si>
    <t xml:space="preserve"> $10.14 </t>
  </si>
  <si>
    <t xml:space="preserve"> $4.43 </t>
  </si>
  <si>
    <t xml:space="preserve"> $471.82 </t>
  </si>
  <si>
    <t xml:space="preserve"> $534.80 </t>
  </si>
  <si>
    <t xml:space="preserve"> $6.01 </t>
  </si>
  <si>
    <t xml:space="preserve"> $2.95 </t>
  </si>
  <si>
    <t xml:space="preserve"> $2,897.09 </t>
  </si>
  <si>
    <t xml:space="preserve"> $73.91 </t>
  </si>
  <si>
    <t xml:space="preserve"> $6.28 </t>
  </si>
  <si>
    <t xml:space="preserve"> $6.20 </t>
  </si>
  <si>
    <t xml:space="preserve"> $16,543.62 </t>
  </si>
  <si>
    <t xml:space="preserve"> $11,267.10 </t>
  </si>
  <si>
    <t xml:space="preserve"> $2,319.84 </t>
  </si>
  <si>
    <t xml:space="preserve"> $117.68 </t>
  </si>
  <si>
    <t xml:space="preserve"> $51.36 </t>
  </si>
  <si>
    <t xml:space="preserve"> $8,209.68 </t>
  </si>
  <si>
    <t xml:space="preserve"> $3,101.84 </t>
  </si>
  <si>
    <t xml:space="preserve"> $557.44 </t>
  </si>
  <si>
    <t xml:space="preserve"> $273.92 </t>
  </si>
  <si>
    <t xml:space="preserve"> $8,401.56 </t>
  </si>
  <si>
    <t xml:space="preserve"> $1,929.06 </t>
  </si>
  <si>
    <t xml:space="preserve"> $491.94 </t>
  </si>
  <si>
    <t xml:space="preserve"> $485.46 </t>
  </si>
  <si>
    <t xml:space="preserve"> $47,976.50 </t>
  </si>
  <si>
    <t xml:space="preserve"> $56.34 </t>
  </si>
  <si>
    <t xml:space="preserve"> $260.98 </t>
  </si>
  <si>
    <t xml:space="preserve"> $6.62 </t>
  </si>
  <si>
    <t xml:space="preserve"> $2.89 </t>
  </si>
  <si>
    <t xml:space="preserve"> $307.86 </t>
  </si>
  <si>
    <t xml:space="preserve"> $348.96 </t>
  </si>
  <si>
    <t xml:space="preserve"> $3.92 </t>
  </si>
  <si>
    <t xml:space="preserve"> $1.93 </t>
  </si>
  <si>
    <t xml:space="preserve"> $1,890.35 </t>
  </si>
  <si>
    <t xml:space="preserve"> $48.23 </t>
  </si>
  <si>
    <t xml:space="preserve"> $4.10 </t>
  </si>
  <si>
    <t xml:space="preserve"> $4.05 </t>
  </si>
  <si>
    <t xml:space="preserve"> $10,794.71 </t>
  </si>
  <si>
    <t xml:space="preserve"> $5,070.60 </t>
  </si>
  <si>
    <t xml:space="preserve"> $1,043.92 </t>
  </si>
  <si>
    <t xml:space="preserve"> $52.96 </t>
  </si>
  <si>
    <t xml:space="preserve"> $3,694.32 </t>
  </si>
  <si>
    <t xml:space="preserve"> $1,395.84 </t>
  </si>
  <si>
    <t xml:space="preserve"> $250.88 </t>
  </si>
  <si>
    <t xml:space="preserve"> $123.52 </t>
  </si>
  <si>
    <t xml:space="preserve"> $3,780.70 </t>
  </si>
  <si>
    <t xml:space="preserve"> $868.14 </t>
  </si>
  <si>
    <t xml:space="preserve"> $221.40 </t>
  </si>
  <si>
    <t xml:space="preserve"> $218.70 </t>
  </si>
  <si>
    <t xml:space="preserve"> $21,589.42 </t>
  </si>
  <si>
    <t xml:space="preserve"> $68.85 </t>
  </si>
  <si>
    <t xml:space="preserve"> $318.98 </t>
  </si>
  <si>
    <t xml:space="preserve"> $376.28 </t>
  </si>
  <si>
    <t xml:space="preserve"> $426.50 </t>
  </si>
  <si>
    <t xml:space="preserve"> $4.79 </t>
  </si>
  <si>
    <t xml:space="preserve"> $2.35 </t>
  </si>
  <si>
    <t xml:space="preserve"> $2,310.43 </t>
  </si>
  <si>
    <t xml:space="preserve"> $58.94 </t>
  </si>
  <si>
    <t xml:space="preserve"> $5.01 </t>
  </si>
  <si>
    <t xml:space="preserve"> $4.94 </t>
  </si>
  <si>
    <t xml:space="preserve"> $13,193.54 </t>
  </si>
  <si>
    <t xml:space="preserve"> $6,196.50 </t>
  </si>
  <si>
    <t xml:space="preserve"> $1,275.92 </t>
  </si>
  <si>
    <t xml:space="preserve"> $4,515.36 </t>
  </si>
  <si>
    <t xml:space="preserve"> $1,706.00 </t>
  </si>
  <si>
    <t xml:space="preserve"> $306.56 </t>
  </si>
  <si>
    <t xml:space="preserve"> $150.40 </t>
  </si>
  <si>
    <t xml:space="preserve"> $4,620.86 </t>
  </si>
  <si>
    <t xml:space="preserve"> $1,060.92 </t>
  </si>
  <si>
    <t xml:space="preserve"> $270.54 </t>
  </si>
  <si>
    <t xml:space="preserve"> $266.76 </t>
  </si>
  <si>
    <t xml:space="preserve"> $26,387.08 </t>
  </si>
  <si>
    <t>PC290LC-11</t>
  </si>
  <si>
    <t>K73146</t>
  </si>
  <si>
    <t>207-32-03892</t>
  </si>
  <si>
    <t>TRACK SHOE AS 800MM TRIPLE GROUSER</t>
  </si>
  <si>
    <t>207-27-72270</t>
  </si>
  <si>
    <t>SPROCKET</t>
  </si>
  <si>
    <t>207-27-51311</t>
  </si>
  <si>
    <t>207-30-48110</t>
  </si>
  <si>
    <t>01010-82075</t>
  </si>
  <si>
    <t>IDLER BOLT</t>
  </si>
  <si>
    <t>207-30-21610</t>
  </si>
  <si>
    <t>01010-62095</t>
  </si>
  <si>
    <t>207-30-21510</t>
  </si>
  <si>
    <t xml:space="preserve">BOTTOM ROLLER </t>
  </si>
  <si>
    <t>207-30-56191</t>
  </si>
  <si>
    <t>ROLLER BOLT</t>
  </si>
  <si>
    <t xml:space="preserve"> $39,397.30 </t>
  </si>
  <si>
    <t xml:space="preserve"> $708.95 </t>
  </si>
  <si>
    <t xml:space="preserve"> $5.43 </t>
  </si>
  <si>
    <t xml:space="preserve"> $1,894.57 </t>
  </si>
  <si>
    <t xml:space="preserve"> $20.33 </t>
  </si>
  <si>
    <t xml:space="preserve"> $387.34 </t>
  </si>
  <si>
    <t xml:space="preserve"> $17.19 </t>
  </si>
  <si>
    <t xml:space="preserve"> $590.46 </t>
  </si>
  <si>
    <t xml:space="preserve"> $9.03 </t>
  </si>
  <si>
    <t xml:space="preserve"> $27,170.55 </t>
  </si>
  <si>
    <t xml:space="preserve"> $488.93 </t>
  </si>
  <si>
    <t xml:space="preserve"> $3.74 </t>
  </si>
  <si>
    <t xml:space="preserve"> $1,306.60 </t>
  </si>
  <si>
    <t xml:space="preserve"> $14.02 </t>
  </si>
  <si>
    <t xml:space="preserve"> $267.13 </t>
  </si>
  <si>
    <t xml:space="preserve"> $11.86 </t>
  </si>
  <si>
    <t xml:space="preserve"> $407.21 </t>
  </si>
  <si>
    <t xml:space="preserve"> $6.23 </t>
  </si>
  <si>
    <t xml:space="preserve"> $78,794.60 </t>
  </si>
  <si>
    <t xml:space="preserve"> $1,417.90 </t>
  </si>
  <si>
    <t xml:space="preserve"> $260.64 </t>
  </si>
  <si>
    <t xml:space="preserve"> $3,789.14 </t>
  </si>
  <si>
    <t xml:space="preserve"> $81.32 </t>
  </si>
  <si>
    <t xml:space="preserve"> $25.68 </t>
  </si>
  <si>
    <t xml:space="preserve"> $1,549.36 </t>
  </si>
  <si>
    <t xml:space="preserve"> $137.52 </t>
  </si>
  <si>
    <t xml:space="preserve"> $9,447.36 </t>
  </si>
  <si>
    <t xml:space="preserve"> $577.92 </t>
  </si>
  <si>
    <t xml:space="preserve"> $410.88 </t>
  </si>
  <si>
    <t xml:space="preserve"> $17,728.79 </t>
  </si>
  <si>
    <t xml:space="preserve"> $319.03 </t>
  </si>
  <si>
    <t xml:space="preserve"> $2.44 </t>
  </si>
  <si>
    <t xml:space="preserve"> $852.56 </t>
  </si>
  <si>
    <t xml:space="preserve"> $9.15 </t>
  </si>
  <si>
    <t xml:space="preserve"> $174.30 </t>
  </si>
  <si>
    <t xml:space="preserve"> $7.74 </t>
  </si>
  <si>
    <t xml:space="preserve"> $265.71 </t>
  </si>
  <si>
    <t xml:space="preserve"> $4.06 </t>
  </si>
  <si>
    <t xml:space="preserve"> $35,457.58 </t>
  </si>
  <si>
    <t xml:space="preserve"> $638.06 </t>
  </si>
  <si>
    <t xml:space="preserve"> $117.12 </t>
  </si>
  <si>
    <t xml:space="preserve"> $1,705.12 </t>
  </si>
  <si>
    <t xml:space="preserve"> $36.60 </t>
  </si>
  <si>
    <t xml:space="preserve"> $11.56 </t>
  </si>
  <si>
    <t xml:space="preserve"> $697.20 </t>
  </si>
  <si>
    <t xml:space="preserve"> $61.92 </t>
  </si>
  <si>
    <t xml:space="preserve"> $4,251.36 </t>
  </si>
  <si>
    <t xml:space="preserve"> $259.84 </t>
  </si>
  <si>
    <t xml:space="preserve"> $184.96 </t>
  </si>
  <si>
    <t xml:space="preserve"> $21,668.51 </t>
  </si>
  <si>
    <t xml:space="preserve"> $43,337.02 </t>
  </si>
  <si>
    <t xml:space="preserve"> $389.92 </t>
  </si>
  <si>
    <t xml:space="preserve"> $779.84 </t>
  </si>
  <si>
    <t xml:space="preserve"> $2.99 </t>
  </si>
  <si>
    <t xml:space="preserve"> $143.52 </t>
  </si>
  <si>
    <t xml:space="preserve"> $1,042.01 </t>
  </si>
  <si>
    <t xml:space="preserve"> $2,084.02 </t>
  </si>
  <si>
    <t xml:space="preserve"> $11.18 </t>
  </si>
  <si>
    <t xml:space="preserve"> $44.72 </t>
  </si>
  <si>
    <t xml:space="preserve"> $14.12 </t>
  </si>
  <si>
    <t xml:space="preserve"> $213.04 </t>
  </si>
  <si>
    <t xml:space="preserve"> $852.16 </t>
  </si>
  <si>
    <t xml:space="preserve"> $9.45 </t>
  </si>
  <si>
    <t xml:space="preserve"> $75.60 </t>
  </si>
  <si>
    <t xml:space="preserve"> $324.75 </t>
  </si>
  <si>
    <t xml:space="preserve"> $5,196.00 </t>
  </si>
  <si>
    <t xml:space="preserve"> $4.97 </t>
  </si>
  <si>
    <t xml:space="preserve"> $318.08 </t>
  </si>
  <si>
    <t xml:space="preserve"> $225.92 </t>
  </si>
  <si>
    <t>A37612</t>
  </si>
  <si>
    <t>207-32-03891</t>
  </si>
  <si>
    <t xml:space="preserve">TRACK SHOE ASSEMBLY 800MM </t>
  </si>
  <si>
    <t>207-30-00620</t>
  </si>
  <si>
    <t xml:space="preserve"> $68,420.38 </t>
  </si>
  <si>
    <t xml:space="preserve"> $536.40 </t>
  </si>
  <si>
    <t xml:space="preserve"> $47,186.47 </t>
  </si>
  <si>
    <t xml:space="preserve"> $369.93 </t>
  </si>
  <si>
    <t xml:space="preserve"> $136,840.76 </t>
  </si>
  <si>
    <t xml:space="preserve"> $2,145.60 </t>
  </si>
  <si>
    <t xml:space="preserve"> $30,789.17 </t>
  </si>
  <si>
    <t xml:space="preserve"> $241.38 </t>
  </si>
  <si>
    <t xml:space="preserve"> $61,578.34 </t>
  </si>
  <si>
    <t xml:space="preserve"> $965.52 </t>
  </si>
  <si>
    <t xml:space="preserve"> $37,631.21 </t>
  </si>
  <si>
    <t xml:space="preserve"> $75,262.42 </t>
  </si>
  <si>
    <t xml:space="preserve"> $295.02 </t>
  </si>
  <si>
    <t xml:space="preserve"> $1,180.08 </t>
  </si>
  <si>
    <t>A38125</t>
  </si>
  <si>
    <t>A39298</t>
  </si>
  <si>
    <t>A39301</t>
  </si>
  <si>
    <t>A42774</t>
  </si>
  <si>
    <t>208-32-03870</t>
  </si>
  <si>
    <t>TRACK SHOE ASSEMBLY 800MM</t>
  </si>
  <si>
    <t>208-27-41110</t>
  </si>
  <si>
    <t>SPROCKET GP</t>
  </si>
  <si>
    <t>208-30-53411</t>
  </si>
  <si>
    <t>170-30-13331</t>
  </si>
  <si>
    <t>01580-11613</t>
  </si>
  <si>
    <t>IDLER NUT</t>
  </si>
  <si>
    <t>208-30-55411</t>
  </si>
  <si>
    <t>01010-82095</t>
  </si>
  <si>
    <t>208-30-00464</t>
  </si>
  <si>
    <t>208-30-41260</t>
  </si>
  <si>
    <t>01643-32260</t>
  </si>
  <si>
    <t xml:space="preserve"> $85,978.95 </t>
  </si>
  <si>
    <t xml:space="preserve"> $1,979.28 </t>
  </si>
  <si>
    <t xml:space="preserve"> $7,044.54 </t>
  </si>
  <si>
    <t xml:space="preserve"> $12.91 </t>
  </si>
  <si>
    <t xml:space="preserve"> $6.57 </t>
  </si>
  <si>
    <t xml:space="preserve"> $475.09 </t>
  </si>
  <si>
    <t xml:space="preserve"> $1,302.35 </t>
  </si>
  <si>
    <t xml:space="preserve"> $30.88 </t>
  </si>
  <si>
    <t xml:space="preserve"> $5.73 </t>
  </si>
  <si>
    <t xml:space="preserve"> $59,295.83 </t>
  </si>
  <si>
    <t xml:space="preserve"> $1,365.02 </t>
  </si>
  <si>
    <t xml:space="preserve"> $4,858.30 </t>
  </si>
  <si>
    <t xml:space="preserve"> $8.90 </t>
  </si>
  <si>
    <t xml:space="preserve"> $4.53 </t>
  </si>
  <si>
    <t xml:space="preserve"> $2.17 </t>
  </si>
  <si>
    <t xml:space="preserve"> $327.65 </t>
  </si>
  <si>
    <t xml:space="preserve"> $898.17 </t>
  </si>
  <si>
    <t xml:space="preserve"> $21.30 </t>
  </si>
  <si>
    <t xml:space="preserve"> $3.95 </t>
  </si>
  <si>
    <t xml:space="preserve"> $171,957.90 </t>
  </si>
  <si>
    <t xml:space="preserve"> $3,958.56 </t>
  </si>
  <si>
    <t xml:space="preserve"> $282.36 </t>
  </si>
  <si>
    <t xml:space="preserve"> $14,089.08 </t>
  </si>
  <si>
    <t xml:space="preserve"> $51.64 </t>
  </si>
  <si>
    <t xml:space="preserve"> $26.28 </t>
  </si>
  <si>
    <t xml:space="preserve"> $12.56 </t>
  </si>
  <si>
    <t xml:space="preserve"> $1,900.36 </t>
  </si>
  <si>
    <t xml:space="preserve"> $20,837.60 </t>
  </si>
  <si>
    <t xml:space="preserve"> $1,976.32 </t>
  </si>
  <si>
    <t xml:space="preserve"> $366.72 </t>
  </si>
  <si>
    <t xml:space="preserve"> $38,690.53 </t>
  </si>
  <si>
    <t xml:space="preserve"> $890.68 </t>
  </si>
  <si>
    <t xml:space="preserve"> $3,170.04 </t>
  </si>
  <si>
    <t xml:space="preserve"> $5.81 </t>
  </si>
  <si>
    <t xml:space="preserve"> $2.96 </t>
  </si>
  <si>
    <t xml:space="preserve"> $1.41 </t>
  </si>
  <si>
    <t xml:space="preserve"> $213.79 </t>
  </si>
  <si>
    <t xml:space="preserve"> $586.06 </t>
  </si>
  <si>
    <t xml:space="preserve"> $13.90 </t>
  </si>
  <si>
    <t xml:space="preserve"> $2.58 </t>
  </si>
  <si>
    <t xml:space="preserve"> $77,381.06 </t>
  </si>
  <si>
    <t xml:space="preserve"> $1,781.36 </t>
  </si>
  <si>
    <t xml:space="preserve"> $126.88 </t>
  </si>
  <si>
    <t xml:space="preserve"> $6,340.08 </t>
  </si>
  <si>
    <t xml:space="preserve"> $23.24 </t>
  </si>
  <si>
    <t xml:space="preserve"> $11.84 </t>
  </si>
  <si>
    <t xml:space="preserve"> $5.64 </t>
  </si>
  <si>
    <t xml:space="preserve"> $855.16 </t>
  </si>
  <si>
    <t xml:space="preserve"> $9,376.96 </t>
  </si>
  <si>
    <t xml:space="preserve"> $889.60 </t>
  </si>
  <si>
    <t xml:space="preserve"> $165.12 </t>
  </si>
  <si>
    <t xml:space="preserve"> $47,288.42 </t>
  </si>
  <si>
    <t xml:space="preserve"> $94,576.84 </t>
  </si>
  <si>
    <t xml:space="preserve"> $1,088.60 </t>
  </si>
  <si>
    <t xml:space="preserve"> $2,177.20 </t>
  </si>
  <si>
    <t xml:space="preserve"> $155.48 </t>
  </si>
  <si>
    <t xml:space="preserve"> $3,874.50 </t>
  </si>
  <si>
    <t xml:space="preserve"> $7,749.00 </t>
  </si>
  <si>
    <t xml:space="preserve"> $7.10 </t>
  </si>
  <si>
    <t xml:space="preserve"> $28.40 </t>
  </si>
  <si>
    <t xml:space="preserve"> $3.61 </t>
  </si>
  <si>
    <t xml:space="preserve"> $14.44 </t>
  </si>
  <si>
    <t xml:space="preserve"> $6.92 </t>
  </si>
  <si>
    <t xml:space="preserve"> $261.30 </t>
  </si>
  <si>
    <t xml:space="preserve"> $1,045.20 </t>
  </si>
  <si>
    <t xml:space="preserve"> $716.29 </t>
  </si>
  <si>
    <t xml:space="preserve"> $11,460.64 </t>
  </si>
  <si>
    <t xml:space="preserve"> $16.98 </t>
  </si>
  <si>
    <t xml:space="preserve"> $1,086.72 </t>
  </si>
  <si>
    <t xml:space="preserve"> $3.15 </t>
  </si>
  <si>
    <t xml:space="preserve"> $201.60 </t>
  </si>
  <si>
    <t>A42788</t>
  </si>
  <si>
    <t>A42800</t>
  </si>
  <si>
    <t>A42804</t>
  </si>
  <si>
    <t>A42918</t>
  </si>
  <si>
    <t>A42970</t>
  </si>
  <si>
    <t>A42987</t>
  </si>
  <si>
    <t>A43077</t>
  </si>
  <si>
    <t>Komatsu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</si>
</sst>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[$-409]mmmm\ d\,\ yyyy"/>
    <numFmt numFmtId="165" formatCode="&quot;$&quot;#,##0.00"/>
    <numFmt numFmtId="166" formatCode="_(&quot;$&quot;* #,##0.00_);_(&quot;$&quot;* \(#,##0.00\);_(&quot;$&quot;* &quot;-&quot;??_);_(@_)"/>
  </numFmts>
  <fonts count="30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FF0000"/>
      <name val="Aptos Narrow"/>
    </font>
    <font>
      <b/>
      <u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  <font>
      <sz val="11"/>
      <color theme="1"/>
      <name val="Calibri"/>
      <family val="2"/>
    </font>
    <font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05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8" fillId="2" borderId="1" xfId="0" applyFont="1" applyFill="1" applyBorder="1"/>
    <xf numFmtId="0" fontId="9" fillId="0" borderId="0" xfId="0" applyFont="1" applyAlignment="1">
      <alignment vertical="center"/>
    </xf>
    <xf numFmtId="0" fontId="5" fillId="0" borderId="0" xfId="0" applyFont="1"/>
    <xf numFmtId="0" fontId="8" fillId="4" borderId="13" xfId="0" applyFont="1" applyFill="1" applyBorder="1" applyAlignment="1">
      <alignment horizontal="right"/>
    </xf>
    <xf numFmtId="164" fontId="5" fillId="5" borderId="14" xfId="0" applyNumberFormat="1" applyFont="1" applyFill="1" applyBorder="1" applyAlignment="1">
      <alignment horizontal="left"/>
    </xf>
    <xf numFmtId="0" fontId="5" fillId="5" borderId="15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center"/>
    </xf>
    <xf numFmtId="0" fontId="9" fillId="7" borderId="21" xfId="0" applyFont="1" applyFill="1" applyBorder="1" applyAlignment="1">
      <alignment horizontal="center" vertical="center" wrapText="1"/>
    </xf>
    <xf numFmtId="164" fontId="5" fillId="5" borderId="22" xfId="0" applyNumberFormat="1" applyFont="1" applyFill="1" applyBorder="1"/>
    <xf numFmtId="164" fontId="5" fillId="2" borderId="1" xfId="0" applyNumberFormat="1" applyFont="1" applyFill="1" applyBorder="1"/>
    <xf numFmtId="0" fontId="8" fillId="4" borderId="23" xfId="0" applyFont="1" applyFill="1" applyBorder="1" applyAlignment="1">
      <alignment horizontal="right"/>
    </xf>
    <xf numFmtId="0" fontId="5" fillId="5" borderId="23" xfId="0" applyFont="1" applyFill="1" applyBorder="1" applyAlignment="1">
      <alignment horizontal="center"/>
    </xf>
    <xf numFmtId="0" fontId="5" fillId="5" borderId="22" xfId="0" applyFont="1" applyFill="1" applyBorder="1"/>
    <xf numFmtId="165" fontId="10" fillId="0" borderId="0" xfId="0" applyNumberFormat="1" applyFont="1"/>
    <xf numFmtId="0" fontId="8" fillId="4" borderId="24" xfId="0" applyFont="1" applyFill="1" applyBorder="1" applyAlignment="1">
      <alignment horizontal="right"/>
    </xf>
    <xf numFmtId="1" fontId="11" fillId="5" borderId="15" xfId="0" applyNumberFormat="1" applyFont="1" applyFill="1" applyBorder="1" applyAlignment="1">
      <alignment horizontal="left"/>
    </xf>
    <xf numFmtId="0" fontId="12" fillId="5" borderId="22" xfId="0" applyFont="1" applyFill="1" applyBorder="1"/>
    <xf numFmtId="0" fontId="13" fillId="2" borderId="1" xfId="0" applyFont="1" applyFill="1" applyBorder="1"/>
    <xf numFmtId="9" fontId="10" fillId="0" borderId="0" xfId="0" applyNumberFormat="1" applyFont="1"/>
    <xf numFmtId="0" fontId="5" fillId="0" borderId="24" xfId="0" applyFont="1" applyBorder="1"/>
    <xf numFmtId="0" fontId="14" fillId="2" borderId="1" xfId="0" applyFont="1" applyFill="1" applyBorder="1"/>
    <xf numFmtId="0" fontId="8" fillId="8" borderId="33" xfId="0" applyFont="1" applyFill="1" applyBorder="1" applyAlignment="1">
      <alignment horizontal="right"/>
    </xf>
    <xf numFmtId="0" fontId="5" fillId="8" borderId="34" xfId="0" applyFont="1" applyFill="1" applyBorder="1"/>
    <xf numFmtId="0" fontId="15" fillId="9" borderId="35" xfId="0" applyFont="1" applyFill="1" applyBorder="1" applyAlignment="1">
      <alignment horizontal="center"/>
    </xf>
    <xf numFmtId="0" fontId="15" fillId="9" borderId="36" xfId="0" applyFont="1" applyFill="1" applyBorder="1" applyAlignment="1">
      <alignment horizontal="center" vertical="center"/>
    </xf>
    <xf numFmtId="0" fontId="15" fillId="9" borderId="37" xfId="0" applyFont="1" applyFill="1" applyBorder="1" applyAlignment="1">
      <alignment horizontal="center" vertical="center"/>
    </xf>
    <xf numFmtId="0" fontId="5" fillId="5" borderId="1" xfId="0" applyFont="1" applyFill="1" applyBorder="1"/>
    <xf numFmtId="165" fontId="8" fillId="2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38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center"/>
    </xf>
    <xf numFmtId="9" fontId="5" fillId="8" borderId="1" xfId="0" applyNumberFormat="1" applyFont="1" applyFill="1" applyBorder="1" applyAlignment="1">
      <alignment horizontal="center"/>
    </xf>
    <xf numFmtId="0" fontId="8" fillId="8" borderId="43" xfId="0" applyFont="1" applyFill="1" applyBorder="1" applyAlignment="1">
      <alignment horizontal="right"/>
    </xf>
    <xf numFmtId="0" fontId="5" fillId="8" borderId="43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2" borderId="21" xfId="0" applyFont="1" applyFill="1" applyBorder="1" applyAlignment="1">
      <alignment horizontal="center"/>
    </xf>
    <xf numFmtId="0" fontId="18" fillId="7" borderId="21" xfId="0" applyFont="1" applyFill="1" applyBorder="1" applyAlignment="1">
      <alignment horizontal="center" vertical="center"/>
    </xf>
    <xf numFmtId="0" fontId="18" fillId="0" borderId="52" xfId="0" applyFont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/>
    </xf>
    <xf numFmtId="0" fontId="18" fillId="7" borderId="2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/>
    </xf>
    <xf numFmtId="0" fontId="8" fillId="5" borderId="63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18" fillId="0" borderId="67" xfId="0" applyFont="1" applyBorder="1" applyAlignment="1">
      <alignment vertical="center"/>
    </xf>
    <xf numFmtId="0" fontId="8" fillId="4" borderId="68" xfId="0" applyFont="1" applyFill="1" applyBorder="1" applyAlignment="1">
      <alignment horizontal="center" vertical="center"/>
    </xf>
    <xf numFmtId="0" fontId="8" fillId="4" borderId="69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0" fontId="21" fillId="11" borderId="72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horizontal="center"/>
    </xf>
    <xf numFmtId="0" fontId="20" fillId="4" borderId="73" xfId="0" applyFont="1" applyFill="1" applyBorder="1" applyAlignment="1">
      <alignment horizontal="center" vertical="center" wrapText="1"/>
    </xf>
    <xf numFmtId="0" fontId="8" fillId="5" borderId="74" xfId="0" applyFont="1" applyFill="1" applyBorder="1" applyAlignment="1">
      <alignment horizontal="center" vertical="center" wrapText="1"/>
    </xf>
    <xf numFmtId="166" fontId="8" fillId="5" borderId="73" xfId="0" applyNumberFormat="1" applyFont="1" applyFill="1" applyBorder="1" applyAlignment="1">
      <alignment horizontal="center" vertical="center"/>
    </xf>
    <xf numFmtId="10" fontId="10" fillId="5" borderId="73" xfId="0" applyNumberFormat="1" applyFont="1" applyFill="1" applyBorder="1" applyAlignment="1">
      <alignment horizontal="center" vertical="center"/>
    </xf>
    <xf numFmtId="166" fontId="10" fillId="12" borderId="35" xfId="0" applyNumberFormat="1" applyFont="1" applyFill="1" applyBorder="1" applyAlignment="1">
      <alignment vertical="center"/>
    </xf>
    <xf numFmtId="0" fontId="5" fillId="0" borderId="1" xfId="0" applyFont="1" applyBorder="1"/>
    <xf numFmtId="2" fontId="22" fillId="0" borderId="24" xfId="0" applyNumberFormat="1" applyFont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8" fillId="2" borderId="83" xfId="0" applyFont="1" applyFill="1" applyBorder="1" applyAlignment="1">
      <alignment horizontal="center" vertical="center" wrapText="1"/>
    </xf>
    <xf numFmtId="0" fontId="15" fillId="11" borderId="88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horizontal="center" vertical="center" wrapText="1"/>
    </xf>
    <xf numFmtId="0" fontId="15" fillId="11" borderId="90" xfId="0" applyFont="1" applyFill="1" applyBorder="1" applyAlignment="1">
      <alignment horizontal="center" vertical="center" wrapText="1"/>
    </xf>
    <xf numFmtId="0" fontId="23" fillId="11" borderId="90" xfId="0" applyFont="1" applyFill="1" applyBorder="1" applyAlignment="1">
      <alignment horizontal="center" vertical="center" wrapText="1"/>
    </xf>
    <xf numFmtId="0" fontId="20" fillId="7" borderId="22" xfId="0" applyFont="1" applyFill="1" applyBorder="1" applyAlignment="1">
      <alignment horizontal="center" vertical="center" wrapText="1"/>
    </xf>
    <xf numFmtId="0" fontId="25" fillId="11" borderId="93" xfId="0" applyFont="1" applyFill="1" applyBorder="1" applyAlignment="1">
      <alignment horizontal="center" vertical="center" wrapText="1"/>
    </xf>
    <xf numFmtId="0" fontId="26" fillId="11" borderId="9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7" borderId="97" xfId="0" applyFont="1" applyFill="1" applyBorder="1" applyAlignment="1">
      <alignment horizontal="center" vertical="center" wrapText="1"/>
    </xf>
    <xf numFmtId="0" fontId="20" fillId="7" borderId="97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44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5" fillId="0" borderId="67" xfId="0" applyFont="1" applyBorder="1" applyAlignment="1">
      <alignment horizontal="center"/>
    </xf>
    <xf numFmtId="3" fontId="5" fillId="0" borderId="44" xfId="0" applyNumberFormat="1" applyFont="1" applyBorder="1" applyAlignment="1">
      <alignment horizontal="center"/>
    </xf>
    <xf numFmtId="166" fontId="5" fillId="0" borderId="44" xfId="0" applyNumberFormat="1" applyFont="1" applyBorder="1"/>
    <xf numFmtId="166" fontId="5" fillId="0" borderId="96" xfId="0" applyNumberFormat="1" applyFont="1" applyBorder="1"/>
    <xf numFmtId="166" fontId="5" fillId="7" borderId="22" xfId="0" applyNumberFormat="1" applyFont="1" applyFill="1" applyBorder="1"/>
    <xf numFmtId="9" fontId="5" fillId="0" borderId="96" xfId="0" applyNumberFormat="1" applyFont="1" applyBorder="1"/>
    <xf numFmtId="9" fontId="5" fillId="7" borderId="22" xfId="0" applyNumberFormat="1" applyFont="1" applyFill="1" applyBorder="1"/>
    <xf numFmtId="166" fontId="5" fillId="0" borderId="24" xfId="0" applyNumberFormat="1" applyFont="1" applyBorder="1"/>
    <xf numFmtId="10" fontId="5" fillId="0" borderId="24" xfId="0" applyNumberFormat="1" applyFont="1" applyBorder="1"/>
    <xf numFmtId="10" fontId="5" fillId="0" borderId="0" xfId="0" applyNumberFormat="1" applyFont="1"/>
    <xf numFmtId="10" fontId="5" fillId="2" borderId="1" xfId="0" applyNumberFormat="1" applyFont="1" applyFill="1" applyBorder="1"/>
    <xf numFmtId="0" fontId="5" fillId="5" borderId="24" xfId="0" applyFont="1" applyFill="1" applyBorder="1" applyAlignment="1">
      <alignment horizontal="left"/>
    </xf>
    <xf numFmtId="0" fontId="5" fillId="5" borderId="23" xfId="0" applyFont="1" applyFill="1" applyBorder="1" applyAlignment="1">
      <alignment horizontal="left"/>
    </xf>
    <xf numFmtId="0" fontId="5" fillId="5" borderId="74" xfId="0" applyFont="1" applyFill="1" applyBorder="1" applyAlignment="1">
      <alignment horizontal="center"/>
    </xf>
    <xf numFmtId="3" fontId="5" fillId="5" borderId="24" xfId="0" applyNumberFormat="1" applyFont="1" applyFill="1" applyBorder="1" applyAlignment="1">
      <alignment horizontal="center"/>
    </xf>
    <xf numFmtId="166" fontId="5" fillId="5" borderId="24" xfId="0" applyNumberFormat="1" applyFont="1" applyFill="1" applyBorder="1"/>
    <xf numFmtId="166" fontId="5" fillId="12" borderId="97" xfId="0" applyNumberFormat="1" applyFont="1" applyFill="1" applyBorder="1"/>
    <xf numFmtId="166" fontId="5" fillId="12" borderId="13" xfId="0" applyNumberFormat="1" applyFont="1" applyFill="1" applyBorder="1"/>
    <xf numFmtId="166" fontId="5" fillId="2" borderId="22" xfId="0" applyNumberFormat="1" applyFont="1" applyFill="1" applyBorder="1"/>
    <xf numFmtId="3" fontId="5" fillId="12" borderId="97" xfId="0" applyNumberFormat="1" applyFont="1" applyFill="1" applyBorder="1" applyAlignment="1">
      <alignment horizontal="center"/>
    </xf>
    <xf numFmtId="9" fontId="5" fillId="5" borderId="23" xfId="0" applyNumberFormat="1" applyFont="1" applyFill="1" applyBorder="1"/>
    <xf numFmtId="166" fontId="5" fillId="12" borderId="24" xfId="0" applyNumberFormat="1" applyFont="1" applyFill="1" applyBorder="1"/>
    <xf numFmtId="166" fontId="5" fillId="13" borderId="24" xfId="0" applyNumberFormat="1" applyFont="1" applyFill="1" applyBorder="1"/>
    <xf numFmtId="10" fontId="5" fillId="12" borderId="24" xfId="0" applyNumberFormat="1" applyFont="1" applyFill="1" applyBorder="1"/>
    <xf numFmtId="10" fontId="5" fillId="5" borderId="1" xfId="0" applyNumberFormat="1" applyFont="1" applyFill="1" applyBorder="1"/>
    <xf numFmtId="0" fontId="5" fillId="0" borderId="15" xfId="0" applyFont="1" applyBorder="1" applyAlignment="1">
      <alignment horizontal="left"/>
    </xf>
    <xf numFmtId="3" fontId="5" fillId="0" borderId="24" xfId="0" applyNumberFormat="1" applyFont="1" applyBorder="1" applyAlignment="1">
      <alignment horizontal="center"/>
    </xf>
    <xf numFmtId="9" fontId="5" fillId="0" borderId="15" xfId="0" applyNumberFormat="1" applyFont="1" applyBorder="1"/>
    <xf numFmtId="0" fontId="5" fillId="0" borderId="24" xfId="0" applyFont="1" applyBorder="1" applyAlignment="1">
      <alignment horizontal="left"/>
    </xf>
    <xf numFmtId="3" fontId="5" fillId="0" borderId="0" xfId="0" applyNumberFormat="1" applyFont="1"/>
    <xf numFmtId="0" fontId="5" fillId="12" borderId="100" xfId="0" applyFont="1" applyFill="1" applyBorder="1"/>
    <xf numFmtId="0" fontId="10" fillId="2" borderId="24" xfId="0" applyFont="1" applyFill="1" applyBorder="1"/>
    <xf numFmtId="0" fontId="10" fillId="12" borderId="24" xfId="0" applyFont="1" applyFill="1" applyBorder="1" applyAlignment="1">
      <alignment horizontal="right"/>
    </xf>
    <xf numFmtId="3" fontId="8" fillId="12" borderId="24" xfId="0" applyNumberFormat="1" applyFont="1" applyFill="1" applyBorder="1"/>
    <xf numFmtId="166" fontId="8" fillId="12" borderId="24" xfId="0" applyNumberFormat="1" applyFont="1" applyFill="1" applyBorder="1" applyAlignment="1">
      <alignment horizontal="center"/>
    </xf>
    <xf numFmtId="166" fontId="8" fillId="12" borderId="24" xfId="0" applyNumberFormat="1" applyFont="1" applyFill="1" applyBorder="1" applyAlignment="1">
      <alignment horizontal="right"/>
    </xf>
    <xf numFmtId="166" fontId="8" fillId="12" borderId="24" xfId="0" applyNumberFormat="1" applyFont="1" applyFill="1" applyBorder="1"/>
    <xf numFmtId="166" fontId="27" fillId="2" borderId="24" xfId="0" applyNumberFormat="1" applyFont="1" applyFill="1" applyBorder="1"/>
    <xf numFmtId="3" fontId="8" fillId="12" borderId="24" xfId="0" applyNumberFormat="1" applyFont="1" applyFill="1" applyBorder="1" applyAlignment="1">
      <alignment horizontal="center"/>
    </xf>
    <xf numFmtId="166" fontId="8" fillId="2" borderId="24" xfId="0" applyNumberFormat="1" applyFont="1" applyFill="1" applyBorder="1"/>
    <xf numFmtId="0" fontId="10" fillId="12" borderId="100" xfId="0" applyFont="1" applyFill="1" applyBorder="1"/>
    <xf numFmtId="10" fontId="8" fillId="12" borderId="24" xfId="0" applyNumberFormat="1" applyFont="1" applyFill="1" applyBorder="1" applyAlignment="1">
      <alignment horizontal="center"/>
    </xf>
    <xf numFmtId="10" fontId="10" fillId="12" borderId="24" xfId="0" applyNumberFormat="1" applyFont="1" applyFill="1" applyBorder="1" applyAlignment="1">
      <alignment horizontal="center"/>
    </xf>
    <xf numFmtId="0" fontId="28" fillId="0" borderId="101" xfId="0" applyFont="1" applyBorder="1" applyAlignment="1" applyProtection="1">
      <alignment horizontal="left"/>
      <protection locked="0"/>
    </xf>
    <xf numFmtId="0" fontId="28" fillId="14" borderId="102" xfId="0" applyFont="1" applyFill="1" applyBorder="1" applyAlignment="1" applyProtection="1">
      <alignment horizontal="left"/>
      <protection locked="0"/>
    </xf>
    <xf numFmtId="0" fontId="0" fillId="0" borderId="101" xfId="0" applyBorder="1" applyAlignment="1" applyProtection="1">
      <alignment horizontal="left"/>
      <protection locked="0"/>
    </xf>
    <xf numFmtId="0" fontId="0" fillId="14" borderId="102" xfId="0" applyFill="1" applyBorder="1" applyAlignment="1" applyProtection="1">
      <alignment horizontal="left"/>
      <protection locked="0"/>
    </xf>
    <xf numFmtId="0" fontId="28" fillId="0" borderId="103" xfId="0" applyFont="1" applyBorder="1" applyAlignment="1" applyProtection="1">
      <alignment horizontal="left"/>
      <protection locked="0"/>
    </xf>
    <xf numFmtId="0" fontId="28" fillId="14" borderId="104" xfId="0" applyFont="1" applyFill="1" applyBorder="1" applyAlignment="1" applyProtection="1">
      <alignment horizontal="left"/>
      <protection locked="0"/>
    </xf>
    <xf numFmtId="0" fontId="28" fillId="0" borderId="104" xfId="0" applyFont="1" applyBorder="1" applyAlignment="1" applyProtection="1">
      <alignment horizontal="left"/>
      <protection locked="0"/>
    </xf>
    <xf numFmtId="3" fontId="29" fillId="0" borderId="101" xfId="0" applyNumberFormat="1" applyFont="1" applyBorder="1" applyAlignment="1" applyProtection="1">
      <alignment horizontal="center"/>
      <protection locked="0"/>
    </xf>
    <xf numFmtId="3" fontId="29" fillId="14" borderId="102" xfId="0" applyNumberFormat="1" applyFont="1" applyFill="1" applyBorder="1" applyAlignment="1" applyProtection="1">
      <alignment horizontal="center"/>
      <protection locked="0"/>
    </xf>
    <xf numFmtId="3" fontId="29" fillId="0" borderId="102" xfId="0" applyNumberFormat="1" applyFont="1" applyBorder="1" applyAlignment="1" applyProtection="1">
      <alignment horizontal="center"/>
      <protection locked="0"/>
    </xf>
    <xf numFmtId="44" fontId="29" fillId="0" borderId="101" xfId="1" applyFont="1" applyFill="1" applyBorder="1" applyProtection="1"/>
    <xf numFmtId="44" fontId="29" fillId="0" borderId="103" xfId="1" applyFont="1" applyFill="1" applyBorder="1" applyProtection="1"/>
    <xf numFmtId="44" fontId="29" fillId="15" borderId="101" xfId="1" applyFont="1" applyFill="1" applyBorder="1" applyProtection="1"/>
    <xf numFmtId="44" fontId="29" fillId="15" borderId="103" xfId="1" applyFont="1" applyFill="1" applyBorder="1" applyProtection="1"/>
    <xf numFmtId="10" fontId="0" fillId="0" borderId="0" xfId="0" applyNumberFormat="1"/>
    <xf numFmtId="165" fontId="10" fillId="0" borderId="19" xfId="0" applyNumberFormat="1" applyFont="1" applyBorder="1" applyAlignment="1">
      <alignment horizontal="center"/>
    </xf>
    <xf numFmtId="0" fontId="7" fillId="0" borderId="19" xfId="0" applyFont="1" applyBorder="1"/>
    <xf numFmtId="0" fontId="7" fillId="0" borderId="20" xfId="0" applyFont="1" applyBorder="1"/>
    <xf numFmtId="165" fontId="10" fillId="0" borderId="16" xfId="0" applyNumberFormat="1" applyFont="1" applyBorder="1" applyAlignment="1">
      <alignment horizontal="center"/>
    </xf>
    <xf numFmtId="0" fontId="7" fillId="0" borderId="16" xfId="0" applyFont="1" applyBorder="1"/>
    <xf numFmtId="0" fontId="7" fillId="0" borderId="17" xfId="0" applyFont="1" applyBorder="1"/>
    <xf numFmtId="9" fontId="10" fillId="0" borderId="27" xfId="0" applyNumberFormat="1" applyFont="1" applyBorder="1" applyAlignment="1">
      <alignment horizontal="center"/>
    </xf>
    <xf numFmtId="0" fontId="7" fillId="0" borderId="27" xfId="0" applyFont="1" applyBorder="1"/>
    <xf numFmtId="0" fontId="7" fillId="0" borderId="26" xfId="0" applyFont="1" applyBorder="1"/>
    <xf numFmtId="165" fontId="8" fillId="0" borderId="30" xfId="0" applyNumberFormat="1" applyFont="1" applyBorder="1" applyAlignment="1">
      <alignment horizontal="center" vertical="center"/>
    </xf>
    <xf numFmtId="0" fontId="7" fillId="0" borderId="30" xfId="0" applyFont="1" applyBorder="1"/>
    <xf numFmtId="0" fontId="7" fillId="0" borderId="29" xfId="0" applyFont="1" applyBorder="1"/>
    <xf numFmtId="0" fontId="8" fillId="6" borderId="18" xfId="0" applyFont="1" applyFill="1" applyBorder="1" applyAlignment="1">
      <alignment horizontal="center"/>
    </xf>
    <xf numFmtId="0" fontId="8" fillId="5" borderId="18" xfId="0" applyFont="1" applyFill="1" applyBorder="1" applyAlignment="1">
      <alignment horizontal="left"/>
    </xf>
    <xf numFmtId="0" fontId="8" fillId="6" borderId="15" xfId="0" applyFont="1" applyFill="1" applyBorder="1" applyAlignment="1">
      <alignment horizontal="center"/>
    </xf>
    <xf numFmtId="0" fontId="8" fillId="5" borderId="15" xfId="0" applyFont="1" applyFill="1" applyBorder="1" applyAlignment="1">
      <alignment horizontal="left"/>
    </xf>
    <xf numFmtId="0" fontId="8" fillId="6" borderId="31" xfId="0" applyFont="1" applyFill="1" applyBorder="1" applyAlignment="1">
      <alignment horizontal="center"/>
    </xf>
    <xf numFmtId="0" fontId="7" fillId="0" borderId="32" xfId="0" applyFont="1" applyBorder="1"/>
    <xf numFmtId="0" fontId="8" fillId="5" borderId="31" xfId="0" applyFont="1" applyFill="1" applyBorder="1" applyAlignment="1">
      <alignment horizontal="left"/>
    </xf>
    <xf numFmtId="165" fontId="8" fillId="0" borderId="16" xfId="0" applyNumberFormat="1" applyFont="1" applyBorder="1" applyAlignment="1">
      <alignment horizontal="center"/>
    </xf>
    <xf numFmtId="0" fontId="8" fillId="6" borderId="25" xfId="0" applyFont="1" applyFill="1" applyBorder="1" applyAlignment="1">
      <alignment horizontal="center"/>
    </xf>
    <xf numFmtId="0" fontId="8" fillId="6" borderId="28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right"/>
    </xf>
    <xf numFmtId="0" fontId="5" fillId="5" borderId="15" xfId="0" applyFont="1" applyFill="1" applyBorder="1" applyAlignment="1">
      <alignment horizontal="left"/>
    </xf>
    <xf numFmtId="0" fontId="8" fillId="4" borderId="18" xfId="0" applyFont="1" applyFill="1" applyBorder="1" applyAlignment="1">
      <alignment horizontal="right"/>
    </xf>
    <xf numFmtId="0" fontId="6" fillId="3" borderId="2" xfId="0" applyFont="1" applyFill="1" applyBorder="1" applyAlignment="1">
      <alignment horizontal="center"/>
    </xf>
    <xf numFmtId="0" fontId="7" fillId="0" borderId="3" xfId="0" applyFont="1" applyBorder="1"/>
    <xf numFmtId="0" fontId="6" fillId="3" borderId="4" xfId="0" applyFont="1" applyFill="1" applyBorder="1" applyAlignment="1">
      <alignment horizontal="center"/>
    </xf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6" fillId="3" borderId="9" xfId="0" applyFont="1" applyFill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0" fontId="6" fillId="3" borderId="12" xfId="0" applyFont="1" applyFill="1" applyBorder="1" applyAlignment="1">
      <alignment horizontal="center"/>
    </xf>
    <xf numFmtId="0" fontId="17" fillId="11" borderId="48" xfId="0" applyFont="1" applyFill="1" applyBorder="1" applyAlignment="1">
      <alignment horizontal="center" vertical="center"/>
    </xf>
    <xf numFmtId="0" fontId="7" fillId="0" borderId="50" xfId="0" applyFont="1" applyBorder="1"/>
    <xf numFmtId="0" fontId="7" fillId="0" borderId="49" xfId="0" applyFont="1" applyBorder="1"/>
    <xf numFmtId="0" fontId="7" fillId="0" borderId="55" xfId="0" applyFont="1" applyBorder="1"/>
    <xf numFmtId="0" fontId="0" fillId="0" borderId="0" xfId="0"/>
    <xf numFmtId="0" fontId="7" fillId="0" borderId="56" xfId="0" applyFont="1" applyBorder="1"/>
    <xf numFmtId="0" fontId="7" fillId="0" borderId="64" xfId="0" applyFont="1" applyBorder="1"/>
    <xf numFmtId="0" fontId="7" fillId="0" borderId="65" xfId="0" applyFont="1" applyBorder="1"/>
    <xf numFmtId="0" fontId="7" fillId="0" borderId="66" xfId="0" applyFont="1" applyBorder="1"/>
    <xf numFmtId="0" fontId="23" fillId="11" borderId="78" xfId="0" applyFont="1" applyFill="1" applyBorder="1" applyAlignment="1">
      <alignment horizontal="center" vertical="center"/>
    </xf>
    <xf numFmtId="0" fontId="7" fillId="0" borderId="79" xfId="0" applyFont="1" applyBorder="1"/>
    <xf numFmtId="0" fontId="7" fillId="0" borderId="80" xfId="0" applyFont="1" applyBorder="1"/>
    <xf numFmtId="0" fontId="15" fillId="11" borderId="92" xfId="0" applyFont="1" applyFill="1" applyBorder="1" applyAlignment="1">
      <alignment horizontal="center" vertical="center"/>
    </xf>
    <xf numFmtId="0" fontId="7" fillId="0" borderId="99" xfId="0" applyFont="1" applyBorder="1"/>
    <xf numFmtId="0" fontId="8" fillId="0" borderId="18" xfId="0" applyFont="1" applyBorder="1" applyAlignment="1">
      <alignment horizontal="center" vertical="center" wrapText="1"/>
    </xf>
    <xf numFmtId="165" fontId="8" fillId="10" borderId="39" xfId="0" applyNumberFormat="1" applyFont="1" applyFill="1" applyBorder="1" applyAlignment="1">
      <alignment horizontal="center" vertical="center"/>
    </xf>
    <xf numFmtId="0" fontId="7" fillId="0" borderId="41" xfId="0" applyFont="1" applyBorder="1"/>
    <xf numFmtId="0" fontId="7" fillId="0" borderId="44" xfId="0" applyFont="1" applyBorder="1"/>
    <xf numFmtId="9" fontId="10" fillId="0" borderId="39" xfId="0" applyNumberFormat="1" applyFont="1" applyBorder="1" applyAlignment="1">
      <alignment horizontal="center" vertical="center"/>
    </xf>
    <xf numFmtId="0" fontId="5" fillId="5" borderId="40" xfId="0" applyFont="1" applyFill="1" applyBorder="1" applyAlignment="1">
      <alignment horizontal="center"/>
    </xf>
    <xf numFmtId="0" fontId="7" fillId="0" borderId="42" xfId="0" applyFont="1" applyBorder="1"/>
    <xf numFmtId="0" fontId="7" fillId="0" borderId="45" xfId="0" applyFont="1" applyBorder="1"/>
    <xf numFmtId="165" fontId="8" fillId="0" borderId="16" xfId="0" applyNumberFormat="1" applyFont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/>
    </xf>
    <xf numFmtId="0" fontId="15" fillId="11" borderId="81" xfId="0" applyFont="1" applyFill="1" applyBorder="1" applyAlignment="1">
      <alignment horizontal="center" vertical="center" wrapText="1"/>
    </xf>
    <xf numFmtId="0" fontId="7" fillId="0" borderId="76" xfId="0" applyFont="1" applyBorder="1"/>
    <xf numFmtId="0" fontId="15" fillId="11" borderId="82" xfId="0" applyFont="1" applyFill="1" applyBorder="1" applyAlignment="1">
      <alignment horizontal="center" vertical="center" wrapText="1"/>
    </xf>
    <xf numFmtId="0" fontId="7" fillId="0" borderId="94" xfId="0" applyFont="1" applyBorder="1"/>
    <xf numFmtId="0" fontId="23" fillId="11" borderId="84" xfId="0" applyFont="1" applyFill="1" applyBorder="1" applyAlignment="1">
      <alignment horizontal="center" vertical="center" wrapText="1"/>
    </xf>
    <xf numFmtId="0" fontId="7" fillId="0" borderId="95" xfId="0" applyFont="1" applyBorder="1"/>
    <xf numFmtId="0" fontId="15" fillId="11" borderId="85" xfId="0" applyFont="1" applyFill="1" applyBorder="1" applyAlignment="1">
      <alignment horizontal="center" vertical="center" wrapText="1"/>
    </xf>
    <xf numFmtId="0" fontId="16" fillId="9" borderId="46" xfId="0" applyFont="1" applyFill="1" applyBorder="1" applyAlignment="1">
      <alignment horizontal="center"/>
    </xf>
    <xf numFmtId="0" fontId="7" fillId="0" borderId="47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7" xfId="0" applyFont="1" applyBorder="1"/>
    <xf numFmtId="0" fontId="7" fillId="0" borderId="75" xfId="0" applyFont="1" applyBorder="1"/>
    <xf numFmtId="0" fontId="6" fillId="11" borderId="48" xfId="0" applyFont="1" applyFill="1" applyBorder="1" applyAlignment="1">
      <alignment horizontal="center" vertical="center" wrapText="1"/>
    </xf>
    <xf numFmtId="0" fontId="7" fillId="0" borderId="61" xfId="0" applyFont="1" applyBorder="1"/>
    <xf numFmtId="0" fontId="7" fillId="0" borderId="62" xfId="0" applyFont="1" applyBorder="1"/>
    <xf numFmtId="0" fontId="19" fillId="11" borderId="48" xfId="0" applyFont="1" applyFill="1" applyBorder="1" applyAlignment="1">
      <alignment horizontal="center" vertical="center" wrapText="1"/>
    </xf>
    <xf numFmtId="0" fontId="7" fillId="0" borderId="51" xfId="0" applyFont="1" applyBorder="1"/>
    <xf numFmtId="0" fontId="7" fillId="0" borderId="60" xfId="0" applyFont="1" applyBorder="1"/>
    <xf numFmtId="0" fontId="7" fillId="0" borderId="58" xfId="0" applyFont="1" applyBorder="1"/>
    <xf numFmtId="0" fontId="7" fillId="0" borderId="59" xfId="0" applyFont="1" applyBorder="1"/>
    <xf numFmtId="0" fontId="6" fillId="11" borderId="4" xfId="0" applyFont="1" applyFill="1" applyBorder="1" applyAlignment="1">
      <alignment horizontal="center" vertical="center" wrapText="1"/>
    </xf>
    <xf numFmtId="9" fontId="9" fillId="5" borderId="71" xfId="0" applyNumberFormat="1" applyFont="1" applyFill="1" applyBorder="1" applyAlignment="1">
      <alignment horizontal="center" vertical="center" wrapText="1"/>
    </xf>
    <xf numFmtId="0" fontId="21" fillId="11" borderId="77" xfId="0" applyFont="1" applyFill="1" applyBorder="1" applyAlignment="1">
      <alignment horizontal="center" vertical="center" wrapText="1"/>
    </xf>
    <xf numFmtId="0" fontId="7" fillId="0" borderId="91" xfId="0" applyFont="1" applyBorder="1"/>
    <xf numFmtId="0" fontId="7" fillId="0" borderId="98" xfId="0" applyFont="1" applyBorder="1"/>
    <xf numFmtId="0" fontId="15" fillId="11" borderId="89" xfId="0" applyFont="1" applyFill="1" applyBorder="1" applyAlignment="1">
      <alignment horizontal="center" vertical="center" wrapText="1"/>
    </xf>
    <xf numFmtId="0" fontId="8" fillId="5" borderId="70" xfId="0" applyFont="1" applyFill="1" applyBorder="1" applyAlignment="1">
      <alignment horizontal="center" vertical="center" wrapText="1"/>
    </xf>
    <xf numFmtId="0" fontId="22" fillId="5" borderId="15" xfId="0" applyFont="1" applyFill="1" applyBorder="1" applyAlignment="1">
      <alignment horizontal="center" vertical="center"/>
    </xf>
    <xf numFmtId="0" fontId="15" fillId="11" borderId="86" xfId="0" applyFont="1" applyFill="1" applyBorder="1" applyAlignment="1">
      <alignment horizontal="center" vertical="center" wrapText="1"/>
    </xf>
    <xf numFmtId="0" fontId="7" fillId="0" borderId="87" xfId="0" applyFont="1" applyBorder="1"/>
    <xf numFmtId="0" fontId="17" fillId="11" borderId="70" xfId="0" applyFont="1" applyFill="1" applyBorder="1" applyAlignment="1">
      <alignment horizontal="center" vertical="center"/>
    </xf>
    <xf numFmtId="0" fontId="17" fillId="11" borderId="46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right" vertical="center"/>
    </xf>
  </cellXfs>
  <cellStyles count="2">
    <cellStyle name="Currency" xfId="1" builtinId="4"/>
    <cellStyle name="Normal" xfId="0" builtinId="0"/>
  </cellStyles>
  <dxfs count="84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56</xdr:row>
      <xdr:rowOff>0</xdr:rowOff>
    </xdr:from>
    <xdr:ext cx="3676650" cy="14001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3438525" cy="8667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381250" cy="542925"/>
    <xdr:pic>
      <xdr:nvPicPr>
        <xdr:cNvPr id="4" name="image5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27</xdr:row>
      <xdr:rowOff>123825</xdr:rowOff>
    </xdr:from>
    <xdr:ext cx="2628900" cy="33147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27</xdr:row>
      <xdr:rowOff>171450</xdr:rowOff>
    </xdr:from>
    <xdr:ext cx="3067050" cy="31337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280B3EFA-52E6-4DC4-9C48-B887F0F6689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62F38F2A-14E6-4762-91F7-9FD224A2AC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3B3AD09D-8BCD-44FB-8CE3-1B6E22EC30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832F4D8B-EDD5-4B62-AC76-CAE2E43276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AEC8ABE-FC22-4033-A9B7-9229565BC76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51EF589F-E252-4594-B821-256C1F4A55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EBA20959-0530-46E6-8CB6-76AF58FCC72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D8F28A12-FC40-4EF9-94C6-BE29098204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025A091B-C043-46B2-A218-34D870736F1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C8AD584E-BE37-4B33-98FD-43EB8B69BBD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DA6319AF-8C93-430B-BED5-751FBA5492E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8AC9FF79-6183-401B-BA42-029D5A61473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F9FB9FDB-36B6-4B4B-9708-A493FDACA7E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8D7F319-1A4F-4F7D-9F48-0A7D65619E1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E425CA95-D6D4-41A9-8279-FE21C4F0D2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9B596B5A-060B-4C70-9C05-C5098C4EEC5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F1B469E9-D6E8-47DB-B52B-FF8EC4839C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5B5A23E9-F6A8-4367-B342-9F823A11093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D75F8A3-B4E4-463A-9F46-2E5886E279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4B76CED2-0E12-4599-9616-1DD845839E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318385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6"/>
  <sheetViews>
    <sheetView tabSelected="1" workbookViewId="0">
      <selection activeCell="H15" sqref="H15"/>
    </sheetView>
  </sheetViews>
  <sheetFormatPr defaultColWidth="12.5546875" defaultRowHeight="15" customHeight="1" x14ac:dyDescent="0.3"/>
  <cols>
    <col min="1" max="1" width="5.44140625" customWidth="1"/>
    <col min="2" max="26" width="8.5546875" customWidth="1"/>
  </cols>
  <sheetData>
    <row r="1" spans="1:2" ht="14.4" x14ac:dyDescent="0.3">
      <c r="A1" s="1" t="s">
        <v>0</v>
      </c>
    </row>
    <row r="2" spans="1:2" ht="14.4" x14ac:dyDescent="0.3">
      <c r="A2" s="1" t="s">
        <v>1</v>
      </c>
    </row>
    <row r="4" spans="1:2" ht="14.4" x14ac:dyDescent="0.3">
      <c r="A4" s="2" t="s">
        <v>2</v>
      </c>
    </row>
    <row r="5" spans="1:2" ht="14.4" x14ac:dyDescent="0.3">
      <c r="A5" s="2" t="s">
        <v>3</v>
      </c>
    </row>
    <row r="7" spans="1:2" ht="14.4" x14ac:dyDescent="0.3">
      <c r="A7" s="3" t="s">
        <v>4</v>
      </c>
    </row>
    <row r="8" spans="1:2" ht="14.4" x14ac:dyDescent="0.3">
      <c r="B8" s="2" t="s">
        <v>5</v>
      </c>
    </row>
    <row r="10" spans="1:2" ht="14.4" x14ac:dyDescent="0.3">
      <c r="A10" s="3" t="s">
        <v>6</v>
      </c>
    </row>
    <row r="11" spans="1:2" ht="14.4" x14ac:dyDescent="0.3">
      <c r="B11" s="4" t="s">
        <v>7</v>
      </c>
    </row>
    <row r="12" spans="1:2" ht="14.4" x14ac:dyDescent="0.3">
      <c r="B12" s="4" t="s">
        <v>8</v>
      </c>
    </row>
    <row r="13" spans="1:2" ht="14.4" x14ac:dyDescent="0.3">
      <c r="B13" s="4" t="s">
        <v>9</v>
      </c>
    </row>
    <row r="15" spans="1:2" ht="14.4" x14ac:dyDescent="0.3">
      <c r="A15" s="3" t="s">
        <v>10</v>
      </c>
    </row>
    <row r="16" spans="1:2" ht="14.4" x14ac:dyDescent="0.3">
      <c r="B16" s="4" t="s">
        <v>11</v>
      </c>
    </row>
    <row r="17" spans="1:10" ht="14.4" x14ac:dyDescent="0.3">
      <c r="B17" s="4" t="s">
        <v>12</v>
      </c>
    </row>
    <row r="19" spans="1:10" ht="14.4" x14ac:dyDescent="0.3">
      <c r="A19" s="3" t="s">
        <v>13</v>
      </c>
    </row>
    <row r="20" spans="1:10" ht="14.4" x14ac:dyDescent="0.3">
      <c r="B20" s="4" t="s">
        <v>14</v>
      </c>
    </row>
    <row r="21" spans="1:10" ht="15.75" customHeight="1" x14ac:dyDescent="0.3">
      <c r="B21" s="4" t="s">
        <v>15</v>
      </c>
    </row>
    <row r="22" spans="1:10" ht="15.75" customHeight="1" x14ac:dyDescent="0.3">
      <c r="B22" s="4" t="s">
        <v>16</v>
      </c>
    </row>
    <row r="23" spans="1:10" ht="15.75" customHeight="1" x14ac:dyDescent="0.3">
      <c r="B23" s="4" t="s">
        <v>17</v>
      </c>
    </row>
    <row r="24" spans="1:10" ht="15.75" customHeight="1" x14ac:dyDescent="0.3">
      <c r="B24" s="4" t="s">
        <v>18</v>
      </c>
    </row>
    <row r="25" spans="1:10" ht="15.75" customHeight="1" x14ac:dyDescent="0.3"/>
    <row r="26" spans="1:10" ht="15.75" customHeight="1" x14ac:dyDescent="0.3">
      <c r="A26" s="3" t="s">
        <v>19</v>
      </c>
    </row>
    <row r="27" spans="1:10" ht="15.75" customHeight="1" x14ac:dyDescent="0.3">
      <c r="A27" s="2"/>
      <c r="B27" s="4" t="s">
        <v>20</v>
      </c>
      <c r="J27" s="4" t="s">
        <v>21</v>
      </c>
    </row>
    <row r="47" spans="1:1" ht="15.75" customHeight="1" x14ac:dyDescent="0.3">
      <c r="A47" s="3" t="s">
        <v>22</v>
      </c>
    </row>
    <row r="48" spans="1:1" ht="15.75" customHeight="1" x14ac:dyDescent="0.3">
      <c r="A48" s="4" t="s">
        <v>23</v>
      </c>
    </row>
    <row r="49" spans="1:2" ht="15.75" customHeight="1" x14ac:dyDescent="0.3">
      <c r="B49" s="4" t="s">
        <v>24</v>
      </c>
    </row>
    <row r="50" spans="1:2" ht="15.75" customHeight="1" x14ac:dyDescent="0.3"/>
    <row r="51" spans="1:2" ht="15.75" customHeight="1" x14ac:dyDescent="0.3"/>
    <row r="52" spans="1:2" ht="15.75" customHeight="1" x14ac:dyDescent="0.3"/>
    <row r="53" spans="1:2" ht="15.75" customHeight="1" x14ac:dyDescent="0.3"/>
    <row r="54" spans="1:2" ht="15.75" customHeight="1" x14ac:dyDescent="0.3"/>
    <row r="55" spans="1:2" ht="15.75" customHeight="1" x14ac:dyDescent="0.3">
      <c r="A55" s="4" t="s">
        <v>25</v>
      </c>
    </row>
    <row r="56" spans="1:2" ht="15.75" customHeight="1" x14ac:dyDescent="0.3">
      <c r="B56" s="4" t="s">
        <v>26</v>
      </c>
    </row>
    <row r="65" spans="1:2" ht="15.75" customHeight="1" x14ac:dyDescent="0.3">
      <c r="A65" s="4" t="s">
        <v>27</v>
      </c>
    </row>
    <row r="66" spans="1:2" ht="15.75" customHeight="1" x14ac:dyDescent="0.3">
      <c r="B66" s="4" t="s">
        <v>28</v>
      </c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110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x14ac:dyDescent="0.3">
      <c r="B5" s="20" t="s">
        <v>49</v>
      </c>
      <c r="C5" s="11"/>
      <c r="D5" s="169" t="s">
        <v>50</v>
      </c>
      <c r="E5" s="150"/>
      <c r="F5" s="151"/>
      <c r="G5" s="170" t="s">
        <v>109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110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237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x14ac:dyDescent="0.3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302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s="131" t="s">
        <v>111</v>
      </c>
      <c r="C19" s="135" t="s">
        <v>125</v>
      </c>
      <c r="D19" s="87"/>
      <c r="E19" s="88"/>
      <c r="F19" s="138">
        <v>2</v>
      </c>
      <c r="G19" t="s">
        <v>139</v>
      </c>
      <c r="H19" s="141" t="s">
        <v>153</v>
      </c>
      <c r="I19" s="142" t="s">
        <v>167</v>
      </c>
      <c r="J19" s="92"/>
      <c r="K19">
        <v>2</v>
      </c>
      <c r="L19" s="90" t="s">
        <v>181</v>
      </c>
      <c r="M19" s="90" t="s">
        <v>195</v>
      </c>
      <c r="N19" s="93"/>
      <c r="O19" s="94"/>
      <c r="P19" s="86"/>
      <c r="Q19" s="95"/>
      <c r="R19" s="95"/>
      <c r="S19" t="s">
        <v>209</v>
      </c>
      <c r="T19" t="s">
        <v>223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s="132" t="s">
        <v>112</v>
      </c>
      <c r="C20" s="136" t="s">
        <v>126</v>
      </c>
      <c r="D20" s="87"/>
      <c r="E20" s="101"/>
      <c r="F20" s="139">
        <v>18</v>
      </c>
      <c r="G20" t="s">
        <v>140</v>
      </c>
      <c r="H20" s="143" t="s">
        <v>154</v>
      </c>
      <c r="I20" s="144" t="s">
        <v>168</v>
      </c>
      <c r="J20" s="106"/>
      <c r="K20">
        <v>18</v>
      </c>
      <c r="L20" s="104" t="s">
        <v>182</v>
      </c>
      <c r="M20" s="104" t="s">
        <v>196</v>
      </c>
      <c r="N20" s="108"/>
      <c r="O20" s="94"/>
      <c r="P20" s="99"/>
      <c r="Q20" s="103"/>
      <c r="R20" s="109"/>
      <c r="S20" t="s">
        <v>210</v>
      </c>
      <c r="T20" t="s">
        <v>224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s="133" t="s">
        <v>113</v>
      </c>
      <c r="C21" s="137" t="s">
        <v>127</v>
      </c>
      <c r="D21" s="87"/>
      <c r="E21" s="88"/>
      <c r="F21" s="140">
        <v>54</v>
      </c>
      <c r="G21" t="s">
        <v>141</v>
      </c>
      <c r="H21" s="141" t="s">
        <v>155</v>
      </c>
      <c r="I21" s="142" t="s">
        <v>169</v>
      </c>
      <c r="J21" s="106"/>
      <c r="K21">
        <v>54</v>
      </c>
      <c r="L21" s="90" t="s">
        <v>183</v>
      </c>
      <c r="M21" s="90" t="s">
        <v>197</v>
      </c>
      <c r="N21" s="115"/>
      <c r="O21" s="94"/>
      <c r="P21" s="116"/>
      <c r="Q21" s="95"/>
      <c r="R21" s="95"/>
      <c r="S21" t="s">
        <v>211</v>
      </c>
      <c r="T21" t="s">
        <v>225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s="132" t="s">
        <v>114</v>
      </c>
      <c r="C22" s="136" t="s">
        <v>128</v>
      </c>
      <c r="D22" s="87"/>
      <c r="E22" s="101"/>
      <c r="F22" s="139">
        <v>54</v>
      </c>
      <c r="G22" t="s">
        <v>142</v>
      </c>
      <c r="H22" s="143" t="s">
        <v>156</v>
      </c>
      <c r="I22" s="144" t="s">
        <v>170</v>
      </c>
      <c r="J22" s="106"/>
      <c r="K22">
        <v>54</v>
      </c>
      <c r="L22" s="104" t="s">
        <v>184</v>
      </c>
      <c r="M22" s="104" t="s">
        <v>198</v>
      </c>
      <c r="N22" s="108"/>
      <c r="O22" s="94"/>
      <c r="P22" s="99"/>
      <c r="Q22" s="103"/>
      <c r="R22" s="109"/>
      <c r="S22" t="s">
        <v>212</v>
      </c>
      <c r="T22" t="s">
        <v>226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s="131" t="s">
        <v>115</v>
      </c>
      <c r="C23" s="137" t="s">
        <v>129</v>
      </c>
      <c r="D23" s="87"/>
      <c r="E23" s="88"/>
      <c r="F23" s="140">
        <v>2</v>
      </c>
      <c r="G23" t="s">
        <v>143</v>
      </c>
      <c r="H23" s="141" t="s">
        <v>157</v>
      </c>
      <c r="I23" s="142" t="s">
        <v>171</v>
      </c>
      <c r="J23" s="106"/>
      <c r="K23">
        <v>2</v>
      </c>
      <c r="L23" s="90" t="s">
        <v>185</v>
      </c>
      <c r="M23" s="90" t="s">
        <v>199</v>
      </c>
      <c r="N23" s="115"/>
      <c r="O23" s="94"/>
      <c r="P23" s="116"/>
      <c r="Q23" s="95"/>
      <c r="R23" s="95"/>
      <c r="S23" t="s">
        <v>213</v>
      </c>
      <c r="T23" t="s">
        <v>227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s="132" t="s">
        <v>116</v>
      </c>
      <c r="C24" s="136" t="s">
        <v>130</v>
      </c>
      <c r="D24" s="87"/>
      <c r="E24" s="101"/>
      <c r="F24" s="139">
        <v>4</v>
      </c>
      <c r="G24" t="s">
        <v>144</v>
      </c>
      <c r="H24" s="143" t="s">
        <v>158</v>
      </c>
      <c r="I24" s="144" t="s">
        <v>172</v>
      </c>
      <c r="J24" s="106"/>
      <c r="K24">
        <v>4</v>
      </c>
      <c r="L24" s="104" t="s">
        <v>186</v>
      </c>
      <c r="M24" s="104" t="s">
        <v>200</v>
      </c>
      <c r="N24" s="108"/>
      <c r="O24" s="94"/>
      <c r="P24" s="99"/>
      <c r="Q24" s="103"/>
      <c r="R24" s="109"/>
      <c r="S24" t="s">
        <v>214</v>
      </c>
      <c r="T24" t="s">
        <v>228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s="131" t="s">
        <v>117</v>
      </c>
      <c r="C25" s="137" t="s">
        <v>131</v>
      </c>
      <c r="D25" s="87"/>
      <c r="E25" s="88"/>
      <c r="F25" s="140">
        <v>4</v>
      </c>
      <c r="G25" t="s">
        <v>145</v>
      </c>
      <c r="H25" s="141" t="s">
        <v>159</v>
      </c>
      <c r="I25" s="142" t="s">
        <v>173</v>
      </c>
      <c r="J25" s="106"/>
      <c r="K25">
        <v>4</v>
      </c>
      <c r="L25" s="90" t="s">
        <v>187</v>
      </c>
      <c r="M25" s="90" t="s">
        <v>201</v>
      </c>
      <c r="N25" s="115"/>
      <c r="O25" s="94"/>
      <c r="P25" s="116"/>
      <c r="Q25" s="95"/>
      <c r="R25" s="95"/>
      <c r="S25" t="s">
        <v>215</v>
      </c>
      <c r="T25" t="s">
        <v>229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s="134" t="s">
        <v>118</v>
      </c>
      <c r="C26" s="136" t="s">
        <v>132</v>
      </c>
      <c r="D26" s="87"/>
      <c r="E26" s="101"/>
      <c r="F26" s="139">
        <v>4</v>
      </c>
      <c r="G26" t="s">
        <v>146</v>
      </c>
      <c r="H26" s="143" t="s">
        <v>160</v>
      </c>
      <c r="I26" s="144" t="s">
        <v>174</v>
      </c>
      <c r="J26" s="106"/>
      <c r="K26">
        <v>4</v>
      </c>
      <c r="L26" s="104" t="s">
        <v>188</v>
      </c>
      <c r="M26" s="104" t="s">
        <v>202</v>
      </c>
      <c r="N26" s="108"/>
      <c r="O26" s="94"/>
      <c r="P26" s="99"/>
      <c r="Q26" s="103"/>
      <c r="R26" s="109"/>
      <c r="S26" t="s">
        <v>216</v>
      </c>
      <c r="T26" t="s">
        <v>230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s="131" t="s">
        <v>119</v>
      </c>
      <c r="C27" s="137" t="s">
        <v>133</v>
      </c>
      <c r="D27" s="87"/>
      <c r="E27" s="88"/>
      <c r="F27" s="140">
        <v>8</v>
      </c>
      <c r="G27" t="s">
        <v>147</v>
      </c>
      <c r="H27" s="141" t="s">
        <v>161</v>
      </c>
      <c r="I27" s="142" t="s">
        <v>175</v>
      </c>
      <c r="J27" s="106"/>
      <c r="K27">
        <v>8</v>
      </c>
      <c r="L27" s="90" t="s">
        <v>189</v>
      </c>
      <c r="M27" s="90" t="s">
        <v>203</v>
      </c>
      <c r="N27" s="115"/>
      <c r="O27" s="94"/>
      <c r="P27" s="116"/>
      <c r="Q27" s="95"/>
      <c r="R27" s="95"/>
      <c r="S27" t="s">
        <v>217</v>
      </c>
      <c r="T27" t="s">
        <v>231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s="134" t="s">
        <v>120</v>
      </c>
      <c r="C28" s="136" t="s">
        <v>134</v>
      </c>
      <c r="D28" s="87"/>
      <c r="E28" s="101"/>
      <c r="F28" s="139">
        <v>8</v>
      </c>
      <c r="G28" t="s">
        <v>148</v>
      </c>
      <c r="H28" s="143" t="s">
        <v>162</v>
      </c>
      <c r="I28" s="144" t="s">
        <v>176</v>
      </c>
      <c r="J28" s="106"/>
      <c r="K28">
        <v>8</v>
      </c>
      <c r="L28" s="104" t="s">
        <v>190</v>
      </c>
      <c r="M28" s="104" t="s">
        <v>204</v>
      </c>
      <c r="N28" s="108"/>
      <c r="O28" s="94"/>
      <c r="P28" s="99"/>
      <c r="Q28" s="103"/>
      <c r="R28" s="109"/>
      <c r="S28" t="s">
        <v>218</v>
      </c>
      <c r="T28" t="s">
        <v>232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s="131" t="s">
        <v>121</v>
      </c>
      <c r="C29" s="137" t="s">
        <v>135</v>
      </c>
      <c r="D29" s="87"/>
      <c r="E29" s="88"/>
      <c r="F29" s="140">
        <v>4</v>
      </c>
      <c r="G29" t="s">
        <v>149</v>
      </c>
      <c r="H29" s="141" t="s">
        <v>163</v>
      </c>
      <c r="I29" s="142" t="s">
        <v>177</v>
      </c>
      <c r="J29" s="106"/>
      <c r="K29">
        <v>4</v>
      </c>
      <c r="L29" s="90" t="s">
        <v>191</v>
      </c>
      <c r="M29" s="90" t="s">
        <v>205</v>
      </c>
      <c r="N29" s="115"/>
      <c r="O29" s="94"/>
      <c r="P29" s="116"/>
      <c r="Q29" s="95"/>
      <c r="R29" s="95"/>
      <c r="S29" t="s">
        <v>219</v>
      </c>
      <c r="T29" t="s">
        <v>233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s="134" t="s">
        <v>122</v>
      </c>
      <c r="C30" s="136" t="s">
        <v>136</v>
      </c>
      <c r="D30" s="87"/>
      <c r="E30" s="101"/>
      <c r="F30" s="139">
        <v>12</v>
      </c>
      <c r="G30" t="s">
        <v>150</v>
      </c>
      <c r="H30" s="143" t="s">
        <v>164</v>
      </c>
      <c r="I30" s="144" t="s">
        <v>178</v>
      </c>
      <c r="J30" s="106"/>
      <c r="K30">
        <v>12</v>
      </c>
      <c r="L30" s="104" t="s">
        <v>192</v>
      </c>
      <c r="M30" s="104" t="s">
        <v>206</v>
      </c>
      <c r="N30" s="108"/>
      <c r="O30" s="94"/>
      <c r="P30" s="99"/>
      <c r="Q30" s="103"/>
      <c r="R30" s="109"/>
      <c r="S30" t="s">
        <v>220</v>
      </c>
      <c r="T30" t="s">
        <v>234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s="131" t="s">
        <v>123</v>
      </c>
      <c r="C31" s="137" t="s">
        <v>137</v>
      </c>
      <c r="D31" s="87"/>
      <c r="E31" s="88"/>
      <c r="F31" s="140">
        <v>64</v>
      </c>
      <c r="G31" t="s">
        <v>151</v>
      </c>
      <c r="H31" s="141" t="s">
        <v>165</v>
      </c>
      <c r="I31" s="142" t="s">
        <v>179</v>
      </c>
      <c r="J31" s="106"/>
      <c r="K31">
        <v>64</v>
      </c>
      <c r="L31" s="90" t="s">
        <v>193</v>
      </c>
      <c r="M31" s="90" t="s">
        <v>207</v>
      </c>
      <c r="N31" s="115"/>
      <c r="O31" s="94"/>
      <c r="P31" s="116"/>
      <c r="Q31" s="95"/>
      <c r="R31" s="95"/>
      <c r="S31" t="s">
        <v>221</v>
      </c>
      <c r="T31" t="s">
        <v>235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 t="s">
        <v>124</v>
      </c>
      <c r="C32" s="136" t="s">
        <v>138</v>
      </c>
      <c r="D32" s="87"/>
      <c r="E32" s="101"/>
      <c r="F32" s="139">
        <v>64</v>
      </c>
      <c r="G32" t="s">
        <v>152</v>
      </c>
      <c r="H32" s="143" t="s">
        <v>166</v>
      </c>
      <c r="I32" s="144" t="s">
        <v>180</v>
      </c>
      <c r="J32" s="106"/>
      <c r="K32">
        <v>64</v>
      </c>
      <c r="L32" s="104" t="s">
        <v>194</v>
      </c>
      <c r="M32" s="104" t="s">
        <v>208</v>
      </c>
      <c r="N32" s="108"/>
      <c r="O32" s="94"/>
      <c r="P32" s="99"/>
      <c r="Q32" s="103"/>
      <c r="R32" s="109"/>
      <c r="S32" t="s">
        <v>222</v>
      </c>
      <c r="T32" t="s">
        <v>236</v>
      </c>
      <c r="U32" s="145">
        <v>0</v>
      </c>
      <c r="V32" s="145">
        <v>1</v>
      </c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302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302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D6:F6"/>
    <mergeCell ref="G6:H6"/>
    <mergeCell ref="I6:K6"/>
    <mergeCell ref="G4:H4"/>
    <mergeCell ref="I4:K4"/>
    <mergeCell ref="I5:K5"/>
    <mergeCell ref="D4:F4"/>
    <mergeCell ref="D5:F5"/>
    <mergeCell ref="G5:H5"/>
    <mergeCell ref="I7:K7"/>
    <mergeCell ref="I8:K8"/>
    <mergeCell ref="G16:I16"/>
    <mergeCell ref="G17:H17"/>
    <mergeCell ref="D7:F7"/>
    <mergeCell ref="G8:H8"/>
    <mergeCell ref="G15:I15"/>
    <mergeCell ref="G12:I13"/>
    <mergeCell ref="G14:H14"/>
    <mergeCell ref="D10:F10"/>
    <mergeCell ref="G10:H10"/>
    <mergeCell ref="D8:F8"/>
    <mergeCell ref="D9:F9"/>
    <mergeCell ref="G9:H9"/>
    <mergeCell ref="K12:N14"/>
    <mergeCell ref="K15:L16"/>
    <mergeCell ref="M15:M16"/>
    <mergeCell ref="N16:N18"/>
    <mergeCell ref="K17:K18"/>
    <mergeCell ref="L18:M18"/>
    <mergeCell ref="B17:B18"/>
    <mergeCell ref="C17:C18"/>
    <mergeCell ref="E17:E18"/>
    <mergeCell ref="F17:F18"/>
    <mergeCell ref="B12:C16"/>
    <mergeCell ref="E12:F14"/>
    <mergeCell ref="P8:R8"/>
    <mergeCell ref="M11:N11"/>
    <mergeCell ref="V9:V11"/>
    <mergeCell ref="W9:W11"/>
    <mergeCell ref="P10:R10"/>
    <mergeCell ref="T9:T11"/>
    <mergeCell ref="U9:U11"/>
    <mergeCell ref="P9:R9"/>
    <mergeCell ref="P11:R11"/>
    <mergeCell ref="M9:N9"/>
    <mergeCell ref="M10:N10"/>
    <mergeCell ref="M8:N8"/>
    <mergeCell ref="P12:V14"/>
    <mergeCell ref="P16:V16"/>
    <mergeCell ref="P17:P18"/>
    <mergeCell ref="R18:V18"/>
    <mergeCell ref="S9:S11"/>
    <mergeCell ref="B1:C1"/>
    <mergeCell ref="D1:H1"/>
    <mergeCell ref="I1:L1"/>
    <mergeCell ref="M1:O1"/>
    <mergeCell ref="S1:W1"/>
    <mergeCell ref="P1:R1"/>
    <mergeCell ref="D2:F2"/>
    <mergeCell ref="M2:N2"/>
    <mergeCell ref="G2:H2"/>
    <mergeCell ref="I2:K2"/>
    <mergeCell ref="D3:F3"/>
    <mergeCell ref="G3:H3"/>
    <mergeCell ref="I3:K3"/>
    <mergeCell ref="M3:N3"/>
    <mergeCell ref="M4:N4"/>
    <mergeCell ref="S5:T5"/>
    <mergeCell ref="S6:T6"/>
    <mergeCell ref="S7:T7"/>
    <mergeCell ref="U6:V6"/>
    <mergeCell ref="U7:V7"/>
    <mergeCell ref="U5:V5"/>
    <mergeCell ref="P7:R7"/>
    <mergeCell ref="M5:N5"/>
    <mergeCell ref="M6:N6"/>
    <mergeCell ref="M7:N7"/>
    <mergeCell ref="S2:T2"/>
    <mergeCell ref="U2:V2"/>
    <mergeCell ref="S3:T3"/>
    <mergeCell ref="U3:V3"/>
    <mergeCell ref="S4:T4"/>
    <mergeCell ref="U4:V4"/>
    <mergeCell ref="P2:R2"/>
    <mergeCell ref="P3:R3"/>
    <mergeCell ref="P4:R4"/>
    <mergeCell ref="P5:R5"/>
    <mergeCell ref="P6:R6"/>
  </mergeCells>
  <conditionalFormatting sqref="U9:U11">
    <cfRule type="expression" dxfId="83" priority="1" stopIfTrue="1">
      <formula>$U$9&gt;100%</formula>
    </cfRule>
    <cfRule type="expression" dxfId="82" priority="2">
      <formula>$U$9&lt;50%</formula>
    </cfRule>
  </conditionalFormatting>
  <conditionalFormatting sqref="V9:V11">
    <cfRule type="expression" dxfId="81" priority="3">
      <formula>$V$9&lt;50%</formula>
    </cfRule>
    <cfRule type="expression" dxfId="80" priority="4">
      <formula>$V$9&gt;50%</formula>
    </cfRule>
  </conditionalFormatting>
  <dataValidations count="4">
    <dataValidation type="list" allowBlank="1" showErrorMessage="1" sqref="E19:E49" xr:uid="{00000000-0002-0000-0100-000000000000}">
      <formula1>$Z$19:$Z$30</formula1>
    </dataValidation>
    <dataValidation type="list" allowBlank="1" showErrorMessage="1" sqref="I14" xr:uid="{00000000-0002-0000-0100-000001000000}">
      <formula1>$Y$14:$Y$15</formula1>
    </dataValidation>
    <dataValidation type="list" allowBlank="1" showErrorMessage="1" sqref="J14" xr:uid="{00000000-0002-0000-0100-000002000000}">
      <formula1>$L$9</formula1>
    </dataValidation>
    <dataValidation type="list" allowBlank="1" showErrorMessage="1" sqref="Q15 G18 L18 Q18" xr:uid="{00000000-0002-0000-0100-00000300000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58FA-2599-4F98-B563-4547AE2427F4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>
        <v>70180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238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>
        <v>70180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237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384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239</v>
      </c>
      <c r="C19" t="s">
        <v>240</v>
      </c>
      <c r="D19" s="87"/>
      <c r="E19" s="88"/>
      <c r="F19">
        <v>90</v>
      </c>
      <c r="G19" t="s">
        <v>255</v>
      </c>
      <c r="H19" t="s">
        <v>266</v>
      </c>
      <c r="I19" t="s">
        <v>279</v>
      </c>
      <c r="J19" s="92"/>
      <c r="K19">
        <v>90</v>
      </c>
      <c r="L19" t="s">
        <v>292</v>
      </c>
      <c r="M19" t="s">
        <v>305</v>
      </c>
      <c r="N19" s="93"/>
      <c r="O19" s="94"/>
      <c r="P19" s="86"/>
      <c r="Q19" s="95"/>
      <c r="R19" s="95"/>
      <c r="S19" t="s">
        <v>317</v>
      </c>
      <c r="T19" t="s">
        <v>328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241</v>
      </c>
      <c r="C20" t="s">
        <v>132</v>
      </c>
      <c r="D20" s="87"/>
      <c r="E20" s="101"/>
      <c r="F20">
        <v>4</v>
      </c>
      <c r="G20" t="s">
        <v>256</v>
      </c>
      <c r="H20" t="s">
        <v>267</v>
      </c>
      <c r="I20" t="s">
        <v>280</v>
      </c>
      <c r="J20" s="106"/>
      <c r="K20">
        <v>4</v>
      </c>
      <c r="L20" t="s">
        <v>293</v>
      </c>
      <c r="M20" t="s">
        <v>306</v>
      </c>
      <c r="N20" s="108"/>
      <c r="O20" s="94"/>
      <c r="P20" s="99"/>
      <c r="Q20" s="103"/>
      <c r="R20" s="109"/>
      <c r="S20" t="s">
        <v>318</v>
      </c>
      <c r="T20" t="s">
        <v>329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119</v>
      </c>
      <c r="C21" t="s">
        <v>133</v>
      </c>
      <c r="D21" s="87"/>
      <c r="E21" s="88"/>
      <c r="F21">
        <v>8</v>
      </c>
      <c r="G21" t="s">
        <v>147</v>
      </c>
      <c r="H21" t="s">
        <v>268</v>
      </c>
      <c r="I21" t="s">
        <v>281</v>
      </c>
      <c r="J21" s="106"/>
      <c r="K21">
        <v>8</v>
      </c>
      <c r="L21" t="s">
        <v>294</v>
      </c>
      <c r="M21" t="s">
        <v>307</v>
      </c>
      <c r="N21" s="115"/>
      <c r="O21" s="94"/>
      <c r="P21" s="116"/>
      <c r="Q21" s="95"/>
      <c r="R21" s="95"/>
      <c r="S21" t="s">
        <v>217</v>
      </c>
      <c r="T21" t="s">
        <v>231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120</v>
      </c>
      <c r="C22" t="s">
        <v>134</v>
      </c>
      <c r="D22" s="87"/>
      <c r="E22" s="101"/>
      <c r="F22">
        <v>8</v>
      </c>
      <c r="G22" t="s">
        <v>148</v>
      </c>
      <c r="H22" t="s">
        <v>269</v>
      </c>
      <c r="I22" t="s">
        <v>282</v>
      </c>
      <c r="J22" s="106"/>
      <c r="K22">
        <v>8</v>
      </c>
      <c r="L22" t="s">
        <v>295</v>
      </c>
      <c r="M22" t="s">
        <v>228</v>
      </c>
      <c r="N22" s="108"/>
      <c r="O22" s="94"/>
      <c r="P22" s="99"/>
      <c r="Q22" s="103"/>
      <c r="R22" s="109"/>
      <c r="S22" t="s">
        <v>218</v>
      </c>
      <c r="T22" t="s">
        <v>232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242</v>
      </c>
      <c r="C23" t="s">
        <v>136</v>
      </c>
      <c r="D23" s="87"/>
      <c r="E23" s="88"/>
      <c r="F23">
        <v>12</v>
      </c>
      <c r="G23" t="s">
        <v>257</v>
      </c>
      <c r="H23" t="s">
        <v>270</v>
      </c>
      <c r="I23" t="s">
        <v>283</v>
      </c>
      <c r="J23" s="106"/>
      <c r="K23">
        <v>12</v>
      </c>
      <c r="L23" t="s">
        <v>296</v>
      </c>
      <c r="M23" t="s">
        <v>308</v>
      </c>
      <c r="N23" s="115"/>
      <c r="O23" s="94"/>
      <c r="P23" s="116"/>
      <c r="Q23" s="95"/>
      <c r="R23" s="95"/>
      <c r="S23" t="s">
        <v>319</v>
      </c>
      <c r="T23" t="s">
        <v>330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243</v>
      </c>
      <c r="C24" t="s">
        <v>135</v>
      </c>
      <c r="D24" s="87"/>
      <c r="E24" s="101"/>
      <c r="F24">
        <v>4</v>
      </c>
      <c r="G24" t="s">
        <v>258</v>
      </c>
      <c r="H24" t="s">
        <v>271</v>
      </c>
      <c r="I24" t="s">
        <v>284</v>
      </c>
      <c r="J24" s="106"/>
      <c r="K24">
        <v>4</v>
      </c>
      <c r="L24" t="s">
        <v>297</v>
      </c>
      <c r="M24" t="s">
        <v>309</v>
      </c>
      <c r="N24" s="108"/>
      <c r="O24" s="94"/>
      <c r="P24" s="99"/>
      <c r="Q24" s="103"/>
      <c r="R24" s="109"/>
      <c r="S24" t="s">
        <v>320</v>
      </c>
      <c r="T24" t="s">
        <v>331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244</v>
      </c>
      <c r="C25" t="s">
        <v>137</v>
      </c>
      <c r="D25" s="87"/>
      <c r="E25" s="88"/>
      <c r="F25">
        <v>64</v>
      </c>
      <c r="G25" t="s">
        <v>259</v>
      </c>
      <c r="H25" t="s">
        <v>272</v>
      </c>
      <c r="I25" t="s">
        <v>285</v>
      </c>
      <c r="J25" s="106"/>
      <c r="K25">
        <v>64</v>
      </c>
      <c r="L25" t="s">
        <v>298</v>
      </c>
      <c r="M25" t="s">
        <v>310</v>
      </c>
      <c r="N25" s="115"/>
      <c r="O25" s="94"/>
      <c r="P25" s="116"/>
      <c r="Q25" s="95"/>
      <c r="R25" s="95"/>
      <c r="S25" t="s">
        <v>321</v>
      </c>
      <c r="T25" t="s">
        <v>332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245</v>
      </c>
      <c r="C26" t="s">
        <v>138</v>
      </c>
      <c r="D26" s="87"/>
      <c r="E26" s="101"/>
      <c r="F26">
        <v>64</v>
      </c>
      <c r="G26" t="s">
        <v>260</v>
      </c>
      <c r="H26" t="s">
        <v>273</v>
      </c>
      <c r="I26" t="s">
        <v>286</v>
      </c>
      <c r="J26" s="106"/>
      <c r="K26">
        <v>64</v>
      </c>
      <c r="L26" t="s">
        <v>299</v>
      </c>
      <c r="M26" t="s">
        <v>311</v>
      </c>
      <c r="N26" s="108"/>
      <c r="O26" s="94"/>
      <c r="P26" s="99"/>
      <c r="Q26" s="103"/>
      <c r="R26" s="109"/>
      <c r="S26" t="s">
        <v>322</v>
      </c>
      <c r="T26" t="s">
        <v>333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246</v>
      </c>
      <c r="C27" t="s">
        <v>247</v>
      </c>
      <c r="D27" s="87"/>
      <c r="E27" s="88"/>
      <c r="F27">
        <v>2</v>
      </c>
      <c r="G27" t="s">
        <v>261</v>
      </c>
      <c r="H27" t="s">
        <v>274</v>
      </c>
      <c r="I27" t="s">
        <v>287</v>
      </c>
      <c r="J27" s="106"/>
      <c r="K27">
        <v>2</v>
      </c>
      <c r="L27" t="s">
        <v>300</v>
      </c>
      <c r="M27" t="s">
        <v>312</v>
      </c>
      <c r="N27" s="115"/>
      <c r="O27" s="94"/>
      <c r="P27" s="116"/>
      <c r="Q27" s="95"/>
      <c r="R27" s="95"/>
      <c r="S27" t="s">
        <v>323</v>
      </c>
      <c r="T27" t="s">
        <v>334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248</v>
      </c>
      <c r="C28" t="s">
        <v>249</v>
      </c>
      <c r="D28" s="87"/>
      <c r="E28" s="101"/>
      <c r="F28">
        <v>18</v>
      </c>
      <c r="G28" t="s">
        <v>262</v>
      </c>
      <c r="H28" t="s">
        <v>275</v>
      </c>
      <c r="I28" t="s">
        <v>288</v>
      </c>
      <c r="J28" s="106"/>
      <c r="K28">
        <v>18</v>
      </c>
      <c r="L28" t="s">
        <v>301</v>
      </c>
      <c r="M28" t="s">
        <v>313</v>
      </c>
      <c r="N28" s="108"/>
      <c r="O28" s="94"/>
      <c r="P28" s="99"/>
      <c r="Q28" s="103"/>
      <c r="R28" s="109"/>
      <c r="S28" t="s">
        <v>324</v>
      </c>
      <c r="T28" t="s">
        <v>335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250</v>
      </c>
      <c r="C29" t="s">
        <v>251</v>
      </c>
      <c r="D29" s="87"/>
      <c r="E29" s="88"/>
      <c r="F29">
        <v>54</v>
      </c>
      <c r="G29" t="s">
        <v>263</v>
      </c>
      <c r="H29" t="s">
        <v>276</v>
      </c>
      <c r="I29" t="s">
        <v>289</v>
      </c>
      <c r="J29" s="106"/>
      <c r="K29">
        <v>54</v>
      </c>
      <c r="L29" t="s">
        <v>302</v>
      </c>
      <c r="M29" t="s">
        <v>314</v>
      </c>
      <c r="N29" s="115"/>
      <c r="O29" s="94"/>
      <c r="P29" s="116"/>
      <c r="Q29" s="95"/>
      <c r="R29" s="95"/>
      <c r="S29" t="s">
        <v>325</v>
      </c>
      <c r="T29" t="s">
        <v>336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252</v>
      </c>
      <c r="C30" t="s">
        <v>128</v>
      </c>
      <c r="D30" s="87"/>
      <c r="E30" s="101"/>
      <c r="F30">
        <v>54</v>
      </c>
      <c r="G30" t="s">
        <v>264</v>
      </c>
      <c r="H30" t="s">
        <v>277</v>
      </c>
      <c r="I30" t="s">
        <v>290</v>
      </c>
      <c r="J30" s="106"/>
      <c r="K30">
        <v>54</v>
      </c>
      <c r="L30" t="s">
        <v>303</v>
      </c>
      <c r="M30" t="s">
        <v>315</v>
      </c>
      <c r="N30" s="108"/>
      <c r="O30" s="94"/>
      <c r="P30" s="99"/>
      <c r="Q30" s="103"/>
      <c r="R30" s="109"/>
      <c r="S30" t="s">
        <v>326</v>
      </c>
      <c r="T30" t="s">
        <v>337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253</v>
      </c>
      <c r="C31" t="s">
        <v>254</v>
      </c>
      <c r="D31" s="87"/>
      <c r="E31" s="88"/>
      <c r="F31">
        <v>2</v>
      </c>
      <c r="G31" t="s">
        <v>265</v>
      </c>
      <c r="H31" t="s">
        <v>278</v>
      </c>
      <c r="I31" t="s">
        <v>291</v>
      </c>
      <c r="J31" s="106"/>
      <c r="K31">
        <v>2</v>
      </c>
      <c r="L31" t="s">
        <v>304</v>
      </c>
      <c r="M31" t="s">
        <v>316</v>
      </c>
      <c r="N31" s="115"/>
      <c r="O31" s="94"/>
      <c r="P31" s="116"/>
      <c r="Q31" s="95"/>
      <c r="R31" s="95"/>
      <c r="S31" t="s">
        <v>327</v>
      </c>
      <c r="T31" t="s">
        <v>338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384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384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79" priority="1" stopIfTrue="1">
      <formula>$U$9&gt;100%</formula>
    </cfRule>
    <cfRule type="expression" dxfId="78" priority="2">
      <formula>$U$9&lt;50%</formula>
    </cfRule>
  </conditionalFormatting>
  <conditionalFormatting sqref="V9:V11">
    <cfRule type="expression" dxfId="77" priority="3">
      <formula>$V$9&lt;50%</formula>
    </cfRule>
    <cfRule type="expression" dxfId="76" priority="4">
      <formula>$V$9&gt;50%</formula>
    </cfRule>
  </conditionalFormatting>
  <dataValidations count="4">
    <dataValidation type="list" allowBlank="1" showErrorMessage="1" sqref="Q15 G18 L18 Q18" xr:uid="{8A58952C-DA99-4610-91A3-2687C74B951C}">
      <formula1>$Y$12:$Y$13</formula1>
    </dataValidation>
    <dataValidation type="list" allowBlank="1" showErrorMessage="1" sqref="J14" xr:uid="{6E31E949-EEEC-4D82-B354-E150514CC91E}">
      <formula1>$L$9</formula1>
    </dataValidation>
    <dataValidation type="list" allowBlank="1" showErrorMessage="1" sqref="I14" xr:uid="{76CF35B9-09F2-4079-AD65-0A2E0FBF1CA6}">
      <formula1>$Y$14:$Y$15</formula1>
    </dataValidation>
    <dataValidation type="list" allowBlank="1" showErrorMessage="1" sqref="E19:E49" xr:uid="{A1BA0BA1-FD4D-4BD2-89AD-0E2FFACA1505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F5149-6631-4D72-8931-3C4373508720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>
        <v>70181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238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>
        <v>70181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237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384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239</v>
      </c>
      <c r="C19" t="s">
        <v>240</v>
      </c>
      <c r="D19" s="87"/>
      <c r="E19" s="88"/>
      <c r="F19">
        <v>90</v>
      </c>
      <c r="G19" t="s">
        <v>255</v>
      </c>
      <c r="H19" t="s">
        <v>266</v>
      </c>
      <c r="I19" t="s">
        <v>279</v>
      </c>
      <c r="J19" s="92"/>
      <c r="K19">
        <v>90</v>
      </c>
      <c r="L19" t="s">
        <v>292</v>
      </c>
      <c r="M19" t="s">
        <v>305</v>
      </c>
      <c r="N19" s="93"/>
      <c r="O19" s="94"/>
      <c r="P19" s="86"/>
      <c r="Q19" s="95"/>
      <c r="R19" s="95"/>
      <c r="S19" t="s">
        <v>317</v>
      </c>
      <c r="T19" t="s">
        <v>328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241</v>
      </c>
      <c r="C20" t="s">
        <v>132</v>
      </c>
      <c r="D20" s="87"/>
      <c r="E20" s="101"/>
      <c r="F20">
        <v>4</v>
      </c>
      <c r="G20" t="s">
        <v>256</v>
      </c>
      <c r="H20" t="s">
        <v>267</v>
      </c>
      <c r="I20" t="s">
        <v>280</v>
      </c>
      <c r="J20" s="106"/>
      <c r="K20">
        <v>4</v>
      </c>
      <c r="L20" t="s">
        <v>293</v>
      </c>
      <c r="M20" t="s">
        <v>306</v>
      </c>
      <c r="N20" s="108"/>
      <c r="O20" s="94"/>
      <c r="P20" s="99"/>
      <c r="Q20" s="103"/>
      <c r="R20" s="109"/>
      <c r="S20" t="s">
        <v>318</v>
      </c>
      <c r="T20" t="s">
        <v>329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119</v>
      </c>
      <c r="C21" t="s">
        <v>133</v>
      </c>
      <c r="D21" s="87"/>
      <c r="E21" s="88"/>
      <c r="F21">
        <v>8</v>
      </c>
      <c r="G21" t="s">
        <v>147</v>
      </c>
      <c r="H21" t="s">
        <v>268</v>
      </c>
      <c r="I21" t="s">
        <v>281</v>
      </c>
      <c r="J21" s="106"/>
      <c r="K21">
        <v>8</v>
      </c>
      <c r="L21" t="s">
        <v>294</v>
      </c>
      <c r="M21" t="s">
        <v>307</v>
      </c>
      <c r="N21" s="115"/>
      <c r="O21" s="94"/>
      <c r="P21" s="116"/>
      <c r="Q21" s="95"/>
      <c r="R21" s="95"/>
      <c r="S21" t="s">
        <v>217</v>
      </c>
      <c r="T21" t="s">
        <v>231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120</v>
      </c>
      <c r="C22" t="s">
        <v>134</v>
      </c>
      <c r="D22" s="87"/>
      <c r="E22" s="101"/>
      <c r="F22">
        <v>8</v>
      </c>
      <c r="G22" t="s">
        <v>148</v>
      </c>
      <c r="H22" t="s">
        <v>269</v>
      </c>
      <c r="I22" t="s">
        <v>282</v>
      </c>
      <c r="J22" s="106"/>
      <c r="K22">
        <v>8</v>
      </c>
      <c r="L22" t="s">
        <v>295</v>
      </c>
      <c r="M22" t="s">
        <v>228</v>
      </c>
      <c r="N22" s="108"/>
      <c r="O22" s="94"/>
      <c r="P22" s="99"/>
      <c r="Q22" s="103"/>
      <c r="R22" s="109"/>
      <c r="S22" t="s">
        <v>218</v>
      </c>
      <c r="T22" t="s">
        <v>232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242</v>
      </c>
      <c r="C23" t="s">
        <v>136</v>
      </c>
      <c r="D23" s="87"/>
      <c r="E23" s="88"/>
      <c r="F23">
        <v>12</v>
      </c>
      <c r="G23" t="s">
        <v>257</v>
      </c>
      <c r="H23" t="s">
        <v>270</v>
      </c>
      <c r="I23" t="s">
        <v>283</v>
      </c>
      <c r="J23" s="106"/>
      <c r="K23">
        <v>12</v>
      </c>
      <c r="L23" t="s">
        <v>296</v>
      </c>
      <c r="M23" t="s">
        <v>308</v>
      </c>
      <c r="N23" s="115"/>
      <c r="O23" s="94"/>
      <c r="P23" s="116"/>
      <c r="Q23" s="95"/>
      <c r="R23" s="95"/>
      <c r="S23" t="s">
        <v>319</v>
      </c>
      <c r="T23" t="s">
        <v>330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243</v>
      </c>
      <c r="C24" t="s">
        <v>135</v>
      </c>
      <c r="D24" s="87"/>
      <c r="E24" s="101"/>
      <c r="F24">
        <v>4</v>
      </c>
      <c r="G24" t="s">
        <v>258</v>
      </c>
      <c r="H24" t="s">
        <v>271</v>
      </c>
      <c r="I24" t="s">
        <v>284</v>
      </c>
      <c r="J24" s="106"/>
      <c r="K24">
        <v>4</v>
      </c>
      <c r="L24" t="s">
        <v>297</v>
      </c>
      <c r="M24" t="s">
        <v>309</v>
      </c>
      <c r="N24" s="108"/>
      <c r="O24" s="94"/>
      <c r="P24" s="99"/>
      <c r="Q24" s="103"/>
      <c r="R24" s="109"/>
      <c r="S24" t="s">
        <v>320</v>
      </c>
      <c r="T24" t="s">
        <v>331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244</v>
      </c>
      <c r="C25" t="s">
        <v>137</v>
      </c>
      <c r="D25" s="87"/>
      <c r="E25" s="88"/>
      <c r="F25">
        <v>64</v>
      </c>
      <c r="G25" t="s">
        <v>259</v>
      </c>
      <c r="H25" t="s">
        <v>272</v>
      </c>
      <c r="I25" t="s">
        <v>285</v>
      </c>
      <c r="J25" s="106"/>
      <c r="K25">
        <v>64</v>
      </c>
      <c r="L25" t="s">
        <v>298</v>
      </c>
      <c r="M25" t="s">
        <v>310</v>
      </c>
      <c r="N25" s="115"/>
      <c r="O25" s="94"/>
      <c r="P25" s="116"/>
      <c r="Q25" s="95"/>
      <c r="R25" s="95"/>
      <c r="S25" t="s">
        <v>321</v>
      </c>
      <c r="T25" t="s">
        <v>332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245</v>
      </c>
      <c r="C26" t="s">
        <v>138</v>
      </c>
      <c r="D26" s="87"/>
      <c r="E26" s="101"/>
      <c r="F26">
        <v>64</v>
      </c>
      <c r="G26" t="s">
        <v>260</v>
      </c>
      <c r="H26" t="s">
        <v>273</v>
      </c>
      <c r="I26" t="s">
        <v>286</v>
      </c>
      <c r="J26" s="106"/>
      <c r="K26">
        <v>64</v>
      </c>
      <c r="L26" t="s">
        <v>299</v>
      </c>
      <c r="M26" t="s">
        <v>311</v>
      </c>
      <c r="N26" s="108"/>
      <c r="O26" s="94"/>
      <c r="P26" s="99"/>
      <c r="Q26" s="103"/>
      <c r="R26" s="109"/>
      <c r="S26" t="s">
        <v>322</v>
      </c>
      <c r="T26" t="s">
        <v>333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246</v>
      </c>
      <c r="C27" t="s">
        <v>247</v>
      </c>
      <c r="D27" s="87"/>
      <c r="E27" s="88"/>
      <c r="F27">
        <v>2</v>
      </c>
      <c r="G27" t="s">
        <v>261</v>
      </c>
      <c r="H27" t="s">
        <v>274</v>
      </c>
      <c r="I27" t="s">
        <v>287</v>
      </c>
      <c r="J27" s="106"/>
      <c r="K27">
        <v>2</v>
      </c>
      <c r="L27" t="s">
        <v>300</v>
      </c>
      <c r="M27" t="s">
        <v>312</v>
      </c>
      <c r="N27" s="115"/>
      <c r="O27" s="94"/>
      <c r="P27" s="116"/>
      <c r="Q27" s="95"/>
      <c r="R27" s="95"/>
      <c r="S27" t="s">
        <v>323</v>
      </c>
      <c r="T27" t="s">
        <v>334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248</v>
      </c>
      <c r="C28" t="s">
        <v>249</v>
      </c>
      <c r="D28" s="87"/>
      <c r="E28" s="101"/>
      <c r="F28">
        <v>18</v>
      </c>
      <c r="G28" t="s">
        <v>262</v>
      </c>
      <c r="H28" t="s">
        <v>275</v>
      </c>
      <c r="I28" t="s">
        <v>288</v>
      </c>
      <c r="J28" s="106"/>
      <c r="K28">
        <v>18</v>
      </c>
      <c r="L28" t="s">
        <v>301</v>
      </c>
      <c r="M28" t="s">
        <v>313</v>
      </c>
      <c r="N28" s="108"/>
      <c r="O28" s="94"/>
      <c r="P28" s="99"/>
      <c r="Q28" s="103"/>
      <c r="R28" s="109"/>
      <c r="S28" t="s">
        <v>324</v>
      </c>
      <c r="T28" t="s">
        <v>335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250</v>
      </c>
      <c r="C29" t="s">
        <v>251</v>
      </c>
      <c r="D29" s="87"/>
      <c r="E29" s="88"/>
      <c r="F29">
        <v>54</v>
      </c>
      <c r="G29" t="s">
        <v>263</v>
      </c>
      <c r="H29" t="s">
        <v>276</v>
      </c>
      <c r="I29" t="s">
        <v>289</v>
      </c>
      <c r="J29" s="106"/>
      <c r="K29">
        <v>54</v>
      </c>
      <c r="L29" t="s">
        <v>302</v>
      </c>
      <c r="M29" t="s">
        <v>314</v>
      </c>
      <c r="N29" s="115"/>
      <c r="O29" s="94"/>
      <c r="P29" s="116"/>
      <c r="Q29" s="95"/>
      <c r="R29" s="95"/>
      <c r="S29" t="s">
        <v>325</v>
      </c>
      <c r="T29" t="s">
        <v>336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252</v>
      </c>
      <c r="C30" t="s">
        <v>128</v>
      </c>
      <c r="D30" s="87"/>
      <c r="E30" s="101"/>
      <c r="F30">
        <v>54</v>
      </c>
      <c r="G30" t="s">
        <v>264</v>
      </c>
      <c r="H30" t="s">
        <v>277</v>
      </c>
      <c r="I30" t="s">
        <v>290</v>
      </c>
      <c r="J30" s="106"/>
      <c r="K30">
        <v>54</v>
      </c>
      <c r="L30" t="s">
        <v>303</v>
      </c>
      <c r="M30" t="s">
        <v>315</v>
      </c>
      <c r="N30" s="108"/>
      <c r="O30" s="94"/>
      <c r="P30" s="99"/>
      <c r="Q30" s="103"/>
      <c r="R30" s="109"/>
      <c r="S30" t="s">
        <v>326</v>
      </c>
      <c r="T30" t="s">
        <v>337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253</v>
      </c>
      <c r="C31" t="s">
        <v>254</v>
      </c>
      <c r="D31" s="87"/>
      <c r="E31" s="88"/>
      <c r="F31">
        <v>2</v>
      </c>
      <c r="G31" t="s">
        <v>265</v>
      </c>
      <c r="H31" t="s">
        <v>278</v>
      </c>
      <c r="I31" t="s">
        <v>291</v>
      </c>
      <c r="J31" s="106"/>
      <c r="K31">
        <v>2</v>
      </c>
      <c r="L31" t="s">
        <v>304</v>
      </c>
      <c r="M31" t="s">
        <v>316</v>
      </c>
      <c r="N31" s="115"/>
      <c r="O31" s="94"/>
      <c r="P31" s="116"/>
      <c r="Q31" s="95"/>
      <c r="R31" s="95"/>
      <c r="S31" t="s">
        <v>327</v>
      </c>
      <c r="T31" t="s">
        <v>338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384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384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75" priority="1" stopIfTrue="1">
      <formula>$U$9&gt;100%</formula>
    </cfRule>
    <cfRule type="expression" dxfId="74" priority="2">
      <formula>$U$9&lt;50%</formula>
    </cfRule>
  </conditionalFormatting>
  <conditionalFormatting sqref="V9:V11">
    <cfRule type="expression" dxfId="73" priority="3">
      <formula>$V$9&lt;50%</formula>
    </cfRule>
    <cfRule type="expression" dxfId="72" priority="4">
      <formula>$V$9&gt;50%</formula>
    </cfRule>
  </conditionalFormatting>
  <dataValidations count="4">
    <dataValidation type="list" allowBlank="1" showErrorMessage="1" sqref="E19:E49" xr:uid="{364F8132-9290-454A-845B-490408939856}">
      <formula1>$Z$19:$Z$30</formula1>
    </dataValidation>
    <dataValidation type="list" allowBlank="1" showErrorMessage="1" sqref="I14" xr:uid="{1276E096-F655-4DF2-A093-9E55262720D3}">
      <formula1>$Y$14:$Y$15</formula1>
    </dataValidation>
    <dataValidation type="list" allowBlank="1" showErrorMessage="1" sqref="J14" xr:uid="{B3C864EC-C5A9-4784-B80B-5521408054C9}">
      <formula1>$L$9</formula1>
    </dataValidation>
    <dataValidation type="list" allowBlank="1" showErrorMessage="1" sqref="Q15 G18 L18 Q18" xr:uid="{06C43178-D913-4C09-9246-DC65A662E199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D33C7-7F80-4C6A-AB2F-05ADBB5B3AE5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>
        <v>70673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238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>
        <v>70673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237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384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239</v>
      </c>
      <c r="C19" t="s">
        <v>240</v>
      </c>
      <c r="D19" s="87"/>
      <c r="E19" s="88"/>
      <c r="F19">
        <v>90</v>
      </c>
      <c r="G19" t="s">
        <v>255</v>
      </c>
      <c r="H19" t="s">
        <v>266</v>
      </c>
      <c r="I19" t="s">
        <v>279</v>
      </c>
      <c r="J19" s="92"/>
      <c r="K19">
        <v>90</v>
      </c>
      <c r="L19" t="s">
        <v>292</v>
      </c>
      <c r="M19" t="s">
        <v>305</v>
      </c>
      <c r="N19" s="93"/>
      <c r="O19" s="94"/>
      <c r="P19" s="86"/>
      <c r="Q19" s="95"/>
      <c r="R19" s="95"/>
      <c r="S19" t="s">
        <v>317</v>
      </c>
      <c r="T19" t="s">
        <v>328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241</v>
      </c>
      <c r="C20" t="s">
        <v>132</v>
      </c>
      <c r="D20" s="87"/>
      <c r="E20" s="101"/>
      <c r="F20">
        <v>4</v>
      </c>
      <c r="G20" t="s">
        <v>256</v>
      </c>
      <c r="H20" t="s">
        <v>267</v>
      </c>
      <c r="I20" t="s">
        <v>280</v>
      </c>
      <c r="J20" s="106"/>
      <c r="K20">
        <v>4</v>
      </c>
      <c r="L20" t="s">
        <v>293</v>
      </c>
      <c r="M20" t="s">
        <v>306</v>
      </c>
      <c r="N20" s="108"/>
      <c r="O20" s="94"/>
      <c r="P20" s="99"/>
      <c r="Q20" s="103"/>
      <c r="R20" s="109"/>
      <c r="S20" t="s">
        <v>318</v>
      </c>
      <c r="T20" t="s">
        <v>329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119</v>
      </c>
      <c r="C21" t="s">
        <v>133</v>
      </c>
      <c r="D21" s="87"/>
      <c r="E21" s="88"/>
      <c r="F21">
        <v>8</v>
      </c>
      <c r="G21" t="s">
        <v>147</v>
      </c>
      <c r="H21" t="s">
        <v>268</v>
      </c>
      <c r="I21" t="s">
        <v>281</v>
      </c>
      <c r="J21" s="106"/>
      <c r="K21">
        <v>8</v>
      </c>
      <c r="L21" t="s">
        <v>294</v>
      </c>
      <c r="M21" t="s">
        <v>307</v>
      </c>
      <c r="N21" s="115"/>
      <c r="O21" s="94"/>
      <c r="P21" s="116"/>
      <c r="Q21" s="95"/>
      <c r="R21" s="95"/>
      <c r="S21" t="s">
        <v>217</v>
      </c>
      <c r="T21" t="s">
        <v>231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120</v>
      </c>
      <c r="C22" t="s">
        <v>134</v>
      </c>
      <c r="D22" s="87"/>
      <c r="E22" s="101"/>
      <c r="F22">
        <v>8</v>
      </c>
      <c r="G22" t="s">
        <v>148</v>
      </c>
      <c r="H22" t="s">
        <v>269</v>
      </c>
      <c r="I22" t="s">
        <v>282</v>
      </c>
      <c r="J22" s="106"/>
      <c r="K22">
        <v>8</v>
      </c>
      <c r="L22" t="s">
        <v>295</v>
      </c>
      <c r="M22" t="s">
        <v>228</v>
      </c>
      <c r="N22" s="108"/>
      <c r="O22" s="94"/>
      <c r="P22" s="99"/>
      <c r="Q22" s="103"/>
      <c r="R22" s="109"/>
      <c r="S22" t="s">
        <v>218</v>
      </c>
      <c r="T22" t="s">
        <v>232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242</v>
      </c>
      <c r="C23" t="s">
        <v>136</v>
      </c>
      <c r="D23" s="87"/>
      <c r="E23" s="88"/>
      <c r="F23">
        <v>12</v>
      </c>
      <c r="G23" t="s">
        <v>257</v>
      </c>
      <c r="H23" t="s">
        <v>270</v>
      </c>
      <c r="I23" t="s">
        <v>283</v>
      </c>
      <c r="J23" s="106"/>
      <c r="K23">
        <v>12</v>
      </c>
      <c r="L23" t="s">
        <v>296</v>
      </c>
      <c r="M23" t="s">
        <v>308</v>
      </c>
      <c r="N23" s="115"/>
      <c r="O23" s="94"/>
      <c r="P23" s="116"/>
      <c r="Q23" s="95"/>
      <c r="R23" s="95"/>
      <c r="S23" t="s">
        <v>319</v>
      </c>
      <c r="T23" t="s">
        <v>330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243</v>
      </c>
      <c r="C24" t="s">
        <v>135</v>
      </c>
      <c r="D24" s="87"/>
      <c r="E24" s="101"/>
      <c r="F24">
        <v>4</v>
      </c>
      <c r="G24" t="s">
        <v>258</v>
      </c>
      <c r="H24" t="s">
        <v>271</v>
      </c>
      <c r="I24" t="s">
        <v>284</v>
      </c>
      <c r="J24" s="106"/>
      <c r="K24">
        <v>4</v>
      </c>
      <c r="L24" t="s">
        <v>297</v>
      </c>
      <c r="M24" t="s">
        <v>309</v>
      </c>
      <c r="N24" s="108"/>
      <c r="O24" s="94"/>
      <c r="P24" s="99"/>
      <c r="Q24" s="103"/>
      <c r="R24" s="109"/>
      <c r="S24" t="s">
        <v>320</v>
      </c>
      <c r="T24" t="s">
        <v>331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244</v>
      </c>
      <c r="C25" t="s">
        <v>137</v>
      </c>
      <c r="D25" s="87"/>
      <c r="E25" s="88"/>
      <c r="F25">
        <v>64</v>
      </c>
      <c r="G25" t="s">
        <v>259</v>
      </c>
      <c r="H25" t="s">
        <v>272</v>
      </c>
      <c r="I25" t="s">
        <v>285</v>
      </c>
      <c r="J25" s="106"/>
      <c r="K25">
        <v>64</v>
      </c>
      <c r="L25" t="s">
        <v>298</v>
      </c>
      <c r="M25" t="s">
        <v>310</v>
      </c>
      <c r="N25" s="115"/>
      <c r="O25" s="94"/>
      <c r="P25" s="116"/>
      <c r="Q25" s="95"/>
      <c r="R25" s="95"/>
      <c r="S25" t="s">
        <v>321</v>
      </c>
      <c r="T25" t="s">
        <v>332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245</v>
      </c>
      <c r="C26" t="s">
        <v>138</v>
      </c>
      <c r="D26" s="87"/>
      <c r="E26" s="101"/>
      <c r="F26">
        <v>64</v>
      </c>
      <c r="G26" t="s">
        <v>260</v>
      </c>
      <c r="H26" t="s">
        <v>273</v>
      </c>
      <c r="I26" t="s">
        <v>286</v>
      </c>
      <c r="J26" s="106"/>
      <c r="K26">
        <v>64</v>
      </c>
      <c r="L26" t="s">
        <v>299</v>
      </c>
      <c r="M26" t="s">
        <v>311</v>
      </c>
      <c r="N26" s="108"/>
      <c r="O26" s="94"/>
      <c r="P26" s="99"/>
      <c r="Q26" s="103"/>
      <c r="R26" s="109"/>
      <c r="S26" t="s">
        <v>322</v>
      </c>
      <c r="T26" t="s">
        <v>333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246</v>
      </c>
      <c r="C27" t="s">
        <v>247</v>
      </c>
      <c r="D27" s="87"/>
      <c r="E27" s="88"/>
      <c r="F27">
        <v>2</v>
      </c>
      <c r="G27" t="s">
        <v>261</v>
      </c>
      <c r="H27" t="s">
        <v>274</v>
      </c>
      <c r="I27" t="s">
        <v>287</v>
      </c>
      <c r="J27" s="106"/>
      <c r="K27">
        <v>2</v>
      </c>
      <c r="L27" t="s">
        <v>300</v>
      </c>
      <c r="M27" t="s">
        <v>312</v>
      </c>
      <c r="N27" s="115"/>
      <c r="O27" s="94"/>
      <c r="P27" s="116"/>
      <c r="Q27" s="95"/>
      <c r="R27" s="95"/>
      <c r="S27" t="s">
        <v>323</v>
      </c>
      <c r="T27" t="s">
        <v>334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248</v>
      </c>
      <c r="C28" t="s">
        <v>249</v>
      </c>
      <c r="D28" s="87"/>
      <c r="E28" s="101"/>
      <c r="F28">
        <v>18</v>
      </c>
      <c r="G28" t="s">
        <v>262</v>
      </c>
      <c r="H28" t="s">
        <v>275</v>
      </c>
      <c r="I28" t="s">
        <v>288</v>
      </c>
      <c r="J28" s="106"/>
      <c r="K28">
        <v>18</v>
      </c>
      <c r="L28" t="s">
        <v>301</v>
      </c>
      <c r="M28" t="s">
        <v>313</v>
      </c>
      <c r="N28" s="108"/>
      <c r="O28" s="94"/>
      <c r="P28" s="99"/>
      <c r="Q28" s="103"/>
      <c r="R28" s="109"/>
      <c r="S28" t="s">
        <v>324</v>
      </c>
      <c r="T28" t="s">
        <v>335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250</v>
      </c>
      <c r="C29" t="s">
        <v>251</v>
      </c>
      <c r="D29" s="87"/>
      <c r="E29" s="88"/>
      <c r="F29">
        <v>54</v>
      </c>
      <c r="G29" t="s">
        <v>263</v>
      </c>
      <c r="H29" t="s">
        <v>276</v>
      </c>
      <c r="I29" t="s">
        <v>289</v>
      </c>
      <c r="J29" s="106"/>
      <c r="K29">
        <v>54</v>
      </c>
      <c r="L29" t="s">
        <v>302</v>
      </c>
      <c r="M29" t="s">
        <v>314</v>
      </c>
      <c r="N29" s="115"/>
      <c r="O29" s="94"/>
      <c r="P29" s="116"/>
      <c r="Q29" s="95"/>
      <c r="R29" s="95"/>
      <c r="S29" t="s">
        <v>325</v>
      </c>
      <c r="T29" t="s">
        <v>336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252</v>
      </c>
      <c r="C30" t="s">
        <v>128</v>
      </c>
      <c r="D30" s="87"/>
      <c r="E30" s="101"/>
      <c r="F30">
        <v>54</v>
      </c>
      <c r="G30" t="s">
        <v>264</v>
      </c>
      <c r="H30" t="s">
        <v>277</v>
      </c>
      <c r="I30" t="s">
        <v>290</v>
      </c>
      <c r="J30" s="106"/>
      <c r="K30">
        <v>54</v>
      </c>
      <c r="L30" t="s">
        <v>303</v>
      </c>
      <c r="M30" t="s">
        <v>315</v>
      </c>
      <c r="N30" s="108"/>
      <c r="O30" s="94"/>
      <c r="P30" s="99"/>
      <c r="Q30" s="103"/>
      <c r="R30" s="109"/>
      <c r="S30" t="s">
        <v>326</v>
      </c>
      <c r="T30" t="s">
        <v>337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253</v>
      </c>
      <c r="C31" t="s">
        <v>254</v>
      </c>
      <c r="D31" s="87"/>
      <c r="E31" s="88"/>
      <c r="F31">
        <v>2</v>
      </c>
      <c r="G31" t="s">
        <v>265</v>
      </c>
      <c r="H31" t="s">
        <v>278</v>
      </c>
      <c r="I31" t="s">
        <v>291</v>
      </c>
      <c r="J31" s="106"/>
      <c r="K31">
        <v>2</v>
      </c>
      <c r="L31" t="s">
        <v>304</v>
      </c>
      <c r="M31" t="s">
        <v>316</v>
      </c>
      <c r="N31" s="115"/>
      <c r="O31" s="94"/>
      <c r="P31" s="116"/>
      <c r="Q31" s="95"/>
      <c r="R31" s="95"/>
      <c r="S31" t="s">
        <v>327</v>
      </c>
      <c r="T31" t="s">
        <v>338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384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384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71" priority="1" stopIfTrue="1">
      <formula>$U$9&gt;100%</formula>
    </cfRule>
    <cfRule type="expression" dxfId="70" priority="2">
      <formula>$U$9&lt;50%</formula>
    </cfRule>
  </conditionalFormatting>
  <conditionalFormatting sqref="V9:V11">
    <cfRule type="expression" dxfId="69" priority="3">
      <formula>$V$9&lt;50%</formula>
    </cfRule>
    <cfRule type="expression" dxfId="68" priority="4">
      <formula>$V$9&gt;50%</formula>
    </cfRule>
  </conditionalFormatting>
  <dataValidations count="4">
    <dataValidation type="list" allowBlank="1" showErrorMessage="1" sqref="Q15 G18 L18 Q18" xr:uid="{245A2073-44F4-48DA-A62F-08B194BE5E43}">
      <formula1>$Y$12:$Y$13</formula1>
    </dataValidation>
    <dataValidation type="list" allowBlank="1" showErrorMessage="1" sqref="J14" xr:uid="{E7FC2B35-758F-4479-BFB5-48FB18C371A0}">
      <formula1>$L$9</formula1>
    </dataValidation>
    <dataValidation type="list" allowBlank="1" showErrorMessage="1" sqref="I14" xr:uid="{C7E8F30E-9D50-457C-9EB3-74FFA1EFEDE7}">
      <formula1>$Y$14:$Y$15</formula1>
    </dataValidation>
    <dataValidation type="list" allowBlank="1" showErrorMessage="1" sqref="E19:E49" xr:uid="{3496F62A-5318-4608-BF9F-8174B46806F5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B396-A38C-4992-B586-565F06146BA7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>
        <v>70685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238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>
        <v>70685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237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384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239</v>
      </c>
      <c r="C19" t="s">
        <v>240</v>
      </c>
      <c r="D19" s="87"/>
      <c r="E19" s="88"/>
      <c r="F19">
        <v>90</v>
      </c>
      <c r="G19" t="s">
        <v>255</v>
      </c>
      <c r="H19" t="s">
        <v>266</v>
      </c>
      <c r="I19" t="s">
        <v>279</v>
      </c>
      <c r="J19" s="92"/>
      <c r="K19">
        <v>90</v>
      </c>
      <c r="L19" t="s">
        <v>292</v>
      </c>
      <c r="M19" t="s">
        <v>305</v>
      </c>
      <c r="N19" s="93"/>
      <c r="O19" s="94"/>
      <c r="P19" s="86"/>
      <c r="Q19" s="95"/>
      <c r="R19" s="95"/>
      <c r="S19" t="s">
        <v>317</v>
      </c>
      <c r="T19" t="s">
        <v>328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241</v>
      </c>
      <c r="C20" t="s">
        <v>132</v>
      </c>
      <c r="D20" s="87"/>
      <c r="E20" s="101"/>
      <c r="F20">
        <v>4</v>
      </c>
      <c r="G20" t="s">
        <v>256</v>
      </c>
      <c r="H20" t="s">
        <v>267</v>
      </c>
      <c r="I20" t="s">
        <v>280</v>
      </c>
      <c r="J20" s="106"/>
      <c r="K20">
        <v>4</v>
      </c>
      <c r="L20" t="s">
        <v>293</v>
      </c>
      <c r="M20" t="s">
        <v>306</v>
      </c>
      <c r="N20" s="108"/>
      <c r="O20" s="94"/>
      <c r="P20" s="99"/>
      <c r="Q20" s="103"/>
      <c r="R20" s="109"/>
      <c r="S20" t="s">
        <v>318</v>
      </c>
      <c r="T20" t="s">
        <v>329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119</v>
      </c>
      <c r="C21" t="s">
        <v>133</v>
      </c>
      <c r="D21" s="87"/>
      <c r="E21" s="88"/>
      <c r="F21">
        <v>8</v>
      </c>
      <c r="G21" t="s">
        <v>147</v>
      </c>
      <c r="H21" t="s">
        <v>268</v>
      </c>
      <c r="I21" t="s">
        <v>281</v>
      </c>
      <c r="J21" s="106"/>
      <c r="K21">
        <v>8</v>
      </c>
      <c r="L21" t="s">
        <v>294</v>
      </c>
      <c r="M21" t="s">
        <v>307</v>
      </c>
      <c r="N21" s="115"/>
      <c r="O21" s="94"/>
      <c r="P21" s="116"/>
      <c r="Q21" s="95"/>
      <c r="R21" s="95"/>
      <c r="S21" t="s">
        <v>217</v>
      </c>
      <c r="T21" t="s">
        <v>231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120</v>
      </c>
      <c r="C22" t="s">
        <v>134</v>
      </c>
      <c r="D22" s="87"/>
      <c r="E22" s="101"/>
      <c r="F22">
        <v>8</v>
      </c>
      <c r="G22" t="s">
        <v>148</v>
      </c>
      <c r="H22" t="s">
        <v>269</v>
      </c>
      <c r="I22" t="s">
        <v>282</v>
      </c>
      <c r="J22" s="106"/>
      <c r="K22">
        <v>8</v>
      </c>
      <c r="L22" t="s">
        <v>295</v>
      </c>
      <c r="M22" t="s">
        <v>228</v>
      </c>
      <c r="N22" s="108"/>
      <c r="O22" s="94"/>
      <c r="P22" s="99"/>
      <c r="Q22" s="103"/>
      <c r="R22" s="109"/>
      <c r="S22" t="s">
        <v>218</v>
      </c>
      <c r="T22" t="s">
        <v>232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242</v>
      </c>
      <c r="C23" t="s">
        <v>136</v>
      </c>
      <c r="D23" s="87"/>
      <c r="E23" s="88"/>
      <c r="F23">
        <v>12</v>
      </c>
      <c r="G23" t="s">
        <v>257</v>
      </c>
      <c r="H23" t="s">
        <v>270</v>
      </c>
      <c r="I23" t="s">
        <v>283</v>
      </c>
      <c r="J23" s="106"/>
      <c r="K23">
        <v>12</v>
      </c>
      <c r="L23" t="s">
        <v>296</v>
      </c>
      <c r="M23" t="s">
        <v>308</v>
      </c>
      <c r="N23" s="115"/>
      <c r="O23" s="94"/>
      <c r="P23" s="116"/>
      <c r="Q23" s="95"/>
      <c r="R23" s="95"/>
      <c r="S23" t="s">
        <v>319</v>
      </c>
      <c r="T23" t="s">
        <v>330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243</v>
      </c>
      <c r="C24" t="s">
        <v>135</v>
      </c>
      <c r="D24" s="87"/>
      <c r="E24" s="101"/>
      <c r="F24">
        <v>4</v>
      </c>
      <c r="G24" t="s">
        <v>258</v>
      </c>
      <c r="H24" t="s">
        <v>271</v>
      </c>
      <c r="I24" t="s">
        <v>284</v>
      </c>
      <c r="J24" s="106"/>
      <c r="K24">
        <v>4</v>
      </c>
      <c r="L24" t="s">
        <v>297</v>
      </c>
      <c r="M24" t="s">
        <v>309</v>
      </c>
      <c r="N24" s="108"/>
      <c r="O24" s="94"/>
      <c r="P24" s="99"/>
      <c r="Q24" s="103"/>
      <c r="R24" s="109"/>
      <c r="S24" t="s">
        <v>320</v>
      </c>
      <c r="T24" t="s">
        <v>331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244</v>
      </c>
      <c r="C25" t="s">
        <v>137</v>
      </c>
      <c r="D25" s="87"/>
      <c r="E25" s="88"/>
      <c r="F25">
        <v>64</v>
      </c>
      <c r="G25" t="s">
        <v>259</v>
      </c>
      <c r="H25" t="s">
        <v>272</v>
      </c>
      <c r="I25" t="s">
        <v>285</v>
      </c>
      <c r="J25" s="106"/>
      <c r="K25">
        <v>64</v>
      </c>
      <c r="L25" t="s">
        <v>298</v>
      </c>
      <c r="M25" t="s">
        <v>310</v>
      </c>
      <c r="N25" s="115"/>
      <c r="O25" s="94"/>
      <c r="P25" s="116"/>
      <c r="Q25" s="95"/>
      <c r="R25" s="95"/>
      <c r="S25" t="s">
        <v>321</v>
      </c>
      <c r="T25" t="s">
        <v>332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245</v>
      </c>
      <c r="C26" t="s">
        <v>138</v>
      </c>
      <c r="D26" s="87"/>
      <c r="E26" s="101"/>
      <c r="F26">
        <v>64</v>
      </c>
      <c r="G26" t="s">
        <v>260</v>
      </c>
      <c r="H26" t="s">
        <v>273</v>
      </c>
      <c r="I26" t="s">
        <v>286</v>
      </c>
      <c r="J26" s="106"/>
      <c r="K26">
        <v>64</v>
      </c>
      <c r="L26" t="s">
        <v>299</v>
      </c>
      <c r="M26" t="s">
        <v>311</v>
      </c>
      <c r="N26" s="108"/>
      <c r="O26" s="94"/>
      <c r="P26" s="99"/>
      <c r="Q26" s="103"/>
      <c r="R26" s="109"/>
      <c r="S26" t="s">
        <v>322</v>
      </c>
      <c r="T26" t="s">
        <v>333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246</v>
      </c>
      <c r="C27" t="s">
        <v>247</v>
      </c>
      <c r="D27" s="87"/>
      <c r="E27" s="88"/>
      <c r="F27">
        <v>2</v>
      </c>
      <c r="G27" t="s">
        <v>261</v>
      </c>
      <c r="H27" t="s">
        <v>274</v>
      </c>
      <c r="I27" t="s">
        <v>287</v>
      </c>
      <c r="J27" s="106"/>
      <c r="K27">
        <v>2</v>
      </c>
      <c r="L27" t="s">
        <v>300</v>
      </c>
      <c r="M27" t="s">
        <v>312</v>
      </c>
      <c r="N27" s="115"/>
      <c r="O27" s="94"/>
      <c r="P27" s="116"/>
      <c r="Q27" s="95"/>
      <c r="R27" s="95"/>
      <c r="S27" t="s">
        <v>323</v>
      </c>
      <c r="T27" t="s">
        <v>334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248</v>
      </c>
      <c r="C28" t="s">
        <v>249</v>
      </c>
      <c r="D28" s="87"/>
      <c r="E28" s="101"/>
      <c r="F28">
        <v>18</v>
      </c>
      <c r="G28" t="s">
        <v>262</v>
      </c>
      <c r="H28" t="s">
        <v>275</v>
      </c>
      <c r="I28" t="s">
        <v>288</v>
      </c>
      <c r="J28" s="106"/>
      <c r="K28">
        <v>18</v>
      </c>
      <c r="L28" t="s">
        <v>301</v>
      </c>
      <c r="M28" t="s">
        <v>313</v>
      </c>
      <c r="N28" s="108"/>
      <c r="O28" s="94"/>
      <c r="P28" s="99"/>
      <c r="Q28" s="103"/>
      <c r="R28" s="109"/>
      <c r="S28" t="s">
        <v>324</v>
      </c>
      <c r="T28" t="s">
        <v>335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250</v>
      </c>
      <c r="C29" t="s">
        <v>251</v>
      </c>
      <c r="D29" s="87"/>
      <c r="E29" s="88"/>
      <c r="F29">
        <v>54</v>
      </c>
      <c r="G29" t="s">
        <v>263</v>
      </c>
      <c r="H29" t="s">
        <v>276</v>
      </c>
      <c r="I29" t="s">
        <v>289</v>
      </c>
      <c r="J29" s="106"/>
      <c r="K29">
        <v>54</v>
      </c>
      <c r="L29" t="s">
        <v>302</v>
      </c>
      <c r="M29" t="s">
        <v>314</v>
      </c>
      <c r="N29" s="115"/>
      <c r="O29" s="94"/>
      <c r="P29" s="116"/>
      <c r="Q29" s="95"/>
      <c r="R29" s="95"/>
      <c r="S29" t="s">
        <v>325</v>
      </c>
      <c r="T29" t="s">
        <v>336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252</v>
      </c>
      <c r="C30" t="s">
        <v>128</v>
      </c>
      <c r="D30" s="87"/>
      <c r="E30" s="101"/>
      <c r="F30">
        <v>54</v>
      </c>
      <c r="G30" t="s">
        <v>264</v>
      </c>
      <c r="H30" t="s">
        <v>277</v>
      </c>
      <c r="I30" t="s">
        <v>290</v>
      </c>
      <c r="J30" s="106"/>
      <c r="K30">
        <v>54</v>
      </c>
      <c r="L30" t="s">
        <v>303</v>
      </c>
      <c r="M30" t="s">
        <v>315</v>
      </c>
      <c r="N30" s="108"/>
      <c r="O30" s="94"/>
      <c r="P30" s="99"/>
      <c r="Q30" s="103"/>
      <c r="R30" s="109"/>
      <c r="S30" t="s">
        <v>326</v>
      </c>
      <c r="T30" t="s">
        <v>337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253</v>
      </c>
      <c r="C31" t="s">
        <v>254</v>
      </c>
      <c r="D31" s="87"/>
      <c r="E31" s="88"/>
      <c r="F31">
        <v>2</v>
      </c>
      <c r="G31" t="s">
        <v>265</v>
      </c>
      <c r="H31" t="s">
        <v>278</v>
      </c>
      <c r="I31" t="s">
        <v>291</v>
      </c>
      <c r="J31" s="106"/>
      <c r="K31">
        <v>2</v>
      </c>
      <c r="L31" t="s">
        <v>304</v>
      </c>
      <c r="M31" t="s">
        <v>316</v>
      </c>
      <c r="N31" s="115"/>
      <c r="O31" s="94"/>
      <c r="P31" s="116"/>
      <c r="Q31" s="95"/>
      <c r="R31" s="95"/>
      <c r="S31" t="s">
        <v>327</v>
      </c>
      <c r="T31" t="s">
        <v>338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384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384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67" priority="1" stopIfTrue="1">
      <formula>$U$9&gt;100%</formula>
    </cfRule>
    <cfRule type="expression" dxfId="66" priority="2">
      <formula>$U$9&lt;50%</formula>
    </cfRule>
  </conditionalFormatting>
  <conditionalFormatting sqref="V9:V11">
    <cfRule type="expression" dxfId="65" priority="3">
      <formula>$V$9&lt;50%</formula>
    </cfRule>
    <cfRule type="expression" dxfId="64" priority="4">
      <formula>$V$9&gt;50%</formula>
    </cfRule>
  </conditionalFormatting>
  <dataValidations count="4">
    <dataValidation type="list" allowBlank="1" showErrorMessage="1" sqref="E19:E49" xr:uid="{D906F30B-D04A-415C-B584-352E0E114C58}">
      <formula1>$Z$19:$Z$30</formula1>
    </dataValidation>
    <dataValidation type="list" allowBlank="1" showErrorMessage="1" sqref="I14" xr:uid="{7D4D8ECC-C552-4C2B-B773-3C9975DB9E2A}">
      <formula1>$Y$14:$Y$15</formula1>
    </dataValidation>
    <dataValidation type="list" allowBlank="1" showErrorMessage="1" sqref="J14" xr:uid="{8F43D359-7C8C-43E5-8FC7-0C4149D37E9D}">
      <formula1>$L$9</formula1>
    </dataValidation>
    <dataValidation type="list" allowBlank="1" showErrorMessage="1" sqref="Q15 G18 L18 Q18" xr:uid="{5006B853-E221-4C7C-A429-8FFE79B30B52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5EDE3-6D03-4C10-8BB6-5C7C403C9837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>
        <v>70689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238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>
        <v>70689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237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384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239</v>
      </c>
      <c r="C19" t="s">
        <v>240</v>
      </c>
      <c r="D19" s="87"/>
      <c r="E19" s="88"/>
      <c r="F19">
        <v>90</v>
      </c>
      <c r="G19" t="s">
        <v>255</v>
      </c>
      <c r="H19" t="s">
        <v>266</v>
      </c>
      <c r="I19" t="s">
        <v>279</v>
      </c>
      <c r="J19" s="92"/>
      <c r="K19">
        <v>90</v>
      </c>
      <c r="L19" t="s">
        <v>292</v>
      </c>
      <c r="M19" t="s">
        <v>305</v>
      </c>
      <c r="N19" s="93"/>
      <c r="O19" s="94"/>
      <c r="P19" s="86"/>
      <c r="Q19" s="95"/>
      <c r="R19" s="95"/>
      <c r="S19" t="s">
        <v>317</v>
      </c>
      <c r="T19" t="s">
        <v>328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241</v>
      </c>
      <c r="C20" t="s">
        <v>132</v>
      </c>
      <c r="D20" s="87"/>
      <c r="E20" s="101"/>
      <c r="F20">
        <v>4</v>
      </c>
      <c r="G20" t="s">
        <v>256</v>
      </c>
      <c r="H20" t="s">
        <v>267</v>
      </c>
      <c r="I20" t="s">
        <v>280</v>
      </c>
      <c r="J20" s="106"/>
      <c r="K20">
        <v>4</v>
      </c>
      <c r="L20" t="s">
        <v>293</v>
      </c>
      <c r="M20" t="s">
        <v>306</v>
      </c>
      <c r="N20" s="108"/>
      <c r="O20" s="94"/>
      <c r="P20" s="99"/>
      <c r="Q20" s="103"/>
      <c r="R20" s="109"/>
      <c r="S20" t="s">
        <v>318</v>
      </c>
      <c r="T20" t="s">
        <v>329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119</v>
      </c>
      <c r="C21" t="s">
        <v>133</v>
      </c>
      <c r="D21" s="87"/>
      <c r="E21" s="88"/>
      <c r="F21">
        <v>8</v>
      </c>
      <c r="G21" t="s">
        <v>147</v>
      </c>
      <c r="H21" t="s">
        <v>268</v>
      </c>
      <c r="I21" t="s">
        <v>281</v>
      </c>
      <c r="J21" s="106"/>
      <c r="K21">
        <v>8</v>
      </c>
      <c r="L21" t="s">
        <v>294</v>
      </c>
      <c r="M21" t="s">
        <v>307</v>
      </c>
      <c r="N21" s="115"/>
      <c r="O21" s="94"/>
      <c r="P21" s="116"/>
      <c r="Q21" s="95"/>
      <c r="R21" s="95"/>
      <c r="S21" t="s">
        <v>217</v>
      </c>
      <c r="T21" t="s">
        <v>231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120</v>
      </c>
      <c r="C22" t="s">
        <v>134</v>
      </c>
      <c r="D22" s="87"/>
      <c r="E22" s="101"/>
      <c r="F22">
        <v>8</v>
      </c>
      <c r="G22" t="s">
        <v>148</v>
      </c>
      <c r="H22" t="s">
        <v>269</v>
      </c>
      <c r="I22" t="s">
        <v>282</v>
      </c>
      <c r="J22" s="106"/>
      <c r="K22">
        <v>8</v>
      </c>
      <c r="L22" t="s">
        <v>295</v>
      </c>
      <c r="M22" t="s">
        <v>228</v>
      </c>
      <c r="N22" s="108"/>
      <c r="O22" s="94"/>
      <c r="P22" s="99"/>
      <c r="Q22" s="103"/>
      <c r="R22" s="109"/>
      <c r="S22" t="s">
        <v>218</v>
      </c>
      <c r="T22" t="s">
        <v>232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242</v>
      </c>
      <c r="C23" t="s">
        <v>136</v>
      </c>
      <c r="D23" s="87"/>
      <c r="E23" s="88"/>
      <c r="F23">
        <v>12</v>
      </c>
      <c r="G23" t="s">
        <v>257</v>
      </c>
      <c r="H23" t="s">
        <v>270</v>
      </c>
      <c r="I23" t="s">
        <v>283</v>
      </c>
      <c r="J23" s="106"/>
      <c r="K23">
        <v>12</v>
      </c>
      <c r="L23" t="s">
        <v>296</v>
      </c>
      <c r="M23" t="s">
        <v>308</v>
      </c>
      <c r="N23" s="115"/>
      <c r="O23" s="94"/>
      <c r="P23" s="116"/>
      <c r="Q23" s="95"/>
      <c r="R23" s="95"/>
      <c r="S23" t="s">
        <v>319</v>
      </c>
      <c r="T23" t="s">
        <v>330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243</v>
      </c>
      <c r="C24" t="s">
        <v>135</v>
      </c>
      <c r="D24" s="87"/>
      <c r="E24" s="101"/>
      <c r="F24">
        <v>4</v>
      </c>
      <c r="G24" t="s">
        <v>258</v>
      </c>
      <c r="H24" t="s">
        <v>271</v>
      </c>
      <c r="I24" t="s">
        <v>284</v>
      </c>
      <c r="J24" s="106"/>
      <c r="K24">
        <v>4</v>
      </c>
      <c r="L24" t="s">
        <v>297</v>
      </c>
      <c r="M24" t="s">
        <v>309</v>
      </c>
      <c r="N24" s="108"/>
      <c r="O24" s="94"/>
      <c r="P24" s="99"/>
      <c r="Q24" s="103"/>
      <c r="R24" s="109"/>
      <c r="S24" t="s">
        <v>320</v>
      </c>
      <c r="T24" t="s">
        <v>331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244</v>
      </c>
      <c r="C25" t="s">
        <v>137</v>
      </c>
      <c r="D25" s="87"/>
      <c r="E25" s="88"/>
      <c r="F25">
        <v>64</v>
      </c>
      <c r="G25" t="s">
        <v>259</v>
      </c>
      <c r="H25" t="s">
        <v>272</v>
      </c>
      <c r="I25" t="s">
        <v>285</v>
      </c>
      <c r="J25" s="106"/>
      <c r="K25">
        <v>64</v>
      </c>
      <c r="L25" t="s">
        <v>298</v>
      </c>
      <c r="M25" t="s">
        <v>310</v>
      </c>
      <c r="N25" s="115"/>
      <c r="O25" s="94"/>
      <c r="P25" s="116"/>
      <c r="Q25" s="95"/>
      <c r="R25" s="95"/>
      <c r="S25" t="s">
        <v>321</v>
      </c>
      <c r="T25" t="s">
        <v>332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245</v>
      </c>
      <c r="C26" t="s">
        <v>138</v>
      </c>
      <c r="D26" s="87"/>
      <c r="E26" s="101"/>
      <c r="F26">
        <v>64</v>
      </c>
      <c r="G26" t="s">
        <v>260</v>
      </c>
      <c r="H26" t="s">
        <v>273</v>
      </c>
      <c r="I26" t="s">
        <v>286</v>
      </c>
      <c r="J26" s="106"/>
      <c r="K26">
        <v>64</v>
      </c>
      <c r="L26" t="s">
        <v>299</v>
      </c>
      <c r="M26" t="s">
        <v>311</v>
      </c>
      <c r="N26" s="108"/>
      <c r="O26" s="94"/>
      <c r="P26" s="99"/>
      <c r="Q26" s="103"/>
      <c r="R26" s="109"/>
      <c r="S26" t="s">
        <v>322</v>
      </c>
      <c r="T26" t="s">
        <v>333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246</v>
      </c>
      <c r="C27" t="s">
        <v>247</v>
      </c>
      <c r="D27" s="87"/>
      <c r="E27" s="88"/>
      <c r="F27">
        <v>2</v>
      </c>
      <c r="G27" t="s">
        <v>261</v>
      </c>
      <c r="H27" t="s">
        <v>274</v>
      </c>
      <c r="I27" t="s">
        <v>287</v>
      </c>
      <c r="J27" s="106"/>
      <c r="K27">
        <v>2</v>
      </c>
      <c r="L27" t="s">
        <v>300</v>
      </c>
      <c r="M27" t="s">
        <v>312</v>
      </c>
      <c r="N27" s="115"/>
      <c r="O27" s="94"/>
      <c r="P27" s="116"/>
      <c r="Q27" s="95"/>
      <c r="R27" s="95"/>
      <c r="S27" t="s">
        <v>323</v>
      </c>
      <c r="T27" t="s">
        <v>334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248</v>
      </c>
      <c r="C28" t="s">
        <v>249</v>
      </c>
      <c r="D28" s="87"/>
      <c r="E28" s="101"/>
      <c r="F28">
        <v>18</v>
      </c>
      <c r="G28" t="s">
        <v>262</v>
      </c>
      <c r="H28" t="s">
        <v>275</v>
      </c>
      <c r="I28" t="s">
        <v>288</v>
      </c>
      <c r="J28" s="106"/>
      <c r="K28">
        <v>18</v>
      </c>
      <c r="L28" t="s">
        <v>301</v>
      </c>
      <c r="M28" t="s">
        <v>313</v>
      </c>
      <c r="N28" s="108"/>
      <c r="O28" s="94"/>
      <c r="P28" s="99"/>
      <c r="Q28" s="103"/>
      <c r="R28" s="109"/>
      <c r="S28" t="s">
        <v>324</v>
      </c>
      <c r="T28" t="s">
        <v>335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250</v>
      </c>
      <c r="C29" t="s">
        <v>251</v>
      </c>
      <c r="D29" s="87"/>
      <c r="E29" s="88"/>
      <c r="F29">
        <v>54</v>
      </c>
      <c r="G29" t="s">
        <v>263</v>
      </c>
      <c r="H29" t="s">
        <v>276</v>
      </c>
      <c r="I29" t="s">
        <v>289</v>
      </c>
      <c r="J29" s="106"/>
      <c r="K29">
        <v>54</v>
      </c>
      <c r="L29" t="s">
        <v>302</v>
      </c>
      <c r="M29" t="s">
        <v>314</v>
      </c>
      <c r="N29" s="115"/>
      <c r="O29" s="94"/>
      <c r="P29" s="116"/>
      <c r="Q29" s="95"/>
      <c r="R29" s="95"/>
      <c r="S29" t="s">
        <v>325</v>
      </c>
      <c r="T29" t="s">
        <v>336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252</v>
      </c>
      <c r="C30" t="s">
        <v>128</v>
      </c>
      <c r="D30" s="87"/>
      <c r="E30" s="101"/>
      <c r="F30">
        <v>54</v>
      </c>
      <c r="G30" t="s">
        <v>264</v>
      </c>
      <c r="H30" t="s">
        <v>277</v>
      </c>
      <c r="I30" t="s">
        <v>290</v>
      </c>
      <c r="J30" s="106"/>
      <c r="K30">
        <v>54</v>
      </c>
      <c r="L30" t="s">
        <v>303</v>
      </c>
      <c r="M30" t="s">
        <v>315</v>
      </c>
      <c r="N30" s="108"/>
      <c r="O30" s="94"/>
      <c r="P30" s="99"/>
      <c r="Q30" s="103"/>
      <c r="R30" s="109"/>
      <c r="S30" t="s">
        <v>326</v>
      </c>
      <c r="T30" t="s">
        <v>337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253</v>
      </c>
      <c r="C31" t="s">
        <v>254</v>
      </c>
      <c r="D31" s="87"/>
      <c r="E31" s="88"/>
      <c r="F31">
        <v>2</v>
      </c>
      <c r="G31" t="s">
        <v>265</v>
      </c>
      <c r="H31" t="s">
        <v>278</v>
      </c>
      <c r="I31" t="s">
        <v>291</v>
      </c>
      <c r="J31" s="106"/>
      <c r="K31">
        <v>2</v>
      </c>
      <c r="L31" t="s">
        <v>304</v>
      </c>
      <c r="M31" t="s">
        <v>316</v>
      </c>
      <c r="N31" s="115"/>
      <c r="O31" s="94"/>
      <c r="P31" s="116"/>
      <c r="Q31" s="95"/>
      <c r="R31" s="95"/>
      <c r="S31" t="s">
        <v>327</v>
      </c>
      <c r="T31" t="s">
        <v>338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384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384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63" priority="1" stopIfTrue="1">
      <formula>$U$9&gt;100%</formula>
    </cfRule>
    <cfRule type="expression" dxfId="62" priority="2">
      <formula>$U$9&lt;50%</formula>
    </cfRule>
  </conditionalFormatting>
  <conditionalFormatting sqref="V9:V11">
    <cfRule type="expression" dxfId="61" priority="3">
      <formula>$V$9&lt;50%</formula>
    </cfRule>
    <cfRule type="expression" dxfId="60" priority="4">
      <formula>$V$9&gt;50%</formula>
    </cfRule>
  </conditionalFormatting>
  <dataValidations count="4">
    <dataValidation type="list" allowBlank="1" showErrorMessage="1" sqref="Q15 G18 L18 Q18" xr:uid="{90C1747F-47FB-4045-936F-415A54C91CE4}">
      <formula1>$Y$12:$Y$13</formula1>
    </dataValidation>
    <dataValidation type="list" allowBlank="1" showErrorMessage="1" sqref="J14" xr:uid="{B74F849D-4BA5-40EF-8554-9CED72713125}">
      <formula1>$L$9</formula1>
    </dataValidation>
    <dataValidation type="list" allowBlank="1" showErrorMessage="1" sqref="I14" xr:uid="{5DF42C7B-1DDF-4124-9229-452F00ED0B30}">
      <formula1>$Y$14:$Y$15</formula1>
    </dataValidation>
    <dataValidation type="list" allowBlank="1" showErrorMessage="1" sqref="E19:E49" xr:uid="{D1A30F12-84C3-4B05-8261-467AA0DE0083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22335-ED00-48FD-A3D7-01FB290C2E8B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>
        <v>71422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238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>
        <v>71422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237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384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239</v>
      </c>
      <c r="C19" t="s">
        <v>240</v>
      </c>
      <c r="D19" s="87"/>
      <c r="E19" s="88"/>
      <c r="F19">
        <v>90</v>
      </c>
      <c r="G19" t="s">
        <v>255</v>
      </c>
      <c r="H19" t="s">
        <v>266</v>
      </c>
      <c r="I19" t="s">
        <v>279</v>
      </c>
      <c r="J19" s="92"/>
      <c r="K19">
        <v>90</v>
      </c>
      <c r="L19" t="s">
        <v>292</v>
      </c>
      <c r="M19" t="s">
        <v>305</v>
      </c>
      <c r="N19" s="93"/>
      <c r="O19" s="94"/>
      <c r="P19" s="86"/>
      <c r="Q19" s="95"/>
      <c r="R19" s="95"/>
      <c r="S19" t="s">
        <v>317</v>
      </c>
      <c r="T19" t="s">
        <v>328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241</v>
      </c>
      <c r="C20" t="s">
        <v>132</v>
      </c>
      <c r="D20" s="87"/>
      <c r="E20" s="101"/>
      <c r="F20">
        <v>4</v>
      </c>
      <c r="G20" t="s">
        <v>256</v>
      </c>
      <c r="H20" t="s">
        <v>267</v>
      </c>
      <c r="I20" t="s">
        <v>280</v>
      </c>
      <c r="J20" s="106"/>
      <c r="K20">
        <v>4</v>
      </c>
      <c r="L20" t="s">
        <v>293</v>
      </c>
      <c r="M20" t="s">
        <v>306</v>
      </c>
      <c r="N20" s="108"/>
      <c r="O20" s="94"/>
      <c r="P20" s="99"/>
      <c r="Q20" s="103"/>
      <c r="R20" s="109"/>
      <c r="S20" t="s">
        <v>318</v>
      </c>
      <c r="T20" t="s">
        <v>329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119</v>
      </c>
      <c r="C21" t="s">
        <v>133</v>
      </c>
      <c r="D21" s="87"/>
      <c r="E21" s="88"/>
      <c r="F21">
        <v>8</v>
      </c>
      <c r="G21" t="s">
        <v>147</v>
      </c>
      <c r="H21" t="s">
        <v>268</v>
      </c>
      <c r="I21" t="s">
        <v>281</v>
      </c>
      <c r="J21" s="106"/>
      <c r="K21">
        <v>8</v>
      </c>
      <c r="L21" t="s">
        <v>294</v>
      </c>
      <c r="M21" t="s">
        <v>307</v>
      </c>
      <c r="N21" s="115"/>
      <c r="O21" s="94"/>
      <c r="P21" s="116"/>
      <c r="Q21" s="95"/>
      <c r="R21" s="95"/>
      <c r="S21" t="s">
        <v>217</v>
      </c>
      <c r="T21" t="s">
        <v>231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120</v>
      </c>
      <c r="C22" t="s">
        <v>134</v>
      </c>
      <c r="D22" s="87"/>
      <c r="E22" s="101"/>
      <c r="F22">
        <v>8</v>
      </c>
      <c r="G22" t="s">
        <v>148</v>
      </c>
      <c r="H22" t="s">
        <v>269</v>
      </c>
      <c r="I22" t="s">
        <v>282</v>
      </c>
      <c r="J22" s="106"/>
      <c r="K22">
        <v>8</v>
      </c>
      <c r="L22" t="s">
        <v>295</v>
      </c>
      <c r="M22" t="s">
        <v>228</v>
      </c>
      <c r="N22" s="108"/>
      <c r="O22" s="94"/>
      <c r="P22" s="99"/>
      <c r="Q22" s="103"/>
      <c r="R22" s="109"/>
      <c r="S22" t="s">
        <v>218</v>
      </c>
      <c r="T22" t="s">
        <v>232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242</v>
      </c>
      <c r="C23" t="s">
        <v>136</v>
      </c>
      <c r="D23" s="87"/>
      <c r="E23" s="88"/>
      <c r="F23">
        <v>12</v>
      </c>
      <c r="G23" t="s">
        <v>257</v>
      </c>
      <c r="H23" t="s">
        <v>270</v>
      </c>
      <c r="I23" t="s">
        <v>283</v>
      </c>
      <c r="J23" s="106"/>
      <c r="K23">
        <v>12</v>
      </c>
      <c r="L23" t="s">
        <v>296</v>
      </c>
      <c r="M23" t="s">
        <v>308</v>
      </c>
      <c r="N23" s="115"/>
      <c r="O23" s="94"/>
      <c r="P23" s="116"/>
      <c r="Q23" s="95"/>
      <c r="R23" s="95"/>
      <c r="S23" t="s">
        <v>319</v>
      </c>
      <c r="T23" t="s">
        <v>330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243</v>
      </c>
      <c r="C24" t="s">
        <v>135</v>
      </c>
      <c r="D24" s="87"/>
      <c r="E24" s="101"/>
      <c r="F24">
        <v>4</v>
      </c>
      <c r="G24" t="s">
        <v>258</v>
      </c>
      <c r="H24" t="s">
        <v>271</v>
      </c>
      <c r="I24" t="s">
        <v>284</v>
      </c>
      <c r="J24" s="106"/>
      <c r="K24">
        <v>4</v>
      </c>
      <c r="L24" t="s">
        <v>297</v>
      </c>
      <c r="M24" t="s">
        <v>309</v>
      </c>
      <c r="N24" s="108"/>
      <c r="O24" s="94"/>
      <c r="P24" s="99"/>
      <c r="Q24" s="103"/>
      <c r="R24" s="109"/>
      <c r="S24" t="s">
        <v>320</v>
      </c>
      <c r="T24" t="s">
        <v>331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244</v>
      </c>
      <c r="C25" t="s">
        <v>137</v>
      </c>
      <c r="D25" s="87"/>
      <c r="E25" s="88"/>
      <c r="F25">
        <v>64</v>
      </c>
      <c r="G25" t="s">
        <v>259</v>
      </c>
      <c r="H25" t="s">
        <v>272</v>
      </c>
      <c r="I25" t="s">
        <v>285</v>
      </c>
      <c r="J25" s="106"/>
      <c r="K25">
        <v>64</v>
      </c>
      <c r="L25" t="s">
        <v>298</v>
      </c>
      <c r="M25" t="s">
        <v>310</v>
      </c>
      <c r="N25" s="115"/>
      <c r="O25" s="94"/>
      <c r="P25" s="116"/>
      <c r="Q25" s="95"/>
      <c r="R25" s="95"/>
      <c r="S25" t="s">
        <v>321</v>
      </c>
      <c r="T25" t="s">
        <v>332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245</v>
      </c>
      <c r="C26" t="s">
        <v>138</v>
      </c>
      <c r="D26" s="87"/>
      <c r="E26" s="101"/>
      <c r="F26">
        <v>64</v>
      </c>
      <c r="G26" t="s">
        <v>260</v>
      </c>
      <c r="H26" t="s">
        <v>273</v>
      </c>
      <c r="I26" t="s">
        <v>286</v>
      </c>
      <c r="J26" s="106"/>
      <c r="K26">
        <v>64</v>
      </c>
      <c r="L26" t="s">
        <v>299</v>
      </c>
      <c r="M26" t="s">
        <v>311</v>
      </c>
      <c r="N26" s="108"/>
      <c r="O26" s="94"/>
      <c r="P26" s="99"/>
      <c r="Q26" s="103"/>
      <c r="R26" s="109"/>
      <c r="S26" t="s">
        <v>322</v>
      </c>
      <c r="T26" t="s">
        <v>333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246</v>
      </c>
      <c r="C27" t="s">
        <v>247</v>
      </c>
      <c r="D27" s="87"/>
      <c r="E27" s="88"/>
      <c r="F27">
        <v>2</v>
      </c>
      <c r="G27" t="s">
        <v>261</v>
      </c>
      <c r="H27" t="s">
        <v>274</v>
      </c>
      <c r="I27" t="s">
        <v>287</v>
      </c>
      <c r="J27" s="106"/>
      <c r="K27">
        <v>2</v>
      </c>
      <c r="L27" t="s">
        <v>300</v>
      </c>
      <c r="M27" t="s">
        <v>312</v>
      </c>
      <c r="N27" s="115"/>
      <c r="O27" s="94"/>
      <c r="P27" s="116"/>
      <c r="Q27" s="95"/>
      <c r="R27" s="95"/>
      <c r="S27" t="s">
        <v>323</v>
      </c>
      <c r="T27" t="s">
        <v>334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248</v>
      </c>
      <c r="C28" t="s">
        <v>249</v>
      </c>
      <c r="D28" s="87"/>
      <c r="E28" s="101"/>
      <c r="F28">
        <v>18</v>
      </c>
      <c r="G28" t="s">
        <v>262</v>
      </c>
      <c r="H28" t="s">
        <v>275</v>
      </c>
      <c r="I28" t="s">
        <v>288</v>
      </c>
      <c r="J28" s="106"/>
      <c r="K28">
        <v>18</v>
      </c>
      <c r="L28" t="s">
        <v>301</v>
      </c>
      <c r="M28" t="s">
        <v>313</v>
      </c>
      <c r="N28" s="108"/>
      <c r="O28" s="94"/>
      <c r="P28" s="99"/>
      <c r="Q28" s="103"/>
      <c r="R28" s="109"/>
      <c r="S28" t="s">
        <v>324</v>
      </c>
      <c r="T28" t="s">
        <v>335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250</v>
      </c>
      <c r="C29" t="s">
        <v>251</v>
      </c>
      <c r="D29" s="87"/>
      <c r="E29" s="88"/>
      <c r="F29">
        <v>54</v>
      </c>
      <c r="G29" t="s">
        <v>263</v>
      </c>
      <c r="H29" t="s">
        <v>276</v>
      </c>
      <c r="I29" t="s">
        <v>289</v>
      </c>
      <c r="J29" s="106"/>
      <c r="K29">
        <v>54</v>
      </c>
      <c r="L29" t="s">
        <v>302</v>
      </c>
      <c r="M29" t="s">
        <v>314</v>
      </c>
      <c r="N29" s="115"/>
      <c r="O29" s="94"/>
      <c r="P29" s="116"/>
      <c r="Q29" s="95"/>
      <c r="R29" s="95"/>
      <c r="S29" t="s">
        <v>325</v>
      </c>
      <c r="T29" t="s">
        <v>336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252</v>
      </c>
      <c r="C30" t="s">
        <v>128</v>
      </c>
      <c r="D30" s="87"/>
      <c r="E30" s="101"/>
      <c r="F30">
        <v>54</v>
      </c>
      <c r="G30" t="s">
        <v>264</v>
      </c>
      <c r="H30" t="s">
        <v>277</v>
      </c>
      <c r="I30" t="s">
        <v>290</v>
      </c>
      <c r="J30" s="106"/>
      <c r="K30">
        <v>54</v>
      </c>
      <c r="L30" t="s">
        <v>303</v>
      </c>
      <c r="M30" t="s">
        <v>315</v>
      </c>
      <c r="N30" s="108"/>
      <c r="O30" s="94"/>
      <c r="P30" s="99"/>
      <c r="Q30" s="103"/>
      <c r="R30" s="109"/>
      <c r="S30" t="s">
        <v>326</v>
      </c>
      <c r="T30" t="s">
        <v>337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253</v>
      </c>
      <c r="C31" t="s">
        <v>254</v>
      </c>
      <c r="D31" s="87"/>
      <c r="E31" s="88"/>
      <c r="F31">
        <v>2</v>
      </c>
      <c r="G31" t="s">
        <v>265</v>
      </c>
      <c r="H31" t="s">
        <v>278</v>
      </c>
      <c r="I31" t="s">
        <v>291</v>
      </c>
      <c r="J31" s="106"/>
      <c r="K31">
        <v>2</v>
      </c>
      <c r="L31" t="s">
        <v>304</v>
      </c>
      <c r="M31" t="s">
        <v>316</v>
      </c>
      <c r="N31" s="115"/>
      <c r="O31" s="94"/>
      <c r="P31" s="116"/>
      <c r="Q31" s="95"/>
      <c r="R31" s="95"/>
      <c r="S31" t="s">
        <v>327</v>
      </c>
      <c r="T31" t="s">
        <v>338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384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384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59" priority="1" stopIfTrue="1">
      <formula>$U$9&gt;100%</formula>
    </cfRule>
    <cfRule type="expression" dxfId="58" priority="2">
      <formula>$U$9&lt;50%</formula>
    </cfRule>
  </conditionalFormatting>
  <conditionalFormatting sqref="V9:V11">
    <cfRule type="expression" dxfId="57" priority="3">
      <formula>$V$9&lt;50%</formula>
    </cfRule>
    <cfRule type="expression" dxfId="56" priority="4">
      <formula>$V$9&gt;50%</formula>
    </cfRule>
  </conditionalFormatting>
  <dataValidations count="4">
    <dataValidation type="list" allowBlank="1" showErrorMessage="1" sqref="E19:E49" xr:uid="{1330D693-5FF1-47CB-AA68-37A3C86F8CB2}">
      <formula1>$Z$19:$Z$30</formula1>
    </dataValidation>
    <dataValidation type="list" allowBlank="1" showErrorMessage="1" sqref="I14" xr:uid="{0D06F38A-7A24-4912-B7A7-4230565052DD}">
      <formula1>$Y$14:$Y$15</formula1>
    </dataValidation>
    <dataValidation type="list" allowBlank="1" showErrorMessage="1" sqref="J14" xr:uid="{13588410-B0D7-4235-8169-AED10AD09A65}">
      <formula1>$L$9</formula1>
    </dataValidation>
    <dataValidation type="list" allowBlank="1" showErrorMessage="1" sqref="Q15 G18 L18 Q18" xr:uid="{74A6151C-F6C5-4356-A82E-388C69317F58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BF8B-DECE-4AEB-B6CC-12109F538E6F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>
        <v>71426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238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>
        <v>71426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237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384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239</v>
      </c>
      <c r="C19" t="s">
        <v>240</v>
      </c>
      <c r="D19" s="87"/>
      <c r="E19" s="88"/>
      <c r="F19">
        <v>90</v>
      </c>
      <c r="G19" t="s">
        <v>255</v>
      </c>
      <c r="H19" t="s">
        <v>266</v>
      </c>
      <c r="I19" t="s">
        <v>279</v>
      </c>
      <c r="J19" s="92"/>
      <c r="K19">
        <v>90</v>
      </c>
      <c r="L19" t="s">
        <v>292</v>
      </c>
      <c r="M19" t="s">
        <v>305</v>
      </c>
      <c r="N19" s="93"/>
      <c r="O19" s="94"/>
      <c r="P19" s="86"/>
      <c r="Q19" s="95"/>
      <c r="R19" s="95"/>
      <c r="S19" t="s">
        <v>317</v>
      </c>
      <c r="T19" t="s">
        <v>328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241</v>
      </c>
      <c r="C20" t="s">
        <v>132</v>
      </c>
      <c r="D20" s="87"/>
      <c r="E20" s="101"/>
      <c r="F20">
        <v>4</v>
      </c>
      <c r="G20" t="s">
        <v>256</v>
      </c>
      <c r="H20" t="s">
        <v>267</v>
      </c>
      <c r="I20" t="s">
        <v>280</v>
      </c>
      <c r="J20" s="106"/>
      <c r="K20">
        <v>4</v>
      </c>
      <c r="L20" t="s">
        <v>293</v>
      </c>
      <c r="M20" t="s">
        <v>306</v>
      </c>
      <c r="N20" s="108"/>
      <c r="O20" s="94"/>
      <c r="P20" s="99"/>
      <c r="Q20" s="103"/>
      <c r="R20" s="109"/>
      <c r="S20" t="s">
        <v>318</v>
      </c>
      <c r="T20" t="s">
        <v>329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119</v>
      </c>
      <c r="C21" t="s">
        <v>133</v>
      </c>
      <c r="D21" s="87"/>
      <c r="E21" s="88"/>
      <c r="F21">
        <v>8</v>
      </c>
      <c r="G21" t="s">
        <v>147</v>
      </c>
      <c r="H21" t="s">
        <v>268</v>
      </c>
      <c r="I21" t="s">
        <v>281</v>
      </c>
      <c r="J21" s="106"/>
      <c r="K21">
        <v>8</v>
      </c>
      <c r="L21" t="s">
        <v>294</v>
      </c>
      <c r="M21" t="s">
        <v>307</v>
      </c>
      <c r="N21" s="115"/>
      <c r="O21" s="94"/>
      <c r="P21" s="116"/>
      <c r="Q21" s="95"/>
      <c r="R21" s="95"/>
      <c r="S21" t="s">
        <v>217</v>
      </c>
      <c r="T21" t="s">
        <v>231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120</v>
      </c>
      <c r="C22" t="s">
        <v>134</v>
      </c>
      <c r="D22" s="87"/>
      <c r="E22" s="101"/>
      <c r="F22">
        <v>8</v>
      </c>
      <c r="G22" t="s">
        <v>148</v>
      </c>
      <c r="H22" t="s">
        <v>269</v>
      </c>
      <c r="I22" t="s">
        <v>282</v>
      </c>
      <c r="J22" s="106"/>
      <c r="K22">
        <v>8</v>
      </c>
      <c r="L22" t="s">
        <v>295</v>
      </c>
      <c r="M22" t="s">
        <v>228</v>
      </c>
      <c r="N22" s="108"/>
      <c r="O22" s="94"/>
      <c r="P22" s="99"/>
      <c r="Q22" s="103"/>
      <c r="R22" s="109"/>
      <c r="S22" t="s">
        <v>218</v>
      </c>
      <c r="T22" t="s">
        <v>232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242</v>
      </c>
      <c r="C23" t="s">
        <v>136</v>
      </c>
      <c r="D23" s="87"/>
      <c r="E23" s="88"/>
      <c r="F23">
        <v>12</v>
      </c>
      <c r="G23" t="s">
        <v>257</v>
      </c>
      <c r="H23" t="s">
        <v>270</v>
      </c>
      <c r="I23" t="s">
        <v>283</v>
      </c>
      <c r="J23" s="106"/>
      <c r="K23">
        <v>12</v>
      </c>
      <c r="L23" t="s">
        <v>296</v>
      </c>
      <c r="M23" t="s">
        <v>308</v>
      </c>
      <c r="N23" s="115"/>
      <c r="O23" s="94"/>
      <c r="P23" s="116"/>
      <c r="Q23" s="95"/>
      <c r="R23" s="95"/>
      <c r="S23" t="s">
        <v>319</v>
      </c>
      <c r="T23" t="s">
        <v>330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243</v>
      </c>
      <c r="C24" t="s">
        <v>135</v>
      </c>
      <c r="D24" s="87"/>
      <c r="E24" s="101"/>
      <c r="F24">
        <v>4</v>
      </c>
      <c r="G24" t="s">
        <v>258</v>
      </c>
      <c r="H24" t="s">
        <v>271</v>
      </c>
      <c r="I24" t="s">
        <v>284</v>
      </c>
      <c r="J24" s="106"/>
      <c r="K24">
        <v>4</v>
      </c>
      <c r="L24" t="s">
        <v>297</v>
      </c>
      <c r="M24" t="s">
        <v>309</v>
      </c>
      <c r="N24" s="108"/>
      <c r="O24" s="94"/>
      <c r="P24" s="99"/>
      <c r="Q24" s="103"/>
      <c r="R24" s="109"/>
      <c r="S24" t="s">
        <v>320</v>
      </c>
      <c r="T24" t="s">
        <v>331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244</v>
      </c>
      <c r="C25" t="s">
        <v>137</v>
      </c>
      <c r="D25" s="87"/>
      <c r="E25" s="88"/>
      <c r="F25">
        <v>64</v>
      </c>
      <c r="G25" t="s">
        <v>259</v>
      </c>
      <c r="H25" t="s">
        <v>272</v>
      </c>
      <c r="I25" t="s">
        <v>285</v>
      </c>
      <c r="J25" s="106"/>
      <c r="K25">
        <v>64</v>
      </c>
      <c r="L25" t="s">
        <v>298</v>
      </c>
      <c r="M25" t="s">
        <v>310</v>
      </c>
      <c r="N25" s="115"/>
      <c r="O25" s="94"/>
      <c r="P25" s="116"/>
      <c r="Q25" s="95"/>
      <c r="R25" s="95"/>
      <c r="S25" t="s">
        <v>321</v>
      </c>
      <c r="T25" t="s">
        <v>332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245</v>
      </c>
      <c r="C26" t="s">
        <v>138</v>
      </c>
      <c r="D26" s="87"/>
      <c r="E26" s="101"/>
      <c r="F26">
        <v>64</v>
      </c>
      <c r="G26" t="s">
        <v>260</v>
      </c>
      <c r="H26" t="s">
        <v>273</v>
      </c>
      <c r="I26" t="s">
        <v>286</v>
      </c>
      <c r="J26" s="106"/>
      <c r="K26">
        <v>64</v>
      </c>
      <c r="L26" t="s">
        <v>299</v>
      </c>
      <c r="M26" t="s">
        <v>311</v>
      </c>
      <c r="N26" s="108"/>
      <c r="O26" s="94"/>
      <c r="P26" s="99"/>
      <c r="Q26" s="103"/>
      <c r="R26" s="109"/>
      <c r="S26" t="s">
        <v>322</v>
      </c>
      <c r="T26" t="s">
        <v>333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246</v>
      </c>
      <c r="C27" t="s">
        <v>247</v>
      </c>
      <c r="D27" s="87"/>
      <c r="E27" s="88"/>
      <c r="F27">
        <v>2</v>
      </c>
      <c r="G27" t="s">
        <v>261</v>
      </c>
      <c r="H27" t="s">
        <v>274</v>
      </c>
      <c r="I27" t="s">
        <v>287</v>
      </c>
      <c r="J27" s="106"/>
      <c r="K27">
        <v>2</v>
      </c>
      <c r="L27" t="s">
        <v>300</v>
      </c>
      <c r="M27" t="s">
        <v>312</v>
      </c>
      <c r="N27" s="115"/>
      <c r="O27" s="94"/>
      <c r="P27" s="116"/>
      <c r="Q27" s="95"/>
      <c r="R27" s="95"/>
      <c r="S27" t="s">
        <v>323</v>
      </c>
      <c r="T27" t="s">
        <v>334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248</v>
      </c>
      <c r="C28" t="s">
        <v>249</v>
      </c>
      <c r="D28" s="87"/>
      <c r="E28" s="101"/>
      <c r="F28">
        <v>18</v>
      </c>
      <c r="G28" t="s">
        <v>262</v>
      </c>
      <c r="H28" t="s">
        <v>275</v>
      </c>
      <c r="I28" t="s">
        <v>288</v>
      </c>
      <c r="J28" s="106"/>
      <c r="K28">
        <v>18</v>
      </c>
      <c r="L28" t="s">
        <v>301</v>
      </c>
      <c r="M28" t="s">
        <v>313</v>
      </c>
      <c r="N28" s="108"/>
      <c r="O28" s="94"/>
      <c r="P28" s="99"/>
      <c r="Q28" s="103"/>
      <c r="R28" s="109"/>
      <c r="S28" t="s">
        <v>324</v>
      </c>
      <c r="T28" t="s">
        <v>335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250</v>
      </c>
      <c r="C29" t="s">
        <v>251</v>
      </c>
      <c r="D29" s="87"/>
      <c r="E29" s="88"/>
      <c r="F29">
        <v>54</v>
      </c>
      <c r="G29" t="s">
        <v>263</v>
      </c>
      <c r="H29" t="s">
        <v>276</v>
      </c>
      <c r="I29" t="s">
        <v>289</v>
      </c>
      <c r="J29" s="106"/>
      <c r="K29">
        <v>54</v>
      </c>
      <c r="L29" t="s">
        <v>302</v>
      </c>
      <c r="M29" t="s">
        <v>314</v>
      </c>
      <c r="N29" s="115"/>
      <c r="O29" s="94"/>
      <c r="P29" s="116"/>
      <c r="Q29" s="95"/>
      <c r="R29" s="95"/>
      <c r="S29" t="s">
        <v>325</v>
      </c>
      <c r="T29" t="s">
        <v>336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252</v>
      </c>
      <c r="C30" t="s">
        <v>128</v>
      </c>
      <c r="D30" s="87"/>
      <c r="E30" s="101"/>
      <c r="F30">
        <v>54</v>
      </c>
      <c r="G30" t="s">
        <v>264</v>
      </c>
      <c r="H30" t="s">
        <v>277</v>
      </c>
      <c r="I30" t="s">
        <v>290</v>
      </c>
      <c r="J30" s="106"/>
      <c r="K30">
        <v>54</v>
      </c>
      <c r="L30" t="s">
        <v>303</v>
      </c>
      <c r="M30" t="s">
        <v>315</v>
      </c>
      <c r="N30" s="108"/>
      <c r="O30" s="94"/>
      <c r="P30" s="99"/>
      <c r="Q30" s="103"/>
      <c r="R30" s="109"/>
      <c r="S30" t="s">
        <v>326</v>
      </c>
      <c r="T30" t="s">
        <v>337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253</v>
      </c>
      <c r="C31" t="s">
        <v>254</v>
      </c>
      <c r="D31" s="87"/>
      <c r="E31" s="88"/>
      <c r="F31">
        <v>2</v>
      </c>
      <c r="G31" t="s">
        <v>265</v>
      </c>
      <c r="H31" t="s">
        <v>278</v>
      </c>
      <c r="I31" t="s">
        <v>291</v>
      </c>
      <c r="J31" s="106"/>
      <c r="K31">
        <v>2</v>
      </c>
      <c r="L31" t="s">
        <v>304</v>
      </c>
      <c r="M31" t="s">
        <v>316</v>
      </c>
      <c r="N31" s="115"/>
      <c r="O31" s="94"/>
      <c r="P31" s="116"/>
      <c r="Q31" s="95"/>
      <c r="R31" s="95"/>
      <c r="S31" t="s">
        <v>327</v>
      </c>
      <c r="T31" t="s">
        <v>338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384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384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55" priority="1" stopIfTrue="1">
      <formula>$U$9&gt;100%</formula>
    </cfRule>
    <cfRule type="expression" dxfId="54" priority="2">
      <formula>$U$9&lt;50%</formula>
    </cfRule>
  </conditionalFormatting>
  <conditionalFormatting sqref="V9:V11">
    <cfRule type="expression" dxfId="53" priority="3">
      <formula>$V$9&lt;50%</formula>
    </cfRule>
    <cfRule type="expression" dxfId="52" priority="4">
      <formula>$V$9&gt;50%</formula>
    </cfRule>
  </conditionalFormatting>
  <dataValidations count="4">
    <dataValidation type="list" allowBlank="1" showErrorMessage="1" sqref="Q15 G18 L18 Q18" xr:uid="{2265D6E6-99F5-4ACC-9854-FFF931395168}">
      <formula1>$Y$12:$Y$13</formula1>
    </dataValidation>
    <dataValidation type="list" allowBlank="1" showErrorMessage="1" sqref="J14" xr:uid="{46A026F5-7561-4997-9096-B1E8BD25769B}">
      <formula1>$L$9</formula1>
    </dataValidation>
    <dataValidation type="list" allowBlank="1" showErrorMessage="1" sqref="I14" xr:uid="{37A77E56-C2FE-4241-B2E8-EEC2AB4C2FD7}">
      <formula1>$Y$14:$Y$15</formula1>
    </dataValidation>
    <dataValidation type="list" allowBlank="1" showErrorMessage="1" sqref="E19:E49" xr:uid="{793A6ED4-2432-451A-8F19-E8ADC12ADA16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AE2B4-5F2E-4578-8A35-6C5A03BC2863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340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339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340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108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226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341</v>
      </c>
      <c r="C19" t="s">
        <v>342</v>
      </c>
      <c r="D19" s="87"/>
      <c r="E19" s="88"/>
      <c r="F19">
        <v>2</v>
      </c>
      <c r="G19" t="s">
        <v>355</v>
      </c>
      <c r="H19" t="s">
        <v>364</v>
      </c>
      <c r="I19" t="s">
        <v>373</v>
      </c>
      <c r="J19" s="92"/>
      <c r="K19">
        <v>2</v>
      </c>
      <c r="L19" t="s">
        <v>384</v>
      </c>
      <c r="M19" t="s">
        <v>393</v>
      </c>
      <c r="N19" s="93"/>
      <c r="O19" s="94"/>
      <c r="P19" s="86"/>
      <c r="Q19" s="95"/>
      <c r="R19" s="95"/>
      <c r="S19" t="s">
        <v>404</v>
      </c>
      <c r="T19" t="s">
        <v>405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343</v>
      </c>
      <c r="C20" t="s">
        <v>344</v>
      </c>
      <c r="D20" s="87"/>
      <c r="E20" s="101"/>
      <c r="F20">
        <v>2</v>
      </c>
      <c r="G20" t="s">
        <v>356</v>
      </c>
      <c r="H20" t="s">
        <v>365</v>
      </c>
      <c r="I20" t="s">
        <v>374</v>
      </c>
      <c r="J20" s="106"/>
      <c r="K20">
        <v>2</v>
      </c>
      <c r="L20" t="s">
        <v>385</v>
      </c>
      <c r="M20" t="s">
        <v>394</v>
      </c>
      <c r="N20" s="108"/>
      <c r="O20" s="94"/>
      <c r="P20" s="99"/>
      <c r="Q20" s="103"/>
      <c r="R20" s="109"/>
      <c r="S20" t="s">
        <v>406</v>
      </c>
      <c r="T20" t="s">
        <v>407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345</v>
      </c>
      <c r="C21" t="s">
        <v>127</v>
      </c>
      <c r="D21" s="87"/>
      <c r="E21" s="88"/>
      <c r="F21">
        <v>48</v>
      </c>
      <c r="G21" t="s">
        <v>357</v>
      </c>
      <c r="H21" t="s">
        <v>366</v>
      </c>
      <c r="I21" t="s">
        <v>375</v>
      </c>
      <c r="J21" s="106"/>
      <c r="K21">
        <v>48</v>
      </c>
      <c r="L21" t="s">
        <v>386</v>
      </c>
      <c r="M21" t="s">
        <v>395</v>
      </c>
      <c r="N21" s="115"/>
      <c r="O21" s="94"/>
      <c r="P21" s="116"/>
      <c r="Q21" s="95"/>
      <c r="R21" s="95"/>
      <c r="S21" t="s">
        <v>408</v>
      </c>
      <c r="T21" t="s">
        <v>409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346</v>
      </c>
      <c r="C22" t="s">
        <v>247</v>
      </c>
      <c r="D22" s="87"/>
      <c r="E22" s="101"/>
      <c r="F22">
        <v>2</v>
      </c>
      <c r="G22" t="s">
        <v>358</v>
      </c>
      <c r="H22" t="s">
        <v>367</v>
      </c>
      <c r="I22" t="s">
        <v>376</v>
      </c>
      <c r="J22" s="106"/>
      <c r="K22">
        <v>2</v>
      </c>
      <c r="L22" t="s">
        <v>387</v>
      </c>
      <c r="M22" t="s">
        <v>396</v>
      </c>
      <c r="N22" s="108"/>
      <c r="O22" s="94"/>
      <c r="P22" s="99"/>
      <c r="Q22" s="103"/>
      <c r="R22" s="109"/>
      <c r="S22" t="s">
        <v>410</v>
      </c>
      <c r="T22" t="s">
        <v>411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347</v>
      </c>
      <c r="C23" t="s">
        <v>348</v>
      </c>
      <c r="D23" s="87"/>
      <c r="E23" s="88"/>
      <c r="F23">
        <v>4</v>
      </c>
      <c r="G23" t="s">
        <v>359</v>
      </c>
      <c r="H23" t="s">
        <v>368</v>
      </c>
      <c r="I23" t="s">
        <v>377</v>
      </c>
      <c r="J23" s="106"/>
      <c r="K23">
        <v>4</v>
      </c>
      <c r="L23" t="s">
        <v>388</v>
      </c>
      <c r="M23" t="s">
        <v>397</v>
      </c>
      <c r="N23" s="115"/>
      <c r="O23" s="94"/>
      <c r="P23" s="116"/>
      <c r="Q23" s="95"/>
      <c r="R23" s="95"/>
      <c r="S23" t="s">
        <v>412</v>
      </c>
      <c r="T23" t="s">
        <v>413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120</v>
      </c>
      <c r="C24" t="s">
        <v>131</v>
      </c>
      <c r="D24" s="87"/>
      <c r="E24" s="101"/>
      <c r="F24">
        <v>4</v>
      </c>
      <c r="G24" t="s">
        <v>148</v>
      </c>
      <c r="H24" t="s">
        <v>269</v>
      </c>
      <c r="I24" t="s">
        <v>378</v>
      </c>
      <c r="J24" s="106"/>
      <c r="K24">
        <v>4</v>
      </c>
      <c r="L24" t="s">
        <v>295</v>
      </c>
      <c r="M24" t="s">
        <v>398</v>
      </c>
      <c r="N24" s="108"/>
      <c r="O24" s="94"/>
      <c r="P24" s="99"/>
      <c r="Q24" s="103"/>
      <c r="R24" s="109"/>
      <c r="S24" t="s">
        <v>218</v>
      </c>
      <c r="T24" t="s">
        <v>414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349</v>
      </c>
      <c r="C25" t="s">
        <v>132</v>
      </c>
      <c r="D25" s="87"/>
      <c r="E25" s="88"/>
      <c r="F25">
        <v>4</v>
      </c>
      <c r="G25" t="s">
        <v>360</v>
      </c>
      <c r="H25" t="s">
        <v>369</v>
      </c>
      <c r="I25" t="s">
        <v>379</v>
      </c>
      <c r="J25" s="106"/>
      <c r="K25">
        <v>4</v>
      </c>
      <c r="L25" t="s">
        <v>389</v>
      </c>
      <c r="M25" t="s">
        <v>399</v>
      </c>
      <c r="N25" s="115"/>
      <c r="O25" s="94"/>
      <c r="P25" s="116"/>
      <c r="Q25" s="95"/>
      <c r="R25" s="95"/>
      <c r="S25" t="s">
        <v>415</v>
      </c>
      <c r="T25" t="s">
        <v>416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350</v>
      </c>
      <c r="C26" t="s">
        <v>133</v>
      </c>
      <c r="D26" s="87"/>
      <c r="E26" s="101"/>
      <c r="F26">
        <v>8</v>
      </c>
      <c r="G26" t="s">
        <v>361</v>
      </c>
      <c r="H26" t="s">
        <v>370</v>
      </c>
      <c r="I26" t="s">
        <v>380</v>
      </c>
      <c r="J26" s="106"/>
      <c r="K26">
        <v>8</v>
      </c>
      <c r="L26" t="s">
        <v>390</v>
      </c>
      <c r="M26" t="s">
        <v>400</v>
      </c>
      <c r="N26" s="108"/>
      <c r="O26" s="94"/>
      <c r="P26" s="99"/>
      <c r="Q26" s="103"/>
      <c r="R26" s="109"/>
      <c r="S26" t="s">
        <v>417</v>
      </c>
      <c r="T26" t="s">
        <v>418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120</v>
      </c>
      <c r="C27" t="s">
        <v>134</v>
      </c>
      <c r="D27" s="87"/>
      <c r="E27" s="88"/>
      <c r="F27">
        <v>8</v>
      </c>
      <c r="G27" t="s">
        <v>148</v>
      </c>
      <c r="H27" t="s">
        <v>269</v>
      </c>
      <c r="I27" t="s">
        <v>282</v>
      </c>
      <c r="J27" s="106"/>
      <c r="K27">
        <v>8</v>
      </c>
      <c r="L27" t="s">
        <v>295</v>
      </c>
      <c r="M27" t="s">
        <v>228</v>
      </c>
      <c r="N27" s="115"/>
      <c r="O27" s="94"/>
      <c r="P27" s="116"/>
      <c r="Q27" s="95"/>
      <c r="R27" s="95"/>
      <c r="S27" t="s">
        <v>218</v>
      </c>
      <c r="T27" t="s">
        <v>232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351</v>
      </c>
      <c r="C28" t="s">
        <v>352</v>
      </c>
      <c r="D28" s="87"/>
      <c r="E28" s="101"/>
      <c r="F28">
        <v>16</v>
      </c>
      <c r="G28" t="s">
        <v>362</v>
      </c>
      <c r="H28" t="s">
        <v>371</v>
      </c>
      <c r="I28" t="s">
        <v>381</v>
      </c>
      <c r="J28" s="106"/>
      <c r="K28">
        <v>16</v>
      </c>
      <c r="L28" t="s">
        <v>391</v>
      </c>
      <c r="M28" t="s">
        <v>401</v>
      </c>
      <c r="N28" s="108"/>
      <c r="O28" s="94"/>
      <c r="P28" s="99"/>
      <c r="Q28" s="103"/>
      <c r="R28" s="109"/>
      <c r="S28" t="s">
        <v>419</v>
      </c>
      <c r="T28" t="s">
        <v>420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353</v>
      </c>
      <c r="C29" t="s">
        <v>354</v>
      </c>
      <c r="D29" s="87"/>
      <c r="E29" s="88"/>
      <c r="F29">
        <v>64</v>
      </c>
      <c r="G29" t="s">
        <v>363</v>
      </c>
      <c r="H29" t="s">
        <v>372</v>
      </c>
      <c r="I29" t="s">
        <v>382</v>
      </c>
      <c r="J29" s="106"/>
      <c r="K29">
        <v>64</v>
      </c>
      <c r="L29" t="s">
        <v>392</v>
      </c>
      <c r="M29" t="s">
        <v>402</v>
      </c>
      <c r="N29" s="115"/>
      <c r="O29" s="94"/>
      <c r="P29" s="116"/>
      <c r="Q29" s="95"/>
      <c r="R29" s="95"/>
      <c r="S29" t="s">
        <v>421</v>
      </c>
      <c r="T29" t="s">
        <v>422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120</v>
      </c>
      <c r="C30" t="s">
        <v>138</v>
      </c>
      <c r="D30" s="87"/>
      <c r="E30" s="101"/>
      <c r="F30">
        <v>64</v>
      </c>
      <c r="G30" t="s">
        <v>148</v>
      </c>
      <c r="H30" t="s">
        <v>269</v>
      </c>
      <c r="I30" t="s">
        <v>383</v>
      </c>
      <c r="J30" s="106"/>
      <c r="K30">
        <v>64</v>
      </c>
      <c r="L30" t="s">
        <v>295</v>
      </c>
      <c r="M30" t="s">
        <v>403</v>
      </c>
      <c r="N30" s="108"/>
      <c r="O30" s="94"/>
      <c r="P30" s="99"/>
      <c r="Q30" s="103"/>
      <c r="R30" s="109"/>
      <c r="S30" t="s">
        <v>218</v>
      </c>
      <c r="T30" t="s">
        <v>423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D31" s="87"/>
      <c r="E31" s="88"/>
      <c r="J31" s="106"/>
      <c r="N31" s="115"/>
      <c r="O31" s="94"/>
      <c r="P31" s="116"/>
      <c r="Q31" s="95"/>
      <c r="R31" s="95"/>
      <c r="U31" s="145"/>
      <c r="V31" s="145"/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226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226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51" priority="1" stopIfTrue="1">
      <formula>$U$9&gt;100%</formula>
    </cfRule>
    <cfRule type="expression" dxfId="50" priority="2">
      <formula>$U$9&lt;50%</formula>
    </cfRule>
  </conditionalFormatting>
  <conditionalFormatting sqref="V9:V11">
    <cfRule type="expression" dxfId="49" priority="3">
      <formula>$V$9&lt;50%</formula>
    </cfRule>
    <cfRule type="expression" dxfId="48" priority="4">
      <formula>$V$9&gt;50%</formula>
    </cfRule>
  </conditionalFormatting>
  <dataValidations count="4">
    <dataValidation type="list" allowBlank="1" showErrorMessage="1" sqref="E19:E49" xr:uid="{D2EC1B2D-B800-4F99-953D-AC2AA0B9BCB5}">
      <formula1>$Z$19:$Z$30</formula1>
    </dataValidation>
    <dataValidation type="list" allowBlank="1" showErrorMessage="1" sqref="I14" xr:uid="{F9549DE0-E621-4739-B00A-1237F51F9ED2}">
      <formula1>$Y$14:$Y$15</formula1>
    </dataValidation>
    <dataValidation type="list" allowBlank="1" showErrorMessage="1" sqref="J14" xr:uid="{7A6C7BDF-332F-4D49-BEA2-9A6C2679EB1E}">
      <formula1>$L$9</formula1>
    </dataValidation>
    <dataValidation type="list" allowBlank="1" showErrorMessage="1" sqref="Q15 G18 L18 Q18" xr:uid="{A4F03DE2-CBB5-4B77-8423-198A5B908E79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770E9-4EA5-4F42-8DAD-05EB0E150CC0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424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339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424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108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226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425</v>
      </c>
      <c r="C19" t="s">
        <v>426</v>
      </c>
      <c r="D19" s="87"/>
      <c r="E19" s="88"/>
      <c r="F19">
        <v>2</v>
      </c>
      <c r="G19" t="s">
        <v>428</v>
      </c>
      <c r="H19" t="s">
        <v>430</v>
      </c>
      <c r="I19" t="s">
        <v>432</v>
      </c>
      <c r="J19" s="92"/>
      <c r="K19">
        <v>2</v>
      </c>
      <c r="L19" t="s">
        <v>434</v>
      </c>
      <c r="M19" t="s">
        <v>436</v>
      </c>
      <c r="N19" s="93"/>
      <c r="O19" s="94"/>
      <c r="P19" s="86"/>
      <c r="Q19" s="95"/>
      <c r="R19" s="95"/>
      <c r="S19" t="s">
        <v>438</v>
      </c>
      <c r="T19" t="s">
        <v>439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343</v>
      </c>
      <c r="C20" t="s">
        <v>344</v>
      </c>
      <c r="D20" s="87"/>
      <c r="E20" s="101"/>
      <c r="F20">
        <v>2</v>
      </c>
      <c r="G20" t="s">
        <v>356</v>
      </c>
      <c r="H20" t="s">
        <v>365</v>
      </c>
      <c r="I20" t="s">
        <v>374</v>
      </c>
      <c r="J20" s="106"/>
      <c r="K20">
        <v>2</v>
      </c>
      <c r="L20" t="s">
        <v>385</v>
      </c>
      <c r="M20" t="s">
        <v>394</v>
      </c>
      <c r="N20" s="108"/>
      <c r="O20" s="94"/>
      <c r="P20" s="99"/>
      <c r="Q20" s="103"/>
      <c r="R20" s="109"/>
      <c r="S20" t="s">
        <v>406</v>
      </c>
      <c r="T20" t="s">
        <v>407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345</v>
      </c>
      <c r="C21" t="s">
        <v>251</v>
      </c>
      <c r="D21" s="87"/>
      <c r="E21" s="88"/>
      <c r="F21">
        <v>48</v>
      </c>
      <c r="G21" t="s">
        <v>357</v>
      </c>
      <c r="H21" t="s">
        <v>366</v>
      </c>
      <c r="I21" t="s">
        <v>375</v>
      </c>
      <c r="J21" s="106"/>
      <c r="K21">
        <v>48</v>
      </c>
      <c r="L21" t="s">
        <v>386</v>
      </c>
      <c r="M21" t="s">
        <v>395</v>
      </c>
      <c r="N21" s="115"/>
      <c r="O21" s="94"/>
      <c r="P21" s="116"/>
      <c r="Q21" s="95"/>
      <c r="R21" s="95"/>
      <c r="S21" t="s">
        <v>408</v>
      </c>
      <c r="T21" t="s">
        <v>409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346</v>
      </c>
      <c r="C22" t="s">
        <v>247</v>
      </c>
      <c r="D22" s="87"/>
      <c r="E22" s="101"/>
      <c r="F22">
        <v>2</v>
      </c>
      <c r="G22" t="s">
        <v>358</v>
      </c>
      <c r="H22" t="s">
        <v>367</v>
      </c>
      <c r="I22" t="s">
        <v>376</v>
      </c>
      <c r="J22" s="106"/>
      <c r="K22">
        <v>2</v>
      </c>
      <c r="L22" t="s">
        <v>387</v>
      </c>
      <c r="M22" t="s">
        <v>396</v>
      </c>
      <c r="N22" s="108"/>
      <c r="O22" s="94"/>
      <c r="P22" s="99"/>
      <c r="Q22" s="103"/>
      <c r="R22" s="109"/>
      <c r="S22" t="s">
        <v>410</v>
      </c>
      <c r="T22" t="s">
        <v>411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347</v>
      </c>
      <c r="C23" t="s">
        <v>348</v>
      </c>
      <c r="D23" s="87"/>
      <c r="E23" s="88"/>
      <c r="F23">
        <v>4</v>
      </c>
      <c r="G23" t="s">
        <v>359</v>
      </c>
      <c r="H23" t="s">
        <v>368</v>
      </c>
      <c r="I23" t="s">
        <v>377</v>
      </c>
      <c r="J23" s="106"/>
      <c r="K23">
        <v>4</v>
      </c>
      <c r="L23" t="s">
        <v>388</v>
      </c>
      <c r="M23" t="s">
        <v>397</v>
      </c>
      <c r="N23" s="115"/>
      <c r="O23" s="94"/>
      <c r="P23" s="116"/>
      <c r="Q23" s="95"/>
      <c r="R23" s="95"/>
      <c r="S23" t="s">
        <v>412</v>
      </c>
      <c r="T23" t="s">
        <v>413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120</v>
      </c>
      <c r="C24" t="s">
        <v>131</v>
      </c>
      <c r="D24" s="87"/>
      <c r="E24" s="101"/>
      <c r="F24">
        <v>4</v>
      </c>
      <c r="G24" t="s">
        <v>148</v>
      </c>
      <c r="H24" t="s">
        <v>269</v>
      </c>
      <c r="I24" t="s">
        <v>378</v>
      </c>
      <c r="J24" s="106"/>
      <c r="K24">
        <v>4</v>
      </c>
      <c r="L24" t="s">
        <v>295</v>
      </c>
      <c r="M24" t="s">
        <v>398</v>
      </c>
      <c r="N24" s="108"/>
      <c r="O24" s="94"/>
      <c r="P24" s="99"/>
      <c r="Q24" s="103"/>
      <c r="R24" s="109"/>
      <c r="S24" t="s">
        <v>218</v>
      </c>
      <c r="T24" t="s">
        <v>414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427</v>
      </c>
      <c r="C25" t="s">
        <v>132</v>
      </c>
      <c r="D25" s="87"/>
      <c r="E25" s="88"/>
      <c r="F25">
        <v>4</v>
      </c>
      <c r="G25" t="s">
        <v>429</v>
      </c>
      <c r="H25" t="s">
        <v>431</v>
      </c>
      <c r="I25" t="s">
        <v>433</v>
      </c>
      <c r="J25" s="106"/>
      <c r="K25">
        <v>4</v>
      </c>
      <c r="L25" t="s">
        <v>435</v>
      </c>
      <c r="M25" t="s">
        <v>437</v>
      </c>
      <c r="N25" s="115"/>
      <c r="O25" s="94"/>
      <c r="P25" s="116"/>
      <c r="Q25" s="95"/>
      <c r="R25" s="95"/>
      <c r="S25" t="s">
        <v>440</v>
      </c>
      <c r="T25" t="s">
        <v>441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350</v>
      </c>
      <c r="C26" t="s">
        <v>133</v>
      </c>
      <c r="D26" s="87"/>
      <c r="E26" s="101"/>
      <c r="F26">
        <v>8</v>
      </c>
      <c r="G26" t="s">
        <v>361</v>
      </c>
      <c r="H26" t="s">
        <v>370</v>
      </c>
      <c r="I26" t="s">
        <v>380</v>
      </c>
      <c r="J26" s="106"/>
      <c r="K26">
        <v>8</v>
      </c>
      <c r="L26" t="s">
        <v>390</v>
      </c>
      <c r="M26" t="s">
        <v>400</v>
      </c>
      <c r="N26" s="108"/>
      <c r="O26" s="94"/>
      <c r="P26" s="99"/>
      <c r="Q26" s="103"/>
      <c r="R26" s="109"/>
      <c r="S26" t="s">
        <v>417</v>
      </c>
      <c r="T26" t="s">
        <v>418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120</v>
      </c>
      <c r="C27" t="s">
        <v>134</v>
      </c>
      <c r="D27" s="87"/>
      <c r="E27" s="88"/>
      <c r="F27">
        <v>8</v>
      </c>
      <c r="G27" t="s">
        <v>148</v>
      </c>
      <c r="H27" t="s">
        <v>269</v>
      </c>
      <c r="I27" t="s">
        <v>282</v>
      </c>
      <c r="J27" s="106"/>
      <c r="K27">
        <v>8</v>
      </c>
      <c r="L27" t="s">
        <v>295</v>
      </c>
      <c r="M27" t="s">
        <v>228</v>
      </c>
      <c r="N27" s="115"/>
      <c r="O27" s="94"/>
      <c r="P27" s="116"/>
      <c r="Q27" s="95"/>
      <c r="R27" s="95"/>
      <c r="S27" t="s">
        <v>218</v>
      </c>
      <c r="T27" t="s">
        <v>232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351</v>
      </c>
      <c r="C28" t="s">
        <v>352</v>
      </c>
      <c r="D28" s="87"/>
      <c r="E28" s="101"/>
      <c r="F28">
        <v>16</v>
      </c>
      <c r="G28" t="s">
        <v>362</v>
      </c>
      <c r="H28" t="s">
        <v>371</v>
      </c>
      <c r="I28" t="s">
        <v>381</v>
      </c>
      <c r="J28" s="106"/>
      <c r="K28">
        <v>16</v>
      </c>
      <c r="L28" t="s">
        <v>391</v>
      </c>
      <c r="M28" t="s">
        <v>401</v>
      </c>
      <c r="N28" s="108"/>
      <c r="O28" s="94"/>
      <c r="P28" s="99"/>
      <c r="Q28" s="103"/>
      <c r="R28" s="109"/>
      <c r="S28" t="s">
        <v>419</v>
      </c>
      <c r="T28" t="s">
        <v>420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353</v>
      </c>
      <c r="C29" t="s">
        <v>354</v>
      </c>
      <c r="D29" s="87"/>
      <c r="E29" s="88"/>
      <c r="F29">
        <v>64</v>
      </c>
      <c r="G29" t="s">
        <v>363</v>
      </c>
      <c r="H29" t="s">
        <v>372</v>
      </c>
      <c r="I29" t="s">
        <v>382</v>
      </c>
      <c r="J29" s="106"/>
      <c r="K29">
        <v>64</v>
      </c>
      <c r="L29" t="s">
        <v>392</v>
      </c>
      <c r="M29" t="s">
        <v>402</v>
      </c>
      <c r="N29" s="115"/>
      <c r="O29" s="94"/>
      <c r="P29" s="116"/>
      <c r="Q29" s="95"/>
      <c r="R29" s="95"/>
      <c r="S29" t="s">
        <v>421</v>
      </c>
      <c r="T29" t="s">
        <v>422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120</v>
      </c>
      <c r="C30" t="s">
        <v>138</v>
      </c>
      <c r="D30" s="87"/>
      <c r="E30" s="101"/>
      <c r="F30">
        <v>64</v>
      </c>
      <c r="G30" t="s">
        <v>148</v>
      </c>
      <c r="H30" t="s">
        <v>269</v>
      </c>
      <c r="I30" t="s">
        <v>383</v>
      </c>
      <c r="J30" s="106"/>
      <c r="K30">
        <v>64</v>
      </c>
      <c r="L30" t="s">
        <v>295</v>
      </c>
      <c r="M30" t="s">
        <v>403</v>
      </c>
      <c r="N30" s="108"/>
      <c r="O30" s="94"/>
      <c r="P30" s="99"/>
      <c r="Q30" s="103"/>
      <c r="R30" s="109"/>
      <c r="S30" t="s">
        <v>218</v>
      </c>
      <c r="T30" t="s">
        <v>423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D31" s="87"/>
      <c r="E31" s="88"/>
      <c r="J31" s="106"/>
      <c r="N31" s="115"/>
      <c r="O31" s="94"/>
      <c r="P31" s="116"/>
      <c r="Q31" s="95"/>
      <c r="R31" s="95"/>
      <c r="U31" s="145"/>
      <c r="V31" s="145"/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226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226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47" priority="1" stopIfTrue="1">
      <formula>$U$9&gt;100%</formula>
    </cfRule>
    <cfRule type="expression" dxfId="46" priority="2">
      <formula>$U$9&lt;50%</formula>
    </cfRule>
  </conditionalFormatting>
  <conditionalFormatting sqref="V9:V11">
    <cfRule type="expression" dxfId="45" priority="3">
      <formula>$V$9&lt;50%</formula>
    </cfRule>
    <cfRule type="expression" dxfId="44" priority="4">
      <formula>$V$9&gt;50%</formula>
    </cfRule>
  </conditionalFormatting>
  <dataValidations count="4">
    <dataValidation type="list" allowBlank="1" showErrorMessage="1" sqref="Q15 G18 L18 Q18" xr:uid="{02B928CD-FDDC-49F1-8B93-20895402AA57}">
      <formula1>$Y$12:$Y$13</formula1>
    </dataValidation>
    <dataValidation type="list" allowBlank="1" showErrorMessage="1" sqref="J14" xr:uid="{8E8FC202-2262-479C-B678-AD82167BCBF6}">
      <formula1>$L$9</formula1>
    </dataValidation>
    <dataValidation type="list" allowBlank="1" showErrorMessage="1" sqref="I14" xr:uid="{499DE219-F265-4594-B427-80501DCB5BC7}">
      <formula1>$Y$14:$Y$15</formula1>
    </dataValidation>
    <dataValidation type="list" allowBlank="1" showErrorMessage="1" sqref="E19:E49" xr:uid="{00E9EDAC-C6BB-4793-A8F3-76E2F3B8D65B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729D-4BA3-4778-AD15-B34B0957FC3C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442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339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442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108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226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425</v>
      </c>
      <c r="C19" t="s">
        <v>426</v>
      </c>
      <c r="D19" s="87"/>
      <c r="E19" s="88"/>
      <c r="F19">
        <v>2</v>
      </c>
      <c r="G19" t="s">
        <v>428</v>
      </c>
      <c r="H19" t="s">
        <v>430</v>
      </c>
      <c r="I19" t="s">
        <v>432</v>
      </c>
      <c r="J19" s="92"/>
      <c r="K19">
        <v>2</v>
      </c>
      <c r="L19" t="s">
        <v>434</v>
      </c>
      <c r="M19" t="s">
        <v>436</v>
      </c>
      <c r="N19" s="93"/>
      <c r="O19" s="94"/>
      <c r="P19" s="86"/>
      <c r="Q19" s="95"/>
      <c r="R19" s="95"/>
      <c r="S19" t="s">
        <v>438</v>
      </c>
      <c r="T19" t="s">
        <v>439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343</v>
      </c>
      <c r="C20" t="s">
        <v>344</v>
      </c>
      <c r="D20" s="87"/>
      <c r="E20" s="101"/>
      <c r="F20">
        <v>2</v>
      </c>
      <c r="G20" t="s">
        <v>356</v>
      </c>
      <c r="H20" t="s">
        <v>365</v>
      </c>
      <c r="I20" t="s">
        <v>374</v>
      </c>
      <c r="J20" s="106"/>
      <c r="K20">
        <v>2</v>
      </c>
      <c r="L20" t="s">
        <v>385</v>
      </c>
      <c r="M20" t="s">
        <v>394</v>
      </c>
      <c r="N20" s="108"/>
      <c r="O20" s="94"/>
      <c r="P20" s="99"/>
      <c r="Q20" s="103"/>
      <c r="R20" s="109"/>
      <c r="S20" t="s">
        <v>406</v>
      </c>
      <c r="T20" t="s">
        <v>407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345</v>
      </c>
      <c r="C21" t="s">
        <v>251</v>
      </c>
      <c r="D21" s="87"/>
      <c r="E21" s="88"/>
      <c r="F21">
        <v>48</v>
      </c>
      <c r="G21" t="s">
        <v>357</v>
      </c>
      <c r="H21" t="s">
        <v>366</v>
      </c>
      <c r="I21" t="s">
        <v>375</v>
      </c>
      <c r="J21" s="106"/>
      <c r="K21">
        <v>48</v>
      </c>
      <c r="L21" t="s">
        <v>386</v>
      </c>
      <c r="M21" t="s">
        <v>395</v>
      </c>
      <c r="N21" s="115"/>
      <c r="O21" s="94"/>
      <c r="P21" s="116"/>
      <c r="Q21" s="95"/>
      <c r="R21" s="95"/>
      <c r="S21" t="s">
        <v>408</v>
      </c>
      <c r="T21" t="s">
        <v>409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346</v>
      </c>
      <c r="C22" t="s">
        <v>247</v>
      </c>
      <c r="D22" s="87"/>
      <c r="E22" s="101"/>
      <c r="F22">
        <v>2</v>
      </c>
      <c r="G22" t="s">
        <v>358</v>
      </c>
      <c r="H22" t="s">
        <v>367</v>
      </c>
      <c r="I22" t="s">
        <v>376</v>
      </c>
      <c r="J22" s="106"/>
      <c r="K22">
        <v>2</v>
      </c>
      <c r="L22" t="s">
        <v>387</v>
      </c>
      <c r="M22" t="s">
        <v>396</v>
      </c>
      <c r="N22" s="108"/>
      <c r="O22" s="94"/>
      <c r="P22" s="99"/>
      <c r="Q22" s="103"/>
      <c r="R22" s="109"/>
      <c r="S22" t="s">
        <v>410</v>
      </c>
      <c r="T22" t="s">
        <v>411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347</v>
      </c>
      <c r="C23" t="s">
        <v>348</v>
      </c>
      <c r="D23" s="87"/>
      <c r="E23" s="88"/>
      <c r="F23">
        <v>4</v>
      </c>
      <c r="G23" t="s">
        <v>359</v>
      </c>
      <c r="H23" t="s">
        <v>368</v>
      </c>
      <c r="I23" t="s">
        <v>377</v>
      </c>
      <c r="J23" s="106"/>
      <c r="K23">
        <v>4</v>
      </c>
      <c r="L23" t="s">
        <v>388</v>
      </c>
      <c r="M23" t="s">
        <v>397</v>
      </c>
      <c r="N23" s="115"/>
      <c r="O23" s="94"/>
      <c r="P23" s="116"/>
      <c r="Q23" s="95"/>
      <c r="R23" s="95"/>
      <c r="S23" t="s">
        <v>412</v>
      </c>
      <c r="T23" t="s">
        <v>413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120</v>
      </c>
      <c r="C24" t="s">
        <v>131</v>
      </c>
      <c r="D24" s="87"/>
      <c r="E24" s="101"/>
      <c r="F24">
        <v>4</v>
      </c>
      <c r="G24" t="s">
        <v>148</v>
      </c>
      <c r="H24" t="s">
        <v>269</v>
      </c>
      <c r="I24" t="s">
        <v>378</v>
      </c>
      <c r="J24" s="106"/>
      <c r="K24">
        <v>4</v>
      </c>
      <c r="L24" t="s">
        <v>295</v>
      </c>
      <c r="M24" t="s">
        <v>398</v>
      </c>
      <c r="N24" s="108"/>
      <c r="O24" s="94"/>
      <c r="P24" s="99"/>
      <c r="Q24" s="103"/>
      <c r="R24" s="109"/>
      <c r="S24" t="s">
        <v>218</v>
      </c>
      <c r="T24" t="s">
        <v>414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427</v>
      </c>
      <c r="C25" t="s">
        <v>132</v>
      </c>
      <c r="D25" s="87"/>
      <c r="E25" s="88"/>
      <c r="F25">
        <v>4</v>
      </c>
      <c r="G25" t="s">
        <v>429</v>
      </c>
      <c r="H25" t="s">
        <v>431</v>
      </c>
      <c r="I25" t="s">
        <v>433</v>
      </c>
      <c r="J25" s="106"/>
      <c r="K25">
        <v>4</v>
      </c>
      <c r="L25" t="s">
        <v>435</v>
      </c>
      <c r="M25" t="s">
        <v>437</v>
      </c>
      <c r="N25" s="115"/>
      <c r="O25" s="94"/>
      <c r="P25" s="116"/>
      <c r="Q25" s="95"/>
      <c r="R25" s="95"/>
      <c r="S25" t="s">
        <v>440</v>
      </c>
      <c r="T25" t="s">
        <v>441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350</v>
      </c>
      <c r="C26" t="s">
        <v>133</v>
      </c>
      <c r="D26" s="87"/>
      <c r="E26" s="101"/>
      <c r="F26">
        <v>8</v>
      </c>
      <c r="G26" t="s">
        <v>361</v>
      </c>
      <c r="H26" t="s">
        <v>370</v>
      </c>
      <c r="I26" t="s">
        <v>380</v>
      </c>
      <c r="J26" s="106"/>
      <c r="K26">
        <v>8</v>
      </c>
      <c r="L26" t="s">
        <v>390</v>
      </c>
      <c r="M26" t="s">
        <v>400</v>
      </c>
      <c r="N26" s="108"/>
      <c r="O26" s="94"/>
      <c r="P26" s="99"/>
      <c r="Q26" s="103"/>
      <c r="R26" s="109"/>
      <c r="S26" t="s">
        <v>417</v>
      </c>
      <c r="T26" t="s">
        <v>418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120</v>
      </c>
      <c r="C27" t="s">
        <v>134</v>
      </c>
      <c r="D27" s="87"/>
      <c r="E27" s="88"/>
      <c r="F27">
        <v>8</v>
      </c>
      <c r="G27" t="s">
        <v>148</v>
      </c>
      <c r="H27" t="s">
        <v>269</v>
      </c>
      <c r="I27" t="s">
        <v>282</v>
      </c>
      <c r="J27" s="106"/>
      <c r="K27">
        <v>8</v>
      </c>
      <c r="L27" t="s">
        <v>295</v>
      </c>
      <c r="M27" t="s">
        <v>228</v>
      </c>
      <c r="N27" s="115"/>
      <c r="O27" s="94"/>
      <c r="P27" s="116"/>
      <c r="Q27" s="95"/>
      <c r="R27" s="95"/>
      <c r="S27" t="s">
        <v>218</v>
      </c>
      <c r="T27" t="s">
        <v>232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351</v>
      </c>
      <c r="C28" t="s">
        <v>352</v>
      </c>
      <c r="D28" s="87"/>
      <c r="E28" s="101"/>
      <c r="F28">
        <v>16</v>
      </c>
      <c r="G28" t="s">
        <v>362</v>
      </c>
      <c r="H28" t="s">
        <v>371</v>
      </c>
      <c r="I28" t="s">
        <v>381</v>
      </c>
      <c r="J28" s="106"/>
      <c r="K28">
        <v>16</v>
      </c>
      <c r="L28" t="s">
        <v>391</v>
      </c>
      <c r="M28" t="s">
        <v>401</v>
      </c>
      <c r="N28" s="108"/>
      <c r="O28" s="94"/>
      <c r="P28" s="99"/>
      <c r="Q28" s="103"/>
      <c r="R28" s="109"/>
      <c r="S28" t="s">
        <v>419</v>
      </c>
      <c r="T28" t="s">
        <v>420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353</v>
      </c>
      <c r="C29" t="s">
        <v>354</v>
      </c>
      <c r="D29" s="87"/>
      <c r="E29" s="88"/>
      <c r="F29">
        <v>64</v>
      </c>
      <c r="G29" t="s">
        <v>363</v>
      </c>
      <c r="H29" t="s">
        <v>372</v>
      </c>
      <c r="I29" t="s">
        <v>382</v>
      </c>
      <c r="J29" s="106"/>
      <c r="K29">
        <v>64</v>
      </c>
      <c r="L29" t="s">
        <v>392</v>
      </c>
      <c r="M29" t="s">
        <v>402</v>
      </c>
      <c r="N29" s="115"/>
      <c r="O29" s="94"/>
      <c r="P29" s="116"/>
      <c r="Q29" s="95"/>
      <c r="R29" s="95"/>
      <c r="S29" t="s">
        <v>421</v>
      </c>
      <c r="T29" t="s">
        <v>422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120</v>
      </c>
      <c r="C30" t="s">
        <v>138</v>
      </c>
      <c r="D30" s="87"/>
      <c r="E30" s="101"/>
      <c r="F30">
        <v>64</v>
      </c>
      <c r="G30" t="s">
        <v>148</v>
      </c>
      <c r="H30" t="s">
        <v>269</v>
      </c>
      <c r="I30" t="s">
        <v>383</v>
      </c>
      <c r="J30" s="106"/>
      <c r="K30">
        <v>64</v>
      </c>
      <c r="L30" t="s">
        <v>295</v>
      </c>
      <c r="M30" t="s">
        <v>403</v>
      </c>
      <c r="N30" s="108"/>
      <c r="O30" s="94"/>
      <c r="P30" s="99"/>
      <c r="Q30" s="103"/>
      <c r="R30" s="109"/>
      <c r="S30" t="s">
        <v>218</v>
      </c>
      <c r="T30" t="s">
        <v>423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D31" s="87"/>
      <c r="E31" s="88"/>
      <c r="J31" s="106"/>
      <c r="N31" s="115"/>
      <c r="O31" s="94"/>
      <c r="P31" s="116"/>
      <c r="Q31" s="95"/>
      <c r="R31" s="95"/>
      <c r="U31" s="145"/>
      <c r="V31" s="145"/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226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226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43" priority="1" stopIfTrue="1">
      <formula>$U$9&gt;100%</formula>
    </cfRule>
    <cfRule type="expression" dxfId="42" priority="2">
      <formula>$U$9&lt;50%</formula>
    </cfRule>
  </conditionalFormatting>
  <conditionalFormatting sqref="V9:V11">
    <cfRule type="expression" dxfId="41" priority="3">
      <formula>$V$9&lt;50%</formula>
    </cfRule>
    <cfRule type="expression" dxfId="40" priority="4">
      <formula>$V$9&gt;50%</formula>
    </cfRule>
  </conditionalFormatting>
  <dataValidations count="4">
    <dataValidation type="list" allowBlank="1" showErrorMessage="1" sqref="E19:E49" xr:uid="{DEF488E7-873A-42D0-B0CB-203F8E42298F}">
      <formula1>$Z$19:$Z$30</formula1>
    </dataValidation>
    <dataValidation type="list" allowBlank="1" showErrorMessage="1" sqref="I14" xr:uid="{DC553CDB-0BDE-4F86-961E-9D5068A43798}">
      <formula1>$Y$14:$Y$15</formula1>
    </dataValidation>
    <dataValidation type="list" allowBlank="1" showErrorMessage="1" sqref="J14" xr:uid="{FB5ECB44-6932-4066-B0F0-2C7AD8EC54EA}">
      <formula1>$L$9</formula1>
    </dataValidation>
    <dataValidation type="list" allowBlank="1" showErrorMessage="1" sqref="Q15 G18 L18 Q18" xr:uid="{A230599A-42C7-423C-9FF1-27BCB641F779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C758A-7874-43F2-AB01-1FB754144D61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443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339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443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108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226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425</v>
      </c>
      <c r="C19" t="s">
        <v>426</v>
      </c>
      <c r="D19" s="87"/>
      <c r="E19" s="88"/>
      <c r="F19">
        <v>2</v>
      </c>
      <c r="G19" t="s">
        <v>428</v>
      </c>
      <c r="H19" t="s">
        <v>430</v>
      </c>
      <c r="I19" t="s">
        <v>432</v>
      </c>
      <c r="J19" s="92"/>
      <c r="K19">
        <v>2</v>
      </c>
      <c r="L19" t="s">
        <v>434</v>
      </c>
      <c r="M19" t="s">
        <v>436</v>
      </c>
      <c r="N19" s="93"/>
      <c r="O19" s="94"/>
      <c r="P19" s="86"/>
      <c r="Q19" s="95"/>
      <c r="R19" s="95"/>
      <c r="S19" t="s">
        <v>438</v>
      </c>
      <c r="T19" t="s">
        <v>439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343</v>
      </c>
      <c r="C20" t="s">
        <v>344</v>
      </c>
      <c r="D20" s="87"/>
      <c r="E20" s="101"/>
      <c r="F20">
        <v>2</v>
      </c>
      <c r="G20" t="s">
        <v>356</v>
      </c>
      <c r="H20" t="s">
        <v>365</v>
      </c>
      <c r="I20" t="s">
        <v>374</v>
      </c>
      <c r="J20" s="106"/>
      <c r="K20">
        <v>2</v>
      </c>
      <c r="L20" t="s">
        <v>385</v>
      </c>
      <c r="M20" t="s">
        <v>394</v>
      </c>
      <c r="N20" s="108"/>
      <c r="O20" s="94"/>
      <c r="P20" s="99"/>
      <c r="Q20" s="103"/>
      <c r="R20" s="109"/>
      <c r="S20" t="s">
        <v>406</v>
      </c>
      <c r="T20" t="s">
        <v>407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345</v>
      </c>
      <c r="C21" t="s">
        <v>251</v>
      </c>
      <c r="D21" s="87"/>
      <c r="E21" s="88"/>
      <c r="F21">
        <v>48</v>
      </c>
      <c r="G21" t="s">
        <v>357</v>
      </c>
      <c r="H21" t="s">
        <v>366</v>
      </c>
      <c r="I21" t="s">
        <v>375</v>
      </c>
      <c r="J21" s="106"/>
      <c r="K21">
        <v>48</v>
      </c>
      <c r="L21" t="s">
        <v>386</v>
      </c>
      <c r="M21" t="s">
        <v>395</v>
      </c>
      <c r="N21" s="115"/>
      <c r="O21" s="94"/>
      <c r="P21" s="116"/>
      <c r="Q21" s="95"/>
      <c r="R21" s="95"/>
      <c r="S21" t="s">
        <v>408</v>
      </c>
      <c r="T21" t="s">
        <v>409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346</v>
      </c>
      <c r="C22" t="s">
        <v>247</v>
      </c>
      <c r="D22" s="87"/>
      <c r="E22" s="101"/>
      <c r="F22">
        <v>2</v>
      </c>
      <c r="G22" t="s">
        <v>358</v>
      </c>
      <c r="H22" t="s">
        <v>367</v>
      </c>
      <c r="I22" t="s">
        <v>376</v>
      </c>
      <c r="J22" s="106"/>
      <c r="K22">
        <v>2</v>
      </c>
      <c r="L22" t="s">
        <v>387</v>
      </c>
      <c r="M22" t="s">
        <v>396</v>
      </c>
      <c r="N22" s="108"/>
      <c r="O22" s="94"/>
      <c r="P22" s="99"/>
      <c r="Q22" s="103"/>
      <c r="R22" s="109"/>
      <c r="S22" t="s">
        <v>410</v>
      </c>
      <c r="T22" t="s">
        <v>411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347</v>
      </c>
      <c r="C23" t="s">
        <v>348</v>
      </c>
      <c r="D23" s="87"/>
      <c r="E23" s="88"/>
      <c r="F23">
        <v>4</v>
      </c>
      <c r="G23" t="s">
        <v>359</v>
      </c>
      <c r="H23" t="s">
        <v>368</v>
      </c>
      <c r="I23" t="s">
        <v>377</v>
      </c>
      <c r="J23" s="106"/>
      <c r="K23">
        <v>4</v>
      </c>
      <c r="L23" t="s">
        <v>388</v>
      </c>
      <c r="M23" t="s">
        <v>397</v>
      </c>
      <c r="N23" s="115"/>
      <c r="O23" s="94"/>
      <c r="P23" s="116"/>
      <c r="Q23" s="95"/>
      <c r="R23" s="95"/>
      <c r="S23" t="s">
        <v>412</v>
      </c>
      <c r="T23" t="s">
        <v>413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120</v>
      </c>
      <c r="C24" t="s">
        <v>131</v>
      </c>
      <c r="D24" s="87"/>
      <c r="E24" s="101"/>
      <c r="F24">
        <v>4</v>
      </c>
      <c r="G24" t="s">
        <v>148</v>
      </c>
      <c r="H24" t="s">
        <v>269</v>
      </c>
      <c r="I24" t="s">
        <v>378</v>
      </c>
      <c r="J24" s="106"/>
      <c r="K24">
        <v>4</v>
      </c>
      <c r="L24" t="s">
        <v>295</v>
      </c>
      <c r="M24" t="s">
        <v>398</v>
      </c>
      <c r="N24" s="108"/>
      <c r="O24" s="94"/>
      <c r="P24" s="99"/>
      <c r="Q24" s="103"/>
      <c r="R24" s="109"/>
      <c r="S24" t="s">
        <v>218</v>
      </c>
      <c r="T24" t="s">
        <v>414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427</v>
      </c>
      <c r="C25" t="s">
        <v>132</v>
      </c>
      <c r="D25" s="87"/>
      <c r="E25" s="88"/>
      <c r="F25">
        <v>4</v>
      </c>
      <c r="G25" t="s">
        <v>429</v>
      </c>
      <c r="H25" t="s">
        <v>431</v>
      </c>
      <c r="I25" t="s">
        <v>433</v>
      </c>
      <c r="J25" s="106"/>
      <c r="K25">
        <v>4</v>
      </c>
      <c r="L25" t="s">
        <v>435</v>
      </c>
      <c r="M25" t="s">
        <v>437</v>
      </c>
      <c r="N25" s="115"/>
      <c r="O25" s="94"/>
      <c r="P25" s="116"/>
      <c r="Q25" s="95"/>
      <c r="R25" s="95"/>
      <c r="S25" t="s">
        <v>440</v>
      </c>
      <c r="T25" t="s">
        <v>441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350</v>
      </c>
      <c r="C26" t="s">
        <v>133</v>
      </c>
      <c r="D26" s="87"/>
      <c r="E26" s="101"/>
      <c r="F26">
        <v>8</v>
      </c>
      <c r="G26" t="s">
        <v>361</v>
      </c>
      <c r="H26" t="s">
        <v>370</v>
      </c>
      <c r="I26" t="s">
        <v>380</v>
      </c>
      <c r="J26" s="106"/>
      <c r="K26">
        <v>8</v>
      </c>
      <c r="L26" t="s">
        <v>390</v>
      </c>
      <c r="M26" t="s">
        <v>400</v>
      </c>
      <c r="N26" s="108"/>
      <c r="O26" s="94"/>
      <c r="P26" s="99"/>
      <c r="Q26" s="103"/>
      <c r="R26" s="109"/>
      <c r="S26" t="s">
        <v>417</v>
      </c>
      <c r="T26" t="s">
        <v>418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120</v>
      </c>
      <c r="C27" t="s">
        <v>134</v>
      </c>
      <c r="D27" s="87"/>
      <c r="E27" s="88"/>
      <c r="F27">
        <v>8</v>
      </c>
      <c r="G27" t="s">
        <v>148</v>
      </c>
      <c r="H27" t="s">
        <v>269</v>
      </c>
      <c r="I27" t="s">
        <v>282</v>
      </c>
      <c r="J27" s="106"/>
      <c r="K27">
        <v>8</v>
      </c>
      <c r="L27" t="s">
        <v>295</v>
      </c>
      <c r="M27" t="s">
        <v>228</v>
      </c>
      <c r="N27" s="115"/>
      <c r="O27" s="94"/>
      <c r="P27" s="116"/>
      <c r="Q27" s="95"/>
      <c r="R27" s="95"/>
      <c r="S27" t="s">
        <v>218</v>
      </c>
      <c r="T27" t="s">
        <v>232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351</v>
      </c>
      <c r="C28" t="s">
        <v>352</v>
      </c>
      <c r="D28" s="87"/>
      <c r="E28" s="101"/>
      <c r="F28">
        <v>16</v>
      </c>
      <c r="G28" t="s">
        <v>362</v>
      </c>
      <c r="H28" t="s">
        <v>371</v>
      </c>
      <c r="I28" t="s">
        <v>381</v>
      </c>
      <c r="J28" s="106"/>
      <c r="K28">
        <v>16</v>
      </c>
      <c r="L28" t="s">
        <v>391</v>
      </c>
      <c r="M28" t="s">
        <v>401</v>
      </c>
      <c r="N28" s="108"/>
      <c r="O28" s="94"/>
      <c r="P28" s="99"/>
      <c r="Q28" s="103"/>
      <c r="R28" s="109"/>
      <c r="S28" t="s">
        <v>419</v>
      </c>
      <c r="T28" t="s">
        <v>420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353</v>
      </c>
      <c r="C29" t="s">
        <v>354</v>
      </c>
      <c r="D29" s="87"/>
      <c r="E29" s="88"/>
      <c r="F29">
        <v>64</v>
      </c>
      <c r="G29" t="s">
        <v>363</v>
      </c>
      <c r="H29" t="s">
        <v>372</v>
      </c>
      <c r="I29" t="s">
        <v>382</v>
      </c>
      <c r="J29" s="106"/>
      <c r="K29">
        <v>64</v>
      </c>
      <c r="L29" t="s">
        <v>392</v>
      </c>
      <c r="M29" t="s">
        <v>402</v>
      </c>
      <c r="N29" s="115"/>
      <c r="O29" s="94"/>
      <c r="P29" s="116"/>
      <c r="Q29" s="95"/>
      <c r="R29" s="95"/>
      <c r="S29" t="s">
        <v>421</v>
      </c>
      <c r="T29" t="s">
        <v>422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120</v>
      </c>
      <c r="C30" t="s">
        <v>138</v>
      </c>
      <c r="D30" s="87"/>
      <c r="E30" s="101"/>
      <c r="F30">
        <v>64</v>
      </c>
      <c r="G30" t="s">
        <v>148</v>
      </c>
      <c r="H30" t="s">
        <v>269</v>
      </c>
      <c r="I30" t="s">
        <v>383</v>
      </c>
      <c r="J30" s="106"/>
      <c r="K30">
        <v>64</v>
      </c>
      <c r="L30" t="s">
        <v>295</v>
      </c>
      <c r="M30" t="s">
        <v>403</v>
      </c>
      <c r="N30" s="108"/>
      <c r="O30" s="94"/>
      <c r="P30" s="99"/>
      <c r="Q30" s="103"/>
      <c r="R30" s="109"/>
      <c r="S30" t="s">
        <v>218</v>
      </c>
      <c r="T30" t="s">
        <v>423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D31" s="87"/>
      <c r="E31" s="88"/>
      <c r="J31" s="106"/>
      <c r="N31" s="115"/>
      <c r="O31" s="94"/>
      <c r="P31" s="116"/>
      <c r="Q31" s="95"/>
      <c r="R31" s="95"/>
      <c r="U31" s="145"/>
      <c r="V31" s="145"/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226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226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39" priority="1" stopIfTrue="1">
      <formula>$U$9&gt;100%</formula>
    </cfRule>
    <cfRule type="expression" dxfId="38" priority="2">
      <formula>$U$9&lt;50%</formula>
    </cfRule>
  </conditionalFormatting>
  <conditionalFormatting sqref="V9:V11">
    <cfRule type="expression" dxfId="37" priority="3">
      <formula>$V$9&lt;50%</formula>
    </cfRule>
    <cfRule type="expression" dxfId="36" priority="4">
      <formula>$V$9&gt;50%</formula>
    </cfRule>
  </conditionalFormatting>
  <dataValidations count="4">
    <dataValidation type="list" allowBlank="1" showErrorMessage="1" sqref="Q15 G18 L18 Q18" xr:uid="{C0DE1EAA-A620-4573-9960-2D08C16B24FE}">
      <formula1>$Y$12:$Y$13</formula1>
    </dataValidation>
    <dataValidation type="list" allowBlank="1" showErrorMessage="1" sqref="J14" xr:uid="{5BAB8B6D-D9E8-4B0E-8259-A7E9329404C2}">
      <formula1>$L$9</formula1>
    </dataValidation>
    <dataValidation type="list" allowBlank="1" showErrorMessage="1" sqref="I14" xr:uid="{51BECFD2-A9B0-46BA-A443-3F4297E369B3}">
      <formula1>$Y$14:$Y$15</formula1>
    </dataValidation>
    <dataValidation type="list" allowBlank="1" showErrorMessage="1" sqref="E19:E49" xr:uid="{1A8B9A8F-77FD-4901-8923-C87A75B8A154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1BEBE-A1EC-4068-A427-013DEA39FA07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444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339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444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108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226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425</v>
      </c>
      <c r="C19" t="s">
        <v>426</v>
      </c>
      <c r="D19" s="87"/>
      <c r="E19" s="88"/>
      <c r="F19">
        <v>2</v>
      </c>
      <c r="G19" t="s">
        <v>428</v>
      </c>
      <c r="H19" t="s">
        <v>430</v>
      </c>
      <c r="I19" t="s">
        <v>432</v>
      </c>
      <c r="J19" s="92"/>
      <c r="K19">
        <v>2</v>
      </c>
      <c r="L19" t="s">
        <v>434</v>
      </c>
      <c r="M19" t="s">
        <v>436</v>
      </c>
      <c r="N19" s="93"/>
      <c r="O19" s="94"/>
      <c r="P19" s="86"/>
      <c r="Q19" s="95"/>
      <c r="R19" s="95"/>
      <c r="S19" t="s">
        <v>438</v>
      </c>
      <c r="T19" t="s">
        <v>439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343</v>
      </c>
      <c r="C20" t="s">
        <v>344</v>
      </c>
      <c r="D20" s="87"/>
      <c r="E20" s="101"/>
      <c r="F20">
        <v>2</v>
      </c>
      <c r="G20" t="s">
        <v>356</v>
      </c>
      <c r="H20" t="s">
        <v>365</v>
      </c>
      <c r="I20" t="s">
        <v>374</v>
      </c>
      <c r="J20" s="106"/>
      <c r="K20">
        <v>2</v>
      </c>
      <c r="L20" t="s">
        <v>385</v>
      </c>
      <c r="M20" t="s">
        <v>394</v>
      </c>
      <c r="N20" s="108"/>
      <c r="O20" s="94"/>
      <c r="P20" s="99"/>
      <c r="Q20" s="103"/>
      <c r="R20" s="109"/>
      <c r="S20" t="s">
        <v>406</v>
      </c>
      <c r="T20" t="s">
        <v>407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345</v>
      </c>
      <c r="C21" t="s">
        <v>251</v>
      </c>
      <c r="D21" s="87"/>
      <c r="E21" s="88"/>
      <c r="F21">
        <v>48</v>
      </c>
      <c r="G21" t="s">
        <v>357</v>
      </c>
      <c r="H21" t="s">
        <v>366</v>
      </c>
      <c r="I21" t="s">
        <v>375</v>
      </c>
      <c r="J21" s="106"/>
      <c r="K21">
        <v>48</v>
      </c>
      <c r="L21" t="s">
        <v>386</v>
      </c>
      <c r="M21" t="s">
        <v>395</v>
      </c>
      <c r="N21" s="115"/>
      <c r="O21" s="94"/>
      <c r="P21" s="116"/>
      <c r="Q21" s="95"/>
      <c r="R21" s="95"/>
      <c r="S21" t="s">
        <v>408</v>
      </c>
      <c r="T21" t="s">
        <v>409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346</v>
      </c>
      <c r="C22" t="s">
        <v>247</v>
      </c>
      <c r="D22" s="87"/>
      <c r="E22" s="101"/>
      <c r="F22">
        <v>2</v>
      </c>
      <c r="G22" t="s">
        <v>358</v>
      </c>
      <c r="H22" t="s">
        <v>367</v>
      </c>
      <c r="I22" t="s">
        <v>376</v>
      </c>
      <c r="J22" s="106"/>
      <c r="K22">
        <v>2</v>
      </c>
      <c r="L22" t="s">
        <v>387</v>
      </c>
      <c r="M22" t="s">
        <v>396</v>
      </c>
      <c r="N22" s="108"/>
      <c r="O22" s="94"/>
      <c r="P22" s="99"/>
      <c r="Q22" s="103"/>
      <c r="R22" s="109"/>
      <c r="S22" t="s">
        <v>410</v>
      </c>
      <c r="T22" t="s">
        <v>411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347</v>
      </c>
      <c r="C23" t="s">
        <v>348</v>
      </c>
      <c r="D23" s="87"/>
      <c r="E23" s="88"/>
      <c r="F23">
        <v>4</v>
      </c>
      <c r="G23" t="s">
        <v>359</v>
      </c>
      <c r="H23" t="s">
        <v>368</v>
      </c>
      <c r="I23" t="s">
        <v>377</v>
      </c>
      <c r="J23" s="106"/>
      <c r="K23">
        <v>4</v>
      </c>
      <c r="L23" t="s">
        <v>388</v>
      </c>
      <c r="M23" t="s">
        <v>397</v>
      </c>
      <c r="N23" s="115"/>
      <c r="O23" s="94"/>
      <c r="P23" s="116"/>
      <c r="Q23" s="95"/>
      <c r="R23" s="95"/>
      <c r="S23" t="s">
        <v>412</v>
      </c>
      <c r="T23" t="s">
        <v>413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120</v>
      </c>
      <c r="C24" t="s">
        <v>131</v>
      </c>
      <c r="D24" s="87"/>
      <c r="E24" s="101"/>
      <c r="F24">
        <v>4</v>
      </c>
      <c r="G24" t="s">
        <v>148</v>
      </c>
      <c r="H24" t="s">
        <v>269</v>
      </c>
      <c r="I24" t="s">
        <v>378</v>
      </c>
      <c r="J24" s="106"/>
      <c r="K24">
        <v>4</v>
      </c>
      <c r="L24" t="s">
        <v>295</v>
      </c>
      <c r="M24" t="s">
        <v>398</v>
      </c>
      <c r="N24" s="108"/>
      <c r="O24" s="94"/>
      <c r="P24" s="99"/>
      <c r="Q24" s="103"/>
      <c r="R24" s="109"/>
      <c r="S24" t="s">
        <v>218</v>
      </c>
      <c r="T24" t="s">
        <v>414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427</v>
      </c>
      <c r="C25" t="s">
        <v>132</v>
      </c>
      <c r="D25" s="87"/>
      <c r="E25" s="88"/>
      <c r="F25">
        <v>4</v>
      </c>
      <c r="G25" t="s">
        <v>429</v>
      </c>
      <c r="H25" t="s">
        <v>431</v>
      </c>
      <c r="I25" t="s">
        <v>433</v>
      </c>
      <c r="J25" s="106"/>
      <c r="K25">
        <v>4</v>
      </c>
      <c r="L25" t="s">
        <v>435</v>
      </c>
      <c r="M25" t="s">
        <v>437</v>
      </c>
      <c r="N25" s="115"/>
      <c r="O25" s="94"/>
      <c r="P25" s="116"/>
      <c r="Q25" s="95"/>
      <c r="R25" s="95"/>
      <c r="S25" t="s">
        <v>440</v>
      </c>
      <c r="T25" t="s">
        <v>441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350</v>
      </c>
      <c r="C26" t="s">
        <v>133</v>
      </c>
      <c r="D26" s="87"/>
      <c r="E26" s="101"/>
      <c r="F26">
        <v>8</v>
      </c>
      <c r="G26" t="s">
        <v>361</v>
      </c>
      <c r="H26" t="s">
        <v>370</v>
      </c>
      <c r="I26" t="s">
        <v>380</v>
      </c>
      <c r="J26" s="106"/>
      <c r="K26">
        <v>8</v>
      </c>
      <c r="L26" t="s">
        <v>390</v>
      </c>
      <c r="M26" t="s">
        <v>400</v>
      </c>
      <c r="N26" s="108"/>
      <c r="O26" s="94"/>
      <c r="P26" s="99"/>
      <c r="Q26" s="103"/>
      <c r="R26" s="109"/>
      <c r="S26" t="s">
        <v>417</v>
      </c>
      <c r="T26" t="s">
        <v>418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120</v>
      </c>
      <c r="C27" t="s">
        <v>134</v>
      </c>
      <c r="D27" s="87"/>
      <c r="E27" s="88"/>
      <c r="F27">
        <v>8</v>
      </c>
      <c r="G27" t="s">
        <v>148</v>
      </c>
      <c r="H27" t="s">
        <v>269</v>
      </c>
      <c r="I27" t="s">
        <v>282</v>
      </c>
      <c r="J27" s="106"/>
      <c r="K27">
        <v>8</v>
      </c>
      <c r="L27" t="s">
        <v>295</v>
      </c>
      <c r="M27" t="s">
        <v>228</v>
      </c>
      <c r="N27" s="115"/>
      <c r="O27" s="94"/>
      <c r="P27" s="116"/>
      <c r="Q27" s="95"/>
      <c r="R27" s="95"/>
      <c r="S27" t="s">
        <v>218</v>
      </c>
      <c r="T27" t="s">
        <v>232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351</v>
      </c>
      <c r="C28" t="s">
        <v>352</v>
      </c>
      <c r="D28" s="87"/>
      <c r="E28" s="101"/>
      <c r="F28">
        <v>16</v>
      </c>
      <c r="G28" t="s">
        <v>362</v>
      </c>
      <c r="H28" t="s">
        <v>371</v>
      </c>
      <c r="I28" t="s">
        <v>381</v>
      </c>
      <c r="J28" s="106"/>
      <c r="K28">
        <v>16</v>
      </c>
      <c r="L28" t="s">
        <v>391</v>
      </c>
      <c r="M28" t="s">
        <v>401</v>
      </c>
      <c r="N28" s="108"/>
      <c r="O28" s="94"/>
      <c r="P28" s="99"/>
      <c r="Q28" s="103"/>
      <c r="R28" s="109"/>
      <c r="S28" t="s">
        <v>419</v>
      </c>
      <c r="T28" t="s">
        <v>420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353</v>
      </c>
      <c r="C29" t="s">
        <v>354</v>
      </c>
      <c r="D29" s="87"/>
      <c r="E29" s="88"/>
      <c r="F29">
        <v>64</v>
      </c>
      <c r="G29" t="s">
        <v>363</v>
      </c>
      <c r="H29" t="s">
        <v>372</v>
      </c>
      <c r="I29" t="s">
        <v>382</v>
      </c>
      <c r="J29" s="106"/>
      <c r="K29">
        <v>64</v>
      </c>
      <c r="L29" t="s">
        <v>392</v>
      </c>
      <c r="M29" t="s">
        <v>402</v>
      </c>
      <c r="N29" s="115"/>
      <c r="O29" s="94"/>
      <c r="P29" s="116"/>
      <c r="Q29" s="95"/>
      <c r="R29" s="95"/>
      <c r="S29" t="s">
        <v>421</v>
      </c>
      <c r="T29" t="s">
        <v>422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120</v>
      </c>
      <c r="C30" t="s">
        <v>138</v>
      </c>
      <c r="D30" s="87"/>
      <c r="E30" s="101"/>
      <c r="F30">
        <v>64</v>
      </c>
      <c r="G30" t="s">
        <v>148</v>
      </c>
      <c r="H30" t="s">
        <v>269</v>
      </c>
      <c r="I30" t="s">
        <v>383</v>
      </c>
      <c r="J30" s="106"/>
      <c r="K30">
        <v>64</v>
      </c>
      <c r="L30" t="s">
        <v>295</v>
      </c>
      <c r="M30" t="s">
        <v>403</v>
      </c>
      <c r="N30" s="108"/>
      <c r="O30" s="94"/>
      <c r="P30" s="99"/>
      <c r="Q30" s="103"/>
      <c r="R30" s="109"/>
      <c r="S30" t="s">
        <v>218</v>
      </c>
      <c r="T30" t="s">
        <v>423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D31" s="87"/>
      <c r="E31" s="88"/>
      <c r="J31" s="106"/>
      <c r="N31" s="115"/>
      <c r="O31" s="94"/>
      <c r="P31" s="116"/>
      <c r="Q31" s="95"/>
      <c r="R31" s="95"/>
      <c r="U31" s="145"/>
      <c r="V31" s="145"/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226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226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35" priority="1" stopIfTrue="1">
      <formula>$U$9&gt;100%</formula>
    </cfRule>
    <cfRule type="expression" dxfId="34" priority="2">
      <formula>$U$9&lt;50%</formula>
    </cfRule>
  </conditionalFormatting>
  <conditionalFormatting sqref="V9:V11">
    <cfRule type="expression" dxfId="33" priority="3">
      <formula>$V$9&lt;50%</formula>
    </cfRule>
    <cfRule type="expression" dxfId="32" priority="4">
      <formula>$V$9&gt;50%</formula>
    </cfRule>
  </conditionalFormatting>
  <dataValidations count="4">
    <dataValidation type="list" allowBlank="1" showErrorMessage="1" sqref="E19:E49" xr:uid="{1CBB8484-6082-4E56-A531-2054C9A1FA76}">
      <formula1>$Z$19:$Z$30</formula1>
    </dataValidation>
    <dataValidation type="list" allowBlank="1" showErrorMessage="1" sqref="I14" xr:uid="{A9AF077B-3364-43B2-B9F5-8360DAF457FD}">
      <formula1>$Y$14:$Y$15</formula1>
    </dataValidation>
    <dataValidation type="list" allowBlank="1" showErrorMessage="1" sqref="J14" xr:uid="{9067AC90-F7BF-4F9B-A032-3E9BF85D27B3}">
      <formula1>$L$9</formula1>
    </dataValidation>
    <dataValidation type="list" allowBlank="1" showErrorMessage="1" sqref="Q15 G18 L18 Q18" xr:uid="{1DA1A128-6E9A-4C6C-8CB4-62138AB9F6ED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3AE69-2191-4668-8FBA-56AC911FC76A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445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339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445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108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234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446</v>
      </c>
      <c r="C19" t="s">
        <v>447</v>
      </c>
      <c r="D19" s="87"/>
      <c r="E19" s="88"/>
      <c r="F19">
        <v>2</v>
      </c>
      <c r="G19" t="s">
        <v>459</v>
      </c>
      <c r="H19" t="s">
        <v>468</v>
      </c>
      <c r="I19" t="s">
        <v>478</v>
      </c>
      <c r="J19" s="92"/>
      <c r="K19">
        <v>2</v>
      </c>
      <c r="L19" t="s">
        <v>489</v>
      </c>
      <c r="M19" t="s">
        <v>499</v>
      </c>
      <c r="N19" s="93"/>
      <c r="O19" s="94"/>
      <c r="P19" s="86"/>
      <c r="Q19" s="95"/>
      <c r="R19" s="95"/>
      <c r="S19" t="s">
        <v>510</v>
      </c>
      <c r="T19" t="s">
        <v>511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448</v>
      </c>
      <c r="C20" t="s">
        <v>449</v>
      </c>
      <c r="D20" s="87"/>
      <c r="E20" s="101"/>
      <c r="F20">
        <v>2</v>
      </c>
      <c r="G20" t="s">
        <v>460</v>
      </c>
      <c r="H20" t="s">
        <v>469</v>
      </c>
      <c r="I20" t="s">
        <v>479</v>
      </c>
      <c r="J20" s="106"/>
      <c r="K20">
        <v>2</v>
      </c>
      <c r="L20" t="s">
        <v>490</v>
      </c>
      <c r="M20" t="s">
        <v>500</v>
      </c>
      <c r="N20" s="108"/>
      <c r="O20" s="94"/>
      <c r="P20" s="99"/>
      <c r="Q20" s="103"/>
      <c r="R20" s="109"/>
      <c r="S20" t="s">
        <v>512</v>
      </c>
      <c r="T20" t="s">
        <v>513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345</v>
      </c>
      <c r="C21" t="s">
        <v>127</v>
      </c>
      <c r="D21" s="87"/>
      <c r="E21" s="88"/>
      <c r="F21">
        <v>52</v>
      </c>
      <c r="G21" t="s">
        <v>357</v>
      </c>
      <c r="H21" t="s">
        <v>366</v>
      </c>
      <c r="I21" t="s">
        <v>480</v>
      </c>
      <c r="J21" s="106"/>
      <c r="K21">
        <v>52</v>
      </c>
      <c r="L21" t="s">
        <v>386</v>
      </c>
      <c r="M21" t="s">
        <v>501</v>
      </c>
      <c r="N21" s="115"/>
      <c r="O21" s="94"/>
      <c r="P21" s="116"/>
      <c r="Q21" s="95"/>
      <c r="R21" s="95"/>
      <c r="S21" t="s">
        <v>408</v>
      </c>
      <c r="T21" t="s">
        <v>514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450</v>
      </c>
      <c r="C22" t="s">
        <v>247</v>
      </c>
      <c r="D22" s="87"/>
      <c r="E22" s="101"/>
      <c r="F22">
        <v>2</v>
      </c>
      <c r="G22" t="s">
        <v>461</v>
      </c>
      <c r="H22" t="s">
        <v>470</v>
      </c>
      <c r="I22" t="s">
        <v>481</v>
      </c>
      <c r="J22" s="106"/>
      <c r="K22">
        <v>2</v>
      </c>
      <c r="L22" t="s">
        <v>491</v>
      </c>
      <c r="M22" t="s">
        <v>502</v>
      </c>
      <c r="N22" s="108"/>
      <c r="O22" s="94"/>
      <c r="P22" s="99"/>
      <c r="Q22" s="103"/>
      <c r="R22" s="109"/>
      <c r="S22" t="s">
        <v>515</v>
      </c>
      <c r="T22" t="s">
        <v>516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451</v>
      </c>
      <c r="C23" t="s">
        <v>348</v>
      </c>
      <c r="D23" s="87"/>
      <c r="E23" s="88"/>
      <c r="F23">
        <v>4</v>
      </c>
      <c r="G23" t="s">
        <v>462</v>
      </c>
      <c r="H23" t="s">
        <v>471</v>
      </c>
      <c r="I23" t="s">
        <v>482</v>
      </c>
      <c r="J23" s="106"/>
      <c r="K23">
        <v>4</v>
      </c>
      <c r="L23" t="s">
        <v>492</v>
      </c>
      <c r="M23" t="s">
        <v>503</v>
      </c>
      <c r="N23" s="115"/>
      <c r="O23" s="94"/>
      <c r="P23" s="116"/>
      <c r="Q23" s="95"/>
      <c r="R23" s="95"/>
      <c r="S23" t="s">
        <v>517</v>
      </c>
      <c r="T23" t="s">
        <v>518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452</v>
      </c>
      <c r="C24" t="s">
        <v>453</v>
      </c>
      <c r="D24" s="87"/>
      <c r="E24" s="101"/>
      <c r="F24">
        <v>4</v>
      </c>
      <c r="G24" t="s">
        <v>463</v>
      </c>
      <c r="H24" t="s">
        <v>472</v>
      </c>
      <c r="I24" t="s">
        <v>483</v>
      </c>
      <c r="J24" s="106"/>
      <c r="K24">
        <v>4</v>
      </c>
      <c r="L24" t="s">
        <v>493</v>
      </c>
      <c r="M24" t="s">
        <v>504</v>
      </c>
      <c r="N24" s="108"/>
      <c r="O24" s="94"/>
      <c r="P24" s="99"/>
      <c r="Q24" s="103"/>
      <c r="R24" s="109"/>
      <c r="S24" t="s">
        <v>519</v>
      </c>
      <c r="T24" t="s">
        <v>520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124</v>
      </c>
      <c r="C25" t="s">
        <v>131</v>
      </c>
      <c r="D25" s="87"/>
      <c r="E25" s="88"/>
      <c r="F25">
        <v>4</v>
      </c>
      <c r="G25" t="s">
        <v>152</v>
      </c>
      <c r="H25" t="s">
        <v>473</v>
      </c>
      <c r="I25" t="s">
        <v>484</v>
      </c>
      <c r="J25" s="106"/>
      <c r="K25">
        <v>4</v>
      </c>
      <c r="L25" t="s">
        <v>494</v>
      </c>
      <c r="M25" t="s">
        <v>505</v>
      </c>
      <c r="N25" s="115"/>
      <c r="O25" s="94"/>
      <c r="P25" s="116"/>
      <c r="Q25" s="95"/>
      <c r="R25" s="95"/>
      <c r="S25" t="s">
        <v>222</v>
      </c>
      <c r="T25" t="s">
        <v>521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454</v>
      </c>
      <c r="C26" t="s">
        <v>132</v>
      </c>
      <c r="D26" s="87"/>
      <c r="E26" s="101"/>
      <c r="F26">
        <v>4</v>
      </c>
      <c r="G26" t="s">
        <v>464</v>
      </c>
      <c r="H26" t="s">
        <v>474</v>
      </c>
      <c r="I26" t="s">
        <v>485</v>
      </c>
      <c r="J26" s="106"/>
      <c r="K26">
        <v>4</v>
      </c>
      <c r="L26" t="s">
        <v>495</v>
      </c>
      <c r="M26" t="s">
        <v>506</v>
      </c>
      <c r="N26" s="108"/>
      <c r="O26" s="94"/>
      <c r="P26" s="99"/>
      <c r="Q26" s="103"/>
      <c r="R26" s="109"/>
      <c r="S26" t="s">
        <v>522</v>
      </c>
      <c r="T26" t="s">
        <v>523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455</v>
      </c>
      <c r="C27" t="s">
        <v>133</v>
      </c>
      <c r="D27" s="87"/>
      <c r="E27" s="88"/>
      <c r="F27">
        <v>8</v>
      </c>
      <c r="G27" t="s">
        <v>361</v>
      </c>
      <c r="H27" t="s">
        <v>370</v>
      </c>
      <c r="I27" t="s">
        <v>380</v>
      </c>
      <c r="J27" s="106"/>
      <c r="K27">
        <v>8</v>
      </c>
      <c r="L27" t="s">
        <v>390</v>
      </c>
      <c r="M27" t="s">
        <v>400</v>
      </c>
      <c r="N27" s="115"/>
      <c r="O27" s="94"/>
      <c r="P27" s="116"/>
      <c r="Q27" s="95"/>
      <c r="R27" s="95"/>
      <c r="S27" t="s">
        <v>417</v>
      </c>
      <c r="T27" t="s">
        <v>418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120</v>
      </c>
      <c r="C28" t="s">
        <v>134</v>
      </c>
      <c r="D28" s="87"/>
      <c r="E28" s="101"/>
      <c r="F28">
        <v>8</v>
      </c>
      <c r="G28" t="s">
        <v>148</v>
      </c>
      <c r="H28" t="s">
        <v>269</v>
      </c>
      <c r="I28" t="s">
        <v>282</v>
      </c>
      <c r="J28" s="106"/>
      <c r="K28">
        <v>8</v>
      </c>
      <c r="L28" t="s">
        <v>295</v>
      </c>
      <c r="M28" t="s">
        <v>228</v>
      </c>
      <c r="N28" s="108"/>
      <c r="O28" s="94"/>
      <c r="P28" s="99"/>
      <c r="Q28" s="103"/>
      <c r="R28" s="109"/>
      <c r="S28" t="s">
        <v>218</v>
      </c>
      <c r="T28" t="s">
        <v>232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456</v>
      </c>
      <c r="C29" t="s">
        <v>352</v>
      </c>
      <c r="D29" s="87"/>
      <c r="E29" s="88"/>
      <c r="F29">
        <v>16</v>
      </c>
      <c r="G29" t="s">
        <v>465</v>
      </c>
      <c r="H29" t="s">
        <v>475</v>
      </c>
      <c r="I29" t="s">
        <v>486</v>
      </c>
      <c r="J29" s="106"/>
      <c r="K29">
        <v>16</v>
      </c>
      <c r="L29" t="s">
        <v>496</v>
      </c>
      <c r="M29" t="s">
        <v>507</v>
      </c>
      <c r="N29" s="115"/>
      <c r="O29" s="94"/>
      <c r="P29" s="116"/>
      <c r="Q29" s="95"/>
      <c r="R29" s="95"/>
      <c r="S29" t="s">
        <v>524</v>
      </c>
      <c r="T29" t="s">
        <v>525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457</v>
      </c>
      <c r="C30" t="s">
        <v>354</v>
      </c>
      <c r="D30" s="87"/>
      <c r="E30" s="101"/>
      <c r="F30">
        <v>64</v>
      </c>
      <c r="G30" t="s">
        <v>466</v>
      </c>
      <c r="H30" t="s">
        <v>476</v>
      </c>
      <c r="I30" t="s">
        <v>487</v>
      </c>
      <c r="J30" s="106"/>
      <c r="K30">
        <v>64</v>
      </c>
      <c r="L30" t="s">
        <v>497</v>
      </c>
      <c r="M30" t="s">
        <v>508</v>
      </c>
      <c r="N30" s="108"/>
      <c r="O30" s="94"/>
      <c r="P30" s="99"/>
      <c r="Q30" s="103"/>
      <c r="R30" s="109"/>
      <c r="S30" t="s">
        <v>526</v>
      </c>
      <c r="T30" t="s">
        <v>527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458</v>
      </c>
      <c r="C31" t="s">
        <v>138</v>
      </c>
      <c r="D31" s="87"/>
      <c r="E31" s="88"/>
      <c r="F31">
        <v>64</v>
      </c>
      <c r="G31" t="s">
        <v>467</v>
      </c>
      <c r="H31" t="s">
        <v>477</v>
      </c>
      <c r="I31" t="s">
        <v>488</v>
      </c>
      <c r="J31" s="106"/>
      <c r="K31">
        <v>64</v>
      </c>
      <c r="L31" t="s">
        <v>498</v>
      </c>
      <c r="M31" t="s">
        <v>509</v>
      </c>
      <c r="N31" s="115"/>
      <c r="O31" s="94"/>
      <c r="P31" s="116"/>
      <c r="Q31" s="95"/>
      <c r="R31" s="95"/>
      <c r="S31" t="s">
        <v>528</v>
      </c>
      <c r="T31" t="s">
        <v>529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234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234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31" priority="1" stopIfTrue="1">
      <formula>$U$9&gt;100%</formula>
    </cfRule>
    <cfRule type="expression" dxfId="30" priority="2">
      <formula>$U$9&lt;50%</formula>
    </cfRule>
  </conditionalFormatting>
  <conditionalFormatting sqref="V9:V11">
    <cfRule type="expression" dxfId="29" priority="3">
      <formula>$V$9&lt;50%</formula>
    </cfRule>
    <cfRule type="expression" dxfId="28" priority="4">
      <formula>$V$9&gt;50%</formula>
    </cfRule>
  </conditionalFormatting>
  <dataValidations count="4">
    <dataValidation type="list" allowBlank="1" showErrorMessage="1" sqref="Q15 G18 L18 Q18" xr:uid="{D481DAEB-1753-4684-9CB3-68A9DEF7C12E}">
      <formula1>$Y$12:$Y$13</formula1>
    </dataValidation>
    <dataValidation type="list" allowBlank="1" showErrorMessage="1" sqref="J14" xr:uid="{67CC008C-CAD8-4EB8-A4C3-21B210508464}">
      <formula1>$L$9</formula1>
    </dataValidation>
    <dataValidation type="list" allowBlank="1" showErrorMessage="1" sqref="I14" xr:uid="{3186442C-D038-42DF-B4FD-B5E67C76711A}">
      <formula1>$Y$14:$Y$15</formula1>
    </dataValidation>
    <dataValidation type="list" allowBlank="1" showErrorMessage="1" sqref="E19:E49" xr:uid="{8BD976DA-E7EB-47EC-96D5-6A1BE9C3DF8C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C6AA4-00DC-4E1C-82B6-8490932FB6F1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530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339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530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108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234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446</v>
      </c>
      <c r="C19" t="s">
        <v>447</v>
      </c>
      <c r="D19" s="87"/>
      <c r="E19" s="88"/>
      <c r="F19">
        <v>2</v>
      </c>
      <c r="G19" t="s">
        <v>459</v>
      </c>
      <c r="H19" t="s">
        <v>468</v>
      </c>
      <c r="I19" t="s">
        <v>478</v>
      </c>
      <c r="J19" s="92"/>
      <c r="K19">
        <v>2</v>
      </c>
      <c r="L19" t="s">
        <v>489</v>
      </c>
      <c r="M19" t="s">
        <v>499</v>
      </c>
      <c r="N19" s="93"/>
      <c r="O19" s="94"/>
      <c r="P19" s="86"/>
      <c r="Q19" s="95"/>
      <c r="R19" s="95"/>
      <c r="S19" t="s">
        <v>510</v>
      </c>
      <c r="T19" t="s">
        <v>511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448</v>
      </c>
      <c r="C20" t="s">
        <v>449</v>
      </c>
      <c r="D20" s="87"/>
      <c r="E20" s="101"/>
      <c r="F20">
        <v>2</v>
      </c>
      <c r="G20" t="s">
        <v>460</v>
      </c>
      <c r="H20" t="s">
        <v>469</v>
      </c>
      <c r="I20" t="s">
        <v>479</v>
      </c>
      <c r="J20" s="106"/>
      <c r="K20">
        <v>2</v>
      </c>
      <c r="L20" t="s">
        <v>490</v>
      </c>
      <c r="M20" t="s">
        <v>500</v>
      </c>
      <c r="N20" s="108"/>
      <c r="O20" s="94"/>
      <c r="P20" s="99"/>
      <c r="Q20" s="103"/>
      <c r="R20" s="109"/>
      <c r="S20" t="s">
        <v>512</v>
      </c>
      <c r="T20" t="s">
        <v>513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345</v>
      </c>
      <c r="C21" t="s">
        <v>127</v>
      </c>
      <c r="D21" s="87"/>
      <c r="E21" s="88"/>
      <c r="F21">
        <v>52</v>
      </c>
      <c r="G21" t="s">
        <v>357</v>
      </c>
      <c r="H21" t="s">
        <v>366</v>
      </c>
      <c r="I21" t="s">
        <v>480</v>
      </c>
      <c r="J21" s="106"/>
      <c r="K21">
        <v>52</v>
      </c>
      <c r="L21" t="s">
        <v>386</v>
      </c>
      <c r="M21" t="s">
        <v>501</v>
      </c>
      <c r="N21" s="115"/>
      <c r="O21" s="94"/>
      <c r="P21" s="116"/>
      <c r="Q21" s="95"/>
      <c r="R21" s="95"/>
      <c r="S21" t="s">
        <v>408</v>
      </c>
      <c r="T21" t="s">
        <v>514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450</v>
      </c>
      <c r="C22" t="s">
        <v>247</v>
      </c>
      <c r="D22" s="87"/>
      <c r="E22" s="101"/>
      <c r="F22">
        <v>2</v>
      </c>
      <c r="G22" t="s">
        <v>461</v>
      </c>
      <c r="H22" t="s">
        <v>470</v>
      </c>
      <c r="I22" t="s">
        <v>481</v>
      </c>
      <c r="J22" s="106"/>
      <c r="K22">
        <v>2</v>
      </c>
      <c r="L22" t="s">
        <v>491</v>
      </c>
      <c r="M22" t="s">
        <v>502</v>
      </c>
      <c r="N22" s="108"/>
      <c r="O22" s="94"/>
      <c r="P22" s="99"/>
      <c r="Q22" s="103"/>
      <c r="R22" s="109"/>
      <c r="S22" t="s">
        <v>515</v>
      </c>
      <c r="T22" t="s">
        <v>516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451</v>
      </c>
      <c r="C23" t="s">
        <v>348</v>
      </c>
      <c r="D23" s="87"/>
      <c r="E23" s="88"/>
      <c r="F23">
        <v>4</v>
      </c>
      <c r="G23" t="s">
        <v>462</v>
      </c>
      <c r="H23" t="s">
        <v>471</v>
      </c>
      <c r="I23" t="s">
        <v>482</v>
      </c>
      <c r="J23" s="106"/>
      <c r="K23">
        <v>4</v>
      </c>
      <c r="L23" t="s">
        <v>492</v>
      </c>
      <c r="M23" t="s">
        <v>503</v>
      </c>
      <c r="N23" s="115"/>
      <c r="O23" s="94"/>
      <c r="P23" s="116"/>
      <c r="Q23" s="95"/>
      <c r="R23" s="95"/>
      <c r="S23" t="s">
        <v>517</v>
      </c>
      <c r="T23" t="s">
        <v>518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452</v>
      </c>
      <c r="C24" t="s">
        <v>453</v>
      </c>
      <c r="D24" s="87"/>
      <c r="E24" s="101"/>
      <c r="F24">
        <v>4</v>
      </c>
      <c r="G24" t="s">
        <v>463</v>
      </c>
      <c r="H24" t="s">
        <v>472</v>
      </c>
      <c r="I24" t="s">
        <v>483</v>
      </c>
      <c r="J24" s="106"/>
      <c r="K24">
        <v>4</v>
      </c>
      <c r="L24" t="s">
        <v>493</v>
      </c>
      <c r="M24" t="s">
        <v>504</v>
      </c>
      <c r="N24" s="108"/>
      <c r="O24" s="94"/>
      <c r="P24" s="99"/>
      <c r="Q24" s="103"/>
      <c r="R24" s="109"/>
      <c r="S24" t="s">
        <v>519</v>
      </c>
      <c r="T24" t="s">
        <v>520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124</v>
      </c>
      <c r="C25" t="s">
        <v>131</v>
      </c>
      <c r="D25" s="87"/>
      <c r="E25" s="88"/>
      <c r="F25">
        <v>4</v>
      </c>
      <c r="G25" t="s">
        <v>152</v>
      </c>
      <c r="H25" t="s">
        <v>473</v>
      </c>
      <c r="I25" t="s">
        <v>484</v>
      </c>
      <c r="J25" s="106"/>
      <c r="K25">
        <v>4</v>
      </c>
      <c r="L25" t="s">
        <v>494</v>
      </c>
      <c r="M25" t="s">
        <v>505</v>
      </c>
      <c r="N25" s="115"/>
      <c r="O25" s="94"/>
      <c r="P25" s="116"/>
      <c r="Q25" s="95"/>
      <c r="R25" s="95"/>
      <c r="S25" t="s">
        <v>222</v>
      </c>
      <c r="T25" t="s">
        <v>521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454</v>
      </c>
      <c r="C26" t="s">
        <v>132</v>
      </c>
      <c r="D26" s="87"/>
      <c r="E26" s="101"/>
      <c r="F26">
        <v>4</v>
      </c>
      <c r="G26" t="s">
        <v>464</v>
      </c>
      <c r="H26" t="s">
        <v>474</v>
      </c>
      <c r="I26" t="s">
        <v>485</v>
      </c>
      <c r="J26" s="106"/>
      <c r="K26">
        <v>4</v>
      </c>
      <c r="L26" t="s">
        <v>495</v>
      </c>
      <c r="M26" t="s">
        <v>506</v>
      </c>
      <c r="N26" s="108"/>
      <c r="O26" s="94"/>
      <c r="P26" s="99"/>
      <c r="Q26" s="103"/>
      <c r="R26" s="109"/>
      <c r="S26" t="s">
        <v>522</v>
      </c>
      <c r="T26" t="s">
        <v>523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455</v>
      </c>
      <c r="C27" t="s">
        <v>133</v>
      </c>
      <c r="D27" s="87"/>
      <c r="E27" s="88"/>
      <c r="F27">
        <v>8</v>
      </c>
      <c r="G27" t="s">
        <v>361</v>
      </c>
      <c r="H27" t="s">
        <v>370</v>
      </c>
      <c r="I27" t="s">
        <v>380</v>
      </c>
      <c r="J27" s="106"/>
      <c r="K27">
        <v>8</v>
      </c>
      <c r="L27" t="s">
        <v>390</v>
      </c>
      <c r="M27" t="s">
        <v>400</v>
      </c>
      <c r="N27" s="115"/>
      <c r="O27" s="94"/>
      <c r="P27" s="116"/>
      <c r="Q27" s="95"/>
      <c r="R27" s="95"/>
      <c r="S27" t="s">
        <v>417</v>
      </c>
      <c r="T27" t="s">
        <v>418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120</v>
      </c>
      <c r="C28" t="s">
        <v>134</v>
      </c>
      <c r="D28" s="87"/>
      <c r="E28" s="101"/>
      <c r="F28">
        <v>8</v>
      </c>
      <c r="G28" t="s">
        <v>148</v>
      </c>
      <c r="H28" t="s">
        <v>269</v>
      </c>
      <c r="I28" t="s">
        <v>282</v>
      </c>
      <c r="J28" s="106"/>
      <c r="K28">
        <v>8</v>
      </c>
      <c r="L28" t="s">
        <v>295</v>
      </c>
      <c r="M28" t="s">
        <v>228</v>
      </c>
      <c r="N28" s="108"/>
      <c r="O28" s="94"/>
      <c r="P28" s="99"/>
      <c r="Q28" s="103"/>
      <c r="R28" s="109"/>
      <c r="S28" t="s">
        <v>218</v>
      </c>
      <c r="T28" t="s">
        <v>232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456</v>
      </c>
      <c r="C29" t="s">
        <v>352</v>
      </c>
      <c r="D29" s="87"/>
      <c r="E29" s="88"/>
      <c r="F29">
        <v>16</v>
      </c>
      <c r="G29" t="s">
        <v>465</v>
      </c>
      <c r="H29" t="s">
        <v>475</v>
      </c>
      <c r="I29" t="s">
        <v>486</v>
      </c>
      <c r="J29" s="106"/>
      <c r="K29">
        <v>16</v>
      </c>
      <c r="L29" t="s">
        <v>496</v>
      </c>
      <c r="M29" t="s">
        <v>507</v>
      </c>
      <c r="N29" s="115"/>
      <c r="O29" s="94"/>
      <c r="P29" s="116"/>
      <c r="Q29" s="95"/>
      <c r="R29" s="95"/>
      <c r="S29" t="s">
        <v>524</v>
      </c>
      <c r="T29" t="s">
        <v>525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457</v>
      </c>
      <c r="C30" t="s">
        <v>354</v>
      </c>
      <c r="D30" s="87"/>
      <c r="E30" s="101"/>
      <c r="F30">
        <v>64</v>
      </c>
      <c r="G30" t="s">
        <v>466</v>
      </c>
      <c r="H30" t="s">
        <v>476</v>
      </c>
      <c r="I30" t="s">
        <v>487</v>
      </c>
      <c r="J30" s="106"/>
      <c r="K30">
        <v>64</v>
      </c>
      <c r="L30" t="s">
        <v>497</v>
      </c>
      <c r="M30" t="s">
        <v>508</v>
      </c>
      <c r="N30" s="108"/>
      <c r="O30" s="94"/>
      <c r="P30" s="99"/>
      <c r="Q30" s="103"/>
      <c r="R30" s="109"/>
      <c r="S30" t="s">
        <v>526</v>
      </c>
      <c r="T30" t="s">
        <v>527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458</v>
      </c>
      <c r="C31" t="s">
        <v>138</v>
      </c>
      <c r="D31" s="87"/>
      <c r="E31" s="88"/>
      <c r="F31">
        <v>64</v>
      </c>
      <c r="G31" t="s">
        <v>467</v>
      </c>
      <c r="H31" t="s">
        <v>477</v>
      </c>
      <c r="I31" t="s">
        <v>488</v>
      </c>
      <c r="J31" s="106"/>
      <c r="K31">
        <v>64</v>
      </c>
      <c r="L31" t="s">
        <v>498</v>
      </c>
      <c r="M31" t="s">
        <v>509</v>
      </c>
      <c r="N31" s="115"/>
      <c r="O31" s="94"/>
      <c r="P31" s="116"/>
      <c r="Q31" s="95"/>
      <c r="R31" s="95"/>
      <c r="S31" t="s">
        <v>528</v>
      </c>
      <c r="T31" t="s">
        <v>529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234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234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27" priority="1" stopIfTrue="1">
      <formula>$U$9&gt;100%</formula>
    </cfRule>
    <cfRule type="expression" dxfId="26" priority="2">
      <formula>$U$9&lt;50%</formula>
    </cfRule>
  </conditionalFormatting>
  <conditionalFormatting sqref="V9:V11">
    <cfRule type="expression" dxfId="25" priority="3">
      <formula>$V$9&lt;50%</formula>
    </cfRule>
    <cfRule type="expression" dxfId="24" priority="4">
      <formula>$V$9&gt;50%</formula>
    </cfRule>
  </conditionalFormatting>
  <dataValidations count="4">
    <dataValidation type="list" allowBlank="1" showErrorMessage="1" sqref="E19:E49" xr:uid="{0BD03C6B-AE53-454D-B91C-3EF3C9FA41A3}">
      <formula1>$Z$19:$Z$30</formula1>
    </dataValidation>
    <dataValidation type="list" allowBlank="1" showErrorMessage="1" sqref="I14" xr:uid="{44AABE63-C45B-468D-BB2E-CB9FE6B6C6EE}">
      <formula1>$Y$14:$Y$15</formula1>
    </dataValidation>
    <dataValidation type="list" allowBlank="1" showErrorMessage="1" sqref="J14" xr:uid="{F7461A63-3BB7-48DC-8D7E-F6D5B0B213DF}">
      <formula1>$L$9</formula1>
    </dataValidation>
    <dataValidation type="list" allowBlank="1" showErrorMessage="1" sqref="Q15 G18 L18 Q18" xr:uid="{99EC711C-D60C-445B-9259-9D5F522260F3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ED62-E76B-4694-A9FE-59CD230D07C9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531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339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531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108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234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446</v>
      </c>
      <c r="C19" t="s">
        <v>447</v>
      </c>
      <c r="D19" s="87"/>
      <c r="E19" s="88"/>
      <c r="F19">
        <v>2</v>
      </c>
      <c r="G19" t="s">
        <v>459</v>
      </c>
      <c r="H19" t="s">
        <v>468</v>
      </c>
      <c r="I19" t="s">
        <v>478</v>
      </c>
      <c r="J19" s="92"/>
      <c r="K19">
        <v>2</v>
      </c>
      <c r="L19" t="s">
        <v>489</v>
      </c>
      <c r="M19" t="s">
        <v>499</v>
      </c>
      <c r="N19" s="93"/>
      <c r="O19" s="94"/>
      <c r="P19" s="86"/>
      <c r="Q19" s="95"/>
      <c r="R19" s="95"/>
      <c r="S19" t="s">
        <v>510</v>
      </c>
      <c r="T19" t="s">
        <v>511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448</v>
      </c>
      <c r="C20" t="s">
        <v>449</v>
      </c>
      <c r="D20" s="87"/>
      <c r="E20" s="101"/>
      <c r="F20">
        <v>2</v>
      </c>
      <c r="G20" t="s">
        <v>460</v>
      </c>
      <c r="H20" t="s">
        <v>469</v>
      </c>
      <c r="I20" t="s">
        <v>479</v>
      </c>
      <c r="J20" s="106"/>
      <c r="K20">
        <v>2</v>
      </c>
      <c r="L20" t="s">
        <v>490</v>
      </c>
      <c r="M20" t="s">
        <v>500</v>
      </c>
      <c r="N20" s="108"/>
      <c r="O20" s="94"/>
      <c r="P20" s="99"/>
      <c r="Q20" s="103"/>
      <c r="R20" s="109"/>
      <c r="S20" t="s">
        <v>512</v>
      </c>
      <c r="T20" t="s">
        <v>513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345</v>
      </c>
      <c r="C21" t="s">
        <v>127</v>
      </c>
      <c r="D21" s="87"/>
      <c r="E21" s="88"/>
      <c r="F21">
        <v>52</v>
      </c>
      <c r="G21" t="s">
        <v>357</v>
      </c>
      <c r="H21" t="s">
        <v>366</v>
      </c>
      <c r="I21" t="s">
        <v>480</v>
      </c>
      <c r="J21" s="106"/>
      <c r="K21">
        <v>52</v>
      </c>
      <c r="L21" t="s">
        <v>386</v>
      </c>
      <c r="M21" t="s">
        <v>501</v>
      </c>
      <c r="N21" s="115"/>
      <c r="O21" s="94"/>
      <c r="P21" s="116"/>
      <c r="Q21" s="95"/>
      <c r="R21" s="95"/>
      <c r="S21" t="s">
        <v>408</v>
      </c>
      <c r="T21" t="s">
        <v>514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450</v>
      </c>
      <c r="C22" t="s">
        <v>247</v>
      </c>
      <c r="D22" s="87"/>
      <c r="E22" s="101"/>
      <c r="F22">
        <v>2</v>
      </c>
      <c r="G22" t="s">
        <v>461</v>
      </c>
      <c r="H22" t="s">
        <v>470</v>
      </c>
      <c r="I22" t="s">
        <v>481</v>
      </c>
      <c r="J22" s="106"/>
      <c r="K22">
        <v>2</v>
      </c>
      <c r="L22" t="s">
        <v>491</v>
      </c>
      <c r="M22" t="s">
        <v>502</v>
      </c>
      <c r="N22" s="108"/>
      <c r="O22" s="94"/>
      <c r="P22" s="99"/>
      <c r="Q22" s="103"/>
      <c r="R22" s="109"/>
      <c r="S22" t="s">
        <v>515</v>
      </c>
      <c r="T22" t="s">
        <v>516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451</v>
      </c>
      <c r="C23" t="s">
        <v>348</v>
      </c>
      <c r="D23" s="87"/>
      <c r="E23" s="88"/>
      <c r="F23">
        <v>4</v>
      </c>
      <c r="G23" t="s">
        <v>462</v>
      </c>
      <c r="H23" t="s">
        <v>471</v>
      </c>
      <c r="I23" t="s">
        <v>482</v>
      </c>
      <c r="J23" s="106"/>
      <c r="K23">
        <v>4</v>
      </c>
      <c r="L23" t="s">
        <v>492</v>
      </c>
      <c r="M23" t="s">
        <v>503</v>
      </c>
      <c r="N23" s="115"/>
      <c r="O23" s="94"/>
      <c r="P23" s="116"/>
      <c r="Q23" s="95"/>
      <c r="R23" s="95"/>
      <c r="S23" t="s">
        <v>517</v>
      </c>
      <c r="T23" t="s">
        <v>518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452</v>
      </c>
      <c r="C24" t="s">
        <v>453</v>
      </c>
      <c r="D24" s="87"/>
      <c r="E24" s="101"/>
      <c r="F24">
        <v>4</v>
      </c>
      <c r="G24" t="s">
        <v>463</v>
      </c>
      <c r="H24" t="s">
        <v>472</v>
      </c>
      <c r="I24" t="s">
        <v>483</v>
      </c>
      <c r="J24" s="106"/>
      <c r="K24">
        <v>4</v>
      </c>
      <c r="L24" t="s">
        <v>493</v>
      </c>
      <c r="M24" t="s">
        <v>504</v>
      </c>
      <c r="N24" s="108"/>
      <c r="O24" s="94"/>
      <c r="P24" s="99"/>
      <c r="Q24" s="103"/>
      <c r="R24" s="109"/>
      <c r="S24" t="s">
        <v>519</v>
      </c>
      <c r="T24" t="s">
        <v>520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124</v>
      </c>
      <c r="C25" t="s">
        <v>131</v>
      </c>
      <c r="D25" s="87"/>
      <c r="E25" s="88"/>
      <c r="F25">
        <v>4</v>
      </c>
      <c r="G25" t="s">
        <v>152</v>
      </c>
      <c r="H25" t="s">
        <v>473</v>
      </c>
      <c r="I25" t="s">
        <v>484</v>
      </c>
      <c r="J25" s="106"/>
      <c r="K25">
        <v>4</v>
      </c>
      <c r="L25" t="s">
        <v>494</v>
      </c>
      <c r="M25" t="s">
        <v>505</v>
      </c>
      <c r="N25" s="115"/>
      <c r="O25" s="94"/>
      <c r="P25" s="116"/>
      <c r="Q25" s="95"/>
      <c r="R25" s="95"/>
      <c r="S25" t="s">
        <v>222</v>
      </c>
      <c r="T25" t="s">
        <v>521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454</v>
      </c>
      <c r="C26" t="s">
        <v>132</v>
      </c>
      <c r="D26" s="87"/>
      <c r="E26" s="101"/>
      <c r="F26">
        <v>4</v>
      </c>
      <c r="G26" t="s">
        <v>464</v>
      </c>
      <c r="H26" t="s">
        <v>474</v>
      </c>
      <c r="I26" t="s">
        <v>485</v>
      </c>
      <c r="J26" s="106"/>
      <c r="K26">
        <v>4</v>
      </c>
      <c r="L26" t="s">
        <v>495</v>
      </c>
      <c r="M26" t="s">
        <v>506</v>
      </c>
      <c r="N26" s="108"/>
      <c r="O26" s="94"/>
      <c r="P26" s="99"/>
      <c r="Q26" s="103"/>
      <c r="R26" s="109"/>
      <c r="S26" t="s">
        <v>522</v>
      </c>
      <c r="T26" t="s">
        <v>523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455</v>
      </c>
      <c r="C27" t="s">
        <v>133</v>
      </c>
      <c r="D27" s="87"/>
      <c r="E27" s="88"/>
      <c r="F27">
        <v>8</v>
      </c>
      <c r="G27" t="s">
        <v>361</v>
      </c>
      <c r="H27" t="s">
        <v>370</v>
      </c>
      <c r="I27" t="s">
        <v>380</v>
      </c>
      <c r="J27" s="106"/>
      <c r="K27">
        <v>8</v>
      </c>
      <c r="L27" t="s">
        <v>390</v>
      </c>
      <c r="M27" t="s">
        <v>400</v>
      </c>
      <c r="N27" s="115"/>
      <c r="O27" s="94"/>
      <c r="P27" s="116"/>
      <c r="Q27" s="95"/>
      <c r="R27" s="95"/>
      <c r="S27" t="s">
        <v>417</v>
      </c>
      <c r="T27" t="s">
        <v>418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120</v>
      </c>
      <c r="C28" t="s">
        <v>134</v>
      </c>
      <c r="D28" s="87"/>
      <c r="E28" s="101"/>
      <c r="F28">
        <v>8</v>
      </c>
      <c r="G28" t="s">
        <v>148</v>
      </c>
      <c r="H28" t="s">
        <v>269</v>
      </c>
      <c r="I28" t="s">
        <v>282</v>
      </c>
      <c r="J28" s="106"/>
      <c r="K28">
        <v>8</v>
      </c>
      <c r="L28" t="s">
        <v>295</v>
      </c>
      <c r="M28" t="s">
        <v>228</v>
      </c>
      <c r="N28" s="108"/>
      <c r="O28" s="94"/>
      <c r="P28" s="99"/>
      <c r="Q28" s="103"/>
      <c r="R28" s="109"/>
      <c r="S28" t="s">
        <v>218</v>
      </c>
      <c r="T28" t="s">
        <v>232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456</v>
      </c>
      <c r="C29" t="s">
        <v>352</v>
      </c>
      <c r="D29" s="87"/>
      <c r="E29" s="88"/>
      <c r="F29">
        <v>16</v>
      </c>
      <c r="G29" t="s">
        <v>465</v>
      </c>
      <c r="H29" t="s">
        <v>475</v>
      </c>
      <c r="I29" t="s">
        <v>486</v>
      </c>
      <c r="J29" s="106"/>
      <c r="K29">
        <v>16</v>
      </c>
      <c r="L29" t="s">
        <v>496</v>
      </c>
      <c r="M29" t="s">
        <v>507</v>
      </c>
      <c r="N29" s="115"/>
      <c r="O29" s="94"/>
      <c r="P29" s="116"/>
      <c r="Q29" s="95"/>
      <c r="R29" s="95"/>
      <c r="S29" t="s">
        <v>524</v>
      </c>
      <c r="T29" t="s">
        <v>525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457</v>
      </c>
      <c r="C30" t="s">
        <v>354</v>
      </c>
      <c r="D30" s="87"/>
      <c r="E30" s="101"/>
      <c r="F30">
        <v>64</v>
      </c>
      <c r="G30" t="s">
        <v>466</v>
      </c>
      <c r="H30" t="s">
        <v>476</v>
      </c>
      <c r="I30" t="s">
        <v>487</v>
      </c>
      <c r="J30" s="106"/>
      <c r="K30">
        <v>64</v>
      </c>
      <c r="L30" t="s">
        <v>497</v>
      </c>
      <c r="M30" t="s">
        <v>508</v>
      </c>
      <c r="N30" s="108"/>
      <c r="O30" s="94"/>
      <c r="P30" s="99"/>
      <c r="Q30" s="103"/>
      <c r="R30" s="109"/>
      <c r="S30" t="s">
        <v>526</v>
      </c>
      <c r="T30" t="s">
        <v>527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458</v>
      </c>
      <c r="C31" t="s">
        <v>138</v>
      </c>
      <c r="D31" s="87"/>
      <c r="E31" s="88"/>
      <c r="F31">
        <v>64</v>
      </c>
      <c r="G31" t="s">
        <v>467</v>
      </c>
      <c r="H31" t="s">
        <v>477</v>
      </c>
      <c r="I31" t="s">
        <v>488</v>
      </c>
      <c r="J31" s="106"/>
      <c r="K31">
        <v>64</v>
      </c>
      <c r="L31" t="s">
        <v>498</v>
      </c>
      <c r="M31" t="s">
        <v>509</v>
      </c>
      <c r="N31" s="115"/>
      <c r="O31" s="94"/>
      <c r="P31" s="116"/>
      <c r="Q31" s="95"/>
      <c r="R31" s="95"/>
      <c r="S31" t="s">
        <v>528</v>
      </c>
      <c r="T31" t="s">
        <v>529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234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234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23" priority="1" stopIfTrue="1">
      <formula>$U$9&gt;100%</formula>
    </cfRule>
    <cfRule type="expression" dxfId="22" priority="2">
      <formula>$U$9&lt;50%</formula>
    </cfRule>
  </conditionalFormatting>
  <conditionalFormatting sqref="V9:V11">
    <cfRule type="expression" dxfId="21" priority="3">
      <formula>$V$9&lt;50%</formula>
    </cfRule>
    <cfRule type="expression" dxfId="20" priority="4">
      <formula>$V$9&gt;50%</formula>
    </cfRule>
  </conditionalFormatting>
  <dataValidations count="4">
    <dataValidation type="list" allowBlank="1" showErrorMessage="1" sqref="Q15 G18 L18 Q18" xr:uid="{1DD84B77-D802-426B-ABC9-5B3D80A50663}">
      <formula1>$Y$12:$Y$13</formula1>
    </dataValidation>
    <dataValidation type="list" allowBlank="1" showErrorMessage="1" sqref="J14" xr:uid="{84392E9B-58D5-48B6-A0B9-7872DCFE7023}">
      <formula1>$L$9</formula1>
    </dataValidation>
    <dataValidation type="list" allowBlank="1" showErrorMessage="1" sqref="I14" xr:uid="{D852A048-1F92-41FE-A177-AB4C33357D0C}">
      <formula1>$Y$14:$Y$15</formula1>
    </dataValidation>
    <dataValidation type="list" allowBlank="1" showErrorMessage="1" sqref="E19:E49" xr:uid="{8D9A1934-3717-42A1-8428-668F26ADA036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6620-E1FE-428D-A604-38728D58082D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532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339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532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108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234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446</v>
      </c>
      <c r="C19" t="s">
        <v>447</v>
      </c>
      <c r="D19" s="87"/>
      <c r="E19" s="88"/>
      <c r="F19">
        <v>2</v>
      </c>
      <c r="G19" t="s">
        <v>459</v>
      </c>
      <c r="H19" t="s">
        <v>468</v>
      </c>
      <c r="I19" t="s">
        <v>478</v>
      </c>
      <c r="J19" s="92"/>
      <c r="K19">
        <v>2</v>
      </c>
      <c r="L19" t="s">
        <v>489</v>
      </c>
      <c r="M19" t="s">
        <v>499</v>
      </c>
      <c r="N19" s="93"/>
      <c r="O19" s="94"/>
      <c r="P19" s="86"/>
      <c r="Q19" s="95"/>
      <c r="R19" s="95"/>
      <c r="S19" t="s">
        <v>510</v>
      </c>
      <c r="T19" t="s">
        <v>511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448</v>
      </c>
      <c r="C20" t="s">
        <v>449</v>
      </c>
      <c r="D20" s="87"/>
      <c r="E20" s="101"/>
      <c r="F20">
        <v>2</v>
      </c>
      <c r="G20" t="s">
        <v>460</v>
      </c>
      <c r="H20" t="s">
        <v>469</v>
      </c>
      <c r="I20" t="s">
        <v>479</v>
      </c>
      <c r="J20" s="106"/>
      <c r="K20">
        <v>2</v>
      </c>
      <c r="L20" t="s">
        <v>490</v>
      </c>
      <c r="M20" t="s">
        <v>500</v>
      </c>
      <c r="N20" s="108"/>
      <c r="O20" s="94"/>
      <c r="P20" s="99"/>
      <c r="Q20" s="103"/>
      <c r="R20" s="109"/>
      <c r="S20" t="s">
        <v>512</v>
      </c>
      <c r="T20" t="s">
        <v>513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345</v>
      </c>
      <c r="C21" t="s">
        <v>127</v>
      </c>
      <c r="D21" s="87"/>
      <c r="E21" s="88"/>
      <c r="F21">
        <v>52</v>
      </c>
      <c r="G21" t="s">
        <v>357</v>
      </c>
      <c r="H21" t="s">
        <v>366</v>
      </c>
      <c r="I21" t="s">
        <v>480</v>
      </c>
      <c r="J21" s="106"/>
      <c r="K21">
        <v>52</v>
      </c>
      <c r="L21" t="s">
        <v>386</v>
      </c>
      <c r="M21" t="s">
        <v>501</v>
      </c>
      <c r="N21" s="115"/>
      <c r="O21" s="94"/>
      <c r="P21" s="116"/>
      <c r="Q21" s="95"/>
      <c r="R21" s="95"/>
      <c r="S21" t="s">
        <v>408</v>
      </c>
      <c r="T21" t="s">
        <v>514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450</v>
      </c>
      <c r="C22" t="s">
        <v>247</v>
      </c>
      <c r="D22" s="87"/>
      <c r="E22" s="101"/>
      <c r="F22">
        <v>2</v>
      </c>
      <c r="G22" t="s">
        <v>461</v>
      </c>
      <c r="H22" t="s">
        <v>470</v>
      </c>
      <c r="I22" t="s">
        <v>481</v>
      </c>
      <c r="J22" s="106"/>
      <c r="K22">
        <v>2</v>
      </c>
      <c r="L22" t="s">
        <v>491</v>
      </c>
      <c r="M22" t="s">
        <v>502</v>
      </c>
      <c r="N22" s="108"/>
      <c r="O22" s="94"/>
      <c r="P22" s="99"/>
      <c r="Q22" s="103"/>
      <c r="R22" s="109"/>
      <c r="S22" t="s">
        <v>515</v>
      </c>
      <c r="T22" t="s">
        <v>516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451</v>
      </c>
      <c r="C23" t="s">
        <v>348</v>
      </c>
      <c r="D23" s="87"/>
      <c r="E23" s="88"/>
      <c r="F23">
        <v>4</v>
      </c>
      <c r="G23" t="s">
        <v>462</v>
      </c>
      <c r="H23" t="s">
        <v>471</v>
      </c>
      <c r="I23" t="s">
        <v>482</v>
      </c>
      <c r="J23" s="106"/>
      <c r="K23">
        <v>4</v>
      </c>
      <c r="L23" t="s">
        <v>492</v>
      </c>
      <c r="M23" t="s">
        <v>503</v>
      </c>
      <c r="N23" s="115"/>
      <c r="O23" s="94"/>
      <c r="P23" s="116"/>
      <c r="Q23" s="95"/>
      <c r="R23" s="95"/>
      <c r="S23" t="s">
        <v>517</v>
      </c>
      <c r="T23" t="s">
        <v>518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452</v>
      </c>
      <c r="C24" t="s">
        <v>453</v>
      </c>
      <c r="D24" s="87"/>
      <c r="E24" s="101"/>
      <c r="F24">
        <v>4</v>
      </c>
      <c r="G24" t="s">
        <v>463</v>
      </c>
      <c r="H24" t="s">
        <v>472</v>
      </c>
      <c r="I24" t="s">
        <v>483</v>
      </c>
      <c r="J24" s="106"/>
      <c r="K24">
        <v>4</v>
      </c>
      <c r="L24" t="s">
        <v>493</v>
      </c>
      <c r="M24" t="s">
        <v>504</v>
      </c>
      <c r="N24" s="108"/>
      <c r="O24" s="94"/>
      <c r="P24" s="99"/>
      <c r="Q24" s="103"/>
      <c r="R24" s="109"/>
      <c r="S24" t="s">
        <v>519</v>
      </c>
      <c r="T24" t="s">
        <v>520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124</v>
      </c>
      <c r="C25" t="s">
        <v>131</v>
      </c>
      <c r="D25" s="87"/>
      <c r="E25" s="88"/>
      <c r="F25">
        <v>4</v>
      </c>
      <c r="G25" t="s">
        <v>152</v>
      </c>
      <c r="H25" t="s">
        <v>473</v>
      </c>
      <c r="I25" t="s">
        <v>484</v>
      </c>
      <c r="J25" s="106"/>
      <c r="K25">
        <v>4</v>
      </c>
      <c r="L25" t="s">
        <v>494</v>
      </c>
      <c r="M25" t="s">
        <v>505</v>
      </c>
      <c r="N25" s="115"/>
      <c r="O25" s="94"/>
      <c r="P25" s="116"/>
      <c r="Q25" s="95"/>
      <c r="R25" s="95"/>
      <c r="S25" t="s">
        <v>222</v>
      </c>
      <c r="T25" t="s">
        <v>521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454</v>
      </c>
      <c r="C26" t="s">
        <v>132</v>
      </c>
      <c r="D26" s="87"/>
      <c r="E26" s="101"/>
      <c r="F26">
        <v>4</v>
      </c>
      <c r="G26" t="s">
        <v>464</v>
      </c>
      <c r="H26" t="s">
        <v>474</v>
      </c>
      <c r="I26" t="s">
        <v>485</v>
      </c>
      <c r="J26" s="106"/>
      <c r="K26">
        <v>4</v>
      </c>
      <c r="L26" t="s">
        <v>495</v>
      </c>
      <c r="M26" t="s">
        <v>506</v>
      </c>
      <c r="N26" s="108"/>
      <c r="O26" s="94"/>
      <c r="P26" s="99"/>
      <c r="Q26" s="103"/>
      <c r="R26" s="109"/>
      <c r="S26" t="s">
        <v>522</v>
      </c>
      <c r="T26" t="s">
        <v>523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455</v>
      </c>
      <c r="C27" t="s">
        <v>133</v>
      </c>
      <c r="D27" s="87"/>
      <c r="E27" s="88"/>
      <c r="F27">
        <v>8</v>
      </c>
      <c r="G27" t="s">
        <v>361</v>
      </c>
      <c r="H27" t="s">
        <v>370</v>
      </c>
      <c r="I27" t="s">
        <v>380</v>
      </c>
      <c r="J27" s="106"/>
      <c r="K27">
        <v>8</v>
      </c>
      <c r="L27" t="s">
        <v>390</v>
      </c>
      <c r="M27" t="s">
        <v>400</v>
      </c>
      <c r="N27" s="115"/>
      <c r="O27" s="94"/>
      <c r="P27" s="116"/>
      <c r="Q27" s="95"/>
      <c r="R27" s="95"/>
      <c r="S27" t="s">
        <v>417</v>
      </c>
      <c r="T27" t="s">
        <v>418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120</v>
      </c>
      <c r="C28" t="s">
        <v>134</v>
      </c>
      <c r="D28" s="87"/>
      <c r="E28" s="101"/>
      <c r="F28">
        <v>8</v>
      </c>
      <c r="G28" t="s">
        <v>148</v>
      </c>
      <c r="H28" t="s">
        <v>269</v>
      </c>
      <c r="I28" t="s">
        <v>282</v>
      </c>
      <c r="J28" s="106"/>
      <c r="K28">
        <v>8</v>
      </c>
      <c r="L28" t="s">
        <v>295</v>
      </c>
      <c r="M28" t="s">
        <v>228</v>
      </c>
      <c r="N28" s="108"/>
      <c r="O28" s="94"/>
      <c r="P28" s="99"/>
      <c r="Q28" s="103"/>
      <c r="R28" s="109"/>
      <c r="S28" t="s">
        <v>218</v>
      </c>
      <c r="T28" t="s">
        <v>232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456</v>
      </c>
      <c r="C29" t="s">
        <v>352</v>
      </c>
      <c r="D29" s="87"/>
      <c r="E29" s="88"/>
      <c r="F29">
        <v>16</v>
      </c>
      <c r="G29" t="s">
        <v>465</v>
      </c>
      <c r="H29" t="s">
        <v>475</v>
      </c>
      <c r="I29" t="s">
        <v>486</v>
      </c>
      <c r="J29" s="106"/>
      <c r="K29">
        <v>16</v>
      </c>
      <c r="L29" t="s">
        <v>496</v>
      </c>
      <c r="M29" t="s">
        <v>507</v>
      </c>
      <c r="N29" s="115"/>
      <c r="O29" s="94"/>
      <c r="P29" s="116"/>
      <c r="Q29" s="95"/>
      <c r="R29" s="95"/>
      <c r="S29" t="s">
        <v>524</v>
      </c>
      <c r="T29" t="s">
        <v>525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457</v>
      </c>
      <c r="C30" t="s">
        <v>354</v>
      </c>
      <c r="D30" s="87"/>
      <c r="E30" s="101"/>
      <c r="F30">
        <v>64</v>
      </c>
      <c r="G30" t="s">
        <v>466</v>
      </c>
      <c r="H30" t="s">
        <v>476</v>
      </c>
      <c r="I30" t="s">
        <v>487</v>
      </c>
      <c r="J30" s="106"/>
      <c r="K30">
        <v>64</v>
      </c>
      <c r="L30" t="s">
        <v>497</v>
      </c>
      <c r="M30" t="s">
        <v>508</v>
      </c>
      <c r="N30" s="108"/>
      <c r="O30" s="94"/>
      <c r="P30" s="99"/>
      <c r="Q30" s="103"/>
      <c r="R30" s="109"/>
      <c r="S30" t="s">
        <v>526</v>
      </c>
      <c r="T30" t="s">
        <v>527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458</v>
      </c>
      <c r="C31" t="s">
        <v>138</v>
      </c>
      <c r="D31" s="87"/>
      <c r="E31" s="88"/>
      <c r="F31">
        <v>64</v>
      </c>
      <c r="G31" t="s">
        <v>467</v>
      </c>
      <c r="H31" t="s">
        <v>477</v>
      </c>
      <c r="I31" t="s">
        <v>488</v>
      </c>
      <c r="J31" s="106"/>
      <c r="K31">
        <v>64</v>
      </c>
      <c r="L31" t="s">
        <v>498</v>
      </c>
      <c r="M31" t="s">
        <v>509</v>
      </c>
      <c r="N31" s="115"/>
      <c r="O31" s="94"/>
      <c r="P31" s="116"/>
      <c r="Q31" s="95"/>
      <c r="R31" s="95"/>
      <c r="S31" t="s">
        <v>528</v>
      </c>
      <c r="T31" t="s">
        <v>529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234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234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19" priority="1" stopIfTrue="1">
      <formula>$U$9&gt;100%</formula>
    </cfRule>
    <cfRule type="expression" dxfId="18" priority="2">
      <formula>$U$9&lt;50%</formula>
    </cfRule>
  </conditionalFormatting>
  <conditionalFormatting sqref="V9:V11">
    <cfRule type="expression" dxfId="17" priority="3">
      <formula>$V$9&lt;50%</formula>
    </cfRule>
    <cfRule type="expression" dxfId="16" priority="4">
      <formula>$V$9&gt;50%</formula>
    </cfRule>
  </conditionalFormatting>
  <dataValidations count="4">
    <dataValidation type="list" allowBlank="1" showErrorMessage="1" sqref="E19:E49" xr:uid="{13B42E86-5896-472E-B794-6CDBD2A2A651}">
      <formula1>$Z$19:$Z$30</formula1>
    </dataValidation>
    <dataValidation type="list" allowBlank="1" showErrorMessage="1" sqref="I14" xr:uid="{19E158F6-AA71-49C2-816C-6F334C1A37BC}">
      <formula1>$Y$14:$Y$15</formula1>
    </dataValidation>
    <dataValidation type="list" allowBlank="1" showErrorMessage="1" sqref="J14" xr:uid="{92703064-5F9B-42AA-89B4-F16D5F3F3ECE}">
      <formula1>$L$9</formula1>
    </dataValidation>
    <dataValidation type="list" allowBlank="1" showErrorMessage="1" sqref="Q15 G18 L18 Q18" xr:uid="{FA975660-EF4D-48CE-8F93-C0233BE8F894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8F01-E522-4B0E-B6A6-31B9429DB312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533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339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533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108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234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446</v>
      </c>
      <c r="C19" t="s">
        <v>447</v>
      </c>
      <c r="D19" s="87"/>
      <c r="E19" s="88"/>
      <c r="F19">
        <v>2</v>
      </c>
      <c r="G19" t="s">
        <v>459</v>
      </c>
      <c r="H19" t="s">
        <v>468</v>
      </c>
      <c r="I19" t="s">
        <v>478</v>
      </c>
      <c r="J19" s="92"/>
      <c r="K19">
        <v>2</v>
      </c>
      <c r="L19" t="s">
        <v>489</v>
      </c>
      <c r="M19" t="s">
        <v>499</v>
      </c>
      <c r="N19" s="93"/>
      <c r="O19" s="94"/>
      <c r="P19" s="86"/>
      <c r="Q19" s="95"/>
      <c r="R19" s="95"/>
      <c r="S19" t="s">
        <v>510</v>
      </c>
      <c r="T19" t="s">
        <v>511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448</v>
      </c>
      <c r="C20" t="s">
        <v>449</v>
      </c>
      <c r="D20" s="87"/>
      <c r="E20" s="101"/>
      <c r="F20">
        <v>2</v>
      </c>
      <c r="G20" t="s">
        <v>460</v>
      </c>
      <c r="H20" t="s">
        <v>469</v>
      </c>
      <c r="I20" t="s">
        <v>479</v>
      </c>
      <c r="J20" s="106"/>
      <c r="K20">
        <v>2</v>
      </c>
      <c r="L20" t="s">
        <v>490</v>
      </c>
      <c r="M20" t="s">
        <v>500</v>
      </c>
      <c r="N20" s="108"/>
      <c r="O20" s="94"/>
      <c r="P20" s="99"/>
      <c r="Q20" s="103"/>
      <c r="R20" s="109"/>
      <c r="S20" t="s">
        <v>512</v>
      </c>
      <c r="T20" t="s">
        <v>513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345</v>
      </c>
      <c r="C21" t="s">
        <v>127</v>
      </c>
      <c r="D21" s="87"/>
      <c r="E21" s="88"/>
      <c r="F21">
        <v>52</v>
      </c>
      <c r="G21" t="s">
        <v>357</v>
      </c>
      <c r="H21" t="s">
        <v>366</v>
      </c>
      <c r="I21" t="s">
        <v>480</v>
      </c>
      <c r="J21" s="106"/>
      <c r="K21">
        <v>52</v>
      </c>
      <c r="L21" t="s">
        <v>386</v>
      </c>
      <c r="M21" t="s">
        <v>501</v>
      </c>
      <c r="N21" s="115"/>
      <c r="O21" s="94"/>
      <c r="P21" s="116"/>
      <c r="Q21" s="95"/>
      <c r="R21" s="95"/>
      <c r="S21" t="s">
        <v>408</v>
      </c>
      <c r="T21" t="s">
        <v>514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450</v>
      </c>
      <c r="C22" t="s">
        <v>247</v>
      </c>
      <c r="D22" s="87"/>
      <c r="E22" s="101"/>
      <c r="F22">
        <v>2</v>
      </c>
      <c r="G22" t="s">
        <v>461</v>
      </c>
      <c r="H22" t="s">
        <v>470</v>
      </c>
      <c r="I22" t="s">
        <v>481</v>
      </c>
      <c r="J22" s="106"/>
      <c r="K22">
        <v>2</v>
      </c>
      <c r="L22" t="s">
        <v>491</v>
      </c>
      <c r="M22" t="s">
        <v>502</v>
      </c>
      <c r="N22" s="108"/>
      <c r="O22" s="94"/>
      <c r="P22" s="99"/>
      <c r="Q22" s="103"/>
      <c r="R22" s="109"/>
      <c r="S22" t="s">
        <v>515</v>
      </c>
      <c r="T22" t="s">
        <v>516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451</v>
      </c>
      <c r="C23" t="s">
        <v>348</v>
      </c>
      <c r="D23" s="87"/>
      <c r="E23" s="88"/>
      <c r="F23">
        <v>4</v>
      </c>
      <c r="G23" t="s">
        <v>462</v>
      </c>
      <c r="H23" t="s">
        <v>471</v>
      </c>
      <c r="I23" t="s">
        <v>482</v>
      </c>
      <c r="J23" s="106"/>
      <c r="K23">
        <v>4</v>
      </c>
      <c r="L23" t="s">
        <v>492</v>
      </c>
      <c r="M23" t="s">
        <v>503</v>
      </c>
      <c r="N23" s="115"/>
      <c r="O23" s="94"/>
      <c r="P23" s="116"/>
      <c r="Q23" s="95"/>
      <c r="R23" s="95"/>
      <c r="S23" t="s">
        <v>517</v>
      </c>
      <c r="T23" t="s">
        <v>518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452</v>
      </c>
      <c r="C24" t="s">
        <v>453</v>
      </c>
      <c r="D24" s="87"/>
      <c r="E24" s="101"/>
      <c r="F24">
        <v>4</v>
      </c>
      <c r="G24" t="s">
        <v>463</v>
      </c>
      <c r="H24" t="s">
        <v>472</v>
      </c>
      <c r="I24" t="s">
        <v>483</v>
      </c>
      <c r="J24" s="106"/>
      <c r="K24">
        <v>4</v>
      </c>
      <c r="L24" t="s">
        <v>493</v>
      </c>
      <c r="M24" t="s">
        <v>504</v>
      </c>
      <c r="N24" s="108"/>
      <c r="O24" s="94"/>
      <c r="P24" s="99"/>
      <c r="Q24" s="103"/>
      <c r="R24" s="109"/>
      <c r="S24" t="s">
        <v>519</v>
      </c>
      <c r="T24" t="s">
        <v>520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124</v>
      </c>
      <c r="C25" t="s">
        <v>131</v>
      </c>
      <c r="D25" s="87"/>
      <c r="E25" s="88"/>
      <c r="F25">
        <v>4</v>
      </c>
      <c r="G25" t="s">
        <v>152</v>
      </c>
      <c r="H25" t="s">
        <v>473</v>
      </c>
      <c r="I25" t="s">
        <v>484</v>
      </c>
      <c r="J25" s="106"/>
      <c r="K25">
        <v>4</v>
      </c>
      <c r="L25" t="s">
        <v>494</v>
      </c>
      <c r="M25" t="s">
        <v>505</v>
      </c>
      <c r="N25" s="115"/>
      <c r="O25" s="94"/>
      <c r="P25" s="116"/>
      <c r="Q25" s="95"/>
      <c r="R25" s="95"/>
      <c r="S25" t="s">
        <v>222</v>
      </c>
      <c r="T25" t="s">
        <v>521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454</v>
      </c>
      <c r="C26" t="s">
        <v>132</v>
      </c>
      <c r="D26" s="87"/>
      <c r="E26" s="101"/>
      <c r="F26">
        <v>4</v>
      </c>
      <c r="G26" t="s">
        <v>464</v>
      </c>
      <c r="H26" t="s">
        <v>474</v>
      </c>
      <c r="I26" t="s">
        <v>485</v>
      </c>
      <c r="J26" s="106"/>
      <c r="K26">
        <v>4</v>
      </c>
      <c r="L26" t="s">
        <v>495</v>
      </c>
      <c r="M26" t="s">
        <v>506</v>
      </c>
      <c r="N26" s="108"/>
      <c r="O26" s="94"/>
      <c r="P26" s="99"/>
      <c r="Q26" s="103"/>
      <c r="R26" s="109"/>
      <c r="S26" t="s">
        <v>522</v>
      </c>
      <c r="T26" t="s">
        <v>523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455</v>
      </c>
      <c r="C27" t="s">
        <v>133</v>
      </c>
      <c r="D27" s="87"/>
      <c r="E27" s="88"/>
      <c r="F27">
        <v>8</v>
      </c>
      <c r="G27" t="s">
        <v>361</v>
      </c>
      <c r="H27" t="s">
        <v>370</v>
      </c>
      <c r="I27" t="s">
        <v>380</v>
      </c>
      <c r="J27" s="106"/>
      <c r="K27">
        <v>8</v>
      </c>
      <c r="L27" t="s">
        <v>390</v>
      </c>
      <c r="M27" t="s">
        <v>400</v>
      </c>
      <c r="N27" s="115"/>
      <c r="O27" s="94"/>
      <c r="P27" s="116"/>
      <c r="Q27" s="95"/>
      <c r="R27" s="95"/>
      <c r="S27" t="s">
        <v>417</v>
      </c>
      <c r="T27" t="s">
        <v>418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120</v>
      </c>
      <c r="C28" t="s">
        <v>134</v>
      </c>
      <c r="D28" s="87"/>
      <c r="E28" s="101"/>
      <c r="F28">
        <v>8</v>
      </c>
      <c r="G28" t="s">
        <v>148</v>
      </c>
      <c r="H28" t="s">
        <v>269</v>
      </c>
      <c r="I28" t="s">
        <v>282</v>
      </c>
      <c r="J28" s="106"/>
      <c r="K28">
        <v>8</v>
      </c>
      <c r="L28" t="s">
        <v>295</v>
      </c>
      <c r="M28" t="s">
        <v>228</v>
      </c>
      <c r="N28" s="108"/>
      <c r="O28" s="94"/>
      <c r="P28" s="99"/>
      <c r="Q28" s="103"/>
      <c r="R28" s="109"/>
      <c r="S28" t="s">
        <v>218</v>
      </c>
      <c r="T28" t="s">
        <v>232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456</v>
      </c>
      <c r="C29" t="s">
        <v>352</v>
      </c>
      <c r="D29" s="87"/>
      <c r="E29" s="88"/>
      <c r="F29">
        <v>16</v>
      </c>
      <c r="G29" t="s">
        <v>465</v>
      </c>
      <c r="H29" t="s">
        <v>475</v>
      </c>
      <c r="I29" t="s">
        <v>486</v>
      </c>
      <c r="J29" s="106"/>
      <c r="K29">
        <v>16</v>
      </c>
      <c r="L29" t="s">
        <v>496</v>
      </c>
      <c r="M29" t="s">
        <v>507</v>
      </c>
      <c r="N29" s="115"/>
      <c r="O29" s="94"/>
      <c r="P29" s="116"/>
      <c r="Q29" s="95"/>
      <c r="R29" s="95"/>
      <c r="S29" t="s">
        <v>524</v>
      </c>
      <c r="T29" t="s">
        <v>525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457</v>
      </c>
      <c r="C30" t="s">
        <v>354</v>
      </c>
      <c r="D30" s="87"/>
      <c r="E30" s="101"/>
      <c r="F30">
        <v>64</v>
      </c>
      <c r="G30" t="s">
        <v>466</v>
      </c>
      <c r="H30" t="s">
        <v>476</v>
      </c>
      <c r="I30" t="s">
        <v>487</v>
      </c>
      <c r="J30" s="106"/>
      <c r="K30">
        <v>64</v>
      </c>
      <c r="L30" t="s">
        <v>497</v>
      </c>
      <c r="M30" t="s">
        <v>508</v>
      </c>
      <c r="N30" s="108"/>
      <c r="O30" s="94"/>
      <c r="P30" s="99"/>
      <c r="Q30" s="103"/>
      <c r="R30" s="109"/>
      <c r="S30" t="s">
        <v>526</v>
      </c>
      <c r="T30" t="s">
        <v>527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458</v>
      </c>
      <c r="C31" t="s">
        <v>138</v>
      </c>
      <c r="D31" s="87"/>
      <c r="E31" s="88"/>
      <c r="F31">
        <v>64</v>
      </c>
      <c r="G31" t="s">
        <v>467</v>
      </c>
      <c r="H31" t="s">
        <v>477</v>
      </c>
      <c r="I31" t="s">
        <v>488</v>
      </c>
      <c r="J31" s="106"/>
      <c r="K31">
        <v>64</v>
      </c>
      <c r="L31" t="s">
        <v>498</v>
      </c>
      <c r="M31" t="s">
        <v>509</v>
      </c>
      <c r="N31" s="115"/>
      <c r="O31" s="94"/>
      <c r="P31" s="116"/>
      <c r="Q31" s="95"/>
      <c r="R31" s="95"/>
      <c r="S31" t="s">
        <v>528</v>
      </c>
      <c r="T31" t="s">
        <v>529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234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234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15" priority="1" stopIfTrue="1">
      <formula>$U$9&gt;100%</formula>
    </cfRule>
    <cfRule type="expression" dxfId="14" priority="2">
      <formula>$U$9&lt;50%</formula>
    </cfRule>
  </conditionalFormatting>
  <conditionalFormatting sqref="V9:V11">
    <cfRule type="expression" dxfId="13" priority="3">
      <formula>$V$9&lt;50%</formula>
    </cfRule>
    <cfRule type="expression" dxfId="12" priority="4">
      <formula>$V$9&gt;50%</formula>
    </cfRule>
  </conditionalFormatting>
  <dataValidations count="4">
    <dataValidation type="list" allowBlank="1" showErrorMessage="1" sqref="Q15 G18 L18 Q18" xr:uid="{8D57B71A-22E9-4778-AF3E-4B18ABD0C0D7}">
      <formula1>$Y$12:$Y$13</formula1>
    </dataValidation>
    <dataValidation type="list" allowBlank="1" showErrorMessage="1" sqref="J14" xr:uid="{52BA0934-5628-4D96-97A0-B603B01B9200}">
      <formula1>$L$9</formula1>
    </dataValidation>
    <dataValidation type="list" allowBlank="1" showErrorMessage="1" sqref="I14" xr:uid="{45127599-E811-4C39-A1DB-DE4CE28B9EF9}">
      <formula1>$Y$14:$Y$15</formula1>
    </dataValidation>
    <dataValidation type="list" allowBlank="1" showErrorMessage="1" sqref="E19:E49" xr:uid="{A4613F0B-6436-4F0B-B729-B0EAE15FEDFA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2290-8158-4EB0-853C-89C086C66882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534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339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534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108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234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446</v>
      </c>
      <c r="C19" t="s">
        <v>447</v>
      </c>
      <c r="D19" s="87"/>
      <c r="E19" s="88"/>
      <c r="F19">
        <v>2</v>
      </c>
      <c r="G19" t="s">
        <v>459</v>
      </c>
      <c r="H19" t="s">
        <v>468</v>
      </c>
      <c r="I19" t="s">
        <v>478</v>
      </c>
      <c r="J19" s="92"/>
      <c r="K19">
        <v>2</v>
      </c>
      <c r="L19" t="s">
        <v>489</v>
      </c>
      <c r="M19" t="s">
        <v>499</v>
      </c>
      <c r="N19" s="93"/>
      <c r="O19" s="94"/>
      <c r="P19" s="86"/>
      <c r="Q19" s="95"/>
      <c r="R19" s="95"/>
      <c r="S19" t="s">
        <v>510</v>
      </c>
      <c r="T19" t="s">
        <v>511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448</v>
      </c>
      <c r="C20" t="s">
        <v>449</v>
      </c>
      <c r="D20" s="87"/>
      <c r="E20" s="101"/>
      <c r="F20">
        <v>2</v>
      </c>
      <c r="G20" t="s">
        <v>460</v>
      </c>
      <c r="H20" t="s">
        <v>469</v>
      </c>
      <c r="I20" t="s">
        <v>479</v>
      </c>
      <c r="J20" s="106"/>
      <c r="K20">
        <v>2</v>
      </c>
      <c r="L20" t="s">
        <v>490</v>
      </c>
      <c r="M20" t="s">
        <v>500</v>
      </c>
      <c r="N20" s="108"/>
      <c r="O20" s="94"/>
      <c r="P20" s="99"/>
      <c r="Q20" s="103"/>
      <c r="R20" s="109"/>
      <c r="S20" t="s">
        <v>512</v>
      </c>
      <c r="T20" t="s">
        <v>513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345</v>
      </c>
      <c r="C21" t="s">
        <v>127</v>
      </c>
      <c r="D21" s="87"/>
      <c r="E21" s="88"/>
      <c r="F21">
        <v>52</v>
      </c>
      <c r="G21" t="s">
        <v>357</v>
      </c>
      <c r="H21" t="s">
        <v>366</v>
      </c>
      <c r="I21" t="s">
        <v>480</v>
      </c>
      <c r="J21" s="106"/>
      <c r="K21">
        <v>52</v>
      </c>
      <c r="L21" t="s">
        <v>386</v>
      </c>
      <c r="M21" t="s">
        <v>501</v>
      </c>
      <c r="N21" s="115"/>
      <c r="O21" s="94"/>
      <c r="P21" s="116"/>
      <c r="Q21" s="95"/>
      <c r="R21" s="95"/>
      <c r="S21" t="s">
        <v>408</v>
      </c>
      <c r="T21" t="s">
        <v>514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450</v>
      </c>
      <c r="C22" t="s">
        <v>247</v>
      </c>
      <c r="D22" s="87"/>
      <c r="E22" s="101"/>
      <c r="F22">
        <v>2</v>
      </c>
      <c r="G22" t="s">
        <v>461</v>
      </c>
      <c r="H22" t="s">
        <v>470</v>
      </c>
      <c r="I22" t="s">
        <v>481</v>
      </c>
      <c r="J22" s="106"/>
      <c r="K22">
        <v>2</v>
      </c>
      <c r="L22" t="s">
        <v>491</v>
      </c>
      <c r="M22" t="s">
        <v>502</v>
      </c>
      <c r="N22" s="108"/>
      <c r="O22" s="94"/>
      <c r="P22" s="99"/>
      <c r="Q22" s="103"/>
      <c r="R22" s="109"/>
      <c r="S22" t="s">
        <v>515</v>
      </c>
      <c r="T22" t="s">
        <v>516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451</v>
      </c>
      <c r="C23" t="s">
        <v>348</v>
      </c>
      <c r="D23" s="87"/>
      <c r="E23" s="88"/>
      <c r="F23">
        <v>4</v>
      </c>
      <c r="G23" t="s">
        <v>462</v>
      </c>
      <c r="H23" t="s">
        <v>471</v>
      </c>
      <c r="I23" t="s">
        <v>482</v>
      </c>
      <c r="J23" s="106"/>
      <c r="K23">
        <v>4</v>
      </c>
      <c r="L23" t="s">
        <v>492</v>
      </c>
      <c r="M23" t="s">
        <v>503</v>
      </c>
      <c r="N23" s="115"/>
      <c r="O23" s="94"/>
      <c r="P23" s="116"/>
      <c r="Q23" s="95"/>
      <c r="R23" s="95"/>
      <c r="S23" t="s">
        <v>517</v>
      </c>
      <c r="T23" t="s">
        <v>518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452</v>
      </c>
      <c r="C24" t="s">
        <v>453</v>
      </c>
      <c r="D24" s="87"/>
      <c r="E24" s="101"/>
      <c r="F24">
        <v>4</v>
      </c>
      <c r="G24" t="s">
        <v>463</v>
      </c>
      <c r="H24" t="s">
        <v>472</v>
      </c>
      <c r="I24" t="s">
        <v>483</v>
      </c>
      <c r="J24" s="106"/>
      <c r="K24">
        <v>4</v>
      </c>
      <c r="L24" t="s">
        <v>493</v>
      </c>
      <c r="M24" t="s">
        <v>504</v>
      </c>
      <c r="N24" s="108"/>
      <c r="O24" s="94"/>
      <c r="P24" s="99"/>
      <c r="Q24" s="103"/>
      <c r="R24" s="109"/>
      <c r="S24" t="s">
        <v>519</v>
      </c>
      <c r="T24" t="s">
        <v>520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124</v>
      </c>
      <c r="C25" t="s">
        <v>131</v>
      </c>
      <c r="D25" s="87"/>
      <c r="E25" s="88"/>
      <c r="F25">
        <v>4</v>
      </c>
      <c r="G25" t="s">
        <v>152</v>
      </c>
      <c r="H25" t="s">
        <v>473</v>
      </c>
      <c r="I25" t="s">
        <v>484</v>
      </c>
      <c r="J25" s="106"/>
      <c r="K25">
        <v>4</v>
      </c>
      <c r="L25" t="s">
        <v>494</v>
      </c>
      <c r="M25" t="s">
        <v>505</v>
      </c>
      <c r="N25" s="115"/>
      <c r="O25" s="94"/>
      <c r="P25" s="116"/>
      <c r="Q25" s="95"/>
      <c r="R25" s="95"/>
      <c r="S25" t="s">
        <v>222</v>
      </c>
      <c r="T25" t="s">
        <v>521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454</v>
      </c>
      <c r="C26" t="s">
        <v>132</v>
      </c>
      <c r="D26" s="87"/>
      <c r="E26" s="101"/>
      <c r="F26">
        <v>4</v>
      </c>
      <c r="G26" t="s">
        <v>464</v>
      </c>
      <c r="H26" t="s">
        <v>474</v>
      </c>
      <c r="I26" t="s">
        <v>485</v>
      </c>
      <c r="J26" s="106"/>
      <c r="K26">
        <v>4</v>
      </c>
      <c r="L26" t="s">
        <v>495</v>
      </c>
      <c r="M26" t="s">
        <v>506</v>
      </c>
      <c r="N26" s="108"/>
      <c r="O26" s="94"/>
      <c r="P26" s="99"/>
      <c r="Q26" s="103"/>
      <c r="R26" s="109"/>
      <c r="S26" t="s">
        <v>522</v>
      </c>
      <c r="T26" t="s">
        <v>523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455</v>
      </c>
      <c r="C27" t="s">
        <v>133</v>
      </c>
      <c r="D27" s="87"/>
      <c r="E27" s="88"/>
      <c r="F27">
        <v>8</v>
      </c>
      <c r="G27" t="s">
        <v>361</v>
      </c>
      <c r="H27" t="s">
        <v>370</v>
      </c>
      <c r="I27" t="s">
        <v>380</v>
      </c>
      <c r="J27" s="106"/>
      <c r="K27">
        <v>8</v>
      </c>
      <c r="L27" t="s">
        <v>390</v>
      </c>
      <c r="M27" t="s">
        <v>400</v>
      </c>
      <c r="N27" s="115"/>
      <c r="O27" s="94"/>
      <c r="P27" s="116"/>
      <c r="Q27" s="95"/>
      <c r="R27" s="95"/>
      <c r="S27" t="s">
        <v>417</v>
      </c>
      <c r="T27" t="s">
        <v>418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120</v>
      </c>
      <c r="C28" t="s">
        <v>134</v>
      </c>
      <c r="D28" s="87"/>
      <c r="E28" s="101"/>
      <c r="F28">
        <v>8</v>
      </c>
      <c r="G28" t="s">
        <v>148</v>
      </c>
      <c r="H28" t="s">
        <v>269</v>
      </c>
      <c r="I28" t="s">
        <v>282</v>
      </c>
      <c r="J28" s="106"/>
      <c r="K28">
        <v>8</v>
      </c>
      <c r="L28" t="s">
        <v>295</v>
      </c>
      <c r="M28" t="s">
        <v>228</v>
      </c>
      <c r="N28" s="108"/>
      <c r="O28" s="94"/>
      <c r="P28" s="99"/>
      <c r="Q28" s="103"/>
      <c r="R28" s="109"/>
      <c r="S28" t="s">
        <v>218</v>
      </c>
      <c r="T28" t="s">
        <v>232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456</v>
      </c>
      <c r="C29" t="s">
        <v>352</v>
      </c>
      <c r="D29" s="87"/>
      <c r="E29" s="88"/>
      <c r="F29">
        <v>16</v>
      </c>
      <c r="G29" t="s">
        <v>465</v>
      </c>
      <c r="H29" t="s">
        <v>475</v>
      </c>
      <c r="I29" t="s">
        <v>486</v>
      </c>
      <c r="J29" s="106"/>
      <c r="K29">
        <v>16</v>
      </c>
      <c r="L29" t="s">
        <v>496</v>
      </c>
      <c r="M29" t="s">
        <v>507</v>
      </c>
      <c r="N29" s="115"/>
      <c r="O29" s="94"/>
      <c r="P29" s="116"/>
      <c r="Q29" s="95"/>
      <c r="R29" s="95"/>
      <c r="S29" t="s">
        <v>524</v>
      </c>
      <c r="T29" t="s">
        <v>525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457</v>
      </c>
      <c r="C30" t="s">
        <v>354</v>
      </c>
      <c r="D30" s="87"/>
      <c r="E30" s="101"/>
      <c r="F30">
        <v>64</v>
      </c>
      <c r="G30" t="s">
        <v>466</v>
      </c>
      <c r="H30" t="s">
        <v>476</v>
      </c>
      <c r="I30" t="s">
        <v>487</v>
      </c>
      <c r="J30" s="106"/>
      <c r="K30">
        <v>64</v>
      </c>
      <c r="L30" t="s">
        <v>497</v>
      </c>
      <c r="M30" t="s">
        <v>508</v>
      </c>
      <c r="N30" s="108"/>
      <c r="O30" s="94"/>
      <c r="P30" s="99"/>
      <c r="Q30" s="103"/>
      <c r="R30" s="109"/>
      <c r="S30" t="s">
        <v>526</v>
      </c>
      <c r="T30" t="s">
        <v>527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458</v>
      </c>
      <c r="C31" t="s">
        <v>138</v>
      </c>
      <c r="D31" s="87"/>
      <c r="E31" s="88"/>
      <c r="F31">
        <v>64</v>
      </c>
      <c r="G31" t="s">
        <v>467</v>
      </c>
      <c r="H31" t="s">
        <v>477</v>
      </c>
      <c r="I31" t="s">
        <v>488</v>
      </c>
      <c r="J31" s="106"/>
      <c r="K31">
        <v>64</v>
      </c>
      <c r="L31" t="s">
        <v>498</v>
      </c>
      <c r="M31" t="s">
        <v>509</v>
      </c>
      <c r="N31" s="115"/>
      <c r="O31" s="94"/>
      <c r="P31" s="116"/>
      <c r="Q31" s="95"/>
      <c r="R31" s="95"/>
      <c r="S31" t="s">
        <v>528</v>
      </c>
      <c r="T31" t="s">
        <v>529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234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234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11" priority="1" stopIfTrue="1">
      <formula>$U$9&gt;100%</formula>
    </cfRule>
    <cfRule type="expression" dxfId="10" priority="2">
      <formula>$U$9&lt;50%</formula>
    </cfRule>
  </conditionalFormatting>
  <conditionalFormatting sqref="V9:V11">
    <cfRule type="expression" dxfId="9" priority="3">
      <formula>$V$9&lt;50%</formula>
    </cfRule>
    <cfRule type="expression" dxfId="8" priority="4">
      <formula>$V$9&gt;50%</formula>
    </cfRule>
  </conditionalFormatting>
  <dataValidations count="4">
    <dataValidation type="list" allowBlank="1" showErrorMessage="1" sqref="E19:E49" xr:uid="{7BFFA22D-3855-4126-99E9-B08DC4027642}">
      <formula1>$Z$19:$Z$30</formula1>
    </dataValidation>
    <dataValidation type="list" allowBlank="1" showErrorMessage="1" sqref="I14" xr:uid="{38AC08EB-DECF-406D-B229-E5C1105C4DDB}">
      <formula1>$Y$14:$Y$15</formula1>
    </dataValidation>
    <dataValidation type="list" allowBlank="1" showErrorMessage="1" sqref="J14" xr:uid="{33F8D37B-9EF9-4A2F-A6F5-88076F5B390F}">
      <formula1>$L$9</formula1>
    </dataValidation>
    <dataValidation type="list" allowBlank="1" showErrorMessage="1" sqref="Q15 G18 L18 Q18" xr:uid="{656EB1FC-0980-4181-9F39-CB3BE2FE2820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3AA-F8F4-4879-994D-4DF8EF4EEBBF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535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339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535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108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234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446</v>
      </c>
      <c r="C19" t="s">
        <v>447</v>
      </c>
      <c r="D19" s="87"/>
      <c r="E19" s="88"/>
      <c r="F19">
        <v>2</v>
      </c>
      <c r="G19" t="s">
        <v>459</v>
      </c>
      <c r="H19" t="s">
        <v>468</v>
      </c>
      <c r="I19" t="s">
        <v>478</v>
      </c>
      <c r="J19" s="92"/>
      <c r="K19">
        <v>2</v>
      </c>
      <c r="L19" t="s">
        <v>489</v>
      </c>
      <c r="M19" t="s">
        <v>499</v>
      </c>
      <c r="N19" s="93"/>
      <c r="O19" s="94"/>
      <c r="P19" s="86"/>
      <c r="Q19" s="95"/>
      <c r="R19" s="95"/>
      <c r="S19" t="s">
        <v>510</v>
      </c>
      <c r="T19" t="s">
        <v>511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448</v>
      </c>
      <c r="C20" t="s">
        <v>449</v>
      </c>
      <c r="D20" s="87"/>
      <c r="E20" s="101"/>
      <c r="F20">
        <v>2</v>
      </c>
      <c r="G20" t="s">
        <v>460</v>
      </c>
      <c r="H20" t="s">
        <v>469</v>
      </c>
      <c r="I20" t="s">
        <v>479</v>
      </c>
      <c r="J20" s="106"/>
      <c r="K20">
        <v>2</v>
      </c>
      <c r="L20" t="s">
        <v>490</v>
      </c>
      <c r="M20" t="s">
        <v>500</v>
      </c>
      <c r="N20" s="108"/>
      <c r="O20" s="94"/>
      <c r="P20" s="99"/>
      <c r="Q20" s="103"/>
      <c r="R20" s="109"/>
      <c r="S20" t="s">
        <v>512</v>
      </c>
      <c r="T20" t="s">
        <v>513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345</v>
      </c>
      <c r="C21" t="s">
        <v>127</v>
      </c>
      <c r="D21" s="87"/>
      <c r="E21" s="88"/>
      <c r="F21">
        <v>52</v>
      </c>
      <c r="G21" t="s">
        <v>357</v>
      </c>
      <c r="H21" t="s">
        <v>366</v>
      </c>
      <c r="I21" t="s">
        <v>480</v>
      </c>
      <c r="J21" s="106"/>
      <c r="K21">
        <v>52</v>
      </c>
      <c r="L21" t="s">
        <v>386</v>
      </c>
      <c r="M21" t="s">
        <v>501</v>
      </c>
      <c r="N21" s="115"/>
      <c r="O21" s="94"/>
      <c r="P21" s="116"/>
      <c r="Q21" s="95"/>
      <c r="R21" s="95"/>
      <c r="S21" t="s">
        <v>408</v>
      </c>
      <c r="T21" t="s">
        <v>514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450</v>
      </c>
      <c r="C22" t="s">
        <v>247</v>
      </c>
      <c r="D22" s="87"/>
      <c r="E22" s="101"/>
      <c r="F22">
        <v>2</v>
      </c>
      <c r="G22" t="s">
        <v>461</v>
      </c>
      <c r="H22" t="s">
        <v>470</v>
      </c>
      <c r="I22" t="s">
        <v>481</v>
      </c>
      <c r="J22" s="106"/>
      <c r="K22">
        <v>2</v>
      </c>
      <c r="L22" t="s">
        <v>491</v>
      </c>
      <c r="M22" t="s">
        <v>502</v>
      </c>
      <c r="N22" s="108"/>
      <c r="O22" s="94"/>
      <c r="P22" s="99"/>
      <c r="Q22" s="103"/>
      <c r="R22" s="109"/>
      <c r="S22" t="s">
        <v>515</v>
      </c>
      <c r="T22" t="s">
        <v>516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451</v>
      </c>
      <c r="C23" t="s">
        <v>348</v>
      </c>
      <c r="D23" s="87"/>
      <c r="E23" s="88"/>
      <c r="F23">
        <v>4</v>
      </c>
      <c r="G23" t="s">
        <v>462</v>
      </c>
      <c r="H23" t="s">
        <v>471</v>
      </c>
      <c r="I23" t="s">
        <v>482</v>
      </c>
      <c r="J23" s="106"/>
      <c r="K23">
        <v>4</v>
      </c>
      <c r="L23" t="s">
        <v>492</v>
      </c>
      <c r="M23" t="s">
        <v>503</v>
      </c>
      <c r="N23" s="115"/>
      <c r="O23" s="94"/>
      <c r="P23" s="116"/>
      <c r="Q23" s="95"/>
      <c r="R23" s="95"/>
      <c r="S23" t="s">
        <v>517</v>
      </c>
      <c r="T23" t="s">
        <v>518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452</v>
      </c>
      <c r="C24" t="s">
        <v>453</v>
      </c>
      <c r="D24" s="87"/>
      <c r="E24" s="101"/>
      <c r="F24">
        <v>4</v>
      </c>
      <c r="G24" t="s">
        <v>463</v>
      </c>
      <c r="H24" t="s">
        <v>472</v>
      </c>
      <c r="I24" t="s">
        <v>483</v>
      </c>
      <c r="J24" s="106"/>
      <c r="K24">
        <v>4</v>
      </c>
      <c r="L24" t="s">
        <v>493</v>
      </c>
      <c r="M24" t="s">
        <v>504</v>
      </c>
      <c r="N24" s="108"/>
      <c r="O24" s="94"/>
      <c r="P24" s="99"/>
      <c r="Q24" s="103"/>
      <c r="R24" s="109"/>
      <c r="S24" t="s">
        <v>519</v>
      </c>
      <c r="T24" t="s">
        <v>520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124</v>
      </c>
      <c r="C25" t="s">
        <v>131</v>
      </c>
      <c r="D25" s="87"/>
      <c r="E25" s="88"/>
      <c r="F25">
        <v>4</v>
      </c>
      <c r="G25" t="s">
        <v>152</v>
      </c>
      <c r="H25" t="s">
        <v>473</v>
      </c>
      <c r="I25" t="s">
        <v>484</v>
      </c>
      <c r="J25" s="106"/>
      <c r="K25">
        <v>4</v>
      </c>
      <c r="L25" t="s">
        <v>494</v>
      </c>
      <c r="M25" t="s">
        <v>505</v>
      </c>
      <c r="N25" s="115"/>
      <c r="O25" s="94"/>
      <c r="P25" s="116"/>
      <c r="Q25" s="95"/>
      <c r="R25" s="95"/>
      <c r="S25" t="s">
        <v>222</v>
      </c>
      <c r="T25" t="s">
        <v>521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454</v>
      </c>
      <c r="C26" t="s">
        <v>132</v>
      </c>
      <c r="D26" s="87"/>
      <c r="E26" s="101"/>
      <c r="F26">
        <v>4</v>
      </c>
      <c r="G26" t="s">
        <v>464</v>
      </c>
      <c r="H26" t="s">
        <v>474</v>
      </c>
      <c r="I26" t="s">
        <v>485</v>
      </c>
      <c r="J26" s="106"/>
      <c r="K26">
        <v>4</v>
      </c>
      <c r="L26" t="s">
        <v>495</v>
      </c>
      <c r="M26" t="s">
        <v>506</v>
      </c>
      <c r="N26" s="108"/>
      <c r="O26" s="94"/>
      <c r="P26" s="99"/>
      <c r="Q26" s="103"/>
      <c r="R26" s="109"/>
      <c r="S26" t="s">
        <v>522</v>
      </c>
      <c r="T26" t="s">
        <v>523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455</v>
      </c>
      <c r="C27" t="s">
        <v>133</v>
      </c>
      <c r="D27" s="87"/>
      <c r="E27" s="88"/>
      <c r="F27">
        <v>8</v>
      </c>
      <c r="G27" t="s">
        <v>361</v>
      </c>
      <c r="H27" t="s">
        <v>370</v>
      </c>
      <c r="I27" t="s">
        <v>380</v>
      </c>
      <c r="J27" s="106"/>
      <c r="K27">
        <v>8</v>
      </c>
      <c r="L27" t="s">
        <v>390</v>
      </c>
      <c r="M27" t="s">
        <v>400</v>
      </c>
      <c r="N27" s="115"/>
      <c r="O27" s="94"/>
      <c r="P27" s="116"/>
      <c r="Q27" s="95"/>
      <c r="R27" s="95"/>
      <c r="S27" t="s">
        <v>417</v>
      </c>
      <c r="T27" t="s">
        <v>418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120</v>
      </c>
      <c r="C28" t="s">
        <v>134</v>
      </c>
      <c r="D28" s="87"/>
      <c r="E28" s="101"/>
      <c r="F28">
        <v>8</v>
      </c>
      <c r="G28" t="s">
        <v>148</v>
      </c>
      <c r="H28" t="s">
        <v>269</v>
      </c>
      <c r="I28" t="s">
        <v>282</v>
      </c>
      <c r="J28" s="106"/>
      <c r="K28">
        <v>8</v>
      </c>
      <c r="L28" t="s">
        <v>295</v>
      </c>
      <c r="M28" t="s">
        <v>228</v>
      </c>
      <c r="N28" s="108"/>
      <c r="O28" s="94"/>
      <c r="P28" s="99"/>
      <c r="Q28" s="103"/>
      <c r="R28" s="109"/>
      <c r="S28" t="s">
        <v>218</v>
      </c>
      <c r="T28" t="s">
        <v>232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456</v>
      </c>
      <c r="C29" t="s">
        <v>352</v>
      </c>
      <c r="D29" s="87"/>
      <c r="E29" s="88"/>
      <c r="F29">
        <v>16</v>
      </c>
      <c r="G29" t="s">
        <v>465</v>
      </c>
      <c r="H29" t="s">
        <v>475</v>
      </c>
      <c r="I29" t="s">
        <v>486</v>
      </c>
      <c r="J29" s="106"/>
      <c r="K29">
        <v>16</v>
      </c>
      <c r="L29" t="s">
        <v>496</v>
      </c>
      <c r="M29" t="s">
        <v>507</v>
      </c>
      <c r="N29" s="115"/>
      <c r="O29" s="94"/>
      <c r="P29" s="116"/>
      <c r="Q29" s="95"/>
      <c r="R29" s="95"/>
      <c r="S29" t="s">
        <v>524</v>
      </c>
      <c r="T29" t="s">
        <v>525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457</v>
      </c>
      <c r="C30" t="s">
        <v>354</v>
      </c>
      <c r="D30" s="87"/>
      <c r="E30" s="101"/>
      <c r="F30">
        <v>64</v>
      </c>
      <c r="G30" t="s">
        <v>466</v>
      </c>
      <c r="H30" t="s">
        <v>476</v>
      </c>
      <c r="I30" t="s">
        <v>487</v>
      </c>
      <c r="J30" s="106"/>
      <c r="K30">
        <v>64</v>
      </c>
      <c r="L30" t="s">
        <v>497</v>
      </c>
      <c r="M30" t="s">
        <v>508</v>
      </c>
      <c r="N30" s="108"/>
      <c r="O30" s="94"/>
      <c r="P30" s="99"/>
      <c r="Q30" s="103"/>
      <c r="R30" s="109"/>
      <c r="S30" t="s">
        <v>526</v>
      </c>
      <c r="T30" t="s">
        <v>527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458</v>
      </c>
      <c r="C31" t="s">
        <v>138</v>
      </c>
      <c r="D31" s="87"/>
      <c r="E31" s="88"/>
      <c r="F31">
        <v>64</v>
      </c>
      <c r="G31" t="s">
        <v>467</v>
      </c>
      <c r="H31" t="s">
        <v>477</v>
      </c>
      <c r="I31" t="s">
        <v>488</v>
      </c>
      <c r="J31" s="106"/>
      <c r="K31">
        <v>64</v>
      </c>
      <c r="L31" t="s">
        <v>498</v>
      </c>
      <c r="M31" t="s">
        <v>509</v>
      </c>
      <c r="N31" s="115"/>
      <c r="O31" s="94"/>
      <c r="P31" s="116"/>
      <c r="Q31" s="95"/>
      <c r="R31" s="95"/>
      <c r="S31" t="s">
        <v>528</v>
      </c>
      <c r="T31" t="s">
        <v>529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234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234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Q15 G18 L18 Q18" xr:uid="{C1C781F5-57AD-4919-A31C-DE819B950DB4}">
      <formula1>$Y$12:$Y$13</formula1>
    </dataValidation>
    <dataValidation type="list" allowBlank="1" showErrorMessage="1" sqref="J14" xr:uid="{91D76018-F03C-4376-855D-69DC474B27F4}">
      <formula1>$L$9</formula1>
    </dataValidation>
    <dataValidation type="list" allowBlank="1" showErrorMessage="1" sqref="I14" xr:uid="{B0F5276C-1A86-4123-A3A7-F1F677EE08A3}">
      <formula1>$Y$14:$Y$15</formula1>
    </dataValidation>
    <dataValidation type="list" allowBlank="1" showErrorMessage="1" sqref="E19:E49" xr:uid="{48B2CC2A-08B6-4946-AF1C-A215153C789F}">
      <formula1>$Z$19:$Z$30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15DF-772F-461C-8E51-692BC691340C}">
  <sheetPr>
    <pageSetUpPr fitToPage="1"/>
  </sheetPr>
  <dimension ref="B1:Z50"/>
  <sheetViews>
    <sheetView zoomScale="55" zoomScaleNormal="55" workbookViewId="0">
      <pane ySplit="18" topLeftCell="A19" activePane="bottomLeft" state="frozen"/>
      <selection pane="bottomLeft" activeCell="G4" sqref="G4:H4"/>
    </sheetView>
  </sheetViews>
  <sheetFormatPr defaultColWidth="12.5546875" defaultRowHeight="15" customHeight="1" x14ac:dyDescent="0.3"/>
  <cols>
    <col min="1" max="1" width="0.88671875" customWidth="1"/>
    <col min="2" max="2" width="25.6640625" customWidth="1"/>
    <col min="3" max="3" width="43.33203125" customWidth="1"/>
    <col min="4" max="4" width="0.88671875" customWidth="1"/>
    <col min="5" max="6" width="9.6640625" customWidth="1"/>
    <col min="7" max="9" width="18.6640625" customWidth="1"/>
    <col min="10" max="10" width="0.88671875" customWidth="1"/>
    <col min="11" max="11" width="9.5546875" customWidth="1"/>
    <col min="12" max="13" width="18.6640625" customWidth="1"/>
    <col min="14" max="14" width="13.6640625" customWidth="1"/>
    <col min="15" max="15" width="0.88671875" customWidth="1"/>
    <col min="16" max="16" width="17.88671875" customWidth="1"/>
    <col min="17" max="20" width="18.6640625" customWidth="1"/>
    <col min="21" max="21" width="15" customWidth="1"/>
    <col min="22" max="22" width="14.6640625" customWidth="1"/>
    <col min="23" max="23" width="13.44140625" hidden="1" customWidth="1"/>
    <col min="24" max="24" width="0.88671875" customWidth="1"/>
    <col min="25" max="26" width="9.109375" hidden="1" customWidth="1"/>
    <col min="27" max="27" width="9.109375" customWidth="1"/>
    <col min="28" max="28" width="10.5546875" customWidth="1"/>
  </cols>
  <sheetData>
    <row r="1" spans="2:25" ht="23.25" customHeight="1" x14ac:dyDescent="0.3">
      <c r="B1" s="172" t="s">
        <v>29</v>
      </c>
      <c r="C1" s="173"/>
      <c r="D1" s="174" t="s">
        <v>30</v>
      </c>
      <c r="E1" s="175"/>
      <c r="F1" s="175"/>
      <c r="G1" s="175"/>
      <c r="H1" s="176"/>
      <c r="I1" s="172" t="s">
        <v>31</v>
      </c>
      <c r="J1" s="177"/>
      <c r="K1" s="177"/>
      <c r="L1" s="178"/>
      <c r="M1" s="179" t="s">
        <v>32</v>
      </c>
      <c r="N1" s="180"/>
      <c r="O1" s="181"/>
      <c r="P1" s="182" t="str">
        <f>L18</f>
        <v>CAD $</v>
      </c>
      <c r="Q1" s="177"/>
      <c r="R1" s="178"/>
      <c r="S1" s="172" t="s">
        <v>33</v>
      </c>
      <c r="T1" s="177"/>
      <c r="U1" s="177"/>
      <c r="V1" s="177"/>
      <c r="W1" s="178"/>
      <c r="X1" s="6"/>
      <c r="Y1" s="7"/>
    </row>
    <row r="2" spans="2:25" ht="15" customHeight="1" x14ac:dyDescent="0.3">
      <c r="B2" s="9" t="s">
        <v>34</v>
      </c>
      <c r="C2" s="10"/>
      <c r="D2" s="169" t="s">
        <v>35</v>
      </c>
      <c r="E2" s="150"/>
      <c r="F2" s="151"/>
      <c r="G2" s="170" t="s">
        <v>536</v>
      </c>
      <c r="H2" s="151"/>
      <c r="I2" s="171" t="s">
        <v>36</v>
      </c>
      <c r="J2" s="147"/>
      <c r="K2" s="148"/>
      <c r="L2" s="12"/>
      <c r="M2" s="158" t="s">
        <v>37</v>
      </c>
      <c r="N2" s="148"/>
      <c r="O2" s="13"/>
      <c r="P2" s="146">
        <f>I50</f>
        <v>0</v>
      </c>
      <c r="Q2" s="147"/>
      <c r="R2" s="148"/>
      <c r="S2" s="158" t="s">
        <v>38</v>
      </c>
      <c r="T2" s="148"/>
      <c r="U2" s="159"/>
      <c r="V2" s="148"/>
      <c r="W2" s="14"/>
      <c r="X2" s="15"/>
      <c r="Y2" s="7"/>
    </row>
    <row r="3" spans="2:25" ht="15" customHeight="1" x14ac:dyDescent="0.3">
      <c r="B3" s="16" t="s">
        <v>39</v>
      </c>
      <c r="C3" s="11"/>
      <c r="D3" s="169" t="s">
        <v>40</v>
      </c>
      <c r="E3" s="150"/>
      <c r="F3" s="151"/>
      <c r="G3" s="170"/>
      <c r="H3" s="151"/>
      <c r="I3" s="169" t="s">
        <v>41</v>
      </c>
      <c r="J3" s="150"/>
      <c r="K3" s="151"/>
      <c r="L3" s="17"/>
      <c r="M3" s="160" t="s">
        <v>42</v>
      </c>
      <c r="N3" s="151"/>
      <c r="O3" s="13"/>
      <c r="P3" s="149">
        <f>M50</f>
        <v>0</v>
      </c>
      <c r="Q3" s="150"/>
      <c r="R3" s="151"/>
      <c r="S3" s="160" t="s">
        <v>43</v>
      </c>
      <c r="T3" s="151"/>
      <c r="U3" s="161"/>
      <c r="V3" s="151"/>
      <c r="W3" s="18"/>
      <c r="X3" s="5"/>
      <c r="Y3" s="19"/>
    </row>
    <row r="4" spans="2:25" ht="15" customHeight="1" x14ac:dyDescent="0.3">
      <c r="B4" s="20" t="s">
        <v>44</v>
      </c>
      <c r="C4" s="11"/>
      <c r="D4" s="169" t="s">
        <v>45</v>
      </c>
      <c r="E4" s="150"/>
      <c r="F4" s="151"/>
      <c r="G4" s="170" t="s">
        <v>537</v>
      </c>
      <c r="H4" s="151"/>
      <c r="I4" s="169" t="s">
        <v>46</v>
      </c>
      <c r="J4" s="150"/>
      <c r="K4" s="151"/>
      <c r="L4" s="17"/>
      <c r="M4" s="160" t="s">
        <v>47</v>
      </c>
      <c r="N4" s="151"/>
      <c r="O4" s="13"/>
      <c r="P4" s="149">
        <f>P2-P3</f>
        <v>0</v>
      </c>
      <c r="Q4" s="150"/>
      <c r="R4" s="151"/>
      <c r="S4" s="160" t="s">
        <v>48</v>
      </c>
      <c r="T4" s="151"/>
      <c r="U4" s="161"/>
      <c r="V4" s="151"/>
      <c r="W4" s="18"/>
      <c r="X4" s="5"/>
      <c r="Y4" s="19"/>
    </row>
    <row r="5" spans="2:25" ht="15" customHeight="1" thickBot="1" x14ac:dyDescent="0.35">
      <c r="B5" s="20" t="s">
        <v>49</v>
      </c>
      <c r="C5" s="11"/>
      <c r="D5" s="169" t="s">
        <v>50</v>
      </c>
      <c r="E5" s="150"/>
      <c r="F5" s="151"/>
      <c r="G5" s="170" t="s">
        <v>339</v>
      </c>
      <c r="H5" s="151"/>
      <c r="I5" s="169" t="s">
        <v>51</v>
      </c>
      <c r="J5" s="150"/>
      <c r="K5" s="151"/>
      <c r="L5" s="17"/>
      <c r="M5" s="166" t="s">
        <v>52</v>
      </c>
      <c r="N5" s="154"/>
      <c r="O5" s="13"/>
      <c r="P5" s="152" t="str">
        <f>IFERROR((P2-P3)/P2,"")</f>
        <v/>
      </c>
      <c r="Q5" s="153"/>
      <c r="R5" s="154"/>
      <c r="S5" s="160" t="s">
        <v>53</v>
      </c>
      <c r="T5" s="151"/>
      <c r="U5" s="161"/>
      <c r="V5" s="151"/>
      <c r="W5" s="18"/>
      <c r="X5" s="5"/>
      <c r="Y5" s="19"/>
    </row>
    <row r="6" spans="2:25" ht="15" customHeight="1" x14ac:dyDescent="0.3">
      <c r="B6" s="20" t="s">
        <v>54</v>
      </c>
      <c r="C6" s="21"/>
      <c r="D6" s="169" t="s">
        <v>55</v>
      </c>
      <c r="E6" s="150"/>
      <c r="F6" s="151"/>
      <c r="G6" s="170" t="s">
        <v>536</v>
      </c>
      <c r="H6" s="151"/>
      <c r="I6" s="169" t="s">
        <v>56</v>
      </c>
      <c r="J6" s="150"/>
      <c r="K6" s="151"/>
      <c r="L6" s="17"/>
      <c r="M6" s="167" t="s">
        <v>57</v>
      </c>
      <c r="N6" s="157"/>
      <c r="O6" s="13"/>
      <c r="P6" s="155">
        <f>T50</f>
        <v>0</v>
      </c>
      <c r="Q6" s="156"/>
      <c r="R6" s="157"/>
      <c r="S6" s="160" t="s">
        <v>58</v>
      </c>
      <c r="T6" s="151"/>
      <c r="U6" s="161"/>
      <c r="V6" s="151"/>
      <c r="W6" s="22"/>
      <c r="X6" s="23"/>
      <c r="Y6" s="24"/>
    </row>
    <row r="7" spans="2:25" ht="15" customHeight="1" x14ac:dyDescent="0.3">
      <c r="B7" s="20" t="s">
        <v>59</v>
      </c>
      <c r="C7" s="11"/>
      <c r="D7" s="169" t="s">
        <v>60</v>
      </c>
      <c r="E7" s="150"/>
      <c r="F7" s="151"/>
      <c r="G7" s="25"/>
      <c r="H7" s="25"/>
      <c r="I7" s="169" t="s">
        <v>61</v>
      </c>
      <c r="J7" s="150"/>
      <c r="K7" s="151"/>
      <c r="L7" s="17"/>
      <c r="M7" s="168" t="s">
        <v>62</v>
      </c>
      <c r="N7" s="151"/>
      <c r="O7" s="13"/>
      <c r="P7" s="165">
        <f>R50</f>
        <v>0</v>
      </c>
      <c r="Q7" s="150"/>
      <c r="R7" s="151"/>
      <c r="S7" s="162" t="s">
        <v>63</v>
      </c>
      <c r="T7" s="163"/>
      <c r="U7" s="164"/>
      <c r="V7" s="163"/>
      <c r="W7" s="22"/>
      <c r="X7" s="26"/>
      <c r="Y7" s="8"/>
    </row>
    <row r="8" spans="2:25" ht="15" customHeight="1" x14ac:dyDescent="0.3">
      <c r="B8" s="27"/>
      <c r="C8" s="28"/>
      <c r="D8" s="169" t="s">
        <v>64</v>
      </c>
      <c r="E8" s="150"/>
      <c r="F8" s="151"/>
      <c r="G8" s="170"/>
      <c r="H8" s="151"/>
      <c r="I8" s="169" t="s">
        <v>65</v>
      </c>
      <c r="J8" s="150"/>
      <c r="K8" s="151"/>
      <c r="L8" s="17"/>
      <c r="M8" s="168" t="s">
        <v>66</v>
      </c>
      <c r="N8" s="151"/>
      <c r="O8" s="13"/>
      <c r="P8" s="165">
        <f>IF(P1=Q15,R15,IF(Q15="CAD $",R15*E16,IF(Q15="USD $",R15*F16,0)))</f>
        <v>0</v>
      </c>
      <c r="Q8" s="150"/>
      <c r="R8" s="151"/>
      <c r="S8" s="29" t="s">
        <v>67</v>
      </c>
      <c r="T8" s="30" t="s">
        <v>68</v>
      </c>
      <c r="U8" s="30" t="s">
        <v>69</v>
      </c>
      <c r="V8" s="31" t="s">
        <v>70</v>
      </c>
      <c r="W8" s="32"/>
      <c r="X8" s="33"/>
      <c r="Y8" s="8"/>
    </row>
    <row r="9" spans="2:25" ht="15" customHeight="1" x14ac:dyDescent="0.3">
      <c r="B9" s="34"/>
      <c r="C9" s="28"/>
      <c r="D9" s="169" t="s">
        <v>71</v>
      </c>
      <c r="E9" s="150"/>
      <c r="F9" s="151"/>
      <c r="G9" s="170"/>
      <c r="H9" s="151"/>
      <c r="I9" s="35"/>
      <c r="J9" s="36"/>
      <c r="K9" s="36"/>
      <c r="L9" s="37"/>
      <c r="M9" s="168" t="s">
        <v>72</v>
      </c>
      <c r="N9" s="151"/>
      <c r="O9" s="13"/>
      <c r="P9" s="205">
        <f>V15</f>
        <v>0</v>
      </c>
      <c r="Q9" s="150"/>
      <c r="R9" s="151"/>
      <c r="S9" s="198">
        <f>P7+P8+P9</f>
        <v>0</v>
      </c>
      <c r="T9" s="198">
        <f>P3-S9</f>
        <v>0</v>
      </c>
      <c r="U9" s="201">
        <f>IFERROR(((P3-S9)/S9),0)</f>
        <v>0</v>
      </c>
      <c r="V9" s="201">
        <f>IFERROR(T9/P3,0)</f>
        <v>0</v>
      </c>
      <c r="W9" s="202"/>
      <c r="X9" s="33"/>
      <c r="Y9" s="8"/>
    </row>
    <row r="10" spans="2:25" ht="15" customHeight="1" x14ac:dyDescent="0.3">
      <c r="B10" s="34"/>
      <c r="C10" s="28"/>
      <c r="D10" s="169" t="s">
        <v>73</v>
      </c>
      <c r="E10" s="150"/>
      <c r="F10" s="151"/>
      <c r="G10" s="170" t="s">
        <v>108</v>
      </c>
      <c r="H10" s="151"/>
      <c r="I10" s="35"/>
      <c r="J10" s="36"/>
      <c r="K10" s="36"/>
      <c r="L10" s="37"/>
      <c r="M10" s="168"/>
      <c r="N10" s="151"/>
      <c r="O10" s="13"/>
      <c r="P10" s="205"/>
      <c r="Q10" s="150"/>
      <c r="R10" s="151"/>
      <c r="S10" s="199"/>
      <c r="T10" s="199"/>
      <c r="U10" s="199"/>
      <c r="V10" s="199"/>
      <c r="W10" s="203"/>
      <c r="X10" s="33"/>
      <c r="Y10" s="8"/>
    </row>
    <row r="11" spans="2:25" ht="15" customHeight="1" thickBot="1" x14ac:dyDescent="0.35">
      <c r="B11" s="34"/>
      <c r="C11" s="34"/>
      <c r="D11" s="38"/>
      <c r="E11" s="38"/>
      <c r="F11" s="38"/>
      <c r="G11" s="39"/>
      <c r="H11" s="39"/>
      <c r="I11" s="40"/>
      <c r="J11" s="36"/>
      <c r="K11" s="36"/>
      <c r="L11" s="37"/>
      <c r="M11" s="160" t="s">
        <v>74</v>
      </c>
      <c r="N11" s="151"/>
      <c r="O11" s="13"/>
      <c r="P11" s="206">
        <f>F50</f>
        <v>234</v>
      </c>
      <c r="Q11" s="150"/>
      <c r="R11" s="151"/>
      <c r="S11" s="200"/>
      <c r="T11" s="200"/>
      <c r="U11" s="200"/>
      <c r="V11" s="200"/>
      <c r="W11" s="204"/>
      <c r="X11" s="33"/>
      <c r="Y11" s="8"/>
    </row>
    <row r="12" spans="2:25" ht="15" customHeight="1" x14ac:dyDescent="0.3">
      <c r="B12" s="214"/>
      <c r="C12" s="215"/>
      <c r="D12" s="41"/>
      <c r="E12" s="220" t="s">
        <v>75</v>
      </c>
      <c r="F12" s="185"/>
      <c r="G12" s="239" t="s">
        <v>37</v>
      </c>
      <c r="H12" s="184"/>
      <c r="I12" s="224"/>
      <c r="J12" s="42"/>
      <c r="K12" s="223" t="s">
        <v>76</v>
      </c>
      <c r="L12" s="184"/>
      <c r="M12" s="184"/>
      <c r="N12" s="224"/>
      <c r="O12" s="13"/>
      <c r="P12" s="183" t="s">
        <v>77</v>
      </c>
      <c r="Q12" s="184"/>
      <c r="R12" s="184"/>
      <c r="S12" s="184"/>
      <c r="T12" s="184"/>
      <c r="U12" s="184"/>
      <c r="V12" s="185"/>
      <c r="W12" s="43"/>
      <c r="X12" s="44"/>
      <c r="Y12" s="8" t="s">
        <v>78</v>
      </c>
    </row>
    <row r="13" spans="2:25" ht="15" customHeight="1" x14ac:dyDescent="0.3">
      <c r="B13" s="216"/>
      <c r="C13" s="217"/>
      <c r="D13" s="45"/>
      <c r="E13" s="186"/>
      <c r="F13" s="188"/>
      <c r="G13" s="218"/>
      <c r="H13" s="226"/>
      <c r="I13" s="227"/>
      <c r="J13" s="46"/>
      <c r="K13" s="186"/>
      <c r="L13" s="187"/>
      <c r="M13" s="187"/>
      <c r="N13" s="225"/>
      <c r="O13" s="47"/>
      <c r="P13" s="186"/>
      <c r="Q13" s="187"/>
      <c r="R13" s="187"/>
      <c r="S13" s="187"/>
      <c r="T13" s="187"/>
      <c r="U13" s="187"/>
      <c r="V13" s="188"/>
      <c r="W13" s="48"/>
      <c r="X13" s="44"/>
      <c r="Y13" s="8" t="s">
        <v>79</v>
      </c>
    </row>
    <row r="14" spans="2:25" ht="15" customHeight="1" x14ac:dyDescent="0.3">
      <c r="B14" s="216"/>
      <c r="C14" s="217"/>
      <c r="D14" s="45"/>
      <c r="E14" s="221"/>
      <c r="F14" s="222"/>
      <c r="G14" s="240" t="s">
        <v>80</v>
      </c>
      <c r="H14" s="178"/>
      <c r="I14" s="49" t="s">
        <v>81</v>
      </c>
      <c r="J14" s="50"/>
      <c r="K14" s="221"/>
      <c r="L14" s="226"/>
      <c r="M14" s="226"/>
      <c r="N14" s="227"/>
      <c r="O14" s="47"/>
      <c r="P14" s="189"/>
      <c r="Q14" s="190"/>
      <c r="R14" s="190"/>
      <c r="S14" s="190"/>
      <c r="T14" s="190"/>
      <c r="U14" s="190"/>
      <c r="V14" s="191"/>
      <c r="W14" s="51"/>
      <c r="X14" s="44"/>
      <c r="Y14" s="8" t="s">
        <v>81</v>
      </c>
    </row>
    <row r="15" spans="2:25" ht="30" customHeight="1" x14ac:dyDescent="0.3">
      <c r="B15" s="216"/>
      <c r="C15" s="217"/>
      <c r="D15" s="45"/>
      <c r="E15" s="52" t="s">
        <v>82</v>
      </c>
      <c r="F15" s="53" t="s">
        <v>83</v>
      </c>
      <c r="G15" s="238" t="s">
        <v>84</v>
      </c>
      <c r="H15" s="147"/>
      <c r="I15" s="148"/>
      <c r="J15" s="54"/>
      <c r="K15" s="228" t="s">
        <v>85</v>
      </c>
      <c r="L15" s="176"/>
      <c r="M15" s="229">
        <v>0.5</v>
      </c>
      <c r="N15" s="55"/>
      <c r="O15" s="56"/>
      <c r="P15" s="57" t="s">
        <v>86</v>
      </c>
      <c r="Q15" s="58" t="s">
        <v>79</v>
      </c>
      <c r="R15" s="59"/>
      <c r="S15" s="57" t="s">
        <v>87</v>
      </c>
      <c r="T15" s="60">
        <v>2.5000000000000001E-2</v>
      </c>
      <c r="U15" s="57" t="s">
        <v>88</v>
      </c>
      <c r="V15" s="61">
        <f>ROUND(R50*T15,2)</f>
        <v>0</v>
      </c>
      <c r="W15" s="62"/>
      <c r="X15" s="44"/>
      <c r="Y15" s="8" t="s">
        <v>89</v>
      </c>
    </row>
    <row r="16" spans="2:25" ht="15" customHeight="1" x14ac:dyDescent="0.3">
      <c r="B16" s="218"/>
      <c r="C16" s="219"/>
      <c r="D16" s="45"/>
      <c r="E16" s="63">
        <f>1/F16</f>
        <v>0.7246376811594204</v>
      </c>
      <c r="F16" s="64">
        <v>1.38</v>
      </c>
      <c r="G16" s="235"/>
      <c r="H16" s="150"/>
      <c r="I16" s="151"/>
      <c r="J16" s="65"/>
      <c r="K16" s="221"/>
      <c r="L16" s="222"/>
      <c r="M16" s="208"/>
      <c r="N16" s="230" t="s">
        <v>90</v>
      </c>
      <c r="O16" s="56"/>
      <c r="P16" s="192" t="s">
        <v>91</v>
      </c>
      <c r="Q16" s="193"/>
      <c r="R16" s="193"/>
      <c r="S16" s="193"/>
      <c r="T16" s="193"/>
      <c r="U16" s="193"/>
      <c r="V16" s="194"/>
      <c r="W16" s="66"/>
      <c r="X16" s="67"/>
      <c r="Y16" s="8"/>
    </row>
    <row r="17" spans="2:26" ht="15" customHeight="1" x14ac:dyDescent="0.3">
      <c r="B17" s="207" t="s">
        <v>92</v>
      </c>
      <c r="C17" s="209" t="s">
        <v>93</v>
      </c>
      <c r="D17" s="68"/>
      <c r="E17" s="211" t="s">
        <v>94</v>
      </c>
      <c r="F17" s="213" t="s">
        <v>95</v>
      </c>
      <c r="G17" s="236" t="s">
        <v>96</v>
      </c>
      <c r="H17" s="237"/>
      <c r="I17" s="69" t="s">
        <v>97</v>
      </c>
      <c r="J17" s="70"/>
      <c r="K17" s="233" t="s">
        <v>95</v>
      </c>
      <c r="L17" s="71" t="s">
        <v>98</v>
      </c>
      <c r="M17" s="72" t="s">
        <v>99</v>
      </c>
      <c r="N17" s="231"/>
      <c r="O17" s="73"/>
      <c r="P17" s="195" t="s">
        <v>100</v>
      </c>
      <c r="Q17" s="74" t="s">
        <v>101</v>
      </c>
      <c r="R17" s="74" t="s">
        <v>102</v>
      </c>
      <c r="S17" s="75" t="s">
        <v>103</v>
      </c>
      <c r="T17" s="75" t="s">
        <v>104</v>
      </c>
      <c r="U17" s="72" t="s">
        <v>105</v>
      </c>
      <c r="V17" s="72" t="s">
        <v>106</v>
      </c>
      <c r="W17" s="76"/>
      <c r="X17" s="77"/>
      <c r="Y17" s="8"/>
      <c r="Z17" s="8"/>
    </row>
    <row r="18" spans="2:26" ht="15" customHeight="1" x14ac:dyDescent="0.3">
      <c r="B18" s="208"/>
      <c r="C18" s="210"/>
      <c r="D18" s="78"/>
      <c r="E18" s="212"/>
      <c r="F18" s="208"/>
      <c r="G18" s="58" t="s">
        <v>78</v>
      </c>
      <c r="H18" s="79" t="str">
        <f>IF(G18="USD $", "CAD $", "USD $")</f>
        <v>USD $</v>
      </c>
      <c r="I18" s="80" t="str">
        <f>L18</f>
        <v>CAD $</v>
      </c>
      <c r="J18" s="81"/>
      <c r="K18" s="212"/>
      <c r="L18" s="234" t="s">
        <v>78</v>
      </c>
      <c r="M18" s="148"/>
      <c r="N18" s="232"/>
      <c r="O18" s="82"/>
      <c r="P18" s="196"/>
      <c r="Q18" s="58" t="s">
        <v>79</v>
      </c>
      <c r="R18" s="197" t="str">
        <f>L18</f>
        <v>CAD $</v>
      </c>
      <c r="S18" s="147"/>
      <c r="T18" s="147"/>
      <c r="U18" s="147"/>
      <c r="V18" s="148"/>
      <c r="W18" s="83"/>
      <c r="X18" s="84"/>
      <c r="Y18" s="85"/>
      <c r="Z18" s="85"/>
    </row>
    <row r="19" spans="2:26" ht="14.4" x14ac:dyDescent="0.3">
      <c r="B19" t="s">
        <v>446</v>
      </c>
      <c r="C19" t="s">
        <v>447</v>
      </c>
      <c r="D19" s="87"/>
      <c r="E19" s="88"/>
      <c r="F19">
        <v>2</v>
      </c>
      <c r="G19" t="s">
        <v>459</v>
      </c>
      <c r="H19" t="s">
        <v>468</v>
      </c>
      <c r="I19" t="s">
        <v>478</v>
      </c>
      <c r="J19" s="92"/>
      <c r="K19">
        <v>2</v>
      </c>
      <c r="L19" t="s">
        <v>489</v>
      </c>
      <c r="M19" t="s">
        <v>499</v>
      </c>
      <c r="N19" s="93"/>
      <c r="O19" s="94"/>
      <c r="P19" s="86"/>
      <c r="Q19" s="95"/>
      <c r="R19" s="95"/>
      <c r="S19" t="s">
        <v>510</v>
      </c>
      <c r="T19" t="s">
        <v>511</v>
      </c>
      <c r="U19" s="145">
        <v>0</v>
      </c>
      <c r="V19" s="145">
        <v>1</v>
      </c>
      <c r="W19" s="97"/>
      <c r="X19" s="98"/>
      <c r="Y19" s="8"/>
      <c r="Z19" s="8"/>
    </row>
    <row r="20" spans="2:26" ht="14.4" x14ac:dyDescent="0.3">
      <c r="B20" t="s">
        <v>448</v>
      </c>
      <c r="C20" t="s">
        <v>449</v>
      </c>
      <c r="D20" s="87"/>
      <c r="E20" s="101"/>
      <c r="F20">
        <v>2</v>
      </c>
      <c r="G20" t="s">
        <v>460</v>
      </c>
      <c r="H20" t="s">
        <v>469</v>
      </c>
      <c r="I20" t="s">
        <v>479</v>
      </c>
      <c r="J20" s="106"/>
      <c r="K20">
        <v>2</v>
      </c>
      <c r="L20" t="s">
        <v>490</v>
      </c>
      <c r="M20" t="s">
        <v>500</v>
      </c>
      <c r="N20" s="108"/>
      <c r="O20" s="94"/>
      <c r="P20" s="99"/>
      <c r="Q20" s="103"/>
      <c r="R20" s="109"/>
      <c r="S20" t="s">
        <v>512</v>
      </c>
      <c r="T20" t="s">
        <v>513</v>
      </c>
      <c r="U20" s="145">
        <v>0</v>
      </c>
      <c r="V20" s="145">
        <v>1</v>
      </c>
      <c r="W20" s="112"/>
      <c r="X20" s="98"/>
      <c r="Y20" s="8"/>
      <c r="Z20" s="8"/>
    </row>
    <row r="21" spans="2:26" ht="14.4" x14ac:dyDescent="0.3">
      <c r="B21" t="s">
        <v>345</v>
      </c>
      <c r="C21" t="s">
        <v>127</v>
      </c>
      <c r="D21" s="87"/>
      <c r="E21" s="88"/>
      <c r="F21">
        <v>52</v>
      </c>
      <c r="G21" t="s">
        <v>357</v>
      </c>
      <c r="H21" t="s">
        <v>366</v>
      </c>
      <c r="I21" t="s">
        <v>480</v>
      </c>
      <c r="J21" s="106"/>
      <c r="K21">
        <v>52</v>
      </c>
      <c r="L21" t="s">
        <v>386</v>
      </c>
      <c r="M21" t="s">
        <v>501</v>
      </c>
      <c r="N21" s="115"/>
      <c r="O21" s="94"/>
      <c r="P21" s="116"/>
      <c r="Q21" s="95"/>
      <c r="R21" s="95"/>
      <c r="S21" t="s">
        <v>408</v>
      </c>
      <c r="T21" t="s">
        <v>514</v>
      </c>
      <c r="U21" s="145">
        <v>0</v>
      </c>
      <c r="V21" s="145">
        <v>1</v>
      </c>
      <c r="W21" s="97"/>
      <c r="X21" s="98"/>
      <c r="Y21" s="8"/>
      <c r="Z21" s="8"/>
    </row>
    <row r="22" spans="2:26" ht="15.75" customHeight="1" x14ac:dyDescent="0.3">
      <c r="B22" t="s">
        <v>450</v>
      </c>
      <c r="C22" t="s">
        <v>247</v>
      </c>
      <c r="D22" s="87"/>
      <c r="E22" s="101"/>
      <c r="F22">
        <v>2</v>
      </c>
      <c r="G22" t="s">
        <v>461</v>
      </c>
      <c r="H22" t="s">
        <v>470</v>
      </c>
      <c r="I22" t="s">
        <v>481</v>
      </c>
      <c r="J22" s="106"/>
      <c r="K22">
        <v>2</v>
      </c>
      <c r="L22" t="s">
        <v>491</v>
      </c>
      <c r="M22" t="s">
        <v>502</v>
      </c>
      <c r="N22" s="108"/>
      <c r="O22" s="94"/>
      <c r="P22" s="99"/>
      <c r="Q22" s="103"/>
      <c r="R22" s="109"/>
      <c r="S22" t="s">
        <v>515</v>
      </c>
      <c r="T22" t="s">
        <v>516</v>
      </c>
      <c r="U22" s="145">
        <v>0</v>
      </c>
      <c r="V22" s="145">
        <v>1</v>
      </c>
      <c r="W22" s="112"/>
      <c r="X22" s="98"/>
      <c r="Y22" s="8"/>
      <c r="Z22" s="8"/>
    </row>
    <row r="23" spans="2:26" ht="15.75" customHeight="1" x14ac:dyDescent="0.3">
      <c r="B23" t="s">
        <v>451</v>
      </c>
      <c r="C23" t="s">
        <v>348</v>
      </c>
      <c r="D23" s="87"/>
      <c r="E23" s="88"/>
      <c r="F23">
        <v>4</v>
      </c>
      <c r="G23" t="s">
        <v>462</v>
      </c>
      <c r="H23" t="s">
        <v>471</v>
      </c>
      <c r="I23" t="s">
        <v>482</v>
      </c>
      <c r="J23" s="106"/>
      <c r="K23">
        <v>4</v>
      </c>
      <c r="L23" t="s">
        <v>492</v>
      </c>
      <c r="M23" t="s">
        <v>503</v>
      </c>
      <c r="N23" s="115"/>
      <c r="O23" s="94"/>
      <c r="P23" s="116"/>
      <c r="Q23" s="95"/>
      <c r="R23" s="95"/>
      <c r="S23" t="s">
        <v>517</v>
      </c>
      <c r="T23" t="s">
        <v>518</v>
      </c>
      <c r="U23" s="145">
        <v>0</v>
      </c>
      <c r="V23" s="145">
        <v>1</v>
      </c>
      <c r="W23" s="97"/>
      <c r="X23" s="98"/>
      <c r="Y23" s="8"/>
      <c r="Z23" s="8"/>
    </row>
    <row r="24" spans="2:26" ht="15.75" customHeight="1" x14ac:dyDescent="0.3">
      <c r="B24" t="s">
        <v>452</v>
      </c>
      <c r="C24" t="s">
        <v>453</v>
      </c>
      <c r="D24" s="87"/>
      <c r="E24" s="101"/>
      <c r="F24">
        <v>4</v>
      </c>
      <c r="G24" t="s">
        <v>463</v>
      </c>
      <c r="H24" t="s">
        <v>472</v>
      </c>
      <c r="I24" t="s">
        <v>483</v>
      </c>
      <c r="J24" s="106"/>
      <c r="K24">
        <v>4</v>
      </c>
      <c r="L24" t="s">
        <v>493</v>
      </c>
      <c r="M24" t="s">
        <v>504</v>
      </c>
      <c r="N24" s="108"/>
      <c r="O24" s="94"/>
      <c r="P24" s="99"/>
      <c r="Q24" s="103"/>
      <c r="R24" s="109"/>
      <c r="S24" t="s">
        <v>519</v>
      </c>
      <c r="T24" t="s">
        <v>520</v>
      </c>
      <c r="U24" s="145">
        <v>0</v>
      </c>
      <c r="V24" s="145">
        <v>1</v>
      </c>
      <c r="W24" s="112"/>
      <c r="X24" s="98"/>
      <c r="Y24" s="8"/>
      <c r="Z24" s="8"/>
    </row>
    <row r="25" spans="2:26" ht="15.75" customHeight="1" x14ac:dyDescent="0.3">
      <c r="B25" t="s">
        <v>124</v>
      </c>
      <c r="C25" t="s">
        <v>131</v>
      </c>
      <c r="D25" s="87"/>
      <c r="E25" s="88"/>
      <c r="F25">
        <v>4</v>
      </c>
      <c r="G25" t="s">
        <v>152</v>
      </c>
      <c r="H25" t="s">
        <v>473</v>
      </c>
      <c r="I25" t="s">
        <v>484</v>
      </c>
      <c r="J25" s="106"/>
      <c r="K25">
        <v>4</v>
      </c>
      <c r="L25" t="s">
        <v>494</v>
      </c>
      <c r="M25" t="s">
        <v>505</v>
      </c>
      <c r="N25" s="115"/>
      <c r="O25" s="94"/>
      <c r="P25" s="116"/>
      <c r="Q25" s="95"/>
      <c r="R25" s="95"/>
      <c r="S25" t="s">
        <v>222</v>
      </c>
      <c r="T25" t="s">
        <v>521</v>
      </c>
      <c r="U25" s="145">
        <v>0</v>
      </c>
      <c r="V25" s="145">
        <v>1</v>
      </c>
      <c r="W25" s="97"/>
      <c r="X25" s="98"/>
      <c r="Y25" s="8"/>
      <c r="Z25" s="8"/>
    </row>
    <row r="26" spans="2:26" ht="15.75" customHeight="1" x14ac:dyDescent="0.3">
      <c r="B26" t="s">
        <v>454</v>
      </c>
      <c r="C26" t="s">
        <v>132</v>
      </c>
      <c r="D26" s="87"/>
      <c r="E26" s="101"/>
      <c r="F26">
        <v>4</v>
      </c>
      <c r="G26" t="s">
        <v>464</v>
      </c>
      <c r="H26" t="s">
        <v>474</v>
      </c>
      <c r="I26" t="s">
        <v>485</v>
      </c>
      <c r="J26" s="106"/>
      <c r="K26">
        <v>4</v>
      </c>
      <c r="L26" t="s">
        <v>495</v>
      </c>
      <c r="M26" t="s">
        <v>506</v>
      </c>
      <c r="N26" s="108"/>
      <c r="O26" s="94"/>
      <c r="P26" s="99"/>
      <c r="Q26" s="103"/>
      <c r="R26" s="109"/>
      <c r="S26" t="s">
        <v>522</v>
      </c>
      <c r="T26" t="s">
        <v>523</v>
      </c>
      <c r="U26" s="145">
        <v>0</v>
      </c>
      <c r="V26" s="145">
        <v>1</v>
      </c>
      <c r="W26" s="112"/>
      <c r="X26" s="98"/>
      <c r="Y26" s="8"/>
      <c r="Z26" s="8"/>
    </row>
    <row r="27" spans="2:26" ht="15.75" customHeight="1" x14ac:dyDescent="0.3">
      <c r="B27" t="s">
        <v>455</v>
      </c>
      <c r="C27" t="s">
        <v>133</v>
      </c>
      <c r="D27" s="87"/>
      <c r="E27" s="88"/>
      <c r="F27">
        <v>8</v>
      </c>
      <c r="G27" t="s">
        <v>361</v>
      </c>
      <c r="H27" t="s">
        <v>370</v>
      </c>
      <c r="I27" t="s">
        <v>380</v>
      </c>
      <c r="J27" s="106"/>
      <c r="K27">
        <v>8</v>
      </c>
      <c r="L27" t="s">
        <v>390</v>
      </c>
      <c r="M27" t="s">
        <v>400</v>
      </c>
      <c r="N27" s="115"/>
      <c r="O27" s="94"/>
      <c r="P27" s="116"/>
      <c r="Q27" s="95"/>
      <c r="R27" s="95"/>
      <c r="S27" t="s">
        <v>417</v>
      </c>
      <c r="T27" t="s">
        <v>418</v>
      </c>
      <c r="U27" s="145">
        <v>0</v>
      </c>
      <c r="V27" s="145">
        <v>1</v>
      </c>
      <c r="W27" s="97"/>
      <c r="X27" s="98"/>
      <c r="Y27" s="8"/>
      <c r="Z27" s="8"/>
    </row>
    <row r="28" spans="2:26" ht="15.75" customHeight="1" x14ac:dyDescent="0.3">
      <c r="B28" t="s">
        <v>120</v>
      </c>
      <c r="C28" t="s">
        <v>134</v>
      </c>
      <c r="D28" s="87"/>
      <c r="E28" s="101"/>
      <c r="F28">
        <v>8</v>
      </c>
      <c r="G28" t="s">
        <v>148</v>
      </c>
      <c r="H28" t="s">
        <v>269</v>
      </c>
      <c r="I28" t="s">
        <v>282</v>
      </c>
      <c r="J28" s="106"/>
      <c r="K28">
        <v>8</v>
      </c>
      <c r="L28" t="s">
        <v>295</v>
      </c>
      <c r="M28" t="s">
        <v>228</v>
      </c>
      <c r="N28" s="108"/>
      <c r="O28" s="94"/>
      <c r="P28" s="99"/>
      <c r="Q28" s="103"/>
      <c r="R28" s="109"/>
      <c r="S28" t="s">
        <v>218</v>
      </c>
      <c r="T28" t="s">
        <v>232</v>
      </c>
      <c r="U28" s="145">
        <v>0</v>
      </c>
      <c r="V28" s="145">
        <v>1</v>
      </c>
      <c r="W28" s="112"/>
      <c r="X28" s="98"/>
      <c r="Y28" s="8"/>
      <c r="Z28" s="117"/>
    </row>
    <row r="29" spans="2:26" ht="15.75" customHeight="1" x14ac:dyDescent="0.3">
      <c r="B29" t="s">
        <v>456</v>
      </c>
      <c r="C29" t="s">
        <v>352</v>
      </c>
      <c r="D29" s="87"/>
      <c r="E29" s="88"/>
      <c r="F29">
        <v>16</v>
      </c>
      <c r="G29" t="s">
        <v>465</v>
      </c>
      <c r="H29" t="s">
        <v>475</v>
      </c>
      <c r="I29" t="s">
        <v>486</v>
      </c>
      <c r="J29" s="106"/>
      <c r="K29">
        <v>16</v>
      </c>
      <c r="L29" t="s">
        <v>496</v>
      </c>
      <c r="M29" t="s">
        <v>507</v>
      </c>
      <c r="N29" s="115"/>
      <c r="O29" s="94"/>
      <c r="P29" s="116"/>
      <c r="Q29" s="95"/>
      <c r="R29" s="95"/>
      <c r="S29" t="s">
        <v>524</v>
      </c>
      <c r="T29" t="s">
        <v>525</v>
      </c>
      <c r="U29" s="145">
        <v>0</v>
      </c>
      <c r="V29" s="145">
        <v>1</v>
      </c>
      <c r="W29" s="97"/>
      <c r="X29" s="98"/>
      <c r="Y29" s="8"/>
      <c r="Z29" s="8"/>
    </row>
    <row r="30" spans="2:26" ht="15.75" customHeight="1" x14ac:dyDescent="0.3">
      <c r="B30" t="s">
        <v>457</v>
      </c>
      <c r="C30" t="s">
        <v>354</v>
      </c>
      <c r="D30" s="87"/>
      <c r="E30" s="101"/>
      <c r="F30">
        <v>64</v>
      </c>
      <c r="G30" t="s">
        <v>466</v>
      </c>
      <c r="H30" t="s">
        <v>476</v>
      </c>
      <c r="I30" t="s">
        <v>487</v>
      </c>
      <c r="J30" s="106"/>
      <c r="K30">
        <v>64</v>
      </c>
      <c r="L30" t="s">
        <v>497</v>
      </c>
      <c r="M30" t="s">
        <v>508</v>
      </c>
      <c r="N30" s="108"/>
      <c r="O30" s="94"/>
      <c r="P30" s="99"/>
      <c r="Q30" s="103"/>
      <c r="R30" s="109"/>
      <c r="S30" t="s">
        <v>526</v>
      </c>
      <c r="T30" t="s">
        <v>527</v>
      </c>
      <c r="U30" s="145">
        <v>0</v>
      </c>
      <c r="V30" s="145">
        <v>1</v>
      </c>
      <c r="W30" s="112"/>
      <c r="X30" s="98"/>
      <c r="Y30" s="8"/>
      <c r="Z30" s="8"/>
    </row>
    <row r="31" spans="2:26" ht="15.75" customHeight="1" x14ac:dyDescent="0.3">
      <c r="B31" t="s">
        <v>458</v>
      </c>
      <c r="C31" t="s">
        <v>138</v>
      </c>
      <c r="D31" s="87"/>
      <c r="E31" s="88"/>
      <c r="F31">
        <v>64</v>
      </c>
      <c r="G31" t="s">
        <v>467</v>
      </c>
      <c r="H31" t="s">
        <v>477</v>
      </c>
      <c r="I31" t="s">
        <v>488</v>
      </c>
      <c r="J31" s="106"/>
      <c r="K31">
        <v>64</v>
      </c>
      <c r="L31" t="s">
        <v>498</v>
      </c>
      <c r="M31" t="s">
        <v>509</v>
      </c>
      <c r="N31" s="115"/>
      <c r="O31" s="94"/>
      <c r="P31" s="116"/>
      <c r="Q31" s="95"/>
      <c r="R31" s="95"/>
      <c r="S31" t="s">
        <v>528</v>
      </c>
      <c r="T31" t="s">
        <v>529</v>
      </c>
      <c r="U31" s="145">
        <v>0</v>
      </c>
      <c r="V31" s="145">
        <v>1</v>
      </c>
      <c r="W31" s="97"/>
      <c r="X31" s="98"/>
      <c r="Y31" s="8"/>
      <c r="Z31" s="8"/>
    </row>
    <row r="32" spans="2:26" ht="15.75" customHeight="1" x14ac:dyDescent="0.3">
      <c r="B32" s="132"/>
      <c r="C32" s="136"/>
      <c r="D32" s="87"/>
      <c r="E32" s="101"/>
      <c r="F32" s="139"/>
      <c r="H32" s="143"/>
      <c r="I32" s="144"/>
      <c r="J32" s="106"/>
      <c r="L32" s="104"/>
      <c r="M32" s="104"/>
      <c r="N32" s="108"/>
      <c r="O32" s="94"/>
      <c r="P32" s="99"/>
      <c r="Q32" s="103"/>
      <c r="R32" s="109"/>
      <c r="U32" s="145"/>
      <c r="V32" s="145"/>
      <c r="W32" s="112"/>
      <c r="X32" s="98"/>
      <c r="Y32" s="8"/>
      <c r="Z32" s="8"/>
    </row>
    <row r="33" spans="2:23" ht="15.75" customHeight="1" x14ac:dyDescent="0.3">
      <c r="B33" s="86"/>
      <c r="C33" s="113"/>
      <c r="D33" s="87"/>
      <c r="E33" s="88"/>
      <c r="F33" s="114"/>
      <c r="G33" s="95"/>
      <c r="H33" s="90"/>
      <c r="I33" s="91"/>
      <c r="J33" s="106"/>
      <c r="K33" s="89"/>
      <c r="L33" s="90"/>
      <c r="M33" s="90"/>
      <c r="N33" s="115"/>
      <c r="O33" s="94"/>
      <c r="P33" s="116"/>
      <c r="Q33" s="95"/>
      <c r="R33" s="95"/>
      <c r="S33" s="95"/>
      <c r="T33" s="95"/>
      <c r="U33" s="96"/>
      <c r="V33" s="96"/>
      <c r="W33" s="97"/>
    </row>
    <row r="34" spans="2:23" ht="15.75" customHeight="1" x14ac:dyDescent="0.3">
      <c r="B34" s="99"/>
      <c r="C34" s="100"/>
      <c r="D34" s="87"/>
      <c r="E34" s="101"/>
      <c r="F34" s="102"/>
      <c r="G34" s="103"/>
      <c r="H34" s="104"/>
      <c r="I34" s="105"/>
      <c r="J34" s="106"/>
      <c r="K34" s="107"/>
      <c r="L34" s="104"/>
      <c r="M34" s="104"/>
      <c r="N34" s="108"/>
      <c r="O34" s="94"/>
      <c r="P34" s="99"/>
      <c r="Q34" s="103"/>
      <c r="R34" s="109"/>
      <c r="S34" s="110"/>
      <c r="T34" s="110"/>
      <c r="U34" s="111"/>
      <c r="V34" s="111"/>
      <c r="W34" s="112"/>
    </row>
    <row r="35" spans="2:23" ht="15.75" customHeight="1" x14ac:dyDescent="0.3">
      <c r="B35" s="86"/>
      <c r="C35" s="113"/>
      <c r="D35" s="87"/>
      <c r="E35" s="88"/>
      <c r="F35" s="114"/>
      <c r="G35" s="95"/>
      <c r="H35" s="90"/>
      <c r="I35" s="91"/>
      <c r="J35" s="106"/>
      <c r="K35" s="89"/>
      <c r="L35" s="90"/>
      <c r="M35" s="90"/>
      <c r="N35" s="115"/>
      <c r="O35" s="94"/>
      <c r="P35" s="116"/>
      <c r="Q35" s="95"/>
      <c r="R35" s="95"/>
      <c r="S35" s="95"/>
      <c r="T35" s="95"/>
      <c r="U35" s="96"/>
      <c r="V35" s="96"/>
      <c r="W35" s="97"/>
    </row>
    <row r="36" spans="2:23" ht="15.75" customHeight="1" x14ac:dyDescent="0.3">
      <c r="B36" s="99"/>
      <c r="C36" s="100"/>
      <c r="D36" s="87"/>
      <c r="E36" s="101"/>
      <c r="F36" s="102"/>
      <c r="G36" s="103"/>
      <c r="H36" s="104"/>
      <c r="I36" s="105"/>
      <c r="J36" s="106"/>
      <c r="K36" s="107"/>
      <c r="L36" s="104"/>
      <c r="M36" s="104"/>
      <c r="N36" s="108"/>
      <c r="O36" s="94"/>
      <c r="P36" s="99"/>
      <c r="Q36" s="103"/>
      <c r="R36" s="109"/>
      <c r="S36" s="110"/>
      <c r="T36" s="110"/>
      <c r="U36" s="111"/>
      <c r="V36" s="111"/>
      <c r="W36" s="112"/>
    </row>
    <row r="37" spans="2:23" ht="15.75" customHeight="1" x14ac:dyDescent="0.3">
      <c r="B37" s="86"/>
      <c r="C37" s="113"/>
      <c r="D37" s="87"/>
      <c r="E37" s="88"/>
      <c r="F37" s="114"/>
      <c r="G37" s="95"/>
      <c r="H37" s="90"/>
      <c r="I37" s="91"/>
      <c r="J37" s="106"/>
      <c r="K37" s="89"/>
      <c r="L37" s="90"/>
      <c r="M37" s="90"/>
      <c r="N37" s="115"/>
      <c r="O37" s="94"/>
      <c r="P37" s="116"/>
      <c r="Q37" s="95"/>
      <c r="R37" s="95"/>
      <c r="S37" s="95"/>
      <c r="T37" s="95"/>
      <c r="U37" s="96"/>
      <c r="V37" s="96"/>
      <c r="W37" s="97"/>
    </row>
    <row r="38" spans="2:23" ht="15.75" customHeight="1" x14ac:dyDescent="0.3">
      <c r="B38" s="99"/>
      <c r="C38" s="100"/>
      <c r="D38" s="87"/>
      <c r="E38" s="101"/>
      <c r="F38" s="102"/>
      <c r="G38" s="103"/>
      <c r="H38" s="104"/>
      <c r="I38" s="105"/>
      <c r="J38" s="106"/>
      <c r="K38" s="107"/>
      <c r="L38" s="104"/>
      <c r="M38" s="104"/>
      <c r="N38" s="108"/>
      <c r="O38" s="94"/>
      <c r="P38" s="99"/>
      <c r="Q38" s="103"/>
      <c r="R38" s="109"/>
      <c r="S38" s="110"/>
      <c r="T38" s="110"/>
      <c r="U38" s="111"/>
      <c r="V38" s="111"/>
      <c r="W38" s="112"/>
    </row>
    <row r="39" spans="2:23" ht="15.75" customHeight="1" x14ac:dyDescent="0.3">
      <c r="B39" s="86"/>
      <c r="C39" s="113"/>
      <c r="D39" s="87"/>
      <c r="E39" s="88"/>
      <c r="F39" s="114"/>
      <c r="G39" s="95"/>
      <c r="H39" s="90"/>
      <c r="I39" s="91"/>
      <c r="J39" s="106"/>
      <c r="K39" s="89"/>
      <c r="L39" s="90"/>
      <c r="M39" s="90"/>
      <c r="N39" s="115"/>
      <c r="O39" s="94"/>
      <c r="P39" s="116"/>
      <c r="Q39" s="95"/>
      <c r="R39" s="95"/>
      <c r="S39" s="95"/>
      <c r="T39" s="95"/>
      <c r="U39" s="96"/>
      <c r="V39" s="96"/>
      <c r="W39" s="112"/>
    </row>
    <row r="40" spans="2:23" ht="15.75" customHeight="1" x14ac:dyDescent="0.3">
      <c r="B40" s="99"/>
      <c r="C40" s="100"/>
      <c r="D40" s="87"/>
      <c r="E40" s="101"/>
      <c r="F40" s="102"/>
      <c r="G40" s="103"/>
      <c r="H40" s="104"/>
      <c r="I40" s="105"/>
      <c r="J40" s="106"/>
      <c r="K40" s="107"/>
      <c r="L40" s="104"/>
      <c r="M40" s="104"/>
      <c r="N40" s="108"/>
      <c r="O40" s="94"/>
      <c r="P40" s="99"/>
      <c r="Q40" s="103"/>
      <c r="R40" s="109"/>
      <c r="S40" s="110"/>
      <c r="T40" s="110"/>
      <c r="U40" s="111"/>
      <c r="V40" s="111"/>
      <c r="W40" s="112"/>
    </row>
    <row r="41" spans="2:23" ht="15.75" customHeight="1" x14ac:dyDescent="0.3">
      <c r="B41" s="86"/>
      <c r="C41" s="113"/>
      <c r="D41" s="87"/>
      <c r="E41" s="88"/>
      <c r="F41" s="114"/>
      <c r="G41" s="95"/>
      <c r="H41" s="90"/>
      <c r="I41" s="91"/>
      <c r="J41" s="106"/>
      <c r="K41" s="89"/>
      <c r="L41" s="90"/>
      <c r="M41" s="90"/>
      <c r="N41" s="115"/>
      <c r="O41" s="94"/>
      <c r="P41" s="116"/>
      <c r="Q41" s="95"/>
      <c r="R41" s="95"/>
      <c r="S41" s="95"/>
      <c r="T41" s="95"/>
      <c r="U41" s="96"/>
      <c r="V41" s="96"/>
      <c r="W41" s="112"/>
    </row>
    <row r="42" spans="2:23" ht="15.75" customHeight="1" x14ac:dyDescent="0.3">
      <c r="B42" s="99"/>
      <c r="C42" s="100"/>
      <c r="D42" s="87"/>
      <c r="E42" s="101"/>
      <c r="F42" s="102"/>
      <c r="G42" s="103"/>
      <c r="H42" s="104"/>
      <c r="I42" s="105"/>
      <c r="J42" s="106"/>
      <c r="K42" s="107"/>
      <c r="L42" s="104"/>
      <c r="M42" s="104"/>
      <c r="N42" s="108"/>
      <c r="O42" s="94"/>
      <c r="P42" s="99"/>
      <c r="Q42" s="103"/>
      <c r="R42" s="109"/>
      <c r="S42" s="110"/>
      <c r="T42" s="110"/>
      <c r="U42" s="111"/>
      <c r="V42" s="111"/>
      <c r="W42" s="112"/>
    </row>
    <row r="43" spans="2:23" ht="15.75" customHeight="1" x14ac:dyDescent="0.3">
      <c r="B43" s="86"/>
      <c r="C43" s="113"/>
      <c r="D43" s="87"/>
      <c r="E43" s="88"/>
      <c r="F43" s="114"/>
      <c r="G43" s="95"/>
      <c r="H43" s="90"/>
      <c r="I43" s="91"/>
      <c r="J43" s="106"/>
      <c r="K43" s="89"/>
      <c r="L43" s="90"/>
      <c r="M43" s="90"/>
      <c r="N43" s="115"/>
      <c r="O43" s="94"/>
      <c r="P43" s="116"/>
      <c r="Q43" s="95"/>
      <c r="R43" s="95"/>
      <c r="S43" s="95"/>
      <c r="T43" s="95"/>
      <c r="U43" s="96"/>
      <c r="V43" s="96"/>
      <c r="W43" s="112"/>
    </row>
    <row r="44" spans="2:23" ht="15.75" customHeight="1" x14ac:dyDescent="0.3">
      <c r="B44" s="99"/>
      <c r="C44" s="100"/>
      <c r="D44" s="87"/>
      <c r="E44" s="101"/>
      <c r="F44" s="102"/>
      <c r="G44" s="103"/>
      <c r="H44" s="104"/>
      <c r="I44" s="105"/>
      <c r="J44" s="106"/>
      <c r="K44" s="107"/>
      <c r="L44" s="104"/>
      <c r="M44" s="104"/>
      <c r="N44" s="108"/>
      <c r="O44" s="94"/>
      <c r="P44" s="99"/>
      <c r="Q44" s="103"/>
      <c r="R44" s="109"/>
      <c r="S44" s="110"/>
      <c r="T44" s="110"/>
      <c r="U44" s="111"/>
      <c r="V44" s="111"/>
      <c r="W44" s="112"/>
    </row>
    <row r="45" spans="2:23" ht="15.75" customHeight="1" x14ac:dyDescent="0.3">
      <c r="B45" s="86"/>
      <c r="C45" s="113"/>
      <c r="D45" s="87"/>
      <c r="E45" s="88"/>
      <c r="F45" s="114"/>
      <c r="G45" s="95"/>
      <c r="H45" s="90"/>
      <c r="I45" s="91"/>
      <c r="J45" s="106"/>
      <c r="K45" s="89"/>
      <c r="L45" s="90"/>
      <c r="M45" s="90"/>
      <c r="N45" s="115"/>
      <c r="O45" s="94"/>
      <c r="P45" s="116"/>
      <c r="Q45" s="95"/>
      <c r="R45" s="95"/>
      <c r="S45" s="95"/>
      <c r="T45" s="95"/>
      <c r="U45" s="96"/>
      <c r="V45" s="96"/>
      <c r="W45" s="112"/>
    </row>
    <row r="46" spans="2:23" ht="15.75" customHeight="1" x14ac:dyDescent="0.3">
      <c r="B46" s="99"/>
      <c r="C46" s="100"/>
      <c r="D46" s="87"/>
      <c r="E46" s="101"/>
      <c r="F46" s="102"/>
      <c r="G46" s="103"/>
      <c r="H46" s="104"/>
      <c r="I46" s="105"/>
      <c r="J46" s="106"/>
      <c r="K46" s="107"/>
      <c r="L46" s="104"/>
      <c r="M46" s="104"/>
      <c r="N46" s="108"/>
      <c r="O46" s="94"/>
      <c r="P46" s="99"/>
      <c r="Q46" s="103"/>
      <c r="R46" s="109"/>
      <c r="S46" s="110"/>
      <c r="T46" s="110"/>
      <c r="U46" s="111"/>
      <c r="V46" s="111"/>
      <c r="W46" s="112"/>
    </row>
    <row r="47" spans="2:23" ht="15.75" customHeight="1" x14ac:dyDescent="0.3">
      <c r="B47" s="86"/>
      <c r="C47" s="113"/>
      <c r="D47" s="87"/>
      <c r="E47" s="88"/>
      <c r="F47" s="114"/>
      <c r="G47" s="95"/>
      <c r="H47" s="90"/>
      <c r="I47" s="91"/>
      <c r="J47" s="106"/>
      <c r="K47" s="89"/>
      <c r="L47" s="90"/>
      <c r="M47" s="90"/>
      <c r="N47" s="115"/>
      <c r="O47" s="94"/>
      <c r="P47" s="116"/>
      <c r="Q47" s="95"/>
      <c r="R47" s="95"/>
      <c r="S47" s="95"/>
      <c r="T47" s="95"/>
      <c r="U47" s="96"/>
      <c r="V47" s="96"/>
      <c r="W47" s="112"/>
    </row>
    <row r="48" spans="2:23" ht="15.75" customHeight="1" x14ac:dyDescent="0.3">
      <c r="B48" s="99"/>
      <c r="C48" s="100"/>
      <c r="D48" s="87"/>
      <c r="E48" s="101"/>
      <c r="F48" s="102"/>
      <c r="G48" s="103"/>
      <c r="H48" s="104"/>
      <c r="I48" s="105"/>
      <c r="J48" s="106"/>
      <c r="K48" s="107"/>
      <c r="L48" s="104"/>
      <c r="M48" s="104"/>
      <c r="N48" s="108"/>
      <c r="O48" s="94"/>
      <c r="P48" s="99"/>
      <c r="Q48" s="103"/>
      <c r="R48" s="109"/>
      <c r="S48" s="110"/>
      <c r="T48" s="110"/>
      <c r="U48" s="111"/>
      <c r="V48" s="111"/>
      <c r="W48" s="112"/>
    </row>
    <row r="49" spans="2:23" ht="15.75" customHeight="1" x14ac:dyDescent="0.3">
      <c r="B49" s="86"/>
      <c r="C49" s="113"/>
      <c r="D49" s="87"/>
      <c r="E49" s="88"/>
      <c r="F49" s="114"/>
      <c r="G49" s="95"/>
      <c r="H49" s="90"/>
      <c r="I49" s="91"/>
      <c r="J49" s="106"/>
      <c r="K49" s="89"/>
      <c r="L49" s="90"/>
      <c r="M49" s="90"/>
      <c r="N49" s="115"/>
      <c r="O49" s="94"/>
      <c r="P49" s="116"/>
      <c r="Q49" s="95"/>
      <c r="R49" s="95"/>
      <c r="S49" s="95"/>
      <c r="T49" s="95"/>
      <c r="U49" s="96"/>
      <c r="V49" s="96"/>
      <c r="W49" s="112"/>
    </row>
    <row r="50" spans="2:23" ht="20.25" customHeight="1" x14ac:dyDescent="0.3">
      <c r="B50" s="118"/>
      <c r="C50" s="118"/>
      <c r="D50" s="119"/>
      <c r="E50" s="120" t="s">
        <v>107</v>
      </c>
      <c r="F50" s="121">
        <f t="shared" ref="F50:I50" si="0">SUM(F19:F49)</f>
        <v>234</v>
      </c>
      <c r="G50" s="122">
        <f t="shared" si="0"/>
        <v>0</v>
      </c>
      <c r="H50" s="123">
        <f t="shared" si="0"/>
        <v>0</v>
      </c>
      <c r="I50" s="124">
        <f t="shared" si="0"/>
        <v>0</v>
      </c>
      <c r="J50" s="125"/>
      <c r="K50" s="126">
        <f t="shared" ref="K50:M50" si="1">SUM(K19:K49)</f>
        <v>234</v>
      </c>
      <c r="L50" s="123">
        <f t="shared" si="1"/>
        <v>0</v>
      </c>
      <c r="M50" s="124">
        <f t="shared" si="1"/>
        <v>0</v>
      </c>
      <c r="N50" s="124"/>
      <c r="O50" s="127"/>
      <c r="P50" s="128"/>
      <c r="Q50" s="123">
        <f t="shared" ref="Q50:T50" si="2">SUM(Q19:Q49)</f>
        <v>0</v>
      </c>
      <c r="R50" s="123">
        <f t="shared" si="2"/>
        <v>0</v>
      </c>
      <c r="S50" s="124">
        <f t="shared" si="2"/>
        <v>0</v>
      </c>
      <c r="T50" s="124">
        <f t="shared" si="2"/>
        <v>0</v>
      </c>
      <c r="U50" s="129"/>
      <c r="V50" s="129"/>
      <c r="W50" s="130"/>
    </row>
  </sheetData>
  <mergeCells count="88">
    <mergeCell ref="S1:W1"/>
    <mergeCell ref="B1:C1"/>
    <mergeCell ref="D1:H1"/>
    <mergeCell ref="I1:L1"/>
    <mergeCell ref="M1:O1"/>
    <mergeCell ref="P1:R1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D8:F8"/>
    <mergeCell ref="G8:H8"/>
    <mergeCell ref="I8:K8"/>
    <mergeCell ref="M8:N8"/>
    <mergeCell ref="P8:R8"/>
    <mergeCell ref="W9:W11"/>
    <mergeCell ref="D10:F10"/>
    <mergeCell ref="G10:H10"/>
    <mergeCell ref="M10:N10"/>
    <mergeCell ref="P10:R10"/>
    <mergeCell ref="M11:N11"/>
    <mergeCell ref="D9:F9"/>
    <mergeCell ref="G9:H9"/>
    <mergeCell ref="M9:N9"/>
    <mergeCell ref="P9:R9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B17:B18"/>
    <mergeCell ref="C17:C18"/>
    <mergeCell ref="E17:E18"/>
    <mergeCell ref="F17:F18"/>
    <mergeCell ref="G17:H17"/>
    <mergeCell ref="L18:M18"/>
    <mergeCell ref="R18:V18"/>
    <mergeCell ref="G16:I16"/>
    <mergeCell ref="N16:N18"/>
    <mergeCell ref="P16:V16"/>
    <mergeCell ref="K17:K18"/>
    <mergeCell ref="P17:P18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E19:E49" xr:uid="{9227D098-0230-46A9-BEF3-F7F749CE80F6}">
      <formula1>$Z$19:$Z$30</formula1>
    </dataValidation>
    <dataValidation type="list" allowBlank="1" showErrorMessage="1" sqref="I14" xr:uid="{E5064CE3-C207-4C8D-A834-EA0B28A5EA69}">
      <formula1>$Y$14:$Y$15</formula1>
    </dataValidation>
    <dataValidation type="list" allowBlank="1" showErrorMessage="1" sqref="J14" xr:uid="{5A25600A-C6CC-4185-9E45-4C40D9B9603E}">
      <formula1>$L$9</formula1>
    </dataValidation>
    <dataValidation type="list" allowBlank="1" showErrorMessage="1" sqref="Q15 G18 L18 Q18" xr:uid="{8DB2CF8E-DCD5-409F-B829-EDCF2BE62777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Instructions</vt:lpstr>
      <vt:lpstr>KOMATSU D61PX-24 (B60814)</vt:lpstr>
      <vt:lpstr>KOMATSU D71PX-24 (70180)</vt:lpstr>
      <vt:lpstr>KOMATSU D71PX-24 (70181)</vt:lpstr>
      <vt:lpstr>KOMATSU D71PX-24 (70673)</vt:lpstr>
      <vt:lpstr>KOMATSU D71PX-24 (70685)</vt:lpstr>
      <vt:lpstr>KOMATSU D71PX-24 (70689)</vt:lpstr>
      <vt:lpstr>KOMATSU D71PX-24 (71422)</vt:lpstr>
      <vt:lpstr>KOMATSU D71PX-24 (71426)</vt:lpstr>
      <vt:lpstr>KOMATSU PC290LC-11 (K73146)</vt:lpstr>
      <vt:lpstr>KOMATSU PC290LC-11 (A37612)</vt:lpstr>
      <vt:lpstr>KOMATSU PC290LC-11 (A38125)</vt:lpstr>
      <vt:lpstr>KOMATSU PC290LC-11 (A39298)</vt:lpstr>
      <vt:lpstr>KOMATSU PC290LC-11 (A39301)</vt:lpstr>
      <vt:lpstr>KOMATSU PC290LC-11 (A42774)</vt:lpstr>
      <vt:lpstr>KOMATSU PC290LC-11 (A42788)</vt:lpstr>
      <vt:lpstr>KOMATSU PC290LC-11 (A42800)</vt:lpstr>
      <vt:lpstr>KOMATSU PC290LC-11 (A42804)</vt:lpstr>
      <vt:lpstr>KOMATSU PC290LC-11 (A42918)</vt:lpstr>
      <vt:lpstr>KOMATSU PC290LC-11 (A42970)</vt:lpstr>
      <vt:lpstr>KOMATSU PC290LC-11 (A42987)</vt:lpstr>
      <vt:lpstr>KOMATSU PC290LC-11 (A43077)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Rushil Patel</cp:lastModifiedBy>
  <dcterms:modified xsi:type="dcterms:W3CDTF">2025-09-10T13:41:12Z</dcterms:modified>
</cp:coreProperties>
</file>