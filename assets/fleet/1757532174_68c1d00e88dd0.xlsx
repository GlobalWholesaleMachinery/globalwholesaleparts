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7BAC3004-CFB5-4F6D-9B0E-6326C9EFB1AA}" xr6:coauthVersionLast="47" xr6:coauthVersionMax="47" xr10:uidLastSave="{00000000-0000-0000-0000-000000000000}"/>
  <bookViews>
    <workbookView xWindow="-108" yWindow="-108" windowWidth="23256" windowHeight="12456" activeTab="1" xr2:uid="{EAC116F2-D257-4308-B3E1-626B33CB1430}"/>
  </bookViews>
  <sheets>
    <sheet name="Instructions" sheetId="6" r:id="rId1"/>
    <sheet name="CAT 303.5E" sheetId="1" r:id="rId2"/>
    <sheet name="CAT 320E L (WBK)" sheetId="7" r:id="rId3"/>
    <sheet name="CAT 320E L (WBK) (2)" sheetId="51" r:id="rId4"/>
    <sheet name="CAT 320F L (YBM)" sheetId="9" r:id="rId5"/>
    <sheet name="CAT 320 (HEX)" sheetId="10" r:id="rId6"/>
    <sheet name="CAT 320 (MYK)" sheetId="12" r:id="rId7"/>
    <sheet name="CAT 320 (MYK) (2)" sheetId="50" r:id="rId8"/>
    <sheet name="CAT 329E L (ZCD)" sheetId="11" r:id="rId9"/>
    <sheet name="CAT 329F L (ERL)" sheetId="13" r:id="rId10"/>
    <sheet name="CAT 329F L (ERL) (2)" sheetId="49" r:id="rId11"/>
    <sheet name="CAT 330F L (MBX)" sheetId="14" r:id="rId12"/>
    <sheet name="CAT 330F L (HCK)" sheetId="15" r:id="rId13"/>
    <sheet name="CAT 330F L (HCK) (2)" sheetId="48" r:id="rId14"/>
    <sheet name="CAT 330 (LHW)" sheetId="16" r:id="rId15"/>
    <sheet name="CAT 330 (LHW) (2)" sheetId="45" r:id="rId16"/>
    <sheet name="CAT 330 (LHW) (3)" sheetId="46" r:id="rId17"/>
    <sheet name="CAT 330 (LHW) (4)" sheetId="47" r:id="rId18"/>
    <sheet name="CAT 330 (WCH)" sheetId="17" r:id="rId19"/>
    <sheet name="CAT 330 (WCH) (2)" sheetId="39" r:id="rId20"/>
    <sheet name="CAT 330 (WCH) (3)" sheetId="40" r:id="rId21"/>
    <sheet name="CAT 330 (WCH) (4)" sheetId="41" r:id="rId22"/>
    <sheet name="CAT 330 (WCH) (5)" sheetId="42" r:id="rId23"/>
    <sheet name="CAT 330 (WCH) (6)" sheetId="43" r:id="rId24"/>
    <sheet name="CAT 336F L (RKB)" sheetId="18" r:id="rId25"/>
    <sheet name="CAT D3 (1PJ)" sheetId="19" r:id="rId26"/>
    <sheet name="CAT D4 (66J)" sheetId="20" r:id="rId27"/>
    <sheet name="CAT D5 (3CR)" sheetId="21" r:id="rId28"/>
    <sheet name="CAT D5 (3CR) (2)" sheetId="38" r:id="rId29"/>
    <sheet name="CAT D6 (RDC)" sheetId="22" r:id="rId30"/>
    <sheet name="CAT D6N LGP (GHS)" sheetId="29" r:id="rId31"/>
    <sheet name="CAT D6N LGP (PBA)" sheetId="28" r:id="rId32"/>
    <sheet name="CAT D6N LGP (PBA) (2)" sheetId="37" r:id="rId33"/>
    <sheet name="CAT D6N LGP (SGG)" sheetId="27" r:id="rId34"/>
    <sheet name="CAT D6N LGP (SGG) (2)" sheetId="36" r:id="rId35"/>
    <sheet name="CAT D6T (MH7)" sheetId="26" r:id="rId36"/>
    <sheet name="CAT D7G (92V)" sheetId="25" r:id="rId37"/>
    <sheet name="CAT 561N (CPH)" sheetId="24" r:id="rId38"/>
    <sheet name="CAT 561N (CPH) (2)" sheetId="32" r:id="rId39"/>
    <sheet name="CAT 561N (CPH) (3)" sheetId="33" r:id="rId40"/>
    <sheet name="CAT 561N (CPH) (4)" sheetId="34" r:id="rId41"/>
    <sheet name="CAT 561N (CPH) (5)" sheetId="35" r:id="rId42"/>
    <sheet name="CAT PL61 (WGS)" sheetId="23" r:id="rId43"/>
    <sheet name="CAT PL61 (WGS) (2)" sheetId="30" r:id="rId44"/>
    <sheet name="CAT PL61 (WGS) (3)" sheetId="31" r:id="rId45"/>
    <sheet name="OEM Template" sheetId="8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1" i="51" l="1"/>
  <c r="F61" i="51"/>
  <c r="E61" i="51"/>
  <c r="K60" i="51"/>
  <c r="J60" i="51"/>
  <c r="G60" i="51"/>
  <c r="L59" i="51"/>
  <c r="K59" i="51"/>
  <c r="J59" i="51"/>
  <c r="R58" i="51"/>
  <c r="U58" i="51" s="1"/>
  <c r="K58" i="51"/>
  <c r="V58" i="51" s="1"/>
  <c r="J58" i="51"/>
  <c r="L58" i="51" s="1"/>
  <c r="T58" i="51" s="1"/>
  <c r="S58" i="51" s="1"/>
  <c r="G58" i="51"/>
  <c r="K57" i="51"/>
  <c r="J57" i="51"/>
  <c r="G57" i="51"/>
  <c r="L56" i="51"/>
  <c r="K56" i="51"/>
  <c r="J56" i="51"/>
  <c r="R55" i="51"/>
  <c r="U55" i="51" s="1"/>
  <c r="K55" i="51"/>
  <c r="V55" i="51" s="1"/>
  <c r="J55" i="51"/>
  <c r="L55" i="51" s="1"/>
  <c r="T55" i="51" s="1"/>
  <c r="S55" i="51" s="1"/>
  <c r="G55" i="51"/>
  <c r="K54" i="51"/>
  <c r="J54" i="51"/>
  <c r="G54" i="51"/>
  <c r="L53" i="51"/>
  <c r="K53" i="51"/>
  <c r="J53" i="51"/>
  <c r="R52" i="51"/>
  <c r="U52" i="51" s="1"/>
  <c r="K52" i="51"/>
  <c r="V52" i="51" s="1"/>
  <c r="J52" i="51"/>
  <c r="L52" i="51" s="1"/>
  <c r="T52" i="51" s="1"/>
  <c r="S52" i="51" s="1"/>
  <c r="G52" i="51"/>
  <c r="K51" i="51"/>
  <c r="J51" i="51"/>
  <c r="G51" i="51"/>
  <c r="L50" i="51"/>
  <c r="K50" i="51"/>
  <c r="J50" i="51"/>
  <c r="R49" i="51"/>
  <c r="U49" i="51" s="1"/>
  <c r="K49" i="51"/>
  <c r="V49" i="51" s="1"/>
  <c r="J49" i="51"/>
  <c r="L49" i="51" s="1"/>
  <c r="T49" i="51" s="1"/>
  <c r="S49" i="51" s="1"/>
  <c r="G49" i="51"/>
  <c r="K48" i="51"/>
  <c r="J48" i="51"/>
  <c r="G48" i="51"/>
  <c r="L47" i="51"/>
  <c r="K47" i="51"/>
  <c r="J47" i="51"/>
  <c r="R46" i="51"/>
  <c r="U46" i="51" s="1"/>
  <c r="K46" i="51"/>
  <c r="V46" i="51" s="1"/>
  <c r="J46" i="51"/>
  <c r="L46" i="51" s="1"/>
  <c r="T46" i="51" s="1"/>
  <c r="S46" i="51" s="1"/>
  <c r="G46" i="51"/>
  <c r="K45" i="51"/>
  <c r="J45" i="51"/>
  <c r="G45" i="51"/>
  <c r="L44" i="51"/>
  <c r="K44" i="51"/>
  <c r="J44" i="51"/>
  <c r="R43" i="51"/>
  <c r="U43" i="51" s="1"/>
  <c r="K43" i="51"/>
  <c r="V43" i="51" s="1"/>
  <c r="J43" i="51"/>
  <c r="L43" i="51" s="1"/>
  <c r="T43" i="51" s="1"/>
  <c r="S43" i="51" s="1"/>
  <c r="G43" i="51"/>
  <c r="K42" i="51"/>
  <c r="J42" i="51"/>
  <c r="G42" i="51"/>
  <c r="K41" i="51"/>
  <c r="L41" i="51" s="1"/>
  <c r="J41" i="51"/>
  <c r="R40" i="51"/>
  <c r="U40" i="51" s="1"/>
  <c r="K40" i="51"/>
  <c r="V40" i="51" s="1"/>
  <c r="J40" i="51"/>
  <c r="L40" i="51" s="1"/>
  <c r="T40" i="51" s="1"/>
  <c r="S40" i="51" s="1"/>
  <c r="G40" i="51"/>
  <c r="K39" i="51"/>
  <c r="J39" i="51"/>
  <c r="G39" i="51"/>
  <c r="L38" i="51"/>
  <c r="K38" i="51"/>
  <c r="J38" i="51"/>
  <c r="R37" i="51"/>
  <c r="K37" i="51"/>
  <c r="V37" i="51" s="1"/>
  <c r="J37" i="51"/>
  <c r="G37" i="51"/>
  <c r="K36" i="51"/>
  <c r="J36" i="51"/>
  <c r="G36" i="51"/>
  <c r="L35" i="51"/>
  <c r="K35" i="51"/>
  <c r="J35" i="51"/>
  <c r="R34" i="51"/>
  <c r="U34" i="51" s="1"/>
  <c r="K34" i="51"/>
  <c r="V34" i="51" s="1"/>
  <c r="J34" i="51"/>
  <c r="L34" i="51" s="1"/>
  <c r="T34" i="51" s="1"/>
  <c r="S34" i="51" s="1"/>
  <c r="G34" i="51"/>
  <c r="K33" i="51"/>
  <c r="J33" i="51"/>
  <c r="G33" i="51"/>
  <c r="L32" i="51"/>
  <c r="K32" i="51"/>
  <c r="J32" i="51"/>
  <c r="R31" i="51"/>
  <c r="U31" i="51" s="1"/>
  <c r="K31" i="51"/>
  <c r="V31" i="51" s="1"/>
  <c r="J31" i="51"/>
  <c r="L31" i="51" s="1"/>
  <c r="T31" i="51" s="1"/>
  <c r="S31" i="51" s="1"/>
  <c r="G31" i="51"/>
  <c r="K30" i="51"/>
  <c r="J30" i="51"/>
  <c r="G30" i="51"/>
  <c r="L29" i="51"/>
  <c r="K29" i="51"/>
  <c r="J29" i="51"/>
  <c r="R28" i="51"/>
  <c r="U28" i="51" s="1"/>
  <c r="K28" i="51"/>
  <c r="V28" i="51" s="1"/>
  <c r="J28" i="51"/>
  <c r="L28" i="51" s="1"/>
  <c r="T28" i="51" s="1"/>
  <c r="S28" i="51" s="1"/>
  <c r="G28" i="51"/>
  <c r="K27" i="51"/>
  <c r="J27" i="51"/>
  <c r="G27" i="51"/>
  <c r="J26" i="51"/>
  <c r="R25" i="51"/>
  <c r="U25" i="51" s="1"/>
  <c r="K25" i="51"/>
  <c r="V25" i="51" s="1"/>
  <c r="J25" i="51"/>
  <c r="L25" i="51" s="1"/>
  <c r="T25" i="51" s="1"/>
  <c r="S25" i="51" s="1"/>
  <c r="G25" i="51"/>
  <c r="K24" i="51"/>
  <c r="J24" i="51"/>
  <c r="G24" i="51"/>
  <c r="L23" i="51"/>
  <c r="K23" i="51"/>
  <c r="J23" i="51"/>
  <c r="R22" i="51"/>
  <c r="U22" i="51" s="1"/>
  <c r="K22" i="51"/>
  <c r="V22" i="51" s="1"/>
  <c r="J22" i="51"/>
  <c r="L22" i="51" s="1"/>
  <c r="T22" i="51" s="1"/>
  <c r="S22" i="51" s="1"/>
  <c r="G22" i="51"/>
  <c r="K21" i="51"/>
  <c r="J21" i="51"/>
  <c r="G21" i="51"/>
  <c r="L20" i="51"/>
  <c r="K20" i="51"/>
  <c r="J20" i="51"/>
  <c r="R19" i="51"/>
  <c r="U19" i="51" s="1"/>
  <c r="K19" i="51"/>
  <c r="V19" i="51" s="1"/>
  <c r="J19" i="51"/>
  <c r="L19" i="51" s="1"/>
  <c r="T19" i="51" s="1"/>
  <c r="S19" i="51" s="1"/>
  <c r="G19" i="51"/>
  <c r="K18" i="51"/>
  <c r="J18" i="51"/>
  <c r="J61" i="51" s="1"/>
  <c r="G18" i="51"/>
  <c r="R17" i="51"/>
  <c r="R59" i="51" s="1"/>
  <c r="H17" i="51"/>
  <c r="H60" i="51" s="1"/>
  <c r="G17" i="51"/>
  <c r="H59" i="51" s="1"/>
  <c r="D15" i="51"/>
  <c r="G59" i="51" s="1"/>
  <c r="P10" i="51"/>
  <c r="P8" i="51"/>
  <c r="P1" i="51"/>
  <c r="Q61" i="50"/>
  <c r="F61" i="50"/>
  <c r="E61" i="50"/>
  <c r="K60" i="50"/>
  <c r="J60" i="50"/>
  <c r="L60" i="50" s="1"/>
  <c r="K59" i="50"/>
  <c r="L59" i="50" s="1"/>
  <c r="J59" i="50"/>
  <c r="R58" i="50"/>
  <c r="K58" i="50"/>
  <c r="V58" i="50" s="1"/>
  <c r="J58" i="50"/>
  <c r="L58" i="50" s="1"/>
  <c r="T58" i="50" s="1"/>
  <c r="S58" i="50" s="1"/>
  <c r="K57" i="50"/>
  <c r="J57" i="50"/>
  <c r="L57" i="50" s="1"/>
  <c r="K56" i="50"/>
  <c r="L56" i="50" s="1"/>
  <c r="J56" i="50"/>
  <c r="R55" i="50"/>
  <c r="K55" i="50"/>
  <c r="V55" i="50" s="1"/>
  <c r="J55" i="50"/>
  <c r="L55" i="50" s="1"/>
  <c r="T55" i="50" s="1"/>
  <c r="S55" i="50" s="1"/>
  <c r="K54" i="50"/>
  <c r="J54" i="50"/>
  <c r="L54" i="50" s="1"/>
  <c r="K53" i="50"/>
  <c r="L53" i="50" s="1"/>
  <c r="J53" i="50"/>
  <c r="R52" i="50"/>
  <c r="K52" i="50"/>
  <c r="V52" i="50" s="1"/>
  <c r="J52" i="50"/>
  <c r="L52" i="50" s="1"/>
  <c r="T52" i="50" s="1"/>
  <c r="S52" i="50" s="1"/>
  <c r="K51" i="50"/>
  <c r="J51" i="50"/>
  <c r="L51" i="50" s="1"/>
  <c r="K50" i="50"/>
  <c r="L50" i="50" s="1"/>
  <c r="J50" i="50"/>
  <c r="R49" i="50"/>
  <c r="K49" i="50"/>
  <c r="V49" i="50" s="1"/>
  <c r="J49" i="50"/>
  <c r="L49" i="50" s="1"/>
  <c r="T49" i="50" s="1"/>
  <c r="S49" i="50" s="1"/>
  <c r="K48" i="50"/>
  <c r="J48" i="50"/>
  <c r="L48" i="50" s="1"/>
  <c r="K47" i="50"/>
  <c r="L47" i="50" s="1"/>
  <c r="J47" i="50"/>
  <c r="R46" i="50"/>
  <c r="K46" i="50"/>
  <c r="V46" i="50" s="1"/>
  <c r="J46" i="50"/>
  <c r="L46" i="50" s="1"/>
  <c r="T46" i="50" s="1"/>
  <c r="S46" i="50" s="1"/>
  <c r="K45" i="50"/>
  <c r="J45" i="50"/>
  <c r="L45" i="50" s="1"/>
  <c r="K44" i="50"/>
  <c r="L44" i="50" s="1"/>
  <c r="J44" i="50"/>
  <c r="R43" i="50"/>
  <c r="K43" i="50"/>
  <c r="V43" i="50" s="1"/>
  <c r="J43" i="50"/>
  <c r="L43" i="50" s="1"/>
  <c r="T43" i="50" s="1"/>
  <c r="S43" i="50" s="1"/>
  <c r="K42" i="50"/>
  <c r="J42" i="50"/>
  <c r="L42" i="50" s="1"/>
  <c r="K41" i="50"/>
  <c r="L41" i="50" s="1"/>
  <c r="J41" i="50"/>
  <c r="R40" i="50"/>
  <c r="K40" i="50"/>
  <c r="V40" i="50" s="1"/>
  <c r="J40" i="50"/>
  <c r="L40" i="50" s="1"/>
  <c r="T40" i="50" s="1"/>
  <c r="S40" i="50" s="1"/>
  <c r="K39" i="50"/>
  <c r="J39" i="50"/>
  <c r="L39" i="50" s="1"/>
  <c r="K38" i="50"/>
  <c r="L38" i="50" s="1"/>
  <c r="J38" i="50"/>
  <c r="R37" i="50"/>
  <c r="K37" i="50"/>
  <c r="V37" i="50" s="1"/>
  <c r="J37" i="50"/>
  <c r="L37" i="50" s="1"/>
  <c r="T37" i="50" s="1"/>
  <c r="S37" i="50" s="1"/>
  <c r="K36" i="50"/>
  <c r="J36" i="50"/>
  <c r="L36" i="50" s="1"/>
  <c r="K35" i="50"/>
  <c r="J35" i="50"/>
  <c r="L35" i="50" s="1"/>
  <c r="R34" i="50"/>
  <c r="K34" i="50"/>
  <c r="L34" i="50" s="1"/>
  <c r="T34" i="50" s="1"/>
  <c r="S34" i="50" s="1"/>
  <c r="J34" i="50"/>
  <c r="K33" i="50"/>
  <c r="J33" i="50"/>
  <c r="L33" i="50" s="1"/>
  <c r="K32" i="50"/>
  <c r="J32" i="50"/>
  <c r="L32" i="50" s="1"/>
  <c r="R31" i="50"/>
  <c r="K31" i="50"/>
  <c r="L31" i="50" s="1"/>
  <c r="T31" i="50" s="1"/>
  <c r="S31" i="50" s="1"/>
  <c r="J31" i="50"/>
  <c r="K30" i="50"/>
  <c r="J30" i="50"/>
  <c r="L30" i="50" s="1"/>
  <c r="K29" i="50"/>
  <c r="L29" i="50" s="1"/>
  <c r="J29" i="50"/>
  <c r="R28" i="50"/>
  <c r="K28" i="50"/>
  <c r="V28" i="50" s="1"/>
  <c r="J28" i="50"/>
  <c r="L28" i="50" s="1"/>
  <c r="T28" i="50" s="1"/>
  <c r="S28" i="50" s="1"/>
  <c r="K27" i="50"/>
  <c r="J27" i="50"/>
  <c r="L27" i="50" s="1"/>
  <c r="K26" i="50"/>
  <c r="J26" i="50"/>
  <c r="L26" i="50" s="1"/>
  <c r="R25" i="50"/>
  <c r="K25" i="50" s="1"/>
  <c r="J25" i="50"/>
  <c r="K24" i="50"/>
  <c r="J24" i="50"/>
  <c r="L24" i="50" s="1"/>
  <c r="K23" i="50"/>
  <c r="J23" i="50"/>
  <c r="L23" i="50" s="1"/>
  <c r="R22" i="50"/>
  <c r="K22" i="50"/>
  <c r="V22" i="50" s="1"/>
  <c r="J22" i="50"/>
  <c r="L22" i="50" s="1"/>
  <c r="T22" i="50" s="1"/>
  <c r="S22" i="50" s="1"/>
  <c r="K21" i="50"/>
  <c r="J21" i="50"/>
  <c r="L21" i="50" s="1"/>
  <c r="K20" i="50"/>
  <c r="J20" i="50"/>
  <c r="L20" i="50" s="1"/>
  <c r="R19" i="50"/>
  <c r="K19" i="50"/>
  <c r="L19" i="50" s="1"/>
  <c r="T19" i="50" s="1"/>
  <c r="S19" i="50" s="1"/>
  <c r="J19" i="50"/>
  <c r="K18" i="50"/>
  <c r="J18" i="50"/>
  <c r="J61" i="50" s="1"/>
  <c r="R17" i="50"/>
  <c r="R59" i="50" s="1"/>
  <c r="H17" i="50"/>
  <c r="H60" i="50" s="1"/>
  <c r="G17" i="50"/>
  <c r="H47" i="50" s="1"/>
  <c r="D15" i="50"/>
  <c r="G59" i="50" s="1"/>
  <c r="P10" i="50"/>
  <c r="P1" i="50"/>
  <c r="P8" i="50" s="1"/>
  <c r="Q61" i="49"/>
  <c r="F61" i="49"/>
  <c r="E61" i="49"/>
  <c r="K60" i="49"/>
  <c r="J60" i="49"/>
  <c r="L60" i="49" s="1"/>
  <c r="T60" i="49" s="1"/>
  <c r="S60" i="49" s="1"/>
  <c r="G60" i="49"/>
  <c r="T59" i="49"/>
  <c r="S59" i="49" s="1"/>
  <c r="R59" i="49"/>
  <c r="L59" i="49"/>
  <c r="K59" i="49"/>
  <c r="V59" i="49" s="1"/>
  <c r="J59" i="49"/>
  <c r="R58" i="49"/>
  <c r="K58" i="49"/>
  <c r="V58" i="49" s="1"/>
  <c r="J58" i="49"/>
  <c r="L58" i="49" s="1"/>
  <c r="T58" i="49" s="1"/>
  <c r="S58" i="49" s="1"/>
  <c r="K57" i="49"/>
  <c r="J57" i="49"/>
  <c r="L57" i="49" s="1"/>
  <c r="G57" i="49"/>
  <c r="T56" i="49"/>
  <c r="S56" i="49" s="1"/>
  <c r="R56" i="49"/>
  <c r="L56" i="49"/>
  <c r="K56" i="49"/>
  <c r="V56" i="49" s="1"/>
  <c r="J56" i="49"/>
  <c r="R55" i="49"/>
  <c r="K55" i="49"/>
  <c r="V55" i="49" s="1"/>
  <c r="J55" i="49"/>
  <c r="L55" i="49" s="1"/>
  <c r="T55" i="49" s="1"/>
  <c r="S55" i="49" s="1"/>
  <c r="K54" i="49"/>
  <c r="J54" i="49"/>
  <c r="L54" i="49" s="1"/>
  <c r="G54" i="49"/>
  <c r="T53" i="49"/>
  <c r="S53" i="49" s="1"/>
  <c r="R53" i="49"/>
  <c r="L53" i="49"/>
  <c r="K53" i="49"/>
  <c r="V53" i="49" s="1"/>
  <c r="J53" i="49"/>
  <c r="R52" i="49"/>
  <c r="K52" i="49"/>
  <c r="V52" i="49" s="1"/>
  <c r="J52" i="49"/>
  <c r="L52" i="49" s="1"/>
  <c r="T52" i="49" s="1"/>
  <c r="S52" i="49" s="1"/>
  <c r="K51" i="49"/>
  <c r="J51" i="49"/>
  <c r="L51" i="49" s="1"/>
  <c r="G51" i="49"/>
  <c r="T50" i="49"/>
  <c r="S50" i="49" s="1"/>
  <c r="R50" i="49"/>
  <c r="L50" i="49"/>
  <c r="K50" i="49"/>
  <c r="V50" i="49" s="1"/>
  <c r="J50" i="49"/>
  <c r="R49" i="49"/>
  <c r="K49" i="49"/>
  <c r="V49" i="49" s="1"/>
  <c r="J49" i="49"/>
  <c r="L49" i="49" s="1"/>
  <c r="T49" i="49" s="1"/>
  <c r="S49" i="49" s="1"/>
  <c r="K48" i="49"/>
  <c r="J48" i="49"/>
  <c r="L48" i="49" s="1"/>
  <c r="G48" i="49"/>
  <c r="T47" i="49"/>
  <c r="S47" i="49" s="1"/>
  <c r="R47" i="49"/>
  <c r="L47" i="49"/>
  <c r="K47" i="49"/>
  <c r="V47" i="49" s="1"/>
  <c r="J47" i="49"/>
  <c r="R46" i="49"/>
  <c r="K46" i="49"/>
  <c r="V46" i="49" s="1"/>
  <c r="J46" i="49"/>
  <c r="L46" i="49" s="1"/>
  <c r="T46" i="49" s="1"/>
  <c r="S46" i="49" s="1"/>
  <c r="K45" i="49"/>
  <c r="J45" i="49"/>
  <c r="L45" i="49" s="1"/>
  <c r="G45" i="49"/>
  <c r="T44" i="49"/>
  <c r="S44" i="49" s="1"/>
  <c r="R44" i="49"/>
  <c r="L44" i="49"/>
  <c r="K44" i="49"/>
  <c r="V44" i="49" s="1"/>
  <c r="J44" i="49"/>
  <c r="R43" i="49"/>
  <c r="K43" i="49"/>
  <c r="V43" i="49" s="1"/>
  <c r="J43" i="49"/>
  <c r="L43" i="49" s="1"/>
  <c r="T43" i="49" s="1"/>
  <c r="S43" i="49" s="1"/>
  <c r="K42" i="49"/>
  <c r="J42" i="49"/>
  <c r="L42" i="49" s="1"/>
  <c r="G42" i="49"/>
  <c r="T41" i="49"/>
  <c r="S41" i="49" s="1"/>
  <c r="R41" i="49"/>
  <c r="L41" i="49"/>
  <c r="K41" i="49"/>
  <c r="V41" i="49" s="1"/>
  <c r="J41" i="49"/>
  <c r="R40" i="49"/>
  <c r="K40" i="49"/>
  <c r="V40" i="49" s="1"/>
  <c r="J40" i="49"/>
  <c r="L40" i="49" s="1"/>
  <c r="T40" i="49" s="1"/>
  <c r="S40" i="49" s="1"/>
  <c r="K39" i="49"/>
  <c r="J39" i="49"/>
  <c r="L39" i="49" s="1"/>
  <c r="G39" i="49"/>
  <c r="T38" i="49"/>
  <c r="S38" i="49" s="1"/>
  <c r="R38" i="49"/>
  <c r="L38" i="49"/>
  <c r="K38" i="49"/>
  <c r="V38" i="49" s="1"/>
  <c r="J38" i="49"/>
  <c r="R37" i="49"/>
  <c r="K37" i="49"/>
  <c r="V37" i="49" s="1"/>
  <c r="J37" i="49"/>
  <c r="L37" i="49" s="1"/>
  <c r="T37" i="49" s="1"/>
  <c r="S37" i="49" s="1"/>
  <c r="K36" i="49"/>
  <c r="J36" i="49"/>
  <c r="L36" i="49" s="1"/>
  <c r="G36" i="49"/>
  <c r="T35" i="49"/>
  <c r="S35" i="49" s="1"/>
  <c r="R35" i="49"/>
  <c r="L35" i="49"/>
  <c r="K35" i="49"/>
  <c r="V35" i="49" s="1"/>
  <c r="J35" i="49"/>
  <c r="R34" i="49"/>
  <c r="K34" i="49"/>
  <c r="V34" i="49" s="1"/>
  <c r="J34" i="49"/>
  <c r="L34" i="49" s="1"/>
  <c r="T34" i="49" s="1"/>
  <c r="S34" i="49" s="1"/>
  <c r="K33" i="49"/>
  <c r="J33" i="49"/>
  <c r="L33" i="49" s="1"/>
  <c r="G33" i="49"/>
  <c r="T32" i="49"/>
  <c r="S32" i="49" s="1"/>
  <c r="R32" i="49"/>
  <c r="L32" i="49"/>
  <c r="K32" i="49"/>
  <c r="V32" i="49" s="1"/>
  <c r="J32" i="49"/>
  <c r="R31" i="49"/>
  <c r="K31" i="49"/>
  <c r="V31" i="49" s="1"/>
  <c r="J31" i="49"/>
  <c r="L31" i="49" s="1"/>
  <c r="T31" i="49" s="1"/>
  <c r="S31" i="49" s="1"/>
  <c r="K30" i="49"/>
  <c r="J30" i="49"/>
  <c r="L30" i="49" s="1"/>
  <c r="G30" i="49"/>
  <c r="T29" i="49"/>
  <c r="S29" i="49" s="1"/>
  <c r="R29" i="49"/>
  <c r="L29" i="49"/>
  <c r="K29" i="49"/>
  <c r="V29" i="49" s="1"/>
  <c r="J29" i="49"/>
  <c r="R28" i="49"/>
  <c r="K28" i="49"/>
  <c r="V28" i="49" s="1"/>
  <c r="J28" i="49"/>
  <c r="L28" i="49" s="1"/>
  <c r="T28" i="49" s="1"/>
  <c r="S28" i="49" s="1"/>
  <c r="K27" i="49"/>
  <c r="J27" i="49"/>
  <c r="L27" i="49" s="1"/>
  <c r="G27" i="49"/>
  <c r="T26" i="49"/>
  <c r="S26" i="49" s="1"/>
  <c r="R26" i="49"/>
  <c r="L26" i="49"/>
  <c r="K26" i="49"/>
  <c r="V26" i="49" s="1"/>
  <c r="J26" i="49"/>
  <c r="R25" i="49"/>
  <c r="K25" i="49" s="1"/>
  <c r="J25" i="49"/>
  <c r="K24" i="49"/>
  <c r="J24" i="49"/>
  <c r="L24" i="49" s="1"/>
  <c r="G24" i="49"/>
  <c r="T23" i="49"/>
  <c r="S23" i="49" s="1"/>
  <c r="R23" i="49"/>
  <c r="L23" i="49"/>
  <c r="K23" i="49"/>
  <c r="V23" i="49" s="1"/>
  <c r="J23" i="49"/>
  <c r="R22" i="49"/>
  <c r="K22" i="49"/>
  <c r="V22" i="49" s="1"/>
  <c r="J22" i="49"/>
  <c r="L22" i="49" s="1"/>
  <c r="T22" i="49" s="1"/>
  <c r="S22" i="49" s="1"/>
  <c r="K21" i="49"/>
  <c r="J21" i="49"/>
  <c r="L21" i="49" s="1"/>
  <c r="G21" i="49"/>
  <c r="T20" i="49"/>
  <c r="S20" i="49" s="1"/>
  <c r="R20" i="49"/>
  <c r="L20" i="49"/>
  <c r="K20" i="49"/>
  <c r="V20" i="49" s="1"/>
  <c r="J20" i="49"/>
  <c r="R19" i="49"/>
  <c r="K19" i="49"/>
  <c r="V19" i="49" s="1"/>
  <c r="J19" i="49"/>
  <c r="L19" i="49" s="1"/>
  <c r="T19" i="49" s="1"/>
  <c r="S19" i="49" s="1"/>
  <c r="K18" i="49"/>
  <c r="J18" i="49"/>
  <c r="J61" i="49" s="1"/>
  <c r="G18" i="49"/>
  <c r="R17" i="49"/>
  <c r="R60" i="49" s="1"/>
  <c r="H17" i="49"/>
  <c r="H58" i="49" s="1"/>
  <c r="G17" i="49"/>
  <c r="H60" i="49" s="1"/>
  <c r="D15" i="49"/>
  <c r="G59" i="49" s="1"/>
  <c r="P10" i="49"/>
  <c r="P8" i="49"/>
  <c r="P1" i="49"/>
  <c r="Q61" i="48"/>
  <c r="F61" i="48"/>
  <c r="E61" i="48"/>
  <c r="K60" i="48"/>
  <c r="J60" i="48"/>
  <c r="L60" i="48" s="1"/>
  <c r="H60" i="48"/>
  <c r="G60" i="48"/>
  <c r="R59" i="48"/>
  <c r="L59" i="48"/>
  <c r="T59" i="48" s="1"/>
  <c r="S59" i="48" s="1"/>
  <c r="K59" i="48"/>
  <c r="V59" i="48" s="1"/>
  <c r="J59" i="48"/>
  <c r="K58" i="48"/>
  <c r="J58" i="48"/>
  <c r="L58" i="48" s="1"/>
  <c r="K57" i="48"/>
  <c r="J57" i="48"/>
  <c r="L57" i="48" s="1"/>
  <c r="H57" i="48"/>
  <c r="G57" i="48"/>
  <c r="R56" i="48"/>
  <c r="L56" i="48"/>
  <c r="T56" i="48" s="1"/>
  <c r="S56" i="48" s="1"/>
  <c r="K56" i="48"/>
  <c r="V56" i="48" s="1"/>
  <c r="J56" i="48"/>
  <c r="K55" i="48"/>
  <c r="J55" i="48"/>
  <c r="L55" i="48" s="1"/>
  <c r="K54" i="48"/>
  <c r="J54" i="48"/>
  <c r="L54" i="48" s="1"/>
  <c r="H54" i="48"/>
  <c r="G54" i="48"/>
  <c r="R53" i="48"/>
  <c r="L53" i="48"/>
  <c r="T53" i="48" s="1"/>
  <c r="S53" i="48" s="1"/>
  <c r="K53" i="48"/>
  <c r="V53" i="48" s="1"/>
  <c r="J53" i="48"/>
  <c r="K52" i="48"/>
  <c r="J52" i="48"/>
  <c r="L52" i="48" s="1"/>
  <c r="K51" i="48"/>
  <c r="J51" i="48"/>
  <c r="L51" i="48" s="1"/>
  <c r="H51" i="48"/>
  <c r="G51" i="48"/>
  <c r="R50" i="48"/>
  <c r="L50" i="48"/>
  <c r="T50" i="48" s="1"/>
  <c r="S50" i="48" s="1"/>
  <c r="K50" i="48"/>
  <c r="V50" i="48" s="1"/>
  <c r="J50" i="48"/>
  <c r="K49" i="48"/>
  <c r="J49" i="48"/>
  <c r="L49" i="48" s="1"/>
  <c r="K48" i="48"/>
  <c r="J48" i="48"/>
  <c r="L48" i="48" s="1"/>
  <c r="H48" i="48"/>
  <c r="G48" i="48"/>
  <c r="R47" i="48"/>
  <c r="L47" i="48"/>
  <c r="T47" i="48" s="1"/>
  <c r="S47" i="48" s="1"/>
  <c r="K47" i="48"/>
  <c r="V47" i="48" s="1"/>
  <c r="J47" i="48"/>
  <c r="K46" i="48"/>
  <c r="J46" i="48"/>
  <c r="L46" i="48" s="1"/>
  <c r="K45" i="48"/>
  <c r="J45" i="48"/>
  <c r="L45" i="48" s="1"/>
  <c r="H45" i="48"/>
  <c r="G45" i="48"/>
  <c r="R44" i="48"/>
  <c r="L44" i="48"/>
  <c r="T44" i="48" s="1"/>
  <c r="S44" i="48" s="1"/>
  <c r="K44" i="48"/>
  <c r="V44" i="48" s="1"/>
  <c r="J44" i="48"/>
  <c r="K43" i="48"/>
  <c r="J43" i="48"/>
  <c r="L43" i="48" s="1"/>
  <c r="K42" i="48"/>
  <c r="J42" i="48"/>
  <c r="L42" i="48" s="1"/>
  <c r="H42" i="48"/>
  <c r="G42" i="48"/>
  <c r="R41" i="48"/>
  <c r="L41" i="48"/>
  <c r="T41" i="48" s="1"/>
  <c r="S41" i="48" s="1"/>
  <c r="K41" i="48"/>
  <c r="V41" i="48" s="1"/>
  <c r="J41" i="48"/>
  <c r="K40" i="48"/>
  <c r="J40" i="48"/>
  <c r="L40" i="48" s="1"/>
  <c r="K39" i="48"/>
  <c r="J39" i="48"/>
  <c r="L39" i="48" s="1"/>
  <c r="H39" i="48"/>
  <c r="G39" i="48"/>
  <c r="R38" i="48"/>
  <c r="L38" i="48"/>
  <c r="T38" i="48" s="1"/>
  <c r="S38" i="48" s="1"/>
  <c r="K38" i="48"/>
  <c r="V38" i="48" s="1"/>
  <c r="J38" i="48"/>
  <c r="K37" i="48"/>
  <c r="J37" i="48"/>
  <c r="L37" i="48" s="1"/>
  <c r="K36" i="48"/>
  <c r="J36" i="48"/>
  <c r="L36" i="48" s="1"/>
  <c r="H36" i="48"/>
  <c r="G36" i="48"/>
  <c r="R35" i="48"/>
  <c r="L35" i="48"/>
  <c r="T35" i="48" s="1"/>
  <c r="S35" i="48" s="1"/>
  <c r="K35" i="48"/>
  <c r="V35" i="48" s="1"/>
  <c r="J35" i="48"/>
  <c r="K34" i="48"/>
  <c r="J34" i="48"/>
  <c r="L34" i="48" s="1"/>
  <c r="K33" i="48"/>
  <c r="J33" i="48"/>
  <c r="L33" i="48" s="1"/>
  <c r="H33" i="48"/>
  <c r="G33" i="48"/>
  <c r="R32" i="48"/>
  <c r="L32" i="48"/>
  <c r="T32" i="48" s="1"/>
  <c r="S32" i="48" s="1"/>
  <c r="K32" i="48"/>
  <c r="V32" i="48" s="1"/>
  <c r="J32" i="48"/>
  <c r="K31" i="48"/>
  <c r="J31" i="48"/>
  <c r="L31" i="48" s="1"/>
  <c r="K30" i="48"/>
  <c r="J30" i="48"/>
  <c r="L30" i="48" s="1"/>
  <c r="H30" i="48"/>
  <c r="G30" i="48"/>
  <c r="R29" i="48"/>
  <c r="L29" i="48"/>
  <c r="T29" i="48" s="1"/>
  <c r="S29" i="48" s="1"/>
  <c r="K29" i="48"/>
  <c r="V29" i="48" s="1"/>
  <c r="J29" i="48"/>
  <c r="K28" i="48"/>
  <c r="J28" i="48"/>
  <c r="L28" i="48" s="1"/>
  <c r="K27" i="48"/>
  <c r="J27" i="48"/>
  <c r="L27" i="48" s="1"/>
  <c r="H27" i="48"/>
  <c r="G27" i="48"/>
  <c r="R26" i="48"/>
  <c r="L26" i="48"/>
  <c r="T26" i="48" s="1"/>
  <c r="S26" i="48" s="1"/>
  <c r="K26" i="48"/>
  <c r="V26" i="48" s="1"/>
  <c r="J26" i="48"/>
  <c r="J25" i="48"/>
  <c r="K24" i="48"/>
  <c r="J24" i="48"/>
  <c r="L24" i="48" s="1"/>
  <c r="H24" i="48"/>
  <c r="G24" i="48"/>
  <c r="R23" i="48"/>
  <c r="L23" i="48"/>
  <c r="T23" i="48" s="1"/>
  <c r="S23" i="48" s="1"/>
  <c r="K23" i="48"/>
  <c r="V23" i="48" s="1"/>
  <c r="J23" i="48"/>
  <c r="K22" i="48"/>
  <c r="J22" i="48"/>
  <c r="L22" i="48" s="1"/>
  <c r="H22" i="48"/>
  <c r="K21" i="48"/>
  <c r="J21" i="48"/>
  <c r="L21" i="48" s="1"/>
  <c r="H21" i="48"/>
  <c r="G21" i="48"/>
  <c r="R20" i="48"/>
  <c r="L20" i="48"/>
  <c r="T20" i="48" s="1"/>
  <c r="S20" i="48" s="1"/>
  <c r="K20" i="48"/>
  <c r="V20" i="48" s="1"/>
  <c r="J20" i="48"/>
  <c r="K19" i="48"/>
  <c r="J19" i="48"/>
  <c r="L19" i="48" s="1"/>
  <c r="H19" i="48"/>
  <c r="K18" i="48"/>
  <c r="J18" i="48"/>
  <c r="J61" i="48" s="1"/>
  <c r="H18" i="48"/>
  <c r="G18" i="48"/>
  <c r="R17" i="48"/>
  <c r="R60" i="48" s="1"/>
  <c r="U60" i="48" s="1"/>
  <c r="H17" i="48"/>
  <c r="G17" i="48"/>
  <c r="H58" i="48" s="1"/>
  <c r="D15" i="48"/>
  <c r="G53" i="48" s="1"/>
  <c r="P10" i="48"/>
  <c r="P8" i="48"/>
  <c r="P1" i="48"/>
  <c r="Q61" i="47"/>
  <c r="F61" i="47"/>
  <c r="E61" i="47"/>
  <c r="K60" i="47"/>
  <c r="J60" i="47"/>
  <c r="L60" i="47" s="1"/>
  <c r="G60" i="47"/>
  <c r="L59" i="47"/>
  <c r="K59" i="47"/>
  <c r="V59" i="47" s="1"/>
  <c r="J59" i="47"/>
  <c r="H59" i="47"/>
  <c r="R58" i="47"/>
  <c r="U58" i="47" s="1"/>
  <c r="K58" i="47"/>
  <c r="V58" i="47" s="1"/>
  <c r="J58" i="47"/>
  <c r="L58" i="47" s="1"/>
  <c r="T58" i="47" s="1"/>
  <c r="S58" i="47" s="1"/>
  <c r="K57" i="47"/>
  <c r="J57" i="47"/>
  <c r="L57" i="47" s="1"/>
  <c r="G57" i="47"/>
  <c r="L56" i="47"/>
  <c r="K56" i="47"/>
  <c r="J56" i="47"/>
  <c r="R55" i="47"/>
  <c r="U55" i="47" s="1"/>
  <c r="K55" i="47"/>
  <c r="V55" i="47" s="1"/>
  <c r="J55" i="47"/>
  <c r="L55" i="47" s="1"/>
  <c r="T55" i="47" s="1"/>
  <c r="S55" i="47" s="1"/>
  <c r="K54" i="47"/>
  <c r="J54" i="47"/>
  <c r="L54" i="47" s="1"/>
  <c r="G54" i="47"/>
  <c r="K53" i="47"/>
  <c r="L53" i="47" s="1"/>
  <c r="J53" i="47"/>
  <c r="R52" i="47"/>
  <c r="K52" i="47"/>
  <c r="V52" i="47" s="1"/>
  <c r="J52" i="47"/>
  <c r="L52" i="47" s="1"/>
  <c r="T52" i="47" s="1"/>
  <c r="S52" i="47" s="1"/>
  <c r="K51" i="47"/>
  <c r="J51" i="47"/>
  <c r="L51" i="47" s="1"/>
  <c r="G51" i="47"/>
  <c r="K50" i="47"/>
  <c r="L50" i="47" s="1"/>
  <c r="J50" i="47"/>
  <c r="R49" i="47"/>
  <c r="K49" i="47"/>
  <c r="V49" i="47" s="1"/>
  <c r="J49" i="47"/>
  <c r="L49" i="47" s="1"/>
  <c r="T49" i="47" s="1"/>
  <c r="S49" i="47" s="1"/>
  <c r="K48" i="47"/>
  <c r="J48" i="47"/>
  <c r="L48" i="47" s="1"/>
  <c r="G48" i="47"/>
  <c r="K47" i="47"/>
  <c r="L47" i="47" s="1"/>
  <c r="J47" i="47"/>
  <c r="R46" i="47"/>
  <c r="K46" i="47"/>
  <c r="V46" i="47" s="1"/>
  <c r="J46" i="47"/>
  <c r="L46" i="47" s="1"/>
  <c r="T46" i="47" s="1"/>
  <c r="S46" i="47" s="1"/>
  <c r="K45" i="47"/>
  <c r="J45" i="47"/>
  <c r="L45" i="47" s="1"/>
  <c r="G45" i="47"/>
  <c r="K44" i="47"/>
  <c r="L44" i="47" s="1"/>
  <c r="J44" i="47"/>
  <c r="R43" i="47"/>
  <c r="K43" i="47"/>
  <c r="V43" i="47" s="1"/>
  <c r="J43" i="47"/>
  <c r="L43" i="47" s="1"/>
  <c r="T43" i="47" s="1"/>
  <c r="S43" i="47" s="1"/>
  <c r="K42" i="47"/>
  <c r="J42" i="47"/>
  <c r="L42" i="47" s="1"/>
  <c r="G42" i="47"/>
  <c r="K41" i="47"/>
  <c r="L41" i="47" s="1"/>
  <c r="J41" i="47"/>
  <c r="R40" i="47"/>
  <c r="K40" i="47"/>
  <c r="V40" i="47" s="1"/>
  <c r="J40" i="47"/>
  <c r="L40" i="47" s="1"/>
  <c r="T40" i="47" s="1"/>
  <c r="S40" i="47" s="1"/>
  <c r="K39" i="47"/>
  <c r="J39" i="47"/>
  <c r="L39" i="47" s="1"/>
  <c r="G39" i="47"/>
  <c r="K38" i="47"/>
  <c r="L38" i="47" s="1"/>
  <c r="J38" i="47"/>
  <c r="R37" i="47"/>
  <c r="K37" i="47"/>
  <c r="V37" i="47" s="1"/>
  <c r="J37" i="47"/>
  <c r="L37" i="47" s="1"/>
  <c r="T37" i="47" s="1"/>
  <c r="S37" i="47" s="1"/>
  <c r="K36" i="47"/>
  <c r="J36" i="47"/>
  <c r="L36" i="47" s="1"/>
  <c r="G36" i="47"/>
  <c r="K35" i="47"/>
  <c r="L35" i="47" s="1"/>
  <c r="J35" i="47"/>
  <c r="R34" i="47"/>
  <c r="K34" i="47"/>
  <c r="V34" i="47" s="1"/>
  <c r="J34" i="47"/>
  <c r="L34" i="47" s="1"/>
  <c r="T34" i="47" s="1"/>
  <c r="S34" i="47" s="1"/>
  <c r="K33" i="47"/>
  <c r="J33" i="47"/>
  <c r="L33" i="47" s="1"/>
  <c r="G33" i="47"/>
  <c r="K32" i="47"/>
  <c r="L32" i="47" s="1"/>
  <c r="J32" i="47"/>
  <c r="R31" i="47"/>
  <c r="K31" i="47"/>
  <c r="V31" i="47" s="1"/>
  <c r="J31" i="47"/>
  <c r="L31" i="47" s="1"/>
  <c r="T31" i="47" s="1"/>
  <c r="S31" i="47" s="1"/>
  <c r="K30" i="47"/>
  <c r="J30" i="47"/>
  <c r="L30" i="47" s="1"/>
  <c r="G30" i="47"/>
  <c r="K29" i="47"/>
  <c r="L29" i="47" s="1"/>
  <c r="J29" i="47"/>
  <c r="R28" i="47"/>
  <c r="K28" i="47"/>
  <c r="V28" i="47" s="1"/>
  <c r="J28" i="47"/>
  <c r="L28" i="47" s="1"/>
  <c r="T28" i="47" s="1"/>
  <c r="S28" i="47" s="1"/>
  <c r="K27" i="47"/>
  <c r="J27" i="47"/>
  <c r="L27" i="47" s="1"/>
  <c r="G27" i="47"/>
  <c r="J26" i="47"/>
  <c r="R25" i="47"/>
  <c r="K25" i="47"/>
  <c r="V25" i="47" s="1"/>
  <c r="J25" i="47"/>
  <c r="L25" i="47" s="1"/>
  <c r="T25" i="47" s="1"/>
  <c r="S25" i="47" s="1"/>
  <c r="K24" i="47"/>
  <c r="J24" i="47"/>
  <c r="L24" i="47" s="1"/>
  <c r="G24" i="47"/>
  <c r="K23" i="47"/>
  <c r="L23" i="47" s="1"/>
  <c r="J23" i="47"/>
  <c r="R22" i="47"/>
  <c r="K22" i="47"/>
  <c r="V22" i="47" s="1"/>
  <c r="J22" i="47"/>
  <c r="L22" i="47" s="1"/>
  <c r="T22" i="47" s="1"/>
  <c r="S22" i="47" s="1"/>
  <c r="K21" i="47"/>
  <c r="J21" i="47"/>
  <c r="L21" i="47" s="1"/>
  <c r="G21" i="47"/>
  <c r="K20" i="47"/>
  <c r="L20" i="47" s="1"/>
  <c r="J20" i="47"/>
  <c r="R19" i="47"/>
  <c r="K19" i="47"/>
  <c r="V19" i="47" s="1"/>
  <c r="J19" i="47"/>
  <c r="L19" i="47" s="1"/>
  <c r="T19" i="47" s="1"/>
  <c r="S19" i="47" s="1"/>
  <c r="K18" i="47"/>
  <c r="J18" i="47"/>
  <c r="J61" i="47" s="1"/>
  <c r="G18" i="47"/>
  <c r="R17" i="47"/>
  <c r="R59" i="47" s="1"/>
  <c r="T59" i="47" s="1"/>
  <c r="S59" i="47" s="1"/>
  <c r="H17" i="47"/>
  <c r="G17" i="47"/>
  <c r="H60" i="47" s="1"/>
  <c r="D15" i="47"/>
  <c r="G59" i="47" s="1"/>
  <c r="P10" i="47"/>
  <c r="P1" i="47"/>
  <c r="P8" i="47" s="1"/>
  <c r="Q61" i="46"/>
  <c r="F61" i="46"/>
  <c r="E61" i="46"/>
  <c r="K60" i="46"/>
  <c r="J60" i="46"/>
  <c r="L60" i="46" s="1"/>
  <c r="G60" i="46"/>
  <c r="L59" i="46"/>
  <c r="K59" i="46"/>
  <c r="V59" i="46" s="1"/>
  <c r="J59" i="46"/>
  <c r="R58" i="46"/>
  <c r="K58" i="46"/>
  <c r="V58" i="46" s="1"/>
  <c r="J58" i="46"/>
  <c r="L58" i="46" s="1"/>
  <c r="T58" i="46" s="1"/>
  <c r="S58" i="46" s="1"/>
  <c r="K57" i="46"/>
  <c r="J57" i="46"/>
  <c r="L57" i="46" s="1"/>
  <c r="G57" i="46"/>
  <c r="L56" i="46"/>
  <c r="K56" i="46"/>
  <c r="J56" i="46"/>
  <c r="R55" i="46"/>
  <c r="K55" i="46"/>
  <c r="V55" i="46" s="1"/>
  <c r="J55" i="46"/>
  <c r="L55" i="46" s="1"/>
  <c r="T55" i="46" s="1"/>
  <c r="S55" i="46" s="1"/>
  <c r="K54" i="46"/>
  <c r="J54" i="46"/>
  <c r="L54" i="46" s="1"/>
  <c r="G54" i="46"/>
  <c r="L53" i="46"/>
  <c r="K53" i="46"/>
  <c r="J53" i="46"/>
  <c r="R52" i="46"/>
  <c r="K52" i="46"/>
  <c r="V52" i="46" s="1"/>
  <c r="J52" i="46"/>
  <c r="L52" i="46" s="1"/>
  <c r="T52" i="46" s="1"/>
  <c r="S52" i="46" s="1"/>
  <c r="K51" i="46"/>
  <c r="J51" i="46"/>
  <c r="L51" i="46" s="1"/>
  <c r="G51" i="46"/>
  <c r="L50" i="46"/>
  <c r="K50" i="46"/>
  <c r="J50" i="46"/>
  <c r="R49" i="46"/>
  <c r="K49" i="46"/>
  <c r="V49" i="46" s="1"/>
  <c r="J49" i="46"/>
  <c r="L49" i="46" s="1"/>
  <c r="T49" i="46" s="1"/>
  <c r="S49" i="46" s="1"/>
  <c r="K48" i="46"/>
  <c r="J48" i="46"/>
  <c r="L48" i="46" s="1"/>
  <c r="G48" i="46"/>
  <c r="L47" i="46"/>
  <c r="K47" i="46"/>
  <c r="J47" i="46"/>
  <c r="R46" i="46"/>
  <c r="K46" i="46"/>
  <c r="V46" i="46" s="1"/>
  <c r="J46" i="46"/>
  <c r="L46" i="46" s="1"/>
  <c r="T46" i="46" s="1"/>
  <c r="S46" i="46" s="1"/>
  <c r="K45" i="46"/>
  <c r="J45" i="46"/>
  <c r="L45" i="46" s="1"/>
  <c r="G45" i="46"/>
  <c r="L44" i="46"/>
  <c r="K44" i="46"/>
  <c r="J44" i="46"/>
  <c r="R43" i="46"/>
  <c r="K43" i="46"/>
  <c r="V43" i="46" s="1"/>
  <c r="J43" i="46"/>
  <c r="L43" i="46" s="1"/>
  <c r="T43" i="46" s="1"/>
  <c r="S43" i="46" s="1"/>
  <c r="K42" i="46"/>
  <c r="J42" i="46"/>
  <c r="L42" i="46" s="1"/>
  <c r="G42" i="46"/>
  <c r="L41" i="46"/>
  <c r="K41" i="46"/>
  <c r="J41" i="46"/>
  <c r="R40" i="46"/>
  <c r="K40" i="46"/>
  <c r="V40" i="46" s="1"/>
  <c r="J40" i="46"/>
  <c r="L40" i="46" s="1"/>
  <c r="T40" i="46" s="1"/>
  <c r="S40" i="46" s="1"/>
  <c r="K39" i="46"/>
  <c r="J39" i="46"/>
  <c r="G39" i="46"/>
  <c r="L38" i="46"/>
  <c r="K38" i="46"/>
  <c r="J38" i="46"/>
  <c r="R37" i="46"/>
  <c r="K37" i="46"/>
  <c r="V37" i="46" s="1"/>
  <c r="J37" i="46"/>
  <c r="L37" i="46" s="1"/>
  <c r="T37" i="46" s="1"/>
  <c r="S37" i="46" s="1"/>
  <c r="K36" i="46"/>
  <c r="J36" i="46"/>
  <c r="G36" i="46"/>
  <c r="L35" i="46"/>
  <c r="K35" i="46"/>
  <c r="J35" i="46"/>
  <c r="R34" i="46"/>
  <c r="K34" i="46"/>
  <c r="V34" i="46" s="1"/>
  <c r="J34" i="46"/>
  <c r="L34" i="46" s="1"/>
  <c r="T34" i="46" s="1"/>
  <c r="S34" i="46" s="1"/>
  <c r="K33" i="46"/>
  <c r="J33" i="46"/>
  <c r="G33" i="46"/>
  <c r="L32" i="46"/>
  <c r="K32" i="46"/>
  <c r="J32" i="46"/>
  <c r="R31" i="46"/>
  <c r="K31" i="46"/>
  <c r="V31" i="46" s="1"/>
  <c r="J31" i="46"/>
  <c r="L31" i="46" s="1"/>
  <c r="T31" i="46" s="1"/>
  <c r="S31" i="46" s="1"/>
  <c r="K30" i="46"/>
  <c r="J30" i="46"/>
  <c r="G30" i="46"/>
  <c r="L29" i="46"/>
  <c r="K29" i="46"/>
  <c r="J29" i="46"/>
  <c r="R28" i="46"/>
  <c r="K28" i="46"/>
  <c r="V28" i="46" s="1"/>
  <c r="J28" i="46"/>
  <c r="L28" i="46" s="1"/>
  <c r="T28" i="46" s="1"/>
  <c r="S28" i="46" s="1"/>
  <c r="K27" i="46"/>
  <c r="J27" i="46"/>
  <c r="G27" i="46"/>
  <c r="J26" i="46"/>
  <c r="R25" i="46"/>
  <c r="K25" i="46"/>
  <c r="V25" i="46" s="1"/>
  <c r="J25" i="46"/>
  <c r="L25" i="46" s="1"/>
  <c r="T25" i="46" s="1"/>
  <c r="S25" i="46" s="1"/>
  <c r="K24" i="46"/>
  <c r="J24" i="46"/>
  <c r="L24" i="46" s="1"/>
  <c r="G24" i="46"/>
  <c r="L23" i="46"/>
  <c r="K23" i="46"/>
  <c r="J23" i="46"/>
  <c r="R22" i="46"/>
  <c r="K22" i="46"/>
  <c r="V22" i="46" s="1"/>
  <c r="J22" i="46"/>
  <c r="L22" i="46" s="1"/>
  <c r="T22" i="46" s="1"/>
  <c r="S22" i="46" s="1"/>
  <c r="K21" i="46"/>
  <c r="J21" i="46"/>
  <c r="L21" i="46" s="1"/>
  <c r="G21" i="46"/>
  <c r="L20" i="46"/>
  <c r="K20" i="46"/>
  <c r="J20" i="46"/>
  <c r="R19" i="46"/>
  <c r="K19" i="46"/>
  <c r="V19" i="46" s="1"/>
  <c r="J19" i="46"/>
  <c r="L19" i="46" s="1"/>
  <c r="T19" i="46" s="1"/>
  <c r="S19" i="46" s="1"/>
  <c r="K18" i="46"/>
  <c r="J18" i="46"/>
  <c r="J61" i="46" s="1"/>
  <c r="G18" i="46"/>
  <c r="R17" i="46"/>
  <c r="R59" i="46" s="1"/>
  <c r="H17" i="46"/>
  <c r="H60" i="46" s="1"/>
  <c r="G17" i="46"/>
  <c r="H27" i="46" s="1"/>
  <c r="D15" i="46"/>
  <c r="G59" i="46" s="1"/>
  <c r="P10" i="46"/>
  <c r="P8" i="46"/>
  <c r="P1" i="46"/>
  <c r="Q61" i="45"/>
  <c r="F61" i="45"/>
  <c r="E61" i="45"/>
  <c r="P10" i="45" s="1"/>
  <c r="K60" i="45"/>
  <c r="J60" i="45"/>
  <c r="G60" i="45"/>
  <c r="K59" i="45"/>
  <c r="J59" i="45"/>
  <c r="L59" i="45" s="1"/>
  <c r="T59" i="45" s="1"/>
  <c r="S59" i="45" s="1"/>
  <c r="R58" i="45"/>
  <c r="U58" i="45" s="1"/>
  <c r="K58" i="45"/>
  <c r="V58" i="45" s="1"/>
  <c r="J58" i="45"/>
  <c r="L58" i="45" s="1"/>
  <c r="T58" i="45" s="1"/>
  <c r="S58" i="45" s="1"/>
  <c r="G58" i="45"/>
  <c r="K57" i="45"/>
  <c r="J57" i="45"/>
  <c r="G57" i="45"/>
  <c r="K56" i="45"/>
  <c r="J56" i="45"/>
  <c r="L56" i="45" s="1"/>
  <c r="R55" i="45"/>
  <c r="U55" i="45" s="1"/>
  <c r="K55" i="45"/>
  <c r="V55" i="45" s="1"/>
  <c r="J55" i="45"/>
  <c r="L55" i="45" s="1"/>
  <c r="T55" i="45" s="1"/>
  <c r="S55" i="45" s="1"/>
  <c r="G55" i="45"/>
  <c r="K54" i="45"/>
  <c r="J54" i="45"/>
  <c r="G54" i="45"/>
  <c r="K53" i="45"/>
  <c r="J53" i="45"/>
  <c r="L53" i="45" s="1"/>
  <c r="R52" i="45"/>
  <c r="U52" i="45" s="1"/>
  <c r="K52" i="45"/>
  <c r="V52" i="45" s="1"/>
  <c r="J52" i="45"/>
  <c r="L52" i="45" s="1"/>
  <c r="T52" i="45" s="1"/>
  <c r="S52" i="45" s="1"/>
  <c r="G52" i="45"/>
  <c r="K51" i="45"/>
  <c r="J51" i="45"/>
  <c r="G51" i="45"/>
  <c r="K50" i="45"/>
  <c r="J50" i="45"/>
  <c r="L50" i="45" s="1"/>
  <c r="R49" i="45"/>
  <c r="U49" i="45" s="1"/>
  <c r="K49" i="45"/>
  <c r="V49" i="45" s="1"/>
  <c r="J49" i="45"/>
  <c r="L49" i="45" s="1"/>
  <c r="T49" i="45" s="1"/>
  <c r="S49" i="45" s="1"/>
  <c r="G49" i="45"/>
  <c r="K48" i="45"/>
  <c r="J48" i="45"/>
  <c r="G48" i="45"/>
  <c r="K47" i="45"/>
  <c r="J47" i="45"/>
  <c r="L47" i="45" s="1"/>
  <c r="R46" i="45"/>
  <c r="U46" i="45" s="1"/>
  <c r="K46" i="45"/>
  <c r="V46" i="45" s="1"/>
  <c r="J46" i="45"/>
  <c r="L46" i="45" s="1"/>
  <c r="T46" i="45" s="1"/>
  <c r="S46" i="45" s="1"/>
  <c r="G46" i="45"/>
  <c r="K45" i="45"/>
  <c r="J45" i="45"/>
  <c r="G45" i="45"/>
  <c r="K44" i="45"/>
  <c r="J44" i="45"/>
  <c r="L44" i="45" s="1"/>
  <c r="R43" i="45"/>
  <c r="U43" i="45" s="1"/>
  <c r="K43" i="45"/>
  <c r="V43" i="45" s="1"/>
  <c r="J43" i="45"/>
  <c r="L43" i="45" s="1"/>
  <c r="T43" i="45" s="1"/>
  <c r="S43" i="45" s="1"/>
  <c r="G43" i="45"/>
  <c r="K42" i="45"/>
  <c r="J42" i="45"/>
  <c r="G42" i="45"/>
  <c r="K41" i="45"/>
  <c r="J41" i="45"/>
  <c r="L41" i="45" s="1"/>
  <c r="R40" i="45"/>
  <c r="U40" i="45" s="1"/>
  <c r="K40" i="45"/>
  <c r="V40" i="45" s="1"/>
  <c r="J40" i="45"/>
  <c r="L40" i="45" s="1"/>
  <c r="T40" i="45" s="1"/>
  <c r="S40" i="45" s="1"/>
  <c r="G40" i="45"/>
  <c r="K39" i="45"/>
  <c r="J39" i="45"/>
  <c r="G39" i="45"/>
  <c r="K38" i="45"/>
  <c r="J38" i="45"/>
  <c r="L38" i="45" s="1"/>
  <c r="R37" i="45"/>
  <c r="U37" i="45" s="1"/>
  <c r="K37" i="45"/>
  <c r="V37" i="45" s="1"/>
  <c r="J37" i="45"/>
  <c r="L37" i="45" s="1"/>
  <c r="T37" i="45" s="1"/>
  <c r="S37" i="45" s="1"/>
  <c r="G37" i="45"/>
  <c r="K36" i="45"/>
  <c r="J36" i="45"/>
  <c r="G36" i="45"/>
  <c r="K35" i="45"/>
  <c r="J35" i="45"/>
  <c r="L35" i="45" s="1"/>
  <c r="R34" i="45"/>
  <c r="U34" i="45" s="1"/>
  <c r="K34" i="45"/>
  <c r="V34" i="45" s="1"/>
  <c r="J34" i="45"/>
  <c r="L34" i="45" s="1"/>
  <c r="T34" i="45" s="1"/>
  <c r="S34" i="45" s="1"/>
  <c r="G34" i="45"/>
  <c r="K33" i="45"/>
  <c r="J33" i="45"/>
  <c r="G33" i="45"/>
  <c r="K32" i="45"/>
  <c r="J32" i="45"/>
  <c r="L32" i="45" s="1"/>
  <c r="R31" i="45"/>
  <c r="U31" i="45" s="1"/>
  <c r="K31" i="45"/>
  <c r="V31" i="45" s="1"/>
  <c r="J31" i="45"/>
  <c r="L31" i="45" s="1"/>
  <c r="T31" i="45" s="1"/>
  <c r="S31" i="45" s="1"/>
  <c r="G31" i="45"/>
  <c r="K30" i="45"/>
  <c r="J30" i="45"/>
  <c r="G30" i="45"/>
  <c r="K29" i="45"/>
  <c r="J29" i="45"/>
  <c r="L29" i="45" s="1"/>
  <c r="R28" i="45"/>
  <c r="U28" i="45" s="1"/>
  <c r="K28" i="45"/>
  <c r="V28" i="45" s="1"/>
  <c r="J28" i="45"/>
  <c r="L28" i="45" s="1"/>
  <c r="T28" i="45" s="1"/>
  <c r="S28" i="45" s="1"/>
  <c r="G28" i="45"/>
  <c r="K27" i="45"/>
  <c r="J27" i="45"/>
  <c r="G27" i="45"/>
  <c r="J26" i="45"/>
  <c r="R25" i="45"/>
  <c r="U25" i="45" s="1"/>
  <c r="K25" i="45"/>
  <c r="V25" i="45" s="1"/>
  <c r="J25" i="45"/>
  <c r="L25" i="45" s="1"/>
  <c r="T25" i="45" s="1"/>
  <c r="S25" i="45" s="1"/>
  <c r="G25" i="45"/>
  <c r="K24" i="45"/>
  <c r="J24" i="45"/>
  <c r="G24" i="45"/>
  <c r="K23" i="45"/>
  <c r="J23" i="45"/>
  <c r="L23" i="45" s="1"/>
  <c r="R22" i="45"/>
  <c r="U22" i="45" s="1"/>
  <c r="K22" i="45"/>
  <c r="V22" i="45" s="1"/>
  <c r="J22" i="45"/>
  <c r="L22" i="45" s="1"/>
  <c r="T22" i="45" s="1"/>
  <c r="S22" i="45" s="1"/>
  <c r="G22" i="45"/>
  <c r="K21" i="45"/>
  <c r="J21" i="45"/>
  <c r="G21" i="45"/>
  <c r="K20" i="45"/>
  <c r="J20" i="45"/>
  <c r="L20" i="45" s="1"/>
  <c r="R19" i="45"/>
  <c r="U19" i="45" s="1"/>
  <c r="K19" i="45"/>
  <c r="V19" i="45" s="1"/>
  <c r="J19" i="45"/>
  <c r="L19" i="45" s="1"/>
  <c r="T19" i="45" s="1"/>
  <c r="S19" i="45" s="1"/>
  <c r="G19" i="45"/>
  <c r="K18" i="45"/>
  <c r="J18" i="45"/>
  <c r="J61" i="45" s="1"/>
  <c r="G18" i="45"/>
  <c r="R17" i="45"/>
  <c r="R59" i="45" s="1"/>
  <c r="U59" i="45" s="1"/>
  <c r="H17" i="45"/>
  <c r="H60" i="45" s="1"/>
  <c r="G17" i="45"/>
  <c r="H50" i="45" s="1"/>
  <c r="D15" i="45"/>
  <c r="G59" i="45" s="1"/>
  <c r="P8" i="45"/>
  <c r="P1" i="45"/>
  <c r="Q61" i="43"/>
  <c r="F61" i="43"/>
  <c r="E61" i="43"/>
  <c r="K60" i="43"/>
  <c r="J60" i="43"/>
  <c r="L60" i="43" s="1"/>
  <c r="H60" i="43"/>
  <c r="G60" i="43"/>
  <c r="R59" i="43"/>
  <c r="L59" i="43"/>
  <c r="T59" i="43" s="1"/>
  <c r="S59" i="43" s="1"/>
  <c r="K59" i="43"/>
  <c r="V59" i="43" s="1"/>
  <c r="J59" i="43"/>
  <c r="K58" i="43"/>
  <c r="J58" i="43"/>
  <c r="L58" i="43" s="1"/>
  <c r="K57" i="43"/>
  <c r="J57" i="43"/>
  <c r="L57" i="43" s="1"/>
  <c r="H57" i="43"/>
  <c r="G57" i="43"/>
  <c r="R56" i="43"/>
  <c r="L56" i="43"/>
  <c r="T56" i="43" s="1"/>
  <c r="S56" i="43" s="1"/>
  <c r="K56" i="43"/>
  <c r="V56" i="43" s="1"/>
  <c r="J56" i="43"/>
  <c r="K55" i="43"/>
  <c r="J55" i="43"/>
  <c r="L55" i="43" s="1"/>
  <c r="K54" i="43"/>
  <c r="J54" i="43"/>
  <c r="L54" i="43" s="1"/>
  <c r="H54" i="43"/>
  <c r="G54" i="43"/>
  <c r="R53" i="43"/>
  <c r="L53" i="43"/>
  <c r="T53" i="43" s="1"/>
  <c r="S53" i="43" s="1"/>
  <c r="K53" i="43"/>
  <c r="V53" i="43" s="1"/>
  <c r="J53" i="43"/>
  <c r="U52" i="43"/>
  <c r="R52" i="43"/>
  <c r="K52" i="43"/>
  <c r="V52" i="43" s="1"/>
  <c r="J52" i="43"/>
  <c r="L52" i="43" s="1"/>
  <c r="T52" i="43" s="1"/>
  <c r="S52" i="43" s="1"/>
  <c r="K51" i="43"/>
  <c r="J51" i="43"/>
  <c r="L51" i="43" s="1"/>
  <c r="H51" i="43"/>
  <c r="G51" i="43"/>
  <c r="R50" i="43"/>
  <c r="L50" i="43"/>
  <c r="T50" i="43" s="1"/>
  <c r="S50" i="43" s="1"/>
  <c r="K50" i="43"/>
  <c r="V50" i="43" s="1"/>
  <c r="J50" i="43"/>
  <c r="U49" i="43"/>
  <c r="R49" i="43"/>
  <c r="K49" i="43"/>
  <c r="V49" i="43" s="1"/>
  <c r="J49" i="43"/>
  <c r="L49" i="43" s="1"/>
  <c r="T49" i="43" s="1"/>
  <c r="S49" i="43" s="1"/>
  <c r="K48" i="43"/>
  <c r="J48" i="43"/>
  <c r="H48" i="43"/>
  <c r="G48" i="43"/>
  <c r="R47" i="43"/>
  <c r="L47" i="43"/>
  <c r="T47" i="43" s="1"/>
  <c r="S47" i="43" s="1"/>
  <c r="K47" i="43"/>
  <c r="V47" i="43" s="1"/>
  <c r="J47" i="43"/>
  <c r="R46" i="43"/>
  <c r="K46" i="43"/>
  <c r="V46" i="43" s="1"/>
  <c r="J46" i="43"/>
  <c r="L46" i="43" s="1"/>
  <c r="T46" i="43" s="1"/>
  <c r="S46" i="43" s="1"/>
  <c r="K45" i="43"/>
  <c r="J45" i="43"/>
  <c r="L45" i="43" s="1"/>
  <c r="H45" i="43"/>
  <c r="G45" i="43"/>
  <c r="R44" i="43"/>
  <c r="L44" i="43"/>
  <c r="T44" i="43" s="1"/>
  <c r="S44" i="43" s="1"/>
  <c r="K44" i="43"/>
  <c r="V44" i="43" s="1"/>
  <c r="J44" i="43"/>
  <c r="R43" i="43"/>
  <c r="K43" i="43"/>
  <c r="V43" i="43" s="1"/>
  <c r="J43" i="43"/>
  <c r="L43" i="43" s="1"/>
  <c r="T43" i="43" s="1"/>
  <c r="S43" i="43" s="1"/>
  <c r="K42" i="43"/>
  <c r="J42" i="43"/>
  <c r="L42" i="43" s="1"/>
  <c r="H42" i="43"/>
  <c r="G42" i="43"/>
  <c r="R41" i="43"/>
  <c r="L41" i="43"/>
  <c r="T41" i="43" s="1"/>
  <c r="S41" i="43" s="1"/>
  <c r="K41" i="43"/>
  <c r="V41" i="43" s="1"/>
  <c r="J41" i="43"/>
  <c r="U40" i="43"/>
  <c r="R40" i="43"/>
  <c r="K40" i="43"/>
  <c r="V40" i="43" s="1"/>
  <c r="J40" i="43"/>
  <c r="L40" i="43" s="1"/>
  <c r="T40" i="43" s="1"/>
  <c r="S40" i="43" s="1"/>
  <c r="K39" i="43"/>
  <c r="J39" i="43"/>
  <c r="L39" i="43" s="1"/>
  <c r="H39" i="43"/>
  <c r="G39" i="43"/>
  <c r="R38" i="43"/>
  <c r="L38" i="43"/>
  <c r="T38" i="43" s="1"/>
  <c r="S38" i="43" s="1"/>
  <c r="K38" i="43"/>
  <c r="V38" i="43" s="1"/>
  <c r="J38" i="43"/>
  <c r="R37" i="43"/>
  <c r="K37" i="43"/>
  <c r="V37" i="43" s="1"/>
  <c r="J37" i="43"/>
  <c r="L37" i="43" s="1"/>
  <c r="T37" i="43" s="1"/>
  <c r="S37" i="43" s="1"/>
  <c r="K36" i="43"/>
  <c r="J36" i="43"/>
  <c r="H36" i="43"/>
  <c r="G36" i="43"/>
  <c r="R35" i="43"/>
  <c r="L35" i="43"/>
  <c r="T35" i="43" s="1"/>
  <c r="S35" i="43" s="1"/>
  <c r="K35" i="43"/>
  <c r="V35" i="43" s="1"/>
  <c r="J35" i="43"/>
  <c r="R34" i="43"/>
  <c r="K34" i="43"/>
  <c r="V34" i="43" s="1"/>
  <c r="J34" i="43"/>
  <c r="L34" i="43" s="1"/>
  <c r="T34" i="43" s="1"/>
  <c r="S34" i="43" s="1"/>
  <c r="K33" i="43"/>
  <c r="J33" i="43"/>
  <c r="H33" i="43"/>
  <c r="G33" i="43"/>
  <c r="R32" i="43"/>
  <c r="L32" i="43"/>
  <c r="T32" i="43" s="1"/>
  <c r="S32" i="43" s="1"/>
  <c r="K32" i="43"/>
  <c r="V32" i="43" s="1"/>
  <c r="J32" i="43"/>
  <c r="U31" i="43"/>
  <c r="R31" i="43"/>
  <c r="K31" i="43"/>
  <c r="V31" i="43" s="1"/>
  <c r="J31" i="43"/>
  <c r="L31" i="43" s="1"/>
  <c r="T31" i="43" s="1"/>
  <c r="S31" i="43" s="1"/>
  <c r="K30" i="43"/>
  <c r="J30" i="43"/>
  <c r="H30" i="43"/>
  <c r="G30" i="43"/>
  <c r="R29" i="43"/>
  <c r="L29" i="43"/>
  <c r="T29" i="43" s="1"/>
  <c r="S29" i="43" s="1"/>
  <c r="K29" i="43"/>
  <c r="V29" i="43" s="1"/>
  <c r="J29" i="43"/>
  <c r="U28" i="43"/>
  <c r="R28" i="43"/>
  <c r="K28" i="43"/>
  <c r="V28" i="43" s="1"/>
  <c r="J28" i="43"/>
  <c r="L28" i="43" s="1"/>
  <c r="T28" i="43" s="1"/>
  <c r="S28" i="43" s="1"/>
  <c r="K27" i="43"/>
  <c r="J27" i="43"/>
  <c r="L27" i="43" s="1"/>
  <c r="H27" i="43"/>
  <c r="G27" i="43"/>
  <c r="R26" i="43"/>
  <c r="L26" i="43"/>
  <c r="T26" i="43" s="1"/>
  <c r="S26" i="43" s="1"/>
  <c r="K26" i="43"/>
  <c r="V26" i="43" s="1"/>
  <c r="J26" i="43"/>
  <c r="R25" i="43"/>
  <c r="J25" i="43"/>
  <c r="K24" i="43"/>
  <c r="J24" i="43"/>
  <c r="L24" i="43" s="1"/>
  <c r="H24" i="43"/>
  <c r="G24" i="43"/>
  <c r="R23" i="43"/>
  <c r="L23" i="43"/>
  <c r="T23" i="43" s="1"/>
  <c r="S23" i="43" s="1"/>
  <c r="K23" i="43"/>
  <c r="V23" i="43" s="1"/>
  <c r="J23" i="43"/>
  <c r="R22" i="43"/>
  <c r="K22" i="43"/>
  <c r="V22" i="43" s="1"/>
  <c r="J22" i="43"/>
  <c r="L22" i="43" s="1"/>
  <c r="T22" i="43" s="1"/>
  <c r="S22" i="43" s="1"/>
  <c r="K21" i="43"/>
  <c r="J21" i="43"/>
  <c r="L21" i="43" s="1"/>
  <c r="H21" i="43"/>
  <c r="G21" i="43"/>
  <c r="R20" i="43"/>
  <c r="L20" i="43"/>
  <c r="T20" i="43" s="1"/>
  <c r="S20" i="43" s="1"/>
  <c r="K20" i="43"/>
  <c r="V20" i="43" s="1"/>
  <c r="J20" i="43"/>
  <c r="U19" i="43"/>
  <c r="R19" i="43"/>
  <c r="K19" i="43"/>
  <c r="V19" i="43" s="1"/>
  <c r="J19" i="43"/>
  <c r="L19" i="43" s="1"/>
  <c r="T19" i="43" s="1"/>
  <c r="S19" i="43" s="1"/>
  <c r="K18" i="43"/>
  <c r="J18" i="43"/>
  <c r="J61" i="43" s="1"/>
  <c r="H18" i="43"/>
  <c r="G18" i="43"/>
  <c r="R17" i="43"/>
  <c r="R60" i="43" s="1"/>
  <c r="H17" i="43"/>
  <c r="H58" i="43" s="1"/>
  <c r="G17" i="43"/>
  <c r="H56" i="43" s="1"/>
  <c r="D15" i="43"/>
  <c r="G59" i="43" s="1"/>
  <c r="P10" i="43"/>
  <c r="P8" i="43"/>
  <c r="P1" i="43"/>
  <c r="Q61" i="42"/>
  <c r="F61" i="42"/>
  <c r="E61" i="42"/>
  <c r="P10" i="42" s="1"/>
  <c r="K60" i="42"/>
  <c r="J60" i="42"/>
  <c r="K59" i="42"/>
  <c r="V59" i="42" s="1"/>
  <c r="J59" i="42"/>
  <c r="L59" i="42" s="1"/>
  <c r="T59" i="42" s="1"/>
  <c r="S59" i="42" s="1"/>
  <c r="R58" i="42"/>
  <c r="K58" i="42"/>
  <c r="V58" i="42" s="1"/>
  <c r="J58" i="42"/>
  <c r="L58" i="42" s="1"/>
  <c r="T58" i="42" s="1"/>
  <c r="S58" i="42" s="1"/>
  <c r="G58" i="42"/>
  <c r="K57" i="42"/>
  <c r="J57" i="42"/>
  <c r="K56" i="42"/>
  <c r="J56" i="42"/>
  <c r="L56" i="42" s="1"/>
  <c r="R55" i="42"/>
  <c r="K55" i="42"/>
  <c r="V55" i="42" s="1"/>
  <c r="J55" i="42"/>
  <c r="L55" i="42" s="1"/>
  <c r="T55" i="42" s="1"/>
  <c r="S55" i="42" s="1"/>
  <c r="G55" i="42"/>
  <c r="K54" i="42"/>
  <c r="J54" i="42"/>
  <c r="K53" i="42"/>
  <c r="J53" i="42"/>
  <c r="L53" i="42" s="1"/>
  <c r="R52" i="42"/>
  <c r="K52" i="42"/>
  <c r="V52" i="42" s="1"/>
  <c r="J52" i="42"/>
  <c r="L52" i="42" s="1"/>
  <c r="T52" i="42" s="1"/>
  <c r="S52" i="42" s="1"/>
  <c r="G52" i="42"/>
  <c r="K51" i="42"/>
  <c r="J51" i="42"/>
  <c r="K50" i="42"/>
  <c r="J50" i="42"/>
  <c r="L50" i="42" s="1"/>
  <c r="R49" i="42"/>
  <c r="K49" i="42"/>
  <c r="L49" i="42" s="1"/>
  <c r="T49" i="42" s="1"/>
  <c r="S49" i="42" s="1"/>
  <c r="J49" i="42"/>
  <c r="G49" i="42"/>
  <c r="K48" i="42"/>
  <c r="J48" i="42"/>
  <c r="K47" i="42"/>
  <c r="J47" i="42"/>
  <c r="L47" i="42" s="1"/>
  <c r="R46" i="42"/>
  <c r="K46" i="42"/>
  <c r="V46" i="42" s="1"/>
  <c r="J46" i="42"/>
  <c r="L46" i="42" s="1"/>
  <c r="T46" i="42" s="1"/>
  <c r="S46" i="42" s="1"/>
  <c r="G46" i="42"/>
  <c r="K45" i="42"/>
  <c r="J45" i="42"/>
  <c r="K44" i="42"/>
  <c r="J44" i="42"/>
  <c r="L44" i="42" s="1"/>
  <c r="R43" i="42"/>
  <c r="K43" i="42"/>
  <c r="V43" i="42" s="1"/>
  <c r="J43" i="42"/>
  <c r="L43" i="42" s="1"/>
  <c r="T43" i="42" s="1"/>
  <c r="S43" i="42" s="1"/>
  <c r="G43" i="42"/>
  <c r="K42" i="42"/>
  <c r="J42" i="42"/>
  <c r="K41" i="42"/>
  <c r="J41" i="42"/>
  <c r="L41" i="42" s="1"/>
  <c r="R40" i="42"/>
  <c r="K40" i="42"/>
  <c r="V40" i="42" s="1"/>
  <c r="J40" i="42"/>
  <c r="L40" i="42" s="1"/>
  <c r="T40" i="42" s="1"/>
  <c r="S40" i="42" s="1"/>
  <c r="G40" i="42"/>
  <c r="K39" i="42"/>
  <c r="J39" i="42"/>
  <c r="K38" i="42"/>
  <c r="J38" i="42"/>
  <c r="L38" i="42" s="1"/>
  <c r="R37" i="42"/>
  <c r="K37" i="42"/>
  <c r="V37" i="42" s="1"/>
  <c r="J37" i="42"/>
  <c r="L37" i="42" s="1"/>
  <c r="T37" i="42" s="1"/>
  <c r="S37" i="42" s="1"/>
  <c r="G37" i="42"/>
  <c r="K36" i="42"/>
  <c r="J36" i="42"/>
  <c r="K35" i="42"/>
  <c r="J35" i="42"/>
  <c r="L35" i="42" s="1"/>
  <c r="R34" i="42"/>
  <c r="K34" i="42"/>
  <c r="V34" i="42" s="1"/>
  <c r="J34" i="42"/>
  <c r="L34" i="42" s="1"/>
  <c r="T34" i="42" s="1"/>
  <c r="S34" i="42" s="1"/>
  <c r="G34" i="42"/>
  <c r="K33" i="42"/>
  <c r="J33" i="42"/>
  <c r="K32" i="42"/>
  <c r="J32" i="42"/>
  <c r="L32" i="42" s="1"/>
  <c r="R31" i="42"/>
  <c r="K31" i="42"/>
  <c r="V31" i="42" s="1"/>
  <c r="J31" i="42"/>
  <c r="L31" i="42" s="1"/>
  <c r="T31" i="42" s="1"/>
  <c r="S31" i="42" s="1"/>
  <c r="G31" i="42"/>
  <c r="K30" i="42"/>
  <c r="J30" i="42"/>
  <c r="K29" i="42"/>
  <c r="J29" i="42"/>
  <c r="L29" i="42" s="1"/>
  <c r="R28" i="42"/>
  <c r="K28" i="42"/>
  <c r="V28" i="42" s="1"/>
  <c r="J28" i="42"/>
  <c r="L28" i="42" s="1"/>
  <c r="T28" i="42" s="1"/>
  <c r="S28" i="42" s="1"/>
  <c r="G28" i="42"/>
  <c r="K27" i="42"/>
  <c r="J27" i="42"/>
  <c r="K26" i="42"/>
  <c r="J26" i="42"/>
  <c r="L26" i="42" s="1"/>
  <c r="R25" i="42"/>
  <c r="K25" i="42" s="1"/>
  <c r="J25" i="42"/>
  <c r="G25" i="42"/>
  <c r="K24" i="42"/>
  <c r="J24" i="42"/>
  <c r="K23" i="42"/>
  <c r="J23" i="42"/>
  <c r="L23" i="42" s="1"/>
  <c r="R22" i="42"/>
  <c r="K22" i="42"/>
  <c r="V22" i="42" s="1"/>
  <c r="J22" i="42"/>
  <c r="L22" i="42" s="1"/>
  <c r="T22" i="42" s="1"/>
  <c r="S22" i="42" s="1"/>
  <c r="G22" i="42"/>
  <c r="K21" i="42"/>
  <c r="J21" i="42"/>
  <c r="K20" i="42"/>
  <c r="J20" i="42"/>
  <c r="L20" i="42" s="1"/>
  <c r="R19" i="42"/>
  <c r="K19" i="42"/>
  <c r="V19" i="42" s="1"/>
  <c r="J19" i="42"/>
  <c r="L19" i="42" s="1"/>
  <c r="T19" i="42" s="1"/>
  <c r="S19" i="42" s="1"/>
  <c r="G19" i="42"/>
  <c r="K18" i="42"/>
  <c r="J18" i="42"/>
  <c r="J61" i="42" s="1"/>
  <c r="G18" i="42"/>
  <c r="R17" i="42"/>
  <c r="R59" i="42" s="1"/>
  <c r="U59" i="42" s="1"/>
  <c r="H17" i="42"/>
  <c r="H60" i="42" s="1"/>
  <c r="G17" i="42"/>
  <c r="H41" i="42" s="1"/>
  <c r="D15" i="42"/>
  <c r="G59" i="42" s="1"/>
  <c r="P1" i="42"/>
  <c r="P8" i="42" s="1"/>
  <c r="Q61" i="41"/>
  <c r="F61" i="41"/>
  <c r="E61" i="41"/>
  <c r="K60" i="41"/>
  <c r="J60" i="41"/>
  <c r="L60" i="41" s="1"/>
  <c r="K59" i="41"/>
  <c r="L59" i="41" s="1"/>
  <c r="T59" i="41" s="1"/>
  <c r="S59" i="41" s="1"/>
  <c r="J59" i="41"/>
  <c r="R58" i="41"/>
  <c r="K58" i="41"/>
  <c r="L58" i="41" s="1"/>
  <c r="T58" i="41" s="1"/>
  <c r="S58" i="41" s="1"/>
  <c r="J58" i="41"/>
  <c r="K57" i="41"/>
  <c r="J57" i="41"/>
  <c r="L57" i="41" s="1"/>
  <c r="K56" i="41"/>
  <c r="L56" i="41" s="1"/>
  <c r="J56" i="41"/>
  <c r="R55" i="41"/>
  <c r="K55" i="41"/>
  <c r="L55" i="41" s="1"/>
  <c r="T55" i="41" s="1"/>
  <c r="S55" i="41" s="1"/>
  <c r="J55" i="41"/>
  <c r="K54" i="41"/>
  <c r="J54" i="41"/>
  <c r="L54" i="41" s="1"/>
  <c r="K53" i="41"/>
  <c r="J53" i="41"/>
  <c r="L53" i="41" s="1"/>
  <c r="R52" i="41"/>
  <c r="K52" i="41"/>
  <c r="L52" i="41" s="1"/>
  <c r="T52" i="41" s="1"/>
  <c r="S52" i="41" s="1"/>
  <c r="J52" i="41"/>
  <c r="K51" i="41"/>
  <c r="J51" i="41"/>
  <c r="L51" i="41" s="1"/>
  <c r="K50" i="41"/>
  <c r="J50" i="41"/>
  <c r="L50" i="41" s="1"/>
  <c r="R49" i="41"/>
  <c r="K49" i="41"/>
  <c r="L49" i="41" s="1"/>
  <c r="T49" i="41" s="1"/>
  <c r="S49" i="41" s="1"/>
  <c r="J49" i="41"/>
  <c r="K48" i="41"/>
  <c r="J48" i="41"/>
  <c r="L48" i="41" s="1"/>
  <c r="K47" i="41"/>
  <c r="J47" i="41"/>
  <c r="L47" i="41" s="1"/>
  <c r="R46" i="41"/>
  <c r="K46" i="41"/>
  <c r="L46" i="41" s="1"/>
  <c r="T46" i="41" s="1"/>
  <c r="S46" i="41" s="1"/>
  <c r="J46" i="41"/>
  <c r="K45" i="41"/>
  <c r="J45" i="41"/>
  <c r="L45" i="41" s="1"/>
  <c r="R44" i="41"/>
  <c r="K44" i="41"/>
  <c r="V44" i="41" s="1"/>
  <c r="J44" i="41"/>
  <c r="L44" i="41" s="1"/>
  <c r="T44" i="41" s="1"/>
  <c r="S44" i="41" s="1"/>
  <c r="R43" i="41"/>
  <c r="K43" i="41"/>
  <c r="L43" i="41" s="1"/>
  <c r="T43" i="41" s="1"/>
  <c r="S43" i="41" s="1"/>
  <c r="J43" i="41"/>
  <c r="K42" i="41"/>
  <c r="J42" i="41"/>
  <c r="L42" i="41" s="1"/>
  <c r="R41" i="41"/>
  <c r="K41" i="41"/>
  <c r="V41" i="41" s="1"/>
  <c r="J41" i="41"/>
  <c r="L41" i="41" s="1"/>
  <c r="T41" i="41" s="1"/>
  <c r="S41" i="41" s="1"/>
  <c r="R40" i="41"/>
  <c r="K40" i="41"/>
  <c r="L40" i="41" s="1"/>
  <c r="T40" i="41" s="1"/>
  <c r="S40" i="41" s="1"/>
  <c r="J40" i="41"/>
  <c r="K39" i="41"/>
  <c r="J39" i="41"/>
  <c r="L39" i="41" s="1"/>
  <c r="R38" i="41"/>
  <c r="K38" i="41"/>
  <c r="L38" i="41" s="1"/>
  <c r="T38" i="41" s="1"/>
  <c r="S38" i="41" s="1"/>
  <c r="J38" i="41"/>
  <c r="R37" i="41"/>
  <c r="K37" i="41"/>
  <c r="L37" i="41" s="1"/>
  <c r="T37" i="41" s="1"/>
  <c r="S37" i="41" s="1"/>
  <c r="J37" i="41"/>
  <c r="K36" i="41"/>
  <c r="J36" i="41"/>
  <c r="L36" i="41" s="1"/>
  <c r="R35" i="41"/>
  <c r="K35" i="41"/>
  <c r="V35" i="41" s="1"/>
  <c r="J35" i="41"/>
  <c r="L35" i="41" s="1"/>
  <c r="T35" i="41" s="1"/>
  <c r="S35" i="41" s="1"/>
  <c r="R34" i="41"/>
  <c r="K34" i="41"/>
  <c r="L34" i="41" s="1"/>
  <c r="T34" i="41" s="1"/>
  <c r="S34" i="41" s="1"/>
  <c r="J34" i="41"/>
  <c r="K33" i="41"/>
  <c r="J33" i="41"/>
  <c r="L33" i="41" s="1"/>
  <c r="R32" i="41"/>
  <c r="K32" i="41"/>
  <c r="V32" i="41" s="1"/>
  <c r="J32" i="41"/>
  <c r="L32" i="41" s="1"/>
  <c r="T32" i="41" s="1"/>
  <c r="S32" i="41" s="1"/>
  <c r="R31" i="41"/>
  <c r="K31" i="41"/>
  <c r="L31" i="41" s="1"/>
  <c r="T31" i="41" s="1"/>
  <c r="S31" i="41" s="1"/>
  <c r="J31" i="41"/>
  <c r="K30" i="41"/>
  <c r="J30" i="41"/>
  <c r="L30" i="41" s="1"/>
  <c r="R29" i="41"/>
  <c r="K29" i="41"/>
  <c r="V29" i="41" s="1"/>
  <c r="J29" i="41"/>
  <c r="L29" i="41" s="1"/>
  <c r="T29" i="41" s="1"/>
  <c r="S29" i="41" s="1"/>
  <c r="R28" i="41"/>
  <c r="K28" i="41"/>
  <c r="L28" i="41" s="1"/>
  <c r="T28" i="41" s="1"/>
  <c r="S28" i="41" s="1"/>
  <c r="J28" i="41"/>
  <c r="K27" i="41"/>
  <c r="J27" i="41"/>
  <c r="L27" i="41" s="1"/>
  <c r="R26" i="41"/>
  <c r="K26" i="41"/>
  <c r="V26" i="41" s="1"/>
  <c r="J26" i="41"/>
  <c r="L26" i="41" s="1"/>
  <c r="T26" i="41" s="1"/>
  <c r="S26" i="41" s="1"/>
  <c r="R25" i="41"/>
  <c r="K25" i="41" s="1"/>
  <c r="J25" i="41"/>
  <c r="K24" i="41"/>
  <c r="J24" i="41"/>
  <c r="L24" i="41" s="1"/>
  <c r="R23" i="41"/>
  <c r="K23" i="41"/>
  <c r="V23" i="41" s="1"/>
  <c r="J23" i="41"/>
  <c r="L23" i="41" s="1"/>
  <c r="T23" i="41" s="1"/>
  <c r="S23" i="41" s="1"/>
  <c r="R22" i="41"/>
  <c r="K22" i="41"/>
  <c r="L22" i="41" s="1"/>
  <c r="T22" i="41" s="1"/>
  <c r="S22" i="41" s="1"/>
  <c r="J22" i="41"/>
  <c r="K21" i="41"/>
  <c r="J21" i="41"/>
  <c r="L21" i="41" s="1"/>
  <c r="R20" i="41"/>
  <c r="K20" i="41"/>
  <c r="V20" i="41" s="1"/>
  <c r="J20" i="41"/>
  <c r="L20" i="41" s="1"/>
  <c r="T20" i="41" s="1"/>
  <c r="S20" i="41" s="1"/>
  <c r="R19" i="41"/>
  <c r="K19" i="41"/>
  <c r="L19" i="41" s="1"/>
  <c r="T19" i="41" s="1"/>
  <c r="S19" i="41" s="1"/>
  <c r="J19" i="41"/>
  <c r="K18" i="41"/>
  <c r="J18" i="41"/>
  <c r="J61" i="41" s="1"/>
  <c r="R17" i="41"/>
  <c r="R59" i="41" s="1"/>
  <c r="H17" i="41"/>
  <c r="H60" i="41" s="1"/>
  <c r="G17" i="41"/>
  <c r="H57" i="41" s="1"/>
  <c r="D15" i="41"/>
  <c r="G59" i="41" s="1"/>
  <c r="P10" i="41"/>
  <c r="P1" i="41"/>
  <c r="P8" i="41" s="1"/>
  <c r="Q61" i="40"/>
  <c r="F61" i="40"/>
  <c r="E61" i="40"/>
  <c r="P10" i="40" s="1"/>
  <c r="K60" i="40"/>
  <c r="J60" i="40"/>
  <c r="K59" i="40"/>
  <c r="V59" i="40" s="1"/>
  <c r="J59" i="40"/>
  <c r="L59" i="40" s="1"/>
  <c r="R58" i="40"/>
  <c r="U58" i="40" s="1"/>
  <c r="K58" i="40"/>
  <c r="V58" i="40" s="1"/>
  <c r="J58" i="40"/>
  <c r="L58" i="40" s="1"/>
  <c r="T58" i="40" s="1"/>
  <c r="S58" i="40" s="1"/>
  <c r="G58" i="40"/>
  <c r="K57" i="40"/>
  <c r="J57" i="40"/>
  <c r="K56" i="40"/>
  <c r="J56" i="40"/>
  <c r="L56" i="40" s="1"/>
  <c r="R55" i="40"/>
  <c r="U55" i="40" s="1"/>
  <c r="K55" i="40"/>
  <c r="V55" i="40" s="1"/>
  <c r="J55" i="40"/>
  <c r="L55" i="40" s="1"/>
  <c r="T55" i="40" s="1"/>
  <c r="S55" i="40" s="1"/>
  <c r="G55" i="40"/>
  <c r="K54" i="40"/>
  <c r="J54" i="40"/>
  <c r="K53" i="40"/>
  <c r="J53" i="40"/>
  <c r="L53" i="40" s="1"/>
  <c r="R52" i="40"/>
  <c r="U52" i="40" s="1"/>
  <c r="K52" i="40"/>
  <c r="V52" i="40" s="1"/>
  <c r="J52" i="40"/>
  <c r="L52" i="40" s="1"/>
  <c r="T52" i="40" s="1"/>
  <c r="S52" i="40" s="1"/>
  <c r="G52" i="40"/>
  <c r="K51" i="40"/>
  <c r="J51" i="40"/>
  <c r="K50" i="40"/>
  <c r="J50" i="40"/>
  <c r="L50" i="40" s="1"/>
  <c r="R49" i="40"/>
  <c r="K49" i="40"/>
  <c r="V49" i="40" s="1"/>
  <c r="J49" i="40"/>
  <c r="L49" i="40" s="1"/>
  <c r="T49" i="40" s="1"/>
  <c r="S49" i="40" s="1"/>
  <c r="G49" i="40"/>
  <c r="K48" i="40"/>
  <c r="J48" i="40"/>
  <c r="K47" i="40"/>
  <c r="J47" i="40"/>
  <c r="L47" i="40" s="1"/>
  <c r="R46" i="40"/>
  <c r="K46" i="40"/>
  <c r="V46" i="40" s="1"/>
  <c r="J46" i="40"/>
  <c r="L46" i="40" s="1"/>
  <c r="T46" i="40" s="1"/>
  <c r="S46" i="40" s="1"/>
  <c r="G46" i="40"/>
  <c r="K45" i="40"/>
  <c r="J45" i="40"/>
  <c r="K44" i="40"/>
  <c r="J44" i="40"/>
  <c r="L44" i="40" s="1"/>
  <c r="R43" i="40"/>
  <c r="K43" i="40"/>
  <c r="V43" i="40" s="1"/>
  <c r="J43" i="40"/>
  <c r="L43" i="40" s="1"/>
  <c r="T43" i="40" s="1"/>
  <c r="S43" i="40" s="1"/>
  <c r="G43" i="40"/>
  <c r="K42" i="40"/>
  <c r="J42" i="40"/>
  <c r="G42" i="40"/>
  <c r="K41" i="40"/>
  <c r="J41" i="40"/>
  <c r="L41" i="40" s="1"/>
  <c r="R40" i="40"/>
  <c r="K40" i="40"/>
  <c r="V40" i="40" s="1"/>
  <c r="J40" i="40"/>
  <c r="L40" i="40" s="1"/>
  <c r="T40" i="40" s="1"/>
  <c r="S40" i="40" s="1"/>
  <c r="G40" i="40"/>
  <c r="K39" i="40"/>
  <c r="J39" i="40"/>
  <c r="G39" i="40"/>
  <c r="K38" i="40"/>
  <c r="J38" i="40"/>
  <c r="L38" i="40" s="1"/>
  <c r="R37" i="40"/>
  <c r="K37" i="40"/>
  <c r="V37" i="40" s="1"/>
  <c r="J37" i="40"/>
  <c r="L37" i="40" s="1"/>
  <c r="T37" i="40" s="1"/>
  <c r="S37" i="40" s="1"/>
  <c r="G37" i="40"/>
  <c r="K36" i="40"/>
  <c r="J36" i="40"/>
  <c r="G36" i="40"/>
  <c r="K35" i="40"/>
  <c r="J35" i="40"/>
  <c r="L35" i="40" s="1"/>
  <c r="R34" i="40"/>
  <c r="K34" i="40"/>
  <c r="V34" i="40" s="1"/>
  <c r="J34" i="40"/>
  <c r="L34" i="40" s="1"/>
  <c r="T34" i="40" s="1"/>
  <c r="S34" i="40" s="1"/>
  <c r="G34" i="40"/>
  <c r="K33" i="40"/>
  <c r="J33" i="40"/>
  <c r="G33" i="40"/>
  <c r="K32" i="40"/>
  <c r="J32" i="40"/>
  <c r="L32" i="40" s="1"/>
  <c r="R31" i="40"/>
  <c r="K31" i="40"/>
  <c r="J31" i="40"/>
  <c r="L31" i="40" s="1"/>
  <c r="G31" i="40"/>
  <c r="K30" i="40"/>
  <c r="J30" i="40"/>
  <c r="G30" i="40"/>
  <c r="R29" i="40"/>
  <c r="K29" i="40"/>
  <c r="V29" i="40" s="1"/>
  <c r="J29" i="40"/>
  <c r="L29" i="40" s="1"/>
  <c r="T29" i="40" s="1"/>
  <c r="S29" i="40" s="1"/>
  <c r="R28" i="40"/>
  <c r="K28" i="40"/>
  <c r="J28" i="40"/>
  <c r="L28" i="40" s="1"/>
  <c r="T28" i="40" s="1"/>
  <c r="S28" i="40" s="1"/>
  <c r="G28" i="40"/>
  <c r="K27" i="40"/>
  <c r="J27" i="40"/>
  <c r="G27" i="40"/>
  <c r="T26" i="40"/>
  <c r="S26" i="40" s="1"/>
  <c r="R26" i="40"/>
  <c r="K26" i="40"/>
  <c r="V26" i="40" s="1"/>
  <c r="J26" i="40"/>
  <c r="L26" i="40" s="1"/>
  <c r="H26" i="40"/>
  <c r="R25" i="40"/>
  <c r="K25" i="40" s="1"/>
  <c r="J25" i="40"/>
  <c r="G25" i="40"/>
  <c r="K24" i="40"/>
  <c r="J24" i="40"/>
  <c r="G24" i="40"/>
  <c r="U23" i="40"/>
  <c r="R23" i="40"/>
  <c r="K23" i="40"/>
  <c r="V23" i="40" s="1"/>
  <c r="J23" i="40"/>
  <c r="L23" i="40" s="1"/>
  <c r="T23" i="40" s="1"/>
  <c r="S23" i="40" s="1"/>
  <c r="R22" i="40"/>
  <c r="K22" i="40"/>
  <c r="J22" i="40"/>
  <c r="L22" i="40" s="1"/>
  <c r="G22" i="40"/>
  <c r="K21" i="40"/>
  <c r="J21" i="40"/>
  <c r="G21" i="40"/>
  <c r="T20" i="40"/>
  <c r="S20" i="40" s="1"/>
  <c r="R20" i="40"/>
  <c r="K20" i="40"/>
  <c r="V20" i="40" s="1"/>
  <c r="J20" i="40"/>
  <c r="L20" i="40" s="1"/>
  <c r="H20" i="40"/>
  <c r="R19" i="40"/>
  <c r="K19" i="40"/>
  <c r="V19" i="40" s="1"/>
  <c r="J19" i="40"/>
  <c r="L19" i="40" s="1"/>
  <c r="T19" i="40" s="1"/>
  <c r="S19" i="40" s="1"/>
  <c r="G19" i="40"/>
  <c r="K18" i="40"/>
  <c r="J18" i="40"/>
  <c r="J61" i="40" s="1"/>
  <c r="G18" i="40"/>
  <c r="R17" i="40"/>
  <c r="R59" i="40" s="1"/>
  <c r="U59" i="40" s="1"/>
  <c r="H17" i="40"/>
  <c r="H60" i="40" s="1"/>
  <c r="G17" i="40"/>
  <c r="D15" i="40"/>
  <c r="G59" i="40" s="1"/>
  <c r="P8" i="40"/>
  <c r="P1" i="40"/>
  <c r="Q61" i="39"/>
  <c r="F61" i="39"/>
  <c r="E61" i="39"/>
  <c r="K60" i="39"/>
  <c r="J60" i="39"/>
  <c r="L60" i="39" s="1"/>
  <c r="G60" i="39"/>
  <c r="L59" i="39"/>
  <c r="K59" i="39"/>
  <c r="J59" i="39"/>
  <c r="R58" i="39"/>
  <c r="K58" i="39"/>
  <c r="V58" i="39" s="1"/>
  <c r="J58" i="39"/>
  <c r="L58" i="39" s="1"/>
  <c r="T58" i="39" s="1"/>
  <c r="S58" i="39" s="1"/>
  <c r="K57" i="39"/>
  <c r="J57" i="39"/>
  <c r="L57" i="39" s="1"/>
  <c r="G57" i="39"/>
  <c r="L56" i="39"/>
  <c r="K56" i="39"/>
  <c r="J56" i="39"/>
  <c r="R55" i="39"/>
  <c r="K55" i="39"/>
  <c r="V55" i="39" s="1"/>
  <c r="J55" i="39"/>
  <c r="L55" i="39" s="1"/>
  <c r="T55" i="39" s="1"/>
  <c r="S55" i="39" s="1"/>
  <c r="K54" i="39"/>
  <c r="J54" i="39"/>
  <c r="L54" i="39" s="1"/>
  <c r="G54" i="39"/>
  <c r="R53" i="39"/>
  <c r="L53" i="39"/>
  <c r="T53" i="39" s="1"/>
  <c r="S53" i="39" s="1"/>
  <c r="K53" i="39"/>
  <c r="V53" i="39" s="1"/>
  <c r="J53" i="39"/>
  <c r="U52" i="39"/>
  <c r="R52" i="39"/>
  <c r="K52" i="39"/>
  <c r="J52" i="39"/>
  <c r="L52" i="39" s="1"/>
  <c r="T52" i="39" s="1"/>
  <c r="S52" i="39" s="1"/>
  <c r="K51" i="39"/>
  <c r="J51" i="39"/>
  <c r="L51" i="39" s="1"/>
  <c r="G51" i="39"/>
  <c r="R50" i="39"/>
  <c r="L50" i="39"/>
  <c r="T50" i="39" s="1"/>
  <c r="S50" i="39" s="1"/>
  <c r="K50" i="39"/>
  <c r="V50" i="39" s="1"/>
  <c r="J50" i="39"/>
  <c r="U49" i="39"/>
  <c r="R49" i="39"/>
  <c r="K49" i="39"/>
  <c r="J49" i="39"/>
  <c r="L49" i="39" s="1"/>
  <c r="T49" i="39" s="1"/>
  <c r="S49" i="39" s="1"/>
  <c r="K48" i="39"/>
  <c r="J48" i="39"/>
  <c r="L48" i="39" s="1"/>
  <c r="G48" i="39"/>
  <c r="R47" i="39"/>
  <c r="L47" i="39"/>
  <c r="T47" i="39" s="1"/>
  <c r="S47" i="39" s="1"/>
  <c r="K47" i="39"/>
  <c r="V47" i="39" s="1"/>
  <c r="J47" i="39"/>
  <c r="U46" i="39"/>
  <c r="R46" i="39"/>
  <c r="K46" i="39"/>
  <c r="J46" i="39"/>
  <c r="L46" i="39" s="1"/>
  <c r="T46" i="39" s="1"/>
  <c r="S46" i="39" s="1"/>
  <c r="K45" i="39"/>
  <c r="J45" i="39"/>
  <c r="L45" i="39" s="1"/>
  <c r="G45" i="39"/>
  <c r="R44" i="39"/>
  <c r="L44" i="39"/>
  <c r="T44" i="39" s="1"/>
  <c r="S44" i="39" s="1"/>
  <c r="K44" i="39"/>
  <c r="V44" i="39" s="1"/>
  <c r="J44" i="39"/>
  <c r="U43" i="39"/>
  <c r="R43" i="39"/>
  <c r="K43" i="39"/>
  <c r="J43" i="39"/>
  <c r="L43" i="39" s="1"/>
  <c r="T43" i="39" s="1"/>
  <c r="S43" i="39" s="1"/>
  <c r="K42" i="39"/>
  <c r="J42" i="39"/>
  <c r="L42" i="39" s="1"/>
  <c r="G42" i="39"/>
  <c r="R41" i="39"/>
  <c r="L41" i="39"/>
  <c r="T41" i="39" s="1"/>
  <c r="S41" i="39" s="1"/>
  <c r="K41" i="39"/>
  <c r="V41" i="39" s="1"/>
  <c r="J41" i="39"/>
  <c r="U40" i="39"/>
  <c r="R40" i="39"/>
  <c r="K40" i="39"/>
  <c r="J40" i="39"/>
  <c r="L40" i="39" s="1"/>
  <c r="T40" i="39" s="1"/>
  <c r="S40" i="39" s="1"/>
  <c r="K39" i="39"/>
  <c r="J39" i="39"/>
  <c r="L39" i="39" s="1"/>
  <c r="G39" i="39"/>
  <c r="R38" i="39"/>
  <c r="L38" i="39"/>
  <c r="T38" i="39" s="1"/>
  <c r="S38" i="39" s="1"/>
  <c r="K38" i="39"/>
  <c r="V38" i="39" s="1"/>
  <c r="J38" i="39"/>
  <c r="U37" i="39"/>
  <c r="R37" i="39"/>
  <c r="K37" i="39"/>
  <c r="J37" i="39"/>
  <c r="L37" i="39" s="1"/>
  <c r="T37" i="39" s="1"/>
  <c r="S37" i="39" s="1"/>
  <c r="K36" i="39"/>
  <c r="J36" i="39"/>
  <c r="L36" i="39" s="1"/>
  <c r="G36" i="39"/>
  <c r="R35" i="39"/>
  <c r="L35" i="39"/>
  <c r="T35" i="39" s="1"/>
  <c r="S35" i="39" s="1"/>
  <c r="K35" i="39"/>
  <c r="V35" i="39" s="1"/>
  <c r="J35" i="39"/>
  <c r="U34" i="39"/>
  <c r="R34" i="39"/>
  <c r="K34" i="39"/>
  <c r="J34" i="39"/>
  <c r="L34" i="39" s="1"/>
  <c r="T34" i="39" s="1"/>
  <c r="S34" i="39" s="1"/>
  <c r="K33" i="39"/>
  <c r="J33" i="39"/>
  <c r="L33" i="39" s="1"/>
  <c r="G33" i="39"/>
  <c r="R32" i="39"/>
  <c r="L32" i="39"/>
  <c r="T32" i="39" s="1"/>
  <c r="S32" i="39" s="1"/>
  <c r="K32" i="39"/>
  <c r="V32" i="39" s="1"/>
  <c r="J32" i="39"/>
  <c r="U31" i="39"/>
  <c r="R31" i="39"/>
  <c r="K31" i="39"/>
  <c r="J31" i="39"/>
  <c r="L31" i="39" s="1"/>
  <c r="T31" i="39" s="1"/>
  <c r="S31" i="39" s="1"/>
  <c r="K30" i="39"/>
  <c r="J30" i="39"/>
  <c r="L30" i="39" s="1"/>
  <c r="G30" i="39"/>
  <c r="R29" i="39"/>
  <c r="L29" i="39"/>
  <c r="T29" i="39" s="1"/>
  <c r="S29" i="39" s="1"/>
  <c r="K29" i="39"/>
  <c r="V29" i="39" s="1"/>
  <c r="J29" i="39"/>
  <c r="U28" i="39"/>
  <c r="R28" i="39"/>
  <c r="K28" i="39"/>
  <c r="J28" i="39"/>
  <c r="L28" i="39" s="1"/>
  <c r="T28" i="39" s="1"/>
  <c r="S28" i="39" s="1"/>
  <c r="K27" i="39"/>
  <c r="J27" i="39"/>
  <c r="L27" i="39" s="1"/>
  <c r="G27" i="39"/>
  <c r="R26" i="39"/>
  <c r="L26" i="39"/>
  <c r="T26" i="39" s="1"/>
  <c r="S26" i="39" s="1"/>
  <c r="K26" i="39"/>
  <c r="V26" i="39" s="1"/>
  <c r="J26" i="39"/>
  <c r="U25" i="39"/>
  <c r="R25" i="39"/>
  <c r="K25" i="39" s="1"/>
  <c r="V25" i="39" s="1"/>
  <c r="J25" i="39"/>
  <c r="K24" i="39"/>
  <c r="J24" i="39"/>
  <c r="L24" i="39" s="1"/>
  <c r="G24" i="39"/>
  <c r="R23" i="39"/>
  <c r="L23" i="39"/>
  <c r="T23" i="39" s="1"/>
  <c r="S23" i="39" s="1"/>
  <c r="K23" i="39"/>
  <c r="V23" i="39" s="1"/>
  <c r="J23" i="39"/>
  <c r="U22" i="39"/>
  <c r="R22" i="39"/>
  <c r="K22" i="39"/>
  <c r="V22" i="39" s="1"/>
  <c r="J22" i="39"/>
  <c r="L22" i="39" s="1"/>
  <c r="T22" i="39" s="1"/>
  <c r="S22" i="39" s="1"/>
  <c r="K21" i="39"/>
  <c r="J21" i="39"/>
  <c r="L21" i="39" s="1"/>
  <c r="G21" i="39"/>
  <c r="R20" i="39"/>
  <c r="L20" i="39"/>
  <c r="T20" i="39" s="1"/>
  <c r="S20" i="39" s="1"/>
  <c r="K20" i="39"/>
  <c r="V20" i="39" s="1"/>
  <c r="J20" i="39"/>
  <c r="U19" i="39"/>
  <c r="R19" i="39"/>
  <c r="K19" i="39"/>
  <c r="V19" i="39" s="1"/>
  <c r="J19" i="39"/>
  <c r="L19" i="39" s="1"/>
  <c r="T19" i="39" s="1"/>
  <c r="S19" i="39" s="1"/>
  <c r="K18" i="39"/>
  <c r="J18" i="39"/>
  <c r="L18" i="39" s="1"/>
  <c r="G18" i="39"/>
  <c r="R17" i="39"/>
  <c r="R59" i="39" s="1"/>
  <c r="H17" i="39"/>
  <c r="H58" i="39" s="1"/>
  <c r="G17" i="39"/>
  <c r="H60" i="39" s="1"/>
  <c r="D15" i="39"/>
  <c r="G56" i="39" s="1"/>
  <c r="P10" i="39"/>
  <c r="P8" i="39"/>
  <c r="P1" i="39"/>
  <c r="Q71" i="38"/>
  <c r="K70" i="38"/>
  <c r="J70" i="38"/>
  <c r="L70" i="38" s="1"/>
  <c r="H70" i="38"/>
  <c r="K69" i="38"/>
  <c r="J69" i="38"/>
  <c r="L69" i="38" s="1"/>
  <c r="G69" i="38"/>
  <c r="K68" i="38"/>
  <c r="J68" i="38"/>
  <c r="K67" i="38"/>
  <c r="J67" i="38"/>
  <c r="L67" i="38" s="1"/>
  <c r="H67" i="38"/>
  <c r="R66" i="38"/>
  <c r="U66" i="38" s="1"/>
  <c r="K66" i="38"/>
  <c r="J66" i="38"/>
  <c r="L66" i="38" s="1"/>
  <c r="G66" i="38"/>
  <c r="K65" i="38"/>
  <c r="J65" i="38"/>
  <c r="K64" i="38"/>
  <c r="J64" i="38"/>
  <c r="L64" i="38" s="1"/>
  <c r="H64" i="38"/>
  <c r="R63" i="38"/>
  <c r="U63" i="38" s="1"/>
  <c r="K63" i="38"/>
  <c r="V63" i="38" s="1"/>
  <c r="J63" i="38"/>
  <c r="L63" i="38" s="1"/>
  <c r="G63" i="38"/>
  <c r="K62" i="38"/>
  <c r="J62" i="38"/>
  <c r="K61" i="38"/>
  <c r="J61" i="38"/>
  <c r="L61" i="38" s="1"/>
  <c r="H61" i="38"/>
  <c r="K60" i="38"/>
  <c r="J60" i="38"/>
  <c r="L60" i="38" s="1"/>
  <c r="G60" i="38"/>
  <c r="K59" i="38"/>
  <c r="J59" i="38"/>
  <c r="K58" i="38"/>
  <c r="J58" i="38"/>
  <c r="L58" i="38" s="1"/>
  <c r="H58" i="38"/>
  <c r="R57" i="38"/>
  <c r="U57" i="38" s="1"/>
  <c r="K57" i="38"/>
  <c r="J57" i="38"/>
  <c r="L57" i="38" s="1"/>
  <c r="T57" i="38" s="1"/>
  <c r="S57" i="38" s="1"/>
  <c r="G57" i="38"/>
  <c r="K56" i="38"/>
  <c r="J56" i="38"/>
  <c r="K55" i="38"/>
  <c r="J55" i="38"/>
  <c r="L55" i="38" s="1"/>
  <c r="H55" i="38"/>
  <c r="K54" i="38"/>
  <c r="J54" i="38"/>
  <c r="L54" i="38" s="1"/>
  <c r="G54" i="38"/>
  <c r="K53" i="38"/>
  <c r="J53" i="38"/>
  <c r="K52" i="38"/>
  <c r="J52" i="38"/>
  <c r="L52" i="38" s="1"/>
  <c r="H52" i="38"/>
  <c r="K51" i="38"/>
  <c r="J51" i="38"/>
  <c r="L51" i="38" s="1"/>
  <c r="G51" i="38"/>
  <c r="K50" i="38"/>
  <c r="J50" i="38"/>
  <c r="K49" i="38"/>
  <c r="J49" i="38"/>
  <c r="L49" i="38" s="1"/>
  <c r="H49" i="38"/>
  <c r="K48" i="38"/>
  <c r="J48" i="38"/>
  <c r="L48" i="38" s="1"/>
  <c r="G48" i="38"/>
  <c r="L47" i="38"/>
  <c r="K47" i="38"/>
  <c r="J47" i="38"/>
  <c r="K46" i="38"/>
  <c r="J46" i="38"/>
  <c r="L46" i="38" s="1"/>
  <c r="H46" i="38"/>
  <c r="R45" i="38"/>
  <c r="U45" i="38" s="1"/>
  <c r="K45" i="38"/>
  <c r="J45" i="38"/>
  <c r="L45" i="38" s="1"/>
  <c r="G45" i="38"/>
  <c r="K44" i="38"/>
  <c r="L44" i="38" s="1"/>
  <c r="J44" i="38"/>
  <c r="K43" i="38"/>
  <c r="J43" i="38"/>
  <c r="L43" i="38" s="1"/>
  <c r="H43" i="38"/>
  <c r="R42" i="38"/>
  <c r="U42" i="38" s="1"/>
  <c r="K42" i="38"/>
  <c r="V42" i="38" s="1"/>
  <c r="J42" i="38"/>
  <c r="L42" i="38" s="1"/>
  <c r="G42" i="38"/>
  <c r="K41" i="38"/>
  <c r="J41" i="38"/>
  <c r="K40" i="38"/>
  <c r="J40" i="38"/>
  <c r="L40" i="38" s="1"/>
  <c r="H40" i="38"/>
  <c r="K39" i="38"/>
  <c r="J39" i="38"/>
  <c r="L39" i="38" s="1"/>
  <c r="G39" i="38"/>
  <c r="L38" i="38"/>
  <c r="K38" i="38"/>
  <c r="J38" i="38"/>
  <c r="K37" i="38"/>
  <c r="J37" i="38"/>
  <c r="L37" i="38" s="1"/>
  <c r="H37" i="38"/>
  <c r="R36" i="38"/>
  <c r="U36" i="38" s="1"/>
  <c r="K36" i="38"/>
  <c r="J36" i="38"/>
  <c r="L36" i="38" s="1"/>
  <c r="G36" i="38"/>
  <c r="K35" i="38"/>
  <c r="J35" i="38"/>
  <c r="K34" i="38"/>
  <c r="J34" i="38"/>
  <c r="L34" i="38" s="1"/>
  <c r="H34" i="38"/>
  <c r="R33" i="38"/>
  <c r="U33" i="38" s="1"/>
  <c r="K33" i="38"/>
  <c r="V33" i="38" s="1"/>
  <c r="J33" i="38"/>
  <c r="L33" i="38" s="1"/>
  <c r="G33" i="38"/>
  <c r="K32" i="38"/>
  <c r="J32" i="38"/>
  <c r="K31" i="38"/>
  <c r="J31" i="38"/>
  <c r="L31" i="38" s="1"/>
  <c r="H31" i="38"/>
  <c r="K30" i="38"/>
  <c r="J30" i="38"/>
  <c r="L30" i="38" s="1"/>
  <c r="G30" i="38"/>
  <c r="L29" i="38"/>
  <c r="K29" i="38"/>
  <c r="J29" i="38"/>
  <c r="K28" i="38"/>
  <c r="J28" i="38"/>
  <c r="L28" i="38" s="1"/>
  <c r="H28" i="38"/>
  <c r="R27" i="38"/>
  <c r="K27" i="38"/>
  <c r="J27" i="38"/>
  <c r="L27" i="38" s="1"/>
  <c r="G27" i="38"/>
  <c r="K26" i="38"/>
  <c r="J26" i="38"/>
  <c r="K25" i="38"/>
  <c r="J25" i="38"/>
  <c r="L25" i="38" s="1"/>
  <c r="H25" i="38"/>
  <c r="R24" i="38"/>
  <c r="K24" i="38"/>
  <c r="V24" i="38" s="1"/>
  <c r="J24" i="38"/>
  <c r="L24" i="38" s="1"/>
  <c r="G24" i="38"/>
  <c r="K23" i="38"/>
  <c r="J23" i="38"/>
  <c r="K22" i="38"/>
  <c r="J22" i="38"/>
  <c r="L22" i="38" s="1"/>
  <c r="H22" i="38"/>
  <c r="K21" i="38"/>
  <c r="J21" i="38"/>
  <c r="L21" i="38" s="1"/>
  <c r="G21" i="38"/>
  <c r="L20" i="38"/>
  <c r="K20" i="38"/>
  <c r="J20" i="38"/>
  <c r="K19" i="38"/>
  <c r="J19" i="38"/>
  <c r="L19" i="38" s="1"/>
  <c r="H19" i="38"/>
  <c r="R18" i="38"/>
  <c r="K18" i="38"/>
  <c r="J18" i="38"/>
  <c r="G18" i="38"/>
  <c r="R17" i="38"/>
  <c r="H17" i="38"/>
  <c r="H68" i="38" s="1"/>
  <c r="G17" i="38"/>
  <c r="D15" i="38"/>
  <c r="G70" i="38" s="1"/>
  <c r="P10" i="38"/>
  <c r="P1" i="38"/>
  <c r="P8" i="38" s="1"/>
  <c r="Q81" i="37"/>
  <c r="F81" i="37"/>
  <c r="E81" i="37"/>
  <c r="K80" i="37"/>
  <c r="J80" i="37"/>
  <c r="L80" i="37" s="1"/>
  <c r="K79" i="37"/>
  <c r="L79" i="37" s="1"/>
  <c r="J79" i="37"/>
  <c r="R78" i="37"/>
  <c r="K78" i="37"/>
  <c r="V78" i="37" s="1"/>
  <c r="J78" i="37"/>
  <c r="L78" i="37" s="1"/>
  <c r="T78" i="37" s="1"/>
  <c r="S78" i="37" s="1"/>
  <c r="K77" i="37"/>
  <c r="J77" i="37"/>
  <c r="K76" i="37"/>
  <c r="L76" i="37" s="1"/>
  <c r="J76" i="37"/>
  <c r="H76" i="37"/>
  <c r="K75" i="37"/>
  <c r="J75" i="37"/>
  <c r="L75" i="37" s="1"/>
  <c r="K74" i="37"/>
  <c r="J74" i="37"/>
  <c r="L74" i="37" s="1"/>
  <c r="K73" i="37"/>
  <c r="L73" i="37" s="1"/>
  <c r="J73" i="37"/>
  <c r="H73" i="37"/>
  <c r="R72" i="37"/>
  <c r="K72" i="37"/>
  <c r="V72" i="37" s="1"/>
  <c r="J72" i="37"/>
  <c r="L72" i="37" s="1"/>
  <c r="K71" i="37"/>
  <c r="J71" i="37"/>
  <c r="K70" i="37"/>
  <c r="L70" i="37" s="1"/>
  <c r="J70" i="37"/>
  <c r="R69" i="37"/>
  <c r="K69" i="37"/>
  <c r="V69" i="37" s="1"/>
  <c r="J69" i="37"/>
  <c r="L69" i="37" s="1"/>
  <c r="T69" i="37" s="1"/>
  <c r="S69" i="37" s="1"/>
  <c r="K68" i="37"/>
  <c r="J68" i="37"/>
  <c r="K67" i="37"/>
  <c r="L67" i="37" s="1"/>
  <c r="J67" i="37"/>
  <c r="H67" i="37"/>
  <c r="K66" i="37"/>
  <c r="J66" i="37"/>
  <c r="L66" i="37" s="1"/>
  <c r="K65" i="37"/>
  <c r="J65" i="37"/>
  <c r="L65" i="37" s="1"/>
  <c r="K64" i="37"/>
  <c r="L64" i="37" s="1"/>
  <c r="J64" i="37"/>
  <c r="H64" i="37"/>
  <c r="R63" i="37"/>
  <c r="K63" i="37"/>
  <c r="V63" i="37" s="1"/>
  <c r="J63" i="37"/>
  <c r="L63" i="37" s="1"/>
  <c r="K62" i="37"/>
  <c r="J62" i="37"/>
  <c r="L62" i="37" s="1"/>
  <c r="K61" i="37"/>
  <c r="J61" i="37"/>
  <c r="L61" i="37" s="1"/>
  <c r="R60" i="37"/>
  <c r="K60" i="37"/>
  <c r="L60" i="37" s="1"/>
  <c r="T60" i="37" s="1"/>
  <c r="S60" i="37" s="1"/>
  <c r="J60" i="37"/>
  <c r="K59" i="37"/>
  <c r="J59" i="37"/>
  <c r="K58" i="37"/>
  <c r="J58" i="37"/>
  <c r="L58" i="37" s="1"/>
  <c r="H58" i="37"/>
  <c r="K57" i="37"/>
  <c r="L57" i="37" s="1"/>
  <c r="J57" i="37"/>
  <c r="K56" i="37"/>
  <c r="J56" i="37"/>
  <c r="K55" i="37"/>
  <c r="J55" i="37"/>
  <c r="L55" i="37" s="1"/>
  <c r="H55" i="37"/>
  <c r="R54" i="37"/>
  <c r="V54" i="37" s="1"/>
  <c r="K54" i="37"/>
  <c r="J54" i="37"/>
  <c r="K53" i="37"/>
  <c r="J53" i="37"/>
  <c r="R52" i="37"/>
  <c r="K52" i="37"/>
  <c r="V52" i="37" s="1"/>
  <c r="J52" i="37"/>
  <c r="L52" i="37" s="1"/>
  <c r="T52" i="37" s="1"/>
  <c r="S52" i="37" s="1"/>
  <c r="H52" i="37"/>
  <c r="K51" i="37"/>
  <c r="J51" i="37"/>
  <c r="L51" i="37" s="1"/>
  <c r="K50" i="37"/>
  <c r="J50" i="37"/>
  <c r="R49" i="37"/>
  <c r="T49" i="37" s="1"/>
  <c r="S49" i="37" s="1"/>
  <c r="K49" i="37"/>
  <c r="V49" i="37" s="1"/>
  <c r="J49" i="37"/>
  <c r="L49" i="37" s="1"/>
  <c r="R48" i="37"/>
  <c r="K48" i="37"/>
  <c r="U48" i="37" s="1"/>
  <c r="J48" i="37"/>
  <c r="L48" i="37" s="1"/>
  <c r="T48" i="37" s="1"/>
  <c r="S48" i="37" s="1"/>
  <c r="K47" i="37"/>
  <c r="J47" i="37"/>
  <c r="L47" i="37" s="1"/>
  <c r="H47" i="37"/>
  <c r="K46" i="37"/>
  <c r="J46" i="37"/>
  <c r="L46" i="37" s="1"/>
  <c r="H46" i="37"/>
  <c r="R45" i="37"/>
  <c r="V45" i="37" s="1"/>
  <c r="K45" i="37"/>
  <c r="J45" i="37"/>
  <c r="K44" i="37"/>
  <c r="J44" i="37"/>
  <c r="R43" i="37"/>
  <c r="K43" i="37"/>
  <c r="V43" i="37" s="1"/>
  <c r="J43" i="37"/>
  <c r="L43" i="37" s="1"/>
  <c r="T43" i="37" s="1"/>
  <c r="S43" i="37" s="1"/>
  <c r="H43" i="37"/>
  <c r="K42" i="37"/>
  <c r="J42" i="37"/>
  <c r="L42" i="37" s="1"/>
  <c r="K41" i="37"/>
  <c r="J41" i="37"/>
  <c r="R40" i="37"/>
  <c r="T40" i="37" s="1"/>
  <c r="S40" i="37" s="1"/>
  <c r="K40" i="37"/>
  <c r="V40" i="37" s="1"/>
  <c r="J40" i="37"/>
  <c r="L40" i="37" s="1"/>
  <c r="R39" i="37"/>
  <c r="K39" i="37"/>
  <c r="U39" i="37" s="1"/>
  <c r="J39" i="37"/>
  <c r="L39" i="37" s="1"/>
  <c r="T39" i="37" s="1"/>
  <c r="S39" i="37" s="1"/>
  <c r="K38" i="37"/>
  <c r="J38" i="37"/>
  <c r="L38" i="37" s="1"/>
  <c r="H38" i="37"/>
  <c r="K37" i="37"/>
  <c r="J37" i="37"/>
  <c r="L37" i="37" s="1"/>
  <c r="H37" i="37"/>
  <c r="K36" i="37"/>
  <c r="J36" i="37"/>
  <c r="L36" i="37" s="1"/>
  <c r="H36" i="37"/>
  <c r="K35" i="37"/>
  <c r="J35" i="37"/>
  <c r="H35" i="37"/>
  <c r="K34" i="37"/>
  <c r="J34" i="37"/>
  <c r="L34" i="37" s="1"/>
  <c r="H34" i="37"/>
  <c r="K33" i="37"/>
  <c r="J33" i="37"/>
  <c r="L33" i="37" s="1"/>
  <c r="H33" i="37"/>
  <c r="K32" i="37"/>
  <c r="J32" i="37"/>
  <c r="L32" i="37" s="1"/>
  <c r="H32" i="37"/>
  <c r="K31" i="37"/>
  <c r="J31" i="37"/>
  <c r="L31" i="37" s="1"/>
  <c r="H31" i="37"/>
  <c r="K30" i="37"/>
  <c r="J30" i="37"/>
  <c r="L30" i="37" s="1"/>
  <c r="H30" i="37"/>
  <c r="K29" i="37"/>
  <c r="J29" i="37"/>
  <c r="H29" i="37"/>
  <c r="K28" i="37"/>
  <c r="J28" i="37"/>
  <c r="L28" i="37" s="1"/>
  <c r="H28" i="37"/>
  <c r="K27" i="37"/>
  <c r="J27" i="37"/>
  <c r="L27" i="37" s="1"/>
  <c r="H27" i="37"/>
  <c r="K26" i="37"/>
  <c r="J26" i="37"/>
  <c r="H26" i="37"/>
  <c r="K25" i="37"/>
  <c r="J25" i="37"/>
  <c r="L25" i="37" s="1"/>
  <c r="H25" i="37"/>
  <c r="K24" i="37"/>
  <c r="J24" i="37"/>
  <c r="L24" i="37" s="1"/>
  <c r="H24" i="37"/>
  <c r="K23" i="37"/>
  <c r="J23" i="37"/>
  <c r="L23" i="37" s="1"/>
  <c r="H23" i="37"/>
  <c r="K22" i="37"/>
  <c r="J22" i="37"/>
  <c r="L22" i="37" s="1"/>
  <c r="H22" i="37"/>
  <c r="K21" i="37"/>
  <c r="J21" i="37"/>
  <c r="L21" i="37" s="1"/>
  <c r="H21" i="37"/>
  <c r="K20" i="37"/>
  <c r="J20" i="37"/>
  <c r="H20" i="37"/>
  <c r="K19" i="37"/>
  <c r="J19" i="37"/>
  <c r="L19" i="37" s="1"/>
  <c r="H19" i="37"/>
  <c r="U18" i="37"/>
  <c r="R18" i="37"/>
  <c r="K18" i="37"/>
  <c r="J18" i="37"/>
  <c r="J81" i="37" s="1"/>
  <c r="H18" i="37"/>
  <c r="R17" i="37"/>
  <c r="R51" i="37" s="1"/>
  <c r="H17" i="37"/>
  <c r="G17" i="37"/>
  <c r="H50" i="37" s="1"/>
  <c r="D15" i="37"/>
  <c r="P10" i="37"/>
  <c r="P8" i="37"/>
  <c r="P1" i="37"/>
  <c r="Q81" i="36"/>
  <c r="F81" i="36"/>
  <c r="E81" i="36"/>
  <c r="K80" i="36"/>
  <c r="J80" i="36"/>
  <c r="L79" i="36"/>
  <c r="K79" i="36"/>
  <c r="J79" i="36"/>
  <c r="L78" i="36"/>
  <c r="K78" i="36"/>
  <c r="J78" i="36"/>
  <c r="K77" i="36"/>
  <c r="J77" i="36"/>
  <c r="L77" i="36" s="1"/>
  <c r="L76" i="36"/>
  <c r="K76" i="36"/>
  <c r="J76" i="36"/>
  <c r="R75" i="36"/>
  <c r="L75" i="36"/>
  <c r="K75" i="36"/>
  <c r="J75" i="36"/>
  <c r="K74" i="36"/>
  <c r="J74" i="36"/>
  <c r="L73" i="36"/>
  <c r="K73" i="36"/>
  <c r="J73" i="36"/>
  <c r="L72" i="36"/>
  <c r="K72" i="36"/>
  <c r="J72" i="36"/>
  <c r="K71" i="36"/>
  <c r="J71" i="36"/>
  <c r="L71" i="36" s="1"/>
  <c r="L70" i="36"/>
  <c r="K70" i="36"/>
  <c r="J70" i="36"/>
  <c r="L69" i="36"/>
  <c r="K69" i="36"/>
  <c r="J69" i="36"/>
  <c r="K68" i="36"/>
  <c r="J68" i="36"/>
  <c r="L68" i="36" s="1"/>
  <c r="L67" i="36"/>
  <c r="K67" i="36"/>
  <c r="J67" i="36"/>
  <c r="H67" i="36"/>
  <c r="L66" i="36"/>
  <c r="K66" i="36"/>
  <c r="J66" i="36"/>
  <c r="K65" i="36"/>
  <c r="J65" i="36"/>
  <c r="L65" i="36" s="1"/>
  <c r="H65" i="36"/>
  <c r="L64" i="36"/>
  <c r="K64" i="36"/>
  <c r="J64" i="36"/>
  <c r="R63" i="36"/>
  <c r="U63" i="36" s="1"/>
  <c r="L63" i="36"/>
  <c r="T63" i="36" s="1"/>
  <c r="S63" i="36" s="1"/>
  <c r="K63" i="36"/>
  <c r="J63" i="36"/>
  <c r="K62" i="36"/>
  <c r="J62" i="36"/>
  <c r="L62" i="36" s="1"/>
  <c r="R61" i="36"/>
  <c r="T61" i="36" s="1"/>
  <c r="S61" i="36" s="1"/>
  <c r="L61" i="36"/>
  <c r="K61" i="36"/>
  <c r="J61" i="36"/>
  <c r="R60" i="36"/>
  <c r="U60" i="36" s="1"/>
  <c r="L60" i="36"/>
  <c r="T60" i="36" s="1"/>
  <c r="S60" i="36" s="1"/>
  <c r="K60" i="36"/>
  <c r="J60" i="36"/>
  <c r="K59" i="36"/>
  <c r="J59" i="36"/>
  <c r="R58" i="36"/>
  <c r="T58" i="36" s="1"/>
  <c r="S58" i="36" s="1"/>
  <c r="L58" i="36"/>
  <c r="K58" i="36"/>
  <c r="J58" i="36"/>
  <c r="R57" i="36"/>
  <c r="U57" i="36" s="1"/>
  <c r="L57" i="36"/>
  <c r="K57" i="36"/>
  <c r="J57" i="36"/>
  <c r="K56" i="36"/>
  <c r="J56" i="36"/>
  <c r="R55" i="36"/>
  <c r="L55" i="36"/>
  <c r="K55" i="36"/>
  <c r="J55" i="36"/>
  <c r="L54" i="36"/>
  <c r="K54" i="36"/>
  <c r="J54" i="36"/>
  <c r="K53" i="36"/>
  <c r="J53" i="36"/>
  <c r="L53" i="36" s="1"/>
  <c r="L52" i="36"/>
  <c r="K52" i="36"/>
  <c r="J52" i="36"/>
  <c r="L51" i="36"/>
  <c r="K51" i="36"/>
  <c r="J51" i="36"/>
  <c r="K50" i="36"/>
  <c r="J50" i="36"/>
  <c r="L50" i="36" s="1"/>
  <c r="L49" i="36"/>
  <c r="K49" i="36"/>
  <c r="J49" i="36"/>
  <c r="H49" i="36"/>
  <c r="L48" i="36"/>
  <c r="K48" i="36"/>
  <c r="J48" i="36"/>
  <c r="K47" i="36"/>
  <c r="J47" i="36"/>
  <c r="L47" i="36" s="1"/>
  <c r="H47" i="36"/>
  <c r="L46" i="36"/>
  <c r="K46" i="36"/>
  <c r="J46" i="36"/>
  <c r="R45" i="36"/>
  <c r="U45" i="36" s="1"/>
  <c r="L45" i="36"/>
  <c r="T45" i="36" s="1"/>
  <c r="S45" i="36" s="1"/>
  <c r="K45" i="36"/>
  <c r="J45" i="36"/>
  <c r="K44" i="36"/>
  <c r="J44" i="36"/>
  <c r="L43" i="36"/>
  <c r="K43" i="36"/>
  <c r="J43" i="36"/>
  <c r="L42" i="36"/>
  <c r="K42" i="36"/>
  <c r="J42" i="36"/>
  <c r="K41" i="36"/>
  <c r="J41" i="36"/>
  <c r="L41" i="36" s="1"/>
  <c r="R40" i="36"/>
  <c r="L40" i="36"/>
  <c r="T40" i="36" s="1"/>
  <c r="S40" i="36" s="1"/>
  <c r="K40" i="36"/>
  <c r="J40" i="36"/>
  <c r="L39" i="36"/>
  <c r="K39" i="36"/>
  <c r="J39" i="36"/>
  <c r="K38" i="36"/>
  <c r="J38" i="36"/>
  <c r="L38" i="36" s="1"/>
  <c r="L37" i="36"/>
  <c r="K37" i="36"/>
  <c r="J37" i="36"/>
  <c r="R36" i="36"/>
  <c r="U36" i="36" s="1"/>
  <c r="L36" i="36"/>
  <c r="T36" i="36" s="1"/>
  <c r="S36" i="36" s="1"/>
  <c r="K36" i="36"/>
  <c r="J36" i="36"/>
  <c r="K35" i="36"/>
  <c r="J35" i="36"/>
  <c r="L35" i="36" s="1"/>
  <c r="L34" i="36"/>
  <c r="K34" i="36"/>
  <c r="J34" i="36"/>
  <c r="L33" i="36"/>
  <c r="K33" i="36"/>
  <c r="J33" i="36"/>
  <c r="K32" i="36"/>
  <c r="J32" i="36"/>
  <c r="L32" i="36" s="1"/>
  <c r="R31" i="36"/>
  <c r="L31" i="36"/>
  <c r="T31" i="36" s="1"/>
  <c r="S31" i="36" s="1"/>
  <c r="K31" i="36"/>
  <c r="J31" i="36"/>
  <c r="L30" i="36"/>
  <c r="K30" i="36"/>
  <c r="J30" i="36"/>
  <c r="K29" i="36"/>
  <c r="J29" i="36"/>
  <c r="L29" i="36" s="1"/>
  <c r="L28" i="36"/>
  <c r="K28" i="36"/>
  <c r="J28" i="36"/>
  <c r="R27" i="36"/>
  <c r="U27" i="36" s="1"/>
  <c r="L27" i="36"/>
  <c r="T27" i="36" s="1"/>
  <c r="S27" i="36" s="1"/>
  <c r="K27" i="36"/>
  <c r="J27" i="36"/>
  <c r="K26" i="36"/>
  <c r="J26" i="36"/>
  <c r="L26" i="36" s="1"/>
  <c r="L25" i="36"/>
  <c r="K25" i="36"/>
  <c r="J25" i="36"/>
  <c r="L24" i="36"/>
  <c r="K24" i="36"/>
  <c r="J24" i="36"/>
  <c r="K23" i="36"/>
  <c r="J23" i="36"/>
  <c r="L23" i="36" s="1"/>
  <c r="R22" i="36"/>
  <c r="L22" i="36"/>
  <c r="T22" i="36" s="1"/>
  <c r="S22" i="36" s="1"/>
  <c r="K22" i="36"/>
  <c r="J22" i="36"/>
  <c r="L21" i="36"/>
  <c r="K21" i="36"/>
  <c r="J21" i="36"/>
  <c r="K20" i="36"/>
  <c r="J20" i="36"/>
  <c r="L20" i="36" s="1"/>
  <c r="L19" i="36"/>
  <c r="K19" i="36"/>
  <c r="J19" i="36"/>
  <c r="R18" i="36"/>
  <c r="V18" i="36" s="1"/>
  <c r="L18" i="36"/>
  <c r="K18" i="36"/>
  <c r="J18" i="36"/>
  <c r="J81" i="36" s="1"/>
  <c r="R17" i="36"/>
  <c r="H17" i="36"/>
  <c r="H70" i="36" s="1"/>
  <c r="G17" i="36"/>
  <c r="H43" i="36" s="1"/>
  <c r="D15" i="36"/>
  <c r="G67" i="36" s="1"/>
  <c r="P10" i="36"/>
  <c r="P1" i="36"/>
  <c r="P8" i="36" s="1"/>
  <c r="Q61" i="35"/>
  <c r="F61" i="35"/>
  <c r="E61" i="35"/>
  <c r="K60" i="35"/>
  <c r="J60" i="35"/>
  <c r="L59" i="35"/>
  <c r="K59" i="35"/>
  <c r="J59" i="35"/>
  <c r="R58" i="35"/>
  <c r="U58" i="35" s="1"/>
  <c r="K58" i="35"/>
  <c r="V58" i="35" s="1"/>
  <c r="J58" i="35"/>
  <c r="L58" i="35" s="1"/>
  <c r="T58" i="35" s="1"/>
  <c r="S58" i="35" s="1"/>
  <c r="K57" i="35"/>
  <c r="J57" i="35"/>
  <c r="L56" i="35"/>
  <c r="K56" i="35"/>
  <c r="J56" i="35"/>
  <c r="R55" i="35"/>
  <c r="U55" i="35" s="1"/>
  <c r="K55" i="35"/>
  <c r="V55" i="35" s="1"/>
  <c r="J55" i="35"/>
  <c r="L55" i="35" s="1"/>
  <c r="T55" i="35" s="1"/>
  <c r="S55" i="35" s="1"/>
  <c r="K54" i="35"/>
  <c r="J54" i="35"/>
  <c r="L53" i="35"/>
  <c r="K53" i="35"/>
  <c r="J53" i="35"/>
  <c r="R52" i="35"/>
  <c r="U52" i="35" s="1"/>
  <c r="K52" i="35"/>
  <c r="V52" i="35" s="1"/>
  <c r="J52" i="35"/>
  <c r="L52" i="35" s="1"/>
  <c r="T52" i="35" s="1"/>
  <c r="S52" i="35" s="1"/>
  <c r="K51" i="35"/>
  <c r="J51" i="35"/>
  <c r="L50" i="35"/>
  <c r="K50" i="35"/>
  <c r="J50" i="35"/>
  <c r="R49" i="35"/>
  <c r="U49" i="35" s="1"/>
  <c r="K49" i="35"/>
  <c r="V49" i="35" s="1"/>
  <c r="J49" i="35"/>
  <c r="L49" i="35" s="1"/>
  <c r="T49" i="35" s="1"/>
  <c r="S49" i="35" s="1"/>
  <c r="K48" i="35"/>
  <c r="J48" i="35"/>
  <c r="L47" i="35"/>
  <c r="K47" i="35"/>
  <c r="J47" i="35"/>
  <c r="R46" i="35"/>
  <c r="U46" i="35" s="1"/>
  <c r="K46" i="35"/>
  <c r="V46" i="35" s="1"/>
  <c r="J46" i="35"/>
  <c r="L46" i="35" s="1"/>
  <c r="T46" i="35" s="1"/>
  <c r="S46" i="35" s="1"/>
  <c r="K45" i="35"/>
  <c r="J45" i="35"/>
  <c r="L44" i="35"/>
  <c r="K44" i="35"/>
  <c r="J44" i="35"/>
  <c r="R43" i="35"/>
  <c r="U43" i="35" s="1"/>
  <c r="K43" i="35"/>
  <c r="V43" i="35" s="1"/>
  <c r="J43" i="35"/>
  <c r="L43" i="35" s="1"/>
  <c r="T43" i="35" s="1"/>
  <c r="S43" i="35" s="1"/>
  <c r="K42" i="35"/>
  <c r="J42" i="35"/>
  <c r="L41" i="35"/>
  <c r="K41" i="35"/>
  <c r="J41" i="35"/>
  <c r="R40" i="35"/>
  <c r="U40" i="35" s="1"/>
  <c r="K40" i="35"/>
  <c r="V40" i="35" s="1"/>
  <c r="J40" i="35"/>
  <c r="L40" i="35" s="1"/>
  <c r="T40" i="35" s="1"/>
  <c r="S40" i="35" s="1"/>
  <c r="K39" i="35"/>
  <c r="J39" i="35"/>
  <c r="L38" i="35"/>
  <c r="K38" i="35"/>
  <c r="J38" i="35"/>
  <c r="R37" i="35"/>
  <c r="U37" i="35" s="1"/>
  <c r="K37" i="35"/>
  <c r="V37" i="35" s="1"/>
  <c r="J37" i="35"/>
  <c r="L37" i="35" s="1"/>
  <c r="T37" i="35" s="1"/>
  <c r="S37" i="35" s="1"/>
  <c r="K36" i="35"/>
  <c r="J36" i="35"/>
  <c r="L35" i="35"/>
  <c r="K35" i="35"/>
  <c r="J35" i="35"/>
  <c r="R34" i="35"/>
  <c r="U34" i="35" s="1"/>
  <c r="K34" i="35"/>
  <c r="V34" i="35" s="1"/>
  <c r="J34" i="35"/>
  <c r="L34" i="35" s="1"/>
  <c r="T34" i="35" s="1"/>
  <c r="S34" i="35" s="1"/>
  <c r="K33" i="35"/>
  <c r="J33" i="35"/>
  <c r="L32" i="35"/>
  <c r="K32" i="35"/>
  <c r="J32" i="35"/>
  <c r="R31" i="35"/>
  <c r="U31" i="35" s="1"/>
  <c r="K31" i="35"/>
  <c r="V31" i="35" s="1"/>
  <c r="J31" i="35"/>
  <c r="L31" i="35" s="1"/>
  <c r="T31" i="35" s="1"/>
  <c r="S31" i="35" s="1"/>
  <c r="K30" i="35"/>
  <c r="J30" i="35"/>
  <c r="L29" i="35"/>
  <c r="K29" i="35"/>
  <c r="J29" i="35"/>
  <c r="R28" i="35"/>
  <c r="U28" i="35" s="1"/>
  <c r="K28" i="35"/>
  <c r="V28" i="35" s="1"/>
  <c r="J28" i="35"/>
  <c r="L28" i="35" s="1"/>
  <c r="T28" i="35" s="1"/>
  <c r="S28" i="35" s="1"/>
  <c r="J27" i="35"/>
  <c r="G27" i="35"/>
  <c r="L26" i="35"/>
  <c r="K26" i="35"/>
  <c r="J26" i="35"/>
  <c r="R25" i="35"/>
  <c r="U25" i="35" s="1"/>
  <c r="K25" i="35"/>
  <c r="V25" i="35" s="1"/>
  <c r="J25" i="35"/>
  <c r="L25" i="35" s="1"/>
  <c r="T25" i="35" s="1"/>
  <c r="S25" i="35" s="1"/>
  <c r="K24" i="35"/>
  <c r="J24" i="35"/>
  <c r="G24" i="35"/>
  <c r="L23" i="35"/>
  <c r="K23" i="35"/>
  <c r="J23" i="35"/>
  <c r="R22" i="35"/>
  <c r="U22" i="35" s="1"/>
  <c r="K22" i="35"/>
  <c r="V22" i="35" s="1"/>
  <c r="J22" i="35"/>
  <c r="L22" i="35" s="1"/>
  <c r="T22" i="35" s="1"/>
  <c r="S22" i="35" s="1"/>
  <c r="K21" i="35"/>
  <c r="J21" i="35"/>
  <c r="G21" i="35"/>
  <c r="L20" i="35"/>
  <c r="K20" i="35"/>
  <c r="J20" i="35"/>
  <c r="R19" i="35"/>
  <c r="U19" i="35" s="1"/>
  <c r="K19" i="35"/>
  <c r="V19" i="35" s="1"/>
  <c r="J19" i="35"/>
  <c r="L19" i="35" s="1"/>
  <c r="T19" i="35" s="1"/>
  <c r="S19" i="35" s="1"/>
  <c r="G19" i="35"/>
  <c r="K18" i="35"/>
  <c r="J18" i="35"/>
  <c r="J61" i="35" s="1"/>
  <c r="G18" i="35"/>
  <c r="R17" i="35"/>
  <c r="R59" i="35" s="1"/>
  <c r="H17" i="35"/>
  <c r="H60" i="35" s="1"/>
  <c r="G17" i="35"/>
  <c r="H47" i="35" s="1"/>
  <c r="D15" i="35"/>
  <c r="G59" i="35" s="1"/>
  <c r="P10" i="35"/>
  <c r="P8" i="35"/>
  <c r="P1" i="35"/>
  <c r="Q61" i="34"/>
  <c r="F61" i="34"/>
  <c r="E61" i="34"/>
  <c r="P10" i="34" s="1"/>
  <c r="K60" i="34"/>
  <c r="J60" i="34"/>
  <c r="G60" i="34"/>
  <c r="K59" i="34"/>
  <c r="J59" i="34"/>
  <c r="L59" i="34" s="1"/>
  <c r="H59" i="34"/>
  <c r="R58" i="34"/>
  <c r="U58" i="34" s="1"/>
  <c r="K58" i="34"/>
  <c r="V58" i="34" s="1"/>
  <c r="J58" i="34"/>
  <c r="L58" i="34" s="1"/>
  <c r="T58" i="34" s="1"/>
  <c r="S58" i="34" s="1"/>
  <c r="G58" i="34"/>
  <c r="K57" i="34"/>
  <c r="J57" i="34"/>
  <c r="G57" i="34"/>
  <c r="K56" i="34"/>
  <c r="J56" i="34"/>
  <c r="L56" i="34" s="1"/>
  <c r="H56" i="34"/>
  <c r="R55" i="34"/>
  <c r="U55" i="34" s="1"/>
  <c r="K55" i="34"/>
  <c r="V55" i="34" s="1"/>
  <c r="J55" i="34"/>
  <c r="L55" i="34" s="1"/>
  <c r="T55" i="34" s="1"/>
  <c r="S55" i="34" s="1"/>
  <c r="G55" i="34"/>
  <c r="K54" i="34"/>
  <c r="J54" i="34"/>
  <c r="G54" i="34"/>
  <c r="K53" i="34"/>
  <c r="J53" i="34"/>
  <c r="L53" i="34" s="1"/>
  <c r="H53" i="34"/>
  <c r="R52" i="34"/>
  <c r="U52" i="34" s="1"/>
  <c r="K52" i="34"/>
  <c r="V52" i="34" s="1"/>
  <c r="J52" i="34"/>
  <c r="L52" i="34" s="1"/>
  <c r="T52" i="34" s="1"/>
  <c r="S52" i="34" s="1"/>
  <c r="G52" i="34"/>
  <c r="K51" i="34"/>
  <c r="J51" i="34"/>
  <c r="G51" i="34"/>
  <c r="K50" i="34"/>
  <c r="J50" i="34"/>
  <c r="L50" i="34" s="1"/>
  <c r="H50" i="34"/>
  <c r="R49" i="34"/>
  <c r="U49" i="34" s="1"/>
  <c r="K49" i="34"/>
  <c r="V49" i="34" s="1"/>
  <c r="J49" i="34"/>
  <c r="L49" i="34" s="1"/>
  <c r="T49" i="34" s="1"/>
  <c r="S49" i="34" s="1"/>
  <c r="G49" i="34"/>
  <c r="K48" i="34"/>
  <c r="J48" i="34"/>
  <c r="G48" i="34"/>
  <c r="K47" i="34"/>
  <c r="J47" i="34"/>
  <c r="L47" i="34" s="1"/>
  <c r="H47" i="34"/>
  <c r="R46" i="34"/>
  <c r="U46" i="34" s="1"/>
  <c r="K46" i="34"/>
  <c r="V46" i="34" s="1"/>
  <c r="J46" i="34"/>
  <c r="L46" i="34" s="1"/>
  <c r="T46" i="34" s="1"/>
  <c r="S46" i="34" s="1"/>
  <c r="G46" i="34"/>
  <c r="K45" i="34"/>
  <c r="J45" i="34"/>
  <c r="G45" i="34"/>
  <c r="K44" i="34"/>
  <c r="J44" i="34"/>
  <c r="L44" i="34" s="1"/>
  <c r="H44" i="34"/>
  <c r="R43" i="34"/>
  <c r="U43" i="34" s="1"/>
  <c r="K43" i="34"/>
  <c r="V43" i="34" s="1"/>
  <c r="J43" i="34"/>
  <c r="L43" i="34" s="1"/>
  <c r="T43" i="34" s="1"/>
  <c r="S43" i="34" s="1"/>
  <c r="G43" i="34"/>
  <c r="K42" i="34"/>
  <c r="J42" i="34"/>
  <c r="G42" i="34"/>
  <c r="K41" i="34"/>
  <c r="J41" i="34"/>
  <c r="L41" i="34" s="1"/>
  <c r="H41" i="34"/>
  <c r="R40" i="34"/>
  <c r="U40" i="34" s="1"/>
  <c r="K40" i="34"/>
  <c r="V40" i="34" s="1"/>
  <c r="J40" i="34"/>
  <c r="L40" i="34" s="1"/>
  <c r="T40" i="34" s="1"/>
  <c r="S40" i="34" s="1"/>
  <c r="G40" i="34"/>
  <c r="K39" i="34"/>
  <c r="J39" i="34"/>
  <c r="G39" i="34"/>
  <c r="K38" i="34"/>
  <c r="J38" i="34"/>
  <c r="L38" i="34" s="1"/>
  <c r="H38" i="34"/>
  <c r="R37" i="34"/>
  <c r="U37" i="34" s="1"/>
  <c r="K37" i="34"/>
  <c r="V37" i="34" s="1"/>
  <c r="J37" i="34"/>
  <c r="L37" i="34" s="1"/>
  <c r="T37" i="34" s="1"/>
  <c r="S37" i="34" s="1"/>
  <c r="G37" i="34"/>
  <c r="K36" i="34"/>
  <c r="J36" i="34"/>
  <c r="G36" i="34"/>
  <c r="K35" i="34"/>
  <c r="J35" i="34"/>
  <c r="L35" i="34" s="1"/>
  <c r="R34" i="34"/>
  <c r="U34" i="34" s="1"/>
  <c r="K34" i="34"/>
  <c r="J34" i="34"/>
  <c r="L34" i="34" s="1"/>
  <c r="G34" i="34"/>
  <c r="K33" i="34"/>
  <c r="J33" i="34"/>
  <c r="G33" i="34"/>
  <c r="K32" i="34"/>
  <c r="J32" i="34"/>
  <c r="L32" i="34" s="1"/>
  <c r="R31" i="34"/>
  <c r="U31" i="34" s="1"/>
  <c r="K31" i="34"/>
  <c r="J31" i="34"/>
  <c r="L31" i="34" s="1"/>
  <c r="G31" i="34"/>
  <c r="K30" i="34"/>
  <c r="J30" i="34"/>
  <c r="G30" i="34"/>
  <c r="K29" i="34"/>
  <c r="J29" i="34"/>
  <c r="L29" i="34" s="1"/>
  <c r="R28" i="34"/>
  <c r="U28" i="34" s="1"/>
  <c r="K28" i="34"/>
  <c r="J28" i="34"/>
  <c r="L28" i="34" s="1"/>
  <c r="G28" i="34"/>
  <c r="J27" i="34"/>
  <c r="G27" i="34"/>
  <c r="K26" i="34"/>
  <c r="J26" i="34"/>
  <c r="L26" i="34" s="1"/>
  <c r="R25" i="34"/>
  <c r="U25" i="34" s="1"/>
  <c r="K25" i="34"/>
  <c r="J25" i="34"/>
  <c r="L25" i="34" s="1"/>
  <c r="G25" i="34"/>
  <c r="K24" i="34"/>
  <c r="J24" i="34"/>
  <c r="G24" i="34"/>
  <c r="K23" i="34"/>
  <c r="J23" i="34"/>
  <c r="L23" i="34" s="1"/>
  <c r="R22" i="34"/>
  <c r="U22" i="34" s="1"/>
  <c r="K22" i="34"/>
  <c r="J22" i="34"/>
  <c r="L22" i="34" s="1"/>
  <c r="G22" i="34"/>
  <c r="K21" i="34"/>
  <c r="J21" i="34"/>
  <c r="G21" i="34"/>
  <c r="K20" i="34"/>
  <c r="J20" i="34"/>
  <c r="L20" i="34" s="1"/>
  <c r="R19" i="34"/>
  <c r="U19" i="34" s="1"/>
  <c r="K19" i="34"/>
  <c r="J19" i="34"/>
  <c r="L19" i="34" s="1"/>
  <c r="G19" i="34"/>
  <c r="K18" i="34"/>
  <c r="J18" i="34"/>
  <c r="G18" i="34"/>
  <c r="R17" i="34"/>
  <c r="R59" i="34" s="1"/>
  <c r="U59" i="34" s="1"/>
  <c r="H17" i="34"/>
  <c r="G17" i="34"/>
  <c r="H35" i="34" s="1"/>
  <c r="D15" i="34"/>
  <c r="G59" i="34" s="1"/>
  <c r="P8" i="34"/>
  <c r="P1" i="34"/>
  <c r="Q61" i="33"/>
  <c r="F61" i="33"/>
  <c r="E61" i="33"/>
  <c r="P10" i="33" s="1"/>
  <c r="K60" i="33"/>
  <c r="J60" i="33"/>
  <c r="G60" i="33"/>
  <c r="K59" i="33"/>
  <c r="J59" i="33"/>
  <c r="L59" i="33" s="1"/>
  <c r="R58" i="33"/>
  <c r="U58" i="33" s="1"/>
  <c r="K58" i="33"/>
  <c r="V58" i="33" s="1"/>
  <c r="J58" i="33"/>
  <c r="L58" i="33" s="1"/>
  <c r="T58" i="33" s="1"/>
  <c r="S58" i="33" s="1"/>
  <c r="G58" i="33"/>
  <c r="K57" i="33"/>
  <c r="J57" i="33"/>
  <c r="G57" i="33"/>
  <c r="K56" i="33"/>
  <c r="J56" i="33"/>
  <c r="L56" i="33" s="1"/>
  <c r="R55" i="33"/>
  <c r="U55" i="33" s="1"/>
  <c r="K55" i="33"/>
  <c r="V55" i="33" s="1"/>
  <c r="J55" i="33"/>
  <c r="L55" i="33" s="1"/>
  <c r="T55" i="33" s="1"/>
  <c r="S55" i="33" s="1"/>
  <c r="G55" i="33"/>
  <c r="K54" i="33"/>
  <c r="J54" i="33"/>
  <c r="G54" i="33"/>
  <c r="K53" i="33"/>
  <c r="J53" i="33"/>
  <c r="L53" i="33" s="1"/>
  <c r="R52" i="33"/>
  <c r="U52" i="33" s="1"/>
  <c r="K52" i="33"/>
  <c r="V52" i="33" s="1"/>
  <c r="J52" i="33"/>
  <c r="L52" i="33" s="1"/>
  <c r="T52" i="33" s="1"/>
  <c r="S52" i="33" s="1"/>
  <c r="G52" i="33"/>
  <c r="K51" i="33"/>
  <c r="J51" i="33"/>
  <c r="G51" i="33"/>
  <c r="K50" i="33"/>
  <c r="J50" i="33"/>
  <c r="L50" i="33" s="1"/>
  <c r="R49" i="33"/>
  <c r="U49" i="33" s="1"/>
  <c r="K49" i="33"/>
  <c r="V49" i="33" s="1"/>
  <c r="J49" i="33"/>
  <c r="L49" i="33" s="1"/>
  <c r="T49" i="33" s="1"/>
  <c r="S49" i="33" s="1"/>
  <c r="G49" i="33"/>
  <c r="K48" i="33"/>
  <c r="J48" i="33"/>
  <c r="G48" i="33"/>
  <c r="U47" i="33"/>
  <c r="R47" i="33"/>
  <c r="K47" i="33"/>
  <c r="V47" i="33" s="1"/>
  <c r="J47" i="33"/>
  <c r="L47" i="33" s="1"/>
  <c r="T47" i="33" s="1"/>
  <c r="S47" i="33" s="1"/>
  <c r="R46" i="33"/>
  <c r="K46" i="33"/>
  <c r="V46" i="33" s="1"/>
  <c r="J46" i="33"/>
  <c r="L46" i="33" s="1"/>
  <c r="T46" i="33" s="1"/>
  <c r="S46" i="33" s="1"/>
  <c r="G46" i="33"/>
  <c r="K45" i="33"/>
  <c r="J45" i="33"/>
  <c r="G45" i="33"/>
  <c r="R44" i="33"/>
  <c r="K44" i="33"/>
  <c r="V44" i="33" s="1"/>
  <c r="J44" i="33"/>
  <c r="U44" i="33" s="1"/>
  <c r="R43" i="33"/>
  <c r="K43" i="33"/>
  <c r="V43" i="33" s="1"/>
  <c r="J43" i="33"/>
  <c r="L43" i="33" s="1"/>
  <c r="T43" i="33" s="1"/>
  <c r="S43" i="33" s="1"/>
  <c r="G43" i="33"/>
  <c r="K42" i="33"/>
  <c r="J42" i="33"/>
  <c r="G42" i="33"/>
  <c r="U41" i="33"/>
  <c r="R41" i="33"/>
  <c r="K41" i="33"/>
  <c r="V41" i="33" s="1"/>
  <c r="J41" i="33"/>
  <c r="L41" i="33" s="1"/>
  <c r="T41" i="33" s="1"/>
  <c r="S41" i="33" s="1"/>
  <c r="R40" i="33"/>
  <c r="K40" i="33"/>
  <c r="V40" i="33" s="1"/>
  <c r="J40" i="33"/>
  <c r="L40" i="33" s="1"/>
  <c r="T40" i="33" s="1"/>
  <c r="S40" i="33" s="1"/>
  <c r="G40" i="33"/>
  <c r="K39" i="33"/>
  <c r="J39" i="33"/>
  <c r="G39" i="33"/>
  <c r="R38" i="33"/>
  <c r="K38" i="33"/>
  <c r="V38" i="33" s="1"/>
  <c r="J38" i="33"/>
  <c r="U38" i="33" s="1"/>
  <c r="R37" i="33"/>
  <c r="K37" i="33"/>
  <c r="V37" i="33" s="1"/>
  <c r="J37" i="33"/>
  <c r="L37" i="33" s="1"/>
  <c r="T37" i="33" s="1"/>
  <c r="S37" i="33" s="1"/>
  <c r="G37" i="33"/>
  <c r="K36" i="33"/>
  <c r="J36" i="33"/>
  <c r="G36" i="33"/>
  <c r="R35" i="33"/>
  <c r="K35" i="33"/>
  <c r="V35" i="33" s="1"/>
  <c r="J35" i="33"/>
  <c r="L35" i="33" s="1"/>
  <c r="T35" i="33" s="1"/>
  <c r="S35" i="33" s="1"/>
  <c r="R34" i="33"/>
  <c r="K34" i="33"/>
  <c r="V34" i="33" s="1"/>
  <c r="J34" i="33"/>
  <c r="L34" i="33" s="1"/>
  <c r="T34" i="33" s="1"/>
  <c r="S34" i="33" s="1"/>
  <c r="G34" i="33"/>
  <c r="K33" i="33"/>
  <c r="J33" i="33"/>
  <c r="G33" i="33"/>
  <c r="R32" i="33"/>
  <c r="K32" i="33"/>
  <c r="V32" i="33" s="1"/>
  <c r="J32" i="33"/>
  <c r="U32" i="33" s="1"/>
  <c r="R31" i="33"/>
  <c r="K31" i="33"/>
  <c r="V31" i="33" s="1"/>
  <c r="J31" i="33"/>
  <c r="L31" i="33" s="1"/>
  <c r="T31" i="33" s="1"/>
  <c r="S31" i="33" s="1"/>
  <c r="G31" i="33"/>
  <c r="K30" i="33"/>
  <c r="J30" i="33"/>
  <c r="G30" i="33"/>
  <c r="R29" i="33"/>
  <c r="K29" i="33"/>
  <c r="V29" i="33" s="1"/>
  <c r="J29" i="33"/>
  <c r="L29" i="33" s="1"/>
  <c r="T29" i="33" s="1"/>
  <c r="S29" i="33" s="1"/>
  <c r="R28" i="33"/>
  <c r="K28" i="33"/>
  <c r="V28" i="33" s="1"/>
  <c r="J28" i="33"/>
  <c r="L28" i="33" s="1"/>
  <c r="T28" i="33" s="1"/>
  <c r="S28" i="33" s="1"/>
  <c r="G28" i="33"/>
  <c r="J27" i="33"/>
  <c r="G27" i="33"/>
  <c r="R26" i="33"/>
  <c r="K26" i="33"/>
  <c r="V26" i="33" s="1"/>
  <c r="J26" i="33"/>
  <c r="U26" i="33" s="1"/>
  <c r="R25" i="33"/>
  <c r="K25" i="33"/>
  <c r="V25" i="33" s="1"/>
  <c r="J25" i="33"/>
  <c r="L25" i="33" s="1"/>
  <c r="T25" i="33" s="1"/>
  <c r="S25" i="33" s="1"/>
  <c r="G25" i="33"/>
  <c r="K24" i="33"/>
  <c r="J24" i="33"/>
  <c r="G24" i="33"/>
  <c r="R23" i="33"/>
  <c r="K23" i="33"/>
  <c r="V23" i="33" s="1"/>
  <c r="J23" i="33"/>
  <c r="U23" i="33" s="1"/>
  <c r="R22" i="33"/>
  <c r="K22" i="33"/>
  <c r="V22" i="33" s="1"/>
  <c r="J22" i="33"/>
  <c r="L22" i="33" s="1"/>
  <c r="T22" i="33" s="1"/>
  <c r="S22" i="33" s="1"/>
  <c r="G22" i="33"/>
  <c r="K21" i="33"/>
  <c r="J21" i="33"/>
  <c r="G21" i="33"/>
  <c r="T20" i="33"/>
  <c r="S20" i="33" s="1"/>
  <c r="R20" i="33"/>
  <c r="K20" i="33"/>
  <c r="V20" i="33" s="1"/>
  <c r="J20" i="33"/>
  <c r="L20" i="33" s="1"/>
  <c r="R19" i="33"/>
  <c r="K19" i="33"/>
  <c r="V19" i="33" s="1"/>
  <c r="J19" i="33"/>
  <c r="L19" i="33" s="1"/>
  <c r="T19" i="33" s="1"/>
  <c r="S19" i="33" s="1"/>
  <c r="G19" i="33"/>
  <c r="K18" i="33"/>
  <c r="J18" i="33"/>
  <c r="J61" i="33" s="1"/>
  <c r="G18" i="33"/>
  <c r="R17" i="33"/>
  <c r="R59" i="33" s="1"/>
  <c r="U59" i="33" s="1"/>
  <c r="H17" i="33"/>
  <c r="G17" i="33"/>
  <c r="H20" i="33" s="1"/>
  <c r="D15" i="33"/>
  <c r="G59" i="33" s="1"/>
  <c r="P8" i="33"/>
  <c r="P1" i="33"/>
  <c r="Q61" i="32"/>
  <c r="F61" i="32"/>
  <c r="E61" i="32"/>
  <c r="K60" i="32"/>
  <c r="J60" i="32"/>
  <c r="L60" i="32" s="1"/>
  <c r="G60" i="32"/>
  <c r="L59" i="32"/>
  <c r="T59" i="32" s="1"/>
  <c r="S59" i="32" s="1"/>
  <c r="K59" i="32"/>
  <c r="V59" i="32" s="1"/>
  <c r="J59" i="32"/>
  <c r="K58" i="32"/>
  <c r="J58" i="32"/>
  <c r="L58" i="32" s="1"/>
  <c r="K57" i="32"/>
  <c r="J57" i="32"/>
  <c r="L57" i="32" s="1"/>
  <c r="G57" i="32"/>
  <c r="L56" i="32"/>
  <c r="K56" i="32"/>
  <c r="J56" i="32"/>
  <c r="K55" i="32"/>
  <c r="J55" i="32"/>
  <c r="L55" i="32" s="1"/>
  <c r="K54" i="32"/>
  <c r="J54" i="32"/>
  <c r="L54" i="32" s="1"/>
  <c r="G54" i="32"/>
  <c r="L53" i="32"/>
  <c r="K53" i="32"/>
  <c r="J53" i="32"/>
  <c r="K52" i="32"/>
  <c r="J52" i="32"/>
  <c r="L52" i="32" s="1"/>
  <c r="K51" i="32"/>
  <c r="J51" i="32"/>
  <c r="L51" i="32" s="1"/>
  <c r="G51" i="32"/>
  <c r="L50" i="32"/>
  <c r="K50" i="32"/>
  <c r="J50" i="32"/>
  <c r="K49" i="32"/>
  <c r="J49" i="32"/>
  <c r="L49" i="32" s="1"/>
  <c r="K48" i="32"/>
  <c r="J48" i="32"/>
  <c r="L48" i="32" s="1"/>
  <c r="G48" i="32"/>
  <c r="L47" i="32"/>
  <c r="K47" i="32"/>
  <c r="J47" i="32"/>
  <c r="K46" i="32"/>
  <c r="J46" i="32"/>
  <c r="L46" i="32" s="1"/>
  <c r="K45" i="32"/>
  <c r="J45" i="32"/>
  <c r="L45" i="32" s="1"/>
  <c r="G45" i="32"/>
  <c r="L44" i="32"/>
  <c r="K44" i="32"/>
  <c r="J44" i="32"/>
  <c r="K43" i="32"/>
  <c r="J43" i="32"/>
  <c r="L43" i="32" s="1"/>
  <c r="K42" i="32"/>
  <c r="J42" i="32"/>
  <c r="L42" i="32" s="1"/>
  <c r="G42" i="32"/>
  <c r="L41" i="32"/>
  <c r="K41" i="32"/>
  <c r="J41" i="32"/>
  <c r="K40" i="32"/>
  <c r="J40" i="32"/>
  <c r="L40" i="32" s="1"/>
  <c r="K39" i="32"/>
  <c r="J39" i="32"/>
  <c r="L39" i="32" s="1"/>
  <c r="G39" i="32"/>
  <c r="L38" i="32"/>
  <c r="K38" i="32"/>
  <c r="J38" i="32"/>
  <c r="K37" i="32"/>
  <c r="J37" i="32"/>
  <c r="L37" i="32" s="1"/>
  <c r="K36" i="32"/>
  <c r="J36" i="32"/>
  <c r="L36" i="32" s="1"/>
  <c r="G36" i="32"/>
  <c r="L35" i="32"/>
  <c r="K35" i="32"/>
  <c r="J35" i="32"/>
  <c r="K34" i="32"/>
  <c r="J34" i="32"/>
  <c r="L34" i="32" s="1"/>
  <c r="K33" i="32"/>
  <c r="J33" i="32"/>
  <c r="L33" i="32" s="1"/>
  <c r="G33" i="32"/>
  <c r="L32" i="32"/>
  <c r="K32" i="32"/>
  <c r="J32" i="32"/>
  <c r="K31" i="32"/>
  <c r="J31" i="32"/>
  <c r="L31" i="32" s="1"/>
  <c r="K30" i="32"/>
  <c r="J30" i="32"/>
  <c r="L30" i="32" s="1"/>
  <c r="G30" i="32"/>
  <c r="L29" i="32"/>
  <c r="K29" i="32"/>
  <c r="J29" i="32"/>
  <c r="K28" i="32"/>
  <c r="J28" i="32"/>
  <c r="L28" i="32" s="1"/>
  <c r="J27" i="32"/>
  <c r="G27" i="32"/>
  <c r="L26" i="32"/>
  <c r="K26" i="32"/>
  <c r="J26" i="32"/>
  <c r="K25" i="32"/>
  <c r="J25" i="32"/>
  <c r="L25" i="32" s="1"/>
  <c r="K24" i="32"/>
  <c r="J24" i="32"/>
  <c r="L24" i="32" s="1"/>
  <c r="G24" i="32"/>
  <c r="L23" i="32"/>
  <c r="K23" i="32"/>
  <c r="J23" i="32"/>
  <c r="K22" i="32"/>
  <c r="J22" i="32"/>
  <c r="L22" i="32" s="1"/>
  <c r="K21" i="32"/>
  <c r="J21" i="32"/>
  <c r="L21" i="32" s="1"/>
  <c r="G21" i="32"/>
  <c r="L20" i="32"/>
  <c r="K20" i="32"/>
  <c r="J20" i="32"/>
  <c r="K19" i="32"/>
  <c r="J19" i="32"/>
  <c r="L19" i="32" s="1"/>
  <c r="K18" i="32"/>
  <c r="J18" i="32"/>
  <c r="J61" i="32" s="1"/>
  <c r="G18" i="32"/>
  <c r="R17" i="32"/>
  <c r="R59" i="32" s="1"/>
  <c r="H17" i="32"/>
  <c r="H60" i="32" s="1"/>
  <c r="G17" i="32"/>
  <c r="H30" i="32" s="1"/>
  <c r="D15" i="32"/>
  <c r="G59" i="32" s="1"/>
  <c r="P10" i="32"/>
  <c r="P8" i="32"/>
  <c r="P1" i="32"/>
  <c r="Q61" i="31"/>
  <c r="F61" i="31"/>
  <c r="E61" i="31"/>
  <c r="P10" i="31" s="1"/>
  <c r="K60" i="31"/>
  <c r="J60" i="31"/>
  <c r="L60" i="31" s="1"/>
  <c r="K59" i="31"/>
  <c r="J59" i="31"/>
  <c r="L59" i="31" s="1"/>
  <c r="R58" i="31"/>
  <c r="L58" i="31"/>
  <c r="T58" i="31" s="1"/>
  <c r="S58" i="31" s="1"/>
  <c r="K58" i="31"/>
  <c r="V58" i="31" s="1"/>
  <c r="J58" i="31"/>
  <c r="K57" i="31"/>
  <c r="J57" i="31"/>
  <c r="L57" i="31" s="1"/>
  <c r="K56" i="31"/>
  <c r="J56" i="31"/>
  <c r="L56" i="31" s="1"/>
  <c r="R55" i="31"/>
  <c r="L55" i="31"/>
  <c r="K55" i="31"/>
  <c r="J55" i="31"/>
  <c r="K54" i="31"/>
  <c r="J54" i="31"/>
  <c r="K53" i="31"/>
  <c r="J53" i="31"/>
  <c r="L53" i="31" s="1"/>
  <c r="H53" i="31"/>
  <c r="R52" i="31"/>
  <c r="L52" i="31"/>
  <c r="T52" i="31" s="1"/>
  <c r="S52" i="31" s="1"/>
  <c r="K52" i="31"/>
  <c r="J52" i="31"/>
  <c r="K51" i="31"/>
  <c r="J51" i="31"/>
  <c r="L51" i="31" s="1"/>
  <c r="K50" i="31"/>
  <c r="J50" i="31"/>
  <c r="L50" i="31" s="1"/>
  <c r="H50" i="31"/>
  <c r="R49" i="31"/>
  <c r="L49" i="31"/>
  <c r="T49" i="31" s="1"/>
  <c r="S49" i="31" s="1"/>
  <c r="K49" i="31"/>
  <c r="V49" i="31" s="1"/>
  <c r="J49" i="31"/>
  <c r="K48" i="31"/>
  <c r="J48" i="31"/>
  <c r="L48" i="31" s="1"/>
  <c r="K47" i="31"/>
  <c r="J47" i="31"/>
  <c r="L47" i="31" s="1"/>
  <c r="R46" i="31"/>
  <c r="L46" i="31"/>
  <c r="K46" i="31"/>
  <c r="J46" i="31"/>
  <c r="K45" i="31"/>
  <c r="J45" i="31"/>
  <c r="K44" i="31"/>
  <c r="J44" i="31"/>
  <c r="L44" i="31" s="1"/>
  <c r="H44" i="31"/>
  <c r="R43" i="31"/>
  <c r="K43" i="31"/>
  <c r="L43" i="31" s="1"/>
  <c r="T43" i="31" s="1"/>
  <c r="S43" i="31" s="1"/>
  <c r="J43" i="31"/>
  <c r="K42" i="31"/>
  <c r="J42" i="31"/>
  <c r="L42" i="31" s="1"/>
  <c r="K41" i="31"/>
  <c r="J41" i="31"/>
  <c r="L41" i="31" s="1"/>
  <c r="H41" i="31"/>
  <c r="G41" i="31"/>
  <c r="R40" i="31"/>
  <c r="L40" i="31"/>
  <c r="T40" i="31" s="1"/>
  <c r="S40" i="31" s="1"/>
  <c r="K40" i="31"/>
  <c r="V40" i="31" s="1"/>
  <c r="J40" i="31"/>
  <c r="K39" i="31"/>
  <c r="J39" i="31"/>
  <c r="L39" i="31" s="1"/>
  <c r="K38" i="31"/>
  <c r="J38" i="31"/>
  <c r="L38" i="31" s="1"/>
  <c r="R37" i="31"/>
  <c r="L37" i="31"/>
  <c r="K37" i="31"/>
  <c r="J37" i="31"/>
  <c r="K36" i="31"/>
  <c r="J36" i="31"/>
  <c r="K35" i="31"/>
  <c r="J35" i="31"/>
  <c r="L35" i="31" s="1"/>
  <c r="H35" i="31"/>
  <c r="R34" i="31"/>
  <c r="L34" i="31"/>
  <c r="T34" i="31" s="1"/>
  <c r="S34" i="31" s="1"/>
  <c r="K34" i="31"/>
  <c r="J34" i="31"/>
  <c r="K33" i="31"/>
  <c r="J33" i="31"/>
  <c r="L33" i="31" s="1"/>
  <c r="K32" i="31"/>
  <c r="J32" i="31"/>
  <c r="L32" i="31" s="1"/>
  <c r="H32" i="31"/>
  <c r="G32" i="31"/>
  <c r="R31" i="31"/>
  <c r="L31" i="31"/>
  <c r="T31" i="31" s="1"/>
  <c r="S31" i="31" s="1"/>
  <c r="K31" i="31"/>
  <c r="V31" i="31" s="1"/>
  <c r="J31" i="31"/>
  <c r="K30" i="31"/>
  <c r="J30" i="31"/>
  <c r="L30" i="31" s="1"/>
  <c r="K29" i="31"/>
  <c r="J29" i="31"/>
  <c r="L29" i="31" s="1"/>
  <c r="R28" i="31"/>
  <c r="L28" i="31"/>
  <c r="K28" i="31"/>
  <c r="J28" i="31"/>
  <c r="K27" i="31"/>
  <c r="J27" i="31"/>
  <c r="K26" i="31"/>
  <c r="J26" i="31"/>
  <c r="L26" i="31" s="1"/>
  <c r="H26" i="31"/>
  <c r="R25" i="31"/>
  <c r="L25" i="31"/>
  <c r="T25" i="31" s="1"/>
  <c r="S25" i="31" s="1"/>
  <c r="K25" i="31"/>
  <c r="J25" i="31"/>
  <c r="K24" i="31"/>
  <c r="J24" i="31"/>
  <c r="L24" i="31" s="1"/>
  <c r="K23" i="31"/>
  <c r="J23" i="31"/>
  <c r="L23" i="31" s="1"/>
  <c r="H23" i="31"/>
  <c r="G23" i="31"/>
  <c r="R22" i="31"/>
  <c r="L22" i="31"/>
  <c r="T22" i="31" s="1"/>
  <c r="S22" i="31" s="1"/>
  <c r="K22" i="31"/>
  <c r="V22" i="31" s="1"/>
  <c r="J22" i="31"/>
  <c r="K21" i="31"/>
  <c r="J21" i="31"/>
  <c r="L21" i="31" s="1"/>
  <c r="K20" i="31"/>
  <c r="J20" i="31"/>
  <c r="L20" i="31" s="1"/>
  <c r="R19" i="31"/>
  <c r="L19" i="31"/>
  <c r="K19" i="31"/>
  <c r="J19" i="31"/>
  <c r="K18" i="31"/>
  <c r="K61" i="31" s="1"/>
  <c r="J18" i="31"/>
  <c r="R17" i="31"/>
  <c r="R59" i="31" s="1"/>
  <c r="U59" i="31" s="1"/>
  <c r="H17" i="31"/>
  <c r="H60" i="31" s="1"/>
  <c r="G17" i="31"/>
  <c r="H59" i="31" s="1"/>
  <c r="D15" i="31"/>
  <c r="G53" i="31" s="1"/>
  <c r="P1" i="31"/>
  <c r="P8" i="31" s="1"/>
  <c r="Q61" i="30"/>
  <c r="F61" i="30"/>
  <c r="E61" i="30"/>
  <c r="K60" i="30"/>
  <c r="J60" i="30"/>
  <c r="G60" i="30"/>
  <c r="L59" i="30"/>
  <c r="K59" i="30"/>
  <c r="J59" i="30"/>
  <c r="R58" i="30"/>
  <c r="U58" i="30" s="1"/>
  <c r="K58" i="30"/>
  <c r="V58" i="30" s="1"/>
  <c r="J58" i="30"/>
  <c r="L58" i="30" s="1"/>
  <c r="T58" i="30" s="1"/>
  <c r="S58" i="30" s="1"/>
  <c r="G58" i="30"/>
  <c r="K57" i="30"/>
  <c r="J57" i="30"/>
  <c r="G57" i="30"/>
  <c r="L56" i="30"/>
  <c r="K56" i="30"/>
  <c r="J56" i="30"/>
  <c r="R55" i="30"/>
  <c r="U55" i="30" s="1"/>
  <c r="K55" i="30"/>
  <c r="V55" i="30" s="1"/>
  <c r="J55" i="30"/>
  <c r="L55" i="30" s="1"/>
  <c r="T55" i="30" s="1"/>
  <c r="S55" i="30" s="1"/>
  <c r="G55" i="30"/>
  <c r="K54" i="30"/>
  <c r="J54" i="30"/>
  <c r="G54" i="30"/>
  <c r="L53" i="30"/>
  <c r="K53" i="30"/>
  <c r="J53" i="30"/>
  <c r="R52" i="30"/>
  <c r="U52" i="30" s="1"/>
  <c r="K52" i="30"/>
  <c r="V52" i="30" s="1"/>
  <c r="J52" i="30"/>
  <c r="L52" i="30" s="1"/>
  <c r="T52" i="30" s="1"/>
  <c r="S52" i="30" s="1"/>
  <c r="G52" i="30"/>
  <c r="K51" i="30"/>
  <c r="J51" i="30"/>
  <c r="G51" i="30"/>
  <c r="L50" i="30"/>
  <c r="K50" i="30"/>
  <c r="J50" i="30"/>
  <c r="R49" i="30"/>
  <c r="U49" i="30" s="1"/>
  <c r="K49" i="30"/>
  <c r="V49" i="30" s="1"/>
  <c r="J49" i="30"/>
  <c r="L49" i="30" s="1"/>
  <c r="T49" i="30" s="1"/>
  <c r="S49" i="30" s="1"/>
  <c r="G49" i="30"/>
  <c r="K48" i="30"/>
  <c r="J48" i="30"/>
  <c r="G48" i="30"/>
  <c r="L47" i="30"/>
  <c r="K47" i="30"/>
  <c r="J47" i="30"/>
  <c r="R46" i="30"/>
  <c r="U46" i="30" s="1"/>
  <c r="K46" i="30"/>
  <c r="V46" i="30" s="1"/>
  <c r="J46" i="30"/>
  <c r="L46" i="30" s="1"/>
  <c r="T46" i="30" s="1"/>
  <c r="S46" i="30" s="1"/>
  <c r="G46" i="30"/>
  <c r="K45" i="30"/>
  <c r="J45" i="30"/>
  <c r="G45" i="30"/>
  <c r="L44" i="30"/>
  <c r="K44" i="30"/>
  <c r="J44" i="30"/>
  <c r="R43" i="30"/>
  <c r="K43" i="30"/>
  <c r="V43" i="30" s="1"/>
  <c r="J43" i="30"/>
  <c r="G43" i="30"/>
  <c r="K42" i="30"/>
  <c r="J42" i="30"/>
  <c r="G42" i="30"/>
  <c r="L41" i="30"/>
  <c r="K41" i="30"/>
  <c r="J41" i="30"/>
  <c r="R40" i="30"/>
  <c r="U40" i="30" s="1"/>
  <c r="K40" i="30"/>
  <c r="V40" i="30" s="1"/>
  <c r="J40" i="30"/>
  <c r="L40" i="30" s="1"/>
  <c r="T40" i="30" s="1"/>
  <c r="S40" i="30" s="1"/>
  <c r="G40" i="30"/>
  <c r="K39" i="30"/>
  <c r="J39" i="30"/>
  <c r="G39" i="30"/>
  <c r="T38" i="30"/>
  <c r="S38" i="30" s="1"/>
  <c r="R38" i="30"/>
  <c r="L38" i="30"/>
  <c r="K38" i="30"/>
  <c r="V38" i="30" s="1"/>
  <c r="J38" i="30"/>
  <c r="U38" i="30" s="1"/>
  <c r="R37" i="30"/>
  <c r="U37" i="30" s="1"/>
  <c r="K37" i="30"/>
  <c r="V37" i="30" s="1"/>
  <c r="J37" i="30"/>
  <c r="L37" i="30" s="1"/>
  <c r="T37" i="30" s="1"/>
  <c r="S37" i="30" s="1"/>
  <c r="G37" i="30"/>
  <c r="K36" i="30"/>
  <c r="J36" i="30"/>
  <c r="G36" i="30"/>
  <c r="T35" i="30"/>
  <c r="S35" i="30" s="1"/>
  <c r="R35" i="30"/>
  <c r="L35" i="30"/>
  <c r="K35" i="30"/>
  <c r="V35" i="30" s="1"/>
  <c r="J35" i="30"/>
  <c r="U35" i="30" s="1"/>
  <c r="R34" i="30"/>
  <c r="U34" i="30" s="1"/>
  <c r="K34" i="30"/>
  <c r="V34" i="30" s="1"/>
  <c r="J34" i="30"/>
  <c r="L34" i="30" s="1"/>
  <c r="T34" i="30" s="1"/>
  <c r="S34" i="30" s="1"/>
  <c r="G34" i="30"/>
  <c r="K33" i="30"/>
  <c r="J33" i="30"/>
  <c r="G33" i="30"/>
  <c r="T32" i="30"/>
  <c r="S32" i="30" s="1"/>
  <c r="R32" i="30"/>
  <c r="L32" i="30"/>
  <c r="K32" i="30"/>
  <c r="V32" i="30" s="1"/>
  <c r="J32" i="30"/>
  <c r="U32" i="30" s="1"/>
  <c r="R31" i="30"/>
  <c r="U31" i="30" s="1"/>
  <c r="K31" i="30"/>
  <c r="V31" i="30" s="1"/>
  <c r="J31" i="30"/>
  <c r="L31" i="30" s="1"/>
  <c r="T31" i="30" s="1"/>
  <c r="S31" i="30" s="1"/>
  <c r="G31" i="30"/>
  <c r="K30" i="30"/>
  <c r="J30" i="30"/>
  <c r="G30" i="30"/>
  <c r="T29" i="30"/>
  <c r="S29" i="30" s="1"/>
  <c r="R29" i="30"/>
  <c r="L29" i="30"/>
  <c r="K29" i="30"/>
  <c r="V29" i="30" s="1"/>
  <c r="J29" i="30"/>
  <c r="U29" i="30" s="1"/>
  <c r="R28" i="30"/>
  <c r="U28" i="30" s="1"/>
  <c r="K28" i="30"/>
  <c r="V28" i="30" s="1"/>
  <c r="J28" i="30"/>
  <c r="L28" i="30" s="1"/>
  <c r="T28" i="30" s="1"/>
  <c r="S28" i="30" s="1"/>
  <c r="G28" i="30"/>
  <c r="K27" i="30"/>
  <c r="J27" i="30"/>
  <c r="G27" i="30"/>
  <c r="T26" i="30"/>
  <c r="S26" i="30" s="1"/>
  <c r="R26" i="30"/>
  <c r="L26" i="30"/>
  <c r="K26" i="30"/>
  <c r="V26" i="30" s="1"/>
  <c r="J26" i="30"/>
  <c r="U26" i="30" s="1"/>
  <c r="R25" i="30"/>
  <c r="U25" i="30" s="1"/>
  <c r="K25" i="30"/>
  <c r="V25" i="30" s="1"/>
  <c r="J25" i="30"/>
  <c r="L25" i="30" s="1"/>
  <c r="T25" i="30" s="1"/>
  <c r="S25" i="30" s="1"/>
  <c r="G25" i="30"/>
  <c r="K24" i="30"/>
  <c r="J24" i="30"/>
  <c r="G24" i="30"/>
  <c r="T23" i="30"/>
  <c r="S23" i="30" s="1"/>
  <c r="R23" i="30"/>
  <c r="L23" i="30"/>
  <c r="K23" i="30"/>
  <c r="V23" i="30" s="1"/>
  <c r="J23" i="30"/>
  <c r="U23" i="30" s="1"/>
  <c r="R22" i="30"/>
  <c r="U22" i="30" s="1"/>
  <c r="K22" i="30"/>
  <c r="V22" i="30" s="1"/>
  <c r="J22" i="30"/>
  <c r="L22" i="30" s="1"/>
  <c r="T22" i="30" s="1"/>
  <c r="S22" i="30" s="1"/>
  <c r="G22" i="30"/>
  <c r="K21" i="30"/>
  <c r="J21" i="30"/>
  <c r="G21" i="30"/>
  <c r="T20" i="30"/>
  <c r="S20" i="30" s="1"/>
  <c r="R20" i="30"/>
  <c r="L20" i="30"/>
  <c r="K20" i="30"/>
  <c r="V20" i="30" s="1"/>
  <c r="J20" i="30"/>
  <c r="U20" i="30" s="1"/>
  <c r="R19" i="30"/>
  <c r="U19" i="30" s="1"/>
  <c r="K19" i="30"/>
  <c r="V19" i="30" s="1"/>
  <c r="J19" i="30"/>
  <c r="L19" i="30" s="1"/>
  <c r="T19" i="30" s="1"/>
  <c r="S19" i="30" s="1"/>
  <c r="G19" i="30"/>
  <c r="K18" i="30"/>
  <c r="J18" i="30"/>
  <c r="J61" i="30" s="1"/>
  <c r="G18" i="30"/>
  <c r="R17" i="30"/>
  <c r="R59" i="30" s="1"/>
  <c r="H17" i="30"/>
  <c r="H60" i="30" s="1"/>
  <c r="G17" i="30"/>
  <c r="H56" i="30" s="1"/>
  <c r="D15" i="30"/>
  <c r="G59" i="30" s="1"/>
  <c r="P10" i="30"/>
  <c r="P8" i="30"/>
  <c r="P1" i="30"/>
  <c r="R58" i="24"/>
  <c r="T58" i="24"/>
  <c r="S58" i="24" s="1"/>
  <c r="R59" i="24"/>
  <c r="U59" i="24"/>
  <c r="H59" i="24"/>
  <c r="G59" i="24"/>
  <c r="H58" i="24"/>
  <c r="G58" i="24"/>
  <c r="K59" i="24"/>
  <c r="V59" i="24" s="1"/>
  <c r="J59" i="24"/>
  <c r="K58" i="24"/>
  <c r="U58" i="24" s="1"/>
  <c r="J58" i="24"/>
  <c r="L58" i="24" s="1"/>
  <c r="K33" i="25"/>
  <c r="J33" i="25"/>
  <c r="K32" i="25"/>
  <c r="J32" i="25"/>
  <c r="K31" i="25"/>
  <c r="L31" i="25" s="1"/>
  <c r="J31" i="25"/>
  <c r="K30" i="25"/>
  <c r="J30" i="25"/>
  <c r="K29" i="25"/>
  <c r="J29" i="25"/>
  <c r="K28" i="25"/>
  <c r="J28" i="25"/>
  <c r="J26" i="25"/>
  <c r="G60" i="26"/>
  <c r="H60" i="26"/>
  <c r="J60" i="26"/>
  <c r="K60" i="26"/>
  <c r="U60" i="26" s="1"/>
  <c r="R60" i="26"/>
  <c r="G61" i="26"/>
  <c r="H61" i="26"/>
  <c r="J61" i="26"/>
  <c r="K61" i="26"/>
  <c r="R61" i="26"/>
  <c r="G62" i="26"/>
  <c r="H62" i="26"/>
  <c r="J62" i="26"/>
  <c r="K62" i="26"/>
  <c r="R62" i="26"/>
  <c r="G63" i="26"/>
  <c r="H63" i="26"/>
  <c r="J63" i="26"/>
  <c r="K63" i="26"/>
  <c r="U63" i="26" s="1"/>
  <c r="R63" i="26"/>
  <c r="G64" i="26"/>
  <c r="H64" i="26"/>
  <c r="J64" i="26"/>
  <c r="K64" i="26"/>
  <c r="V64" i="26" s="1"/>
  <c r="R64" i="26"/>
  <c r="G65" i="26"/>
  <c r="H65" i="26"/>
  <c r="J65" i="26"/>
  <c r="K65" i="26"/>
  <c r="L65" i="26" s="1"/>
  <c r="T65" i="26" s="1"/>
  <c r="S65" i="26" s="1"/>
  <c r="R65" i="26"/>
  <c r="G66" i="26"/>
  <c r="H66" i="26"/>
  <c r="J66" i="26"/>
  <c r="L66" i="26" s="1"/>
  <c r="T66" i="26" s="1"/>
  <c r="S66" i="26" s="1"/>
  <c r="K66" i="26"/>
  <c r="U66" i="26" s="1"/>
  <c r="R66" i="26"/>
  <c r="V66" i="26" s="1"/>
  <c r="G67" i="26"/>
  <c r="H67" i="26"/>
  <c r="J67" i="26"/>
  <c r="L67" i="26" s="1"/>
  <c r="T67" i="26" s="1"/>
  <c r="S67" i="26" s="1"/>
  <c r="K67" i="26"/>
  <c r="U67" i="26" s="1"/>
  <c r="R67" i="26"/>
  <c r="V67" i="26"/>
  <c r="G68" i="26"/>
  <c r="H68" i="26"/>
  <c r="J68" i="26"/>
  <c r="K68" i="26"/>
  <c r="L68" i="26" s="1"/>
  <c r="T68" i="26" s="1"/>
  <c r="S68" i="26" s="1"/>
  <c r="R68" i="26"/>
  <c r="G69" i="26"/>
  <c r="H69" i="26"/>
  <c r="J69" i="26"/>
  <c r="L69" i="26" s="1"/>
  <c r="T69" i="26" s="1"/>
  <c r="S69" i="26" s="1"/>
  <c r="K69" i="26"/>
  <c r="U69" i="26" s="1"/>
  <c r="R69" i="26"/>
  <c r="V69" i="26" s="1"/>
  <c r="G70" i="26"/>
  <c r="H70" i="26"/>
  <c r="J70" i="26"/>
  <c r="L70" i="26" s="1"/>
  <c r="T70" i="26" s="1"/>
  <c r="S70" i="26" s="1"/>
  <c r="K70" i="26"/>
  <c r="U70" i="26" s="1"/>
  <c r="R70" i="26"/>
  <c r="V70" i="26"/>
  <c r="J60" i="27"/>
  <c r="K60" i="27"/>
  <c r="J61" i="27"/>
  <c r="K61" i="27"/>
  <c r="J62" i="27"/>
  <c r="K62" i="27"/>
  <c r="J63" i="27"/>
  <c r="K63" i="27"/>
  <c r="J64" i="27"/>
  <c r="K64" i="27"/>
  <c r="J65" i="27"/>
  <c r="K65" i="27"/>
  <c r="J66" i="27"/>
  <c r="K66" i="27"/>
  <c r="J67" i="27"/>
  <c r="K67" i="27"/>
  <c r="J68" i="27"/>
  <c r="K68" i="27"/>
  <c r="J69" i="27"/>
  <c r="K69" i="27"/>
  <c r="J70" i="27"/>
  <c r="K70" i="27"/>
  <c r="J71" i="27"/>
  <c r="K71" i="27"/>
  <c r="J72" i="27"/>
  <c r="K72" i="27"/>
  <c r="J73" i="27"/>
  <c r="K73" i="27"/>
  <c r="J74" i="27"/>
  <c r="K74" i="27"/>
  <c r="J75" i="27"/>
  <c r="K75" i="27"/>
  <c r="J76" i="27"/>
  <c r="K76" i="27"/>
  <c r="J77" i="27"/>
  <c r="K77" i="27"/>
  <c r="L77" i="27" s="1"/>
  <c r="J78" i="27"/>
  <c r="K78" i="27"/>
  <c r="J79" i="27"/>
  <c r="K79" i="27"/>
  <c r="J80" i="27"/>
  <c r="K80" i="27"/>
  <c r="G60" i="28"/>
  <c r="H60" i="28"/>
  <c r="J60" i="28"/>
  <c r="L60" i="28" s="1"/>
  <c r="T60" i="28" s="1"/>
  <c r="S60" i="28" s="1"/>
  <c r="K60" i="28"/>
  <c r="R60" i="28"/>
  <c r="V60" i="28" s="1"/>
  <c r="G61" i="28"/>
  <c r="H61" i="28"/>
  <c r="J61" i="28"/>
  <c r="K61" i="28"/>
  <c r="U61" i="28" s="1"/>
  <c r="R61" i="28"/>
  <c r="G62" i="28"/>
  <c r="H62" i="28"/>
  <c r="J62" i="28"/>
  <c r="K62" i="28"/>
  <c r="L62" i="28" s="1"/>
  <c r="R62" i="28"/>
  <c r="G63" i="28"/>
  <c r="H63" i="28"/>
  <c r="J63" i="28"/>
  <c r="L63" i="28" s="1"/>
  <c r="T63" i="28" s="1"/>
  <c r="S63" i="28" s="1"/>
  <c r="K63" i="28"/>
  <c r="R63" i="28"/>
  <c r="G64" i="28"/>
  <c r="H64" i="28"/>
  <c r="J64" i="28"/>
  <c r="K64" i="28"/>
  <c r="U64" i="28" s="1"/>
  <c r="R64" i="28"/>
  <c r="G65" i="28"/>
  <c r="H65" i="28"/>
  <c r="J65" i="28"/>
  <c r="K65" i="28"/>
  <c r="L65" i="28" s="1"/>
  <c r="R65" i="28"/>
  <c r="G66" i="28"/>
  <c r="H66" i="28"/>
  <c r="J66" i="28"/>
  <c r="K66" i="28"/>
  <c r="R66" i="28"/>
  <c r="V66" i="28" s="1"/>
  <c r="G67" i="28"/>
  <c r="H67" i="28"/>
  <c r="J67" i="28"/>
  <c r="K67" i="28"/>
  <c r="U67" i="28" s="1"/>
  <c r="R67" i="28"/>
  <c r="G68" i="28"/>
  <c r="H68" i="28"/>
  <c r="J68" i="28"/>
  <c r="K68" i="28"/>
  <c r="L68" i="28" s="1"/>
  <c r="R68" i="28"/>
  <c r="G69" i="28"/>
  <c r="H69" i="28"/>
  <c r="J69" i="28"/>
  <c r="L69" i="28" s="1"/>
  <c r="T69" i="28" s="1"/>
  <c r="S69" i="28" s="1"/>
  <c r="K69" i="28"/>
  <c r="R69" i="28"/>
  <c r="G70" i="28"/>
  <c r="H70" i="28"/>
  <c r="J70" i="28"/>
  <c r="K70" i="28"/>
  <c r="U70" i="28" s="1"/>
  <c r="R70" i="28"/>
  <c r="G71" i="28"/>
  <c r="H71" i="28"/>
  <c r="J71" i="28"/>
  <c r="K71" i="28"/>
  <c r="L71" i="28" s="1"/>
  <c r="T71" i="28" s="1"/>
  <c r="S71" i="28" s="1"/>
  <c r="R71" i="28"/>
  <c r="G72" i="28"/>
  <c r="H72" i="28"/>
  <c r="J72" i="28"/>
  <c r="L72" i="28" s="1"/>
  <c r="T72" i="28" s="1"/>
  <c r="S72" i="28" s="1"/>
  <c r="K72" i="28"/>
  <c r="U72" i="28" s="1"/>
  <c r="R72" i="28"/>
  <c r="V72" i="28" s="1"/>
  <c r="G73" i="28"/>
  <c r="H73" i="28"/>
  <c r="J73" i="28"/>
  <c r="K73" i="28"/>
  <c r="U73" i="28" s="1"/>
  <c r="R73" i="28"/>
  <c r="V73" i="28" s="1"/>
  <c r="G74" i="28"/>
  <c r="H74" i="28"/>
  <c r="J74" i="28"/>
  <c r="K74" i="28"/>
  <c r="L74" i="28" s="1"/>
  <c r="T74" i="28" s="1"/>
  <c r="S74" i="28" s="1"/>
  <c r="R74" i="28"/>
  <c r="G75" i="28"/>
  <c r="H75" i="28"/>
  <c r="J75" i="28"/>
  <c r="L75" i="28" s="1"/>
  <c r="T75" i="28" s="1"/>
  <c r="S75" i="28" s="1"/>
  <c r="K75" i="28"/>
  <c r="U75" i="28" s="1"/>
  <c r="R75" i="28"/>
  <c r="V75" i="28" s="1"/>
  <c r="G76" i="28"/>
  <c r="H76" i="28"/>
  <c r="J76" i="28"/>
  <c r="K76" i="28"/>
  <c r="U76" i="28" s="1"/>
  <c r="R76" i="28"/>
  <c r="V76" i="28" s="1"/>
  <c r="G77" i="28"/>
  <c r="H77" i="28"/>
  <c r="J77" i="28"/>
  <c r="K77" i="28"/>
  <c r="L77" i="28" s="1"/>
  <c r="T77" i="28" s="1"/>
  <c r="S77" i="28" s="1"/>
  <c r="R77" i="28"/>
  <c r="G78" i="28"/>
  <c r="H78" i="28"/>
  <c r="J78" i="28"/>
  <c r="L78" i="28" s="1"/>
  <c r="T78" i="28" s="1"/>
  <c r="S78" i="28" s="1"/>
  <c r="K78" i="28"/>
  <c r="U78" i="28" s="1"/>
  <c r="R78" i="28"/>
  <c r="V78" i="28" s="1"/>
  <c r="G79" i="28"/>
  <c r="H79" i="28"/>
  <c r="J79" i="28"/>
  <c r="K79" i="28"/>
  <c r="U79" i="28" s="1"/>
  <c r="R79" i="28"/>
  <c r="V79" i="28" s="1"/>
  <c r="G80" i="28"/>
  <c r="H80" i="28"/>
  <c r="J80" i="28"/>
  <c r="K80" i="28"/>
  <c r="L80" i="28" s="1"/>
  <c r="T80" i="28" s="1"/>
  <c r="S80" i="28" s="1"/>
  <c r="R80" i="28"/>
  <c r="G58" i="29"/>
  <c r="H58" i="29"/>
  <c r="J58" i="29"/>
  <c r="L58" i="29" s="1"/>
  <c r="T58" i="29" s="1"/>
  <c r="S58" i="29" s="1"/>
  <c r="K58" i="29"/>
  <c r="R58" i="29"/>
  <c r="G59" i="29"/>
  <c r="H59" i="29"/>
  <c r="J59" i="29"/>
  <c r="K59" i="29"/>
  <c r="U59" i="29" s="1"/>
  <c r="R59" i="29"/>
  <c r="G60" i="29"/>
  <c r="H60" i="29"/>
  <c r="J60" i="29"/>
  <c r="K60" i="29"/>
  <c r="L60" i="29" s="1"/>
  <c r="T60" i="29" s="1"/>
  <c r="S60" i="29" s="1"/>
  <c r="R60" i="29"/>
  <c r="G61" i="29"/>
  <c r="H61" i="29"/>
  <c r="J61" i="29"/>
  <c r="L61" i="29" s="1"/>
  <c r="T61" i="29" s="1"/>
  <c r="S61" i="29" s="1"/>
  <c r="K61" i="29"/>
  <c r="R61" i="29"/>
  <c r="U61" i="29" s="1"/>
  <c r="G62" i="29"/>
  <c r="H62" i="29"/>
  <c r="J62" i="29"/>
  <c r="K62" i="29"/>
  <c r="U62" i="29" s="1"/>
  <c r="R62" i="29"/>
  <c r="V62" i="29"/>
  <c r="G63" i="29"/>
  <c r="H63" i="29"/>
  <c r="J63" i="29"/>
  <c r="K63" i="29"/>
  <c r="L63" i="29" s="1"/>
  <c r="T63" i="29" s="1"/>
  <c r="S63" i="29" s="1"/>
  <c r="R63" i="29"/>
  <c r="G64" i="29"/>
  <c r="H64" i="29"/>
  <c r="J64" i="29"/>
  <c r="L64" i="29" s="1"/>
  <c r="T64" i="29" s="1"/>
  <c r="S64" i="29" s="1"/>
  <c r="K64" i="29"/>
  <c r="R64" i="29"/>
  <c r="U64" i="29" s="1"/>
  <c r="G65" i="29"/>
  <c r="H65" i="29"/>
  <c r="J65" i="29"/>
  <c r="K65" i="29"/>
  <c r="U65" i="29" s="1"/>
  <c r="R65" i="29"/>
  <c r="V65" i="29"/>
  <c r="G66" i="29"/>
  <c r="H66" i="29"/>
  <c r="J66" i="29"/>
  <c r="K66" i="29"/>
  <c r="L66" i="29" s="1"/>
  <c r="T66" i="29" s="1"/>
  <c r="S66" i="29" s="1"/>
  <c r="R66" i="29"/>
  <c r="G67" i="29"/>
  <c r="H67" i="29"/>
  <c r="J67" i="29"/>
  <c r="L67" i="29" s="1"/>
  <c r="T67" i="29" s="1"/>
  <c r="S67" i="29" s="1"/>
  <c r="K67" i="29"/>
  <c r="R67" i="29"/>
  <c r="U67" i="29" s="1"/>
  <c r="G68" i="29"/>
  <c r="H68" i="29"/>
  <c r="J68" i="29"/>
  <c r="K68" i="29"/>
  <c r="U68" i="29" s="1"/>
  <c r="R68" i="29"/>
  <c r="V68" i="29"/>
  <c r="G69" i="29"/>
  <c r="H69" i="29"/>
  <c r="J69" i="29"/>
  <c r="K69" i="29"/>
  <c r="L69" i="29" s="1"/>
  <c r="T69" i="29" s="1"/>
  <c r="S69" i="29" s="1"/>
  <c r="R69" i="29"/>
  <c r="G70" i="29"/>
  <c r="H70" i="29"/>
  <c r="J70" i="29"/>
  <c r="L70" i="29" s="1"/>
  <c r="T70" i="29" s="1"/>
  <c r="S70" i="29" s="1"/>
  <c r="K70" i="29"/>
  <c r="R70" i="29"/>
  <c r="U70" i="29" s="1"/>
  <c r="Q71" i="29"/>
  <c r="F71" i="29"/>
  <c r="E71" i="29"/>
  <c r="P10" i="29" s="1"/>
  <c r="K57" i="29"/>
  <c r="J57" i="29"/>
  <c r="K56" i="29"/>
  <c r="J56" i="29"/>
  <c r="K55" i="29"/>
  <c r="J55" i="29"/>
  <c r="K54" i="29"/>
  <c r="J54" i="29"/>
  <c r="K53" i="29"/>
  <c r="J53" i="29"/>
  <c r="K52" i="29"/>
  <c r="J52" i="29"/>
  <c r="L52" i="29" s="1"/>
  <c r="K51" i="29"/>
  <c r="J51" i="29"/>
  <c r="K50" i="29"/>
  <c r="J50" i="29"/>
  <c r="K49" i="29"/>
  <c r="J49" i="29"/>
  <c r="K48" i="29"/>
  <c r="J48" i="29"/>
  <c r="K47" i="29"/>
  <c r="J47" i="29"/>
  <c r="K46" i="29"/>
  <c r="J46" i="29"/>
  <c r="L46" i="29" s="1"/>
  <c r="K45" i="29"/>
  <c r="J45" i="29"/>
  <c r="K44" i="29"/>
  <c r="J44" i="29"/>
  <c r="K43" i="29"/>
  <c r="J43" i="29"/>
  <c r="K42" i="29"/>
  <c r="J42" i="29"/>
  <c r="K41" i="29"/>
  <c r="J41" i="29"/>
  <c r="K40" i="29"/>
  <c r="J40" i="29"/>
  <c r="L40" i="29" s="1"/>
  <c r="K39" i="29"/>
  <c r="J39" i="29"/>
  <c r="K38" i="29"/>
  <c r="J38" i="29"/>
  <c r="K37" i="29"/>
  <c r="J37" i="29"/>
  <c r="K36" i="29"/>
  <c r="J36" i="29"/>
  <c r="K35" i="29"/>
  <c r="J35" i="29"/>
  <c r="K34" i="29"/>
  <c r="J34" i="29"/>
  <c r="L34" i="29" s="1"/>
  <c r="K33" i="29"/>
  <c r="J33" i="29"/>
  <c r="K32" i="29"/>
  <c r="J32" i="29"/>
  <c r="K31" i="29"/>
  <c r="J31" i="29"/>
  <c r="K30" i="29"/>
  <c r="J30" i="29"/>
  <c r="K29" i="29"/>
  <c r="J29" i="29"/>
  <c r="K28" i="29"/>
  <c r="J28" i="29"/>
  <c r="K27" i="29"/>
  <c r="J27" i="29"/>
  <c r="K26" i="29"/>
  <c r="J26" i="29"/>
  <c r="H26" i="29"/>
  <c r="K25" i="29"/>
  <c r="J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R17" i="29"/>
  <c r="H17" i="29"/>
  <c r="H20" i="29" s="1"/>
  <c r="G17" i="29"/>
  <c r="D15" i="29"/>
  <c r="P1" i="29"/>
  <c r="P8" i="29" s="1"/>
  <c r="Q81" i="28"/>
  <c r="F81" i="28"/>
  <c r="E81" i="28"/>
  <c r="P10" i="28" s="1"/>
  <c r="K59" i="28"/>
  <c r="J59" i="28"/>
  <c r="K58" i="28"/>
  <c r="J58" i="28"/>
  <c r="G58" i="28"/>
  <c r="K57" i="28"/>
  <c r="J57" i="28"/>
  <c r="K56" i="28"/>
  <c r="J56" i="28"/>
  <c r="K55" i="28"/>
  <c r="J55" i="28"/>
  <c r="K54" i="28"/>
  <c r="J54" i="28"/>
  <c r="K53" i="28"/>
  <c r="J53" i="28"/>
  <c r="K52" i="28"/>
  <c r="J52" i="28"/>
  <c r="G52" i="28"/>
  <c r="K51" i="28"/>
  <c r="J51" i="28"/>
  <c r="K50" i="28"/>
  <c r="J50" i="28"/>
  <c r="L50" i="28" s="1"/>
  <c r="K49" i="28"/>
  <c r="J49" i="28"/>
  <c r="G49" i="28"/>
  <c r="K48" i="28"/>
  <c r="J48" i="28"/>
  <c r="K47" i="28"/>
  <c r="J47" i="28"/>
  <c r="L47" i="28" s="1"/>
  <c r="K46" i="28"/>
  <c r="J46" i="28"/>
  <c r="K45" i="28"/>
  <c r="J45" i="28"/>
  <c r="K44" i="28"/>
  <c r="J44" i="28"/>
  <c r="L44" i="28" s="1"/>
  <c r="K43" i="28"/>
  <c r="J43" i="28"/>
  <c r="G43" i="28"/>
  <c r="K42" i="28"/>
  <c r="J42" i="28"/>
  <c r="K41" i="28"/>
  <c r="J41" i="28"/>
  <c r="K40" i="28"/>
  <c r="J40" i="28"/>
  <c r="L40" i="28" s="1"/>
  <c r="G40" i="28"/>
  <c r="K39" i="28"/>
  <c r="J39" i="28"/>
  <c r="K38" i="28"/>
  <c r="J38" i="28"/>
  <c r="K37" i="28"/>
  <c r="J37" i="28"/>
  <c r="K36" i="28"/>
  <c r="J36" i="28"/>
  <c r="K35" i="28"/>
  <c r="J35" i="28"/>
  <c r="K34" i="28"/>
  <c r="J34" i="28"/>
  <c r="G34" i="28"/>
  <c r="K33" i="28"/>
  <c r="J33" i="28"/>
  <c r="K32" i="28"/>
  <c r="J32" i="28"/>
  <c r="K31" i="28"/>
  <c r="J31" i="28"/>
  <c r="L31" i="28" s="1"/>
  <c r="G31" i="28"/>
  <c r="K30" i="28"/>
  <c r="J30" i="28"/>
  <c r="K29" i="28"/>
  <c r="J29" i="28"/>
  <c r="K28" i="28"/>
  <c r="J28" i="28"/>
  <c r="K27" i="28"/>
  <c r="J27" i="28"/>
  <c r="K26" i="28"/>
  <c r="J26" i="28"/>
  <c r="K25" i="28"/>
  <c r="J25" i="28"/>
  <c r="L25" i="28" s="1"/>
  <c r="G25" i="28"/>
  <c r="K24" i="28"/>
  <c r="J24" i="28"/>
  <c r="K23" i="28"/>
  <c r="J23" i="28"/>
  <c r="K22" i="28"/>
  <c r="J22" i="28"/>
  <c r="G22" i="28"/>
  <c r="K21" i="28"/>
  <c r="J21" i="28"/>
  <c r="K20" i="28"/>
  <c r="J20" i="28"/>
  <c r="L20" i="28" s="1"/>
  <c r="K19" i="28"/>
  <c r="J19" i="28"/>
  <c r="K18" i="28"/>
  <c r="J18" i="28"/>
  <c r="G18" i="28"/>
  <c r="R17" i="28"/>
  <c r="R59" i="28" s="1"/>
  <c r="U59" i="28" s="1"/>
  <c r="H17" i="28"/>
  <c r="G17" i="28"/>
  <c r="H23" i="28" s="1"/>
  <c r="D15" i="28"/>
  <c r="G59" i="28" s="1"/>
  <c r="P1" i="28"/>
  <c r="P8" i="28" s="1"/>
  <c r="Q81" i="27"/>
  <c r="F81" i="27"/>
  <c r="E81" i="27"/>
  <c r="P10" i="27" s="1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R17" i="27"/>
  <c r="R59" i="27" s="1"/>
  <c r="H17" i="27"/>
  <c r="G17" i="27"/>
  <c r="H59" i="27" s="1"/>
  <c r="D15" i="27"/>
  <c r="G59" i="27" s="1"/>
  <c r="P1" i="27"/>
  <c r="P8" i="27" s="1"/>
  <c r="Q71" i="26"/>
  <c r="F71" i="26"/>
  <c r="E71" i="26"/>
  <c r="P10" i="26" s="1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G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G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G33" i="26"/>
  <c r="K32" i="26"/>
  <c r="J32" i="26"/>
  <c r="L32" i="26" s="1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G24" i="26"/>
  <c r="K23" i="26"/>
  <c r="J23" i="26"/>
  <c r="L23" i="26" s="1"/>
  <c r="K22" i="26"/>
  <c r="J22" i="26"/>
  <c r="K21" i="26"/>
  <c r="J21" i="26"/>
  <c r="K20" i="26"/>
  <c r="J20" i="26"/>
  <c r="L20" i="26" s="1"/>
  <c r="K19" i="26"/>
  <c r="J19" i="26"/>
  <c r="K18" i="26"/>
  <c r="J18" i="26"/>
  <c r="G18" i="26"/>
  <c r="R17" i="26"/>
  <c r="R59" i="26" s="1"/>
  <c r="H17" i="26"/>
  <c r="G17" i="26"/>
  <c r="D15" i="26"/>
  <c r="G59" i="26" s="1"/>
  <c r="P1" i="26"/>
  <c r="P8" i="26" s="1"/>
  <c r="Q62" i="25"/>
  <c r="F62" i="25"/>
  <c r="E62" i="25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L55" i="25" s="1"/>
  <c r="K54" i="25"/>
  <c r="J54" i="25"/>
  <c r="K53" i="25"/>
  <c r="J53" i="25"/>
  <c r="K52" i="25"/>
  <c r="J52" i="25"/>
  <c r="L52" i="25" s="1"/>
  <c r="K51" i="25"/>
  <c r="J51" i="25"/>
  <c r="K50" i="25"/>
  <c r="J50" i="25"/>
  <c r="K49" i="25"/>
  <c r="J49" i="25"/>
  <c r="K48" i="25"/>
  <c r="J48" i="25"/>
  <c r="K47" i="25"/>
  <c r="J47" i="25"/>
  <c r="K46" i="25"/>
  <c r="J46" i="25"/>
  <c r="L46" i="25" s="1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L19" i="25" s="1"/>
  <c r="K18" i="25"/>
  <c r="J18" i="25"/>
  <c r="R17" i="25"/>
  <c r="R60" i="25" s="1"/>
  <c r="H17" i="25"/>
  <c r="G17" i="25"/>
  <c r="D15" i="25"/>
  <c r="G60" i="25" s="1"/>
  <c r="P10" i="25"/>
  <c r="P1" i="25"/>
  <c r="P8" i="25" s="1"/>
  <c r="Q61" i="24"/>
  <c r="F61" i="24"/>
  <c r="E61" i="24"/>
  <c r="P10" i="24" s="1"/>
  <c r="K60" i="24"/>
  <c r="J60" i="24"/>
  <c r="K57" i="24"/>
  <c r="J57" i="24"/>
  <c r="K56" i="24"/>
  <c r="J56" i="24"/>
  <c r="K55" i="24"/>
  <c r="J55" i="24"/>
  <c r="K54" i="24"/>
  <c r="J54" i="24"/>
  <c r="K53" i="24"/>
  <c r="J53" i="24"/>
  <c r="K52" i="24"/>
  <c r="J52" i="24"/>
  <c r="K51" i="24"/>
  <c r="J51" i="24"/>
  <c r="K50" i="24"/>
  <c r="J50" i="24"/>
  <c r="K49" i="24"/>
  <c r="J49" i="24"/>
  <c r="K48" i="24"/>
  <c r="J48" i="24"/>
  <c r="K47" i="24"/>
  <c r="J47" i="24"/>
  <c r="K46" i="24"/>
  <c r="J46" i="24"/>
  <c r="K45" i="24"/>
  <c r="J45" i="24"/>
  <c r="K44" i="24"/>
  <c r="L44" i="24" s="1"/>
  <c r="J44" i="24"/>
  <c r="K43" i="24"/>
  <c r="J43" i="24"/>
  <c r="K42" i="24"/>
  <c r="J42" i="24"/>
  <c r="K41" i="24"/>
  <c r="J41" i="24"/>
  <c r="K40" i="24"/>
  <c r="J40" i="24"/>
  <c r="K39" i="24"/>
  <c r="J39" i="24"/>
  <c r="K38" i="24"/>
  <c r="J38" i="24"/>
  <c r="K37" i="24"/>
  <c r="J37" i="24"/>
  <c r="K36" i="24"/>
  <c r="J36" i="24"/>
  <c r="K35" i="24"/>
  <c r="J35" i="24"/>
  <c r="K34" i="24"/>
  <c r="J34" i="24"/>
  <c r="K33" i="24"/>
  <c r="J33" i="24"/>
  <c r="K32" i="24"/>
  <c r="J32" i="24"/>
  <c r="K31" i="24"/>
  <c r="J31" i="24"/>
  <c r="K30" i="24"/>
  <c r="J30" i="24"/>
  <c r="K29" i="24"/>
  <c r="J29" i="24"/>
  <c r="K28" i="24"/>
  <c r="J28" i="24"/>
  <c r="J27" i="24"/>
  <c r="K26" i="24"/>
  <c r="J26" i="24"/>
  <c r="K25" i="24"/>
  <c r="J25" i="24"/>
  <c r="K24" i="24"/>
  <c r="J24" i="24"/>
  <c r="K23" i="24"/>
  <c r="J23" i="24"/>
  <c r="K22" i="24"/>
  <c r="J22" i="24"/>
  <c r="K21" i="24"/>
  <c r="J21" i="24"/>
  <c r="K20" i="24"/>
  <c r="J20" i="24"/>
  <c r="K19" i="24"/>
  <c r="L19" i="24" s="1"/>
  <c r="J19" i="24"/>
  <c r="K18" i="24"/>
  <c r="J18" i="24"/>
  <c r="R17" i="24"/>
  <c r="R57" i="24" s="1"/>
  <c r="U57" i="24" s="1"/>
  <c r="H17" i="24"/>
  <c r="G17" i="24"/>
  <c r="D15" i="24"/>
  <c r="G57" i="24" s="1"/>
  <c r="P1" i="24"/>
  <c r="P8" i="24" s="1"/>
  <c r="Q61" i="23"/>
  <c r="F61" i="23"/>
  <c r="E61" i="23"/>
  <c r="P10" i="23" s="1"/>
  <c r="K60" i="23"/>
  <c r="J60" i="23"/>
  <c r="K59" i="23"/>
  <c r="J59" i="23"/>
  <c r="L59" i="23" s="1"/>
  <c r="R58" i="23"/>
  <c r="K58" i="23"/>
  <c r="V58" i="23" s="1"/>
  <c r="J58" i="23"/>
  <c r="L58" i="23" s="1"/>
  <c r="T58" i="23" s="1"/>
  <c r="S58" i="23" s="1"/>
  <c r="G58" i="23"/>
  <c r="K57" i="23"/>
  <c r="J57" i="23"/>
  <c r="K56" i="23"/>
  <c r="J56" i="23"/>
  <c r="L56" i="23" s="1"/>
  <c r="R55" i="23"/>
  <c r="K55" i="23"/>
  <c r="V55" i="23" s="1"/>
  <c r="J55" i="23"/>
  <c r="L55" i="23" s="1"/>
  <c r="T55" i="23" s="1"/>
  <c r="S55" i="23" s="1"/>
  <c r="G55" i="23"/>
  <c r="K54" i="23"/>
  <c r="J54" i="23"/>
  <c r="K53" i="23"/>
  <c r="J53" i="23"/>
  <c r="L53" i="23" s="1"/>
  <c r="R52" i="23"/>
  <c r="K52" i="23"/>
  <c r="J52" i="23"/>
  <c r="L52" i="23" s="1"/>
  <c r="T52" i="23" s="1"/>
  <c r="S52" i="23" s="1"/>
  <c r="G52" i="23"/>
  <c r="K51" i="23"/>
  <c r="J51" i="23"/>
  <c r="K50" i="23"/>
  <c r="J50" i="23"/>
  <c r="L50" i="23" s="1"/>
  <c r="R49" i="23"/>
  <c r="K49" i="23"/>
  <c r="J49" i="23"/>
  <c r="L49" i="23" s="1"/>
  <c r="G49" i="23"/>
  <c r="K48" i="23"/>
  <c r="J48" i="23"/>
  <c r="K47" i="23"/>
  <c r="J47" i="23"/>
  <c r="R46" i="23"/>
  <c r="K46" i="23"/>
  <c r="J46" i="23"/>
  <c r="G46" i="23"/>
  <c r="K45" i="23"/>
  <c r="J45" i="23"/>
  <c r="K44" i="23"/>
  <c r="J44" i="23"/>
  <c r="R43" i="23"/>
  <c r="K43" i="23"/>
  <c r="J43" i="23"/>
  <c r="G43" i="23"/>
  <c r="K42" i="23"/>
  <c r="J42" i="23"/>
  <c r="K41" i="23"/>
  <c r="J41" i="23"/>
  <c r="L41" i="23" s="1"/>
  <c r="R40" i="23"/>
  <c r="K40" i="23"/>
  <c r="J40" i="23"/>
  <c r="L40" i="23" s="1"/>
  <c r="G40" i="23"/>
  <c r="K39" i="23"/>
  <c r="J39" i="23"/>
  <c r="K38" i="23"/>
  <c r="J38" i="23"/>
  <c r="R37" i="23"/>
  <c r="K37" i="23"/>
  <c r="J37" i="23"/>
  <c r="L37" i="23" s="1"/>
  <c r="G37" i="23"/>
  <c r="K36" i="23"/>
  <c r="J36" i="23"/>
  <c r="K35" i="23"/>
  <c r="J35" i="23"/>
  <c r="R34" i="23"/>
  <c r="K34" i="23"/>
  <c r="J34" i="23"/>
  <c r="L34" i="23" s="1"/>
  <c r="T34" i="23" s="1"/>
  <c r="S34" i="23" s="1"/>
  <c r="G34" i="23"/>
  <c r="K33" i="23"/>
  <c r="J33" i="23"/>
  <c r="K32" i="23"/>
  <c r="J32" i="23"/>
  <c r="L32" i="23" s="1"/>
  <c r="R31" i="23"/>
  <c r="K31" i="23"/>
  <c r="J31" i="23"/>
  <c r="L31" i="23" s="1"/>
  <c r="G31" i="23"/>
  <c r="K30" i="23"/>
  <c r="J30" i="23"/>
  <c r="K29" i="23"/>
  <c r="J29" i="23"/>
  <c r="H29" i="23"/>
  <c r="R28" i="23"/>
  <c r="K28" i="23"/>
  <c r="J28" i="23"/>
  <c r="L28" i="23" s="1"/>
  <c r="T28" i="23" s="1"/>
  <c r="S28" i="23" s="1"/>
  <c r="G28" i="23"/>
  <c r="K27" i="23"/>
  <c r="J27" i="23"/>
  <c r="K26" i="23"/>
  <c r="J26" i="23"/>
  <c r="H26" i="23"/>
  <c r="R25" i="23"/>
  <c r="K25" i="23"/>
  <c r="J25" i="23"/>
  <c r="G25" i="23"/>
  <c r="K24" i="23"/>
  <c r="J24" i="23"/>
  <c r="K23" i="23"/>
  <c r="J23" i="23"/>
  <c r="H23" i="23"/>
  <c r="R22" i="23"/>
  <c r="K22" i="23"/>
  <c r="J22" i="23"/>
  <c r="G22" i="23"/>
  <c r="K21" i="23"/>
  <c r="J21" i="23"/>
  <c r="K20" i="23"/>
  <c r="J20" i="23"/>
  <c r="R19" i="23"/>
  <c r="K19" i="23"/>
  <c r="V19" i="23" s="1"/>
  <c r="J19" i="23"/>
  <c r="G19" i="23"/>
  <c r="K18" i="23"/>
  <c r="J18" i="23"/>
  <c r="G18" i="23"/>
  <c r="R17" i="23"/>
  <c r="R59" i="23" s="1"/>
  <c r="U59" i="23" s="1"/>
  <c r="H17" i="23"/>
  <c r="G17" i="23"/>
  <c r="H20" i="23" s="1"/>
  <c r="D15" i="23"/>
  <c r="G59" i="23" s="1"/>
  <c r="P1" i="23"/>
  <c r="P8" i="23" s="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H59" i="21"/>
  <c r="J59" i="21"/>
  <c r="K59" i="21"/>
  <c r="R59" i="21"/>
  <c r="H60" i="21"/>
  <c r="J60" i="21"/>
  <c r="K60" i="21"/>
  <c r="R60" i="21"/>
  <c r="H61" i="21"/>
  <c r="J61" i="21"/>
  <c r="K61" i="21"/>
  <c r="L61" i="21" s="1"/>
  <c r="R61" i="21"/>
  <c r="H62" i="21"/>
  <c r="J62" i="21"/>
  <c r="K62" i="21"/>
  <c r="R62" i="21"/>
  <c r="H63" i="21"/>
  <c r="J63" i="21"/>
  <c r="K63" i="21"/>
  <c r="R63" i="21"/>
  <c r="H64" i="21"/>
  <c r="J64" i="21"/>
  <c r="K64" i="21"/>
  <c r="R64" i="21"/>
  <c r="H65" i="21"/>
  <c r="J65" i="21"/>
  <c r="K65" i="21"/>
  <c r="R65" i="21"/>
  <c r="H66" i="21"/>
  <c r="J66" i="21"/>
  <c r="K66" i="21"/>
  <c r="R66" i="21"/>
  <c r="H67" i="21"/>
  <c r="J67" i="21"/>
  <c r="K67" i="21"/>
  <c r="L67" i="21" s="1"/>
  <c r="R67" i="21"/>
  <c r="H68" i="21"/>
  <c r="J68" i="21"/>
  <c r="K68" i="21"/>
  <c r="R68" i="21"/>
  <c r="G69" i="21"/>
  <c r="H69" i="21"/>
  <c r="J69" i="21"/>
  <c r="K69" i="21"/>
  <c r="U69" i="21" s="1"/>
  <c r="R69" i="21"/>
  <c r="G70" i="21"/>
  <c r="H70" i="21"/>
  <c r="J70" i="21"/>
  <c r="K70" i="21"/>
  <c r="L70" i="21" s="1"/>
  <c r="T70" i="21" s="1"/>
  <c r="S70" i="21" s="1"/>
  <c r="R70" i="21"/>
  <c r="G60" i="19"/>
  <c r="H60" i="19"/>
  <c r="J60" i="19"/>
  <c r="L60" i="19" s="1"/>
  <c r="K60" i="19"/>
  <c r="R60" i="19"/>
  <c r="V60" i="19" s="1"/>
  <c r="G61" i="19"/>
  <c r="H61" i="19"/>
  <c r="J61" i="19"/>
  <c r="K61" i="19"/>
  <c r="R61" i="19"/>
  <c r="U61" i="19"/>
  <c r="G62" i="19"/>
  <c r="H62" i="19"/>
  <c r="J62" i="19"/>
  <c r="K62" i="19"/>
  <c r="L62" i="19" s="1"/>
  <c r="T62" i="19" s="1"/>
  <c r="S62" i="19" s="1"/>
  <c r="R62" i="19"/>
  <c r="G63" i="19"/>
  <c r="H63" i="19"/>
  <c r="J63" i="19"/>
  <c r="K63" i="19"/>
  <c r="R63" i="19"/>
  <c r="G64" i="19"/>
  <c r="H64" i="19"/>
  <c r="J64" i="19"/>
  <c r="L64" i="19" s="1"/>
  <c r="T64" i="19" s="1"/>
  <c r="S64" i="19" s="1"/>
  <c r="K64" i="19"/>
  <c r="R64" i="19"/>
  <c r="G65" i="19"/>
  <c r="H65" i="19"/>
  <c r="J65" i="19"/>
  <c r="K65" i="19"/>
  <c r="L65" i="19" s="1"/>
  <c r="T65" i="19" s="1"/>
  <c r="S65" i="19" s="1"/>
  <c r="R65" i="19"/>
  <c r="G66" i="19"/>
  <c r="H66" i="19"/>
  <c r="J66" i="19"/>
  <c r="K66" i="19"/>
  <c r="U66" i="19" s="1"/>
  <c r="R66" i="19"/>
  <c r="V66" i="19" s="1"/>
  <c r="G67" i="19"/>
  <c r="H67" i="19"/>
  <c r="J67" i="19"/>
  <c r="L67" i="19" s="1"/>
  <c r="T67" i="19" s="1"/>
  <c r="S67" i="19" s="1"/>
  <c r="K67" i="19"/>
  <c r="R67" i="19"/>
  <c r="V67" i="19" s="1"/>
  <c r="U67" i="19"/>
  <c r="G68" i="19"/>
  <c r="H68" i="19"/>
  <c r="J68" i="19"/>
  <c r="K68" i="19"/>
  <c r="L68" i="19" s="1"/>
  <c r="T68" i="19" s="1"/>
  <c r="S68" i="19" s="1"/>
  <c r="R68" i="19"/>
  <c r="G69" i="19"/>
  <c r="H69" i="19"/>
  <c r="J69" i="19"/>
  <c r="K69" i="19"/>
  <c r="U69" i="19" s="1"/>
  <c r="R69" i="19"/>
  <c r="V69" i="19" s="1"/>
  <c r="G70" i="19"/>
  <c r="H70" i="19"/>
  <c r="J70" i="19"/>
  <c r="L70" i="19" s="1"/>
  <c r="T70" i="19" s="1"/>
  <c r="S70" i="19" s="1"/>
  <c r="K70" i="19"/>
  <c r="R70" i="19"/>
  <c r="V70" i="19" s="1"/>
  <c r="U70" i="19"/>
  <c r="Q61" i="22"/>
  <c r="F61" i="22"/>
  <c r="E61" i="22"/>
  <c r="K60" i="22"/>
  <c r="J60" i="22"/>
  <c r="L60" i="22" s="1"/>
  <c r="G60" i="22"/>
  <c r="R59" i="22"/>
  <c r="K59" i="22"/>
  <c r="J59" i="22"/>
  <c r="K58" i="22"/>
  <c r="J58" i="22"/>
  <c r="L58" i="22" s="1"/>
  <c r="K57" i="22"/>
  <c r="J57" i="22"/>
  <c r="G57" i="22"/>
  <c r="K56" i="22"/>
  <c r="J56" i="22"/>
  <c r="K55" i="22"/>
  <c r="J55" i="22"/>
  <c r="K54" i="22"/>
  <c r="J54" i="22"/>
  <c r="L54" i="22" s="1"/>
  <c r="H54" i="22"/>
  <c r="K53" i="22"/>
  <c r="J53" i="22"/>
  <c r="L53" i="22" s="1"/>
  <c r="K52" i="22"/>
  <c r="J52" i="22"/>
  <c r="K51" i="22"/>
  <c r="J51" i="22"/>
  <c r="G51" i="22"/>
  <c r="R50" i="22"/>
  <c r="K50" i="22"/>
  <c r="J50" i="22"/>
  <c r="L50" i="22" s="1"/>
  <c r="K49" i="22"/>
  <c r="J49" i="22"/>
  <c r="K48" i="22"/>
  <c r="J48" i="22"/>
  <c r="G48" i="22"/>
  <c r="K28" i="22"/>
  <c r="J28" i="22"/>
  <c r="K27" i="22"/>
  <c r="J27" i="22"/>
  <c r="K26" i="22"/>
  <c r="J26" i="22"/>
  <c r="H26" i="22"/>
  <c r="K47" i="22"/>
  <c r="J47" i="22"/>
  <c r="K46" i="22"/>
  <c r="J46" i="22"/>
  <c r="K45" i="22"/>
  <c r="J45" i="22"/>
  <c r="L45" i="22" s="1"/>
  <c r="G45" i="22"/>
  <c r="R44" i="22"/>
  <c r="K44" i="22"/>
  <c r="J44" i="22"/>
  <c r="L44" i="22" s="1"/>
  <c r="K43" i="22"/>
  <c r="J43" i="22"/>
  <c r="K42" i="22"/>
  <c r="J42" i="22"/>
  <c r="R41" i="22"/>
  <c r="K41" i="22"/>
  <c r="J41" i="22"/>
  <c r="K40" i="22"/>
  <c r="J40" i="22"/>
  <c r="K39" i="22"/>
  <c r="J39" i="22"/>
  <c r="G39" i="22"/>
  <c r="R38" i="22"/>
  <c r="K38" i="22"/>
  <c r="J38" i="22"/>
  <c r="K37" i="22"/>
  <c r="J37" i="22"/>
  <c r="K36" i="22"/>
  <c r="J36" i="22"/>
  <c r="R35" i="22"/>
  <c r="K35" i="22"/>
  <c r="J35" i="22"/>
  <c r="K34" i="22"/>
  <c r="J34" i="22"/>
  <c r="K33" i="22"/>
  <c r="J33" i="22"/>
  <c r="G33" i="22"/>
  <c r="R32" i="22"/>
  <c r="K32" i="22"/>
  <c r="J32" i="22"/>
  <c r="L32" i="22" s="1"/>
  <c r="T32" i="22" s="1"/>
  <c r="S32" i="22" s="1"/>
  <c r="K31" i="22"/>
  <c r="J31" i="22"/>
  <c r="K30" i="22"/>
  <c r="J30" i="22"/>
  <c r="G30" i="22"/>
  <c r="J29" i="22"/>
  <c r="K25" i="22"/>
  <c r="J25" i="22"/>
  <c r="K24" i="22"/>
  <c r="J24" i="22"/>
  <c r="G24" i="22"/>
  <c r="R23" i="22"/>
  <c r="K23" i="22"/>
  <c r="J23" i="22"/>
  <c r="L23" i="22" s="1"/>
  <c r="T23" i="22" s="1"/>
  <c r="S23" i="22" s="1"/>
  <c r="K22" i="22"/>
  <c r="J22" i="22"/>
  <c r="K21" i="22"/>
  <c r="J21" i="22"/>
  <c r="G21" i="22"/>
  <c r="K20" i="22"/>
  <c r="J20" i="22"/>
  <c r="K19" i="22"/>
  <c r="J19" i="22"/>
  <c r="K18" i="22"/>
  <c r="J18" i="22"/>
  <c r="H18" i="22"/>
  <c r="G18" i="22"/>
  <c r="R17" i="22"/>
  <c r="R60" i="22" s="1"/>
  <c r="H17" i="22"/>
  <c r="G17" i="22"/>
  <c r="D15" i="22"/>
  <c r="G59" i="22" s="1"/>
  <c r="P10" i="22"/>
  <c r="P8" i="22"/>
  <c r="P1" i="22"/>
  <c r="Q71" i="21"/>
  <c r="K58" i="21"/>
  <c r="J58" i="21"/>
  <c r="K57" i="21"/>
  <c r="J57" i="21"/>
  <c r="K56" i="21"/>
  <c r="J56" i="21"/>
  <c r="K55" i="21"/>
  <c r="J55" i="21"/>
  <c r="L55" i="21" s="1"/>
  <c r="K54" i="21"/>
  <c r="J54" i="21"/>
  <c r="K53" i="21"/>
  <c r="J53" i="21"/>
  <c r="K52" i="21"/>
  <c r="J52" i="21"/>
  <c r="K51" i="21"/>
  <c r="J51" i="21"/>
  <c r="K50" i="21"/>
  <c r="J50" i="21"/>
  <c r="K49" i="21"/>
  <c r="J49" i="21"/>
  <c r="L49" i="21" s="1"/>
  <c r="G49" i="21"/>
  <c r="K48" i="21"/>
  <c r="J48" i="21"/>
  <c r="K47" i="21"/>
  <c r="J47" i="21"/>
  <c r="L47" i="21" s="1"/>
  <c r="K46" i="21"/>
  <c r="J46" i="21"/>
  <c r="K45" i="21"/>
  <c r="J45" i="21"/>
  <c r="G45" i="21"/>
  <c r="K44" i="21"/>
  <c r="J44" i="21"/>
  <c r="K43" i="21"/>
  <c r="J43" i="21"/>
  <c r="L43" i="21" s="1"/>
  <c r="G43" i="21"/>
  <c r="K42" i="21"/>
  <c r="J42" i="21"/>
  <c r="K41" i="21"/>
  <c r="J41" i="21"/>
  <c r="K40" i="21"/>
  <c r="J40" i="21"/>
  <c r="G40" i="21"/>
  <c r="K39" i="21"/>
  <c r="J39" i="21"/>
  <c r="K38" i="21"/>
  <c r="J38" i="21"/>
  <c r="K37" i="21"/>
  <c r="J37" i="21"/>
  <c r="K36" i="21"/>
  <c r="J36" i="21"/>
  <c r="G36" i="21"/>
  <c r="K35" i="21"/>
  <c r="J35" i="21"/>
  <c r="K34" i="21"/>
  <c r="J34" i="21"/>
  <c r="L34" i="21" s="1"/>
  <c r="G34" i="21"/>
  <c r="K33" i="21"/>
  <c r="J33" i="21"/>
  <c r="K32" i="21"/>
  <c r="J32" i="21"/>
  <c r="K31" i="21"/>
  <c r="J31" i="21"/>
  <c r="G31" i="21"/>
  <c r="K30" i="21"/>
  <c r="L30" i="21" s="1"/>
  <c r="J30" i="21"/>
  <c r="G30" i="21"/>
  <c r="K29" i="21"/>
  <c r="J29" i="21"/>
  <c r="K28" i="21"/>
  <c r="J28" i="21"/>
  <c r="K27" i="21"/>
  <c r="J27" i="21"/>
  <c r="L27" i="21" s="1"/>
  <c r="G27" i="21"/>
  <c r="J26" i="21"/>
  <c r="K25" i="21"/>
  <c r="J25" i="21"/>
  <c r="L25" i="21" s="1"/>
  <c r="G25" i="21"/>
  <c r="K24" i="21"/>
  <c r="J24" i="21"/>
  <c r="K23" i="21"/>
  <c r="J23" i="21"/>
  <c r="L23" i="21" s="1"/>
  <c r="K22" i="21"/>
  <c r="J22" i="21"/>
  <c r="K21" i="21"/>
  <c r="J21" i="21"/>
  <c r="G21" i="21"/>
  <c r="K20" i="21"/>
  <c r="J20" i="21"/>
  <c r="K19" i="21"/>
  <c r="J19" i="21"/>
  <c r="G19" i="21"/>
  <c r="K18" i="21"/>
  <c r="J18" i="21"/>
  <c r="G18" i="21"/>
  <c r="R17" i="21"/>
  <c r="H17" i="21"/>
  <c r="H32" i="21" s="1"/>
  <c r="G17" i="21"/>
  <c r="D15" i="21"/>
  <c r="P10" i="21"/>
  <c r="P1" i="21"/>
  <c r="P8" i="21" s="1"/>
  <c r="Q61" i="20"/>
  <c r="F61" i="20"/>
  <c r="E61" i="20"/>
  <c r="P10" i="20" s="1"/>
  <c r="K60" i="20"/>
  <c r="J60" i="20"/>
  <c r="K59" i="20"/>
  <c r="V59" i="20" s="1"/>
  <c r="J59" i="20"/>
  <c r="L59" i="20" s="1"/>
  <c r="R58" i="20"/>
  <c r="T58" i="20" s="1"/>
  <c r="S58" i="20" s="1"/>
  <c r="L58" i="20"/>
  <c r="K58" i="20"/>
  <c r="V58" i="20" s="1"/>
  <c r="J58" i="20"/>
  <c r="G58" i="20"/>
  <c r="K57" i="20"/>
  <c r="J57" i="20"/>
  <c r="K56" i="20"/>
  <c r="J56" i="20"/>
  <c r="L56" i="20" s="1"/>
  <c r="R55" i="20"/>
  <c r="T55" i="20" s="1"/>
  <c r="S55" i="20" s="1"/>
  <c r="L55" i="20"/>
  <c r="K55" i="20"/>
  <c r="V55" i="20" s="1"/>
  <c r="J55" i="20"/>
  <c r="G55" i="20"/>
  <c r="K54" i="20"/>
  <c r="J54" i="20"/>
  <c r="K53" i="20"/>
  <c r="J53" i="20"/>
  <c r="L53" i="20" s="1"/>
  <c r="R52" i="20"/>
  <c r="T52" i="20" s="1"/>
  <c r="S52" i="20" s="1"/>
  <c r="L52" i="20"/>
  <c r="K52" i="20"/>
  <c r="V52" i="20" s="1"/>
  <c r="J52" i="20"/>
  <c r="G52" i="20"/>
  <c r="K51" i="20"/>
  <c r="J51" i="20"/>
  <c r="K50" i="20"/>
  <c r="J50" i="20"/>
  <c r="L50" i="20" s="1"/>
  <c r="R49" i="20"/>
  <c r="L49" i="20"/>
  <c r="K49" i="20"/>
  <c r="J49" i="20"/>
  <c r="G49" i="20"/>
  <c r="K48" i="20"/>
  <c r="J48" i="20"/>
  <c r="K47" i="20"/>
  <c r="J47" i="20"/>
  <c r="R46" i="20"/>
  <c r="K46" i="20"/>
  <c r="J46" i="20"/>
  <c r="G46" i="20"/>
  <c r="K45" i="20"/>
  <c r="J45" i="20"/>
  <c r="K44" i="20"/>
  <c r="J44" i="20"/>
  <c r="R43" i="20"/>
  <c r="K43" i="20"/>
  <c r="L43" i="20" s="1"/>
  <c r="J43" i="20"/>
  <c r="G43" i="20"/>
  <c r="K42" i="20"/>
  <c r="J42" i="20"/>
  <c r="K41" i="20"/>
  <c r="J41" i="20"/>
  <c r="R40" i="20"/>
  <c r="K40" i="20"/>
  <c r="J40" i="20"/>
  <c r="L40" i="20" s="1"/>
  <c r="G40" i="20"/>
  <c r="K39" i="20"/>
  <c r="J39" i="20"/>
  <c r="K38" i="20"/>
  <c r="J38" i="20"/>
  <c r="R37" i="20"/>
  <c r="K37" i="20"/>
  <c r="L37" i="20" s="1"/>
  <c r="J37" i="20"/>
  <c r="G37" i="20"/>
  <c r="K36" i="20"/>
  <c r="J36" i="20"/>
  <c r="K35" i="20"/>
  <c r="J35" i="20"/>
  <c r="R34" i="20"/>
  <c r="K34" i="20"/>
  <c r="J34" i="20"/>
  <c r="L34" i="20" s="1"/>
  <c r="G34" i="20"/>
  <c r="K33" i="20"/>
  <c r="J33" i="20"/>
  <c r="K32" i="20"/>
  <c r="J32" i="20"/>
  <c r="R31" i="20"/>
  <c r="L31" i="20"/>
  <c r="K31" i="20"/>
  <c r="J31" i="20"/>
  <c r="G31" i="20"/>
  <c r="K30" i="20"/>
  <c r="J30" i="20"/>
  <c r="K29" i="20"/>
  <c r="J29" i="20"/>
  <c r="R28" i="20"/>
  <c r="K28" i="20"/>
  <c r="J28" i="20"/>
  <c r="G28" i="20"/>
  <c r="K27" i="20"/>
  <c r="J27" i="20"/>
  <c r="J26" i="20"/>
  <c r="R25" i="20"/>
  <c r="K25" i="20"/>
  <c r="V25" i="20" s="1"/>
  <c r="J25" i="20"/>
  <c r="G25" i="20"/>
  <c r="K24" i="20"/>
  <c r="J24" i="20"/>
  <c r="K23" i="20"/>
  <c r="J23" i="20"/>
  <c r="R22" i="20"/>
  <c r="L22" i="20"/>
  <c r="K22" i="20"/>
  <c r="J22" i="20"/>
  <c r="G22" i="20"/>
  <c r="K21" i="20"/>
  <c r="J21" i="20"/>
  <c r="K20" i="20"/>
  <c r="J20" i="20"/>
  <c r="R19" i="20"/>
  <c r="K19" i="20"/>
  <c r="V19" i="20" s="1"/>
  <c r="J19" i="20"/>
  <c r="G19" i="20"/>
  <c r="K18" i="20"/>
  <c r="J18" i="20"/>
  <c r="R17" i="20"/>
  <c r="R59" i="20" s="1"/>
  <c r="U59" i="20" s="1"/>
  <c r="H17" i="20"/>
  <c r="H60" i="20" s="1"/>
  <c r="G17" i="20"/>
  <c r="H35" i="20" s="1"/>
  <c r="D15" i="20"/>
  <c r="G59" i="20" s="1"/>
  <c r="P1" i="20"/>
  <c r="P8" i="20" s="1"/>
  <c r="Q71" i="19"/>
  <c r="F71" i="19"/>
  <c r="E71" i="19"/>
  <c r="P10" i="19" s="1"/>
  <c r="K59" i="19"/>
  <c r="J59" i="19"/>
  <c r="K58" i="19"/>
  <c r="J58" i="19"/>
  <c r="K57" i="19"/>
  <c r="J57" i="19"/>
  <c r="K56" i="19"/>
  <c r="J56" i="19"/>
  <c r="R55" i="19"/>
  <c r="K55" i="19"/>
  <c r="J55" i="19"/>
  <c r="K54" i="19"/>
  <c r="J54" i="19"/>
  <c r="K53" i="19"/>
  <c r="J53" i="19"/>
  <c r="R52" i="19"/>
  <c r="K52" i="19"/>
  <c r="J52" i="19"/>
  <c r="K51" i="19"/>
  <c r="J51" i="19"/>
  <c r="K50" i="19"/>
  <c r="J50" i="19"/>
  <c r="K49" i="19"/>
  <c r="J49" i="19"/>
  <c r="K48" i="19"/>
  <c r="J48" i="19"/>
  <c r="L48" i="19" s="1"/>
  <c r="K47" i="19"/>
  <c r="J47" i="19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R37" i="19"/>
  <c r="K37" i="19"/>
  <c r="J37" i="19"/>
  <c r="K36" i="19"/>
  <c r="J36" i="19"/>
  <c r="K35" i="19"/>
  <c r="J35" i="19"/>
  <c r="L35" i="19" s="1"/>
  <c r="R34" i="19"/>
  <c r="K34" i="19"/>
  <c r="J34" i="19"/>
  <c r="K33" i="19"/>
  <c r="J33" i="19"/>
  <c r="K32" i="19"/>
  <c r="J32" i="19"/>
  <c r="K31" i="19"/>
  <c r="J31" i="19"/>
  <c r="K30" i="19"/>
  <c r="J30" i="19"/>
  <c r="L30" i="19" s="1"/>
  <c r="K29" i="19"/>
  <c r="J29" i="19"/>
  <c r="K28" i="19"/>
  <c r="J28" i="19"/>
  <c r="K27" i="19"/>
  <c r="J27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L20" i="19" s="1"/>
  <c r="K19" i="19"/>
  <c r="J19" i="19"/>
  <c r="K18" i="19"/>
  <c r="J18" i="19"/>
  <c r="R17" i="19"/>
  <c r="R59" i="19" s="1"/>
  <c r="H17" i="19"/>
  <c r="G17" i="19"/>
  <c r="H59" i="19" s="1"/>
  <c r="D15" i="19"/>
  <c r="G59" i="19" s="1"/>
  <c r="P1" i="19"/>
  <c r="P8" i="19" s="1"/>
  <c r="Q61" i="18"/>
  <c r="F61" i="18"/>
  <c r="E61" i="18"/>
  <c r="K60" i="18"/>
  <c r="J60" i="18"/>
  <c r="L60" i="18" s="1"/>
  <c r="G60" i="18"/>
  <c r="L59" i="18"/>
  <c r="K59" i="18"/>
  <c r="V59" i="18" s="1"/>
  <c r="J59" i="18"/>
  <c r="R58" i="18"/>
  <c r="U58" i="18" s="1"/>
  <c r="K58" i="18"/>
  <c r="V58" i="18" s="1"/>
  <c r="J58" i="18"/>
  <c r="L58" i="18" s="1"/>
  <c r="T58" i="18" s="1"/>
  <c r="S58" i="18" s="1"/>
  <c r="K57" i="18"/>
  <c r="J57" i="18"/>
  <c r="L57" i="18" s="1"/>
  <c r="G57" i="18"/>
  <c r="L56" i="18"/>
  <c r="K56" i="18"/>
  <c r="J56" i="18"/>
  <c r="R55" i="18"/>
  <c r="K55" i="18"/>
  <c r="V55" i="18" s="1"/>
  <c r="J55" i="18"/>
  <c r="L55" i="18" s="1"/>
  <c r="T55" i="18" s="1"/>
  <c r="S55" i="18" s="1"/>
  <c r="K54" i="18"/>
  <c r="J54" i="18"/>
  <c r="L54" i="18" s="1"/>
  <c r="G54" i="18"/>
  <c r="L53" i="18"/>
  <c r="K53" i="18"/>
  <c r="J53" i="18"/>
  <c r="R52" i="18"/>
  <c r="K52" i="18"/>
  <c r="V52" i="18" s="1"/>
  <c r="J52" i="18"/>
  <c r="L52" i="18" s="1"/>
  <c r="T52" i="18" s="1"/>
  <c r="S52" i="18" s="1"/>
  <c r="K51" i="18"/>
  <c r="J51" i="18"/>
  <c r="L51" i="18" s="1"/>
  <c r="G51" i="18"/>
  <c r="L50" i="18"/>
  <c r="K50" i="18"/>
  <c r="J50" i="18"/>
  <c r="R49" i="18"/>
  <c r="U49" i="18" s="1"/>
  <c r="K49" i="18"/>
  <c r="V49" i="18" s="1"/>
  <c r="J49" i="18"/>
  <c r="L49" i="18" s="1"/>
  <c r="T49" i="18" s="1"/>
  <c r="S49" i="18" s="1"/>
  <c r="K48" i="18"/>
  <c r="J48" i="18"/>
  <c r="L48" i="18" s="1"/>
  <c r="G48" i="18"/>
  <c r="L47" i="18"/>
  <c r="K47" i="18"/>
  <c r="J47" i="18"/>
  <c r="R46" i="18"/>
  <c r="K46" i="18"/>
  <c r="J46" i="18"/>
  <c r="L46" i="18" s="1"/>
  <c r="T46" i="18" s="1"/>
  <c r="S46" i="18" s="1"/>
  <c r="K45" i="18"/>
  <c r="J45" i="18"/>
  <c r="G45" i="18"/>
  <c r="K44" i="18"/>
  <c r="J44" i="18"/>
  <c r="L44" i="18" s="1"/>
  <c r="R43" i="18"/>
  <c r="K43" i="18"/>
  <c r="V43" i="18" s="1"/>
  <c r="J43" i="18"/>
  <c r="K42" i="18"/>
  <c r="J42" i="18"/>
  <c r="G42" i="18"/>
  <c r="K41" i="18"/>
  <c r="J41" i="18"/>
  <c r="R40" i="18"/>
  <c r="K40" i="18"/>
  <c r="J40" i="18"/>
  <c r="K39" i="18"/>
  <c r="J39" i="18"/>
  <c r="L39" i="18" s="1"/>
  <c r="G39" i="18"/>
  <c r="K38" i="18"/>
  <c r="J38" i="18"/>
  <c r="R37" i="18"/>
  <c r="K37" i="18"/>
  <c r="V37" i="18" s="1"/>
  <c r="J37" i="18"/>
  <c r="K36" i="18"/>
  <c r="J36" i="18"/>
  <c r="G36" i="18"/>
  <c r="K35" i="18"/>
  <c r="J35" i="18"/>
  <c r="L35" i="18" s="1"/>
  <c r="R34" i="18"/>
  <c r="K34" i="18"/>
  <c r="J34" i="18"/>
  <c r="K33" i="18"/>
  <c r="J33" i="18"/>
  <c r="G33" i="18"/>
  <c r="K32" i="18"/>
  <c r="J32" i="18"/>
  <c r="R31" i="18"/>
  <c r="U31" i="18" s="1"/>
  <c r="K31" i="18"/>
  <c r="V31" i="18" s="1"/>
  <c r="J31" i="18"/>
  <c r="K30" i="18"/>
  <c r="J30" i="18"/>
  <c r="G30" i="18"/>
  <c r="L29" i="18"/>
  <c r="K29" i="18"/>
  <c r="J29" i="18"/>
  <c r="R28" i="18"/>
  <c r="K28" i="18"/>
  <c r="J28" i="18"/>
  <c r="K27" i="18"/>
  <c r="J27" i="18"/>
  <c r="G27" i="18"/>
  <c r="J26" i="18"/>
  <c r="R25" i="18"/>
  <c r="K25" i="18"/>
  <c r="J25" i="18"/>
  <c r="K24" i="18"/>
  <c r="J24" i="18"/>
  <c r="G24" i="18"/>
  <c r="K23" i="18"/>
  <c r="L23" i="18" s="1"/>
  <c r="J23" i="18"/>
  <c r="R22" i="18"/>
  <c r="K22" i="18"/>
  <c r="J22" i="18"/>
  <c r="K21" i="18"/>
  <c r="J21" i="18"/>
  <c r="G21" i="18"/>
  <c r="K20" i="18"/>
  <c r="J20" i="18"/>
  <c r="L20" i="18" s="1"/>
  <c r="R19" i="18"/>
  <c r="K19" i="18"/>
  <c r="V19" i="18" s="1"/>
  <c r="J19" i="18"/>
  <c r="K18" i="18"/>
  <c r="J18" i="18"/>
  <c r="G18" i="18"/>
  <c r="R17" i="18"/>
  <c r="R59" i="18" s="1"/>
  <c r="H17" i="18"/>
  <c r="G17" i="18"/>
  <c r="H20" i="18" s="1"/>
  <c r="D15" i="18"/>
  <c r="G59" i="18" s="1"/>
  <c r="P10" i="18"/>
  <c r="P8" i="18"/>
  <c r="P1" i="18"/>
  <c r="Q61" i="17"/>
  <c r="F61" i="17"/>
  <c r="E61" i="17"/>
  <c r="P10" i="17" s="1"/>
  <c r="K60" i="17"/>
  <c r="J60" i="17"/>
  <c r="G60" i="17"/>
  <c r="K59" i="17"/>
  <c r="J59" i="17"/>
  <c r="L59" i="17" s="1"/>
  <c r="R58" i="17"/>
  <c r="U58" i="17" s="1"/>
  <c r="K58" i="17"/>
  <c r="V58" i="17" s="1"/>
  <c r="J58" i="17"/>
  <c r="L58" i="17" s="1"/>
  <c r="T58" i="17" s="1"/>
  <c r="S58" i="17" s="1"/>
  <c r="G58" i="17"/>
  <c r="K57" i="17"/>
  <c r="J57" i="17"/>
  <c r="G57" i="17"/>
  <c r="K56" i="17"/>
  <c r="J56" i="17"/>
  <c r="L56" i="17" s="1"/>
  <c r="R55" i="17"/>
  <c r="U55" i="17" s="1"/>
  <c r="K55" i="17"/>
  <c r="V55" i="17" s="1"/>
  <c r="J55" i="17"/>
  <c r="L55" i="17" s="1"/>
  <c r="T55" i="17" s="1"/>
  <c r="S55" i="17" s="1"/>
  <c r="G55" i="17"/>
  <c r="K54" i="17"/>
  <c r="J54" i="17"/>
  <c r="G54" i="17"/>
  <c r="K53" i="17"/>
  <c r="J53" i="17"/>
  <c r="L53" i="17" s="1"/>
  <c r="R52" i="17"/>
  <c r="U52" i="17" s="1"/>
  <c r="K52" i="17"/>
  <c r="V52" i="17" s="1"/>
  <c r="J52" i="17"/>
  <c r="L52" i="17" s="1"/>
  <c r="T52" i="17" s="1"/>
  <c r="S52" i="17" s="1"/>
  <c r="G52" i="17"/>
  <c r="K51" i="17"/>
  <c r="J51" i="17"/>
  <c r="G51" i="17"/>
  <c r="K50" i="17"/>
  <c r="J50" i="17"/>
  <c r="L50" i="17" s="1"/>
  <c r="R49" i="17"/>
  <c r="U49" i="17" s="1"/>
  <c r="K49" i="17"/>
  <c r="V49" i="17" s="1"/>
  <c r="J49" i="17"/>
  <c r="L49" i="17" s="1"/>
  <c r="T49" i="17" s="1"/>
  <c r="S49" i="17" s="1"/>
  <c r="G49" i="17"/>
  <c r="K48" i="17"/>
  <c r="J48" i="17"/>
  <c r="G48" i="17"/>
  <c r="K47" i="17"/>
  <c r="J47" i="17"/>
  <c r="L47" i="17" s="1"/>
  <c r="R46" i="17"/>
  <c r="U46" i="17" s="1"/>
  <c r="K46" i="17"/>
  <c r="V46" i="17" s="1"/>
  <c r="J46" i="17"/>
  <c r="L46" i="17" s="1"/>
  <c r="T46" i="17" s="1"/>
  <c r="S46" i="17" s="1"/>
  <c r="G46" i="17"/>
  <c r="K45" i="17"/>
  <c r="J45" i="17"/>
  <c r="G45" i="17"/>
  <c r="K44" i="17"/>
  <c r="J44" i="17"/>
  <c r="R43" i="17"/>
  <c r="K43" i="17"/>
  <c r="V43" i="17" s="1"/>
  <c r="J43" i="17"/>
  <c r="G43" i="17"/>
  <c r="K42" i="17"/>
  <c r="J42" i="17"/>
  <c r="G42" i="17"/>
  <c r="K41" i="17"/>
  <c r="J41" i="17"/>
  <c r="R40" i="17"/>
  <c r="K40" i="17"/>
  <c r="J40" i="17"/>
  <c r="G40" i="17"/>
  <c r="K39" i="17"/>
  <c r="J39" i="17"/>
  <c r="G39" i="17"/>
  <c r="K38" i="17"/>
  <c r="J38" i="17"/>
  <c r="R37" i="17"/>
  <c r="K37" i="17"/>
  <c r="V37" i="17" s="1"/>
  <c r="J37" i="17"/>
  <c r="G37" i="17"/>
  <c r="K36" i="17"/>
  <c r="J36" i="17"/>
  <c r="G36" i="17"/>
  <c r="K35" i="17"/>
  <c r="J35" i="17"/>
  <c r="R34" i="17"/>
  <c r="K34" i="17"/>
  <c r="J34" i="17"/>
  <c r="G34" i="17"/>
  <c r="K33" i="17"/>
  <c r="J33" i="17"/>
  <c r="G33" i="17"/>
  <c r="K32" i="17"/>
  <c r="J32" i="17"/>
  <c r="R31" i="17"/>
  <c r="K31" i="17"/>
  <c r="V31" i="17" s="1"/>
  <c r="J31" i="17"/>
  <c r="G31" i="17"/>
  <c r="K30" i="17"/>
  <c r="J30" i="17"/>
  <c r="G30" i="17"/>
  <c r="K29" i="17"/>
  <c r="J29" i="17"/>
  <c r="R28" i="17"/>
  <c r="K28" i="17"/>
  <c r="V28" i="17" s="1"/>
  <c r="J28" i="17"/>
  <c r="G28" i="17"/>
  <c r="K27" i="17"/>
  <c r="J27" i="17"/>
  <c r="G27" i="17"/>
  <c r="J26" i="17"/>
  <c r="R25" i="17"/>
  <c r="K25" i="17" s="1"/>
  <c r="J25" i="17"/>
  <c r="G25" i="17"/>
  <c r="K24" i="17"/>
  <c r="J24" i="17"/>
  <c r="G24" i="17"/>
  <c r="K23" i="17"/>
  <c r="J23" i="17"/>
  <c r="L23" i="17" s="1"/>
  <c r="R22" i="17"/>
  <c r="K22" i="17"/>
  <c r="V22" i="17" s="1"/>
  <c r="J22" i="17"/>
  <c r="G22" i="17"/>
  <c r="K21" i="17"/>
  <c r="J21" i="17"/>
  <c r="G21" i="17"/>
  <c r="K20" i="17"/>
  <c r="J20" i="17"/>
  <c r="R19" i="17"/>
  <c r="K19" i="17"/>
  <c r="J19" i="17"/>
  <c r="L19" i="17" s="1"/>
  <c r="T19" i="17" s="1"/>
  <c r="S19" i="17" s="1"/>
  <c r="G19" i="17"/>
  <c r="K18" i="17"/>
  <c r="J18" i="17"/>
  <c r="G18" i="17"/>
  <c r="R17" i="17"/>
  <c r="R59" i="17" s="1"/>
  <c r="U59" i="17" s="1"/>
  <c r="H17" i="17"/>
  <c r="H60" i="17" s="1"/>
  <c r="G17" i="17"/>
  <c r="H59" i="17" s="1"/>
  <c r="D15" i="17"/>
  <c r="G59" i="17" s="1"/>
  <c r="P8" i="17"/>
  <c r="P1" i="17"/>
  <c r="Q61" i="16"/>
  <c r="F61" i="16"/>
  <c r="E61" i="16"/>
  <c r="K60" i="16"/>
  <c r="J60" i="16"/>
  <c r="L60" i="16" s="1"/>
  <c r="G60" i="16"/>
  <c r="L59" i="16"/>
  <c r="K59" i="16"/>
  <c r="J59" i="16"/>
  <c r="R58" i="16"/>
  <c r="U58" i="16" s="1"/>
  <c r="K58" i="16"/>
  <c r="V58" i="16" s="1"/>
  <c r="J58" i="16"/>
  <c r="L58" i="16" s="1"/>
  <c r="T58" i="16" s="1"/>
  <c r="S58" i="16" s="1"/>
  <c r="K57" i="16"/>
  <c r="J57" i="16"/>
  <c r="L57" i="16" s="1"/>
  <c r="G57" i="16"/>
  <c r="L56" i="16"/>
  <c r="K56" i="16"/>
  <c r="J56" i="16"/>
  <c r="R55" i="16"/>
  <c r="U55" i="16" s="1"/>
  <c r="K55" i="16"/>
  <c r="V55" i="16" s="1"/>
  <c r="J55" i="16"/>
  <c r="L55" i="16" s="1"/>
  <c r="T55" i="16" s="1"/>
  <c r="S55" i="16" s="1"/>
  <c r="K54" i="16"/>
  <c r="J54" i="16"/>
  <c r="L54" i="16" s="1"/>
  <c r="G54" i="16"/>
  <c r="L53" i="16"/>
  <c r="K53" i="16"/>
  <c r="J53" i="16"/>
  <c r="R52" i="16"/>
  <c r="U52" i="16" s="1"/>
  <c r="K52" i="16"/>
  <c r="V52" i="16" s="1"/>
  <c r="J52" i="16"/>
  <c r="L52" i="16" s="1"/>
  <c r="T52" i="16" s="1"/>
  <c r="S52" i="16" s="1"/>
  <c r="K51" i="16"/>
  <c r="J51" i="16"/>
  <c r="L51" i="16" s="1"/>
  <c r="G51" i="16"/>
  <c r="L50" i="16"/>
  <c r="K50" i="16"/>
  <c r="J50" i="16"/>
  <c r="R49" i="16"/>
  <c r="U49" i="16" s="1"/>
  <c r="K49" i="16"/>
  <c r="V49" i="16" s="1"/>
  <c r="J49" i="16"/>
  <c r="L49" i="16" s="1"/>
  <c r="T49" i="16" s="1"/>
  <c r="S49" i="16" s="1"/>
  <c r="K48" i="16"/>
  <c r="J48" i="16"/>
  <c r="L48" i="16" s="1"/>
  <c r="G48" i="16"/>
  <c r="L47" i="16"/>
  <c r="K47" i="16"/>
  <c r="J47" i="16"/>
  <c r="R46" i="16"/>
  <c r="K46" i="16"/>
  <c r="V46" i="16" s="1"/>
  <c r="J46" i="16"/>
  <c r="K45" i="16"/>
  <c r="J45" i="16"/>
  <c r="G45" i="16"/>
  <c r="K44" i="16"/>
  <c r="J44" i="16"/>
  <c r="R43" i="16"/>
  <c r="K43" i="16"/>
  <c r="J43" i="16"/>
  <c r="K42" i="16"/>
  <c r="J42" i="16"/>
  <c r="L42" i="16" s="1"/>
  <c r="G42" i="16"/>
  <c r="K41" i="16"/>
  <c r="J41" i="16"/>
  <c r="R40" i="16"/>
  <c r="K40" i="16"/>
  <c r="J40" i="16"/>
  <c r="K39" i="16"/>
  <c r="J39" i="16"/>
  <c r="G39" i="16"/>
  <c r="K38" i="16"/>
  <c r="L38" i="16" s="1"/>
  <c r="J38" i="16"/>
  <c r="R37" i="16"/>
  <c r="K37" i="16"/>
  <c r="V37" i="16" s="1"/>
  <c r="J37" i="16"/>
  <c r="K36" i="16"/>
  <c r="J36" i="16"/>
  <c r="L36" i="16" s="1"/>
  <c r="G36" i="16"/>
  <c r="K35" i="16"/>
  <c r="L35" i="16" s="1"/>
  <c r="J35" i="16"/>
  <c r="R34" i="16"/>
  <c r="K34" i="16"/>
  <c r="J34" i="16"/>
  <c r="L34" i="16" s="1"/>
  <c r="T34" i="16" s="1"/>
  <c r="S34" i="16" s="1"/>
  <c r="K33" i="16"/>
  <c r="J33" i="16"/>
  <c r="G33" i="16"/>
  <c r="K32" i="16"/>
  <c r="J32" i="16"/>
  <c r="R31" i="16"/>
  <c r="K31" i="16"/>
  <c r="J31" i="16"/>
  <c r="L31" i="16" s="1"/>
  <c r="K30" i="16"/>
  <c r="J30" i="16"/>
  <c r="G30" i="16"/>
  <c r="K29" i="16"/>
  <c r="L29" i="16" s="1"/>
  <c r="J29" i="16"/>
  <c r="R28" i="16"/>
  <c r="K28" i="16"/>
  <c r="J28" i="16"/>
  <c r="K27" i="16"/>
  <c r="J27" i="16"/>
  <c r="L27" i="16" s="1"/>
  <c r="G27" i="16"/>
  <c r="J26" i="16"/>
  <c r="R25" i="16"/>
  <c r="K25" i="16"/>
  <c r="J25" i="16"/>
  <c r="L25" i="16" s="1"/>
  <c r="T25" i="16" s="1"/>
  <c r="S25" i="16" s="1"/>
  <c r="K24" i="16"/>
  <c r="J24" i="16"/>
  <c r="G24" i="16"/>
  <c r="K23" i="16"/>
  <c r="L23" i="16" s="1"/>
  <c r="J23" i="16"/>
  <c r="R22" i="16"/>
  <c r="K22" i="16"/>
  <c r="V22" i="16" s="1"/>
  <c r="J22" i="16"/>
  <c r="K21" i="16"/>
  <c r="J21" i="16"/>
  <c r="L21" i="16" s="1"/>
  <c r="G21" i="16"/>
  <c r="K20" i="16"/>
  <c r="J20" i="16"/>
  <c r="R19" i="16"/>
  <c r="K19" i="16"/>
  <c r="J19" i="16"/>
  <c r="L19" i="16" s="1"/>
  <c r="T19" i="16" s="1"/>
  <c r="S19" i="16" s="1"/>
  <c r="K18" i="16"/>
  <c r="J18" i="16"/>
  <c r="G18" i="16"/>
  <c r="R17" i="16"/>
  <c r="R59" i="16" s="1"/>
  <c r="T59" i="16" s="1"/>
  <c r="S59" i="16" s="1"/>
  <c r="H17" i="16"/>
  <c r="G17" i="16"/>
  <c r="H59" i="16" s="1"/>
  <c r="D15" i="16"/>
  <c r="G59" i="16" s="1"/>
  <c r="P10" i="16"/>
  <c r="P1" i="16"/>
  <c r="P8" i="16" s="1"/>
  <c r="Q61" i="15"/>
  <c r="F61" i="15"/>
  <c r="E61" i="15"/>
  <c r="P10" i="15" s="1"/>
  <c r="K60" i="15"/>
  <c r="J60" i="15"/>
  <c r="K59" i="15"/>
  <c r="J59" i="15"/>
  <c r="L59" i="15" s="1"/>
  <c r="R58" i="15"/>
  <c r="L58" i="15"/>
  <c r="T58" i="15" s="1"/>
  <c r="S58" i="15" s="1"/>
  <c r="K58" i="15"/>
  <c r="V58" i="15" s="1"/>
  <c r="J58" i="15"/>
  <c r="G58" i="15"/>
  <c r="K57" i="15"/>
  <c r="J57" i="15"/>
  <c r="K56" i="15"/>
  <c r="J56" i="15"/>
  <c r="L56" i="15" s="1"/>
  <c r="R55" i="15"/>
  <c r="L55" i="15"/>
  <c r="T55" i="15" s="1"/>
  <c r="S55" i="15" s="1"/>
  <c r="K55" i="15"/>
  <c r="V55" i="15" s="1"/>
  <c r="J55" i="15"/>
  <c r="G55" i="15"/>
  <c r="K54" i="15"/>
  <c r="J54" i="15"/>
  <c r="K53" i="15"/>
  <c r="J53" i="15"/>
  <c r="L53" i="15" s="1"/>
  <c r="R52" i="15"/>
  <c r="L52" i="15"/>
  <c r="T52" i="15" s="1"/>
  <c r="S52" i="15" s="1"/>
  <c r="K52" i="15"/>
  <c r="V52" i="15" s="1"/>
  <c r="J52" i="15"/>
  <c r="G52" i="15"/>
  <c r="K51" i="15"/>
  <c r="J51" i="15"/>
  <c r="K50" i="15"/>
  <c r="J50" i="15"/>
  <c r="R49" i="15"/>
  <c r="K49" i="15"/>
  <c r="J49" i="15"/>
  <c r="G49" i="15"/>
  <c r="K48" i="15"/>
  <c r="J48" i="15"/>
  <c r="K47" i="15"/>
  <c r="J47" i="15"/>
  <c r="R46" i="15"/>
  <c r="K46" i="15"/>
  <c r="L46" i="15" s="1"/>
  <c r="T46" i="15" s="1"/>
  <c r="S46" i="15" s="1"/>
  <c r="J46" i="15"/>
  <c r="G46" i="15"/>
  <c r="K45" i="15"/>
  <c r="J45" i="15"/>
  <c r="K44" i="15"/>
  <c r="J44" i="15"/>
  <c r="R43" i="15"/>
  <c r="K43" i="15"/>
  <c r="L43" i="15" s="1"/>
  <c r="T43" i="15" s="1"/>
  <c r="S43" i="15" s="1"/>
  <c r="J43" i="15"/>
  <c r="G43" i="15"/>
  <c r="K42" i="15"/>
  <c r="J42" i="15"/>
  <c r="K41" i="15"/>
  <c r="J41" i="15"/>
  <c r="R40" i="15"/>
  <c r="K40" i="15"/>
  <c r="L40" i="15" s="1"/>
  <c r="T40" i="15" s="1"/>
  <c r="S40" i="15" s="1"/>
  <c r="J40" i="15"/>
  <c r="G40" i="15"/>
  <c r="K39" i="15"/>
  <c r="J39" i="15"/>
  <c r="K38" i="15"/>
  <c r="J38" i="15"/>
  <c r="R37" i="15"/>
  <c r="K37" i="15"/>
  <c r="L37" i="15" s="1"/>
  <c r="T37" i="15" s="1"/>
  <c r="S37" i="15" s="1"/>
  <c r="J37" i="15"/>
  <c r="G37" i="15"/>
  <c r="K36" i="15"/>
  <c r="J36" i="15"/>
  <c r="K35" i="15"/>
  <c r="J35" i="15"/>
  <c r="R34" i="15"/>
  <c r="K34" i="15"/>
  <c r="L34" i="15" s="1"/>
  <c r="T34" i="15" s="1"/>
  <c r="S34" i="15" s="1"/>
  <c r="J34" i="15"/>
  <c r="G34" i="15"/>
  <c r="K33" i="15"/>
  <c r="J33" i="15"/>
  <c r="K32" i="15"/>
  <c r="J32" i="15"/>
  <c r="R31" i="15"/>
  <c r="K31" i="15"/>
  <c r="L31" i="15" s="1"/>
  <c r="T31" i="15" s="1"/>
  <c r="S31" i="15" s="1"/>
  <c r="J31" i="15"/>
  <c r="G31" i="15"/>
  <c r="K30" i="15"/>
  <c r="J30" i="15"/>
  <c r="K29" i="15"/>
  <c r="J29" i="15"/>
  <c r="L29" i="15" s="1"/>
  <c r="R28" i="15"/>
  <c r="K28" i="15"/>
  <c r="J28" i="15"/>
  <c r="G28" i="15"/>
  <c r="K27" i="15"/>
  <c r="J27" i="15"/>
  <c r="J26" i="15"/>
  <c r="R25" i="15"/>
  <c r="K25" i="15" s="1"/>
  <c r="V25" i="15" s="1"/>
  <c r="J25" i="15"/>
  <c r="G25" i="15"/>
  <c r="K24" i="15"/>
  <c r="J24" i="15"/>
  <c r="K23" i="15"/>
  <c r="J23" i="15"/>
  <c r="L23" i="15" s="1"/>
  <c r="H23" i="15"/>
  <c r="R22" i="15"/>
  <c r="K22" i="15"/>
  <c r="L22" i="15" s="1"/>
  <c r="J22" i="15"/>
  <c r="G22" i="15"/>
  <c r="K21" i="15"/>
  <c r="J21" i="15"/>
  <c r="K20" i="15"/>
  <c r="J20" i="15"/>
  <c r="L20" i="15" s="1"/>
  <c r="H20" i="15"/>
  <c r="R19" i="15"/>
  <c r="K19" i="15"/>
  <c r="L19" i="15" s="1"/>
  <c r="T19" i="15" s="1"/>
  <c r="S19" i="15" s="1"/>
  <c r="J19" i="15"/>
  <c r="G19" i="15"/>
  <c r="K18" i="15"/>
  <c r="J18" i="15"/>
  <c r="R17" i="15"/>
  <c r="R59" i="15" s="1"/>
  <c r="U59" i="15" s="1"/>
  <c r="H17" i="15"/>
  <c r="H60" i="15" s="1"/>
  <c r="G17" i="15"/>
  <c r="D15" i="15"/>
  <c r="G59" i="15" s="1"/>
  <c r="P1" i="15"/>
  <c r="P8" i="15" s="1"/>
  <c r="Q61" i="14"/>
  <c r="F61" i="14"/>
  <c r="E61" i="14"/>
  <c r="K60" i="14"/>
  <c r="J60" i="14"/>
  <c r="L60" i="14" s="1"/>
  <c r="H60" i="14"/>
  <c r="G60" i="14"/>
  <c r="R59" i="14"/>
  <c r="L59" i="14"/>
  <c r="T59" i="14" s="1"/>
  <c r="S59" i="14" s="1"/>
  <c r="K59" i="14"/>
  <c r="V59" i="14" s="1"/>
  <c r="J59" i="14"/>
  <c r="K58" i="14"/>
  <c r="J58" i="14"/>
  <c r="L58" i="14" s="1"/>
  <c r="K57" i="14"/>
  <c r="J57" i="14"/>
  <c r="L57" i="14" s="1"/>
  <c r="H57" i="14"/>
  <c r="G57" i="14"/>
  <c r="R56" i="14"/>
  <c r="L56" i="14"/>
  <c r="T56" i="14" s="1"/>
  <c r="S56" i="14" s="1"/>
  <c r="K56" i="14"/>
  <c r="V56" i="14" s="1"/>
  <c r="J56" i="14"/>
  <c r="K55" i="14"/>
  <c r="J55" i="14"/>
  <c r="L55" i="14" s="1"/>
  <c r="K54" i="14"/>
  <c r="J54" i="14"/>
  <c r="L54" i="14" s="1"/>
  <c r="H54" i="14"/>
  <c r="G54" i="14"/>
  <c r="R53" i="14"/>
  <c r="K53" i="14"/>
  <c r="V53" i="14" s="1"/>
  <c r="J53" i="14"/>
  <c r="K52" i="14"/>
  <c r="J52" i="14"/>
  <c r="K51" i="14"/>
  <c r="J51" i="14"/>
  <c r="H51" i="14"/>
  <c r="G51" i="14"/>
  <c r="R50" i="14"/>
  <c r="K50" i="14"/>
  <c r="J50" i="14"/>
  <c r="L50" i="14" s="1"/>
  <c r="T50" i="14" s="1"/>
  <c r="S50" i="14" s="1"/>
  <c r="K49" i="14"/>
  <c r="J49" i="14"/>
  <c r="K48" i="14"/>
  <c r="J48" i="14"/>
  <c r="H48" i="14"/>
  <c r="G48" i="14"/>
  <c r="R47" i="14"/>
  <c r="K47" i="14"/>
  <c r="J47" i="14"/>
  <c r="K46" i="14"/>
  <c r="J46" i="14"/>
  <c r="K45" i="14"/>
  <c r="J45" i="14"/>
  <c r="H45" i="14"/>
  <c r="G45" i="14"/>
  <c r="R44" i="14"/>
  <c r="K44" i="14"/>
  <c r="V44" i="14" s="1"/>
  <c r="J44" i="14"/>
  <c r="K43" i="14"/>
  <c r="J43" i="14"/>
  <c r="K42" i="14"/>
  <c r="J42" i="14"/>
  <c r="L42" i="14" s="1"/>
  <c r="H42" i="14"/>
  <c r="G42" i="14"/>
  <c r="R41" i="14"/>
  <c r="K41" i="14"/>
  <c r="J41" i="14"/>
  <c r="L41" i="14" s="1"/>
  <c r="T41" i="14" s="1"/>
  <c r="S41" i="14" s="1"/>
  <c r="K40" i="14"/>
  <c r="J40" i="14"/>
  <c r="K39" i="14"/>
  <c r="J39" i="14"/>
  <c r="H39" i="14"/>
  <c r="G39" i="14"/>
  <c r="R38" i="14"/>
  <c r="K38" i="14"/>
  <c r="J38" i="14"/>
  <c r="L38" i="14" s="1"/>
  <c r="T38" i="14" s="1"/>
  <c r="S38" i="14" s="1"/>
  <c r="K37" i="14"/>
  <c r="J37" i="14"/>
  <c r="L37" i="14" s="1"/>
  <c r="K36" i="14"/>
  <c r="J36" i="14"/>
  <c r="H36" i="14"/>
  <c r="G36" i="14"/>
  <c r="R35" i="14"/>
  <c r="K35" i="14"/>
  <c r="V35" i="14" s="1"/>
  <c r="J35" i="14"/>
  <c r="K34" i="14"/>
  <c r="J34" i="14"/>
  <c r="K33" i="14"/>
  <c r="J33" i="14"/>
  <c r="H33" i="14"/>
  <c r="G33" i="14"/>
  <c r="R32" i="14"/>
  <c r="K32" i="14"/>
  <c r="J32" i="14"/>
  <c r="L32" i="14" s="1"/>
  <c r="T32" i="14" s="1"/>
  <c r="S32" i="14" s="1"/>
  <c r="K31" i="14"/>
  <c r="J31" i="14"/>
  <c r="K30" i="14"/>
  <c r="J30" i="14"/>
  <c r="H30" i="14"/>
  <c r="G30" i="14"/>
  <c r="R29" i="14"/>
  <c r="K29" i="14"/>
  <c r="J29" i="14"/>
  <c r="L29" i="14" s="1"/>
  <c r="T29" i="14" s="1"/>
  <c r="S29" i="14" s="1"/>
  <c r="K28" i="14"/>
  <c r="J28" i="14"/>
  <c r="K27" i="14"/>
  <c r="J27" i="14"/>
  <c r="H27" i="14"/>
  <c r="G27" i="14"/>
  <c r="R26" i="14"/>
  <c r="J26" i="14"/>
  <c r="J25" i="14"/>
  <c r="K24" i="14"/>
  <c r="J24" i="14"/>
  <c r="H24" i="14"/>
  <c r="G24" i="14"/>
  <c r="R23" i="14"/>
  <c r="K23" i="14"/>
  <c r="J23" i="14"/>
  <c r="K22" i="14"/>
  <c r="J22" i="14"/>
  <c r="K21" i="14"/>
  <c r="J21" i="14"/>
  <c r="H21" i="14"/>
  <c r="G21" i="14"/>
  <c r="R20" i="14"/>
  <c r="K20" i="14"/>
  <c r="V20" i="14" s="1"/>
  <c r="J20" i="14"/>
  <c r="K19" i="14"/>
  <c r="J19" i="14"/>
  <c r="K18" i="14"/>
  <c r="J18" i="14"/>
  <c r="J61" i="14" s="1"/>
  <c r="H18" i="14"/>
  <c r="G18" i="14"/>
  <c r="R17" i="14"/>
  <c r="R60" i="14" s="1"/>
  <c r="H17" i="14"/>
  <c r="H58" i="14" s="1"/>
  <c r="G17" i="14"/>
  <c r="D15" i="14"/>
  <c r="G59" i="14" s="1"/>
  <c r="P10" i="14"/>
  <c r="P8" i="14"/>
  <c r="P1" i="14"/>
  <c r="Q61" i="13"/>
  <c r="F61" i="13"/>
  <c r="E61" i="13"/>
  <c r="P10" i="13" s="1"/>
  <c r="K60" i="13"/>
  <c r="J60" i="13"/>
  <c r="K59" i="13"/>
  <c r="J59" i="13"/>
  <c r="L59" i="13" s="1"/>
  <c r="R58" i="13"/>
  <c r="K58" i="13"/>
  <c r="L58" i="13" s="1"/>
  <c r="T58" i="13" s="1"/>
  <c r="S58" i="13" s="1"/>
  <c r="J58" i="13"/>
  <c r="G58" i="13"/>
  <c r="K57" i="13"/>
  <c r="J57" i="13"/>
  <c r="R56" i="13"/>
  <c r="K56" i="13"/>
  <c r="V56" i="13" s="1"/>
  <c r="J56" i="13"/>
  <c r="L56" i="13" s="1"/>
  <c r="T56" i="13" s="1"/>
  <c r="S56" i="13" s="1"/>
  <c r="R55" i="13"/>
  <c r="K55" i="13"/>
  <c r="L55" i="13" s="1"/>
  <c r="T55" i="13" s="1"/>
  <c r="S55" i="13" s="1"/>
  <c r="J55" i="13"/>
  <c r="G55" i="13"/>
  <c r="K54" i="13"/>
  <c r="J54" i="13"/>
  <c r="R53" i="13"/>
  <c r="K53" i="13"/>
  <c r="V53" i="13" s="1"/>
  <c r="J53" i="13"/>
  <c r="L53" i="13" s="1"/>
  <c r="T53" i="13" s="1"/>
  <c r="S53" i="13" s="1"/>
  <c r="R52" i="13"/>
  <c r="K52" i="13"/>
  <c r="L52" i="13" s="1"/>
  <c r="T52" i="13" s="1"/>
  <c r="S52" i="13" s="1"/>
  <c r="J52" i="13"/>
  <c r="G52" i="13"/>
  <c r="K51" i="13"/>
  <c r="J51" i="13"/>
  <c r="R50" i="13"/>
  <c r="K50" i="13"/>
  <c r="V50" i="13" s="1"/>
  <c r="J50" i="13"/>
  <c r="R49" i="13"/>
  <c r="K49" i="13"/>
  <c r="L49" i="13" s="1"/>
  <c r="T49" i="13" s="1"/>
  <c r="S49" i="13" s="1"/>
  <c r="J49" i="13"/>
  <c r="G49" i="13"/>
  <c r="K48" i="13"/>
  <c r="J48" i="13"/>
  <c r="R47" i="13"/>
  <c r="K47" i="13"/>
  <c r="V47" i="13" s="1"/>
  <c r="J47" i="13"/>
  <c r="R46" i="13"/>
  <c r="K46" i="13"/>
  <c r="L46" i="13" s="1"/>
  <c r="T46" i="13" s="1"/>
  <c r="S46" i="13" s="1"/>
  <c r="J46" i="13"/>
  <c r="G46" i="13"/>
  <c r="K45" i="13"/>
  <c r="J45" i="13"/>
  <c r="R44" i="13"/>
  <c r="K44" i="13"/>
  <c r="V44" i="13" s="1"/>
  <c r="J44" i="13"/>
  <c r="R43" i="13"/>
  <c r="K43" i="13"/>
  <c r="L43" i="13" s="1"/>
  <c r="T43" i="13" s="1"/>
  <c r="S43" i="13" s="1"/>
  <c r="J43" i="13"/>
  <c r="G43" i="13"/>
  <c r="K42" i="13"/>
  <c r="J42" i="13"/>
  <c r="R41" i="13"/>
  <c r="K41" i="13"/>
  <c r="V41" i="13" s="1"/>
  <c r="J41" i="13"/>
  <c r="R40" i="13"/>
  <c r="K40" i="13"/>
  <c r="L40" i="13" s="1"/>
  <c r="T40" i="13" s="1"/>
  <c r="S40" i="13" s="1"/>
  <c r="J40" i="13"/>
  <c r="G40" i="13"/>
  <c r="K39" i="13"/>
  <c r="J39" i="13"/>
  <c r="R38" i="13"/>
  <c r="K38" i="13"/>
  <c r="V38" i="13" s="1"/>
  <c r="J38" i="13"/>
  <c r="R37" i="13"/>
  <c r="K37" i="13"/>
  <c r="L37" i="13" s="1"/>
  <c r="T37" i="13" s="1"/>
  <c r="S37" i="13" s="1"/>
  <c r="J37" i="13"/>
  <c r="G37" i="13"/>
  <c r="K36" i="13"/>
  <c r="J36" i="13"/>
  <c r="R35" i="13"/>
  <c r="K35" i="13"/>
  <c r="V35" i="13" s="1"/>
  <c r="J35" i="13"/>
  <c r="R34" i="13"/>
  <c r="K34" i="13"/>
  <c r="L34" i="13" s="1"/>
  <c r="T34" i="13" s="1"/>
  <c r="S34" i="13" s="1"/>
  <c r="J34" i="13"/>
  <c r="G34" i="13"/>
  <c r="K33" i="13"/>
  <c r="J33" i="13"/>
  <c r="R32" i="13"/>
  <c r="K32" i="13"/>
  <c r="J32" i="13"/>
  <c r="R31" i="13"/>
  <c r="K31" i="13"/>
  <c r="J31" i="13"/>
  <c r="G31" i="13"/>
  <c r="K30" i="13"/>
  <c r="J30" i="13"/>
  <c r="R29" i="13"/>
  <c r="K29" i="13"/>
  <c r="J29" i="13"/>
  <c r="L29" i="13" s="1"/>
  <c r="R28" i="13"/>
  <c r="K28" i="13"/>
  <c r="J28" i="13"/>
  <c r="G28" i="13"/>
  <c r="K27" i="13"/>
  <c r="J27" i="13"/>
  <c r="R26" i="13"/>
  <c r="K26" i="13" s="1"/>
  <c r="J26" i="13"/>
  <c r="R25" i="13"/>
  <c r="K25" i="13" s="1"/>
  <c r="L25" i="13" s="1"/>
  <c r="T25" i="13" s="1"/>
  <c r="S25" i="13" s="1"/>
  <c r="J25" i="13"/>
  <c r="G25" i="13"/>
  <c r="K24" i="13"/>
  <c r="J24" i="13"/>
  <c r="R23" i="13"/>
  <c r="K23" i="13"/>
  <c r="V23" i="13" s="1"/>
  <c r="J23" i="13"/>
  <c r="R22" i="13"/>
  <c r="K22" i="13"/>
  <c r="L22" i="13" s="1"/>
  <c r="T22" i="13" s="1"/>
  <c r="S22" i="13" s="1"/>
  <c r="J22" i="13"/>
  <c r="G22" i="13"/>
  <c r="K21" i="13"/>
  <c r="J21" i="13"/>
  <c r="R20" i="13"/>
  <c r="K20" i="13"/>
  <c r="V20" i="13" s="1"/>
  <c r="J20" i="13"/>
  <c r="R19" i="13"/>
  <c r="K19" i="13"/>
  <c r="L19" i="13" s="1"/>
  <c r="T19" i="13" s="1"/>
  <c r="S19" i="13" s="1"/>
  <c r="J19" i="13"/>
  <c r="G19" i="13"/>
  <c r="K18" i="13"/>
  <c r="J18" i="13"/>
  <c r="R17" i="13"/>
  <c r="R59" i="13" s="1"/>
  <c r="U59" i="13" s="1"/>
  <c r="H17" i="13"/>
  <c r="G17" i="13"/>
  <c r="H23" i="13" s="1"/>
  <c r="D15" i="13"/>
  <c r="G59" i="13" s="1"/>
  <c r="P1" i="13"/>
  <c r="P8" i="13" s="1"/>
  <c r="Q61" i="12"/>
  <c r="F61" i="12"/>
  <c r="E61" i="12"/>
  <c r="P10" i="12" s="1"/>
  <c r="K60" i="12"/>
  <c r="J60" i="12"/>
  <c r="K59" i="12"/>
  <c r="V59" i="12" s="1"/>
  <c r="J59" i="12"/>
  <c r="L59" i="12" s="1"/>
  <c r="T59" i="12" s="1"/>
  <c r="S59" i="12" s="1"/>
  <c r="R58" i="12"/>
  <c r="L58" i="12"/>
  <c r="T58" i="12" s="1"/>
  <c r="S58" i="12" s="1"/>
  <c r="K58" i="12"/>
  <c r="V58" i="12" s="1"/>
  <c r="J58" i="12"/>
  <c r="G58" i="12"/>
  <c r="K57" i="12"/>
  <c r="J57" i="12"/>
  <c r="K56" i="12"/>
  <c r="J56" i="12"/>
  <c r="L56" i="12" s="1"/>
  <c r="R55" i="12"/>
  <c r="L55" i="12"/>
  <c r="T55" i="12" s="1"/>
  <c r="S55" i="12" s="1"/>
  <c r="K55" i="12"/>
  <c r="V55" i="12" s="1"/>
  <c r="J55" i="12"/>
  <c r="G55" i="12"/>
  <c r="K54" i="12"/>
  <c r="J54" i="12"/>
  <c r="K53" i="12"/>
  <c r="J53" i="12"/>
  <c r="L53" i="12" s="1"/>
  <c r="R52" i="12"/>
  <c r="L52" i="12"/>
  <c r="T52" i="12" s="1"/>
  <c r="S52" i="12" s="1"/>
  <c r="K52" i="12"/>
  <c r="V52" i="12" s="1"/>
  <c r="J52" i="12"/>
  <c r="G52" i="12"/>
  <c r="K51" i="12"/>
  <c r="J51" i="12"/>
  <c r="K50" i="12"/>
  <c r="J50" i="12"/>
  <c r="R49" i="12"/>
  <c r="K49" i="12"/>
  <c r="J49" i="12"/>
  <c r="L49" i="12" s="1"/>
  <c r="T49" i="12" s="1"/>
  <c r="S49" i="12" s="1"/>
  <c r="G49" i="12"/>
  <c r="K48" i="12"/>
  <c r="J48" i="12"/>
  <c r="K47" i="12"/>
  <c r="J47" i="12"/>
  <c r="L47" i="12" s="1"/>
  <c r="R46" i="12"/>
  <c r="L46" i="12"/>
  <c r="T46" i="12" s="1"/>
  <c r="S46" i="12" s="1"/>
  <c r="K46" i="12"/>
  <c r="J46" i="12"/>
  <c r="G46" i="12"/>
  <c r="K45" i="12"/>
  <c r="J45" i="12"/>
  <c r="K44" i="12"/>
  <c r="J44" i="12"/>
  <c r="R43" i="12"/>
  <c r="K43" i="12"/>
  <c r="J43" i="12"/>
  <c r="L43" i="12" s="1"/>
  <c r="T43" i="12" s="1"/>
  <c r="S43" i="12" s="1"/>
  <c r="G43" i="12"/>
  <c r="K42" i="12"/>
  <c r="J42" i="12"/>
  <c r="K41" i="12"/>
  <c r="J41" i="12"/>
  <c r="L41" i="12" s="1"/>
  <c r="R40" i="12"/>
  <c r="L40" i="12"/>
  <c r="T40" i="12" s="1"/>
  <c r="S40" i="12" s="1"/>
  <c r="K40" i="12"/>
  <c r="J40" i="12"/>
  <c r="G40" i="12"/>
  <c r="K39" i="12"/>
  <c r="J39" i="12"/>
  <c r="K38" i="12"/>
  <c r="J38" i="12"/>
  <c r="R37" i="12"/>
  <c r="K37" i="12"/>
  <c r="J37" i="12"/>
  <c r="L37" i="12" s="1"/>
  <c r="T37" i="12" s="1"/>
  <c r="S37" i="12" s="1"/>
  <c r="G37" i="12"/>
  <c r="K36" i="12"/>
  <c r="J36" i="12"/>
  <c r="K35" i="12"/>
  <c r="J35" i="12"/>
  <c r="L35" i="12" s="1"/>
  <c r="R34" i="12"/>
  <c r="L34" i="12"/>
  <c r="T34" i="12" s="1"/>
  <c r="S34" i="12" s="1"/>
  <c r="K34" i="12"/>
  <c r="J34" i="12"/>
  <c r="G34" i="12"/>
  <c r="K33" i="12"/>
  <c r="J33" i="12"/>
  <c r="K32" i="12"/>
  <c r="J32" i="12"/>
  <c r="R31" i="12"/>
  <c r="K31" i="12"/>
  <c r="J31" i="12"/>
  <c r="L31" i="12" s="1"/>
  <c r="T31" i="12" s="1"/>
  <c r="S31" i="12" s="1"/>
  <c r="G31" i="12"/>
  <c r="K30" i="12"/>
  <c r="J30" i="12"/>
  <c r="K29" i="12"/>
  <c r="J29" i="12"/>
  <c r="L29" i="12" s="1"/>
  <c r="R28" i="12"/>
  <c r="L28" i="12"/>
  <c r="T28" i="12" s="1"/>
  <c r="S28" i="12" s="1"/>
  <c r="K28" i="12"/>
  <c r="J28" i="12"/>
  <c r="G28" i="12"/>
  <c r="K27" i="12"/>
  <c r="J27" i="12"/>
  <c r="K26" i="12"/>
  <c r="J26" i="12"/>
  <c r="R25" i="12"/>
  <c r="J25" i="12"/>
  <c r="G25" i="12"/>
  <c r="K24" i="12"/>
  <c r="J24" i="12"/>
  <c r="K23" i="12"/>
  <c r="J23" i="12"/>
  <c r="R22" i="12"/>
  <c r="K22" i="12"/>
  <c r="J22" i="12"/>
  <c r="L22" i="12" s="1"/>
  <c r="T22" i="12" s="1"/>
  <c r="S22" i="12" s="1"/>
  <c r="G22" i="12"/>
  <c r="K21" i="12"/>
  <c r="J21" i="12"/>
  <c r="K20" i="12"/>
  <c r="J20" i="12"/>
  <c r="L20" i="12" s="1"/>
  <c r="R19" i="12"/>
  <c r="K19" i="12"/>
  <c r="J19" i="12"/>
  <c r="L19" i="12" s="1"/>
  <c r="T19" i="12" s="1"/>
  <c r="S19" i="12" s="1"/>
  <c r="G19" i="12"/>
  <c r="K18" i="12"/>
  <c r="J18" i="12"/>
  <c r="J61" i="12" s="1"/>
  <c r="R17" i="12"/>
  <c r="R59" i="12" s="1"/>
  <c r="U59" i="12" s="1"/>
  <c r="H17" i="12"/>
  <c r="H60" i="12" s="1"/>
  <c r="G17" i="12"/>
  <c r="H53" i="12" s="1"/>
  <c r="D15" i="12"/>
  <c r="G59" i="12" s="1"/>
  <c r="P1" i="12"/>
  <c r="P8" i="12" s="1"/>
  <c r="Q61" i="11"/>
  <c r="F61" i="11"/>
  <c r="E61" i="11"/>
  <c r="K60" i="11"/>
  <c r="J60" i="11"/>
  <c r="G60" i="11"/>
  <c r="L59" i="11"/>
  <c r="K59" i="11"/>
  <c r="J59" i="11"/>
  <c r="R58" i="11"/>
  <c r="U58" i="11" s="1"/>
  <c r="K58" i="11"/>
  <c r="V58" i="11" s="1"/>
  <c r="J58" i="11"/>
  <c r="L58" i="11" s="1"/>
  <c r="T58" i="11" s="1"/>
  <c r="S58" i="11" s="1"/>
  <c r="K57" i="11"/>
  <c r="J57" i="11"/>
  <c r="G57" i="11"/>
  <c r="L56" i="11"/>
  <c r="K56" i="11"/>
  <c r="J56" i="11"/>
  <c r="R55" i="11"/>
  <c r="U55" i="11" s="1"/>
  <c r="K55" i="11"/>
  <c r="V55" i="11" s="1"/>
  <c r="J55" i="11"/>
  <c r="L55" i="11" s="1"/>
  <c r="T55" i="11" s="1"/>
  <c r="S55" i="11" s="1"/>
  <c r="K54" i="11"/>
  <c r="J54" i="11"/>
  <c r="G54" i="11"/>
  <c r="L53" i="11"/>
  <c r="K53" i="11"/>
  <c r="J53" i="11"/>
  <c r="R52" i="11"/>
  <c r="U52" i="11" s="1"/>
  <c r="K52" i="11"/>
  <c r="V52" i="11" s="1"/>
  <c r="J52" i="11"/>
  <c r="L52" i="11" s="1"/>
  <c r="T52" i="11" s="1"/>
  <c r="S52" i="11" s="1"/>
  <c r="K51" i="11"/>
  <c r="J51" i="11"/>
  <c r="G51" i="11"/>
  <c r="L50" i="11"/>
  <c r="K50" i="11"/>
  <c r="J50" i="11"/>
  <c r="R49" i="11"/>
  <c r="U49" i="11" s="1"/>
  <c r="K49" i="11"/>
  <c r="J49" i="11"/>
  <c r="K48" i="11"/>
  <c r="J48" i="11"/>
  <c r="G48" i="11"/>
  <c r="L47" i="11"/>
  <c r="K47" i="11"/>
  <c r="J47" i="11"/>
  <c r="R46" i="11"/>
  <c r="U46" i="11" s="1"/>
  <c r="K46" i="11"/>
  <c r="J46" i="11"/>
  <c r="L46" i="11" s="1"/>
  <c r="T46" i="11" s="1"/>
  <c r="S46" i="11" s="1"/>
  <c r="K45" i="11"/>
  <c r="J45" i="11"/>
  <c r="G45" i="11"/>
  <c r="K44" i="11"/>
  <c r="J44" i="11"/>
  <c r="R43" i="11"/>
  <c r="U43" i="11" s="1"/>
  <c r="K43" i="11"/>
  <c r="J43" i="11"/>
  <c r="J42" i="11"/>
  <c r="G42" i="11"/>
  <c r="K41" i="11"/>
  <c r="L41" i="11" s="1"/>
  <c r="J41" i="11"/>
  <c r="R40" i="11"/>
  <c r="K40" i="11"/>
  <c r="V40" i="11" s="1"/>
  <c r="J40" i="11"/>
  <c r="K39" i="11"/>
  <c r="J39" i="11"/>
  <c r="G39" i="11"/>
  <c r="K38" i="11"/>
  <c r="L38" i="11" s="1"/>
  <c r="J38" i="11"/>
  <c r="R37" i="11"/>
  <c r="K37" i="11"/>
  <c r="V37" i="11" s="1"/>
  <c r="J37" i="11"/>
  <c r="K36" i="11"/>
  <c r="J36" i="11"/>
  <c r="G36" i="11"/>
  <c r="K35" i="11"/>
  <c r="L35" i="11" s="1"/>
  <c r="J35" i="11"/>
  <c r="R34" i="11"/>
  <c r="K34" i="11"/>
  <c r="V34" i="11" s="1"/>
  <c r="J34" i="11"/>
  <c r="K33" i="11"/>
  <c r="J33" i="11"/>
  <c r="G33" i="11"/>
  <c r="K32" i="11"/>
  <c r="L32" i="11" s="1"/>
  <c r="J32" i="11"/>
  <c r="R31" i="11"/>
  <c r="K31" i="11"/>
  <c r="V31" i="11" s="1"/>
  <c r="J31" i="11"/>
  <c r="K30" i="11"/>
  <c r="J30" i="11"/>
  <c r="G30" i="11"/>
  <c r="K29" i="11"/>
  <c r="L29" i="11" s="1"/>
  <c r="J29" i="11"/>
  <c r="R28" i="11"/>
  <c r="K28" i="11"/>
  <c r="V28" i="11" s="1"/>
  <c r="J28" i="11"/>
  <c r="G28" i="11"/>
  <c r="K27" i="11"/>
  <c r="J27" i="11"/>
  <c r="G27" i="11"/>
  <c r="J26" i="11"/>
  <c r="R25" i="11"/>
  <c r="K25" i="11"/>
  <c r="J25" i="11"/>
  <c r="G25" i="11"/>
  <c r="K24" i="11"/>
  <c r="J24" i="11"/>
  <c r="G24" i="11"/>
  <c r="K23" i="11"/>
  <c r="L23" i="11" s="1"/>
  <c r="J23" i="11"/>
  <c r="R22" i="11"/>
  <c r="K22" i="11"/>
  <c r="J22" i="11"/>
  <c r="G22" i="11"/>
  <c r="K21" i="11"/>
  <c r="J21" i="11"/>
  <c r="G21" i="11"/>
  <c r="K20" i="11"/>
  <c r="J20" i="11"/>
  <c r="L20" i="11" s="1"/>
  <c r="R19" i="11"/>
  <c r="K19" i="11"/>
  <c r="J19" i="11"/>
  <c r="G19" i="11"/>
  <c r="K18" i="11"/>
  <c r="J18" i="11"/>
  <c r="G18" i="11"/>
  <c r="R17" i="11"/>
  <c r="R59" i="11" s="1"/>
  <c r="U59" i="11" s="1"/>
  <c r="H17" i="11"/>
  <c r="H60" i="11" s="1"/>
  <c r="G17" i="11"/>
  <c r="H20" i="11" s="1"/>
  <c r="D15" i="11"/>
  <c r="G59" i="11" s="1"/>
  <c r="P10" i="11"/>
  <c r="P8" i="11"/>
  <c r="P1" i="11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Q61" i="10"/>
  <c r="F61" i="10"/>
  <c r="E61" i="10"/>
  <c r="P10" i="10" s="1"/>
  <c r="K60" i="10"/>
  <c r="J60" i="10"/>
  <c r="K59" i="10"/>
  <c r="J59" i="10"/>
  <c r="L59" i="10" s="1"/>
  <c r="K58" i="10"/>
  <c r="J58" i="10"/>
  <c r="L58" i="10" s="1"/>
  <c r="G58" i="10"/>
  <c r="K57" i="10"/>
  <c r="J57" i="10"/>
  <c r="K56" i="10"/>
  <c r="J56" i="10"/>
  <c r="L56" i="10" s="1"/>
  <c r="R55" i="10"/>
  <c r="K55" i="10"/>
  <c r="J55" i="10"/>
  <c r="L55" i="10" s="1"/>
  <c r="G55" i="10"/>
  <c r="K54" i="10"/>
  <c r="J54" i="10"/>
  <c r="K53" i="10"/>
  <c r="J53" i="10"/>
  <c r="L53" i="10" s="1"/>
  <c r="K52" i="10"/>
  <c r="J52" i="10"/>
  <c r="K51" i="10"/>
  <c r="J51" i="10"/>
  <c r="K50" i="10"/>
  <c r="J50" i="10"/>
  <c r="K49" i="10"/>
  <c r="J49" i="10"/>
  <c r="L49" i="10" s="1"/>
  <c r="K48" i="10"/>
  <c r="J48" i="10"/>
  <c r="K47" i="10"/>
  <c r="J47" i="10"/>
  <c r="R46" i="10"/>
  <c r="K46" i="10"/>
  <c r="J46" i="10"/>
  <c r="K45" i="10"/>
  <c r="J45" i="10"/>
  <c r="K44" i="10"/>
  <c r="J44" i="10"/>
  <c r="K43" i="10"/>
  <c r="J43" i="10"/>
  <c r="J42" i="10"/>
  <c r="K41" i="10"/>
  <c r="J41" i="10"/>
  <c r="K40" i="10"/>
  <c r="J40" i="10"/>
  <c r="K39" i="10"/>
  <c r="J39" i="10"/>
  <c r="K38" i="10"/>
  <c r="J38" i="10"/>
  <c r="R37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R28" i="10"/>
  <c r="K28" i="10"/>
  <c r="J28" i="10"/>
  <c r="K27" i="10"/>
  <c r="L27" i="10" s="1"/>
  <c r="J27" i="10"/>
  <c r="J26" i="10"/>
  <c r="J25" i="10"/>
  <c r="K24" i="10"/>
  <c r="J24" i="10"/>
  <c r="K23" i="10"/>
  <c r="J23" i="10"/>
  <c r="R22" i="10"/>
  <c r="K22" i="10"/>
  <c r="J22" i="10"/>
  <c r="R21" i="10"/>
  <c r="K21" i="10"/>
  <c r="J21" i="10"/>
  <c r="K20" i="10"/>
  <c r="J20" i="10"/>
  <c r="R19" i="10"/>
  <c r="K19" i="10"/>
  <c r="J19" i="10"/>
  <c r="R18" i="10"/>
  <c r="K18" i="10"/>
  <c r="J18" i="10"/>
  <c r="L18" i="10" s="1"/>
  <c r="T18" i="10" s="1"/>
  <c r="R17" i="10"/>
  <c r="H17" i="10"/>
  <c r="H56" i="10" s="1"/>
  <c r="G17" i="10"/>
  <c r="H53" i="10" s="1"/>
  <c r="D15" i="10"/>
  <c r="G59" i="10" s="1"/>
  <c r="P1" i="10"/>
  <c r="P8" i="10" s="1"/>
  <c r="Q61" i="9"/>
  <c r="F61" i="9"/>
  <c r="E61" i="9"/>
  <c r="P10" i="9" s="1"/>
  <c r="K60" i="9"/>
  <c r="J60" i="9"/>
  <c r="K59" i="9"/>
  <c r="J59" i="9"/>
  <c r="L59" i="9" s="1"/>
  <c r="H59" i="9"/>
  <c r="K58" i="9"/>
  <c r="L58" i="9" s="1"/>
  <c r="J58" i="9"/>
  <c r="G58" i="9"/>
  <c r="K57" i="9"/>
  <c r="J57" i="9"/>
  <c r="K56" i="9"/>
  <c r="J56" i="9"/>
  <c r="L56" i="9" s="1"/>
  <c r="K55" i="9"/>
  <c r="J55" i="9"/>
  <c r="L55" i="9" s="1"/>
  <c r="G55" i="9"/>
  <c r="K54" i="9"/>
  <c r="J54" i="9"/>
  <c r="K53" i="9"/>
  <c r="J53" i="9"/>
  <c r="H53" i="9"/>
  <c r="K52" i="9"/>
  <c r="J52" i="9"/>
  <c r="G52" i="9"/>
  <c r="K51" i="9"/>
  <c r="J51" i="9"/>
  <c r="K50" i="9"/>
  <c r="J50" i="9"/>
  <c r="L50" i="9" s="1"/>
  <c r="H50" i="9"/>
  <c r="K49" i="9"/>
  <c r="J49" i="9"/>
  <c r="G49" i="9"/>
  <c r="K48" i="9"/>
  <c r="J48" i="9"/>
  <c r="K47" i="9"/>
  <c r="J47" i="9"/>
  <c r="L47" i="9" s="1"/>
  <c r="K46" i="9"/>
  <c r="J46" i="9"/>
  <c r="G46" i="9"/>
  <c r="K45" i="9"/>
  <c r="J45" i="9"/>
  <c r="K44" i="9"/>
  <c r="J44" i="9"/>
  <c r="L44" i="9" s="1"/>
  <c r="H44" i="9"/>
  <c r="K43" i="9"/>
  <c r="J43" i="9"/>
  <c r="L43" i="9" s="1"/>
  <c r="G43" i="9"/>
  <c r="J42" i="9"/>
  <c r="K41" i="9"/>
  <c r="J41" i="9"/>
  <c r="H41" i="9"/>
  <c r="K40" i="9"/>
  <c r="J40" i="9"/>
  <c r="G40" i="9"/>
  <c r="K39" i="9"/>
  <c r="J39" i="9"/>
  <c r="K38" i="9"/>
  <c r="J38" i="9"/>
  <c r="L38" i="9" s="1"/>
  <c r="K37" i="9"/>
  <c r="J37" i="9"/>
  <c r="G37" i="9"/>
  <c r="K36" i="9"/>
  <c r="J36" i="9"/>
  <c r="K35" i="9"/>
  <c r="J35" i="9"/>
  <c r="H35" i="9"/>
  <c r="K34" i="9"/>
  <c r="J34" i="9"/>
  <c r="G34" i="9"/>
  <c r="K33" i="9"/>
  <c r="J33" i="9"/>
  <c r="K32" i="9"/>
  <c r="J32" i="9"/>
  <c r="L32" i="9" s="1"/>
  <c r="H32" i="9"/>
  <c r="K31" i="9"/>
  <c r="J31" i="9"/>
  <c r="L31" i="9" s="1"/>
  <c r="G31" i="9"/>
  <c r="K30" i="9"/>
  <c r="J30" i="9"/>
  <c r="K29" i="9"/>
  <c r="J29" i="9"/>
  <c r="L29" i="9" s="1"/>
  <c r="R28" i="9"/>
  <c r="K28" i="9"/>
  <c r="J28" i="9"/>
  <c r="L28" i="9" s="1"/>
  <c r="G28" i="9"/>
  <c r="K27" i="9"/>
  <c r="J27" i="9"/>
  <c r="L27" i="9" s="1"/>
  <c r="J26" i="9"/>
  <c r="H26" i="9"/>
  <c r="K25" i="9"/>
  <c r="J25" i="9"/>
  <c r="H25" i="9"/>
  <c r="G25" i="9"/>
  <c r="K24" i="9"/>
  <c r="J24" i="9"/>
  <c r="K23" i="9"/>
  <c r="J23" i="9"/>
  <c r="H23" i="9"/>
  <c r="K22" i="9"/>
  <c r="J22" i="9"/>
  <c r="H22" i="9"/>
  <c r="G22" i="9"/>
  <c r="K21" i="9"/>
  <c r="J21" i="9"/>
  <c r="K20" i="9"/>
  <c r="J20" i="9"/>
  <c r="H20" i="9"/>
  <c r="K19" i="9"/>
  <c r="L19" i="9" s="1"/>
  <c r="J19" i="9"/>
  <c r="H19" i="9"/>
  <c r="G19" i="9"/>
  <c r="K18" i="9"/>
  <c r="J18" i="9"/>
  <c r="R17" i="9"/>
  <c r="R46" i="9" s="1"/>
  <c r="H17" i="9"/>
  <c r="H56" i="9" s="1"/>
  <c r="G17" i="9"/>
  <c r="D15" i="9"/>
  <c r="G59" i="9" s="1"/>
  <c r="P1" i="9"/>
  <c r="P8" i="9" s="1"/>
  <c r="Q61" i="8"/>
  <c r="F61" i="8"/>
  <c r="E61" i="8"/>
  <c r="K60" i="8"/>
  <c r="J60" i="8"/>
  <c r="H60" i="8"/>
  <c r="R59" i="8"/>
  <c r="L59" i="8"/>
  <c r="K59" i="8"/>
  <c r="J59" i="8"/>
  <c r="V58" i="8"/>
  <c r="U58" i="8"/>
  <c r="R58" i="8"/>
  <c r="K58" i="8"/>
  <c r="J58" i="8"/>
  <c r="K57" i="8"/>
  <c r="J57" i="8"/>
  <c r="L57" i="8" s="1"/>
  <c r="H57" i="8"/>
  <c r="R56" i="8"/>
  <c r="L56" i="8"/>
  <c r="T56" i="8" s="1"/>
  <c r="S56" i="8" s="1"/>
  <c r="K56" i="8"/>
  <c r="J56" i="8"/>
  <c r="U55" i="8"/>
  <c r="R55" i="8"/>
  <c r="K55" i="8"/>
  <c r="L55" i="8" s="1"/>
  <c r="T55" i="8" s="1"/>
  <c r="S55" i="8" s="1"/>
  <c r="J55" i="8"/>
  <c r="K54" i="8"/>
  <c r="J54" i="8"/>
  <c r="L54" i="8" s="1"/>
  <c r="H54" i="8"/>
  <c r="R53" i="8"/>
  <c r="L53" i="8"/>
  <c r="K53" i="8"/>
  <c r="J53" i="8"/>
  <c r="V52" i="8"/>
  <c r="U52" i="8"/>
  <c r="R52" i="8"/>
  <c r="L52" i="8"/>
  <c r="T52" i="8" s="1"/>
  <c r="S52" i="8" s="1"/>
  <c r="K52" i="8"/>
  <c r="J52" i="8"/>
  <c r="K51" i="8"/>
  <c r="J51" i="8"/>
  <c r="L51" i="8" s="1"/>
  <c r="H51" i="8"/>
  <c r="S50" i="8"/>
  <c r="R50" i="8"/>
  <c r="L50" i="8"/>
  <c r="T50" i="8" s="1"/>
  <c r="K50" i="8"/>
  <c r="J50" i="8"/>
  <c r="V49" i="8"/>
  <c r="R49" i="8"/>
  <c r="K49" i="8"/>
  <c r="J49" i="8"/>
  <c r="U49" i="8" s="1"/>
  <c r="K48" i="8"/>
  <c r="J48" i="8"/>
  <c r="L48" i="8" s="1"/>
  <c r="H48" i="8"/>
  <c r="R47" i="8"/>
  <c r="L47" i="8"/>
  <c r="K47" i="8"/>
  <c r="J47" i="8"/>
  <c r="R46" i="8"/>
  <c r="K46" i="8"/>
  <c r="V46" i="8" s="1"/>
  <c r="J46" i="8"/>
  <c r="K45" i="8"/>
  <c r="J45" i="8"/>
  <c r="L45" i="8" s="1"/>
  <c r="H45" i="8"/>
  <c r="R44" i="8"/>
  <c r="L44" i="8"/>
  <c r="K44" i="8"/>
  <c r="J44" i="8"/>
  <c r="R43" i="8"/>
  <c r="K43" i="8"/>
  <c r="V43" i="8" s="1"/>
  <c r="J43" i="8"/>
  <c r="J42" i="8"/>
  <c r="H42" i="8"/>
  <c r="R41" i="8"/>
  <c r="K41" i="8"/>
  <c r="J41" i="8"/>
  <c r="R40" i="8"/>
  <c r="K40" i="8"/>
  <c r="J40" i="8"/>
  <c r="K39" i="8"/>
  <c r="J39" i="8"/>
  <c r="L39" i="8" s="1"/>
  <c r="H39" i="8"/>
  <c r="R38" i="8"/>
  <c r="K38" i="8"/>
  <c r="J38" i="8"/>
  <c r="R37" i="8"/>
  <c r="K37" i="8"/>
  <c r="V37" i="8" s="1"/>
  <c r="J37" i="8"/>
  <c r="K36" i="8"/>
  <c r="J36" i="8"/>
  <c r="L36" i="8" s="1"/>
  <c r="H36" i="8"/>
  <c r="R35" i="8"/>
  <c r="K35" i="8"/>
  <c r="L35" i="8" s="1"/>
  <c r="T35" i="8" s="1"/>
  <c r="S35" i="8" s="1"/>
  <c r="J35" i="8"/>
  <c r="R34" i="8"/>
  <c r="K34" i="8"/>
  <c r="J34" i="8"/>
  <c r="K33" i="8"/>
  <c r="J33" i="8"/>
  <c r="H33" i="8"/>
  <c r="R32" i="8"/>
  <c r="K32" i="8"/>
  <c r="L32" i="8" s="1"/>
  <c r="J32" i="8"/>
  <c r="R31" i="8"/>
  <c r="K31" i="8"/>
  <c r="V31" i="8" s="1"/>
  <c r="J31" i="8"/>
  <c r="K30" i="8"/>
  <c r="J30" i="8"/>
  <c r="H30" i="8"/>
  <c r="R29" i="8"/>
  <c r="K29" i="8"/>
  <c r="J29" i="8"/>
  <c r="R28" i="8"/>
  <c r="K28" i="8"/>
  <c r="V28" i="8" s="1"/>
  <c r="J28" i="8"/>
  <c r="K27" i="8"/>
  <c r="J27" i="8"/>
  <c r="L27" i="8" s="1"/>
  <c r="H27" i="8"/>
  <c r="R26" i="8"/>
  <c r="J26" i="8"/>
  <c r="R25" i="8"/>
  <c r="K25" i="8"/>
  <c r="V25" i="8" s="1"/>
  <c r="J25" i="8"/>
  <c r="U25" i="8" s="1"/>
  <c r="K24" i="8"/>
  <c r="J24" i="8"/>
  <c r="H24" i="8"/>
  <c r="R23" i="8"/>
  <c r="K23" i="8"/>
  <c r="J23" i="8"/>
  <c r="L23" i="8" s="1"/>
  <c r="R22" i="8"/>
  <c r="K22" i="8"/>
  <c r="J22" i="8"/>
  <c r="K21" i="8"/>
  <c r="J21" i="8"/>
  <c r="L21" i="8" s="1"/>
  <c r="H21" i="8"/>
  <c r="R20" i="8"/>
  <c r="K20" i="8"/>
  <c r="J20" i="8"/>
  <c r="R19" i="8"/>
  <c r="K19" i="8"/>
  <c r="J19" i="8"/>
  <c r="K18" i="8"/>
  <c r="J18" i="8"/>
  <c r="H18" i="8"/>
  <c r="R17" i="8"/>
  <c r="R60" i="8" s="1"/>
  <c r="H17" i="8"/>
  <c r="H58" i="8" s="1"/>
  <c r="G17" i="8"/>
  <c r="H53" i="8" s="1"/>
  <c r="D15" i="8"/>
  <c r="G39" i="8" s="1"/>
  <c r="P10" i="8"/>
  <c r="P8" i="8"/>
  <c r="P1" i="8"/>
  <c r="Q61" i="7"/>
  <c r="F61" i="7"/>
  <c r="E61" i="7"/>
  <c r="K60" i="7"/>
  <c r="J60" i="7"/>
  <c r="L60" i="7" s="1"/>
  <c r="G60" i="7"/>
  <c r="K59" i="7"/>
  <c r="L59" i="7" s="1"/>
  <c r="T59" i="7" s="1"/>
  <c r="S59" i="7" s="1"/>
  <c r="J59" i="7"/>
  <c r="K58" i="7"/>
  <c r="J58" i="7"/>
  <c r="L58" i="7" s="1"/>
  <c r="K57" i="7"/>
  <c r="J57" i="7"/>
  <c r="G57" i="7"/>
  <c r="K56" i="7"/>
  <c r="L56" i="7" s="1"/>
  <c r="J56" i="7"/>
  <c r="K55" i="7"/>
  <c r="J55" i="7"/>
  <c r="K54" i="7"/>
  <c r="J54" i="7"/>
  <c r="G54" i="7"/>
  <c r="K53" i="7"/>
  <c r="L53" i="7" s="1"/>
  <c r="J53" i="7"/>
  <c r="K52" i="7"/>
  <c r="J52" i="7"/>
  <c r="K51" i="7"/>
  <c r="J51" i="7"/>
  <c r="L51" i="7" s="1"/>
  <c r="G51" i="7"/>
  <c r="K50" i="7"/>
  <c r="L50" i="7" s="1"/>
  <c r="J50" i="7"/>
  <c r="K49" i="7"/>
  <c r="J49" i="7"/>
  <c r="K48" i="7"/>
  <c r="J48" i="7"/>
  <c r="G48" i="7"/>
  <c r="K47" i="7"/>
  <c r="J47" i="7"/>
  <c r="K46" i="7"/>
  <c r="J46" i="7"/>
  <c r="L46" i="7" s="1"/>
  <c r="K45" i="7"/>
  <c r="J45" i="7"/>
  <c r="G45" i="7"/>
  <c r="K44" i="7"/>
  <c r="L44" i="7" s="1"/>
  <c r="J44" i="7"/>
  <c r="K43" i="7"/>
  <c r="J43" i="7"/>
  <c r="J42" i="7"/>
  <c r="G42" i="7"/>
  <c r="K41" i="7"/>
  <c r="J41" i="7"/>
  <c r="L41" i="7" s="1"/>
  <c r="K40" i="7"/>
  <c r="J40" i="7"/>
  <c r="K39" i="7"/>
  <c r="J39" i="7"/>
  <c r="G39" i="7"/>
  <c r="K38" i="7"/>
  <c r="L38" i="7" s="1"/>
  <c r="J38" i="7"/>
  <c r="K37" i="7"/>
  <c r="J37" i="7"/>
  <c r="K36" i="7"/>
  <c r="J36" i="7"/>
  <c r="G36" i="7"/>
  <c r="K35" i="7"/>
  <c r="L35" i="7" s="1"/>
  <c r="J35" i="7"/>
  <c r="K34" i="7"/>
  <c r="J34" i="7"/>
  <c r="K33" i="7"/>
  <c r="J33" i="7"/>
  <c r="H33" i="7"/>
  <c r="G33" i="7"/>
  <c r="R32" i="7"/>
  <c r="K32" i="7"/>
  <c r="J32" i="7"/>
  <c r="K31" i="7"/>
  <c r="J31" i="7"/>
  <c r="K30" i="7"/>
  <c r="J30" i="7"/>
  <c r="L30" i="7" s="1"/>
  <c r="H30" i="7"/>
  <c r="G30" i="7"/>
  <c r="R29" i="7"/>
  <c r="K29" i="7"/>
  <c r="J29" i="7"/>
  <c r="K28" i="7"/>
  <c r="J28" i="7"/>
  <c r="K27" i="7"/>
  <c r="J27" i="7"/>
  <c r="H27" i="7"/>
  <c r="G27" i="7"/>
  <c r="R26" i="7"/>
  <c r="K26" i="7" s="1"/>
  <c r="J26" i="7"/>
  <c r="K25" i="7"/>
  <c r="J25" i="7"/>
  <c r="L25" i="7" s="1"/>
  <c r="K24" i="7"/>
  <c r="J24" i="7"/>
  <c r="H24" i="7"/>
  <c r="G24" i="7"/>
  <c r="R23" i="7"/>
  <c r="K23" i="7"/>
  <c r="V23" i="7" s="1"/>
  <c r="J23" i="7"/>
  <c r="K22" i="7"/>
  <c r="J22" i="7"/>
  <c r="K21" i="7"/>
  <c r="J21" i="7"/>
  <c r="L21" i="7" s="1"/>
  <c r="H21" i="7"/>
  <c r="G21" i="7"/>
  <c r="R20" i="7"/>
  <c r="K20" i="7"/>
  <c r="J20" i="7"/>
  <c r="L20" i="7" s="1"/>
  <c r="T20" i="7" s="1"/>
  <c r="S20" i="7" s="1"/>
  <c r="K19" i="7"/>
  <c r="J19" i="7"/>
  <c r="K18" i="7"/>
  <c r="J18" i="7"/>
  <c r="H18" i="7"/>
  <c r="G18" i="7"/>
  <c r="R17" i="7"/>
  <c r="R59" i="7" s="1"/>
  <c r="H17" i="7"/>
  <c r="H60" i="7" s="1"/>
  <c r="G17" i="7"/>
  <c r="D15" i="7"/>
  <c r="G59" i="7" s="1"/>
  <c r="P10" i="7"/>
  <c r="P8" i="7"/>
  <c r="P1" i="7"/>
  <c r="L61" i="1"/>
  <c r="K61" i="1"/>
  <c r="L60" i="1"/>
  <c r="K60" i="1"/>
  <c r="L59" i="1"/>
  <c r="K59" i="1"/>
  <c r="L58" i="1"/>
  <c r="K58" i="1"/>
  <c r="K46" i="1"/>
  <c r="K47" i="1"/>
  <c r="K48" i="1"/>
  <c r="K49" i="1"/>
  <c r="K50" i="1"/>
  <c r="K51" i="1"/>
  <c r="K52" i="1"/>
  <c r="K53" i="1"/>
  <c r="K54" i="1"/>
  <c r="K55" i="1"/>
  <c r="K56" i="1"/>
  <c r="L56" i="1"/>
  <c r="K57" i="1"/>
  <c r="L57" i="1"/>
  <c r="M57" i="1" s="1"/>
  <c r="G62" i="1"/>
  <c r="K39" i="1"/>
  <c r="K40" i="1"/>
  <c r="K41" i="1"/>
  <c r="K42" i="1"/>
  <c r="K43" i="1"/>
  <c r="K44" i="1"/>
  <c r="K45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I18" i="1"/>
  <c r="P1" i="1"/>
  <c r="P8" i="1" s="1"/>
  <c r="L31" i="22" l="1"/>
  <c r="U43" i="30"/>
  <c r="L43" i="30"/>
  <c r="T43" i="30" s="1"/>
  <c r="S43" i="30" s="1"/>
  <c r="L43" i="23"/>
  <c r="T43" i="23" s="1"/>
  <c r="S43" i="23" s="1"/>
  <c r="U37" i="51"/>
  <c r="L37" i="51"/>
  <c r="T37" i="51" s="1"/>
  <c r="S37" i="51" s="1"/>
  <c r="L36" i="7"/>
  <c r="L25" i="40"/>
  <c r="T25" i="40" s="1"/>
  <c r="S25" i="40" s="1"/>
  <c r="L25" i="17"/>
  <c r="T25" i="17" s="1"/>
  <c r="S25" i="17" s="1"/>
  <c r="L60" i="51"/>
  <c r="V59" i="51"/>
  <c r="T59" i="51"/>
  <c r="S59" i="51" s="1"/>
  <c r="U59" i="51"/>
  <c r="H26" i="51"/>
  <c r="H29" i="51"/>
  <c r="H32" i="51"/>
  <c r="H41" i="51"/>
  <c r="H47" i="51"/>
  <c r="H50" i="51"/>
  <c r="L18" i="51"/>
  <c r="L21" i="51"/>
  <c r="L24" i="51"/>
  <c r="L27" i="51"/>
  <c r="L30" i="51"/>
  <c r="L33" i="51"/>
  <c r="L36" i="51"/>
  <c r="L39" i="51"/>
  <c r="L42" i="51"/>
  <c r="L45" i="51"/>
  <c r="L48" i="51"/>
  <c r="L51" i="51"/>
  <c r="L54" i="51"/>
  <c r="L57" i="51"/>
  <c r="H20" i="51"/>
  <c r="H23" i="51"/>
  <c r="H35" i="51"/>
  <c r="H38" i="51"/>
  <c r="H44" i="51"/>
  <c r="H53" i="51"/>
  <c r="H56" i="51"/>
  <c r="R18" i="51"/>
  <c r="V18" i="51" s="1"/>
  <c r="H19" i="51"/>
  <c r="R21" i="51"/>
  <c r="V21" i="51" s="1"/>
  <c r="H22" i="51"/>
  <c r="R24" i="51"/>
  <c r="V24" i="51" s="1"/>
  <c r="H25" i="51"/>
  <c r="R27" i="51"/>
  <c r="V27" i="51" s="1"/>
  <c r="H28" i="51"/>
  <c r="R30" i="51"/>
  <c r="V30" i="51" s="1"/>
  <c r="H31" i="51"/>
  <c r="R33" i="51"/>
  <c r="U33" i="51" s="1"/>
  <c r="H34" i="51"/>
  <c r="R36" i="51"/>
  <c r="V36" i="51" s="1"/>
  <c r="H37" i="51"/>
  <c r="R39" i="51"/>
  <c r="U39" i="51" s="1"/>
  <c r="H40" i="51"/>
  <c r="R42" i="51"/>
  <c r="U42" i="51" s="1"/>
  <c r="H43" i="51"/>
  <c r="R45" i="51"/>
  <c r="U45" i="51" s="1"/>
  <c r="H46" i="51"/>
  <c r="R48" i="51"/>
  <c r="V48" i="51" s="1"/>
  <c r="H49" i="51"/>
  <c r="R51" i="51"/>
  <c r="V51" i="51" s="1"/>
  <c r="H52" i="51"/>
  <c r="R54" i="51"/>
  <c r="U54" i="51" s="1"/>
  <c r="H55" i="51"/>
  <c r="R57" i="51"/>
  <c r="V57" i="51" s="1"/>
  <c r="H58" i="51"/>
  <c r="R60" i="51"/>
  <c r="U60" i="51" s="1"/>
  <c r="H18" i="51"/>
  <c r="R20" i="51"/>
  <c r="H21" i="51"/>
  <c r="R23" i="51"/>
  <c r="H24" i="51"/>
  <c r="R26" i="51"/>
  <c r="K26" i="51" s="1"/>
  <c r="K61" i="51" s="1"/>
  <c r="H27" i="51"/>
  <c r="R29" i="51"/>
  <c r="V29" i="51" s="1"/>
  <c r="H30" i="51"/>
  <c r="R32" i="51"/>
  <c r="H33" i="51"/>
  <c r="R35" i="51"/>
  <c r="V35" i="51" s="1"/>
  <c r="H36" i="51"/>
  <c r="R38" i="51"/>
  <c r="H39" i="51"/>
  <c r="R41" i="51"/>
  <c r="H42" i="51"/>
  <c r="R44" i="51"/>
  <c r="V44" i="51" s="1"/>
  <c r="H45" i="51"/>
  <c r="R47" i="51"/>
  <c r="H48" i="51"/>
  <c r="R50" i="51"/>
  <c r="H51" i="51"/>
  <c r="R53" i="51"/>
  <c r="H54" i="51"/>
  <c r="R56" i="51"/>
  <c r="V56" i="51" s="1"/>
  <c r="H57" i="51"/>
  <c r="G20" i="51"/>
  <c r="G61" i="51" s="1"/>
  <c r="G23" i="51"/>
  <c r="G26" i="51"/>
  <c r="G29" i="51"/>
  <c r="G32" i="51"/>
  <c r="G35" i="51"/>
  <c r="G38" i="51"/>
  <c r="G41" i="51"/>
  <c r="G44" i="51"/>
  <c r="G47" i="51"/>
  <c r="G50" i="51"/>
  <c r="G53" i="51"/>
  <c r="G56" i="51"/>
  <c r="V20" i="50"/>
  <c r="T39" i="50"/>
  <c r="S39" i="50" s="1"/>
  <c r="T57" i="50"/>
  <c r="S57" i="50" s="1"/>
  <c r="T59" i="50"/>
  <c r="S59" i="50" s="1"/>
  <c r="U39" i="50"/>
  <c r="T44" i="50"/>
  <c r="S44" i="50" s="1"/>
  <c r="U57" i="50"/>
  <c r="T24" i="50"/>
  <c r="S24" i="50" s="1"/>
  <c r="T29" i="50"/>
  <c r="S29" i="50" s="1"/>
  <c r="U24" i="50"/>
  <c r="U27" i="50"/>
  <c r="T35" i="50"/>
  <c r="S35" i="50" s="1"/>
  <c r="U45" i="50"/>
  <c r="V35" i="50"/>
  <c r="T51" i="50"/>
  <c r="S51" i="50" s="1"/>
  <c r="T53" i="50"/>
  <c r="S53" i="50" s="1"/>
  <c r="L25" i="50"/>
  <c r="T25" i="50" s="1"/>
  <c r="S25" i="50" s="1"/>
  <c r="V25" i="50"/>
  <c r="U25" i="50"/>
  <c r="T36" i="50"/>
  <c r="S36" i="50" s="1"/>
  <c r="H23" i="50"/>
  <c r="V24" i="50"/>
  <c r="H35" i="50"/>
  <c r="H41" i="50"/>
  <c r="H56" i="50"/>
  <c r="K61" i="50"/>
  <c r="L18" i="50"/>
  <c r="G19" i="50"/>
  <c r="U20" i="50"/>
  <c r="G22" i="50"/>
  <c r="U23" i="50"/>
  <c r="G25" i="50"/>
  <c r="G28" i="50"/>
  <c r="U29" i="50"/>
  <c r="G31" i="50"/>
  <c r="U32" i="50"/>
  <c r="G34" i="50"/>
  <c r="U35" i="50"/>
  <c r="G37" i="50"/>
  <c r="G40" i="50"/>
  <c r="G43" i="50"/>
  <c r="U44" i="50"/>
  <c r="G46" i="50"/>
  <c r="G49" i="50"/>
  <c r="G52" i="50"/>
  <c r="U53" i="50"/>
  <c r="G55" i="50"/>
  <c r="G58" i="50"/>
  <c r="U59" i="50"/>
  <c r="H20" i="50"/>
  <c r="H26" i="50"/>
  <c r="H29" i="50"/>
  <c r="V30" i="50"/>
  <c r="H53" i="50"/>
  <c r="H59" i="50"/>
  <c r="R18" i="50"/>
  <c r="U18" i="50" s="1"/>
  <c r="H19" i="50"/>
  <c r="R21" i="50"/>
  <c r="U21" i="50" s="1"/>
  <c r="H22" i="50"/>
  <c r="R24" i="50"/>
  <c r="H25" i="50"/>
  <c r="R27" i="50"/>
  <c r="T27" i="50" s="1"/>
  <c r="S27" i="50" s="1"/>
  <c r="H28" i="50"/>
  <c r="V29" i="50"/>
  <c r="R30" i="50"/>
  <c r="T30" i="50" s="1"/>
  <c r="S30" i="50" s="1"/>
  <c r="H31" i="50"/>
  <c r="R33" i="50"/>
  <c r="T33" i="50" s="1"/>
  <c r="S33" i="50" s="1"/>
  <c r="H34" i="50"/>
  <c r="R36" i="50"/>
  <c r="V36" i="50" s="1"/>
  <c r="H37" i="50"/>
  <c r="R39" i="50"/>
  <c r="H40" i="50"/>
  <c r="R42" i="50"/>
  <c r="T42" i="50" s="1"/>
  <c r="S42" i="50" s="1"/>
  <c r="H43" i="50"/>
  <c r="R45" i="50"/>
  <c r="T45" i="50" s="1"/>
  <c r="S45" i="50" s="1"/>
  <c r="H46" i="50"/>
  <c r="R48" i="50"/>
  <c r="U48" i="50" s="1"/>
  <c r="H49" i="50"/>
  <c r="R51" i="50"/>
  <c r="U51" i="50" s="1"/>
  <c r="H52" i="50"/>
  <c r="V53" i="50"/>
  <c r="R54" i="50"/>
  <c r="U54" i="50" s="1"/>
  <c r="H55" i="50"/>
  <c r="R57" i="50"/>
  <c r="H58" i="50"/>
  <c r="V59" i="50"/>
  <c r="R60" i="50"/>
  <c r="V60" i="50" s="1"/>
  <c r="H44" i="50"/>
  <c r="H50" i="50"/>
  <c r="V51" i="50"/>
  <c r="G18" i="50"/>
  <c r="U19" i="50"/>
  <c r="G21" i="50"/>
  <c r="U22" i="50"/>
  <c r="G24" i="50"/>
  <c r="G27" i="50"/>
  <c r="U28" i="50"/>
  <c r="G30" i="50"/>
  <c r="U31" i="50"/>
  <c r="G33" i="50"/>
  <c r="U34" i="50"/>
  <c r="G36" i="50"/>
  <c r="U37" i="50"/>
  <c r="G39" i="50"/>
  <c r="U40" i="50"/>
  <c r="G42" i="50"/>
  <c r="U43" i="50"/>
  <c r="G45" i="50"/>
  <c r="U46" i="50"/>
  <c r="G48" i="50"/>
  <c r="U49" i="50"/>
  <c r="G51" i="50"/>
  <c r="U52" i="50"/>
  <c r="G54" i="50"/>
  <c r="U55" i="50"/>
  <c r="G57" i="50"/>
  <c r="U58" i="50"/>
  <c r="G60" i="50"/>
  <c r="H38" i="50"/>
  <c r="V39" i="50"/>
  <c r="V42" i="50"/>
  <c r="H18" i="50"/>
  <c r="V19" i="50"/>
  <c r="R20" i="50"/>
  <c r="T20" i="50" s="1"/>
  <c r="S20" i="50" s="1"/>
  <c r="H21" i="50"/>
  <c r="R23" i="50"/>
  <c r="T23" i="50" s="1"/>
  <c r="S23" i="50" s="1"/>
  <c r="H24" i="50"/>
  <c r="R26" i="50"/>
  <c r="V26" i="50" s="1"/>
  <c r="H27" i="50"/>
  <c r="R29" i="50"/>
  <c r="H30" i="50"/>
  <c r="V31" i="50"/>
  <c r="R32" i="50"/>
  <c r="V32" i="50" s="1"/>
  <c r="H33" i="50"/>
  <c r="V34" i="50"/>
  <c r="R35" i="50"/>
  <c r="H36" i="50"/>
  <c r="R38" i="50"/>
  <c r="U38" i="50" s="1"/>
  <c r="H39" i="50"/>
  <c r="R41" i="50"/>
  <c r="V41" i="50" s="1"/>
  <c r="H42" i="50"/>
  <c r="R44" i="50"/>
  <c r="V44" i="50" s="1"/>
  <c r="H45" i="50"/>
  <c r="R47" i="50"/>
  <c r="T47" i="50" s="1"/>
  <c r="S47" i="50" s="1"/>
  <c r="H48" i="50"/>
  <c r="R50" i="50"/>
  <c r="T50" i="50" s="1"/>
  <c r="S50" i="50" s="1"/>
  <c r="H51" i="50"/>
  <c r="R53" i="50"/>
  <c r="H54" i="50"/>
  <c r="R56" i="50"/>
  <c r="T56" i="50" s="1"/>
  <c r="S56" i="50" s="1"/>
  <c r="H57" i="50"/>
  <c r="H32" i="50"/>
  <c r="V57" i="50"/>
  <c r="G20" i="50"/>
  <c r="G23" i="50"/>
  <c r="G26" i="50"/>
  <c r="G29" i="50"/>
  <c r="G32" i="50"/>
  <c r="G35" i="50"/>
  <c r="G38" i="50"/>
  <c r="G41" i="50"/>
  <c r="G44" i="50"/>
  <c r="G47" i="50"/>
  <c r="G50" i="50"/>
  <c r="G53" i="50"/>
  <c r="G56" i="50"/>
  <c r="T45" i="49"/>
  <c r="S45" i="49" s="1"/>
  <c r="U48" i="49"/>
  <c r="T39" i="49"/>
  <c r="S39" i="49" s="1"/>
  <c r="U60" i="49"/>
  <c r="L25" i="49"/>
  <c r="T25" i="49" s="1"/>
  <c r="S25" i="49" s="1"/>
  <c r="T51" i="49"/>
  <c r="S51" i="49" s="1"/>
  <c r="U24" i="49"/>
  <c r="T54" i="49"/>
  <c r="S54" i="49" s="1"/>
  <c r="U57" i="49"/>
  <c r="V25" i="49"/>
  <c r="U25" i="49"/>
  <c r="U33" i="49"/>
  <c r="T48" i="49"/>
  <c r="S48" i="49" s="1"/>
  <c r="H29" i="49"/>
  <c r="H35" i="49"/>
  <c r="H44" i="49"/>
  <c r="V57" i="49"/>
  <c r="K61" i="49"/>
  <c r="L18" i="49"/>
  <c r="G19" i="49"/>
  <c r="G61" i="49" s="1"/>
  <c r="U20" i="49"/>
  <c r="G22" i="49"/>
  <c r="U23" i="49"/>
  <c r="G25" i="49"/>
  <c r="U26" i="49"/>
  <c r="G28" i="49"/>
  <c r="U29" i="49"/>
  <c r="G31" i="49"/>
  <c r="U32" i="49"/>
  <c r="G34" i="49"/>
  <c r="U35" i="49"/>
  <c r="G37" i="49"/>
  <c r="U38" i="49"/>
  <c r="G40" i="49"/>
  <c r="U41" i="49"/>
  <c r="G43" i="49"/>
  <c r="U44" i="49"/>
  <c r="G46" i="49"/>
  <c r="U47" i="49"/>
  <c r="G49" i="49"/>
  <c r="U50" i="49"/>
  <c r="G52" i="49"/>
  <c r="U53" i="49"/>
  <c r="G55" i="49"/>
  <c r="U56" i="49"/>
  <c r="G58" i="49"/>
  <c r="U59" i="49"/>
  <c r="H20" i="49"/>
  <c r="H41" i="49"/>
  <c r="H59" i="49"/>
  <c r="V60" i="49"/>
  <c r="R18" i="49"/>
  <c r="H19" i="49"/>
  <c r="R21" i="49"/>
  <c r="U21" i="49" s="1"/>
  <c r="H22" i="49"/>
  <c r="R24" i="49"/>
  <c r="T24" i="49" s="1"/>
  <c r="S24" i="49" s="1"/>
  <c r="H25" i="49"/>
  <c r="R27" i="49"/>
  <c r="T27" i="49" s="1"/>
  <c r="S27" i="49" s="1"/>
  <c r="H28" i="49"/>
  <c r="R30" i="49"/>
  <c r="U30" i="49" s="1"/>
  <c r="H31" i="49"/>
  <c r="R33" i="49"/>
  <c r="T33" i="49" s="1"/>
  <c r="S33" i="49" s="1"/>
  <c r="H34" i="49"/>
  <c r="R36" i="49"/>
  <c r="V36" i="49" s="1"/>
  <c r="H37" i="49"/>
  <c r="R39" i="49"/>
  <c r="U39" i="49" s="1"/>
  <c r="H40" i="49"/>
  <c r="R42" i="49"/>
  <c r="V42" i="49" s="1"/>
  <c r="H43" i="49"/>
  <c r="R45" i="49"/>
  <c r="U45" i="49" s="1"/>
  <c r="H46" i="49"/>
  <c r="R48" i="49"/>
  <c r="H49" i="49"/>
  <c r="R51" i="49"/>
  <c r="U51" i="49" s="1"/>
  <c r="H52" i="49"/>
  <c r="R54" i="49"/>
  <c r="U54" i="49" s="1"/>
  <c r="H55" i="49"/>
  <c r="R57" i="49"/>
  <c r="T57" i="49" s="1"/>
  <c r="S57" i="49" s="1"/>
  <c r="V30" i="49"/>
  <c r="H32" i="49"/>
  <c r="V45" i="49"/>
  <c r="H56" i="49"/>
  <c r="U19" i="49"/>
  <c r="U22" i="49"/>
  <c r="U28" i="49"/>
  <c r="U31" i="49"/>
  <c r="U34" i="49"/>
  <c r="U37" i="49"/>
  <c r="U40" i="49"/>
  <c r="U43" i="49"/>
  <c r="U46" i="49"/>
  <c r="U49" i="49"/>
  <c r="U52" i="49"/>
  <c r="U55" i="49"/>
  <c r="U58" i="49"/>
  <c r="V21" i="49"/>
  <c r="H23" i="49"/>
  <c r="H26" i="49"/>
  <c r="H38" i="49"/>
  <c r="H47" i="49"/>
  <c r="V48" i="49"/>
  <c r="H50" i="49"/>
  <c r="H53" i="49"/>
  <c r="H18" i="49"/>
  <c r="H61" i="49" s="1"/>
  <c r="P2" i="49" s="1"/>
  <c r="H21" i="49"/>
  <c r="H24" i="49"/>
  <c r="H27" i="49"/>
  <c r="H30" i="49"/>
  <c r="H33" i="49"/>
  <c r="H36" i="49"/>
  <c r="H39" i="49"/>
  <c r="H42" i="49"/>
  <c r="H45" i="49"/>
  <c r="H48" i="49"/>
  <c r="H51" i="49"/>
  <c r="H54" i="49"/>
  <c r="H57" i="49"/>
  <c r="G20" i="49"/>
  <c r="G23" i="49"/>
  <c r="G26" i="49"/>
  <c r="G29" i="49"/>
  <c r="G32" i="49"/>
  <c r="G35" i="49"/>
  <c r="G38" i="49"/>
  <c r="G41" i="49"/>
  <c r="G44" i="49"/>
  <c r="G47" i="49"/>
  <c r="G50" i="49"/>
  <c r="G53" i="49"/>
  <c r="G56" i="49"/>
  <c r="T60" i="48"/>
  <c r="S60" i="48" s="1"/>
  <c r="V58" i="48"/>
  <c r="V37" i="48"/>
  <c r="V60" i="48"/>
  <c r="V22" i="48"/>
  <c r="T30" i="48"/>
  <c r="S30" i="48" s="1"/>
  <c r="T34" i="48"/>
  <c r="S34" i="48" s="1"/>
  <c r="T48" i="48"/>
  <c r="S48" i="48" s="1"/>
  <c r="T52" i="48"/>
  <c r="S52" i="48" s="1"/>
  <c r="T57" i="48"/>
  <c r="S57" i="48" s="1"/>
  <c r="V30" i="48"/>
  <c r="V34" i="48"/>
  <c r="V39" i="48"/>
  <c r="V43" i="48"/>
  <c r="V57" i="48"/>
  <c r="V54" i="48"/>
  <c r="T36" i="48"/>
  <c r="S36" i="48" s="1"/>
  <c r="T40" i="48"/>
  <c r="S40" i="48" s="1"/>
  <c r="G20" i="48"/>
  <c r="G23" i="48"/>
  <c r="G35" i="48"/>
  <c r="G47" i="48"/>
  <c r="G59" i="48"/>
  <c r="R19" i="48"/>
  <c r="U19" i="48" s="1"/>
  <c r="H20" i="48"/>
  <c r="R22" i="48"/>
  <c r="U22" i="48" s="1"/>
  <c r="H23" i="48"/>
  <c r="R25" i="48"/>
  <c r="K25" i="48" s="1"/>
  <c r="K61" i="48" s="1"/>
  <c r="H26" i="48"/>
  <c r="R28" i="48"/>
  <c r="U28" i="48" s="1"/>
  <c r="H29" i="48"/>
  <c r="R31" i="48"/>
  <c r="U31" i="48" s="1"/>
  <c r="H32" i="48"/>
  <c r="R34" i="48"/>
  <c r="U34" i="48" s="1"/>
  <c r="H35" i="48"/>
  <c r="R37" i="48"/>
  <c r="U37" i="48" s="1"/>
  <c r="H38" i="48"/>
  <c r="R40" i="48"/>
  <c r="U40" i="48" s="1"/>
  <c r="H41" i="48"/>
  <c r="R43" i="48"/>
  <c r="U43" i="48" s="1"/>
  <c r="H44" i="48"/>
  <c r="R46" i="48"/>
  <c r="U46" i="48" s="1"/>
  <c r="H47" i="48"/>
  <c r="R49" i="48"/>
  <c r="U49" i="48" s="1"/>
  <c r="H50" i="48"/>
  <c r="R52" i="48"/>
  <c r="U52" i="48" s="1"/>
  <c r="H53" i="48"/>
  <c r="R55" i="48"/>
  <c r="U55" i="48" s="1"/>
  <c r="H56" i="48"/>
  <c r="H61" i="48" s="1"/>
  <c r="P2" i="48" s="1"/>
  <c r="R58" i="48"/>
  <c r="U58" i="48" s="1"/>
  <c r="H59" i="48"/>
  <c r="G26" i="48"/>
  <c r="G29" i="48"/>
  <c r="G32" i="48"/>
  <c r="G56" i="48"/>
  <c r="L18" i="48"/>
  <c r="G19" i="48"/>
  <c r="G61" i="48" s="1"/>
  <c r="U20" i="48"/>
  <c r="G22" i="48"/>
  <c r="U23" i="48"/>
  <c r="G25" i="48"/>
  <c r="U26" i="48"/>
  <c r="G28" i="48"/>
  <c r="U29" i="48"/>
  <c r="G31" i="48"/>
  <c r="U32" i="48"/>
  <c r="G34" i="48"/>
  <c r="U35" i="48"/>
  <c r="G37" i="48"/>
  <c r="U38" i="48"/>
  <c r="G40" i="48"/>
  <c r="U41" i="48"/>
  <c r="G43" i="48"/>
  <c r="U44" i="48"/>
  <c r="G46" i="48"/>
  <c r="U47" i="48"/>
  <c r="G49" i="48"/>
  <c r="U50" i="48"/>
  <c r="G52" i="48"/>
  <c r="U53" i="48"/>
  <c r="G55" i="48"/>
  <c r="U56" i="48"/>
  <c r="G58" i="48"/>
  <c r="U59" i="48"/>
  <c r="G38" i="48"/>
  <c r="G41" i="48"/>
  <c r="G44" i="48"/>
  <c r="G50" i="48"/>
  <c r="R18" i="48"/>
  <c r="R21" i="48"/>
  <c r="U21" i="48" s="1"/>
  <c r="R24" i="48"/>
  <c r="U24" i="48" s="1"/>
  <c r="H25" i="48"/>
  <c r="R27" i="48"/>
  <c r="U27" i="48" s="1"/>
  <c r="H28" i="48"/>
  <c r="R30" i="48"/>
  <c r="U30" i="48" s="1"/>
  <c r="H31" i="48"/>
  <c r="R33" i="48"/>
  <c r="U33" i="48" s="1"/>
  <c r="H34" i="48"/>
  <c r="R36" i="48"/>
  <c r="U36" i="48" s="1"/>
  <c r="H37" i="48"/>
  <c r="R39" i="48"/>
  <c r="U39" i="48" s="1"/>
  <c r="H40" i="48"/>
  <c r="R42" i="48"/>
  <c r="U42" i="48" s="1"/>
  <c r="H43" i="48"/>
  <c r="R45" i="48"/>
  <c r="U45" i="48" s="1"/>
  <c r="H46" i="48"/>
  <c r="R48" i="48"/>
  <c r="U48" i="48" s="1"/>
  <c r="H49" i="48"/>
  <c r="R51" i="48"/>
  <c r="U51" i="48" s="1"/>
  <c r="H52" i="48"/>
  <c r="R54" i="48"/>
  <c r="U54" i="48" s="1"/>
  <c r="H55" i="48"/>
  <c r="R57" i="48"/>
  <c r="U57" i="48" s="1"/>
  <c r="V56" i="47"/>
  <c r="T39" i="47"/>
  <c r="S39" i="47" s="1"/>
  <c r="U24" i="47"/>
  <c r="T47" i="47"/>
  <c r="S47" i="47" s="1"/>
  <c r="U39" i="47"/>
  <c r="T29" i="47"/>
  <c r="S29" i="47" s="1"/>
  <c r="T38" i="47"/>
  <c r="S38" i="47" s="1"/>
  <c r="U45" i="47"/>
  <c r="U21" i="47"/>
  <c r="T44" i="47"/>
  <c r="S44" i="47" s="1"/>
  <c r="T51" i="47"/>
  <c r="S51" i="47" s="1"/>
  <c r="U51" i="47"/>
  <c r="H20" i="47"/>
  <c r="H35" i="47"/>
  <c r="L18" i="47"/>
  <c r="G19" i="47"/>
  <c r="G22" i="47"/>
  <c r="U23" i="47"/>
  <c r="G25" i="47"/>
  <c r="G28" i="47"/>
  <c r="G31" i="47"/>
  <c r="G34" i="47"/>
  <c r="G37" i="47"/>
  <c r="G40" i="47"/>
  <c r="G43" i="47"/>
  <c r="G46" i="47"/>
  <c r="G49" i="47"/>
  <c r="G52" i="47"/>
  <c r="G55" i="47"/>
  <c r="G58" i="47"/>
  <c r="U59" i="47"/>
  <c r="H23" i="47"/>
  <c r="V27" i="47"/>
  <c r="H29" i="47"/>
  <c r="H44" i="47"/>
  <c r="V60" i="47"/>
  <c r="R18" i="47"/>
  <c r="U18" i="47" s="1"/>
  <c r="H19" i="47"/>
  <c r="R21" i="47"/>
  <c r="V21" i="47" s="1"/>
  <c r="H22" i="47"/>
  <c r="V23" i="47"/>
  <c r="R24" i="47"/>
  <c r="T24" i="47" s="1"/>
  <c r="S24" i="47" s="1"/>
  <c r="H25" i="47"/>
  <c r="R27" i="47"/>
  <c r="T27" i="47" s="1"/>
  <c r="S27" i="47" s="1"/>
  <c r="H28" i="47"/>
  <c r="V29" i="47"/>
  <c r="R30" i="47"/>
  <c r="V30" i="47" s="1"/>
  <c r="H31" i="47"/>
  <c r="R33" i="47"/>
  <c r="T33" i="47" s="1"/>
  <c r="S33" i="47" s="1"/>
  <c r="H34" i="47"/>
  <c r="V35" i="47"/>
  <c r="R36" i="47"/>
  <c r="T36" i="47" s="1"/>
  <c r="S36" i="47" s="1"/>
  <c r="H37" i="47"/>
  <c r="R39" i="47"/>
  <c r="H40" i="47"/>
  <c r="R42" i="47"/>
  <c r="U42" i="47" s="1"/>
  <c r="H43" i="47"/>
  <c r="R45" i="47"/>
  <c r="T45" i="47" s="1"/>
  <c r="S45" i="47" s="1"/>
  <c r="H46" i="47"/>
  <c r="V47" i="47"/>
  <c r="R48" i="47"/>
  <c r="T48" i="47" s="1"/>
  <c r="S48" i="47" s="1"/>
  <c r="H49" i="47"/>
  <c r="R51" i="47"/>
  <c r="H52" i="47"/>
  <c r="V53" i="47"/>
  <c r="R54" i="47"/>
  <c r="V54" i="47" s="1"/>
  <c r="H55" i="47"/>
  <c r="R57" i="47"/>
  <c r="U57" i="47" s="1"/>
  <c r="H58" i="47"/>
  <c r="R60" i="47"/>
  <c r="T60" i="47" s="1"/>
  <c r="S60" i="47" s="1"/>
  <c r="V24" i="47"/>
  <c r="H26" i="47"/>
  <c r="H32" i="47"/>
  <c r="H38" i="47"/>
  <c r="V39" i="47"/>
  <c r="H50" i="47"/>
  <c r="V51" i="47"/>
  <c r="H53" i="47"/>
  <c r="U19" i="47"/>
  <c r="U22" i="47"/>
  <c r="U25" i="47"/>
  <c r="U28" i="47"/>
  <c r="U31" i="47"/>
  <c r="U34" i="47"/>
  <c r="U37" i="47"/>
  <c r="U40" i="47"/>
  <c r="U43" i="47"/>
  <c r="U46" i="47"/>
  <c r="U49" i="47"/>
  <c r="U52" i="47"/>
  <c r="V33" i="47"/>
  <c r="H41" i="47"/>
  <c r="H47" i="47"/>
  <c r="H56" i="47"/>
  <c r="V57" i="47"/>
  <c r="H18" i="47"/>
  <c r="R20" i="47"/>
  <c r="T20" i="47" s="1"/>
  <c r="S20" i="47" s="1"/>
  <c r="H21" i="47"/>
  <c r="R23" i="47"/>
  <c r="T23" i="47" s="1"/>
  <c r="S23" i="47" s="1"/>
  <c r="H24" i="47"/>
  <c r="R26" i="47"/>
  <c r="K26" i="47" s="1"/>
  <c r="H27" i="47"/>
  <c r="R29" i="47"/>
  <c r="U29" i="47" s="1"/>
  <c r="H30" i="47"/>
  <c r="R32" i="47"/>
  <c r="V32" i="47" s="1"/>
  <c r="H33" i="47"/>
  <c r="R35" i="47"/>
  <c r="U35" i="47" s="1"/>
  <c r="H36" i="47"/>
  <c r="R38" i="47"/>
  <c r="V38" i="47" s="1"/>
  <c r="H39" i="47"/>
  <c r="R41" i="47"/>
  <c r="T41" i="47" s="1"/>
  <c r="S41" i="47" s="1"/>
  <c r="H42" i="47"/>
  <c r="R44" i="47"/>
  <c r="U44" i="47" s="1"/>
  <c r="H45" i="47"/>
  <c r="R47" i="47"/>
  <c r="U47" i="47" s="1"/>
  <c r="H48" i="47"/>
  <c r="R50" i="47"/>
  <c r="V50" i="47" s="1"/>
  <c r="H51" i="47"/>
  <c r="R53" i="47"/>
  <c r="T53" i="47" s="1"/>
  <c r="S53" i="47" s="1"/>
  <c r="H54" i="47"/>
  <c r="R56" i="47"/>
  <c r="T56" i="47" s="1"/>
  <c r="S56" i="47" s="1"/>
  <c r="H57" i="47"/>
  <c r="G20" i="47"/>
  <c r="G61" i="47" s="1"/>
  <c r="G23" i="47"/>
  <c r="G26" i="47"/>
  <c r="G29" i="47"/>
  <c r="G32" i="47"/>
  <c r="G35" i="47"/>
  <c r="G38" i="47"/>
  <c r="G41" i="47"/>
  <c r="G44" i="47"/>
  <c r="G47" i="47"/>
  <c r="G50" i="47"/>
  <c r="G53" i="47"/>
  <c r="G56" i="47"/>
  <c r="U21" i="46"/>
  <c r="T48" i="46"/>
  <c r="S48" i="46" s="1"/>
  <c r="U30" i="46"/>
  <c r="U48" i="46"/>
  <c r="T24" i="46"/>
  <c r="S24" i="46" s="1"/>
  <c r="U27" i="46"/>
  <c r="U45" i="46"/>
  <c r="T59" i="46"/>
  <c r="S59" i="46" s="1"/>
  <c r="U22" i="46"/>
  <c r="U52" i="46"/>
  <c r="U58" i="46"/>
  <c r="H20" i="46"/>
  <c r="H23" i="46"/>
  <c r="H26" i="46"/>
  <c r="H29" i="46"/>
  <c r="H32" i="46"/>
  <c r="H35" i="46"/>
  <c r="H38" i="46"/>
  <c r="H41" i="46"/>
  <c r="H44" i="46"/>
  <c r="H47" i="46"/>
  <c r="H50" i="46"/>
  <c r="H53" i="46"/>
  <c r="H56" i="46"/>
  <c r="H59" i="46"/>
  <c r="U25" i="46"/>
  <c r="U43" i="46"/>
  <c r="U49" i="46"/>
  <c r="L18" i="46"/>
  <c r="G19" i="46"/>
  <c r="G61" i="46" s="1"/>
  <c r="G22" i="46"/>
  <c r="G25" i="46"/>
  <c r="L27" i="46"/>
  <c r="T27" i="46" s="1"/>
  <c r="S27" i="46" s="1"/>
  <c r="G28" i="46"/>
  <c r="U29" i="46"/>
  <c r="L30" i="46"/>
  <c r="G31" i="46"/>
  <c r="L33" i="46"/>
  <c r="T33" i="46" s="1"/>
  <c r="S33" i="46" s="1"/>
  <c r="G34" i="46"/>
  <c r="L36" i="46"/>
  <c r="G37" i="46"/>
  <c r="L39" i="46"/>
  <c r="T39" i="46" s="1"/>
  <c r="S39" i="46" s="1"/>
  <c r="G40" i="46"/>
  <c r="G43" i="46"/>
  <c r="G46" i="46"/>
  <c r="U47" i="46"/>
  <c r="G49" i="46"/>
  <c r="G52" i="46"/>
  <c r="G55" i="46"/>
  <c r="U56" i="46"/>
  <c r="G58" i="46"/>
  <c r="U59" i="46"/>
  <c r="U19" i="46"/>
  <c r="U28" i="46"/>
  <c r="U31" i="46"/>
  <c r="U40" i="46"/>
  <c r="U46" i="46"/>
  <c r="U55" i="46"/>
  <c r="R18" i="46"/>
  <c r="H19" i="46"/>
  <c r="R21" i="46"/>
  <c r="T21" i="46" s="1"/>
  <c r="S21" i="46" s="1"/>
  <c r="H22" i="46"/>
  <c r="R24" i="46"/>
  <c r="V24" i="46" s="1"/>
  <c r="H25" i="46"/>
  <c r="R27" i="46"/>
  <c r="V27" i="46" s="1"/>
  <c r="H28" i="46"/>
  <c r="R30" i="46"/>
  <c r="V30" i="46" s="1"/>
  <c r="H31" i="46"/>
  <c r="R33" i="46"/>
  <c r="V33" i="46" s="1"/>
  <c r="H34" i="46"/>
  <c r="R36" i="46"/>
  <c r="U36" i="46" s="1"/>
  <c r="H37" i="46"/>
  <c r="R39" i="46"/>
  <c r="U39" i="46" s="1"/>
  <c r="H40" i="46"/>
  <c r="R42" i="46"/>
  <c r="T42" i="46" s="1"/>
  <c r="S42" i="46" s="1"/>
  <c r="H43" i="46"/>
  <c r="R45" i="46"/>
  <c r="T45" i="46" s="1"/>
  <c r="S45" i="46" s="1"/>
  <c r="H46" i="46"/>
  <c r="R48" i="46"/>
  <c r="V48" i="46" s="1"/>
  <c r="H49" i="46"/>
  <c r="R51" i="46"/>
  <c r="V51" i="46" s="1"/>
  <c r="H52" i="46"/>
  <c r="R54" i="46"/>
  <c r="T54" i="46" s="1"/>
  <c r="S54" i="46" s="1"/>
  <c r="H55" i="46"/>
  <c r="R57" i="46"/>
  <c r="U57" i="46" s="1"/>
  <c r="H58" i="46"/>
  <c r="R60" i="46"/>
  <c r="T60" i="46" s="1"/>
  <c r="S60" i="46" s="1"/>
  <c r="U34" i="46"/>
  <c r="U37" i="46"/>
  <c r="H18" i="46"/>
  <c r="R20" i="46"/>
  <c r="V20" i="46" s="1"/>
  <c r="H21" i="46"/>
  <c r="R23" i="46"/>
  <c r="U23" i="46" s="1"/>
  <c r="H24" i="46"/>
  <c r="R26" i="46"/>
  <c r="K26" i="46" s="1"/>
  <c r="R29" i="46"/>
  <c r="V29" i="46" s="1"/>
  <c r="H30" i="46"/>
  <c r="R32" i="46"/>
  <c r="U32" i="46" s="1"/>
  <c r="H33" i="46"/>
  <c r="R35" i="46"/>
  <c r="V35" i="46" s="1"/>
  <c r="H36" i="46"/>
  <c r="R38" i="46"/>
  <c r="U38" i="46" s="1"/>
  <c r="H39" i="46"/>
  <c r="R41" i="46"/>
  <c r="T41" i="46" s="1"/>
  <c r="S41" i="46" s="1"/>
  <c r="H42" i="46"/>
  <c r="R44" i="46"/>
  <c r="U44" i="46" s="1"/>
  <c r="H45" i="46"/>
  <c r="R47" i="46"/>
  <c r="T47" i="46" s="1"/>
  <c r="S47" i="46" s="1"/>
  <c r="H48" i="46"/>
  <c r="R50" i="46"/>
  <c r="V50" i="46" s="1"/>
  <c r="H51" i="46"/>
  <c r="R53" i="46"/>
  <c r="V53" i="46" s="1"/>
  <c r="H54" i="46"/>
  <c r="R56" i="46"/>
  <c r="V56" i="46" s="1"/>
  <c r="H57" i="46"/>
  <c r="G20" i="46"/>
  <c r="G23" i="46"/>
  <c r="G26" i="46"/>
  <c r="G29" i="46"/>
  <c r="G32" i="46"/>
  <c r="G35" i="46"/>
  <c r="G38" i="46"/>
  <c r="G41" i="46"/>
  <c r="G44" i="46"/>
  <c r="G47" i="46"/>
  <c r="G50" i="46"/>
  <c r="G53" i="46"/>
  <c r="G56" i="46"/>
  <c r="U18" i="45"/>
  <c r="V59" i="45"/>
  <c r="H29" i="45"/>
  <c r="L18" i="45"/>
  <c r="L21" i="45"/>
  <c r="L24" i="45"/>
  <c r="L27" i="45"/>
  <c r="L30" i="45"/>
  <c r="L33" i="45"/>
  <c r="L36" i="45"/>
  <c r="T36" i="45" s="1"/>
  <c r="S36" i="45" s="1"/>
  <c r="L39" i="45"/>
  <c r="L42" i="45"/>
  <c r="L45" i="45"/>
  <c r="L48" i="45"/>
  <c r="L51" i="45"/>
  <c r="L54" i="45"/>
  <c r="T54" i="45" s="1"/>
  <c r="S54" i="45" s="1"/>
  <c r="L57" i="45"/>
  <c r="L60" i="45"/>
  <c r="H20" i="45"/>
  <c r="H35" i="45"/>
  <c r="V36" i="45"/>
  <c r="H59" i="45"/>
  <c r="R18" i="45"/>
  <c r="H19" i="45"/>
  <c r="R21" i="45"/>
  <c r="U21" i="45" s="1"/>
  <c r="H22" i="45"/>
  <c r="R24" i="45"/>
  <c r="U24" i="45" s="1"/>
  <c r="H25" i="45"/>
  <c r="R27" i="45"/>
  <c r="U27" i="45" s="1"/>
  <c r="H28" i="45"/>
  <c r="R30" i="45"/>
  <c r="V30" i="45" s="1"/>
  <c r="H31" i="45"/>
  <c r="R33" i="45"/>
  <c r="U33" i="45" s="1"/>
  <c r="H34" i="45"/>
  <c r="R36" i="45"/>
  <c r="U36" i="45" s="1"/>
  <c r="H37" i="45"/>
  <c r="R39" i="45"/>
  <c r="V39" i="45" s="1"/>
  <c r="H40" i="45"/>
  <c r="R42" i="45"/>
  <c r="V42" i="45" s="1"/>
  <c r="H43" i="45"/>
  <c r="R45" i="45"/>
  <c r="U45" i="45" s="1"/>
  <c r="H46" i="45"/>
  <c r="R48" i="45"/>
  <c r="U48" i="45" s="1"/>
  <c r="H49" i="45"/>
  <c r="R51" i="45"/>
  <c r="U51" i="45" s="1"/>
  <c r="H52" i="45"/>
  <c r="R54" i="45"/>
  <c r="U54" i="45" s="1"/>
  <c r="H55" i="45"/>
  <c r="R57" i="45"/>
  <c r="U57" i="45" s="1"/>
  <c r="H58" i="45"/>
  <c r="R60" i="45"/>
  <c r="U60" i="45" s="1"/>
  <c r="H38" i="45"/>
  <c r="V45" i="45"/>
  <c r="H47" i="45"/>
  <c r="V18" i="45"/>
  <c r="V24" i="45"/>
  <c r="H53" i="45"/>
  <c r="V54" i="45"/>
  <c r="H56" i="45"/>
  <c r="V57" i="45"/>
  <c r="H18" i="45"/>
  <c r="R20" i="45"/>
  <c r="U20" i="45" s="1"/>
  <c r="H21" i="45"/>
  <c r="R23" i="45"/>
  <c r="U23" i="45" s="1"/>
  <c r="H24" i="45"/>
  <c r="R26" i="45"/>
  <c r="K26" i="45" s="1"/>
  <c r="L26" i="45" s="1"/>
  <c r="T26" i="45" s="1"/>
  <c r="S26" i="45" s="1"/>
  <c r="H27" i="45"/>
  <c r="R29" i="45"/>
  <c r="U29" i="45" s="1"/>
  <c r="H30" i="45"/>
  <c r="R32" i="45"/>
  <c r="U32" i="45" s="1"/>
  <c r="H33" i="45"/>
  <c r="R35" i="45"/>
  <c r="U35" i="45" s="1"/>
  <c r="H36" i="45"/>
  <c r="R38" i="45"/>
  <c r="U38" i="45" s="1"/>
  <c r="H39" i="45"/>
  <c r="R41" i="45"/>
  <c r="U41" i="45" s="1"/>
  <c r="H42" i="45"/>
  <c r="R44" i="45"/>
  <c r="U44" i="45" s="1"/>
  <c r="H45" i="45"/>
  <c r="R47" i="45"/>
  <c r="U47" i="45" s="1"/>
  <c r="H48" i="45"/>
  <c r="R50" i="45"/>
  <c r="U50" i="45" s="1"/>
  <c r="H51" i="45"/>
  <c r="R53" i="45"/>
  <c r="U53" i="45" s="1"/>
  <c r="H54" i="45"/>
  <c r="R56" i="45"/>
  <c r="U56" i="45" s="1"/>
  <c r="H57" i="45"/>
  <c r="V21" i="45"/>
  <c r="H23" i="45"/>
  <c r="H26" i="45"/>
  <c r="V27" i="45"/>
  <c r="H32" i="45"/>
  <c r="H41" i="45"/>
  <c r="H44" i="45"/>
  <c r="V51" i="45"/>
  <c r="V60" i="45"/>
  <c r="G20" i="45"/>
  <c r="G61" i="45" s="1"/>
  <c r="G23" i="45"/>
  <c r="G26" i="45"/>
  <c r="G29" i="45"/>
  <c r="G32" i="45"/>
  <c r="G35" i="45"/>
  <c r="G38" i="45"/>
  <c r="G41" i="45"/>
  <c r="G44" i="45"/>
  <c r="G47" i="45"/>
  <c r="G50" i="45"/>
  <c r="G53" i="45"/>
  <c r="G56" i="45"/>
  <c r="U18" i="43"/>
  <c r="U45" i="43"/>
  <c r="T55" i="43"/>
  <c r="S55" i="43" s="1"/>
  <c r="T60" i="43"/>
  <c r="S60" i="43" s="1"/>
  <c r="T45" i="43"/>
  <c r="S45" i="43" s="1"/>
  <c r="U60" i="43"/>
  <c r="T27" i="43"/>
  <c r="S27" i="43" s="1"/>
  <c r="U36" i="43"/>
  <c r="U27" i="43"/>
  <c r="T54" i="43"/>
  <c r="S54" i="43" s="1"/>
  <c r="T58" i="43"/>
  <c r="S58" i="43" s="1"/>
  <c r="U43" i="43"/>
  <c r="H20" i="43"/>
  <c r="H23" i="43"/>
  <c r="H26" i="43"/>
  <c r="H29" i="43"/>
  <c r="H32" i="43"/>
  <c r="H35" i="43"/>
  <c r="H38" i="43"/>
  <c r="H41" i="43"/>
  <c r="H44" i="43"/>
  <c r="H47" i="43"/>
  <c r="H50" i="43"/>
  <c r="H53" i="43"/>
  <c r="R55" i="43"/>
  <c r="U55" i="43" s="1"/>
  <c r="R58" i="43"/>
  <c r="U58" i="43" s="1"/>
  <c r="H59" i="43"/>
  <c r="V60" i="43"/>
  <c r="U22" i="43"/>
  <c r="U37" i="43"/>
  <c r="L18" i="43"/>
  <c r="G19" i="43"/>
  <c r="G61" i="43" s="1"/>
  <c r="U20" i="43"/>
  <c r="G22" i="43"/>
  <c r="U23" i="43"/>
  <c r="G25" i="43"/>
  <c r="U26" i="43"/>
  <c r="G28" i="43"/>
  <c r="U29" i="43"/>
  <c r="L30" i="43"/>
  <c r="G31" i="43"/>
  <c r="U32" i="43"/>
  <c r="L33" i="43"/>
  <c r="G34" i="43"/>
  <c r="U35" i="43"/>
  <c r="L36" i="43"/>
  <c r="G37" i="43"/>
  <c r="U38" i="43"/>
  <c r="G40" i="43"/>
  <c r="U41" i="43"/>
  <c r="G43" i="43"/>
  <c r="U44" i="43"/>
  <c r="G46" i="43"/>
  <c r="U47" i="43"/>
  <c r="L48" i="43"/>
  <c r="G49" i="43"/>
  <c r="U50" i="43"/>
  <c r="G52" i="43"/>
  <c r="U53" i="43"/>
  <c r="G55" i="43"/>
  <c r="U56" i="43"/>
  <c r="G58" i="43"/>
  <c r="U59" i="43"/>
  <c r="U34" i="43"/>
  <c r="R18" i="43"/>
  <c r="H19" i="43"/>
  <c r="H61" i="43" s="1"/>
  <c r="P2" i="43" s="1"/>
  <c r="R21" i="43"/>
  <c r="U21" i="43" s="1"/>
  <c r="H22" i="43"/>
  <c r="R24" i="43"/>
  <c r="U24" i="43" s="1"/>
  <c r="H25" i="43"/>
  <c r="R27" i="43"/>
  <c r="V27" i="43" s="1"/>
  <c r="H28" i="43"/>
  <c r="R30" i="43"/>
  <c r="U30" i="43" s="1"/>
  <c r="H31" i="43"/>
  <c r="R33" i="43"/>
  <c r="U33" i="43" s="1"/>
  <c r="H34" i="43"/>
  <c r="R36" i="43"/>
  <c r="V36" i="43" s="1"/>
  <c r="H37" i="43"/>
  <c r="R39" i="43"/>
  <c r="U39" i="43" s="1"/>
  <c r="H40" i="43"/>
  <c r="R42" i="43"/>
  <c r="T42" i="43" s="1"/>
  <c r="S42" i="43" s="1"/>
  <c r="H43" i="43"/>
  <c r="R45" i="43"/>
  <c r="V45" i="43" s="1"/>
  <c r="H46" i="43"/>
  <c r="R48" i="43"/>
  <c r="U48" i="43" s="1"/>
  <c r="H49" i="43"/>
  <c r="R51" i="43"/>
  <c r="U51" i="43" s="1"/>
  <c r="H52" i="43"/>
  <c r="R54" i="43"/>
  <c r="U54" i="43" s="1"/>
  <c r="H55" i="43"/>
  <c r="R57" i="43"/>
  <c r="T57" i="43" s="1"/>
  <c r="S57" i="43" s="1"/>
  <c r="U46" i="43"/>
  <c r="K25" i="43"/>
  <c r="K61" i="43" s="1"/>
  <c r="G20" i="43"/>
  <c r="G23" i="43"/>
  <c r="G26" i="43"/>
  <c r="G29" i="43"/>
  <c r="G32" i="43"/>
  <c r="G35" i="43"/>
  <c r="G38" i="43"/>
  <c r="G41" i="43"/>
  <c r="G44" i="43"/>
  <c r="G47" i="43"/>
  <c r="G50" i="43"/>
  <c r="G53" i="43"/>
  <c r="G56" i="43"/>
  <c r="T23" i="42"/>
  <c r="S23" i="42" s="1"/>
  <c r="U39" i="42"/>
  <c r="V41" i="42"/>
  <c r="U57" i="42"/>
  <c r="V23" i="42"/>
  <c r="T35" i="42"/>
  <c r="S35" i="42" s="1"/>
  <c r="V35" i="42"/>
  <c r="V44" i="42"/>
  <c r="U51" i="42"/>
  <c r="T53" i="42"/>
  <c r="S53" i="42" s="1"/>
  <c r="U24" i="42"/>
  <c r="T56" i="42"/>
  <c r="S56" i="42" s="1"/>
  <c r="L25" i="42"/>
  <c r="T25" i="42" s="1"/>
  <c r="S25" i="42" s="1"/>
  <c r="V25" i="42"/>
  <c r="U25" i="42"/>
  <c r="U30" i="42"/>
  <c r="U27" i="42"/>
  <c r="U36" i="42"/>
  <c r="U54" i="42"/>
  <c r="V32" i="42"/>
  <c r="U48" i="42"/>
  <c r="V20" i="42"/>
  <c r="T32" i="42"/>
  <c r="S32" i="42" s="1"/>
  <c r="T41" i="42"/>
  <c r="S41" i="42" s="1"/>
  <c r="H20" i="42"/>
  <c r="V30" i="42"/>
  <c r="H32" i="42"/>
  <c r="V33" i="42"/>
  <c r="H44" i="42"/>
  <c r="H47" i="42"/>
  <c r="V48" i="42"/>
  <c r="H50" i="42"/>
  <c r="V51" i="42"/>
  <c r="H59" i="42"/>
  <c r="L18" i="42"/>
  <c r="L21" i="42"/>
  <c r="T21" i="42" s="1"/>
  <c r="S21" i="42" s="1"/>
  <c r="L24" i="42"/>
  <c r="T24" i="42" s="1"/>
  <c r="S24" i="42" s="1"/>
  <c r="L27" i="42"/>
  <c r="L30" i="42"/>
  <c r="L33" i="42"/>
  <c r="T33" i="42" s="1"/>
  <c r="S33" i="42" s="1"/>
  <c r="L36" i="42"/>
  <c r="L39" i="42"/>
  <c r="T39" i="42" s="1"/>
  <c r="S39" i="42" s="1"/>
  <c r="L42" i="42"/>
  <c r="T42" i="42" s="1"/>
  <c r="S42" i="42" s="1"/>
  <c r="L45" i="42"/>
  <c r="L48" i="42"/>
  <c r="L51" i="42"/>
  <c r="T51" i="42" s="1"/>
  <c r="S51" i="42" s="1"/>
  <c r="L54" i="42"/>
  <c r="L57" i="42"/>
  <c r="T57" i="42" s="1"/>
  <c r="S57" i="42" s="1"/>
  <c r="L60" i="42"/>
  <c r="T60" i="42" s="1"/>
  <c r="S60" i="42" s="1"/>
  <c r="H38" i="42"/>
  <c r="H53" i="42"/>
  <c r="H56" i="42"/>
  <c r="R18" i="42"/>
  <c r="V18" i="42" s="1"/>
  <c r="H19" i="42"/>
  <c r="R21" i="42"/>
  <c r="U21" i="42" s="1"/>
  <c r="H22" i="42"/>
  <c r="R24" i="42"/>
  <c r="H25" i="42"/>
  <c r="R27" i="42"/>
  <c r="V27" i="42" s="1"/>
  <c r="H28" i="42"/>
  <c r="R30" i="42"/>
  <c r="H31" i="42"/>
  <c r="R33" i="42"/>
  <c r="U33" i="42" s="1"/>
  <c r="H34" i="42"/>
  <c r="R36" i="42"/>
  <c r="V36" i="42" s="1"/>
  <c r="H37" i="42"/>
  <c r="R39" i="42"/>
  <c r="H40" i="42"/>
  <c r="R42" i="42"/>
  <c r="U42" i="42" s="1"/>
  <c r="H43" i="42"/>
  <c r="R45" i="42"/>
  <c r="U45" i="42" s="1"/>
  <c r="H46" i="42"/>
  <c r="R48" i="42"/>
  <c r="H49" i="42"/>
  <c r="R51" i="42"/>
  <c r="H52" i="42"/>
  <c r="R54" i="42"/>
  <c r="V54" i="42" s="1"/>
  <c r="H55" i="42"/>
  <c r="R57" i="42"/>
  <c r="V57" i="42" s="1"/>
  <c r="H58" i="42"/>
  <c r="R60" i="42"/>
  <c r="U60" i="42" s="1"/>
  <c r="H26" i="42"/>
  <c r="K61" i="42"/>
  <c r="U19" i="42"/>
  <c r="G21" i="42"/>
  <c r="U22" i="42"/>
  <c r="G24" i="42"/>
  <c r="G27" i="42"/>
  <c r="U28" i="42"/>
  <c r="G30" i="42"/>
  <c r="U31" i="42"/>
  <c r="G33" i="42"/>
  <c r="U34" i="42"/>
  <c r="G36" i="42"/>
  <c r="U37" i="42"/>
  <c r="G39" i="42"/>
  <c r="U40" i="42"/>
  <c r="G42" i="42"/>
  <c r="U43" i="42"/>
  <c r="G45" i="42"/>
  <c r="U46" i="42"/>
  <c r="G48" i="42"/>
  <c r="U49" i="42"/>
  <c r="G51" i="42"/>
  <c r="U52" i="42"/>
  <c r="G54" i="42"/>
  <c r="U55" i="42"/>
  <c r="G57" i="42"/>
  <c r="U58" i="42"/>
  <c r="G60" i="42"/>
  <c r="H23" i="42"/>
  <c r="V24" i="42"/>
  <c r="H29" i="42"/>
  <c r="H35" i="42"/>
  <c r="V39" i="42"/>
  <c r="V42" i="42"/>
  <c r="V60" i="42"/>
  <c r="H18" i="42"/>
  <c r="R20" i="42"/>
  <c r="U20" i="42" s="1"/>
  <c r="H21" i="42"/>
  <c r="R23" i="42"/>
  <c r="U23" i="42" s="1"/>
  <c r="H24" i="42"/>
  <c r="R26" i="42"/>
  <c r="U26" i="42" s="1"/>
  <c r="H27" i="42"/>
  <c r="R29" i="42"/>
  <c r="U29" i="42" s="1"/>
  <c r="H30" i="42"/>
  <c r="R32" i="42"/>
  <c r="U32" i="42" s="1"/>
  <c r="H33" i="42"/>
  <c r="R35" i="42"/>
  <c r="U35" i="42" s="1"/>
  <c r="H36" i="42"/>
  <c r="R38" i="42"/>
  <c r="U38" i="42" s="1"/>
  <c r="H39" i="42"/>
  <c r="R41" i="42"/>
  <c r="U41" i="42" s="1"/>
  <c r="H42" i="42"/>
  <c r="R44" i="42"/>
  <c r="U44" i="42" s="1"/>
  <c r="H45" i="42"/>
  <c r="R47" i="42"/>
  <c r="U47" i="42" s="1"/>
  <c r="H48" i="42"/>
  <c r="V49" i="42"/>
  <c r="R50" i="42"/>
  <c r="U50" i="42" s="1"/>
  <c r="H51" i="42"/>
  <c r="R53" i="42"/>
  <c r="U53" i="42" s="1"/>
  <c r="H54" i="42"/>
  <c r="R56" i="42"/>
  <c r="U56" i="42" s="1"/>
  <c r="H57" i="42"/>
  <c r="G20" i="42"/>
  <c r="G61" i="42" s="1"/>
  <c r="G23" i="42"/>
  <c r="G26" i="42"/>
  <c r="G29" i="42"/>
  <c r="G32" i="42"/>
  <c r="G35" i="42"/>
  <c r="G38" i="42"/>
  <c r="G41" i="42"/>
  <c r="G44" i="42"/>
  <c r="G47" i="42"/>
  <c r="G50" i="42"/>
  <c r="G53" i="42"/>
  <c r="G56" i="42"/>
  <c r="T24" i="41"/>
  <c r="S24" i="41" s="1"/>
  <c r="U33" i="41"/>
  <c r="T57" i="41"/>
  <c r="S57" i="41" s="1"/>
  <c r="U24" i="41"/>
  <c r="T50" i="41"/>
  <c r="S50" i="41" s="1"/>
  <c r="U60" i="41"/>
  <c r="L25" i="41"/>
  <c r="T25" i="41" s="1"/>
  <c r="S25" i="41" s="1"/>
  <c r="V25" i="41"/>
  <c r="U25" i="41"/>
  <c r="T39" i="41"/>
  <c r="S39" i="41" s="1"/>
  <c r="U36" i="41"/>
  <c r="U45" i="41"/>
  <c r="U39" i="41"/>
  <c r="H29" i="41"/>
  <c r="H41" i="41"/>
  <c r="L18" i="41"/>
  <c r="G19" i="41"/>
  <c r="U20" i="41"/>
  <c r="G22" i="41"/>
  <c r="U23" i="41"/>
  <c r="G25" i="41"/>
  <c r="U26" i="41"/>
  <c r="G28" i="41"/>
  <c r="U29" i="41"/>
  <c r="G31" i="41"/>
  <c r="U32" i="41"/>
  <c r="G34" i="41"/>
  <c r="U35" i="41"/>
  <c r="G37" i="41"/>
  <c r="U38" i="41"/>
  <c r="G40" i="41"/>
  <c r="U41" i="41"/>
  <c r="G43" i="41"/>
  <c r="U44" i="41"/>
  <c r="G46" i="41"/>
  <c r="U47" i="41"/>
  <c r="G49" i="41"/>
  <c r="G52" i="41"/>
  <c r="G55" i="41"/>
  <c r="U56" i="41"/>
  <c r="G58" i="41"/>
  <c r="U59" i="41"/>
  <c r="H20" i="41"/>
  <c r="H26" i="41"/>
  <c r="H32" i="41"/>
  <c r="V39" i="41"/>
  <c r="H53" i="41"/>
  <c r="K61" i="41"/>
  <c r="R18" i="41"/>
  <c r="H19" i="41"/>
  <c r="R21" i="41"/>
  <c r="U21" i="41" s="1"/>
  <c r="H22" i="41"/>
  <c r="R24" i="41"/>
  <c r="V24" i="41" s="1"/>
  <c r="H25" i="41"/>
  <c r="R27" i="41"/>
  <c r="T27" i="41" s="1"/>
  <c r="S27" i="41" s="1"/>
  <c r="H28" i="41"/>
  <c r="R30" i="41"/>
  <c r="V30" i="41" s="1"/>
  <c r="H31" i="41"/>
  <c r="R33" i="41"/>
  <c r="T33" i="41" s="1"/>
  <c r="S33" i="41" s="1"/>
  <c r="H34" i="41"/>
  <c r="R36" i="41"/>
  <c r="T36" i="41" s="1"/>
  <c r="S36" i="41" s="1"/>
  <c r="H37" i="41"/>
  <c r="V38" i="41"/>
  <c r="R39" i="41"/>
  <c r="H40" i="41"/>
  <c r="R42" i="41"/>
  <c r="U42" i="41" s="1"/>
  <c r="H43" i="41"/>
  <c r="R45" i="41"/>
  <c r="T45" i="41" s="1"/>
  <c r="S45" i="41" s="1"/>
  <c r="H46" i="41"/>
  <c r="R48" i="41"/>
  <c r="U48" i="41" s="1"/>
  <c r="H49" i="41"/>
  <c r="R51" i="41"/>
  <c r="U51" i="41" s="1"/>
  <c r="H52" i="41"/>
  <c r="R54" i="41"/>
  <c r="T54" i="41" s="1"/>
  <c r="S54" i="41" s="1"/>
  <c r="H55" i="41"/>
  <c r="R57" i="41"/>
  <c r="V57" i="41" s="1"/>
  <c r="H58" i="41"/>
  <c r="V59" i="41"/>
  <c r="R60" i="41"/>
  <c r="V60" i="41" s="1"/>
  <c r="H23" i="41"/>
  <c r="H38" i="41"/>
  <c r="V42" i="41"/>
  <c r="H44" i="41"/>
  <c r="V45" i="41"/>
  <c r="H47" i="41"/>
  <c r="V48" i="41"/>
  <c r="H56" i="41"/>
  <c r="G18" i="41"/>
  <c r="U19" i="41"/>
  <c r="G21" i="41"/>
  <c r="U22" i="41"/>
  <c r="G24" i="41"/>
  <c r="G27" i="41"/>
  <c r="U28" i="41"/>
  <c r="G30" i="41"/>
  <c r="U31" i="41"/>
  <c r="G33" i="41"/>
  <c r="U34" i="41"/>
  <c r="G36" i="41"/>
  <c r="U37" i="41"/>
  <c r="G39" i="41"/>
  <c r="U40" i="41"/>
  <c r="G42" i="41"/>
  <c r="U43" i="41"/>
  <c r="G45" i="41"/>
  <c r="U46" i="41"/>
  <c r="G48" i="41"/>
  <c r="U49" i="41"/>
  <c r="G51" i="41"/>
  <c r="U52" i="41"/>
  <c r="G54" i="41"/>
  <c r="U55" i="41"/>
  <c r="G57" i="41"/>
  <c r="U58" i="41"/>
  <c r="G60" i="41"/>
  <c r="V33" i="41"/>
  <c r="H35" i="41"/>
  <c r="V36" i="41"/>
  <c r="H50" i="41"/>
  <c r="H59" i="41"/>
  <c r="H18" i="41"/>
  <c r="V19" i="41"/>
  <c r="H21" i="41"/>
  <c r="V22" i="41"/>
  <c r="H24" i="41"/>
  <c r="H27" i="41"/>
  <c r="V28" i="41"/>
  <c r="H30" i="41"/>
  <c r="V31" i="41"/>
  <c r="H33" i="41"/>
  <c r="V34" i="41"/>
  <c r="H36" i="41"/>
  <c r="V37" i="41"/>
  <c r="H39" i="41"/>
  <c r="V40" i="41"/>
  <c r="H42" i="41"/>
  <c r="V43" i="41"/>
  <c r="H45" i="41"/>
  <c r="V46" i="41"/>
  <c r="R47" i="41"/>
  <c r="T47" i="41" s="1"/>
  <c r="S47" i="41" s="1"/>
  <c r="H48" i="41"/>
  <c r="V49" i="41"/>
  <c r="R50" i="41"/>
  <c r="U50" i="41" s="1"/>
  <c r="H51" i="41"/>
  <c r="V52" i="41"/>
  <c r="R53" i="41"/>
  <c r="V53" i="41" s="1"/>
  <c r="H54" i="41"/>
  <c r="V55" i="41"/>
  <c r="R56" i="41"/>
  <c r="V56" i="41" s="1"/>
  <c r="V58" i="41"/>
  <c r="G20" i="41"/>
  <c r="G23" i="41"/>
  <c r="G26" i="41"/>
  <c r="G29" i="41"/>
  <c r="G32" i="41"/>
  <c r="G35" i="41"/>
  <c r="G38" i="41"/>
  <c r="G41" i="41"/>
  <c r="G44" i="41"/>
  <c r="G47" i="41"/>
  <c r="G50" i="41"/>
  <c r="G53" i="41"/>
  <c r="G56" i="41"/>
  <c r="H59" i="40"/>
  <c r="H56" i="40"/>
  <c r="H47" i="40"/>
  <c r="H35" i="40"/>
  <c r="H32" i="40"/>
  <c r="H44" i="40"/>
  <c r="H29" i="40"/>
  <c r="H53" i="40"/>
  <c r="H50" i="40"/>
  <c r="H41" i="40"/>
  <c r="H38" i="40"/>
  <c r="L21" i="40"/>
  <c r="H23" i="40"/>
  <c r="V25" i="40"/>
  <c r="U25" i="40"/>
  <c r="V28" i="40"/>
  <c r="T38" i="40"/>
  <c r="S38" i="40" s="1"/>
  <c r="U30" i="40"/>
  <c r="L30" i="40"/>
  <c r="V38" i="40"/>
  <c r="U42" i="40"/>
  <c r="U51" i="40"/>
  <c r="U24" i="40"/>
  <c r="L24" i="40"/>
  <c r="T24" i="40" s="1"/>
  <c r="S24" i="40" s="1"/>
  <c r="L27" i="40"/>
  <c r="T47" i="40"/>
  <c r="S47" i="40" s="1"/>
  <c r="K61" i="40"/>
  <c r="L18" i="40"/>
  <c r="T22" i="40"/>
  <c r="S22" i="40" s="1"/>
  <c r="T31" i="40"/>
  <c r="S31" i="40" s="1"/>
  <c r="V56" i="40"/>
  <c r="V22" i="40"/>
  <c r="V31" i="40"/>
  <c r="U33" i="40"/>
  <c r="V35" i="40"/>
  <c r="T59" i="40"/>
  <c r="S59" i="40" s="1"/>
  <c r="V51" i="40"/>
  <c r="L33" i="40"/>
  <c r="T33" i="40" s="1"/>
  <c r="S33" i="40" s="1"/>
  <c r="L36" i="40"/>
  <c r="L39" i="40"/>
  <c r="L42" i="40"/>
  <c r="T42" i="40" s="1"/>
  <c r="S42" i="40" s="1"/>
  <c r="R18" i="40"/>
  <c r="H19" i="40"/>
  <c r="R21" i="40"/>
  <c r="V21" i="40" s="1"/>
  <c r="H22" i="40"/>
  <c r="R24" i="40"/>
  <c r="V24" i="40" s="1"/>
  <c r="H25" i="40"/>
  <c r="R27" i="40"/>
  <c r="U27" i="40" s="1"/>
  <c r="H28" i="40"/>
  <c r="R30" i="40"/>
  <c r="V30" i="40" s="1"/>
  <c r="H31" i="40"/>
  <c r="R33" i="40"/>
  <c r="H34" i="40"/>
  <c r="R36" i="40"/>
  <c r="U36" i="40" s="1"/>
  <c r="H37" i="40"/>
  <c r="R39" i="40"/>
  <c r="U39" i="40" s="1"/>
  <c r="H40" i="40"/>
  <c r="R42" i="40"/>
  <c r="H43" i="40"/>
  <c r="R45" i="40"/>
  <c r="U45" i="40" s="1"/>
  <c r="H46" i="40"/>
  <c r="R48" i="40"/>
  <c r="U48" i="40" s="1"/>
  <c r="H49" i="40"/>
  <c r="R51" i="40"/>
  <c r="H52" i="40"/>
  <c r="R54" i="40"/>
  <c r="V54" i="40" s="1"/>
  <c r="H55" i="40"/>
  <c r="R57" i="40"/>
  <c r="U57" i="40" s="1"/>
  <c r="H58" i="40"/>
  <c r="R60" i="40"/>
  <c r="U60" i="40" s="1"/>
  <c r="V33" i="40"/>
  <c r="V39" i="40"/>
  <c r="V42" i="40"/>
  <c r="U20" i="40"/>
  <c r="U26" i="40"/>
  <c r="U29" i="40"/>
  <c r="L51" i="40"/>
  <c r="T51" i="40" s="1"/>
  <c r="S51" i="40" s="1"/>
  <c r="U19" i="40"/>
  <c r="U22" i="40"/>
  <c r="U28" i="40"/>
  <c r="U31" i="40"/>
  <c r="U34" i="40"/>
  <c r="U37" i="40"/>
  <c r="U40" i="40"/>
  <c r="U43" i="40"/>
  <c r="G45" i="40"/>
  <c r="U46" i="40"/>
  <c r="G48" i="40"/>
  <c r="U49" i="40"/>
  <c r="G51" i="40"/>
  <c r="G54" i="40"/>
  <c r="G57" i="40"/>
  <c r="G60" i="40"/>
  <c r="V48" i="40"/>
  <c r="V57" i="40"/>
  <c r="V60" i="40"/>
  <c r="L45" i="40"/>
  <c r="L48" i="40"/>
  <c r="T48" i="40" s="1"/>
  <c r="S48" i="40" s="1"/>
  <c r="L54" i="40"/>
  <c r="L57" i="40"/>
  <c r="T57" i="40" s="1"/>
  <c r="S57" i="40" s="1"/>
  <c r="L60" i="40"/>
  <c r="T60" i="40" s="1"/>
  <c r="S60" i="40" s="1"/>
  <c r="H18" i="40"/>
  <c r="H21" i="40"/>
  <c r="H24" i="40"/>
  <c r="H27" i="40"/>
  <c r="H30" i="40"/>
  <c r="R32" i="40"/>
  <c r="U32" i="40" s="1"/>
  <c r="H33" i="40"/>
  <c r="R35" i="40"/>
  <c r="U35" i="40" s="1"/>
  <c r="H36" i="40"/>
  <c r="R38" i="40"/>
  <c r="U38" i="40" s="1"/>
  <c r="H39" i="40"/>
  <c r="R41" i="40"/>
  <c r="U41" i="40" s="1"/>
  <c r="H42" i="40"/>
  <c r="R44" i="40"/>
  <c r="U44" i="40" s="1"/>
  <c r="H45" i="40"/>
  <c r="R47" i="40"/>
  <c r="U47" i="40" s="1"/>
  <c r="H48" i="40"/>
  <c r="R50" i="40"/>
  <c r="U50" i="40" s="1"/>
  <c r="H51" i="40"/>
  <c r="R53" i="40"/>
  <c r="U53" i="40" s="1"/>
  <c r="H54" i="40"/>
  <c r="R56" i="40"/>
  <c r="U56" i="40" s="1"/>
  <c r="H57" i="40"/>
  <c r="G20" i="40"/>
  <c r="G61" i="40" s="1"/>
  <c r="G23" i="40"/>
  <c r="G26" i="40"/>
  <c r="G29" i="40"/>
  <c r="G32" i="40"/>
  <c r="G35" i="40"/>
  <c r="G38" i="40"/>
  <c r="G41" i="40"/>
  <c r="G44" i="40"/>
  <c r="G47" i="40"/>
  <c r="G50" i="40"/>
  <c r="G53" i="40"/>
  <c r="G56" i="40"/>
  <c r="T21" i="39"/>
  <c r="S21" i="39" s="1"/>
  <c r="V39" i="39"/>
  <c r="T60" i="39"/>
  <c r="S60" i="39" s="1"/>
  <c r="K61" i="39"/>
  <c r="V21" i="39"/>
  <c r="T30" i="39"/>
  <c r="S30" i="39" s="1"/>
  <c r="L25" i="39"/>
  <c r="T25" i="39" s="1"/>
  <c r="S25" i="39" s="1"/>
  <c r="V28" i="39"/>
  <c r="V31" i="39"/>
  <c r="V34" i="39"/>
  <c r="V37" i="39"/>
  <c r="V40" i="39"/>
  <c r="V43" i="39"/>
  <c r="V46" i="39"/>
  <c r="V49" i="39"/>
  <c r="V52" i="39"/>
  <c r="T57" i="39"/>
  <c r="S57" i="39" s="1"/>
  <c r="V59" i="39"/>
  <c r="T39" i="39"/>
  <c r="S39" i="39" s="1"/>
  <c r="V57" i="39"/>
  <c r="T59" i="39"/>
  <c r="S59" i="39" s="1"/>
  <c r="U58" i="39"/>
  <c r="G20" i="39"/>
  <c r="G47" i="39"/>
  <c r="G59" i="39"/>
  <c r="H20" i="39"/>
  <c r="H23" i="39"/>
  <c r="H26" i="39"/>
  <c r="H29" i="39"/>
  <c r="H32" i="39"/>
  <c r="H35" i="39"/>
  <c r="H38" i="39"/>
  <c r="H41" i="39"/>
  <c r="H44" i="39"/>
  <c r="H47" i="39"/>
  <c r="H50" i="39"/>
  <c r="H53" i="39"/>
  <c r="H56" i="39"/>
  <c r="H59" i="39"/>
  <c r="U55" i="39"/>
  <c r="G32" i="39"/>
  <c r="G53" i="39"/>
  <c r="J61" i="39"/>
  <c r="G19" i="39"/>
  <c r="G61" i="39" s="1"/>
  <c r="U20" i="39"/>
  <c r="G22" i="39"/>
  <c r="U23" i="39"/>
  <c r="G25" i="39"/>
  <c r="U26" i="39"/>
  <c r="G28" i="39"/>
  <c r="U29" i="39"/>
  <c r="G31" i="39"/>
  <c r="U32" i="39"/>
  <c r="G34" i="39"/>
  <c r="U35" i="39"/>
  <c r="G37" i="39"/>
  <c r="U38" i="39"/>
  <c r="G40" i="39"/>
  <c r="U41" i="39"/>
  <c r="G43" i="39"/>
  <c r="U44" i="39"/>
  <c r="G46" i="39"/>
  <c r="U47" i="39"/>
  <c r="G49" i="39"/>
  <c r="U50" i="39"/>
  <c r="G52" i="39"/>
  <c r="U53" i="39"/>
  <c r="G55" i="39"/>
  <c r="G58" i="39"/>
  <c r="U59" i="39"/>
  <c r="G23" i="39"/>
  <c r="G26" i="39"/>
  <c r="G29" i="39"/>
  <c r="G35" i="39"/>
  <c r="G38" i="39"/>
  <c r="G41" i="39"/>
  <c r="G44" i="39"/>
  <c r="G50" i="39"/>
  <c r="R18" i="39"/>
  <c r="H19" i="39"/>
  <c r="R21" i="39"/>
  <c r="U21" i="39" s="1"/>
  <c r="H22" i="39"/>
  <c r="R24" i="39"/>
  <c r="U24" i="39" s="1"/>
  <c r="H25" i="39"/>
  <c r="R27" i="39"/>
  <c r="U27" i="39" s="1"/>
  <c r="H28" i="39"/>
  <c r="R30" i="39"/>
  <c r="U30" i="39" s="1"/>
  <c r="H31" i="39"/>
  <c r="R33" i="39"/>
  <c r="U33" i="39" s="1"/>
  <c r="H34" i="39"/>
  <c r="R36" i="39"/>
  <c r="U36" i="39" s="1"/>
  <c r="H37" i="39"/>
  <c r="R39" i="39"/>
  <c r="U39" i="39" s="1"/>
  <c r="H40" i="39"/>
  <c r="R42" i="39"/>
  <c r="U42" i="39" s="1"/>
  <c r="H43" i="39"/>
  <c r="R45" i="39"/>
  <c r="U45" i="39" s="1"/>
  <c r="H46" i="39"/>
  <c r="R48" i="39"/>
  <c r="U48" i="39" s="1"/>
  <c r="H49" i="39"/>
  <c r="R51" i="39"/>
  <c r="U51" i="39" s="1"/>
  <c r="H52" i="39"/>
  <c r="R54" i="39"/>
  <c r="U54" i="39" s="1"/>
  <c r="H55" i="39"/>
  <c r="R57" i="39"/>
  <c r="U57" i="39" s="1"/>
  <c r="R60" i="39"/>
  <c r="U60" i="39" s="1"/>
  <c r="H18" i="39"/>
  <c r="H21" i="39"/>
  <c r="H24" i="39"/>
  <c r="H27" i="39"/>
  <c r="H30" i="39"/>
  <c r="H33" i="39"/>
  <c r="H36" i="39"/>
  <c r="H39" i="39"/>
  <c r="H42" i="39"/>
  <c r="H45" i="39"/>
  <c r="H48" i="39"/>
  <c r="H51" i="39"/>
  <c r="H54" i="39"/>
  <c r="R56" i="39"/>
  <c r="V56" i="39" s="1"/>
  <c r="H57" i="39"/>
  <c r="T52" i="38"/>
  <c r="S52" i="38" s="1"/>
  <c r="V26" i="38"/>
  <c r="T28" i="38"/>
  <c r="S28" i="38" s="1"/>
  <c r="T34" i="38"/>
  <c r="S34" i="38" s="1"/>
  <c r="T46" i="38"/>
  <c r="S46" i="38" s="1"/>
  <c r="T70" i="38"/>
  <c r="S70" i="38" s="1"/>
  <c r="V35" i="38"/>
  <c r="T64" i="38"/>
  <c r="S64" i="38" s="1"/>
  <c r="T60" i="38"/>
  <c r="S60" i="38" s="1"/>
  <c r="U68" i="38"/>
  <c r="L68" i="38"/>
  <c r="T68" i="38" s="1"/>
  <c r="S68" i="38" s="1"/>
  <c r="V60" i="38"/>
  <c r="R70" i="38"/>
  <c r="U70" i="38" s="1"/>
  <c r="R67" i="38"/>
  <c r="R64" i="38"/>
  <c r="U64" i="38" s="1"/>
  <c r="R61" i="38"/>
  <c r="R58" i="38"/>
  <c r="R55" i="38"/>
  <c r="U55" i="38" s="1"/>
  <c r="R52" i="38"/>
  <c r="U52" i="38" s="1"/>
  <c r="R49" i="38"/>
  <c r="R46" i="38"/>
  <c r="U46" i="38" s="1"/>
  <c r="R43" i="38"/>
  <c r="U43" i="38" s="1"/>
  <c r="R40" i="38"/>
  <c r="R37" i="38"/>
  <c r="U37" i="38" s="1"/>
  <c r="R34" i="38"/>
  <c r="U34" i="38" s="1"/>
  <c r="R31" i="38"/>
  <c r="R28" i="38"/>
  <c r="U28" i="38" s="1"/>
  <c r="R25" i="38"/>
  <c r="U25" i="38" s="1"/>
  <c r="R22" i="38"/>
  <c r="V22" i="38" s="1"/>
  <c r="R19" i="38"/>
  <c r="U19" i="38" s="1"/>
  <c r="R68" i="38"/>
  <c r="R65" i="38"/>
  <c r="V65" i="38" s="1"/>
  <c r="R62" i="38"/>
  <c r="V62" i="38" s="1"/>
  <c r="R59" i="38"/>
  <c r="U59" i="38" s="1"/>
  <c r="R56" i="38"/>
  <c r="V56" i="38" s="1"/>
  <c r="R53" i="38"/>
  <c r="V53" i="38" s="1"/>
  <c r="R50" i="38"/>
  <c r="V50" i="38" s="1"/>
  <c r="R47" i="38"/>
  <c r="V47" i="38" s="1"/>
  <c r="R44" i="38"/>
  <c r="T44" i="38" s="1"/>
  <c r="S44" i="38" s="1"/>
  <c r="R41" i="38"/>
  <c r="V41" i="38" s="1"/>
  <c r="R38" i="38"/>
  <c r="V38" i="38" s="1"/>
  <c r="R35" i="38"/>
  <c r="R32" i="38"/>
  <c r="V32" i="38" s="1"/>
  <c r="R29" i="38"/>
  <c r="V29" i="38" s="1"/>
  <c r="R26" i="38"/>
  <c r="R23" i="38"/>
  <c r="V23" i="38" s="1"/>
  <c r="R20" i="38"/>
  <c r="V20" i="38" s="1"/>
  <c r="U20" i="38"/>
  <c r="R21" i="38"/>
  <c r="T24" i="38"/>
  <c r="S24" i="38" s="1"/>
  <c r="R30" i="38"/>
  <c r="T33" i="38"/>
  <c r="S33" i="38" s="1"/>
  <c r="V34" i="38"/>
  <c r="U38" i="38"/>
  <c r="R39" i="38"/>
  <c r="U39" i="38" s="1"/>
  <c r="T42" i="38"/>
  <c r="S42" i="38" s="1"/>
  <c r="V43" i="38"/>
  <c r="V44" i="38"/>
  <c r="R48" i="38"/>
  <c r="U48" i="38" s="1"/>
  <c r="V52" i="38"/>
  <c r="T54" i="38"/>
  <c r="S54" i="38" s="1"/>
  <c r="V57" i="38"/>
  <c r="R60" i="38"/>
  <c r="U60" i="38" s="1"/>
  <c r="U62" i="38"/>
  <c r="L62" i="38"/>
  <c r="T62" i="38" s="1"/>
  <c r="S62" i="38" s="1"/>
  <c r="V70" i="38"/>
  <c r="U35" i="38"/>
  <c r="V68" i="38"/>
  <c r="T38" i="38"/>
  <c r="S38" i="38" s="1"/>
  <c r="V54" i="38"/>
  <c r="L59" i="38"/>
  <c r="T59" i="38" s="1"/>
  <c r="S59" i="38" s="1"/>
  <c r="T21" i="38"/>
  <c r="S21" i="38" s="1"/>
  <c r="V31" i="38"/>
  <c r="U44" i="38"/>
  <c r="V30" i="38"/>
  <c r="L35" i="38"/>
  <c r="T35" i="38" s="1"/>
  <c r="S35" i="38" s="1"/>
  <c r="J71" i="38"/>
  <c r="U23" i="38"/>
  <c r="T27" i="38"/>
  <c r="S27" i="38" s="1"/>
  <c r="V28" i="38"/>
  <c r="U32" i="38"/>
  <c r="T36" i="38"/>
  <c r="S36" i="38" s="1"/>
  <c r="U41" i="38"/>
  <c r="T45" i="38"/>
  <c r="S45" i="38" s="1"/>
  <c r="V46" i="38"/>
  <c r="U50" i="38"/>
  <c r="R51" i="38"/>
  <c r="U51" i="38" s="1"/>
  <c r="R54" i="38"/>
  <c r="U54" i="38" s="1"/>
  <c r="U56" i="38"/>
  <c r="L56" i="38"/>
  <c r="T56" i="38" s="1"/>
  <c r="S56" i="38" s="1"/>
  <c r="V59" i="38"/>
  <c r="T66" i="38"/>
  <c r="S66" i="38" s="1"/>
  <c r="K71" i="38"/>
  <c r="U26" i="38"/>
  <c r="T30" i="38"/>
  <c r="S30" i="38" s="1"/>
  <c r="V40" i="38"/>
  <c r="V21" i="38"/>
  <c r="L26" i="38"/>
  <c r="T26" i="38" s="1"/>
  <c r="S26" i="38" s="1"/>
  <c r="V39" i="38"/>
  <c r="L65" i="38"/>
  <c r="T65" i="38" s="1"/>
  <c r="S65" i="38" s="1"/>
  <c r="V18" i="38"/>
  <c r="L23" i="38"/>
  <c r="T23" i="38" s="1"/>
  <c r="S23" i="38" s="1"/>
  <c r="V27" i="38"/>
  <c r="L32" i="38"/>
  <c r="T32" i="38" s="1"/>
  <c r="S32" i="38" s="1"/>
  <c r="V36" i="38"/>
  <c r="L41" i="38"/>
  <c r="T41" i="38" s="1"/>
  <c r="S41" i="38" s="1"/>
  <c r="V45" i="38"/>
  <c r="L50" i="38"/>
  <c r="T50" i="38" s="1"/>
  <c r="S50" i="38" s="1"/>
  <c r="U53" i="38"/>
  <c r="L53" i="38"/>
  <c r="T53" i="38" s="1"/>
  <c r="S53" i="38" s="1"/>
  <c r="V61" i="38"/>
  <c r="T63" i="38"/>
  <c r="S63" i="38" s="1"/>
  <c r="V66" i="38"/>
  <c r="R69" i="38"/>
  <c r="U69" i="38" s="1"/>
  <c r="H18" i="38"/>
  <c r="H21" i="38"/>
  <c r="H24" i="38"/>
  <c r="H27" i="38"/>
  <c r="H30" i="38"/>
  <c r="H33" i="38"/>
  <c r="H36" i="38"/>
  <c r="H39" i="38"/>
  <c r="H42" i="38"/>
  <c r="H45" i="38"/>
  <c r="H48" i="38"/>
  <c r="H51" i="38"/>
  <c r="H54" i="38"/>
  <c r="H57" i="38"/>
  <c r="H60" i="38"/>
  <c r="H63" i="38"/>
  <c r="H66" i="38"/>
  <c r="H69" i="38"/>
  <c r="U18" i="38"/>
  <c r="G20" i="38"/>
  <c r="U21" i="38"/>
  <c r="G23" i="38"/>
  <c r="U24" i="38"/>
  <c r="G26" i="38"/>
  <c r="U27" i="38"/>
  <c r="G29" i="38"/>
  <c r="U30" i="38"/>
  <c r="G32" i="38"/>
  <c r="G35" i="38"/>
  <c r="G38" i="38"/>
  <c r="G41" i="38"/>
  <c r="G44" i="38"/>
  <c r="G47" i="38"/>
  <c r="G50" i="38"/>
  <c r="G53" i="38"/>
  <c r="G56" i="38"/>
  <c r="G59" i="38"/>
  <c r="G62" i="38"/>
  <c r="G65" i="38"/>
  <c r="G68" i="38"/>
  <c r="H20" i="38"/>
  <c r="H23" i="38"/>
  <c r="H26" i="38"/>
  <c r="H29" i="38"/>
  <c r="H32" i="38"/>
  <c r="H35" i="38"/>
  <c r="H38" i="38"/>
  <c r="H41" i="38"/>
  <c r="H44" i="38"/>
  <c r="H47" i="38"/>
  <c r="H50" i="38"/>
  <c r="H53" i="38"/>
  <c r="H56" i="38"/>
  <c r="H59" i="38"/>
  <c r="H62" i="38"/>
  <c r="H65" i="38"/>
  <c r="L18" i="38"/>
  <c r="G19" i="38"/>
  <c r="G22" i="38"/>
  <c r="G25" i="38"/>
  <c r="G28" i="38"/>
  <c r="G31" i="38"/>
  <c r="G34" i="38"/>
  <c r="G71" i="38" s="1"/>
  <c r="G37" i="38"/>
  <c r="G40" i="38"/>
  <c r="G43" i="38"/>
  <c r="G46" i="38"/>
  <c r="G49" i="38"/>
  <c r="G52" i="38"/>
  <c r="G55" i="38"/>
  <c r="G58" i="38"/>
  <c r="G61" i="38"/>
  <c r="G64" i="38"/>
  <c r="G67" i="38"/>
  <c r="T79" i="37"/>
  <c r="S79" i="37" s="1"/>
  <c r="V53" i="37"/>
  <c r="T58" i="37"/>
  <c r="S58" i="37" s="1"/>
  <c r="U42" i="37"/>
  <c r="U51" i="37"/>
  <c r="H80" i="37"/>
  <c r="H77" i="37"/>
  <c r="H74" i="37"/>
  <c r="H71" i="37"/>
  <c r="H68" i="37"/>
  <c r="H65" i="37"/>
  <c r="H62" i="37"/>
  <c r="H59" i="37"/>
  <c r="H56" i="37"/>
  <c r="H78" i="37"/>
  <c r="H75" i="37"/>
  <c r="H72" i="37"/>
  <c r="H69" i="37"/>
  <c r="H66" i="37"/>
  <c r="H63" i="37"/>
  <c r="H60" i="37"/>
  <c r="H57" i="37"/>
  <c r="H54" i="37"/>
  <c r="H51" i="37"/>
  <c r="H48" i="37"/>
  <c r="H81" i="37" s="1"/>
  <c r="P2" i="37" s="1"/>
  <c r="H45" i="37"/>
  <c r="H42" i="37"/>
  <c r="H39" i="37"/>
  <c r="U20" i="37"/>
  <c r="L20" i="37"/>
  <c r="T20" i="37" s="1"/>
  <c r="S20" i="37" s="1"/>
  <c r="U21" i="37"/>
  <c r="U25" i="37"/>
  <c r="U26" i="37"/>
  <c r="L26" i="37"/>
  <c r="T26" i="37" s="1"/>
  <c r="S26" i="37" s="1"/>
  <c r="L29" i="37"/>
  <c r="T29" i="37" s="1"/>
  <c r="S29" i="37" s="1"/>
  <c r="U30" i="37"/>
  <c r="U31" i="37"/>
  <c r="U35" i="37"/>
  <c r="L35" i="37"/>
  <c r="H40" i="37"/>
  <c r="R42" i="37"/>
  <c r="L45" i="37"/>
  <c r="T45" i="37" s="1"/>
  <c r="S45" i="37" s="1"/>
  <c r="V46" i="37"/>
  <c r="H49" i="37"/>
  <c r="L54" i="37"/>
  <c r="T54" i="37" s="1"/>
  <c r="S54" i="37" s="1"/>
  <c r="L59" i="37"/>
  <c r="T59" i="37" s="1"/>
  <c r="S59" i="37" s="1"/>
  <c r="H61" i="37"/>
  <c r="L68" i="37"/>
  <c r="H70" i="37"/>
  <c r="V75" i="37"/>
  <c r="L77" i="37"/>
  <c r="H79" i="37"/>
  <c r="L44" i="37"/>
  <c r="L18" i="37"/>
  <c r="U38" i="37"/>
  <c r="V39" i="37"/>
  <c r="H41" i="37"/>
  <c r="V48" i="37"/>
  <c r="T66" i="37"/>
  <c r="S66" i="37" s="1"/>
  <c r="U71" i="37"/>
  <c r="L71" i="37"/>
  <c r="T71" i="37" s="1"/>
  <c r="S71" i="37" s="1"/>
  <c r="R79" i="37"/>
  <c r="R76" i="37"/>
  <c r="T76" i="37" s="1"/>
  <c r="S76" i="37" s="1"/>
  <c r="R73" i="37"/>
  <c r="T73" i="37" s="1"/>
  <c r="S73" i="37" s="1"/>
  <c r="R70" i="37"/>
  <c r="T70" i="37" s="1"/>
  <c r="S70" i="37" s="1"/>
  <c r="R67" i="37"/>
  <c r="T67" i="37" s="1"/>
  <c r="S67" i="37" s="1"/>
  <c r="R64" i="37"/>
  <c r="T64" i="37" s="1"/>
  <c r="S64" i="37" s="1"/>
  <c r="R61" i="37"/>
  <c r="T61" i="37" s="1"/>
  <c r="S61" i="37" s="1"/>
  <c r="R58" i="37"/>
  <c r="R55" i="37"/>
  <c r="T55" i="37" s="1"/>
  <c r="S55" i="37" s="1"/>
  <c r="R80" i="37"/>
  <c r="V80" i="37" s="1"/>
  <c r="R77" i="37"/>
  <c r="V77" i="37" s="1"/>
  <c r="R74" i="37"/>
  <c r="T74" i="37" s="1"/>
  <c r="S74" i="37" s="1"/>
  <c r="R71" i="37"/>
  <c r="V71" i="37" s="1"/>
  <c r="R68" i="37"/>
  <c r="V68" i="37" s="1"/>
  <c r="R65" i="37"/>
  <c r="R62" i="37"/>
  <c r="U62" i="37" s="1"/>
  <c r="R59" i="37"/>
  <c r="V59" i="37" s="1"/>
  <c r="R56" i="37"/>
  <c r="R53" i="37"/>
  <c r="R50" i="37"/>
  <c r="V50" i="37" s="1"/>
  <c r="R47" i="37"/>
  <c r="T47" i="37" s="1"/>
  <c r="S47" i="37" s="1"/>
  <c r="R44" i="37"/>
  <c r="V44" i="37" s="1"/>
  <c r="R41" i="37"/>
  <c r="V41" i="37" s="1"/>
  <c r="R38" i="37"/>
  <c r="V38" i="37" s="1"/>
  <c r="R19" i="37"/>
  <c r="R81" i="37" s="1"/>
  <c r="R20" i="37"/>
  <c r="V20" i="37" s="1"/>
  <c r="R21" i="37"/>
  <c r="R22" i="37"/>
  <c r="R23" i="37"/>
  <c r="U23" i="37" s="1"/>
  <c r="R24" i="37"/>
  <c r="U24" i="37" s="1"/>
  <c r="R25" i="37"/>
  <c r="R26" i="37"/>
  <c r="V26" i="37" s="1"/>
  <c r="R27" i="37"/>
  <c r="R28" i="37"/>
  <c r="R29" i="37"/>
  <c r="V29" i="37" s="1"/>
  <c r="R30" i="37"/>
  <c r="R31" i="37"/>
  <c r="R32" i="37"/>
  <c r="R33" i="37"/>
  <c r="R34" i="37"/>
  <c r="R35" i="37"/>
  <c r="V35" i="37" s="1"/>
  <c r="R36" i="37"/>
  <c r="R37" i="37"/>
  <c r="T37" i="37" s="1"/>
  <c r="S37" i="37" s="1"/>
  <c r="L41" i="37"/>
  <c r="T41" i="37" s="1"/>
  <c r="S41" i="37" s="1"/>
  <c r="V42" i="37"/>
  <c r="H44" i="37"/>
  <c r="U45" i="37"/>
  <c r="R46" i="37"/>
  <c r="T46" i="37" s="1"/>
  <c r="S46" i="37" s="1"/>
  <c r="V47" i="37"/>
  <c r="U50" i="37"/>
  <c r="L50" i="37"/>
  <c r="T50" i="37" s="1"/>
  <c r="S50" i="37" s="1"/>
  <c r="V51" i="37"/>
  <c r="H53" i="37"/>
  <c r="U54" i="37"/>
  <c r="R57" i="37"/>
  <c r="T57" i="37" s="1"/>
  <c r="S57" i="37" s="1"/>
  <c r="U59" i="37"/>
  <c r="T63" i="37"/>
  <c r="S63" i="37" s="1"/>
  <c r="R66" i="37"/>
  <c r="V66" i="37" s="1"/>
  <c r="U68" i="37"/>
  <c r="T72" i="37"/>
  <c r="S72" i="37" s="1"/>
  <c r="R75" i="37"/>
  <c r="T75" i="37" s="1"/>
  <c r="S75" i="37" s="1"/>
  <c r="U77" i="37"/>
  <c r="V61" i="37"/>
  <c r="T65" i="37"/>
  <c r="S65" i="37" s="1"/>
  <c r="V18" i="37"/>
  <c r="U53" i="37"/>
  <c r="L53" i="37"/>
  <c r="T53" i="37" s="1"/>
  <c r="S53" i="37" s="1"/>
  <c r="U56" i="37"/>
  <c r="L56" i="37"/>
  <c r="U65" i="37"/>
  <c r="K81" i="37"/>
  <c r="G79" i="37"/>
  <c r="G76" i="37"/>
  <c r="G73" i="37"/>
  <c r="G70" i="37"/>
  <c r="G67" i="37"/>
  <c r="G64" i="37"/>
  <c r="G61" i="37"/>
  <c r="G58" i="37"/>
  <c r="G55" i="37"/>
  <c r="G52" i="37"/>
  <c r="G49" i="37"/>
  <c r="G46" i="37"/>
  <c r="G43" i="37"/>
  <c r="G40" i="37"/>
  <c r="G37" i="37"/>
  <c r="G34" i="37"/>
  <c r="G31" i="37"/>
  <c r="G28" i="37"/>
  <c r="G25" i="37"/>
  <c r="G22" i="37"/>
  <c r="G19" i="37"/>
  <c r="G80" i="37"/>
  <c r="G77" i="37"/>
  <c r="G74" i="37"/>
  <c r="G71" i="37"/>
  <c r="G68" i="37"/>
  <c r="G65" i="37"/>
  <c r="G62" i="37"/>
  <c r="G59" i="37"/>
  <c r="G56" i="37"/>
  <c r="G53" i="37"/>
  <c r="G50" i="37"/>
  <c r="G47" i="37"/>
  <c r="G44" i="37"/>
  <c r="G41" i="37"/>
  <c r="G38" i="37"/>
  <c r="G35" i="37"/>
  <c r="G32" i="37"/>
  <c r="G29" i="37"/>
  <c r="G26" i="37"/>
  <c r="G23" i="37"/>
  <c r="G20" i="37"/>
  <c r="G78" i="37"/>
  <c r="G75" i="37"/>
  <c r="G72" i="37"/>
  <c r="G69" i="37"/>
  <c r="G66" i="37"/>
  <c r="G63" i="37"/>
  <c r="G60" i="37"/>
  <c r="G57" i="37"/>
  <c r="G54" i="37"/>
  <c r="G51" i="37"/>
  <c r="G48" i="37"/>
  <c r="G45" i="37"/>
  <c r="G42" i="37"/>
  <c r="G39" i="37"/>
  <c r="G36" i="37"/>
  <c r="G33" i="37"/>
  <c r="G30" i="37"/>
  <c r="G27" i="37"/>
  <c r="G24" i="37"/>
  <c r="G21" i="37"/>
  <c r="G18" i="37"/>
  <c r="T42" i="37"/>
  <c r="S42" i="37" s="1"/>
  <c r="T51" i="37"/>
  <c r="S51" i="37" s="1"/>
  <c r="V56" i="37"/>
  <c r="V58" i="37"/>
  <c r="V65" i="37"/>
  <c r="U37" i="37"/>
  <c r="U40" i="37"/>
  <c r="U43" i="37"/>
  <c r="U46" i="37"/>
  <c r="U49" i="37"/>
  <c r="U52" i="37"/>
  <c r="U55" i="37"/>
  <c r="U58" i="37"/>
  <c r="U61" i="37"/>
  <c r="U73" i="37"/>
  <c r="U76" i="37"/>
  <c r="U79" i="37"/>
  <c r="V73" i="37"/>
  <c r="V76" i="37"/>
  <c r="V79" i="37"/>
  <c r="U57" i="37"/>
  <c r="U60" i="37"/>
  <c r="U63" i="37"/>
  <c r="U66" i="37"/>
  <c r="U69" i="37"/>
  <c r="U72" i="37"/>
  <c r="U75" i="37"/>
  <c r="U78" i="37"/>
  <c r="V57" i="37"/>
  <c r="V60" i="37"/>
  <c r="T29" i="36"/>
  <c r="S29" i="36" s="1"/>
  <c r="V41" i="36"/>
  <c r="V47" i="36"/>
  <c r="T37" i="36"/>
  <c r="S37" i="36" s="1"/>
  <c r="V71" i="36"/>
  <c r="V80" i="36"/>
  <c r="T20" i="36"/>
  <c r="S20" i="36" s="1"/>
  <c r="T28" i="36"/>
  <c r="S28" i="36" s="1"/>
  <c r="T41" i="36"/>
  <c r="S41" i="36" s="1"/>
  <c r="R79" i="36"/>
  <c r="R76" i="36"/>
  <c r="R73" i="36"/>
  <c r="R80" i="36"/>
  <c r="U80" i="36" s="1"/>
  <c r="R77" i="36"/>
  <c r="V77" i="36" s="1"/>
  <c r="R74" i="36"/>
  <c r="V74" i="36" s="1"/>
  <c r="R71" i="36"/>
  <c r="R68" i="36"/>
  <c r="V68" i="36" s="1"/>
  <c r="R65" i="36"/>
  <c r="T65" i="36" s="1"/>
  <c r="S65" i="36" s="1"/>
  <c r="R62" i="36"/>
  <c r="T62" i="36" s="1"/>
  <c r="S62" i="36" s="1"/>
  <c r="R59" i="36"/>
  <c r="U59" i="36" s="1"/>
  <c r="R56" i="36"/>
  <c r="R53" i="36"/>
  <c r="R50" i="36"/>
  <c r="V50" i="36" s="1"/>
  <c r="R47" i="36"/>
  <c r="T47" i="36" s="1"/>
  <c r="S47" i="36" s="1"/>
  <c r="R44" i="36"/>
  <c r="R41" i="36"/>
  <c r="R38" i="36"/>
  <c r="T38" i="36" s="1"/>
  <c r="S38" i="36" s="1"/>
  <c r="R35" i="36"/>
  <c r="R32" i="36"/>
  <c r="V32" i="36" s="1"/>
  <c r="R29" i="36"/>
  <c r="R26" i="36"/>
  <c r="R23" i="36"/>
  <c r="V23" i="36" s="1"/>
  <c r="R20" i="36"/>
  <c r="R19" i="36"/>
  <c r="H22" i="36"/>
  <c r="R24" i="36"/>
  <c r="R81" i="36" s="1"/>
  <c r="H26" i="36"/>
  <c r="V27" i="36"/>
  <c r="R28" i="36"/>
  <c r="H31" i="36"/>
  <c r="R33" i="36"/>
  <c r="T33" i="36" s="1"/>
  <c r="S33" i="36" s="1"/>
  <c r="H35" i="36"/>
  <c r="V36" i="36"/>
  <c r="R37" i="36"/>
  <c r="H40" i="36"/>
  <c r="R42" i="36"/>
  <c r="H44" i="36"/>
  <c r="V45" i="36"/>
  <c r="R46" i="36"/>
  <c r="T46" i="36" s="1"/>
  <c r="S46" i="36" s="1"/>
  <c r="R48" i="36"/>
  <c r="H56" i="36"/>
  <c r="H58" i="36"/>
  <c r="V59" i="36"/>
  <c r="G61" i="36"/>
  <c r="V63" i="36"/>
  <c r="R64" i="36"/>
  <c r="R66" i="36"/>
  <c r="T66" i="36" s="1"/>
  <c r="S66" i="36" s="1"/>
  <c r="T69" i="36"/>
  <c r="S69" i="36" s="1"/>
  <c r="R72" i="36"/>
  <c r="R78" i="36"/>
  <c r="G20" i="36"/>
  <c r="G29" i="36"/>
  <c r="G34" i="36"/>
  <c r="G38" i="36"/>
  <c r="G52" i="36"/>
  <c r="V75" i="36"/>
  <c r="U75" i="36"/>
  <c r="G19" i="36"/>
  <c r="T21" i="36"/>
  <c r="S21" i="36" s="1"/>
  <c r="G23" i="36"/>
  <c r="U23" i="36"/>
  <c r="G28" i="36"/>
  <c r="G32" i="36"/>
  <c r="U32" i="36"/>
  <c r="G37" i="36"/>
  <c r="T39" i="36"/>
  <c r="S39" i="36" s="1"/>
  <c r="G41" i="36"/>
  <c r="U41" i="36"/>
  <c r="L44" i="36"/>
  <c r="G46" i="36"/>
  <c r="U47" i="36"/>
  <c r="R49" i="36"/>
  <c r="R51" i="36"/>
  <c r="T51" i="36" s="1"/>
  <c r="S51" i="36" s="1"/>
  <c r="L56" i="36"/>
  <c r="T56" i="36" s="1"/>
  <c r="S56" i="36" s="1"/>
  <c r="H59" i="36"/>
  <c r="H61" i="36"/>
  <c r="G64" i="36"/>
  <c r="R67" i="36"/>
  <c r="R69" i="36"/>
  <c r="U71" i="36"/>
  <c r="G73" i="36"/>
  <c r="U77" i="36"/>
  <c r="G79" i="36"/>
  <c r="T18" i="36"/>
  <c r="V55" i="36"/>
  <c r="U55" i="36"/>
  <c r="H19" i="36"/>
  <c r="R21" i="36"/>
  <c r="H23" i="36"/>
  <c r="R25" i="36"/>
  <c r="H28" i="36"/>
  <c r="R30" i="36"/>
  <c r="T30" i="36" s="1"/>
  <c r="S30" i="36" s="1"/>
  <c r="H32" i="36"/>
  <c r="R34" i="36"/>
  <c r="H37" i="36"/>
  <c r="R39" i="36"/>
  <c r="H41" i="36"/>
  <c r="R43" i="36"/>
  <c r="H46" i="36"/>
  <c r="G49" i="36"/>
  <c r="R52" i="36"/>
  <c r="R54" i="36"/>
  <c r="T57" i="36"/>
  <c r="S57" i="36" s="1"/>
  <c r="L59" i="36"/>
  <c r="T59" i="36" s="1"/>
  <c r="S59" i="36" s="1"/>
  <c r="H62" i="36"/>
  <c r="H64" i="36"/>
  <c r="R70" i="36"/>
  <c r="H73" i="36"/>
  <c r="L74" i="36"/>
  <c r="T74" i="36" s="1"/>
  <c r="S74" i="36" s="1"/>
  <c r="T75" i="36"/>
  <c r="S75" i="36" s="1"/>
  <c r="H79" i="36"/>
  <c r="L80" i="36"/>
  <c r="G80" i="36"/>
  <c r="G77" i="36"/>
  <c r="G74" i="36"/>
  <c r="G71" i="36"/>
  <c r="G68" i="36"/>
  <c r="G65" i="36"/>
  <c r="G62" i="36"/>
  <c r="G59" i="36"/>
  <c r="G56" i="36"/>
  <c r="G53" i="36"/>
  <c r="G50" i="36"/>
  <c r="G47" i="36"/>
  <c r="G78" i="36"/>
  <c r="G75" i="36"/>
  <c r="G72" i="36"/>
  <c r="G69" i="36"/>
  <c r="G66" i="36"/>
  <c r="G63" i="36"/>
  <c r="G60" i="36"/>
  <c r="G57" i="36"/>
  <c r="G54" i="36"/>
  <c r="G51" i="36"/>
  <c r="G48" i="36"/>
  <c r="G45" i="36"/>
  <c r="G42" i="36"/>
  <c r="G39" i="36"/>
  <c r="G36" i="36"/>
  <c r="G33" i="36"/>
  <c r="G30" i="36"/>
  <c r="G27" i="36"/>
  <c r="G24" i="36"/>
  <c r="G21" i="36"/>
  <c r="G18" i="36"/>
  <c r="G25" i="36"/>
  <c r="G70" i="36"/>
  <c r="K81" i="36"/>
  <c r="H20" i="36"/>
  <c r="V22" i="36"/>
  <c r="U22" i="36"/>
  <c r="H25" i="36"/>
  <c r="H29" i="36"/>
  <c r="V31" i="36"/>
  <c r="U31" i="36"/>
  <c r="H34" i="36"/>
  <c r="H38" i="36"/>
  <c r="V40" i="36"/>
  <c r="U40" i="36"/>
  <c r="H50" i="36"/>
  <c r="H52" i="36"/>
  <c r="G55" i="36"/>
  <c r="V57" i="36"/>
  <c r="V58" i="36"/>
  <c r="U58" i="36"/>
  <c r="H68" i="36"/>
  <c r="U74" i="36"/>
  <c r="G76" i="36"/>
  <c r="G43" i="36"/>
  <c r="H80" i="36"/>
  <c r="H77" i="36"/>
  <c r="H74" i="36"/>
  <c r="H71" i="36"/>
  <c r="H78" i="36"/>
  <c r="H75" i="36"/>
  <c r="H72" i="36"/>
  <c r="H69" i="36"/>
  <c r="H66" i="36"/>
  <c r="H63" i="36"/>
  <c r="H60" i="36"/>
  <c r="H57" i="36"/>
  <c r="H54" i="36"/>
  <c r="H51" i="36"/>
  <c r="H48" i="36"/>
  <c r="H45" i="36"/>
  <c r="H42" i="36"/>
  <c r="H39" i="36"/>
  <c r="H36" i="36"/>
  <c r="H33" i="36"/>
  <c r="H30" i="36"/>
  <c r="H27" i="36"/>
  <c r="H24" i="36"/>
  <c r="H21" i="36"/>
  <c r="H18" i="36"/>
  <c r="U18" i="36"/>
  <c r="G22" i="36"/>
  <c r="T24" i="36"/>
  <c r="S24" i="36" s="1"/>
  <c r="G26" i="36"/>
  <c r="G31" i="36"/>
  <c r="G35" i="36"/>
  <c r="G40" i="36"/>
  <c r="T42" i="36"/>
  <c r="S42" i="36" s="1"/>
  <c r="G44" i="36"/>
  <c r="T48" i="36"/>
  <c r="S48" i="36" s="1"/>
  <c r="H53" i="36"/>
  <c r="H55" i="36"/>
  <c r="T55" i="36"/>
  <c r="S55" i="36" s="1"/>
  <c r="G58" i="36"/>
  <c r="V60" i="36"/>
  <c r="V61" i="36"/>
  <c r="U61" i="36"/>
  <c r="T71" i="36"/>
  <c r="S71" i="36" s="1"/>
  <c r="H76" i="36"/>
  <c r="T77" i="36"/>
  <c r="S77" i="36" s="1"/>
  <c r="T78" i="36"/>
  <c r="S78" i="36" s="1"/>
  <c r="U33" i="35"/>
  <c r="U42" i="35"/>
  <c r="U60" i="35"/>
  <c r="V47" i="35"/>
  <c r="T59" i="35"/>
  <c r="S59" i="35" s="1"/>
  <c r="U59" i="35"/>
  <c r="V23" i="35"/>
  <c r="U45" i="35"/>
  <c r="V32" i="35"/>
  <c r="V50" i="35"/>
  <c r="V59" i="35"/>
  <c r="H20" i="35"/>
  <c r="H29" i="35"/>
  <c r="H35" i="35"/>
  <c r="H44" i="35"/>
  <c r="V54" i="35"/>
  <c r="H56" i="35"/>
  <c r="H59" i="35"/>
  <c r="V60" i="35"/>
  <c r="L18" i="35"/>
  <c r="U20" i="35"/>
  <c r="L21" i="35"/>
  <c r="G22" i="35"/>
  <c r="L24" i="35"/>
  <c r="T24" i="35" s="1"/>
  <c r="S24" i="35" s="1"/>
  <c r="G25" i="35"/>
  <c r="G28" i="35"/>
  <c r="L30" i="35"/>
  <c r="G31" i="35"/>
  <c r="L33" i="35"/>
  <c r="G34" i="35"/>
  <c r="L36" i="35"/>
  <c r="G37" i="35"/>
  <c r="L39" i="35"/>
  <c r="G40" i="35"/>
  <c r="L42" i="35"/>
  <c r="G43" i="35"/>
  <c r="L45" i="35"/>
  <c r="G46" i="35"/>
  <c r="L48" i="35"/>
  <c r="G49" i="35"/>
  <c r="L51" i="35"/>
  <c r="G52" i="35"/>
  <c r="L54" i="35"/>
  <c r="G55" i="35"/>
  <c r="L57" i="35"/>
  <c r="G58" i="35"/>
  <c r="L60" i="35"/>
  <c r="H23" i="35"/>
  <c r="V24" i="35"/>
  <c r="H38" i="35"/>
  <c r="H41" i="35"/>
  <c r="R18" i="35"/>
  <c r="H19" i="35"/>
  <c r="R21" i="35"/>
  <c r="U21" i="35" s="1"/>
  <c r="H22" i="35"/>
  <c r="R24" i="35"/>
  <c r="U24" i="35" s="1"/>
  <c r="H25" i="35"/>
  <c r="R27" i="35"/>
  <c r="K27" i="35" s="1"/>
  <c r="H28" i="35"/>
  <c r="R30" i="35"/>
  <c r="U30" i="35" s="1"/>
  <c r="H31" i="35"/>
  <c r="R33" i="35"/>
  <c r="H34" i="35"/>
  <c r="R36" i="35"/>
  <c r="U36" i="35" s="1"/>
  <c r="H37" i="35"/>
  <c r="R39" i="35"/>
  <c r="U39" i="35" s="1"/>
  <c r="H40" i="35"/>
  <c r="R42" i="35"/>
  <c r="H43" i="35"/>
  <c r="R45" i="35"/>
  <c r="H46" i="35"/>
  <c r="R48" i="35"/>
  <c r="U48" i="35" s="1"/>
  <c r="H49" i="35"/>
  <c r="R51" i="35"/>
  <c r="U51" i="35" s="1"/>
  <c r="H52" i="35"/>
  <c r="R54" i="35"/>
  <c r="U54" i="35" s="1"/>
  <c r="H55" i="35"/>
  <c r="R57" i="35"/>
  <c r="V57" i="35" s="1"/>
  <c r="H58" i="35"/>
  <c r="R60" i="35"/>
  <c r="V18" i="35"/>
  <c r="H26" i="35"/>
  <c r="V33" i="35"/>
  <c r="V48" i="35"/>
  <c r="H50" i="35"/>
  <c r="H53" i="35"/>
  <c r="G30" i="35"/>
  <c r="G33" i="35"/>
  <c r="G36" i="35"/>
  <c r="G39" i="35"/>
  <c r="G42" i="35"/>
  <c r="G45" i="35"/>
  <c r="G48" i="35"/>
  <c r="G51" i="35"/>
  <c r="G54" i="35"/>
  <c r="G57" i="35"/>
  <c r="G60" i="35"/>
  <c r="H32" i="35"/>
  <c r="V42" i="35"/>
  <c r="V45" i="35"/>
  <c r="H18" i="35"/>
  <c r="R20" i="35"/>
  <c r="T20" i="35" s="1"/>
  <c r="S20" i="35" s="1"/>
  <c r="H21" i="35"/>
  <c r="R23" i="35"/>
  <c r="H24" i="35"/>
  <c r="R26" i="35"/>
  <c r="V26" i="35" s="1"/>
  <c r="H27" i="35"/>
  <c r="R29" i="35"/>
  <c r="V29" i="35" s="1"/>
  <c r="H30" i="35"/>
  <c r="R32" i="35"/>
  <c r="H33" i="35"/>
  <c r="R35" i="35"/>
  <c r="H36" i="35"/>
  <c r="R38" i="35"/>
  <c r="V38" i="35" s="1"/>
  <c r="H39" i="35"/>
  <c r="R41" i="35"/>
  <c r="H42" i="35"/>
  <c r="R44" i="35"/>
  <c r="H45" i="35"/>
  <c r="R47" i="35"/>
  <c r="H48" i="35"/>
  <c r="R50" i="35"/>
  <c r="H51" i="35"/>
  <c r="R53" i="35"/>
  <c r="H54" i="35"/>
  <c r="R56" i="35"/>
  <c r="H57" i="35"/>
  <c r="G20" i="35"/>
  <c r="G61" i="35" s="1"/>
  <c r="G23" i="35"/>
  <c r="G26" i="35"/>
  <c r="G29" i="35"/>
  <c r="G32" i="35"/>
  <c r="G35" i="35"/>
  <c r="G38" i="35"/>
  <c r="G41" i="35"/>
  <c r="G44" i="35"/>
  <c r="G47" i="35"/>
  <c r="G50" i="35"/>
  <c r="G53" i="35"/>
  <c r="G56" i="35"/>
  <c r="T26" i="34"/>
  <c r="S26" i="34" s="1"/>
  <c r="T23" i="34"/>
  <c r="S23" i="34" s="1"/>
  <c r="V57" i="34"/>
  <c r="T32" i="34"/>
  <c r="S32" i="34" s="1"/>
  <c r="U18" i="34"/>
  <c r="U36" i="34"/>
  <c r="L36" i="34"/>
  <c r="T36" i="34" s="1"/>
  <c r="S36" i="34" s="1"/>
  <c r="U39" i="34"/>
  <c r="L39" i="34"/>
  <c r="T39" i="34" s="1"/>
  <c r="S39" i="34" s="1"/>
  <c r="L45" i="34"/>
  <c r="U48" i="34"/>
  <c r="L48" i="34"/>
  <c r="T48" i="34" s="1"/>
  <c r="S48" i="34" s="1"/>
  <c r="L54" i="34"/>
  <c r="T54" i="34" s="1"/>
  <c r="S54" i="34" s="1"/>
  <c r="L60" i="34"/>
  <c r="L18" i="34"/>
  <c r="T22" i="34"/>
  <c r="S22" i="34" s="1"/>
  <c r="L24" i="34"/>
  <c r="T28" i="34"/>
  <c r="S28" i="34" s="1"/>
  <c r="L30" i="34"/>
  <c r="T30" i="34" s="1"/>
  <c r="S30" i="34" s="1"/>
  <c r="T34" i="34"/>
  <c r="S34" i="34" s="1"/>
  <c r="V36" i="34"/>
  <c r="V39" i="34"/>
  <c r="V48" i="34"/>
  <c r="V54" i="34"/>
  <c r="U57" i="34"/>
  <c r="L57" i="34"/>
  <c r="T57" i="34" s="1"/>
  <c r="S57" i="34" s="1"/>
  <c r="H60" i="34"/>
  <c r="H57" i="34"/>
  <c r="H54" i="34"/>
  <c r="H51" i="34"/>
  <c r="H48" i="34"/>
  <c r="H45" i="34"/>
  <c r="H42" i="34"/>
  <c r="H39" i="34"/>
  <c r="H36" i="34"/>
  <c r="H33" i="34"/>
  <c r="H30" i="34"/>
  <c r="H27" i="34"/>
  <c r="H24" i="34"/>
  <c r="H21" i="34"/>
  <c r="H18" i="34"/>
  <c r="H58" i="34"/>
  <c r="H55" i="34"/>
  <c r="H52" i="34"/>
  <c r="H49" i="34"/>
  <c r="H46" i="34"/>
  <c r="H43" i="34"/>
  <c r="H40" i="34"/>
  <c r="H37" i="34"/>
  <c r="H34" i="34"/>
  <c r="H31" i="34"/>
  <c r="H28" i="34"/>
  <c r="H25" i="34"/>
  <c r="H22" i="34"/>
  <c r="H19" i="34"/>
  <c r="H20" i="34"/>
  <c r="V22" i="34"/>
  <c r="V24" i="34"/>
  <c r="H26" i="34"/>
  <c r="V28" i="34"/>
  <c r="V30" i="34"/>
  <c r="H32" i="34"/>
  <c r="V34" i="34"/>
  <c r="V59" i="34"/>
  <c r="L42" i="34"/>
  <c r="U33" i="34"/>
  <c r="T59" i="34"/>
  <c r="S59" i="34" s="1"/>
  <c r="L51" i="34"/>
  <c r="T19" i="34"/>
  <c r="S19" i="34" s="1"/>
  <c r="L21" i="34"/>
  <c r="T21" i="34" s="1"/>
  <c r="S21" i="34" s="1"/>
  <c r="T25" i="34"/>
  <c r="S25" i="34" s="1"/>
  <c r="T31" i="34"/>
  <c r="S31" i="34" s="1"/>
  <c r="L33" i="34"/>
  <c r="T33" i="34" s="1"/>
  <c r="S33" i="34" s="1"/>
  <c r="J61" i="34"/>
  <c r="V19" i="34"/>
  <c r="V21" i="34"/>
  <c r="H23" i="34"/>
  <c r="V25" i="34"/>
  <c r="H29" i="34"/>
  <c r="V31" i="34"/>
  <c r="R18" i="34"/>
  <c r="R21" i="34"/>
  <c r="U21" i="34" s="1"/>
  <c r="R24" i="34"/>
  <c r="U24" i="34" s="1"/>
  <c r="R27" i="34"/>
  <c r="K27" i="34" s="1"/>
  <c r="R30" i="34"/>
  <c r="U30" i="34" s="1"/>
  <c r="R33" i="34"/>
  <c r="V33" i="34" s="1"/>
  <c r="R36" i="34"/>
  <c r="R39" i="34"/>
  <c r="R42" i="34"/>
  <c r="U42" i="34" s="1"/>
  <c r="R45" i="34"/>
  <c r="U45" i="34" s="1"/>
  <c r="R48" i="34"/>
  <c r="R51" i="34"/>
  <c r="U51" i="34" s="1"/>
  <c r="R54" i="34"/>
  <c r="U54" i="34" s="1"/>
  <c r="R57" i="34"/>
  <c r="R60" i="34"/>
  <c r="V60" i="34" s="1"/>
  <c r="R20" i="34"/>
  <c r="U20" i="34" s="1"/>
  <c r="R23" i="34"/>
  <c r="U23" i="34" s="1"/>
  <c r="R26" i="34"/>
  <c r="U26" i="34" s="1"/>
  <c r="R29" i="34"/>
  <c r="U29" i="34" s="1"/>
  <c r="R32" i="34"/>
  <c r="U32" i="34" s="1"/>
  <c r="R35" i="34"/>
  <c r="U35" i="34" s="1"/>
  <c r="R38" i="34"/>
  <c r="R41" i="34"/>
  <c r="R44" i="34"/>
  <c r="R47" i="34"/>
  <c r="R50" i="34"/>
  <c r="R53" i="34"/>
  <c r="R56" i="34"/>
  <c r="V56" i="34" s="1"/>
  <c r="G20" i="34"/>
  <c r="G23" i="34"/>
  <c r="G61" i="34" s="1"/>
  <c r="G26" i="34"/>
  <c r="G29" i="34"/>
  <c r="G32" i="34"/>
  <c r="G35" i="34"/>
  <c r="G38" i="34"/>
  <c r="G41" i="34"/>
  <c r="G44" i="34"/>
  <c r="G47" i="34"/>
  <c r="G50" i="34"/>
  <c r="G53" i="34"/>
  <c r="G56" i="34"/>
  <c r="U36" i="33"/>
  <c r="U54" i="33"/>
  <c r="L18" i="33"/>
  <c r="U30" i="33"/>
  <c r="H50" i="33"/>
  <c r="H29" i="33"/>
  <c r="H41" i="33"/>
  <c r="H32" i="33"/>
  <c r="H26" i="33"/>
  <c r="H59" i="33"/>
  <c r="H53" i="33"/>
  <c r="H47" i="33"/>
  <c r="H38" i="33"/>
  <c r="H56" i="33"/>
  <c r="H44" i="33"/>
  <c r="H35" i="33"/>
  <c r="L21" i="33"/>
  <c r="T21" i="33" s="1"/>
  <c r="S21" i="33" s="1"/>
  <c r="H23" i="33"/>
  <c r="T53" i="33"/>
  <c r="S53" i="33" s="1"/>
  <c r="T59" i="33"/>
  <c r="S59" i="33" s="1"/>
  <c r="H60" i="33"/>
  <c r="V21" i="33"/>
  <c r="U24" i="33"/>
  <c r="V59" i="33"/>
  <c r="V24" i="33"/>
  <c r="V57" i="33"/>
  <c r="U29" i="33"/>
  <c r="L33" i="33"/>
  <c r="U35" i="33"/>
  <c r="L51" i="33"/>
  <c r="T51" i="33" s="1"/>
  <c r="S51" i="33" s="1"/>
  <c r="R18" i="33"/>
  <c r="U18" i="33" s="1"/>
  <c r="H19" i="33"/>
  <c r="R21" i="33"/>
  <c r="U21" i="33" s="1"/>
  <c r="H22" i="33"/>
  <c r="R24" i="33"/>
  <c r="H25" i="33"/>
  <c r="R27" i="33"/>
  <c r="K27" i="33" s="1"/>
  <c r="K61" i="33" s="1"/>
  <c r="H28" i="33"/>
  <c r="R30" i="33"/>
  <c r="H31" i="33"/>
  <c r="R33" i="33"/>
  <c r="U33" i="33" s="1"/>
  <c r="H34" i="33"/>
  <c r="R36" i="33"/>
  <c r="H37" i="33"/>
  <c r="R39" i="33"/>
  <c r="U39" i="33" s="1"/>
  <c r="H40" i="33"/>
  <c r="R42" i="33"/>
  <c r="U42" i="33" s="1"/>
  <c r="H43" i="33"/>
  <c r="R45" i="33"/>
  <c r="U45" i="33" s="1"/>
  <c r="H46" i="33"/>
  <c r="R48" i="33"/>
  <c r="V48" i="33" s="1"/>
  <c r="H49" i="33"/>
  <c r="R51" i="33"/>
  <c r="U51" i="33" s="1"/>
  <c r="H52" i="33"/>
  <c r="R54" i="33"/>
  <c r="H55" i="33"/>
  <c r="R57" i="33"/>
  <c r="U57" i="33" s="1"/>
  <c r="H58" i="33"/>
  <c r="R60" i="33"/>
  <c r="U60" i="33" s="1"/>
  <c r="V54" i="33"/>
  <c r="U20" i="33"/>
  <c r="L24" i="33"/>
  <c r="L30" i="33"/>
  <c r="T30" i="33" s="1"/>
  <c r="S30" i="33" s="1"/>
  <c r="L54" i="33"/>
  <c r="T54" i="33" s="1"/>
  <c r="S54" i="33" s="1"/>
  <c r="U19" i="33"/>
  <c r="U22" i="33"/>
  <c r="L23" i="33"/>
  <c r="T23" i="33" s="1"/>
  <c r="S23" i="33" s="1"/>
  <c r="U25" i="33"/>
  <c r="L26" i="33"/>
  <c r="T26" i="33" s="1"/>
  <c r="S26" i="33" s="1"/>
  <c r="U28" i="33"/>
  <c r="U31" i="33"/>
  <c r="L32" i="33"/>
  <c r="T32" i="33" s="1"/>
  <c r="S32" i="33" s="1"/>
  <c r="U34" i="33"/>
  <c r="U37" i="33"/>
  <c r="L38" i="33"/>
  <c r="T38" i="33" s="1"/>
  <c r="S38" i="33" s="1"/>
  <c r="U40" i="33"/>
  <c r="U43" i="33"/>
  <c r="L44" i="33"/>
  <c r="T44" i="33" s="1"/>
  <c r="S44" i="33" s="1"/>
  <c r="U46" i="33"/>
  <c r="V39" i="33"/>
  <c r="L39" i="33"/>
  <c r="T39" i="33" s="1"/>
  <c r="S39" i="33" s="1"/>
  <c r="L48" i="33"/>
  <c r="T48" i="33" s="1"/>
  <c r="S48" i="33" s="1"/>
  <c r="L57" i="33"/>
  <c r="T57" i="33" s="1"/>
  <c r="S57" i="33" s="1"/>
  <c r="L60" i="33"/>
  <c r="H18" i="33"/>
  <c r="H21" i="33"/>
  <c r="H24" i="33"/>
  <c r="H27" i="33"/>
  <c r="H30" i="33"/>
  <c r="H33" i="33"/>
  <c r="H36" i="33"/>
  <c r="H39" i="33"/>
  <c r="H42" i="33"/>
  <c r="H45" i="33"/>
  <c r="H48" i="33"/>
  <c r="R50" i="33"/>
  <c r="U50" i="33" s="1"/>
  <c r="H51" i="33"/>
  <c r="R53" i="33"/>
  <c r="U53" i="33" s="1"/>
  <c r="H54" i="33"/>
  <c r="R56" i="33"/>
  <c r="U56" i="33" s="1"/>
  <c r="H57" i="33"/>
  <c r="V30" i="33"/>
  <c r="V36" i="33"/>
  <c r="V45" i="33"/>
  <c r="V51" i="33"/>
  <c r="L36" i="33"/>
  <c r="T36" i="33" s="1"/>
  <c r="S36" i="33" s="1"/>
  <c r="L42" i="33"/>
  <c r="L45" i="33"/>
  <c r="T45" i="33" s="1"/>
  <c r="S45" i="33" s="1"/>
  <c r="G20" i="33"/>
  <c r="G23" i="33"/>
  <c r="G61" i="33" s="1"/>
  <c r="G26" i="33"/>
  <c r="G29" i="33"/>
  <c r="G32" i="33"/>
  <c r="G35" i="33"/>
  <c r="G38" i="33"/>
  <c r="G41" i="33"/>
  <c r="G44" i="33"/>
  <c r="G47" i="33"/>
  <c r="G50" i="33"/>
  <c r="G53" i="33"/>
  <c r="G56" i="33"/>
  <c r="V35" i="32"/>
  <c r="V53" i="32"/>
  <c r="T33" i="32"/>
  <c r="S33" i="32" s="1"/>
  <c r="T51" i="32"/>
  <c r="S51" i="32" s="1"/>
  <c r="T24" i="32"/>
  <c r="S24" i="32" s="1"/>
  <c r="T26" i="32"/>
  <c r="S26" i="32" s="1"/>
  <c r="V40" i="32"/>
  <c r="U42" i="32"/>
  <c r="V58" i="32"/>
  <c r="U60" i="32"/>
  <c r="T34" i="32"/>
  <c r="S34" i="32" s="1"/>
  <c r="T47" i="32"/>
  <c r="S47" i="32" s="1"/>
  <c r="T52" i="32"/>
  <c r="S52" i="32" s="1"/>
  <c r="V25" i="32"/>
  <c r="T28" i="32"/>
  <c r="S28" i="32" s="1"/>
  <c r="T41" i="32"/>
  <c r="S41" i="32" s="1"/>
  <c r="T46" i="32"/>
  <c r="S46" i="32" s="1"/>
  <c r="R19" i="32"/>
  <c r="U19" i="32" s="1"/>
  <c r="H20" i="32"/>
  <c r="R22" i="32"/>
  <c r="U22" i="32" s="1"/>
  <c r="H23" i="32"/>
  <c r="V24" i="32"/>
  <c r="R25" i="32"/>
  <c r="U25" i="32" s="1"/>
  <c r="H26" i="32"/>
  <c r="R28" i="32"/>
  <c r="U28" i="32" s="1"/>
  <c r="H29" i="32"/>
  <c r="R31" i="32"/>
  <c r="U31" i="32" s="1"/>
  <c r="H32" i="32"/>
  <c r="R34" i="32"/>
  <c r="U34" i="32" s="1"/>
  <c r="H35" i="32"/>
  <c r="R37" i="32"/>
  <c r="U37" i="32" s="1"/>
  <c r="H38" i="32"/>
  <c r="R40" i="32"/>
  <c r="U40" i="32" s="1"/>
  <c r="H41" i="32"/>
  <c r="R43" i="32"/>
  <c r="U43" i="32" s="1"/>
  <c r="H44" i="32"/>
  <c r="R46" i="32"/>
  <c r="U46" i="32" s="1"/>
  <c r="H47" i="32"/>
  <c r="R49" i="32"/>
  <c r="U49" i="32" s="1"/>
  <c r="H50" i="32"/>
  <c r="R52" i="32"/>
  <c r="U52" i="32" s="1"/>
  <c r="H53" i="32"/>
  <c r="R55" i="32"/>
  <c r="U55" i="32" s="1"/>
  <c r="H56" i="32"/>
  <c r="R58" i="32"/>
  <c r="U58" i="32" s="1"/>
  <c r="H59" i="32"/>
  <c r="L18" i="32"/>
  <c r="G19" i="32"/>
  <c r="G61" i="32" s="1"/>
  <c r="G22" i="32"/>
  <c r="G25" i="32"/>
  <c r="U26" i="32"/>
  <c r="G28" i="32"/>
  <c r="G31" i="32"/>
  <c r="G34" i="32"/>
  <c r="U35" i="32"/>
  <c r="G37" i="32"/>
  <c r="G40" i="32"/>
  <c r="G43" i="32"/>
  <c r="U44" i="32"/>
  <c r="G46" i="32"/>
  <c r="G49" i="32"/>
  <c r="G52" i="32"/>
  <c r="U53" i="32"/>
  <c r="G55" i="32"/>
  <c r="G58" i="32"/>
  <c r="U59" i="32"/>
  <c r="R18" i="32"/>
  <c r="U18" i="32" s="1"/>
  <c r="H19" i="32"/>
  <c r="R21" i="32"/>
  <c r="T21" i="32" s="1"/>
  <c r="S21" i="32" s="1"/>
  <c r="H22" i="32"/>
  <c r="R24" i="32"/>
  <c r="U24" i="32" s="1"/>
  <c r="H25" i="32"/>
  <c r="R27" i="32"/>
  <c r="K27" i="32" s="1"/>
  <c r="K61" i="32" s="1"/>
  <c r="H28" i="32"/>
  <c r="R30" i="32"/>
  <c r="T30" i="32" s="1"/>
  <c r="S30" i="32" s="1"/>
  <c r="H31" i="32"/>
  <c r="R33" i="32"/>
  <c r="V33" i="32" s="1"/>
  <c r="H34" i="32"/>
  <c r="R36" i="32"/>
  <c r="T36" i="32" s="1"/>
  <c r="S36" i="32" s="1"/>
  <c r="H37" i="32"/>
  <c r="R39" i="32"/>
  <c r="U39" i="32" s="1"/>
  <c r="H40" i="32"/>
  <c r="R42" i="32"/>
  <c r="T42" i="32" s="1"/>
  <c r="S42" i="32" s="1"/>
  <c r="H43" i="32"/>
  <c r="R45" i="32"/>
  <c r="V45" i="32" s="1"/>
  <c r="H46" i="32"/>
  <c r="R48" i="32"/>
  <c r="T48" i="32" s="1"/>
  <c r="S48" i="32" s="1"/>
  <c r="H49" i="32"/>
  <c r="R51" i="32"/>
  <c r="V51" i="32" s="1"/>
  <c r="H52" i="32"/>
  <c r="R54" i="32"/>
  <c r="T54" i="32" s="1"/>
  <c r="S54" i="32" s="1"/>
  <c r="H55" i="32"/>
  <c r="R57" i="32"/>
  <c r="U57" i="32" s="1"/>
  <c r="H58" i="32"/>
  <c r="R60" i="32"/>
  <c r="T60" i="32" s="1"/>
  <c r="S60" i="32" s="1"/>
  <c r="H18" i="32"/>
  <c r="R20" i="32"/>
  <c r="V20" i="32" s="1"/>
  <c r="H21" i="32"/>
  <c r="R23" i="32"/>
  <c r="T23" i="32" s="1"/>
  <c r="S23" i="32" s="1"/>
  <c r="H24" i="32"/>
  <c r="R26" i="32"/>
  <c r="V26" i="32" s="1"/>
  <c r="H27" i="32"/>
  <c r="R29" i="32"/>
  <c r="V29" i="32" s="1"/>
  <c r="R32" i="32"/>
  <c r="V32" i="32" s="1"/>
  <c r="H33" i="32"/>
  <c r="R35" i="32"/>
  <c r="T35" i="32" s="1"/>
  <c r="S35" i="32" s="1"/>
  <c r="H36" i="32"/>
  <c r="R38" i="32"/>
  <c r="T38" i="32" s="1"/>
  <c r="S38" i="32" s="1"/>
  <c r="H39" i="32"/>
  <c r="R41" i="32"/>
  <c r="V41" i="32" s="1"/>
  <c r="H42" i="32"/>
  <c r="R44" i="32"/>
  <c r="V44" i="32" s="1"/>
  <c r="H45" i="32"/>
  <c r="R47" i="32"/>
  <c r="V47" i="32" s="1"/>
  <c r="H48" i="32"/>
  <c r="R50" i="32"/>
  <c r="V50" i="32" s="1"/>
  <c r="H51" i="32"/>
  <c r="R53" i="32"/>
  <c r="T53" i="32" s="1"/>
  <c r="S53" i="32" s="1"/>
  <c r="H54" i="32"/>
  <c r="R56" i="32"/>
  <c r="T56" i="32" s="1"/>
  <c r="S56" i="32" s="1"/>
  <c r="H57" i="32"/>
  <c r="G20" i="32"/>
  <c r="G23" i="32"/>
  <c r="G26" i="32"/>
  <c r="G29" i="32"/>
  <c r="G32" i="32"/>
  <c r="G35" i="32"/>
  <c r="G38" i="32"/>
  <c r="G41" i="32"/>
  <c r="G44" i="32"/>
  <c r="G47" i="32"/>
  <c r="G50" i="32"/>
  <c r="G53" i="32"/>
  <c r="G56" i="32"/>
  <c r="T47" i="31"/>
  <c r="S47" i="31" s="1"/>
  <c r="U45" i="31"/>
  <c r="U36" i="31"/>
  <c r="T56" i="31"/>
  <c r="S56" i="31" s="1"/>
  <c r="T38" i="31"/>
  <c r="S38" i="31" s="1"/>
  <c r="U54" i="31"/>
  <c r="H20" i="31"/>
  <c r="V25" i="31"/>
  <c r="V26" i="31"/>
  <c r="V27" i="31"/>
  <c r="H29" i="31"/>
  <c r="V34" i="31"/>
  <c r="V35" i="31"/>
  <c r="H38" i="31"/>
  <c r="V43" i="31"/>
  <c r="V44" i="31"/>
  <c r="H47" i="31"/>
  <c r="V52" i="31"/>
  <c r="V53" i="31"/>
  <c r="V54" i="31"/>
  <c r="H56" i="31"/>
  <c r="G50" i="31"/>
  <c r="G59" i="31"/>
  <c r="V19" i="31"/>
  <c r="V28" i="31"/>
  <c r="V29" i="31"/>
  <c r="V37" i="31"/>
  <c r="V46" i="31"/>
  <c r="V55" i="31"/>
  <c r="V56" i="31"/>
  <c r="T59" i="31"/>
  <c r="S59" i="31" s="1"/>
  <c r="L18" i="31"/>
  <c r="T19" i="31"/>
  <c r="S19" i="31" s="1"/>
  <c r="G26" i="31"/>
  <c r="L27" i="31"/>
  <c r="T27" i="31" s="1"/>
  <c r="S27" i="31" s="1"/>
  <c r="T28" i="31"/>
  <c r="S28" i="31" s="1"/>
  <c r="G35" i="31"/>
  <c r="L36" i="31"/>
  <c r="T37" i="31"/>
  <c r="S37" i="31" s="1"/>
  <c r="G44" i="31"/>
  <c r="L45" i="31"/>
  <c r="T45" i="31" s="1"/>
  <c r="S45" i="31" s="1"/>
  <c r="T46" i="31"/>
  <c r="S46" i="31" s="1"/>
  <c r="L54" i="31"/>
  <c r="T54" i="31" s="1"/>
  <c r="S54" i="31" s="1"/>
  <c r="T55" i="31"/>
  <c r="S55" i="31" s="1"/>
  <c r="V59" i="31"/>
  <c r="J61" i="31"/>
  <c r="G55" i="31"/>
  <c r="G46" i="31"/>
  <c r="G37" i="31"/>
  <c r="G34" i="31"/>
  <c r="G28" i="31"/>
  <c r="G60" i="31"/>
  <c r="G57" i="31"/>
  <c r="G54" i="31"/>
  <c r="G51" i="31"/>
  <c r="G48" i="31"/>
  <c r="G45" i="31"/>
  <c r="G42" i="31"/>
  <c r="G39" i="31"/>
  <c r="G36" i="31"/>
  <c r="G33" i="31"/>
  <c r="G30" i="31"/>
  <c r="G27" i="31"/>
  <c r="G24" i="31"/>
  <c r="G21" i="31"/>
  <c r="G18" i="31"/>
  <c r="G58" i="31"/>
  <c r="G49" i="31"/>
  <c r="G43" i="31"/>
  <c r="G40" i="31"/>
  <c r="G31" i="31"/>
  <c r="G25" i="31"/>
  <c r="G19" i="31"/>
  <c r="G52" i="31"/>
  <c r="G22" i="31"/>
  <c r="G20" i="31"/>
  <c r="G29" i="31"/>
  <c r="T30" i="31"/>
  <c r="S30" i="31" s="1"/>
  <c r="G38" i="31"/>
  <c r="G47" i="31"/>
  <c r="G56" i="31"/>
  <c r="T57" i="31"/>
  <c r="S57" i="31" s="1"/>
  <c r="R18" i="31"/>
  <c r="H19" i="31"/>
  <c r="R21" i="31"/>
  <c r="H22" i="31"/>
  <c r="R24" i="31"/>
  <c r="V24" i="31" s="1"/>
  <c r="H25" i="31"/>
  <c r="R27" i="31"/>
  <c r="U27" i="31" s="1"/>
  <c r="H28" i="31"/>
  <c r="R30" i="31"/>
  <c r="H31" i="31"/>
  <c r="R33" i="31"/>
  <c r="V33" i="31" s="1"/>
  <c r="H34" i="31"/>
  <c r="R36" i="31"/>
  <c r="V36" i="31" s="1"/>
  <c r="H37" i="31"/>
  <c r="R39" i="31"/>
  <c r="T39" i="31" s="1"/>
  <c r="S39" i="31" s="1"/>
  <c r="H40" i="31"/>
  <c r="R42" i="31"/>
  <c r="V42" i="31" s="1"/>
  <c r="H43" i="31"/>
  <c r="R45" i="31"/>
  <c r="V45" i="31" s="1"/>
  <c r="H46" i="31"/>
  <c r="R48" i="31"/>
  <c r="H49" i="31"/>
  <c r="R51" i="31"/>
  <c r="V51" i="31" s="1"/>
  <c r="H52" i="31"/>
  <c r="R54" i="31"/>
  <c r="H55" i="31"/>
  <c r="R57" i="31"/>
  <c r="H58" i="31"/>
  <c r="R60" i="31"/>
  <c r="U60" i="31" s="1"/>
  <c r="U19" i="31"/>
  <c r="U22" i="31"/>
  <c r="U25" i="31"/>
  <c r="U28" i="31"/>
  <c r="U31" i="31"/>
  <c r="U34" i="31"/>
  <c r="U37" i="31"/>
  <c r="U40" i="31"/>
  <c r="U43" i="31"/>
  <c r="U46" i="31"/>
  <c r="U49" i="31"/>
  <c r="U52" i="31"/>
  <c r="U55" i="31"/>
  <c r="U58" i="31"/>
  <c r="H18" i="31"/>
  <c r="R20" i="31"/>
  <c r="U20" i="31" s="1"/>
  <c r="H21" i="31"/>
  <c r="R23" i="31"/>
  <c r="U23" i="31" s="1"/>
  <c r="H24" i="31"/>
  <c r="R26" i="31"/>
  <c r="H27" i="31"/>
  <c r="R29" i="31"/>
  <c r="U29" i="31" s="1"/>
  <c r="H30" i="31"/>
  <c r="R32" i="31"/>
  <c r="U32" i="31" s="1"/>
  <c r="H33" i="31"/>
  <c r="R35" i="31"/>
  <c r="H36" i="31"/>
  <c r="R38" i="31"/>
  <c r="U38" i="31" s="1"/>
  <c r="H39" i="31"/>
  <c r="R41" i="31"/>
  <c r="U41" i="31" s="1"/>
  <c r="H42" i="31"/>
  <c r="R44" i="31"/>
  <c r="H45" i="31"/>
  <c r="R47" i="31"/>
  <c r="U47" i="31" s="1"/>
  <c r="H48" i="31"/>
  <c r="R50" i="31"/>
  <c r="U50" i="31" s="1"/>
  <c r="H51" i="31"/>
  <c r="R53" i="31"/>
  <c r="H54" i="31"/>
  <c r="R56" i="31"/>
  <c r="U56" i="31" s="1"/>
  <c r="H57" i="31"/>
  <c r="U59" i="30"/>
  <c r="T59" i="30"/>
  <c r="S59" i="30" s="1"/>
  <c r="U51" i="30"/>
  <c r="U21" i="30"/>
  <c r="U24" i="30"/>
  <c r="U30" i="30"/>
  <c r="U39" i="30"/>
  <c r="U48" i="30"/>
  <c r="V59" i="30"/>
  <c r="U57" i="30"/>
  <c r="H20" i="30"/>
  <c r="V30" i="30"/>
  <c r="H35" i="30"/>
  <c r="H41" i="30"/>
  <c r="H47" i="30"/>
  <c r="V48" i="30"/>
  <c r="H50" i="30"/>
  <c r="H59" i="30"/>
  <c r="K61" i="30"/>
  <c r="L18" i="30"/>
  <c r="L21" i="30"/>
  <c r="T21" i="30" s="1"/>
  <c r="S21" i="30" s="1"/>
  <c r="L24" i="30"/>
  <c r="T24" i="30" s="1"/>
  <c r="S24" i="30" s="1"/>
  <c r="L27" i="30"/>
  <c r="L30" i="30"/>
  <c r="T30" i="30" s="1"/>
  <c r="S30" i="30" s="1"/>
  <c r="L33" i="30"/>
  <c r="L36" i="30"/>
  <c r="L39" i="30"/>
  <c r="T39" i="30" s="1"/>
  <c r="S39" i="30" s="1"/>
  <c r="L42" i="30"/>
  <c r="T42" i="30" s="1"/>
  <c r="S42" i="30" s="1"/>
  <c r="L45" i="30"/>
  <c r="L48" i="30"/>
  <c r="T48" i="30" s="1"/>
  <c r="S48" i="30" s="1"/>
  <c r="L51" i="30"/>
  <c r="L54" i="30"/>
  <c r="L57" i="30"/>
  <c r="T57" i="30" s="1"/>
  <c r="S57" i="30" s="1"/>
  <c r="L60" i="30"/>
  <c r="T60" i="30" s="1"/>
  <c r="S60" i="30" s="1"/>
  <c r="H23" i="30"/>
  <c r="H26" i="30"/>
  <c r="H29" i="30"/>
  <c r="H32" i="30"/>
  <c r="V33" i="30"/>
  <c r="H38" i="30"/>
  <c r="V39" i="30"/>
  <c r="H44" i="30"/>
  <c r="V51" i="30"/>
  <c r="H53" i="30"/>
  <c r="V57" i="30"/>
  <c r="V60" i="30"/>
  <c r="R18" i="30"/>
  <c r="H19" i="30"/>
  <c r="R21" i="30"/>
  <c r="V21" i="30" s="1"/>
  <c r="H22" i="30"/>
  <c r="R24" i="30"/>
  <c r="V24" i="30" s="1"/>
  <c r="H25" i="30"/>
  <c r="R27" i="30"/>
  <c r="U27" i="30" s="1"/>
  <c r="H28" i="30"/>
  <c r="R30" i="30"/>
  <c r="H31" i="30"/>
  <c r="R33" i="30"/>
  <c r="U33" i="30" s="1"/>
  <c r="H34" i="30"/>
  <c r="R36" i="30"/>
  <c r="U36" i="30" s="1"/>
  <c r="H37" i="30"/>
  <c r="R39" i="30"/>
  <c r="H40" i="30"/>
  <c r="R42" i="30"/>
  <c r="U42" i="30" s="1"/>
  <c r="H43" i="30"/>
  <c r="R45" i="30"/>
  <c r="U45" i="30" s="1"/>
  <c r="H46" i="30"/>
  <c r="R48" i="30"/>
  <c r="H49" i="30"/>
  <c r="R51" i="30"/>
  <c r="H52" i="30"/>
  <c r="R54" i="30"/>
  <c r="V54" i="30" s="1"/>
  <c r="H55" i="30"/>
  <c r="R57" i="30"/>
  <c r="H58" i="30"/>
  <c r="R60" i="30"/>
  <c r="U60" i="30" s="1"/>
  <c r="H18" i="30"/>
  <c r="H21" i="30"/>
  <c r="H24" i="30"/>
  <c r="H27" i="30"/>
  <c r="H30" i="30"/>
  <c r="H33" i="30"/>
  <c r="H36" i="30"/>
  <c r="H39" i="30"/>
  <c r="R41" i="30"/>
  <c r="H42" i="30"/>
  <c r="R44" i="30"/>
  <c r="V44" i="30" s="1"/>
  <c r="H45" i="30"/>
  <c r="R47" i="30"/>
  <c r="H48" i="30"/>
  <c r="R50" i="30"/>
  <c r="H51" i="30"/>
  <c r="R53" i="30"/>
  <c r="V53" i="30" s="1"/>
  <c r="H54" i="30"/>
  <c r="R56" i="30"/>
  <c r="V56" i="30" s="1"/>
  <c r="H57" i="30"/>
  <c r="G20" i="30"/>
  <c r="G61" i="30" s="1"/>
  <c r="G23" i="30"/>
  <c r="G26" i="30"/>
  <c r="G29" i="30"/>
  <c r="G32" i="30"/>
  <c r="G35" i="30"/>
  <c r="G38" i="30"/>
  <c r="G41" i="30"/>
  <c r="G44" i="30"/>
  <c r="G47" i="30"/>
  <c r="G50" i="30"/>
  <c r="G53" i="30"/>
  <c r="G56" i="30"/>
  <c r="L46" i="23"/>
  <c r="L22" i="23"/>
  <c r="L35" i="23"/>
  <c r="V37" i="23"/>
  <c r="L44" i="23"/>
  <c r="V46" i="23"/>
  <c r="V43" i="23"/>
  <c r="L25" i="23"/>
  <c r="T25" i="23" s="1"/>
  <c r="S25" i="23" s="1"/>
  <c r="T31" i="23"/>
  <c r="S31" i="23" s="1"/>
  <c r="T40" i="23"/>
  <c r="S40" i="23" s="1"/>
  <c r="T49" i="23"/>
  <c r="S49" i="23" s="1"/>
  <c r="V52" i="23"/>
  <c r="L19" i="23"/>
  <c r="T19" i="23" s="1"/>
  <c r="S19" i="23" s="1"/>
  <c r="L23" i="23"/>
  <c r="T23" i="23" s="1"/>
  <c r="S23" i="23" s="1"/>
  <c r="L29" i="23"/>
  <c r="L38" i="23"/>
  <c r="V40" i="23"/>
  <c r="L47" i="23"/>
  <c r="V49" i="23"/>
  <c r="V34" i="23"/>
  <c r="J61" i="23"/>
  <c r="L20" i="23"/>
  <c r="V22" i="23"/>
  <c r="L26" i="23"/>
  <c r="V28" i="23"/>
  <c r="T37" i="23"/>
  <c r="S37" i="23" s="1"/>
  <c r="T46" i="23"/>
  <c r="S46" i="23" s="1"/>
  <c r="V58" i="24"/>
  <c r="L59" i="24"/>
  <c r="T59" i="24" s="1"/>
  <c r="S59" i="24" s="1"/>
  <c r="L51" i="24"/>
  <c r="L42" i="24"/>
  <c r="H34" i="24"/>
  <c r="G56" i="24"/>
  <c r="L47" i="24"/>
  <c r="L33" i="24"/>
  <c r="L36" i="24"/>
  <c r="L39" i="24"/>
  <c r="L31" i="24"/>
  <c r="L34" i="24"/>
  <c r="R47" i="24"/>
  <c r="U47" i="24" s="1"/>
  <c r="L56" i="24"/>
  <c r="R22" i="24"/>
  <c r="V22" i="24" s="1"/>
  <c r="L53" i="24"/>
  <c r="R56" i="24"/>
  <c r="U56" i="24" s="1"/>
  <c r="L28" i="24"/>
  <c r="R39" i="24"/>
  <c r="V39" i="24" s="1"/>
  <c r="G22" i="24"/>
  <c r="G39" i="24"/>
  <c r="G47" i="24"/>
  <c r="G19" i="24"/>
  <c r="L23" i="24"/>
  <c r="L25" i="24"/>
  <c r="G28" i="24"/>
  <c r="G33" i="24"/>
  <c r="R36" i="24"/>
  <c r="V36" i="24" s="1"/>
  <c r="R44" i="24"/>
  <c r="T44" i="24" s="1"/>
  <c r="S44" i="24" s="1"/>
  <c r="R53" i="24"/>
  <c r="R25" i="24"/>
  <c r="U25" i="24" s="1"/>
  <c r="G41" i="24"/>
  <c r="G50" i="24"/>
  <c r="R19" i="24"/>
  <c r="T19" i="24" s="1"/>
  <c r="S19" i="24" s="1"/>
  <c r="R28" i="24"/>
  <c r="U28" i="24" s="1"/>
  <c r="R33" i="24"/>
  <c r="T33" i="24" s="1"/>
  <c r="S33" i="24" s="1"/>
  <c r="G36" i="24"/>
  <c r="G44" i="24"/>
  <c r="G53" i="24"/>
  <c r="G25" i="24"/>
  <c r="R41" i="24"/>
  <c r="V41" i="24" s="1"/>
  <c r="R50" i="24"/>
  <c r="V50" i="24" s="1"/>
  <c r="J61" i="24"/>
  <c r="L20" i="24"/>
  <c r="L22" i="24"/>
  <c r="T22" i="24" s="1"/>
  <c r="S22" i="24" s="1"/>
  <c r="L29" i="24"/>
  <c r="L37" i="24"/>
  <c r="L45" i="24"/>
  <c r="T47" i="24"/>
  <c r="S47" i="24" s="1"/>
  <c r="L54" i="24"/>
  <c r="L41" i="24"/>
  <c r="L48" i="24"/>
  <c r="L50" i="24"/>
  <c r="L57" i="24"/>
  <c r="T57" i="24" s="1"/>
  <c r="S57" i="24" s="1"/>
  <c r="L26" i="24"/>
  <c r="V57" i="24"/>
  <c r="L32" i="25"/>
  <c r="L30" i="25"/>
  <c r="L28" i="25"/>
  <c r="H61" i="25"/>
  <c r="L37" i="25"/>
  <c r="R28" i="25"/>
  <c r="G33" i="25"/>
  <c r="L35" i="25"/>
  <c r="G29" i="25"/>
  <c r="L33" i="25"/>
  <c r="R40" i="25"/>
  <c r="U40" i="25" s="1"/>
  <c r="L58" i="25"/>
  <c r="V28" i="25"/>
  <c r="H29" i="25"/>
  <c r="G32" i="25"/>
  <c r="H33" i="25"/>
  <c r="H30" i="25"/>
  <c r="H31" i="25"/>
  <c r="L53" i="25"/>
  <c r="R26" i="25"/>
  <c r="H32" i="25"/>
  <c r="L42" i="25"/>
  <c r="L51" i="25"/>
  <c r="G26" i="25"/>
  <c r="G28" i="25"/>
  <c r="R29" i="25"/>
  <c r="V29" i="25" s="1"/>
  <c r="R30" i="25"/>
  <c r="U30" i="25" s="1"/>
  <c r="R31" i="25"/>
  <c r="U31" i="25" s="1"/>
  <c r="L22" i="25"/>
  <c r="L40" i="25"/>
  <c r="L60" i="25"/>
  <c r="T60" i="25" s="1"/>
  <c r="S60" i="25" s="1"/>
  <c r="H26" i="25"/>
  <c r="H28" i="25"/>
  <c r="G30" i="25"/>
  <c r="G31" i="25"/>
  <c r="R32" i="25"/>
  <c r="U32" i="25" s="1"/>
  <c r="R33" i="25"/>
  <c r="U33" i="25" s="1"/>
  <c r="L29" i="25"/>
  <c r="T29" i="25" s="1"/>
  <c r="S29" i="25" s="1"/>
  <c r="R22" i="25"/>
  <c r="T22" i="25" s="1"/>
  <c r="S22" i="25" s="1"/>
  <c r="L44" i="25"/>
  <c r="L49" i="25"/>
  <c r="R58" i="25"/>
  <c r="V58" i="25" s="1"/>
  <c r="V60" i="25"/>
  <c r="R55" i="25"/>
  <c r="T55" i="25" s="1"/>
  <c r="S55" i="25" s="1"/>
  <c r="R25" i="25"/>
  <c r="V25" i="25" s="1"/>
  <c r="R46" i="25"/>
  <c r="V46" i="25" s="1"/>
  <c r="L61" i="25"/>
  <c r="R19" i="25"/>
  <c r="T19" i="25" s="1"/>
  <c r="S19" i="25" s="1"/>
  <c r="R49" i="25"/>
  <c r="U49" i="25" s="1"/>
  <c r="R43" i="25"/>
  <c r="V43" i="25" s="1"/>
  <c r="H60" i="25"/>
  <c r="L24" i="25"/>
  <c r="R37" i="25"/>
  <c r="L43" i="25"/>
  <c r="R52" i="25"/>
  <c r="V52" i="25" s="1"/>
  <c r="L21" i="25"/>
  <c r="L23" i="25"/>
  <c r="L25" i="25"/>
  <c r="L39" i="25"/>
  <c r="L41" i="25"/>
  <c r="L48" i="25"/>
  <c r="L50" i="25"/>
  <c r="L57" i="25"/>
  <c r="L59" i="25"/>
  <c r="V37" i="25"/>
  <c r="J62" i="25"/>
  <c r="L20" i="25"/>
  <c r="L36" i="25"/>
  <c r="L38" i="25"/>
  <c r="L45" i="25"/>
  <c r="L47" i="25"/>
  <c r="L54" i="25"/>
  <c r="L56" i="25"/>
  <c r="V61" i="26"/>
  <c r="L64" i="26"/>
  <c r="L61" i="26"/>
  <c r="T61" i="26" s="1"/>
  <c r="S61" i="26" s="1"/>
  <c r="L56" i="26"/>
  <c r="L47" i="26"/>
  <c r="L50" i="26"/>
  <c r="L38" i="26"/>
  <c r="L41" i="26"/>
  <c r="L29" i="26"/>
  <c r="J71" i="26"/>
  <c r="L26" i="26"/>
  <c r="L34" i="26"/>
  <c r="T34" i="26" s="1"/>
  <c r="S34" i="26" s="1"/>
  <c r="L45" i="26"/>
  <c r="L53" i="26"/>
  <c r="V60" i="26"/>
  <c r="T64" i="26"/>
  <c r="S64" i="26" s="1"/>
  <c r="L59" i="26"/>
  <c r="T59" i="26" s="1"/>
  <c r="S59" i="26" s="1"/>
  <c r="L27" i="26"/>
  <c r="L35" i="26"/>
  <c r="L43" i="26"/>
  <c r="L54" i="26"/>
  <c r="V63" i="26"/>
  <c r="L62" i="26"/>
  <c r="T62" i="26" s="1"/>
  <c r="S62" i="26" s="1"/>
  <c r="U61" i="26"/>
  <c r="L25" i="26"/>
  <c r="L36" i="26"/>
  <c r="L44" i="26"/>
  <c r="L52" i="26"/>
  <c r="U64" i="26"/>
  <c r="U68" i="26"/>
  <c r="U65" i="26"/>
  <c r="L63" i="26"/>
  <c r="T63" i="26" s="1"/>
  <c r="S63" i="26" s="1"/>
  <c r="U62" i="26"/>
  <c r="L60" i="26"/>
  <c r="T60" i="26" s="1"/>
  <c r="S60" i="26" s="1"/>
  <c r="V68" i="26"/>
  <c r="V65" i="26"/>
  <c r="V62" i="26"/>
  <c r="L22" i="26"/>
  <c r="L24" i="26"/>
  <c r="T24" i="26" s="1"/>
  <c r="S24" i="26" s="1"/>
  <c r="L31" i="26"/>
  <c r="L40" i="26"/>
  <c r="L42" i="26"/>
  <c r="L49" i="26"/>
  <c r="L58" i="26"/>
  <c r="G27" i="26"/>
  <c r="G36" i="26"/>
  <c r="G45" i="26"/>
  <c r="G54" i="26"/>
  <c r="G21" i="26"/>
  <c r="G30" i="26"/>
  <c r="G39" i="26"/>
  <c r="G48" i="26"/>
  <c r="G57" i="26"/>
  <c r="V59" i="26"/>
  <c r="H24" i="26"/>
  <c r="L19" i="26"/>
  <c r="T19" i="26" s="1"/>
  <c r="S19" i="26" s="1"/>
  <c r="L21" i="26"/>
  <c r="L28" i="26"/>
  <c r="L30" i="26"/>
  <c r="L37" i="26"/>
  <c r="T37" i="26" s="1"/>
  <c r="S37" i="26" s="1"/>
  <c r="L39" i="26"/>
  <c r="L46" i="26"/>
  <c r="L48" i="26"/>
  <c r="L55" i="26"/>
  <c r="L57" i="26"/>
  <c r="L29" i="27"/>
  <c r="L35" i="27"/>
  <c r="L44" i="27"/>
  <c r="L47" i="27"/>
  <c r="H61" i="27"/>
  <c r="L23" i="27"/>
  <c r="R77" i="27"/>
  <c r="T77" i="27" s="1"/>
  <c r="S77" i="27" s="1"/>
  <c r="L75" i="27"/>
  <c r="L69" i="27"/>
  <c r="R72" i="27"/>
  <c r="V72" i="27" s="1"/>
  <c r="G68" i="27"/>
  <c r="R25" i="27"/>
  <c r="V25" i="27" s="1"/>
  <c r="G79" i="27"/>
  <c r="R65" i="27"/>
  <c r="V65" i="27" s="1"/>
  <c r="L63" i="27"/>
  <c r="G61" i="27"/>
  <c r="R55" i="27"/>
  <c r="U55" i="27" s="1"/>
  <c r="R78" i="27"/>
  <c r="V78" i="27" s="1"/>
  <c r="G74" i="27"/>
  <c r="L65" i="27"/>
  <c r="T65" i="27" s="1"/>
  <c r="S65" i="27" s="1"/>
  <c r="R60" i="27"/>
  <c r="V60" i="27" s="1"/>
  <c r="G73" i="27"/>
  <c r="R71" i="27"/>
  <c r="V71" i="27" s="1"/>
  <c r="G67" i="27"/>
  <c r="G80" i="27"/>
  <c r="L71" i="27"/>
  <c r="R66" i="27"/>
  <c r="V66" i="27" s="1"/>
  <c r="G62" i="27"/>
  <c r="L53" i="27"/>
  <c r="H75" i="27"/>
  <c r="H69" i="27"/>
  <c r="L20" i="27"/>
  <c r="L26" i="27"/>
  <c r="R31" i="27"/>
  <c r="V31" i="27" s="1"/>
  <c r="L56" i="27"/>
  <c r="L59" i="27"/>
  <c r="T59" i="27" s="1"/>
  <c r="S59" i="27" s="1"/>
  <c r="R79" i="27"/>
  <c r="V79" i="27" s="1"/>
  <c r="H76" i="27"/>
  <c r="G75" i="27"/>
  <c r="R73" i="27"/>
  <c r="V73" i="27" s="1"/>
  <c r="H70" i="27"/>
  <c r="G69" i="27"/>
  <c r="R67" i="27"/>
  <c r="V67" i="27" s="1"/>
  <c r="H64" i="27"/>
  <c r="G63" i="27"/>
  <c r="R61" i="27"/>
  <c r="V61" i="27" s="1"/>
  <c r="H62" i="27"/>
  <c r="U25" i="27"/>
  <c r="L50" i="27"/>
  <c r="L32" i="27"/>
  <c r="R37" i="27"/>
  <c r="V37" i="27" s="1"/>
  <c r="R80" i="27"/>
  <c r="V80" i="27" s="1"/>
  <c r="L78" i="27"/>
  <c r="T78" i="27" s="1"/>
  <c r="S78" i="27" s="1"/>
  <c r="H77" i="27"/>
  <c r="G76" i="27"/>
  <c r="R74" i="27"/>
  <c r="V74" i="27" s="1"/>
  <c r="L72" i="27"/>
  <c r="H71" i="27"/>
  <c r="G70" i="27"/>
  <c r="R68" i="27"/>
  <c r="U68" i="27" s="1"/>
  <c r="L66" i="27"/>
  <c r="H65" i="27"/>
  <c r="G64" i="27"/>
  <c r="R62" i="27"/>
  <c r="V62" i="27" s="1"/>
  <c r="L60" i="27"/>
  <c r="T60" i="27" s="1"/>
  <c r="S60" i="27" s="1"/>
  <c r="H80" i="27"/>
  <c r="H74" i="27"/>
  <c r="H68" i="27"/>
  <c r="H63" i="27"/>
  <c r="L38" i="27"/>
  <c r="R43" i="27"/>
  <c r="V43" i="27" s="1"/>
  <c r="L80" i="27"/>
  <c r="T80" i="27" s="1"/>
  <c r="S80" i="27" s="1"/>
  <c r="H78" i="27"/>
  <c r="G77" i="27"/>
  <c r="R75" i="27"/>
  <c r="V75" i="27" s="1"/>
  <c r="L74" i="27"/>
  <c r="H72" i="27"/>
  <c r="G71" i="27"/>
  <c r="R69" i="27"/>
  <c r="V69" i="27" s="1"/>
  <c r="L68" i="27"/>
  <c r="H66" i="27"/>
  <c r="G65" i="27"/>
  <c r="R63" i="27"/>
  <c r="V63" i="27" s="1"/>
  <c r="L62" i="27"/>
  <c r="H60" i="27"/>
  <c r="L22" i="27"/>
  <c r="L41" i="27"/>
  <c r="R49" i="27"/>
  <c r="V49" i="27" s="1"/>
  <c r="V55" i="27"/>
  <c r="H79" i="27"/>
  <c r="G78" i="27"/>
  <c r="R76" i="27"/>
  <c r="V76" i="27" s="1"/>
  <c r="H73" i="27"/>
  <c r="G72" i="27"/>
  <c r="R70" i="27"/>
  <c r="V70" i="27" s="1"/>
  <c r="H67" i="27"/>
  <c r="G66" i="27"/>
  <c r="R64" i="27"/>
  <c r="V64" i="27" s="1"/>
  <c r="G60" i="27"/>
  <c r="L79" i="27"/>
  <c r="L76" i="27"/>
  <c r="L73" i="27"/>
  <c r="L70" i="27"/>
  <c r="L67" i="27"/>
  <c r="L64" i="27"/>
  <c r="T64" i="27" s="1"/>
  <c r="S64" i="27" s="1"/>
  <c r="L61" i="27"/>
  <c r="L19" i="27"/>
  <c r="G21" i="27"/>
  <c r="R22" i="27"/>
  <c r="U22" i="27" s="1"/>
  <c r="L28" i="27"/>
  <c r="G30" i="27"/>
  <c r="L34" i="27"/>
  <c r="G36" i="27"/>
  <c r="L40" i="27"/>
  <c r="G42" i="27"/>
  <c r="L46" i="27"/>
  <c r="G48" i="27"/>
  <c r="L52" i="27"/>
  <c r="G54" i="27"/>
  <c r="L58" i="27"/>
  <c r="G19" i="27"/>
  <c r="G28" i="27"/>
  <c r="G25" i="27"/>
  <c r="G24" i="27"/>
  <c r="G18" i="27"/>
  <c r="R19" i="27"/>
  <c r="U19" i="27" s="1"/>
  <c r="L25" i="27"/>
  <c r="G27" i="27"/>
  <c r="R28" i="27"/>
  <c r="U28" i="27" s="1"/>
  <c r="R34" i="27"/>
  <c r="U34" i="27" s="1"/>
  <c r="R40" i="27"/>
  <c r="U40" i="27" s="1"/>
  <c r="R46" i="27"/>
  <c r="U46" i="27" s="1"/>
  <c r="R52" i="27"/>
  <c r="U52" i="27" s="1"/>
  <c r="R58" i="27"/>
  <c r="U58" i="27" s="1"/>
  <c r="J81" i="27"/>
  <c r="G22" i="27"/>
  <c r="L31" i="27"/>
  <c r="G33" i="27"/>
  <c r="L37" i="27"/>
  <c r="G39" i="27"/>
  <c r="L43" i="27"/>
  <c r="G45" i="27"/>
  <c r="L49" i="27"/>
  <c r="G51" i="27"/>
  <c r="L55" i="27"/>
  <c r="G57" i="27"/>
  <c r="L66" i="28"/>
  <c r="L58" i="28"/>
  <c r="L32" i="28"/>
  <c r="T65" i="28"/>
  <c r="S65" i="28" s="1"/>
  <c r="L26" i="28"/>
  <c r="L29" i="28"/>
  <c r="L53" i="28"/>
  <c r="L56" i="28"/>
  <c r="V67" i="28"/>
  <c r="U66" i="28"/>
  <c r="V61" i="28"/>
  <c r="U60" i="28"/>
  <c r="T66" i="28"/>
  <c r="S66" i="28" s="1"/>
  <c r="L35" i="28"/>
  <c r="L38" i="28"/>
  <c r="V69" i="28"/>
  <c r="T68" i="28"/>
  <c r="S68" i="28" s="1"/>
  <c r="V63" i="28"/>
  <c r="T62" i="28"/>
  <c r="S62" i="28" s="1"/>
  <c r="L61" i="28"/>
  <c r="T61" i="28" s="1"/>
  <c r="S61" i="28" s="1"/>
  <c r="L22" i="28"/>
  <c r="T22" i="28" s="1"/>
  <c r="S22" i="28" s="1"/>
  <c r="V70" i="28"/>
  <c r="U69" i="28"/>
  <c r="V64" i="28"/>
  <c r="U63" i="28"/>
  <c r="V80" i="28"/>
  <c r="U80" i="28"/>
  <c r="U77" i="28"/>
  <c r="U74" i="28"/>
  <c r="U71" i="28"/>
  <c r="U68" i="28"/>
  <c r="U65" i="28"/>
  <c r="U62" i="28"/>
  <c r="V77" i="28"/>
  <c r="V71" i="28"/>
  <c r="V65" i="28"/>
  <c r="L79" i="28"/>
  <c r="T79" i="28" s="1"/>
  <c r="S79" i="28" s="1"/>
  <c r="L76" i="28"/>
  <c r="T76" i="28" s="1"/>
  <c r="S76" i="28" s="1"/>
  <c r="L73" i="28"/>
  <c r="T73" i="28" s="1"/>
  <c r="S73" i="28" s="1"/>
  <c r="L70" i="28"/>
  <c r="T70" i="28" s="1"/>
  <c r="S70" i="28" s="1"/>
  <c r="L67" i="28"/>
  <c r="T67" i="28" s="1"/>
  <c r="S67" i="28" s="1"/>
  <c r="L64" i="28"/>
  <c r="T64" i="28" s="1"/>
  <c r="S64" i="28" s="1"/>
  <c r="V74" i="28"/>
  <c r="V68" i="28"/>
  <c r="V62" i="28"/>
  <c r="V46" i="28"/>
  <c r="R37" i="28"/>
  <c r="U37" i="28" s="1"/>
  <c r="R46" i="28"/>
  <c r="R55" i="28"/>
  <c r="V55" i="28" s="1"/>
  <c r="J81" i="28"/>
  <c r="L49" i="28"/>
  <c r="R22" i="28"/>
  <c r="V22" i="28" s="1"/>
  <c r="R31" i="28"/>
  <c r="U31" i="28" s="1"/>
  <c r="L34" i="28"/>
  <c r="R40" i="28"/>
  <c r="U40" i="28" s="1"/>
  <c r="L43" i="28"/>
  <c r="R49" i="28"/>
  <c r="L52" i="28"/>
  <c r="R58" i="28"/>
  <c r="V58" i="28" s="1"/>
  <c r="R19" i="28"/>
  <c r="V19" i="28" s="1"/>
  <c r="R28" i="28"/>
  <c r="U28" i="28" s="1"/>
  <c r="G19" i="28"/>
  <c r="L23" i="28"/>
  <c r="G28" i="28"/>
  <c r="V34" i="28"/>
  <c r="G37" i="28"/>
  <c r="L41" i="28"/>
  <c r="T41" i="28" s="1"/>
  <c r="S41" i="28" s="1"/>
  <c r="V43" i="28"/>
  <c r="G46" i="28"/>
  <c r="G55" i="28"/>
  <c r="L59" i="28"/>
  <c r="T59" i="28" s="1"/>
  <c r="S59" i="28" s="1"/>
  <c r="L19" i="28"/>
  <c r="R25" i="28"/>
  <c r="V25" i="28" s="1"/>
  <c r="L28" i="28"/>
  <c r="R34" i="28"/>
  <c r="L37" i="28"/>
  <c r="R43" i="28"/>
  <c r="U43" i="28" s="1"/>
  <c r="L46" i="28"/>
  <c r="T46" i="28" s="1"/>
  <c r="S46" i="28" s="1"/>
  <c r="R52" i="28"/>
  <c r="V52" i="28" s="1"/>
  <c r="L55" i="28"/>
  <c r="V59" i="28"/>
  <c r="V59" i="29"/>
  <c r="U58" i="29"/>
  <c r="L20" i="29"/>
  <c r="L29" i="29"/>
  <c r="L38" i="29"/>
  <c r="L44" i="29"/>
  <c r="L50" i="29"/>
  <c r="L56" i="29"/>
  <c r="L25" i="29"/>
  <c r="U69" i="29"/>
  <c r="U66" i="29"/>
  <c r="U63" i="29"/>
  <c r="U60" i="29"/>
  <c r="V69" i="29"/>
  <c r="V70" i="29"/>
  <c r="V67" i="29"/>
  <c r="V64" i="29"/>
  <c r="V61" i="29"/>
  <c r="V58" i="29"/>
  <c r="V66" i="29"/>
  <c r="V63" i="29"/>
  <c r="L68" i="29"/>
  <c r="T68" i="29" s="1"/>
  <c r="S68" i="29" s="1"/>
  <c r="L65" i="29"/>
  <c r="T65" i="29" s="1"/>
  <c r="S65" i="29" s="1"/>
  <c r="L62" i="29"/>
  <c r="T62" i="29" s="1"/>
  <c r="S62" i="29" s="1"/>
  <c r="L59" i="29"/>
  <c r="T59" i="29" s="1"/>
  <c r="S59" i="29" s="1"/>
  <c r="V60" i="29"/>
  <c r="R37" i="29"/>
  <c r="U37" i="29" s="1"/>
  <c r="G42" i="29"/>
  <c r="R43" i="29"/>
  <c r="U43" i="29" s="1"/>
  <c r="G48" i="29"/>
  <c r="G52" i="29"/>
  <c r="R55" i="29"/>
  <c r="U55" i="29" s="1"/>
  <c r="G18" i="29"/>
  <c r="R19" i="29"/>
  <c r="U19" i="29" s="1"/>
  <c r="G21" i="29"/>
  <c r="R22" i="29"/>
  <c r="U22" i="29" s="1"/>
  <c r="G28" i="29"/>
  <c r="G31" i="29"/>
  <c r="R32" i="29"/>
  <c r="V32" i="29" s="1"/>
  <c r="G36" i="29"/>
  <c r="G40" i="29"/>
  <c r="G46" i="29"/>
  <c r="R49" i="29"/>
  <c r="U49" i="29" s="1"/>
  <c r="G54" i="29"/>
  <c r="J71" i="29"/>
  <c r="G25" i="29"/>
  <c r="L28" i="29"/>
  <c r="R29" i="29"/>
  <c r="U29" i="29" s="1"/>
  <c r="L31" i="29"/>
  <c r="G33" i="29"/>
  <c r="R34" i="29"/>
  <c r="U34" i="29" s="1"/>
  <c r="G43" i="29"/>
  <c r="R46" i="29"/>
  <c r="U46" i="29" s="1"/>
  <c r="R52" i="29"/>
  <c r="U52" i="29" s="1"/>
  <c r="G19" i="29"/>
  <c r="G22" i="29"/>
  <c r="R23" i="29"/>
  <c r="U23" i="29" s="1"/>
  <c r="G27" i="29"/>
  <c r="R28" i="29"/>
  <c r="U28" i="29" s="1"/>
  <c r="G30" i="29"/>
  <c r="R31" i="29"/>
  <c r="U31" i="29" s="1"/>
  <c r="V35" i="29"/>
  <c r="L37" i="29"/>
  <c r="L41" i="29"/>
  <c r="L43" i="29"/>
  <c r="L47" i="29"/>
  <c r="L49" i="29"/>
  <c r="L53" i="29"/>
  <c r="L55" i="29"/>
  <c r="R26" i="29"/>
  <c r="U26" i="29" s="1"/>
  <c r="G37" i="29"/>
  <c r="G39" i="29"/>
  <c r="R40" i="29"/>
  <c r="U40" i="29" s="1"/>
  <c r="G45" i="29"/>
  <c r="G49" i="29"/>
  <c r="G51" i="29"/>
  <c r="G55" i="29"/>
  <c r="G57" i="29"/>
  <c r="L19" i="29"/>
  <c r="T19" i="29" s="1"/>
  <c r="S19" i="29" s="1"/>
  <c r="R20" i="29"/>
  <c r="T20" i="29" s="1"/>
  <c r="S20" i="29" s="1"/>
  <c r="L22" i="29"/>
  <c r="G24" i="29"/>
  <c r="R25" i="29"/>
  <c r="U25" i="29" s="1"/>
  <c r="H29" i="29"/>
  <c r="G34" i="29"/>
  <c r="R35" i="29"/>
  <c r="U35" i="29" s="1"/>
  <c r="V49" i="29"/>
  <c r="L18" i="29"/>
  <c r="K71" i="29"/>
  <c r="H44" i="29"/>
  <c r="H41" i="29"/>
  <c r="H38" i="29"/>
  <c r="H53" i="29"/>
  <c r="H47" i="29"/>
  <c r="H35" i="29"/>
  <c r="H56" i="29"/>
  <c r="H50" i="29"/>
  <c r="H32" i="29"/>
  <c r="L21" i="29"/>
  <c r="H23" i="29"/>
  <c r="T31" i="29"/>
  <c r="S31" i="29" s="1"/>
  <c r="U24" i="29"/>
  <c r="L24" i="29"/>
  <c r="L30" i="29"/>
  <c r="L27" i="29"/>
  <c r="U33" i="29"/>
  <c r="V19" i="29"/>
  <c r="U51" i="29"/>
  <c r="U57" i="29"/>
  <c r="R18" i="29"/>
  <c r="U18" i="29" s="1"/>
  <c r="H19" i="29"/>
  <c r="R21" i="29"/>
  <c r="V21" i="29" s="1"/>
  <c r="H22" i="29"/>
  <c r="R24" i="29"/>
  <c r="V24" i="29" s="1"/>
  <c r="H25" i="29"/>
  <c r="R27" i="29"/>
  <c r="V27" i="29" s="1"/>
  <c r="H28" i="29"/>
  <c r="R30" i="29"/>
  <c r="V30" i="29" s="1"/>
  <c r="H31" i="29"/>
  <c r="R33" i="29"/>
  <c r="V33" i="29" s="1"/>
  <c r="H34" i="29"/>
  <c r="R36" i="29"/>
  <c r="V36" i="29" s="1"/>
  <c r="H37" i="29"/>
  <c r="R39" i="29"/>
  <c r="V39" i="29" s="1"/>
  <c r="H40" i="29"/>
  <c r="R42" i="29"/>
  <c r="U42" i="29" s="1"/>
  <c r="H43" i="29"/>
  <c r="R45" i="29"/>
  <c r="U45" i="29" s="1"/>
  <c r="H46" i="29"/>
  <c r="R48" i="29"/>
  <c r="V48" i="29" s="1"/>
  <c r="H49" i="29"/>
  <c r="R51" i="29"/>
  <c r="H52" i="29"/>
  <c r="R54" i="29"/>
  <c r="V54" i="29" s="1"/>
  <c r="H55" i="29"/>
  <c r="R57" i="29"/>
  <c r="V57" i="29" s="1"/>
  <c r="L36" i="29"/>
  <c r="T36" i="29" s="1"/>
  <c r="S36" i="29" s="1"/>
  <c r="L45" i="29"/>
  <c r="L51" i="29"/>
  <c r="T51" i="29" s="1"/>
  <c r="S51" i="29" s="1"/>
  <c r="L54" i="29"/>
  <c r="L23" i="29"/>
  <c r="L26" i="29"/>
  <c r="T26" i="29" s="1"/>
  <c r="S26" i="29" s="1"/>
  <c r="L32" i="29"/>
  <c r="T32" i="29" s="1"/>
  <c r="S32" i="29" s="1"/>
  <c r="L35" i="29"/>
  <c r="V42" i="29"/>
  <c r="V51" i="29"/>
  <c r="L33" i="29"/>
  <c r="T33" i="29" s="1"/>
  <c r="S33" i="29" s="1"/>
  <c r="L39" i="29"/>
  <c r="T39" i="29" s="1"/>
  <c r="S39" i="29" s="1"/>
  <c r="L48" i="29"/>
  <c r="L57" i="29"/>
  <c r="H18" i="29"/>
  <c r="H21" i="29"/>
  <c r="H24" i="29"/>
  <c r="H27" i="29"/>
  <c r="H30" i="29"/>
  <c r="H33" i="29"/>
  <c r="H36" i="29"/>
  <c r="R38" i="29"/>
  <c r="U38" i="29" s="1"/>
  <c r="H39" i="29"/>
  <c r="R41" i="29"/>
  <c r="U41" i="29" s="1"/>
  <c r="H42" i="29"/>
  <c r="R44" i="29"/>
  <c r="U44" i="29" s="1"/>
  <c r="H45" i="29"/>
  <c r="R47" i="29"/>
  <c r="U47" i="29" s="1"/>
  <c r="H48" i="29"/>
  <c r="R50" i="29"/>
  <c r="U50" i="29" s="1"/>
  <c r="H51" i="29"/>
  <c r="R53" i="29"/>
  <c r="U53" i="29" s="1"/>
  <c r="H54" i="29"/>
  <c r="R56" i="29"/>
  <c r="U56" i="29" s="1"/>
  <c r="H57" i="29"/>
  <c r="L42" i="29"/>
  <c r="T42" i="29" s="1"/>
  <c r="S42" i="29" s="1"/>
  <c r="G20" i="29"/>
  <c r="G23" i="29"/>
  <c r="G26" i="29"/>
  <c r="G29" i="29"/>
  <c r="G32" i="29"/>
  <c r="G35" i="29"/>
  <c r="G38" i="29"/>
  <c r="G41" i="29"/>
  <c r="G44" i="29"/>
  <c r="G47" i="29"/>
  <c r="G50" i="29"/>
  <c r="G53" i="29"/>
  <c r="G56" i="29"/>
  <c r="L27" i="28"/>
  <c r="H29" i="28"/>
  <c r="U48" i="28"/>
  <c r="L24" i="28"/>
  <c r="H26" i="28"/>
  <c r="L21" i="28"/>
  <c r="U45" i="28"/>
  <c r="H59" i="28"/>
  <c r="H44" i="28"/>
  <c r="H32" i="28"/>
  <c r="H56" i="28"/>
  <c r="H50" i="28"/>
  <c r="H35" i="28"/>
  <c r="H53" i="28"/>
  <c r="H47" i="28"/>
  <c r="H41" i="28"/>
  <c r="H38" i="28"/>
  <c r="L18" i="28"/>
  <c r="K81" i="28"/>
  <c r="H20" i="28"/>
  <c r="L33" i="28"/>
  <c r="L42" i="28"/>
  <c r="L45" i="28"/>
  <c r="L48" i="28"/>
  <c r="R18" i="28"/>
  <c r="H19" i="28"/>
  <c r="R21" i="28"/>
  <c r="U21" i="28" s="1"/>
  <c r="H22" i="28"/>
  <c r="R24" i="28"/>
  <c r="V24" i="28" s="1"/>
  <c r="H25" i="28"/>
  <c r="R27" i="28"/>
  <c r="V27" i="28" s="1"/>
  <c r="H28" i="28"/>
  <c r="R30" i="28"/>
  <c r="V30" i="28" s="1"/>
  <c r="H31" i="28"/>
  <c r="R33" i="28"/>
  <c r="U33" i="28" s="1"/>
  <c r="H34" i="28"/>
  <c r="R36" i="28"/>
  <c r="U36" i="28" s="1"/>
  <c r="H37" i="28"/>
  <c r="R39" i="28"/>
  <c r="V39" i="28" s="1"/>
  <c r="H40" i="28"/>
  <c r="R42" i="28"/>
  <c r="V42" i="28" s="1"/>
  <c r="H43" i="28"/>
  <c r="R45" i="28"/>
  <c r="V45" i="28" s="1"/>
  <c r="H46" i="28"/>
  <c r="R48" i="28"/>
  <c r="V48" i="28" s="1"/>
  <c r="H49" i="28"/>
  <c r="R51" i="28"/>
  <c r="U51" i="28" s="1"/>
  <c r="H52" i="28"/>
  <c r="R54" i="28"/>
  <c r="U54" i="28" s="1"/>
  <c r="H55" i="28"/>
  <c r="R57" i="28"/>
  <c r="U57" i="28" s="1"/>
  <c r="H58" i="28"/>
  <c r="L36" i="28"/>
  <c r="T36" i="28" s="1"/>
  <c r="S36" i="28" s="1"/>
  <c r="L39" i="28"/>
  <c r="L51" i="28"/>
  <c r="L57" i="28"/>
  <c r="G21" i="28"/>
  <c r="U22" i="28"/>
  <c r="G24" i="28"/>
  <c r="G27" i="28"/>
  <c r="G30" i="28"/>
  <c r="G33" i="28"/>
  <c r="U34" i="28"/>
  <c r="G36" i="28"/>
  <c r="G39" i="28"/>
  <c r="G42" i="28"/>
  <c r="G45" i="28"/>
  <c r="U46" i="28"/>
  <c r="G48" i="28"/>
  <c r="U49" i="28"/>
  <c r="G51" i="28"/>
  <c r="G54" i="28"/>
  <c r="G57" i="28"/>
  <c r="L54" i="28"/>
  <c r="T54" i="28" s="1"/>
  <c r="S54" i="28" s="1"/>
  <c r="H18" i="28"/>
  <c r="R20" i="28"/>
  <c r="U20" i="28" s="1"/>
  <c r="H21" i="28"/>
  <c r="R23" i="28"/>
  <c r="V23" i="28" s="1"/>
  <c r="H24" i="28"/>
  <c r="R26" i="28"/>
  <c r="V26" i="28" s="1"/>
  <c r="H27" i="28"/>
  <c r="R29" i="28"/>
  <c r="U29" i="28" s="1"/>
  <c r="H30" i="28"/>
  <c r="R32" i="28"/>
  <c r="U32" i="28" s="1"/>
  <c r="H33" i="28"/>
  <c r="R35" i="28"/>
  <c r="U35" i="28" s="1"/>
  <c r="H36" i="28"/>
  <c r="R38" i="28"/>
  <c r="U38" i="28" s="1"/>
  <c r="H39" i="28"/>
  <c r="R41" i="28"/>
  <c r="U41" i="28" s="1"/>
  <c r="H42" i="28"/>
  <c r="R44" i="28"/>
  <c r="U44" i="28" s="1"/>
  <c r="H45" i="28"/>
  <c r="R47" i="28"/>
  <c r="U47" i="28" s="1"/>
  <c r="H48" i="28"/>
  <c r="V49" i="28"/>
  <c r="R50" i="28"/>
  <c r="U50" i="28" s="1"/>
  <c r="H51" i="28"/>
  <c r="R53" i="28"/>
  <c r="U53" i="28" s="1"/>
  <c r="H54" i="28"/>
  <c r="R56" i="28"/>
  <c r="U56" i="28" s="1"/>
  <c r="H57" i="28"/>
  <c r="L30" i="28"/>
  <c r="G20" i="28"/>
  <c r="G23" i="28"/>
  <c r="G26" i="28"/>
  <c r="G29" i="28"/>
  <c r="G32" i="28"/>
  <c r="G35" i="28"/>
  <c r="G38" i="28"/>
  <c r="G41" i="28"/>
  <c r="G44" i="28"/>
  <c r="G47" i="28"/>
  <c r="G50" i="28"/>
  <c r="G53" i="28"/>
  <c r="G56" i="28"/>
  <c r="V59" i="27"/>
  <c r="H20" i="27"/>
  <c r="H23" i="27"/>
  <c r="H26" i="27"/>
  <c r="H32" i="27"/>
  <c r="H35" i="27"/>
  <c r="H44" i="27"/>
  <c r="H47" i="27"/>
  <c r="L18" i="27"/>
  <c r="L21" i="27"/>
  <c r="L24" i="27"/>
  <c r="L27" i="27"/>
  <c r="L30" i="27"/>
  <c r="G31" i="27"/>
  <c r="L33" i="27"/>
  <c r="G34" i="27"/>
  <c r="L36" i="27"/>
  <c r="G37" i="27"/>
  <c r="L39" i="27"/>
  <c r="G40" i="27"/>
  <c r="L42" i="27"/>
  <c r="G43" i="27"/>
  <c r="L45" i="27"/>
  <c r="G46" i="27"/>
  <c r="L48" i="27"/>
  <c r="G49" i="27"/>
  <c r="L51" i="27"/>
  <c r="G52" i="27"/>
  <c r="L54" i="27"/>
  <c r="G55" i="27"/>
  <c r="L57" i="27"/>
  <c r="G58" i="27"/>
  <c r="U59" i="27"/>
  <c r="H29" i="27"/>
  <c r="H38" i="27"/>
  <c r="H41" i="27"/>
  <c r="H50" i="27"/>
  <c r="H53" i="27"/>
  <c r="H56" i="27"/>
  <c r="K81" i="27"/>
  <c r="R18" i="27"/>
  <c r="H19" i="27"/>
  <c r="R21" i="27"/>
  <c r="U21" i="27" s="1"/>
  <c r="H22" i="27"/>
  <c r="R24" i="27"/>
  <c r="U24" i="27" s="1"/>
  <c r="H25" i="27"/>
  <c r="R27" i="27"/>
  <c r="V27" i="27" s="1"/>
  <c r="H28" i="27"/>
  <c r="R30" i="27"/>
  <c r="U30" i="27" s="1"/>
  <c r="H31" i="27"/>
  <c r="R33" i="27"/>
  <c r="U33" i="27" s="1"/>
  <c r="H34" i="27"/>
  <c r="R36" i="27"/>
  <c r="V36" i="27" s="1"/>
  <c r="H37" i="27"/>
  <c r="R39" i="27"/>
  <c r="U39" i="27" s="1"/>
  <c r="H40" i="27"/>
  <c r="R42" i="27"/>
  <c r="U42" i="27" s="1"/>
  <c r="H43" i="27"/>
  <c r="R45" i="27"/>
  <c r="V45" i="27" s="1"/>
  <c r="H46" i="27"/>
  <c r="R48" i="27"/>
  <c r="V48" i="27" s="1"/>
  <c r="H49" i="27"/>
  <c r="R51" i="27"/>
  <c r="V51" i="27" s="1"/>
  <c r="H52" i="27"/>
  <c r="R54" i="27"/>
  <c r="U54" i="27" s="1"/>
  <c r="H55" i="27"/>
  <c r="R57" i="27"/>
  <c r="V57" i="27" s="1"/>
  <c r="H58" i="27"/>
  <c r="H18" i="27"/>
  <c r="R20" i="27"/>
  <c r="H21" i="27"/>
  <c r="R23" i="27"/>
  <c r="H24" i="27"/>
  <c r="R26" i="27"/>
  <c r="H27" i="27"/>
  <c r="R29" i="27"/>
  <c r="T29" i="27" s="1"/>
  <c r="S29" i="27" s="1"/>
  <c r="H30" i="27"/>
  <c r="R32" i="27"/>
  <c r="H33" i="27"/>
  <c r="R35" i="27"/>
  <c r="T35" i="27" s="1"/>
  <c r="S35" i="27" s="1"/>
  <c r="H36" i="27"/>
  <c r="R38" i="27"/>
  <c r="H39" i="27"/>
  <c r="R41" i="27"/>
  <c r="U41" i="27" s="1"/>
  <c r="H42" i="27"/>
  <c r="R44" i="27"/>
  <c r="H45" i="27"/>
  <c r="R47" i="27"/>
  <c r="T47" i="27" s="1"/>
  <c r="S47" i="27" s="1"/>
  <c r="H48" i="27"/>
  <c r="R50" i="27"/>
  <c r="V50" i="27" s="1"/>
  <c r="H51" i="27"/>
  <c r="R53" i="27"/>
  <c r="V53" i="27" s="1"/>
  <c r="H54" i="27"/>
  <c r="R56" i="27"/>
  <c r="V56" i="27" s="1"/>
  <c r="H57" i="27"/>
  <c r="G20" i="27"/>
  <c r="G23" i="27"/>
  <c r="G26" i="27"/>
  <c r="G29" i="27"/>
  <c r="G32" i="27"/>
  <c r="G35" i="27"/>
  <c r="G38" i="27"/>
  <c r="G41" i="27"/>
  <c r="G44" i="27"/>
  <c r="G47" i="27"/>
  <c r="G50" i="27"/>
  <c r="G53" i="27"/>
  <c r="G56" i="27"/>
  <c r="T58" i="26"/>
  <c r="S58" i="26" s="1"/>
  <c r="T50" i="26"/>
  <c r="S50" i="26" s="1"/>
  <c r="T55" i="26"/>
  <c r="S55" i="26" s="1"/>
  <c r="R19" i="26"/>
  <c r="U19" i="26" s="1"/>
  <c r="H20" i="26"/>
  <c r="R22" i="26"/>
  <c r="U22" i="26" s="1"/>
  <c r="H23" i="26"/>
  <c r="R25" i="26"/>
  <c r="U25" i="26" s="1"/>
  <c r="H26" i="26"/>
  <c r="R28" i="26"/>
  <c r="U28" i="26" s="1"/>
  <c r="H29" i="26"/>
  <c r="R31" i="26"/>
  <c r="U31" i="26" s="1"/>
  <c r="H32" i="26"/>
  <c r="R34" i="26"/>
  <c r="U34" i="26" s="1"/>
  <c r="H35" i="26"/>
  <c r="R37" i="26"/>
  <c r="U37" i="26" s="1"/>
  <c r="H38" i="26"/>
  <c r="R40" i="26"/>
  <c r="U40" i="26" s="1"/>
  <c r="H41" i="26"/>
  <c r="R43" i="26"/>
  <c r="U43" i="26" s="1"/>
  <c r="H44" i="26"/>
  <c r="R46" i="26"/>
  <c r="U46" i="26" s="1"/>
  <c r="H47" i="26"/>
  <c r="R49" i="26"/>
  <c r="U49" i="26" s="1"/>
  <c r="H50" i="26"/>
  <c r="R52" i="26"/>
  <c r="U52" i="26" s="1"/>
  <c r="H53" i="26"/>
  <c r="R55" i="26"/>
  <c r="U55" i="26" s="1"/>
  <c r="H56" i="26"/>
  <c r="R58" i="26"/>
  <c r="U58" i="26" s="1"/>
  <c r="H59" i="26"/>
  <c r="K71" i="26"/>
  <c r="L18" i="26"/>
  <c r="G19" i="26"/>
  <c r="G22" i="26"/>
  <c r="G25" i="26"/>
  <c r="G28" i="26"/>
  <c r="G31" i="26"/>
  <c r="U32" i="26"/>
  <c r="L33" i="26"/>
  <c r="G34" i="26"/>
  <c r="G37" i="26"/>
  <c r="G40" i="26"/>
  <c r="U41" i="26"/>
  <c r="G43" i="26"/>
  <c r="G46" i="26"/>
  <c r="G49" i="26"/>
  <c r="L51" i="26"/>
  <c r="G52" i="26"/>
  <c r="G55" i="26"/>
  <c r="G58" i="26"/>
  <c r="U59" i="26"/>
  <c r="R18" i="26"/>
  <c r="H19" i="26"/>
  <c r="R21" i="26"/>
  <c r="V21" i="26" s="1"/>
  <c r="H22" i="26"/>
  <c r="R24" i="26"/>
  <c r="V24" i="26" s="1"/>
  <c r="H25" i="26"/>
  <c r="R27" i="26"/>
  <c r="H28" i="26"/>
  <c r="R30" i="26"/>
  <c r="U30" i="26" s="1"/>
  <c r="H31" i="26"/>
  <c r="R33" i="26"/>
  <c r="U33" i="26" s="1"/>
  <c r="H34" i="26"/>
  <c r="R36" i="26"/>
  <c r="T36" i="26" s="1"/>
  <c r="S36" i="26" s="1"/>
  <c r="H37" i="26"/>
  <c r="R39" i="26"/>
  <c r="T39" i="26" s="1"/>
  <c r="S39" i="26" s="1"/>
  <c r="H40" i="26"/>
  <c r="R42" i="26"/>
  <c r="U42" i="26" s="1"/>
  <c r="H43" i="26"/>
  <c r="R45" i="26"/>
  <c r="T45" i="26" s="1"/>
  <c r="S45" i="26" s="1"/>
  <c r="H46" i="26"/>
  <c r="R48" i="26"/>
  <c r="V48" i="26" s="1"/>
  <c r="H49" i="26"/>
  <c r="R51" i="26"/>
  <c r="U51" i="26" s="1"/>
  <c r="H52" i="26"/>
  <c r="R54" i="26"/>
  <c r="U54" i="26" s="1"/>
  <c r="H55" i="26"/>
  <c r="R57" i="26"/>
  <c r="V57" i="26" s="1"/>
  <c r="H58" i="26"/>
  <c r="H18" i="26"/>
  <c r="R20" i="26"/>
  <c r="T20" i="26" s="1"/>
  <c r="S20" i="26" s="1"/>
  <c r="H21" i="26"/>
  <c r="R23" i="26"/>
  <c r="V23" i="26" s="1"/>
  <c r="R26" i="26"/>
  <c r="V26" i="26" s="1"/>
  <c r="H27" i="26"/>
  <c r="R29" i="26"/>
  <c r="U29" i="26" s="1"/>
  <c r="H30" i="26"/>
  <c r="R32" i="26"/>
  <c r="V32" i="26" s="1"/>
  <c r="H33" i="26"/>
  <c r="R35" i="26"/>
  <c r="V35" i="26" s="1"/>
  <c r="H36" i="26"/>
  <c r="R38" i="26"/>
  <c r="U38" i="26" s="1"/>
  <c r="H39" i="26"/>
  <c r="R41" i="26"/>
  <c r="V41" i="26" s="1"/>
  <c r="H42" i="26"/>
  <c r="R44" i="26"/>
  <c r="V44" i="26" s="1"/>
  <c r="H45" i="26"/>
  <c r="R47" i="26"/>
  <c r="U47" i="26" s="1"/>
  <c r="H48" i="26"/>
  <c r="R50" i="26"/>
  <c r="V50" i="26" s="1"/>
  <c r="H51" i="26"/>
  <c r="R53" i="26"/>
  <c r="V53" i="26" s="1"/>
  <c r="H54" i="26"/>
  <c r="R56" i="26"/>
  <c r="T56" i="26" s="1"/>
  <c r="S56" i="26" s="1"/>
  <c r="H57" i="26"/>
  <c r="G20" i="26"/>
  <c r="G23" i="26"/>
  <c r="G26" i="26"/>
  <c r="G29" i="26"/>
  <c r="G32" i="26"/>
  <c r="G35" i="26"/>
  <c r="G38" i="26"/>
  <c r="G41" i="26"/>
  <c r="G44" i="26"/>
  <c r="G47" i="26"/>
  <c r="G50" i="26"/>
  <c r="G53" i="26"/>
  <c r="G56" i="26"/>
  <c r="H20" i="25"/>
  <c r="H44" i="25"/>
  <c r="L18" i="25"/>
  <c r="G19" i="25"/>
  <c r="G22" i="25"/>
  <c r="G25" i="25"/>
  <c r="G37" i="25"/>
  <c r="G40" i="25"/>
  <c r="G43" i="25"/>
  <c r="G46" i="25"/>
  <c r="G49" i="25"/>
  <c r="G52" i="25"/>
  <c r="G55" i="25"/>
  <c r="G58" i="25"/>
  <c r="U60" i="25"/>
  <c r="H23" i="25"/>
  <c r="H50" i="25"/>
  <c r="H59" i="25"/>
  <c r="R18" i="25"/>
  <c r="V18" i="25" s="1"/>
  <c r="H19" i="25"/>
  <c r="R21" i="25"/>
  <c r="V21" i="25" s="1"/>
  <c r="H22" i="25"/>
  <c r="R24" i="25"/>
  <c r="U24" i="25" s="1"/>
  <c r="H25" i="25"/>
  <c r="R36" i="25"/>
  <c r="U36" i="25" s="1"/>
  <c r="H37" i="25"/>
  <c r="R39" i="25"/>
  <c r="V39" i="25" s="1"/>
  <c r="H40" i="25"/>
  <c r="R42" i="25"/>
  <c r="U42" i="25" s="1"/>
  <c r="H43" i="25"/>
  <c r="R45" i="25"/>
  <c r="H46" i="25"/>
  <c r="R48" i="25"/>
  <c r="U48" i="25" s="1"/>
  <c r="H49" i="25"/>
  <c r="R51" i="25"/>
  <c r="U51" i="25" s="1"/>
  <c r="H52" i="25"/>
  <c r="R54" i="25"/>
  <c r="U54" i="25" s="1"/>
  <c r="H55" i="25"/>
  <c r="R57" i="25"/>
  <c r="U57" i="25" s="1"/>
  <c r="H58" i="25"/>
  <c r="R61" i="25"/>
  <c r="U61" i="25" s="1"/>
  <c r="H41" i="25"/>
  <c r="G18" i="25"/>
  <c r="U19" i="25"/>
  <c r="G21" i="25"/>
  <c r="G24" i="25"/>
  <c r="U25" i="25"/>
  <c r="G36" i="25"/>
  <c r="G39" i="25"/>
  <c r="G42" i="25"/>
  <c r="U43" i="25"/>
  <c r="G45" i="25"/>
  <c r="U46" i="25"/>
  <c r="G48" i="25"/>
  <c r="G51" i="25"/>
  <c r="G54" i="25"/>
  <c r="G57" i="25"/>
  <c r="G61" i="25"/>
  <c r="H47" i="25"/>
  <c r="H18" i="25"/>
  <c r="R20" i="25"/>
  <c r="U20" i="25" s="1"/>
  <c r="H21" i="25"/>
  <c r="R23" i="25"/>
  <c r="V23" i="25" s="1"/>
  <c r="H24" i="25"/>
  <c r="R35" i="25"/>
  <c r="V35" i="25" s="1"/>
  <c r="H36" i="25"/>
  <c r="R38" i="25"/>
  <c r="V38" i="25" s="1"/>
  <c r="H39" i="25"/>
  <c r="R41" i="25"/>
  <c r="U41" i="25" s="1"/>
  <c r="H42" i="25"/>
  <c r="R44" i="25"/>
  <c r="U44" i="25" s="1"/>
  <c r="H45" i="25"/>
  <c r="R47" i="25"/>
  <c r="H48" i="25"/>
  <c r="R50" i="25"/>
  <c r="H51" i="25"/>
  <c r="R53" i="25"/>
  <c r="U53" i="25" s="1"/>
  <c r="H54" i="25"/>
  <c r="R56" i="25"/>
  <c r="U56" i="25" s="1"/>
  <c r="H57" i="25"/>
  <c r="R59" i="25"/>
  <c r="V59" i="25" s="1"/>
  <c r="H35" i="25"/>
  <c r="H38" i="25"/>
  <c r="H53" i="25"/>
  <c r="H56" i="25"/>
  <c r="G20" i="25"/>
  <c r="G23" i="25"/>
  <c r="G35" i="25"/>
  <c r="G38" i="25"/>
  <c r="G41" i="25"/>
  <c r="G44" i="25"/>
  <c r="G47" i="25"/>
  <c r="G50" i="25"/>
  <c r="G53" i="25"/>
  <c r="G56" i="25"/>
  <c r="G59" i="25"/>
  <c r="L46" i="24"/>
  <c r="H51" i="24"/>
  <c r="H54" i="24"/>
  <c r="H57" i="24"/>
  <c r="H48" i="24"/>
  <c r="H60" i="24"/>
  <c r="H29" i="24"/>
  <c r="L43" i="24"/>
  <c r="H45" i="24"/>
  <c r="L30" i="24"/>
  <c r="H31" i="24"/>
  <c r="L24" i="24"/>
  <c r="H26" i="24"/>
  <c r="L40" i="24"/>
  <c r="H42" i="24"/>
  <c r="L32" i="24"/>
  <c r="L21" i="24"/>
  <c r="H23" i="24"/>
  <c r="L38" i="24"/>
  <c r="L18" i="24"/>
  <c r="H20" i="24"/>
  <c r="L35" i="24"/>
  <c r="H37" i="24"/>
  <c r="L49" i="24"/>
  <c r="L52" i="24"/>
  <c r="R18" i="24"/>
  <c r="H19" i="24"/>
  <c r="R21" i="24"/>
  <c r="V21" i="24" s="1"/>
  <c r="H22" i="24"/>
  <c r="R24" i="24"/>
  <c r="V24" i="24" s="1"/>
  <c r="H25" i="24"/>
  <c r="R27" i="24"/>
  <c r="H28" i="24"/>
  <c r="R30" i="24"/>
  <c r="V30" i="24" s="1"/>
  <c r="R32" i="24"/>
  <c r="U32" i="24" s="1"/>
  <c r="H33" i="24"/>
  <c r="R35" i="24"/>
  <c r="V35" i="24" s="1"/>
  <c r="H36" i="24"/>
  <c r="R38" i="24"/>
  <c r="V38" i="24" s="1"/>
  <c r="H39" i="24"/>
  <c r="R40" i="24"/>
  <c r="V40" i="24" s="1"/>
  <c r="H41" i="24"/>
  <c r="R43" i="24"/>
  <c r="V43" i="24" s="1"/>
  <c r="H44" i="24"/>
  <c r="R46" i="24"/>
  <c r="V46" i="24" s="1"/>
  <c r="H47" i="24"/>
  <c r="R49" i="24"/>
  <c r="U49" i="24" s="1"/>
  <c r="H50" i="24"/>
  <c r="R52" i="24"/>
  <c r="U52" i="24" s="1"/>
  <c r="H53" i="24"/>
  <c r="R55" i="24"/>
  <c r="V55" i="24" s="1"/>
  <c r="H56" i="24"/>
  <c r="R60" i="24"/>
  <c r="U60" i="24" s="1"/>
  <c r="L55" i="24"/>
  <c r="L60" i="24"/>
  <c r="G18" i="24"/>
  <c r="G21" i="24"/>
  <c r="U22" i="24"/>
  <c r="G24" i="24"/>
  <c r="G27" i="24"/>
  <c r="G30" i="24"/>
  <c r="G32" i="24"/>
  <c r="G35" i="24"/>
  <c r="G38" i="24"/>
  <c r="G40" i="24"/>
  <c r="G43" i="24"/>
  <c r="G46" i="24"/>
  <c r="G49" i="24"/>
  <c r="G52" i="24"/>
  <c r="U53" i="24"/>
  <c r="G55" i="24"/>
  <c r="G60" i="24"/>
  <c r="H18" i="24"/>
  <c r="R20" i="24"/>
  <c r="U20" i="24" s="1"/>
  <c r="H21" i="24"/>
  <c r="R23" i="24"/>
  <c r="H24" i="24"/>
  <c r="R26" i="24"/>
  <c r="V26" i="24" s="1"/>
  <c r="H27" i="24"/>
  <c r="R29" i="24"/>
  <c r="H30" i="24"/>
  <c r="R31" i="24"/>
  <c r="H32" i="24"/>
  <c r="R34" i="24"/>
  <c r="U34" i="24" s="1"/>
  <c r="H35" i="24"/>
  <c r="R37" i="24"/>
  <c r="U37" i="24" s="1"/>
  <c r="H38" i="24"/>
  <c r="H40" i="24"/>
  <c r="R42" i="24"/>
  <c r="V42" i="24" s="1"/>
  <c r="H43" i="24"/>
  <c r="R45" i="24"/>
  <c r="U45" i="24" s="1"/>
  <c r="H46" i="24"/>
  <c r="R48" i="24"/>
  <c r="U48" i="24" s="1"/>
  <c r="H49" i="24"/>
  <c r="R51" i="24"/>
  <c r="U51" i="24" s="1"/>
  <c r="H52" i="24"/>
  <c r="R54" i="24"/>
  <c r="U54" i="24" s="1"/>
  <c r="H55" i="24"/>
  <c r="G20" i="24"/>
  <c r="G23" i="24"/>
  <c r="G26" i="24"/>
  <c r="G29" i="24"/>
  <c r="G31" i="24"/>
  <c r="G34" i="24"/>
  <c r="G37" i="24"/>
  <c r="G42" i="24"/>
  <c r="G45" i="24"/>
  <c r="G48" i="24"/>
  <c r="G51" i="24"/>
  <c r="G54" i="24"/>
  <c r="T32" i="23"/>
  <c r="S32" i="23" s="1"/>
  <c r="U57" i="23"/>
  <c r="L24" i="23"/>
  <c r="V44" i="23"/>
  <c r="L18" i="23"/>
  <c r="K61" i="23"/>
  <c r="V31" i="23"/>
  <c r="V35" i="23"/>
  <c r="H47" i="23"/>
  <c r="H53" i="23"/>
  <c r="H38" i="23"/>
  <c r="H50" i="23"/>
  <c r="H44" i="23"/>
  <c r="H59" i="23"/>
  <c r="H56" i="23"/>
  <c r="H41" i="23"/>
  <c r="V23" i="23"/>
  <c r="L33" i="23"/>
  <c r="H35" i="23"/>
  <c r="U54" i="23"/>
  <c r="L27" i="23"/>
  <c r="V59" i="23"/>
  <c r="U21" i="23"/>
  <c r="L21" i="23"/>
  <c r="T21" i="23" s="1"/>
  <c r="S21" i="23" s="1"/>
  <c r="H60" i="23"/>
  <c r="T22" i="23"/>
  <c r="S22" i="23" s="1"/>
  <c r="V25" i="23"/>
  <c r="L30" i="23"/>
  <c r="H32" i="23"/>
  <c r="T41" i="23"/>
  <c r="S41" i="23" s="1"/>
  <c r="T59" i="23"/>
  <c r="S59" i="23" s="1"/>
  <c r="V57" i="23"/>
  <c r="L36" i="23"/>
  <c r="L39" i="23"/>
  <c r="R18" i="23"/>
  <c r="U18" i="23" s="1"/>
  <c r="H19" i="23"/>
  <c r="R21" i="23"/>
  <c r="V21" i="23" s="1"/>
  <c r="H22" i="23"/>
  <c r="R24" i="23"/>
  <c r="U24" i="23" s="1"/>
  <c r="H25" i="23"/>
  <c r="R27" i="23"/>
  <c r="U27" i="23" s="1"/>
  <c r="H28" i="23"/>
  <c r="R30" i="23"/>
  <c r="V30" i="23" s="1"/>
  <c r="H31" i="23"/>
  <c r="R33" i="23"/>
  <c r="U33" i="23" s="1"/>
  <c r="H34" i="23"/>
  <c r="R36" i="23"/>
  <c r="V36" i="23" s="1"/>
  <c r="H37" i="23"/>
  <c r="R39" i="23"/>
  <c r="U39" i="23" s="1"/>
  <c r="H40" i="23"/>
  <c r="R42" i="23"/>
  <c r="V42" i="23" s="1"/>
  <c r="H43" i="23"/>
  <c r="R45" i="23"/>
  <c r="V45" i="23" s="1"/>
  <c r="H46" i="23"/>
  <c r="R48" i="23"/>
  <c r="V48" i="23" s="1"/>
  <c r="H49" i="23"/>
  <c r="R51" i="23"/>
  <c r="U51" i="23" s="1"/>
  <c r="H52" i="23"/>
  <c r="R54" i="23"/>
  <c r="H55" i="23"/>
  <c r="R57" i="23"/>
  <c r="H58" i="23"/>
  <c r="R60" i="23"/>
  <c r="U60" i="23" s="1"/>
  <c r="L45" i="23"/>
  <c r="L57" i="23"/>
  <c r="T57" i="23" s="1"/>
  <c r="S57" i="23" s="1"/>
  <c r="U19" i="23"/>
  <c r="G21" i="23"/>
  <c r="U22" i="23"/>
  <c r="G24" i="23"/>
  <c r="U25" i="23"/>
  <c r="G27" i="23"/>
  <c r="U28" i="23"/>
  <c r="G30" i="23"/>
  <c r="U31" i="23"/>
  <c r="G33" i="23"/>
  <c r="U34" i="23"/>
  <c r="G36" i="23"/>
  <c r="U37" i="23"/>
  <c r="G39" i="23"/>
  <c r="U40" i="23"/>
  <c r="G42" i="23"/>
  <c r="U43" i="23"/>
  <c r="G45" i="23"/>
  <c r="U46" i="23"/>
  <c r="G48" i="23"/>
  <c r="U49" i="23"/>
  <c r="G51" i="23"/>
  <c r="U52" i="23"/>
  <c r="G54" i="23"/>
  <c r="U55" i="23"/>
  <c r="G57" i="23"/>
  <c r="U58" i="23"/>
  <c r="G60" i="23"/>
  <c r="V54" i="23"/>
  <c r="L42" i="23"/>
  <c r="L48" i="23"/>
  <c r="T48" i="23" s="1"/>
  <c r="S48" i="23" s="1"/>
  <c r="L51" i="23"/>
  <c r="L54" i="23"/>
  <c r="T54" i="23" s="1"/>
  <c r="S54" i="23" s="1"/>
  <c r="L60" i="23"/>
  <c r="H18" i="23"/>
  <c r="R20" i="23"/>
  <c r="H21" i="23"/>
  <c r="R23" i="23"/>
  <c r="U23" i="23" s="1"/>
  <c r="H24" i="23"/>
  <c r="R26" i="23"/>
  <c r="U26" i="23" s="1"/>
  <c r="H27" i="23"/>
  <c r="R29" i="23"/>
  <c r="U29" i="23" s="1"/>
  <c r="H30" i="23"/>
  <c r="R32" i="23"/>
  <c r="U32" i="23" s="1"/>
  <c r="H33" i="23"/>
  <c r="R35" i="23"/>
  <c r="H36" i="23"/>
  <c r="R38" i="23"/>
  <c r="U38" i="23" s="1"/>
  <c r="H39" i="23"/>
  <c r="R41" i="23"/>
  <c r="U41" i="23" s="1"/>
  <c r="H42" i="23"/>
  <c r="R44" i="23"/>
  <c r="U44" i="23" s="1"/>
  <c r="H45" i="23"/>
  <c r="R47" i="23"/>
  <c r="U47" i="23" s="1"/>
  <c r="H48" i="23"/>
  <c r="R50" i="23"/>
  <c r="U50" i="23" s="1"/>
  <c r="H51" i="23"/>
  <c r="R53" i="23"/>
  <c r="U53" i="23" s="1"/>
  <c r="H54" i="23"/>
  <c r="R56" i="23"/>
  <c r="U56" i="23" s="1"/>
  <c r="H57" i="23"/>
  <c r="G20" i="23"/>
  <c r="G23" i="23"/>
  <c r="G26" i="23"/>
  <c r="G29" i="23"/>
  <c r="G32" i="23"/>
  <c r="G35" i="23"/>
  <c r="G38" i="23"/>
  <c r="G41" i="23"/>
  <c r="G44" i="23"/>
  <c r="G47" i="23"/>
  <c r="G50" i="23"/>
  <c r="G53" i="23"/>
  <c r="G56" i="23"/>
  <c r="L39" i="22"/>
  <c r="L27" i="22"/>
  <c r="L35" i="22"/>
  <c r="T35" i="22" s="1"/>
  <c r="S35" i="22" s="1"/>
  <c r="L47" i="22"/>
  <c r="L49" i="22"/>
  <c r="L51" i="22"/>
  <c r="L59" i="22"/>
  <c r="T59" i="22" s="1"/>
  <c r="S59" i="22" s="1"/>
  <c r="L28" i="22"/>
  <c r="T50" i="22"/>
  <c r="S50" i="22" s="1"/>
  <c r="L36" i="22"/>
  <c r="L26" i="22"/>
  <c r="L55" i="22"/>
  <c r="H58" i="22"/>
  <c r="H21" i="22"/>
  <c r="H30" i="22"/>
  <c r="G36" i="22"/>
  <c r="G42" i="22"/>
  <c r="T44" i="22"/>
  <c r="S44" i="22" s="1"/>
  <c r="R47" i="22"/>
  <c r="T47" i="22" s="1"/>
  <c r="S47" i="22" s="1"/>
  <c r="H48" i="22"/>
  <c r="V50" i="22"/>
  <c r="R53" i="22"/>
  <c r="T53" i="22" s="1"/>
  <c r="S53" i="22" s="1"/>
  <c r="H57" i="22"/>
  <c r="V59" i="22"/>
  <c r="U60" i="22"/>
  <c r="L21" i="22"/>
  <c r="L25" i="22"/>
  <c r="L30" i="22"/>
  <c r="L34" i="22"/>
  <c r="H36" i="22"/>
  <c r="L38" i="22"/>
  <c r="T38" i="22" s="1"/>
  <c r="S38" i="22" s="1"/>
  <c r="L40" i="22"/>
  <c r="H42" i="22"/>
  <c r="G26" i="22"/>
  <c r="L48" i="22"/>
  <c r="L52" i="22"/>
  <c r="G54" i="22"/>
  <c r="L57" i="22"/>
  <c r="L20" i="22"/>
  <c r="L56" i="22"/>
  <c r="J61" i="22"/>
  <c r="R20" i="22"/>
  <c r="V20" i="22" s="1"/>
  <c r="H24" i="22"/>
  <c r="R29" i="22"/>
  <c r="H33" i="22"/>
  <c r="H39" i="22"/>
  <c r="L41" i="22"/>
  <c r="T41" i="22" s="1"/>
  <c r="S41" i="22" s="1"/>
  <c r="H45" i="22"/>
  <c r="R28" i="22"/>
  <c r="U28" i="22" s="1"/>
  <c r="H51" i="22"/>
  <c r="R56" i="22"/>
  <c r="V56" i="22" s="1"/>
  <c r="H60" i="22"/>
  <c r="L43" i="22"/>
  <c r="L22" i="22"/>
  <c r="L19" i="22"/>
  <c r="L24" i="22"/>
  <c r="L33" i="22"/>
  <c r="L37" i="22"/>
  <c r="L42" i="22"/>
  <c r="L46" i="22"/>
  <c r="K29" i="22"/>
  <c r="K61" i="22" s="1"/>
  <c r="V23" i="22"/>
  <c r="V32" i="22"/>
  <c r="V41" i="22"/>
  <c r="V44" i="22"/>
  <c r="V35" i="22"/>
  <c r="V38" i="22"/>
  <c r="U65" i="21"/>
  <c r="L63" i="21"/>
  <c r="T63" i="21" s="1"/>
  <c r="S63" i="21" s="1"/>
  <c r="T61" i="21"/>
  <c r="S61" i="21" s="1"/>
  <c r="V62" i="21"/>
  <c r="V66" i="21"/>
  <c r="L59" i="21"/>
  <c r="T59" i="21" s="1"/>
  <c r="S59" i="21" s="1"/>
  <c r="U60" i="21"/>
  <c r="V69" i="21"/>
  <c r="V68" i="21"/>
  <c r="T67" i="21"/>
  <c r="S67" i="21" s="1"/>
  <c r="U66" i="21"/>
  <c r="V60" i="21"/>
  <c r="V59" i="21"/>
  <c r="U68" i="21"/>
  <c r="L66" i="21"/>
  <c r="T66" i="21" s="1"/>
  <c r="S66" i="21" s="1"/>
  <c r="U59" i="21"/>
  <c r="V63" i="21"/>
  <c r="L69" i="21"/>
  <c r="T69" i="21" s="1"/>
  <c r="S69" i="21" s="1"/>
  <c r="U62" i="21"/>
  <c r="L60" i="21"/>
  <c r="T60" i="21" s="1"/>
  <c r="S60" i="21" s="1"/>
  <c r="L53" i="21"/>
  <c r="V65" i="21"/>
  <c r="L64" i="21"/>
  <c r="T64" i="21" s="1"/>
  <c r="S64" i="21" s="1"/>
  <c r="U63" i="21"/>
  <c r="U70" i="21"/>
  <c r="L68" i="21"/>
  <c r="T68" i="21" s="1"/>
  <c r="S68" i="21" s="1"/>
  <c r="U67" i="21"/>
  <c r="L65" i="21"/>
  <c r="T65" i="21" s="1"/>
  <c r="S65" i="21" s="1"/>
  <c r="U64" i="21"/>
  <c r="L62" i="21"/>
  <c r="T62" i="21" s="1"/>
  <c r="S62" i="21" s="1"/>
  <c r="U61" i="21"/>
  <c r="V64" i="21"/>
  <c r="V61" i="21"/>
  <c r="V67" i="21"/>
  <c r="V70" i="21"/>
  <c r="R41" i="21"/>
  <c r="G22" i="21"/>
  <c r="R23" i="21"/>
  <c r="T23" i="21" s="1"/>
  <c r="S23" i="21" s="1"/>
  <c r="G33" i="21"/>
  <c r="R34" i="21"/>
  <c r="U34" i="21" s="1"/>
  <c r="L40" i="21"/>
  <c r="G42" i="21"/>
  <c r="R43" i="21"/>
  <c r="T43" i="21" s="1"/>
  <c r="S43" i="21" s="1"/>
  <c r="G46" i="21"/>
  <c r="G48" i="21"/>
  <c r="R49" i="21"/>
  <c r="R55" i="21"/>
  <c r="V55" i="21" s="1"/>
  <c r="R28" i="21"/>
  <c r="R37" i="21"/>
  <c r="T37" i="21" s="1"/>
  <c r="S37" i="21" s="1"/>
  <c r="G24" i="21"/>
  <c r="R25" i="21"/>
  <c r="T25" i="21" s="1"/>
  <c r="S25" i="21" s="1"/>
  <c r="G28" i="21"/>
  <c r="R29" i="21"/>
  <c r="V29" i="21" s="1"/>
  <c r="L35" i="21"/>
  <c r="G37" i="21"/>
  <c r="R38" i="21"/>
  <c r="U38" i="21" s="1"/>
  <c r="T49" i="21"/>
  <c r="S49" i="21" s="1"/>
  <c r="R20" i="21"/>
  <c r="L28" i="21"/>
  <c r="T28" i="21" s="1"/>
  <c r="S28" i="21" s="1"/>
  <c r="R31" i="21"/>
  <c r="G39" i="21"/>
  <c r="R40" i="21"/>
  <c r="V40" i="21" s="1"/>
  <c r="V46" i="21"/>
  <c r="R19" i="21"/>
  <c r="V19" i="21" s="1"/>
  <c r="R32" i="21"/>
  <c r="V32" i="21" s="1"/>
  <c r="L19" i="21"/>
  <c r="T19" i="21" s="1"/>
  <c r="S19" i="21" s="1"/>
  <c r="R22" i="21"/>
  <c r="U22" i="21" s="1"/>
  <c r="R26" i="21"/>
  <c r="K26" i="21" s="1"/>
  <c r="V26" i="21" s="1"/>
  <c r="R35" i="21"/>
  <c r="L41" i="21"/>
  <c r="R46" i="21"/>
  <c r="U46" i="21" s="1"/>
  <c r="R52" i="21"/>
  <c r="V52" i="21" s="1"/>
  <c r="R58" i="21"/>
  <c r="U58" i="21" s="1"/>
  <c r="L31" i="21"/>
  <c r="T31" i="21" s="1"/>
  <c r="S31" i="21" s="1"/>
  <c r="L20" i="21"/>
  <c r="T20" i="21" s="1"/>
  <c r="S20" i="21" s="1"/>
  <c r="U26" i="21"/>
  <c r="V28" i="21"/>
  <c r="U28" i="21"/>
  <c r="U31" i="21"/>
  <c r="V35" i="21"/>
  <c r="L37" i="21"/>
  <c r="U49" i="21"/>
  <c r="V20" i="21"/>
  <c r="V31" i="21"/>
  <c r="L22" i="21"/>
  <c r="T22" i="21" s="1"/>
  <c r="S22" i="21" s="1"/>
  <c r="L32" i="21"/>
  <c r="U40" i="21"/>
  <c r="L44" i="21"/>
  <c r="L46" i="21"/>
  <c r="L50" i="21"/>
  <c r="L52" i="21"/>
  <c r="L56" i="21"/>
  <c r="L58" i="21"/>
  <c r="V43" i="21"/>
  <c r="U20" i="21"/>
  <c r="L29" i="21"/>
  <c r="U37" i="21"/>
  <c r="V49" i="21"/>
  <c r="U19" i="21"/>
  <c r="L38" i="21"/>
  <c r="L46" i="20"/>
  <c r="L44" i="20"/>
  <c r="L38" i="20"/>
  <c r="L32" i="20"/>
  <c r="L28" i="20"/>
  <c r="L23" i="20"/>
  <c r="T37" i="20"/>
  <c r="S37" i="20" s="1"/>
  <c r="J61" i="20"/>
  <c r="V28" i="20"/>
  <c r="V34" i="20"/>
  <c r="V40" i="20"/>
  <c r="V46" i="20"/>
  <c r="L20" i="20"/>
  <c r="V22" i="20"/>
  <c r="L19" i="20"/>
  <c r="T19" i="20" s="1"/>
  <c r="S19" i="20" s="1"/>
  <c r="T31" i="20"/>
  <c r="S31" i="20" s="1"/>
  <c r="T43" i="20"/>
  <c r="S43" i="20" s="1"/>
  <c r="T28" i="20"/>
  <c r="S28" i="20" s="1"/>
  <c r="T34" i="20"/>
  <c r="S34" i="20" s="1"/>
  <c r="T40" i="20"/>
  <c r="S40" i="20" s="1"/>
  <c r="T46" i="20"/>
  <c r="S46" i="20" s="1"/>
  <c r="L25" i="20"/>
  <c r="T25" i="20" s="1"/>
  <c r="S25" i="20" s="1"/>
  <c r="T49" i="20"/>
  <c r="S49" i="20" s="1"/>
  <c r="T22" i="20"/>
  <c r="S22" i="20" s="1"/>
  <c r="L29" i="20"/>
  <c r="V31" i="20"/>
  <c r="L35" i="20"/>
  <c r="V37" i="20"/>
  <c r="L41" i="20"/>
  <c r="V43" i="20"/>
  <c r="L47" i="20"/>
  <c r="V49" i="20"/>
  <c r="L50" i="19"/>
  <c r="L58" i="19"/>
  <c r="V63" i="19"/>
  <c r="L44" i="19"/>
  <c r="L45" i="19"/>
  <c r="L27" i="19"/>
  <c r="L24" i="19"/>
  <c r="L53" i="19"/>
  <c r="V61" i="19"/>
  <c r="U60" i="19"/>
  <c r="L55" i="19"/>
  <c r="T55" i="19" s="1"/>
  <c r="S55" i="19" s="1"/>
  <c r="U64" i="19"/>
  <c r="T60" i="19"/>
  <c r="S60" i="19" s="1"/>
  <c r="L19" i="19"/>
  <c r="L22" i="19"/>
  <c r="L56" i="19"/>
  <c r="L59" i="19"/>
  <c r="T59" i="19" s="1"/>
  <c r="S59" i="19" s="1"/>
  <c r="V64" i="19"/>
  <c r="U63" i="19"/>
  <c r="L61" i="19"/>
  <c r="T61" i="19" s="1"/>
  <c r="S61" i="19" s="1"/>
  <c r="L23" i="19"/>
  <c r="L25" i="19"/>
  <c r="L32" i="19"/>
  <c r="V37" i="19"/>
  <c r="L40" i="19"/>
  <c r="L43" i="19"/>
  <c r="T43" i="19" s="1"/>
  <c r="S43" i="19" s="1"/>
  <c r="L52" i="19"/>
  <c r="L57" i="19"/>
  <c r="T57" i="19" s="1"/>
  <c r="S57" i="19" s="1"/>
  <c r="L69" i="19"/>
  <c r="T69" i="19" s="1"/>
  <c r="S69" i="19" s="1"/>
  <c r="U68" i="19"/>
  <c r="L66" i="19"/>
  <c r="T66" i="19" s="1"/>
  <c r="S66" i="19" s="1"/>
  <c r="U65" i="19"/>
  <c r="L63" i="19"/>
  <c r="T63" i="19" s="1"/>
  <c r="S63" i="19" s="1"/>
  <c r="U62" i="19"/>
  <c r="V68" i="19"/>
  <c r="V65" i="19"/>
  <c r="V62" i="19"/>
  <c r="G18" i="19"/>
  <c r="R22" i="19"/>
  <c r="T25" i="19"/>
  <c r="S25" i="19" s="1"/>
  <c r="V28" i="19"/>
  <c r="L31" i="19"/>
  <c r="L36" i="19"/>
  <c r="L41" i="19"/>
  <c r="R43" i="19"/>
  <c r="L49" i="19"/>
  <c r="L54" i="19"/>
  <c r="V19" i="19"/>
  <c r="J71" i="19"/>
  <c r="R25" i="19"/>
  <c r="U25" i="19" s="1"/>
  <c r="R28" i="19"/>
  <c r="L34" i="19"/>
  <c r="T34" i="19" s="1"/>
  <c r="S34" i="19" s="1"/>
  <c r="L39" i="19"/>
  <c r="T39" i="19" s="1"/>
  <c r="S39" i="19" s="1"/>
  <c r="R46" i="19"/>
  <c r="U46" i="19" s="1"/>
  <c r="T52" i="19"/>
  <c r="S52" i="19" s="1"/>
  <c r="L21" i="19"/>
  <c r="L29" i="19"/>
  <c r="R31" i="19"/>
  <c r="U31" i="19" s="1"/>
  <c r="V34" i="19"/>
  <c r="L37" i="19"/>
  <c r="T37" i="19" s="1"/>
  <c r="S37" i="19" s="1"/>
  <c r="L42" i="19"/>
  <c r="L47" i="19"/>
  <c r="R49" i="19"/>
  <c r="V49" i="19" s="1"/>
  <c r="V52" i="19"/>
  <c r="T22" i="19"/>
  <c r="S22" i="19" s="1"/>
  <c r="R19" i="19"/>
  <c r="V22" i="19"/>
  <c r="L28" i="19"/>
  <c r="T28" i="19" s="1"/>
  <c r="S28" i="19" s="1"/>
  <c r="L38" i="19"/>
  <c r="R40" i="19"/>
  <c r="V40" i="19" s="1"/>
  <c r="V43" i="19"/>
  <c r="L46" i="19"/>
  <c r="L51" i="19"/>
  <c r="R58" i="19"/>
  <c r="U58" i="19" s="1"/>
  <c r="L40" i="18"/>
  <c r="T40" i="18" s="1"/>
  <c r="S40" i="18" s="1"/>
  <c r="L42" i="18"/>
  <c r="L41" i="18"/>
  <c r="L38" i="18"/>
  <c r="L34" i="18"/>
  <c r="T34" i="18" s="1"/>
  <c r="S34" i="18" s="1"/>
  <c r="L32" i="18"/>
  <c r="L28" i="18"/>
  <c r="T28" i="18" s="1"/>
  <c r="S28" i="18" s="1"/>
  <c r="U19" i="18"/>
  <c r="V34" i="18"/>
  <c r="L22" i="18"/>
  <c r="T22" i="18" s="1"/>
  <c r="S22" i="18" s="1"/>
  <c r="U34" i="18"/>
  <c r="U40" i="18"/>
  <c r="U46" i="18"/>
  <c r="V28" i="18"/>
  <c r="L24" i="18"/>
  <c r="L31" i="18"/>
  <c r="T31" i="18" s="1"/>
  <c r="S31" i="18" s="1"/>
  <c r="L37" i="18"/>
  <c r="T37" i="18" s="1"/>
  <c r="S37" i="18" s="1"/>
  <c r="L43" i="18"/>
  <c r="T43" i="18" s="1"/>
  <c r="S43" i="18" s="1"/>
  <c r="V46" i="18"/>
  <c r="L27" i="18"/>
  <c r="L33" i="18"/>
  <c r="T33" i="18" s="1"/>
  <c r="S33" i="18" s="1"/>
  <c r="L45" i="18"/>
  <c r="V40" i="18"/>
  <c r="L19" i="18"/>
  <c r="T19" i="18" s="1"/>
  <c r="S19" i="18" s="1"/>
  <c r="L25" i="18"/>
  <c r="T25" i="18" s="1"/>
  <c r="S25" i="18" s="1"/>
  <c r="U37" i="18"/>
  <c r="U43" i="18"/>
  <c r="U34" i="17"/>
  <c r="U40" i="17"/>
  <c r="V19" i="17"/>
  <c r="U31" i="17"/>
  <c r="U19" i="17"/>
  <c r="U25" i="17"/>
  <c r="L28" i="17"/>
  <c r="T28" i="17" s="1"/>
  <c r="S28" i="17" s="1"/>
  <c r="L32" i="17"/>
  <c r="L34" i="17"/>
  <c r="T34" i="17" s="1"/>
  <c r="S34" i="17" s="1"/>
  <c r="L38" i="17"/>
  <c r="L40" i="17"/>
  <c r="T40" i="17" s="1"/>
  <c r="S40" i="17" s="1"/>
  <c r="L44" i="17"/>
  <c r="V25" i="17"/>
  <c r="J61" i="17"/>
  <c r="L20" i="17"/>
  <c r="L22" i="17"/>
  <c r="T22" i="17" s="1"/>
  <c r="S22" i="17" s="1"/>
  <c r="V34" i="17"/>
  <c r="V40" i="17"/>
  <c r="U37" i="17"/>
  <c r="U28" i="17"/>
  <c r="U43" i="17"/>
  <c r="U22" i="17"/>
  <c r="L29" i="17"/>
  <c r="T29" i="17" s="1"/>
  <c r="S29" i="17" s="1"/>
  <c r="L31" i="17"/>
  <c r="T31" i="17" s="1"/>
  <c r="S31" i="17" s="1"/>
  <c r="L35" i="17"/>
  <c r="L37" i="17"/>
  <c r="T37" i="17" s="1"/>
  <c r="S37" i="17" s="1"/>
  <c r="L41" i="17"/>
  <c r="L43" i="17"/>
  <c r="T43" i="17" s="1"/>
  <c r="S43" i="17" s="1"/>
  <c r="L43" i="16"/>
  <c r="T43" i="16" s="1"/>
  <c r="S43" i="16" s="1"/>
  <c r="L45" i="16"/>
  <c r="L33" i="16"/>
  <c r="L40" i="16"/>
  <c r="J61" i="16"/>
  <c r="V25" i="16"/>
  <c r="L28" i="16"/>
  <c r="T28" i="16" s="1"/>
  <c r="S28" i="16" s="1"/>
  <c r="L30" i="16"/>
  <c r="T30" i="16" s="1"/>
  <c r="S30" i="16" s="1"/>
  <c r="L32" i="16"/>
  <c r="L37" i="16"/>
  <c r="T37" i="16" s="1"/>
  <c r="S37" i="16" s="1"/>
  <c r="L39" i="16"/>
  <c r="L41" i="16"/>
  <c r="L46" i="16"/>
  <c r="T46" i="16" s="1"/>
  <c r="S46" i="16" s="1"/>
  <c r="V28" i="16"/>
  <c r="V43" i="16"/>
  <c r="V19" i="16"/>
  <c r="T31" i="16"/>
  <c r="S31" i="16" s="1"/>
  <c r="T40" i="16"/>
  <c r="S40" i="16" s="1"/>
  <c r="L44" i="16"/>
  <c r="L20" i="16"/>
  <c r="V34" i="16"/>
  <c r="L22" i="16"/>
  <c r="T22" i="16" s="1"/>
  <c r="S22" i="16" s="1"/>
  <c r="L24" i="16"/>
  <c r="V31" i="16"/>
  <c r="V40" i="16"/>
  <c r="L49" i="15"/>
  <c r="T49" i="15" s="1"/>
  <c r="S49" i="15" s="1"/>
  <c r="L25" i="15"/>
  <c r="T25" i="15" s="1"/>
  <c r="S25" i="15" s="1"/>
  <c r="L32" i="15"/>
  <c r="V34" i="15"/>
  <c r="L38" i="15"/>
  <c r="V40" i="15"/>
  <c r="L44" i="15"/>
  <c r="T44" i="15" s="1"/>
  <c r="S44" i="15" s="1"/>
  <c r="V46" i="15"/>
  <c r="L50" i="15"/>
  <c r="L28" i="15"/>
  <c r="T28" i="15" s="1"/>
  <c r="S28" i="15" s="1"/>
  <c r="J61" i="15"/>
  <c r="L35" i="15"/>
  <c r="T35" i="15" s="1"/>
  <c r="S35" i="15" s="1"/>
  <c r="V37" i="15"/>
  <c r="L41" i="15"/>
  <c r="V43" i="15"/>
  <c r="L47" i="15"/>
  <c r="V49" i="15"/>
  <c r="L46" i="14"/>
  <c r="L33" i="14"/>
  <c r="L28" i="14"/>
  <c r="L22" i="14"/>
  <c r="K26" i="14"/>
  <c r="V26" i="14" s="1"/>
  <c r="V32" i="14"/>
  <c r="V41" i="14"/>
  <c r="V50" i="14"/>
  <c r="L44" i="14"/>
  <c r="T44" i="14" s="1"/>
  <c r="S44" i="14" s="1"/>
  <c r="L19" i="14"/>
  <c r="L30" i="14"/>
  <c r="L34" i="14"/>
  <c r="L43" i="14"/>
  <c r="L48" i="14"/>
  <c r="L52" i="14"/>
  <c r="L20" i="14"/>
  <c r="T20" i="14" s="1"/>
  <c r="S20" i="14" s="1"/>
  <c r="L53" i="14"/>
  <c r="T53" i="14" s="1"/>
  <c r="S53" i="14" s="1"/>
  <c r="V23" i="14"/>
  <c r="V29" i="14"/>
  <c r="V38" i="14"/>
  <c r="V47" i="14"/>
  <c r="L35" i="14"/>
  <c r="T35" i="14" s="1"/>
  <c r="S35" i="14" s="1"/>
  <c r="L21" i="14"/>
  <c r="L23" i="14"/>
  <c r="T23" i="14" s="1"/>
  <c r="S23" i="14" s="1"/>
  <c r="L27" i="14"/>
  <c r="L31" i="14"/>
  <c r="L36" i="14"/>
  <c r="T36" i="14" s="1"/>
  <c r="S36" i="14" s="1"/>
  <c r="L40" i="14"/>
  <c r="T40" i="14" s="1"/>
  <c r="S40" i="14" s="1"/>
  <c r="L45" i="14"/>
  <c r="T45" i="14" s="1"/>
  <c r="S45" i="14" s="1"/>
  <c r="L47" i="14"/>
  <c r="T47" i="14" s="1"/>
  <c r="S47" i="14" s="1"/>
  <c r="L49" i="14"/>
  <c r="T60" i="22"/>
  <c r="S60" i="22" s="1"/>
  <c r="V29" i="22"/>
  <c r="V60" i="22"/>
  <c r="R19" i="22"/>
  <c r="U19" i="22" s="1"/>
  <c r="H20" i="22"/>
  <c r="R22" i="22"/>
  <c r="U22" i="22" s="1"/>
  <c r="H23" i="22"/>
  <c r="R25" i="22"/>
  <c r="U25" i="22" s="1"/>
  <c r="H29" i="22"/>
  <c r="R31" i="22"/>
  <c r="U31" i="22" s="1"/>
  <c r="H32" i="22"/>
  <c r="R34" i="22"/>
  <c r="U34" i="22" s="1"/>
  <c r="H35" i="22"/>
  <c r="R37" i="22"/>
  <c r="U37" i="22" s="1"/>
  <c r="H38" i="22"/>
  <c r="R40" i="22"/>
  <c r="U40" i="22" s="1"/>
  <c r="H41" i="22"/>
  <c r="R43" i="22"/>
  <c r="U43" i="22" s="1"/>
  <c r="H44" i="22"/>
  <c r="R46" i="22"/>
  <c r="U46" i="22" s="1"/>
  <c r="H47" i="22"/>
  <c r="R27" i="22"/>
  <c r="U27" i="22" s="1"/>
  <c r="H28" i="22"/>
  <c r="R49" i="22"/>
  <c r="U49" i="22" s="1"/>
  <c r="H50" i="22"/>
  <c r="R52" i="22"/>
  <c r="U52" i="22" s="1"/>
  <c r="H53" i="22"/>
  <c r="R55" i="22"/>
  <c r="U55" i="22" s="1"/>
  <c r="H56" i="22"/>
  <c r="R58" i="22"/>
  <c r="U58" i="22" s="1"/>
  <c r="H59" i="22"/>
  <c r="L18" i="22"/>
  <c r="G19" i="22"/>
  <c r="U20" i="22"/>
  <c r="G22" i="22"/>
  <c r="U23" i="22"/>
  <c r="G25" i="22"/>
  <c r="G31" i="22"/>
  <c r="U32" i="22"/>
  <c r="G34" i="22"/>
  <c r="U35" i="22"/>
  <c r="G37" i="22"/>
  <c r="U38" i="22"/>
  <c r="G40" i="22"/>
  <c r="U41" i="22"/>
  <c r="G43" i="22"/>
  <c r="U44" i="22"/>
  <c r="G46" i="22"/>
  <c r="G27" i="22"/>
  <c r="G49" i="22"/>
  <c r="U50" i="22"/>
  <c r="G52" i="22"/>
  <c r="U53" i="22"/>
  <c r="G55" i="22"/>
  <c r="G58" i="22"/>
  <c r="U59" i="22"/>
  <c r="R18" i="22"/>
  <c r="V18" i="22" s="1"/>
  <c r="H19" i="22"/>
  <c r="R21" i="22"/>
  <c r="U21" i="22" s="1"/>
  <c r="H22" i="22"/>
  <c r="R24" i="22"/>
  <c r="U24" i="22" s="1"/>
  <c r="H25" i="22"/>
  <c r="R30" i="22"/>
  <c r="U30" i="22" s="1"/>
  <c r="H31" i="22"/>
  <c r="R33" i="22"/>
  <c r="U33" i="22" s="1"/>
  <c r="H34" i="22"/>
  <c r="R36" i="22"/>
  <c r="U36" i="22" s="1"/>
  <c r="H37" i="22"/>
  <c r="R39" i="22"/>
  <c r="U39" i="22" s="1"/>
  <c r="H40" i="22"/>
  <c r="R42" i="22"/>
  <c r="U42" i="22" s="1"/>
  <c r="H43" i="22"/>
  <c r="R45" i="22"/>
  <c r="U45" i="22" s="1"/>
  <c r="H46" i="22"/>
  <c r="R26" i="22"/>
  <c r="U26" i="22" s="1"/>
  <c r="H27" i="22"/>
  <c r="R48" i="22"/>
  <c r="U48" i="22" s="1"/>
  <c r="H49" i="22"/>
  <c r="R51" i="22"/>
  <c r="U51" i="22" s="1"/>
  <c r="H52" i="22"/>
  <c r="R54" i="22"/>
  <c r="U54" i="22" s="1"/>
  <c r="H55" i="22"/>
  <c r="R57" i="22"/>
  <c r="U57" i="22" s="1"/>
  <c r="G20" i="22"/>
  <c r="G23" i="22"/>
  <c r="G29" i="22"/>
  <c r="G32" i="22"/>
  <c r="G35" i="22"/>
  <c r="G38" i="22"/>
  <c r="G41" i="22"/>
  <c r="G44" i="22"/>
  <c r="G47" i="22"/>
  <c r="G28" i="22"/>
  <c r="G50" i="22"/>
  <c r="G53" i="22"/>
  <c r="G56" i="22"/>
  <c r="H26" i="21"/>
  <c r="U32" i="21"/>
  <c r="T34" i="21"/>
  <c r="S34" i="21" s="1"/>
  <c r="L42" i="21"/>
  <c r="H44" i="21"/>
  <c r="L45" i="21"/>
  <c r="H47" i="21"/>
  <c r="L48" i="21"/>
  <c r="H50" i="21"/>
  <c r="L51" i="21"/>
  <c r="H53" i="21"/>
  <c r="L54" i="21"/>
  <c r="H56" i="21"/>
  <c r="L57" i="21"/>
  <c r="L18" i="21"/>
  <c r="L21" i="21"/>
  <c r="L26" i="21"/>
  <c r="T26" i="21" s="1"/>
  <c r="S26" i="21" s="1"/>
  <c r="V34" i="21"/>
  <c r="H57" i="21"/>
  <c r="H54" i="21"/>
  <c r="H51" i="21"/>
  <c r="H48" i="21"/>
  <c r="H45" i="21"/>
  <c r="H42" i="21"/>
  <c r="H39" i="21"/>
  <c r="H36" i="21"/>
  <c r="H33" i="21"/>
  <c r="H30" i="21"/>
  <c r="H27" i="21"/>
  <c r="H24" i="21"/>
  <c r="H21" i="21"/>
  <c r="H18" i="21"/>
  <c r="H58" i="21"/>
  <c r="H55" i="21"/>
  <c r="H52" i="21"/>
  <c r="H49" i="21"/>
  <c r="H46" i="21"/>
  <c r="H43" i="21"/>
  <c r="H40" i="21"/>
  <c r="H37" i="21"/>
  <c r="H34" i="21"/>
  <c r="H31" i="21"/>
  <c r="H28" i="21"/>
  <c r="H25" i="21"/>
  <c r="H22" i="21"/>
  <c r="H19" i="21"/>
  <c r="H23" i="21"/>
  <c r="U29" i="21"/>
  <c r="V37" i="21"/>
  <c r="T40" i="21"/>
  <c r="S40" i="21" s="1"/>
  <c r="H29" i="21"/>
  <c r="L33" i="21"/>
  <c r="H35" i="21"/>
  <c r="H20" i="21"/>
  <c r="L36" i="21"/>
  <c r="H38" i="21"/>
  <c r="K71" i="21"/>
  <c r="J71" i="21"/>
  <c r="V22" i="21"/>
  <c r="L24" i="21"/>
  <c r="L39" i="21"/>
  <c r="H41" i="21"/>
  <c r="U35" i="21"/>
  <c r="U41" i="21"/>
  <c r="R18" i="21"/>
  <c r="U18" i="21" s="1"/>
  <c r="R21" i="21"/>
  <c r="V21" i="21" s="1"/>
  <c r="R24" i="21"/>
  <c r="V24" i="21" s="1"/>
  <c r="R27" i="21"/>
  <c r="V27" i="21" s="1"/>
  <c r="R30" i="21"/>
  <c r="V30" i="21" s="1"/>
  <c r="R33" i="21"/>
  <c r="U33" i="21" s="1"/>
  <c r="R36" i="21"/>
  <c r="V36" i="21" s="1"/>
  <c r="R39" i="21"/>
  <c r="V39" i="21" s="1"/>
  <c r="R42" i="21"/>
  <c r="U42" i="21" s="1"/>
  <c r="R45" i="21"/>
  <c r="V45" i="21" s="1"/>
  <c r="R48" i="21"/>
  <c r="U48" i="21" s="1"/>
  <c r="R51" i="21"/>
  <c r="V51" i="21" s="1"/>
  <c r="R54" i="21"/>
  <c r="U54" i="21" s="1"/>
  <c r="R57" i="21"/>
  <c r="V57" i="21" s="1"/>
  <c r="R44" i="21"/>
  <c r="V44" i="21" s="1"/>
  <c r="R47" i="21"/>
  <c r="R50" i="21"/>
  <c r="V50" i="21" s="1"/>
  <c r="R53" i="21"/>
  <c r="V53" i="21" s="1"/>
  <c r="R56" i="21"/>
  <c r="V56" i="21" s="1"/>
  <c r="G20" i="21"/>
  <c r="G23" i="21"/>
  <c r="G26" i="21"/>
  <c r="G29" i="21"/>
  <c r="G32" i="21"/>
  <c r="G35" i="21"/>
  <c r="G38" i="21"/>
  <c r="G41" i="21"/>
  <c r="G44" i="21"/>
  <c r="G47" i="21"/>
  <c r="V32" i="20"/>
  <c r="V53" i="20"/>
  <c r="T41" i="20"/>
  <c r="S41" i="20" s="1"/>
  <c r="U45" i="20"/>
  <c r="T59" i="20"/>
  <c r="S59" i="20" s="1"/>
  <c r="H47" i="20"/>
  <c r="H59" i="20"/>
  <c r="L18" i="20"/>
  <c r="L21" i="20"/>
  <c r="T21" i="20" s="1"/>
  <c r="S21" i="20" s="1"/>
  <c r="L24" i="20"/>
  <c r="L27" i="20"/>
  <c r="L30" i="20"/>
  <c r="L33" i="20"/>
  <c r="L36" i="20"/>
  <c r="L39" i="20"/>
  <c r="T39" i="20" s="1"/>
  <c r="S39" i="20" s="1"/>
  <c r="L42" i="20"/>
  <c r="L45" i="20"/>
  <c r="L48" i="20"/>
  <c r="L51" i="20"/>
  <c r="L54" i="20"/>
  <c r="L60" i="20"/>
  <c r="H20" i="20"/>
  <c r="H32" i="20"/>
  <c r="H38" i="20"/>
  <c r="H41" i="20"/>
  <c r="R18" i="20"/>
  <c r="V18" i="20" s="1"/>
  <c r="H19" i="20"/>
  <c r="R21" i="20"/>
  <c r="U21" i="20" s="1"/>
  <c r="H22" i="20"/>
  <c r="R24" i="20"/>
  <c r="U24" i="20" s="1"/>
  <c r="H25" i="20"/>
  <c r="R27" i="20"/>
  <c r="V27" i="20" s="1"/>
  <c r="H28" i="20"/>
  <c r="R30" i="20"/>
  <c r="U30" i="20" s="1"/>
  <c r="H31" i="20"/>
  <c r="R33" i="20"/>
  <c r="U33" i="20" s="1"/>
  <c r="H34" i="20"/>
  <c r="R36" i="20"/>
  <c r="V36" i="20" s="1"/>
  <c r="H37" i="20"/>
  <c r="R39" i="20"/>
  <c r="U39" i="20" s="1"/>
  <c r="H40" i="20"/>
  <c r="R42" i="20"/>
  <c r="U42" i="20" s="1"/>
  <c r="H43" i="20"/>
  <c r="R45" i="20"/>
  <c r="V45" i="20" s="1"/>
  <c r="H46" i="20"/>
  <c r="R48" i="20"/>
  <c r="U48" i="20" s="1"/>
  <c r="H49" i="20"/>
  <c r="R51" i="20"/>
  <c r="V51" i="20" s="1"/>
  <c r="H52" i="20"/>
  <c r="R54" i="20"/>
  <c r="U54" i="20" s="1"/>
  <c r="H55" i="20"/>
  <c r="R57" i="20"/>
  <c r="U57" i="20" s="1"/>
  <c r="H58" i="20"/>
  <c r="R60" i="20"/>
  <c r="V60" i="20" s="1"/>
  <c r="H29" i="20"/>
  <c r="V30" i="20"/>
  <c r="V48" i="20"/>
  <c r="H56" i="20"/>
  <c r="V57" i="20"/>
  <c r="K61" i="20"/>
  <c r="L57" i="20"/>
  <c r="G18" i="20"/>
  <c r="U19" i="20"/>
  <c r="G21" i="20"/>
  <c r="U22" i="20"/>
  <c r="G24" i="20"/>
  <c r="U25" i="20"/>
  <c r="G27" i="20"/>
  <c r="U28" i="20"/>
  <c r="G30" i="20"/>
  <c r="U31" i="20"/>
  <c r="G33" i="20"/>
  <c r="U34" i="20"/>
  <c r="G36" i="20"/>
  <c r="U37" i="20"/>
  <c r="G39" i="20"/>
  <c r="U40" i="20"/>
  <c r="G42" i="20"/>
  <c r="U43" i="20"/>
  <c r="G45" i="20"/>
  <c r="U46" i="20"/>
  <c r="G48" i="20"/>
  <c r="U49" i="20"/>
  <c r="G51" i="20"/>
  <c r="U52" i="20"/>
  <c r="G54" i="20"/>
  <c r="U55" i="20"/>
  <c r="G57" i="20"/>
  <c r="U58" i="20"/>
  <c r="G60" i="20"/>
  <c r="H23" i="20"/>
  <c r="H44" i="20"/>
  <c r="H50" i="20"/>
  <c r="H53" i="20"/>
  <c r="V54" i="20"/>
  <c r="H18" i="20"/>
  <c r="R20" i="20"/>
  <c r="U20" i="20" s="1"/>
  <c r="H21" i="20"/>
  <c r="R23" i="20"/>
  <c r="U23" i="20" s="1"/>
  <c r="H24" i="20"/>
  <c r="R26" i="20"/>
  <c r="K26" i="20" s="1"/>
  <c r="L26" i="20" s="1"/>
  <c r="T26" i="20" s="1"/>
  <c r="S26" i="20" s="1"/>
  <c r="H27" i="20"/>
  <c r="R29" i="20"/>
  <c r="U29" i="20" s="1"/>
  <c r="H30" i="20"/>
  <c r="R32" i="20"/>
  <c r="U32" i="20" s="1"/>
  <c r="H33" i="20"/>
  <c r="R35" i="20"/>
  <c r="U35" i="20" s="1"/>
  <c r="H36" i="20"/>
  <c r="R38" i="20"/>
  <c r="U38" i="20" s="1"/>
  <c r="H39" i="20"/>
  <c r="R41" i="20"/>
  <c r="U41" i="20" s="1"/>
  <c r="H42" i="20"/>
  <c r="R44" i="20"/>
  <c r="U44" i="20" s="1"/>
  <c r="H45" i="20"/>
  <c r="R47" i="20"/>
  <c r="U47" i="20" s="1"/>
  <c r="H48" i="20"/>
  <c r="R50" i="20"/>
  <c r="U50" i="20" s="1"/>
  <c r="H51" i="20"/>
  <c r="R53" i="20"/>
  <c r="U53" i="20" s="1"/>
  <c r="H54" i="20"/>
  <c r="R56" i="20"/>
  <c r="U56" i="20" s="1"/>
  <c r="H57" i="20"/>
  <c r="V21" i="20"/>
  <c r="H26" i="20"/>
  <c r="G20" i="20"/>
  <c r="G23" i="20"/>
  <c r="G26" i="20"/>
  <c r="G29" i="20"/>
  <c r="G32" i="20"/>
  <c r="G35" i="20"/>
  <c r="G38" i="20"/>
  <c r="G41" i="20"/>
  <c r="G44" i="20"/>
  <c r="G47" i="20"/>
  <c r="G50" i="20"/>
  <c r="G53" i="20"/>
  <c r="G56" i="20"/>
  <c r="U39" i="19"/>
  <c r="H20" i="19"/>
  <c r="V21" i="19"/>
  <c r="H23" i="19"/>
  <c r="H26" i="19"/>
  <c r="H29" i="19"/>
  <c r="H32" i="19"/>
  <c r="H35" i="19"/>
  <c r="H38" i="19"/>
  <c r="H41" i="19"/>
  <c r="H44" i="19"/>
  <c r="H47" i="19"/>
  <c r="H50" i="19"/>
  <c r="H53" i="19"/>
  <c r="H56" i="19"/>
  <c r="L18" i="19"/>
  <c r="G19" i="19"/>
  <c r="G22" i="19"/>
  <c r="G25" i="19"/>
  <c r="G28" i="19"/>
  <c r="G31" i="19"/>
  <c r="L33" i="19"/>
  <c r="G34" i="19"/>
  <c r="G37" i="19"/>
  <c r="G40" i="19"/>
  <c r="G43" i="19"/>
  <c r="G46" i="19"/>
  <c r="G49" i="19"/>
  <c r="G52" i="19"/>
  <c r="G55" i="19"/>
  <c r="G58" i="19"/>
  <c r="U59" i="19"/>
  <c r="R18" i="19"/>
  <c r="U18" i="19" s="1"/>
  <c r="H19" i="19"/>
  <c r="R21" i="19"/>
  <c r="U21" i="19" s="1"/>
  <c r="H22" i="19"/>
  <c r="R24" i="19"/>
  <c r="U24" i="19" s="1"/>
  <c r="H25" i="19"/>
  <c r="R27" i="19"/>
  <c r="U27" i="19" s="1"/>
  <c r="H28" i="19"/>
  <c r="R30" i="19"/>
  <c r="U30" i="19" s="1"/>
  <c r="H31" i="19"/>
  <c r="R33" i="19"/>
  <c r="V33" i="19" s="1"/>
  <c r="H34" i="19"/>
  <c r="R36" i="19"/>
  <c r="U36" i="19" s="1"/>
  <c r="H37" i="19"/>
  <c r="R39" i="19"/>
  <c r="V39" i="19" s="1"/>
  <c r="H40" i="19"/>
  <c r="R42" i="19"/>
  <c r="U42" i="19" s="1"/>
  <c r="H43" i="19"/>
  <c r="R45" i="19"/>
  <c r="U45" i="19" s="1"/>
  <c r="H46" i="19"/>
  <c r="R48" i="19"/>
  <c r="T48" i="19" s="1"/>
  <c r="S48" i="19" s="1"/>
  <c r="H49" i="19"/>
  <c r="R51" i="19"/>
  <c r="H52" i="19"/>
  <c r="R54" i="19"/>
  <c r="U54" i="19" s="1"/>
  <c r="H55" i="19"/>
  <c r="R57" i="19"/>
  <c r="U57" i="19" s="1"/>
  <c r="H58" i="19"/>
  <c r="V59" i="19"/>
  <c r="U19" i="19"/>
  <c r="G21" i="19"/>
  <c r="U22" i="19"/>
  <c r="G24" i="19"/>
  <c r="G27" i="19"/>
  <c r="U28" i="19"/>
  <c r="G30" i="19"/>
  <c r="G33" i="19"/>
  <c r="U34" i="19"/>
  <c r="G36" i="19"/>
  <c r="U37" i="19"/>
  <c r="G39" i="19"/>
  <c r="G42" i="19"/>
  <c r="U43" i="19"/>
  <c r="G45" i="19"/>
  <c r="G48" i="19"/>
  <c r="G51" i="19"/>
  <c r="U52" i="19"/>
  <c r="G54" i="19"/>
  <c r="U55" i="19"/>
  <c r="G57" i="19"/>
  <c r="H18" i="19"/>
  <c r="R20" i="19"/>
  <c r="U20" i="19" s="1"/>
  <c r="H21" i="19"/>
  <c r="R23" i="19"/>
  <c r="V23" i="19" s="1"/>
  <c r="H24" i="19"/>
  <c r="R26" i="19"/>
  <c r="K26" i="19" s="1"/>
  <c r="H27" i="19"/>
  <c r="R29" i="19"/>
  <c r="U29" i="19" s="1"/>
  <c r="H30" i="19"/>
  <c r="R32" i="19"/>
  <c r="V32" i="19" s="1"/>
  <c r="H33" i="19"/>
  <c r="R35" i="19"/>
  <c r="V35" i="19" s="1"/>
  <c r="H36" i="19"/>
  <c r="R38" i="19"/>
  <c r="U38" i="19" s="1"/>
  <c r="H39" i="19"/>
  <c r="R41" i="19"/>
  <c r="H42" i="19"/>
  <c r="R44" i="19"/>
  <c r="T44" i="19" s="1"/>
  <c r="S44" i="19" s="1"/>
  <c r="H45" i="19"/>
  <c r="R47" i="19"/>
  <c r="V47" i="19" s="1"/>
  <c r="H48" i="19"/>
  <c r="R50" i="19"/>
  <c r="T50" i="19" s="1"/>
  <c r="S50" i="19" s="1"/>
  <c r="H51" i="19"/>
  <c r="R53" i="19"/>
  <c r="V53" i="19" s="1"/>
  <c r="H54" i="19"/>
  <c r="V55" i="19"/>
  <c r="R56" i="19"/>
  <c r="U56" i="19" s="1"/>
  <c r="H57" i="19"/>
  <c r="G20" i="19"/>
  <c r="G23" i="19"/>
  <c r="G26" i="19"/>
  <c r="G29" i="19"/>
  <c r="G32" i="19"/>
  <c r="G35" i="19"/>
  <c r="G38" i="19"/>
  <c r="G41" i="19"/>
  <c r="G44" i="19"/>
  <c r="G47" i="19"/>
  <c r="G50" i="19"/>
  <c r="G53" i="19"/>
  <c r="G56" i="19"/>
  <c r="U25" i="18"/>
  <c r="H60" i="18"/>
  <c r="L21" i="18"/>
  <c r="U22" i="18"/>
  <c r="V56" i="18"/>
  <c r="H56" i="18"/>
  <c r="H50" i="18"/>
  <c r="H44" i="18"/>
  <c r="H38" i="18"/>
  <c r="H32" i="18"/>
  <c r="H29" i="18"/>
  <c r="H23" i="18"/>
  <c r="H59" i="18"/>
  <c r="H53" i="18"/>
  <c r="H47" i="18"/>
  <c r="H41" i="18"/>
  <c r="H35" i="18"/>
  <c r="H26" i="18"/>
  <c r="T24" i="18"/>
  <c r="S24" i="18" s="1"/>
  <c r="T56" i="18"/>
  <c r="S56" i="18" s="1"/>
  <c r="J61" i="18"/>
  <c r="V25" i="18"/>
  <c r="T51" i="18"/>
  <c r="S51" i="18" s="1"/>
  <c r="L18" i="18"/>
  <c r="V22" i="18"/>
  <c r="U33" i="18"/>
  <c r="U51" i="18"/>
  <c r="T59" i="18"/>
  <c r="S59" i="18" s="1"/>
  <c r="G19" i="18"/>
  <c r="G22" i="18"/>
  <c r="G25" i="18"/>
  <c r="G28" i="18"/>
  <c r="U29" i="18"/>
  <c r="L30" i="18"/>
  <c r="G31" i="18"/>
  <c r="G34" i="18"/>
  <c r="L36" i="18"/>
  <c r="T36" i="18" s="1"/>
  <c r="S36" i="18" s="1"/>
  <c r="G37" i="18"/>
  <c r="G40" i="18"/>
  <c r="G43" i="18"/>
  <c r="U44" i="18"/>
  <c r="G46" i="18"/>
  <c r="G49" i="18"/>
  <c r="G52" i="18"/>
  <c r="U53" i="18"/>
  <c r="G55" i="18"/>
  <c r="G58" i="18"/>
  <c r="U59" i="18"/>
  <c r="V27" i="18"/>
  <c r="V36" i="18"/>
  <c r="V42" i="18"/>
  <c r="V51" i="18"/>
  <c r="V60" i="18"/>
  <c r="R18" i="18"/>
  <c r="U18" i="18" s="1"/>
  <c r="H19" i="18"/>
  <c r="R21" i="18"/>
  <c r="V21" i="18" s="1"/>
  <c r="H22" i="18"/>
  <c r="R24" i="18"/>
  <c r="U24" i="18" s="1"/>
  <c r="H25" i="18"/>
  <c r="R27" i="18"/>
  <c r="H28" i="18"/>
  <c r="R30" i="18"/>
  <c r="V30" i="18" s="1"/>
  <c r="H31" i="18"/>
  <c r="R33" i="18"/>
  <c r="V33" i="18" s="1"/>
  <c r="H34" i="18"/>
  <c r="R36" i="18"/>
  <c r="U36" i="18" s="1"/>
  <c r="H37" i="18"/>
  <c r="R39" i="18"/>
  <c r="U39" i="18" s="1"/>
  <c r="H40" i="18"/>
  <c r="R42" i="18"/>
  <c r="U42" i="18" s="1"/>
  <c r="H43" i="18"/>
  <c r="R45" i="18"/>
  <c r="T45" i="18" s="1"/>
  <c r="S45" i="18" s="1"/>
  <c r="H46" i="18"/>
  <c r="R48" i="18"/>
  <c r="U48" i="18" s="1"/>
  <c r="H49" i="18"/>
  <c r="R51" i="18"/>
  <c r="H52" i="18"/>
  <c r="R54" i="18"/>
  <c r="V54" i="18" s="1"/>
  <c r="H55" i="18"/>
  <c r="R57" i="18"/>
  <c r="U57" i="18" s="1"/>
  <c r="H58" i="18"/>
  <c r="R60" i="18"/>
  <c r="U60" i="18" s="1"/>
  <c r="H18" i="18"/>
  <c r="R20" i="18"/>
  <c r="T20" i="18" s="1"/>
  <c r="S20" i="18" s="1"/>
  <c r="H21" i="18"/>
  <c r="R23" i="18"/>
  <c r="V23" i="18" s="1"/>
  <c r="H24" i="18"/>
  <c r="R26" i="18"/>
  <c r="K26" i="18" s="1"/>
  <c r="H27" i="18"/>
  <c r="R29" i="18"/>
  <c r="V29" i="18" s="1"/>
  <c r="H30" i="18"/>
  <c r="R32" i="18"/>
  <c r="V32" i="18" s="1"/>
  <c r="H33" i="18"/>
  <c r="R35" i="18"/>
  <c r="T35" i="18" s="1"/>
  <c r="S35" i="18" s="1"/>
  <c r="H36" i="18"/>
  <c r="R38" i="18"/>
  <c r="U38" i="18" s="1"/>
  <c r="H39" i="18"/>
  <c r="R41" i="18"/>
  <c r="H42" i="18"/>
  <c r="R44" i="18"/>
  <c r="T44" i="18" s="1"/>
  <c r="S44" i="18" s="1"/>
  <c r="H45" i="18"/>
  <c r="R47" i="18"/>
  <c r="V47" i="18" s="1"/>
  <c r="H48" i="18"/>
  <c r="R50" i="18"/>
  <c r="V50" i="18" s="1"/>
  <c r="H51" i="18"/>
  <c r="R53" i="18"/>
  <c r="T53" i="18" s="1"/>
  <c r="S53" i="18" s="1"/>
  <c r="H54" i="18"/>
  <c r="R56" i="18"/>
  <c r="U56" i="18" s="1"/>
  <c r="H57" i="18"/>
  <c r="U28" i="18"/>
  <c r="U52" i="18"/>
  <c r="U55" i="18"/>
  <c r="G20" i="18"/>
  <c r="G23" i="18"/>
  <c r="G26" i="18"/>
  <c r="G29" i="18"/>
  <c r="G32" i="18"/>
  <c r="G35" i="18"/>
  <c r="G38" i="18"/>
  <c r="G41" i="18"/>
  <c r="G44" i="18"/>
  <c r="G47" i="18"/>
  <c r="G50" i="18"/>
  <c r="G53" i="18"/>
  <c r="G56" i="18"/>
  <c r="U21" i="17"/>
  <c r="U48" i="17"/>
  <c r="V56" i="17"/>
  <c r="T41" i="17"/>
  <c r="S41" i="17" s="1"/>
  <c r="T59" i="17"/>
  <c r="S59" i="17" s="1"/>
  <c r="T23" i="17"/>
  <c r="S23" i="17" s="1"/>
  <c r="U39" i="17"/>
  <c r="U57" i="17"/>
  <c r="V59" i="17"/>
  <c r="V30" i="17"/>
  <c r="H47" i="17"/>
  <c r="H50" i="17"/>
  <c r="H56" i="17"/>
  <c r="L21" i="17"/>
  <c r="L39" i="17"/>
  <c r="T39" i="17" s="1"/>
  <c r="S39" i="17" s="1"/>
  <c r="R18" i="17"/>
  <c r="U18" i="17" s="1"/>
  <c r="H19" i="17"/>
  <c r="R21" i="17"/>
  <c r="V21" i="17" s="1"/>
  <c r="H22" i="17"/>
  <c r="R24" i="17"/>
  <c r="V24" i="17" s="1"/>
  <c r="H25" i="17"/>
  <c r="R27" i="17"/>
  <c r="U27" i="17" s="1"/>
  <c r="H28" i="17"/>
  <c r="R30" i="17"/>
  <c r="U30" i="17" s="1"/>
  <c r="H31" i="17"/>
  <c r="R33" i="17"/>
  <c r="V33" i="17" s="1"/>
  <c r="H34" i="17"/>
  <c r="R36" i="17"/>
  <c r="V36" i="17" s="1"/>
  <c r="H37" i="17"/>
  <c r="R39" i="17"/>
  <c r="H40" i="17"/>
  <c r="R42" i="17"/>
  <c r="U42" i="17" s="1"/>
  <c r="H43" i="17"/>
  <c r="R45" i="17"/>
  <c r="U45" i="17" s="1"/>
  <c r="H46" i="17"/>
  <c r="R48" i="17"/>
  <c r="H49" i="17"/>
  <c r="R51" i="17"/>
  <c r="V51" i="17" s="1"/>
  <c r="H52" i="17"/>
  <c r="R54" i="17"/>
  <c r="V54" i="17" s="1"/>
  <c r="H55" i="17"/>
  <c r="R57" i="17"/>
  <c r="V57" i="17" s="1"/>
  <c r="H58" i="17"/>
  <c r="R60" i="17"/>
  <c r="U60" i="17" s="1"/>
  <c r="H29" i="17"/>
  <c r="H32" i="17"/>
  <c r="H41" i="17"/>
  <c r="H44" i="17"/>
  <c r="L18" i="17"/>
  <c r="L30" i="17"/>
  <c r="T30" i="17" s="1"/>
  <c r="S30" i="17" s="1"/>
  <c r="L33" i="17"/>
  <c r="L36" i="17"/>
  <c r="L42" i="17"/>
  <c r="L45" i="17"/>
  <c r="H20" i="17"/>
  <c r="H23" i="17"/>
  <c r="H35" i="17"/>
  <c r="H53" i="17"/>
  <c r="L27" i="17"/>
  <c r="L51" i="17"/>
  <c r="T51" i="17" s="1"/>
  <c r="S51" i="17" s="1"/>
  <c r="L60" i="17"/>
  <c r="H18" i="17"/>
  <c r="R20" i="17"/>
  <c r="U20" i="17" s="1"/>
  <c r="H21" i="17"/>
  <c r="R23" i="17"/>
  <c r="U23" i="17" s="1"/>
  <c r="H24" i="17"/>
  <c r="R26" i="17"/>
  <c r="K26" i="17" s="1"/>
  <c r="L26" i="17" s="1"/>
  <c r="T26" i="17" s="1"/>
  <c r="S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R47" i="17"/>
  <c r="U47" i="17" s="1"/>
  <c r="H48" i="17"/>
  <c r="R50" i="17"/>
  <c r="U50" i="17" s="1"/>
  <c r="H51" i="17"/>
  <c r="R53" i="17"/>
  <c r="U53" i="17" s="1"/>
  <c r="H54" i="17"/>
  <c r="R56" i="17"/>
  <c r="U56" i="17" s="1"/>
  <c r="H57" i="17"/>
  <c r="H26" i="17"/>
  <c r="H38" i="17"/>
  <c r="V39" i="17"/>
  <c r="V48" i="17"/>
  <c r="V60" i="17"/>
  <c r="L24" i="17"/>
  <c r="L48" i="17"/>
  <c r="T48" i="17" s="1"/>
  <c r="S48" i="17" s="1"/>
  <c r="L54" i="17"/>
  <c r="T54" i="17" s="1"/>
  <c r="S54" i="17" s="1"/>
  <c r="L57" i="17"/>
  <c r="T57" i="17" s="1"/>
  <c r="S57" i="17" s="1"/>
  <c r="G20" i="17"/>
  <c r="G23" i="17"/>
  <c r="G26" i="17"/>
  <c r="G29" i="17"/>
  <c r="G32" i="17"/>
  <c r="G35" i="17"/>
  <c r="G38" i="17"/>
  <c r="G41" i="17"/>
  <c r="G44" i="17"/>
  <c r="G47" i="17"/>
  <c r="G50" i="17"/>
  <c r="G53" i="17"/>
  <c r="G56" i="17"/>
  <c r="T29" i="16"/>
  <c r="S29" i="16" s="1"/>
  <c r="T36" i="16"/>
  <c r="S36" i="16" s="1"/>
  <c r="V47" i="16"/>
  <c r="T60" i="16"/>
  <c r="S60" i="16" s="1"/>
  <c r="T42" i="16"/>
  <c r="S42" i="16" s="1"/>
  <c r="T44" i="16"/>
  <c r="S44" i="16" s="1"/>
  <c r="U60" i="16"/>
  <c r="U42" i="16"/>
  <c r="T51" i="16"/>
  <c r="S51" i="16" s="1"/>
  <c r="V59" i="16"/>
  <c r="T20" i="16"/>
  <c r="S20" i="16" s="1"/>
  <c r="H47" i="16"/>
  <c r="K61" i="16"/>
  <c r="L18" i="16"/>
  <c r="G19" i="16"/>
  <c r="G22" i="16"/>
  <c r="G25" i="16"/>
  <c r="G28" i="16"/>
  <c r="U29" i="16"/>
  <c r="G31" i="16"/>
  <c r="G34" i="16"/>
  <c r="U35" i="16"/>
  <c r="G37" i="16"/>
  <c r="U38" i="16"/>
  <c r="G40" i="16"/>
  <c r="G43" i="16"/>
  <c r="U44" i="16"/>
  <c r="G46" i="16"/>
  <c r="U47" i="16"/>
  <c r="G49" i="16"/>
  <c r="G52" i="16"/>
  <c r="U53" i="16"/>
  <c r="G55" i="16"/>
  <c r="U56" i="16"/>
  <c r="G58" i="16"/>
  <c r="U59" i="16"/>
  <c r="H20" i="16"/>
  <c r="H26" i="16"/>
  <c r="H38" i="16"/>
  <c r="H41" i="16"/>
  <c r="H44" i="16"/>
  <c r="H56" i="16"/>
  <c r="R18" i="16"/>
  <c r="V18" i="16" s="1"/>
  <c r="H19" i="16"/>
  <c r="R21" i="16"/>
  <c r="U21" i="16" s="1"/>
  <c r="H22" i="16"/>
  <c r="R24" i="16"/>
  <c r="T24" i="16" s="1"/>
  <c r="S24" i="16" s="1"/>
  <c r="H25" i="16"/>
  <c r="R27" i="16"/>
  <c r="T27" i="16" s="1"/>
  <c r="S27" i="16" s="1"/>
  <c r="H28" i="16"/>
  <c r="R30" i="16"/>
  <c r="U30" i="16" s="1"/>
  <c r="H31" i="16"/>
  <c r="R33" i="16"/>
  <c r="T33" i="16" s="1"/>
  <c r="S33" i="16" s="1"/>
  <c r="H34" i="16"/>
  <c r="V35" i="16"/>
  <c r="R36" i="16"/>
  <c r="V36" i="16" s="1"/>
  <c r="H37" i="16"/>
  <c r="R39" i="16"/>
  <c r="U39" i="16" s="1"/>
  <c r="H40" i="16"/>
  <c r="R42" i="16"/>
  <c r="V42" i="16" s="1"/>
  <c r="H43" i="16"/>
  <c r="V44" i="16"/>
  <c r="R45" i="16"/>
  <c r="V45" i="16" s="1"/>
  <c r="H46" i="16"/>
  <c r="R48" i="16"/>
  <c r="U48" i="16" s="1"/>
  <c r="H49" i="16"/>
  <c r="R51" i="16"/>
  <c r="U51" i="16" s="1"/>
  <c r="H52" i="16"/>
  <c r="R54" i="16"/>
  <c r="V54" i="16" s="1"/>
  <c r="H55" i="16"/>
  <c r="R57" i="16"/>
  <c r="U57" i="16" s="1"/>
  <c r="H58" i="16"/>
  <c r="R60" i="16"/>
  <c r="V60" i="16" s="1"/>
  <c r="H29" i="16"/>
  <c r="H32" i="16"/>
  <c r="V51" i="16"/>
  <c r="H53" i="16"/>
  <c r="U19" i="16"/>
  <c r="U22" i="16"/>
  <c r="U25" i="16"/>
  <c r="U28" i="16"/>
  <c r="U31" i="16"/>
  <c r="U34" i="16"/>
  <c r="U37" i="16"/>
  <c r="U40" i="16"/>
  <c r="U43" i="16"/>
  <c r="U46" i="16"/>
  <c r="H23" i="16"/>
  <c r="V24" i="16"/>
  <c r="H35" i="16"/>
  <c r="H18" i="16"/>
  <c r="R20" i="16"/>
  <c r="U20" i="16" s="1"/>
  <c r="H21" i="16"/>
  <c r="R23" i="16"/>
  <c r="T23" i="16" s="1"/>
  <c r="S23" i="16" s="1"/>
  <c r="H24" i="16"/>
  <c r="R26" i="16"/>
  <c r="K26" i="16" s="1"/>
  <c r="H27" i="16"/>
  <c r="R29" i="16"/>
  <c r="V29" i="16" s="1"/>
  <c r="H30" i="16"/>
  <c r="R32" i="16"/>
  <c r="V32" i="16" s="1"/>
  <c r="H33" i="16"/>
  <c r="R35" i="16"/>
  <c r="T35" i="16" s="1"/>
  <c r="S35" i="16" s="1"/>
  <c r="H36" i="16"/>
  <c r="R38" i="16"/>
  <c r="V38" i="16" s="1"/>
  <c r="H39" i="16"/>
  <c r="R41" i="16"/>
  <c r="V41" i="16" s="1"/>
  <c r="H42" i="16"/>
  <c r="R44" i="16"/>
  <c r="H45" i="16"/>
  <c r="R47" i="16"/>
  <c r="T47" i="16" s="1"/>
  <c r="S47" i="16" s="1"/>
  <c r="H48" i="16"/>
  <c r="R50" i="16"/>
  <c r="T50" i="16" s="1"/>
  <c r="S50" i="16" s="1"/>
  <c r="H51" i="16"/>
  <c r="R53" i="16"/>
  <c r="T53" i="16" s="1"/>
  <c r="S53" i="16" s="1"/>
  <c r="H54" i="16"/>
  <c r="R56" i="16"/>
  <c r="T56" i="16" s="1"/>
  <c r="S56" i="16" s="1"/>
  <c r="H57" i="16"/>
  <c r="H60" i="16"/>
  <c r="V21" i="16"/>
  <c r="H50" i="16"/>
  <c r="G20" i="16"/>
  <c r="G23" i="16"/>
  <c r="G26" i="16"/>
  <c r="G29" i="16"/>
  <c r="G32" i="16"/>
  <c r="G35" i="16"/>
  <c r="G38" i="16"/>
  <c r="G41" i="16"/>
  <c r="G44" i="16"/>
  <c r="G47" i="16"/>
  <c r="G50" i="16"/>
  <c r="G53" i="16"/>
  <c r="G56" i="16"/>
  <c r="L21" i="15"/>
  <c r="T21" i="15" s="1"/>
  <c r="S21" i="15" s="1"/>
  <c r="L27" i="15"/>
  <c r="V29" i="15"/>
  <c r="L18" i="15"/>
  <c r="U36" i="15"/>
  <c r="U54" i="15"/>
  <c r="V53" i="15"/>
  <c r="L24" i="15"/>
  <c r="V59" i="15"/>
  <c r="V32" i="15"/>
  <c r="H59" i="15"/>
  <c r="H56" i="15"/>
  <c r="H47" i="15"/>
  <c r="H53" i="15"/>
  <c r="H41" i="15"/>
  <c r="H35" i="15"/>
  <c r="H29" i="15"/>
  <c r="H44" i="15"/>
  <c r="H50" i="15"/>
  <c r="H38" i="15"/>
  <c r="H32" i="15"/>
  <c r="H26" i="15"/>
  <c r="T22" i="15"/>
  <c r="S22" i="15" s="1"/>
  <c r="T53" i="15"/>
  <c r="S53" i="15" s="1"/>
  <c r="T59" i="15"/>
  <c r="S59" i="15" s="1"/>
  <c r="V48" i="15"/>
  <c r="L33" i="15"/>
  <c r="L39" i="15"/>
  <c r="L42" i="15"/>
  <c r="L51" i="15"/>
  <c r="L54" i="15"/>
  <c r="T54" i="15" s="1"/>
  <c r="S54" i="15" s="1"/>
  <c r="R18" i="15"/>
  <c r="U18" i="15" s="1"/>
  <c r="H19" i="15"/>
  <c r="R21" i="15"/>
  <c r="V21" i="15" s="1"/>
  <c r="H22" i="15"/>
  <c r="R24" i="15"/>
  <c r="U24" i="15" s="1"/>
  <c r="H25" i="15"/>
  <c r="R27" i="15"/>
  <c r="V27" i="15" s="1"/>
  <c r="H28" i="15"/>
  <c r="R30" i="15"/>
  <c r="U30" i="15" s="1"/>
  <c r="H31" i="15"/>
  <c r="R33" i="15"/>
  <c r="U33" i="15" s="1"/>
  <c r="H34" i="15"/>
  <c r="R36" i="15"/>
  <c r="V36" i="15" s="1"/>
  <c r="H37" i="15"/>
  <c r="R39" i="15"/>
  <c r="U39" i="15" s="1"/>
  <c r="H40" i="15"/>
  <c r="R42" i="15"/>
  <c r="V42" i="15" s="1"/>
  <c r="H43" i="15"/>
  <c r="R45" i="15"/>
  <c r="U45" i="15" s="1"/>
  <c r="H46" i="15"/>
  <c r="R48" i="15"/>
  <c r="U48" i="15" s="1"/>
  <c r="H49" i="15"/>
  <c r="R51" i="15"/>
  <c r="V51" i="15" s="1"/>
  <c r="H52" i="15"/>
  <c r="R54" i="15"/>
  <c r="H55" i="15"/>
  <c r="R57" i="15"/>
  <c r="U57" i="15" s="1"/>
  <c r="H58" i="15"/>
  <c r="R60" i="15"/>
  <c r="V60" i="15" s="1"/>
  <c r="L36" i="15"/>
  <c r="G18" i="15"/>
  <c r="U19" i="15"/>
  <c r="G21" i="15"/>
  <c r="U22" i="15"/>
  <c r="G24" i="15"/>
  <c r="U25" i="15"/>
  <c r="G27" i="15"/>
  <c r="U28" i="15"/>
  <c r="G30" i="15"/>
  <c r="U31" i="15"/>
  <c r="G33" i="15"/>
  <c r="U34" i="15"/>
  <c r="G36" i="15"/>
  <c r="U37" i="15"/>
  <c r="G39" i="15"/>
  <c r="U40" i="15"/>
  <c r="G42" i="15"/>
  <c r="U43" i="15"/>
  <c r="G45" i="15"/>
  <c r="U46" i="15"/>
  <c r="G48" i="15"/>
  <c r="U49" i="15"/>
  <c r="G51" i="15"/>
  <c r="U52" i="15"/>
  <c r="G54" i="15"/>
  <c r="U55" i="15"/>
  <c r="G57" i="15"/>
  <c r="U58" i="15"/>
  <c r="G60" i="15"/>
  <c r="V54" i="15"/>
  <c r="L30" i="15"/>
  <c r="L45" i="15"/>
  <c r="L48" i="15"/>
  <c r="L60" i="15"/>
  <c r="T60" i="15" s="1"/>
  <c r="S60" i="15" s="1"/>
  <c r="H18" i="15"/>
  <c r="V19" i="15"/>
  <c r="R20" i="15"/>
  <c r="H21" i="15"/>
  <c r="V22" i="15"/>
  <c r="R23" i="15"/>
  <c r="U23" i="15" s="1"/>
  <c r="H24" i="15"/>
  <c r="R26" i="15"/>
  <c r="K26" i="15" s="1"/>
  <c r="L26" i="15" s="1"/>
  <c r="T26" i="15" s="1"/>
  <c r="S26" i="15" s="1"/>
  <c r="H27" i="15"/>
  <c r="V28" i="15"/>
  <c r="R29" i="15"/>
  <c r="U29" i="15" s="1"/>
  <c r="H30" i="15"/>
  <c r="V31" i="15"/>
  <c r="R32" i="15"/>
  <c r="U32" i="15" s="1"/>
  <c r="H33" i="15"/>
  <c r="R35" i="15"/>
  <c r="U35" i="15" s="1"/>
  <c r="H36" i="15"/>
  <c r="R38" i="15"/>
  <c r="U38" i="15" s="1"/>
  <c r="H39" i="15"/>
  <c r="R41" i="15"/>
  <c r="U41" i="15" s="1"/>
  <c r="H42" i="15"/>
  <c r="R44" i="15"/>
  <c r="U44" i="15" s="1"/>
  <c r="H45" i="15"/>
  <c r="R47" i="15"/>
  <c r="U47" i="15" s="1"/>
  <c r="H48" i="15"/>
  <c r="R50" i="15"/>
  <c r="U50" i="15" s="1"/>
  <c r="H51" i="15"/>
  <c r="R53" i="15"/>
  <c r="U53" i="15" s="1"/>
  <c r="H54" i="15"/>
  <c r="R56" i="15"/>
  <c r="U56" i="15" s="1"/>
  <c r="H57" i="15"/>
  <c r="V45" i="15"/>
  <c r="V57" i="15"/>
  <c r="L57" i="15"/>
  <c r="T57" i="15" s="1"/>
  <c r="S57" i="15" s="1"/>
  <c r="G20" i="15"/>
  <c r="G23" i="15"/>
  <c r="G26" i="15"/>
  <c r="G29" i="15"/>
  <c r="G32" i="15"/>
  <c r="G35" i="15"/>
  <c r="G38" i="15"/>
  <c r="G41" i="15"/>
  <c r="G44" i="15"/>
  <c r="G47" i="15"/>
  <c r="G50" i="15"/>
  <c r="G53" i="15"/>
  <c r="G56" i="15"/>
  <c r="T22" i="14"/>
  <c r="S22" i="14" s="1"/>
  <c r="T46" i="14"/>
  <c r="S46" i="14" s="1"/>
  <c r="T55" i="14"/>
  <c r="S55" i="14" s="1"/>
  <c r="T60" i="14"/>
  <c r="S60" i="14" s="1"/>
  <c r="U26" i="14"/>
  <c r="V37" i="14"/>
  <c r="U60" i="14"/>
  <c r="U36" i="14"/>
  <c r="T48" i="14"/>
  <c r="S48" i="14" s="1"/>
  <c r="U30" i="14"/>
  <c r="V52" i="14"/>
  <c r="U57" i="14"/>
  <c r="U54" i="14"/>
  <c r="T21" i="14"/>
  <c r="S21" i="14" s="1"/>
  <c r="V18" i="14"/>
  <c r="R19" i="14"/>
  <c r="U19" i="14" s="1"/>
  <c r="H20" i="14"/>
  <c r="R22" i="14"/>
  <c r="U22" i="14" s="1"/>
  <c r="H23" i="14"/>
  <c r="R25" i="14"/>
  <c r="H26" i="14"/>
  <c r="R28" i="14"/>
  <c r="U28" i="14" s="1"/>
  <c r="H29" i="14"/>
  <c r="R31" i="14"/>
  <c r="U31" i="14" s="1"/>
  <c r="H32" i="14"/>
  <c r="R34" i="14"/>
  <c r="U34" i="14" s="1"/>
  <c r="H35" i="14"/>
  <c r="V36" i="14"/>
  <c r="R37" i="14"/>
  <c r="U37" i="14" s="1"/>
  <c r="H38" i="14"/>
  <c r="R40" i="14"/>
  <c r="U40" i="14" s="1"/>
  <c r="H41" i="14"/>
  <c r="R43" i="14"/>
  <c r="U43" i="14" s="1"/>
  <c r="H44" i="14"/>
  <c r="R46" i="14"/>
  <c r="U46" i="14" s="1"/>
  <c r="H47" i="14"/>
  <c r="V48" i="14"/>
  <c r="R49" i="14"/>
  <c r="U49" i="14" s="1"/>
  <c r="H50" i="14"/>
  <c r="R52" i="14"/>
  <c r="U52" i="14" s="1"/>
  <c r="H53" i="14"/>
  <c r="V54" i="14"/>
  <c r="R55" i="14"/>
  <c r="U55" i="14" s="1"/>
  <c r="H56" i="14"/>
  <c r="R58" i="14"/>
  <c r="U58" i="14" s="1"/>
  <c r="H59" i="14"/>
  <c r="V60" i="14"/>
  <c r="L18" i="14"/>
  <c r="G19" i="14"/>
  <c r="U20" i="14"/>
  <c r="G22" i="14"/>
  <c r="U23" i="14"/>
  <c r="L24" i="14"/>
  <c r="G25" i="14"/>
  <c r="G28" i="14"/>
  <c r="U29" i="14"/>
  <c r="G31" i="14"/>
  <c r="U32" i="14"/>
  <c r="G34" i="14"/>
  <c r="U35" i="14"/>
  <c r="G37" i="14"/>
  <c r="U38" i="14"/>
  <c r="L39" i="14"/>
  <c r="G40" i="14"/>
  <c r="U41" i="14"/>
  <c r="G43" i="14"/>
  <c r="U44" i="14"/>
  <c r="G46" i="14"/>
  <c r="U47" i="14"/>
  <c r="G49" i="14"/>
  <c r="U50" i="14"/>
  <c r="L51" i="14"/>
  <c r="T51" i="14" s="1"/>
  <c r="S51" i="14" s="1"/>
  <c r="G52" i="14"/>
  <c r="U53" i="14"/>
  <c r="G55" i="14"/>
  <c r="U56" i="14"/>
  <c r="G58" i="14"/>
  <c r="U59" i="14"/>
  <c r="R18" i="14"/>
  <c r="U18" i="14" s="1"/>
  <c r="H19" i="14"/>
  <c r="R21" i="14"/>
  <c r="V21" i="14" s="1"/>
  <c r="H22" i="14"/>
  <c r="R24" i="14"/>
  <c r="U24" i="14" s="1"/>
  <c r="H25" i="14"/>
  <c r="R27" i="14"/>
  <c r="V27" i="14" s="1"/>
  <c r="H28" i="14"/>
  <c r="R30" i="14"/>
  <c r="H31" i="14"/>
  <c r="R33" i="14"/>
  <c r="V33" i="14" s="1"/>
  <c r="H34" i="14"/>
  <c r="R36" i="14"/>
  <c r="H37" i="14"/>
  <c r="R39" i="14"/>
  <c r="V39" i="14" s="1"/>
  <c r="H40" i="14"/>
  <c r="R42" i="14"/>
  <c r="U42" i="14" s="1"/>
  <c r="H43" i="14"/>
  <c r="R45" i="14"/>
  <c r="V45" i="14" s="1"/>
  <c r="H46" i="14"/>
  <c r="R48" i="14"/>
  <c r="U48" i="14" s="1"/>
  <c r="H49" i="14"/>
  <c r="R51" i="14"/>
  <c r="U51" i="14" s="1"/>
  <c r="H52" i="14"/>
  <c r="R54" i="14"/>
  <c r="T54" i="14" s="1"/>
  <c r="S54" i="14" s="1"/>
  <c r="H55" i="14"/>
  <c r="R57" i="14"/>
  <c r="V57" i="14" s="1"/>
  <c r="G20" i="14"/>
  <c r="G23" i="14"/>
  <c r="G26" i="14"/>
  <c r="G29" i="14"/>
  <c r="G32" i="14"/>
  <c r="G35" i="14"/>
  <c r="G38" i="14"/>
  <c r="G41" i="14"/>
  <c r="G44" i="14"/>
  <c r="G47" i="14"/>
  <c r="G50" i="14"/>
  <c r="G53" i="14"/>
  <c r="G56" i="14"/>
  <c r="U32" i="13"/>
  <c r="L32" i="13"/>
  <c r="T32" i="13" s="1"/>
  <c r="S32" i="13" s="1"/>
  <c r="J61" i="13"/>
  <c r="U20" i="13"/>
  <c r="L26" i="13"/>
  <c r="T26" i="13" s="1"/>
  <c r="S26" i="13" s="1"/>
  <c r="L28" i="13"/>
  <c r="T28" i="13" s="1"/>
  <c r="S28" i="13" s="1"/>
  <c r="V32" i="13"/>
  <c r="L38" i="13"/>
  <c r="T38" i="13" s="1"/>
  <c r="S38" i="13" s="1"/>
  <c r="U44" i="13"/>
  <c r="L50" i="13"/>
  <c r="T50" i="13" s="1"/>
  <c r="S50" i="13" s="1"/>
  <c r="T29" i="13"/>
  <c r="S29" i="13" s="1"/>
  <c r="U23" i="13"/>
  <c r="V29" i="13"/>
  <c r="L31" i="13"/>
  <c r="T31" i="13" s="1"/>
  <c r="S31" i="13" s="1"/>
  <c r="U35" i="13"/>
  <c r="U41" i="13"/>
  <c r="U47" i="13"/>
  <c r="V59" i="13"/>
  <c r="L18" i="13"/>
  <c r="K61" i="13"/>
  <c r="H20" i="13"/>
  <c r="L21" i="13"/>
  <c r="L24" i="13"/>
  <c r="T24" i="13" s="1"/>
  <c r="S24" i="13" s="1"/>
  <c r="U60" i="13"/>
  <c r="U26" i="13"/>
  <c r="V26" i="13"/>
  <c r="U42" i="13"/>
  <c r="H59" i="13"/>
  <c r="H47" i="13"/>
  <c r="H53" i="13"/>
  <c r="H50" i="13"/>
  <c r="H41" i="13"/>
  <c r="H35" i="13"/>
  <c r="H26" i="13"/>
  <c r="H56" i="13"/>
  <c r="H32" i="13"/>
  <c r="H29" i="13"/>
  <c r="H44" i="13"/>
  <c r="H38" i="13"/>
  <c r="U33" i="13"/>
  <c r="H60" i="13"/>
  <c r="T59" i="13"/>
  <c r="S59" i="13" s="1"/>
  <c r="L36" i="13"/>
  <c r="U38" i="13"/>
  <c r="L42" i="13"/>
  <c r="L45" i="13"/>
  <c r="U53" i="13"/>
  <c r="R18" i="13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H34" i="13"/>
  <c r="R36" i="13"/>
  <c r="U36" i="13" s="1"/>
  <c r="H37" i="13"/>
  <c r="R39" i="13"/>
  <c r="U39" i="13" s="1"/>
  <c r="H40" i="13"/>
  <c r="R42" i="13"/>
  <c r="H43" i="13"/>
  <c r="R45" i="13"/>
  <c r="U45" i="13" s="1"/>
  <c r="H46" i="13"/>
  <c r="R48" i="13"/>
  <c r="U48" i="13" s="1"/>
  <c r="H49" i="13"/>
  <c r="R51" i="13"/>
  <c r="U51" i="13" s="1"/>
  <c r="H52" i="13"/>
  <c r="R54" i="13"/>
  <c r="V54" i="13" s="1"/>
  <c r="H55" i="13"/>
  <c r="R57" i="13"/>
  <c r="U57" i="13" s="1"/>
  <c r="H58" i="13"/>
  <c r="R60" i="13"/>
  <c r="V33" i="13"/>
  <c r="L27" i="13"/>
  <c r="U29" i="13"/>
  <c r="U50" i="13"/>
  <c r="L54" i="13"/>
  <c r="T54" i="13" s="1"/>
  <c r="S54" i="13" s="1"/>
  <c r="U56" i="13"/>
  <c r="G18" i="13"/>
  <c r="U19" i="13"/>
  <c r="L20" i="13"/>
  <c r="T20" i="13" s="1"/>
  <c r="S20" i="13" s="1"/>
  <c r="G21" i="13"/>
  <c r="U22" i="13"/>
  <c r="L23" i="13"/>
  <c r="T23" i="13" s="1"/>
  <c r="S23" i="13" s="1"/>
  <c r="G24" i="13"/>
  <c r="U25" i="13"/>
  <c r="G27" i="13"/>
  <c r="U28" i="13"/>
  <c r="G30" i="13"/>
  <c r="U31" i="13"/>
  <c r="G33" i="13"/>
  <c r="U34" i="13"/>
  <c r="L35" i="13"/>
  <c r="T35" i="13" s="1"/>
  <c r="S35" i="13" s="1"/>
  <c r="G36" i="13"/>
  <c r="U37" i="13"/>
  <c r="G39" i="13"/>
  <c r="U40" i="13"/>
  <c r="L41" i="13"/>
  <c r="T41" i="13" s="1"/>
  <c r="S41" i="13" s="1"/>
  <c r="G42" i="13"/>
  <c r="U43" i="13"/>
  <c r="L44" i="13"/>
  <c r="T44" i="13" s="1"/>
  <c r="S44" i="13" s="1"/>
  <c r="G45" i="13"/>
  <c r="U46" i="13"/>
  <c r="L47" i="13"/>
  <c r="T47" i="13" s="1"/>
  <c r="S47" i="13" s="1"/>
  <c r="G48" i="13"/>
  <c r="U49" i="13"/>
  <c r="G51" i="13"/>
  <c r="U52" i="13"/>
  <c r="G54" i="13"/>
  <c r="U55" i="13"/>
  <c r="G57" i="13"/>
  <c r="U58" i="13"/>
  <c r="G60" i="13"/>
  <c r="V42" i="13"/>
  <c r="L30" i="13"/>
  <c r="L48" i="13"/>
  <c r="L51" i="13"/>
  <c r="T51" i="13" s="1"/>
  <c r="S51" i="13" s="1"/>
  <c r="L57" i="13"/>
  <c r="H18" i="13"/>
  <c r="V19" i="13"/>
  <c r="H21" i="13"/>
  <c r="V22" i="13"/>
  <c r="H24" i="13"/>
  <c r="V25" i="13"/>
  <c r="H27" i="13"/>
  <c r="V28" i="13"/>
  <c r="H30" i="13"/>
  <c r="V31" i="13"/>
  <c r="H33" i="13"/>
  <c r="V34" i="13"/>
  <c r="H36" i="13"/>
  <c r="V37" i="13"/>
  <c r="H39" i="13"/>
  <c r="V40" i="13"/>
  <c r="H42" i="13"/>
  <c r="V43" i="13"/>
  <c r="H45" i="13"/>
  <c r="V46" i="13"/>
  <c r="H48" i="13"/>
  <c r="V49" i="13"/>
  <c r="H51" i="13"/>
  <c r="V52" i="13"/>
  <c r="H54" i="13"/>
  <c r="V55" i="13"/>
  <c r="H57" i="13"/>
  <c r="V58" i="13"/>
  <c r="V51" i="13"/>
  <c r="V60" i="13"/>
  <c r="L33" i="13"/>
  <c r="T33" i="13" s="1"/>
  <c r="S33" i="13" s="1"/>
  <c r="L39" i="13"/>
  <c r="L60" i="13"/>
  <c r="T60" i="13" s="1"/>
  <c r="S60" i="13" s="1"/>
  <c r="G20" i="13"/>
  <c r="G23" i="13"/>
  <c r="G26" i="13"/>
  <c r="G29" i="13"/>
  <c r="G32" i="13"/>
  <c r="G35" i="13"/>
  <c r="G38" i="13"/>
  <c r="G41" i="13"/>
  <c r="G44" i="13"/>
  <c r="G47" i="13"/>
  <c r="G50" i="13"/>
  <c r="G53" i="13"/>
  <c r="G56" i="13"/>
  <c r="L44" i="11"/>
  <c r="L25" i="11"/>
  <c r="T25" i="11" s="1"/>
  <c r="S25" i="11" s="1"/>
  <c r="L19" i="11"/>
  <c r="U19" i="11"/>
  <c r="U22" i="11"/>
  <c r="U28" i="11"/>
  <c r="U34" i="11"/>
  <c r="U40" i="11"/>
  <c r="L43" i="11"/>
  <c r="T43" i="11" s="1"/>
  <c r="S43" i="11" s="1"/>
  <c r="L49" i="11"/>
  <c r="T49" i="11" s="1"/>
  <c r="S49" i="11" s="1"/>
  <c r="L31" i="11"/>
  <c r="T31" i="11" s="1"/>
  <c r="S31" i="11" s="1"/>
  <c r="L37" i="11"/>
  <c r="T37" i="11" s="1"/>
  <c r="S37" i="11" s="1"/>
  <c r="V43" i="11"/>
  <c r="V49" i="11"/>
  <c r="J61" i="11"/>
  <c r="V25" i="11"/>
  <c r="U31" i="11"/>
  <c r="U37" i="11"/>
  <c r="L22" i="11"/>
  <c r="T22" i="11" s="1"/>
  <c r="S22" i="11" s="1"/>
  <c r="U25" i="11"/>
  <c r="L28" i="11"/>
  <c r="T28" i="11" s="1"/>
  <c r="S28" i="11" s="1"/>
  <c r="L34" i="11"/>
  <c r="T34" i="11" s="1"/>
  <c r="S34" i="11" s="1"/>
  <c r="L40" i="11"/>
  <c r="T40" i="11" s="1"/>
  <c r="S40" i="11" s="1"/>
  <c r="V46" i="11"/>
  <c r="V22" i="12"/>
  <c r="V31" i="12"/>
  <c r="V37" i="12"/>
  <c r="V49" i="12"/>
  <c r="V19" i="12"/>
  <c r="L23" i="12"/>
  <c r="T23" i="12" s="1"/>
  <c r="S23" i="12" s="1"/>
  <c r="K25" i="12"/>
  <c r="U25" i="12" s="1"/>
  <c r="V43" i="12"/>
  <c r="L26" i="12"/>
  <c r="V28" i="12"/>
  <c r="L32" i="12"/>
  <c r="T32" i="12" s="1"/>
  <c r="S32" i="12" s="1"/>
  <c r="V34" i="12"/>
  <c r="L38" i="12"/>
  <c r="V40" i="12"/>
  <c r="L44" i="12"/>
  <c r="V46" i="12"/>
  <c r="L50" i="12"/>
  <c r="U36" i="12"/>
  <c r="T50" i="12"/>
  <c r="S50" i="12" s="1"/>
  <c r="U54" i="12"/>
  <c r="V50" i="12"/>
  <c r="V56" i="12"/>
  <c r="U18" i="12"/>
  <c r="H23" i="12"/>
  <c r="H32" i="12"/>
  <c r="H35" i="12"/>
  <c r="V36" i="12"/>
  <c r="H38" i="12"/>
  <c r="H59" i="12"/>
  <c r="V60" i="12"/>
  <c r="L18" i="12"/>
  <c r="L24" i="12"/>
  <c r="L39" i="12"/>
  <c r="L45" i="12"/>
  <c r="R18" i="12"/>
  <c r="V18" i="12" s="1"/>
  <c r="H19" i="12"/>
  <c r="R21" i="12"/>
  <c r="U21" i="12" s="1"/>
  <c r="H22" i="12"/>
  <c r="R24" i="12"/>
  <c r="U24" i="12" s="1"/>
  <c r="H25" i="12"/>
  <c r="R27" i="12"/>
  <c r="V27" i="12" s="1"/>
  <c r="H28" i="12"/>
  <c r="R30" i="12"/>
  <c r="U30" i="12" s="1"/>
  <c r="H31" i="12"/>
  <c r="R33" i="12"/>
  <c r="V33" i="12" s="1"/>
  <c r="H34" i="12"/>
  <c r="R36" i="12"/>
  <c r="H37" i="12"/>
  <c r="R39" i="12"/>
  <c r="U39" i="12" s="1"/>
  <c r="H40" i="12"/>
  <c r="R42" i="12"/>
  <c r="U42" i="12" s="1"/>
  <c r="H43" i="12"/>
  <c r="R45" i="12"/>
  <c r="U45" i="12" s="1"/>
  <c r="H46" i="12"/>
  <c r="R48" i="12"/>
  <c r="U48" i="12" s="1"/>
  <c r="H49" i="12"/>
  <c r="R51" i="12"/>
  <c r="U51" i="12" s="1"/>
  <c r="H52" i="12"/>
  <c r="R54" i="12"/>
  <c r="H55" i="12"/>
  <c r="R57" i="12"/>
  <c r="U57" i="12" s="1"/>
  <c r="H58" i="12"/>
  <c r="R60" i="12"/>
  <c r="U60" i="12" s="1"/>
  <c r="H20" i="12"/>
  <c r="H41" i="12"/>
  <c r="H47" i="12"/>
  <c r="V54" i="12"/>
  <c r="H56" i="12"/>
  <c r="L42" i="12"/>
  <c r="L60" i="12"/>
  <c r="T60" i="12" s="1"/>
  <c r="S60" i="12" s="1"/>
  <c r="G18" i="12"/>
  <c r="U19" i="12"/>
  <c r="G21" i="12"/>
  <c r="U22" i="12"/>
  <c r="G24" i="12"/>
  <c r="G27" i="12"/>
  <c r="U28" i="12"/>
  <c r="G30" i="12"/>
  <c r="U31" i="12"/>
  <c r="G33" i="12"/>
  <c r="U34" i="12"/>
  <c r="G36" i="12"/>
  <c r="U37" i="12"/>
  <c r="G39" i="12"/>
  <c r="U40" i="12"/>
  <c r="G42" i="12"/>
  <c r="U43" i="12"/>
  <c r="G45" i="12"/>
  <c r="U46" i="12"/>
  <c r="G48" i="12"/>
  <c r="U49" i="12"/>
  <c r="G51" i="12"/>
  <c r="U52" i="12"/>
  <c r="G54" i="12"/>
  <c r="U55" i="12"/>
  <c r="G57" i="12"/>
  <c r="U58" i="12"/>
  <c r="G60" i="12"/>
  <c r="H26" i="12"/>
  <c r="H29" i="12"/>
  <c r="V42" i="12"/>
  <c r="H44" i="12"/>
  <c r="V45" i="12"/>
  <c r="H50" i="12"/>
  <c r="L21" i="12"/>
  <c r="L30" i="12"/>
  <c r="L33" i="12"/>
  <c r="H18" i="12"/>
  <c r="R20" i="12"/>
  <c r="U20" i="12" s="1"/>
  <c r="H21" i="12"/>
  <c r="R23" i="12"/>
  <c r="U23" i="12" s="1"/>
  <c r="H24" i="12"/>
  <c r="R26" i="12"/>
  <c r="U26" i="12" s="1"/>
  <c r="H27" i="12"/>
  <c r="R29" i="12"/>
  <c r="U29" i="12" s="1"/>
  <c r="H30" i="12"/>
  <c r="R32" i="12"/>
  <c r="U32" i="12" s="1"/>
  <c r="H33" i="12"/>
  <c r="R35" i="12"/>
  <c r="U35" i="12" s="1"/>
  <c r="H36" i="12"/>
  <c r="R38" i="12"/>
  <c r="U38" i="12" s="1"/>
  <c r="H39" i="12"/>
  <c r="R41" i="12"/>
  <c r="U41" i="12" s="1"/>
  <c r="H42" i="12"/>
  <c r="R44" i="12"/>
  <c r="U44" i="12" s="1"/>
  <c r="H45" i="12"/>
  <c r="R47" i="12"/>
  <c r="U47" i="12" s="1"/>
  <c r="H48" i="12"/>
  <c r="R50" i="12"/>
  <c r="U50" i="12" s="1"/>
  <c r="H51" i="12"/>
  <c r="R53" i="12"/>
  <c r="U53" i="12" s="1"/>
  <c r="H54" i="12"/>
  <c r="R56" i="12"/>
  <c r="U56" i="12" s="1"/>
  <c r="H57" i="12"/>
  <c r="L27" i="12"/>
  <c r="T27" i="12" s="1"/>
  <c r="S27" i="12" s="1"/>
  <c r="L36" i="12"/>
  <c r="T36" i="12" s="1"/>
  <c r="S36" i="12" s="1"/>
  <c r="L48" i="12"/>
  <c r="L51" i="12"/>
  <c r="T51" i="12" s="1"/>
  <c r="S51" i="12" s="1"/>
  <c r="L54" i="12"/>
  <c r="L57" i="12"/>
  <c r="G20" i="12"/>
  <c r="G23" i="12"/>
  <c r="G26" i="12"/>
  <c r="G29" i="12"/>
  <c r="G32" i="12"/>
  <c r="G35" i="12"/>
  <c r="G38" i="12"/>
  <c r="G41" i="12"/>
  <c r="G44" i="12"/>
  <c r="G47" i="12"/>
  <c r="G50" i="12"/>
  <c r="G53" i="12"/>
  <c r="G56" i="12"/>
  <c r="T19" i="11"/>
  <c r="S19" i="11" s="1"/>
  <c r="V19" i="11"/>
  <c r="V22" i="11"/>
  <c r="U60" i="11"/>
  <c r="L18" i="11"/>
  <c r="V59" i="11"/>
  <c r="H59" i="11"/>
  <c r="H50" i="11"/>
  <c r="H47" i="11"/>
  <c r="H41" i="11"/>
  <c r="H38" i="11"/>
  <c r="H35" i="11"/>
  <c r="H32" i="11"/>
  <c r="H29" i="11"/>
  <c r="H23" i="11"/>
  <c r="H56" i="11"/>
  <c r="H53" i="11"/>
  <c r="H44" i="11"/>
  <c r="H26" i="11"/>
  <c r="L21" i="11"/>
  <c r="V41" i="11"/>
  <c r="U57" i="11"/>
  <c r="T59" i="11"/>
  <c r="S59" i="11" s="1"/>
  <c r="V57" i="11"/>
  <c r="L24" i="11"/>
  <c r="T24" i="11" s="1"/>
  <c r="S24" i="11" s="1"/>
  <c r="L27" i="11"/>
  <c r="L30" i="11"/>
  <c r="G31" i="11"/>
  <c r="L33" i="11"/>
  <c r="G34" i="11"/>
  <c r="L36" i="11"/>
  <c r="G37" i="11"/>
  <c r="L39" i="11"/>
  <c r="G40" i="11"/>
  <c r="G43" i="11"/>
  <c r="L45" i="11"/>
  <c r="G46" i="11"/>
  <c r="L48" i="11"/>
  <c r="G49" i="11"/>
  <c r="L51" i="11"/>
  <c r="G52" i="11"/>
  <c r="L54" i="11"/>
  <c r="G55" i="11"/>
  <c r="L57" i="11"/>
  <c r="G58" i="11"/>
  <c r="L60" i="11"/>
  <c r="T60" i="11" s="1"/>
  <c r="S60" i="11" s="1"/>
  <c r="V60" i="11"/>
  <c r="R18" i="11"/>
  <c r="H19" i="11"/>
  <c r="R21" i="11"/>
  <c r="V21" i="11" s="1"/>
  <c r="H22" i="11"/>
  <c r="R24" i="11"/>
  <c r="V24" i="11" s="1"/>
  <c r="H25" i="11"/>
  <c r="R27" i="11"/>
  <c r="V27" i="11" s="1"/>
  <c r="H28" i="11"/>
  <c r="R30" i="11"/>
  <c r="U30" i="11" s="1"/>
  <c r="H31" i="11"/>
  <c r="R33" i="11"/>
  <c r="U33" i="11" s="1"/>
  <c r="H34" i="11"/>
  <c r="R36" i="11"/>
  <c r="U36" i="11" s="1"/>
  <c r="H37" i="11"/>
  <c r="R39" i="11"/>
  <c r="U39" i="11" s="1"/>
  <c r="H40" i="11"/>
  <c r="R42" i="11"/>
  <c r="K42" i="11" s="1"/>
  <c r="H43" i="11"/>
  <c r="R45" i="11"/>
  <c r="U45" i="11" s="1"/>
  <c r="H46" i="11"/>
  <c r="R48" i="11"/>
  <c r="V48" i="11" s="1"/>
  <c r="H49" i="11"/>
  <c r="R51" i="11"/>
  <c r="V51" i="11" s="1"/>
  <c r="H52" i="11"/>
  <c r="R54" i="11"/>
  <c r="V54" i="11" s="1"/>
  <c r="H55" i="11"/>
  <c r="R57" i="11"/>
  <c r="H58" i="11"/>
  <c r="R60" i="11"/>
  <c r="H18" i="11"/>
  <c r="R20" i="11"/>
  <c r="V20" i="11" s="1"/>
  <c r="H21" i="11"/>
  <c r="R23" i="11"/>
  <c r="V23" i="11" s="1"/>
  <c r="H24" i="11"/>
  <c r="R26" i="11"/>
  <c r="K26" i="11" s="1"/>
  <c r="K61" i="11" s="1"/>
  <c r="H27" i="11"/>
  <c r="R29" i="11"/>
  <c r="V29" i="11" s="1"/>
  <c r="H30" i="11"/>
  <c r="R32" i="11"/>
  <c r="V32" i="11" s="1"/>
  <c r="H33" i="11"/>
  <c r="R35" i="11"/>
  <c r="V35" i="11" s="1"/>
  <c r="H36" i="11"/>
  <c r="R38" i="11"/>
  <c r="H39" i="11"/>
  <c r="R41" i="11"/>
  <c r="H42" i="11"/>
  <c r="R44" i="11"/>
  <c r="V44" i="11" s="1"/>
  <c r="H45" i="11"/>
  <c r="R47" i="11"/>
  <c r="V47" i="11" s="1"/>
  <c r="H48" i="11"/>
  <c r="R50" i="11"/>
  <c r="H51" i="11"/>
  <c r="R53" i="11"/>
  <c r="H54" i="11"/>
  <c r="R56" i="11"/>
  <c r="U56" i="11" s="1"/>
  <c r="H57" i="11"/>
  <c r="G20" i="11"/>
  <c r="G23" i="11"/>
  <c r="G26" i="11"/>
  <c r="G29" i="11"/>
  <c r="G32" i="11"/>
  <c r="G35" i="11"/>
  <c r="G38" i="11"/>
  <c r="G41" i="11"/>
  <c r="G44" i="11"/>
  <c r="G47" i="11"/>
  <c r="G50" i="11"/>
  <c r="G53" i="11"/>
  <c r="G56" i="11"/>
  <c r="L44" i="10"/>
  <c r="L32" i="10"/>
  <c r="L35" i="10"/>
  <c r="L29" i="10"/>
  <c r="L23" i="10"/>
  <c r="L21" i="10"/>
  <c r="T21" i="10"/>
  <c r="S21" i="10" s="1"/>
  <c r="L40" i="10"/>
  <c r="L52" i="10"/>
  <c r="V18" i="10"/>
  <c r="L19" i="10"/>
  <c r="T19" i="10"/>
  <c r="S19" i="10" s="1"/>
  <c r="V19" i="10"/>
  <c r="L38" i="10"/>
  <c r="L41" i="10"/>
  <c r="L47" i="10"/>
  <c r="L50" i="10"/>
  <c r="V21" i="10"/>
  <c r="L22" i="10"/>
  <c r="T22" i="10" s="1"/>
  <c r="S22" i="10" s="1"/>
  <c r="L28" i="10"/>
  <c r="T28" i="10" s="1"/>
  <c r="S28" i="10" s="1"/>
  <c r="V22" i="10"/>
  <c r="L31" i="10"/>
  <c r="T31" i="10" s="1"/>
  <c r="S31" i="10" s="1"/>
  <c r="L34" i="10"/>
  <c r="L37" i="10"/>
  <c r="L43" i="10"/>
  <c r="L46" i="10"/>
  <c r="T46" i="10" s="1"/>
  <c r="S46" i="10" s="1"/>
  <c r="S18" i="10"/>
  <c r="U54" i="10"/>
  <c r="R60" i="10"/>
  <c r="V60" i="10" s="1"/>
  <c r="R51" i="10"/>
  <c r="V51" i="10" s="1"/>
  <c r="R48" i="10"/>
  <c r="U48" i="10" s="1"/>
  <c r="R45" i="10"/>
  <c r="V45" i="10" s="1"/>
  <c r="R42" i="10"/>
  <c r="K42" i="10" s="1"/>
  <c r="R30" i="10"/>
  <c r="V30" i="10" s="1"/>
  <c r="R59" i="10"/>
  <c r="R56" i="10"/>
  <c r="R53" i="10"/>
  <c r="U53" i="10" s="1"/>
  <c r="R50" i="10"/>
  <c r="R47" i="10"/>
  <c r="V47" i="10" s="1"/>
  <c r="R44" i="10"/>
  <c r="U44" i="10" s="1"/>
  <c r="R41" i="10"/>
  <c r="V41" i="10" s="1"/>
  <c r="R38" i="10"/>
  <c r="V38" i="10" s="1"/>
  <c r="R35" i="10"/>
  <c r="U35" i="10" s="1"/>
  <c r="R32" i="10"/>
  <c r="R29" i="10"/>
  <c r="V29" i="10" s="1"/>
  <c r="R26" i="10"/>
  <c r="K26" i="10" s="1"/>
  <c r="R23" i="10"/>
  <c r="V23" i="10" s="1"/>
  <c r="R20" i="10"/>
  <c r="V20" i="10" s="1"/>
  <c r="R57" i="10"/>
  <c r="R54" i="10"/>
  <c r="R39" i="10"/>
  <c r="V39" i="10" s="1"/>
  <c r="R33" i="10"/>
  <c r="V33" i="10" s="1"/>
  <c r="R36" i="10"/>
  <c r="V36" i="10" s="1"/>
  <c r="R27" i="10"/>
  <c r="T27" i="10" s="1"/>
  <c r="S27" i="10" s="1"/>
  <c r="R24" i="10"/>
  <c r="V24" i="10" s="1"/>
  <c r="H29" i="10"/>
  <c r="R31" i="10"/>
  <c r="V31" i="10" s="1"/>
  <c r="V35" i="10"/>
  <c r="H38" i="10"/>
  <c r="R40" i="10"/>
  <c r="H47" i="10"/>
  <c r="R49" i="10"/>
  <c r="U49" i="10" s="1"/>
  <c r="V53" i="10"/>
  <c r="V54" i="10"/>
  <c r="U57" i="10"/>
  <c r="R58" i="10"/>
  <c r="H26" i="10"/>
  <c r="H44" i="10"/>
  <c r="V59" i="10"/>
  <c r="L54" i="10"/>
  <c r="V58" i="10"/>
  <c r="L30" i="10"/>
  <c r="L39" i="10"/>
  <c r="L48" i="10"/>
  <c r="T48" i="10" s="1"/>
  <c r="S48" i="10" s="1"/>
  <c r="L57" i="10"/>
  <c r="T57" i="10" s="1"/>
  <c r="S57" i="10" s="1"/>
  <c r="H35" i="10"/>
  <c r="H43" i="10"/>
  <c r="H37" i="10"/>
  <c r="H34" i="10"/>
  <c r="H60" i="10"/>
  <c r="H57" i="10"/>
  <c r="H54" i="10"/>
  <c r="H51" i="10"/>
  <c r="H48" i="10"/>
  <c r="H45" i="10"/>
  <c r="H42" i="10"/>
  <c r="H39" i="10"/>
  <c r="H36" i="10"/>
  <c r="H33" i="10"/>
  <c r="H30" i="10"/>
  <c r="H27" i="10"/>
  <c r="H24" i="10"/>
  <c r="H21" i="10"/>
  <c r="H18" i="10"/>
  <c r="H58" i="10"/>
  <c r="H55" i="10"/>
  <c r="H52" i="10"/>
  <c r="H49" i="10"/>
  <c r="H46" i="10"/>
  <c r="H40" i="10"/>
  <c r="H31" i="10"/>
  <c r="H28" i="10"/>
  <c r="H25" i="10"/>
  <c r="V40" i="10"/>
  <c r="J61" i="10"/>
  <c r="H19" i="10"/>
  <c r="H20" i="10"/>
  <c r="H22" i="10"/>
  <c r="H23" i="10"/>
  <c r="U24" i="10"/>
  <c r="R25" i="10"/>
  <c r="H32" i="10"/>
  <c r="R34" i="10"/>
  <c r="T37" i="10"/>
  <c r="S37" i="10" s="1"/>
  <c r="H41" i="10"/>
  <c r="R43" i="10"/>
  <c r="U43" i="10" s="1"/>
  <c r="H50" i="10"/>
  <c r="R52" i="10"/>
  <c r="T52" i="10" s="1"/>
  <c r="S52" i="10" s="1"/>
  <c r="T55" i="10"/>
  <c r="S55" i="10" s="1"/>
  <c r="V56" i="10"/>
  <c r="V57" i="10"/>
  <c r="H59" i="10"/>
  <c r="U60" i="10"/>
  <c r="U45" i="10"/>
  <c r="V50" i="10"/>
  <c r="T58" i="10"/>
  <c r="S58" i="10" s="1"/>
  <c r="L36" i="10"/>
  <c r="L45" i="10"/>
  <c r="T45" i="10" s="1"/>
  <c r="S45" i="10" s="1"/>
  <c r="U18" i="10"/>
  <c r="L20" i="10"/>
  <c r="U21" i="10"/>
  <c r="L24" i="10"/>
  <c r="T24" i="10" s="1"/>
  <c r="S24" i="10" s="1"/>
  <c r="V28" i="10"/>
  <c r="L33" i="10"/>
  <c r="V37" i="10"/>
  <c r="V46" i="10"/>
  <c r="L51" i="10"/>
  <c r="V55" i="10"/>
  <c r="L60" i="10"/>
  <c r="T60" i="10" s="1"/>
  <c r="S60" i="10" s="1"/>
  <c r="U19" i="10"/>
  <c r="U22" i="10"/>
  <c r="U28" i="10"/>
  <c r="U31" i="10"/>
  <c r="U37" i="10"/>
  <c r="U46" i="10"/>
  <c r="G54" i="10"/>
  <c r="U55" i="10"/>
  <c r="G57" i="10"/>
  <c r="U58" i="10"/>
  <c r="G60" i="10"/>
  <c r="G61" i="10"/>
  <c r="G53" i="10"/>
  <c r="G56" i="10"/>
  <c r="L49" i="9"/>
  <c r="T49" i="9" s="1"/>
  <c r="S49" i="9" s="1"/>
  <c r="L37" i="9"/>
  <c r="L23" i="9"/>
  <c r="T23" i="9" s="1"/>
  <c r="S23" i="9" s="1"/>
  <c r="L25" i="9"/>
  <c r="L34" i="9"/>
  <c r="L41" i="9"/>
  <c r="L46" i="9"/>
  <c r="T46" i="9" s="1"/>
  <c r="S46" i="9" s="1"/>
  <c r="L53" i="9"/>
  <c r="L20" i="9"/>
  <c r="T20" i="9" s="1"/>
  <c r="S20" i="9" s="1"/>
  <c r="L22" i="9"/>
  <c r="L35" i="9"/>
  <c r="L40" i="9"/>
  <c r="L52" i="9"/>
  <c r="U21" i="9"/>
  <c r="T31" i="9"/>
  <c r="S31" i="9" s="1"/>
  <c r="R55" i="9"/>
  <c r="L24" i="9"/>
  <c r="R27" i="9"/>
  <c r="T27" i="9" s="1"/>
  <c r="S27" i="9" s="1"/>
  <c r="V31" i="9"/>
  <c r="R18" i="9"/>
  <c r="U18" i="9" s="1"/>
  <c r="R19" i="9"/>
  <c r="T19" i="9" s="1"/>
  <c r="S19" i="9" s="1"/>
  <c r="R21" i="9"/>
  <c r="R22" i="9"/>
  <c r="R24" i="9"/>
  <c r="V24" i="9" s="1"/>
  <c r="R25" i="9"/>
  <c r="H29" i="9"/>
  <c r="R31" i="9"/>
  <c r="H38" i="9"/>
  <c r="R40" i="9"/>
  <c r="V44" i="9"/>
  <c r="H47" i="9"/>
  <c r="R49" i="9"/>
  <c r="U57" i="9"/>
  <c r="R58" i="9"/>
  <c r="R37" i="9"/>
  <c r="T40" i="9"/>
  <c r="S40" i="9" s="1"/>
  <c r="V59" i="9"/>
  <c r="L18" i="9"/>
  <c r="L21" i="9"/>
  <c r="T21" i="9" s="1"/>
  <c r="S21" i="9" s="1"/>
  <c r="V22" i="9"/>
  <c r="L36" i="9"/>
  <c r="V40" i="9"/>
  <c r="L45" i="9"/>
  <c r="V49" i="9"/>
  <c r="L54" i="9"/>
  <c r="T58" i="9"/>
  <c r="S58" i="9" s="1"/>
  <c r="H58" i="9"/>
  <c r="H28" i="9"/>
  <c r="H60" i="9"/>
  <c r="H57" i="9"/>
  <c r="H54" i="9"/>
  <c r="H51" i="9"/>
  <c r="H48" i="9"/>
  <c r="H45" i="9"/>
  <c r="H42" i="9"/>
  <c r="H39" i="9"/>
  <c r="H36" i="9"/>
  <c r="H33" i="9"/>
  <c r="H30" i="9"/>
  <c r="H27" i="9"/>
  <c r="H24" i="9"/>
  <c r="H21" i="9"/>
  <c r="H18" i="9"/>
  <c r="H49" i="9"/>
  <c r="H46" i="9"/>
  <c r="H43" i="9"/>
  <c r="H40" i="9"/>
  <c r="H55" i="9"/>
  <c r="H52" i="9"/>
  <c r="H37" i="9"/>
  <c r="H34" i="9"/>
  <c r="H31" i="9"/>
  <c r="V18" i="9"/>
  <c r="V21" i="9"/>
  <c r="L30" i="9"/>
  <c r="L39" i="9"/>
  <c r="L48" i="9"/>
  <c r="T48" i="9" s="1"/>
  <c r="S48" i="9" s="1"/>
  <c r="L57" i="9"/>
  <c r="R60" i="9"/>
  <c r="V60" i="9" s="1"/>
  <c r="R57" i="9"/>
  <c r="V57" i="9" s="1"/>
  <c r="R36" i="9"/>
  <c r="V36" i="9" s="1"/>
  <c r="R33" i="9"/>
  <c r="V33" i="9" s="1"/>
  <c r="R59" i="9"/>
  <c r="R56" i="9"/>
  <c r="R53" i="9"/>
  <c r="U53" i="9" s="1"/>
  <c r="R50" i="9"/>
  <c r="R47" i="9"/>
  <c r="V47" i="9" s="1"/>
  <c r="R44" i="9"/>
  <c r="U44" i="9" s="1"/>
  <c r="R41" i="9"/>
  <c r="R38" i="9"/>
  <c r="R35" i="9"/>
  <c r="U35" i="9" s="1"/>
  <c r="R32" i="9"/>
  <c r="V32" i="9" s="1"/>
  <c r="R29" i="9"/>
  <c r="R26" i="9"/>
  <c r="K26" i="9" s="1"/>
  <c r="L26" i="9" s="1"/>
  <c r="T26" i="9" s="1"/>
  <c r="S26" i="9" s="1"/>
  <c r="R23" i="9"/>
  <c r="V23" i="9" s="1"/>
  <c r="R20" i="9"/>
  <c r="V20" i="9" s="1"/>
  <c r="R54" i="9"/>
  <c r="V54" i="9" s="1"/>
  <c r="R48" i="9"/>
  <c r="V48" i="9" s="1"/>
  <c r="R45" i="9"/>
  <c r="V45" i="9" s="1"/>
  <c r="R39" i="9"/>
  <c r="V39" i="9" s="1"/>
  <c r="R51" i="9"/>
  <c r="V51" i="9" s="1"/>
  <c r="R42" i="9"/>
  <c r="K42" i="9" s="1"/>
  <c r="R30" i="9"/>
  <c r="V30" i="9" s="1"/>
  <c r="T28" i="9"/>
  <c r="S28" i="9" s="1"/>
  <c r="R34" i="9"/>
  <c r="T34" i="9" s="1"/>
  <c r="S34" i="9" s="1"/>
  <c r="R43" i="9"/>
  <c r="V43" i="9" s="1"/>
  <c r="U51" i="9"/>
  <c r="R52" i="9"/>
  <c r="U52" i="9" s="1"/>
  <c r="T55" i="9"/>
  <c r="S55" i="9" s="1"/>
  <c r="V29" i="9"/>
  <c r="J61" i="9"/>
  <c r="V28" i="9"/>
  <c r="L33" i="9"/>
  <c r="T33" i="9" s="1"/>
  <c r="S33" i="9" s="1"/>
  <c r="V46" i="9"/>
  <c r="L51" i="9"/>
  <c r="T51" i="9" s="1"/>
  <c r="S51" i="9" s="1"/>
  <c r="V55" i="9"/>
  <c r="L60" i="9"/>
  <c r="G18" i="9"/>
  <c r="G21" i="9"/>
  <c r="U22" i="9"/>
  <c r="G24" i="9"/>
  <c r="G27" i="9"/>
  <c r="U28" i="9"/>
  <c r="G30" i="9"/>
  <c r="U31" i="9"/>
  <c r="G33" i="9"/>
  <c r="G36" i="9"/>
  <c r="G39" i="9"/>
  <c r="U40" i="9"/>
  <c r="G42" i="9"/>
  <c r="U43" i="9"/>
  <c r="G45" i="9"/>
  <c r="U46" i="9"/>
  <c r="G48" i="9"/>
  <c r="U49" i="9"/>
  <c r="G51" i="9"/>
  <c r="G54" i="9"/>
  <c r="U55" i="9"/>
  <c r="G57" i="9"/>
  <c r="U58" i="9"/>
  <c r="G60" i="9"/>
  <c r="V19" i="9"/>
  <c r="V58" i="9"/>
  <c r="G20" i="9"/>
  <c r="G23" i="9"/>
  <c r="G26" i="9"/>
  <c r="G29" i="9"/>
  <c r="G32" i="9"/>
  <c r="G35" i="9"/>
  <c r="G38" i="9"/>
  <c r="G41" i="9"/>
  <c r="G44" i="9"/>
  <c r="G47" i="9"/>
  <c r="G50" i="9"/>
  <c r="G53" i="9"/>
  <c r="G56" i="9"/>
  <c r="L24" i="8"/>
  <c r="L41" i="8"/>
  <c r="L29" i="8"/>
  <c r="T29" i="8" s="1"/>
  <c r="S29" i="8" s="1"/>
  <c r="L20" i="8"/>
  <c r="T20" i="8" s="1"/>
  <c r="S20" i="8" s="1"/>
  <c r="L30" i="8"/>
  <c r="L38" i="8"/>
  <c r="T38" i="8" s="1"/>
  <c r="S38" i="8" s="1"/>
  <c r="V19" i="8"/>
  <c r="L34" i="8"/>
  <c r="T34" i="8" s="1"/>
  <c r="S34" i="8" s="1"/>
  <c r="U31" i="8"/>
  <c r="U34" i="8"/>
  <c r="K26" i="8"/>
  <c r="L26" i="8" s="1"/>
  <c r="T26" i="8" s="1"/>
  <c r="S26" i="8" s="1"/>
  <c r="L31" i="8"/>
  <c r="T31" i="8" s="1"/>
  <c r="S31" i="8" s="1"/>
  <c r="L37" i="8"/>
  <c r="T37" i="8" s="1"/>
  <c r="S37" i="8" s="1"/>
  <c r="V41" i="8"/>
  <c r="V20" i="8"/>
  <c r="L22" i="8"/>
  <c r="T22" i="8" s="1"/>
  <c r="S22" i="8" s="1"/>
  <c r="L33" i="8"/>
  <c r="V38" i="8"/>
  <c r="V22" i="8"/>
  <c r="U28" i="8"/>
  <c r="V40" i="8"/>
  <c r="V44" i="8"/>
  <c r="L46" i="8"/>
  <c r="T46" i="8" s="1"/>
  <c r="S46" i="8" s="1"/>
  <c r="T21" i="8"/>
  <c r="S21" i="8" s="1"/>
  <c r="T39" i="8"/>
  <c r="S39" i="8" s="1"/>
  <c r="J61" i="8"/>
  <c r="L18" i="8"/>
  <c r="G48" i="8"/>
  <c r="G29" i="8"/>
  <c r="V39" i="8"/>
  <c r="L40" i="8"/>
  <c r="T40" i="8" s="1"/>
  <c r="S40" i="8" s="1"/>
  <c r="G51" i="8"/>
  <c r="V23" i="8"/>
  <c r="G32" i="8"/>
  <c r="G33" i="8"/>
  <c r="V34" i="8"/>
  <c r="U37" i="8"/>
  <c r="T41" i="8"/>
  <c r="S41" i="8" s="1"/>
  <c r="T44" i="8"/>
  <c r="S44" i="8" s="1"/>
  <c r="V47" i="8"/>
  <c r="G53" i="8"/>
  <c r="G54" i="8"/>
  <c r="V55" i="8"/>
  <c r="G57" i="8"/>
  <c r="L58" i="8"/>
  <c r="T58" i="8" s="1"/>
  <c r="S58" i="8" s="1"/>
  <c r="V59" i="8"/>
  <c r="U60" i="8"/>
  <c r="L19" i="8"/>
  <c r="T19" i="8" s="1"/>
  <c r="S19" i="8" s="1"/>
  <c r="G30" i="8"/>
  <c r="L43" i="8"/>
  <c r="T43" i="8" s="1"/>
  <c r="S43" i="8" s="1"/>
  <c r="G50" i="8"/>
  <c r="U19" i="8"/>
  <c r="T23" i="8"/>
  <c r="S23" i="8" s="1"/>
  <c r="L25" i="8"/>
  <c r="T25" i="8" s="1"/>
  <c r="S25" i="8" s="1"/>
  <c r="L28" i="8"/>
  <c r="T28" i="8" s="1"/>
  <c r="S28" i="8" s="1"/>
  <c r="V29" i="8"/>
  <c r="G35" i="8"/>
  <c r="G36" i="8"/>
  <c r="U40" i="8"/>
  <c r="U43" i="8"/>
  <c r="T47" i="8"/>
  <c r="S47" i="8" s="1"/>
  <c r="V48" i="8"/>
  <c r="L49" i="8"/>
  <c r="T49" i="8" s="1"/>
  <c r="S49" i="8" s="1"/>
  <c r="V50" i="8"/>
  <c r="G56" i="8"/>
  <c r="T59" i="8"/>
  <c r="S59" i="8" s="1"/>
  <c r="G24" i="8"/>
  <c r="G27" i="8"/>
  <c r="G18" i="8"/>
  <c r="U26" i="8"/>
  <c r="V30" i="8"/>
  <c r="U46" i="8"/>
  <c r="V51" i="8"/>
  <c r="V53" i="8"/>
  <c r="G59" i="8"/>
  <c r="G58" i="8"/>
  <c r="G55" i="8"/>
  <c r="G52" i="8"/>
  <c r="G49" i="8"/>
  <c r="G46" i="8"/>
  <c r="G43" i="8"/>
  <c r="G40" i="8"/>
  <c r="G37" i="8"/>
  <c r="G34" i="8"/>
  <c r="G31" i="8"/>
  <c r="G28" i="8"/>
  <c r="G25" i="8"/>
  <c r="G22" i="8"/>
  <c r="G19" i="8"/>
  <c r="G23" i="8"/>
  <c r="G47" i="8"/>
  <c r="G26" i="8"/>
  <c r="U22" i="8"/>
  <c r="V32" i="8"/>
  <c r="G38" i="8"/>
  <c r="G20" i="8"/>
  <c r="G21" i="8"/>
  <c r="T32" i="8"/>
  <c r="S32" i="8" s="1"/>
  <c r="V35" i="8"/>
  <c r="G41" i="8"/>
  <c r="G42" i="8"/>
  <c r="G44" i="8"/>
  <c r="G45" i="8"/>
  <c r="T53" i="8"/>
  <c r="S53" i="8" s="1"/>
  <c r="V56" i="8"/>
  <c r="V57" i="8"/>
  <c r="G60" i="8"/>
  <c r="H20" i="8"/>
  <c r="H32" i="8"/>
  <c r="H38" i="8"/>
  <c r="H50" i="8"/>
  <c r="H56" i="8"/>
  <c r="H59" i="8"/>
  <c r="V60" i="8"/>
  <c r="U20" i="8"/>
  <c r="U23" i="8"/>
  <c r="U29" i="8"/>
  <c r="U32" i="8"/>
  <c r="U35" i="8"/>
  <c r="U38" i="8"/>
  <c r="U41" i="8"/>
  <c r="U44" i="8"/>
  <c r="U47" i="8"/>
  <c r="U50" i="8"/>
  <c r="U53" i="8"/>
  <c r="U56" i="8"/>
  <c r="U59" i="8"/>
  <c r="L60" i="8"/>
  <c r="T60" i="8" s="1"/>
  <c r="S60" i="8" s="1"/>
  <c r="H23" i="8"/>
  <c r="H26" i="8"/>
  <c r="H29" i="8"/>
  <c r="H35" i="8"/>
  <c r="H41" i="8"/>
  <c r="H44" i="8"/>
  <c r="H47" i="8"/>
  <c r="R18" i="8"/>
  <c r="H19" i="8"/>
  <c r="R21" i="8"/>
  <c r="U21" i="8" s="1"/>
  <c r="H22" i="8"/>
  <c r="R24" i="8"/>
  <c r="H25" i="8"/>
  <c r="R27" i="8"/>
  <c r="V27" i="8" s="1"/>
  <c r="H28" i="8"/>
  <c r="R30" i="8"/>
  <c r="H31" i="8"/>
  <c r="R33" i="8"/>
  <c r="V33" i="8" s="1"/>
  <c r="H34" i="8"/>
  <c r="R36" i="8"/>
  <c r="U36" i="8" s="1"/>
  <c r="H37" i="8"/>
  <c r="R39" i="8"/>
  <c r="U39" i="8" s="1"/>
  <c r="H40" i="8"/>
  <c r="R42" i="8"/>
  <c r="K42" i="8" s="1"/>
  <c r="H43" i="8"/>
  <c r="R45" i="8"/>
  <c r="U45" i="8" s="1"/>
  <c r="H46" i="8"/>
  <c r="R48" i="8"/>
  <c r="H49" i="8"/>
  <c r="R51" i="8"/>
  <c r="H52" i="8"/>
  <c r="R54" i="8"/>
  <c r="H55" i="8"/>
  <c r="R57" i="8"/>
  <c r="V26" i="7"/>
  <c r="V32" i="7"/>
  <c r="L34" i="7"/>
  <c r="L47" i="7"/>
  <c r="L52" i="7"/>
  <c r="L54" i="7"/>
  <c r="T54" i="7" s="1"/>
  <c r="S54" i="7" s="1"/>
  <c r="L29" i="7"/>
  <c r="T29" i="7" s="1"/>
  <c r="S29" i="7" s="1"/>
  <c r="L55" i="7"/>
  <c r="L57" i="7"/>
  <c r="L23" i="7"/>
  <c r="T23" i="7" s="1"/>
  <c r="S23" i="7" s="1"/>
  <c r="L32" i="7"/>
  <c r="T32" i="7" s="1"/>
  <c r="S32" i="7" s="1"/>
  <c r="V20" i="7"/>
  <c r="V29" i="7"/>
  <c r="J61" i="7"/>
  <c r="L22" i="7"/>
  <c r="L27" i="7"/>
  <c r="L31" i="7"/>
  <c r="L37" i="7"/>
  <c r="L39" i="7"/>
  <c r="L19" i="7"/>
  <c r="L24" i="7"/>
  <c r="L26" i="7"/>
  <c r="T26" i="7" s="1"/>
  <c r="S26" i="7" s="1"/>
  <c r="L28" i="7"/>
  <c r="L33" i="7"/>
  <c r="L40" i="7"/>
  <c r="L43" i="7"/>
  <c r="L49" i="7"/>
  <c r="V59" i="7"/>
  <c r="R19" i="7"/>
  <c r="U19" i="7" s="1"/>
  <c r="H20" i="7"/>
  <c r="R22" i="7"/>
  <c r="U22" i="7" s="1"/>
  <c r="H23" i="7"/>
  <c r="R25" i="7"/>
  <c r="U25" i="7" s="1"/>
  <c r="H26" i="7"/>
  <c r="R28" i="7"/>
  <c r="U28" i="7" s="1"/>
  <c r="H29" i="7"/>
  <c r="R31" i="7"/>
  <c r="U31" i="7" s="1"/>
  <c r="H32" i="7"/>
  <c r="R34" i="7"/>
  <c r="U34" i="7" s="1"/>
  <c r="H35" i="7"/>
  <c r="R37" i="7"/>
  <c r="U37" i="7" s="1"/>
  <c r="H38" i="7"/>
  <c r="R40" i="7"/>
  <c r="U40" i="7" s="1"/>
  <c r="H41" i="7"/>
  <c r="R43" i="7"/>
  <c r="U43" i="7" s="1"/>
  <c r="H44" i="7"/>
  <c r="R46" i="7"/>
  <c r="U46" i="7" s="1"/>
  <c r="H47" i="7"/>
  <c r="R49" i="7"/>
  <c r="U49" i="7" s="1"/>
  <c r="H50" i="7"/>
  <c r="R52" i="7"/>
  <c r="U52" i="7" s="1"/>
  <c r="H53" i="7"/>
  <c r="R55" i="7"/>
  <c r="U55" i="7" s="1"/>
  <c r="H56" i="7"/>
  <c r="R58" i="7"/>
  <c r="U58" i="7" s="1"/>
  <c r="H59" i="7"/>
  <c r="L18" i="7"/>
  <c r="G19" i="7"/>
  <c r="U20" i="7"/>
  <c r="G22" i="7"/>
  <c r="U23" i="7"/>
  <c r="G25" i="7"/>
  <c r="U26" i="7"/>
  <c r="G28" i="7"/>
  <c r="U29" i="7"/>
  <c r="G31" i="7"/>
  <c r="U32" i="7"/>
  <c r="G34" i="7"/>
  <c r="G37" i="7"/>
  <c r="G40" i="7"/>
  <c r="G43" i="7"/>
  <c r="L45" i="7"/>
  <c r="G46" i="7"/>
  <c r="L48" i="7"/>
  <c r="G49" i="7"/>
  <c r="G52" i="7"/>
  <c r="G55" i="7"/>
  <c r="G58" i="7"/>
  <c r="U59" i="7"/>
  <c r="R18" i="7"/>
  <c r="H19" i="7"/>
  <c r="R21" i="7"/>
  <c r="T21" i="7" s="1"/>
  <c r="S21" i="7" s="1"/>
  <c r="H22" i="7"/>
  <c r="R24" i="7"/>
  <c r="H25" i="7"/>
  <c r="R27" i="7"/>
  <c r="T27" i="7" s="1"/>
  <c r="S27" i="7" s="1"/>
  <c r="H28" i="7"/>
  <c r="R30" i="7"/>
  <c r="V30" i="7" s="1"/>
  <c r="H31" i="7"/>
  <c r="R33" i="7"/>
  <c r="U33" i="7" s="1"/>
  <c r="H34" i="7"/>
  <c r="R36" i="7"/>
  <c r="U36" i="7" s="1"/>
  <c r="H37" i="7"/>
  <c r="R39" i="7"/>
  <c r="T39" i="7" s="1"/>
  <c r="S39" i="7" s="1"/>
  <c r="H40" i="7"/>
  <c r="R42" i="7"/>
  <c r="K42" i="7" s="1"/>
  <c r="H43" i="7"/>
  <c r="R45" i="7"/>
  <c r="U45" i="7" s="1"/>
  <c r="H46" i="7"/>
  <c r="R48" i="7"/>
  <c r="V48" i="7" s="1"/>
  <c r="H49" i="7"/>
  <c r="R51" i="7"/>
  <c r="U51" i="7" s="1"/>
  <c r="H52" i="7"/>
  <c r="R54" i="7"/>
  <c r="V54" i="7" s="1"/>
  <c r="H55" i="7"/>
  <c r="R57" i="7"/>
  <c r="T57" i="7" s="1"/>
  <c r="S57" i="7" s="1"/>
  <c r="H58" i="7"/>
  <c r="R60" i="7"/>
  <c r="U60" i="7" s="1"/>
  <c r="R35" i="7"/>
  <c r="V35" i="7" s="1"/>
  <c r="H36" i="7"/>
  <c r="R38" i="7"/>
  <c r="V38" i="7" s="1"/>
  <c r="H39" i="7"/>
  <c r="R41" i="7"/>
  <c r="U41" i="7" s="1"/>
  <c r="H42" i="7"/>
  <c r="R44" i="7"/>
  <c r="U44" i="7" s="1"/>
  <c r="H45" i="7"/>
  <c r="R47" i="7"/>
  <c r="V47" i="7" s="1"/>
  <c r="H48" i="7"/>
  <c r="R50" i="7"/>
  <c r="T50" i="7" s="1"/>
  <c r="S50" i="7" s="1"/>
  <c r="H51" i="7"/>
  <c r="R53" i="7"/>
  <c r="T53" i="7" s="1"/>
  <c r="S53" i="7" s="1"/>
  <c r="H54" i="7"/>
  <c r="R56" i="7"/>
  <c r="T56" i="7" s="1"/>
  <c r="S56" i="7" s="1"/>
  <c r="H57" i="7"/>
  <c r="G20" i="7"/>
  <c r="G23" i="7"/>
  <c r="G26" i="7"/>
  <c r="G29" i="7"/>
  <c r="G32" i="7"/>
  <c r="G35" i="7"/>
  <c r="G38" i="7"/>
  <c r="G41" i="7"/>
  <c r="G44" i="7"/>
  <c r="G47" i="7"/>
  <c r="G50" i="7"/>
  <c r="G53" i="7"/>
  <c r="G56" i="7"/>
  <c r="M60" i="1"/>
  <c r="M59" i="1"/>
  <c r="M61" i="1"/>
  <c r="M58" i="1"/>
  <c r="L55" i="1"/>
  <c r="M55" i="1" s="1"/>
  <c r="L52" i="1"/>
  <c r="L49" i="1"/>
  <c r="L46" i="1"/>
  <c r="M46" i="1" s="1"/>
  <c r="M56" i="1"/>
  <c r="R18" i="1"/>
  <c r="E16" i="1"/>
  <c r="Q62" i="1"/>
  <c r="F62" i="1"/>
  <c r="R61" i="1" l="1"/>
  <c r="R59" i="1"/>
  <c r="R60" i="1"/>
  <c r="R58" i="1"/>
  <c r="T58" i="1" s="1"/>
  <c r="S58" i="1" s="1"/>
  <c r="T59" i="1"/>
  <c r="S59" i="1" s="1"/>
  <c r="K27" i="24"/>
  <c r="K26" i="25"/>
  <c r="L61" i="39"/>
  <c r="P3" i="39" s="1"/>
  <c r="K25" i="14"/>
  <c r="V25" i="12"/>
  <c r="K61" i="12"/>
  <c r="L25" i="12"/>
  <c r="T25" i="12" s="1"/>
  <c r="S25" i="12" s="1"/>
  <c r="K25" i="10"/>
  <c r="L25" i="10" s="1"/>
  <c r="V42" i="51"/>
  <c r="T45" i="51"/>
  <c r="S45" i="51" s="1"/>
  <c r="T27" i="51"/>
  <c r="S27" i="51" s="1"/>
  <c r="U57" i="51"/>
  <c r="U30" i="51"/>
  <c r="U51" i="51"/>
  <c r="U18" i="51"/>
  <c r="U36" i="51"/>
  <c r="U50" i="51"/>
  <c r="T50" i="51"/>
  <c r="S50" i="51" s="1"/>
  <c r="U41" i="51"/>
  <c r="T41" i="51"/>
  <c r="S41" i="51" s="1"/>
  <c r="U32" i="51"/>
  <c r="T32" i="51"/>
  <c r="S32" i="51" s="1"/>
  <c r="T23" i="51"/>
  <c r="S23" i="51" s="1"/>
  <c r="U23" i="51"/>
  <c r="V54" i="51"/>
  <c r="T42" i="51"/>
  <c r="S42" i="51" s="1"/>
  <c r="T24" i="51"/>
  <c r="S24" i="51" s="1"/>
  <c r="V50" i="51"/>
  <c r="U24" i="51"/>
  <c r="T57" i="51"/>
  <c r="S57" i="51" s="1"/>
  <c r="T39" i="51"/>
  <c r="S39" i="51" s="1"/>
  <c r="T21" i="51"/>
  <c r="S21" i="51" s="1"/>
  <c r="V39" i="51"/>
  <c r="U48" i="51"/>
  <c r="V60" i="51"/>
  <c r="U27" i="51"/>
  <c r="T56" i="51"/>
  <c r="S56" i="51" s="1"/>
  <c r="U56" i="51"/>
  <c r="T47" i="51"/>
  <c r="S47" i="51" s="1"/>
  <c r="U47" i="51"/>
  <c r="T38" i="51"/>
  <c r="S38" i="51" s="1"/>
  <c r="U38" i="51"/>
  <c r="U29" i="51"/>
  <c r="T29" i="51"/>
  <c r="S29" i="51" s="1"/>
  <c r="T20" i="51"/>
  <c r="S20" i="51" s="1"/>
  <c r="U20" i="51"/>
  <c r="R61" i="51"/>
  <c r="T54" i="51"/>
  <c r="S54" i="51" s="1"/>
  <c r="T36" i="51"/>
  <c r="S36" i="51" s="1"/>
  <c r="T18" i="51"/>
  <c r="V41" i="51"/>
  <c r="T60" i="51"/>
  <c r="S60" i="51" s="1"/>
  <c r="V47" i="51"/>
  <c r="V23" i="51"/>
  <c r="H61" i="51"/>
  <c r="P2" i="51" s="1"/>
  <c r="V45" i="51"/>
  <c r="T51" i="51"/>
  <c r="S51" i="51" s="1"/>
  <c r="T33" i="51"/>
  <c r="S33" i="51" s="1"/>
  <c r="V33" i="51"/>
  <c r="U21" i="51"/>
  <c r="U53" i="51"/>
  <c r="T53" i="51"/>
  <c r="S53" i="51" s="1"/>
  <c r="U44" i="51"/>
  <c r="T44" i="51"/>
  <c r="S44" i="51" s="1"/>
  <c r="T35" i="51"/>
  <c r="S35" i="51" s="1"/>
  <c r="U35" i="51"/>
  <c r="L26" i="51"/>
  <c r="T26" i="51" s="1"/>
  <c r="S26" i="51" s="1"/>
  <c r="V26" i="51"/>
  <c r="U26" i="51"/>
  <c r="T48" i="51"/>
  <c r="S48" i="51" s="1"/>
  <c r="T30" i="51"/>
  <c r="S30" i="51" s="1"/>
  <c r="V32" i="51"/>
  <c r="V53" i="51"/>
  <c r="V20" i="51"/>
  <c r="V38" i="51"/>
  <c r="V48" i="50"/>
  <c r="V56" i="50"/>
  <c r="V50" i="50"/>
  <c r="V38" i="50"/>
  <c r="V45" i="50"/>
  <c r="V18" i="50"/>
  <c r="V33" i="50"/>
  <c r="T38" i="50"/>
  <c r="S38" i="50" s="1"/>
  <c r="U30" i="50"/>
  <c r="U42" i="50"/>
  <c r="T60" i="50"/>
  <c r="S60" i="50" s="1"/>
  <c r="V23" i="50"/>
  <c r="T41" i="50"/>
  <c r="S41" i="50" s="1"/>
  <c r="U50" i="50"/>
  <c r="U41" i="50"/>
  <c r="T32" i="50"/>
  <c r="S32" i="50" s="1"/>
  <c r="T21" i="50"/>
  <c r="S21" i="50" s="1"/>
  <c r="V21" i="50"/>
  <c r="H61" i="50"/>
  <c r="P2" i="50" s="1"/>
  <c r="V54" i="50"/>
  <c r="U33" i="50"/>
  <c r="T48" i="50"/>
  <c r="S48" i="50" s="1"/>
  <c r="U36" i="50"/>
  <c r="G61" i="50"/>
  <c r="V47" i="50"/>
  <c r="R61" i="50"/>
  <c r="V27" i="50"/>
  <c r="U56" i="50"/>
  <c r="U47" i="50"/>
  <c r="U60" i="50"/>
  <c r="T26" i="50"/>
  <c r="S26" i="50" s="1"/>
  <c r="T54" i="50"/>
  <c r="S54" i="50" s="1"/>
  <c r="U26" i="50"/>
  <c r="T18" i="50"/>
  <c r="L61" i="50"/>
  <c r="P3" i="50" s="1"/>
  <c r="V24" i="49"/>
  <c r="V54" i="49"/>
  <c r="V39" i="49"/>
  <c r="T18" i="49"/>
  <c r="L61" i="49"/>
  <c r="P3" i="49" s="1"/>
  <c r="V33" i="49"/>
  <c r="T30" i="49"/>
  <c r="S30" i="49" s="1"/>
  <c r="U36" i="49"/>
  <c r="V51" i="49"/>
  <c r="T36" i="49"/>
  <c r="S36" i="49" s="1"/>
  <c r="U42" i="49"/>
  <c r="T42" i="49"/>
  <c r="S42" i="49" s="1"/>
  <c r="R61" i="49"/>
  <c r="V27" i="49"/>
  <c r="U27" i="49"/>
  <c r="V18" i="49"/>
  <c r="U18" i="49"/>
  <c r="T21" i="49"/>
  <c r="S21" i="49" s="1"/>
  <c r="T33" i="48"/>
  <c r="S33" i="48" s="1"/>
  <c r="V33" i="48"/>
  <c r="T55" i="48"/>
  <c r="S55" i="48" s="1"/>
  <c r="T28" i="48"/>
  <c r="S28" i="48" s="1"/>
  <c r="U18" i="48"/>
  <c r="R61" i="48"/>
  <c r="V18" i="48"/>
  <c r="T58" i="48"/>
  <c r="S58" i="48" s="1"/>
  <c r="T31" i="48"/>
  <c r="S31" i="48" s="1"/>
  <c r="V52" i="48"/>
  <c r="T27" i="48"/>
  <c r="S27" i="48" s="1"/>
  <c r="T43" i="48"/>
  <c r="S43" i="48" s="1"/>
  <c r="V55" i="48"/>
  <c r="V28" i="48"/>
  <c r="V45" i="48"/>
  <c r="T51" i="48"/>
  <c r="S51" i="48" s="1"/>
  <c r="T19" i="48"/>
  <c r="S19" i="48" s="1"/>
  <c r="V25" i="48"/>
  <c r="U25" i="48"/>
  <c r="T54" i="48"/>
  <c r="S54" i="48" s="1"/>
  <c r="V27" i="48"/>
  <c r="V48" i="48"/>
  <c r="T21" i="48"/>
  <c r="S21" i="48" s="1"/>
  <c r="T39" i="48"/>
  <c r="S39" i="48" s="1"/>
  <c r="V51" i="48"/>
  <c r="L25" i="48"/>
  <c r="T25" i="48" s="1"/>
  <c r="S25" i="48" s="1"/>
  <c r="V40" i="48"/>
  <c r="T46" i="48"/>
  <c r="S46" i="48" s="1"/>
  <c r="T49" i="48"/>
  <c r="S49" i="48" s="1"/>
  <c r="T24" i="48"/>
  <c r="S24" i="48" s="1"/>
  <c r="V46" i="48"/>
  <c r="T22" i="48"/>
  <c r="S22" i="48" s="1"/>
  <c r="V36" i="48"/>
  <c r="T42" i="48"/>
  <c r="S42" i="48" s="1"/>
  <c r="V49" i="48"/>
  <c r="T18" i="48"/>
  <c r="T45" i="48"/>
  <c r="S45" i="48" s="1"/>
  <c r="V21" i="48"/>
  <c r="V42" i="48"/>
  <c r="V19" i="48"/>
  <c r="V24" i="48"/>
  <c r="T37" i="48"/>
  <c r="S37" i="48" s="1"/>
  <c r="V31" i="48"/>
  <c r="T32" i="47"/>
  <c r="S32" i="47" s="1"/>
  <c r="V45" i="47"/>
  <c r="V42" i="47"/>
  <c r="U20" i="47"/>
  <c r="U33" i="47"/>
  <c r="T42" i="47"/>
  <c r="S42" i="47" s="1"/>
  <c r="U27" i="47"/>
  <c r="T21" i="47"/>
  <c r="S21" i="47" s="1"/>
  <c r="U60" i="47"/>
  <c r="T30" i="47"/>
  <c r="S30" i="47" s="1"/>
  <c r="V48" i="47"/>
  <c r="U30" i="47"/>
  <c r="V20" i="47"/>
  <c r="U56" i="47"/>
  <c r="U38" i="47"/>
  <c r="T35" i="47"/>
  <c r="S35" i="47" s="1"/>
  <c r="T54" i="47"/>
  <c r="S54" i="47" s="1"/>
  <c r="T57" i="47"/>
  <c r="S57" i="47" s="1"/>
  <c r="U54" i="47"/>
  <c r="T50" i="47"/>
  <c r="S50" i="47" s="1"/>
  <c r="V41" i="47"/>
  <c r="U50" i="47"/>
  <c r="U41" i="47"/>
  <c r="U32" i="47"/>
  <c r="V36" i="47"/>
  <c r="U36" i="47"/>
  <c r="H61" i="47"/>
  <c r="P2" i="47" s="1"/>
  <c r="V44" i="47"/>
  <c r="T18" i="47"/>
  <c r="U48" i="47"/>
  <c r="L26" i="47"/>
  <c r="T26" i="47" s="1"/>
  <c r="S26" i="47" s="1"/>
  <c r="V26" i="47"/>
  <c r="U26" i="47"/>
  <c r="R61" i="47"/>
  <c r="U53" i="47"/>
  <c r="K61" i="47"/>
  <c r="V18" i="47"/>
  <c r="V26" i="46"/>
  <c r="U26" i="46"/>
  <c r="L26" i="46"/>
  <c r="T26" i="46" s="1"/>
  <c r="S26" i="46" s="1"/>
  <c r="R61" i="46"/>
  <c r="T36" i="46"/>
  <c r="S36" i="46" s="1"/>
  <c r="T30" i="46"/>
  <c r="S30" i="46" s="1"/>
  <c r="V54" i="46"/>
  <c r="V45" i="46"/>
  <c r="V36" i="46"/>
  <c r="V18" i="46"/>
  <c r="T53" i="46"/>
  <c r="S53" i="46" s="1"/>
  <c r="T35" i="46"/>
  <c r="S35" i="46" s="1"/>
  <c r="T51" i="46"/>
  <c r="S51" i="46" s="1"/>
  <c r="U24" i="46"/>
  <c r="T56" i="46"/>
  <c r="S56" i="46" s="1"/>
  <c r="T38" i="46"/>
  <c r="S38" i="46" s="1"/>
  <c r="V38" i="46"/>
  <c r="U50" i="46"/>
  <c r="U41" i="46"/>
  <c r="U35" i="46"/>
  <c r="U20" i="46"/>
  <c r="K61" i="46"/>
  <c r="U51" i="46"/>
  <c r="U33" i="46"/>
  <c r="V47" i="46"/>
  <c r="T20" i="46"/>
  <c r="S20" i="46" s="1"/>
  <c r="U54" i="46"/>
  <c r="V32" i="46"/>
  <c r="V60" i="46"/>
  <c r="V42" i="46"/>
  <c r="T29" i="46"/>
  <c r="S29" i="46" s="1"/>
  <c r="U18" i="46"/>
  <c r="T50" i="46"/>
  <c r="S50" i="46" s="1"/>
  <c r="T32" i="46"/>
  <c r="S32" i="46" s="1"/>
  <c r="T23" i="46"/>
  <c r="S23" i="46" s="1"/>
  <c r="T18" i="46"/>
  <c r="V41" i="46"/>
  <c r="V57" i="46"/>
  <c r="V39" i="46"/>
  <c r="V21" i="46"/>
  <c r="T57" i="46"/>
  <c r="S57" i="46" s="1"/>
  <c r="T44" i="46"/>
  <c r="S44" i="46" s="1"/>
  <c r="V44" i="46"/>
  <c r="V23" i="46"/>
  <c r="H61" i="46"/>
  <c r="P2" i="46" s="1"/>
  <c r="U53" i="46"/>
  <c r="U60" i="46"/>
  <c r="U42" i="46"/>
  <c r="V33" i="45"/>
  <c r="T60" i="45"/>
  <c r="S60" i="45" s="1"/>
  <c r="T42" i="45"/>
  <c r="S42" i="45" s="1"/>
  <c r="T24" i="45"/>
  <c r="S24" i="45" s="1"/>
  <c r="V41" i="45"/>
  <c r="T23" i="45"/>
  <c r="S23" i="45" s="1"/>
  <c r="V50" i="45"/>
  <c r="V32" i="45"/>
  <c r="T44" i="45"/>
  <c r="S44" i="45" s="1"/>
  <c r="V48" i="45"/>
  <c r="T57" i="45"/>
  <c r="S57" i="45" s="1"/>
  <c r="T39" i="45"/>
  <c r="S39" i="45" s="1"/>
  <c r="T21" i="45"/>
  <c r="S21" i="45" s="1"/>
  <c r="U39" i="45"/>
  <c r="T53" i="45"/>
  <c r="S53" i="45" s="1"/>
  <c r="V20" i="45"/>
  <c r="U30" i="45"/>
  <c r="T38" i="45"/>
  <c r="S38" i="45" s="1"/>
  <c r="H61" i="45"/>
  <c r="P2" i="45" s="1"/>
  <c r="T18" i="45"/>
  <c r="L61" i="45"/>
  <c r="P3" i="45" s="1"/>
  <c r="V53" i="45"/>
  <c r="V35" i="45"/>
  <c r="T47" i="45"/>
  <c r="S47" i="45" s="1"/>
  <c r="V44" i="45"/>
  <c r="T32" i="45"/>
  <c r="S32" i="45" s="1"/>
  <c r="V26" i="45"/>
  <c r="U26" i="45"/>
  <c r="T51" i="45"/>
  <c r="S51" i="45" s="1"/>
  <c r="T33" i="45"/>
  <c r="S33" i="45" s="1"/>
  <c r="K61" i="45"/>
  <c r="T41" i="45"/>
  <c r="S41" i="45" s="1"/>
  <c r="U42" i="45"/>
  <c r="T20" i="45"/>
  <c r="S20" i="45" s="1"/>
  <c r="T48" i="45"/>
  <c r="S48" i="45" s="1"/>
  <c r="T30" i="45"/>
  <c r="S30" i="45" s="1"/>
  <c r="V47" i="45"/>
  <c r="V29" i="45"/>
  <c r="T35" i="45"/>
  <c r="S35" i="45" s="1"/>
  <c r="V56" i="45"/>
  <c r="V38" i="45"/>
  <c r="T56" i="45"/>
  <c r="S56" i="45" s="1"/>
  <c r="V23" i="45"/>
  <c r="R61" i="45"/>
  <c r="T45" i="45"/>
  <c r="S45" i="45" s="1"/>
  <c r="T27" i="45"/>
  <c r="S27" i="45" s="1"/>
  <c r="T29" i="45"/>
  <c r="S29" i="45" s="1"/>
  <c r="T50" i="45"/>
  <c r="S50" i="45" s="1"/>
  <c r="V57" i="43"/>
  <c r="V48" i="43"/>
  <c r="V39" i="43"/>
  <c r="V30" i="43"/>
  <c r="V21" i="43"/>
  <c r="T51" i="43"/>
  <c r="S51" i="43" s="1"/>
  <c r="T39" i="43"/>
  <c r="S39" i="43" s="1"/>
  <c r="R61" i="43"/>
  <c r="T24" i="43"/>
  <c r="S24" i="43" s="1"/>
  <c r="V55" i="43"/>
  <c r="T21" i="43"/>
  <c r="S21" i="43" s="1"/>
  <c r="L25" i="43"/>
  <c r="T25" i="43" s="1"/>
  <c r="S25" i="43" s="1"/>
  <c r="T36" i="43"/>
  <c r="S36" i="43" s="1"/>
  <c r="T30" i="43"/>
  <c r="S30" i="43" s="1"/>
  <c r="V54" i="43"/>
  <c r="V18" i="43"/>
  <c r="U42" i="43"/>
  <c r="V25" i="43"/>
  <c r="U25" i="43"/>
  <c r="U57" i="43"/>
  <c r="V51" i="43"/>
  <c r="V42" i="43"/>
  <c r="V33" i="43"/>
  <c r="V24" i="43"/>
  <c r="V58" i="43"/>
  <c r="T48" i="43"/>
  <c r="S48" i="43" s="1"/>
  <c r="T33" i="43"/>
  <c r="S33" i="43" s="1"/>
  <c r="T18" i="43"/>
  <c r="V21" i="42"/>
  <c r="T48" i="42"/>
  <c r="S48" i="42" s="1"/>
  <c r="T30" i="42"/>
  <c r="S30" i="42" s="1"/>
  <c r="V45" i="42"/>
  <c r="U18" i="42"/>
  <c r="V47" i="42"/>
  <c r="T20" i="42"/>
  <c r="S20" i="42" s="1"/>
  <c r="T47" i="42"/>
  <c r="S47" i="42" s="1"/>
  <c r="T45" i="42"/>
  <c r="S45" i="42" s="1"/>
  <c r="T27" i="42"/>
  <c r="S27" i="42" s="1"/>
  <c r="V50" i="42"/>
  <c r="T38" i="42"/>
  <c r="S38" i="42" s="1"/>
  <c r="V53" i="42"/>
  <c r="V26" i="42"/>
  <c r="R61" i="42"/>
  <c r="T50" i="42"/>
  <c r="S50" i="42" s="1"/>
  <c r="V38" i="42"/>
  <c r="T29" i="42"/>
  <c r="S29" i="42" s="1"/>
  <c r="T44" i="42"/>
  <c r="S44" i="42" s="1"/>
  <c r="H61" i="42"/>
  <c r="P2" i="42" s="1"/>
  <c r="T54" i="42"/>
  <c r="S54" i="42" s="1"/>
  <c r="T36" i="42"/>
  <c r="S36" i="42" s="1"/>
  <c r="T18" i="42"/>
  <c r="L61" i="42"/>
  <c r="P3" i="42" s="1"/>
  <c r="V56" i="42"/>
  <c r="V29" i="42"/>
  <c r="T26" i="42"/>
  <c r="S26" i="42" s="1"/>
  <c r="U30" i="41"/>
  <c r="G61" i="41"/>
  <c r="R61" i="41"/>
  <c r="V27" i="41"/>
  <c r="V18" i="41"/>
  <c r="T21" i="41"/>
  <c r="S21" i="41" s="1"/>
  <c r="U27" i="41"/>
  <c r="V47" i="41"/>
  <c r="T60" i="41"/>
  <c r="S60" i="41" s="1"/>
  <c r="U54" i="41"/>
  <c r="H61" i="41"/>
  <c r="P2" i="41" s="1"/>
  <c r="U53" i="41"/>
  <c r="T18" i="41"/>
  <c r="L61" i="41"/>
  <c r="P3" i="41" s="1"/>
  <c r="T56" i="41"/>
  <c r="S56" i="41" s="1"/>
  <c r="T53" i="41"/>
  <c r="S53" i="41" s="1"/>
  <c r="U57" i="41"/>
  <c r="T42" i="41"/>
  <c r="S42" i="41" s="1"/>
  <c r="T30" i="41"/>
  <c r="S30" i="41" s="1"/>
  <c r="V21" i="41"/>
  <c r="V54" i="41"/>
  <c r="V50" i="41"/>
  <c r="T51" i="41"/>
  <c r="S51" i="41" s="1"/>
  <c r="V51" i="41"/>
  <c r="T48" i="41"/>
  <c r="S48" i="41" s="1"/>
  <c r="U18" i="41"/>
  <c r="R61" i="40"/>
  <c r="V36" i="40"/>
  <c r="U54" i="40"/>
  <c r="V27" i="40"/>
  <c r="U18" i="40"/>
  <c r="T54" i="40"/>
  <c r="S54" i="40" s="1"/>
  <c r="V45" i="40"/>
  <c r="T39" i="40"/>
  <c r="S39" i="40" s="1"/>
  <c r="V47" i="40"/>
  <c r="T56" i="40"/>
  <c r="S56" i="40" s="1"/>
  <c r="T53" i="40"/>
  <c r="S53" i="40" s="1"/>
  <c r="T36" i="40"/>
  <c r="S36" i="40" s="1"/>
  <c r="T50" i="40"/>
  <c r="S50" i="40" s="1"/>
  <c r="V53" i="40"/>
  <c r="V32" i="40"/>
  <c r="T44" i="40"/>
  <c r="S44" i="40" s="1"/>
  <c r="T45" i="40"/>
  <c r="S45" i="40" s="1"/>
  <c r="V41" i="40"/>
  <c r="V50" i="40"/>
  <c r="T41" i="40"/>
  <c r="S41" i="40" s="1"/>
  <c r="T27" i="40"/>
  <c r="S27" i="40" s="1"/>
  <c r="T30" i="40"/>
  <c r="S30" i="40" s="1"/>
  <c r="T21" i="40"/>
  <c r="S21" i="40" s="1"/>
  <c r="H61" i="40"/>
  <c r="P2" i="40" s="1"/>
  <c r="T35" i="40"/>
  <c r="S35" i="40" s="1"/>
  <c r="T18" i="40"/>
  <c r="L61" i="40"/>
  <c r="P3" i="40" s="1"/>
  <c r="V44" i="40"/>
  <c r="T32" i="40"/>
  <c r="S32" i="40" s="1"/>
  <c r="U21" i="40"/>
  <c r="V18" i="40"/>
  <c r="T33" i="39"/>
  <c r="S33" i="39" s="1"/>
  <c r="V60" i="39"/>
  <c r="T48" i="39"/>
  <c r="S48" i="39" s="1"/>
  <c r="V48" i="39"/>
  <c r="V30" i="39"/>
  <c r="U56" i="39"/>
  <c r="T27" i="39"/>
  <c r="S27" i="39" s="1"/>
  <c r="T56" i="39"/>
  <c r="S56" i="39" s="1"/>
  <c r="V45" i="39"/>
  <c r="V27" i="39"/>
  <c r="U18" i="39"/>
  <c r="R61" i="39"/>
  <c r="T54" i="39"/>
  <c r="S54" i="39" s="1"/>
  <c r="V24" i="39"/>
  <c r="V42" i="39"/>
  <c r="T24" i="39"/>
  <c r="S24" i="39" s="1"/>
  <c r="V18" i="39"/>
  <c r="T42" i="39"/>
  <c r="S42" i="39" s="1"/>
  <c r="H61" i="39"/>
  <c r="P2" i="39" s="1"/>
  <c r="T45" i="39"/>
  <c r="S45" i="39" s="1"/>
  <c r="T36" i="39"/>
  <c r="S36" i="39" s="1"/>
  <c r="V54" i="39"/>
  <c r="V36" i="39"/>
  <c r="T51" i="39"/>
  <c r="S51" i="39" s="1"/>
  <c r="V51" i="39"/>
  <c r="V33" i="39"/>
  <c r="T18" i="39"/>
  <c r="T18" i="38"/>
  <c r="L71" i="38"/>
  <c r="P3" i="38" s="1"/>
  <c r="U31" i="38"/>
  <c r="T31" i="38"/>
  <c r="S31" i="38" s="1"/>
  <c r="T49" i="38"/>
  <c r="S49" i="38" s="1"/>
  <c r="U49" i="38"/>
  <c r="U67" i="38"/>
  <c r="T67" i="38"/>
  <c r="S67" i="38" s="1"/>
  <c r="V49" i="38"/>
  <c r="U65" i="38"/>
  <c r="T39" i="38"/>
  <c r="S39" i="38" s="1"/>
  <c r="V64" i="38"/>
  <c r="V55" i="38"/>
  <c r="V51" i="38"/>
  <c r="U47" i="38"/>
  <c r="T25" i="38"/>
  <c r="S25" i="38" s="1"/>
  <c r="H71" i="38"/>
  <c r="P2" i="38" s="1"/>
  <c r="V48" i="38"/>
  <c r="T69" i="38"/>
  <c r="S69" i="38" s="1"/>
  <c r="T47" i="38"/>
  <c r="S47" i="38" s="1"/>
  <c r="T48" i="38"/>
  <c r="S48" i="38" s="1"/>
  <c r="R71" i="38"/>
  <c r="T19" i="38"/>
  <c r="S19" i="38" s="1"/>
  <c r="V67" i="38"/>
  <c r="T22" i="38"/>
  <c r="S22" i="38" s="1"/>
  <c r="U22" i="38"/>
  <c r="T40" i="38"/>
  <c r="S40" i="38" s="1"/>
  <c r="U40" i="38"/>
  <c r="U58" i="38"/>
  <c r="T58" i="38"/>
  <c r="S58" i="38" s="1"/>
  <c r="T29" i="38"/>
  <c r="S29" i="38" s="1"/>
  <c r="U29" i="38"/>
  <c r="U61" i="38"/>
  <c r="T61" i="38"/>
  <c r="S61" i="38" s="1"/>
  <c r="T43" i="38"/>
  <c r="S43" i="38" s="1"/>
  <c r="T55" i="38"/>
  <c r="S55" i="38" s="1"/>
  <c r="V58" i="38"/>
  <c r="V69" i="38"/>
  <c r="V37" i="38"/>
  <c r="V19" i="38"/>
  <c r="T20" i="38"/>
  <c r="S20" i="38" s="1"/>
  <c r="T51" i="38"/>
  <c r="S51" i="38" s="1"/>
  <c r="V25" i="38"/>
  <c r="T37" i="38"/>
  <c r="S37" i="38" s="1"/>
  <c r="V14" i="37"/>
  <c r="P9" i="37" s="1"/>
  <c r="P7" i="37"/>
  <c r="S9" i="37" s="1"/>
  <c r="V34" i="37"/>
  <c r="T34" i="37"/>
  <c r="S34" i="37" s="1"/>
  <c r="V70" i="37"/>
  <c r="U70" i="37"/>
  <c r="T80" i="37"/>
  <c r="S80" i="37" s="1"/>
  <c r="U74" i="37"/>
  <c r="U41" i="37"/>
  <c r="V33" i="37"/>
  <c r="T33" i="37"/>
  <c r="S33" i="37" s="1"/>
  <c r="V27" i="37"/>
  <c r="T27" i="37"/>
  <c r="S27" i="37" s="1"/>
  <c r="V21" i="37"/>
  <c r="T21" i="37"/>
  <c r="S21" i="37" s="1"/>
  <c r="T44" i="37"/>
  <c r="S44" i="37" s="1"/>
  <c r="U34" i="37"/>
  <c r="U29" i="37"/>
  <c r="U19" i="37"/>
  <c r="T38" i="37"/>
  <c r="S38" i="37" s="1"/>
  <c r="V28" i="37"/>
  <c r="T28" i="37"/>
  <c r="S28" i="37" s="1"/>
  <c r="V67" i="37"/>
  <c r="U67" i="37"/>
  <c r="V74" i="37"/>
  <c r="V32" i="37"/>
  <c r="T32" i="37"/>
  <c r="S32" i="37" s="1"/>
  <c r="U47" i="37"/>
  <c r="U44" i="37"/>
  <c r="T68" i="37"/>
  <c r="S68" i="37" s="1"/>
  <c r="V55" i="37"/>
  <c r="U33" i="37"/>
  <c r="U28" i="37"/>
  <c r="U80" i="37"/>
  <c r="V22" i="37"/>
  <c r="T22" i="37"/>
  <c r="S22" i="37" s="1"/>
  <c r="L81" i="37"/>
  <c r="P3" i="37" s="1"/>
  <c r="P5" i="37" s="1"/>
  <c r="T18" i="37"/>
  <c r="V64" i="37"/>
  <c r="U64" i="37"/>
  <c r="G81" i="37"/>
  <c r="T56" i="37"/>
  <c r="S56" i="37" s="1"/>
  <c r="V31" i="37"/>
  <c r="T31" i="37"/>
  <c r="S31" i="37" s="1"/>
  <c r="V25" i="37"/>
  <c r="T25" i="37"/>
  <c r="S25" i="37" s="1"/>
  <c r="V19" i="37"/>
  <c r="T19" i="37"/>
  <c r="S19" i="37" s="1"/>
  <c r="V37" i="37"/>
  <c r="U32" i="37"/>
  <c r="U27" i="37"/>
  <c r="U22" i="37"/>
  <c r="T62" i="37"/>
  <c r="S62" i="37" s="1"/>
  <c r="V36" i="37"/>
  <c r="T36" i="37"/>
  <c r="S36" i="37" s="1"/>
  <c r="T30" i="37"/>
  <c r="S30" i="37" s="1"/>
  <c r="V30" i="37"/>
  <c r="V24" i="37"/>
  <c r="T24" i="37"/>
  <c r="S24" i="37" s="1"/>
  <c r="V62" i="37"/>
  <c r="U36" i="37"/>
  <c r="V23" i="37"/>
  <c r="T23" i="37"/>
  <c r="S23" i="37" s="1"/>
  <c r="T77" i="37"/>
  <c r="S77" i="37" s="1"/>
  <c r="T35" i="37"/>
  <c r="S35" i="37" s="1"/>
  <c r="V14" i="36"/>
  <c r="P9" i="36" s="1"/>
  <c r="P7" i="36"/>
  <c r="S9" i="36" s="1"/>
  <c r="G81" i="36"/>
  <c r="U54" i="36"/>
  <c r="V54" i="36"/>
  <c r="V39" i="36"/>
  <c r="U39" i="36"/>
  <c r="V25" i="36"/>
  <c r="U25" i="36"/>
  <c r="T25" i="36"/>
  <c r="S25" i="36" s="1"/>
  <c r="L81" i="36"/>
  <c r="P3" i="36" s="1"/>
  <c r="U69" i="36"/>
  <c r="V69" i="36"/>
  <c r="T44" i="36"/>
  <c r="S44" i="36" s="1"/>
  <c r="V64" i="36"/>
  <c r="U64" i="36"/>
  <c r="T64" i="36"/>
  <c r="S64" i="36" s="1"/>
  <c r="V42" i="36"/>
  <c r="U42" i="36"/>
  <c r="V19" i="36"/>
  <c r="U19" i="36"/>
  <c r="U35" i="36"/>
  <c r="T35" i="36"/>
  <c r="S35" i="36" s="1"/>
  <c r="V35" i="36"/>
  <c r="U53" i="36"/>
  <c r="V53" i="36"/>
  <c r="V79" i="36"/>
  <c r="U79" i="36"/>
  <c r="T79" i="36"/>
  <c r="S79" i="36" s="1"/>
  <c r="V62" i="36"/>
  <c r="T23" i="36"/>
  <c r="S23" i="36" s="1"/>
  <c r="V70" i="36"/>
  <c r="U70" i="36"/>
  <c r="T70" i="36"/>
  <c r="S70" i="36" s="1"/>
  <c r="V52" i="36"/>
  <c r="U52" i="36"/>
  <c r="T52" i="36"/>
  <c r="S52" i="36" s="1"/>
  <c r="S18" i="36"/>
  <c r="V67" i="36"/>
  <c r="U67" i="36"/>
  <c r="T67" i="36"/>
  <c r="S67" i="36" s="1"/>
  <c r="T54" i="36"/>
  <c r="S54" i="36" s="1"/>
  <c r="V28" i="36"/>
  <c r="U28" i="36"/>
  <c r="V20" i="36"/>
  <c r="U20" i="36"/>
  <c r="V38" i="36"/>
  <c r="U38" i="36"/>
  <c r="V56" i="36"/>
  <c r="U56" i="36"/>
  <c r="U68" i="36"/>
  <c r="T53" i="36"/>
  <c r="S53" i="36" s="1"/>
  <c r="T32" i="36"/>
  <c r="S32" i="36" s="1"/>
  <c r="H81" i="36"/>
  <c r="P2" i="36" s="1"/>
  <c r="T80" i="36"/>
  <c r="S80" i="36" s="1"/>
  <c r="V34" i="36"/>
  <c r="U34" i="36"/>
  <c r="T34" i="36"/>
  <c r="S34" i="36" s="1"/>
  <c r="V21" i="36"/>
  <c r="U21" i="36"/>
  <c r="U65" i="36"/>
  <c r="U51" i="36"/>
  <c r="V51" i="36"/>
  <c r="V78" i="36"/>
  <c r="U78" i="36"/>
  <c r="U62" i="36"/>
  <c r="U48" i="36"/>
  <c r="V48" i="36"/>
  <c r="V37" i="36"/>
  <c r="U37" i="36"/>
  <c r="T19" i="36"/>
  <c r="S19" i="36" s="1"/>
  <c r="V49" i="36"/>
  <c r="U49" i="36"/>
  <c r="T49" i="36"/>
  <c r="S49" i="36" s="1"/>
  <c r="V72" i="36"/>
  <c r="U72" i="36"/>
  <c r="V46" i="36"/>
  <c r="U46" i="36"/>
  <c r="U26" i="36"/>
  <c r="T26" i="36"/>
  <c r="S26" i="36" s="1"/>
  <c r="V26" i="36"/>
  <c r="U44" i="36"/>
  <c r="V44" i="36"/>
  <c r="V43" i="36"/>
  <c r="U43" i="36"/>
  <c r="T43" i="36"/>
  <c r="S43" i="36" s="1"/>
  <c r="V30" i="36"/>
  <c r="U30" i="36"/>
  <c r="V24" i="36"/>
  <c r="U24" i="36"/>
  <c r="V29" i="36"/>
  <c r="U29" i="36"/>
  <c r="V73" i="36"/>
  <c r="U73" i="36"/>
  <c r="T73" i="36"/>
  <c r="S73" i="36" s="1"/>
  <c r="V65" i="36"/>
  <c r="T72" i="36"/>
  <c r="S72" i="36" s="1"/>
  <c r="U66" i="36"/>
  <c r="V66" i="36"/>
  <c r="V33" i="36"/>
  <c r="U33" i="36"/>
  <c r="V76" i="36"/>
  <c r="U76" i="36"/>
  <c r="T76" i="36"/>
  <c r="S76" i="36" s="1"/>
  <c r="T68" i="36"/>
  <c r="S68" i="36" s="1"/>
  <c r="U50" i="36"/>
  <c r="T50" i="36"/>
  <c r="S50" i="36" s="1"/>
  <c r="T53" i="35"/>
  <c r="S53" i="35" s="1"/>
  <c r="U53" i="35"/>
  <c r="T44" i="35"/>
  <c r="S44" i="35" s="1"/>
  <c r="U44" i="35"/>
  <c r="T35" i="35"/>
  <c r="S35" i="35" s="1"/>
  <c r="U35" i="35"/>
  <c r="T57" i="35"/>
  <c r="S57" i="35" s="1"/>
  <c r="T48" i="35"/>
  <c r="S48" i="35" s="1"/>
  <c r="T39" i="35"/>
  <c r="S39" i="35" s="1"/>
  <c r="T30" i="35"/>
  <c r="S30" i="35" s="1"/>
  <c r="T50" i="35"/>
  <c r="S50" i="35" s="1"/>
  <c r="U50" i="35"/>
  <c r="U41" i="35"/>
  <c r="T41" i="35"/>
  <c r="S41" i="35" s="1"/>
  <c r="T32" i="35"/>
  <c r="S32" i="35" s="1"/>
  <c r="U32" i="35"/>
  <c r="T23" i="35"/>
  <c r="S23" i="35" s="1"/>
  <c r="U23" i="35"/>
  <c r="V39" i="35"/>
  <c r="V30" i="35"/>
  <c r="V36" i="35"/>
  <c r="T18" i="35"/>
  <c r="V41" i="35"/>
  <c r="V20" i="35"/>
  <c r="T26" i="35"/>
  <c r="S26" i="35" s="1"/>
  <c r="U26" i="35"/>
  <c r="U27" i="35"/>
  <c r="V27" i="35"/>
  <c r="L27" i="35"/>
  <c r="T27" i="35" s="1"/>
  <c r="S27" i="35" s="1"/>
  <c r="R61" i="35"/>
  <c r="T54" i="35"/>
  <c r="S54" i="35" s="1"/>
  <c r="T45" i="35"/>
  <c r="S45" i="35" s="1"/>
  <c r="T36" i="35"/>
  <c r="S36" i="35" s="1"/>
  <c r="U57" i="35"/>
  <c r="U18" i="35"/>
  <c r="U56" i="35"/>
  <c r="T56" i="35"/>
  <c r="S56" i="35" s="1"/>
  <c r="T47" i="35"/>
  <c r="S47" i="35" s="1"/>
  <c r="U47" i="35"/>
  <c r="T38" i="35"/>
  <c r="S38" i="35" s="1"/>
  <c r="U38" i="35"/>
  <c r="V21" i="35"/>
  <c r="K61" i="35"/>
  <c r="V53" i="35"/>
  <c r="T29" i="35"/>
  <c r="S29" i="35" s="1"/>
  <c r="U29" i="35"/>
  <c r="H61" i="35"/>
  <c r="P2" i="35" s="1"/>
  <c r="V51" i="35"/>
  <c r="T60" i="35"/>
  <c r="S60" i="35" s="1"/>
  <c r="T51" i="35"/>
  <c r="S51" i="35" s="1"/>
  <c r="T42" i="35"/>
  <c r="S42" i="35" s="1"/>
  <c r="T33" i="35"/>
  <c r="S33" i="35" s="1"/>
  <c r="V44" i="35"/>
  <c r="T21" i="35"/>
  <c r="S21" i="35" s="1"/>
  <c r="V56" i="35"/>
  <c r="V35" i="35"/>
  <c r="U50" i="34"/>
  <c r="T50" i="34"/>
  <c r="S50" i="34" s="1"/>
  <c r="V32" i="34"/>
  <c r="V50" i="34"/>
  <c r="V45" i="34"/>
  <c r="V29" i="34"/>
  <c r="T60" i="34"/>
  <c r="S60" i="34" s="1"/>
  <c r="T45" i="34"/>
  <c r="S45" i="34" s="1"/>
  <c r="V51" i="34"/>
  <c r="U27" i="34"/>
  <c r="V27" i="34"/>
  <c r="L27" i="34"/>
  <c r="T27" i="34" s="1"/>
  <c r="S27" i="34" s="1"/>
  <c r="K61" i="34"/>
  <c r="U53" i="34"/>
  <c r="T53" i="34"/>
  <c r="S53" i="34" s="1"/>
  <c r="V20" i="34"/>
  <c r="U47" i="34"/>
  <c r="T47" i="34"/>
  <c r="S47" i="34" s="1"/>
  <c r="R61" i="34"/>
  <c r="T42" i="34"/>
  <c r="S42" i="34" s="1"/>
  <c r="V47" i="34"/>
  <c r="V18" i="34"/>
  <c r="U60" i="34"/>
  <c r="V42" i="34"/>
  <c r="U56" i="34"/>
  <c r="T56" i="34"/>
  <c r="S56" i="34" s="1"/>
  <c r="U38" i="34"/>
  <c r="T38" i="34"/>
  <c r="S38" i="34" s="1"/>
  <c r="V38" i="34"/>
  <c r="V53" i="34"/>
  <c r="U44" i="34"/>
  <c r="T44" i="34"/>
  <c r="S44" i="34" s="1"/>
  <c r="V26" i="34"/>
  <c r="T51" i="34"/>
  <c r="S51" i="34" s="1"/>
  <c r="V44" i="34"/>
  <c r="T24" i="34"/>
  <c r="S24" i="34" s="1"/>
  <c r="T35" i="34"/>
  <c r="S35" i="34" s="1"/>
  <c r="H61" i="34"/>
  <c r="P2" i="34" s="1"/>
  <c r="T18" i="34"/>
  <c r="T20" i="34"/>
  <c r="S20" i="34" s="1"/>
  <c r="U41" i="34"/>
  <c r="T41" i="34"/>
  <c r="S41" i="34" s="1"/>
  <c r="V41" i="34"/>
  <c r="V35" i="34"/>
  <c r="V23" i="34"/>
  <c r="T29" i="34"/>
  <c r="S29" i="34" s="1"/>
  <c r="V56" i="33"/>
  <c r="V42" i="33"/>
  <c r="T33" i="33"/>
  <c r="S33" i="33" s="1"/>
  <c r="V50" i="33"/>
  <c r="T18" i="33"/>
  <c r="L61" i="33"/>
  <c r="P3" i="33" s="1"/>
  <c r="V33" i="33"/>
  <c r="H61" i="33"/>
  <c r="P2" i="33" s="1"/>
  <c r="T24" i="33"/>
  <c r="S24" i="33" s="1"/>
  <c r="V53" i="33"/>
  <c r="T50" i="33"/>
  <c r="S50" i="33" s="1"/>
  <c r="U48" i="33"/>
  <c r="T42" i="33"/>
  <c r="S42" i="33" s="1"/>
  <c r="T60" i="33"/>
  <c r="S60" i="33" s="1"/>
  <c r="V60" i="33"/>
  <c r="U27" i="33"/>
  <c r="L27" i="33"/>
  <c r="T27" i="33" s="1"/>
  <c r="S27" i="33" s="1"/>
  <c r="V27" i="33"/>
  <c r="R61" i="33"/>
  <c r="V18" i="33"/>
  <c r="T56" i="33"/>
  <c r="S56" i="33" s="1"/>
  <c r="U45" i="32"/>
  <c r="T31" i="32"/>
  <c r="S31" i="32" s="1"/>
  <c r="H61" i="32"/>
  <c r="P2" i="32" s="1"/>
  <c r="U50" i="32"/>
  <c r="U41" i="32"/>
  <c r="U32" i="32"/>
  <c r="U23" i="32"/>
  <c r="V60" i="32"/>
  <c r="V54" i="32"/>
  <c r="V48" i="32"/>
  <c r="V42" i="32"/>
  <c r="V36" i="32"/>
  <c r="V30" i="32"/>
  <c r="T57" i="32"/>
  <c r="S57" i="32" s="1"/>
  <c r="T39" i="32"/>
  <c r="S39" i="32" s="1"/>
  <c r="V23" i="32"/>
  <c r="V43" i="32"/>
  <c r="T25" i="32"/>
  <c r="S25" i="32" s="1"/>
  <c r="T45" i="32"/>
  <c r="S45" i="32" s="1"/>
  <c r="V56" i="32"/>
  <c r="V38" i="32"/>
  <c r="T22" i="32"/>
  <c r="S22" i="32" s="1"/>
  <c r="T44" i="32"/>
  <c r="S44" i="32" s="1"/>
  <c r="U48" i="32"/>
  <c r="U30" i="32"/>
  <c r="V18" i="32"/>
  <c r="L27" i="32"/>
  <c r="T27" i="32" s="1"/>
  <c r="S27" i="32" s="1"/>
  <c r="T49" i="32"/>
  <c r="S49" i="32" s="1"/>
  <c r="T55" i="32"/>
  <c r="S55" i="32" s="1"/>
  <c r="T37" i="32"/>
  <c r="S37" i="32" s="1"/>
  <c r="T20" i="32"/>
  <c r="S20" i="32" s="1"/>
  <c r="T43" i="32"/>
  <c r="S43" i="32" s="1"/>
  <c r="V22" i="32"/>
  <c r="U51" i="32"/>
  <c r="U33" i="32"/>
  <c r="U21" i="32"/>
  <c r="V46" i="32"/>
  <c r="V28" i="32"/>
  <c r="R61" i="32"/>
  <c r="T29" i="32"/>
  <c r="S29" i="32" s="1"/>
  <c r="U56" i="32"/>
  <c r="U47" i="32"/>
  <c r="U38" i="32"/>
  <c r="U29" i="32"/>
  <c r="U20" i="32"/>
  <c r="V21" i="32"/>
  <c r="T50" i="32"/>
  <c r="S50" i="32" s="1"/>
  <c r="T32" i="32"/>
  <c r="S32" i="32" s="1"/>
  <c r="U54" i="32"/>
  <c r="U36" i="32"/>
  <c r="V49" i="32"/>
  <c r="V31" i="32"/>
  <c r="T58" i="32"/>
  <c r="S58" i="32" s="1"/>
  <c r="T40" i="32"/>
  <c r="S40" i="32" s="1"/>
  <c r="V19" i="32"/>
  <c r="U27" i="32"/>
  <c r="V27" i="32"/>
  <c r="V57" i="32"/>
  <c r="V39" i="32"/>
  <c r="V52" i="32"/>
  <c r="V34" i="32"/>
  <c r="T18" i="32"/>
  <c r="L61" i="32"/>
  <c r="P3" i="32" s="1"/>
  <c r="V55" i="32"/>
  <c r="V37" i="32"/>
  <c r="T19" i="32"/>
  <c r="S19" i="32" s="1"/>
  <c r="U53" i="31"/>
  <c r="T53" i="31"/>
  <c r="S53" i="31" s="1"/>
  <c r="U44" i="31"/>
  <c r="T44" i="31"/>
  <c r="S44" i="31" s="1"/>
  <c r="U35" i="31"/>
  <c r="T35" i="31"/>
  <c r="S35" i="31" s="1"/>
  <c r="U26" i="31"/>
  <c r="T26" i="31"/>
  <c r="S26" i="31" s="1"/>
  <c r="R61" i="31"/>
  <c r="U18" i="31"/>
  <c r="T36" i="31"/>
  <c r="S36" i="31" s="1"/>
  <c r="T18" i="31"/>
  <c r="L61" i="31"/>
  <c r="P3" i="31" s="1"/>
  <c r="V38" i="31"/>
  <c r="V60" i="31"/>
  <c r="V18" i="31"/>
  <c r="T20" i="31"/>
  <c r="S20" i="31" s="1"/>
  <c r="T60" i="31"/>
  <c r="S60" i="31" s="1"/>
  <c r="V50" i="31"/>
  <c r="T51" i="31"/>
  <c r="S51" i="31" s="1"/>
  <c r="U42" i="31"/>
  <c r="T23" i="31"/>
  <c r="S23" i="31" s="1"/>
  <c r="V41" i="31"/>
  <c r="U24" i="31"/>
  <c r="U51" i="31"/>
  <c r="V32" i="31"/>
  <c r="T42" i="31"/>
  <c r="S42" i="31" s="1"/>
  <c r="V57" i="31"/>
  <c r="U57" i="31"/>
  <c r="V48" i="31"/>
  <c r="U48" i="31"/>
  <c r="V39" i="31"/>
  <c r="U39" i="31"/>
  <c r="V30" i="31"/>
  <c r="U30" i="31"/>
  <c r="V21" i="31"/>
  <c r="U21" i="31"/>
  <c r="T48" i="31"/>
  <c r="S48" i="31" s="1"/>
  <c r="T21" i="31"/>
  <c r="S21" i="31" s="1"/>
  <c r="G61" i="31"/>
  <c r="V23" i="31"/>
  <c r="V47" i="31"/>
  <c r="V20" i="31"/>
  <c r="T33" i="31"/>
  <c r="S33" i="31" s="1"/>
  <c r="T50" i="31"/>
  <c r="S50" i="31" s="1"/>
  <c r="T41" i="31"/>
  <c r="S41" i="31" s="1"/>
  <c r="T29" i="31"/>
  <c r="S29" i="31" s="1"/>
  <c r="H61" i="31"/>
  <c r="P2" i="31" s="1"/>
  <c r="T24" i="31"/>
  <c r="S24" i="31" s="1"/>
  <c r="U33" i="31"/>
  <c r="T32" i="31"/>
  <c r="S32" i="31" s="1"/>
  <c r="T45" i="30"/>
  <c r="S45" i="30" s="1"/>
  <c r="T27" i="30"/>
  <c r="S27" i="30" s="1"/>
  <c r="V36" i="30"/>
  <c r="U50" i="30"/>
  <c r="T50" i="30"/>
  <c r="S50" i="30" s="1"/>
  <c r="U41" i="30"/>
  <c r="T41" i="30"/>
  <c r="S41" i="30" s="1"/>
  <c r="V50" i="30"/>
  <c r="R61" i="30"/>
  <c r="V27" i="30"/>
  <c r="T56" i="30"/>
  <c r="S56" i="30" s="1"/>
  <c r="U56" i="30"/>
  <c r="T47" i="30"/>
  <c r="S47" i="30" s="1"/>
  <c r="U47" i="30"/>
  <c r="H61" i="30"/>
  <c r="P2" i="30" s="1"/>
  <c r="T54" i="30"/>
  <c r="S54" i="30" s="1"/>
  <c r="T36" i="30"/>
  <c r="S36" i="30" s="1"/>
  <c r="T18" i="30"/>
  <c r="L61" i="30"/>
  <c r="P3" i="30" s="1"/>
  <c r="V45" i="30"/>
  <c r="V41" i="30"/>
  <c r="U54" i="30"/>
  <c r="T51" i="30"/>
  <c r="S51" i="30" s="1"/>
  <c r="T33" i="30"/>
  <c r="S33" i="30" s="1"/>
  <c r="V42" i="30"/>
  <c r="V18" i="30"/>
  <c r="V47" i="30"/>
  <c r="U53" i="30"/>
  <c r="T53" i="30"/>
  <c r="S53" i="30" s="1"/>
  <c r="T44" i="30"/>
  <c r="S44" i="30" s="1"/>
  <c r="U44" i="30"/>
  <c r="U18" i="30"/>
  <c r="T44" i="23"/>
  <c r="S44" i="23" s="1"/>
  <c r="V27" i="23"/>
  <c r="T45" i="23"/>
  <c r="S45" i="23" s="1"/>
  <c r="V26" i="23"/>
  <c r="V32" i="23"/>
  <c r="T27" i="23"/>
  <c r="S27" i="23" s="1"/>
  <c r="T36" i="23"/>
  <c r="S36" i="23" s="1"/>
  <c r="G61" i="23"/>
  <c r="U45" i="23"/>
  <c r="V50" i="23"/>
  <c r="V56" i="24"/>
  <c r="V47" i="24"/>
  <c r="U39" i="24"/>
  <c r="V44" i="24"/>
  <c r="T36" i="24"/>
  <c r="S36" i="24" s="1"/>
  <c r="U44" i="24"/>
  <c r="V19" i="24"/>
  <c r="T56" i="24"/>
  <c r="S56" i="24" s="1"/>
  <c r="T39" i="24"/>
  <c r="S39" i="24" s="1"/>
  <c r="T53" i="24"/>
  <c r="S53" i="24" s="1"/>
  <c r="T28" i="24"/>
  <c r="S28" i="24" s="1"/>
  <c r="U36" i="24"/>
  <c r="U19" i="24"/>
  <c r="T50" i="24"/>
  <c r="S50" i="24" s="1"/>
  <c r="V52" i="24"/>
  <c r="U50" i="24"/>
  <c r="U41" i="24"/>
  <c r="U33" i="24"/>
  <c r="T43" i="24"/>
  <c r="S43" i="24" s="1"/>
  <c r="T41" i="24"/>
  <c r="S41" i="24" s="1"/>
  <c r="V53" i="24"/>
  <c r="V28" i="24"/>
  <c r="V33" i="24"/>
  <c r="T25" i="24"/>
  <c r="S25" i="24" s="1"/>
  <c r="V60" i="24"/>
  <c r="V25" i="24"/>
  <c r="U35" i="24"/>
  <c r="U30" i="24"/>
  <c r="U27" i="24"/>
  <c r="T60" i="24"/>
  <c r="S60" i="24" s="1"/>
  <c r="V32" i="24"/>
  <c r="T48" i="24"/>
  <c r="S48" i="24" s="1"/>
  <c r="U46" i="24"/>
  <c r="V49" i="24"/>
  <c r="U38" i="24"/>
  <c r="T21" i="24"/>
  <c r="S21" i="24" s="1"/>
  <c r="T30" i="24"/>
  <c r="S30" i="24" s="1"/>
  <c r="T24" i="24"/>
  <c r="S24" i="24" s="1"/>
  <c r="T45" i="24"/>
  <c r="S45" i="24" s="1"/>
  <c r="U24" i="24"/>
  <c r="T37" i="25"/>
  <c r="S37" i="25" s="1"/>
  <c r="T28" i="25"/>
  <c r="S28" i="25" s="1"/>
  <c r="V40" i="25"/>
  <c r="T33" i="25"/>
  <c r="S33" i="25" s="1"/>
  <c r="T40" i="25"/>
  <c r="S40" i="25" s="1"/>
  <c r="V31" i="25"/>
  <c r="T31" i="25"/>
  <c r="S31" i="25" s="1"/>
  <c r="T47" i="25"/>
  <c r="S47" i="25" s="1"/>
  <c r="U52" i="25"/>
  <c r="V19" i="25"/>
  <c r="T32" i="25"/>
  <c r="S32" i="25" s="1"/>
  <c r="V32" i="25"/>
  <c r="U28" i="25"/>
  <c r="T30" i="25"/>
  <c r="S30" i="25" s="1"/>
  <c r="U23" i="25"/>
  <c r="V41" i="25"/>
  <c r="V30" i="25"/>
  <c r="V49" i="25"/>
  <c r="T46" i="25"/>
  <c r="S46" i="25" s="1"/>
  <c r="V33" i="25"/>
  <c r="U29" i="25"/>
  <c r="U37" i="25"/>
  <c r="U59" i="25"/>
  <c r="U55" i="25"/>
  <c r="T38" i="25"/>
  <c r="S38" i="25" s="1"/>
  <c r="T24" i="25"/>
  <c r="S24" i="25" s="1"/>
  <c r="V24" i="25"/>
  <c r="V22" i="25"/>
  <c r="T52" i="25"/>
  <c r="S52" i="25" s="1"/>
  <c r="T50" i="25"/>
  <c r="S50" i="25" s="1"/>
  <c r="T59" i="25"/>
  <c r="S59" i="25" s="1"/>
  <c r="T25" i="25"/>
  <c r="S25" i="25" s="1"/>
  <c r="T43" i="25"/>
  <c r="S43" i="25" s="1"/>
  <c r="T58" i="25"/>
  <c r="S58" i="25" s="1"/>
  <c r="T49" i="25"/>
  <c r="S49" i="25" s="1"/>
  <c r="T51" i="25"/>
  <c r="S51" i="25" s="1"/>
  <c r="V51" i="25"/>
  <c r="U58" i="25"/>
  <c r="U22" i="25"/>
  <c r="V42" i="25"/>
  <c r="T45" i="25"/>
  <c r="S45" i="25" s="1"/>
  <c r="V61" i="25"/>
  <c r="V55" i="25"/>
  <c r="T53" i="25"/>
  <c r="S53" i="25" s="1"/>
  <c r="V48" i="25"/>
  <c r="U50" i="25"/>
  <c r="V20" i="25"/>
  <c r="U39" i="25"/>
  <c r="T39" i="25"/>
  <c r="S39" i="25" s="1"/>
  <c r="V47" i="25"/>
  <c r="T41" i="25"/>
  <c r="S41" i="25" s="1"/>
  <c r="V50" i="25"/>
  <c r="T23" i="25"/>
  <c r="S23" i="25" s="1"/>
  <c r="V56" i="25"/>
  <c r="V25" i="26"/>
  <c r="T42" i="26"/>
  <c r="S42" i="26" s="1"/>
  <c r="T51" i="26"/>
  <c r="S51" i="26" s="1"/>
  <c r="V40" i="26"/>
  <c r="V46" i="26"/>
  <c r="T27" i="26"/>
  <c r="S27" i="26" s="1"/>
  <c r="U50" i="26"/>
  <c r="V42" i="26"/>
  <c r="U24" i="26"/>
  <c r="U39" i="26"/>
  <c r="V33" i="26"/>
  <c r="V34" i="26"/>
  <c r="V28" i="26"/>
  <c r="V30" i="26"/>
  <c r="V38" i="26"/>
  <c r="T22" i="26"/>
  <c r="S22" i="26" s="1"/>
  <c r="T46" i="26"/>
  <c r="S46" i="26" s="1"/>
  <c r="V58" i="26"/>
  <c r="V29" i="26"/>
  <c r="T47" i="26"/>
  <c r="S47" i="26" s="1"/>
  <c r="T57" i="26"/>
  <c r="S57" i="26" s="1"/>
  <c r="T48" i="26"/>
  <c r="S48" i="26" s="1"/>
  <c r="T30" i="26"/>
  <c r="S30" i="26" s="1"/>
  <c r="T21" i="26"/>
  <c r="S21" i="26" s="1"/>
  <c r="U44" i="26"/>
  <c r="U23" i="26"/>
  <c r="V39" i="26"/>
  <c r="T32" i="26"/>
  <c r="S32" i="26" s="1"/>
  <c r="V47" i="26"/>
  <c r="V22" i="26"/>
  <c r="T44" i="26"/>
  <c r="S44" i="26" s="1"/>
  <c r="U57" i="26"/>
  <c r="U21" i="26"/>
  <c r="R71" i="26"/>
  <c r="G71" i="26"/>
  <c r="U56" i="26"/>
  <c r="U35" i="26"/>
  <c r="V56" i="26"/>
  <c r="T29" i="26"/>
  <c r="S29" i="26" s="1"/>
  <c r="V51" i="26"/>
  <c r="T28" i="26"/>
  <c r="S28" i="26" s="1"/>
  <c r="V43" i="26"/>
  <c r="U48" i="26"/>
  <c r="T38" i="26"/>
  <c r="S38" i="26" s="1"/>
  <c r="T44" i="27"/>
  <c r="S44" i="27" s="1"/>
  <c r="G81" i="27"/>
  <c r="U71" i="27"/>
  <c r="T25" i="27"/>
  <c r="S25" i="27" s="1"/>
  <c r="T73" i="27"/>
  <c r="S73" i="27" s="1"/>
  <c r="U43" i="27"/>
  <c r="T32" i="27"/>
  <c r="S32" i="27" s="1"/>
  <c r="T23" i="27"/>
  <c r="S23" i="27" s="1"/>
  <c r="U48" i="27"/>
  <c r="T55" i="27"/>
  <c r="S55" i="27" s="1"/>
  <c r="T37" i="27"/>
  <c r="S37" i="27" s="1"/>
  <c r="U78" i="27"/>
  <c r="T71" i="27"/>
  <c r="S71" i="27" s="1"/>
  <c r="U63" i="27"/>
  <c r="T70" i="27"/>
  <c r="S70" i="27" s="1"/>
  <c r="U62" i="27"/>
  <c r="T22" i="27"/>
  <c r="S22" i="27" s="1"/>
  <c r="T68" i="27"/>
  <c r="S68" i="27" s="1"/>
  <c r="U60" i="27"/>
  <c r="V68" i="27"/>
  <c r="T38" i="27"/>
  <c r="S38" i="27" s="1"/>
  <c r="T49" i="27"/>
  <c r="S49" i="27" s="1"/>
  <c r="U72" i="27"/>
  <c r="U49" i="27"/>
  <c r="V77" i="27"/>
  <c r="U77" i="27"/>
  <c r="U69" i="27"/>
  <c r="T62" i="27"/>
  <c r="S62" i="27" s="1"/>
  <c r="U67" i="27"/>
  <c r="U65" i="27"/>
  <c r="T20" i="27"/>
  <c r="S20" i="27" s="1"/>
  <c r="V58" i="27"/>
  <c r="T28" i="27"/>
  <c r="S28" i="27" s="1"/>
  <c r="T72" i="27"/>
  <c r="S72" i="27" s="1"/>
  <c r="U70" i="27"/>
  <c r="V40" i="27"/>
  <c r="T66" i="27"/>
  <c r="S66" i="27" s="1"/>
  <c r="U66" i="27"/>
  <c r="U80" i="27"/>
  <c r="T63" i="27"/>
  <c r="S63" i="27" s="1"/>
  <c r="T67" i="27"/>
  <c r="S67" i="27" s="1"/>
  <c r="U61" i="27"/>
  <c r="V24" i="27"/>
  <c r="U31" i="27"/>
  <c r="V34" i="27"/>
  <c r="T76" i="27"/>
  <c r="S76" i="27" s="1"/>
  <c r="T26" i="27"/>
  <c r="S26" i="27" s="1"/>
  <c r="V30" i="27"/>
  <c r="V22" i="27"/>
  <c r="T61" i="27"/>
  <c r="S61" i="27" s="1"/>
  <c r="T79" i="27"/>
  <c r="S79" i="27" s="1"/>
  <c r="T41" i="27"/>
  <c r="S41" i="27" s="1"/>
  <c r="T52" i="27"/>
  <c r="S52" i="27" s="1"/>
  <c r="T34" i="27"/>
  <c r="S34" i="27" s="1"/>
  <c r="U37" i="27"/>
  <c r="U74" i="27"/>
  <c r="U79" i="27"/>
  <c r="T69" i="27"/>
  <c r="S69" i="27" s="1"/>
  <c r="T31" i="27"/>
  <c r="S31" i="27" s="1"/>
  <c r="U76" i="27"/>
  <c r="T43" i="27"/>
  <c r="S43" i="27" s="1"/>
  <c r="V52" i="27"/>
  <c r="U75" i="27"/>
  <c r="T74" i="27"/>
  <c r="S74" i="27" s="1"/>
  <c r="U64" i="27"/>
  <c r="U73" i="27"/>
  <c r="T75" i="27"/>
  <c r="S75" i="27" s="1"/>
  <c r="T46" i="27"/>
  <c r="S46" i="27" s="1"/>
  <c r="U57" i="27"/>
  <c r="V19" i="27"/>
  <c r="U35" i="27"/>
  <c r="V46" i="27"/>
  <c r="T58" i="27"/>
  <c r="S58" i="27" s="1"/>
  <c r="T40" i="27"/>
  <c r="S40" i="27" s="1"/>
  <c r="T19" i="27"/>
  <c r="S19" i="27" s="1"/>
  <c r="V28" i="27"/>
  <c r="V51" i="28"/>
  <c r="T27" i="28"/>
  <c r="S27" i="28" s="1"/>
  <c r="V37" i="28"/>
  <c r="V28" i="28"/>
  <c r="T34" i="28"/>
  <c r="S34" i="28" s="1"/>
  <c r="V56" i="28"/>
  <c r="T58" i="28"/>
  <c r="S58" i="28" s="1"/>
  <c r="V47" i="28"/>
  <c r="V53" i="28"/>
  <c r="T19" i="28"/>
  <c r="S19" i="28" s="1"/>
  <c r="T49" i="28"/>
  <c r="S49" i="28" s="1"/>
  <c r="T40" i="28"/>
  <c r="S40" i="28" s="1"/>
  <c r="U52" i="28"/>
  <c r="U25" i="28"/>
  <c r="T42" i="28"/>
  <c r="S42" i="28" s="1"/>
  <c r="V41" i="28"/>
  <c r="V40" i="28"/>
  <c r="G81" i="28"/>
  <c r="T51" i="28"/>
  <c r="S51" i="28" s="1"/>
  <c r="T33" i="28"/>
  <c r="S33" i="28" s="1"/>
  <c r="V31" i="28"/>
  <c r="T31" i="28"/>
  <c r="S31" i="28" s="1"/>
  <c r="U58" i="28"/>
  <c r="T39" i="28"/>
  <c r="S39" i="28" s="1"/>
  <c r="T21" i="28"/>
  <c r="S21" i="28" s="1"/>
  <c r="T37" i="28"/>
  <c r="S37" i="28" s="1"/>
  <c r="T52" i="28"/>
  <c r="S52" i="28" s="1"/>
  <c r="T25" i="28"/>
  <c r="S25" i="28" s="1"/>
  <c r="T32" i="28"/>
  <c r="S32" i="28" s="1"/>
  <c r="U42" i="28"/>
  <c r="V33" i="28"/>
  <c r="V57" i="28"/>
  <c r="U55" i="28"/>
  <c r="U19" i="28"/>
  <c r="V36" i="28"/>
  <c r="T24" i="28"/>
  <c r="S24" i="28" s="1"/>
  <c r="T55" i="28"/>
  <c r="S55" i="28" s="1"/>
  <c r="T28" i="28"/>
  <c r="S28" i="28" s="1"/>
  <c r="T43" i="28"/>
  <c r="S43" i="28" s="1"/>
  <c r="U36" i="29"/>
  <c r="V37" i="29"/>
  <c r="T28" i="29"/>
  <c r="S28" i="29" s="1"/>
  <c r="U39" i="29"/>
  <c r="V31" i="29"/>
  <c r="V28" i="29"/>
  <c r="T22" i="29"/>
  <c r="S22" i="29" s="1"/>
  <c r="T55" i="29"/>
  <c r="S55" i="29" s="1"/>
  <c r="V40" i="29"/>
  <c r="V26" i="29"/>
  <c r="U20" i="29"/>
  <c r="U32" i="29"/>
  <c r="T48" i="29"/>
  <c r="S48" i="29" s="1"/>
  <c r="U54" i="29"/>
  <c r="V18" i="29"/>
  <c r="V55" i="29"/>
  <c r="T46" i="29"/>
  <c r="S46" i="29" s="1"/>
  <c r="G71" i="29"/>
  <c r="V52" i="29"/>
  <c r="T49" i="29"/>
  <c r="S49" i="29" s="1"/>
  <c r="T52" i="29"/>
  <c r="S52" i="29" s="1"/>
  <c r="V29" i="29"/>
  <c r="T23" i="29"/>
  <c r="S23" i="29" s="1"/>
  <c r="V47" i="29"/>
  <c r="V20" i="29"/>
  <c r="V23" i="29"/>
  <c r="V45" i="29"/>
  <c r="T27" i="29"/>
  <c r="S27" i="29" s="1"/>
  <c r="V56" i="29"/>
  <c r="T25" i="29"/>
  <c r="S25" i="29" s="1"/>
  <c r="T43" i="29"/>
  <c r="S43" i="29" s="1"/>
  <c r="T40" i="29"/>
  <c r="S40" i="29" s="1"/>
  <c r="T34" i="29"/>
  <c r="S34" i="29" s="1"/>
  <c r="V34" i="29"/>
  <c r="V22" i="29"/>
  <c r="T35" i="29"/>
  <c r="S35" i="29" s="1"/>
  <c r="T45" i="29"/>
  <c r="S45" i="29" s="1"/>
  <c r="T30" i="29"/>
  <c r="S30" i="29" s="1"/>
  <c r="V38" i="29"/>
  <c r="U21" i="29"/>
  <c r="T56" i="29"/>
  <c r="S56" i="29" s="1"/>
  <c r="V43" i="29"/>
  <c r="T37" i="29"/>
  <c r="S37" i="29" s="1"/>
  <c r="V25" i="29"/>
  <c r="V46" i="29"/>
  <c r="T29" i="29"/>
  <c r="S29" i="29" s="1"/>
  <c r="V44" i="29"/>
  <c r="T41" i="29"/>
  <c r="S41" i="29" s="1"/>
  <c r="U30" i="29"/>
  <c r="V50" i="29"/>
  <c r="T44" i="29"/>
  <c r="S44" i="29" s="1"/>
  <c r="T53" i="29"/>
  <c r="S53" i="29" s="1"/>
  <c r="T50" i="29"/>
  <c r="S50" i="29" s="1"/>
  <c r="H71" i="29"/>
  <c r="P2" i="29" s="1"/>
  <c r="R71" i="29"/>
  <c r="V41" i="29"/>
  <c r="U27" i="29"/>
  <c r="T24" i="29"/>
  <c r="S24" i="29" s="1"/>
  <c r="U48" i="29"/>
  <c r="T38" i="29"/>
  <c r="S38" i="29" s="1"/>
  <c r="T57" i="29"/>
  <c r="S57" i="29" s="1"/>
  <c r="T54" i="29"/>
  <c r="S54" i="29" s="1"/>
  <c r="V53" i="29"/>
  <c r="T47" i="29"/>
  <c r="S47" i="29" s="1"/>
  <c r="T21" i="29"/>
  <c r="S21" i="29" s="1"/>
  <c r="T18" i="29"/>
  <c r="L71" i="29"/>
  <c r="P3" i="29" s="1"/>
  <c r="V21" i="28"/>
  <c r="V35" i="28"/>
  <c r="U39" i="28"/>
  <c r="U23" i="28"/>
  <c r="T23" i="28"/>
  <c r="S23" i="28" s="1"/>
  <c r="V54" i="28"/>
  <c r="V38" i="28"/>
  <c r="T56" i="28"/>
  <c r="S56" i="28" s="1"/>
  <c r="U24" i="28"/>
  <c r="T53" i="28"/>
  <c r="S53" i="28" s="1"/>
  <c r="V32" i="28"/>
  <c r="R81" i="28"/>
  <c r="V18" i="28"/>
  <c r="T50" i="28"/>
  <c r="S50" i="28" s="1"/>
  <c r="T47" i="28"/>
  <c r="S47" i="28" s="1"/>
  <c r="T44" i="28"/>
  <c r="S44" i="28" s="1"/>
  <c r="U30" i="28"/>
  <c r="U26" i="28"/>
  <c r="T26" i="28"/>
  <c r="S26" i="28" s="1"/>
  <c r="T57" i="28"/>
  <c r="S57" i="28" s="1"/>
  <c r="T48" i="28"/>
  <c r="S48" i="28" s="1"/>
  <c r="T18" i="28"/>
  <c r="L81" i="28"/>
  <c r="P3" i="28" s="1"/>
  <c r="V29" i="28"/>
  <c r="T38" i="28"/>
  <c r="S38" i="28" s="1"/>
  <c r="T35" i="28"/>
  <c r="S35" i="28" s="1"/>
  <c r="T30" i="28"/>
  <c r="S30" i="28" s="1"/>
  <c r="H81" i="28"/>
  <c r="P2" i="28" s="1"/>
  <c r="T45" i="28"/>
  <c r="S45" i="28" s="1"/>
  <c r="U18" i="28"/>
  <c r="T29" i="28"/>
  <c r="S29" i="28" s="1"/>
  <c r="V50" i="28"/>
  <c r="V44" i="28"/>
  <c r="U27" i="28"/>
  <c r="V20" i="28"/>
  <c r="T20" i="28"/>
  <c r="S20" i="28" s="1"/>
  <c r="R81" i="27"/>
  <c r="U47" i="27"/>
  <c r="U20" i="27"/>
  <c r="H81" i="27"/>
  <c r="P2" i="27" s="1"/>
  <c r="T54" i="27"/>
  <c r="S54" i="27" s="1"/>
  <c r="T27" i="27"/>
  <c r="S27" i="27" s="1"/>
  <c r="T18" i="27"/>
  <c r="L81" i="27"/>
  <c r="P3" i="27" s="1"/>
  <c r="V42" i="27"/>
  <c r="U51" i="27"/>
  <c r="V20" i="27"/>
  <c r="U27" i="27"/>
  <c r="U53" i="27"/>
  <c r="T53" i="27"/>
  <c r="S53" i="27" s="1"/>
  <c r="T45" i="27"/>
  <c r="S45" i="27" s="1"/>
  <c r="T39" i="27"/>
  <c r="S39" i="27" s="1"/>
  <c r="T33" i="27"/>
  <c r="S33" i="27" s="1"/>
  <c r="U26" i="27"/>
  <c r="V39" i="27"/>
  <c r="U45" i="27"/>
  <c r="V47" i="27"/>
  <c r="U18" i="27"/>
  <c r="U36" i="27"/>
  <c r="V54" i="27"/>
  <c r="T51" i="27"/>
  <c r="S51" i="27" s="1"/>
  <c r="U44" i="27"/>
  <c r="U38" i="27"/>
  <c r="U32" i="27"/>
  <c r="T24" i="27"/>
  <c r="S24" i="27" s="1"/>
  <c r="V21" i="27"/>
  <c r="V41" i="27"/>
  <c r="V26" i="27"/>
  <c r="V44" i="27"/>
  <c r="U56" i="27"/>
  <c r="T56" i="27"/>
  <c r="S56" i="27" s="1"/>
  <c r="U50" i="27"/>
  <c r="T50" i="27"/>
  <c r="S50" i="27" s="1"/>
  <c r="U23" i="27"/>
  <c r="V33" i="27"/>
  <c r="V35" i="27"/>
  <c r="V23" i="27"/>
  <c r="V38" i="27"/>
  <c r="U29" i="27"/>
  <c r="T57" i="27"/>
  <c r="S57" i="27" s="1"/>
  <c r="T48" i="27"/>
  <c r="S48" i="27" s="1"/>
  <c r="T42" i="27"/>
  <c r="S42" i="27" s="1"/>
  <c r="T36" i="27"/>
  <c r="S36" i="27" s="1"/>
  <c r="T30" i="27"/>
  <c r="S30" i="27" s="1"/>
  <c r="T21" i="27"/>
  <c r="S21" i="27" s="1"/>
  <c r="V18" i="27"/>
  <c r="V29" i="27"/>
  <c r="V32" i="27"/>
  <c r="V54" i="26"/>
  <c r="V36" i="26"/>
  <c r="V18" i="26"/>
  <c r="V20" i="26"/>
  <c r="T35" i="26"/>
  <c r="S35" i="26" s="1"/>
  <c r="T54" i="26"/>
  <c r="S54" i="26" s="1"/>
  <c r="U36" i="26"/>
  <c r="T41" i="26"/>
  <c r="S41" i="26" s="1"/>
  <c r="T23" i="26"/>
  <c r="S23" i="26" s="1"/>
  <c r="U18" i="26"/>
  <c r="T53" i="26"/>
  <c r="S53" i="26" s="1"/>
  <c r="T31" i="26"/>
  <c r="S31" i="26" s="1"/>
  <c r="U45" i="26"/>
  <c r="T43" i="26"/>
  <c r="S43" i="26" s="1"/>
  <c r="V55" i="26"/>
  <c r="V37" i="26"/>
  <c r="V19" i="26"/>
  <c r="V27" i="26"/>
  <c r="U53" i="26"/>
  <c r="U20" i="26"/>
  <c r="V49" i="26"/>
  <c r="V31" i="26"/>
  <c r="T49" i="26"/>
  <c r="S49" i="26" s="1"/>
  <c r="T26" i="26"/>
  <c r="S26" i="26" s="1"/>
  <c r="T52" i="26"/>
  <c r="S52" i="26" s="1"/>
  <c r="V45" i="26"/>
  <c r="H71" i="26"/>
  <c r="P2" i="26" s="1"/>
  <c r="U26" i="26"/>
  <c r="T18" i="26"/>
  <c r="L71" i="26"/>
  <c r="P3" i="26" s="1"/>
  <c r="U27" i="26"/>
  <c r="V14" i="26"/>
  <c r="P9" i="26" s="1"/>
  <c r="P7" i="26"/>
  <c r="S9" i="26" s="1"/>
  <c r="T33" i="26"/>
  <c r="S33" i="26" s="1"/>
  <c r="T40" i="26"/>
  <c r="S40" i="26" s="1"/>
  <c r="V52" i="26"/>
  <c r="T25" i="26"/>
  <c r="S25" i="26" s="1"/>
  <c r="T36" i="25"/>
  <c r="S36" i="25" s="1"/>
  <c r="V53" i="25"/>
  <c r="V54" i="25"/>
  <c r="T57" i="25"/>
  <c r="S57" i="25" s="1"/>
  <c r="T21" i="25"/>
  <c r="S21" i="25" s="1"/>
  <c r="U45" i="25"/>
  <c r="T56" i="25"/>
  <c r="S56" i="25" s="1"/>
  <c r="T20" i="25"/>
  <c r="S20" i="25" s="1"/>
  <c r="U21" i="25"/>
  <c r="T44" i="25"/>
  <c r="S44" i="25" s="1"/>
  <c r="G62" i="25"/>
  <c r="V57" i="25"/>
  <c r="U47" i="25"/>
  <c r="U38" i="25"/>
  <c r="T54" i="25"/>
  <c r="S54" i="25" s="1"/>
  <c r="V44" i="25"/>
  <c r="T61" i="25"/>
  <c r="S61" i="25" s="1"/>
  <c r="T42" i="25"/>
  <c r="S42" i="25" s="1"/>
  <c r="V36" i="25"/>
  <c r="T48" i="25"/>
  <c r="S48" i="25" s="1"/>
  <c r="T35" i="25"/>
  <c r="S35" i="25" s="1"/>
  <c r="R62" i="25"/>
  <c r="U18" i="25"/>
  <c r="H62" i="25"/>
  <c r="P2" i="25" s="1"/>
  <c r="V45" i="25"/>
  <c r="U35" i="25"/>
  <c r="T18" i="25"/>
  <c r="H61" i="24"/>
  <c r="P2" i="24" s="1"/>
  <c r="G61" i="24"/>
  <c r="T18" i="24"/>
  <c r="U29" i="24"/>
  <c r="T29" i="24"/>
  <c r="S29" i="24" s="1"/>
  <c r="U23" i="24"/>
  <c r="T23" i="24"/>
  <c r="S23" i="24" s="1"/>
  <c r="R61" i="24"/>
  <c r="V18" i="24"/>
  <c r="U18" i="24"/>
  <c r="V45" i="24"/>
  <c r="U43" i="24"/>
  <c r="T55" i="24"/>
  <c r="S55" i="24" s="1"/>
  <c r="T52" i="24"/>
  <c r="S52" i="24" s="1"/>
  <c r="U55" i="24"/>
  <c r="U21" i="24"/>
  <c r="T40" i="24"/>
  <c r="S40" i="24" s="1"/>
  <c r="T37" i="24"/>
  <c r="S37" i="24" s="1"/>
  <c r="T49" i="24"/>
  <c r="S49" i="24" s="1"/>
  <c r="T38" i="24"/>
  <c r="S38" i="24" s="1"/>
  <c r="T32" i="24"/>
  <c r="S32" i="24" s="1"/>
  <c r="U40" i="24"/>
  <c r="V51" i="24"/>
  <c r="V34" i="24"/>
  <c r="T51" i="24"/>
  <c r="S51" i="24" s="1"/>
  <c r="V48" i="24"/>
  <c r="T20" i="24"/>
  <c r="S20" i="24" s="1"/>
  <c r="U42" i="24"/>
  <c r="T42" i="24"/>
  <c r="S42" i="24" s="1"/>
  <c r="U31" i="24"/>
  <c r="T31" i="24"/>
  <c r="S31" i="24" s="1"/>
  <c r="U26" i="24"/>
  <c r="T26" i="24"/>
  <c r="S26" i="24" s="1"/>
  <c r="V23" i="24"/>
  <c r="V37" i="24"/>
  <c r="V20" i="24"/>
  <c r="T34" i="24"/>
  <c r="S34" i="24" s="1"/>
  <c r="T35" i="24"/>
  <c r="S35" i="24" s="1"/>
  <c r="V54" i="24"/>
  <c r="V29" i="24"/>
  <c r="T54" i="24"/>
  <c r="S54" i="24" s="1"/>
  <c r="V31" i="24"/>
  <c r="T46" i="24"/>
  <c r="S46" i="24" s="1"/>
  <c r="U20" i="23"/>
  <c r="T20" i="23"/>
  <c r="S20" i="23" s="1"/>
  <c r="V33" i="23"/>
  <c r="U42" i="23"/>
  <c r="T29" i="23"/>
  <c r="S29" i="23" s="1"/>
  <c r="H61" i="23"/>
  <c r="P2" i="23" s="1"/>
  <c r="V51" i="23"/>
  <c r="T18" i="23"/>
  <c r="L61" i="23"/>
  <c r="P3" i="23" s="1"/>
  <c r="T38" i="23"/>
  <c r="S38" i="23" s="1"/>
  <c r="U48" i="23"/>
  <c r="V60" i="23"/>
  <c r="R61" i="23"/>
  <c r="V18" i="23"/>
  <c r="U30" i="23"/>
  <c r="V29" i="23"/>
  <c r="U36" i="23"/>
  <c r="T24" i="23"/>
  <c r="S24" i="23" s="1"/>
  <c r="V41" i="23"/>
  <c r="T42" i="23"/>
  <c r="S42" i="23" s="1"/>
  <c r="V20" i="23"/>
  <c r="V47" i="23"/>
  <c r="T56" i="23"/>
  <c r="S56" i="23" s="1"/>
  <c r="T47" i="23"/>
  <c r="S47" i="23" s="1"/>
  <c r="U35" i="23"/>
  <c r="T35" i="23"/>
  <c r="S35" i="23" s="1"/>
  <c r="T60" i="23"/>
  <c r="S60" i="23" s="1"/>
  <c r="V39" i="23"/>
  <c r="T30" i="23"/>
  <c r="S30" i="23" s="1"/>
  <c r="V53" i="23"/>
  <c r="V38" i="23"/>
  <c r="T51" i="23"/>
  <c r="S51" i="23" s="1"/>
  <c r="T39" i="23"/>
  <c r="S39" i="23" s="1"/>
  <c r="T50" i="23"/>
  <c r="S50" i="23" s="1"/>
  <c r="V24" i="23"/>
  <c r="V56" i="23"/>
  <c r="T33" i="23"/>
  <c r="S33" i="23" s="1"/>
  <c r="T53" i="23"/>
  <c r="S53" i="23" s="1"/>
  <c r="T26" i="23"/>
  <c r="S26" i="23" s="1"/>
  <c r="T30" i="22"/>
  <c r="S30" i="22" s="1"/>
  <c r="U56" i="22"/>
  <c r="V57" i="22"/>
  <c r="U47" i="22"/>
  <c r="T48" i="22"/>
  <c r="S48" i="22" s="1"/>
  <c r="V22" i="22"/>
  <c r="V48" i="22"/>
  <c r="V28" i="22"/>
  <c r="V49" i="22"/>
  <c r="V47" i="22"/>
  <c r="T28" i="22"/>
  <c r="S28" i="22" s="1"/>
  <c r="T54" i="22"/>
  <c r="S54" i="22" s="1"/>
  <c r="T56" i="22"/>
  <c r="S56" i="22" s="1"/>
  <c r="T43" i="22"/>
  <c r="S43" i="22" s="1"/>
  <c r="U29" i="22"/>
  <c r="V53" i="22"/>
  <c r="T20" i="22"/>
  <c r="S20" i="22" s="1"/>
  <c r="L29" i="22"/>
  <c r="T29" i="22" s="1"/>
  <c r="S29" i="22" s="1"/>
  <c r="H61" i="22"/>
  <c r="P2" i="22" s="1"/>
  <c r="V46" i="22"/>
  <c r="T37" i="22"/>
  <c r="S37" i="22" s="1"/>
  <c r="V21" i="22"/>
  <c r="T39" i="22"/>
  <c r="S39" i="22" s="1"/>
  <c r="V37" i="22"/>
  <c r="T22" i="22"/>
  <c r="S22" i="22" s="1"/>
  <c r="V25" i="22"/>
  <c r="G61" i="22"/>
  <c r="T25" i="22"/>
  <c r="S25" i="22" s="1"/>
  <c r="V19" i="22"/>
  <c r="V26" i="22"/>
  <c r="T46" i="22"/>
  <c r="S46" i="22" s="1"/>
  <c r="V33" i="22"/>
  <c r="V39" i="22"/>
  <c r="T58" i="21"/>
  <c r="S58" i="21" s="1"/>
  <c r="V58" i="21"/>
  <c r="U55" i="21"/>
  <c r="U23" i="21"/>
  <c r="U52" i="21"/>
  <c r="T32" i="21"/>
  <c r="S32" i="21" s="1"/>
  <c r="T41" i="21"/>
  <c r="S41" i="21" s="1"/>
  <c r="T27" i="21"/>
  <c r="S27" i="21" s="1"/>
  <c r="T45" i="21"/>
  <c r="S45" i="21" s="1"/>
  <c r="T29" i="21"/>
  <c r="S29" i="21" s="1"/>
  <c r="T52" i="21"/>
  <c r="S52" i="21" s="1"/>
  <c r="U25" i="21"/>
  <c r="U43" i="21"/>
  <c r="V25" i="21"/>
  <c r="T35" i="21"/>
  <c r="S35" i="21" s="1"/>
  <c r="V38" i="21"/>
  <c r="T55" i="21"/>
  <c r="S55" i="21" s="1"/>
  <c r="V23" i="21"/>
  <c r="V41" i="21"/>
  <c r="T38" i="21"/>
  <c r="S38" i="21" s="1"/>
  <c r="T46" i="21"/>
  <c r="S46" i="21" s="1"/>
  <c r="V33" i="21"/>
  <c r="U27" i="21"/>
  <c r="U51" i="21"/>
  <c r="U45" i="21"/>
  <c r="G71" i="21"/>
  <c r="V48" i="21"/>
  <c r="T48" i="21"/>
  <c r="S48" i="21" s="1"/>
  <c r="T33" i="21"/>
  <c r="S33" i="21" s="1"/>
  <c r="U27" i="20"/>
  <c r="T23" i="20"/>
  <c r="S23" i="20" s="1"/>
  <c r="V38" i="20"/>
  <c r="T51" i="19"/>
  <c r="S51" i="19" s="1"/>
  <c r="V25" i="19"/>
  <c r="T19" i="19"/>
  <c r="S19" i="19" s="1"/>
  <c r="T29" i="19"/>
  <c r="S29" i="19" s="1"/>
  <c r="V31" i="19"/>
  <c r="T32" i="19"/>
  <c r="S32" i="19" s="1"/>
  <c r="T30" i="19"/>
  <c r="S30" i="19" s="1"/>
  <c r="V58" i="19"/>
  <c r="T47" i="19"/>
  <c r="S47" i="19" s="1"/>
  <c r="U50" i="19"/>
  <c r="V38" i="19"/>
  <c r="V29" i="19"/>
  <c r="T40" i="19"/>
  <c r="S40" i="19" s="1"/>
  <c r="T58" i="19"/>
  <c r="S58" i="19" s="1"/>
  <c r="T49" i="19"/>
  <c r="S49" i="19" s="1"/>
  <c r="G71" i="19"/>
  <c r="T38" i="19"/>
  <c r="S38" i="19" s="1"/>
  <c r="V46" i="19"/>
  <c r="T41" i="19"/>
  <c r="S41" i="19" s="1"/>
  <c r="U49" i="19"/>
  <c r="U40" i="19"/>
  <c r="T21" i="19"/>
  <c r="S21" i="19" s="1"/>
  <c r="U41" i="19"/>
  <c r="V50" i="19"/>
  <c r="T46" i="19"/>
  <c r="S46" i="19" s="1"/>
  <c r="U47" i="19"/>
  <c r="U23" i="19"/>
  <c r="T56" i="19"/>
  <c r="S56" i="19" s="1"/>
  <c r="T31" i="19"/>
  <c r="S31" i="19" s="1"/>
  <c r="T41" i="18"/>
  <c r="S41" i="18" s="1"/>
  <c r="T27" i="18"/>
  <c r="S27" i="18" s="1"/>
  <c r="G61" i="18"/>
  <c r="T38" i="18"/>
  <c r="S38" i="18" s="1"/>
  <c r="V38" i="18"/>
  <c r="G61" i="17"/>
  <c r="T44" i="17"/>
  <c r="S44" i="17" s="1"/>
  <c r="T21" i="17"/>
  <c r="S21" i="17" s="1"/>
  <c r="V44" i="17"/>
  <c r="K61" i="17"/>
  <c r="V38" i="17"/>
  <c r="V41" i="17"/>
  <c r="V23" i="17"/>
  <c r="U24" i="16"/>
  <c r="V30" i="16"/>
  <c r="V20" i="16"/>
  <c r="G61" i="16"/>
  <c r="U36" i="16"/>
  <c r="K61" i="15"/>
  <c r="V41" i="15"/>
  <c r="T45" i="15"/>
  <c r="S45" i="15" s="1"/>
  <c r="T39" i="15"/>
  <c r="S39" i="15" s="1"/>
  <c r="H61" i="15"/>
  <c r="P2" i="15" s="1"/>
  <c r="V33" i="15"/>
  <c r="T36" i="15"/>
  <c r="S36" i="15" s="1"/>
  <c r="V39" i="15"/>
  <c r="V50" i="15"/>
  <c r="U27" i="15"/>
  <c r="T30" i="14"/>
  <c r="S30" i="14" s="1"/>
  <c r="L26" i="14"/>
  <c r="T26" i="14" s="1"/>
  <c r="S26" i="14" s="1"/>
  <c r="T34" i="14"/>
  <c r="S34" i="14" s="1"/>
  <c r="G61" i="14"/>
  <c r="V24" i="14"/>
  <c r="V30" i="14"/>
  <c r="U21" i="14"/>
  <c r="V22" i="14"/>
  <c r="V42" i="14"/>
  <c r="H61" i="14"/>
  <c r="P2" i="14" s="1"/>
  <c r="V19" i="14"/>
  <c r="V46" i="14"/>
  <c r="V51" i="22"/>
  <c r="U18" i="22"/>
  <c r="R61" i="22"/>
  <c r="T49" i="22"/>
  <c r="S49" i="22" s="1"/>
  <c r="T57" i="22"/>
  <c r="S57" i="22" s="1"/>
  <c r="T33" i="22"/>
  <c r="S33" i="22" s="1"/>
  <c r="V27" i="22"/>
  <c r="T27" i="22"/>
  <c r="S27" i="22" s="1"/>
  <c r="V58" i="22"/>
  <c r="V34" i="22"/>
  <c r="T51" i="22"/>
  <c r="S51" i="22" s="1"/>
  <c r="T26" i="22"/>
  <c r="S26" i="22" s="1"/>
  <c r="T21" i="22"/>
  <c r="S21" i="22" s="1"/>
  <c r="V42" i="22"/>
  <c r="T52" i="22"/>
  <c r="S52" i="22" s="1"/>
  <c r="T24" i="22"/>
  <c r="S24" i="22" s="1"/>
  <c r="V45" i="22"/>
  <c r="T45" i="22"/>
  <c r="S45" i="22" s="1"/>
  <c r="V54" i="22"/>
  <c r="V30" i="22"/>
  <c r="T19" i="22"/>
  <c r="S19" i="22" s="1"/>
  <c r="V40" i="22"/>
  <c r="T40" i="22"/>
  <c r="S40" i="22" s="1"/>
  <c r="V36" i="22"/>
  <c r="T36" i="22"/>
  <c r="S36" i="22" s="1"/>
  <c r="T18" i="22"/>
  <c r="T58" i="22"/>
  <c r="S58" i="22" s="1"/>
  <c r="T34" i="22"/>
  <c r="S34" i="22" s="1"/>
  <c r="V52" i="22"/>
  <c r="V24" i="22"/>
  <c r="T42" i="22"/>
  <c r="S42" i="22" s="1"/>
  <c r="V55" i="22"/>
  <c r="V31" i="22"/>
  <c r="T55" i="22"/>
  <c r="S55" i="22" s="1"/>
  <c r="T31" i="22"/>
  <c r="S31" i="22" s="1"/>
  <c r="V43" i="22"/>
  <c r="U47" i="21"/>
  <c r="T47" i="21"/>
  <c r="S47" i="21" s="1"/>
  <c r="U30" i="21"/>
  <c r="V42" i="21"/>
  <c r="T21" i="21"/>
  <c r="S21" i="21" s="1"/>
  <c r="U57" i="21"/>
  <c r="T30" i="21"/>
  <c r="S30" i="21" s="1"/>
  <c r="U44" i="21"/>
  <c r="T44" i="21"/>
  <c r="S44" i="21" s="1"/>
  <c r="T36" i="21"/>
  <c r="S36" i="21" s="1"/>
  <c r="T18" i="21"/>
  <c r="L71" i="21"/>
  <c r="P3" i="21" s="1"/>
  <c r="T24" i="21"/>
  <c r="S24" i="21" s="1"/>
  <c r="U36" i="21"/>
  <c r="V54" i="21"/>
  <c r="T54" i="21"/>
  <c r="S54" i="21" s="1"/>
  <c r="T42" i="21"/>
  <c r="S42" i="21" s="1"/>
  <c r="U21" i="21"/>
  <c r="U56" i="21"/>
  <c r="T56" i="21"/>
  <c r="S56" i="21" s="1"/>
  <c r="T39" i="21"/>
  <c r="S39" i="21" s="1"/>
  <c r="H71" i="21"/>
  <c r="P2" i="21" s="1"/>
  <c r="U53" i="21"/>
  <c r="T53" i="21"/>
  <c r="S53" i="21" s="1"/>
  <c r="R71" i="21"/>
  <c r="V18" i="21"/>
  <c r="U39" i="21"/>
  <c r="U24" i="21"/>
  <c r="U50" i="21"/>
  <c r="T50" i="21"/>
  <c r="S50" i="21" s="1"/>
  <c r="V47" i="21"/>
  <c r="T57" i="21"/>
  <c r="S57" i="21" s="1"/>
  <c r="T51" i="21"/>
  <c r="S51" i="21" s="1"/>
  <c r="V42" i="20"/>
  <c r="T24" i="20"/>
  <c r="S24" i="20" s="1"/>
  <c r="T60" i="20"/>
  <c r="S60" i="20" s="1"/>
  <c r="V20" i="20"/>
  <c r="T38" i="20"/>
  <c r="S38" i="20" s="1"/>
  <c r="H61" i="20"/>
  <c r="P2" i="20" s="1"/>
  <c r="V39" i="20"/>
  <c r="T54" i="20"/>
  <c r="S54" i="20" s="1"/>
  <c r="T36" i="20"/>
  <c r="S36" i="20" s="1"/>
  <c r="T18" i="20"/>
  <c r="L61" i="20"/>
  <c r="P3" i="20" s="1"/>
  <c r="V47" i="20"/>
  <c r="U36" i="20"/>
  <c r="V26" i="20"/>
  <c r="U26" i="20"/>
  <c r="V24" i="20"/>
  <c r="T51" i="20"/>
  <c r="S51" i="20" s="1"/>
  <c r="T33" i="20"/>
  <c r="S33" i="20" s="1"/>
  <c r="T53" i="20"/>
  <c r="S53" i="20" s="1"/>
  <c r="T35" i="20"/>
  <c r="S35" i="20" s="1"/>
  <c r="V41" i="20"/>
  <c r="V56" i="20"/>
  <c r="T50" i="20"/>
  <c r="S50" i="20" s="1"/>
  <c r="T32" i="20"/>
  <c r="S32" i="20" s="1"/>
  <c r="T42" i="20"/>
  <c r="S42" i="20" s="1"/>
  <c r="G61" i="20"/>
  <c r="R61" i="20"/>
  <c r="V33" i="20"/>
  <c r="T48" i="20"/>
  <c r="S48" i="20" s="1"/>
  <c r="T30" i="20"/>
  <c r="S30" i="20" s="1"/>
  <c r="U51" i="20"/>
  <c r="V35" i="20"/>
  <c r="V50" i="20"/>
  <c r="T20" i="20"/>
  <c r="S20" i="20" s="1"/>
  <c r="U60" i="20"/>
  <c r="T56" i="20"/>
  <c r="S56" i="20" s="1"/>
  <c r="T57" i="20"/>
  <c r="S57" i="20" s="1"/>
  <c r="T45" i="20"/>
  <c r="S45" i="20" s="1"/>
  <c r="T27" i="20"/>
  <c r="S27" i="20" s="1"/>
  <c r="T47" i="20"/>
  <c r="S47" i="20" s="1"/>
  <c r="T29" i="20"/>
  <c r="S29" i="20" s="1"/>
  <c r="V29" i="20"/>
  <c r="V44" i="20"/>
  <c r="U18" i="20"/>
  <c r="T44" i="20"/>
  <c r="S44" i="20" s="1"/>
  <c r="V23" i="20"/>
  <c r="V56" i="19"/>
  <c r="T23" i="19"/>
  <c r="S23" i="19" s="1"/>
  <c r="V54" i="19"/>
  <c r="V45" i="19"/>
  <c r="V36" i="19"/>
  <c r="V27" i="19"/>
  <c r="V18" i="19"/>
  <c r="T36" i="19"/>
  <c r="S36" i="19" s="1"/>
  <c r="U48" i="19"/>
  <c r="T35" i="19"/>
  <c r="S35" i="19" s="1"/>
  <c r="T27" i="19"/>
  <c r="S27" i="19" s="1"/>
  <c r="V44" i="19"/>
  <c r="V41" i="19"/>
  <c r="U53" i="19"/>
  <c r="U44" i="19"/>
  <c r="U35" i="19"/>
  <c r="T18" i="19"/>
  <c r="U33" i="19"/>
  <c r="T24" i="19"/>
  <c r="S24" i="19" s="1"/>
  <c r="T42" i="19"/>
  <c r="S42" i="19" s="1"/>
  <c r="V26" i="19"/>
  <c r="U26" i="19"/>
  <c r="H71" i="19"/>
  <c r="P2" i="19" s="1"/>
  <c r="R71" i="19"/>
  <c r="K71" i="19"/>
  <c r="V51" i="19"/>
  <c r="V42" i="19"/>
  <c r="V24" i="19"/>
  <c r="T54" i="19"/>
  <c r="S54" i="19" s="1"/>
  <c r="T20" i="19"/>
  <c r="S20" i="19" s="1"/>
  <c r="T53" i="19"/>
  <c r="S53" i="19" s="1"/>
  <c r="T45" i="19"/>
  <c r="S45" i="19" s="1"/>
  <c r="T33" i="19"/>
  <c r="S33" i="19" s="1"/>
  <c r="U51" i="19"/>
  <c r="V20" i="19"/>
  <c r="U32" i="19"/>
  <c r="V57" i="19"/>
  <c r="V48" i="19"/>
  <c r="V30" i="19"/>
  <c r="L26" i="19"/>
  <c r="T26" i="19" s="1"/>
  <c r="S26" i="19" s="1"/>
  <c r="V48" i="18"/>
  <c r="V24" i="18"/>
  <c r="U35" i="18"/>
  <c r="V39" i="18"/>
  <c r="T47" i="18"/>
  <c r="S47" i="18" s="1"/>
  <c r="T29" i="18"/>
  <c r="S29" i="18" s="1"/>
  <c r="T57" i="18"/>
  <c r="S57" i="18" s="1"/>
  <c r="T39" i="18"/>
  <c r="S39" i="18" s="1"/>
  <c r="T23" i="18"/>
  <c r="S23" i="18" s="1"/>
  <c r="U54" i="18"/>
  <c r="V44" i="18"/>
  <c r="T21" i="18"/>
  <c r="S21" i="18" s="1"/>
  <c r="V41" i="18"/>
  <c r="T48" i="18"/>
  <c r="S48" i="18" s="1"/>
  <c r="R61" i="18"/>
  <c r="V18" i="18"/>
  <c r="V45" i="18"/>
  <c r="U50" i="18"/>
  <c r="U41" i="18"/>
  <c r="U45" i="18"/>
  <c r="U27" i="18"/>
  <c r="V53" i="18"/>
  <c r="V35" i="18"/>
  <c r="T50" i="18"/>
  <c r="S50" i="18" s="1"/>
  <c r="T32" i="18"/>
  <c r="S32" i="18" s="1"/>
  <c r="T60" i="18"/>
  <c r="S60" i="18" s="1"/>
  <c r="T42" i="18"/>
  <c r="S42" i="18" s="1"/>
  <c r="U21" i="18"/>
  <c r="H61" i="18"/>
  <c r="P2" i="18" s="1"/>
  <c r="U32" i="18"/>
  <c r="U23" i="18"/>
  <c r="V26" i="18"/>
  <c r="U26" i="18"/>
  <c r="L26" i="18"/>
  <c r="T26" i="18" s="1"/>
  <c r="S26" i="18" s="1"/>
  <c r="V57" i="18"/>
  <c r="U47" i="18"/>
  <c r="K61" i="18"/>
  <c r="V20" i="18"/>
  <c r="T54" i="18"/>
  <c r="S54" i="18" s="1"/>
  <c r="U30" i="18"/>
  <c r="T30" i="18"/>
  <c r="S30" i="18" s="1"/>
  <c r="U20" i="18"/>
  <c r="T18" i="18"/>
  <c r="L61" i="18"/>
  <c r="P3" i="18" s="1"/>
  <c r="V18" i="17"/>
  <c r="T27" i="17"/>
  <c r="S27" i="17" s="1"/>
  <c r="T18" i="17"/>
  <c r="L61" i="17"/>
  <c r="P3" i="17" s="1"/>
  <c r="U24" i="17"/>
  <c r="U54" i="17"/>
  <c r="U36" i="17"/>
  <c r="T56" i="17"/>
  <c r="S56" i="17" s="1"/>
  <c r="V45" i="17"/>
  <c r="T45" i="17"/>
  <c r="S45" i="17" s="1"/>
  <c r="V42" i="17"/>
  <c r="V53" i="17"/>
  <c r="V35" i="17"/>
  <c r="T53" i="17"/>
  <c r="S53" i="17" s="1"/>
  <c r="V20" i="17"/>
  <c r="V50" i="17"/>
  <c r="V32" i="17"/>
  <c r="T50" i="17"/>
  <c r="S50" i="17" s="1"/>
  <c r="T42" i="17"/>
  <c r="S42" i="17" s="1"/>
  <c r="U51" i="17"/>
  <c r="U33" i="17"/>
  <c r="T47" i="17"/>
  <c r="S47" i="17" s="1"/>
  <c r="H61" i="17"/>
  <c r="P2" i="17" s="1"/>
  <c r="T36" i="17"/>
  <c r="S36" i="17" s="1"/>
  <c r="R61" i="17"/>
  <c r="V47" i="17"/>
  <c r="V29" i="17"/>
  <c r="T38" i="17"/>
  <c r="S38" i="17" s="1"/>
  <c r="T24" i="17"/>
  <c r="S24" i="17" s="1"/>
  <c r="V27" i="17"/>
  <c r="U26" i="17"/>
  <c r="V26" i="17"/>
  <c r="T60" i="17"/>
  <c r="S60" i="17" s="1"/>
  <c r="T33" i="17"/>
  <c r="S33" i="17" s="1"/>
  <c r="T35" i="17"/>
  <c r="S35" i="17" s="1"/>
  <c r="T20" i="17"/>
  <c r="S20" i="17" s="1"/>
  <c r="T32" i="17"/>
  <c r="S32" i="17" s="1"/>
  <c r="V48" i="16"/>
  <c r="H61" i="16"/>
  <c r="P2" i="16" s="1"/>
  <c r="R61" i="16"/>
  <c r="U23" i="16"/>
  <c r="T45" i="16"/>
  <c r="S45" i="16" s="1"/>
  <c r="U33" i="16"/>
  <c r="T54" i="16"/>
  <c r="S54" i="16" s="1"/>
  <c r="T21" i="16"/>
  <c r="S21" i="16" s="1"/>
  <c r="T57" i="16"/>
  <c r="S57" i="16" s="1"/>
  <c r="V27" i="16"/>
  <c r="L26" i="16"/>
  <c r="T26" i="16" s="1"/>
  <c r="S26" i="16" s="1"/>
  <c r="V26" i="16"/>
  <c r="U26" i="16"/>
  <c r="V23" i="16"/>
  <c r="U50" i="16"/>
  <c r="U41" i="16"/>
  <c r="U32" i="16"/>
  <c r="U45" i="16"/>
  <c r="T38" i="16"/>
  <c r="S38" i="16" s="1"/>
  <c r="V50" i="16"/>
  <c r="T41" i="16"/>
  <c r="S41" i="16" s="1"/>
  <c r="V53" i="16"/>
  <c r="V57" i="16"/>
  <c r="V33" i="16"/>
  <c r="T48" i="16"/>
  <c r="S48" i="16" s="1"/>
  <c r="T39" i="16"/>
  <c r="S39" i="16" s="1"/>
  <c r="V39" i="16"/>
  <c r="U27" i="16"/>
  <c r="U54" i="16"/>
  <c r="T32" i="16"/>
  <c r="S32" i="16" s="1"/>
  <c r="T18" i="16"/>
  <c r="V56" i="16"/>
  <c r="U18" i="16"/>
  <c r="T51" i="15"/>
  <c r="S51" i="15" s="1"/>
  <c r="U51" i="15"/>
  <c r="V44" i="15"/>
  <c r="V47" i="15"/>
  <c r="U60" i="15"/>
  <c r="U42" i="15"/>
  <c r="T18" i="15"/>
  <c r="L61" i="15"/>
  <c r="P3" i="15" s="1"/>
  <c r="P5" i="15" s="1"/>
  <c r="T48" i="15"/>
  <c r="S48" i="15" s="1"/>
  <c r="T42" i="15"/>
  <c r="S42" i="15" s="1"/>
  <c r="T47" i="15"/>
  <c r="S47" i="15" s="1"/>
  <c r="V38" i="15"/>
  <c r="T29" i="15"/>
  <c r="S29" i="15" s="1"/>
  <c r="T56" i="15"/>
  <c r="S56" i="15" s="1"/>
  <c r="T38" i="15"/>
  <c r="S38" i="15" s="1"/>
  <c r="U21" i="15"/>
  <c r="V30" i="15"/>
  <c r="V24" i="15"/>
  <c r="U20" i="15"/>
  <c r="T20" i="15"/>
  <c r="S20" i="15" s="1"/>
  <c r="T30" i="15"/>
  <c r="S30" i="15" s="1"/>
  <c r="T33" i="15"/>
  <c r="S33" i="15" s="1"/>
  <c r="T41" i="15"/>
  <c r="S41" i="15" s="1"/>
  <c r="V20" i="15"/>
  <c r="T24" i="15"/>
  <c r="S24" i="15" s="1"/>
  <c r="T50" i="15"/>
  <c r="S50" i="15" s="1"/>
  <c r="T32" i="15"/>
  <c r="S32" i="15" s="1"/>
  <c r="V35" i="15"/>
  <c r="U26" i="15"/>
  <c r="V26" i="15"/>
  <c r="G61" i="15"/>
  <c r="R61" i="15"/>
  <c r="V18" i="15"/>
  <c r="V56" i="15"/>
  <c r="V23" i="15"/>
  <c r="T27" i="15"/>
  <c r="S27" i="15" s="1"/>
  <c r="T23" i="15"/>
  <c r="S23" i="15" s="1"/>
  <c r="T42" i="14"/>
  <c r="S42" i="14" s="1"/>
  <c r="T39" i="14"/>
  <c r="S39" i="14" s="1"/>
  <c r="T58" i="14"/>
  <c r="S58" i="14" s="1"/>
  <c r="T31" i="14"/>
  <c r="S31" i="14" s="1"/>
  <c r="U45" i="14"/>
  <c r="V43" i="14"/>
  <c r="U33" i="14"/>
  <c r="T37" i="14"/>
  <c r="S37" i="14" s="1"/>
  <c r="T27" i="14"/>
  <c r="S27" i="14" s="1"/>
  <c r="V40" i="14"/>
  <c r="U39" i="14"/>
  <c r="T57" i="14"/>
  <c r="S57" i="14" s="1"/>
  <c r="T19" i="14"/>
  <c r="S19" i="14" s="1"/>
  <c r="V55" i="14"/>
  <c r="V28" i="14"/>
  <c r="U27" i="14"/>
  <c r="T33" i="14"/>
  <c r="S33" i="14" s="1"/>
  <c r="R61" i="14"/>
  <c r="V51" i="14"/>
  <c r="T49" i="14"/>
  <c r="S49" i="14" s="1"/>
  <c r="V31" i="14"/>
  <c r="V34" i="14"/>
  <c r="T52" i="14"/>
  <c r="S52" i="14" s="1"/>
  <c r="V58" i="14"/>
  <c r="T28" i="14"/>
  <c r="S28" i="14" s="1"/>
  <c r="T18" i="14"/>
  <c r="T24" i="14"/>
  <c r="S24" i="14" s="1"/>
  <c r="T43" i="14"/>
  <c r="S43" i="14" s="1"/>
  <c r="V49" i="14"/>
  <c r="V30" i="13"/>
  <c r="T30" i="13"/>
  <c r="S30" i="13" s="1"/>
  <c r="V39" i="13"/>
  <c r="R61" i="13"/>
  <c r="T57" i="13"/>
  <c r="S57" i="13" s="1"/>
  <c r="V27" i="13"/>
  <c r="V36" i="13"/>
  <c r="T18" i="13"/>
  <c r="L61" i="13"/>
  <c r="P3" i="13" s="1"/>
  <c r="T39" i="13"/>
  <c r="S39" i="13" s="1"/>
  <c r="V45" i="13"/>
  <c r="T45" i="13"/>
  <c r="S45" i="13" s="1"/>
  <c r="U54" i="13"/>
  <c r="V24" i="13"/>
  <c r="U18" i="13"/>
  <c r="H61" i="13"/>
  <c r="P2" i="13" s="1"/>
  <c r="V48" i="13"/>
  <c r="T48" i="13"/>
  <c r="S48" i="13" s="1"/>
  <c r="T27" i="13"/>
  <c r="S27" i="13" s="1"/>
  <c r="T42" i="13"/>
  <c r="S42" i="13" s="1"/>
  <c r="V21" i="13"/>
  <c r="T21" i="13"/>
  <c r="S21" i="13" s="1"/>
  <c r="G61" i="13"/>
  <c r="V18" i="13"/>
  <c r="V57" i="13"/>
  <c r="T36" i="13"/>
  <c r="S36" i="13" s="1"/>
  <c r="G61" i="11"/>
  <c r="T51" i="11"/>
  <c r="S51" i="11" s="1"/>
  <c r="U51" i="11"/>
  <c r="V30" i="11"/>
  <c r="V39" i="11"/>
  <c r="T21" i="11"/>
  <c r="S21" i="11" s="1"/>
  <c r="T20" i="12"/>
  <c r="S20" i="12" s="1"/>
  <c r="V29" i="12"/>
  <c r="V30" i="12"/>
  <c r="V51" i="12"/>
  <c r="V21" i="12"/>
  <c r="T47" i="12"/>
  <c r="S47" i="12" s="1"/>
  <c r="T48" i="12"/>
  <c r="S48" i="12" s="1"/>
  <c r="U33" i="12"/>
  <c r="T33" i="12"/>
  <c r="S33" i="12" s="1"/>
  <c r="T29" i="12"/>
  <c r="S29" i="12" s="1"/>
  <c r="T57" i="12"/>
  <c r="S57" i="12" s="1"/>
  <c r="T21" i="12"/>
  <c r="S21" i="12" s="1"/>
  <c r="G61" i="12"/>
  <c r="T45" i="12"/>
  <c r="S45" i="12" s="1"/>
  <c r="V57" i="12"/>
  <c r="V24" i="12"/>
  <c r="U27" i="12"/>
  <c r="V44" i="12"/>
  <c r="V53" i="12"/>
  <c r="T44" i="12"/>
  <c r="S44" i="12" s="1"/>
  <c r="T26" i="12"/>
  <c r="S26" i="12" s="1"/>
  <c r="R61" i="12"/>
  <c r="T54" i="12"/>
  <c r="S54" i="12" s="1"/>
  <c r="T39" i="12"/>
  <c r="S39" i="12" s="1"/>
  <c r="V39" i="12"/>
  <c r="T41" i="12"/>
  <c r="S41" i="12" s="1"/>
  <c r="V20" i="12"/>
  <c r="V38" i="12"/>
  <c r="V23" i="12"/>
  <c r="T30" i="12"/>
  <c r="S30" i="12" s="1"/>
  <c r="V48" i="12"/>
  <c r="T42" i="12"/>
  <c r="S42" i="12" s="1"/>
  <c r="T24" i="12"/>
  <c r="S24" i="12" s="1"/>
  <c r="V41" i="12"/>
  <c r="V32" i="12"/>
  <c r="T56" i="12"/>
  <c r="S56" i="12" s="1"/>
  <c r="T38" i="12"/>
  <c r="S38" i="12" s="1"/>
  <c r="V47" i="12"/>
  <c r="H61" i="12"/>
  <c r="P2" i="12" s="1"/>
  <c r="T18" i="12"/>
  <c r="T53" i="12"/>
  <c r="S53" i="12" s="1"/>
  <c r="T35" i="12"/>
  <c r="S35" i="12" s="1"/>
  <c r="V35" i="12"/>
  <c r="V26" i="12"/>
  <c r="T38" i="11"/>
  <c r="S38" i="11" s="1"/>
  <c r="U38" i="11"/>
  <c r="R61" i="11"/>
  <c r="T36" i="11"/>
  <c r="S36" i="11" s="1"/>
  <c r="U24" i="11"/>
  <c r="U54" i="11"/>
  <c r="U20" i="11"/>
  <c r="T20" i="11"/>
  <c r="S20" i="11" s="1"/>
  <c r="U18" i="11"/>
  <c r="H61" i="11"/>
  <c r="P2" i="11" s="1"/>
  <c r="T50" i="11"/>
  <c r="S50" i="11" s="1"/>
  <c r="U50" i="11"/>
  <c r="T41" i="11"/>
  <c r="S41" i="11" s="1"/>
  <c r="U41" i="11"/>
  <c r="U32" i="11"/>
  <c r="T32" i="11"/>
  <c r="S32" i="11" s="1"/>
  <c r="T23" i="11"/>
  <c r="S23" i="11" s="1"/>
  <c r="U23" i="11"/>
  <c r="V45" i="11"/>
  <c r="T39" i="11"/>
  <c r="S39" i="11" s="1"/>
  <c r="T30" i="11"/>
  <c r="S30" i="11" s="1"/>
  <c r="V36" i="11"/>
  <c r="U21" i="11"/>
  <c r="U48" i="11"/>
  <c r="V56" i="11"/>
  <c r="T47" i="11"/>
  <c r="S47" i="11" s="1"/>
  <c r="U47" i="11"/>
  <c r="T54" i="11"/>
  <c r="S54" i="11" s="1"/>
  <c r="V33" i="11"/>
  <c r="T57" i="11"/>
  <c r="S57" i="11" s="1"/>
  <c r="T48" i="11"/>
  <c r="S48" i="11" s="1"/>
  <c r="T27" i="11"/>
  <c r="S27" i="11" s="1"/>
  <c r="V18" i="11"/>
  <c r="T18" i="11"/>
  <c r="V38" i="11"/>
  <c r="V50" i="11"/>
  <c r="U29" i="11"/>
  <c r="T29" i="11"/>
  <c r="S29" i="11" s="1"/>
  <c r="U27" i="11"/>
  <c r="T45" i="11"/>
  <c r="S45" i="11" s="1"/>
  <c r="U53" i="11"/>
  <c r="T53" i="11"/>
  <c r="S53" i="11" s="1"/>
  <c r="U44" i="11"/>
  <c r="T44" i="11"/>
  <c r="S44" i="11" s="1"/>
  <c r="T35" i="11"/>
  <c r="S35" i="11" s="1"/>
  <c r="U35" i="11"/>
  <c r="L26" i="11"/>
  <c r="T26" i="11" s="1"/>
  <c r="S26" i="11" s="1"/>
  <c r="V26" i="11"/>
  <c r="U26" i="11"/>
  <c r="U42" i="11"/>
  <c r="V42" i="11"/>
  <c r="L42" i="11"/>
  <c r="T42" i="11" s="1"/>
  <c r="S42" i="11" s="1"/>
  <c r="T33" i="11"/>
  <c r="S33" i="11" s="1"/>
  <c r="V53" i="11"/>
  <c r="T56" i="11"/>
  <c r="S56" i="11" s="1"/>
  <c r="U25" i="10"/>
  <c r="T25" i="10"/>
  <c r="S25" i="10" s="1"/>
  <c r="T34" i="10"/>
  <c r="S34" i="10" s="1"/>
  <c r="V48" i="10"/>
  <c r="U34" i="10"/>
  <c r="T36" i="10"/>
  <c r="S36" i="10" s="1"/>
  <c r="T35" i="10"/>
  <c r="S35" i="10" s="1"/>
  <c r="U52" i="10"/>
  <c r="T43" i="10"/>
  <c r="S43" i="10" s="1"/>
  <c r="T40" i="10"/>
  <c r="S40" i="10" s="1"/>
  <c r="T51" i="10"/>
  <c r="S51" i="10" s="1"/>
  <c r="U40" i="10"/>
  <c r="U51" i="10"/>
  <c r="U36" i="10"/>
  <c r="V43" i="10"/>
  <c r="V27" i="10"/>
  <c r="V34" i="10"/>
  <c r="V26" i="10"/>
  <c r="U26" i="10"/>
  <c r="T30" i="10"/>
  <c r="S30" i="10" s="1"/>
  <c r="T29" i="10"/>
  <c r="S29" i="10" s="1"/>
  <c r="U29" i="10"/>
  <c r="T47" i="10"/>
  <c r="S47" i="10" s="1"/>
  <c r="U47" i="10"/>
  <c r="U27" i="10"/>
  <c r="H61" i="10"/>
  <c r="P2" i="10" s="1"/>
  <c r="T49" i="10"/>
  <c r="S49" i="10" s="1"/>
  <c r="V52" i="10"/>
  <c r="U20" i="10"/>
  <c r="T32" i="10"/>
  <c r="S32" i="10" s="1"/>
  <c r="U32" i="10"/>
  <c r="U50" i="10"/>
  <c r="T50" i="10"/>
  <c r="S50" i="10" s="1"/>
  <c r="T33" i="10"/>
  <c r="S33" i="10" s="1"/>
  <c r="V44" i="10"/>
  <c r="U42" i="10"/>
  <c r="L42" i="10"/>
  <c r="T42" i="10" s="1"/>
  <c r="S42" i="10" s="1"/>
  <c r="V42" i="10"/>
  <c r="L26" i="10"/>
  <c r="T26" i="10" s="1"/>
  <c r="S26" i="10" s="1"/>
  <c r="U33" i="10"/>
  <c r="V49" i="10"/>
  <c r="K61" i="10"/>
  <c r="R61" i="10"/>
  <c r="U39" i="10"/>
  <c r="U30" i="10"/>
  <c r="T38" i="10"/>
  <c r="S38" i="10" s="1"/>
  <c r="U38" i="10"/>
  <c r="T56" i="10"/>
  <c r="S56" i="10" s="1"/>
  <c r="U56" i="10"/>
  <c r="T20" i="10"/>
  <c r="V32" i="10"/>
  <c r="T39" i="10"/>
  <c r="S39" i="10" s="1"/>
  <c r="T54" i="10"/>
  <c r="S54" i="10" s="1"/>
  <c r="T23" i="10"/>
  <c r="S23" i="10" s="1"/>
  <c r="U23" i="10"/>
  <c r="T41" i="10"/>
  <c r="S41" i="10" s="1"/>
  <c r="U41" i="10"/>
  <c r="T59" i="10"/>
  <c r="S59" i="10" s="1"/>
  <c r="U59" i="10"/>
  <c r="T44" i="10"/>
  <c r="S44" i="10" s="1"/>
  <c r="T53" i="10"/>
  <c r="S53" i="10" s="1"/>
  <c r="T37" i="9"/>
  <c r="S37" i="9" s="1"/>
  <c r="T22" i="9"/>
  <c r="S22" i="9" s="1"/>
  <c r="T25" i="9"/>
  <c r="S25" i="9" s="1"/>
  <c r="U19" i="9"/>
  <c r="T39" i="9"/>
  <c r="S39" i="9" s="1"/>
  <c r="U24" i="9"/>
  <c r="U33" i="9"/>
  <c r="V34" i="9"/>
  <c r="V25" i="9"/>
  <c r="T44" i="9"/>
  <c r="S44" i="9" s="1"/>
  <c r="U34" i="9"/>
  <c r="U25" i="9"/>
  <c r="U27" i="9"/>
  <c r="T36" i="9"/>
  <c r="S36" i="9" s="1"/>
  <c r="U60" i="9"/>
  <c r="U42" i="9"/>
  <c r="L42" i="9"/>
  <c r="T42" i="9" s="1"/>
  <c r="S42" i="9" s="1"/>
  <c r="V42" i="9"/>
  <c r="T38" i="9"/>
  <c r="S38" i="9" s="1"/>
  <c r="U38" i="9"/>
  <c r="T56" i="9"/>
  <c r="S56" i="9" s="1"/>
  <c r="U56" i="9"/>
  <c r="T52" i="9"/>
  <c r="S52" i="9" s="1"/>
  <c r="T43" i="9"/>
  <c r="S43" i="9" s="1"/>
  <c r="U45" i="9"/>
  <c r="V56" i="9"/>
  <c r="V38" i="9"/>
  <c r="T41" i="9"/>
  <c r="S41" i="9" s="1"/>
  <c r="U41" i="9"/>
  <c r="T59" i="9"/>
  <c r="S59" i="9" s="1"/>
  <c r="U59" i="9"/>
  <c r="T57" i="9"/>
  <c r="S57" i="9" s="1"/>
  <c r="T30" i="9"/>
  <c r="S30" i="9" s="1"/>
  <c r="H61" i="9"/>
  <c r="P2" i="9" s="1"/>
  <c r="T54" i="9"/>
  <c r="S54" i="9" s="1"/>
  <c r="T24" i="9"/>
  <c r="S24" i="9" s="1"/>
  <c r="V41" i="9"/>
  <c r="U23" i="9"/>
  <c r="V27" i="9"/>
  <c r="V53" i="9"/>
  <c r="V35" i="9"/>
  <c r="K61" i="9"/>
  <c r="U37" i="9"/>
  <c r="V37" i="9"/>
  <c r="V26" i="9"/>
  <c r="U26" i="9"/>
  <c r="V52" i="9"/>
  <c r="T18" i="9"/>
  <c r="U48" i="9"/>
  <c r="U39" i="9"/>
  <c r="U30" i="9"/>
  <c r="U36" i="9"/>
  <c r="U20" i="9"/>
  <c r="G61" i="9"/>
  <c r="T29" i="9"/>
  <c r="S29" i="9" s="1"/>
  <c r="U29" i="9"/>
  <c r="R61" i="9"/>
  <c r="U54" i="9"/>
  <c r="T35" i="9"/>
  <c r="S35" i="9" s="1"/>
  <c r="T47" i="9"/>
  <c r="S47" i="9" s="1"/>
  <c r="U47" i="9"/>
  <c r="T45" i="9"/>
  <c r="S45" i="9" s="1"/>
  <c r="T60" i="9"/>
  <c r="S60" i="9" s="1"/>
  <c r="T32" i="9"/>
  <c r="S32" i="9" s="1"/>
  <c r="U32" i="9"/>
  <c r="U50" i="9"/>
  <c r="T50" i="9"/>
  <c r="S50" i="9" s="1"/>
  <c r="V50" i="9"/>
  <c r="T53" i="9"/>
  <c r="S53" i="9" s="1"/>
  <c r="V26" i="8"/>
  <c r="H61" i="8"/>
  <c r="P2" i="8" s="1"/>
  <c r="T54" i="8"/>
  <c r="S54" i="8" s="1"/>
  <c r="U54" i="8"/>
  <c r="U18" i="8"/>
  <c r="R61" i="8"/>
  <c r="V42" i="8"/>
  <c r="U42" i="8"/>
  <c r="T24" i="8"/>
  <c r="S24" i="8" s="1"/>
  <c r="U24" i="8"/>
  <c r="V54" i="8"/>
  <c r="U57" i="8"/>
  <c r="T57" i="8"/>
  <c r="S57" i="8" s="1"/>
  <c r="T30" i="8"/>
  <c r="S30" i="8" s="1"/>
  <c r="U30" i="8"/>
  <c r="V24" i="8"/>
  <c r="V21" i="8"/>
  <c r="K61" i="8"/>
  <c r="T36" i="8"/>
  <c r="S36" i="8" s="1"/>
  <c r="V36" i="8"/>
  <c r="T51" i="8"/>
  <c r="S51" i="8" s="1"/>
  <c r="U51" i="8"/>
  <c r="T33" i="8"/>
  <c r="S33" i="8" s="1"/>
  <c r="U33" i="8"/>
  <c r="V45" i="8"/>
  <c r="L42" i="8"/>
  <c r="T42" i="8" s="1"/>
  <c r="S42" i="8" s="1"/>
  <c r="T45" i="8"/>
  <c r="S45" i="8" s="1"/>
  <c r="T48" i="8"/>
  <c r="S48" i="8" s="1"/>
  <c r="U48" i="8"/>
  <c r="V18" i="8"/>
  <c r="G61" i="8"/>
  <c r="T27" i="8"/>
  <c r="S27" i="8" s="1"/>
  <c r="U27" i="8"/>
  <c r="T18" i="8"/>
  <c r="V55" i="7"/>
  <c r="V41" i="7"/>
  <c r="U54" i="7"/>
  <c r="T51" i="7"/>
  <c r="S51" i="7" s="1"/>
  <c r="U47" i="7"/>
  <c r="V58" i="7"/>
  <c r="T36" i="7"/>
  <c r="S36" i="7" s="1"/>
  <c r="T33" i="7"/>
  <c r="S33" i="7" s="1"/>
  <c r="T24" i="7"/>
  <c r="S24" i="7" s="1"/>
  <c r="V31" i="7"/>
  <c r="H61" i="7"/>
  <c r="P2" i="7" s="1"/>
  <c r="U50" i="7"/>
  <c r="G61" i="7"/>
  <c r="U53" i="7"/>
  <c r="U38" i="7"/>
  <c r="V39" i="7"/>
  <c r="V33" i="7"/>
  <c r="V27" i="7"/>
  <c r="V21" i="7"/>
  <c r="V52" i="7"/>
  <c r="T34" i="7"/>
  <c r="S34" i="7" s="1"/>
  <c r="U24" i="7"/>
  <c r="T52" i="7"/>
  <c r="S52" i="7" s="1"/>
  <c r="V19" i="7"/>
  <c r="V56" i="7"/>
  <c r="T35" i="7"/>
  <c r="S35" i="7" s="1"/>
  <c r="U48" i="7"/>
  <c r="V34" i="7"/>
  <c r="T49" i="7"/>
  <c r="S49" i="7" s="1"/>
  <c r="U27" i="7"/>
  <c r="T22" i="7"/>
  <c r="S22" i="7" s="1"/>
  <c r="R61" i="7"/>
  <c r="T45" i="7"/>
  <c r="S45" i="7" s="1"/>
  <c r="V57" i="7"/>
  <c r="V51" i="7"/>
  <c r="V45" i="7"/>
  <c r="V50" i="7"/>
  <c r="T30" i="7"/>
  <c r="S30" i="7" s="1"/>
  <c r="T47" i="7"/>
  <c r="S47" i="7" s="1"/>
  <c r="V53" i="7"/>
  <c r="V44" i="7"/>
  <c r="U21" i="7"/>
  <c r="T44" i="7"/>
  <c r="S44" i="7" s="1"/>
  <c r="V22" i="7"/>
  <c r="T55" i="7"/>
  <c r="S55" i="7" s="1"/>
  <c r="U35" i="7"/>
  <c r="T18" i="7"/>
  <c r="T25" i="7"/>
  <c r="S25" i="7" s="1"/>
  <c r="T46" i="7"/>
  <c r="S46" i="7" s="1"/>
  <c r="T43" i="7"/>
  <c r="S43" i="7" s="1"/>
  <c r="T41" i="7"/>
  <c r="S41" i="7" s="1"/>
  <c r="V49" i="7"/>
  <c r="T28" i="7"/>
  <c r="S28" i="7" s="1"/>
  <c r="T37" i="7"/>
  <c r="S37" i="7" s="1"/>
  <c r="T60" i="7"/>
  <c r="S60" i="7" s="1"/>
  <c r="U39" i="7"/>
  <c r="U18" i="7"/>
  <c r="U30" i="7"/>
  <c r="U42" i="7"/>
  <c r="V42" i="7"/>
  <c r="K61" i="7"/>
  <c r="V36" i="7"/>
  <c r="V24" i="7"/>
  <c r="V18" i="7"/>
  <c r="V43" i="7"/>
  <c r="V40" i="7"/>
  <c r="T31" i="7"/>
  <c r="S31" i="7" s="1"/>
  <c r="T58" i="7"/>
  <c r="S58" i="7" s="1"/>
  <c r="V37" i="7"/>
  <c r="U57" i="7"/>
  <c r="V25" i="7"/>
  <c r="V28" i="7"/>
  <c r="T40" i="7"/>
  <c r="S40" i="7" s="1"/>
  <c r="U56" i="7"/>
  <c r="T48" i="7"/>
  <c r="S48" i="7" s="1"/>
  <c r="V60" i="7"/>
  <c r="T38" i="7"/>
  <c r="S38" i="7" s="1"/>
  <c r="L42" i="7"/>
  <c r="T42" i="7" s="1"/>
  <c r="S42" i="7" s="1"/>
  <c r="T19" i="7"/>
  <c r="S19" i="7" s="1"/>
  <c r="V46" i="7"/>
  <c r="H47" i="1"/>
  <c r="L47" i="1" s="1"/>
  <c r="M47" i="1" s="1"/>
  <c r="H50" i="1"/>
  <c r="L50" i="1" s="1"/>
  <c r="M50" i="1" s="1"/>
  <c r="H53" i="1"/>
  <c r="L53" i="1" s="1"/>
  <c r="M53" i="1" s="1"/>
  <c r="H56" i="1"/>
  <c r="H60" i="1"/>
  <c r="H48" i="1"/>
  <c r="L48" i="1" s="1"/>
  <c r="M48" i="1" s="1"/>
  <c r="H51" i="1"/>
  <c r="L51" i="1" s="1"/>
  <c r="M51" i="1" s="1"/>
  <c r="H61" i="1"/>
  <c r="H58" i="1"/>
  <c r="H57" i="1"/>
  <c r="H46" i="1"/>
  <c r="H49" i="1"/>
  <c r="H52" i="1"/>
  <c r="H55" i="1"/>
  <c r="H59" i="1"/>
  <c r="H54" i="1"/>
  <c r="L54" i="1" s="1"/>
  <c r="M54" i="1" s="1"/>
  <c r="R56" i="1"/>
  <c r="R57" i="1"/>
  <c r="R55" i="1"/>
  <c r="T55" i="1" s="1"/>
  <c r="S55" i="1" s="1"/>
  <c r="R53" i="1"/>
  <c r="R46" i="1"/>
  <c r="U46" i="1" s="1"/>
  <c r="R52" i="1"/>
  <c r="V52" i="1" s="1"/>
  <c r="R48" i="1"/>
  <c r="R51" i="1"/>
  <c r="R54" i="1"/>
  <c r="R47" i="1"/>
  <c r="R50" i="1"/>
  <c r="R49" i="1"/>
  <c r="U49" i="1" s="1"/>
  <c r="M49" i="1"/>
  <c r="M52" i="1"/>
  <c r="H40" i="1"/>
  <c r="L40" i="1" s="1"/>
  <c r="H43" i="1"/>
  <c r="H34" i="1"/>
  <c r="L34" i="1" s="1"/>
  <c r="H27" i="1"/>
  <c r="L27" i="1" s="1"/>
  <c r="H21" i="1"/>
  <c r="L21" i="1" s="1"/>
  <c r="H23" i="1"/>
  <c r="L23" i="1" s="1"/>
  <c r="H33" i="1"/>
  <c r="L33" i="1" s="1"/>
  <c r="H26" i="1"/>
  <c r="L26" i="1" s="1"/>
  <c r="H20" i="1"/>
  <c r="L20" i="1" s="1"/>
  <c r="H38" i="1"/>
  <c r="L38" i="1" s="1"/>
  <c r="H32" i="1"/>
  <c r="L32" i="1" s="1"/>
  <c r="H25" i="1"/>
  <c r="H36" i="1"/>
  <c r="L36" i="1" s="1"/>
  <c r="H41" i="1"/>
  <c r="L41" i="1" s="1"/>
  <c r="H44" i="1"/>
  <c r="L44" i="1" s="1"/>
  <c r="H30" i="1"/>
  <c r="L30" i="1" s="1"/>
  <c r="H29" i="1"/>
  <c r="L29" i="1" s="1"/>
  <c r="H28" i="1"/>
  <c r="L28" i="1" s="1"/>
  <c r="H22" i="1"/>
  <c r="L22" i="1" s="1"/>
  <c r="H37" i="1"/>
  <c r="L37" i="1" s="1"/>
  <c r="H31" i="1"/>
  <c r="L31" i="1" s="1"/>
  <c r="H24" i="1"/>
  <c r="L24" i="1" s="1"/>
  <c r="H39" i="1"/>
  <c r="L39" i="1" s="1"/>
  <c r="H42" i="1"/>
  <c r="L42" i="1" s="1"/>
  <c r="H45" i="1"/>
  <c r="L45" i="1" s="1"/>
  <c r="H35" i="1"/>
  <c r="L35" i="1" s="1"/>
  <c r="R42" i="1"/>
  <c r="R45" i="1"/>
  <c r="R40" i="1"/>
  <c r="R41" i="1"/>
  <c r="R43" i="1"/>
  <c r="R39" i="1"/>
  <c r="R44" i="1"/>
  <c r="P11" i="1"/>
  <c r="R20" i="1"/>
  <c r="R32" i="1"/>
  <c r="R19" i="1"/>
  <c r="R35" i="1"/>
  <c r="R29" i="1"/>
  <c r="R23" i="1"/>
  <c r="R27" i="1"/>
  <c r="R31" i="1"/>
  <c r="R36" i="1"/>
  <c r="R30" i="1"/>
  <c r="R24" i="1"/>
  <c r="R34" i="1"/>
  <c r="R28" i="1"/>
  <c r="R22" i="1"/>
  <c r="R33" i="1"/>
  <c r="R21" i="1"/>
  <c r="R37" i="1"/>
  <c r="R25" i="1"/>
  <c r="R38" i="1"/>
  <c r="R26" i="1"/>
  <c r="H19" i="1"/>
  <c r="L19" i="1" s="1"/>
  <c r="V58" i="1" l="1"/>
  <c r="U58" i="1"/>
  <c r="U60" i="1"/>
  <c r="V60" i="1"/>
  <c r="V59" i="1"/>
  <c r="U59" i="1"/>
  <c r="T60" i="1"/>
  <c r="S60" i="1" s="1"/>
  <c r="U61" i="1"/>
  <c r="V61" i="1"/>
  <c r="T61" i="1"/>
  <c r="S61" i="1" s="1"/>
  <c r="K61" i="24"/>
  <c r="L27" i="24"/>
  <c r="V27" i="24"/>
  <c r="V26" i="25"/>
  <c r="K62" i="25"/>
  <c r="L26" i="25"/>
  <c r="U26" i="25"/>
  <c r="L61" i="48"/>
  <c r="P3" i="48" s="1"/>
  <c r="K61" i="14"/>
  <c r="L25" i="14"/>
  <c r="V25" i="14"/>
  <c r="U25" i="14"/>
  <c r="L61" i="12"/>
  <c r="P3" i="12" s="1"/>
  <c r="V25" i="10"/>
  <c r="L61" i="51"/>
  <c r="P3" i="51" s="1"/>
  <c r="P4" i="51" s="1"/>
  <c r="L25" i="1"/>
  <c r="T52" i="1"/>
  <c r="S52" i="1" s="1"/>
  <c r="T61" i="51"/>
  <c r="P6" i="51" s="1"/>
  <c r="S18" i="51"/>
  <c r="S61" i="51" s="1"/>
  <c r="V14" i="51"/>
  <c r="P9" i="51" s="1"/>
  <c r="P7" i="51"/>
  <c r="T61" i="50"/>
  <c r="P6" i="50" s="1"/>
  <c r="S18" i="50"/>
  <c r="S61" i="50" s="1"/>
  <c r="V14" i="50"/>
  <c r="P9" i="50" s="1"/>
  <c r="P7" i="50"/>
  <c r="P4" i="50"/>
  <c r="P5" i="50"/>
  <c r="T61" i="49"/>
  <c r="P6" i="49" s="1"/>
  <c r="S18" i="49"/>
  <c r="S61" i="49" s="1"/>
  <c r="P5" i="49"/>
  <c r="P4" i="49"/>
  <c r="V14" i="49"/>
  <c r="P9" i="49" s="1"/>
  <c r="P7" i="49"/>
  <c r="S9" i="49" s="1"/>
  <c r="T9" i="49" s="1"/>
  <c r="V9" i="49" s="1"/>
  <c r="T61" i="48"/>
  <c r="P6" i="48" s="1"/>
  <c r="S18" i="48"/>
  <c r="S61" i="48" s="1"/>
  <c r="P7" i="48"/>
  <c r="V14" i="48"/>
  <c r="P9" i="48" s="1"/>
  <c r="P5" i="48"/>
  <c r="P4" i="48"/>
  <c r="L61" i="47"/>
  <c r="P3" i="47" s="1"/>
  <c r="P5" i="47" s="1"/>
  <c r="V14" i="47"/>
  <c r="P9" i="47" s="1"/>
  <c r="P7" i="47"/>
  <c r="S9" i="47" s="1"/>
  <c r="T61" i="47"/>
  <c r="P6" i="47" s="1"/>
  <c r="S18" i="47"/>
  <c r="S61" i="47" s="1"/>
  <c r="T61" i="46"/>
  <c r="P6" i="46" s="1"/>
  <c r="S18" i="46"/>
  <c r="S61" i="46" s="1"/>
  <c r="V14" i="46"/>
  <c r="P9" i="46" s="1"/>
  <c r="P7" i="46"/>
  <c r="L61" i="46"/>
  <c r="P3" i="46" s="1"/>
  <c r="P5" i="46" s="1"/>
  <c r="V14" i="45"/>
  <c r="P9" i="45" s="1"/>
  <c r="P7" i="45"/>
  <c r="T61" i="45"/>
  <c r="P6" i="45" s="1"/>
  <c r="S18" i="45"/>
  <c r="S61" i="45" s="1"/>
  <c r="P4" i="45"/>
  <c r="P5" i="45"/>
  <c r="T61" i="43"/>
  <c r="P6" i="43" s="1"/>
  <c r="S18" i="43"/>
  <c r="S61" i="43" s="1"/>
  <c r="V14" i="43"/>
  <c r="P9" i="43" s="1"/>
  <c r="P7" i="43"/>
  <c r="L61" i="43"/>
  <c r="P3" i="43" s="1"/>
  <c r="T61" i="42"/>
  <c r="P6" i="42" s="1"/>
  <c r="S18" i="42"/>
  <c r="S61" i="42" s="1"/>
  <c r="V14" i="42"/>
  <c r="P9" i="42" s="1"/>
  <c r="P7" i="42"/>
  <c r="P4" i="42"/>
  <c r="P5" i="42"/>
  <c r="P4" i="41"/>
  <c r="P5" i="41"/>
  <c r="V14" i="41"/>
  <c r="P9" i="41" s="1"/>
  <c r="P7" i="41"/>
  <c r="T61" i="41"/>
  <c r="P6" i="41" s="1"/>
  <c r="S18" i="41"/>
  <c r="S61" i="41" s="1"/>
  <c r="P4" i="40"/>
  <c r="P5" i="40"/>
  <c r="T61" i="40"/>
  <c r="P6" i="40" s="1"/>
  <c r="S18" i="40"/>
  <c r="S61" i="40" s="1"/>
  <c r="V14" i="40"/>
  <c r="P9" i="40" s="1"/>
  <c r="P7" i="40"/>
  <c r="T61" i="39"/>
  <c r="P6" i="39" s="1"/>
  <c r="S18" i="39"/>
  <c r="S61" i="39" s="1"/>
  <c r="V14" i="39"/>
  <c r="P9" i="39" s="1"/>
  <c r="P7" i="39"/>
  <c r="S9" i="39" s="1"/>
  <c r="P4" i="39"/>
  <c r="P5" i="39"/>
  <c r="P5" i="38"/>
  <c r="P4" i="38"/>
  <c r="V14" i="38"/>
  <c r="P9" i="38" s="1"/>
  <c r="P7" i="38"/>
  <c r="S9" i="38" s="1"/>
  <c r="T9" i="38" s="1"/>
  <c r="V9" i="38" s="1"/>
  <c r="U9" i="38"/>
  <c r="T71" i="38"/>
  <c r="P6" i="38" s="1"/>
  <c r="S18" i="38"/>
  <c r="S71" i="38" s="1"/>
  <c r="T81" i="37"/>
  <c r="P6" i="37" s="1"/>
  <c r="S18" i="37"/>
  <c r="S81" i="37" s="1"/>
  <c r="T9" i="37"/>
  <c r="V9" i="37" s="1"/>
  <c r="U9" i="37"/>
  <c r="P4" i="37"/>
  <c r="T9" i="36"/>
  <c r="V9" i="36" s="1"/>
  <c r="U9" i="36"/>
  <c r="T81" i="36"/>
  <c r="P6" i="36" s="1"/>
  <c r="S81" i="36"/>
  <c r="P5" i="36"/>
  <c r="P4" i="36"/>
  <c r="L61" i="35"/>
  <c r="P3" i="35" s="1"/>
  <c r="T61" i="35"/>
  <c r="P6" i="35" s="1"/>
  <c r="S18" i="35"/>
  <c r="S61" i="35" s="1"/>
  <c r="V14" i="35"/>
  <c r="P9" i="35" s="1"/>
  <c r="P7" i="35"/>
  <c r="S9" i="35" s="1"/>
  <c r="T61" i="34"/>
  <c r="P6" i="34" s="1"/>
  <c r="S18" i="34"/>
  <c r="S61" i="34" s="1"/>
  <c r="L61" i="34"/>
  <c r="P3" i="34" s="1"/>
  <c r="V14" i="34"/>
  <c r="P9" i="34" s="1"/>
  <c r="P7" i="34"/>
  <c r="S9" i="34" s="1"/>
  <c r="T61" i="33"/>
  <c r="P6" i="33" s="1"/>
  <c r="S18" i="33"/>
  <c r="S61" i="33" s="1"/>
  <c r="P4" i="33"/>
  <c r="P5" i="33"/>
  <c r="V14" i="33"/>
  <c r="P9" i="33" s="1"/>
  <c r="P7" i="33"/>
  <c r="S9" i="33" s="1"/>
  <c r="T9" i="33" s="1"/>
  <c r="V9" i="33" s="1"/>
  <c r="V14" i="32"/>
  <c r="P9" i="32" s="1"/>
  <c r="P7" i="32"/>
  <c r="P4" i="32"/>
  <c r="P5" i="32"/>
  <c r="T61" i="32"/>
  <c r="P6" i="32" s="1"/>
  <c r="S18" i="32"/>
  <c r="S61" i="32" s="1"/>
  <c r="P5" i="31"/>
  <c r="P4" i="31"/>
  <c r="T61" i="31"/>
  <c r="P6" i="31" s="1"/>
  <c r="S18" i="31"/>
  <c r="S61" i="31" s="1"/>
  <c r="V14" i="31"/>
  <c r="P9" i="31" s="1"/>
  <c r="P7" i="31"/>
  <c r="T61" i="30"/>
  <c r="P6" i="30" s="1"/>
  <c r="S18" i="30"/>
  <c r="S61" i="30" s="1"/>
  <c r="P4" i="30"/>
  <c r="P5" i="30"/>
  <c r="V14" i="30"/>
  <c r="P9" i="30" s="1"/>
  <c r="P7" i="30"/>
  <c r="T71" i="29"/>
  <c r="P6" i="29" s="1"/>
  <c r="S18" i="29"/>
  <c r="S71" i="29" s="1"/>
  <c r="V14" i="29"/>
  <c r="P9" i="29" s="1"/>
  <c r="P7" i="29"/>
  <c r="P4" i="29"/>
  <c r="P5" i="29"/>
  <c r="V14" i="28"/>
  <c r="P9" i="28" s="1"/>
  <c r="P7" i="28"/>
  <c r="S9" i="28" s="1"/>
  <c r="T9" i="28" s="1"/>
  <c r="V9" i="28" s="1"/>
  <c r="U9" i="28"/>
  <c r="P4" i="28"/>
  <c r="P5" i="28"/>
  <c r="T81" i="28"/>
  <c r="P6" i="28" s="1"/>
  <c r="S18" i="28"/>
  <c r="S81" i="28" s="1"/>
  <c r="P4" i="27"/>
  <c r="P5" i="27"/>
  <c r="T81" i="27"/>
  <c r="P6" i="27" s="1"/>
  <c r="S18" i="27"/>
  <c r="S81" i="27" s="1"/>
  <c r="V14" i="27"/>
  <c r="P9" i="27" s="1"/>
  <c r="P7" i="27"/>
  <c r="U9" i="26"/>
  <c r="T9" i="26"/>
  <c r="V9" i="26" s="1"/>
  <c r="P4" i="26"/>
  <c r="P5" i="26"/>
  <c r="T71" i="26"/>
  <c r="P6" i="26" s="1"/>
  <c r="S18" i="26"/>
  <c r="S71" i="26" s="1"/>
  <c r="S18" i="25"/>
  <c r="V14" i="25"/>
  <c r="P9" i="25" s="1"/>
  <c r="P7" i="25"/>
  <c r="V14" i="24"/>
  <c r="P9" i="24" s="1"/>
  <c r="P7" i="24"/>
  <c r="S18" i="24"/>
  <c r="T61" i="23"/>
  <c r="P6" i="23" s="1"/>
  <c r="S18" i="23"/>
  <c r="S61" i="23" s="1"/>
  <c r="P4" i="23"/>
  <c r="P5" i="23"/>
  <c r="V14" i="23"/>
  <c r="P9" i="23" s="1"/>
  <c r="P7" i="23"/>
  <c r="S9" i="23" s="1"/>
  <c r="U9" i="23" s="1"/>
  <c r="L61" i="22"/>
  <c r="P3" i="22" s="1"/>
  <c r="P4" i="22" s="1"/>
  <c r="L61" i="16"/>
  <c r="P3" i="16" s="1"/>
  <c r="P5" i="16" s="1"/>
  <c r="P4" i="15"/>
  <c r="P7" i="22"/>
  <c r="V14" i="22"/>
  <c r="P9" i="22" s="1"/>
  <c r="T61" i="22"/>
  <c r="P6" i="22" s="1"/>
  <c r="S18" i="22"/>
  <c r="S61" i="22" s="1"/>
  <c r="V14" i="21"/>
  <c r="P9" i="21" s="1"/>
  <c r="P7" i="21"/>
  <c r="P4" i="21"/>
  <c r="P5" i="21"/>
  <c r="T71" i="21"/>
  <c r="P6" i="21" s="1"/>
  <c r="S18" i="21"/>
  <c r="S71" i="21" s="1"/>
  <c r="V14" i="20"/>
  <c r="P9" i="20" s="1"/>
  <c r="P7" i="20"/>
  <c r="P4" i="20"/>
  <c r="P5" i="20"/>
  <c r="T61" i="20"/>
  <c r="P6" i="20" s="1"/>
  <c r="S18" i="20"/>
  <c r="S61" i="20" s="1"/>
  <c r="V14" i="19"/>
  <c r="P9" i="19" s="1"/>
  <c r="P7" i="19"/>
  <c r="L71" i="19"/>
  <c r="P3" i="19" s="1"/>
  <c r="T71" i="19"/>
  <c r="P6" i="19" s="1"/>
  <c r="S18" i="19"/>
  <c r="S71" i="19" s="1"/>
  <c r="P4" i="18"/>
  <c r="P5" i="18"/>
  <c r="V14" i="18"/>
  <c r="P9" i="18" s="1"/>
  <c r="P7" i="18"/>
  <c r="S9" i="18" s="1"/>
  <c r="U9" i="18" s="1"/>
  <c r="T61" i="18"/>
  <c r="P6" i="18" s="1"/>
  <c r="S18" i="18"/>
  <c r="S61" i="18" s="1"/>
  <c r="V14" i="17"/>
  <c r="P9" i="17" s="1"/>
  <c r="P7" i="17"/>
  <c r="P4" i="17"/>
  <c r="P5" i="17"/>
  <c r="T61" i="17"/>
  <c r="P6" i="17" s="1"/>
  <c r="S18" i="17"/>
  <c r="S61" i="17" s="1"/>
  <c r="P4" i="16"/>
  <c r="T61" i="16"/>
  <c r="P6" i="16" s="1"/>
  <c r="S18" i="16"/>
  <c r="S61" i="16" s="1"/>
  <c r="V14" i="16"/>
  <c r="P9" i="16" s="1"/>
  <c r="P7" i="16"/>
  <c r="V14" i="15"/>
  <c r="P9" i="15" s="1"/>
  <c r="P7" i="15"/>
  <c r="T61" i="15"/>
  <c r="P6" i="15" s="1"/>
  <c r="S18" i="15"/>
  <c r="S61" i="15" s="1"/>
  <c r="S18" i="14"/>
  <c r="V14" i="14"/>
  <c r="P9" i="14" s="1"/>
  <c r="P7" i="14"/>
  <c r="T61" i="13"/>
  <c r="P6" i="13" s="1"/>
  <c r="S18" i="13"/>
  <c r="S61" i="13" s="1"/>
  <c r="P4" i="13"/>
  <c r="P5" i="13"/>
  <c r="V14" i="13"/>
  <c r="P9" i="13" s="1"/>
  <c r="P7" i="13"/>
  <c r="V14" i="12"/>
  <c r="P9" i="12" s="1"/>
  <c r="P7" i="12"/>
  <c r="S9" i="12" s="1"/>
  <c r="U9" i="12" s="1"/>
  <c r="T61" i="12"/>
  <c r="P6" i="12" s="1"/>
  <c r="S18" i="12"/>
  <c r="S61" i="12" s="1"/>
  <c r="P4" i="12"/>
  <c r="P5" i="12"/>
  <c r="L61" i="11"/>
  <c r="P3" i="11" s="1"/>
  <c r="P4" i="11" s="1"/>
  <c r="T61" i="11"/>
  <c r="P6" i="11" s="1"/>
  <c r="S18" i="11"/>
  <c r="S61" i="11" s="1"/>
  <c r="V14" i="11"/>
  <c r="P9" i="11" s="1"/>
  <c r="P7" i="11"/>
  <c r="L61" i="10"/>
  <c r="P3" i="10" s="1"/>
  <c r="P4" i="10" s="1"/>
  <c r="V14" i="10"/>
  <c r="P9" i="10" s="1"/>
  <c r="P7" i="10"/>
  <c r="S20" i="10"/>
  <c r="S61" i="10" s="1"/>
  <c r="T61" i="10"/>
  <c r="P6" i="10" s="1"/>
  <c r="L61" i="9"/>
  <c r="P3" i="9" s="1"/>
  <c r="T61" i="9"/>
  <c r="P6" i="9" s="1"/>
  <c r="S18" i="9"/>
  <c r="S61" i="9" s="1"/>
  <c r="V14" i="9"/>
  <c r="P9" i="9" s="1"/>
  <c r="P7" i="9"/>
  <c r="P7" i="8"/>
  <c r="V14" i="8"/>
  <c r="P9" i="8" s="1"/>
  <c r="T61" i="8"/>
  <c r="P6" i="8" s="1"/>
  <c r="S18" i="8"/>
  <c r="S61" i="8" s="1"/>
  <c r="L61" i="8"/>
  <c r="P3" i="8" s="1"/>
  <c r="L61" i="7"/>
  <c r="P3" i="7" s="1"/>
  <c r="P5" i="7" s="1"/>
  <c r="T61" i="7"/>
  <c r="P6" i="7" s="1"/>
  <c r="S18" i="7"/>
  <c r="S61" i="7" s="1"/>
  <c r="P7" i="7"/>
  <c r="V14" i="7"/>
  <c r="P9" i="7" s="1"/>
  <c r="T47" i="1"/>
  <c r="S47" i="1" s="1"/>
  <c r="T53" i="1"/>
  <c r="S53" i="1" s="1"/>
  <c r="U52" i="1"/>
  <c r="V55" i="1"/>
  <c r="V49" i="1"/>
  <c r="T49" i="1"/>
  <c r="S49" i="1" s="1"/>
  <c r="U55" i="1"/>
  <c r="U54" i="1"/>
  <c r="T54" i="1"/>
  <c r="S54" i="1" s="1"/>
  <c r="V54" i="1"/>
  <c r="V53" i="1"/>
  <c r="U53" i="1"/>
  <c r="U51" i="1"/>
  <c r="T51" i="1"/>
  <c r="S51" i="1" s="1"/>
  <c r="V51" i="1"/>
  <c r="T57" i="1"/>
  <c r="S57" i="1" s="1"/>
  <c r="U57" i="1"/>
  <c r="V57" i="1"/>
  <c r="T46" i="1"/>
  <c r="S46" i="1" s="1"/>
  <c r="V46" i="1"/>
  <c r="U50" i="1"/>
  <c r="V50" i="1"/>
  <c r="V56" i="1"/>
  <c r="U56" i="1"/>
  <c r="T56" i="1"/>
  <c r="S56" i="1" s="1"/>
  <c r="V48" i="1"/>
  <c r="U48" i="1"/>
  <c r="T48" i="1"/>
  <c r="S48" i="1" s="1"/>
  <c r="U47" i="1"/>
  <c r="V47" i="1"/>
  <c r="T50" i="1"/>
  <c r="S50" i="1" s="1"/>
  <c r="L43" i="1"/>
  <c r="M42" i="1"/>
  <c r="T42" i="1" s="1"/>
  <c r="M39" i="1"/>
  <c r="T39" i="1" s="1"/>
  <c r="M30" i="1"/>
  <c r="T30" i="1" s="1"/>
  <c r="M44" i="1"/>
  <c r="T44" i="1" s="1"/>
  <c r="M41" i="1"/>
  <c r="T41" i="1" s="1"/>
  <c r="M40" i="1"/>
  <c r="T40" i="1" s="1"/>
  <c r="U40" i="1"/>
  <c r="V40" i="1"/>
  <c r="U44" i="1"/>
  <c r="V44" i="1"/>
  <c r="V41" i="1"/>
  <c r="U41" i="1"/>
  <c r="K19" i="1"/>
  <c r="M19" i="1" s="1"/>
  <c r="T19" i="1" s="1"/>
  <c r="P5" i="22" l="1"/>
  <c r="U9" i="33"/>
  <c r="S9" i="32"/>
  <c r="U9" i="32" s="1"/>
  <c r="L61" i="24"/>
  <c r="P3" i="24" s="1"/>
  <c r="T27" i="24"/>
  <c r="T26" i="25"/>
  <c r="L62" i="25"/>
  <c r="P3" i="25" s="1"/>
  <c r="S9" i="43"/>
  <c r="S9" i="42"/>
  <c r="S9" i="41"/>
  <c r="S9" i="40"/>
  <c r="U9" i="40" s="1"/>
  <c r="P4" i="46"/>
  <c r="S9" i="46"/>
  <c r="T9" i="46" s="1"/>
  <c r="V9" i="46" s="1"/>
  <c r="S9" i="45"/>
  <c r="U9" i="45" s="1"/>
  <c r="S9" i="16"/>
  <c r="T9" i="16" s="1"/>
  <c r="V9" i="16" s="1"/>
  <c r="S9" i="14"/>
  <c r="T25" i="14"/>
  <c r="L61" i="14"/>
  <c r="P3" i="14" s="1"/>
  <c r="S9" i="13"/>
  <c r="U9" i="13" s="1"/>
  <c r="S9" i="9"/>
  <c r="T9" i="9" s="1"/>
  <c r="V9" i="9" s="1"/>
  <c r="P5" i="51"/>
  <c r="S9" i="51"/>
  <c r="S9" i="50"/>
  <c r="U9" i="49"/>
  <c r="S9" i="48"/>
  <c r="T9" i="47"/>
  <c r="V9" i="47" s="1"/>
  <c r="U9" i="47"/>
  <c r="P4" i="47"/>
  <c r="U9" i="43"/>
  <c r="T9" i="43"/>
  <c r="V9" i="43" s="1"/>
  <c r="P4" i="43"/>
  <c r="P5" i="43"/>
  <c r="T9" i="39"/>
  <c r="V9" i="39" s="1"/>
  <c r="U9" i="39"/>
  <c r="T9" i="35"/>
  <c r="V9" i="35" s="1"/>
  <c r="U9" i="35"/>
  <c r="P5" i="35"/>
  <c r="P4" i="35"/>
  <c r="U9" i="34"/>
  <c r="T9" i="34"/>
  <c r="V9" i="34" s="1"/>
  <c r="P5" i="34"/>
  <c r="P4" i="34"/>
  <c r="S9" i="31"/>
  <c r="S9" i="30"/>
  <c r="S9" i="24"/>
  <c r="T9" i="24" s="1"/>
  <c r="V9" i="24" s="1"/>
  <c r="S9" i="27"/>
  <c r="U9" i="27" s="1"/>
  <c r="S9" i="29"/>
  <c r="U9" i="29" s="1"/>
  <c r="S9" i="25"/>
  <c r="T9" i="23"/>
  <c r="V9" i="23" s="1"/>
  <c r="S9" i="22"/>
  <c r="U9" i="22" s="1"/>
  <c r="S9" i="19"/>
  <c r="U9" i="19" s="1"/>
  <c r="S9" i="17"/>
  <c r="U9" i="17" s="1"/>
  <c r="T9" i="14"/>
  <c r="V9" i="14" s="1"/>
  <c r="S9" i="21"/>
  <c r="S9" i="20"/>
  <c r="T9" i="19"/>
  <c r="V9" i="19" s="1"/>
  <c r="P5" i="19"/>
  <c r="P4" i="19"/>
  <c r="T9" i="18"/>
  <c r="V9" i="18" s="1"/>
  <c r="U9" i="16"/>
  <c r="S9" i="15"/>
  <c r="T9" i="13"/>
  <c r="V9" i="13" s="1"/>
  <c r="P5" i="11"/>
  <c r="T9" i="12"/>
  <c r="V9" i="12" s="1"/>
  <c r="S9" i="11"/>
  <c r="U9" i="11" s="1"/>
  <c r="P5" i="10"/>
  <c r="S9" i="10"/>
  <c r="U9" i="10" s="1"/>
  <c r="P4" i="9"/>
  <c r="U9" i="9"/>
  <c r="P5" i="9"/>
  <c r="S9" i="8"/>
  <c r="T9" i="8" s="1"/>
  <c r="V9" i="8" s="1"/>
  <c r="P5" i="8"/>
  <c r="P4" i="8"/>
  <c r="P4" i="7"/>
  <c r="S9" i="7"/>
  <c r="V43" i="1"/>
  <c r="U43" i="1"/>
  <c r="M43" i="1"/>
  <c r="T43" i="1" s="1"/>
  <c r="V42" i="1"/>
  <c r="U42" i="1"/>
  <c r="M45" i="1"/>
  <c r="T45" i="1" s="1"/>
  <c r="V45" i="1"/>
  <c r="U45" i="1"/>
  <c r="V39" i="1"/>
  <c r="U39" i="1"/>
  <c r="U19" i="1"/>
  <c r="V19" i="1"/>
  <c r="V20" i="1"/>
  <c r="U20" i="1"/>
  <c r="M20" i="1"/>
  <c r="T20" i="1" s="1"/>
  <c r="H62" i="1"/>
  <c r="T9" i="32" l="1"/>
  <c r="V9" i="32" s="1"/>
  <c r="P4" i="24"/>
  <c r="P5" i="24"/>
  <c r="S27" i="24"/>
  <c r="S61" i="24" s="1"/>
  <c r="T61" i="24"/>
  <c r="P6" i="24" s="1"/>
  <c r="P4" i="25"/>
  <c r="P5" i="25"/>
  <c r="S26" i="25"/>
  <c r="S62" i="25" s="1"/>
  <c r="T62" i="25"/>
  <c r="P6" i="25" s="1"/>
  <c r="T9" i="42"/>
  <c r="V9" i="42" s="1"/>
  <c r="U9" i="42"/>
  <c r="U9" i="41"/>
  <c r="T9" i="41"/>
  <c r="V9" i="41" s="1"/>
  <c r="T9" i="40"/>
  <c r="V9" i="40" s="1"/>
  <c r="U9" i="46"/>
  <c r="T9" i="45"/>
  <c r="V9" i="45" s="1"/>
  <c r="S25" i="14"/>
  <c r="S61" i="14" s="1"/>
  <c r="T61" i="14"/>
  <c r="P6" i="14" s="1"/>
  <c r="P4" i="14"/>
  <c r="P5" i="14"/>
  <c r="U9" i="14"/>
  <c r="T9" i="10"/>
  <c r="V9" i="10" s="1"/>
  <c r="T9" i="51"/>
  <c r="V9" i="51" s="1"/>
  <c r="U9" i="51"/>
  <c r="T9" i="50"/>
  <c r="V9" i="50" s="1"/>
  <c r="U9" i="50"/>
  <c r="U9" i="48"/>
  <c r="T9" i="48"/>
  <c r="V9" i="48" s="1"/>
  <c r="U9" i="31"/>
  <c r="T9" i="31"/>
  <c r="V9" i="31" s="1"/>
  <c r="T9" i="30"/>
  <c r="V9" i="30" s="1"/>
  <c r="U9" i="30"/>
  <c r="U9" i="24"/>
  <c r="T9" i="27"/>
  <c r="V9" i="27" s="1"/>
  <c r="T9" i="29"/>
  <c r="V9" i="29" s="1"/>
  <c r="T9" i="25"/>
  <c r="V9" i="25" s="1"/>
  <c r="U9" i="25"/>
  <c r="T9" i="22"/>
  <c r="V9" i="22" s="1"/>
  <c r="T9" i="17"/>
  <c r="V9" i="17" s="1"/>
  <c r="U9" i="21"/>
  <c r="T9" i="21"/>
  <c r="V9" i="21" s="1"/>
  <c r="T9" i="20"/>
  <c r="V9" i="20" s="1"/>
  <c r="U9" i="20"/>
  <c r="U9" i="15"/>
  <c r="T9" i="15"/>
  <c r="V9" i="15" s="1"/>
  <c r="T9" i="11"/>
  <c r="V9" i="11" s="1"/>
  <c r="U9" i="8"/>
  <c r="U9" i="7"/>
  <c r="T9" i="7"/>
  <c r="V9" i="7" s="1"/>
  <c r="U21" i="1"/>
  <c r="V21" i="1"/>
  <c r="M21" i="1"/>
  <c r="T21" i="1" s="1"/>
  <c r="H18" i="1"/>
  <c r="I58" i="1" l="1"/>
  <c r="I60" i="1"/>
  <c r="I61" i="1"/>
  <c r="I59" i="1"/>
  <c r="I48" i="1"/>
  <c r="I51" i="1"/>
  <c r="I57" i="1"/>
  <c r="I56" i="1"/>
  <c r="I54" i="1"/>
  <c r="I52" i="1"/>
  <c r="I53" i="1"/>
  <c r="I49" i="1"/>
  <c r="I50" i="1"/>
  <c r="I46" i="1"/>
  <c r="I55" i="1"/>
  <c r="I47" i="1"/>
  <c r="I30" i="1"/>
  <c r="I43" i="1"/>
  <c r="I44" i="1"/>
  <c r="I41" i="1"/>
  <c r="I39" i="1"/>
  <c r="I45" i="1"/>
  <c r="I40" i="1"/>
  <c r="I42" i="1"/>
  <c r="I20" i="1"/>
  <c r="I34" i="1"/>
  <c r="I26" i="1"/>
  <c r="I37" i="1"/>
  <c r="I24" i="1"/>
  <c r="I36" i="1"/>
  <c r="I27" i="1"/>
  <c r="I38" i="1"/>
  <c r="I31" i="1"/>
  <c r="I33" i="1"/>
  <c r="I21" i="1"/>
  <c r="S21" i="1" s="1"/>
  <c r="I35" i="1"/>
  <c r="I23" i="1"/>
  <c r="I28" i="1"/>
  <c r="I25" i="1"/>
  <c r="I29" i="1"/>
  <c r="I22" i="1"/>
  <c r="I32" i="1"/>
  <c r="V22" i="1"/>
  <c r="U22" i="1"/>
  <c r="M22" i="1"/>
  <c r="T22" i="1" s="1"/>
  <c r="I19" i="1"/>
  <c r="S39" i="1" l="1"/>
  <c r="S43" i="1"/>
  <c r="S44" i="1"/>
  <c r="S42" i="1"/>
  <c r="S40" i="1"/>
  <c r="S45" i="1"/>
  <c r="S41" i="1"/>
  <c r="S19" i="1"/>
  <c r="S20" i="1"/>
  <c r="S22" i="1"/>
  <c r="V23" i="1"/>
  <c r="U23" i="1"/>
  <c r="M23" i="1"/>
  <c r="I62" i="1"/>
  <c r="T23" i="1" l="1"/>
  <c r="S23" i="1" s="1"/>
  <c r="P2" i="1"/>
  <c r="V24" i="1"/>
  <c r="U24" i="1"/>
  <c r="M24" i="1"/>
  <c r="R62" i="1"/>
  <c r="P7" i="1" s="1"/>
  <c r="T24" i="1" l="1"/>
  <c r="S24" i="1" s="1"/>
  <c r="U25" i="1"/>
  <c r="V25" i="1"/>
  <c r="M25" i="1"/>
  <c r="V15" i="1"/>
  <c r="T25" i="1" l="1"/>
  <c r="S25" i="1" s="1"/>
  <c r="V26" i="1"/>
  <c r="U26" i="1"/>
  <c r="M26" i="1"/>
  <c r="P9" i="1"/>
  <c r="S9" i="1" s="1"/>
  <c r="T26" i="1" l="1"/>
  <c r="S26" i="1" s="1"/>
  <c r="U27" i="1"/>
  <c r="V27" i="1"/>
  <c r="M27" i="1"/>
  <c r="K62" i="1"/>
  <c r="T27" i="1" l="1"/>
  <c r="S27" i="1" s="1"/>
  <c r="U28" i="1"/>
  <c r="V28" i="1"/>
  <c r="M28" i="1"/>
  <c r="T28" i="1" l="1"/>
  <c r="S28" i="1" s="1"/>
  <c r="U29" i="1"/>
  <c r="V29" i="1"/>
  <c r="M29" i="1"/>
  <c r="T29" i="1" l="1"/>
  <c r="S29" i="1" s="1"/>
  <c r="V30" i="1"/>
  <c r="U30" i="1"/>
  <c r="S30" i="1"/>
  <c r="U31" i="1" l="1"/>
  <c r="V31" i="1"/>
  <c r="M31" i="1"/>
  <c r="T31" i="1" l="1"/>
  <c r="S31" i="1" s="1"/>
  <c r="V32" i="1"/>
  <c r="U32" i="1"/>
  <c r="M32" i="1"/>
  <c r="T32" i="1" l="1"/>
  <c r="S32" i="1" s="1"/>
  <c r="U33" i="1"/>
  <c r="V33" i="1"/>
  <c r="M33" i="1"/>
  <c r="T33" i="1" l="1"/>
  <c r="S33" i="1" s="1"/>
  <c r="U34" i="1"/>
  <c r="V34" i="1"/>
  <c r="M34" i="1"/>
  <c r="T34" i="1" l="1"/>
  <c r="S34" i="1" s="1"/>
  <c r="V35" i="1"/>
  <c r="U35" i="1"/>
  <c r="M35" i="1"/>
  <c r="T35" i="1" l="1"/>
  <c r="S35" i="1" s="1"/>
  <c r="U36" i="1"/>
  <c r="V36" i="1"/>
  <c r="M36" i="1"/>
  <c r="T36" i="1" l="1"/>
  <c r="S36" i="1" s="1"/>
  <c r="U37" i="1"/>
  <c r="V37" i="1"/>
  <c r="M37" i="1"/>
  <c r="T37" i="1" l="1"/>
  <c r="S37" i="1" s="1"/>
  <c r="V38" i="1"/>
  <c r="U38" i="1"/>
  <c r="M38" i="1"/>
  <c r="T38" i="1" l="1"/>
  <c r="S38" i="1" s="1"/>
  <c r="L62" i="1" l="1"/>
  <c r="M62" i="1" l="1"/>
  <c r="S62" i="1"/>
  <c r="T62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<sst xmlns="http://schemas.openxmlformats.org/spreadsheetml/2006/main" count="9938" uniqueCount="822">
  <si>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</si>
  <si>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</si>
  <si>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</si>
  <si>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</si>
  <si>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</si>
  <si>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</si>
  <si>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</si>
  <si>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</si>
  <si>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</si>
  <si>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</si>
  <si>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</si>
  <si>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</si>
  <si>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</si>
  <si>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</si>
  <si>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</si>
  <si>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</si>
  <si>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</si>
  <si>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</si>
  <si>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</si>
  <si>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</si>
  <si>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</si>
  <si>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</si>
  <si>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</si>
  <si>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</si>
  <si>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</si>
  <si>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</si>
  <si>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</si>
  <si>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</si>
  <si>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</si>
  <si>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</si>
  <si>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</si>
  <si>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</si>
  <si>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</si>
  <si>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</si>
  <si>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</si>
  <si>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</si>
  <si>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</si>
  <si>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</si>
  <si>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</si>
  <si>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</si>
  <si>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</si>
  <si>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</si>
  <si>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</si>
  <si>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</si>
  <si>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</si>
  <si>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</si>
  <si>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</si>
  <si>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</si>
  <si>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</si>
  <si>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</si>
  <si>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</si>
  <si>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</si>
  <si>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</si>
  <si>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</si>
  <si>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</si>
  <si>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</si>
  <si>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</si>
  <si>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</si>
  <si>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</si>
  <si>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</si>
  <si>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</si>
  <si>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</si>
  <si>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</si>
  <si>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</si>
  <si>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</si>
  <si>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</si>
  <si>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</si>
  <si>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</si>
  <si>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</si>
  <si>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</si>
  <si>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</si>
  <si>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</si>
  <si>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</si>
  <si>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</si>
  <si>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</si>
  <si>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</si>
  <si>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</si>
  <si>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</si>
  <si>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</si>
  <si>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</si>
  <si>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</si>
  <si>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</si>
  <si>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</si>
  <si>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</si>
  <si>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</si>
  <si>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</si>
  <si>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</si>
  <si>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</si>
  <si>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</si>
  <si>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</si>
  <si>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</si>
  <si>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</si>
  <si>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</si>
  <si>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</si>
  <si>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</si>
  <si>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</si>
  <si>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</si>
  <si>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</si>
  <si>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</si>
  <si>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</si>
  <si>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</si>
  <si>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</si>
  <si>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</si>
  <si>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</si>
  <si>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</si>
  <si>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</si>
  <si>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</si>
  <si>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</si>
  <si>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</si>
  <si>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</si>
  <si>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</si>
  <si>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</si>
  <si>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</si>
  <si>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</si>
  <si>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</si>
  <si>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</si>
  <si>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</si>
  <si>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</si>
  <si>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</si>
  <si>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</si>
  <si>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</si>
  <si>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</si>
  <si>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</si>
  <si>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</si>
  <si>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</si>
  <si>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</si>
  <si>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</si>
  <si>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</si>
  <si>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BH339</t>
  </si>
  <si>
    <t>CATERPILLAR</t>
  </si>
  <si>
    <t xml:space="preserve">303.5E CR </t>
  </si>
  <si>
    <t>RKY00339</t>
  </si>
  <si>
    <t>01CC1652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</si>
  <si>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</si>
  <si>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</si>
  <si>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</si>
  <si>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</si>
  <si>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</si>
  <si>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</si>
  <si>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</si>
  <si>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</si>
  <si>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</si>
  <si>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</si>
  <si>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</si>
  <si>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</si>
  <si>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</si>
  <si>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</si>
  <si>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</si>
  <si>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</si>
  <si>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</si>
  <si>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</si>
  <si>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</si>
  <si>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</si>
  <si>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</si>
  <si>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</si>
  <si>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</si>
  <si>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</si>
  <si>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</si>
  <si>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</si>
  <si>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</si>
  <si>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</si>
  <si>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</si>
  <si>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</si>
  <si>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</si>
  <si>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</si>
  <si>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</si>
  <si>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</si>
  <si>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</si>
  <si>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</si>
  <si>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</si>
  <si>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</si>
  <si>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</si>
  <si>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</si>
  <si>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</si>
  <si>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</si>
  <si>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</si>
  <si>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</si>
  <si>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</si>
  <si>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</si>
  <si>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</si>
  <si>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</si>
  <si>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</si>
  <si>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</si>
  <si>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</si>
  <si>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</si>
  <si>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</si>
  <si>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</si>
  <si>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</si>
  <si>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</si>
  <si>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</si>
  <si>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</si>
  <si>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</si>
  <si>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</si>
  <si>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</si>
  <si>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</si>
  <si>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</si>
  <si>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</si>
  <si>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</si>
  <si>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</si>
  <si>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</si>
  <si>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</si>
  <si>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</si>
  <si>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</si>
  <si>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</si>
  <si>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</si>
  <si>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</si>
  <si>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</si>
  <si>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</si>
  <si>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</si>
  <si>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</si>
  <si>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</si>
  <si>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</si>
  <si>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</si>
  <si>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</si>
  <si>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</si>
  <si>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</si>
  <si>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</si>
  <si>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</si>
  <si>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</si>
  <si>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</si>
  <si>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</si>
  <si>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</si>
  <si>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</si>
  <si>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</si>
  <si>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</si>
  <si>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</si>
  <si>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</si>
  <si>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</si>
  <si>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</si>
  <si>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 xml:space="preserve">Attachment survey needs to be completed to </t>
  </si>
  <si>
    <t>address G.E.T.</t>
  </si>
  <si>
    <t>BH2902</t>
  </si>
  <si>
    <t xml:space="preserve">320E L </t>
  </si>
  <si>
    <t>WBK02902</t>
  </si>
  <si>
    <t>C8N16492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</si>
  <si>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</si>
  <si>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</si>
  <si>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</si>
  <si>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</si>
  <si>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</si>
  <si>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</si>
  <si>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</si>
  <si>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</si>
  <si>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</si>
  <si>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</si>
  <si>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</si>
  <si>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</si>
  <si>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</si>
  <si>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</si>
  <si>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</si>
  <si>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</si>
  <si>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</si>
  <si>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</si>
  <si>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</si>
  <si>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</si>
  <si>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</si>
  <si>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</si>
  <si>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</si>
  <si>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</si>
  <si>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</si>
  <si>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BH544</t>
  </si>
  <si>
    <t xml:space="preserve">320F L </t>
  </si>
  <si>
    <t>YBM10544</t>
  </si>
  <si>
    <t>W7N25205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</si>
  <si>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</si>
  <si>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</si>
  <si>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</si>
  <si>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</si>
  <si>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</si>
  <si>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</si>
  <si>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</si>
  <si>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</si>
  <si>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</si>
  <si>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</si>
  <si>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</si>
  <si>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</si>
  <si>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</si>
  <si>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</si>
  <si>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</si>
  <si>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</si>
  <si>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</si>
  <si>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</si>
  <si>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</si>
  <si>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</si>
  <si>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</si>
  <si>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</si>
  <si>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</si>
  <si>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</si>
  <si>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</si>
  <si>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</si>
  <si>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</si>
  <si>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</si>
  <si>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</si>
  <si>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</si>
  <si>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</si>
  <si>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</si>
  <si>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</si>
  <si>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</si>
  <si>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</si>
  <si>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</si>
  <si>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</si>
  <si>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</si>
  <si>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</si>
  <si>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</si>
  <si>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</si>
  <si>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</si>
  <si>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</si>
  <si>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</si>
  <si>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</si>
  <si>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</si>
  <si>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</si>
  <si>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</si>
  <si>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</si>
  <si>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</si>
  <si>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</si>
  <si>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</si>
  <si>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</si>
  <si>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 xml:space="preserve">329F L 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</si>
  <si>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</si>
  <si>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</si>
  <si>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</si>
  <si>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</si>
  <si>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</si>
  <si>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</si>
  <si>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</si>
  <si>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</si>
  <si>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</si>
  <si>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</si>
  <si>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</si>
  <si>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</si>
  <si>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 xml:space="preserve">330F L 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</si>
  <si>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</si>
  <si>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</si>
  <si>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</si>
  <si>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</si>
  <si>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</si>
  <si>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</si>
  <si>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</si>
  <si>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</si>
  <si>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</si>
  <si>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</si>
  <si>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</si>
  <si>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</si>
  <si>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</si>
  <si>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</si>
  <si>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</si>
  <si>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</si>
  <si>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</si>
  <si>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</si>
  <si>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</si>
  <si>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</si>
  <si>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</si>
  <si>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**GET &amp; ENGINE KITS**</t>
  </si>
  <si>
    <t>322-3151</t>
  </si>
  <si>
    <t>BH0334</t>
  </si>
  <si>
    <t>WCH20334</t>
  </si>
  <si>
    <t>J7A14786</t>
  </si>
  <si>
    <t>BH913</t>
  </si>
  <si>
    <t xml:space="preserve">336F L 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</si>
  <si>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</si>
  <si>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</si>
  <si>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</si>
  <si>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</si>
  <si>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</si>
  <si>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</si>
  <si>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</si>
  <si>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</si>
  <si>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</si>
  <si>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</si>
  <si>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</si>
  <si>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</si>
  <si>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</si>
  <si>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</si>
  <si>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</si>
  <si>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</si>
  <si>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</si>
  <si>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</si>
  <si>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</si>
  <si>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</si>
  <si>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</si>
  <si>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</si>
  <si>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</si>
  <si>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</si>
  <si>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</si>
  <si>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</si>
  <si>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</si>
  <si>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</si>
  <si>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</si>
  <si>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</si>
  <si>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</si>
  <si>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</si>
  <si>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</si>
  <si>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</si>
  <si>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</si>
  <si>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</si>
  <si>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</si>
  <si>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</si>
  <si>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</si>
  <si>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</si>
  <si>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</si>
  <si>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</si>
  <si>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</si>
  <si>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</si>
  <si>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</si>
  <si>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</si>
  <si>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</si>
  <si>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</si>
  <si>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</si>
  <si>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</si>
  <si>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</si>
  <si>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</si>
  <si>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</si>
  <si>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</si>
  <si>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</si>
  <si>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</si>
  <si>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</si>
  <si>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</si>
  <si>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</si>
  <si>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</si>
  <si>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</si>
  <si>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</si>
  <si>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</si>
  <si>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</si>
  <si>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</si>
  <si>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</si>
  <si>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</si>
  <si>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</si>
  <si>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</si>
  <si>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</si>
  <si>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</si>
  <si>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</si>
  <si>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</si>
  <si>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</si>
  <si>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</si>
  <si>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</si>
  <si>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</si>
  <si>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</si>
  <si>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</si>
  <si>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</si>
  <si>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</si>
  <si>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</si>
  <si>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</si>
  <si>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</si>
  <si>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</si>
  <si>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</si>
  <si>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</si>
  <si>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</si>
  <si>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</si>
  <si>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G.E.T. will need to be confirmed with a</t>
  </si>
  <si>
    <t>completed attachement survey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</si>
  <si>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</si>
  <si>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</si>
  <si>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</si>
  <si>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</si>
  <si>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</si>
  <si>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</si>
  <si>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</si>
  <si>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</si>
  <si>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</si>
  <si>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</si>
  <si>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</si>
  <si>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</si>
  <si>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</si>
  <si>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</si>
  <si>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</si>
  <si>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</si>
  <si>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</si>
  <si>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</si>
  <si>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</si>
  <si>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</si>
  <si>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</si>
  <si>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</si>
  <si>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</si>
  <si>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</si>
  <si>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</si>
  <si>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</si>
  <si>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</si>
  <si>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 xml:space="preserve">Blade and Rippers G.E.T. required a completed </t>
  </si>
  <si>
    <t>attachment survey to quote.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</si>
  <si>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</si>
  <si>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</si>
  <si>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</si>
  <si>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</si>
  <si>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</si>
  <si>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</si>
  <si>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</si>
  <si>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</si>
  <si>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</si>
  <si>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</si>
  <si>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</si>
  <si>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</si>
  <si>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</si>
  <si>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</si>
  <si>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</si>
  <si>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</si>
  <si>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</si>
  <si>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</si>
  <si>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</si>
  <si>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</si>
  <si>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</si>
  <si>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</si>
  <si>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</si>
  <si>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</si>
  <si>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</si>
  <si>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</si>
  <si>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</si>
  <si>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</si>
  <si>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</si>
  <si>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</si>
  <si>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</si>
  <si>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</si>
  <si>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</si>
  <si>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</si>
  <si>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</si>
  <si>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</si>
  <si>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</si>
  <si>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</si>
  <si>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</si>
  <si>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</si>
  <si>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</si>
  <si>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</si>
  <si>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</si>
  <si>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</si>
  <si>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</si>
  <si>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</si>
  <si>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</si>
  <si>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</si>
  <si>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</si>
  <si>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</si>
  <si>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</si>
  <si>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</si>
  <si>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</si>
  <si>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</si>
  <si>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Blade and ripper G.E.T. needs to be verified with</t>
  </si>
  <si>
    <t>an attachement servey.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</si>
  <si>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</si>
  <si>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</si>
  <si>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</si>
  <si>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</si>
  <si>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</si>
  <si>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</si>
  <si>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</si>
  <si>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</si>
  <si>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</si>
  <si>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</si>
  <si>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</si>
  <si>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</si>
  <si>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</si>
  <si>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</si>
  <si>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</si>
  <si>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</si>
  <si>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</si>
  <si>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</si>
  <si>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</si>
  <si>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</si>
  <si>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</si>
  <si>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</si>
  <si>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</si>
  <si>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</si>
  <si>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</si>
  <si>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</si>
  <si>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</si>
  <si>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</si>
  <si>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</si>
  <si>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</si>
  <si>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</si>
  <si>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</si>
  <si>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</si>
  <si>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</si>
  <si>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</si>
  <si>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</si>
  <si>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</si>
  <si>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</si>
  <si>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</si>
  <si>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</si>
  <si>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</si>
  <si>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</si>
  <si>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</si>
  <si>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</si>
  <si>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</si>
  <si>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</si>
  <si>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</si>
  <si>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</si>
  <si>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</si>
  <si>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</si>
  <si>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</si>
  <si>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</si>
  <si>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</si>
  <si>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</si>
  <si>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</si>
  <si>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</si>
  <si>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</si>
  <si>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</si>
  <si>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</si>
  <si>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</si>
  <si>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</si>
  <si>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</si>
  <si>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</si>
  <si>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</si>
  <si>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</si>
  <si>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</si>
  <si>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</si>
  <si>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</si>
  <si>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 xml:space="preserve">D6N LGP 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</si>
  <si>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</si>
  <si>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</si>
  <si>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</si>
  <si>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</si>
  <si>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</si>
  <si>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</si>
  <si>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</si>
  <si>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</si>
  <si>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</si>
  <si>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</si>
  <si>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</si>
  <si>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</si>
  <si>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</si>
  <si>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</si>
  <si>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</si>
  <si>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</si>
  <si>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</si>
  <si>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</si>
  <si>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</si>
  <si>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</si>
  <si>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</si>
  <si>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</si>
  <si>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</si>
  <si>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</si>
  <si>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</si>
  <si>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</si>
  <si>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</si>
  <si>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</si>
  <si>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</si>
  <si>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</si>
  <si>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</si>
  <si>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</si>
  <si>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</si>
  <si>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</si>
  <si>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</si>
  <si>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</si>
  <si>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</si>
  <si>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</si>
  <si>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</si>
  <si>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</si>
  <si>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</si>
  <si>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</si>
  <si>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</si>
  <si>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</si>
  <si>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</si>
  <si>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</si>
  <si>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</si>
  <si>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</si>
  <si>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</si>
  <si>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</si>
  <si>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</si>
  <si>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</si>
  <si>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</si>
  <si>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</si>
  <si>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</si>
  <si>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</si>
  <si>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</si>
  <si>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</si>
  <si>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</si>
  <si>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</si>
  <si>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</si>
  <si>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</si>
  <si>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</si>
  <si>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</si>
  <si>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</si>
  <si>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</si>
  <si>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</si>
  <si>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</si>
  <si>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</si>
  <si>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</si>
  <si>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</si>
  <si>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</si>
  <si>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</si>
  <si>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</si>
  <si>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</si>
  <si>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</si>
  <si>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</si>
  <si>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</si>
  <si>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</si>
  <si>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</si>
  <si>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</si>
  <si>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</si>
  <si>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</si>
  <si>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</si>
  <si>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</si>
  <si>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</si>
  <si>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</si>
  <si>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</si>
  <si>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</si>
  <si>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</si>
  <si>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</si>
  <si>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</si>
  <si>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</si>
  <si>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</si>
  <si>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</si>
  <si>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</si>
  <si>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</si>
  <si>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</si>
  <si>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</si>
  <si>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</si>
  <si>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</si>
  <si>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</si>
  <si>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</si>
  <si>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</si>
  <si>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</si>
  <si>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</si>
  <si>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</si>
  <si>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</si>
  <si>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</si>
  <si>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</si>
  <si>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</si>
  <si>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</si>
  <si>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</si>
  <si>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</si>
  <si>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</si>
  <si>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</si>
  <si>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</si>
  <si>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</si>
  <si>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</si>
  <si>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</si>
  <si>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</si>
  <si>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</si>
  <si>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</si>
  <si>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</si>
  <si>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</si>
  <si>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</si>
  <si>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</si>
  <si>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</si>
  <si>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</si>
  <si>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</si>
  <si>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</si>
  <si>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</si>
  <si>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</si>
  <si>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</si>
  <si>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</si>
  <si>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</si>
  <si>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</si>
  <si>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</si>
  <si>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</si>
  <si>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</si>
  <si>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</si>
  <si>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</si>
  <si>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</si>
  <si>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</si>
  <si>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</si>
  <si>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</si>
  <si>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</si>
  <si>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</si>
  <si>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</si>
  <si>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</si>
  <si>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</si>
  <si>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</si>
  <si>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</si>
  <si>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</si>
  <si>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</si>
  <si>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</si>
  <si>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SB276</t>
  </si>
  <si>
    <t>PL61</t>
  </si>
  <si>
    <t>SB285</t>
  </si>
  <si>
    <t>WGS00285</t>
  </si>
  <si>
    <t>WGS00276</t>
  </si>
  <si>
    <t>WGS00286</t>
  </si>
  <si>
    <t>SB286</t>
  </si>
  <si>
    <t>SB115</t>
  </si>
  <si>
    <t>561N</t>
  </si>
  <si>
    <t>CPH00115</t>
  </si>
  <si>
    <t>SB116</t>
  </si>
  <si>
    <t>CPH00116</t>
  </si>
  <si>
    <t>SB127</t>
  </si>
  <si>
    <t>CPH00127</t>
  </si>
  <si>
    <t>SB160</t>
  </si>
  <si>
    <t>CPH00160</t>
  </si>
  <si>
    <t>SB161</t>
  </si>
  <si>
    <t>CPH00161</t>
  </si>
  <si>
    <t>SB944</t>
  </si>
  <si>
    <t>D7G</t>
  </si>
  <si>
    <t>92V08944</t>
  </si>
  <si>
    <t>DZ1269</t>
  </si>
  <si>
    <t>SGG01269</t>
  </si>
  <si>
    <t>DZ611</t>
  </si>
  <si>
    <t>PBA00611</t>
  </si>
  <si>
    <t>SB470</t>
  </si>
  <si>
    <t>3CR01470</t>
  </si>
  <si>
    <t>SB474</t>
  </si>
  <si>
    <t>3CR01474</t>
  </si>
  <si>
    <t>SB129</t>
  </si>
  <si>
    <t>D4</t>
  </si>
  <si>
    <t>66J02129</t>
  </si>
  <si>
    <t>SB092</t>
  </si>
  <si>
    <t>D3</t>
  </si>
  <si>
    <t>1PJ01092</t>
  </si>
  <si>
    <t>BH0411</t>
  </si>
  <si>
    <t>WCH20411</t>
  </si>
  <si>
    <t>BH0496</t>
  </si>
  <si>
    <t>WCH20496</t>
  </si>
  <si>
    <t>BH0143</t>
  </si>
  <si>
    <t>WCH30143</t>
  </si>
  <si>
    <t>BH0217</t>
  </si>
  <si>
    <t>WCH40217</t>
  </si>
  <si>
    <t>BH0221</t>
  </si>
  <si>
    <t>WCH40221</t>
  </si>
  <si>
    <t>BH1072</t>
  </si>
  <si>
    <t>LHW01072</t>
  </si>
  <si>
    <t>BH0022</t>
  </si>
  <si>
    <t>LHW30022</t>
  </si>
  <si>
    <t>BH0200</t>
  </si>
  <si>
    <t>LHW30200</t>
  </si>
  <si>
    <t>BH300</t>
  </si>
  <si>
    <t>HCK20300</t>
  </si>
  <si>
    <t>BH512</t>
  </si>
  <si>
    <t>ERL00512</t>
  </si>
  <si>
    <t>BH0230</t>
  </si>
  <si>
    <t>MYK20230</t>
  </si>
  <si>
    <t>BH803</t>
  </si>
  <si>
    <t>WBK02803</t>
  </si>
  <si>
    <t>12V BATTERY - 1125CCA</t>
  </si>
  <si>
    <t>EQUIPMENT TYPE</t>
  </si>
  <si>
    <t>Excavator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</si>
</sst>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9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165" fontId="7" fillId="0" borderId="2" xfId="1" applyFont="1" applyFill="1" applyBorder="1" applyProtection="1">
      <protection locked="0"/>
    </xf>
    <xf numFmtId="165" fontId="7" fillId="0" borderId="2" xfId="1" applyFont="1" applyFill="1" applyBorder="1" applyProtection="1"/>
    <xf numFmtId="165" fontId="7" fillId="0" borderId="7" xfId="1" applyFont="1" applyFill="1" applyBorder="1" applyProtection="1"/>
    <xf numFmtId="165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5" fontId="7" fillId="0" borderId="1" xfId="1" applyFont="1" applyFill="1" applyBorder="1" applyProtection="1">
      <protection locked="0"/>
    </xf>
    <xf numFmtId="165" fontId="7" fillId="0" borderId="1" xfId="1" applyFont="1" applyFill="1" applyBorder="1" applyProtection="1"/>
    <xf numFmtId="165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6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6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5" fontId="7" fillId="10" borderId="2" xfId="1" applyFont="1" applyFill="1" applyBorder="1" applyProtection="1"/>
    <xf numFmtId="165" fontId="7" fillId="10" borderId="7" xfId="1" applyFont="1" applyFill="1" applyBorder="1" applyProtection="1"/>
    <xf numFmtId="165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5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165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165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6" fontId="3" fillId="6" borderId="0" xfId="0" applyNumberFormat="1" applyFont="1" applyFill="1"/>
    <xf numFmtId="167" fontId="9" fillId="0" borderId="0" xfId="0" applyNumberFormat="1" applyFont="1"/>
    <xf numFmtId="167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165" fontId="4" fillId="10" borderId="1" xfId="1" applyFont="1" applyFill="1" applyBorder="1" applyAlignment="1" applyProtection="1">
      <alignment horizontal="center"/>
    </xf>
    <xf numFmtId="165" fontId="4" fillId="10" borderId="1" xfId="0" applyNumberFormat="1" applyFont="1" applyFill="1" applyBorder="1" applyAlignment="1">
      <alignment horizontal="right"/>
    </xf>
    <xf numFmtId="165" fontId="4" fillId="10" borderId="1" xfId="0" applyNumberFormat="1" applyFont="1" applyFill="1" applyBorder="1"/>
    <xf numFmtId="165" fontId="27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65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165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9" fillId="0" borderId="0" xfId="0" applyFont="1"/>
    <xf numFmtId="0" fontId="28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165" fontId="7" fillId="10" borderId="2" xfId="1" applyFont="1" applyFill="1" applyBorder="1" applyProtection="1">
      <protection locked="0"/>
    </xf>
    <xf numFmtId="0" fontId="19" fillId="8" borderId="57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" fontId="6" fillId="3" borderId="3" xfId="3" applyNumberFormat="1" applyFill="1" applyBorder="1" applyAlignment="1" applyProtection="1">
      <alignment horizontal="left"/>
      <protection locked="0"/>
    </xf>
    <xf numFmtId="0" fontId="19" fillId="8" borderId="24" xfId="0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9" fillId="8" borderId="5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167" fontId="9" fillId="0" borderId="48" xfId="0" applyNumberFormat="1" applyFont="1" applyBorder="1" applyAlignment="1">
      <alignment horizontal="center"/>
    </xf>
    <xf numFmtId="167" fontId="9" fillId="0" borderId="46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0" fontId="20" fillId="9" borderId="10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9" fillId="8" borderId="2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7" borderId="60" xfId="0" applyNumberFormat="1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8" fillId="9" borderId="51" xfId="0" applyFont="1" applyFill="1" applyBorder="1" applyAlignment="1">
      <alignment horizontal="center" vertical="center" wrapText="1"/>
    </xf>
    <xf numFmtId="0" fontId="18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54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center" vertical="center"/>
    </xf>
    <xf numFmtId="0" fontId="18" fillId="9" borderId="26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7" fontId="10" fillId="0" borderId="59" xfId="0" applyNumberFormat="1" applyFont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7" fontId="10" fillId="0" borderId="5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8" borderId="1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20" fillId="9" borderId="58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2" fillId="9" borderId="49" xfId="0" applyFont="1" applyFill="1" applyBorder="1" applyAlignment="1">
      <alignment horizontal="center" vertical="center" wrapText="1"/>
    </xf>
    <xf numFmtId="0" fontId="22" fillId="9" borderId="50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/>
    </xf>
    <xf numFmtId="0" fontId="7" fillId="3" borderId="3" xfId="0" quotePrefix="1" applyFont="1" applyFill="1" applyBorder="1" applyAlignment="1" applyProtection="1">
      <alignment horizontal="left"/>
      <protection locked="0"/>
    </xf>
    <xf numFmtId="0" fontId="23" fillId="2" borderId="6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23" fillId="2" borderId="39" xfId="0" applyFont="1" applyFill="1" applyBorder="1" applyAlignment="1">
      <alignment horizontal="center"/>
    </xf>
    <xf numFmtId="0" fontId="23" fillId="2" borderId="63" xfId="0" applyFont="1" applyFill="1" applyBorder="1" applyAlignment="1">
      <alignment horizontal="center"/>
    </xf>
    <xf numFmtId="0" fontId="18" fillId="9" borderId="0" xfId="0" applyFont="1" applyFill="1" applyBorder="1" applyAlignment="1">
      <alignment horizontal="center" vertical="center" wrapText="1"/>
    </xf>
    <xf numFmtId="0" fontId="18" fillId="9" borderId="39" xfId="0" applyFont="1" applyFill="1" applyBorder="1" applyAlignment="1">
      <alignment horizontal="center" vertical="center" wrapText="1"/>
    </xf>
    <xf numFmtId="0" fontId="3" fillId="0" borderId="69" xfId="0" applyFont="1" applyBorder="1" applyAlignment="1" applyProtection="1">
      <alignment horizontal="left"/>
      <protection locked="0"/>
    </xf>
    <xf numFmtId="0" fontId="3" fillId="3" borderId="69" xfId="0" applyFont="1" applyFill="1" applyBorder="1" applyAlignment="1" applyProtection="1">
      <alignment horizontal="left"/>
      <protection locked="0"/>
    </xf>
    <xf numFmtId="0" fontId="10" fillId="4" borderId="47" xfId="0" applyFont="1" applyFill="1" applyBorder="1" applyAlignment="1">
      <alignment horizontal="center"/>
    </xf>
    <xf numFmtId="0" fontId="10" fillId="4" borderId="48" xfId="0" applyFont="1" applyFill="1" applyBorder="1" applyAlignment="1">
      <alignment horizontal="center"/>
    </xf>
    <xf numFmtId="0" fontId="10" fillId="4" borderId="46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7" fillId="3" borderId="0" xfId="0" applyFont="1" applyFill="1" applyBorder="1" applyAlignment="1" applyProtection="1">
      <alignment horizontal="left"/>
      <protection locked="0"/>
    </xf>
    <xf numFmtId="167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10" fillId="4" borderId="6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26" fillId="9" borderId="13" xfId="0" applyFont="1" applyFill="1" applyBorder="1" applyAlignment="1">
      <alignment horizontal="center" vertical="center" wrapText="1"/>
    </xf>
    <xf numFmtId="0" fontId="26" fillId="9" borderId="70" xfId="0" applyFont="1" applyFill="1" applyBorder="1" applyAlignment="1">
      <alignment horizontal="center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8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2691591</xdr:colOff>
      <xdr:row>15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6363-7FF4-4896-A4CA-C3DC3647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7DABB-F2B8-495F-853A-1EFFD083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6896C-B6F6-4F93-8FAB-F28CDB91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B9E92-FC48-4C73-B3FD-35B86D5F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6F79-1F1A-4119-AA2E-C39F9C50C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AA7-70AB-4FA8-948A-E0D6923D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059CF-F3A2-42F3-A129-4C26CEEB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1C86-330E-4427-9CDF-BC7D7A68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92A68-2F1A-4181-9663-821A1A47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61B2D-BB63-486F-B141-44347B36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6F4F6-AB06-42F3-9B51-CA106F37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20EC7-3391-4664-BC44-BFDF481D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FF176-2470-441D-A6C3-736C349A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05A2-9F80-4B76-BA20-CB9BD82E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E24CE-D8E5-4AD1-9484-49D84A74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22BF9-8BE2-45C1-B240-E3310587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4095-97DB-49F3-862B-67B1367C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3B62-4C27-4BE9-BF22-B66729E8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3BDC7-808F-4866-ACDD-3702899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BA2E-211D-4863-9EB3-98038509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B9E56-688E-4FE6-B51D-6339C7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A3FF-10A4-4CAC-8CAC-C72A150A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7C25D-4EDD-4640-BC91-24E8926D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A82D-5215-47C3-BC54-42899E7F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B99B-B20E-4955-BE5D-E8D9FA1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A94AC-D6E9-4CF5-9368-5A587C0D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E976-3609-4EC1-A413-26DCCA47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4A575-DBF9-459D-BDCF-8646180B5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F57B3-898C-481C-AD88-85659F5C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E694-AF6B-4187-B1EA-9E2A4E38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C5413-B7C9-4426-858C-C214A2A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7A8AD-46DD-4BE9-9DF6-A663C46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A9FC3-D69D-47E4-B253-07CA523C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F1375-87B1-4BAA-9258-45A7A43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FAB25-2493-42BC-95A7-38977FC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A6EF7-6CEC-4B41-A060-693DA7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ABDDD-7E07-4101-8691-969BCD80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3CAF0-25AE-4617-864F-F068FA8D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460F-B9FF-41A0-BC5C-4360293F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68942-9254-4392-BEE0-4CF1B201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E3AC3-2A57-4383-AB0F-D081E46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2E535-3D3A-4470-B3BB-2100948C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0AA8-3CC0-4590-AE8A-6DE8E21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88C0A-45C4-4967-884B-5C932E92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/>
  </sheetViews>
  <sheetFormatPr defaultRowHeight="14.4" x14ac:dyDescent="0.3"/>
  <cols>
    <col min="1" max="1" width="5.44140625" customWidth="1"/>
  </cols>
  <sheetData>
    <row r="1" spans="1:2" x14ac:dyDescent="0.3">
      <c r="A1" s="125" t="s">
        <v>17</v>
      </c>
    </row>
    <row r="2" spans="1:2" x14ac:dyDescent="0.3">
      <c r="A2" s="125" t="s">
        <v>87</v>
      </c>
    </row>
    <row r="4" spans="1:2" x14ac:dyDescent="0.3">
      <c r="A4" s="126" t="s">
        <v>98</v>
      </c>
    </row>
    <row r="5" spans="1:2" x14ac:dyDescent="0.3">
      <c r="A5" s="126" t="s">
        <v>97</v>
      </c>
    </row>
    <row r="6" spans="1:2" x14ac:dyDescent="0.3">
      <c r="B6" s="126"/>
    </row>
    <row r="7" spans="1:2" x14ac:dyDescent="0.3">
      <c r="A7" s="127" t="s">
        <v>88</v>
      </c>
    </row>
    <row r="8" spans="1:2" x14ac:dyDescent="0.3">
      <c r="B8" s="126" t="s">
        <v>89</v>
      </c>
    </row>
    <row r="9" spans="1:2" x14ac:dyDescent="0.3">
      <c r="B9" t="s">
        <v>110</v>
      </c>
    </row>
    <row r="10" spans="1:2" x14ac:dyDescent="0.3">
      <c r="B10" t="s">
        <v>111</v>
      </c>
    </row>
    <row r="12" spans="1:2" x14ac:dyDescent="0.3">
      <c r="A12" s="127" t="s">
        <v>90</v>
      </c>
    </row>
    <row r="13" spans="1:2" x14ac:dyDescent="0.3">
      <c r="B13" t="s">
        <v>91</v>
      </c>
    </row>
    <row r="14" spans="1:2" x14ac:dyDescent="0.3">
      <c r="B14" t="s">
        <v>109</v>
      </c>
    </row>
    <row r="16" spans="1:2" x14ac:dyDescent="0.3">
      <c r="A16" s="127" t="s">
        <v>92</v>
      </c>
    </row>
    <row r="17" spans="1:2" x14ac:dyDescent="0.3">
      <c r="B17" t="s">
        <v>91</v>
      </c>
    </row>
    <row r="18" spans="1:2" x14ac:dyDescent="0.3">
      <c r="B18" t="s">
        <v>112</v>
      </c>
    </row>
    <row r="20" spans="1:2" x14ac:dyDescent="0.3">
      <c r="A20" s="127" t="s">
        <v>93</v>
      </c>
    </row>
    <row r="21" spans="1:2" x14ac:dyDescent="0.3">
      <c r="B21" t="s">
        <v>113</v>
      </c>
    </row>
    <row r="22" spans="1:2" x14ac:dyDescent="0.3">
      <c r="B22" t="s">
        <v>94</v>
      </c>
    </row>
    <row r="23" spans="1:2" x14ac:dyDescent="0.3">
      <c r="B23" t="s">
        <v>95</v>
      </c>
    </row>
    <row r="24" spans="1:2" x14ac:dyDescent="0.3">
      <c r="B24" t="s">
        <v>96</v>
      </c>
    </row>
    <row r="25" spans="1:2" x14ac:dyDescent="0.3">
      <c r="B25" t="s">
        <v>114</v>
      </c>
    </row>
    <row r="27" spans="1:2" x14ac:dyDescent="0.3">
      <c r="A27" s="127" t="s">
        <v>115</v>
      </c>
    </row>
    <row r="28" spans="1:2" x14ac:dyDescent="0.3">
      <c r="A28" t="s">
        <v>99</v>
      </c>
    </row>
    <row r="29" spans="1:2" x14ac:dyDescent="0.3">
      <c r="B29" t="s">
        <v>100</v>
      </c>
    </row>
    <row r="34" spans="1:2" x14ac:dyDescent="0.3">
      <c r="A34" t="s">
        <v>101</v>
      </c>
    </row>
    <row r="35" spans="1:2" x14ac:dyDescent="0.3">
      <c r="B35" t="s">
        <v>103</v>
      </c>
    </row>
    <row r="41" spans="1:2" x14ac:dyDescent="0.3">
      <c r="A41" t="s">
        <v>102</v>
      </c>
    </row>
    <row r="42" spans="1:2" x14ac:dyDescent="0.3">
      <c r="B42" t="s">
        <v>106</v>
      </c>
    </row>
    <row r="51" spans="1:2" x14ac:dyDescent="0.3">
      <c r="A51" t="s">
        <v>107</v>
      </c>
    </row>
    <row r="52" spans="1:2" x14ac:dyDescent="0.3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64"/>
  <sheetViews>
    <sheetView tabSelected="1" zoomScale="85" zoomScaleNormal="85" workbookViewId="0">
      <selection activeCell="P10" sqref="P1:P104857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3.33203125" style="58" customWidth="1"/>
    <col min="5" max="5" width="9.6640625" style="86" customWidth="1"/>
    <col min="6" max="6" width="9.6640625" style="58" customWidth="1"/>
    <col min="7" max="9" width="18.6640625" style="58" customWidth="1"/>
    <col min="10" max="10" width="0.88671875" style="58" customWidth="1"/>
    <col min="11" max="11" width="9.5546875" style="58" customWidth="1"/>
    <col min="12" max="14" width="18.6640625" style="58" customWidth="1"/>
    <col min="15" max="15" width="13.664062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133"/>
      <c r="E1" s="273" t="s">
        <v>18</v>
      </c>
      <c r="F1" s="142"/>
      <c r="G1" s="142"/>
      <c r="H1" s="143"/>
      <c r="I1" s="164" t="s">
        <v>22</v>
      </c>
      <c r="J1" s="142"/>
      <c r="K1" s="142"/>
      <c r="L1" s="143"/>
      <c r="M1" s="140" t="s">
        <v>26</v>
      </c>
      <c r="N1" s="141"/>
      <c r="O1" s="141"/>
      <c r="P1" s="142" t="str">
        <f>L18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83" t="s">
        <v>41</v>
      </c>
      <c r="E2" s="284"/>
      <c r="F2" s="285"/>
      <c r="G2" s="251" t="s">
        <v>128</v>
      </c>
      <c r="H2" s="252"/>
      <c r="I2" s="248" t="s">
        <v>21</v>
      </c>
      <c r="J2" s="249"/>
      <c r="K2" s="250"/>
      <c r="L2" s="34"/>
      <c r="M2" s="233" t="s">
        <v>19</v>
      </c>
      <c r="N2" s="234"/>
      <c r="O2" s="235"/>
      <c r="P2" s="146">
        <f>I62</f>
        <v>57966.53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86" t="s">
        <v>13</v>
      </c>
      <c r="E3" s="287"/>
      <c r="F3" s="288"/>
      <c r="G3" s="245">
        <v>2012</v>
      </c>
      <c r="H3" s="246"/>
      <c r="I3" s="242" t="s">
        <v>20</v>
      </c>
      <c r="J3" s="243"/>
      <c r="K3" s="244"/>
      <c r="L3" s="32"/>
      <c r="M3" s="236" t="s">
        <v>24</v>
      </c>
      <c r="N3" s="237"/>
      <c r="O3" s="238"/>
      <c r="P3" s="148">
        <f>M62</f>
        <v>28893.54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86" t="s">
        <v>14</v>
      </c>
      <c r="E4" s="287"/>
      <c r="F4" s="288"/>
      <c r="G4" s="245" t="s">
        <v>129</v>
      </c>
      <c r="H4" s="246"/>
      <c r="I4" s="242" t="s">
        <v>28</v>
      </c>
      <c r="J4" s="243"/>
      <c r="K4" s="244"/>
      <c r="L4" s="32"/>
      <c r="M4" s="236" t="s">
        <v>27</v>
      </c>
      <c r="N4" s="237"/>
      <c r="O4" s="238"/>
      <c r="P4" s="148">
        <f>P2-P3</f>
        <v>29072.989999999998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86" t="s">
        <v>15</v>
      </c>
      <c r="E5" s="287"/>
      <c r="F5" s="288"/>
      <c r="G5" s="245" t="s">
        <v>130</v>
      </c>
      <c r="H5" s="246"/>
      <c r="I5" s="242" t="s">
        <v>29</v>
      </c>
      <c r="J5" s="243"/>
      <c r="K5" s="244"/>
      <c r="L5" s="32"/>
      <c r="M5" s="239" t="s">
        <v>25</v>
      </c>
      <c r="N5" s="240"/>
      <c r="O5" s="241"/>
      <c r="P5" s="225">
        <f>IFERROR((P2-P3)/P2,"")</f>
        <v>0.50154787598981687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86" t="s">
        <v>16</v>
      </c>
      <c r="E6" s="287"/>
      <c r="F6" s="288"/>
      <c r="G6" s="245" t="s">
        <v>131</v>
      </c>
      <c r="H6" s="246"/>
      <c r="I6" s="242" t="s">
        <v>30</v>
      </c>
      <c r="J6" s="243"/>
      <c r="K6" s="244"/>
      <c r="L6" s="32"/>
      <c r="M6" s="220" t="s">
        <v>71</v>
      </c>
      <c r="N6" s="221"/>
      <c r="O6" s="222"/>
      <c r="P6" s="223">
        <f>T62</f>
        <v>28750.720000000001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86" t="s">
        <v>57</v>
      </c>
      <c r="E7" s="287"/>
      <c r="F7" s="288"/>
      <c r="G7" s="245" t="s">
        <v>132</v>
      </c>
      <c r="H7" s="246"/>
      <c r="I7" s="242" t="s">
        <v>31</v>
      </c>
      <c r="J7" s="243"/>
      <c r="K7" s="244"/>
      <c r="L7" s="32"/>
      <c r="M7" s="165" t="s">
        <v>80</v>
      </c>
      <c r="N7" s="166"/>
      <c r="O7" s="167"/>
      <c r="P7" s="168">
        <f>R62</f>
        <v>142.82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92" t="s">
        <v>32</v>
      </c>
      <c r="E8" s="292"/>
      <c r="F8" s="293"/>
      <c r="G8" s="245">
        <v>4546</v>
      </c>
      <c r="H8" s="246"/>
      <c r="I8" s="242" t="s">
        <v>40</v>
      </c>
      <c r="J8" s="243"/>
      <c r="K8" s="244"/>
      <c r="L8" s="32"/>
      <c r="M8" s="165" t="s">
        <v>72</v>
      </c>
      <c r="N8" s="166"/>
      <c r="O8" s="167"/>
      <c r="P8" s="168">
        <f>IF(P1=Q15,R15,IF(Q15="CAD $",R15*E16,IF(Q15="USD $",R15*F16,0)))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94" t="s">
        <v>58</v>
      </c>
      <c r="E9" s="294"/>
      <c r="F9" s="295"/>
      <c r="G9" s="245"/>
      <c r="H9" s="246"/>
      <c r="I9" s="111"/>
      <c r="J9" s="112"/>
      <c r="K9" s="112"/>
      <c r="L9" s="43"/>
      <c r="M9" s="165" t="s">
        <v>70</v>
      </c>
      <c r="N9" s="166"/>
      <c r="O9" s="167"/>
      <c r="P9" s="231">
        <f>V15</f>
        <v>3.57</v>
      </c>
      <c r="Q9" s="231"/>
      <c r="R9" s="232"/>
      <c r="S9" s="170">
        <f>P7+P8+P9</f>
        <v>146.38999999999999</v>
      </c>
      <c r="T9" s="170">
        <f>P3-S9</f>
        <v>28747.15</v>
      </c>
      <c r="U9" s="172">
        <f>IFERROR(((P3-S9)/S9),0)</f>
        <v>196.37372771364167</v>
      </c>
      <c r="V9" s="172">
        <f>IFERROR(T9/P3,0)</f>
        <v>0.99493346955755513</v>
      </c>
      <c r="W9" s="174"/>
      <c r="X9" s="64"/>
      <c r="Y9" s="61"/>
      <c r="Z9" s="61"/>
      <c r="AA9" s="61"/>
      <c r="AB9" s="61"/>
    </row>
    <row r="10" spans="1:28" ht="15" customHeight="1" x14ac:dyDescent="0.3">
      <c r="A10" s="55"/>
      <c r="B10" s="114"/>
      <c r="C10" s="114"/>
      <c r="D10" s="296" t="s">
        <v>820</v>
      </c>
      <c r="E10" s="296"/>
      <c r="F10" s="296"/>
      <c r="G10" s="289" t="s">
        <v>821</v>
      </c>
      <c r="H10" s="289"/>
      <c r="I10" s="111"/>
      <c r="J10" s="112"/>
      <c r="K10" s="112"/>
      <c r="L10" s="43"/>
      <c r="M10" s="134"/>
      <c r="N10" s="135"/>
      <c r="O10" s="136"/>
      <c r="P10" s="137"/>
      <c r="Q10" s="137"/>
      <c r="R10" s="138"/>
      <c r="S10" s="290"/>
      <c r="T10" s="290"/>
      <c r="U10" s="291"/>
      <c r="V10" s="291"/>
      <c r="W10" s="174"/>
      <c r="X10" s="64"/>
      <c r="Y10" s="61"/>
      <c r="Z10" s="61"/>
      <c r="AA10" s="61"/>
      <c r="AB10" s="61"/>
    </row>
    <row r="11" spans="1:28" ht="15" customHeight="1" thickBot="1" x14ac:dyDescent="0.35">
      <c r="A11" s="55"/>
      <c r="B11" s="114"/>
      <c r="C11" s="114"/>
      <c r="D11" s="114"/>
      <c r="E11" s="113"/>
      <c r="F11" s="113"/>
      <c r="G11" s="111"/>
      <c r="H11" s="111"/>
      <c r="I11" s="111"/>
      <c r="J11" s="112"/>
      <c r="K11" s="112"/>
      <c r="L11" s="43"/>
      <c r="M11" s="159" t="s">
        <v>83</v>
      </c>
      <c r="N11" s="160"/>
      <c r="O11" s="161"/>
      <c r="P11" s="162">
        <f>F62</f>
        <v>73</v>
      </c>
      <c r="Q11" s="162"/>
      <c r="R11" s="163"/>
      <c r="S11" s="171"/>
      <c r="T11" s="171"/>
      <c r="U11" s="173"/>
      <c r="V11" s="173"/>
      <c r="W11" s="175"/>
      <c r="X11" s="64"/>
      <c r="Y11" s="61"/>
      <c r="Z11" s="61"/>
      <c r="AA11" s="61"/>
      <c r="AB11" s="61"/>
    </row>
    <row r="12" spans="1:28" ht="15" customHeight="1" x14ac:dyDescent="0.3">
      <c r="A12" s="55"/>
      <c r="B12" s="256"/>
      <c r="C12" s="257"/>
      <c r="D12" s="275"/>
      <c r="E12" s="260" t="s">
        <v>37</v>
      </c>
      <c r="F12" s="261"/>
      <c r="G12" s="264" t="s">
        <v>19</v>
      </c>
      <c r="H12" s="151"/>
      <c r="I12" s="265"/>
      <c r="J12" s="90"/>
      <c r="K12" s="182" t="s">
        <v>44</v>
      </c>
      <c r="L12" s="183"/>
      <c r="M12" s="183"/>
      <c r="N12" s="183"/>
      <c r="O12" s="184"/>
      <c r="P12" s="150" t="s">
        <v>43</v>
      </c>
      <c r="Q12" s="151"/>
      <c r="R12" s="151"/>
      <c r="S12" s="151"/>
      <c r="T12" s="151"/>
      <c r="U12" s="151"/>
      <c r="V12" s="152"/>
      <c r="W12" s="22"/>
      <c r="X12" s="65"/>
      <c r="Y12" s="61" t="s">
        <v>7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276"/>
      <c r="E13" s="262"/>
      <c r="F13" s="263"/>
      <c r="G13" s="266"/>
      <c r="H13" s="267"/>
      <c r="I13" s="268"/>
      <c r="J13" s="91"/>
      <c r="K13" s="185"/>
      <c r="L13" s="186"/>
      <c r="M13" s="186"/>
      <c r="N13" s="186"/>
      <c r="O13" s="187"/>
      <c r="P13" s="153"/>
      <c r="Q13" s="154"/>
      <c r="R13" s="154"/>
      <c r="S13" s="154"/>
      <c r="T13" s="154"/>
      <c r="U13" s="154"/>
      <c r="V13" s="155"/>
      <c r="W13" s="23"/>
      <c r="X13" s="65"/>
      <c r="Y13" s="61" t="s">
        <v>8</v>
      </c>
      <c r="Z13" s="61"/>
      <c r="AA13" s="61"/>
      <c r="AB13" s="61"/>
    </row>
    <row r="14" spans="1:28" ht="15" customHeight="1" x14ac:dyDescent="0.3">
      <c r="A14" s="55"/>
      <c r="B14" s="258"/>
      <c r="C14" s="259"/>
      <c r="D14" s="277"/>
      <c r="E14" s="195"/>
      <c r="F14" s="196"/>
      <c r="G14" s="191" t="s">
        <v>82</v>
      </c>
      <c r="H14" s="192"/>
      <c r="I14" s="44" t="s">
        <v>33</v>
      </c>
      <c r="J14" s="92"/>
      <c r="K14" s="188"/>
      <c r="L14" s="189"/>
      <c r="M14" s="189"/>
      <c r="N14" s="189"/>
      <c r="O14" s="190"/>
      <c r="P14" s="153"/>
      <c r="Q14" s="154"/>
      <c r="R14" s="154"/>
      <c r="S14" s="154"/>
      <c r="T14" s="154"/>
      <c r="U14" s="154"/>
      <c r="V14" s="155"/>
      <c r="W14" s="24"/>
      <c r="X14" s="65"/>
      <c r="Y14" s="61" t="s">
        <v>33</v>
      </c>
      <c r="Z14" s="61"/>
      <c r="AA14" s="61"/>
      <c r="AB14" s="61"/>
    </row>
    <row r="15" spans="1:28" ht="30" customHeight="1" x14ac:dyDescent="0.3">
      <c r="A15" s="55"/>
      <c r="B15" s="258"/>
      <c r="C15" s="259"/>
      <c r="D15" s="278"/>
      <c r="E15" s="106" t="s">
        <v>35</v>
      </c>
      <c r="F15" s="107" t="s">
        <v>36</v>
      </c>
      <c r="G15" s="197" t="s">
        <v>105</v>
      </c>
      <c r="H15" s="198"/>
      <c r="I15" s="199"/>
      <c r="J15" s="93"/>
      <c r="K15" s="193" t="s">
        <v>116</v>
      </c>
      <c r="L15" s="194"/>
      <c r="M15" s="207" t="s">
        <v>117</v>
      </c>
      <c r="N15" s="208"/>
      <c r="O15" s="209"/>
      <c r="P15" s="101" t="s">
        <v>104</v>
      </c>
      <c r="Q15" s="37" t="s">
        <v>8</v>
      </c>
      <c r="R15" s="45"/>
      <c r="S15" s="101" t="s">
        <v>81</v>
      </c>
      <c r="T15" s="46">
        <v>2.5000000000000001E-2</v>
      </c>
      <c r="U15" s="101" t="s">
        <v>66</v>
      </c>
      <c r="V15" s="100">
        <f>ROUND(R62*T15,2)</f>
        <v>3.57</v>
      </c>
      <c r="W15" s="25"/>
      <c r="X15" s="65"/>
      <c r="Y15" s="61" t="s">
        <v>34</v>
      </c>
      <c r="Z15" s="61"/>
      <c r="AA15" s="61"/>
      <c r="AB15" s="61"/>
    </row>
    <row r="16" spans="1:28" ht="15" customHeight="1" x14ac:dyDescent="0.3">
      <c r="A16" s="55"/>
      <c r="B16" s="258"/>
      <c r="C16" s="259"/>
      <c r="D16" s="276"/>
      <c r="E16" s="119">
        <f>1/F16</f>
        <v>0.68965517241379315</v>
      </c>
      <c r="F16" s="7">
        <v>1.45</v>
      </c>
      <c r="G16" s="202"/>
      <c r="H16" s="203"/>
      <c r="I16" s="204"/>
      <c r="J16" s="94"/>
      <c r="K16" s="195"/>
      <c r="L16" s="196"/>
      <c r="M16" s="210"/>
      <c r="N16" s="211"/>
      <c r="O16" s="212"/>
      <c r="P16" s="156" t="s">
        <v>79</v>
      </c>
      <c r="Q16" s="157"/>
      <c r="R16" s="157"/>
      <c r="S16" s="157"/>
      <c r="T16" s="157"/>
      <c r="U16" s="157"/>
      <c r="V16" s="158"/>
      <c r="W16" s="19"/>
      <c r="X16" s="66"/>
      <c r="Y16" s="61"/>
      <c r="Z16" s="61"/>
      <c r="AA16" s="61"/>
      <c r="AB16" s="61"/>
    </row>
    <row r="17" spans="1:28" ht="15" customHeight="1" x14ac:dyDescent="0.3">
      <c r="A17" s="55"/>
      <c r="B17" s="253" t="s">
        <v>0</v>
      </c>
      <c r="C17" s="255" t="s">
        <v>1</v>
      </c>
      <c r="D17" s="279"/>
      <c r="E17" s="269" t="s">
        <v>38</v>
      </c>
      <c r="F17" s="271" t="s">
        <v>2</v>
      </c>
      <c r="G17" s="200" t="s">
        <v>3</v>
      </c>
      <c r="H17" s="201"/>
      <c r="I17" s="104" t="s">
        <v>9</v>
      </c>
      <c r="J17" s="95"/>
      <c r="K17" s="178" t="s">
        <v>2</v>
      </c>
      <c r="L17" s="102" t="s">
        <v>6</v>
      </c>
      <c r="M17" s="99" t="s">
        <v>4</v>
      </c>
      <c r="N17" s="205" t="s">
        <v>118</v>
      </c>
      <c r="O17" s="297" t="s">
        <v>119</v>
      </c>
      <c r="P17" s="144" t="s">
        <v>5</v>
      </c>
      <c r="Q17" s="97" t="s">
        <v>74</v>
      </c>
      <c r="R17" s="97" t="s">
        <v>76</v>
      </c>
      <c r="S17" s="98" t="s">
        <v>75</v>
      </c>
      <c r="T17" s="98" t="s">
        <v>77</v>
      </c>
      <c r="U17" s="99" t="s">
        <v>65</v>
      </c>
      <c r="V17" s="99" t="s">
        <v>59</v>
      </c>
      <c r="W17" s="26"/>
      <c r="X17" s="67"/>
      <c r="Y17" s="61"/>
      <c r="Z17" s="61"/>
      <c r="AA17" s="61"/>
      <c r="AB17" s="61"/>
    </row>
    <row r="18" spans="1:28" s="70" customFormat="1" ht="15" customHeight="1" x14ac:dyDescent="0.3">
      <c r="A18" s="56"/>
      <c r="B18" s="254"/>
      <c r="C18" s="200"/>
      <c r="D18" s="280"/>
      <c r="E18" s="270"/>
      <c r="F18" s="272"/>
      <c r="G18" s="37" t="s">
        <v>7</v>
      </c>
      <c r="H18" s="105" t="str">
        <f>IF(G18="USD $", "CAD $", "USD $")</f>
        <v>USD $</v>
      </c>
      <c r="I18" s="103" t="str">
        <f>L18</f>
        <v>CAD $</v>
      </c>
      <c r="J18" s="96"/>
      <c r="K18" s="179"/>
      <c r="L18" s="180" t="s">
        <v>7</v>
      </c>
      <c r="M18" s="181"/>
      <c r="N18" s="206"/>
      <c r="O18" s="298"/>
      <c r="P18" s="145"/>
      <c r="Q18" s="37" t="s">
        <v>7</v>
      </c>
      <c r="R18" s="215" t="str">
        <f>L18</f>
        <v>CAD $</v>
      </c>
      <c r="S18" s="216"/>
      <c r="T18" s="216"/>
      <c r="U18" s="216"/>
      <c r="V18" s="217"/>
      <c r="W18" s="20"/>
      <c r="X18" s="68"/>
      <c r="Y18" s="69"/>
      <c r="Z18" s="69"/>
      <c r="AA18" s="69"/>
      <c r="AB18" s="69"/>
    </row>
    <row r="19" spans="1:28" x14ac:dyDescent="0.3">
      <c r="A19" s="55"/>
      <c r="B19" s="2" t="s">
        <v>133</v>
      </c>
      <c r="C19" s="5" t="s">
        <v>134</v>
      </c>
      <c r="D19" s="281"/>
      <c r="E19" s="128"/>
      <c r="F19" s="53">
        <v>1</v>
      </c>
      <c r="G19" s="8">
        <v>40.69</v>
      </c>
      <c r="H19" s="9">
        <f>ROUND(IF($G$18="USD $", G19*$F$16,G19*$E$16),2)</f>
        <v>28.06</v>
      </c>
      <c r="I19" s="10">
        <f>ROUND(IF($I$18=$H$18,F19*H19,F19*G19),2)</f>
        <v>40.69</v>
      </c>
      <c r="J19" s="11"/>
      <c r="K19" s="89">
        <f t="shared" ref="K19" si="0">F19</f>
        <v>1</v>
      </c>
      <c r="L19" s="9">
        <f>IFERROR(IF(N19="OEM DISC %",ROUND(IF($L$18=$G$18,G19*(1-O19),H19*(1-O19)),2),IF(N19="MARKUP %",ROUND(R19/K19*(1+O19),2))),0)</f>
        <v>15.46</v>
      </c>
      <c r="M19" s="9">
        <f>ROUND((K19*L19),2)</f>
        <v>15.46</v>
      </c>
      <c r="N19" s="8" t="s">
        <v>120</v>
      </c>
      <c r="O19" s="36">
        <v>0.62</v>
      </c>
      <c r="P19" s="2"/>
      <c r="Q19" s="13"/>
      <c r="R19" s="14">
        <f>ROUND(IF($R$18=$Q$18,Q19,IF($R$18="USD $",Q19*$E$16,Q19*$F$16))*F19,2)</f>
        <v>0</v>
      </c>
      <c r="S19" s="14">
        <f>IFERROR(ROUND(T19/F19,2),0)</f>
        <v>15.46</v>
      </c>
      <c r="T19" s="14">
        <f>ROUND(M19-R19,2)</f>
        <v>15.46</v>
      </c>
      <c r="U19" s="29">
        <f>IFERROR(((L19-(R19/K19))/(R19/K19)),0)</f>
        <v>0</v>
      </c>
      <c r="V19" s="29">
        <f>IFERROR(((L19-(R19/K19))/L19),0)</f>
        <v>1</v>
      </c>
      <c r="W19" s="27"/>
      <c r="X19" s="50"/>
      <c r="Y19" s="61"/>
      <c r="Z19" s="61">
        <v>250</v>
      </c>
      <c r="AA19" s="71"/>
      <c r="AB19" s="72"/>
    </row>
    <row r="20" spans="1:28" x14ac:dyDescent="0.3">
      <c r="A20" s="55"/>
      <c r="B20" s="1" t="s">
        <v>135</v>
      </c>
      <c r="C20" s="4" t="s">
        <v>136</v>
      </c>
      <c r="D20" s="282"/>
      <c r="E20" s="129"/>
      <c r="F20" s="54">
        <v>1</v>
      </c>
      <c r="G20" s="15">
        <v>57.5</v>
      </c>
      <c r="H20" s="38">
        <f t="shared" ref="H20:H38" si="1">ROUND(IF($G$18="USD $", G20*$F$16,G20*$E$16),2)</f>
        <v>39.659999999999997</v>
      </c>
      <c r="I20" s="39">
        <f t="shared" ref="I20:I38" si="2">ROUND(IF($I$18=$H$18,F20*H20,F20*G20),2)</f>
        <v>57.5</v>
      </c>
      <c r="J20" s="42"/>
      <c r="K20" s="88">
        <f t="shared" ref="K20:K38" si="3">F20</f>
        <v>1</v>
      </c>
      <c r="L20" s="38">
        <f>IFERROR(IF(N20="OEM DISC %",ROUND(IF($L$18=$G$18,G20*(1-O20),H20*(1-O20)),2),IF(N20="MARKUP %",ROUND(R20/K20*(1+O20),2))),0)</f>
        <v>21.85</v>
      </c>
      <c r="M20" s="38">
        <f t="shared" ref="M20:M38" si="4">ROUND((K20*L20),2)</f>
        <v>21.85</v>
      </c>
      <c r="N20" s="132" t="s">
        <v>120</v>
      </c>
      <c r="O20" s="16">
        <v>0.62</v>
      </c>
      <c r="P20" s="1"/>
      <c r="Q20" s="15"/>
      <c r="R20" s="40">
        <f>ROUND(IF($R$18=$Q$18,Q20,IF($R$18="USD $",Q20*$E$16,Q20*$F$16))*F20,2)</f>
        <v>0</v>
      </c>
      <c r="S20" s="52">
        <f>IFERROR(ROUND(T20/F20,2),0)</f>
        <v>21.85</v>
      </c>
      <c r="T20" s="52">
        <f>ROUND(M20-R20,2)</f>
        <v>21.85</v>
      </c>
      <c r="U20" s="41">
        <f>IFERROR(((L20-(R20/K20))/(R20/K20)),0)</f>
        <v>0</v>
      </c>
      <c r="V20" s="41">
        <f>IFERROR(((L20-(R20/K20))/L20),0)</f>
        <v>1</v>
      </c>
      <c r="W20" s="28"/>
      <c r="X20" s="50"/>
      <c r="Y20" s="61" t="s">
        <v>45</v>
      </c>
      <c r="Z20" s="61">
        <v>500</v>
      </c>
      <c r="AA20" s="61"/>
      <c r="AB20" s="61"/>
    </row>
    <row r="21" spans="1:28" x14ac:dyDescent="0.3">
      <c r="A21" s="55"/>
      <c r="B21" s="2" t="s">
        <v>137</v>
      </c>
      <c r="C21" s="6" t="s">
        <v>138</v>
      </c>
      <c r="D21" s="281"/>
      <c r="E21" s="130"/>
      <c r="F21" s="53">
        <v>1</v>
      </c>
      <c r="G21" s="8">
        <v>67.33</v>
      </c>
      <c r="H21" s="9">
        <f t="shared" si="1"/>
        <v>46.43</v>
      </c>
      <c r="I21" s="10">
        <f t="shared" si="2"/>
        <v>67.33</v>
      </c>
      <c r="J21" s="42"/>
      <c r="K21" s="89">
        <f t="shared" si="3"/>
        <v>1</v>
      </c>
      <c r="L21" s="9">
        <f>IFERROR(IF(N21="OEM DISC %",ROUND(IF($L$18=$G$18,G21*(1-O21),H21*(1-O21)),2),IF(N21="MARKUP %",ROUND(R21/K21*(1+O21),2))),0)</f>
        <v>25.59</v>
      </c>
      <c r="M21" s="9">
        <f t="shared" si="4"/>
        <v>25.59</v>
      </c>
      <c r="N21" s="8" t="s">
        <v>120</v>
      </c>
      <c r="O21" s="12">
        <v>0.62</v>
      </c>
      <c r="P21" s="3"/>
      <c r="Q21" s="13"/>
      <c r="R21" s="14">
        <f>ROUND(IF($R$18=$Q$18,Q21,IF($R$18="USD $",Q21*$E$16,Q21*$F$16))*F21,2)</f>
        <v>0</v>
      </c>
      <c r="S21" s="14">
        <f>IFERROR(ROUND(T21/F21,2),0)</f>
        <v>25.59</v>
      </c>
      <c r="T21" s="14">
        <f>ROUND(M21-R21,2)</f>
        <v>25.59</v>
      </c>
      <c r="U21" s="29">
        <f>IFERROR(((L21-(R21/K21))/(R21/K21)),0)</f>
        <v>0</v>
      </c>
      <c r="V21" s="29">
        <f>IFERROR(((L21-(R21/K21))/L21),0)</f>
        <v>1</v>
      </c>
      <c r="W21" s="27"/>
      <c r="X21" s="50"/>
      <c r="Y21" s="61" t="s">
        <v>46</v>
      </c>
      <c r="Z21" s="61">
        <v>750</v>
      </c>
      <c r="AA21" s="61"/>
      <c r="AB21" s="61"/>
    </row>
    <row r="22" spans="1:28" x14ac:dyDescent="0.3">
      <c r="A22" s="55"/>
      <c r="B22" s="1" t="s">
        <v>139</v>
      </c>
      <c r="C22" s="4" t="s">
        <v>140</v>
      </c>
      <c r="D22" s="282"/>
      <c r="E22" s="129"/>
      <c r="F22" s="54">
        <v>1</v>
      </c>
      <c r="G22" s="15">
        <v>61.69</v>
      </c>
      <c r="H22" s="38">
        <f t="shared" si="1"/>
        <v>42.54</v>
      </c>
      <c r="I22" s="39">
        <f t="shared" si="2"/>
        <v>61.69</v>
      </c>
      <c r="J22" s="42"/>
      <c r="K22" s="88">
        <f t="shared" si="3"/>
        <v>1</v>
      </c>
      <c r="L22" s="38">
        <f>IFERROR(IF(N22="OEM DISC %",ROUND(IF($L$18=$G$18,G22*(1-O22),H22*(1-O22)),2),IF(N22="MARKUP %",ROUND(R22/K22*(1+O22),2))),0)</f>
        <v>23.44</v>
      </c>
      <c r="M22" s="38">
        <f t="shared" si="4"/>
        <v>23.44</v>
      </c>
      <c r="N22" s="132" t="s">
        <v>120</v>
      </c>
      <c r="O22" s="16">
        <v>0.62</v>
      </c>
      <c r="P22" s="1"/>
      <c r="Q22" s="15"/>
      <c r="R22" s="40">
        <f>ROUND(IF($R$18=$Q$18,Q22,IF($R$18="USD $",Q22*$E$16,Q22*$F$16))*F22,2)</f>
        <v>0</v>
      </c>
      <c r="S22" s="52">
        <f>IFERROR(ROUND(T22/F22,2),0)</f>
        <v>23.44</v>
      </c>
      <c r="T22" s="52">
        <f>ROUND(M22-R22,2)</f>
        <v>23.44</v>
      </c>
      <c r="U22" s="41">
        <f>IFERROR(((L22-(R22/K22))/(R22/K22)),0)</f>
        <v>0</v>
      </c>
      <c r="V22" s="41">
        <f>IFERROR(((L22-(R22/K22))/L22),0)</f>
        <v>1</v>
      </c>
      <c r="W22" s="28"/>
      <c r="X22" s="50"/>
      <c r="Y22" s="61" t="s">
        <v>47</v>
      </c>
      <c r="Z22" s="61">
        <v>1000</v>
      </c>
      <c r="AA22" s="61"/>
      <c r="AB22" s="61"/>
    </row>
    <row r="23" spans="1:28" x14ac:dyDescent="0.3">
      <c r="A23" s="55"/>
      <c r="B23" s="2" t="s">
        <v>141</v>
      </c>
      <c r="C23" s="6" t="s">
        <v>142</v>
      </c>
      <c r="D23" s="281"/>
      <c r="E23" s="130"/>
      <c r="F23" s="53">
        <v>1</v>
      </c>
      <c r="G23" s="8">
        <v>98.39</v>
      </c>
      <c r="H23" s="9">
        <f t="shared" si="1"/>
        <v>67.86</v>
      </c>
      <c r="I23" s="10">
        <f t="shared" si="2"/>
        <v>98.39</v>
      </c>
      <c r="J23" s="42"/>
      <c r="K23" s="89">
        <f t="shared" si="3"/>
        <v>1</v>
      </c>
      <c r="L23" s="9">
        <f>IFERROR(IF(N23="OEM DISC %",ROUND(IF($L$18=$G$18,G23*(1-O23),H23*(1-O23)),2),IF(N23="MARKUP %",ROUND(R23/K23*(1+O23),2))),0)</f>
        <v>37.39</v>
      </c>
      <c r="M23" s="9">
        <f t="shared" si="4"/>
        <v>37.39</v>
      </c>
      <c r="N23" s="8" t="s">
        <v>120</v>
      </c>
      <c r="O23" s="12">
        <v>0.62</v>
      </c>
      <c r="P23" s="3"/>
      <c r="Q23" s="13"/>
      <c r="R23" s="14">
        <f>ROUND(IF($R$18=$Q$18,Q23,IF($R$18="USD $",Q23*$E$16,Q23*$F$16))*F23,2)</f>
        <v>0</v>
      </c>
      <c r="S23" s="14">
        <f>IFERROR(ROUND(T23/F23,2),0)</f>
        <v>37.39</v>
      </c>
      <c r="T23" s="14">
        <f>ROUND(M23-R23,2)</f>
        <v>37.39</v>
      </c>
      <c r="U23" s="29">
        <f>IFERROR(((L23-(R23/K23))/(R23/K23)),0)</f>
        <v>0</v>
      </c>
      <c r="V23" s="29">
        <f>IFERROR(((L23-(R23/K23))/L23),0)</f>
        <v>1</v>
      </c>
      <c r="W23" s="27"/>
      <c r="X23" s="50"/>
      <c r="Y23" s="61" t="s">
        <v>52</v>
      </c>
      <c r="Z23" s="61">
        <v>1200</v>
      </c>
      <c r="AA23" s="61"/>
      <c r="AB23" s="61"/>
    </row>
    <row r="24" spans="1:28" x14ac:dyDescent="0.3">
      <c r="A24" s="55"/>
      <c r="B24" s="1" t="s">
        <v>143</v>
      </c>
      <c r="C24" s="4" t="s">
        <v>144</v>
      </c>
      <c r="D24" s="282"/>
      <c r="E24" s="129"/>
      <c r="F24" s="54">
        <v>1</v>
      </c>
      <c r="G24" s="15">
        <v>130.47</v>
      </c>
      <c r="H24" s="38">
        <f t="shared" si="1"/>
        <v>89.98</v>
      </c>
      <c r="I24" s="39">
        <f t="shared" si="2"/>
        <v>130.47</v>
      </c>
      <c r="J24" s="42"/>
      <c r="K24" s="88">
        <f t="shared" si="3"/>
        <v>1</v>
      </c>
      <c r="L24" s="38">
        <f>IFERROR(IF(N24="OEM DISC %",ROUND(IF($L$18=$G$18,G24*(1-O24),H24*(1-O24)),2),IF(N24="MARKUP %",ROUND(R24/K24*(1+O24),2))),0)</f>
        <v>49.58</v>
      </c>
      <c r="M24" s="38">
        <f t="shared" si="4"/>
        <v>49.58</v>
      </c>
      <c r="N24" s="132" t="s">
        <v>120</v>
      </c>
      <c r="O24" s="16">
        <v>0.62</v>
      </c>
      <c r="P24" s="1"/>
      <c r="Q24" s="15"/>
      <c r="R24" s="40">
        <f>ROUND(IF($R$18=$Q$18,Q24,IF($R$18="USD $",Q24*$E$16,Q24*$F$16))*F24,2)</f>
        <v>0</v>
      </c>
      <c r="S24" s="52">
        <f>IFERROR(ROUND(T24/F24,2),0)</f>
        <v>49.58</v>
      </c>
      <c r="T24" s="52">
        <f>ROUND(M24-R24,2)</f>
        <v>49.58</v>
      </c>
      <c r="U24" s="41">
        <f>IFERROR(((L24-(R24/K24))/(R24/K24)),0)</f>
        <v>0</v>
      </c>
      <c r="V24" s="41">
        <f>IFERROR(((L24-(R24/K24))/L24),0)</f>
        <v>1</v>
      </c>
      <c r="W24" s="28"/>
      <c r="X24" s="50"/>
      <c r="Y24" s="61" t="s">
        <v>48</v>
      </c>
      <c r="Z24" s="61">
        <v>2000</v>
      </c>
      <c r="AA24" s="61"/>
      <c r="AB24" s="61"/>
    </row>
    <row r="25" spans="1:28" x14ac:dyDescent="0.3">
      <c r="A25" s="55"/>
      <c r="B25" s="2" t="s">
        <v>145</v>
      </c>
      <c r="C25" s="6" t="s">
        <v>146</v>
      </c>
      <c r="D25" s="281"/>
      <c r="E25" s="130"/>
      <c r="F25" s="53">
        <v>1</v>
      </c>
      <c r="G25" s="8">
        <v>356.29</v>
      </c>
      <c r="H25" s="9">
        <f t="shared" si="1"/>
        <v>245.72</v>
      </c>
      <c r="I25" s="10">
        <f t="shared" si="2"/>
        <v>356.29</v>
      </c>
      <c r="J25" s="42"/>
      <c r="K25" s="89">
        <f t="shared" si="3"/>
        <v>1</v>
      </c>
      <c r="L25" s="9">
        <f>IFERROR(IF(N25="OEM DISC %",ROUND(IF($L$18=$G$18,G25*(1-O25),H25*(1-O25)),2),IF(N25="MARKUP %",ROUND(R25/K25*(1+O25),2))),0)</f>
        <v>160.66999999999999</v>
      </c>
      <c r="M25" s="9">
        <f t="shared" si="4"/>
        <v>160.66999999999999</v>
      </c>
      <c r="N25" s="8" t="s">
        <v>121</v>
      </c>
      <c r="O25" s="12">
        <v>0.125</v>
      </c>
      <c r="P25" s="3"/>
      <c r="Q25" s="13">
        <v>142.82</v>
      </c>
      <c r="R25" s="14">
        <f>ROUND(IF($R$18=$Q$18,Q25,IF($R$18="USD $",Q25*$E$16,Q25*$F$16))*F25,2)</f>
        <v>142.82</v>
      </c>
      <c r="S25" s="14">
        <f>IFERROR(ROUND(T25/F25,2),0)</f>
        <v>17.850000000000001</v>
      </c>
      <c r="T25" s="14">
        <f>ROUND(M25-R25,2)</f>
        <v>17.850000000000001</v>
      </c>
      <c r="U25" s="29">
        <f>IFERROR(((L25-(R25/K25))/(R25/K25)),0)</f>
        <v>0.12498249544881666</v>
      </c>
      <c r="V25" s="29">
        <f>IFERROR(((L25-(R25/K25))/L25),0)</f>
        <v>0.11109728013941617</v>
      </c>
      <c r="W25" s="27"/>
      <c r="X25" s="50"/>
      <c r="Y25" s="61" t="s">
        <v>53</v>
      </c>
      <c r="Z25" s="61">
        <v>4000</v>
      </c>
      <c r="AA25" s="61"/>
      <c r="AB25" s="61"/>
    </row>
    <row r="26" spans="1:28" x14ac:dyDescent="0.3">
      <c r="A26" s="55"/>
      <c r="B26" s="1" t="s">
        <v>147</v>
      </c>
      <c r="C26" s="4" t="s">
        <v>148</v>
      </c>
      <c r="D26" s="282"/>
      <c r="E26" s="129"/>
      <c r="F26" s="54">
        <v>1</v>
      </c>
      <c r="G26" s="15">
        <v>3786.04</v>
      </c>
      <c r="H26" s="38">
        <f t="shared" si="1"/>
        <v>2611.06</v>
      </c>
      <c r="I26" s="39">
        <f t="shared" si="2"/>
        <v>3786.04</v>
      </c>
      <c r="J26" s="42"/>
      <c r="K26" s="88">
        <f t="shared" si="3"/>
        <v>1</v>
      </c>
      <c r="L26" s="38">
        <f>IFERROR(IF(N26="OEM DISC %",ROUND(IF($L$18=$G$18,G26*(1-O26),H26*(1-O26)),2),IF(N26="MARKUP %",ROUND(R26/K26*(1+O26),2))),0)</f>
        <v>1893.02</v>
      </c>
      <c r="M26" s="38">
        <f t="shared" si="4"/>
        <v>1893.02</v>
      </c>
      <c r="N26" s="132" t="s">
        <v>120</v>
      </c>
      <c r="O26" s="16">
        <v>0.5</v>
      </c>
      <c r="P26" s="1"/>
      <c r="Q26" s="15"/>
      <c r="R26" s="40">
        <f>ROUND(IF($R$18=$Q$18,Q26,IF($R$18="USD $",Q26*$E$16,Q26*$F$16))*F26,2)</f>
        <v>0</v>
      </c>
      <c r="S26" s="52">
        <f>IFERROR(ROUND(T26/F26,2),0)</f>
        <v>1893.02</v>
      </c>
      <c r="T26" s="52">
        <f>ROUND(M26-R26,2)</f>
        <v>1893.02</v>
      </c>
      <c r="U26" s="41">
        <f>IFERROR(((L26-(R26/K26))/(R26/K26)),0)</f>
        <v>0</v>
      </c>
      <c r="V26" s="41">
        <f>IFERROR(((L26-(R26/K26))/L26),0)</f>
        <v>1</v>
      </c>
      <c r="W26" s="28"/>
      <c r="X26" s="50"/>
      <c r="Y26" s="61" t="s">
        <v>49</v>
      </c>
      <c r="Z26" s="61">
        <v>6000</v>
      </c>
      <c r="AA26" s="61"/>
      <c r="AB26" s="61"/>
    </row>
    <row r="27" spans="1:28" x14ac:dyDescent="0.3">
      <c r="A27" s="55"/>
      <c r="B27" s="2" t="s">
        <v>149</v>
      </c>
      <c r="C27" s="6" t="s">
        <v>150</v>
      </c>
      <c r="D27" s="281"/>
      <c r="E27" s="130"/>
      <c r="F27" s="53">
        <v>3</v>
      </c>
      <c r="G27" s="8">
        <v>974.18</v>
      </c>
      <c r="H27" s="9">
        <f t="shared" si="1"/>
        <v>671.85</v>
      </c>
      <c r="I27" s="10">
        <f t="shared" si="2"/>
        <v>2922.54</v>
      </c>
      <c r="J27" s="42"/>
      <c r="K27" s="89">
        <f t="shared" si="3"/>
        <v>3</v>
      </c>
      <c r="L27" s="9">
        <f>IFERROR(IF(N27="OEM DISC %",ROUND(IF($L$18=$G$18,G27*(1-O27),H27*(1-O27)),2),IF(N27="MARKUP %",ROUND(R27/K27*(1+O27),2))),0)</f>
        <v>487.09</v>
      </c>
      <c r="M27" s="9">
        <f t="shared" si="4"/>
        <v>1461.27</v>
      </c>
      <c r="N27" s="8" t="s">
        <v>120</v>
      </c>
      <c r="O27" s="12">
        <v>0.5</v>
      </c>
      <c r="P27" s="3"/>
      <c r="Q27" s="13"/>
      <c r="R27" s="14">
        <f>ROUND(IF($R$18=$Q$18,Q27,IF($R$18="USD $",Q27*$E$16,Q27*$F$16))*F27,2)</f>
        <v>0</v>
      </c>
      <c r="S27" s="14">
        <f>IFERROR(ROUND(T27/F27,2),0)</f>
        <v>487.09</v>
      </c>
      <c r="T27" s="14">
        <f>ROUND(M27-R27,2)</f>
        <v>1461.27</v>
      </c>
      <c r="U27" s="29">
        <f>IFERROR(((L27-(R27/K27))/(R27/K27)),0)</f>
        <v>0</v>
      </c>
      <c r="V27" s="29">
        <f>IFERROR(((L27-(R27/K27))/L27),0)</f>
        <v>1</v>
      </c>
      <c r="W27" s="27"/>
      <c r="X27" s="50"/>
      <c r="Y27" s="61" t="s">
        <v>50</v>
      </c>
      <c r="Z27" s="61">
        <v>8000</v>
      </c>
      <c r="AA27" s="61"/>
      <c r="AB27" s="61"/>
    </row>
    <row r="28" spans="1:28" x14ac:dyDescent="0.3">
      <c r="A28" s="55"/>
      <c r="B28" s="1"/>
      <c r="C28" s="4"/>
      <c r="D28" s="282"/>
      <c r="E28" s="129"/>
      <c r="F28" s="54"/>
      <c r="G28" s="15"/>
      <c r="H28" s="38">
        <f t="shared" si="1"/>
        <v>0</v>
      </c>
      <c r="I28" s="39">
        <f t="shared" si="2"/>
        <v>0</v>
      </c>
      <c r="J28" s="42"/>
      <c r="K28" s="88">
        <f t="shared" si="3"/>
        <v>0</v>
      </c>
      <c r="L28" s="38">
        <f>IFERROR(IF(N28="OEM DISC %",ROUND(IF($L$18=$G$18,G28*(1-O28),H28*(1-O28)),2),IF(N28="MARKUP %",ROUND(R28/K28*(1+O28),2))),0)</f>
        <v>0</v>
      </c>
      <c r="M28" s="38">
        <f t="shared" si="4"/>
        <v>0</v>
      </c>
      <c r="N28" s="132" t="s">
        <v>120</v>
      </c>
      <c r="O28" s="16"/>
      <c r="P28" s="1"/>
      <c r="Q28" s="15"/>
      <c r="R28" s="40">
        <f>ROUND(IF($R$18=$Q$18,Q28,IF($R$18="USD $",Q28*$E$16,Q28*$F$16))*F28,2)</f>
        <v>0</v>
      </c>
      <c r="S28" s="52">
        <f>IFERROR(ROUND(T28/F28,2),0)</f>
        <v>0</v>
      </c>
      <c r="T28" s="52">
        <f>ROUND(M28-R28,2)</f>
        <v>0</v>
      </c>
      <c r="U28" s="41">
        <f>IFERROR(((L28-(R28/K28))/(R28/K28)),0)</f>
        <v>0</v>
      </c>
      <c r="V28" s="41">
        <f>IFERROR(((L28-(R28/K28))/L28),0)</f>
        <v>0</v>
      </c>
      <c r="W28" s="28"/>
      <c r="X28" s="50"/>
      <c r="Y28" s="61" t="s">
        <v>54</v>
      </c>
      <c r="Z28" s="73">
        <v>10000</v>
      </c>
      <c r="AA28" s="61"/>
      <c r="AB28" s="61"/>
    </row>
    <row r="29" spans="1:28" x14ac:dyDescent="0.3">
      <c r="A29" s="55"/>
      <c r="B29" s="2" t="s">
        <v>151</v>
      </c>
      <c r="C29" s="6" t="s">
        <v>152</v>
      </c>
      <c r="D29" s="281"/>
      <c r="E29" s="130"/>
      <c r="F29" s="53">
        <v>2</v>
      </c>
      <c r="G29" s="8">
        <v>2467.27</v>
      </c>
      <c r="H29" s="9">
        <f t="shared" si="1"/>
        <v>1701.57</v>
      </c>
      <c r="I29" s="10">
        <f t="shared" si="2"/>
        <v>4934.54</v>
      </c>
      <c r="J29" s="42"/>
      <c r="K29" s="89">
        <f t="shared" si="3"/>
        <v>2</v>
      </c>
      <c r="L29" s="9">
        <f>IFERROR(IF(N29="OEM DISC %",ROUND(IF($L$18=$G$18,G29*(1-O29),H29*(1-O29)),2),IF(N29="MARKUP %",ROUND(R29/K29*(1+O29),2))),0)</f>
        <v>1233.6400000000001</v>
      </c>
      <c r="M29" s="9">
        <f t="shared" si="4"/>
        <v>2467.2800000000002</v>
      </c>
      <c r="N29" s="8" t="s">
        <v>120</v>
      </c>
      <c r="O29" s="12">
        <v>0.5</v>
      </c>
      <c r="P29" s="3"/>
      <c r="Q29" s="13"/>
      <c r="R29" s="14">
        <f>ROUND(IF($R$18=$Q$18,Q29,IF($R$18="USD $",Q29*$E$16,Q29*$F$16))*F29,2)</f>
        <v>0</v>
      </c>
      <c r="S29" s="14">
        <f>IFERROR(ROUND(T29/F29,2),0)</f>
        <v>1233.6400000000001</v>
      </c>
      <c r="T29" s="14">
        <f>ROUND(M29-R29,2)</f>
        <v>2467.2800000000002</v>
      </c>
      <c r="U29" s="29">
        <f>IFERROR(((L29-(R29/K29))/(R29/K29)),0)</f>
        <v>0</v>
      </c>
      <c r="V29" s="29">
        <f>IFERROR(((L29-(R29/K29))/L29),0)</f>
        <v>1</v>
      </c>
      <c r="W29" s="27"/>
      <c r="X29" s="50"/>
      <c r="Y29" s="61" t="s">
        <v>55</v>
      </c>
      <c r="Z29" s="61" t="s">
        <v>51</v>
      </c>
      <c r="AA29" s="61"/>
      <c r="AB29" s="61"/>
    </row>
    <row r="30" spans="1:28" x14ac:dyDescent="0.3">
      <c r="A30" s="55"/>
      <c r="B30" s="1" t="s">
        <v>153</v>
      </c>
      <c r="C30" s="4" t="s">
        <v>154</v>
      </c>
      <c r="D30" s="282"/>
      <c r="E30" s="129"/>
      <c r="F30" s="54">
        <v>2</v>
      </c>
      <c r="G30" s="15">
        <v>403.56</v>
      </c>
      <c r="H30" s="38">
        <f>ROUND(IF($G$18="USD $", G30*$F$16,G30*$E$16),2)</f>
        <v>278.32</v>
      </c>
      <c r="I30" s="39">
        <f>ROUND(IF($I$18=$H$18,F30*H30,F30*G30),2)</f>
        <v>807.12</v>
      </c>
      <c r="J30" s="42"/>
      <c r="K30" s="88">
        <f t="shared" si="3"/>
        <v>2</v>
      </c>
      <c r="L30" s="38">
        <f>IFERROR(IF(N30="OEM DISC %",ROUND(IF($L$18=$G$18,G30*(1-O30),H30*(1-O30)),2),IF(N30="MARKUP %",ROUND(R30/K30*(1+O30),2))),0)</f>
        <v>201.78</v>
      </c>
      <c r="M30" s="38">
        <f>ROUND((K30*L30),2)</f>
        <v>403.56</v>
      </c>
      <c r="N30" s="132" t="s">
        <v>120</v>
      </c>
      <c r="O30" s="16">
        <v>0.5</v>
      </c>
      <c r="P30" s="1"/>
      <c r="Q30" s="15"/>
      <c r="R30" s="40">
        <f>ROUND(IF($R$18=$Q$18,Q30,IF($R$18="USD $",Q30*$E$16,Q30*$F$16))*F30,2)</f>
        <v>0</v>
      </c>
      <c r="S30" s="52">
        <f>IFERROR(ROUND(T30/F30,2),0)</f>
        <v>201.78</v>
      </c>
      <c r="T30" s="52">
        <f>ROUND(M30-R30,2)</f>
        <v>403.56</v>
      </c>
      <c r="U30" s="41">
        <f>IFERROR(((L30-(R30/K30))/(R30/K30)),0)</f>
        <v>0</v>
      </c>
      <c r="V30" s="41">
        <f>IFERROR(((L30-(R30/K30))/L30),0)</f>
        <v>1</v>
      </c>
      <c r="W30" s="28"/>
      <c r="X30" s="50"/>
      <c r="Y30" s="61" t="s">
        <v>56</v>
      </c>
      <c r="Z30" s="61"/>
      <c r="AA30" s="61"/>
      <c r="AB30" s="61"/>
    </row>
    <row r="31" spans="1:28" x14ac:dyDescent="0.3">
      <c r="A31" s="55"/>
      <c r="B31" s="2" t="s">
        <v>155</v>
      </c>
      <c r="C31" s="6" t="s">
        <v>156</v>
      </c>
      <c r="D31" s="281"/>
      <c r="E31" s="130"/>
      <c r="F31" s="53">
        <v>2</v>
      </c>
      <c r="G31" s="8">
        <v>7.14</v>
      </c>
      <c r="H31" s="9">
        <f t="shared" si="1"/>
        <v>4.92</v>
      </c>
      <c r="I31" s="10">
        <f t="shared" si="2"/>
        <v>14.28</v>
      </c>
      <c r="J31" s="42"/>
      <c r="K31" s="89">
        <f t="shared" si="3"/>
        <v>2</v>
      </c>
      <c r="L31" s="9">
        <f>IFERROR(IF(N31="OEM DISC %",ROUND(IF($L$18=$G$18,G31*(1-O31),H31*(1-O31)),2),IF(N31="MARKUP %",ROUND(R31/K31*(1+O31),2))),0)</f>
        <v>3.57</v>
      </c>
      <c r="M31" s="9">
        <f t="shared" si="4"/>
        <v>7.14</v>
      </c>
      <c r="N31" s="8" t="s">
        <v>120</v>
      </c>
      <c r="O31" s="12">
        <v>0.5</v>
      </c>
      <c r="P31" s="3"/>
      <c r="Q31" s="13"/>
      <c r="R31" s="14">
        <f>ROUND(IF($R$18=$Q$18,Q31,IF($R$18="USD $",Q31*$E$16,Q31*$F$16))*F31,2)</f>
        <v>0</v>
      </c>
      <c r="S31" s="14">
        <f>IFERROR(ROUND(T31/F31,2),0)</f>
        <v>3.57</v>
      </c>
      <c r="T31" s="14">
        <f>ROUND(M31-R31,2)</f>
        <v>7.14</v>
      </c>
      <c r="U31" s="29">
        <f>IFERROR(((L31-(R31/K31))/(R31/K31)),0)</f>
        <v>0</v>
      </c>
      <c r="V31" s="29">
        <f>IFERROR(((L31-(R31/K31))/L31),0)</f>
        <v>1</v>
      </c>
      <c r="W31" s="27"/>
      <c r="X31" s="50"/>
      <c r="Y31" s="61"/>
      <c r="Z31" s="61"/>
      <c r="AA31" s="61"/>
      <c r="AB31" s="61"/>
    </row>
    <row r="32" spans="1:28" x14ac:dyDescent="0.3">
      <c r="A32" s="55"/>
      <c r="B32" s="1" t="s">
        <v>157</v>
      </c>
      <c r="C32" s="4" t="s">
        <v>158</v>
      </c>
      <c r="D32" s="282"/>
      <c r="E32" s="129"/>
      <c r="F32" s="54">
        <v>4</v>
      </c>
      <c r="G32" s="15">
        <v>3.77</v>
      </c>
      <c r="H32" s="38">
        <f t="shared" si="1"/>
        <v>2.6</v>
      </c>
      <c r="I32" s="39">
        <f t="shared" si="2"/>
        <v>15.08</v>
      </c>
      <c r="J32" s="42"/>
      <c r="K32" s="88">
        <f t="shared" si="3"/>
        <v>4</v>
      </c>
      <c r="L32" s="38">
        <f>IFERROR(IF(N32="OEM DISC %",ROUND(IF($L$18=$G$18,G32*(1-O32),H32*(1-O32)),2),IF(N32="MARKUP %",ROUND(R32/K32*(1+O32),2))),0)</f>
        <v>1.89</v>
      </c>
      <c r="M32" s="38">
        <f t="shared" si="4"/>
        <v>7.56</v>
      </c>
      <c r="N32" s="132" t="s">
        <v>120</v>
      </c>
      <c r="O32" s="16">
        <v>0.5</v>
      </c>
      <c r="P32" s="1"/>
      <c r="Q32" s="15"/>
      <c r="R32" s="40">
        <f>ROUND(IF($R$18=$Q$18,Q32,IF($R$18="USD $",Q32*$E$16,Q32*$F$16))*F32,2)</f>
        <v>0</v>
      </c>
      <c r="S32" s="52">
        <f>IFERROR(ROUND(T32/F32,2),0)</f>
        <v>1.89</v>
      </c>
      <c r="T32" s="52">
        <f>ROUND(M32-R32,2)</f>
        <v>7.56</v>
      </c>
      <c r="U32" s="41">
        <f>IFERROR(((L32-(R32/K32))/(R32/K32)),0)</f>
        <v>0</v>
      </c>
      <c r="V32" s="41">
        <f>IFERROR(((L32-(R32/K32))/L32),0)</f>
        <v>1</v>
      </c>
      <c r="W32" s="28"/>
      <c r="X32" s="50"/>
      <c r="Y32" s="61" t="s">
        <v>120</v>
      </c>
      <c r="Z32" s="61"/>
      <c r="AA32" s="61"/>
      <c r="AB32" s="61"/>
    </row>
    <row r="33" spans="1:28" x14ac:dyDescent="0.3">
      <c r="A33" s="55"/>
      <c r="B33" s="2" t="s">
        <v>159</v>
      </c>
      <c r="C33" s="6" t="s">
        <v>160</v>
      </c>
      <c r="D33" s="281"/>
      <c r="E33" s="130"/>
      <c r="F33" s="53">
        <v>4</v>
      </c>
      <c r="G33" s="8">
        <v>498.61</v>
      </c>
      <c r="H33" s="9">
        <f t="shared" si="1"/>
        <v>343.87</v>
      </c>
      <c r="I33" s="10">
        <f t="shared" si="2"/>
        <v>1994.44</v>
      </c>
      <c r="J33" s="42"/>
      <c r="K33" s="89">
        <f t="shared" si="3"/>
        <v>4</v>
      </c>
      <c r="L33" s="9">
        <f>IFERROR(IF(N33="OEM DISC %",ROUND(IF($L$18=$G$18,G33*(1-O33),H33*(1-O33)),2),IF(N33="MARKUP %",ROUND(R33/K33*(1+O33),2))),0)</f>
        <v>249.31</v>
      </c>
      <c r="M33" s="9">
        <f t="shared" si="4"/>
        <v>997.24</v>
      </c>
      <c r="N33" s="8" t="s">
        <v>120</v>
      </c>
      <c r="O33" s="12">
        <v>0.5</v>
      </c>
      <c r="P33" s="3"/>
      <c r="Q33" s="13"/>
      <c r="R33" s="14">
        <f>ROUND(IF($R$18=$Q$18,Q33,IF($R$18="USD $",Q33*$E$16,Q33*$F$16))*F33,2)</f>
        <v>0</v>
      </c>
      <c r="S33" s="14">
        <f>IFERROR(ROUND(T33/F33,2),0)</f>
        <v>249.31</v>
      </c>
      <c r="T33" s="14">
        <f>ROUND(M33-R33,2)</f>
        <v>997.24</v>
      </c>
      <c r="U33" s="29">
        <f>IFERROR(((L33-(R33/K33))/(R33/K33)),0)</f>
        <v>0</v>
      </c>
      <c r="V33" s="29">
        <f>IFERROR(((L33-(R33/K33))/L33),0)</f>
        <v>1</v>
      </c>
      <c r="W33" s="27"/>
      <c r="X33" s="50"/>
      <c r="Y33" s="61" t="s">
        <v>121</v>
      </c>
      <c r="Z33" s="61"/>
      <c r="AA33" s="61"/>
      <c r="AB33" s="61"/>
    </row>
    <row r="34" spans="1:28" x14ac:dyDescent="0.3">
      <c r="A34" s="55"/>
      <c r="B34" s="1" t="s">
        <v>155</v>
      </c>
      <c r="C34" s="4" t="s">
        <v>161</v>
      </c>
      <c r="D34" s="282"/>
      <c r="E34" s="129"/>
      <c r="F34" s="54">
        <v>16</v>
      </c>
      <c r="G34" s="15">
        <v>7.14</v>
      </c>
      <c r="H34" s="38">
        <f t="shared" si="1"/>
        <v>4.92</v>
      </c>
      <c r="I34" s="39">
        <f t="shared" si="2"/>
        <v>114.24</v>
      </c>
      <c r="J34" s="42"/>
      <c r="K34" s="88">
        <f t="shared" si="3"/>
        <v>16</v>
      </c>
      <c r="L34" s="38">
        <f>IFERROR(IF(N34="OEM DISC %",ROUND(IF($L$18=$G$18,G34*(1-O34),H34*(1-O34)),2),IF(N34="MARKUP %",ROUND(R34/K34*(1+O34),2))),0)</f>
        <v>3.57</v>
      </c>
      <c r="M34" s="38">
        <f t="shared" si="4"/>
        <v>57.12</v>
      </c>
      <c r="N34" s="132" t="s">
        <v>120</v>
      </c>
      <c r="O34" s="16">
        <v>0.5</v>
      </c>
      <c r="P34" s="1"/>
      <c r="Q34" s="15"/>
      <c r="R34" s="40">
        <f>ROUND(IF($R$18=$Q$18,Q34,IF($R$18="USD $",Q34*$E$16,Q34*$F$16))*F34,2)</f>
        <v>0</v>
      </c>
      <c r="S34" s="52">
        <f>IFERROR(ROUND(T34/F34,2),0)</f>
        <v>3.57</v>
      </c>
      <c r="T34" s="52">
        <f>ROUND(M34-R34,2)</f>
        <v>57.12</v>
      </c>
      <c r="U34" s="41">
        <f>IFERROR(((L34-(R34/K34))/(R34/K34)),0)</f>
        <v>0</v>
      </c>
      <c r="V34" s="41">
        <f>IFERROR(((L34-(R34/K34))/L34),0)</f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2" t="s">
        <v>162</v>
      </c>
      <c r="C35" s="6" t="s">
        <v>163</v>
      </c>
      <c r="D35" s="281"/>
      <c r="E35" s="130"/>
      <c r="F35" s="53">
        <v>20</v>
      </c>
      <c r="G35" s="8">
        <v>5.59</v>
      </c>
      <c r="H35" s="9">
        <f t="shared" si="1"/>
        <v>3.86</v>
      </c>
      <c r="I35" s="10">
        <f t="shared" si="2"/>
        <v>111.8</v>
      </c>
      <c r="J35" s="42"/>
      <c r="K35" s="89">
        <f t="shared" si="3"/>
        <v>20</v>
      </c>
      <c r="L35" s="9">
        <f>IFERROR(IF(N35="OEM DISC %",ROUND(IF($L$18=$G$18,G35*(1-O35),H35*(1-O35)),2),IF(N35="MARKUP %",ROUND(R35/K35*(1+O35),2))),0)</f>
        <v>2.8</v>
      </c>
      <c r="M35" s="9">
        <f t="shared" si="4"/>
        <v>56</v>
      </c>
      <c r="N35" s="8" t="s">
        <v>120</v>
      </c>
      <c r="O35" s="12">
        <v>0.5</v>
      </c>
      <c r="P35" s="3"/>
      <c r="Q35" s="13"/>
      <c r="R35" s="14">
        <f>ROUND(IF($R$18=$Q$18,Q35,IF($R$18="USD $",Q35*$E$16,Q35*$F$16))*F35,2)</f>
        <v>0</v>
      </c>
      <c r="S35" s="14">
        <f>IFERROR(ROUND(T35/F35,2),0)</f>
        <v>2.8</v>
      </c>
      <c r="T35" s="14">
        <f>ROUND(M35-R35,2)</f>
        <v>56</v>
      </c>
      <c r="U35" s="29">
        <f>IFERROR(((L35-(R35/K35))/(R35/K35)),0)</f>
        <v>0</v>
      </c>
      <c r="V35" s="29">
        <f>IFERROR(((L35-(R35/K35))/L35),0)</f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1" t="s">
        <v>164</v>
      </c>
      <c r="C36" s="4" t="s">
        <v>165</v>
      </c>
      <c r="D36" s="282"/>
      <c r="E36" s="129"/>
      <c r="F36" s="54">
        <v>2</v>
      </c>
      <c r="G36" s="15">
        <v>854.8</v>
      </c>
      <c r="H36" s="38">
        <f t="shared" si="1"/>
        <v>589.52</v>
      </c>
      <c r="I36" s="39">
        <f t="shared" si="2"/>
        <v>1709.6</v>
      </c>
      <c r="J36" s="42"/>
      <c r="K36" s="88">
        <f t="shared" si="3"/>
        <v>2</v>
      </c>
      <c r="L36" s="38">
        <f>IFERROR(IF(N36="OEM DISC %",ROUND(IF($L$18=$G$18,G36*(1-O36),H36*(1-O36)),2),IF(N36="MARKUP %",ROUND(R36/K36*(1+O36),2))),0)</f>
        <v>427.4</v>
      </c>
      <c r="M36" s="38">
        <f t="shared" si="4"/>
        <v>854.8</v>
      </c>
      <c r="N36" s="132" t="s">
        <v>120</v>
      </c>
      <c r="O36" s="16">
        <v>0.5</v>
      </c>
      <c r="P36" s="1"/>
      <c r="Q36" s="15"/>
      <c r="R36" s="40">
        <f>ROUND(IF($R$18=$Q$18,Q36,IF($R$18="USD $",Q36*$E$16,Q36*$F$16))*F36,2)</f>
        <v>0</v>
      </c>
      <c r="S36" s="52">
        <f>IFERROR(ROUND(T36/F36,2),0)</f>
        <v>427.4</v>
      </c>
      <c r="T36" s="52">
        <f>ROUND(M36-R36,2)</f>
        <v>854.8</v>
      </c>
      <c r="U36" s="41">
        <f>IFERROR(((L36-(R36/K36))/(R36/K36)),0)</f>
        <v>0</v>
      </c>
      <c r="V36" s="41">
        <f>IFERROR(((L36-(R36/K36))/L36),0)</f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2"/>
      <c r="C37" s="6"/>
      <c r="D37" s="281"/>
      <c r="E37" s="130"/>
      <c r="F37" s="53"/>
      <c r="G37" s="8"/>
      <c r="H37" s="9">
        <f t="shared" si="1"/>
        <v>0</v>
      </c>
      <c r="I37" s="10">
        <f t="shared" si="2"/>
        <v>0</v>
      </c>
      <c r="J37" s="42"/>
      <c r="K37" s="89">
        <f t="shared" si="3"/>
        <v>0</v>
      </c>
      <c r="L37" s="9">
        <f>IFERROR(IF(N37="OEM DISC %",ROUND(IF($L$18=$G$18,G37*(1-O37),H37*(1-O37)),2),IF(N37="MARKUP %",ROUND(R37/K37*(1+O37),2))),0)</f>
        <v>0</v>
      </c>
      <c r="M37" s="9">
        <f t="shared" si="4"/>
        <v>0</v>
      </c>
      <c r="N37" s="8" t="s">
        <v>120</v>
      </c>
      <c r="O37" s="12"/>
      <c r="P37" s="3"/>
      <c r="Q37" s="13"/>
      <c r="R37" s="14">
        <f>ROUND(IF($R$18=$Q$18,Q37,IF($R$18="USD $",Q37*$E$16,Q37*$F$16))*F37,2)</f>
        <v>0</v>
      </c>
      <c r="S37" s="14">
        <f>IFERROR(ROUND(T37/F37,2),0)</f>
        <v>0</v>
      </c>
      <c r="T37" s="14">
        <f>ROUND(M37-R37,2)</f>
        <v>0</v>
      </c>
      <c r="U37" s="29">
        <f>IFERROR(((L37-(R37/K37))/(R37/K37)),0)</f>
        <v>0</v>
      </c>
      <c r="V37" s="29">
        <f>IFERROR(((L37-(R37/K37))/L37),0)</f>
        <v>0</v>
      </c>
      <c r="W37" s="27"/>
      <c r="X37" s="50"/>
      <c r="Y37" s="61"/>
      <c r="Z37" s="61"/>
      <c r="AA37" s="61"/>
      <c r="AB37" s="61"/>
    </row>
    <row r="38" spans="1:28" x14ac:dyDescent="0.3">
      <c r="A38" s="55"/>
      <c r="B38" s="1" t="s">
        <v>166</v>
      </c>
      <c r="C38" s="4" t="s">
        <v>167</v>
      </c>
      <c r="D38" s="282"/>
      <c r="E38" s="129"/>
      <c r="F38" s="54">
        <v>1</v>
      </c>
      <c r="G38" s="15">
        <v>3156.78</v>
      </c>
      <c r="H38" s="38">
        <f t="shared" si="1"/>
        <v>2177.09</v>
      </c>
      <c r="I38" s="39">
        <f t="shared" si="2"/>
        <v>3156.78</v>
      </c>
      <c r="J38" s="42"/>
      <c r="K38" s="88">
        <f t="shared" si="3"/>
        <v>1</v>
      </c>
      <c r="L38" s="38">
        <f>IFERROR(IF(N38="OEM DISC %",ROUND(IF($L$18=$G$18,G38*(1-O38),H38*(1-O38)),2),IF(N38="MARKUP %",ROUND(R38/K38*(1+O38),2))),0)</f>
        <v>1578.39</v>
      </c>
      <c r="M38" s="38">
        <f t="shared" si="4"/>
        <v>1578.39</v>
      </c>
      <c r="N38" s="132" t="s">
        <v>120</v>
      </c>
      <c r="O38" s="16">
        <v>0.5</v>
      </c>
      <c r="P38" s="1"/>
      <c r="Q38" s="15"/>
      <c r="R38" s="40">
        <f>ROUND(IF($R$18=$Q$18,Q38,IF($R$18="USD $",Q38*$E$16,Q38*$F$16))*F38,2)</f>
        <v>0</v>
      </c>
      <c r="S38" s="52">
        <f>IFERROR(ROUND(T38/F38,2),0)</f>
        <v>1578.39</v>
      </c>
      <c r="T38" s="52">
        <f>ROUND(M38-R38,2)</f>
        <v>1578.39</v>
      </c>
      <c r="U38" s="41">
        <f>IFERROR(((L38-(R38/K38))/(R38/K38)),0)</f>
        <v>0</v>
      </c>
      <c r="V38" s="41">
        <f>IFERROR(((L38-(R38/K38))/L38),0)</f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2" t="s">
        <v>168</v>
      </c>
      <c r="C39" s="6" t="s">
        <v>169</v>
      </c>
      <c r="D39" s="281"/>
      <c r="E39" s="130"/>
      <c r="F39" s="53">
        <v>1</v>
      </c>
      <c r="G39" s="8">
        <v>515.16999999999996</v>
      </c>
      <c r="H39" s="9">
        <f t="shared" ref="H39:H45" si="5">ROUND(IF($G$18="USD $", G39*$F$16,G39*$E$16),2)</f>
        <v>355.29</v>
      </c>
      <c r="I39" s="10">
        <f t="shared" ref="I39:I45" si="6">ROUND(IF($I$18=$H$18,F39*H39,F39*G39),2)</f>
        <v>515.16999999999996</v>
      </c>
      <c r="J39" s="42"/>
      <c r="K39" s="89">
        <f t="shared" ref="K39:K45" si="7">F39</f>
        <v>1</v>
      </c>
      <c r="L39" s="9">
        <f>IFERROR(IF(N39="OEM DISC %",ROUND(IF($L$18=$G$18,G39*(1-O39),H39*(1-O39)),2),IF(N39="MARKUP %",ROUND(R39/K39*(1+O39),2))),0)</f>
        <v>257.58999999999997</v>
      </c>
      <c r="M39" s="9">
        <f t="shared" ref="M39:M45" si="8">ROUND((K39*L39),2)</f>
        <v>257.58999999999997</v>
      </c>
      <c r="N39" s="8" t="s">
        <v>120</v>
      </c>
      <c r="O39" s="12">
        <v>0.5</v>
      </c>
      <c r="P39" s="3"/>
      <c r="Q39" s="13"/>
      <c r="R39" s="14">
        <f>ROUND(IF($R$18=$Q$18,Q39,IF($R$18="USD $",Q39*$E$16,Q39*$F$16))*F39,2)</f>
        <v>0</v>
      </c>
      <c r="S39" s="14">
        <f>IFERROR(ROUND(T39/F39,2),0)</f>
        <v>257.58999999999997</v>
      </c>
      <c r="T39" s="14">
        <f>ROUND(M39-R39,2)</f>
        <v>257.58999999999997</v>
      </c>
      <c r="U39" s="29">
        <f>IFERROR(((L39-(R39/K39))/(R39/K39)),0)</f>
        <v>0</v>
      </c>
      <c r="V39" s="29">
        <f>IFERROR(((L39-(R39/K39))/L39),0)</f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1" t="s">
        <v>170</v>
      </c>
      <c r="C40" s="4" t="s">
        <v>171</v>
      </c>
      <c r="D40" s="282"/>
      <c r="E40" s="129"/>
      <c r="F40" s="54">
        <v>1</v>
      </c>
      <c r="G40" s="15">
        <v>4035.36</v>
      </c>
      <c r="H40" s="38">
        <f t="shared" si="5"/>
        <v>2783.01</v>
      </c>
      <c r="I40" s="39">
        <f t="shared" si="6"/>
        <v>4035.36</v>
      </c>
      <c r="J40" s="42"/>
      <c r="K40" s="88">
        <f t="shared" si="7"/>
        <v>1</v>
      </c>
      <c r="L40" s="38">
        <f>IFERROR(IF(N40="OEM DISC %",ROUND(IF($L$18=$G$18,G40*(1-O40),H40*(1-O40)),2),IF(N40="MARKUP %",ROUND(R40/K40*(1+O40),2))),0)</f>
        <v>2017.68</v>
      </c>
      <c r="M40" s="38">
        <f t="shared" si="8"/>
        <v>2017.68</v>
      </c>
      <c r="N40" s="132" t="s">
        <v>120</v>
      </c>
      <c r="O40" s="16">
        <v>0.5</v>
      </c>
      <c r="P40" s="1"/>
      <c r="Q40" s="15"/>
      <c r="R40" s="40">
        <f>ROUND(IF($R$18=$Q$18,Q40,IF($R$18="USD $",Q40*$E$16,Q40*$F$16))*F40,2)</f>
        <v>0</v>
      </c>
      <c r="S40" s="52">
        <f>IFERROR(ROUND(T40/F40,2),0)</f>
        <v>2017.68</v>
      </c>
      <c r="T40" s="52">
        <f>ROUND(M40-R40,2)</f>
        <v>2017.68</v>
      </c>
      <c r="U40" s="41">
        <f>IFERROR(((L40-(R40/K40))/(R40/K40)),0)</f>
        <v>0</v>
      </c>
      <c r="V40" s="41">
        <f>IFERROR(((L40-(R40/K40))/L40),0)</f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2" t="s">
        <v>172</v>
      </c>
      <c r="C41" s="6" t="s">
        <v>173</v>
      </c>
      <c r="D41" s="281"/>
      <c r="E41" s="130"/>
      <c r="F41" s="53">
        <v>1</v>
      </c>
      <c r="G41" s="8">
        <v>3744.05</v>
      </c>
      <c r="H41" s="9">
        <f t="shared" si="5"/>
        <v>2582.1</v>
      </c>
      <c r="I41" s="10">
        <f t="shared" si="6"/>
        <v>3744.05</v>
      </c>
      <c r="J41" s="42"/>
      <c r="K41" s="89">
        <f t="shared" si="7"/>
        <v>1</v>
      </c>
      <c r="L41" s="9">
        <f>IFERROR(IF(N41="OEM DISC %",ROUND(IF($L$18=$G$18,G41*(1-O41),H41*(1-O41)),2),IF(N41="MARKUP %",ROUND(R41/K41*(1+O41),2))),0)</f>
        <v>1872.03</v>
      </c>
      <c r="M41" s="9">
        <f t="shared" si="8"/>
        <v>1872.03</v>
      </c>
      <c r="N41" s="8" t="s">
        <v>120</v>
      </c>
      <c r="O41" s="12">
        <v>0.5</v>
      </c>
      <c r="P41" s="3"/>
      <c r="Q41" s="13"/>
      <c r="R41" s="14">
        <f>ROUND(IF($R$18=$Q$18,Q41,IF($R$18="USD $",Q41*$E$16,Q41*$F$16))*F41,2)</f>
        <v>0</v>
      </c>
      <c r="S41" s="14">
        <f>IFERROR(ROUND(T41/F41,2),0)</f>
        <v>1872.03</v>
      </c>
      <c r="T41" s="14">
        <f>ROUND(M41-R41,2)</f>
        <v>1872.03</v>
      </c>
      <c r="U41" s="29">
        <f>IFERROR(((L41-(R41/K41))/(R41/K41)),0)</f>
        <v>0</v>
      </c>
      <c r="V41" s="29">
        <f>IFERROR(((L41-(R41/K41))/L41),0)</f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1"/>
      <c r="C42" s="4"/>
      <c r="D42" s="282"/>
      <c r="E42" s="129"/>
      <c r="F42" s="54"/>
      <c r="G42" s="15"/>
      <c r="H42" s="38">
        <f t="shared" si="5"/>
        <v>0</v>
      </c>
      <c r="I42" s="39">
        <f t="shared" si="6"/>
        <v>0</v>
      </c>
      <c r="J42" s="42"/>
      <c r="K42" s="88">
        <f t="shared" si="7"/>
        <v>0</v>
      </c>
      <c r="L42" s="38">
        <f>IFERROR(IF(N42="OEM DISC %",ROUND(IF($L$18=$G$18,G42*(1-O42),H42*(1-O42)),2),IF(N42="MARKUP %",ROUND(R42/K42*(1+O42),2))),0)</f>
        <v>0</v>
      </c>
      <c r="M42" s="38">
        <f t="shared" si="8"/>
        <v>0</v>
      </c>
      <c r="N42" s="132" t="s">
        <v>120</v>
      </c>
      <c r="O42" s="16"/>
      <c r="P42" s="1"/>
      <c r="Q42" s="15"/>
      <c r="R42" s="40">
        <f>ROUND(IF($R$18=$Q$18,Q42,IF($R$18="USD $",Q42*$E$16,Q42*$F$16))*F42,2)</f>
        <v>0</v>
      </c>
      <c r="S42" s="52">
        <f>IFERROR(ROUND(T42/F42,2),0)</f>
        <v>0</v>
      </c>
      <c r="T42" s="52">
        <f>ROUND(M42-R42,2)</f>
        <v>0</v>
      </c>
      <c r="U42" s="41">
        <f>IFERROR(((L42-(R42/K42))/(R42/K42)),0)</f>
        <v>0</v>
      </c>
      <c r="V42" s="41">
        <f>IFERROR(((L42-(R42/K42))/L42),0)</f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2" t="s">
        <v>174</v>
      </c>
      <c r="C43" s="6" t="s">
        <v>175</v>
      </c>
      <c r="D43" s="281"/>
      <c r="E43" s="130"/>
      <c r="F43" s="53">
        <v>1</v>
      </c>
      <c r="G43" s="8">
        <v>147.55000000000001</v>
      </c>
      <c r="H43" s="9">
        <f t="shared" si="5"/>
        <v>101.76</v>
      </c>
      <c r="I43" s="10">
        <f t="shared" si="6"/>
        <v>147.55000000000001</v>
      </c>
      <c r="J43" s="42"/>
      <c r="K43" s="89">
        <f t="shared" si="7"/>
        <v>1</v>
      </c>
      <c r="L43" s="9">
        <f>IFERROR(IF(N43="OEM DISC %",ROUND(IF($L$18=$G$18,G43*(1-O43),H43*(1-O43)),2),IF(N43="MARKUP %",ROUND(R43/K43*(1+O43),2))),0)</f>
        <v>56.07</v>
      </c>
      <c r="M43" s="9">
        <f t="shared" si="8"/>
        <v>56.07</v>
      </c>
      <c r="N43" s="8" t="s">
        <v>120</v>
      </c>
      <c r="O43" s="12">
        <v>0.62</v>
      </c>
      <c r="P43" s="3"/>
      <c r="Q43" s="13"/>
      <c r="R43" s="14">
        <f>ROUND(IF($R$18=$Q$18,Q43,IF($R$18="USD $",Q43*$E$16,Q43*$F$16))*F43,2)</f>
        <v>0</v>
      </c>
      <c r="S43" s="14">
        <f>IFERROR(ROUND(T43/F43,2),0)</f>
        <v>56.07</v>
      </c>
      <c r="T43" s="14">
        <f>ROUND(M43-R43,2)</f>
        <v>56.07</v>
      </c>
      <c r="U43" s="29">
        <f>IFERROR(((L43-(R43/K43))/(R43/K43)),0)</f>
        <v>0</v>
      </c>
      <c r="V43" s="29">
        <f>IFERROR(((L43-(R43/K43))/L43),0)</f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1"/>
      <c r="C44" s="4" t="s">
        <v>176</v>
      </c>
      <c r="D44" s="282"/>
      <c r="E44" s="129"/>
      <c r="F44" s="54"/>
      <c r="G44" s="15"/>
      <c r="H44" s="38">
        <f t="shared" si="5"/>
        <v>0</v>
      </c>
      <c r="I44" s="39">
        <f t="shared" si="6"/>
        <v>0</v>
      </c>
      <c r="J44" s="42"/>
      <c r="K44" s="88">
        <f t="shared" si="7"/>
        <v>0</v>
      </c>
      <c r="L44" s="38">
        <f>IFERROR(IF(N44="OEM DISC %",ROUND(IF($L$18=$G$18,G44*(1-O44),H44*(1-O44)),2),IF(N44="MARKUP %",ROUND(R44/K44*(1+O44),2))),0)</f>
        <v>0</v>
      </c>
      <c r="M44" s="38">
        <f t="shared" si="8"/>
        <v>0</v>
      </c>
      <c r="N44" s="132" t="s">
        <v>120</v>
      </c>
      <c r="O44" s="16"/>
      <c r="P44" s="1"/>
      <c r="Q44" s="15"/>
      <c r="R44" s="40">
        <f>ROUND(IF($R$18=$Q$18,Q44,IF($R$18="USD $",Q44*$E$16,Q44*$F$16))*F44,2)</f>
        <v>0</v>
      </c>
      <c r="S44" s="52">
        <f>IFERROR(ROUND(T44/F44,2),0)</f>
        <v>0</v>
      </c>
      <c r="T44" s="52">
        <f>ROUND(M44-R44,2)</f>
        <v>0</v>
      </c>
      <c r="U44" s="41">
        <f>IFERROR(((L44-(R44/K44))/(R44/K44)),0)</f>
        <v>0</v>
      </c>
      <c r="V44" s="41">
        <f>IFERROR(((L44-(R44/K44))/L44),0)</f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2"/>
      <c r="C45" s="6" t="s">
        <v>177</v>
      </c>
      <c r="D45" s="281"/>
      <c r="E45" s="130"/>
      <c r="F45" s="53"/>
      <c r="G45" s="8"/>
      <c r="H45" s="9">
        <f t="shared" si="5"/>
        <v>0</v>
      </c>
      <c r="I45" s="10">
        <f t="shared" si="6"/>
        <v>0</v>
      </c>
      <c r="J45" s="42"/>
      <c r="K45" s="89">
        <f t="shared" si="7"/>
        <v>0</v>
      </c>
      <c r="L45" s="9">
        <f>IFERROR(IF(N45="OEM DISC %",ROUND(IF($L$18=$G$18,G45*(1-O45),H45*(1-O45)),2),IF(N45="MARKUP %",ROUND(R45/K45*(1+O45),2))),0)</f>
        <v>0</v>
      </c>
      <c r="M45" s="9">
        <f t="shared" si="8"/>
        <v>0</v>
      </c>
      <c r="N45" s="8" t="s">
        <v>120</v>
      </c>
      <c r="O45" s="12"/>
      <c r="P45" s="3"/>
      <c r="Q45" s="13"/>
      <c r="R45" s="14">
        <f>ROUND(IF($R$18=$Q$18,Q45,IF($R$18="USD $",Q45*$E$16,Q45*$F$16))*F45,2)</f>
        <v>0</v>
      </c>
      <c r="S45" s="14">
        <f>IFERROR(ROUND(T45/F45,2),0)</f>
        <v>0</v>
      </c>
      <c r="T45" s="14">
        <f>ROUND(M45-R45,2)</f>
        <v>0</v>
      </c>
      <c r="U45" s="29">
        <f>IFERROR(((L45-(R45/K45))/(R45/K45)),0)</f>
        <v>0</v>
      </c>
      <c r="V45" s="29">
        <f>IFERROR(((L45-(R45/K45))/L45),0)</f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1"/>
      <c r="C46" s="4" t="s">
        <v>178</v>
      </c>
      <c r="D46" s="282"/>
      <c r="E46" s="129"/>
      <c r="F46" s="54"/>
      <c r="G46" s="15"/>
      <c r="H46" s="38">
        <f t="shared" ref="H46:H57" si="9">ROUND(IF($G$18="USD $", G46*$F$16,G46*$E$16),2)</f>
        <v>0</v>
      </c>
      <c r="I46" s="39">
        <f t="shared" ref="I46:I57" si="10">ROUND(IF($I$18=$H$18,F46*H46,F46*G46),2)</f>
        <v>0</v>
      </c>
      <c r="J46" s="42"/>
      <c r="K46" s="88">
        <f t="shared" ref="K46:K57" si="11">F46</f>
        <v>0</v>
      </c>
      <c r="L46" s="38">
        <f>IFERROR(IF(N46="OEM DISC %",ROUND(IF($L$18=$G$18,G46*(1-O46),H46*(1-O46)),2),IF(N46="MARKUP %",ROUND(R46/K46*(1+O46),2))),0)</f>
        <v>0</v>
      </c>
      <c r="M46" s="38">
        <f t="shared" ref="M46:M57" si="12">ROUND((K46*L46),2)</f>
        <v>0</v>
      </c>
      <c r="N46" s="132" t="s">
        <v>120</v>
      </c>
      <c r="O46" s="16"/>
      <c r="P46" s="1"/>
      <c r="Q46" s="15"/>
      <c r="R46" s="40">
        <f>ROUND(IF($R$18=$Q$18,Q46,IF($R$18="USD $",Q46*$E$16,Q46*$F$16))*F46,2)</f>
        <v>0</v>
      </c>
      <c r="S46" s="52">
        <f>IFERROR(ROUND(T46/F46,2),0)</f>
        <v>0</v>
      </c>
      <c r="T46" s="52">
        <f>ROUND(M46-R46,2)</f>
        <v>0</v>
      </c>
      <c r="U46" s="41">
        <f>IFERROR(((L46-(R46/K46))/(R46/K46)),0)</f>
        <v>0</v>
      </c>
      <c r="V46" s="41">
        <f>IFERROR(((L46-(R46/K46))/L46),0)</f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2"/>
      <c r="C47" s="6"/>
      <c r="D47" s="281"/>
      <c r="E47" s="130"/>
      <c r="F47" s="53"/>
      <c r="G47" s="8"/>
      <c r="H47" s="9">
        <f t="shared" si="9"/>
        <v>0</v>
      </c>
      <c r="I47" s="10">
        <f t="shared" si="10"/>
        <v>0</v>
      </c>
      <c r="J47" s="42"/>
      <c r="K47" s="89">
        <f t="shared" si="11"/>
        <v>0</v>
      </c>
      <c r="L47" s="9">
        <f>IFERROR(IF(N47="OEM DISC %",ROUND(IF($L$18=$G$18,G47*(1-O47),H47*(1-O47)),2),IF(N47="MARKUP %",ROUND(R47/K47*(1+O47),2))),0)</f>
        <v>0</v>
      </c>
      <c r="M47" s="9">
        <f t="shared" si="12"/>
        <v>0</v>
      </c>
      <c r="N47" s="8" t="s">
        <v>120</v>
      </c>
      <c r="O47" s="12"/>
      <c r="P47" s="3"/>
      <c r="Q47" s="13"/>
      <c r="R47" s="14">
        <f>ROUND(IF($R$18=$Q$18,Q47,IF($R$18="USD $",Q47*$E$16,Q47*$F$16))*F47,2)</f>
        <v>0</v>
      </c>
      <c r="S47" s="14">
        <f>IFERROR(ROUND(T47/F47,2),0)</f>
        <v>0</v>
      </c>
      <c r="T47" s="14">
        <f>ROUND(M47-R47,2)</f>
        <v>0</v>
      </c>
      <c r="U47" s="29">
        <f>IFERROR(((L47-(R47/K47))/(R47/K47)),0)</f>
        <v>0</v>
      </c>
      <c r="V47" s="29">
        <f>IFERROR(((L47-(R47/K47))/L47),0)</f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1" t="s">
        <v>179</v>
      </c>
      <c r="C48" s="4" t="s">
        <v>180</v>
      </c>
      <c r="D48" s="282"/>
      <c r="E48" s="129"/>
      <c r="F48" s="54">
        <v>1</v>
      </c>
      <c r="G48" s="15">
        <v>512.79</v>
      </c>
      <c r="H48" s="38">
        <f t="shared" si="9"/>
        <v>353.65</v>
      </c>
      <c r="I48" s="39">
        <f t="shared" si="10"/>
        <v>512.79</v>
      </c>
      <c r="J48" s="42"/>
      <c r="K48" s="88">
        <f t="shared" si="11"/>
        <v>1</v>
      </c>
      <c r="L48" s="38">
        <f>IFERROR(IF(N48="OEM DISC %",ROUND(IF($L$18=$G$18,G48*(1-O48),H48*(1-O48)),2),IF(N48="MARKUP %",ROUND(R48/K48*(1+O48),2))),0)</f>
        <v>256.39999999999998</v>
      </c>
      <c r="M48" s="38">
        <f t="shared" si="12"/>
        <v>256.39999999999998</v>
      </c>
      <c r="N48" s="132" t="s">
        <v>120</v>
      </c>
      <c r="O48" s="16">
        <v>0.5</v>
      </c>
      <c r="P48" s="1"/>
      <c r="Q48" s="15"/>
      <c r="R48" s="40">
        <f>ROUND(IF($R$18=$Q$18,Q48,IF($R$18="USD $",Q48*$E$16,Q48*$F$16))*F48,2)</f>
        <v>0</v>
      </c>
      <c r="S48" s="52">
        <f>IFERROR(ROUND(T48/F48,2),0)</f>
        <v>256.39999999999998</v>
      </c>
      <c r="T48" s="52">
        <f>ROUND(M48-R48,2)</f>
        <v>256.39999999999998</v>
      </c>
      <c r="U48" s="41">
        <f>IFERROR(((L48-(R48/K48))/(R48/K48)),0)</f>
        <v>0</v>
      </c>
      <c r="V48" s="41">
        <f>IFERROR(((L48-(R48/K48))/L48),0)</f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2" t="s">
        <v>181</v>
      </c>
      <c r="C49" s="6" t="s">
        <v>182</v>
      </c>
      <c r="D49" s="281"/>
      <c r="E49" s="130"/>
      <c r="F49" s="53">
        <v>1</v>
      </c>
      <c r="G49" s="8">
        <v>7622.73</v>
      </c>
      <c r="H49" s="9">
        <f t="shared" si="9"/>
        <v>5257.06</v>
      </c>
      <c r="I49" s="10">
        <f t="shared" si="10"/>
        <v>7622.73</v>
      </c>
      <c r="J49" s="42"/>
      <c r="K49" s="89">
        <f t="shared" si="11"/>
        <v>1</v>
      </c>
      <c r="L49" s="9">
        <f>IFERROR(IF(N49="OEM DISC %",ROUND(IF($L$18=$G$18,G49*(1-O49),H49*(1-O49)),2),IF(N49="MARKUP %",ROUND(R49/K49*(1+O49),2))),0)</f>
        <v>3811.37</v>
      </c>
      <c r="M49" s="9">
        <f t="shared" si="12"/>
        <v>3811.37</v>
      </c>
      <c r="N49" s="8" t="s">
        <v>120</v>
      </c>
      <c r="O49" s="12">
        <v>0.5</v>
      </c>
      <c r="P49" s="3"/>
      <c r="Q49" s="13"/>
      <c r="R49" s="14">
        <f>ROUND(IF($R$18=$Q$18,Q49,IF($R$18="USD $",Q49*$E$16,Q49*$F$16))*F49,2)</f>
        <v>0</v>
      </c>
      <c r="S49" s="14">
        <f>IFERROR(ROUND(T49/F49,2),0)</f>
        <v>3811.37</v>
      </c>
      <c r="T49" s="14">
        <f>ROUND(M49-R49,2)</f>
        <v>3811.37</v>
      </c>
      <c r="U49" s="29">
        <f>IFERROR(((L49-(R49/K49))/(R49/K49)),0)</f>
        <v>0</v>
      </c>
      <c r="V49" s="29">
        <f>IFERROR(((L49-(R49/K49))/L49),0)</f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1" t="s">
        <v>183</v>
      </c>
      <c r="C50" s="4" t="s">
        <v>184</v>
      </c>
      <c r="D50" s="282"/>
      <c r="E50" s="129"/>
      <c r="F50" s="54">
        <v>1</v>
      </c>
      <c r="G50" s="15">
        <v>831.44</v>
      </c>
      <c r="H50" s="38">
        <f t="shared" si="9"/>
        <v>573.41</v>
      </c>
      <c r="I50" s="39">
        <f t="shared" si="10"/>
        <v>831.44</v>
      </c>
      <c r="J50" s="42"/>
      <c r="K50" s="88">
        <f t="shared" si="11"/>
        <v>1</v>
      </c>
      <c r="L50" s="38">
        <f>IFERROR(IF(N50="OEM DISC %",ROUND(IF($L$18=$G$18,G50*(1-O50),H50*(1-O50)),2),IF(N50="MARKUP %",ROUND(R50/K50*(1+O50),2))),0)</f>
        <v>415.72</v>
      </c>
      <c r="M50" s="38">
        <f t="shared" si="12"/>
        <v>415.72</v>
      </c>
      <c r="N50" s="132" t="s">
        <v>120</v>
      </c>
      <c r="O50" s="16">
        <v>0.5</v>
      </c>
      <c r="P50" s="1"/>
      <c r="Q50" s="15"/>
      <c r="R50" s="40">
        <f>ROUND(IF($R$18=$Q$18,Q50,IF($R$18="USD $",Q50*$E$16,Q50*$F$16))*F50,2)</f>
        <v>0</v>
      </c>
      <c r="S50" s="52">
        <f>IFERROR(ROUND(T50/F50,2),0)</f>
        <v>415.72</v>
      </c>
      <c r="T50" s="52">
        <f>ROUND(M50-R50,2)</f>
        <v>415.72</v>
      </c>
      <c r="U50" s="41">
        <f>IFERROR(((L50-(R50/K50))/(R50/K50)),0)</f>
        <v>0</v>
      </c>
      <c r="V50" s="41">
        <f>IFERROR(((L50-(R50/K50))/L50),0)</f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2" t="s">
        <v>185</v>
      </c>
      <c r="C51" s="6" t="s">
        <v>186</v>
      </c>
      <c r="D51" s="281"/>
      <c r="E51" s="130"/>
      <c r="F51" s="53">
        <v>2</v>
      </c>
      <c r="G51" s="8">
        <v>10089.31</v>
      </c>
      <c r="H51" s="9">
        <f t="shared" si="9"/>
        <v>6958.14</v>
      </c>
      <c r="I51" s="10">
        <f t="shared" si="10"/>
        <v>20178.62</v>
      </c>
      <c r="J51" s="42"/>
      <c r="K51" s="89">
        <f t="shared" si="11"/>
        <v>2</v>
      </c>
      <c r="L51" s="9">
        <f>IFERROR(IF(N51="OEM DISC %",ROUND(IF($L$18=$G$18,G51*(1-O51),H51*(1-O51)),2),IF(N51="MARKUP %",ROUND(R51/K51*(1+O51),2))),0)</f>
        <v>5044.66</v>
      </c>
      <c r="M51" s="9">
        <f t="shared" si="12"/>
        <v>10089.32</v>
      </c>
      <c r="N51" s="8" t="s">
        <v>120</v>
      </c>
      <c r="O51" s="12">
        <v>0.5</v>
      </c>
      <c r="P51" s="3"/>
      <c r="Q51" s="13"/>
      <c r="R51" s="14">
        <f>ROUND(IF($R$18=$Q$18,Q51,IF($R$18="USD $",Q51*$E$16,Q51*$F$16))*F51,2)</f>
        <v>0</v>
      </c>
      <c r="S51" s="14">
        <f>IFERROR(ROUND(T51/F51,2),0)</f>
        <v>5044.66</v>
      </c>
      <c r="T51" s="14">
        <f>ROUND(M51-R51,2)</f>
        <v>10089.32</v>
      </c>
      <c r="U51" s="29">
        <f>IFERROR(((L51-(R51/K51))/(R51/K51)),0)</f>
        <v>0</v>
      </c>
      <c r="V51" s="29">
        <f>IFERROR(((L51-(R51/K51))/L51),0)</f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1"/>
      <c r="C52" s="4"/>
      <c r="D52" s="282"/>
      <c r="E52" s="129"/>
      <c r="F52" s="54"/>
      <c r="G52" s="15"/>
      <c r="H52" s="38">
        <f t="shared" si="9"/>
        <v>0</v>
      </c>
      <c r="I52" s="39">
        <f t="shared" si="10"/>
        <v>0</v>
      </c>
      <c r="J52" s="42"/>
      <c r="K52" s="88">
        <f t="shared" si="11"/>
        <v>0</v>
      </c>
      <c r="L52" s="38">
        <f>IFERROR(IF(N52="OEM DISC %",ROUND(IF($L$18=$G$18,G52*(1-O52),H52*(1-O52)),2),IF(N52="MARKUP %",ROUND(R52/K52*(1+O52),2))),0)</f>
        <v>0</v>
      </c>
      <c r="M52" s="38">
        <f t="shared" si="12"/>
        <v>0</v>
      </c>
      <c r="N52" s="132" t="s">
        <v>120</v>
      </c>
      <c r="O52" s="16"/>
      <c r="P52" s="1"/>
      <c r="Q52" s="15"/>
      <c r="R52" s="40">
        <f>ROUND(IF($R$18=$Q$18,Q52,IF($R$18="USD $",Q52*$E$16,Q52*$F$16))*F52,2)</f>
        <v>0</v>
      </c>
      <c r="S52" s="52">
        <f>IFERROR(ROUND(T52/F52,2),0)</f>
        <v>0</v>
      </c>
      <c r="T52" s="52">
        <f>ROUND(M52-R52,2)</f>
        <v>0</v>
      </c>
      <c r="U52" s="41">
        <f>IFERROR(((L52-(R52/K52))/(R52/K52)),0)</f>
        <v>0</v>
      </c>
      <c r="V52" s="41">
        <f>IFERROR(((L52-(R52/K52))/L52),0)</f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2"/>
      <c r="C53" s="6"/>
      <c r="D53" s="281"/>
      <c r="E53" s="130"/>
      <c r="F53" s="53"/>
      <c r="G53" s="8"/>
      <c r="H53" s="9">
        <f t="shared" si="9"/>
        <v>0</v>
      </c>
      <c r="I53" s="10">
        <f t="shared" si="10"/>
        <v>0</v>
      </c>
      <c r="J53" s="42"/>
      <c r="K53" s="89">
        <f t="shared" si="11"/>
        <v>0</v>
      </c>
      <c r="L53" s="9">
        <f>IFERROR(IF(N53="OEM DISC %",ROUND(IF($L$18=$G$18,G53*(1-O53),H53*(1-O53)),2),IF(N53="MARKUP %",ROUND(R53/K53*(1+O53),2))),0)</f>
        <v>0</v>
      </c>
      <c r="M53" s="9">
        <f t="shared" si="12"/>
        <v>0</v>
      </c>
      <c r="N53" s="8" t="s">
        <v>120</v>
      </c>
      <c r="O53" s="12"/>
      <c r="P53" s="3"/>
      <c r="Q53" s="13"/>
      <c r="R53" s="14">
        <f>ROUND(IF($R$18=$Q$18,Q53,IF($R$18="USD $",Q53*$E$16,Q53*$F$16))*F53,2)</f>
        <v>0</v>
      </c>
      <c r="S53" s="14">
        <f>IFERROR(ROUND(T53/F53,2),0)</f>
        <v>0</v>
      </c>
      <c r="T53" s="14">
        <f>ROUND(M53-R53,2)</f>
        <v>0</v>
      </c>
      <c r="U53" s="29">
        <f>IFERROR(((L53-(R53/K53))/(R53/K53)),0)</f>
        <v>0</v>
      </c>
      <c r="V53" s="29">
        <f>IFERROR(((L53-(R53/K53))/L53),0)</f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1"/>
      <c r="C54" s="4"/>
      <c r="D54" s="282"/>
      <c r="E54" s="129"/>
      <c r="F54" s="54"/>
      <c r="G54" s="15"/>
      <c r="H54" s="38">
        <f t="shared" si="9"/>
        <v>0</v>
      </c>
      <c r="I54" s="39">
        <f t="shared" si="10"/>
        <v>0</v>
      </c>
      <c r="J54" s="42"/>
      <c r="K54" s="88">
        <f t="shared" si="11"/>
        <v>0</v>
      </c>
      <c r="L54" s="38">
        <f>IFERROR(IF(N54="OEM DISC %",ROUND(IF($L$18=$G$18,G54*(1-O54),H54*(1-O54)),2),IF(N54="MARKUP %",ROUND(R54/K54*(1+O54),2))),0)</f>
        <v>0</v>
      </c>
      <c r="M54" s="38">
        <f t="shared" si="12"/>
        <v>0</v>
      </c>
      <c r="N54" s="132" t="s">
        <v>120</v>
      </c>
      <c r="O54" s="16"/>
      <c r="P54" s="1"/>
      <c r="Q54" s="15"/>
      <c r="R54" s="40">
        <f>ROUND(IF($R$18=$Q$18,Q54,IF($R$18="USD $",Q54*$E$16,Q54*$F$16))*F54,2)</f>
        <v>0</v>
      </c>
      <c r="S54" s="52">
        <f>IFERROR(ROUND(T54/F54,2),0)</f>
        <v>0</v>
      </c>
      <c r="T54" s="52">
        <f>ROUND(M54-R54,2)</f>
        <v>0</v>
      </c>
      <c r="U54" s="41">
        <f>IFERROR(((L54-(R54/K54))/(R54/K54)),0)</f>
        <v>0</v>
      </c>
      <c r="V54" s="41">
        <f>IFERROR(((L54-(R54/K54))/L54),0)</f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2"/>
      <c r="C55" s="6"/>
      <c r="D55" s="281"/>
      <c r="E55" s="130"/>
      <c r="F55" s="53"/>
      <c r="G55" s="8"/>
      <c r="H55" s="9">
        <f t="shared" si="9"/>
        <v>0</v>
      </c>
      <c r="I55" s="10">
        <f t="shared" si="10"/>
        <v>0</v>
      </c>
      <c r="J55" s="42"/>
      <c r="K55" s="89">
        <f t="shared" si="11"/>
        <v>0</v>
      </c>
      <c r="L55" s="9">
        <f>IFERROR(IF(N55="OEM DISC %",ROUND(IF($L$18=$G$18,G55*(1-O55),H55*(1-O55)),2),IF(N55="MARKUP %",ROUND(R55/K55*(1+O55),2))),0)</f>
        <v>0</v>
      </c>
      <c r="M55" s="9">
        <f t="shared" si="12"/>
        <v>0</v>
      </c>
      <c r="N55" s="8" t="s">
        <v>120</v>
      </c>
      <c r="O55" s="12"/>
      <c r="P55" s="3"/>
      <c r="Q55" s="13"/>
      <c r="R55" s="14">
        <f>ROUND(IF($R$18=$Q$18,Q55,IF($R$18="USD $",Q55*$E$16,Q55*$F$16))*F55,2)</f>
        <v>0</v>
      </c>
      <c r="S55" s="14">
        <f>IFERROR(ROUND(T55/F55,2),0)</f>
        <v>0</v>
      </c>
      <c r="T55" s="14">
        <f>ROUND(M55-R55,2)</f>
        <v>0</v>
      </c>
      <c r="U55" s="29">
        <f>IFERROR(((L55-(R55/K55))/(R55/K55)),0)</f>
        <v>0</v>
      </c>
      <c r="V55" s="29">
        <f>IFERROR(((L55-(R55/K55))/L55),0)</f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1"/>
      <c r="C56" s="4"/>
      <c r="D56" s="282"/>
      <c r="E56" s="129"/>
      <c r="F56" s="54"/>
      <c r="G56" s="15"/>
      <c r="H56" s="38">
        <f t="shared" si="9"/>
        <v>0</v>
      </c>
      <c r="I56" s="39">
        <f t="shared" si="10"/>
        <v>0</v>
      </c>
      <c r="J56" s="42"/>
      <c r="K56" s="88">
        <f t="shared" si="11"/>
        <v>0</v>
      </c>
      <c r="L56" s="38">
        <f>IFERROR(IF(N56="OEM DISC %",ROUND(IF($L$18=$G$18,G56*(1-O56),H56*(1-O56)),2),IF(N56="MARKUP %",ROUND(R56/K56*(1+O56),2))),0)</f>
        <v>0</v>
      </c>
      <c r="M56" s="38">
        <f t="shared" si="12"/>
        <v>0</v>
      </c>
      <c r="N56" s="132" t="s">
        <v>120</v>
      </c>
      <c r="O56" s="16"/>
      <c r="P56" s="1"/>
      <c r="Q56" s="15"/>
      <c r="R56" s="40">
        <f>ROUND(IF($R$18=$Q$18,Q56,IF($R$18="USD $",Q56*$E$16,Q56*$F$16))*F56,2)</f>
        <v>0</v>
      </c>
      <c r="S56" s="52">
        <f>IFERROR(ROUND(T56/F56,2),0)</f>
        <v>0</v>
      </c>
      <c r="T56" s="52">
        <f>ROUND(M56-R56,2)</f>
        <v>0</v>
      </c>
      <c r="U56" s="41">
        <f>IFERROR(((L56-(R56/K56))/(R56/K56)),0)</f>
        <v>0</v>
      </c>
      <c r="V56" s="41">
        <f>IFERROR(((L56-(R56/K56))/L56),0)</f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2"/>
      <c r="C57" s="6"/>
      <c r="D57" s="281"/>
      <c r="E57" s="130"/>
      <c r="F57" s="53"/>
      <c r="G57" s="8"/>
      <c r="H57" s="9">
        <f t="shared" si="9"/>
        <v>0</v>
      </c>
      <c r="I57" s="10">
        <f t="shared" si="10"/>
        <v>0</v>
      </c>
      <c r="J57" s="42"/>
      <c r="K57" s="89">
        <f t="shared" si="11"/>
        <v>0</v>
      </c>
      <c r="L57" s="9">
        <f>IFERROR(IF(N57="OEM DISC %",ROUND(IF($L$18=$G$18,G57*(1-O57),H57*(1-O57)),2),IF(N57="MARKUP %",ROUND(R57/K57*(1+O57),2))),0)</f>
        <v>0</v>
      </c>
      <c r="M57" s="9">
        <f t="shared" si="12"/>
        <v>0</v>
      </c>
      <c r="N57" s="8" t="s">
        <v>120</v>
      </c>
      <c r="O57" s="12"/>
      <c r="P57" s="3"/>
      <c r="Q57" s="13"/>
      <c r="R57" s="14">
        <f>ROUND(IF($R$18=$Q$18,Q57,IF($R$18="USD $",Q57*$E$16,Q57*$F$16))*F57,2)</f>
        <v>0</v>
      </c>
      <c r="S57" s="14">
        <f>IFERROR(ROUND(T57/F57,2),0)</f>
        <v>0</v>
      </c>
      <c r="T57" s="14">
        <f>ROUND(M57-R57,2)</f>
        <v>0</v>
      </c>
      <c r="U57" s="29">
        <f>IFERROR(((L57-(R57/K57))/(R57/K57)),0)</f>
        <v>0</v>
      </c>
      <c r="V57" s="29">
        <f>IFERROR(((L57-(R57/K57))/L57),0)</f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1"/>
      <c r="C58" s="4"/>
      <c r="D58" s="282"/>
      <c r="E58" s="129"/>
      <c r="F58" s="54"/>
      <c r="G58" s="15"/>
      <c r="H58" s="38">
        <f t="shared" ref="H58:H61" si="13">ROUND(IF($G$18="USD $", G58*$F$16,G58*$E$16),2)</f>
        <v>0</v>
      </c>
      <c r="I58" s="39">
        <f t="shared" ref="I58:I61" si="14">ROUND(IF($I$18=$H$18,F58*H58,F58*G58),2)</f>
        <v>0</v>
      </c>
      <c r="J58" s="42"/>
      <c r="K58" s="88">
        <f t="shared" ref="K58:K61" si="15">F58</f>
        <v>0</v>
      </c>
      <c r="L58" s="38">
        <f>IFERROR(IF(N58="OEM DISC %",ROUND(IF($L$18=$G$18,G58*(1-O58),H58*(1-O58)),2),IF(N58="MARKUP %",ROUND(R58/K58*(1+O58),2))),0)</f>
        <v>0</v>
      </c>
      <c r="M58" s="38">
        <f t="shared" ref="M58:M61" si="16">ROUND((K58*L58),2)</f>
        <v>0</v>
      </c>
      <c r="N58" s="132" t="s">
        <v>120</v>
      </c>
      <c r="O58" s="16"/>
      <c r="P58" s="1"/>
      <c r="Q58" s="15"/>
      <c r="R58" s="40">
        <f>ROUND(IF($R$18=$Q$18,Q58,IF($R$18="USD $",Q58*$E$16,Q58*$F$16))*F58,2)</f>
        <v>0</v>
      </c>
      <c r="S58" s="52">
        <f>IFERROR(ROUND(T58/F58,2),0)</f>
        <v>0</v>
      </c>
      <c r="T58" s="52">
        <f>ROUND(M58-R58,2)</f>
        <v>0</v>
      </c>
      <c r="U58" s="41">
        <f>IFERROR(((L58-(R58/K58))/(R58/K58)),0)</f>
        <v>0</v>
      </c>
      <c r="V58" s="41">
        <f>IFERROR(((L58-(R58/K58))/L58),0)</f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2"/>
      <c r="C59" s="6"/>
      <c r="D59" s="281"/>
      <c r="E59" s="130"/>
      <c r="F59" s="53"/>
      <c r="G59" s="8"/>
      <c r="H59" s="9">
        <f t="shared" si="13"/>
        <v>0</v>
      </c>
      <c r="I59" s="10">
        <f t="shared" si="14"/>
        <v>0</v>
      </c>
      <c r="J59" s="42"/>
      <c r="K59" s="89">
        <f t="shared" si="15"/>
        <v>0</v>
      </c>
      <c r="L59" s="9">
        <f>IFERROR(IF(N59="OEM DISC %",ROUND(IF($L$18=$G$18,G59*(1-O59),H59*(1-O59)),2),IF(N59="MARKUP %",ROUND(R59/K59*(1+O59),2))),0)</f>
        <v>0</v>
      </c>
      <c r="M59" s="9">
        <f t="shared" si="16"/>
        <v>0</v>
      </c>
      <c r="N59" s="8" t="s">
        <v>120</v>
      </c>
      <c r="O59" s="12"/>
      <c r="P59" s="3"/>
      <c r="Q59" s="13"/>
      <c r="R59" s="14">
        <f>ROUND(IF($R$18=$Q$18,Q59,IF($R$18="USD $",Q59*$E$16,Q59*$F$16))*F59,2)</f>
        <v>0</v>
      </c>
      <c r="S59" s="14">
        <f>IFERROR(ROUND(T59/F59,2),0)</f>
        <v>0</v>
      </c>
      <c r="T59" s="14">
        <f>ROUND(M59-R59,2)</f>
        <v>0</v>
      </c>
      <c r="U59" s="29">
        <f>IFERROR(((L59-(R59/K59))/(R59/K59)),0)</f>
        <v>0</v>
      </c>
      <c r="V59" s="29">
        <f>IFERROR(((L59-(R59/K59))/L59),0)</f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1"/>
      <c r="C60" s="4"/>
      <c r="D60" s="282"/>
      <c r="E60" s="129"/>
      <c r="F60" s="54"/>
      <c r="G60" s="15"/>
      <c r="H60" s="38">
        <f t="shared" si="13"/>
        <v>0</v>
      </c>
      <c r="I60" s="39">
        <f t="shared" si="14"/>
        <v>0</v>
      </c>
      <c r="J60" s="42"/>
      <c r="K60" s="88">
        <f t="shared" si="15"/>
        <v>0</v>
      </c>
      <c r="L60" s="38">
        <f>IFERROR(IF(N60="OEM DISC %",ROUND(IF($L$18=$G$18,G60*(1-O60),H60*(1-O60)),2),IF(N60="MARKUP %",ROUND(R60/K60*(1+O60),2))),0)</f>
        <v>0</v>
      </c>
      <c r="M60" s="38">
        <f t="shared" si="16"/>
        <v>0</v>
      </c>
      <c r="N60" s="132" t="s">
        <v>120</v>
      </c>
      <c r="O60" s="16"/>
      <c r="P60" s="1"/>
      <c r="Q60" s="15"/>
      <c r="R60" s="40">
        <f>ROUND(IF($R$18=$Q$18,Q60,IF($R$18="USD $",Q60*$E$16,Q60*$F$16))*F60,2)</f>
        <v>0</v>
      </c>
      <c r="S60" s="52">
        <f>IFERROR(ROUND(T60/F60,2),0)</f>
        <v>0</v>
      </c>
      <c r="T60" s="52">
        <f>ROUND(M60-R60,2)</f>
        <v>0</v>
      </c>
      <c r="U60" s="41">
        <f>IFERROR(((L60-(R60/K60))/(R60/K60)),0)</f>
        <v>0</v>
      </c>
      <c r="V60" s="41">
        <f>IFERROR(((L60-(R60/K60))/L60),0)</f>
        <v>0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2"/>
      <c r="C61" s="6"/>
      <c r="D61" s="281"/>
      <c r="E61" s="130"/>
      <c r="F61" s="53"/>
      <c r="G61" s="8"/>
      <c r="H61" s="9">
        <f t="shared" si="13"/>
        <v>0</v>
      </c>
      <c r="I61" s="10">
        <f t="shared" si="14"/>
        <v>0</v>
      </c>
      <c r="J61" s="42"/>
      <c r="K61" s="89">
        <f t="shared" si="15"/>
        <v>0</v>
      </c>
      <c r="L61" s="9">
        <f>IFERROR(IF(N61="OEM DISC %",ROUND(IF($L$18=$G$18,G61*(1-O61),H61*(1-O61)),2),IF(N61="MARKUP %",ROUND(R61/K61*(1+O61),2))),0)</f>
        <v>0</v>
      </c>
      <c r="M61" s="9">
        <f t="shared" si="16"/>
        <v>0</v>
      </c>
      <c r="N61" s="8" t="s">
        <v>120</v>
      </c>
      <c r="O61" s="12"/>
      <c r="P61" s="3"/>
      <c r="Q61" s="13"/>
      <c r="R61" s="14">
        <f>ROUND(IF($R$18=$Q$18,Q61,IF($R$18="USD $",Q61*$E$16,Q61*$F$16))*F61,2)</f>
        <v>0</v>
      </c>
      <c r="S61" s="14">
        <f>IFERROR(ROUND(T61/F61,2),0)</f>
        <v>0</v>
      </c>
      <c r="T61" s="14">
        <f>ROUND(M61-R61,2)</f>
        <v>0</v>
      </c>
      <c r="U61" s="29">
        <f>IFERROR(((L61-(R61/K61))/(R61/K61)),0)</f>
        <v>0</v>
      </c>
      <c r="V61" s="29">
        <f>IFERROR(((L61-(R61/K61))/L61),0)</f>
        <v>0</v>
      </c>
      <c r="W61" s="28"/>
      <c r="X61" s="50"/>
      <c r="Y61" s="61"/>
      <c r="Z61" s="61"/>
      <c r="AA61" s="61"/>
      <c r="AB61" s="61"/>
    </row>
    <row r="62" spans="1:28" ht="20.25" customHeight="1" x14ac:dyDescent="0.3">
      <c r="A62" s="57"/>
      <c r="B62" s="75"/>
      <c r="C62" s="75"/>
      <c r="D62" s="75"/>
      <c r="E62" s="131" t="s">
        <v>39</v>
      </c>
      <c r="F62" s="77">
        <f>SUM(F19:F61)</f>
        <v>73</v>
      </c>
      <c r="G62" s="78">
        <f>SUM(G19:G61)</f>
        <v>40475.64</v>
      </c>
      <c r="H62" s="79">
        <f>SUM(H19:H61)</f>
        <v>27914.25</v>
      </c>
      <c r="I62" s="80">
        <f>SUM(I19:I61)</f>
        <v>57966.53</v>
      </c>
      <c r="J62" s="81"/>
      <c r="K62" s="82">
        <f>SUM(K19:K61)</f>
        <v>73</v>
      </c>
      <c r="L62" s="79">
        <f>SUM(L19:L61)</f>
        <v>20147.96</v>
      </c>
      <c r="M62" s="80">
        <f>SUM(M19:M61)</f>
        <v>28893.54</v>
      </c>
      <c r="N62" s="80"/>
      <c r="O62" s="80"/>
      <c r="P62" s="76"/>
      <c r="Q62" s="79">
        <f>SUM(Q19:Q61)</f>
        <v>142.82</v>
      </c>
      <c r="R62" s="79">
        <f>SUM(R19:R61)</f>
        <v>142.82</v>
      </c>
      <c r="S62" s="80">
        <f>SUM(S19:S61)</f>
        <v>20005.14</v>
      </c>
      <c r="T62" s="80">
        <f>SUM(T19:T61)</f>
        <v>28750.720000000001</v>
      </c>
      <c r="U62" s="84"/>
      <c r="V62" s="84"/>
      <c r="W62" s="85"/>
      <c r="X62" s="74"/>
    </row>
    <row r="64" spans="1:28" ht="15" customHeight="1" x14ac:dyDescent="0.3">
      <c r="U64" s="87"/>
    </row>
  </sheetData>
  <sheetProtection selectLockedCells="1"/>
  <mergeCells count="87">
    <mergeCell ref="D8:F8"/>
    <mergeCell ref="D9:F9"/>
    <mergeCell ref="D10:F10"/>
    <mergeCell ref="E1:H1"/>
    <mergeCell ref="D2:F2"/>
    <mergeCell ref="D3:F3"/>
    <mergeCell ref="D4:F4"/>
    <mergeCell ref="D5:F5"/>
    <mergeCell ref="D6:F6"/>
    <mergeCell ref="D7:F7"/>
    <mergeCell ref="B17:B18"/>
    <mergeCell ref="C17:C18"/>
    <mergeCell ref="B12:C16"/>
    <mergeCell ref="E12:F14"/>
    <mergeCell ref="G9:H9"/>
    <mergeCell ref="G12:I13"/>
    <mergeCell ref="E17:E18"/>
    <mergeCell ref="F17:F18"/>
    <mergeCell ref="B1:C1"/>
    <mergeCell ref="I1:L1"/>
    <mergeCell ref="I2:K2"/>
    <mergeCell ref="I3:K3"/>
    <mergeCell ref="I4:K4"/>
    <mergeCell ref="G2:H2"/>
    <mergeCell ref="G3:H3"/>
    <mergeCell ref="G4:H4"/>
    <mergeCell ref="I5:K5"/>
    <mergeCell ref="I8:K8"/>
    <mergeCell ref="G7:H7"/>
    <mergeCell ref="G8:H8"/>
    <mergeCell ref="G5:H5"/>
    <mergeCell ref="G6:H6"/>
    <mergeCell ref="I6:K6"/>
    <mergeCell ref="I7:K7"/>
    <mergeCell ref="M2:O2"/>
    <mergeCell ref="M3:O3"/>
    <mergeCell ref="M4:O4"/>
    <mergeCell ref="M5:O5"/>
    <mergeCell ref="M7:O7"/>
    <mergeCell ref="R18:V18"/>
    <mergeCell ref="U3:V3"/>
    <mergeCell ref="U4:V4"/>
    <mergeCell ref="U5:V5"/>
    <mergeCell ref="M6:O6"/>
    <mergeCell ref="P6:R6"/>
    <mergeCell ref="U6:V6"/>
    <mergeCell ref="P4:R4"/>
    <mergeCell ref="P5:R5"/>
    <mergeCell ref="M8:O8"/>
    <mergeCell ref="S7:T7"/>
    <mergeCell ref="U7:V7"/>
    <mergeCell ref="P8:R8"/>
    <mergeCell ref="P9:R9"/>
    <mergeCell ref="U9:U11"/>
    <mergeCell ref="S9:S11"/>
    <mergeCell ref="S2:T2"/>
    <mergeCell ref="S3:T3"/>
    <mergeCell ref="S4:T4"/>
    <mergeCell ref="S5:T5"/>
    <mergeCell ref="S6:T6"/>
    <mergeCell ref="K17:K18"/>
    <mergeCell ref="L18:M18"/>
    <mergeCell ref="K12:O14"/>
    <mergeCell ref="G14:H14"/>
    <mergeCell ref="K15:L16"/>
    <mergeCell ref="G15:I15"/>
    <mergeCell ref="G17:H17"/>
    <mergeCell ref="G16:I16"/>
    <mergeCell ref="O17:O18"/>
    <mergeCell ref="M15:O16"/>
    <mergeCell ref="N17:N18"/>
    <mergeCell ref="M1:O1"/>
    <mergeCell ref="P1:R1"/>
    <mergeCell ref="P17:P18"/>
    <mergeCell ref="P2:R2"/>
    <mergeCell ref="P3:R3"/>
    <mergeCell ref="P12:V14"/>
    <mergeCell ref="P16:V16"/>
    <mergeCell ref="M11:O11"/>
    <mergeCell ref="P11:R11"/>
    <mergeCell ref="S1:W1"/>
    <mergeCell ref="M9:O9"/>
    <mergeCell ref="P7:R7"/>
    <mergeCell ref="T9:T11"/>
    <mergeCell ref="V9:V11"/>
    <mergeCell ref="W9:W11"/>
    <mergeCell ref="U2:V2"/>
  </mergeCells>
  <conditionalFormatting sqref="U9:U11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1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G18 Q15 Q18 L18" xr:uid="{7A36D0C8-9975-4034-AE25-318B2B3B5475}">
      <formula1>$Y$12:$Y$13</formula1>
    </dataValidation>
    <dataValidation type="list" allowBlank="1" showInputMessage="1" showErrorMessage="1" sqref="I14" xr:uid="{50112C63-9C33-4382-8338-CD71779F6AD1}">
      <formula1>$Y$14:$Y$15</formula1>
    </dataValidation>
    <dataValidation type="list" allowBlank="1" showInputMessage="1" showErrorMessage="1" sqref="J14" xr:uid="{86BA3DCB-9D4A-4389-97AF-BBDA8E33DF2C}">
      <formula1>$L$9:$L$9</formula1>
    </dataValidation>
    <dataValidation type="list" showInputMessage="1" showErrorMessage="1" sqref="E19:E61" xr:uid="{E782CD85-4032-40AD-9140-9B6A8B6C0855}">
      <formula1>$Z$19:$Z$30</formula1>
    </dataValidation>
    <dataValidation type="list" allowBlank="1" showInputMessage="1" showErrorMessage="1" sqref="N19:N61" xr:uid="{F89FC2C3-3303-49A6-9065-796C25EB6F05}">
      <formula1>$Y$32:$Y$33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FE08-1099-403F-83A6-1A5D5A15EECB}">
  <sheetPr>
    <pageSetUpPr fitToPage="1"/>
  </sheetPr>
  <dimension ref="A1:AB63"/>
  <sheetViews>
    <sheetView topLeftCell="A23" zoomScale="85" zoomScaleNormal="85" workbookViewId="0">
      <selection activeCell="N37" sqref="N3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231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81955.210000000006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2014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40354.490000000005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41600.720000000001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232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0.5076031163851572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233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39884.69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234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469.8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9028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11.75</v>
      </c>
      <c r="Q9" s="231"/>
      <c r="R9" s="232"/>
      <c r="S9" s="170">
        <f>P7+P8+P9</f>
        <v>481.55</v>
      </c>
      <c r="T9" s="170">
        <f>P3-S9</f>
        <v>39872.94</v>
      </c>
      <c r="U9" s="172">
        <f>IFERROR(((P3-S9)/S9),0)</f>
        <v>82.801245976534105</v>
      </c>
      <c r="V9" s="172">
        <f>IFERROR(T9/P3,0)</f>
        <v>0.98806700320088292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1100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M18:M60" xr:uid="{4877BCCE-D1AE-4705-92C9-16B81B34A209}">
      <formula1>$Y$31:$Y$32</formula1>
    </dataValidation>
    <dataValidation type="list" showInputMessage="1" showErrorMessage="1" sqref="D18:D60" xr:uid="{B8986671-0A9C-4BC7-B112-348C9CA917C9}">
      <formula1>$Z$18:$Z$29</formula1>
    </dataValidation>
    <dataValidation type="list" allowBlank="1" showInputMessage="1" showErrorMessage="1" sqref="I13" xr:uid="{598F974B-08A7-4B02-BE13-3FE5AE785C57}">
      <formula1>$K$9:$K$9</formula1>
    </dataValidation>
    <dataValidation type="list" allowBlank="1" showInputMessage="1" showErrorMessage="1" sqref="H13" xr:uid="{36A79723-1C7A-482B-ADE5-1A8391D1D25F}">
      <formula1>$Y$13:$Y$14</formula1>
    </dataValidation>
    <dataValidation type="list" allowBlank="1" showInputMessage="1" showErrorMessage="1" sqref="F17 K17 Q17 Q14" xr:uid="{AB25082E-42E1-46B7-BA53-B6B226F8249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44-4262-4707-BE2D-9E7C07138CF0}">
  <sheetPr>
    <pageSetUpPr fitToPage="1"/>
  </sheetPr>
  <dimension ref="A1:AB63"/>
  <sheetViews>
    <sheetView topLeftCell="A14" zoomScale="85" zoomScaleNormal="85" workbookViewId="0">
      <selection activeCell="N37" sqref="N3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817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81955.210000000006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40354.490000000005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41600.720000000001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232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0.5076031163851572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818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39884.69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234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469.8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9147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11.75</v>
      </c>
      <c r="Q9" s="231"/>
      <c r="R9" s="232"/>
      <c r="S9" s="170">
        <f>P7+P8+P9</f>
        <v>481.55</v>
      </c>
      <c r="T9" s="170">
        <f>P3-S9</f>
        <v>39872.94</v>
      </c>
      <c r="U9" s="172">
        <f>IFERROR(((P3-S9)/S9),0)</f>
        <v>82.801245976534105</v>
      </c>
      <c r="V9" s="172">
        <f>IFERROR(T9/P3,0)</f>
        <v>0.98806700320088292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1100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F17 K17 Q17 Q14" xr:uid="{DAB26C51-2C6A-42D5-9C9D-5958198E6A9F}">
      <formula1>$Y$11:$Y$12</formula1>
    </dataValidation>
    <dataValidation type="list" allowBlank="1" showInputMessage="1" showErrorMessage="1" sqref="H13" xr:uid="{A2C7F4FD-28A3-49FB-B1B5-C5B0F2911F29}">
      <formula1>$Y$13:$Y$14</formula1>
    </dataValidation>
    <dataValidation type="list" allowBlank="1" showInputMessage="1" showErrorMessage="1" sqref="I13" xr:uid="{B8395334-4F4A-4E21-9C55-C5EF2FADEE8B}">
      <formula1>$K$9:$K$9</formula1>
    </dataValidation>
    <dataValidation type="list" showInputMessage="1" showErrorMessage="1" sqref="D18:D60" xr:uid="{A662AE31-10CF-4311-AB8D-7F1CE483A831}">
      <formula1>$Z$18:$Z$29</formula1>
    </dataValidation>
    <dataValidation type="list" allowBlank="1" showInputMessage="1" showErrorMessage="1" sqref="M18:M60" xr:uid="{7EC6DBE0-A282-4650-9B65-16367489F9C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9CB-274C-4296-B373-23B63988050E}">
  <sheetPr>
    <pageSetUpPr fitToPage="1"/>
  </sheetPr>
  <dimension ref="A1:AB63"/>
  <sheetViews>
    <sheetView zoomScale="85" zoomScaleNormal="85" workbookViewId="0">
      <selection activeCell="C6" sqref="C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260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108999.63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2017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51387.01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57612.62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261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0.52855794097649689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139" t="s">
        <v>126</v>
      </c>
      <c r="D6" s="242" t="s">
        <v>16</v>
      </c>
      <c r="E6" s="244"/>
      <c r="F6" s="245" t="s">
        <v>262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51172.110000000008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263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5743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51166.740000000005</v>
      </c>
      <c r="U9" s="172">
        <f>IFERROR(((P3-S9)/S9),0)</f>
        <v>232.29100649203252</v>
      </c>
      <c r="V9" s="172">
        <f>IFERROR(T9/P3,0)</f>
        <v>0.99571350814145454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1101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2</v>
      </c>
      <c r="F20" s="8">
        <v>78.87</v>
      </c>
      <c r="G20" s="9">
        <f t="shared" si="1"/>
        <v>54.39</v>
      </c>
      <c r="H20" s="10">
        <f t="shared" si="2"/>
        <v>157.74</v>
      </c>
      <c r="I20" s="42"/>
      <c r="J20" s="89">
        <f t="shared" si="0"/>
        <v>2</v>
      </c>
      <c r="K20" s="9">
        <f t="shared" si="3"/>
        <v>29.97</v>
      </c>
      <c r="L20" s="9">
        <f t="shared" si="4"/>
        <v>59.94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59.94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195</v>
      </c>
      <c r="C21" s="4" t="s">
        <v>138</v>
      </c>
      <c r="D21" s="129"/>
      <c r="E21" s="54">
        <v>1</v>
      </c>
      <c r="F21" s="15">
        <v>120.35</v>
      </c>
      <c r="G21" s="38">
        <f t="shared" si="1"/>
        <v>83</v>
      </c>
      <c r="H21" s="39">
        <f t="shared" si="2"/>
        <v>120.35</v>
      </c>
      <c r="I21" s="42"/>
      <c r="J21" s="88">
        <f t="shared" si="0"/>
        <v>1</v>
      </c>
      <c r="K21" s="38">
        <f t="shared" si="3"/>
        <v>45.73</v>
      </c>
      <c r="L21" s="38">
        <f t="shared" si="4"/>
        <v>45.73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45.73</v>
      </c>
      <c r="T21" s="52">
        <f t="shared" si="6"/>
        <v>45.73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196</v>
      </c>
      <c r="C22" s="6" t="s">
        <v>237</v>
      </c>
      <c r="D22" s="130"/>
      <c r="E22" s="53">
        <v>1</v>
      </c>
      <c r="F22" s="8">
        <v>97.91</v>
      </c>
      <c r="G22" s="9">
        <f t="shared" si="1"/>
        <v>67.52</v>
      </c>
      <c r="H22" s="10">
        <f t="shared" si="2"/>
        <v>97.91</v>
      </c>
      <c r="I22" s="42"/>
      <c r="J22" s="89">
        <f t="shared" si="0"/>
        <v>1</v>
      </c>
      <c r="K22" s="9">
        <f t="shared" si="3"/>
        <v>37.21</v>
      </c>
      <c r="L22" s="9">
        <f t="shared" si="4"/>
        <v>37.21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37.21</v>
      </c>
      <c r="T22" s="14">
        <f t="shared" si="6"/>
        <v>37.21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238</v>
      </c>
      <c r="C23" s="4" t="s">
        <v>144</v>
      </c>
      <c r="D23" s="129"/>
      <c r="E23" s="54">
        <v>1</v>
      </c>
      <c r="F23" s="15">
        <v>106.56</v>
      </c>
      <c r="G23" s="38">
        <f t="shared" si="1"/>
        <v>73.489999999999995</v>
      </c>
      <c r="H23" s="39">
        <f t="shared" si="2"/>
        <v>106.56</v>
      </c>
      <c r="I23" s="42"/>
      <c r="J23" s="88">
        <f t="shared" si="0"/>
        <v>1</v>
      </c>
      <c r="K23" s="38">
        <f t="shared" si="3"/>
        <v>40.49</v>
      </c>
      <c r="L23" s="38">
        <f t="shared" si="4"/>
        <v>40.49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40.49</v>
      </c>
      <c r="T23" s="52">
        <f t="shared" si="6"/>
        <v>40.49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193</v>
      </c>
      <c r="C24" s="6" t="s">
        <v>144</v>
      </c>
      <c r="D24" s="130"/>
      <c r="E24" s="53">
        <v>1</v>
      </c>
      <c r="F24" s="8">
        <v>229</v>
      </c>
      <c r="G24" s="9">
        <f t="shared" si="1"/>
        <v>157.93</v>
      </c>
      <c r="H24" s="10">
        <f t="shared" si="2"/>
        <v>229</v>
      </c>
      <c r="I24" s="42"/>
      <c r="J24" s="89">
        <f t="shared" si="0"/>
        <v>1</v>
      </c>
      <c r="K24" s="9">
        <f t="shared" si="3"/>
        <v>87.02</v>
      </c>
      <c r="L24" s="9">
        <f t="shared" si="4"/>
        <v>87.02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87.02</v>
      </c>
      <c r="T24" s="14">
        <f t="shared" si="6"/>
        <v>87.02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239</v>
      </c>
      <c r="C25" s="4" t="s">
        <v>144</v>
      </c>
      <c r="D25" s="129"/>
      <c r="E25" s="54">
        <v>1</v>
      </c>
      <c r="F25" s="15">
        <v>102.09</v>
      </c>
      <c r="G25" s="38">
        <f t="shared" si="1"/>
        <v>70.41</v>
      </c>
      <c r="H25" s="39">
        <f t="shared" si="2"/>
        <v>102.09</v>
      </c>
      <c r="I25" s="42"/>
      <c r="J25" s="88">
        <f t="shared" si="0"/>
        <v>1</v>
      </c>
      <c r="K25" s="38">
        <f t="shared" si="3"/>
        <v>38.79</v>
      </c>
      <c r="L25" s="38">
        <f t="shared" si="4"/>
        <v>38.79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38.79</v>
      </c>
      <c r="T25" s="52">
        <f t="shared" si="6"/>
        <v>38.79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240</v>
      </c>
      <c r="C26" s="6" t="s">
        <v>241</v>
      </c>
      <c r="D26" s="130"/>
      <c r="E26" s="53">
        <v>2</v>
      </c>
      <c r="F26" s="8">
        <v>503.86</v>
      </c>
      <c r="G26" s="9">
        <f t="shared" si="1"/>
        <v>347.49</v>
      </c>
      <c r="H26" s="10">
        <f t="shared" si="2"/>
        <v>1007.72</v>
      </c>
      <c r="I26" s="42"/>
      <c r="J26" s="89">
        <f t="shared" si="0"/>
        <v>2</v>
      </c>
      <c r="K26" s="9">
        <f t="shared" si="3"/>
        <v>120.88</v>
      </c>
      <c r="L26" s="9">
        <f t="shared" si="4"/>
        <v>241.76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214.9</v>
      </c>
      <c r="S26" s="14">
        <f t="shared" si="5"/>
        <v>13.43</v>
      </c>
      <c r="T26" s="14">
        <f t="shared" si="6"/>
        <v>26.86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242</v>
      </c>
      <c r="C27" s="4" t="s">
        <v>243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244</v>
      </c>
      <c r="C28" s="6" t="s">
        <v>245</v>
      </c>
      <c r="D28" s="130"/>
      <c r="E28" s="53">
        <v>1</v>
      </c>
      <c r="F28" s="8">
        <v>4369.08</v>
      </c>
      <c r="G28" s="9">
        <f t="shared" si="1"/>
        <v>3013.16</v>
      </c>
      <c r="H28" s="10">
        <f t="shared" si="2"/>
        <v>4369.08</v>
      </c>
      <c r="I28" s="42"/>
      <c r="J28" s="89">
        <f t="shared" si="0"/>
        <v>1</v>
      </c>
      <c r="K28" s="9">
        <f t="shared" si="3"/>
        <v>2184.54</v>
      </c>
      <c r="L28" s="9">
        <f t="shared" si="4"/>
        <v>2184.54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2184.54</v>
      </c>
      <c r="T28" s="14">
        <f t="shared" si="6"/>
        <v>2184.54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246</v>
      </c>
      <c r="C29" s="4" t="s">
        <v>198</v>
      </c>
      <c r="D29" s="129"/>
      <c r="E29" s="54">
        <v>4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5896.36</v>
      </c>
      <c r="I29" s="42"/>
      <c r="J29" s="88">
        <f t="shared" si="0"/>
        <v>4</v>
      </c>
      <c r="K29" s="38">
        <f t="shared" si="3"/>
        <v>737.05</v>
      </c>
      <c r="L29" s="38">
        <f>ROUND((J29*K29),2)</f>
        <v>2948.2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2948.2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247</v>
      </c>
      <c r="C30" s="6" t="s">
        <v>248</v>
      </c>
      <c r="D30" s="130"/>
      <c r="E30" s="53">
        <v>1</v>
      </c>
      <c r="F30" s="8">
        <v>3725.79</v>
      </c>
      <c r="G30" s="9">
        <f t="shared" si="1"/>
        <v>2569.5100000000002</v>
      </c>
      <c r="H30" s="10">
        <f t="shared" si="2"/>
        <v>3725.79</v>
      </c>
      <c r="I30" s="42"/>
      <c r="J30" s="89">
        <f t="shared" si="0"/>
        <v>1</v>
      </c>
      <c r="K30" s="9">
        <f t="shared" si="3"/>
        <v>1862.9</v>
      </c>
      <c r="L30" s="9">
        <f t="shared" si="4"/>
        <v>1862.9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1862.9</v>
      </c>
      <c r="T30" s="14">
        <f t="shared" si="6"/>
        <v>1862.9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249</v>
      </c>
      <c r="C31" s="4" t="s">
        <v>250</v>
      </c>
      <c r="D31" s="129"/>
      <c r="E31" s="54">
        <v>1</v>
      </c>
      <c r="F31" s="15">
        <v>3188.6</v>
      </c>
      <c r="G31" s="38">
        <f t="shared" si="1"/>
        <v>2199.0300000000002</v>
      </c>
      <c r="H31" s="39">
        <f t="shared" si="2"/>
        <v>3188.6</v>
      </c>
      <c r="I31" s="42"/>
      <c r="J31" s="88">
        <f t="shared" si="0"/>
        <v>1</v>
      </c>
      <c r="K31" s="38">
        <f t="shared" si="3"/>
        <v>1594.3</v>
      </c>
      <c r="L31" s="38">
        <f t="shared" si="4"/>
        <v>1594.3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1594.3</v>
      </c>
      <c r="T31" s="52">
        <f t="shared" si="6"/>
        <v>1594.3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203</v>
      </c>
      <c r="C33" s="4" t="s">
        <v>251</v>
      </c>
      <c r="D33" s="129"/>
      <c r="E33" s="54">
        <v>2</v>
      </c>
      <c r="F33" s="15">
        <v>1064.58</v>
      </c>
      <c r="G33" s="38">
        <f t="shared" si="1"/>
        <v>734.19</v>
      </c>
      <c r="H33" s="39">
        <f t="shared" si="2"/>
        <v>2129.16</v>
      </c>
      <c r="I33" s="42"/>
      <c r="J33" s="88">
        <f t="shared" si="0"/>
        <v>2</v>
      </c>
      <c r="K33" s="38">
        <f t="shared" si="3"/>
        <v>532.29</v>
      </c>
      <c r="L33" s="38">
        <f t="shared" si="4"/>
        <v>1064.58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532.29</v>
      </c>
      <c r="T33" s="52">
        <f t="shared" si="6"/>
        <v>1064.58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205</v>
      </c>
      <c r="C34" s="6" t="s">
        <v>206</v>
      </c>
      <c r="D34" s="130"/>
      <c r="E34" s="53">
        <v>32</v>
      </c>
      <c r="F34" s="8">
        <v>8.76</v>
      </c>
      <c r="G34" s="9">
        <f t="shared" si="1"/>
        <v>6.04</v>
      </c>
      <c r="H34" s="10">
        <f t="shared" si="2"/>
        <v>280.32</v>
      </c>
      <c r="I34" s="42"/>
      <c r="J34" s="89">
        <f t="shared" si="0"/>
        <v>32</v>
      </c>
      <c r="K34" s="9">
        <f t="shared" si="3"/>
        <v>4.38</v>
      </c>
      <c r="L34" s="9">
        <f t="shared" si="4"/>
        <v>140.16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4.38</v>
      </c>
      <c r="T34" s="14">
        <f t="shared" si="6"/>
        <v>140.16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207</v>
      </c>
      <c r="C35" s="4" t="s">
        <v>208</v>
      </c>
      <c r="D35" s="129"/>
      <c r="E35" s="54">
        <v>2</v>
      </c>
      <c r="F35" s="15">
        <v>2633.14</v>
      </c>
      <c r="G35" s="38">
        <f t="shared" si="1"/>
        <v>1815.96</v>
      </c>
      <c r="H35" s="39">
        <f t="shared" si="2"/>
        <v>5266.28</v>
      </c>
      <c r="I35" s="42"/>
      <c r="J35" s="88">
        <f t="shared" si="0"/>
        <v>2</v>
      </c>
      <c r="K35" s="38">
        <f t="shared" si="3"/>
        <v>1316.57</v>
      </c>
      <c r="L35" s="38">
        <f t="shared" si="4"/>
        <v>2633.14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1316.57</v>
      </c>
      <c r="T35" s="52">
        <f t="shared" si="6"/>
        <v>2633.14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209</v>
      </c>
      <c r="C36" s="6" t="s">
        <v>210</v>
      </c>
      <c r="D36" s="130"/>
      <c r="E36" s="53">
        <v>8</v>
      </c>
      <c r="F36" s="8">
        <v>7.85</v>
      </c>
      <c r="G36" s="9">
        <f t="shared" si="1"/>
        <v>5.41</v>
      </c>
      <c r="H36" s="10">
        <f t="shared" si="2"/>
        <v>62.8</v>
      </c>
      <c r="I36" s="42"/>
      <c r="J36" s="89">
        <f t="shared" si="0"/>
        <v>8</v>
      </c>
      <c r="K36" s="9">
        <f t="shared" si="3"/>
        <v>3.93</v>
      </c>
      <c r="L36" s="9">
        <f t="shared" si="4"/>
        <v>31.44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3.93</v>
      </c>
      <c r="T36" s="14">
        <f t="shared" si="6"/>
        <v>31.44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211</v>
      </c>
      <c r="C37" s="4" t="s">
        <v>154</v>
      </c>
      <c r="D37" s="129"/>
      <c r="E37" s="54">
        <v>4</v>
      </c>
      <c r="F37" s="15">
        <v>537.45000000000005</v>
      </c>
      <c r="G37" s="38">
        <f t="shared" si="1"/>
        <v>370.66</v>
      </c>
      <c r="H37" s="39">
        <f t="shared" si="2"/>
        <v>2149.8000000000002</v>
      </c>
      <c r="I37" s="42"/>
      <c r="J37" s="88">
        <f t="shared" si="0"/>
        <v>4</v>
      </c>
      <c r="K37" s="38">
        <f t="shared" si="3"/>
        <v>268.73</v>
      </c>
      <c r="L37" s="38">
        <f t="shared" si="4"/>
        <v>1074.92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268.73</v>
      </c>
      <c r="T37" s="52">
        <f t="shared" si="6"/>
        <v>1074.92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212</v>
      </c>
      <c r="C38" s="6" t="s">
        <v>213</v>
      </c>
      <c r="D38" s="130"/>
      <c r="E38" s="53">
        <v>16</v>
      </c>
      <c r="F38" s="8">
        <v>748.26</v>
      </c>
      <c r="G38" s="9">
        <f t="shared" si="1"/>
        <v>516.04</v>
      </c>
      <c r="H38" s="10">
        <f t="shared" si="2"/>
        <v>11972.16</v>
      </c>
      <c r="I38" s="42"/>
      <c r="J38" s="89">
        <f t="shared" si="0"/>
        <v>16</v>
      </c>
      <c r="K38" s="9">
        <f t="shared" si="3"/>
        <v>374.13</v>
      </c>
      <c r="L38" s="9">
        <f t="shared" si="4"/>
        <v>5986.08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374.13</v>
      </c>
      <c r="T38" s="14">
        <f t="shared" si="6"/>
        <v>5986.08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215</v>
      </c>
      <c r="D39" s="129"/>
      <c r="E39" s="54">
        <v>64</v>
      </c>
      <c r="F39" s="15">
        <v>20.079999999999998</v>
      </c>
      <c r="G39" s="38">
        <f t="shared" si="1"/>
        <v>13.85</v>
      </c>
      <c r="H39" s="39">
        <f t="shared" si="2"/>
        <v>1285.1199999999999</v>
      </c>
      <c r="I39" s="42"/>
      <c r="J39" s="88">
        <f t="shared" si="0"/>
        <v>64</v>
      </c>
      <c r="K39" s="38">
        <f t="shared" si="3"/>
        <v>10.039999999999999</v>
      </c>
      <c r="L39" s="38">
        <f t="shared" si="4"/>
        <v>642.55999999999995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642.55999999999995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214</v>
      </c>
      <c r="C40" s="6" t="s">
        <v>215</v>
      </c>
      <c r="D40" s="130"/>
      <c r="E40" s="53">
        <v>4</v>
      </c>
      <c r="F40" s="8">
        <v>23.18</v>
      </c>
      <c r="G40" s="9">
        <f t="shared" si="1"/>
        <v>15.99</v>
      </c>
      <c r="H40" s="10">
        <f t="shared" si="2"/>
        <v>92.72</v>
      </c>
      <c r="I40" s="42"/>
      <c r="J40" s="89">
        <f t="shared" si="0"/>
        <v>4</v>
      </c>
      <c r="K40" s="9">
        <f t="shared" si="3"/>
        <v>11.59</v>
      </c>
      <c r="L40" s="9">
        <f t="shared" si="4"/>
        <v>46.36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11.59</v>
      </c>
      <c r="T40" s="14">
        <f t="shared" si="6"/>
        <v>46.36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64</v>
      </c>
      <c r="F41" s="15">
        <v>2.99</v>
      </c>
      <c r="G41" s="38">
        <f t="shared" si="1"/>
        <v>2.06</v>
      </c>
      <c r="H41" s="39">
        <f t="shared" si="2"/>
        <v>191.36</v>
      </c>
      <c r="I41" s="42"/>
      <c r="J41" s="88">
        <f t="shared" si="0"/>
        <v>64</v>
      </c>
      <c r="K41" s="38">
        <f t="shared" si="3"/>
        <v>1.5</v>
      </c>
      <c r="L41" s="38">
        <f t="shared" si="4"/>
        <v>96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96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219</v>
      </c>
      <c r="C43" s="4" t="s">
        <v>252</v>
      </c>
      <c r="D43" s="129"/>
      <c r="E43" s="54">
        <v>2</v>
      </c>
      <c r="F43" s="15">
        <v>8238.4699999999993</v>
      </c>
      <c r="G43" s="38">
        <f t="shared" si="1"/>
        <v>5681.7</v>
      </c>
      <c r="H43" s="39">
        <f t="shared" si="2"/>
        <v>16476.939999999999</v>
      </c>
      <c r="I43" s="42"/>
      <c r="J43" s="88">
        <f t="shared" si="0"/>
        <v>2</v>
      </c>
      <c r="K43" s="38">
        <f t="shared" si="3"/>
        <v>4119.24</v>
      </c>
      <c r="L43" s="38">
        <f t="shared" si="4"/>
        <v>8238.48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4119.24</v>
      </c>
      <c r="T43" s="52">
        <f t="shared" si="6"/>
        <v>8238.48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221</v>
      </c>
      <c r="C44" s="6" t="s">
        <v>253</v>
      </c>
      <c r="D44" s="130"/>
      <c r="E44" s="53">
        <v>98</v>
      </c>
      <c r="F44" s="8">
        <v>179.13</v>
      </c>
      <c r="G44" s="9">
        <f t="shared" si="1"/>
        <v>123.54</v>
      </c>
      <c r="H44" s="10">
        <f t="shared" si="2"/>
        <v>17554.740000000002</v>
      </c>
      <c r="I44" s="42"/>
      <c r="J44" s="89">
        <f t="shared" si="0"/>
        <v>98</v>
      </c>
      <c r="K44" s="9">
        <f t="shared" si="3"/>
        <v>89.57</v>
      </c>
      <c r="L44" s="9">
        <f t="shared" si="4"/>
        <v>8777.86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89.57</v>
      </c>
      <c r="T44" s="14">
        <f t="shared" si="6"/>
        <v>8777.86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223</v>
      </c>
      <c r="C45" s="4" t="s">
        <v>254</v>
      </c>
      <c r="D45" s="129"/>
      <c r="E45" s="54">
        <v>392</v>
      </c>
      <c r="F45" s="15">
        <v>4.25</v>
      </c>
      <c r="G45" s="38">
        <f t="shared" si="1"/>
        <v>2.93</v>
      </c>
      <c r="H45" s="39">
        <f t="shared" si="2"/>
        <v>1666</v>
      </c>
      <c r="I45" s="42"/>
      <c r="J45" s="88">
        <f t="shared" si="0"/>
        <v>392</v>
      </c>
      <c r="K45" s="38">
        <f t="shared" si="3"/>
        <v>2.13</v>
      </c>
      <c r="L45" s="38">
        <f t="shared" si="4"/>
        <v>834.96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2.13</v>
      </c>
      <c r="T45" s="52">
        <f t="shared" si="6"/>
        <v>834.96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255</v>
      </c>
      <c r="D46" s="130"/>
      <c r="E46" s="53">
        <v>392</v>
      </c>
      <c r="F46" s="8">
        <v>3.14</v>
      </c>
      <c r="G46" s="9">
        <f t="shared" si="1"/>
        <v>2.17</v>
      </c>
      <c r="H46" s="10">
        <f t="shared" si="2"/>
        <v>1230.8800000000001</v>
      </c>
      <c r="I46" s="42"/>
      <c r="J46" s="89">
        <f t="shared" si="0"/>
        <v>392</v>
      </c>
      <c r="K46" s="9">
        <f t="shared" si="3"/>
        <v>1.57</v>
      </c>
      <c r="L46" s="9">
        <f t="shared" si="4"/>
        <v>615.44000000000005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615.44000000000005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256</v>
      </c>
      <c r="C49" s="4" t="s">
        <v>257</v>
      </c>
      <c r="D49" s="129"/>
      <c r="E49" s="54">
        <v>1</v>
      </c>
      <c r="F49" s="15">
        <v>22869.96</v>
      </c>
      <c r="G49" s="38">
        <f t="shared" si="1"/>
        <v>15772.39</v>
      </c>
      <c r="H49" s="39">
        <f t="shared" si="2"/>
        <v>22869.96</v>
      </c>
      <c r="I49" s="42"/>
      <c r="J49" s="88">
        <f t="shared" si="0"/>
        <v>1</v>
      </c>
      <c r="K49" s="38">
        <f t="shared" si="3"/>
        <v>8690.58</v>
      </c>
      <c r="L49" s="38">
        <f t="shared" si="4"/>
        <v>8690.58</v>
      </c>
      <c r="M49" s="132" t="s">
        <v>120</v>
      </c>
      <c r="N49" s="16">
        <v>0.62</v>
      </c>
      <c r="O49" s="51"/>
      <c r="P49" s="1"/>
      <c r="Q49" s="15"/>
      <c r="R49" s="40">
        <f t="shared" si="9"/>
        <v>0</v>
      </c>
      <c r="S49" s="52">
        <f t="shared" si="5"/>
        <v>8690.58</v>
      </c>
      <c r="T49" s="52">
        <f t="shared" si="6"/>
        <v>8690.58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258</v>
      </c>
      <c r="C51" s="4" t="s">
        <v>259</v>
      </c>
      <c r="D51" s="129"/>
      <c r="E51" s="54">
        <v>1</v>
      </c>
      <c r="F51" s="15">
        <v>2512.7199999999998</v>
      </c>
      <c r="G51" s="38">
        <f t="shared" si="1"/>
        <v>1732.91</v>
      </c>
      <c r="H51" s="39">
        <f t="shared" si="2"/>
        <v>2512.7199999999998</v>
      </c>
      <c r="I51" s="42"/>
      <c r="J51" s="88">
        <f t="shared" si="0"/>
        <v>1</v>
      </c>
      <c r="K51" s="38">
        <f t="shared" si="3"/>
        <v>1256.3599999999999</v>
      </c>
      <c r="L51" s="38">
        <f t="shared" si="4"/>
        <v>1256.3599999999999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1256.3599999999999</v>
      </c>
      <c r="T51" s="52">
        <f t="shared" si="6"/>
        <v>1256.3599999999999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 t="s">
        <v>229</v>
      </c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 t="s">
        <v>230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1101</v>
      </c>
      <c r="F61" s="78">
        <f>SUM(F18:F60)</f>
        <v>57107.630000000005</v>
      </c>
      <c r="G61" s="79">
        <f>SUM(G18:G60)</f>
        <v>39384.570000000007</v>
      </c>
      <c r="H61" s="80">
        <f>SUM(H18:H60)</f>
        <v>108999.63</v>
      </c>
      <c r="I61" s="81"/>
      <c r="J61" s="82">
        <f>SUM(J18:J60)</f>
        <v>1101</v>
      </c>
      <c r="K61" s="79">
        <f>SUM(K18:K60)</f>
        <v>25578.699999999997</v>
      </c>
      <c r="L61" s="80">
        <f>SUM(L18:L60)</f>
        <v>51387.01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25471.25</v>
      </c>
      <c r="T61" s="80">
        <f>SUM(T18:T60)</f>
        <v>51172.110000000008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60" xr:uid="{E282037C-957F-4F65-8C05-AC79DFE2B153}">
      <formula1>$Y$31:$Y$32</formula1>
    </dataValidation>
    <dataValidation type="list" showInputMessage="1" showErrorMessage="1" sqref="D18:D60" xr:uid="{07B0DD1D-D1F8-4C4A-B628-F18326BB5F15}">
      <formula1>$Z$18:$Z$29</formula1>
    </dataValidation>
    <dataValidation type="list" allowBlank="1" showInputMessage="1" showErrorMessage="1" sqref="I13" xr:uid="{7EBA5FAF-C4C9-4960-B281-D160EB7E4BA3}">
      <formula1>$K$9:$K$9</formula1>
    </dataValidation>
    <dataValidation type="list" allowBlank="1" showInputMessage="1" showErrorMessage="1" sqref="H13" xr:uid="{2D72E3F9-660F-49D8-9623-19CD3F9F347F}">
      <formula1>$Y$13:$Y$14</formula1>
    </dataValidation>
    <dataValidation type="list" allowBlank="1" showInputMessage="1" showErrorMessage="1" sqref="F17 K17 Q17 Q14" xr:uid="{6EF97ED6-CA2E-4E34-A4D7-D9483A7939E5}">
      <formula1>$Y$11:$Y$12</formula1>
    </dataValidation>
  </dataValidations>
  <hyperlinks>
    <hyperlink ref="C6" r:id="rId1" xr:uid="{FBA1AECE-72E7-471F-9023-5FE0D21A5DA2}"/>
  </hyperlinks>
  <printOptions verticalCentered="1"/>
  <pageMargins left="0.2" right="0.2" top="0.25" bottom="0.25" header="0.05" footer="0.05"/>
  <pageSetup scale="3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19C-5DD5-426A-B0FE-1D9D0143201E}">
  <sheetPr>
    <pageSetUpPr fitToPage="1"/>
  </sheetPr>
  <dimension ref="A1:AB63"/>
  <sheetViews>
    <sheetView zoomScale="85" zoomScaleNormal="85" workbookViewId="0">
      <selection activeCell="Q26" sqref="Q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264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109047.4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2019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51408.630000000005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57638.76999999999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320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0.52856620148669287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265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51173.73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266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4362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51167.860000000008</v>
      </c>
      <c r="U9" s="172">
        <f>IFERROR(((P3-S9)/S9),0)</f>
        <v>212.51758940067288</v>
      </c>
      <c r="V9" s="172">
        <f>IFERROR(T9/P3,0)</f>
        <v>0.99531654510147427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1098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275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246</v>
      </c>
      <c r="C27" s="4" t="s">
        <v>198</v>
      </c>
      <c r="D27" s="129"/>
      <c r="E27" s="54">
        <v>4</v>
      </c>
      <c r="F27" s="15">
        <v>1474.09</v>
      </c>
      <c r="G27" s="38">
        <f t="shared" si="1"/>
        <v>1016.61</v>
      </c>
      <c r="H27" s="39">
        <f t="shared" si="2"/>
        <v>5896.36</v>
      </c>
      <c r="I27" s="42"/>
      <c r="J27" s="88">
        <f t="shared" si="0"/>
        <v>4</v>
      </c>
      <c r="K27" s="38">
        <f t="shared" si="3"/>
        <v>737.05</v>
      </c>
      <c r="L27" s="38">
        <f t="shared" si="4"/>
        <v>2948.2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2948.2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247</v>
      </c>
      <c r="C28" s="6" t="s">
        <v>248</v>
      </c>
      <c r="D28" s="130"/>
      <c r="E28" s="53">
        <v>1</v>
      </c>
      <c r="F28" s="8">
        <v>3725.79</v>
      </c>
      <c r="G28" s="9">
        <f t="shared" si="1"/>
        <v>2569.5100000000002</v>
      </c>
      <c r="H28" s="10">
        <f t="shared" si="2"/>
        <v>3725.79</v>
      </c>
      <c r="I28" s="42"/>
      <c r="J28" s="89">
        <f t="shared" si="0"/>
        <v>1</v>
      </c>
      <c r="K28" s="9">
        <f t="shared" si="3"/>
        <v>1862.9</v>
      </c>
      <c r="L28" s="9">
        <f t="shared" si="4"/>
        <v>1862.9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1862.9</v>
      </c>
      <c r="T28" s="14">
        <f t="shared" si="6"/>
        <v>1862.9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249</v>
      </c>
      <c r="C29" s="4" t="s">
        <v>250</v>
      </c>
      <c r="D29" s="129"/>
      <c r="E29" s="54">
        <v>1</v>
      </c>
      <c r="F29" s="15">
        <v>3188.6</v>
      </c>
      <c r="G29" s="38">
        <f>ROUND(IF($F$17="USD $", F29*$E$15,F29*$D$15),2)</f>
        <v>2199.0300000000002</v>
      </c>
      <c r="H29" s="39">
        <f>ROUND(IF($H$17=$G$17,E29*G29,E29*F29),2)</f>
        <v>3188.6</v>
      </c>
      <c r="I29" s="42"/>
      <c r="J29" s="88">
        <f t="shared" si="0"/>
        <v>1</v>
      </c>
      <c r="K29" s="38">
        <f t="shared" si="3"/>
        <v>1594.3</v>
      </c>
      <c r="L29" s="38">
        <f>ROUND((J29*K29),2)</f>
        <v>1594.3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1594.3</v>
      </c>
      <c r="T29" s="52">
        <f t="shared" si="6"/>
        <v>1594.3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207</v>
      </c>
      <c r="C33" s="4" t="s">
        <v>208</v>
      </c>
      <c r="D33" s="129"/>
      <c r="E33" s="54">
        <v>2</v>
      </c>
      <c r="F33" s="15">
        <v>2633.14</v>
      </c>
      <c r="G33" s="38">
        <f t="shared" si="1"/>
        <v>1815.96</v>
      </c>
      <c r="H33" s="39">
        <f t="shared" si="2"/>
        <v>5266.28</v>
      </c>
      <c r="I33" s="42"/>
      <c r="J33" s="88">
        <f t="shared" si="0"/>
        <v>2</v>
      </c>
      <c r="K33" s="38">
        <f t="shared" si="3"/>
        <v>1316.57</v>
      </c>
      <c r="L33" s="38">
        <f t="shared" si="4"/>
        <v>2633.14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2633.14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258</v>
      </c>
      <c r="C49" s="4" t="s">
        <v>259</v>
      </c>
      <c r="D49" s="129"/>
      <c r="E49" s="54">
        <v>1</v>
      </c>
      <c r="F49" s="15">
        <v>2512.7199999999998</v>
      </c>
      <c r="G49" s="38">
        <f t="shared" si="1"/>
        <v>1732.91</v>
      </c>
      <c r="H49" s="39">
        <f t="shared" si="2"/>
        <v>2512.7199999999998</v>
      </c>
      <c r="I49" s="42"/>
      <c r="J49" s="88">
        <f t="shared" si="0"/>
        <v>1</v>
      </c>
      <c r="K49" s="38">
        <f t="shared" si="3"/>
        <v>1256.3599999999999</v>
      </c>
      <c r="L49" s="38">
        <f t="shared" si="4"/>
        <v>1256.3599999999999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1256.3599999999999</v>
      </c>
      <c r="T49" s="52">
        <f t="shared" si="6"/>
        <v>1256.3599999999999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1098</v>
      </c>
      <c r="F61" s="78">
        <f>SUM(F18:F60)</f>
        <v>57215.06</v>
      </c>
      <c r="G61" s="79">
        <f>SUM(G18:G60)</f>
        <v>39458.67</v>
      </c>
      <c r="H61" s="80">
        <f>SUM(H18:H60)</f>
        <v>109047.4</v>
      </c>
      <c r="I61" s="81"/>
      <c r="J61" s="82">
        <f>SUM(J18:J60)</f>
        <v>1098</v>
      </c>
      <c r="K61" s="79">
        <f>SUM(K18:K60)</f>
        <v>25619.040000000001</v>
      </c>
      <c r="L61" s="80">
        <f>SUM(L18:L60)</f>
        <v>51408.630000000005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25501.589999999997</v>
      </c>
      <c r="T61" s="80">
        <f>SUM(T18:T60)</f>
        <v>51173.73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M18:M60" xr:uid="{CA272A37-8C38-49FE-8947-30D3EE48B875}">
      <formula1>$Y$31:$Y$32</formula1>
    </dataValidation>
    <dataValidation type="list" showInputMessage="1" showErrorMessage="1" sqref="D18:D60" xr:uid="{86E4FCB7-9E75-4BDA-901E-3941F1B955D1}">
      <formula1>$Z$18:$Z$29</formula1>
    </dataValidation>
    <dataValidation type="list" allowBlank="1" showInputMessage="1" showErrorMessage="1" sqref="I13" xr:uid="{AFCF1ECD-6181-4D08-BCE6-688532C7B536}">
      <formula1>$K$9:$K$9</formula1>
    </dataValidation>
    <dataValidation type="list" allowBlank="1" showInputMessage="1" showErrorMessage="1" sqref="H13" xr:uid="{F68EE2DD-E399-448C-8707-FADE0088B884}">
      <formula1>$Y$13:$Y$14</formula1>
    </dataValidation>
    <dataValidation type="list" allowBlank="1" showInputMessage="1" showErrorMessage="1" sqref="F17 K17 Q17 Q14" xr:uid="{7648660C-8CE9-4CF8-9590-A67D77F25D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E6E5-E477-4EE4-85A7-F241BC5E20B3}">
  <sheetPr>
    <pageSetUpPr fitToPage="1"/>
  </sheetPr>
  <dimension ref="A1:AB63"/>
  <sheetViews>
    <sheetView topLeftCell="A14" zoomScale="85" zoomScaleNormal="85" workbookViewId="0">
      <selection activeCell="Q26" sqref="Q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278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113424.94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53597.380000000005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59827.56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320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0.5274638893350968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279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53362.48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280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3368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53356.610000000008</v>
      </c>
      <c r="U9" s="172">
        <f>IFERROR(((P3-S9)/S9),0)</f>
        <v>221.60821530921629</v>
      </c>
      <c r="V9" s="172">
        <f>IFERROR(T9/P3,0)</f>
        <v>0.99550780280677909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1100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F17 K17 Q17 Q14" xr:uid="{0939B122-7BB4-4EAD-A62A-DC949E289001}">
      <formula1>$Y$11:$Y$12</formula1>
    </dataValidation>
    <dataValidation type="list" allowBlank="1" showInputMessage="1" showErrorMessage="1" sqref="H13" xr:uid="{D525982B-3163-4458-84E0-A5E6090D57A4}">
      <formula1>$Y$13:$Y$14</formula1>
    </dataValidation>
    <dataValidation type="list" allowBlank="1" showInputMessage="1" showErrorMessage="1" sqref="I13" xr:uid="{F2BAE20E-19A2-4894-8C79-E8E60730E9DC}">
      <formula1>$K$9:$K$9</formula1>
    </dataValidation>
    <dataValidation type="list" showInputMessage="1" showErrorMessage="1" sqref="D18:D60" xr:uid="{704C93F5-C4C3-4E83-9914-DD38B91FCA67}">
      <formula1>$Z$18:$Z$29</formula1>
    </dataValidation>
    <dataValidation type="list" allowBlank="1" showInputMessage="1" showErrorMessage="1" sqref="M18:M60" xr:uid="{22E1CF9C-7972-420A-B1BD-31BB861B439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B1D-3B26-4522-974A-F15A22493EBF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815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113424.94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2022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53597.380000000005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59827.56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320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0.5274638893350968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816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53362.48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280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1145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53356.610000000008</v>
      </c>
      <c r="U9" s="172">
        <f>IFERROR(((P3-S9)/S9),0)</f>
        <v>221.60821530921629</v>
      </c>
      <c r="V9" s="172">
        <f>IFERROR(T9/P3,0)</f>
        <v>0.99550780280677909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1100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60" xr:uid="{65B295F1-E30C-4C51-B149-8B1653F18ECF}">
      <formula1>$Y$31:$Y$32</formula1>
    </dataValidation>
    <dataValidation type="list" showInputMessage="1" showErrorMessage="1" sqref="D18:D60" xr:uid="{2993D75B-F5E1-43DD-8797-902DA4D22CF0}">
      <formula1>$Z$18:$Z$29</formula1>
    </dataValidation>
    <dataValidation type="list" allowBlank="1" showInputMessage="1" showErrorMessage="1" sqref="I13" xr:uid="{535AB4E2-D5AC-4163-91BF-BD6BE79DE7D8}">
      <formula1>$K$9:$K$9</formula1>
    </dataValidation>
    <dataValidation type="list" allowBlank="1" showInputMessage="1" showErrorMessage="1" sqref="H13" xr:uid="{404A730C-37DC-4887-AF01-C555769B8A3B}">
      <formula1>$Y$13:$Y$14</formula1>
    </dataValidation>
    <dataValidation type="list" allowBlank="1" showInputMessage="1" showErrorMessage="1" sqref="F17 K17 Q17 Q14" xr:uid="{2660B530-639B-44F8-83BD-6F920F348A6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6454-90EA-4E42-AC63-4FF2207192B4}">
  <sheetPr>
    <pageSetUpPr fitToPage="1"/>
  </sheetPr>
  <dimension ref="A1:AB63"/>
  <sheetViews>
    <sheetView zoomScale="85" zoomScaleNormal="85" workbookViewId="0">
      <selection activeCell="N27" sqref="N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286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119393.91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59332.77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60061.140000000007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287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0.50305028120781037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288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59097.87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289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9172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59092</v>
      </c>
      <c r="U9" s="172">
        <f>IFERROR(((P3-S9)/S9),0)</f>
        <v>245.42924782987913</v>
      </c>
      <c r="V9" s="172">
        <f>IFERROR(T9/P3,0)</f>
        <v>0.99594204012386411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238</v>
      </c>
      <c r="C21" s="4" t="s">
        <v>290</v>
      </c>
      <c r="D21" s="129"/>
      <c r="E21" s="54">
        <v>1</v>
      </c>
      <c r="F21" s="15">
        <v>106.56</v>
      </c>
      <c r="G21" s="38">
        <f t="shared" si="1"/>
        <v>73.489999999999995</v>
      </c>
      <c r="H21" s="39">
        <f t="shared" si="2"/>
        <v>106.56</v>
      </c>
      <c r="I21" s="42"/>
      <c r="J21" s="88">
        <f t="shared" si="0"/>
        <v>1</v>
      </c>
      <c r="K21" s="38">
        <f t="shared" si="3"/>
        <v>40.49</v>
      </c>
      <c r="L21" s="38">
        <f t="shared" si="4"/>
        <v>40.49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40.49</v>
      </c>
      <c r="T21" s="52">
        <f t="shared" si="6"/>
        <v>40.49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193</v>
      </c>
      <c r="C22" s="6" t="s">
        <v>291</v>
      </c>
      <c r="D22" s="130"/>
      <c r="E22" s="53">
        <v>1</v>
      </c>
      <c r="F22" s="8">
        <v>229</v>
      </c>
      <c r="G22" s="9">
        <f t="shared" si="1"/>
        <v>157.93</v>
      </c>
      <c r="H22" s="10">
        <f t="shared" si="2"/>
        <v>229</v>
      </c>
      <c r="I22" s="42"/>
      <c r="J22" s="89">
        <f t="shared" si="0"/>
        <v>1</v>
      </c>
      <c r="K22" s="9">
        <f t="shared" si="3"/>
        <v>87.02</v>
      </c>
      <c r="L22" s="9">
        <f t="shared" si="4"/>
        <v>87.02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87.02</v>
      </c>
      <c r="T22" s="14">
        <f t="shared" si="6"/>
        <v>87.02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292</v>
      </c>
      <c r="C23" s="4" t="s">
        <v>138</v>
      </c>
      <c r="D23" s="129"/>
      <c r="E23" s="54">
        <v>1</v>
      </c>
      <c r="F23" s="15">
        <v>165.83</v>
      </c>
      <c r="G23" s="38">
        <f t="shared" si="1"/>
        <v>114.37</v>
      </c>
      <c r="H23" s="39">
        <f t="shared" si="2"/>
        <v>165.83</v>
      </c>
      <c r="I23" s="42"/>
      <c r="J23" s="88">
        <f t="shared" si="0"/>
        <v>1</v>
      </c>
      <c r="K23" s="38">
        <f t="shared" si="3"/>
        <v>63.02</v>
      </c>
      <c r="L23" s="38">
        <f t="shared" si="4"/>
        <v>63.02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63.02</v>
      </c>
      <c r="T23" s="52">
        <f t="shared" si="6"/>
        <v>63.02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293</v>
      </c>
      <c r="C24" s="6" t="s">
        <v>140</v>
      </c>
      <c r="D24" s="130"/>
      <c r="E24" s="53">
        <v>1</v>
      </c>
      <c r="F24" s="8">
        <v>117.3</v>
      </c>
      <c r="G24" s="9">
        <f t="shared" si="1"/>
        <v>80.900000000000006</v>
      </c>
      <c r="H24" s="10">
        <f t="shared" si="2"/>
        <v>117.3</v>
      </c>
      <c r="I24" s="42"/>
      <c r="J24" s="89">
        <f t="shared" si="0"/>
        <v>1</v>
      </c>
      <c r="K24" s="9">
        <f t="shared" si="3"/>
        <v>44.57</v>
      </c>
      <c r="L24" s="9">
        <f t="shared" si="4"/>
        <v>44.57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44.57</v>
      </c>
      <c r="T24" s="14">
        <f t="shared" si="6"/>
        <v>44.57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294</v>
      </c>
      <c r="C25" s="4" t="s">
        <v>142</v>
      </c>
      <c r="D25" s="129"/>
      <c r="E25" s="54">
        <v>1</v>
      </c>
      <c r="F25" s="15">
        <v>94.42</v>
      </c>
      <c r="G25" s="38">
        <f t="shared" si="1"/>
        <v>65.12</v>
      </c>
      <c r="H25" s="39">
        <f t="shared" si="2"/>
        <v>94.42</v>
      </c>
      <c r="I25" s="42"/>
      <c r="J25" s="88">
        <f t="shared" si="0"/>
        <v>1</v>
      </c>
      <c r="K25" s="38">
        <f t="shared" si="3"/>
        <v>35.880000000000003</v>
      </c>
      <c r="L25" s="38">
        <f t="shared" si="4"/>
        <v>35.880000000000003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35.880000000000003</v>
      </c>
      <c r="T25" s="52">
        <f t="shared" si="6"/>
        <v>35.880000000000003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201</v>
      </c>
      <c r="C26" s="6" t="s">
        <v>295</v>
      </c>
      <c r="D26" s="130"/>
      <c r="E26" s="53">
        <v>2</v>
      </c>
      <c r="F26" s="8">
        <v>523.07000000000005</v>
      </c>
      <c r="G26" s="9">
        <f t="shared" si="1"/>
        <v>360.74</v>
      </c>
      <c r="H26" s="10">
        <f t="shared" si="2"/>
        <v>1046.1400000000001</v>
      </c>
      <c r="I26" s="42"/>
      <c r="J26" s="89">
        <f t="shared" si="0"/>
        <v>2</v>
      </c>
      <c r="K26" s="9">
        <f t="shared" si="3"/>
        <v>132.13</v>
      </c>
      <c r="L26" s="9">
        <f t="shared" si="4"/>
        <v>264.26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234.9</v>
      </c>
      <c r="S26" s="14">
        <f t="shared" si="5"/>
        <v>14.68</v>
      </c>
      <c r="T26" s="14">
        <f t="shared" si="6"/>
        <v>29.36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244</v>
      </c>
      <c r="C27" s="4" t="s">
        <v>245</v>
      </c>
      <c r="D27" s="129"/>
      <c r="E27" s="54">
        <v>1</v>
      </c>
      <c r="F27" s="15">
        <v>4369.08</v>
      </c>
      <c r="G27" s="38">
        <f t="shared" si="1"/>
        <v>3013.16</v>
      </c>
      <c r="H27" s="39">
        <f t="shared" si="2"/>
        <v>4369.08</v>
      </c>
      <c r="I27" s="42"/>
      <c r="J27" s="88">
        <f t="shared" si="0"/>
        <v>1</v>
      </c>
      <c r="K27" s="38">
        <f t="shared" si="3"/>
        <v>2184.54</v>
      </c>
      <c r="L27" s="38">
        <f t="shared" si="4"/>
        <v>2184.54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2184.54</v>
      </c>
      <c r="T27" s="52">
        <f t="shared" si="6"/>
        <v>2184.54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242</v>
      </c>
      <c r="C28" s="6" t="s">
        <v>296</v>
      </c>
      <c r="D28" s="130"/>
      <c r="E28" s="53">
        <v>1</v>
      </c>
      <c r="F28" s="8">
        <v>4161.4399999999996</v>
      </c>
      <c r="G28" s="9">
        <f t="shared" si="1"/>
        <v>2869.96</v>
      </c>
      <c r="H28" s="10">
        <f t="shared" si="2"/>
        <v>4161.4399999999996</v>
      </c>
      <c r="I28" s="42"/>
      <c r="J28" s="89">
        <f t="shared" si="0"/>
        <v>1</v>
      </c>
      <c r="K28" s="9">
        <f t="shared" si="3"/>
        <v>2080.7199999999998</v>
      </c>
      <c r="L28" s="9">
        <f t="shared" si="4"/>
        <v>2080.7199999999998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2080.7199999999998</v>
      </c>
      <c r="T28" s="14">
        <f t="shared" si="6"/>
        <v>2080.7199999999998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246</v>
      </c>
      <c r="C29" s="4" t="s">
        <v>297</v>
      </c>
      <c r="D29" s="129"/>
      <c r="E29" s="54">
        <v>6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8844.5400000000009</v>
      </c>
      <c r="I29" s="42"/>
      <c r="J29" s="88">
        <f t="shared" si="0"/>
        <v>6</v>
      </c>
      <c r="K29" s="38">
        <f t="shared" si="3"/>
        <v>737.05</v>
      </c>
      <c r="L29" s="38">
        <f>ROUND((J29*K29),2)</f>
        <v>4422.3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4422.3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298</v>
      </c>
      <c r="C30" s="6" t="s">
        <v>248</v>
      </c>
      <c r="D30" s="130"/>
      <c r="E30" s="53">
        <v>1</v>
      </c>
      <c r="F30" s="8">
        <v>3927.73</v>
      </c>
      <c r="G30" s="9">
        <f t="shared" si="1"/>
        <v>2708.78</v>
      </c>
      <c r="H30" s="10">
        <f t="shared" si="2"/>
        <v>3927.73</v>
      </c>
      <c r="I30" s="42"/>
      <c r="J30" s="89">
        <f t="shared" si="0"/>
        <v>1</v>
      </c>
      <c r="K30" s="9">
        <f t="shared" si="3"/>
        <v>1963.87</v>
      </c>
      <c r="L30" s="9">
        <f t="shared" si="4"/>
        <v>1963.87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1963.87</v>
      </c>
      <c r="T30" s="14">
        <f t="shared" si="6"/>
        <v>1963.87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299</v>
      </c>
      <c r="C31" s="4" t="s">
        <v>250</v>
      </c>
      <c r="D31" s="129"/>
      <c r="E31" s="54">
        <v>1</v>
      </c>
      <c r="F31" s="15">
        <v>4722.29</v>
      </c>
      <c r="G31" s="38">
        <f t="shared" si="1"/>
        <v>3256.75</v>
      </c>
      <c r="H31" s="39">
        <f t="shared" si="2"/>
        <v>4722.29</v>
      </c>
      <c r="I31" s="42"/>
      <c r="J31" s="88">
        <f t="shared" si="0"/>
        <v>1</v>
      </c>
      <c r="K31" s="38">
        <f t="shared" si="3"/>
        <v>2361.15</v>
      </c>
      <c r="L31" s="38">
        <f t="shared" si="4"/>
        <v>2361.15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2361.15</v>
      </c>
      <c r="T31" s="52">
        <f t="shared" si="6"/>
        <v>2361.15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300</v>
      </c>
      <c r="C33" s="4" t="s">
        <v>204</v>
      </c>
      <c r="D33" s="129"/>
      <c r="E33" s="54">
        <v>2</v>
      </c>
      <c r="F33" s="15">
        <v>1259.02</v>
      </c>
      <c r="G33" s="38">
        <f t="shared" si="1"/>
        <v>868.29</v>
      </c>
      <c r="H33" s="39">
        <f t="shared" si="2"/>
        <v>2518.04</v>
      </c>
      <c r="I33" s="42"/>
      <c r="J33" s="88">
        <f t="shared" si="0"/>
        <v>2</v>
      </c>
      <c r="K33" s="38">
        <f t="shared" si="3"/>
        <v>629.51</v>
      </c>
      <c r="L33" s="38">
        <f t="shared" si="4"/>
        <v>1259.02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629.51</v>
      </c>
      <c r="T33" s="52">
        <f t="shared" si="6"/>
        <v>1259.02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301</v>
      </c>
      <c r="C34" s="6" t="s">
        <v>206</v>
      </c>
      <c r="D34" s="130"/>
      <c r="E34" s="53">
        <v>36</v>
      </c>
      <c r="F34" s="8">
        <v>10.72</v>
      </c>
      <c r="G34" s="9">
        <f t="shared" si="1"/>
        <v>7.39</v>
      </c>
      <c r="H34" s="10">
        <f t="shared" si="2"/>
        <v>385.92</v>
      </c>
      <c r="I34" s="42"/>
      <c r="J34" s="89">
        <f t="shared" si="0"/>
        <v>36</v>
      </c>
      <c r="K34" s="9">
        <f t="shared" si="3"/>
        <v>5.36</v>
      </c>
      <c r="L34" s="9">
        <f t="shared" si="4"/>
        <v>192.96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5.36</v>
      </c>
      <c r="T34" s="14">
        <f t="shared" si="6"/>
        <v>192.96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302</v>
      </c>
      <c r="C35" s="4" t="s">
        <v>218</v>
      </c>
      <c r="D35" s="129"/>
      <c r="E35" s="54">
        <v>36</v>
      </c>
      <c r="F35" s="15">
        <v>2.83</v>
      </c>
      <c r="G35" s="38">
        <f t="shared" si="1"/>
        <v>1.95</v>
      </c>
      <c r="H35" s="39">
        <f t="shared" si="2"/>
        <v>101.88</v>
      </c>
      <c r="I35" s="42"/>
      <c r="J35" s="88">
        <f t="shared" si="0"/>
        <v>36</v>
      </c>
      <c r="K35" s="38">
        <f t="shared" si="3"/>
        <v>1.42</v>
      </c>
      <c r="L35" s="38">
        <f t="shared" si="4"/>
        <v>51.12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51.12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303</v>
      </c>
      <c r="C36" s="6" t="s">
        <v>304</v>
      </c>
      <c r="D36" s="130"/>
      <c r="E36" s="53">
        <v>2</v>
      </c>
      <c r="F36" s="8">
        <v>3159.07</v>
      </c>
      <c r="G36" s="9">
        <f t="shared" si="1"/>
        <v>2178.67</v>
      </c>
      <c r="H36" s="10">
        <f t="shared" si="2"/>
        <v>6318.14</v>
      </c>
      <c r="I36" s="42"/>
      <c r="J36" s="89">
        <f t="shared" si="0"/>
        <v>2</v>
      </c>
      <c r="K36" s="9">
        <f t="shared" si="3"/>
        <v>1579.54</v>
      </c>
      <c r="L36" s="9">
        <f t="shared" si="4"/>
        <v>3159.08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1579.54</v>
      </c>
      <c r="T36" s="14">
        <f t="shared" si="6"/>
        <v>3159.08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305</v>
      </c>
      <c r="C37" s="4" t="s">
        <v>210</v>
      </c>
      <c r="D37" s="129"/>
      <c r="E37" s="54">
        <v>8</v>
      </c>
      <c r="F37" s="15">
        <v>10.24</v>
      </c>
      <c r="G37" s="38">
        <f t="shared" si="1"/>
        <v>7.06</v>
      </c>
      <c r="H37" s="39">
        <f t="shared" si="2"/>
        <v>81.92</v>
      </c>
      <c r="I37" s="42"/>
      <c r="J37" s="88">
        <f t="shared" si="0"/>
        <v>8</v>
      </c>
      <c r="K37" s="38">
        <f t="shared" si="3"/>
        <v>5.12</v>
      </c>
      <c r="L37" s="38">
        <f t="shared" si="4"/>
        <v>40.96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5.12</v>
      </c>
      <c r="T37" s="52">
        <f t="shared" si="6"/>
        <v>40.96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306</v>
      </c>
      <c r="C38" s="6" t="s">
        <v>154</v>
      </c>
      <c r="D38" s="130"/>
      <c r="E38" s="53">
        <v>4</v>
      </c>
      <c r="F38" s="8">
        <v>635.41999999999996</v>
      </c>
      <c r="G38" s="9">
        <f t="shared" si="1"/>
        <v>438.22</v>
      </c>
      <c r="H38" s="10">
        <f t="shared" si="2"/>
        <v>2541.6799999999998</v>
      </c>
      <c r="I38" s="42"/>
      <c r="J38" s="89">
        <f t="shared" si="0"/>
        <v>4</v>
      </c>
      <c r="K38" s="9">
        <f t="shared" si="3"/>
        <v>317.70999999999998</v>
      </c>
      <c r="L38" s="9">
        <f t="shared" si="4"/>
        <v>1270.8399999999999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317.70999999999998</v>
      </c>
      <c r="T38" s="14">
        <f t="shared" si="6"/>
        <v>1270.8399999999999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307</v>
      </c>
      <c r="C39" s="4" t="s">
        <v>156</v>
      </c>
      <c r="D39" s="129"/>
      <c r="E39" s="54">
        <v>4</v>
      </c>
      <c r="F39" s="15">
        <v>31.9</v>
      </c>
      <c r="G39" s="38">
        <f t="shared" si="1"/>
        <v>22</v>
      </c>
      <c r="H39" s="39">
        <f t="shared" si="2"/>
        <v>127.6</v>
      </c>
      <c r="I39" s="42"/>
      <c r="J39" s="88">
        <f t="shared" si="0"/>
        <v>4</v>
      </c>
      <c r="K39" s="38">
        <f t="shared" si="3"/>
        <v>15.95</v>
      </c>
      <c r="L39" s="38">
        <f t="shared" si="4"/>
        <v>63.8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15.95</v>
      </c>
      <c r="T39" s="52">
        <f t="shared" si="6"/>
        <v>63.8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308</v>
      </c>
      <c r="C40" s="6" t="s">
        <v>213</v>
      </c>
      <c r="D40" s="130"/>
      <c r="E40" s="53">
        <v>18</v>
      </c>
      <c r="F40" s="8">
        <v>862.15</v>
      </c>
      <c r="G40" s="9">
        <f t="shared" si="1"/>
        <v>594.59</v>
      </c>
      <c r="H40" s="10">
        <f t="shared" si="2"/>
        <v>15518.7</v>
      </c>
      <c r="I40" s="42"/>
      <c r="J40" s="89">
        <f t="shared" si="0"/>
        <v>18</v>
      </c>
      <c r="K40" s="9">
        <f t="shared" si="3"/>
        <v>431.08</v>
      </c>
      <c r="L40" s="9">
        <f t="shared" si="4"/>
        <v>7759.44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431.08</v>
      </c>
      <c r="T40" s="14">
        <f t="shared" si="6"/>
        <v>7759.44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216</v>
      </c>
      <c r="C41" s="4" t="s">
        <v>309</v>
      </c>
      <c r="D41" s="129"/>
      <c r="E41" s="54">
        <v>72</v>
      </c>
      <c r="F41" s="15">
        <v>20.079999999999998</v>
      </c>
      <c r="G41" s="38">
        <f t="shared" si="1"/>
        <v>13.85</v>
      </c>
      <c r="H41" s="39">
        <f t="shared" si="2"/>
        <v>1445.76</v>
      </c>
      <c r="I41" s="42"/>
      <c r="J41" s="88">
        <f t="shared" si="0"/>
        <v>72</v>
      </c>
      <c r="K41" s="38">
        <f t="shared" si="3"/>
        <v>10.039999999999999</v>
      </c>
      <c r="L41" s="38">
        <f t="shared" si="4"/>
        <v>722.88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10.039999999999999</v>
      </c>
      <c r="T41" s="52">
        <f t="shared" si="6"/>
        <v>722.88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217</v>
      </c>
      <c r="C42" s="6" t="s">
        <v>218</v>
      </c>
      <c r="D42" s="130"/>
      <c r="E42" s="53">
        <v>72</v>
      </c>
      <c r="F42" s="8">
        <v>2.99</v>
      </c>
      <c r="G42" s="9">
        <f t="shared" si="1"/>
        <v>2.06</v>
      </c>
      <c r="H42" s="10">
        <f t="shared" si="2"/>
        <v>215.28</v>
      </c>
      <c r="I42" s="42"/>
      <c r="J42" s="89">
        <f t="shared" si="0"/>
        <v>72</v>
      </c>
      <c r="K42" s="9">
        <f t="shared" si="3"/>
        <v>1.5</v>
      </c>
      <c r="L42" s="9">
        <f t="shared" si="4"/>
        <v>108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</v>
      </c>
      <c r="T42" s="14">
        <f t="shared" si="6"/>
        <v>108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310</v>
      </c>
      <c r="C44" s="6" t="s">
        <v>252</v>
      </c>
      <c r="D44" s="130"/>
      <c r="E44" s="53">
        <v>2</v>
      </c>
      <c r="F44" s="8">
        <v>10788.51</v>
      </c>
      <c r="G44" s="9">
        <f t="shared" si="1"/>
        <v>7440.35</v>
      </c>
      <c r="H44" s="10">
        <f t="shared" si="2"/>
        <v>21577.02</v>
      </c>
      <c r="I44" s="42"/>
      <c r="J44" s="89">
        <f t="shared" si="0"/>
        <v>2</v>
      </c>
      <c r="K44" s="9">
        <f t="shared" si="3"/>
        <v>5394.26</v>
      </c>
      <c r="L44" s="9">
        <f t="shared" si="4"/>
        <v>10788.52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5394.26</v>
      </c>
      <c r="T44" s="14">
        <f t="shared" si="6"/>
        <v>10788.52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311</v>
      </c>
      <c r="C45" s="4" t="s">
        <v>312</v>
      </c>
      <c r="D45" s="129"/>
      <c r="E45" s="54">
        <v>100</v>
      </c>
      <c r="F45" s="15">
        <v>230.39</v>
      </c>
      <c r="G45" s="38">
        <f t="shared" si="1"/>
        <v>158.88999999999999</v>
      </c>
      <c r="H45" s="39">
        <f t="shared" si="2"/>
        <v>23039</v>
      </c>
      <c r="I45" s="42"/>
      <c r="J45" s="88">
        <f t="shared" si="0"/>
        <v>100</v>
      </c>
      <c r="K45" s="38">
        <f t="shared" si="3"/>
        <v>115.2</v>
      </c>
      <c r="L45" s="38">
        <f t="shared" si="4"/>
        <v>11520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115.2</v>
      </c>
      <c r="T45" s="52">
        <f t="shared" si="6"/>
        <v>11520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313</v>
      </c>
      <c r="C46" s="6" t="s">
        <v>314</v>
      </c>
      <c r="D46" s="130"/>
      <c r="E46" s="53">
        <v>400</v>
      </c>
      <c r="F46" s="8">
        <v>6.78</v>
      </c>
      <c r="G46" s="9">
        <f t="shared" si="1"/>
        <v>4.68</v>
      </c>
      <c r="H46" s="10">
        <f t="shared" si="2"/>
        <v>2712</v>
      </c>
      <c r="I46" s="42"/>
      <c r="J46" s="89">
        <f t="shared" si="0"/>
        <v>400</v>
      </c>
      <c r="K46" s="9">
        <f t="shared" si="3"/>
        <v>3.39</v>
      </c>
      <c r="L46" s="9">
        <f t="shared" si="4"/>
        <v>1356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3.39</v>
      </c>
      <c r="T46" s="14">
        <f t="shared" si="6"/>
        <v>1356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225</v>
      </c>
      <c r="C47" s="4" t="s">
        <v>226</v>
      </c>
      <c r="D47" s="129"/>
      <c r="E47" s="54">
        <v>400</v>
      </c>
      <c r="F47" s="15">
        <v>3.14</v>
      </c>
      <c r="G47" s="38">
        <f t="shared" si="1"/>
        <v>2.17</v>
      </c>
      <c r="H47" s="39">
        <f t="shared" si="2"/>
        <v>1256</v>
      </c>
      <c r="I47" s="42"/>
      <c r="J47" s="88">
        <f t="shared" si="0"/>
        <v>400</v>
      </c>
      <c r="K47" s="38">
        <f t="shared" si="3"/>
        <v>1.57</v>
      </c>
      <c r="L47" s="38">
        <f t="shared" si="4"/>
        <v>628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1.57</v>
      </c>
      <c r="T47" s="52">
        <f t="shared" si="6"/>
        <v>628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315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50684.69</v>
      </c>
      <c r="G61" s="79">
        <f>SUM(G18:G60)</f>
        <v>34954.970000000008</v>
      </c>
      <c r="H61" s="80">
        <f>SUM(H18:H60)</f>
        <v>119393.91</v>
      </c>
      <c r="I61" s="81"/>
      <c r="J61" s="82">
        <f>SUM(J18:J60)</f>
        <v>1177</v>
      </c>
      <c r="K61" s="79">
        <f>SUM(K18:K60)</f>
        <v>25106.42</v>
      </c>
      <c r="L61" s="80">
        <f>SUM(L18:L60)</f>
        <v>59332.77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24988.97</v>
      </c>
      <c r="T61" s="80">
        <f>SUM(T18:T60)</f>
        <v>59097.87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M18:M60" xr:uid="{ED028DFD-D7DC-4845-84BC-265261B866E1}">
      <formula1>$Y$31:$Y$32</formula1>
    </dataValidation>
    <dataValidation type="list" showInputMessage="1" showErrorMessage="1" sqref="D18:D60" xr:uid="{7354614B-C3A7-49A3-8925-140760413AAA}">
      <formula1>$Z$18:$Z$29</formula1>
    </dataValidation>
    <dataValidation type="list" allowBlank="1" showInputMessage="1" showErrorMessage="1" sqref="I13" xr:uid="{D8E8921C-BB5C-4409-8620-1E5C21934FBA}">
      <formula1>$K$9:$K$9</formula1>
    </dataValidation>
    <dataValidation type="list" allowBlank="1" showInputMessage="1" showErrorMessage="1" sqref="H13" xr:uid="{D10E392E-C69C-4946-8C1C-61C58A9AEA9B}">
      <formula1>$Y$13:$Y$14</formula1>
    </dataValidation>
    <dataValidation type="list" allowBlank="1" showInputMessage="1" showErrorMessage="1" sqref="F17 K17 Q17 Q14" xr:uid="{FC6C6020-0D14-4476-AD06-330E9190A7F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26E-DCDC-4686-BF8D-37E737ECBE96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316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117552.93000000001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2015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58425.07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59127.860000000008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317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0.50298924918332533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318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58190.170000000006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319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10015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58184.3</v>
      </c>
      <c r="U9" s="172">
        <f>IFERROR(((P3-S9)/S9),0)</f>
        <v>241.6592598745691</v>
      </c>
      <c r="V9" s="172">
        <f>IFERROR(T9/P3,0)</f>
        <v>0.99587899509576971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60" xr:uid="{8D6D57B9-56FD-4BBA-86C0-BF238EBAB5E9}">
      <formula1>$Y$31:$Y$32</formula1>
    </dataValidation>
    <dataValidation type="list" showInputMessage="1" showErrorMessage="1" sqref="D18:D60" xr:uid="{41811411-9873-4D7C-8C2B-56EB1B940B67}">
      <formula1>$Z$18:$Z$29</formula1>
    </dataValidation>
    <dataValidation type="list" allowBlank="1" showInputMessage="1" showErrorMessage="1" sqref="I13" xr:uid="{75EFCC6B-4E1E-452C-886F-045BC6B73C75}">
      <formula1>$K$9:$K$9</formula1>
    </dataValidation>
    <dataValidation type="list" allowBlank="1" showInputMessage="1" showErrorMessage="1" sqref="H13" xr:uid="{BCF634FA-34FE-4BBE-8745-610A0DC4E014}">
      <formula1>$Y$13:$Y$14</formula1>
    </dataValidation>
    <dataValidation type="list" allowBlank="1" showInputMessage="1" showErrorMessage="1" sqref="F17 K17 Q17 Q14" xr:uid="{B04913FA-976B-4F98-A4AB-053BD9845FD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7FB-6B2D-4590-A42C-D732CC8697F8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813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117552.93000000001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2015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58425.07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59127.860000000008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317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0.50298924918332533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814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58190.170000000006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319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8425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58184.3</v>
      </c>
      <c r="U9" s="172">
        <f>IFERROR(((P3-S9)/S9),0)</f>
        <v>241.6592598745691</v>
      </c>
      <c r="V9" s="172">
        <f>IFERROR(T9/P3,0)</f>
        <v>0.99587899509576971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6DCC48DD-9C78-40C1-B1B7-657DD4E827FF}">
      <formula1>$Y$11:$Y$12</formula1>
    </dataValidation>
    <dataValidation type="list" allowBlank="1" showInputMessage="1" showErrorMessage="1" sqref="H13" xr:uid="{839AFC37-D838-4435-B005-B9786A201C1C}">
      <formula1>$Y$13:$Y$14</formula1>
    </dataValidation>
    <dataValidation type="list" allowBlank="1" showInputMessage="1" showErrorMessage="1" sqref="I13" xr:uid="{3DD55428-B42E-447B-A3CE-039A66C457B2}">
      <formula1>$K$9:$K$9</formula1>
    </dataValidation>
    <dataValidation type="list" showInputMessage="1" showErrorMessage="1" sqref="D18:D60" xr:uid="{779E74FB-A276-4A0A-8A00-0DD04D8CB65B}">
      <formula1>$Z$18:$Z$29</formula1>
    </dataValidation>
    <dataValidation type="list" allowBlank="1" showInputMessage="1" showErrorMessage="1" sqref="M18:M60" xr:uid="{54F6DA6E-0406-4867-8987-7068824E39D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1BE9-33E1-4C51-B90B-3260CE7A106C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329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118958.96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2017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59128.08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59830.880000000005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0.50295395992029523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331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58893.18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332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8252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58887.310000000005</v>
      </c>
      <c r="U9" s="172">
        <f>IFERROR(((P3-S9)/S9),0)</f>
        <v>244.57910038626076</v>
      </c>
      <c r="V9" s="172">
        <f>IFERROR(T9/P3,0)</f>
        <v>0.99592799225004436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333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244</v>
      </c>
      <c r="C26" s="6" t="s">
        <v>334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255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60" xr:uid="{4549CD97-F723-4632-9E8A-8330F4BEF784}">
      <formula1>$Y$31:$Y$32</formula1>
    </dataValidation>
    <dataValidation type="list" showInputMessage="1" showErrorMessage="1" sqref="D18:D60" xr:uid="{8CC23A2C-6D8D-4835-BAC0-C529F973E036}">
      <formula1>$Z$18:$Z$29</formula1>
    </dataValidation>
    <dataValidation type="list" allowBlank="1" showInputMessage="1" showErrorMessage="1" sqref="I13" xr:uid="{AF6D5367-7461-48C1-8C73-688BAFEBEC18}">
      <formula1>$K$9:$K$9</formula1>
    </dataValidation>
    <dataValidation type="list" allowBlank="1" showInputMessage="1" showErrorMessage="1" sqref="H13" xr:uid="{5ED070B6-116B-4306-BA7A-5888E4DBE862}">
      <formula1>$Y$13:$Y$14</formula1>
    </dataValidation>
    <dataValidation type="list" allowBlank="1" showInputMessage="1" showErrorMessage="1" sqref="F17 K17 Q17 Q14" xr:uid="{16A0B341-6036-42F4-8A6C-CC06D8FDC0C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95BF-504E-4723-B6BD-DD2C834A2B48}">
  <sheetPr>
    <pageSetUpPr fitToPage="1"/>
  </sheetPr>
  <dimension ref="A1:AB63"/>
  <sheetViews>
    <sheetView topLeftCell="A14"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336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118958.96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2018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59128.08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59830.880000000005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0.50295395992029523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337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58893.18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338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4996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58887.310000000005</v>
      </c>
      <c r="U9" s="172">
        <f>IFERROR(((P3-S9)/S9),0)</f>
        <v>244.57910038626076</v>
      </c>
      <c r="V9" s="172">
        <f>IFERROR(T9/P3,0)</f>
        <v>0.99592799225004436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M18:M60" xr:uid="{D4A083D4-9297-40CF-B352-1E728B9069EB}">
      <formula1>$Y$31:$Y$32</formula1>
    </dataValidation>
    <dataValidation type="list" showInputMessage="1" showErrorMessage="1" sqref="D18:D60" xr:uid="{A9CE6A44-81F4-44B8-875E-1887B034B646}">
      <formula1>$Z$18:$Z$29</formula1>
    </dataValidation>
    <dataValidation type="list" allowBlank="1" showInputMessage="1" showErrorMessage="1" sqref="I13" xr:uid="{42FB2E4E-A626-4D15-9A1C-3C9D746D8AB3}">
      <formula1>$K$9:$K$9</formula1>
    </dataValidation>
    <dataValidation type="list" allowBlank="1" showInputMessage="1" showErrorMessage="1" sqref="H13" xr:uid="{9E1A7067-20DF-4B9B-8612-E1D134C380C5}">
      <formula1>$Y$13:$Y$14</formula1>
    </dataValidation>
    <dataValidation type="list" allowBlank="1" showInputMessage="1" showErrorMessage="1" sqref="F17 K17 Q17 Q14" xr:uid="{7EB67F22-0C37-4E54-A090-A418D67D5E4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CC6-5D01-4724-9B92-0D9CD872438E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811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118958.96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2018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59128.08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59830.880000000005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0.50295395992029523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812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58893.18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338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234.9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6031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5.87</v>
      </c>
      <c r="Q9" s="231"/>
      <c r="R9" s="232"/>
      <c r="S9" s="170">
        <f>P7+P8+P9</f>
        <v>240.77</v>
      </c>
      <c r="T9" s="170">
        <f>P3-S9</f>
        <v>58887.310000000005</v>
      </c>
      <c r="U9" s="172">
        <f>IFERROR(((P3-S9)/S9),0)</f>
        <v>244.57910038626076</v>
      </c>
      <c r="V9" s="172">
        <f>IFERROR(T9/P3,0)</f>
        <v>0.99592799225004436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F17 K17 Q17 Q14" xr:uid="{D0152FE5-3A92-47EE-A6D4-3EFE5D60DB45}">
      <formula1>$Y$11:$Y$12</formula1>
    </dataValidation>
    <dataValidation type="list" allowBlank="1" showInputMessage="1" showErrorMessage="1" sqref="H13" xr:uid="{1299D598-AADD-4CC8-9D52-B72EBAE7AD90}">
      <formula1>$Y$13:$Y$14</formula1>
    </dataValidation>
    <dataValidation type="list" allowBlank="1" showInputMessage="1" showErrorMessage="1" sqref="I13" xr:uid="{AB9B48F0-820B-48B8-8FF5-8E0B795E6AF6}">
      <formula1>$K$9:$K$9</formula1>
    </dataValidation>
    <dataValidation type="list" showInputMessage="1" showErrorMessage="1" sqref="D18:D60" xr:uid="{F38AF7D8-E6D3-4CBB-AF38-9E179E3CCE1F}">
      <formula1>$Z$18:$Z$29</formula1>
    </dataValidation>
    <dataValidation type="list" allowBlank="1" showInputMessage="1" showErrorMessage="1" sqref="M18:M60" xr:uid="{36F20507-6DEE-4C63-8019-06D4A315470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E07-9157-4F8D-9465-885CB68E0CB6}">
  <sheetPr>
    <pageSetUpPr fitToPage="1"/>
  </sheetPr>
  <dimension ref="A1:AB63"/>
  <sheetViews>
    <sheetView zoomScale="85" zoomScaleNormal="85" workbookViewId="0">
      <selection activeCell="Q27" sqref="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339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107737.37000000001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2019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53205.7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54531.670000000013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0.50615371435185408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340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52775.899999999994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341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5691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52765.149999999994</v>
      </c>
      <c r="U9" s="172">
        <f>IFERROR(((P3-S9)/S9),0)</f>
        <v>119.77108160254227</v>
      </c>
      <c r="V9" s="172">
        <f>IFERROR(T9/P3,0)</f>
        <v>0.99171987211896462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F17 K17 Q17 Q14" xr:uid="{838F6E4E-EEEE-4140-8D42-1302167A93F9}">
      <formula1>$Y$11:$Y$12</formula1>
    </dataValidation>
    <dataValidation type="list" allowBlank="1" showInputMessage="1" showErrorMessage="1" sqref="H13" xr:uid="{BA22E55A-2B98-4F4C-8C74-9E536193C320}">
      <formula1>$Y$13:$Y$14</formula1>
    </dataValidation>
    <dataValidation type="list" allowBlank="1" showInputMessage="1" showErrorMessage="1" sqref="I13" xr:uid="{DC1AA90B-E7C2-48F6-9476-F8B7EBAA7846}">
      <formula1>$K$9:$K$9</formula1>
    </dataValidation>
    <dataValidation type="list" showInputMessage="1" showErrorMessage="1" sqref="D18:D60" xr:uid="{61EE3376-E424-4E86-871E-25EC9EED25C9}">
      <formula1>$Z$18:$Z$29</formula1>
    </dataValidation>
    <dataValidation type="list" allowBlank="1" showInputMessage="1" showErrorMessage="1" sqref="M18:M60" xr:uid="{66EF0AD3-C191-41AA-A7C6-CE45E4DEB91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4D7-0935-4C96-855F-FCB24C739B22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805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107737.37000000001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2019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53205.7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54531.670000000013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0.50615371435185408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806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52775.899999999994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341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5428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52765.149999999994</v>
      </c>
      <c r="U9" s="172">
        <f>IFERROR(((P3-S9)/S9),0)</f>
        <v>119.77108160254227</v>
      </c>
      <c r="V9" s="172">
        <f>IFERROR(T9/P3,0)</f>
        <v>0.99171987211896462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M18:M60" xr:uid="{8B43C818-3051-4873-A1BE-90FA6E584641}">
      <formula1>$Y$31:$Y$32</formula1>
    </dataValidation>
    <dataValidation type="list" showInputMessage="1" showErrorMessage="1" sqref="D18:D60" xr:uid="{2A3AA1ED-2E3A-4138-8F47-B8F4840C19EA}">
      <formula1>$Z$18:$Z$29</formula1>
    </dataValidation>
    <dataValidation type="list" allowBlank="1" showInputMessage="1" showErrorMessage="1" sqref="I13" xr:uid="{7D1575E7-4513-4180-9D64-05A816697039}">
      <formula1>$K$9:$K$9</formula1>
    </dataValidation>
    <dataValidation type="list" allowBlank="1" showInputMessage="1" showErrorMessage="1" sqref="H13" xr:uid="{FF5B2E5B-8CB4-4676-8BE0-FBD1CF5A61EF}">
      <formula1>$Y$13:$Y$14</formula1>
    </dataValidation>
    <dataValidation type="list" allowBlank="1" showInputMessage="1" showErrorMessage="1" sqref="F17 K17 Q17 Q14" xr:uid="{BA5E9A63-BB11-44A8-828B-1B2676F5E86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CB7-D519-4C49-AE27-4FAD9F1B9CA7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807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107737.37000000001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53205.7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54531.670000000013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0.50615371435185408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808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52775.899999999994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341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1397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52765.149999999994</v>
      </c>
      <c r="U9" s="172">
        <f>IFERROR(((P3-S9)/S9),0)</f>
        <v>119.77108160254227</v>
      </c>
      <c r="V9" s="172">
        <f>IFERROR(T9/P3,0)</f>
        <v>0.99171987211896462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F17 K17 Q17 Q14" xr:uid="{1DF99F07-EE51-47C4-A404-AFE0988DCF41}">
      <formula1>$Y$11:$Y$12</formula1>
    </dataValidation>
    <dataValidation type="list" allowBlank="1" showInputMessage="1" showErrorMessage="1" sqref="H13" xr:uid="{0E1DA0FE-BCF9-4B20-BB51-8EBD89C4940D}">
      <formula1>$Y$13:$Y$14</formula1>
    </dataValidation>
    <dataValidation type="list" allowBlank="1" showInputMessage="1" showErrorMessage="1" sqref="I13" xr:uid="{6457E57B-4AB7-444A-8342-48A7861C778D}">
      <formula1>$K$9:$K$9</formula1>
    </dataValidation>
    <dataValidation type="list" showInputMessage="1" showErrorMessage="1" sqref="D18:D60" xr:uid="{87C6C49B-AA95-40A0-9E9F-E2EE75B8A7D3}">
      <formula1>$Z$18:$Z$29</formula1>
    </dataValidation>
    <dataValidation type="list" allowBlank="1" showInputMessage="1" showErrorMessage="1" sqref="M18:M60" xr:uid="{6BF35884-2F8A-4E0B-9C70-FC2DB788E5F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89C-A501-4B4C-BF3D-39AEBF8A2230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809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107737.37000000001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53205.7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54531.670000000013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0.50615371435185408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810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52775.899999999994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341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483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52765.149999999994</v>
      </c>
      <c r="U9" s="172">
        <f>IFERROR(((P3-S9)/S9),0)</f>
        <v>119.77108160254227</v>
      </c>
      <c r="V9" s="172">
        <f>IFERROR(T9/P3,0)</f>
        <v>0.99171987211896462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M18:M60" xr:uid="{B09107C4-A767-4E72-AC4A-5C662C1FD96C}">
      <formula1>$Y$31:$Y$32</formula1>
    </dataValidation>
    <dataValidation type="list" showInputMessage="1" showErrorMessage="1" sqref="D18:D60" xr:uid="{636250CE-58F7-4CF2-B809-F7D33F9FEA04}">
      <formula1>$Z$18:$Z$29</formula1>
    </dataValidation>
    <dataValidation type="list" allowBlank="1" showInputMessage="1" showErrorMessage="1" sqref="I13" xr:uid="{485B87C5-BEA0-4A9A-A842-A8BC04BEE649}">
      <formula1>$K$9:$K$9</formula1>
    </dataValidation>
    <dataValidation type="list" allowBlank="1" showInputMessage="1" showErrorMessage="1" sqref="H13" xr:uid="{C30AD912-F045-40A8-A3DC-72BFCE8C4517}">
      <formula1>$Y$13:$Y$14</formula1>
    </dataValidation>
    <dataValidation type="list" allowBlank="1" showInputMessage="1" showErrorMessage="1" sqref="F17 K17 Q17 Q14" xr:uid="{AC34F306-E2B3-49DC-B568-E6E76C19C8A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2F0-6E7C-46CC-865B-436543918AB1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354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355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4356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M18:M60" xr:uid="{4AC9EEE6-1A82-4B8D-9B76-58ABBF13389A}">
      <formula1>$Y$31:$Y$32</formula1>
    </dataValidation>
    <dataValidation type="list" showInputMessage="1" showErrorMessage="1" sqref="D18:D60" xr:uid="{E02785A6-1505-4321-B23E-D8C804C630D3}">
      <formula1>$Z$18:$Z$29</formula1>
    </dataValidation>
    <dataValidation type="list" allowBlank="1" showInputMessage="1" showErrorMessage="1" sqref="I13" xr:uid="{56442511-47F5-402B-BF85-620F503EB04A}">
      <formula1>$K$9:$K$9</formula1>
    </dataValidation>
    <dataValidation type="list" allowBlank="1" showInputMessage="1" showErrorMessage="1" sqref="H13" xr:uid="{DF9A558C-BC98-4C31-9F7E-3C319D4B0DF8}">
      <formula1>$Y$13:$Y$14</formula1>
    </dataValidation>
    <dataValidation type="list" allowBlank="1" showInputMessage="1" showErrorMessage="1" sqref="F17 K17 Q17 Q14" xr:uid="{3AE359DD-BADB-4F0C-B6EE-0E6DB19C924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CF5-D3F4-4F5F-8F55-7F747AE98688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795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796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4116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F17 K17 Q17 Q14" xr:uid="{22C0F8C6-BF02-466A-B193-8C2CABB0B2A1}">
      <formula1>$Y$11:$Y$12</formula1>
    </dataValidation>
    <dataValidation type="list" allowBlank="1" showInputMessage="1" showErrorMessage="1" sqref="H13" xr:uid="{48724C56-EBE0-4DFD-99F7-DF4F510A9F12}">
      <formula1>$Y$13:$Y$14</formula1>
    </dataValidation>
    <dataValidation type="list" allowBlank="1" showInputMessage="1" showErrorMessage="1" sqref="I13" xr:uid="{8B73B7D7-0EE7-47AA-9C39-8A49196433EE}">
      <formula1>$K$9:$K$9</formula1>
    </dataValidation>
    <dataValidation type="list" showInputMessage="1" showErrorMessage="1" sqref="D18:D60" xr:uid="{D76A31BE-0EC1-4C7B-990D-5054C42D7DE0}">
      <formula1>$Z$18:$Z$29</formula1>
    </dataValidation>
    <dataValidation type="list" allowBlank="1" showInputMessage="1" showErrorMessage="1" sqref="M18:M60" xr:uid="{CDFB464D-D9CE-455B-B8BB-50541ED92CB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6954-8D35-45DE-81B8-93D9E386AA3C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797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798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3854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M18:M60" xr:uid="{AE1A0312-1ADC-4A21-B9B5-086EFD9BDD3B}">
      <formula1>$Y$31:$Y$32</formula1>
    </dataValidation>
    <dataValidation type="list" showInputMessage="1" showErrorMessage="1" sqref="D18:D60" xr:uid="{22B75A48-886A-41FF-8675-ED45451B7ED8}">
      <formula1>$Z$18:$Z$29</formula1>
    </dataValidation>
    <dataValidation type="list" allowBlank="1" showInputMessage="1" showErrorMessage="1" sqref="I13" xr:uid="{F795C515-4C47-43D6-B4F4-6F8B1C56D0FB}">
      <formula1>$K$9:$K$9</formula1>
    </dataValidation>
    <dataValidation type="list" allowBlank="1" showInputMessage="1" showErrorMessage="1" sqref="H13" xr:uid="{8B380205-2E5F-4A50-AA5E-0B353BC35BF2}">
      <formula1>$Y$13:$Y$14</formula1>
    </dataValidation>
    <dataValidation type="list" allowBlank="1" showInputMessage="1" showErrorMessage="1" sqref="F17 K17 Q17 Q14" xr:uid="{6C43FA14-350A-4548-BE25-DB3CF0CFE7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50-ECD3-41C4-B939-F92E0652554C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799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800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2469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69B41489-6ED6-41D0-A10E-7DCC460AD9D7}">
      <formula1>$Y$11:$Y$12</formula1>
    </dataValidation>
    <dataValidation type="list" allowBlank="1" showInputMessage="1" showErrorMessage="1" sqref="H13" xr:uid="{1F209057-B47F-4AE1-8EAF-E6F279987B03}">
      <formula1>$Y$13:$Y$14</formula1>
    </dataValidation>
    <dataValidation type="list" allowBlank="1" showInputMessage="1" showErrorMessage="1" sqref="I13" xr:uid="{19694C1D-114E-4090-B265-F1AF2FA1A1F1}">
      <formula1>$K$9:$K$9</formula1>
    </dataValidation>
    <dataValidation type="list" showInputMessage="1" showErrorMessage="1" sqref="D18:D60" xr:uid="{231F301E-3C32-4199-8199-07FB299917A0}">
      <formula1>$Z$18:$Z$29</formula1>
    </dataValidation>
    <dataValidation type="list" allowBlank="1" showInputMessage="1" showErrorMessage="1" sqref="M18:M60" xr:uid="{7D2BB36B-CC3F-416C-A574-FBEA54F850C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24C0-3107-4E1E-86BC-53098450C129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801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802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422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60" xr:uid="{9648525A-DC90-4DF8-8081-441F8C8D5B85}">
      <formula1>$Y$31:$Y$32</formula1>
    </dataValidation>
    <dataValidation type="list" showInputMessage="1" showErrorMessage="1" sqref="D18:D60" xr:uid="{4E283BC1-6A98-4533-83E8-F281569D001C}">
      <formula1>$Z$18:$Z$29</formula1>
    </dataValidation>
    <dataValidation type="list" allowBlank="1" showInputMessage="1" showErrorMessage="1" sqref="I13" xr:uid="{02D7EBBE-1F57-4A30-A1BB-EC19209D1538}">
      <formula1>$K$9:$K$9</formula1>
    </dataValidation>
    <dataValidation type="list" allowBlank="1" showInputMessage="1" showErrorMessage="1" sqref="H13" xr:uid="{46402B8B-587D-44A8-A6CF-6DF21C26CE80}">
      <formula1>$Y$13:$Y$14</formula1>
    </dataValidation>
    <dataValidation type="list" allowBlank="1" showInputMessage="1" showErrorMessage="1" sqref="F17 K17 Q17 Q14" xr:uid="{3EB2C38D-5927-4C8B-BA9C-9AED59674BF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176-47C6-488C-BADE-77E313568E36}">
  <sheetPr>
    <pageSetUpPr fitToPage="1"/>
  </sheetPr>
  <dimension ref="A1:AB63"/>
  <sheetViews>
    <sheetView zoomScale="85" zoomScaleNormal="85" workbookViewId="0">
      <selection activeCell="C25" sqref="C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803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107578.17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2023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53145.2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54432.97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>
        <v>330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0.50598527563724127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804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52715.399999999994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356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429.8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923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10.75</v>
      </c>
      <c r="Q9" s="231"/>
      <c r="R9" s="232"/>
      <c r="S9" s="170">
        <f>P7+P8+P9</f>
        <v>440.55</v>
      </c>
      <c r="T9" s="170">
        <f>P3-S9</f>
        <v>52704.649999999994</v>
      </c>
      <c r="U9" s="172">
        <f>IFERROR(((P3-S9)/S9),0)</f>
        <v>119.63375326296674</v>
      </c>
      <c r="V9" s="172">
        <f>IFERROR(T9/P3,0)</f>
        <v>0.99171044609861281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1176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19A7C670-2782-4AC8-9FC1-C74952253856}">
      <formula1>$Y$11:$Y$12</formula1>
    </dataValidation>
    <dataValidation type="list" allowBlank="1" showInputMessage="1" showErrorMessage="1" sqref="H13" xr:uid="{8D712C00-4E5E-4791-A186-7819400648F7}">
      <formula1>$Y$13:$Y$14</formula1>
    </dataValidation>
    <dataValidation type="list" allowBlank="1" showInputMessage="1" showErrorMessage="1" sqref="I13" xr:uid="{4985748D-568E-4ED7-98FB-025ACBCECF82}">
      <formula1>$K$9:$K$9</formula1>
    </dataValidation>
    <dataValidation type="list" showInputMessage="1" showErrorMessage="1" sqref="D18:D60" xr:uid="{9BD12C84-43E9-47C9-9A1A-4453C1B11AAA}">
      <formula1>$Z$18:$Z$29</formula1>
    </dataValidation>
    <dataValidation type="list" allowBlank="1" showInputMessage="1" showErrorMessage="1" sqref="M18:M60" xr:uid="{B8E50CA2-B592-426A-B748-543962045BBB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7AA9-F404-447E-8535-7BD306589DE3}">
  <sheetPr>
    <pageSetUpPr fitToPage="1"/>
  </sheetPr>
  <dimension ref="A1:AB63"/>
  <sheetViews>
    <sheetView zoomScale="85" zoomScaleNormal="85" workbookViewId="0">
      <selection activeCell="N40" sqref="N40:N4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357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116252.89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2015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58015.520000000004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58237.369999999995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358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0.50095416982751995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359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58015.520000000004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360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8427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58015.520000000004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1123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362</v>
      </c>
      <c r="C19" s="4" t="s">
        <v>363</v>
      </c>
      <c r="D19" s="129"/>
      <c r="E19" s="54">
        <v>2</v>
      </c>
      <c r="F19" s="15">
        <v>51.52</v>
      </c>
      <c r="G19" s="38">
        <f t="shared" ref="G19:G60" si="1">ROUND(IF($F$17="USD $", F19*$E$15,F19*$D$15),2)</f>
        <v>35.53</v>
      </c>
      <c r="H19" s="39">
        <f t="shared" ref="H19:H60" si="2">ROUND(IF($H$17=$G$17,E19*G19,E19*F19),2)</f>
        <v>103.04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19.579999999999998</v>
      </c>
      <c r="L19" s="38">
        <f t="shared" ref="L19:L60" si="4">ROUND((J19*K19),2)</f>
        <v>39.159999999999997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19.579999999999998</v>
      </c>
      <c r="T19" s="52">
        <f t="shared" ref="T19:T60" si="6">ROUND(L19-R19,2)</f>
        <v>39.159999999999997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364</v>
      </c>
      <c r="C20" s="6" t="s">
        <v>136</v>
      </c>
      <c r="D20" s="130"/>
      <c r="E20" s="53">
        <v>1</v>
      </c>
      <c r="F20" s="8">
        <v>104.86</v>
      </c>
      <c r="G20" s="9">
        <f t="shared" si="1"/>
        <v>72.319999999999993</v>
      </c>
      <c r="H20" s="10">
        <f t="shared" si="2"/>
        <v>104.86</v>
      </c>
      <c r="I20" s="42"/>
      <c r="J20" s="89">
        <f t="shared" si="0"/>
        <v>1</v>
      </c>
      <c r="K20" s="9">
        <f t="shared" si="3"/>
        <v>39.85</v>
      </c>
      <c r="L20" s="9">
        <f t="shared" si="4"/>
        <v>39.85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39.85</v>
      </c>
      <c r="T20" s="14">
        <f t="shared" si="6"/>
        <v>39.85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239</v>
      </c>
      <c r="C22" s="6" t="s">
        <v>365</v>
      </c>
      <c r="D22" s="130"/>
      <c r="E22" s="53">
        <v>1</v>
      </c>
      <c r="F22" s="8">
        <v>102.09</v>
      </c>
      <c r="G22" s="9">
        <f t="shared" si="1"/>
        <v>70.41</v>
      </c>
      <c r="H22" s="10">
        <f t="shared" si="2"/>
        <v>102.09</v>
      </c>
      <c r="I22" s="42"/>
      <c r="J22" s="89">
        <f t="shared" si="0"/>
        <v>1</v>
      </c>
      <c r="K22" s="9">
        <f t="shared" si="3"/>
        <v>38.79</v>
      </c>
      <c r="L22" s="9">
        <f t="shared" si="4"/>
        <v>38.79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38.79</v>
      </c>
      <c r="T22" s="14">
        <f t="shared" si="6"/>
        <v>38.79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366</v>
      </c>
      <c r="C23" s="4" t="s">
        <v>138</v>
      </c>
      <c r="D23" s="129"/>
      <c r="E23" s="54">
        <v>1</v>
      </c>
      <c r="F23" s="15">
        <v>201.81</v>
      </c>
      <c r="G23" s="38">
        <f t="shared" si="1"/>
        <v>139.18</v>
      </c>
      <c r="H23" s="39">
        <f t="shared" si="2"/>
        <v>201.81</v>
      </c>
      <c r="I23" s="42"/>
      <c r="J23" s="88">
        <f t="shared" si="0"/>
        <v>1</v>
      </c>
      <c r="K23" s="38">
        <f t="shared" si="3"/>
        <v>76.69</v>
      </c>
      <c r="L23" s="38">
        <f t="shared" si="4"/>
        <v>76.69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76.69</v>
      </c>
      <c r="T23" s="52">
        <f t="shared" si="6"/>
        <v>76.69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367</v>
      </c>
      <c r="C24" s="6" t="s">
        <v>140</v>
      </c>
      <c r="D24" s="130"/>
      <c r="E24" s="53">
        <v>1</v>
      </c>
      <c r="F24" s="8">
        <v>119.45</v>
      </c>
      <c r="G24" s="9">
        <f t="shared" si="1"/>
        <v>82.38</v>
      </c>
      <c r="H24" s="10">
        <f t="shared" si="2"/>
        <v>119.45</v>
      </c>
      <c r="I24" s="42"/>
      <c r="J24" s="89">
        <f t="shared" si="0"/>
        <v>1</v>
      </c>
      <c r="K24" s="9">
        <f t="shared" si="3"/>
        <v>45.39</v>
      </c>
      <c r="L24" s="9">
        <f t="shared" si="4"/>
        <v>45.39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45.39</v>
      </c>
      <c r="T24" s="14">
        <f t="shared" si="6"/>
        <v>45.39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244</v>
      </c>
      <c r="C25" s="4" t="s">
        <v>245</v>
      </c>
      <c r="D25" s="129"/>
      <c r="E25" s="54">
        <v>1</v>
      </c>
      <c r="F25" s="15">
        <v>4369.08</v>
      </c>
      <c r="G25" s="38">
        <f t="shared" si="1"/>
        <v>3013.16</v>
      </c>
      <c r="H25" s="39">
        <f t="shared" si="2"/>
        <v>4369.08</v>
      </c>
      <c r="I25" s="42"/>
      <c r="J25" s="88">
        <f t="shared" si="0"/>
        <v>1</v>
      </c>
      <c r="K25" s="38">
        <f t="shared" si="3"/>
        <v>2184.54</v>
      </c>
      <c r="L25" s="38">
        <f t="shared" si="4"/>
        <v>2184.54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2184.54</v>
      </c>
      <c r="T25" s="52">
        <f t="shared" si="6"/>
        <v>2184.54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242</v>
      </c>
      <c r="C26" s="6" t="s">
        <v>296</v>
      </c>
      <c r="D26" s="130"/>
      <c r="E26" s="53">
        <v>1</v>
      </c>
      <c r="F26" s="8">
        <v>4161.4399999999996</v>
      </c>
      <c r="G26" s="9">
        <f t="shared" si="1"/>
        <v>2869.96</v>
      </c>
      <c r="H26" s="10">
        <f t="shared" si="2"/>
        <v>4161.4399999999996</v>
      </c>
      <c r="I26" s="42"/>
      <c r="J26" s="89">
        <f t="shared" si="0"/>
        <v>1</v>
      </c>
      <c r="K26" s="9">
        <f t="shared" si="3"/>
        <v>2080.7199999999998</v>
      </c>
      <c r="L26" s="9">
        <f t="shared" si="4"/>
        <v>2080.7199999999998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2080.7199999999998</v>
      </c>
      <c r="T26" s="14">
        <f t="shared" si="6"/>
        <v>2080.7199999999998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368</v>
      </c>
      <c r="C27" s="4" t="s">
        <v>297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369</v>
      </c>
      <c r="C28" s="6" t="s">
        <v>200</v>
      </c>
      <c r="D28" s="130"/>
      <c r="E28" s="53">
        <v>1</v>
      </c>
      <c r="F28" s="8">
        <v>7358.86</v>
      </c>
      <c r="G28" s="9">
        <f t="shared" si="1"/>
        <v>5075.08</v>
      </c>
      <c r="H28" s="10">
        <f t="shared" si="2"/>
        <v>7358.86</v>
      </c>
      <c r="I28" s="42"/>
      <c r="J28" s="89">
        <f t="shared" si="0"/>
        <v>1</v>
      </c>
      <c r="K28" s="9">
        <f t="shared" si="3"/>
        <v>3679.43</v>
      </c>
      <c r="L28" s="9">
        <f t="shared" si="4"/>
        <v>3679.43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3679.43</v>
      </c>
      <c r="T28" s="14">
        <f t="shared" si="6"/>
        <v>3679.43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370</v>
      </c>
      <c r="C30" s="6" t="s">
        <v>204</v>
      </c>
      <c r="D30" s="130"/>
      <c r="E30" s="53">
        <v>2</v>
      </c>
      <c r="F30" s="8">
        <v>1567.41</v>
      </c>
      <c r="G30" s="9">
        <f t="shared" si="1"/>
        <v>1080.97</v>
      </c>
      <c r="H30" s="10">
        <f t="shared" si="2"/>
        <v>3134.82</v>
      </c>
      <c r="I30" s="42"/>
      <c r="J30" s="89">
        <f t="shared" si="0"/>
        <v>2</v>
      </c>
      <c r="K30" s="9">
        <f t="shared" si="3"/>
        <v>783.71</v>
      </c>
      <c r="L30" s="9">
        <f t="shared" si="4"/>
        <v>1567.42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783.71</v>
      </c>
      <c r="T30" s="14">
        <f t="shared" si="6"/>
        <v>1567.42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371</v>
      </c>
      <c r="C31" s="4" t="s">
        <v>206</v>
      </c>
      <c r="D31" s="129"/>
      <c r="E31" s="54">
        <v>32</v>
      </c>
      <c r="F31" s="15">
        <v>22.52</v>
      </c>
      <c r="G31" s="38">
        <f t="shared" si="1"/>
        <v>15.53</v>
      </c>
      <c r="H31" s="39">
        <f t="shared" si="2"/>
        <v>720.64</v>
      </c>
      <c r="I31" s="42"/>
      <c r="J31" s="88">
        <f t="shared" si="0"/>
        <v>32</v>
      </c>
      <c r="K31" s="38">
        <f t="shared" si="3"/>
        <v>11.26</v>
      </c>
      <c r="L31" s="38">
        <f t="shared" si="4"/>
        <v>360.32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11.26</v>
      </c>
      <c r="T31" s="52">
        <f t="shared" si="6"/>
        <v>360.32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372</v>
      </c>
      <c r="C32" s="6" t="s">
        <v>304</v>
      </c>
      <c r="D32" s="130"/>
      <c r="E32" s="53">
        <v>2</v>
      </c>
      <c r="F32" s="8">
        <v>4335.3599999999997</v>
      </c>
      <c r="G32" s="9">
        <f t="shared" si="1"/>
        <v>2989.9</v>
      </c>
      <c r="H32" s="10">
        <f t="shared" si="2"/>
        <v>8670.7199999999993</v>
      </c>
      <c r="I32" s="42"/>
      <c r="J32" s="89">
        <f t="shared" si="0"/>
        <v>2</v>
      </c>
      <c r="K32" s="9">
        <f t="shared" si="3"/>
        <v>2167.6799999999998</v>
      </c>
      <c r="L32" s="9">
        <f t="shared" si="4"/>
        <v>4335.3599999999997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2167.6799999999998</v>
      </c>
      <c r="T32" s="14">
        <f t="shared" si="6"/>
        <v>4335.3599999999997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373</v>
      </c>
      <c r="C33" s="4" t="s">
        <v>210</v>
      </c>
      <c r="D33" s="129"/>
      <c r="E33" s="54">
        <v>8</v>
      </c>
      <c r="F33" s="15">
        <v>12.21</v>
      </c>
      <c r="G33" s="38">
        <f t="shared" si="1"/>
        <v>8.42</v>
      </c>
      <c r="H33" s="39">
        <f t="shared" si="2"/>
        <v>97.68</v>
      </c>
      <c r="I33" s="42"/>
      <c r="J33" s="88">
        <f t="shared" si="0"/>
        <v>8</v>
      </c>
      <c r="K33" s="38">
        <f t="shared" si="3"/>
        <v>6.11</v>
      </c>
      <c r="L33" s="38">
        <f t="shared" si="4"/>
        <v>48.88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6.11</v>
      </c>
      <c r="T33" s="52">
        <f t="shared" si="6"/>
        <v>48.88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306</v>
      </c>
      <c r="C34" s="6" t="s">
        <v>154</v>
      </c>
      <c r="D34" s="130"/>
      <c r="E34" s="53">
        <v>4</v>
      </c>
      <c r="F34" s="8">
        <v>635.41999999999996</v>
      </c>
      <c r="G34" s="9">
        <f t="shared" si="1"/>
        <v>438.22</v>
      </c>
      <c r="H34" s="10">
        <f t="shared" si="2"/>
        <v>2541.6799999999998</v>
      </c>
      <c r="I34" s="42"/>
      <c r="J34" s="89">
        <f t="shared" si="0"/>
        <v>4</v>
      </c>
      <c r="K34" s="9">
        <f t="shared" si="3"/>
        <v>317.70999999999998</v>
      </c>
      <c r="L34" s="9">
        <f t="shared" si="4"/>
        <v>1270.8399999999999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317.70999999999998</v>
      </c>
      <c r="T34" s="14">
        <f t="shared" si="6"/>
        <v>1270.8399999999999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374</v>
      </c>
      <c r="C35" s="4" t="s">
        <v>156</v>
      </c>
      <c r="D35" s="129"/>
      <c r="E35" s="54">
        <v>4</v>
      </c>
      <c r="F35" s="15">
        <v>26.18</v>
      </c>
      <c r="G35" s="38">
        <f t="shared" si="1"/>
        <v>18.059999999999999</v>
      </c>
      <c r="H35" s="39">
        <f t="shared" si="2"/>
        <v>104.72</v>
      </c>
      <c r="I35" s="42"/>
      <c r="J35" s="88">
        <f t="shared" si="0"/>
        <v>4</v>
      </c>
      <c r="K35" s="38">
        <f t="shared" si="3"/>
        <v>13.09</v>
      </c>
      <c r="L35" s="38">
        <f t="shared" si="4"/>
        <v>52.36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13.09</v>
      </c>
      <c r="T35" s="52">
        <f t="shared" si="6"/>
        <v>52.36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375</v>
      </c>
      <c r="C36" s="6" t="s">
        <v>213</v>
      </c>
      <c r="D36" s="130"/>
      <c r="E36" s="53">
        <v>18</v>
      </c>
      <c r="F36" s="8">
        <v>987.95</v>
      </c>
      <c r="G36" s="9">
        <f t="shared" si="1"/>
        <v>681.34</v>
      </c>
      <c r="H36" s="10">
        <f t="shared" si="2"/>
        <v>17783.099999999999</v>
      </c>
      <c r="I36" s="42"/>
      <c r="J36" s="89">
        <f t="shared" si="0"/>
        <v>18</v>
      </c>
      <c r="K36" s="9">
        <f t="shared" si="3"/>
        <v>493.98</v>
      </c>
      <c r="L36" s="9">
        <f t="shared" si="4"/>
        <v>8891.64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493.98</v>
      </c>
      <c r="T36" s="14">
        <f t="shared" si="6"/>
        <v>8891.64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376</v>
      </c>
      <c r="C37" s="4" t="s">
        <v>309</v>
      </c>
      <c r="D37" s="129"/>
      <c r="E37" s="54">
        <v>72</v>
      </c>
      <c r="F37" s="15">
        <v>31.86</v>
      </c>
      <c r="G37" s="38">
        <f t="shared" si="1"/>
        <v>21.97</v>
      </c>
      <c r="H37" s="39">
        <f t="shared" si="2"/>
        <v>2293.92</v>
      </c>
      <c r="I37" s="42"/>
      <c r="J37" s="88">
        <f t="shared" si="0"/>
        <v>72</v>
      </c>
      <c r="K37" s="38">
        <f t="shared" si="3"/>
        <v>15.93</v>
      </c>
      <c r="L37" s="38">
        <f t="shared" si="4"/>
        <v>1146.96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15.93</v>
      </c>
      <c r="T37" s="52">
        <f t="shared" si="6"/>
        <v>1146.96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377</v>
      </c>
      <c r="C38" s="6" t="s">
        <v>218</v>
      </c>
      <c r="D38" s="130"/>
      <c r="E38" s="53">
        <v>72</v>
      </c>
      <c r="F38" s="8">
        <v>4.9800000000000004</v>
      </c>
      <c r="G38" s="9">
        <f t="shared" si="1"/>
        <v>3.43</v>
      </c>
      <c r="H38" s="10">
        <f t="shared" si="2"/>
        <v>358.56</v>
      </c>
      <c r="I38" s="42"/>
      <c r="J38" s="89">
        <f t="shared" si="0"/>
        <v>72</v>
      </c>
      <c r="K38" s="9">
        <f t="shared" si="3"/>
        <v>2.4900000000000002</v>
      </c>
      <c r="L38" s="9">
        <f t="shared" si="4"/>
        <v>179.28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2.4900000000000002</v>
      </c>
      <c r="T38" s="14">
        <f t="shared" si="6"/>
        <v>179.28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378</v>
      </c>
      <c r="C40" s="6" t="s">
        <v>252</v>
      </c>
      <c r="D40" s="130"/>
      <c r="E40" s="53">
        <v>2</v>
      </c>
      <c r="F40" s="8">
        <v>12083.08</v>
      </c>
      <c r="G40" s="9">
        <f t="shared" si="1"/>
        <v>8333.16</v>
      </c>
      <c r="H40" s="10">
        <f t="shared" si="2"/>
        <v>24166.16</v>
      </c>
      <c r="I40" s="42"/>
      <c r="J40" s="89">
        <f t="shared" si="0"/>
        <v>2</v>
      </c>
      <c r="K40" s="9">
        <f t="shared" si="3"/>
        <v>6041.54</v>
      </c>
      <c r="L40" s="9">
        <f t="shared" si="4"/>
        <v>12083.08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6041.54</v>
      </c>
      <c r="T40" s="14">
        <f t="shared" si="6"/>
        <v>12083.08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379</v>
      </c>
      <c r="C41" s="4" t="s">
        <v>380</v>
      </c>
      <c r="D41" s="129"/>
      <c r="E41" s="54">
        <v>98</v>
      </c>
      <c r="F41" s="15">
        <v>260.58</v>
      </c>
      <c r="G41" s="38">
        <f t="shared" si="1"/>
        <v>179.71</v>
      </c>
      <c r="H41" s="39">
        <f t="shared" si="2"/>
        <v>25536.84</v>
      </c>
      <c r="I41" s="42"/>
      <c r="J41" s="88">
        <f t="shared" si="0"/>
        <v>98</v>
      </c>
      <c r="K41" s="38">
        <f t="shared" si="3"/>
        <v>130.29</v>
      </c>
      <c r="L41" s="38">
        <f t="shared" si="4"/>
        <v>12768.42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130.29</v>
      </c>
      <c r="T41" s="52">
        <f t="shared" si="6"/>
        <v>12768.42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381</v>
      </c>
      <c r="C42" s="6" t="s">
        <v>161</v>
      </c>
      <c r="D42" s="130"/>
      <c r="E42" s="53">
        <v>396</v>
      </c>
      <c r="F42" s="8">
        <v>9.11</v>
      </c>
      <c r="G42" s="9">
        <f t="shared" si="1"/>
        <v>6.28</v>
      </c>
      <c r="H42" s="10">
        <f t="shared" si="2"/>
        <v>3607.56</v>
      </c>
      <c r="I42" s="42"/>
      <c r="J42" s="89">
        <f t="shared" si="0"/>
        <v>396</v>
      </c>
      <c r="K42" s="9">
        <f t="shared" si="3"/>
        <v>4.5599999999999996</v>
      </c>
      <c r="L42" s="9">
        <f t="shared" si="4"/>
        <v>1805.76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4.5599999999999996</v>
      </c>
      <c r="T42" s="14">
        <f t="shared" si="6"/>
        <v>1805.76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351</v>
      </c>
      <c r="C43" s="4" t="s">
        <v>255</v>
      </c>
      <c r="D43" s="129"/>
      <c r="E43" s="54">
        <v>396</v>
      </c>
      <c r="F43" s="15">
        <v>3.94</v>
      </c>
      <c r="G43" s="38">
        <f t="shared" si="1"/>
        <v>2.72</v>
      </c>
      <c r="H43" s="39">
        <f t="shared" si="2"/>
        <v>1560.24</v>
      </c>
      <c r="I43" s="42"/>
      <c r="J43" s="88">
        <f t="shared" si="0"/>
        <v>396</v>
      </c>
      <c r="K43" s="38">
        <f t="shared" si="3"/>
        <v>1.97</v>
      </c>
      <c r="L43" s="38">
        <f t="shared" si="4"/>
        <v>780.12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1.97</v>
      </c>
      <c r="T43" s="52">
        <f t="shared" si="6"/>
        <v>780.12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 t="s">
        <v>352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1123</v>
      </c>
      <c r="F61" s="78">
        <f>SUM(F18:F60)</f>
        <v>38234.880000000005</v>
      </c>
      <c r="G61" s="79">
        <f>SUM(G18:G60)</f>
        <v>26368.880000000001</v>
      </c>
      <c r="H61" s="80">
        <f>SUM(H18:H60)</f>
        <v>116252.89</v>
      </c>
      <c r="I61" s="81"/>
      <c r="J61" s="82">
        <f>SUM(J18:J60)</f>
        <v>1123</v>
      </c>
      <c r="K61" s="79">
        <f>SUM(K18:K60)</f>
        <v>19010.570000000003</v>
      </c>
      <c r="L61" s="80">
        <f>SUM(L18:L60)</f>
        <v>58015.520000000004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19010.570000000003</v>
      </c>
      <c r="T61" s="80">
        <f>SUM(T18:T60)</f>
        <v>58015.520000000004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F17 K17 Q17 Q14" xr:uid="{7ECA2B9C-AD07-476E-846B-219F6CADBBAF}">
      <formula1>$Y$11:$Y$12</formula1>
    </dataValidation>
    <dataValidation type="list" allowBlank="1" showInputMessage="1" showErrorMessage="1" sqref="H13" xr:uid="{20171EB1-FDE8-4DD3-956C-433131C8B4D3}">
      <formula1>$Y$13:$Y$14</formula1>
    </dataValidation>
    <dataValidation type="list" allowBlank="1" showInputMessage="1" showErrorMessage="1" sqref="I13" xr:uid="{B7EDA6FC-22A6-4BFA-BF8D-8C7B3FA6A3AB}">
      <formula1>$K$9:$K$9</formula1>
    </dataValidation>
    <dataValidation type="list" showInputMessage="1" showErrorMessage="1" sqref="D18:D60" xr:uid="{EC0BD7BB-5DAE-4CCA-8A95-E8997E1A22D6}">
      <formula1>$Z$18:$Z$29</formula1>
    </dataValidation>
    <dataValidation type="list" allowBlank="1" showInputMessage="1" showErrorMessage="1" sqref="M18:M60" xr:uid="{9F02ACB9-703D-4A67-AB1D-9CB537E2A33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EE-36F4-4E38-8FCA-D866823F2902}">
  <sheetPr>
    <pageSetUpPr fitToPage="1"/>
  </sheetPr>
  <dimension ref="A1:AB73"/>
  <sheetViews>
    <sheetView topLeftCell="A26" zoomScale="85" zoomScaleNormal="85" workbookViewId="0">
      <selection activeCell="N56" sqref="N5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792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H71</f>
        <v>127660.06999999995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1990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L71</f>
        <v>62226.839999999989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65433.22999999996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793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0.51255831208615177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794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T71</f>
        <v>61966.889999999992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R71</f>
        <v>259.95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31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6.5</v>
      </c>
      <c r="Q9" s="231"/>
      <c r="R9" s="232"/>
      <c r="S9" s="170">
        <f>P7+P8+P9</f>
        <v>266.45</v>
      </c>
      <c r="T9" s="170">
        <f>P3-S9</f>
        <v>61960.389999999992</v>
      </c>
      <c r="U9" s="172">
        <f>IFERROR(((P3-S9)/S9),0)</f>
        <v>232.54040157628071</v>
      </c>
      <c r="V9" s="172">
        <f>IFERROR(T9/P3,0)</f>
        <v>0.99571808563635889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E71</f>
        <v>1061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386</v>
      </c>
      <c r="C18" s="5" t="s">
        <v>134</v>
      </c>
      <c r="D18" s="128"/>
      <c r="E18" s="53">
        <v>1</v>
      </c>
      <c r="F18" s="8">
        <v>27.68</v>
      </c>
      <c r="G18" s="9">
        <f>ROUND(IF($F$17="USD $", F18*$E$15,F18*$D$15),2)</f>
        <v>19.09</v>
      </c>
      <c r="H18" s="10">
        <f>ROUND(IF($H$17=$G$17,E18*G18,E18*F18),2)</f>
        <v>27.68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10.52</v>
      </c>
      <c r="L18" s="9">
        <f>ROUND((J18*K18),2)</f>
        <v>10.52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10.52</v>
      </c>
      <c r="T18" s="14">
        <f>ROUND(L18-R18,2)</f>
        <v>10.52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387</v>
      </c>
      <c r="C19" s="4" t="s">
        <v>388</v>
      </c>
      <c r="D19" s="129"/>
      <c r="E19" s="54">
        <v>1</v>
      </c>
      <c r="F19" s="15">
        <v>42.69</v>
      </c>
      <c r="G19" s="38">
        <f t="shared" ref="G19:G59" si="1">ROUND(IF($F$17="USD $", F19*$E$15,F19*$D$15),2)</f>
        <v>29.44</v>
      </c>
      <c r="H19" s="39">
        <f t="shared" ref="H19:H59" si="2">ROUND(IF($H$17=$G$17,E19*G19,E19*F19),2)</f>
        <v>42.69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16.22</v>
      </c>
      <c r="L19" s="38">
        <f t="shared" ref="L19:L59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16.22</v>
      </c>
      <c r="T19" s="52">
        <f t="shared" ref="T19:T59" si="6">ROUND(L19-R19,2)</f>
        <v>16.22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389</v>
      </c>
      <c r="C20" s="6" t="s">
        <v>390</v>
      </c>
      <c r="D20" s="130"/>
      <c r="E20" s="53">
        <v>1</v>
      </c>
      <c r="F20" s="8">
        <v>127.92</v>
      </c>
      <c r="G20" s="9">
        <f t="shared" si="1"/>
        <v>88.22</v>
      </c>
      <c r="H20" s="10">
        <f t="shared" si="2"/>
        <v>127.92</v>
      </c>
      <c r="I20" s="42"/>
      <c r="J20" s="89">
        <f t="shared" si="0"/>
        <v>1</v>
      </c>
      <c r="K20" s="9">
        <f t="shared" si="3"/>
        <v>48.61</v>
      </c>
      <c r="L20" s="9">
        <f t="shared" si="4"/>
        <v>48.61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48.61</v>
      </c>
      <c r="T20" s="14">
        <f t="shared" si="6"/>
        <v>48.61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391</v>
      </c>
      <c r="C21" s="4" t="s">
        <v>392</v>
      </c>
      <c r="D21" s="129"/>
      <c r="E21" s="54">
        <v>1</v>
      </c>
      <c r="F21" s="15">
        <v>47.44</v>
      </c>
      <c r="G21" s="38">
        <f t="shared" si="1"/>
        <v>32.72</v>
      </c>
      <c r="H21" s="39">
        <f t="shared" si="2"/>
        <v>47.44</v>
      </c>
      <c r="I21" s="42"/>
      <c r="J21" s="88">
        <f t="shared" si="0"/>
        <v>1</v>
      </c>
      <c r="K21" s="38">
        <f t="shared" si="3"/>
        <v>18.03</v>
      </c>
      <c r="L21" s="38">
        <f t="shared" si="4"/>
        <v>18.03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18.03</v>
      </c>
      <c r="T21" s="52">
        <f t="shared" si="6"/>
        <v>18.03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393</v>
      </c>
      <c r="C22" s="6" t="s">
        <v>144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394</v>
      </c>
      <c r="C23" s="4" t="s">
        <v>138</v>
      </c>
      <c r="D23" s="129"/>
      <c r="E23" s="54">
        <v>1</v>
      </c>
      <c r="F23" s="15">
        <v>91.61</v>
      </c>
      <c r="G23" s="38">
        <f t="shared" si="1"/>
        <v>63.18</v>
      </c>
      <c r="H23" s="39">
        <f t="shared" si="2"/>
        <v>91.61</v>
      </c>
      <c r="I23" s="42"/>
      <c r="J23" s="88">
        <f t="shared" si="0"/>
        <v>1</v>
      </c>
      <c r="K23" s="38">
        <f t="shared" si="3"/>
        <v>34.81</v>
      </c>
      <c r="L23" s="38">
        <f t="shared" si="4"/>
        <v>34.81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34.81</v>
      </c>
      <c r="T23" s="52">
        <f t="shared" si="6"/>
        <v>34.81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395</v>
      </c>
      <c r="C24" s="6" t="s">
        <v>140</v>
      </c>
      <c r="D24" s="130"/>
      <c r="E24" s="53">
        <v>1</v>
      </c>
      <c r="F24" s="8">
        <v>77.260000000000005</v>
      </c>
      <c r="G24" s="9">
        <f t="shared" si="1"/>
        <v>53.28</v>
      </c>
      <c r="H24" s="10">
        <f t="shared" si="2"/>
        <v>77.260000000000005</v>
      </c>
      <c r="I24" s="42"/>
      <c r="J24" s="89">
        <f t="shared" si="0"/>
        <v>1</v>
      </c>
      <c r="K24" s="9">
        <f t="shared" si="3"/>
        <v>29.36</v>
      </c>
      <c r="L24" s="9">
        <f t="shared" si="4"/>
        <v>29.36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29.36</v>
      </c>
      <c r="T24" s="14">
        <f t="shared" si="6"/>
        <v>29.36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396</v>
      </c>
      <c r="C26" s="6" t="s">
        <v>819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397</v>
      </c>
      <c r="C27" s="4" t="s">
        <v>296</v>
      </c>
      <c r="D27" s="129"/>
      <c r="E27" s="54">
        <v>1</v>
      </c>
      <c r="F27" s="15">
        <v>5796.13</v>
      </c>
      <c r="G27" s="38">
        <f t="shared" si="1"/>
        <v>3997.33</v>
      </c>
      <c r="H27" s="39">
        <f t="shared" si="2"/>
        <v>5796.13</v>
      </c>
      <c r="I27" s="42"/>
      <c r="J27" s="88">
        <f t="shared" si="0"/>
        <v>1</v>
      </c>
      <c r="K27" s="38">
        <f t="shared" si="3"/>
        <v>2898.07</v>
      </c>
      <c r="L27" s="38">
        <f t="shared" si="4"/>
        <v>2898.07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2898.07</v>
      </c>
      <c r="T27" s="52">
        <f t="shared" si="6"/>
        <v>2898.07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398</v>
      </c>
      <c r="C28" s="6" t="s">
        <v>198</v>
      </c>
      <c r="D28" s="130"/>
      <c r="E28" s="53">
        <v>4</v>
      </c>
      <c r="F28" s="8">
        <v>1132.93</v>
      </c>
      <c r="G28" s="9">
        <f t="shared" si="1"/>
        <v>781.33</v>
      </c>
      <c r="H28" s="10">
        <f t="shared" si="2"/>
        <v>4531.72</v>
      </c>
      <c r="I28" s="42"/>
      <c r="J28" s="89">
        <f t="shared" si="0"/>
        <v>4</v>
      </c>
      <c r="K28" s="9">
        <f t="shared" si="3"/>
        <v>566.47</v>
      </c>
      <c r="L28" s="9">
        <f t="shared" si="4"/>
        <v>2265.88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2265.88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399</v>
      </c>
      <c r="C29" s="4" t="s">
        <v>200</v>
      </c>
      <c r="D29" s="129"/>
      <c r="E29" s="54">
        <v>1</v>
      </c>
      <c r="F29" s="15">
        <v>4384.51</v>
      </c>
      <c r="G29" s="38">
        <f>ROUND(IF($F$17="USD $", F29*$E$15,F29*$D$15),2)</f>
        <v>3023.8</v>
      </c>
      <c r="H29" s="39">
        <f>ROUND(IF($H$17=$G$17,E29*G29,E29*F29),2)</f>
        <v>4384.51</v>
      </c>
      <c r="I29" s="42"/>
      <c r="J29" s="88">
        <f t="shared" si="0"/>
        <v>1</v>
      </c>
      <c r="K29" s="38">
        <f t="shared" si="3"/>
        <v>2192.2600000000002</v>
      </c>
      <c r="L29" s="38">
        <f>ROUND((J29*K29),2)</f>
        <v>2192.2600000000002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2192.2600000000002</v>
      </c>
      <c r="T29" s="52">
        <f t="shared" si="6"/>
        <v>2192.2600000000002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400</v>
      </c>
      <c r="C31" s="4" t="s">
        <v>401</v>
      </c>
      <c r="D31" s="129"/>
      <c r="E31" s="54">
        <v>10</v>
      </c>
      <c r="F31" s="15">
        <v>134.41999999999999</v>
      </c>
      <c r="G31" s="38">
        <f t="shared" si="1"/>
        <v>92.7</v>
      </c>
      <c r="H31" s="39">
        <f t="shared" si="2"/>
        <v>1344.2</v>
      </c>
      <c r="I31" s="42"/>
      <c r="J31" s="88">
        <f t="shared" si="0"/>
        <v>10</v>
      </c>
      <c r="K31" s="38">
        <f t="shared" si="3"/>
        <v>67.209999999999994</v>
      </c>
      <c r="L31" s="38">
        <f t="shared" si="4"/>
        <v>672.1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67.209999999999994</v>
      </c>
      <c r="T31" s="52">
        <f t="shared" si="6"/>
        <v>672.1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402</v>
      </c>
      <c r="C32" s="6" t="s">
        <v>206</v>
      </c>
      <c r="D32" s="130"/>
      <c r="E32" s="53">
        <v>50</v>
      </c>
      <c r="F32" s="8">
        <v>1.46</v>
      </c>
      <c r="G32" s="9">
        <f t="shared" si="1"/>
        <v>1.01</v>
      </c>
      <c r="H32" s="10">
        <f t="shared" si="2"/>
        <v>73</v>
      </c>
      <c r="I32" s="42"/>
      <c r="J32" s="89">
        <f t="shared" si="0"/>
        <v>50</v>
      </c>
      <c r="K32" s="9">
        <f t="shared" si="3"/>
        <v>0.73</v>
      </c>
      <c r="L32" s="9">
        <f t="shared" si="4"/>
        <v>36.5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0.73</v>
      </c>
      <c r="T32" s="14">
        <f t="shared" si="6"/>
        <v>36.5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403</v>
      </c>
      <c r="C33" s="4" t="s">
        <v>326</v>
      </c>
      <c r="D33" s="129"/>
      <c r="E33" s="54">
        <v>50</v>
      </c>
      <c r="F33" s="15">
        <v>0.67</v>
      </c>
      <c r="G33" s="38">
        <f t="shared" si="1"/>
        <v>0.46</v>
      </c>
      <c r="H33" s="39">
        <f t="shared" si="2"/>
        <v>33.5</v>
      </c>
      <c r="I33" s="42"/>
      <c r="J33" s="88">
        <f t="shared" si="0"/>
        <v>50</v>
      </c>
      <c r="K33" s="38">
        <f t="shared" si="3"/>
        <v>0.34</v>
      </c>
      <c r="L33" s="38">
        <f t="shared" si="4"/>
        <v>17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0.34</v>
      </c>
      <c r="T33" s="52">
        <f t="shared" si="6"/>
        <v>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404</v>
      </c>
      <c r="C34" s="6" t="s">
        <v>218</v>
      </c>
      <c r="D34" s="130"/>
      <c r="E34" s="53">
        <v>50</v>
      </c>
      <c r="F34" s="8">
        <v>1.86</v>
      </c>
      <c r="G34" s="9">
        <f t="shared" si="1"/>
        <v>1.28</v>
      </c>
      <c r="H34" s="10">
        <f t="shared" si="2"/>
        <v>93</v>
      </c>
      <c r="I34" s="42"/>
      <c r="J34" s="89">
        <f t="shared" si="0"/>
        <v>50</v>
      </c>
      <c r="K34" s="9">
        <f t="shared" si="3"/>
        <v>0.93</v>
      </c>
      <c r="L34" s="9">
        <f t="shared" si="4"/>
        <v>46.5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0.93</v>
      </c>
      <c r="T34" s="14">
        <f t="shared" si="6"/>
        <v>46.5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405</v>
      </c>
      <c r="C36" s="6" t="s">
        <v>406</v>
      </c>
      <c r="D36" s="130"/>
      <c r="E36" s="53">
        <v>2</v>
      </c>
      <c r="F36" s="8">
        <v>1859.1</v>
      </c>
      <c r="G36" s="9">
        <f t="shared" si="1"/>
        <v>1282.1400000000001</v>
      </c>
      <c r="H36" s="10">
        <f t="shared" si="2"/>
        <v>3718.2</v>
      </c>
      <c r="I36" s="42"/>
      <c r="J36" s="89">
        <f t="shared" si="0"/>
        <v>2</v>
      </c>
      <c r="K36" s="9">
        <f t="shared" si="3"/>
        <v>929.55</v>
      </c>
      <c r="L36" s="9">
        <f t="shared" si="4"/>
        <v>1859.1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929.55</v>
      </c>
      <c r="T36" s="14">
        <f t="shared" si="6"/>
        <v>1859.1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407</v>
      </c>
      <c r="C37" s="4" t="s">
        <v>154</v>
      </c>
      <c r="D37" s="129"/>
      <c r="E37" s="54">
        <v>2</v>
      </c>
      <c r="F37" s="15">
        <v>493.88</v>
      </c>
      <c r="G37" s="38">
        <f t="shared" si="1"/>
        <v>340.61</v>
      </c>
      <c r="H37" s="39">
        <f t="shared" si="2"/>
        <v>987.76</v>
      </c>
      <c r="I37" s="42"/>
      <c r="J37" s="88">
        <f t="shared" si="0"/>
        <v>2</v>
      </c>
      <c r="K37" s="38">
        <f t="shared" si="3"/>
        <v>246.94</v>
      </c>
      <c r="L37" s="38">
        <f t="shared" si="4"/>
        <v>493.88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246.94</v>
      </c>
      <c r="T37" s="52">
        <f t="shared" si="6"/>
        <v>493.88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408</v>
      </c>
      <c r="C38" s="6" t="s">
        <v>409</v>
      </c>
      <c r="D38" s="130"/>
      <c r="E38" s="53">
        <v>8</v>
      </c>
      <c r="F38" s="8">
        <v>623.29</v>
      </c>
      <c r="G38" s="9">
        <f t="shared" si="1"/>
        <v>429.86</v>
      </c>
      <c r="H38" s="10">
        <f t="shared" si="2"/>
        <v>4986.32</v>
      </c>
      <c r="I38" s="42"/>
      <c r="J38" s="89">
        <f t="shared" si="0"/>
        <v>8</v>
      </c>
      <c r="K38" s="9">
        <f t="shared" si="3"/>
        <v>311.64999999999998</v>
      </c>
      <c r="L38" s="9">
        <f t="shared" si="4"/>
        <v>2493.1999999999998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311.64999999999998</v>
      </c>
      <c r="T38" s="14">
        <f t="shared" si="6"/>
        <v>2493.1999999999998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410</v>
      </c>
      <c r="C39" s="4" t="s">
        <v>213</v>
      </c>
      <c r="D39" s="129"/>
      <c r="E39" s="54">
        <v>12</v>
      </c>
      <c r="F39" s="15">
        <v>579.6</v>
      </c>
      <c r="G39" s="38">
        <f t="shared" si="1"/>
        <v>399.72</v>
      </c>
      <c r="H39" s="39">
        <f t="shared" si="2"/>
        <v>6955.2</v>
      </c>
      <c r="I39" s="42"/>
      <c r="J39" s="88">
        <f t="shared" si="0"/>
        <v>12</v>
      </c>
      <c r="K39" s="38">
        <f t="shared" si="3"/>
        <v>289.8</v>
      </c>
      <c r="L39" s="38">
        <f t="shared" si="4"/>
        <v>3477.6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289.8</v>
      </c>
      <c r="T39" s="52">
        <f t="shared" si="6"/>
        <v>3477.6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411</v>
      </c>
      <c r="C40" s="6" t="s">
        <v>412</v>
      </c>
      <c r="D40" s="130"/>
      <c r="E40" s="53">
        <v>16</v>
      </c>
      <c r="F40" s="8">
        <v>2.78</v>
      </c>
      <c r="G40" s="9">
        <f t="shared" si="1"/>
        <v>1.92</v>
      </c>
      <c r="H40" s="10">
        <f t="shared" si="2"/>
        <v>44.48</v>
      </c>
      <c r="I40" s="42"/>
      <c r="J40" s="89">
        <f t="shared" si="0"/>
        <v>16</v>
      </c>
      <c r="K40" s="9">
        <f t="shared" si="3"/>
        <v>1.39</v>
      </c>
      <c r="L40" s="9">
        <f t="shared" si="4"/>
        <v>22.24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1.39</v>
      </c>
      <c r="T40" s="14">
        <f t="shared" si="6"/>
        <v>22.24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 t="s">
        <v>413</v>
      </c>
      <c r="D42" s="130"/>
      <c r="E42" s="53">
        <v>2</v>
      </c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2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414</v>
      </c>
      <c r="C43" s="4" t="s">
        <v>252</v>
      </c>
      <c r="D43" s="129"/>
      <c r="E43" s="54">
        <v>2</v>
      </c>
      <c r="F43" s="15">
        <v>3975.66</v>
      </c>
      <c r="G43" s="38">
        <f t="shared" si="1"/>
        <v>2741.83</v>
      </c>
      <c r="H43" s="39">
        <f t="shared" si="2"/>
        <v>7951.32</v>
      </c>
      <c r="I43" s="42"/>
      <c r="J43" s="88">
        <f t="shared" si="0"/>
        <v>2</v>
      </c>
      <c r="K43" s="38">
        <f t="shared" si="3"/>
        <v>1987.83</v>
      </c>
      <c r="L43" s="38">
        <f t="shared" si="4"/>
        <v>3975.66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1987.83</v>
      </c>
      <c r="T43" s="52">
        <f t="shared" si="6"/>
        <v>3975.66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415</v>
      </c>
      <c r="C44" s="6" t="s">
        <v>416</v>
      </c>
      <c r="D44" s="130"/>
      <c r="E44" s="53">
        <v>86</v>
      </c>
      <c r="F44" s="8">
        <v>693.26</v>
      </c>
      <c r="G44" s="9">
        <f t="shared" si="1"/>
        <v>478.11</v>
      </c>
      <c r="H44" s="10">
        <f t="shared" si="2"/>
        <v>59620.36</v>
      </c>
      <c r="I44" s="42"/>
      <c r="J44" s="89">
        <f t="shared" si="0"/>
        <v>86</v>
      </c>
      <c r="K44" s="9">
        <f t="shared" si="3"/>
        <v>346.63</v>
      </c>
      <c r="L44" s="9">
        <f t="shared" si="4"/>
        <v>29810.18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346.63</v>
      </c>
      <c r="T44" s="14">
        <f t="shared" si="6"/>
        <v>29810.18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417</v>
      </c>
      <c r="C45" s="4" t="s">
        <v>418</v>
      </c>
      <c r="D45" s="129"/>
      <c r="E45" s="54">
        <v>2</v>
      </c>
      <c r="F45" s="15">
        <v>729.52</v>
      </c>
      <c r="G45" s="38">
        <f t="shared" si="1"/>
        <v>503.12</v>
      </c>
      <c r="H45" s="39">
        <f t="shared" si="2"/>
        <v>1459.04</v>
      </c>
      <c r="I45" s="42"/>
      <c r="J45" s="88">
        <f t="shared" si="0"/>
        <v>2</v>
      </c>
      <c r="K45" s="38">
        <f t="shared" si="3"/>
        <v>364.76</v>
      </c>
      <c r="L45" s="38">
        <f t="shared" si="4"/>
        <v>729.52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364.76</v>
      </c>
      <c r="T45" s="52">
        <f t="shared" si="6"/>
        <v>729.52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419</v>
      </c>
      <c r="C46" s="6" t="s">
        <v>161</v>
      </c>
      <c r="D46" s="130"/>
      <c r="E46" s="53">
        <v>344</v>
      </c>
      <c r="F46" s="8">
        <v>3.73</v>
      </c>
      <c r="G46" s="9">
        <f t="shared" si="1"/>
        <v>2.57</v>
      </c>
      <c r="H46" s="10">
        <f t="shared" si="2"/>
        <v>1283.1199999999999</v>
      </c>
      <c r="I46" s="42"/>
      <c r="J46" s="89">
        <f t="shared" si="0"/>
        <v>344</v>
      </c>
      <c r="K46" s="9">
        <f t="shared" si="3"/>
        <v>1.87</v>
      </c>
      <c r="L46" s="9">
        <f t="shared" si="4"/>
        <v>643.28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1.87</v>
      </c>
      <c r="T46" s="14">
        <f t="shared" si="6"/>
        <v>643.28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420</v>
      </c>
      <c r="C47" s="4" t="s">
        <v>255</v>
      </c>
      <c r="D47" s="129"/>
      <c r="E47" s="54">
        <v>344</v>
      </c>
      <c r="F47" s="15">
        <v>1.47</v>
      </c>
      <c r="G47" s="38">
        <f t="shared" si="1"/>
        <v>1.01</v>
      </c>
      <c r="H47" s="39">
        <f t="shared" si="2"/>
        <v>505.68</v>
      </c>
      <c r="I47" s="42"/>
      <c r="J47" s="88">
        <f t="shared" si="0"/>
        <v>344</v>
      </c>
      <c r="K47" s="38">
        <f t="shared" si="3"/>
        <v>0.74</v>
      </c>
      <c r="L47" s="38">
        <f t="shared" si="4"/>
        <v>254.56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0.74</v>
      </c>
      <c r="T47" s="52">
        <f t="shared" si="6"/>
        <v>254.56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421</v>
      </c>
      <c r="C50" s="6" t="s">
        <v>422</v>
      </c>
      <c r="D50" s="130"/>
      <c r="E50" s="53">
        <v>1</v>
      </c>
      <c r="F50" s="8">
        <v>11144.2</v>
      </c>
      <c r="G50" s="9">
        <f t="shared" si="1"/>
        <v>7685.66</v>
      </c>
      <c r="H50" s="10">
        <f t="shared" si="2"/>
        <v>11144.2</v>
      </c>
      <c r="I50" s="42"/>
      <c r="J50" s="89">
        <f t="shared" si="0"/>
        <v>1</v>
      </c>
      <c r="K50" s="9">
        <f t="shared" si="3"/>
        <v>4234.8</v>
      </c>
      <c r="L50" s="9">
        <f t="shared" si="4"/>
        <v>4234.8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4234.8</v>
      </c>
      <c r="T50" s="14">
        <f t="shared" si="6"/>
        <v>4234.8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423</v>
      </c>
      <c r="C51" s="4" t="s">
        <v>424</v>
      </c>
      <c r="D51" s="129"/>
      <c r="E51" s="54">
        <v>2</v>
      </c>
      <c r="F51" s="15">
        <v>195.02</v>
      </c>
      <c r="G51" s="38">
        <f t="shared" si="1"/>
        <v>134.5</v>
      </c>
      <c r="H51" s="39">
        <f t="shared" si="2"/>
        <v>390.04</v>
      </c>
      <c r="I51" s="42"/>
      <c r="J51" s="88">
        <f t="shared" si="0"/>
        <v>2</v>
      </c>
      <c r="K51" s="38">
        <f t="shared" si="3"/>
        <v>74.11</v>
      </c>
      <c r="L51" s="38">
        <f t="shared" si="4"/>
        <v>148.22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74.11</v>
      </c>
      <c r="T51" s="52">
        <f t="shared" si="6"/>
        <v>148.22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425</v>
      </c>
      <c r="C52" s="6" t="s">
        <v>426</v>
      </c>
      <c r="D52" s="130"/>
      <c r="E52" s="53">
        <v>2</v>
      </c>
      <c r="F52" s="8">
        <v>73.28</v>
      </c>
      <c r="G52" s="9">
        <f t="shared" si="1"/>
        <v>50.54</v>
      </c>
      <c r="H52" s="10">
        <f t="shared" si="2"/>
        <v>146.56</v>
      </c>
      <c r="I52" s="42"/>
      <c r="J52" s="89">
        <f t="shared" si="0"/>
        <v>2</v>
      </c>
      <c r="K52" s="9">
        <f t="shared" si="3"/>
        <v>27.85</v>
      </c>
      <c r="L52" s="9">
        <f t="shared" si="4"/>
        <v>55.7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27.85</v>
      </c>
      <c r="T52" s="14">
        <f t="shared" si="6"/>
        <v>55.7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427</v>
      </c>
      <c r="C53" s="4" t="s">
        <v>428</v>
      </c>
      <c r="D53" s="129"/>
      <c r="E53" s="54">
        <v>18</v>
      </c>
      <c r="F53" s="15">
        <v>3.22</v>
      </c>
      <c r="G53" s="38">
        <f t="shared" si="1"/>
        <v>2.2200000000000002</v>
      </c>
      <c r="H53" s="39">
        <f t="shared" si="2"/>
        <v>57.96</v>
      </c>
      <c r="I53" s="42"/>
      <c r="J53" s="88">
        <f t="shared" si="0"/>
        <v>18</v>
      </c>
      <c r="K53" s="38">
        <f t="shared" si="3"/>
        <v>1.22</v>
      </c>
      <c r="L53" s="38">
        <f t="shared" si="4"/>
        <v>21.96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1.22</v>
      </c>
      <c r="T53" s="52">
        <f t="shared" si="6"/>
        <v>21.96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429</v>
      </c>
      <c r="C54" s="6" t="s">
        <v>430</v>
      </c>
      <c r="D54" s="130"/>
      <c r="E54" s="53">
        <v>18</v>
      </c>
      <c r="F54" s="8">
        <v>2.44</v>
      </c>
      <c r="G54" s="9">
        <f t="shared" si="1"/>
        <v>1.68</v>
      </c>
      <c r="H54" s="10">
        <f t="shared" si="2"/>
        <v>43.92</v>
      </c>
      <c r="I54" s="42"/>
      <c r="J54" s="89">
        <f t="shared" si="0"/>
        <v>18</v>
      </c>
      <c r="K54" s="9">
        <f t="shared" si="3"/>
        <v>0.93</v>
      </c>
      <c r="L54" s="9">
        <f t="shared" si="4"/>
        <v>16.739999999999998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0.93</v>
      </c>
      <c r="T54" s="14">
        <f t="shared" si="6"/>
        <v>16.739999999999998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431</v>
      </c>
      <c r="C55" s="4" t="s">
        <v>432</v>
      </c>
      <c r="D55" s="129"/>
      <c r="E55" s="54">
        <v>18</v>
      </c>
      <c r="F55" s="15">
        <v>2.83</v>
      </c>
      <c r="G55" s="38">
        <f t="shared" si="1"/>
        <v>1.95</v>
      </c>
      <c r="H55" s="39">
        <f t="shared" si="2"/>
        <v>50.94</v>
      </c>
      <c r="I55" s="42"/>
      <c r="J55" s="88">
        <f t="shared" si="0"/>
        <v>18</v>
      </c>
      <c r="K55" s="38">
        <f t="shared" si="3"/>
        <v>1.42</v>
      </c>
      <c r="L55" s="38">
        <f t="shared" si="4"/>
        <v>25.56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1.42</v>
      </c>
      <c r="T55" s="52">
        <f t="shared" si="6"/>
        <v>25.56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433</v>
      </c>
      <c r="C56" s="6" t="s">
        <v>434</v>
      </c>
      <c r="D56" s="130"/>
      <c r="E56" s="53">
        <v>1</v>
      </c>
      <c r="F56" s="8">
        <v>446.79</v>
      </c>
      <c r="G56" s="9">
        <f t="shared" si="1"/>
        <v>308.13</v>
      </c>
      <c r="H56" s="10">
        <f t="shared" si="2"/>
        <v>446.79</v>
      </c>
      <c r="I56" s="42"/>
      <c r="J56" s="89">
        <f t="shared" si="0"/>
        <v>1</v>
      </c>
      <c r="K56" s="9">
        <f t="shared" si="3"/>
        <v>169.78</v>
      </c>
      <c r="L56" s="9">
        <f t="shared" si="4"/>
        <v>169.78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169.78</v>
      </c>
      <c r="T56" s="14">
        <f t="shared" si="6"/>
        <v>169.78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435</v>
      </c>
      <c r="C57" s="4" t="s">
        <v>436</v>
      </c>
      <c r="D57" s="129"/>
      <c r="E57" s="54">
        <v>1</v>
      </c>
      <c r="F57" s="15">
        <v>9.4499999999999993</v>
      </c>
      <c r="G57" s="38">
        <f t="shared" si="1"/>
        <v>6.52</v>
      </c>
      <c r="H57" s="39">
        <f t="shared" si="2"/>
        <v>9.4499999999999993</v>
      </c>
      <c r="I57" s="42"/>
      <c r="J57" s="88">
        <f t="shared" si="0"/>
        <v>1</v>
      </c>
      <c r="K57" s="38">
        <f t="shared" si="3"/>
        <v>3.59</v>
      </c>
      <c r="L57" s="38">
        <f t="shared" si="4"/>
        <v>3.59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3.59</v>
      </c>
      <c r="T57" s="52">
        <f t="shared" si="6"/>
        <v>3.59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437</v>
      </c>
      <c r="C58" s="6" t="s">
        <v>438</v>
      </c>
      <c r="D58" s="130"/>
      <c r="E58" s="53">
        <v>1</v>
      </c>
      <c r="F58" s="8">
        <v>1.18</v>
      </c>
      <c r="G58" s="9">
        <f t="shared" si="1"/>
        <v>0.81</v>
      </c>
      <c r="H58" s="10">
        <f t="shared" si="2"/>
        <v>1.18</v>
      </c>
      <c r="I58" s="42"/>
      <c r="J58" s="89">
        <f t="shared" si="0"/>
        <v>1</v>
      </c>
      <c r="K58" s="9">
        <f t="shared" si="3"/>
        <v>0.45</v>
      </c>
      <c r="L58" s="9">
        <f t="shared" si="4"/>
        <v>0.45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0.45</v>
      </c>
      <c r="T58" s="14">
        <f t="shared" si="6"/>
        <v>0.45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439</v>
      </c>
      <c r="C59" s="4" t="s">
        <v>440</v>
      </c>
      <c r="D59" s="129"/>
      <c r="E59" s="54">
        <v>1</v>
      </c>
      <c r="F59" s="15">
        <v>67.7</v>
      </c>
      <c r="G59" s="38">
        <f t="shared" si="1"/>
        <v>46.69</v>
      </c>
      <c r="H59" s="39">
        <f t="shared" si="2"/>
        <v>67.7</v>
      </c>
      <c r="I59" s="42"/>
      <c r="J59" s="88">
        <f t="shared" si="0"/>
        <v>1</v>
      </c>
      <c r="K59" s="38">
        <f t="shared" si="3"/>
        <v>25.73</v>
      </c>
      <c r="L59" s="38">
        <f t="shared" si="4"/>
        <v>25.73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25.73</v>
      </c>
      <c r="T59" s="52">
        <f t="shared" si="6"/>
        <v>25.73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441</v>
      </c>
      <c r="C60" s="6" t="s">
        <v>442</v>
      </c>
      <c r="D60" s="130"/>
      <c r="E60" s="53">
        <v>1</v>
      </c>
      <c r="F60" s="8">
        <v>37.42</v>
      </c>
      <c r="G60" s="9">
        <f t="shared" ref="G60:G70" si="10">ROUND(IF($F$17="USD $", F60*$E$15,F60*$D$15),2)</f>
        <v>25.81</v>
      </c>
      <c r="H60" s="10">
        <f t="shared" ref="H60:H70" si="11">ROUND(IF($H$17=$G$17,E60*G60,E60*F60),2)</f>
        <v>37.42</v>
      </c>
      <c r="I60" s="42"/>
      <c r="J60" s="89">
        <f t="shared" ref="J60:J70" si="12">E60</f>
        <v>1</v>
      </c>
      <c r="K60" s="9">
        <f t="shared" ref="K60:K70" si="13">IFERROR(IF(M60="OEM DISC %",ROUND(IF($K$17=$F$17,F60*(1-N60),G60*(1-N60)),2),IF(M60="MARKUP %",ROUND(R60/J60*(1+N60),2))),0)</f>
        <v>14.22</v>
      </c>
      <c r="L60" s="9">
        <f t="shared" ref="L60:L70" si="14">ROUND((J60*K60),2)</f>
        <v>14.22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14.22</v>
      </c>
      <c r="T60" s="14">
        <f t="shared" ref="T60:T70" si="17">ROUND(L60-R60,2)</f>
        <v>14.22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 t="s">
        <v>443</v>
      </c>
      <c r="C61" s="4" t="s">
        <v>444</v>
      </c>
      <c r="D61" s="129"/>
      <c r="E61" s="54">
        <v>1</v>
      </c>
      <c r="F61" s="15">
        <v>4.38</v>
      </c>
      <c r="G61" s="38">
        <f t="shared" si="10"/>
        <v>3.02</v>
      </c>
      <c r="H61" s="39">
        <f t="shared" si="11"/>
        <v>4.38</v>
      </c>
      <c r="I61" s="42"/>
      <c r="J61" s="88">
        <f t="shared" si="12"/>
        <v>1</v>
      </c>
      <c r="K61" s="38">
        <f t="shared" si="13"/>
        <v>1.66</v>
      </c>
      <c r="L61" s="38">
        <f t="shared" si="14"/>
        <v>1.66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1.66</v>
      </c>
      <c r="T61" s="52">
        <f t="shared" si="17"/>
        <v>1.66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/>
      <c r="C62" s="6"/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445</v>
      </c>
      <c r="C63" s="4" t="s">
        <v>446</v>
      </c>
      <c r="D63" s="129"/>
      <c r="E63" s="54">
        <v>1</v>
      </c>
      <c r="F63" s="15">
        <v>4182.34</v>
      </c>
      <c r="G63" s="38">
        <f t="shared" si="10"/>
        <v>2884.37</v>
      </c>
      <c r="H63" s="39">
        <f t="shared" si="11"/>
        <v>4182.34</v>
      </c>
      <c r="I63" s="42"/>
      <c r="J63" s="88">
        <f t="shared" si="12"/>
        <v>1</v>
      </c>
      <c r="K63" s="38">
        <f t="shared" si="13"/>
        <v>2091.17</v>
      </c>
      <c r="L63" s="38">
        <f t="shared" si="14"/>
        <v>2091.17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2091.17</v>
      </c>
      <c r="T63" s="52">
        <f t="shared" si="17"/>
        <v>2091.17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447</v>
      </c>
      <c r="C64" s="6" t="s">
        <v>173</v>
      </c>
      <c r="D64" s="130"/>
      <c r="E64" s="53">
        <v>1</v>
      </c>
      <c r="F64" s="8">
        <v>6130.36</v>
      </c>
      <c r="G64" s="9">
        <f t="shared" si="10"/>
        <v>4227.83</v>
      </c>
      <c r="H64" s="10">
        <f t="shared" si="11"/>
        <v>6130.36</v>
      </c>
      <c r="I64" s="42"/>
      <c r="J64" s="89">
        <f t="shared" si="12"/>
        <v>1</v>
      </c>
      <c r="K64" s="9">
        <f t="shared" si="13"/>
        <v>3065.18</v>
      </c>
      <c r="L64" s="9">
        <f t="shared" si="14"/>
        <v>3065.18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3065.18</v>
      </c>
      <c r="T64" s="14">
        <f t="shared" si="17"/>
        <v>3065.18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/>
      <c r="C67" s="4" t="s">
        <v>448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 t="s">
        <v>449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3">
      <c r="A71" s="57"/>
      <c r="B71" s="75"/>
      <c r="C71" s="75"/>
      <c r="D71" s="131" t="s">
        <v>39</v>
      </c>
      <c r="E71" s="77">
        <f>SUM(E18:E70)</f>
        <v>1061</v>
      </c>
      <c r="F71" s="78">
        <f>SUM(F18:F70)</f>
        <v>43894.17</v>
      </c>
      <c r="G71" s="79">
        <f>SUM(G18:G70)</f>
        <v>30271.830000000009</v>
      </c>
      <c r="H71" s="80">
        <f>SUM(H18:H70)</f>
        <v>127660.06999999995</v>
      </c>
      <c r="I71" s="81"/>
      <c r="J71" s="82">
        <f>SUM(J18:J70)</f>
        <v>1061</v>
      </c>
      <c r="K71" s="79">
        <f>SUM(K18:K70)</f>
        <v>20383.830000000002</v>
      </c>
      <c r="L71" s="80">
        <f>SUM(L18:L70)</f>
        <v>62226.839999999989</v>
      </c>
      <c r="M71" s="80"/>
      <c r="N71" s="80"/>
      <c r="O71" s="83"/>
      <c r="P71" s="76"/>
      <c r="Q71" s="79">
        <f>SUM(Q18:Q70)</f>
        <v>259.95</v>
      </c>
      <c r="R71" s="79">
        <f>SUM(R18:R70)</f>
        <v>259.95</v>
      </c>
      <c r="S71" s="80">
        <f>SUM(S18:S70)</f>
        <v>20123.88</v>
      </c>
      <c r="T71" s="80">
        <f>SUM(T18:T70)</f>
        <v>61966.889999999992</v>
      </c>
      <c r="U71" s="84"/>
      <c r="V71" s="84"/>
      <c r="W71" s="85"/>
      <c r="X71" s="74"/>
    </row>
    <row r="73" spans="1:28" ht="15" customHeight="1" x14ac:dyDescent="0.3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M18:M70" xr:uid="{6EEEB617-F9E7-445D-942F-A040BD408B4F}">
      <formula1>$Y$31:$Y$32</formula1>
    </dataValidation>
    <dataValidation type="list" showInputMessage="1" showErrorMessage="1" sqref="D18:D70" xr:uid="{D5D8A741-F2E5-41F0-BC36-82D3B00885D0}">
      <formula1>$Z$18:$Z$29</formula1>
    </dataValidation>
    <dataValidation type="list" allowBlank="1" showInputMessage="1" showErrorMessage="1" sqref="I13" xr:uid="{D265F777-B9E0-4C4E-9172-36F4AD551743}">
      <formula1>$K$9:$K$9</formula1>
    </dataValidation>
    <dataValidation type="list" allowBlank="1" showInputMessage="1" showErrorMessage="1" sqref="H13" xr:uid="{B0E5256F-BEBD-4A71-97D1-012648400E85}">
      <formula1>$Y$13:$Y$14</formula1>
    </dataValidation>
    <dataValidation type="list" allowBlank="1" showInputMessage="1" showErrorMessage="1" sqref="F17 K17 Q17 Q14" xr:uid="{C5EE592E-70BB-44DB-A7B9-692CA549C0B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37D-8F85-497B-9B7A-B459A2F8EE4F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789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80948.399999999994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1972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40333.040000000001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40615.359999999993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790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0.50174382693172437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791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40333.040000000001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1098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40333.040000000001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877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451</v>
      </c>
      <c r="C19" s="4" t="s">
        <v>452</v>
      </c>
      <c r="D19" s="129"/>
      <c r="E19" s="54">
        <v>1</v>
      </c>
      <c r="F19" s="15">
        <v>42.69</v>
      </c>
      <c r="G19" s="38">
        <f t="shared" ref="G19:G60" si="1">ROUND(IF($F$17="USD $", F19*$E$15,F19*$D$15),2)</f>
        <v>29.44</v>
      </c>
      <c r="H19" s="39">
        <f t="shared" ref="H19:H60" si="2">ROUND(IF($H$17=$G$17,E19*G19,E19*F19),2)</f>
        <v>42.69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16.22</v>
      </c>
      <c r="L19" s="38">
        <f t="shared" ref="L19:L60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16.22</v>
      </c>
      <c r="T19" s="52">
        <f t="shared" ref="T19:T60" si="6">ROUND(L19-R19,2)</f>
        <v>16.22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453</v>
      </c>
      <c r="C20" s="6" t="s">
        <v>192</v>
      </c>
      <c r="D20" s="130"/>
      <c r="E20" s="53">
        <v>1</v>
      </c>
      <c r="F20" s="8">
        <v>60.68</v>
      </c>
      <c r="G20" s="9">
        <f t="shared" si="1"/>
        <v>41.85</v>
      </c>
      <c r="H20" s="10">
        <f t="shared" si="2"/>
        <v>60.68</v>
      </c>
      <c r="I20" s="42"/>
      <c r="J20" s="89">
        <f t="shared" si="0"/>
        <v>1</v>
      </c>
      <c r="K20" s="9">
        <f t="shared" si="3"/>
        <v>23.06</v>
      </c>
      <c r="L20" s="9">
        <f t="shared" si="4"/>
        <v>23.06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23.06</v>
      </c>
      <c r="T20" s="14">
        <f t="shared" si="6"/>
        <v>23.06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454</v>
      </c>
      <c r="C21" s="4" t="s">
        <v>194</v>
      </c>
      <c r="D21" s="129"/>
      <c r="E21" s="54">
        <v>1</v>
      </c>
      <c r="F21" s="15">
        <v>93.49</v>
      </c>
      <c r="G21" s="38">
        <f t="shared" si="1"/>
        <v>64.48</v>
      </c>
      <c r="H21" s="39">
        <f t="shared" si="2"/>
        <v>93.49</v>
      </c>
      <c r="I21" s="42"/>
      <c r="J21" s="88">
        <f t="shared" si="0"/>
        <v>1</v>
      </c>
      <c r="K21" s="38">
        <f t="shared" si="3"/>
        <v>35.53</v>
      </c>
      <c r="L21" s="38">
        <f t="shared" si="4"/>
        <v>35.53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35.53</v>
      </c>
      <c r="T21" s="52">
        <f t="shared" si="6"/>
        <v>35.53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455</v>
      </c>
      <c r="C22" s="6" t="s">
        <v>144</v>
      </c>
      <c r="D22" s="130"/>
      <c r="E22" s="53">
        <v>1</v>
      </c>
      <c r="F22" s="8">
        <v>703.78</v>
      </c>
      <c r="G22" s="9">
        <f t="shared" si="1"/>
        <v>485.37</v>
      </c>
      <c r="H22" s="10">
        <f t="shared" si="2"/>
        <v>703.78</v>
      </c>
      <c r="I22" s="42"/>
      <c r="J22" s="89">
        <f t="shared" si="0"/>
        <v>1</v>
      </c>
      <c r="K22" s="9">
        <f t="shared" si="3"/>
        <v>267.44</v>
      </c>
      <c r="L22" s="9">
        <f t="shared" si="4"/>
        <v>267.44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267.44</v>
      </c>
      <c r="T22" s="14">
        <f t="shared" si="6"/>
        <v>267.44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456</v>
      </c>
      <c r="C23" s="4" t="s">
        <v>138</v>
      </c>
      <c r="D23" s="129"/>
      <c r="E23" s="54">
        <v>1</v>
      </c>
      <c r="F23" s="15">
        <v>125.6</v>
      </c>
      <c r="G23" s="38">
        <f t="shared" si="1"/>
        <v>86.62</v>
      </c>
      <c r="H23" s="39">
        <f t="shared" si="2"/>
        <v>125.6</v>
      </c>
      <c r="I23" s="42"/>
      <c r="J23" s="88">
        <f t="shared" si="0"/>
        <v>1</v>
      </c>
      <c r="K23" s="38">
        <f t="shared" si="3"/>
        <v>47.73</v>
      </c>
      <c r="L23" s="38">
        <f t="shared" si="4"/>
        <v>47.73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47.73</v>
      </c>
      <c r="T23" s="52">
        <f t="shared" si="6"/>
        <v>47.73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457</v>
      </c>
      <c r="C24" s="6" t="s">
        <v>140</v>
      </c>
      <c r="D24" s="130"/>
      <c r="E24" s="53">
        <v>1</v>
      </c>
      <c r="F24" s="8">
        <v>111.66</v>
      </c>
      <c r="G24" s="9">
        <f t="shared" si="1"/>
        <v>77.010000000000005</v>
      </c>
      <c r="H24" s="10">
        <f t="shared" si="2"/>
        <v>111.66</v>
      </c>
      <c r="I24" s="42"/>
      <c r="J24" s="89">
        <f t="shared" si="0"/>
        <v>1</v>
      </c>
      <c r="K24" s="9">
        <f t="shared" si="3"/>
        <v>42.43</v>
      </c>
      <c r="L24" s="9">
        <f t="shared" si="4"/>
        <v>42.43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42.43</v>
      </c>
      <c r="T24" s="14">
        <f t="shared" si="6"/>
        <v>42.43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458</v>
      </c>
      <c r="C26" s="6" t="s">
        <v>245</v>
      </c>
      <c r="D26" s="130"/>
      <c r="E26" s="53">
        <v>1</v>
      </c>
      <c r="F26" s="8">
        <v>1021.54</v>
      </c>
      <c r="G26" s="9">
        <f t="shared" si="1"/>
        <v>704.51</v>
      </c>
      <c r="H26" s="10">
        <f t="shared" si="2"/>
        <v>1021.54</v>
      </c>
      <c r="I26" s="42"/>
      <c r="J26" s="89">
        <f t="shared" si="0"/>
        <v>1</v>
      </c>
      <c r="K26" s="9">
        <f t="shared" si="3"/>
        <v>510.77</v>
      </c>
      <c r="L26" s="9">
        <f t="shared" si="4"/>
        <v>510.77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510.77</v>
      </c>
      <c r="T26" s="14">
        <f t="shared" si="6"/>
        <v>510.77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459</v>
      </c>
      <c r="C28" s="6" t="s">
        <v>198</v>
      </c>
      <c r="D28" s="130"/>
      <c r="E28" s="53">
        <v>6</v>
      </c>
      <c r="F28" s="8">
        <v>1138.5999999999999</v>
      </c>
      <c r="G28" s="9">
        <f t="shared" si="1"/>
        <v>785.24</v>
      </c>
      <c r="H28" s="10">
        <f t="shared" si="2"/>
        <v>6831.6</v>
      </c>
      <c r="I28" s="42"/>
      <c r="J28" s="89">
        <f t="shared" si="0"/>
        <v>6</v>
      </c>
      <c r="K28" s="9">
        <f t="shared" si="3"/>
        <v>569.29999999999995</v>
      </c>
      <c r="L28" s="9">
        <f t="shared" si="4"/>
        <v>3415.8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569.29999999999995</v>
      </c>
      <c r="T28" s="14">
        <f t="shared" si="6"/>
        <v>3415.8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460</v>
      </c>
      <c r="C29" s="4" t="s">
        <v>200</v>
      </c>
      <c r="D29" s="129"/>
      <c r="E29" s="54">
        <v>1</v>
      </c>
      <c r="F29" s="15">
        <v>3627.05</v>
      </c>
      <c r="G29" s="38">
        <f>ROUND(IF($F$17="USD $", F29*$E$15,F29*$D$15),2)</f>
        <v>2501.41</v>
      </c>
      <c r="H29" s="39">
        <f>ROUND(IF($H$17=$G$17,E29*G29,E29*F29),2)</f>
        <v>3627.05</v>
      </c>
      <c r="I29" s="42"/>
      <c r="J29" s="88">
        <f t="shared" si="0"/>
        <v>1</v>
      </c>
      <c r="K29" s="38">
        <f t="shared" si="3"/>
        <v>1813.53</v>
      </c>
      <c r="L29" s="38">
        <f>ROUND((J29*K29),2)</f>
        <v>1813.53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1813.53</v>
      </c>
      <c r="T29" s="52">
        <f t="shared" si="6"/>
        <v>1813.53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461</v>
      </c>
      <c r="C31" s="4" t="s">
        <v>401</v>
      </c>
      <c r="D31" s="129"/>
      <c r="E31" s="54">
        <v>2</v>
      </c>
      <c r="F31" s="15">
        <v>1870.5</v>
      </c>
      <c r="G31" s="38">
        <f t="shared" si="1"/>
        <v>1290</v>
      </c>
      <c r="H31" s="39">
        <f t="shared" si="2"/>
        <v>3741</v>
      </c>
      <c r="I31" s="42"/>
      <c r="J31" s="88">
        <f t="shared" si="0"/>
        <v>2</v>
      </c>
      <c r="K31" s="38">
        <f t="shared" si="3"/>
        <v>935.25</v>
      </c>
      <c r="L31" s="38">
        <f t="shared" si="4"/>
        <v>1870.5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935.25</v>
      </c>
      <c r="T31" s="52">
        <f t="shared" si="6"/>
        <v>1870.5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462</v>
      </c>
      <c r="C32" s="6" t="s">
        <v>206</v>
      </c>
      <c r="D32" s="130"/>
      <c r="E32" s="53">
        <v>12</v>
      </c>
      <c r="F32" s="8">
        <v>5.71</v>
      </c>
      <c r="G32" s="9">
        <f t="shared" si="1"/>
        <v>3.94</v>
      </c>
      <c r="H32" s="10">
        <f t="shared" si="2"/>
        <v>68.52</v>
      </c>
      <c r="I32" s="42"/>
      <c r="J32" s="89">
        <f t="shared" si="0"/>
        <v>12</v>
      </c>
      <c r="K32" s="9">
        <f t="shared" si="3"/>
        <v>2.86</v>
      </c>
      <c r="L32" s="9">
        <f t="shared" si="4"/>
        <v>34.32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2.86</v>
      </c>
      <c r="T32" s="14">
        <f t="shared" si="6"/>
        <v>34.32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463</v>
      </c>
      <c r="C33" s="4" t="s">
        <v>218</v>
      </c>
      <c r="D33" s="129"/>
      <c r="E33" s="54">
        <v>12</v>
      </c>
      <c r="F33" s="15">
        <v>0.33</v>
      </c>
      <c r="G33" s="38">
        <f t="shared" si="1"/>
        <v>0.23</v>
      </c>
      <c r="H33" s="39">
        <f t="shared" si="2"/>
        <v>3.96</v>
      </c>
      <c r="I33" s="42"/>
      <c r="J33" s="88">
        <f t="shared" si="0"/>
        <v>12</v>
      </c>
      <c r="K33" s="38">
        <f t="shared" si="3"/>
        <v>0.17</v>
      </c>
      <c r="L33" s="38">
        <f t="shared" si="4"/>
        <v>2.04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0.17</v>
      </c>
      <c r="T33" s="52">
        <f t="shared" si="6"/>
        <v>2.04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464</v>
      </c>
      <c r="C36" s="6" t="s">
        <v>465</v>
      </c>
      <c r="D36" s="130"/>
      <c r="E36" s="53">
        <v>2</v>
      </c>
      <c r="F36" s="8">
        <v>2233.12</v>
      </c>
      <c r="G36" s="9">
        <f t="shared" si="1"/>
        <v>1540.08</v>
      </c>
      <c r="H36" s="10">
        <f t="shared" si="2"/>
        <v>4466.24</v>
      </c>
      <c r="I36" s="42"/>
      <c r="J36" s="89">
        <f t="shared" si="0"/>
        <v>2</v>
      </c>
      <c r="K36" s="9">
        <f t="shared" si="3"/>
        <v>1116.56</v>
      </c>
      <c r="L36" s="9">
        <f t="shared" si="4"/>
        <v>2233.12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1116.56</v>
      </c>
      <c r="T36" s="14">
        <f t="shared" si="6"/>
        <v>2233.12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467</v>
      </c>
      <c r="C38" s="6" t="s">
        <v>409</v>
      </c>
      <c r="D38" s="130"/>
      <c r="E38" s="53">
        <v>6</v>
      </c>
      <c r="F38" s="8">
        <v>1246.45</v>
      </c>
      <c r="G38" s="9">
        <f t="shared" si="1"/>
        <v>859.62</v>
      </c>
      <c r="H38" s="10">
        <f t="shared" si="2"/>
        <v>7478.7</v>
      </c>
      <c r="I38" s="42"/>
      <c r="J38" s="89">
        <f t="shared" si="0"/>
        <v>6</v>
      </c>
      <c r="K38" s="9">
        <f t="shared" si="3"/>
        <v>623.23</v>
      </c>
      <c r="L38" s="9">
        <f t="shared" si="4"/>
        <v>3739.38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623.23</v>
      </c>
      <c r="T38" s="14">
        <f t="shared" si="6"/>
        <v>3739.38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468</v>
      </c>
      <c r="C39" s="4" t="s">
        <v>213</v>
      </c>
      <c r="D39" s="129"/>
      <c r="E39" s="54">
        <v>4</v>
      </c>
      <c r="F39" s="15">
        <v>1023.71</v>
      </c>
      <c r="G39" s="38">
        <f t="shared" si="1"/>
        <v>706.01</v>
      </c>
      <c r="H39" s="39">
        <f t="shared" si="2"/>
        <v>4094.84</v>
      </c>
      <c r="I39" s="42"/>
      <c r="J39" s="88">
        <f t="shared" si="0"/>
        <v>4</v>
      </c>
      <c r="K39" s="38">
        <f t="shared" si="3"/>
        <v>511.86</v>
      </c>
      <c r="L39" s="38">
        <f t="shared" si="4"/>
        <v>2047.44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511.86</v>
      </c>
      <c r="T39" s="52">
        <f t="shared" si="6"/>
        <v>2047.44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469</v>
      </c>
      <c r="C41" s="4" t="s">
        <v>252</v>
      </c>
      <c r="D41" s="129"/>
      <c r="E41" s="54">
        <v>2</v>
      </c>
      <c r="F41" s="15">
        <v>13503.77</v>
      </c>
      <c r="G41" s="38">
        <f t="shared" si="1"/>
        <v>9312.94</v>
      </c>
      <c r="H41" s="39">
        <f t="shared" si="2"/>
        <v>27007.54</v>
      </c>
      <c r="I41" s="42"/>
      <c r="J41" s="88">
        <f t="shared" si="0"/>
        <v>2</v>
      </c>
      <c r="K41" s="38">
        <f t="shared" si="3"/>
        <v>6751.89</v>
      </c>
      <c r="L41" s="38">
        <f t="shared" si="4"/>
        <v>13503.78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6751.89</v>
      </c>
      <c r="T41" s="52">
        <f t="shared" si="6"/>
        <v>13503.78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470</v>
      </c>
      <c r="C42" s="6" t="s">
        <v>416</v>
      </c>
      <c r="D42" s="130"/>
      <c r="E42" s="53">
        <v>90</v>
      </c>
      <c r="F42" s="8">
        <v>188.07</v>
      </c>
      <c r="G42" s="9">
        <f t="shared" si="1"/>
        <v>129.69999999999999</v>
      </c>
      <c r="H42" s="10">
        <f t="shared" si="2"/>
        <v>16926.3</v>
      </c>
      <c r="I42" s="42"/>
      <c r="J42" s="89">
        <f t="shared" si="0"/>
        <v>90</v>
      </c>
      <c r="K42" s="9">
        <f t="shared" si="3"/>
        <v>94.04</v>
      </c>
      <c r="L42" s="9">
        <f t="shared" si="4"/>
        <v>8463.6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94.04</v>
      </c>
      <c r="T42" s="14">
        <f t="shared" si="6"/>
        <v>8463.6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471</v>
      </c>
      <c r="C43" s="4" t="s">
        <v>418</v>
      </c>
      <c r="D43" s="129"/>
      <c r="E43" s="54">
        <v>2</v>
      </c>
      <c r="F43" s="15">
        <v>200.07</v>
      </c>
      <c r="G43" s="38">
        <f t="shared" si="1"/>
        <v>137.97999999999999</v>
      </c>
      <c r="H43" s="39">
        <f t="shared" si="2"/>
        <v>400.14</v>
      </c>
      <c r="I43" s="42"/>
      <c r="J43" s="88">
        <f t="shared" si="0"/>
        <v>2</v>
      </c>
      <c r="K43" s="38">
        <f t="shared" si="3"/>
        <v>100.04</v>
      </c>
      <c r="L43" s="38">
        <f t="shared" si="4"/>
        <v>200.08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100.04</v>
      </c>
      <c r="T43" s="52">
        <f t="shared" si="6"/>
        <v>200.08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472</v>
      </c>
      <c r="C44" s="6" t="s">
        <v>161</v>
      </c>
      <c r="D44" s="130"/>
      <c r="E44" s="53">
        <v>360</v>
      </c>
      <c r="F44" s="8">
        <v>5.38</v>
      </c>
      <c r="G44" s="9">
        <f t="shared" si="1"/>
        <v>3.71</v>
      </c>
      <c r="H44" s="10">
        <f t="shared" si="2"/>
        <v>1936.8</v>
      </c>
      <c r="I44" s="42"/>
      <c r="J44" s="89">
        <f t="shared" si="0"/>
        <v>360</v>
      </c>
      <c r="K44" s="9">
        <f t="shared" si="3"/>
        <v>2.69</v>
      </c>
      <c r="L44" s="9">
        <f t="shared" si="4"/>
        <v>968.4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2.69</v>
      </c>
      <c r="T44" s="14">
        <f t="shared" si="6"/>
        <v>968.4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473</v>
      </c>
      <c r="C45" s="4" t="s">
        <v>474</v>
      </c>
      <c r="D45" s="129"/>
      <c r="E45" s="54">
        <v>4</v>
      </c>
      <c r="F45" s="15">
        <v>6.66</v>
      </c>
      <c r="G45" s="38">
        <f t="shared" si="1"/>
        <v>4.59</v>
      </c>
      <c r="H45" s="39">
        <f t="shared" si="2"/>
        <v>26.64</v>
      </c>
      <c r="I45" s="42"/>
      <c r="J45" s="88">
        <f t="shared" si="0"/>
        <v>4</v>
      </c>
      <c r="K45" s="38">
        <f t="shared" si="3"/>
        <v>3.33</v>
      </c>
      <c r="L45" s="38">
        <f t="shared" si="4"/>
        <v>13.32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3.33</v>
      </c>
      <c r="T45" s="52">
        <f t="shared" si="6"/>
        <v>13.32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475</v>
      </c>
      <c r="C46" s="6" t="s">
        <v>474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476</v>
      </c>
      <c r="C47" s="4" t="s">
        <v>255</v>
      </c>
      <c r="D47" s="129"/>
      <c r="E47" s="54">
        <v>360</v>
      </c>
      <c r="F47" s="15">
        <v>2.94</v>
      </c>
      <c r="G47" s="38">
        <f t="shared" si="1"/>
        <v>2.0299999999999998</v>
      </c>
      <c r="H47" s="39">
        <f t="shared" si="2"/>
        <v>1058.4000000000001</v>
      </c>
      <c r="I47" s="42"/>
      <c r="J47" s="88">
        <f t="shared" si="0"/>
        <v>360</v>
      </c>
      <c r="K47" s="38">
        <f t="shared" si="3"/>
        <v>1.47</v>
      </c>
      <c r="L47" s="38">
        <f t="shared" si="4"/>
        <v>529.20000000000005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529.20000000000005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 t="s">
        <v>477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 t="s">
        <v>478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27785.23</v>
      </c>
      <c r="G61" s="79">
        <f>SUM(G18:G60)</f>
        <v>19162.239999999998</v>
      </c>
      <c r="H61" s="80">
        <f>SUM(H18:H60)</f>
        <v>80948.399999999994</v>
      </c>
      <c r="I61" s="81"/>
      <c r="J61" s="82">
        <f>SUM(J18:J60)</f>
        <v>877</v>
      </c>
      <c r="K61" s="79">
        <f>SUM(K18:K60)</f>
        <v>13750.830000000004</v>
      </c>
      <c r="L61" s="80">
        <f>SUM(L18:L60)</f>
        <v>40333.040000000001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13750.830000000004</v>
      </c>
      <c r="T61" s="80">
        <f>SUM(T18:T60)</f>
        <v>40333.040000000001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F17 K17 Q17 Q14" xr:uid="{25921350-4558-4FAF-AAA5-FBA84E313331}">
      <formula1>$Y$11:$Y$12</formula1>
    </dataValidation>
    <dataValidation type="list" allowBlank="1" showInputMessage="1" showErrorMessage="1" sqref="H13" xr:uid="{62BD3DBF-5070-49ED-BCA2-9F5C715AF841}">
      <formula1>$Y$13:$Y$14</formula1>
    </dataValidation>
    <dataValidation type="list" allowBlank="1" showInputMessage="1" showErrorMessage="1" sqref="I13" xr:uid="{16A35C9E-FE05-4083-B6D0-350AEA884468}">
      <formula1>$K$9:$K$9</formula1>
    </dataValidation>
    <dataValidation type="list" showInputMessage="1" showErrorMessage="1" sqref="D18:D60" xr:uid="{0B13D201-5049-4040-AACC-C0BF838B1FDA}">
      <formula1>$Z$18:$Z$29</formula1>
    </dataValidation>
    <dataValidation type="list" allowBlank="1" showInputMessage="1" showErrorMessage="1" sqref="M18:M60" xr:uid="{79C9D06C-4EE4-4B62-80BE-8D784B6F4E7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F37-33E6-4CD5-8282-A1976703C89A}">
  <sheetPr>
    <pageSetUpPr fitToPage="1"/>
  </sheetPr>
  <dimension ref="A1:AB73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785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H71</f>
        <v>141943.93000000002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L71</f>
        <v>68571.350000000006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73372.580000000016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383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0.51691241745948557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786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T71</f>
        <v>68571.350000000006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R71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7497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68571.350000000006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E71</f>
        <v>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58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58" si="1">ROUND(IF($F$17="USD $", F19*$E$15,F19*$D$15),2)</f>
        <v>32.450000000000003</v>
      </c>
      <c r="H19" s="39">
        <f t="shared" ref="H19:H58" si="2">ROUND(IF($H$17=$G$17,E19*G19,E19*F19),2)</f>
        <v>47.05</v>
      </c>
      <c r="I19" s="42"/>
      <c r="J19" s="88">
        <f t="shared" si="0"/>
        <v>1</v>
      </c>
      <c r="K19" s="38">
        <f t="shared" ref="K19:K58" si="3">IFERROR(IF(M19="OEM DISC %",ROUND(IF($K$17=$F$17,F19*(1-N19),G19*(1-N19)),2),IF(M19="MARKUP %",ROUND(R19/J19*(1+N19),2))),0)</f>
        <v>17.88</v>
      </c>
      <c r="L19" s="38">
        <f t="shared" ref="L19:L58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8" si="5">IFERROR(ROUND(T19/E19,2),0)</f>
        <v>17.88</v>
      </c>
      <c r="T19" s="52">
        <f t="shared" ref="T19:T58" si="6">ROUND(L19-R19,2)</f>
        <v>17.88</v>
      </c>
      <c r="U19" s="41">
        <f t="shared" ref="U19:U58" si="7">IFERROR(((K19-(R19/J19))/(R19/J19)),0)</f>
        <v>0</v>
      </c>
      <c r="V19" s="41">
        <f t="shared" ref="V19:V58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58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ref="G59:G70" si="10">ROUND(IF($F$17="USD $", F59*$E$15,F59*$D$15),2)</f>
        <v>15.44</v>
      </c>
      <c r="H59" s="39">
        <f t="shared" ref="H59:H70" si="11">ROUND(IF($H$17=$G$17,E59*G59,E59*F59),2)</f>
        <v>22.39</v>
      </c>
      <c r="I59" s="42"/>
      <c r="J59" s="88">
        <f t="shared" ref="J59:J70" si="12">E59</f>
        <v>1</v>
      </c>
      <c r="K59" s="38">
        <f t="shared" ref="K59:K70" si="13">IFERROR(IF(M59="OEM DISC %",ROUND(IF($K$17=$F$17,F59*(1-N59),G59*(1-N59)),2),IF(M59="MARKUP %",ROUND(R59/J59*(1+N59),2))),0)</f>
        <v>8.51</v>
      </c>
      <c r="L59" s="38">
        <f t="shared" ref="L59:L70" si="14">ROUND((J59*K59),2)</f>
        <v>8.51</v>
      </c>
      <c r="M59" s="132" t="s">
        <v>120</v>
      </c>
      <c r="N59" s="16">
        <v>0.62</v>
      </c>
      <c r="O59" s="51"/>
      <c r="P59" s="1"/>
      <c r="Q59" s="15"/>
      <c r="R59" s="40">
        <f t="shared" ref="R59:R70" si="15">ROUND(IF($R$17=$Q$17,Q59,IF($R$17="USD $",Q59*$D$15,Q59*$E$15))*E59,2)</f>
        <v>0</v>
      </c>
      <c r="S59" s="52">
        <f t="shared" ref="S59:S70" si="16">IFERROR(ROUND(T59/E59,2),0)</f>
        <v>8.51</v>
      </c>
      <c r="T59" s="52">
        <f t="shared" ref="T59:T70" si="17">ROUND(L59-R59,2)</f>
        <v>8.51</v>
      </c>
      <c r="U59" s="41">
        <f t="shared" ref="U59:U70" si="18">IFERROR(((K59-(R59/J59))/(R59/J59)),0)</f>
        <v>0</v>
      </c>
      <c r="V59" s="41">
        <f t="shared" ref="V59:V70" si="19">IFERROR(((K59-(R59/J59))/K59),0)</f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0"/>
        <v>99.7</v>
      </c>
      <c r="H60" s="10">
        <f t="shared" si="11"/>
        <v>144.57</v>
      </c>
      <c r="I60" s="42"/>
      <c r="J60" s="89">
        <f t="shared" si="12"/>
        <v>1</v>
      </c>
      <c r="K60" s="9">
        <f t="shared" si="13"/>
        <v>54.94</v>
      </c>
      <c r="L60" s="9">
        <f t="shared" si="1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54.94</v>
      </c>
      <c r="T60" s="14">
        <f t="shared" si="17"/>
        <v>54.94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0"/>
        <v>3541.07</v>
      </c>
      <c r="H62" s="10">
        <f t="shared" si="11"/>
        <v>5134.55</v>
      </c>
      <c r="I62" s="42"/>
      <c r="J62" s="89">
        <f t="shared" si="12"/>
        <v>1</v>
      </c>
      <c r="K62" s="9">
        <f t="shared" si="13"/>
        <v>2567.2800000000002</v>
      </c>
      <c r="L62" s="9">
        <f t="shared" si="1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15"/>
        <v>0</v>
      </c>
      <c r="S62" s="14">
        <f t="shared" si="16"/>
        <v>2567.2800000000002</v>
      </c>
      <c r="T62" s="14">
        <f t="shared" si="17"/>
        <v>2567.2800000000002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0"/>
        <v>3012.41</v>
      </c>
      <c r="H63" s="39">
        <f t="shared" si="11"/>
        <v>4368</v>
      </c>
      <c r="I63" s="42"/>
      <c r="J63" s="88">
        <f t="shared" si="12"/>
        <v>1</v>
      </c>
      <c r="K63" s="38">
        <f t="shared" si="13"/>
        <v>2184</v>
      </c>
      <c r="L63" s="38">
        <f t="shared" si="1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2184</v>
      </c>
      <c r="T63" s="52">
        <f t="shared" si="17"/>
        <v>2184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0"/>
        <v>10306.27</v>
      </c>
      <c r="H64" s="10">
        <f t="shared" si="11"/>
        <v>14944.09</v>
      </c>
      <c r="I64" s="42"/>
      <c r="J64" s="89">
        <f t="shared" si="12"/>
        <v>1</v>
      </c>
      <c r="K64" s="9">
        <f t="shared" si="13"/>
        <v>7472.05</v>
      </c>
      <c r="L64" s="9">
        <f t="shared" si="1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7472.05</v>
      </c>
      <c r="T64" s="14">
        <f t="shared" si="17"/>
        <v>7472.05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0"/>
        <v>6302.97</v>
      </c>
      <c r="H65" s="39">
        <f t="shared" si="11"/>
        <v>9139.2999999999993</v>
      </c>
      <c r="I65" s="42"/>
      <c r="J65" s="88">
        <f t="shared" si="12"/>
        <v>1</v>
      </c>
      <c r="K65" s="38">
        <f t="shared" si="13"/>
        <v>4569.6499999999996</v>
      </c>
      <c r="L65" s="38">
        <f t="shared" si="1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15"/>
        <v>0</v>
      </c>
      <c r="S65" s="52">
        <f t="shared" si="16"/>
        <v>4569.6499999999996</v>
      </c>
      <c r="T65" s="52">
        <f t="shared" si="17"/>
        <v>4569.6499999999996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/>
      <c r="C67" s="4" t="s">
        <v>533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 t="s">
        <v>534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3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3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phoneticPr fontId="17" type="noConversion"/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M18:M70" xr:uid="{B5A10318-489C-4533-844A-58EDBF2F920E}">
      <formula1>$Y$31:$Y$32</formula1>
    </dataValidation>
    <dataValidation type="list" showInputMessage="1" showErrorMessage="1" sqref="D18:D70" xr:uid="{31943774-6CEA-4CCB-9039-EF98C30F043D}">
      <formula1>$Z$18:$Z$29</formula1>
    </dataValidation>
    <dataValidation type="list" allowBlank="1" showInputMessage="1" showErrorMessage="1" sqref="I13" xr:uid="{A3615106-4900-4B8D-A2D9-B2786F3728E1}">
      <formula1>$K$9:$K$9</formula1>
    </dataValidation>
    <dataValidation type="list" allowBlank="1" showInputMessage="1" showErrorMessage="1" sqref="H13" xr:uid="{7E4B3634-7391-4D6B-AAF8-081C1A911851}">
      <formula1>$Y$13:$Y$14</formula1>
    </dataValidation>
    <dataValidation type="list" allowBlank="1" showInputMessage="1" showErrorMessage="1" sqref="F17 K17 Q17 Q14" xr:uid="{D856F50C-B1B3-45FB-B3EC-7E8F7E072C9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BF3-ADCB-41F4-A8DA-B9084B9AB436}">
  <sheetPr>
    <pageSetUpPr fitToPage="1"/>
  </sheetPr>
  <dimension ref="A1:AB73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787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H71</f>
        <v>141943.93000000002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2001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L71</f>
        <v>68571.350000000006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73372.580000000016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383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0.51691241745948557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788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T71</f>
        <v>68571.350000000006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R71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1007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68571.350000000006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E71</f>
        <v>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7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70" si="1">ROUND(IF($F$17="USD $", F19*$E$15,F19*$D$15),2)</f>
        <v>32.450000000000003</v>
      </c>
      <c r="H19" s="39">
        <f t="shared" ref="H19:H70" si="2">ROUND(IF($H$17=$G$17,E19*G19,E19*F19),2)</f>
        <v>47.05</v>
      </c>
      <c r="I19" s="42"/>
      <c r="J19" s="88">
        <f t="shared" si="0"/>
        <v>1</v>
      </c>
      <c r="K19" s="38">
        <f t="shared" ref="K19:K70" si="3">IFERROR(IF(M19="OEM DISC %",ROUND(IF($K$17=$F$17,F19*(1-N19),G19*(1-N19)),2),IF(M19="MARKUP %",ROUND(R19/J19*(1+N19),2))),0)</f>
        <v>17.88</v>
      </c>
      <c r="L19" s="38">
        <f t="shared" ref="L19:L70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70" si="5">IFERROR(ROUND(T19/E19,2),0)</f>
        <v>17.88</v>
      </c>
      <c r="T19" s="52">
        <f t="shared" ref="T19:T70" si="6">ROUND(L19-R19,2)</f>
        <v>17.88</v>
      </c>
      <c r="U19" s="41">
        <f t="shared" ref="U19:U70" si="7">IFERROR(((K19-(R19/J19))/(R19/J19)),0)</f>
        <v>0</v>
      </c>
      <c r="V19" s="41">
        <f t="shared" ref="V19:V7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70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si="1"/>
        <v>15.44</v>
      </c>
      <c r="H59" s="39">
        <f t="shared" si="2"/>
        <v>22.39</v>
      </c>
      <c r="I59" s="42"/>
      <c r="J59" s="88">
        <f t="shared" si="0"/>
        <v>1</v>
      </c>
      <c r="K59" s="38">
        <f t="shared" si="3"/>
        <v>8.51</v>
      </c>
      <c r="L59" s="38">
        <f t="shared" si="4"/>
        <v>8.51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8.51</v>
      </c>
      <c r="T59" s="52">
        <f t="shared" si="6"/>
        <v>8.51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"/>
        <v>99.7</v>
      </c>
      <c r="H60" s="10">
        <f t="shared" si="2"/>
        <v>144.57</v>
      </c>
      <c r="I60" s="42"/>
      <c r="J60" s="89">
        <f t="shared" si="0"/>
        <v>1</v>
      </c>
      <c r="K60" s="9">
        <f t="shared" si="3"/>
        <v>54.94</v>
      </c>
      <c r="L60" s="9">
        <f t="shared" si="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54.94</v>
      </c>
      <c r="T60" s="14">
        <f t="shared" si="6"/>
        <v>54.94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"/>
        <v>3541.07</v>
      </c>
      <c r="H62" s="10">
        <f t="shared" si="2"/>
        <v>5134.55</v>
      </c>
      <c r="I62" s="42"/>
      <c r="J62" s="89">
        <f t="shared" si="0"/>
        <v>1</v>
      </c>
      <c r="K62" s="9">
        <f t="shared" si="3"/>
        <v>2567.2800000000002</v>
      </c>
      <c r="L62" s="9">
        <f t="shared" si="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9"/>
        <v>0</v>
      </c>
      <c r="S62" s="14">
        <f t="shared" si="5"/>
        <v>2567.2800000000002</v>
      </c>
      <c r="T62" s="14">
        <f t="shared" si="6"/>
        <v>2567.2800000000002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"/>
        <v>3012.41</v>
      </c>
      <c r="H63" s="39">
        <f t="shared" si="2"/>
        <v>4368</v>
      </c>
      <c r="I63" s="42"/>
      <c r="J63" s="88">
        <f t="shared" si="0"/>
        <v>1</v>
      </c>
      <c r="K63" s="38">
        <f t="shared" si="3"/>
        <v>2184</v>
      </c>
      <c r="L63" s="38">
        <f t="shared" si="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9"/>
        <v>0</v>
      </c>
      <c r="S63" s="52">
        <f t="shared" si="5"/>
        <v>2184</v>
      </c>
      <c r="T63" s="52">
        <f t="shared" si="6"/>
        <v>2184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"/>
        <v>10306.27</v>
      </c>
      <c r="H64" s="10">
        <f t="shared" si="2"/>
        <v>14944.09</v>
      </c>
      <c r="I64" s="42"/>
      <c r="J64" s="89">
        <f t="shared" si="0"/>
        <v>1</v>
      </c>
      <c r="K64" s="9">
        <f t="shared" si="3"/>
        <v>7472.05</v>
      </c>
      <c r="L64" s="9">
        <f t="shared" si="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9"/>
        <v>0</v>
      </c>
      <c r="S64" s="14">
        <f t="shared" si="5"/>
        <v>7472.05</v>
      </c>
      <c r="T64" s="14">
        <f t="shared" si="6"/>
        <v>7472.05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"/>
        <v>6302.97</v>
      </c>
      <c r="H65" s="39">
        <f t="shared" si="2"/>
        <v>9139.2999999999993</v>
      </c>
      <c r="I65" s="42"/>
      <c r="J65" s="88">
        <f t="shared" si="0"/>
        <v>1</v>
      </c>
      <c r="K65" s="38">
        <f t="shared" si="3"/>
        <v>4569.6499999999996</v>
      </c>
      <c r="L65" s="38">
        <f t="shared" si="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9"/>
        <v>0</v>
      </c>
      <c r="S65" s="52">
        <f t="shared" si="5"/>
        <v>4569.6499999999996</v>
      </c>
      <c r="T65" s="52">
        <f t="shared" si="6"/>
        <v>4569.6499999999996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/>
      <c r="C66" s="6"/>
      <c r="D66" s="130"/>
      <c r="E66" s="53"/>
      <c r="F66" s="8"/>
      <c r="G66" s="9">
        <f t="shared" si="1"/>
        <v>0</v>
      </c>
      <c r="H66" s="10">
        <f t="shared" si="2"/>
        <v>0</v>
      </c>
      <c r="I66" s="42"/>
      <c r="J66" s="89">
        <f t="shared" si="0"/>
        <v>0</v>
      </c>
      <c r="K66" s="9">
        <f t="shared" si="3"/>
        <v>0</v>
      </c>
      <c r="L66" s="9">
        <f t="shared" si="4"/>
        <v>0</v>
      </c>
      <c r="M66" s="8" t="s">
        <v>120</v>
      </c>
      <c r="N66" s="12"/>
      <c r="O66" s="51"/>
      <c r="P66" s="3"/>
      <c r="Q66" s="13"/>
      <c r="R66" s="14">
        <f t="shared" si="9"/>
        <v>0</v>
      </c>
      <c r="S66" s="14">
        <f t="shared" si="5"/>
        <v>0</v>
      </c>
      <c r="T66" s="14">
        <f t="shared" si="6"/>
        <v>0</v>
      </c>
      <c r="U66" s="29">
        <f t="shared" si="7"/>
        <v>0</v>
      </c>
      <c r="V66" s="29">
        <f t="shared" si="8"/>
        <v>0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/>
      <c r="C67" s="4" t="s">
        <v>533</v>
      </c>
      <c r="D67" s="129"/>
      <c r="E67" s="54"/>
      <c r="F67" s="15"/>
      <c r="G67" s="38">
        <f t="shared" si="1"/>
        <v>0</v>
      </c>
      <c r="H67" s="39">
        <f t="shared" si="2"/>
        <v>0</v>
      </c>
      <c r="I67" s="42"/>
      <c r="J67" s="88">
        <f t="shared" si="0"/>
        <v>0</v>
      </c>
      <c r="K67" s="38">
        <f t="shared" si="3"/>
        <v>0</v>
      </c>
      <c r="L67" s="38">
        <f t="shared" si="4"/>
        <v>0</v>
      </c>
      <c r="M67" s="132" t="s">
        <v>120</v>
      </c>
      <c r="N67" s="16"/>
      <c r="O67" s="51"/>
      <c r="P67" s="1"/>
      <c r="Q67" s="15"/>
      <c r="R67" s="40">
        <f t="shared" si="9"/>
        <v>0</v>
      </c>
      <c r="S67" s="52">
        <f t="shared" si="5"/>
        <v>0</v>
      </c>
      <c r="T67" s="52">
        <f t="shared" si="6"/>
        <v>0</v>
      </c>
      <c r="U67" s="41">
        <f t="shared" si="7"/>
        <v>0</v>
      </c>
      <c r="V67" s="41">
        <f t="shared" si="8"/>
        <v>0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 t="s">
        <v>534</v>
      </c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/>
      <c r="C69" s="4"/>
      <c r="D69" s="129"/>
      <c r="E69" s="54"/>
      <c r="F69" s="15"/>
      <c r="G69" s="38">
        <f t="shared" si="1"/>
        <v>0</v>
      </c>
      <c r="H69" s="39">
        <f t="shared" si="2"/>
        <v>0</v>
      </c>
      <c r="I69" s="42"/>
      <c r="J69" s="88">
        <f t="shared" si="0"/>
        <v>0</v>
      </c>
      <c r="K69" s="38">
        <f t="shared" si="3"/>
        <v>0</v>
      </c>
      <c r="L69" s="38">
        <f t="shared" si="4"/>
        <v>0</v>
      </c>
      <c r="M69" s="132" t="s">
        <v>120</v>
      </c>
      <c r="N69" s="16"/>
      <c r="O69" s="51"/>
      <c r="P69" s="1"/>
      <c r="Q69" s="15"/>
      <c r="R69" s="40">
        <f t="shared" si="9"/>
        <v>0</v>
      </c>
      <c r="S69" s="52">
        <f t="shared" si="5"/>
        <v>0</v>
      </c>
      <c r="T69" s="52">
        <f t="shared" si="6"/>
        <v>0</v>
      </c>
      <c r="U69" s="41">
        <f t="shared" si="7"/>
        <v>0</v>
      </c>
      <c r="V69" s="41">
        <f t="shared" si="8"/>
        <v>0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/>
      <c r="C70" s="6"/>
      <c r="D70" s="130"/>
      <c r="E70" s="53"/>
      <c r="F70" s="8"/>
      <c r="G70" s="9">
        <f t="shared" si="1"/>
        <v>0</v>
      </c>
      <c r="H70" s="10">
        <f t="shared" si="2"/>
        <v>0</v>
      </c>
      <c r="I70" s="42"/>
      <c r="J70" s="89">
        <f t="shared" si="0"/>
        <v>0</v>
      </c>
      <c r="K70" s="9">
        <f t="shared" si="3"/>
        <v>0</v>
      </c>
      <c r="L70" s="9">
        <f t="shared" si="4"/>
        <v>0</v>
      </c>
      <c r="M70" s="8" t="s">
        <v>120</v>
      </c>
      <c r="N70" s="12"/>
      <c r="O70" s="51"/>
      <c r="P70" s="3"/>
      <c r="Q70" s="13"/>
      <c r="R70" s="14">
        <f t="shared" si="9"/>
        <v>0</v>
      </c>
      <c r="S70" s="14">
        <f t="shared" si="5"/>
        <v>0</v>
      </c>
      <c r="T70" s="14">
        <f t="shared" si="6"/>
        <v>0</v>
      </c>
      <c r="U70" s="29">
        <f t="shared" si="7"/>
        <v>0</v>
      </c>
      <c r="V70" s="29">
        <f t="shared" si="8"/>
        <v>0</v>
      </c>
      <c r="W70" s="28"/>
      <c r="X70" s="50"/>
      <c r="Y70" s="61"/>
      <c r="Z70" s="61"/>
      <c r="AA70" s="61"/>
      <c r="AB70" s="61"/>
    </row>
    <row r="71" spans="1:28" ht="20.25" customHeight="1" x14ac:dyDescent="0.3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3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F17 K17 Q17 Q14" xr:uid="{36061DD5-BF28-4657-84D9-9C287CC3FCC1}">
      <formula1>$Y$11:$Y$12</formula1>
    </dataValidation>
    <dataValidation type="list" allowBlank="1" showInputMessage="1" showErrorMessage="1" sqref="H13" xr:uid="{BF1A1185-B48A-4941-92AC-CEAECCED331A}">
      <formula1>$Y$13:$Y$14</formula1>
    </dataValidation>
    <dataValidation type="list" allowBlank="1" showInputMessage="1" showErrorMessage="1" sqref="I13" xr:uid="{9BD0855E-A159-46C5-B1F7-556E986023FA}">
      <formula1>$K$9:$K$9</formula1>
    </dataValidation>
    <dataValidation type="list" showInputMessage="1" showErrorMessage="1" sqref="D18:D70" xr:uid="{7291D6A8-98AD-47E7-A744-DBDCA73EA9A3}">
      <formula1>$Z$18:$Z$29</formula1>
    </dataValidation>
    <dataValidation type="list" allowBlank="1" showInputMessage="1" showErrorMessage="1" sqref="M18:M70" xr:uid="{3308BBA1-24EA-4B20-854E-034EB54C550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EE1-3ACE-4240-AAF1-544571D37BF2}">
  <sheetPr>
    <pageSetUpPr fitToPage="1"/>
  </sheetPr>
  <dimension ref="A1:AB63"/>
  <sheetViews>
    <sheetView topLeftCell="A9" zoomScale="85" zoomScaleNormal="85" workbookViewId="0">
      <selection activeCell="N32" sqref="N32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535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97004.01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2019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48364.079999999994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48639.93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536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0.50142184843698734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537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48364.079999999994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538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3740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48364.079999999994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1045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364</v>
      </c>
      <c r="C19" s="4" t="s">
        <v>539</v>
      </c>
      <c r="D19" s="129"/>
      <c r="E19" s="54">
        <v>1</v>
      </c>
      <c r="F19" s="15">
        <v>104.86</v>
      </c>
      <c r="G19" s="38">
        <f t="shared" ref="G19:G60" si="1">ROUND(IF($F$17="USD $", F19*$E$15,F19*$D$15),2)</f>
        <v>72.319999999999993</v>
      </c>
      <c r="H19" s="39">
        <f t="shared" ref="H19:H60" si="2">ROUND(IF($H$17=$G$17,E19*G19,E19*F19),2)</f>
        <v>104.86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39.85</v>
      </c>
      <c r="L19" s="38">
        <f t="shared" ref="L19:L60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39.85</v>
      </c>
      <c r="T19" s="52">
        <f t="shared" ref="T19:T60" si="6">ROUND(L19-R19,2)</f>
        <v>39.85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543</v>
      </c>
      <c r="C24" s="6" t="s">
        <v>142</v>
      </c>
      <c r="D24" s="130"/>
      <c r="E24" s="53">
        <v>1</v>
      </c>
      <c r="F24" s="8">
        <v>143.80000000000001</v>
      </c>
      <c r="G24" s="9">
        <f t="shared" si="1"/>
        <v>99.17</v>
      </c>
      <c r="H24" s="10">
        <f t="shared" si="2"/>
        <v>143.80000000000001</v>
      </c>
      <c r="I24" s="42"/>
      <c r="J24" s="89">
        <f t="shared" si="0"/>
        <v>1</v>
      </c>
      <c r="K24" s="9">
        <f t="shared" si="3"/>
        <v>54.64</v>
      </c>
      <c r="L24" s="9">
        <f t="shared" si="4"/>
        <v>54.64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54.64</v>
      </c>
      <c r="T24" s="14">
        <f t="shared" si="6"/>
        <v>54.64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565</v>
      </c>
      <c r="C26" s="6" t="s">
        <v>566</v>
      </c>
      <c r="D26" s="130"/>
      <c r="E26" s="53">
        <v>6</v>
      </c>
      <c r="F26" s="8">
        <v>1423.26</v>
      </c>
      <c r="G26" s="9">
        <f>ROUND(IF($F$17="USD $", F26*$E$15,F26*$D$15),2)</f>
        <v>981.56</v>
      </c>
      <c r="H26" s="10">
        <f>ROUND(IF($H$17=$G$17,E26*G26,E26*F26),2)</f>
        <v>8539.56</v>
      </c>
      <c r="I26" s="42"/>
      <c r="J26" s="89">
        <f>E26</f>
        <v>6</v>
      </c>
      <c r="K26" s="9">
        <f>IFERROR(IF(M26="OEM DISC %",ROUND(IF($K$17=$F$17,F26*(1-N26),G26*(1-N26)),2),IF(M26="MARKUP %",ROUND(R26/J26*(1+N26),2))),0)</f>
        <v>711.63</v>
      </c>
      <c r="L26" s="9">
        <f>ROUND((J26*K26),2)</f>
        <v>4269.78</v>
      </c>
      <c r="M26" s="8" t="s">
        <v>120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>IFERROR(ROUND(T26/E26,2),0)</f>
        <v>711.63</v>
      </c>
      <c r="T26" s="14">
        <f>ROUND(L26-R26,2)</f>
        <v>4269.78</v>
      </c>
      <c r="U26" s="29">
        <f>IFERROR(((K26-(R26/J26))/(R26/J26)),0)</f>
        <v>0</v>
      </c>
      <c r="V26" s="29">
        <f>IFERROR(((K26-(R26/J26))/K26),0)</f>
        <v>1</v>
      </c>
      <c r="W26" s="28"/>
      <c r="X26" s="50"/>
      <c r="Y26" s="61"/>
      <c r="Z26" s="61"/>
      <c r="AA26" s="61"/>
      <c r="AB26" s="61"/>
    </row>
    <row r="27" spans="1:28" x14ac:dyDescent="0.3">
      <c r="A27" s="55"/>
      <c r="B27" s="1" t="s">
        <v>567</v>
      </c>
      <c r="C27" s="4" t="s">
        <v>568</v>
      </c>
      <c r="D27" s="129"/>
      <c r="E27" s="54">
        <v>1</v>
      </c>
      <c r="F27" s="15">
        <v>6921.5</v>
      </c>
      <c r="G27" s="38">
        <f>ROUND(IF($F$17="USD $", F27*$E$15,F27*$D$15),2)</f>
        <v>4773.45</v>
      </c>
      <c r="H27" s="39">
        <f>ROUND(IF($H$17=$G$17,E27*G27,E27*F27),2)</f>
        <v>6921.5</v>
      </c>
      <c r="I27" s="42"/>
      <c r="J27" s="88">
        <f>E27</f>
        <v>1</v>
      </c>
      <c r="K27" s="38">
        <f>IFERROR(IF(M27="OEM DISC %",ROUND(IF($K$17=$F$17,F27*(1-N27),G27*(1-N27)),2),IF(M27="MARKUP %",ROUND(R27/J27*(1+N27),2))),0)</f>
        <v>3460.75</v>
      </c>
      <c r="L27" s="38">
        <f>ROUND((J27*K27),2)</f>
        <v>3460.75</v>
      </c>
      <c r="M27" s="132" t="s">
        <v>120</v>
      </c>
      <c r="N27" s="16">
        <v>0.5</v>
      </c>
      <c r="O27" s="51"/>
      <c r="P27" s="1"/>
      <c r="Q27" s="15"/>
      <c r="R27" s="40">
        <f>ROUND(IF($R$17=$Q$17,Q27,IF($R$17="USD $",Q27*$D$15,Q27*$E$15))*E27,2)</f>
        <v>0</v>
      </c>
      <c r="S27" s="52">
        <f>IFERROR(ROUND(T27/E27,2),0)</f>
        <v>3460.75</v>
      </c>
      <c r="T27" s="52">
        <f>ROUND(L27-R27,2)</f>
        <v>3460.75</v>
      </c>
      <c r="U27" s="41">
        <f>IFERROR(((K27-(R27/J27))/(R27/J27)),0)</f>
        <v>0</v>
      </c>
      <c r="V27" s="41">
        <f>IFERROR(((K27-(R27/J27))/K27),0)</f>
        <v>1</v>
      </c>
      <c r="W27" s="28"/>
      <c r="X27" s="50"/>
      <c r="Y27" s="61"/>
      <c r="Z27" s="61"/>
      <c r="AA27" s="61"/>
      <c r="AB27" s="61"/>
    </row>
    <row r="28" spans="1:28" x14ac:dyDescent="0.3">
      <c r="A28" s="55"/>
      <c r="B28" s="2"/>
      <c r="C28" s="6"/>
      <c r="D28" s="130"/>
      <c r="E28" s="53"/>
      <c r="F28" s="8"/>
      <c r="G28" s="9">
        <f>ROUND(IF($F$17="USD $", F28*$E$15,F28*$D$15),2)</f>
        <v>0</v>
      </c>
      <c r="H28" s="10">
        <f>ROUND(IF($H$17=$G$17,E28*G28,E28*F28),2)</f>
        <v>0</v>
      </c>
      <c r="I28" s="42"/>
      <c r="J28" s="89">
        <f>E28</f>
        <v>0</v>
      </c>
      <c r="K28" s="9">
        <f>IFERROR(IF(M28="OEM DISC %",ROUND(IF($K$17=$F$17,F28*(1-N28),G28*(1-N28)),2),IF(M28="MARKUP %",ROUND(R28/J28*(1+N28),2))),0)</f>
        <v>0</v>
      </c>
      <c r="L28" s="9">
        <f>ROUND((J28*K28),2)</f>
        <v>0</v>
      </c>
      <c r="M28" s="8" t="s">
        <v>120</v>
      </c>
      <c r="N28" s="12"/>
      <c r="O28" s="51"/>
      <c r="P28" s="3"/>
      <c r="Q28" s="13"/>
      <c r="R28" s="14">
        <f>ROUND(IF($R$17=$Q$17,Q28,IF($R$17="USD $",Q28*$D$15,Q28*$E$15))*E28,2)</f>
        <v>0</v>
      </c>
      <c r="S28" s="14">
        <f>IFERROR(ROUND(T28/E28,2),0)</f>
        <v>0</v>
      </c>
      <c r="T28" s="14">
        <f>ROUND(L28-R28,2)</f>
        <v>0</v>
      </c>
      <c r="U28" s="29">
        <f>IFERROR(((K28-(R28/J28))/(R28/J28)),0)</f>
        <v>0</v>
      </c>
      <c r="V28" s="29">
        <f>IFERROR(((K28-(R28/J28))/K28),0)</f>
        <v>0</v>
      </c>
      <c r="W28" s="28"/>
      <c r="X28" s="50"/>
      <c r="Y28" s="61"/>
      <c r="Z28" s="61"/>
      <c r="AA28" s="61"/>
      <c r="AB28" s="61"/>
    </row>
    <row r="29" spans="1:28" x14ac:dyDescent="0.3">
      <c r="A29" s="55"/>
      <c r="B29" s="1" t="s">
        <v>544</v>
      </c>
      <c r="C29" s="4" t="s">
        <v>401</v>
      </c>
      <c r="D29" s="129"/>
      <c r="E29" s="54">
        <v>10</v>
      </c>
      <c r="F29" s="15">
        <v>293.17</v>
      </c>
      <c r="G29" s="38">
        <f t="shared" si="1"/>
        <v>202.19</v>
      </c>
      <c r="H29" s="39">
        <f t="shared" si="2"/>
        <v>2931.7</v>
      </c>
      <c r="I29" s="42"/>
      <c r="J29" s="88">
        <f t="shared" si="0"/>
        <v>10</v>
      </c>
      <c r="K29" s="38">
        <f t="shared" si="3"/>
        <v>146.59</v>
      </c>
      <c r="L29" s="38">
        <f t="shared" si="4"/>
        <v>1465.9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146.59</v>
      </c>
      <c r="T29" s="52">
        <f t="shared" si="6"/>
        <v>1465.9</v>
      </c>
      <c r="U29" s="41">
        <f t="shared" si="7"/>
        <v>0</v>
      </c>
      <c r="V29" s="41">
        <f t="shared" si="8"/>
        <v>1</v>
      </c>
      <c r="W29" s="27"/>
      <c r="X29" s="50"/>
      <c r="Y29" s="61" t="s">
        <v>50</v>
      </c>
      <c r="Z29" s="61">
        <v>8000</v>
      </c>
      <c r="AA29" s="61"/>
      <c r="AB29" s="61"/>
    </row>
    <row r="30" spans="1:28" x14ac:dyDescent="0.3">
      <c r="A30" s="55"/>
      <c r="B30" s="2" t="s">
        <v>545</v>
      </c>
      <c r="C30" s="6" t="s">
        <v>206</v>
      </c>
      <c r="D30" s="130"/>
      <c r="E30" s="53">
        <v>50</v>
      </c>
      <c r="F30" s="8">
        <v>9.4700000000000006</v>
      </c>
      <c r="G30" s="9">
        <f t="shared" si="1"/>
        <v>6.53</v>
      </c>
      <c r="H30" s="10">
        <f t="shared" si="2"/>
        <v>473.5</v>
      </c>
      <c r="I30" s="42"/>
      <c r="J30" s="89">
        <f t="shared" si="0"/>
        <v>50</v>
      </c>
      <c r="K30" s="9">
        <f t="shared" si="3"/>
        <v>4.74</v>
      </c>
      <c r="L30" s="9">
        <f t="shared" si="4"/>
        <v>237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4.74</v>
      </c>
      <c r="T30" s="14">
        <f t="shared" si="6"/>
        <v>237</v>
      </c>
      <c r="U30" s="29">
        <f t="shared" si="7"/>
        <v>0</v>
      </c>
      <c r="V30" s="29">
        <f t="shared" si="8"/>
        <v>1</v>
      </c>
      <c r="W30" s="28"/>
      <c r="X30" s="50"/>
      <c r="Y30" s="61" t="s">
        <v>54</v>
      </c>
      <c r="Z30" s="73">
        <v>10000</v>
      </c>
      <c r="AA30" s="61"/>
      <c r="AB30" s="61"/>
    </row>
    <row r="31" spans="1:28" x14ac:dyDescent="0.3">
      <c r="A31" s="55"/>
      <c r="B31" s="1" t="s">
        <v>516</v>
      </c>
      <c r="C31" s="4" t="s">
        <v>218</v>
      </c>
      <c r="D31" s="129"/>
      <c r="E31" s="54">
        <v>50</v>
      </c>
      <c r="F31" s="15">
        <v>3.56</v>
      </c>
      <c r="G31" s="38">
        <f t="shared" si="1"/>
        <v>2.46</v>
      </c>
      <c r="H31" s="39">
        <f t="shared" si="2"/>
        <v>178</v>
      </c>
      <c r="I31" s="42"/>
      <c r="J31" s="88">
        <f t="shared" si="0"/>
        <v>50</v>
      </c>
      <c r="K31" s="38">
        <f t="shared" si="3"/>
        <v>1.35</v>
      </c>
      <c r="L31" s="38">
        <f t="shared" si="4"/>
        <v>67.5</v>
      </c>
      <c r="M31" s="132" t="s">
        <v>120</v>
      </c>
      <c r="N31" s="16">
        <v>0.62</v>
      </c>
      <c r="O31" s="51"/>
      <c r="P31" s="1"/>
      <c r="Q31" s="15"/>
      <c r="R31" s="40">
        <f t="shared" si="9"/>
        <v>0</v>
      </c>
      <c r="S31" s="52">
        <f t="shared" si="5"/>
        <v>1.35</v>
      </c>
      <c r="T31" s="52">
        <f t="shared" si="6"/>
        <v>67.5</v>
      </c>
      <c r="U31" s="41">
        <f t="shared" si="7"/>
        <v>0</v>
      </c>
      <c r="V31" s="41">
        <f t="shared" si="8"/>
        <v>1</v>
      </c>
      <c r="W31" s="27"/>
      <c r="X31" s="50"/>
      <c r="Y31" s="61" t="s">
        <v>55</v>
      </c>
      <c r="Z31" s="61" t="s">
        <v>51</v>
      </c>
      <c r="AA31" s="61"/>
      <c r="AB31" s="61"/>
    </row>
    <row r="32" spans="1:28" x14ac:dyDescent="0.3">
      <c r="A32" s="55"/>
      <c r="B32" s="2" t="s">
        <v>546</v>
      </c>
      <c r="C32" s="6" t="s">
        <v>547</v>
      </c>
      <c r="D32" s="130"/>
      <c r="E32" s="53">
        <v>50</v>
      </c>
      <c r="F32" s="8">
        <v>10.44</v>
      </c>
      <c r="G32" s="9">
        <f>ROUND(IF($F$17="USD $", F32*$E$15,F32*$D$15),2)</f>
        <v>7.2</v>
      </c>
      <c r="H32" s="10">
        <f>ROUND(IF($H$17=$G$17,E32*G32,E32*F32),2)</f>
        <v>522</v>
      </c>
      <c r="I32" s="42"/>
      <c r="J32" s="89">
        <f t="shared" si="0"/>
        <v>50</v>
      </c>
      <c r="K32" s="9">
        <f t="shared" si="3"/>
        <v>5.22</v>
      </c>
      <c r="L32" s="9">
        <f>ROUND((J32*K32),2)</f>
        <v>261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5.22</v>
      </c>
      <c r="T32" s="14">
        <f t="shared" si="6"/>
        <v>261</v>
      </c>
      <c r="U32" s="29">
        <f t="shared" si="7"/>
        <v>0</v>
      </c>
      <c r="V32" s="29">
        <f t="shared" si="8"/>
        <v>1</v>
      </c>
      <c r="W32" s="28"/>
      <c r="X32" s="50"/>
      <c r="Y32" s="61" t="s">
        <v>56</v>
      </c>
      <c r="Z32" s="61"/>
      <c r="AA32" s="61"/>
      <c r="AB32" s="61"/>
    </row>
    <row r="33" spans="1:28" x14ac:dyDescent="0.3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>ROUND(IF($R$17=$Q$17,Q34,IF($R$17="USD $",Q34*$D$15,Q34*$E$15))*E34,2)</f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8"/>
      <c r="X34" s="50"/>
      <c r="Y34" s="61" t="s">
        <v>120</v>
      </c>
      <c r="Z34" s="61"/>
      <c r="AA34" s="61"/>
      <c r="AB34" s="61"/>
    </row>
    <row r="35" spans="1:28" x14ac:dyDescent="0.3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7"/>
      <c r="X35" s="50"/>
      <c r="Y35" s="61" t="s">
        <v>121</v>
      </c>
      <c r="Z35" s="61"/>
      <c r="AA35" s="61"/>
      <c r="AB35" s="61"/>
    </row>
    <row r="36" spans="1:28" x14ac:dyDescent="0.3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552</v>
      </c>
      <c r="C37" s="4" t="s">
        <v>210</v>
      </c>
      <c r="D37" s="129"/>
      <c r="E37" s="54">
        <v>16</v>
      </c>
      <c r="F37" s="15">
        <v>25.19</v>
      </c>
      <c r="G37" s="38">
        <f t="shared" si="1"/>
        <v>17.37</v>
      </c>
      <c r="H37" s="39">
        <f t="shared" si="2"/>
        <v>403.04</v>
      </c>
      <c r="I37" s="42"/>
      <c r="J37" s="88">
        <f t="shared" si="0"/>
        <v>16</v>
      </c>
      <c r="K37" s="38">
        <f t="shared" si="3"/>
        <v>12.6</v>
      </c>
      <c r="L37" s="38">
        <f t="shared" si="4"/>
        <v>201.6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12.6</v>
      </c>
      <c r="T37" s="52">
        <f t="shared" si="6"/>
        <v>201.6</v>
      </c>
      <c r="U37" s="41">
        <f t="shared" si="7"/>
        <v>0</v>
      </c>
      <c r="V37" s="41">
        <f t="shared" si="8"/>
        <v>1</v>
      </c>
      <c r="W37" s="27"/>
      <c r="X37" s="50"/>
      <c r="Y37" s="61"/>
      <c r="Z37" s="61"/>
      <c r="AA37" s="61"/>
      <c r="AB37" s="61"/>
    </row>
    <row r="38" spans="1:28" x14ac:dyDescent="0.3">
      <c r="A38" s="55"/>
      <c r="B38" s="2" t="s">
        <v>553</v>
      </c>
      <c r="C38" s="6" t="s">
        <v>218</v>
      </c>
      <c r="D38" s="130"/>
      <c r="E38" s="53">
        <v>16</v>
      </c>
      <c r="F38" s="8">
        <v>8.75</v>
      </c>
      <c r="G38" s="9">
        <f t="shared" si="1"/>
        <v>6.03</v>
      </c>
      <c r="H38" s="10">
        <f t="shared" si="2"/>
        <v>140</v>
      </c>
      <c r="I38" s="42"/>
      <c r="J38" s="89">
        <f t="shared" si="0"/>
        <v>16</v>
      </c>
      <c r="K38" s="9">
        <f t="shared" si="3"/>
        <v>4.38</v>
      </c>
      <c r="L38" s="9">
        <f t="shared" si="4"/>
        <v>70.08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4.38</v>
      </c>
      <c r="T38" s="14">
        <f t="shared" si="6"/>
        <v>70.08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7"/>
      <c r="X39" s="50"/>
      <c r="Y39" s="61"/>
      <c r="Z39" s="61"/>
      <c r="AA39" s="61"/>
      <c r="AB39" s="61"/>
    </row>
    <row r="40" spans="1:28" x14ac:dyDescent="0.3">
      <c r="A40" s="55"/>
      <c r="B40" s="2" t="s">
        <v>554</v>
      </c>
      <c r="C40" s="6" t="s">
        <v>555</v>
      </c>
      <c r="D40" s="130"/>
      <c r="E40" s="53">
        <v>2</v>
      </c>
      <c r="F40" s="8">
        <v>10784.168000000001</v>
      </c>
      <c r="G40" s="9">
        <f t="shared" si="1"/>
        <v>7437.36</v>
      </c>
      <c r="H40" s="10">
        <f t="shared" si="2"/>
        <v>21568.34</v>
      </c>
      <c r="I40" s="42"/>
      <c r="J40" s="89">
        <f t="shared" si="0"/>
        <v>2</v>
      </c>
      <c r="K40" s="9">
        <f t="shared" si="3"/>
        <v>5392.08</v>
      </c>
      <c r="L40" s="9">
        <f t="shared" si="4"/>
        <v>10784.16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5392.08</v>
      </c>
      <c r="T40" s="14">
        <f t="shared" si="6"/>
        <v>10784.16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556</v>
      </c>
      <c r="C41" s="4" t="s">
        <v>557</v>
      </c>
      <c r="D41" s="129"/>
      <c r="E41" s="54">
        <v>2</v>
      </c>
      <c r="F41" s="15">
        <v>10339.93</v>
      </c>
      <c r="G41" s="38">
        <f t="shared" si="1"/>
        <v>7130.99</v>
      </c>
      <c r="H41" s="39">
        <f t="shared" si="2"/>
        <v>20679.86</v>
      </c>
      <c r="I41" s="42"/>
      <c r="J41" s="88">
        <f t="shared" si="0"/>
        <v>2</v>
      </c>
      <c r="K41" s="38">
        <f t="shared" si="3"/>
        <v>5169.97</v>
      </c>
      <c r="L41" s="38">
        <f t="shared" si="4"/>
        <v>10339.94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5169.97</v>
      </c>
      <c r="T41" s="52">
        <f t="shared" si="6"/>
        <v>10339.94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558</v>
      </c>
      <c r="C42" s="6" t="s">
        <v>559</v>
      </c>
      <c r="D42" s="130"/>
      <c r="E42" s="53">
        <v>90</v>
      </c>
      <c r="F42" s="8">
        <v>185.5</v>
      </c>
      <c r="G42" s="9">
        <f t="shared" si="1"/>
        <v>127.93</v>
      </c>
      <c r="H42" s="10">
        <f t="shared" si="2"/>
        <v>16695</v>
      </c>
      <c r="I42" s="42"/>
      <c r="J42" s="89">
        <f t="shared" si="0"/>
        <v>90</v>
      </c>
      <c r="K42" s="9">
        <f t="shared" si="3"/>
        <v>92.75</v>
      </c>
      <c r="L42" s="9">
        <f t="shared" si="4"/>
        <v>8347.5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92.75</v>
      </c>
      <c r="T42" s="14">
        <f t="shared" si="6"/>
        <v>8347.5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472</v>
      </c>
      <c r="C43" s="4" t="s">
        <v>161</v>
      </c>
      <c r="D43" s="129"/>
      <c r="E43" s="54">
        <v>360</v>
      </c>
      <c r="F43" s="15">
        <v>5.38</v>
      </c>
      <c r="G43" s="38">
        <f t="shared" si="1"/>
        <v>3.71</v>
      </c>
      <c r="H43" s="39">
        <f t="shared" si="2"/>
        <v>1936.8</v>
      </c>
      <c r="I43" s="42"/>
      <c r="J43" s="88">
        <f t="shared" si="0"/>
        <v>360</v>
      </c>
      <c r="K43" s="38">
        <f t="shared" si="3"/>
        <v>2.69</v>
      </c>
      <c r="L43" s="38">
        <f t="shared" si="4"/>
        <v>968.4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968.4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560</v>
      </c>
      <c r="C44" s="6" t="s">
        <v>255</v>
      </c>
      <c r="D44" s="130"/>
      <c r="E44" s="53">
        <v>360</v>
      </c>
      <c r="F44" s="8">
        <v>2.94</v>
      </c>
      <c r="G44" s="9">
        <f t="shared" si="1"/>
        <v>2.0299999999999998</v>
      </c>
      <c r="H44" s="10">
        <f t="shared" si="2"/>
        <v>1058.4000000000001</v>
      </c>
      <c r="I44" s="42"/>
      <c r="J44" s="89">
        <f t="shared" si="0"/>
        <v>360</v>
      </c>
      <c r="K44" s="9">
        <f t="shared" si="3"/>
        <v>1.47</v>
      </c>
      <c r="L44" s="9">
        <f t="shared" si="4"/>
        <v>529.20000000000005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529.20000000000005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561</v>
      </c>
      <c r="C45" s="4" t="s">
        <v>562</v>
      </c>
      <c r="D45" s="129"/>
      <c r="E45" s="54">
        <v>2</v>
      </c>
      <c r="F45" s="15">
        <v>240.45</v>
      </c>
      <c r="G45" s="38">
        <f t="shared" si="1"/>
        <v>165.83</v>
      </c>
      <c r="H45" s="39">
        <f t="shared" si="2"/>
        <v>480.9</v>
      </c>
      <c r="I45" s="42"/>
      <c r="J45" s="88">
        <f t="shared" si="0"/>
        <v>2</v>
      </c>
      <c r="K45" s="38">
        <f t="shared" si="3"/>
        <v>120.23</v>
      </c>
      <c r="L45" s="38">
        <f t="shared" si="4"/>
        <v>240.46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120.23</v>
      </c>
      <c r="T45" s="52">
        <f t="shared" si="6"/>
        <v>240.46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563</v>
      </c>
      <c r="C46" s="6" t="s">
        <v>564</v>
      </c>
      <c r="D46" s="130"/>
      <c r="E46" s="53">
        <v>8</v>
      </c>
      <c r="F46" s="8">
        <v>9.9600000000000009</v>
      </c>
      <c r="G46" s="9">
        <f t="shared" si="1"/>
        <v>6.87</v>
      </c>
      <c r="H46" s="10">
        <f t="shared" si="2"/>
        <v>79.680000000000007</v>
      </c>
      <c r="I46" s="42"/>
      <c r="J46" s="89">
        <f t="shared" si="0"/>
        <v>8</v>
      </c>
      <c r="K46" s="9">
        <f t="shared" si="3"/>
        <v>4.9800000000000004</v>
      </c>
      <c r="L46" s="9">
        <f t="shared" si="4"/>
        <v>39.840000000000003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4.9800000000000004</v>
      </c>
      <c r="T46" s="14">
        <f t="shared" si="6"/>
        <v>39.840000000000003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 t="s">
        <v>533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 t="s">
        <v>534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1045</v>
      </c>
      <c r="F61" s="78">
        <f>SUM(F18:F60)</f>
        <v>34838.977999999996</v>
      </c>
      <c r="G61" s="79">
        <f>SUM(G18:G60)</f>
        <v>24026.91</v>
      </c>
      <c r="H61" s="80">
        <f>SUM(H18:H60)</f>
        <v>97004.01</v>
      </c>
      <c r="I61" s="81"/>
      <c r="J61" s="82">
        <f>SUM(J18:J60)</f>
        <v>1045</v>
      </c>
      <c r="K61" s="79">
        <f>SUM(K18:K60)</f>
        <v>17308.37</v>
      </c>
      <c r="L61" s="80">
        <f>SUM(L18:L60)</f>
        <v>48364.079999999994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17308.37</v>
      </c>
      <c r="T61" s="80">
        <f>SUM(T18:T60)</f>
        <v>48364.079999999994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85EE2702-DC40-4587-9336-1CD335327D58}">
      <formula1>$Y$11:$Y$12</formula1>
    </dataValidation>
    <dataValidation type="list" allowBlank="1" showInputMessage="1" showErrorMessage="1" sqref="H13" xr:uid="{FDEB2741-4137-495D-8F0D-EB7E0FD9BC55}">
      <formula1>$Y$13:$Y$14</formula1>
    </dataValidation>
    <dataValidation type="list" allowBlank="1" showInputMessage="1" showErrorMessage="1" sqref="I13" xr:uid="{E9B54E5B-1E0C-454D-9222-620DB777AFC9}">
      <formula1>$K$9:$K$9</formula1>
    </dataValidation>
    <dataValidation type="list" showInputMessage="1" showErrorMessage="1" sqref="D48:D60 D18:D47" xr:uid="{2793B434-AF66-4DAE-9DC9-C9F0F92575D8}">
      <formula1>$Z$18:$Z$32</formula1>
    </dataValidation>
    <dataValidation type="list" allowBlank="1" showInputMessage="1" showErrorMessage="1" sqref="M48:M60 M18:M47" xr:uid="{384E2D1C-3E43-4FED-A030-B1FA8C1C9227}">
      <formula1>$Y$34:$Y$35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F5E-23CC-497A-B055-ECCBEBACC9C8}">
  <sheetPr>
    <pageSetUpPr fitToPage="1"/>
  </sheetPr>
  <dimension ref="A1:AB73"/>
  <sheetViews>
    <sheetView topLeftCell="A14" zoomScale="85" zoomScaleNormal="85" workbookViewId="0">
      <selection activeCell="F25" sqref="F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382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H71</f>
        <v>104229.27999999998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2010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L71</f>
        <v>51821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52408.279999999984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383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0.50281725058448057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384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T71</f>
        <v>51821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385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R71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8159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51821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E71</f>
        <v>1175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7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570</v>
      </c>
      <c r="C19" s="4" t="s">
        <v>480</v>
      </c>
      <c r="D19" s="129"/>
      <c r="E19" s="54">
        <v>1</v>
      </c>
      <c r="F19" s="15">
        <v>62.25</v>
      </c>
      <c r="G19" s="38">
        <f t="shared" ref="G19:G57" si="1">ROUND(IF($F$17="USD $", F19*$E$15,F19*$D$15),2)</f>
        <v>42.93</v>
      </c>
      <c r="H19" s="39">
        <f t="shared" ref="H19:H57" si="2">ROUND(IF($H$17=$G$17,E19*G19,E19*F19),2)</f>
        <v>62.25</v>
      </c>
      <c r="I19" s="42"/>
      <c r="J19" s="88">
        <f t="shared" si="0"/>
        <v>1</v>
      </c>
      <c r="K19" s="38">
        <f t="shared" ref="K19:K57" si="3">IFERROR(IF(M19="OEM DISC %",ROUND(IF($K$17=$F$17,F19*(1-N19),G19*(1-N19)),2),IF(M19="MARKUP %",ROUND(R19/J19*(1+N19),2))),0)</f>
        <v>23.66</v>
      </c>
      <c r="L19" s="38">
        <f t="shared" ref="L19:L57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7" si="5">IFERROR(ROUND(T19/E19,2),0)</f>
        <v>23.66</v>
      </c>
      <c r="T19" s="52">
        <f t="shared" ref="T19:T57" si="6">ROUND(L19-R19,2)</f>
        <v>23.66</v>
      </c>
      <c r="U19" s="41">
        <f t="shared" ref="U19:U57" si="7">IFERROR(((K19-(R19/J19))/(R19/J19)),0)</f>
        <v>0</v>
      </c>
      <c r="V19" s="41">
        <f t="shared" ref="V19:V57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479</v>
      </c>
      <c r="C20" s="6" t="s">
        <v>452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57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571</v>
      </c>
      <c r="C21" s="4" t="s">
        <v>572</v>
      </c>
      <c r="D21" s="129"/>
      <c r="E21" s="54">
        <v>1</v>
      </c>
      <c r="F21" s="15">
        <v>85.6</v>
      </c>
      <c r="G21" s="38">
        <f t="shared" si="1"/>
        <v>59.03</v>
      </c>
      <c r="H21" s="39">
        <f t="shared" si="2"/>
        <v>85.6</v>
      </c>
      <c r="I21" s="42"/>
      <c r="J21" s="88">
        <f t="shared" si="0"/>
        <v>1</v>
      </c>
      <c r="K21" s="38">
        <f t="shared" si="3"/>
        <v>32.53</v>
      </c>
      <c r="L21" s="38">
        <f t="shared" si="4"/>
        <v>32.53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32.53</v>
      </c>
      <c r="T21" s="52">
        <f t="shared" si="6"/>
        <v>32.53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573</v>
      </c>
      <c r="C22" s="6" t="s">
        <v>194</v>
      </c>
      <c r="D22" s="130"/>
      <c r="E22" s="53">
        <v>1</v>
      </c>
      <c r="F22" s="8">
        <v>204.36</v>
      </c>
      <c r="G22" s="9">
        <f t="shared" si="1"/>
        <v>140.94</v>
      </c>
      <c r="H22" s="10">
        <f t="shared" si="2"/>
        <v>204.36</v>
      </c>
      <c r="I22" s="42"/>
      <c r="J22" s="89">
        <f t="shared" si="0"/>
        <v>1</v>
      </c>
      <c r="K22" s="9">
        <f t="shared" si="3"/>
        <v>77.66</v>
      </c>
      <c r="L22" s="9">
        <f t="shared" si="4"/>
        <v>77.66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77.66</v>
      </c>
      <c r="T22" s="14">
        <f t="shared" si="6"/>
        <v>77.66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574</v>
      </c>
      <c r="C23" s="4" t="s">
        <v>144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575</v>
      </c>
      <c r="C24" s="6" t="s">
        <v>138</v>
      </c>
      <c r="D24" s="130"/>
      <c r="E24" s="53">
        <v>1</v>
      </c>
      <c r="F24" s="8">
        <v>221.03</v>
      </c>
      <c r="G24" s="9">
        <f t="shared" si="1"/>
        <v>152.43</v>
      </c>
      <c r="H24" s="10">
        <f t="shared" si="2"/>
        <v>221.03</v>
      </c>
      <c r="I24" s="42"/>
      <c r="J24" s="89">
        <f t="shared" si="0"/>
        <v>1</v>
      </c>
      <c r="K24" s="9">
        <f t="shared" si="3"/>
        <v>83.99</v>
      </c>
      <c r="L24" s="9">
        <f t="shared" si="4"/>
        <v>83.99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83.99</v>
      </c>
      <c r="T24" s="14">
        <f t="shared" si="6"/>
        <v>83.99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576</v>
      </c>
      <c r="C25" s="4" t="s">
        <v>140</v>
      </c>
      <c r="D25" s="129"/>
      <c r="E25" s="54">
        <v>1</v>
      </c>
      <c r="F25" s="15">
        <v>152.66999999999999</v>
      </c>
      <c r="G25" s="38">
        <f t="shared" si="1"/>
        <v>105.29</v>
      </c>
      <c r="H25" s="39">
        <f t="shared" si="2"/>
        <v>152.66999999999999</v>
      </c>
      <c r="I25" s="42"/>
      <c r="J25" s="88">
        <f t="shared" si="0"/>
        <v>1</v>
      </c>
      <c r="K25" s="38">
        <f t="shared" si="3"/>
        <v>58.01</v>
      </c>
      <c r="L25" s="38">
        <f t="shared" si="4"/>
        <v>58.01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58.01</v>
      </c>
      <c r="T25" s="52">
        <f t="shared" si="6"/>
        <v>58.01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577</v>
      </c>
      <c r="C26" s="6" t="s">
        <v>245</v>
      </c>
      <c r="D26" s="130"/>
      <c r="E26" s="53">
        <v>1</v>
      </c>
      <c r="F26" s="8">
        <v>3100.37</v>
      </c>
      <c r="G26" s="9">
        <f t="shared" si="1"/>
        <v>2138.19</v>
      </c>
      <c r="H26" s="10">
        <f t="shared" si="2"/>
        <v>3100.37</v>
      </c>
      <c r="I26" s="42"/>
      <c r="J26" s="89">
        <f t="shared" si="0"/>
        <v>1</v>
      </c>
      <c r="K26" s="9">
        <f t="shared" si="3"/>
        <v>1550.19</v>
      </c>
      <c r="L26" s="9">
        <f t="shared" si="4"/>
        <v>1550.19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1550.19</v>
      </c>
      <c r="T26" s="14">
        <f t="shared" si="6"/>
        <v>1550.19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578</v>
      </c>
      <c r="C27" s="4" t="s">
        <v>296</v>
      </c>
      <c r="D27" s="129"/>
      <c r="E27" s="54">
        <v>1</v>
      </c>
      <c r="F27" s="15">
        <v>3921.14</v>
      </c>
      <c r="G27" s="38">
        <f t="shared" si="1"/>
        <v>2704.23</v>
      </c>
      <c r="H27" s="39">
        <f t="shared" si="2"/>
        <v>3921.14</v>
      </c>
      <c r="I27" s="42"/>
      <c r="J27" s="88">
        <f t="shared" si="0"/>
        <v>1</v>
      </c>
      <c r="K27" s="38">
        <f t="shared" si="3"/>
        <v>1960.57</v>
      </c>
      <c r="L27" s="38">
        <f t="shared" si="4"/>
        <v>1960.57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1960.57</v>
      </c>
      <c r="T27" s="52">
        <f t="shared" si="6"/>
        <v>1960.57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579</v>
      </c>
      <c r="C28" s="6" t="s">
        <v>198</v>
      </c>
      <c r="D28" s="130"/>
      <c r="E28" s="53">
        <v>6</v>
      </c>
      <c r="F28" s="8">
        <v>1132.93</v>
      </c>
      <c r="G28" s="9">
        <f t="shared" si="1"/>
        <v>781.33</v>
      </c>
      <c r="H28" s="10">
        <f t="shared" si="2"/>
        <v>6797.58</v>
      </c>
      <c r="I28" s="42"/>
      <c r="J28" s="89">
        <f t="shared" si="0"/>
        <v>6</v>
      </c>
      <c r="K28" s="9">
        <f t="shared" si="3"/>
        <v>566.47</v>
      </c>
      <c r="L28" s="9">
        <f t="shared" si="4"/>
        <v>3398.82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3398.82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580</v>
      </c>
      <c r="C29" s="4" t="s">
        <v>200</v>
      </c>
      <c r="D29" s="129"/>
      <c r="E29" s="54">
        <v>1</v>
      </c>
      <c r="F29" s="15">
        <v>6551.41</v>
      </c>
      <c r="G29" s="38">
        <f>ROUND(IF($F$17="USD $", F29*$E$15,F29*$D$15),2)</f>
        <v>4518.21</v>
      </c>
      <c r="H29" s="39">
        <f>ROUND(IF($H$17=$G$17,E29*G29,E29*F29),2)</f>
        <v>6551.41</v>
      </c>
      <c r="I29" s="42"/>
      <c r="J29" s="88">
        <f t="shared" si="0"/>
        <v>1</v>
      </c>
      <c r="K29" s="38">
        <f t="shared" si="3"/>
        <v>3275.71</v>
      </c>
      <c r="L29" s="38">
        <f>ROUND((J29*K29),2)</f>
        <v>3275.71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3275.71</v>
      </c>
      <c r="T29" s="52">
        <f t="shared" si="6"/>
        <v>3275.71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581</v>
      </c>
      <c r="C31" s="4" t="s">
        <v>401</v>
      </c>
      <c r="D31" s="129"/>
      <c r="E31" s="54">
        <v>10</v>
      </c>
      <c r="F31" s="15">
        <v>204.05</v>
      </c>
      <c r="G31" s="38">
        <f t="shared" si="1"/>
        <v>140.72</v>
      </c>
      <c r="H31" s="39">
        <f t="shared" si="2"/>
        <v>2040.5</v>
      </c>
      <c r="I31" s="42"/>
      <c r="J31" s="88">
        <f t="shared" si="0"/>
        <v>10</v>
      </c>
      <c r="K31" s="38">
        <f t="shared" si="3"/>
        <v>102.03</v>
      </c>
      <c r="L31" s="38">
        <f t="shared" si="4"/>
        <v>1020.3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102.03</v>
      </c>
      <c r="T31" s="52">
        <f t="shared" si="6"/>
        <v>1020.3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582</v>
      </c>
      <c r="C32" s="6" t="s">
        <v>206</v>
      </c>
      <c r="D32" s="130"/>
      <c r="E32" s="53">
        <v>50</v>
      </c>
      <c r="F32" s="8">
        <v>3.14</v>
      </c>
      <c r="G32" s="9">
        <f t="shared" si="1"/>
        <v>2.17</v>
      </c>
      <c r="H32" s="10">
        <f t="shared" si="2"/>
        <v>157</v>
      </c>
      <c r="I32" s="42"/>
      <c r="J32" s="89">
        <f t="shared" si="0"/>
        <v>50</v>
      </c>
      <c r="K32" s="9">
        <f t="shared" si="3"/>
        <v>1.57</v>
      </c>
      <c r="L32" s="9">
        <f t="shared" si="4"/>
        <v>78.5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1.57</v>
      </c>
      <c r="T32" s="14">
        <f t="shared" si="6"/>
        <v>78.5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326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583</v>
      </c>
      <c r="C34" s="6" t="s">
        <v>218</v>
      </c>
      <c r="D34" s="130"/>
      <c r="E34" s="53">
        <v>50</v>
      </c>
      <c r="F34" s="8">
        <v>2.0499999999999998</v>
      </c>
      <c r="G34" s="9">
        <f t="shared" si="1"/>
        <v>1.41</v>
      </c>
      <c r="H34" s="10">
        <f t="shared" si="2"/>
        <v>102.5</v>
      </c>
      <c r="I34" s="42"/>
      <c r="J34" s="89">
        <f t="shared" si="0"/>
        <v>50</v>
      </c>
      <c r="K34" s="9">
        <f t="shared" si="3"/>
        <v>1.03</v>
      </c>
      <c r="L34" s="9">
        <f t="shared" si="4"/>
        <v>51.5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1.03</v>
      </c>
      <c r="T34" s="14">
        <f t="shared" si="6"/>
        <v>51.5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584</v>
      </c>
      <c r="C36" s="6" t="s">
        <v>465</v>
      </c>
      <c r="D36" s="130"/>
      <c r="E36" s="53">
        <v>4</v>
      </c>
      <c r="F36" s="8">
        <v>2878.82</v>
      </c>
      <c r="G36" s="9">
        <f t="shared" si="1"/>
        <v>1985.39</v>
      </c>
      <c r="H36" s="10">
        <f t="shared" si="2"/>
        <v>11515.28</v>
      </c>
      <c r="I36" s="42"/>
      <c r="J36" s="89">
        <f t="shared" si="0"/>
        <v>4</v>
      </c>
      <c r="K36" s="9">
        <f t="shared" si="3"/>
        <v>1439.41</v>
      </c>
      <c r="L36" s="9">
        <f t="shared" si="4"/>
        <v>5757.64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1439.41</v>
      </c>
      <c r="T36" s="14">
        <f t="shared" si="6"/>
        <v>5757.64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585</v>
      </c>
      <c r="C37" s="4" t="s">
        <v>154</v>
      </c>
      <c r="D37" s="129"/>
      <c r="E37" s="54">
        <v>2</v>
      </c>
      <c r="F37" s="15">
        <v>496.33</v>
      </c>
      <c r="G37" s="38">
        <f t="shared" si="1"/>
        <v>342.3</v>
      </c>
      <c r="H37" s="39">
        <f t="shared" si="2"/>
        <v>992.66</v>
      </c>
      <c r="I37" s="42"/>
      <c r="J37" s="88">
        <f t="shared" si="0"/>
        <v>2</v>
      </c>
      <c r="K37" s="38">
        <f t="shared" si="3"/>
        <v>248.17</v>
      </c>
      <c r="L37" s="38">
        <f t="shared" si="4"/>
        <v>496.34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248.17</v>
      </c>
      <c r="T37" s="52">
        <f t="shared" si="6"/>
        <v>496.34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586</v>
      </c>
      <c r="C38" s="6" t="s">
        <v>409</v>
      </c>
      <c r="D38" s="130"/>
      <c r="E38" s="53">
        <v>12</v>
      </c>
      <c r="F38" s="8">
        <v>1006.57</v>
      </c>
      <c r="G38" s="9">
        <f t="shared" si="1"/>
        <v>694.19</v>
      </c>
      <c r="H38" s="10">
        <f t="shared" si="2"/>
        <v>12078.84</v>
      </c>
      <c r="I38" s="42"/>
      <c r="J38" s="89">
        <f t="shared" si="0"/>
        <v>12</v>
      </c>
      <c r="K38" s="9">
        <f t="shared" si="3"/>
        <v>503.29</v>
      </c>
      <c r="L38" s="9">
        <f t="shared" si="4"/>
        <v>6039.48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503.29</v>
      </c>
      <c r="T38" s="14">
        <f t="shared" si="6"/>
        <v>6039.48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587</v>
      </c>
      <c r="C39" s="4" t="s">
        <v>213</v>
      </c>
      <c r="D39" s="129"/>
      <c r="E39" s="54">
        <v>4</v>
      </c>
      <c r="F39" s="15">
        <v>857.8</v>
      </c>
      <c r="G39" s="38">
        <f t="shared" si="1"/>
        <v>591.59</v>
      </c>
      <c r="H39" s="39">
        <f t="shared" si="2"/>
        <v>3431.2</v>
      </c>
      <c r="I39" s="42"/>
      <c r="J39" s="88">
        <f t="shared" si="0"/>
        <v>4</v>
      </c>
      <c r="K39" s="38">
        <f t="shared" si="3"/>
        <v>428.9</v>
      </c>
      <c r="L39" s="38">
        <f t="shared" si="4"/>
        <v>1715.6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428.9</v>
      </c>
      <c r="T39" s="52">
        <f t="shared" si="6"/>
        <v>1715.6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588</v>
      </c>
      <c r="C40" s="6" t="s">
        <v>589</v>
      </c>
      <c r="D40" s="130"/>
      <c r="E40" s="53">
        <v>4</v>
      </c>
      <c r="F40" s="8">
        <v>159.66</v>
      </c>
      <c r="G40" s="9">
        <f t="shared" si="1"/>
        <v>110.11</v>
      </c>
      <c r="H40" s="10">
        <f t="shared" si="2"/>
        <v>638.64</v>
      </c>
      <c r="I40" s="42"/>
      <c r="J40" s="89">
        <f t="shared" si="0"/>
        <v>4</v>
      </c>
      <c r="K40" s="9">
        <f t="shared" si="3"/>
        <v>79.83</v>
      </c>
      <c r="L40" s="9">
        <f t="shared" si="4"/>
        <v>319.32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79.83</v>
      </c>
      <c r="T40" s="14">
        <f t="shared" si="6"/>
        <v>319.32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590</v>
      </c>
      <c r="C41" s="4" t="s">
        <v>591</v>
      </c>
      <c r="D41" s="129"/>
      <c r="E41" s="54">
        <v>4</v>
      </c>
      <c r="F41" s="15">
        <v>200.89</v>
      </c>
      <c r="G41" s="38">
        <f t="shared" si="1"/>
        <v>138.54</v>
      </c>
      <c r="H41" s="39">
        <f t="shared" si="2"/>
        <v>803.56</v>
      </c>
      <c r="I41" s="42"/>
      <c r="J41" s="88">
        <f t="shared" si="0"/>
        <v>4</v>
      </c>
      <c r="K41" s="38">
        <f t="shared" si="3"/>
        <v>100.45</v>
      </c>
      <c r="L41" s="38">
        <f t="shared" si="4"/>
        <v>401.8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100.45</v>
      </c>
      <c r="T41" s="52">
        <f t="shared" si="6"/>
        <v>401.8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592</v>
      </c>
      <c r="C42" s="6" t="s">
        <v>593</v>
      </c>
      <c r="D42" s="130"/>
      <c r="E42" s="53">
        <v>2</v>
      </c>
      <c r="F42" s="8">
        <v>113.29</v>
      </c>
      <c r="G42" s="9">
        <f t="shared" si="1"/>
        <v>78.13</v>
      </c>
      <c r="H42" s="10">
        <f t="shared" si="2"/>
        <v>226.58</v>
      </c>
      <c r="I42" s="42"/>
      <c r="J42" s="89">
        <f t="shared" si="0"/>
        <v>2</v>
      </c>
      <c r="K42" s="9">
        <f t="shared" si="3"/>
        <v>56.65</v>
      </c>
      <c r="L42" s="9">
        <f t="shared" si="4"/>
        <v>113.3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56.65</v>
      </c>
      <c r="T42" s="14">
        <f t="shared" si="6"/>
        <v>113.3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594</v>
      </c>
      <c r="C43" s="4" t="s">
        <v>215</v>
      </c>
      <c r="D43" s="129"/>
      <c r="E43" s="54">
        <v>24</v>
      </c>
      <c r="F43" s="15">
        <v>2.42</v>
      </c>
      <c r="G43" s="38">
        <f t="shared" si="1"/>
        <v>1.67</v>
      </c>
      <c r="H43" s="39">
        <f t="shared" si="2"/>
        <v>58.08</v>
      </c>
      <c r="I43" s="42"/>
      <c r="J43" s="88">
        <f t="shared" si="0"/>
        <v>24</v>
      </c>
      <c r="K43" s="38">
        <f t="shared" si="3"/>
        <v>1.21</v>
      </c>
      <c r="L43" s="38">
        <f t="shared" si="4"/>
        <v>29.04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1.21</v>
      </c>
      <c r="T43" s="52">
        <f t="shared" si="6"/>
        <v>29.04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595</v>
      </c>
      <c r="C44" s="6" t="s">
        <v>215</v>
      </c>
      <c r="D44" s="130"/>
      <c r="E44" s="53">
        <v>4</v>
      </c>
      <c r="F44" s="8">
        <v>4.12</v>
      </c>
      <c r="G44" s="9">
        <f t="shared" si="1"/>
        <v>2.84</v>
      </c>
      <c r="H44" s="10">
        <f t="shared" si="2"/>
        <v>16.48</v>
      </c>
      <c r="I44" s="42"/>
      <c r="J44" s="89">
        <f t="shared" si="0"/>
        <v>4</v>
      </c>
      <c r="K44" s="9">
        <f t="shared" si="3"/>
        <v>2.06</v>
      </c>
      <c r="L44" s="9">
        <f t="shared" si="4"/>
        <v>8.24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2.06</v>
      </c>
      <c r="T44" s="14">
        <f t="shared" si="6"/>
        <v>8.24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596</v>
      </c>
      <c r="C45" s="4" t="s">
        <v>218</v>
      </c>
      <c r="D45" s="129"/>
      <c r="E45" s="54">
        <v>28</v>
      </c>
      <c r="F45" s="15">
        <v>2.15</v>
      </c>
      <c r="G45" s="38">
        <f t="shared" si="1"/>
        <v>1.48</v>
      </c>
      <c r="H45" s="39">
        <f t="shared" si="2"/>
        <v>60.2</v>
      </c>
      <c r="I45" s="42"/>
      <c r="J45" s="88">
        <f t="shared" si="0"/>
        <v>28</v>
      </c>
      <c r="K45" s="38">
        <f t="shared" si="3"/>
        <v>1.08</v>
      </c>
      <c r="L45" s="38">
        <f t="shared" si="4"/>
        <v>30.24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1.08</v>
      </c>
      <c r="T45" s="52">
        <f t="shared" si="6"/>
        <v>30.24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469</v>
      </c>
      <c r="C47" s="4" t="s">
        <v>252</v>
      </c>
      <c r="D47" s="129"/>
      <c r="E47" s="54">
        <v>2</v>
      </c>
      <c r="F47" s="15">
        <v>13503.77</v>
      </c>
      <c r="G47" s="38">
        <f t="shared" si="1"/>
        <v>9312.94</v>
      </c>
      <c r="H47" s="39">
        <f t="shared" si="2"/>
        <v>27007.54</v>
      </c>
      <c r="I47" s="42"/>
      <c r="J47" s="88">
        <f t="shared" si="0"/>
        <v>2</v>
      </c>
      <c r="K47" s="38">
        <f t="shared" si="3"/>
        <v>6751.89</v>
      </c>
      <c r="L47" s="38">
        <f t="shared" si="4"/>
        <v>13503.78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6751.89</v>
      </c>
      <c r="T47" s="52">
        <f t="shared" si="6"/>
        <v>13503.78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597</v>
      </c>
      <c r="C48" s="6" t="s">
        <v>416</v>
      </c>
      <c r="D48" s="130"/>
      <c r="E48" s="53">
        <v>90</v>
      </c>
      <c r="F48" s="8">
        <v>206.6</v>
      </c>
      <c r="G48" s="9">
        <f t="shared" si="1"/>
        <v>142.47999999999999</v>
      </c>
      <c r="H48" s="10">
        <f t="shared" si="2"/>
        <v>18594</v>
      </c>
      <c r="I48" s="42"/>
      <c r="J48" s="89">
        <f t="shared" si="0"/>
        <v>90</v>
      </c>
      <c r="K48" s="9">
        <f t="shared" si="3"/>
        <v>103.3</v>
      </c>
      <c r="L48" s="9">
        <f t="shared" si="4"/>
        <v>9297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103.3</v>
      </c>
      <c r="T48" s="14">
        <f t="shared" si="6"/>
        <v>9297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598</v>
      </c>
      <c r="C49" s="4" t="s">
        <v>418</v>
      </c>
      <c r="D49" s="129"/>
      <c r="E49" s="54">
        <v>2</v>
      </c>
      <c r="F49" s="15">
        <v>226.51</v>
      </c>
      <c r="G49" s="38">
        <f t="shared" si="1"/>
        <v>156.21</v>
      </c>
      <c r="H49" s="39">
        <f t="shared" si="2"/>
        <v>453.02</v>
      </c>
      <c r="I49" s="42"/>
      <c r="J49" s="88">
        <f t="shared" si="0"/>
        <v>2</v>
      </c>
      <c r="K49" s="38">
        <f t="shared" si="3"/>
        <v>113.26</v>
      </c>
      <c r="L49" s="38">
        <f t="shared" si="4"/>
        <v>226.52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113.26</v>
      </c>
      <c r="T49" s="52">
        <f t="shared" si="6"/>
        <v>226.52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472</v>
      </c>
      <c r="C50" s="6" t="s">
        <v>161</v>
      </c>
      <c r="D50" s="130"/>
      <c r="E50" s="53">
        <v>360</v>
      </c>
      <c r="F50" s="8">
        <v>5.38</v>
      </c>
      <c r="G50" s="9">
        <f t="shared" si="1"/>
        <v>3.71</v>
      </c>
      <c r="H50" s="10">
        <f t="shared" si="2"/>
        <v>1936.8</v>
      </c>
      <c r="I50" s="42"/>
      <c r="J50" s="89">
        <f t="shared" si="0"/>
        <v>360</v>
      </c>
      <c r="K50" s="9">
        <f t="shared" si="3"/>
        <v>2.69</v>
      </c>
      <c r="L50" s="9">
        <f t="shared" si="4"/>
        <v>968.4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2.69</v>
      </c>
      <c r="T50" s="14">
        <f t="shared" si="6"/>
        <v>968.4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473</v>
      </c>
      <c r="C51" s="4" t="s">
        <v>474</v>
      </c>
      <c r="D51" s="129"/>
      <c r="E51" s="54">
        <v>4</v>
      </c>
      <c r="F51" s="15">
        <v>6.66</v>
      </c>
      <c r="G51" s="38">
        <f t="shared" si="1"/>
        <v>4.59</v>
      </c>
      <c r="H51" s="39">
        <f t="shared" si="2"/>
        <v>26.64</v>
      </c>
      <c r="I51" s="42"/>
      <c r="J51" s="88">
        <f t="shared" si="0"/>
        <v>4</v>
      </c>
      <c r="K51" s="38">
        <f t="shared" si="3"/>
        <v>3.33</v>
      </c>
      <c r="L51" s="38">
        <f t="shared" si="4"/>
        <v>13.32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3.33</v>
      </c>
      <c r="T51" s="52">
        <f t="shared" si="6"/>
        <v>13.32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475</v>
      </c>
      <c r="C52" s="6" t="s">
        <v>474</v>
      </c>
      <c r="D52" s="130"/>
      <c r="E52" s="53">
        <v>4</v>
      </c>
      <c r="F52" s="8">
        <v>9.23</v>
      </c>
      <c r="G52" s="9">
        <f t="shared" si="1"/>
        <v>6.37</v>
      </c>
      <c r="H52" s="10">
        <f t="shared" si="2"/>
        <v>36.92</v>
      </c>
      <c r="I52" s="42"/>
      <c r="J52" s="89">
        <f t="shared" si="0"/>
        <v>4</v>
      </c>
      <c r="K52" s="9">
        <f t="shared" si="3"/>
        <v>4.62</v>
      </c>
      <c r="L52" s="9">
        <f t="shared" si="4"/>
        <v>18.48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4.62</v>
      </c>
      <c r="T52" s="14">
        <f t="shared" si="6"/>
        <v>18.48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560</v>
      </c>
      <c r="C53" s="4" t="s">
        <v>255</v>
      </c>
      <c r="D53" s="129"/>
      <c r="E53" s="54">
        <v>360</v>
      </c>
      <c r="F53" s="15">
        <v>2.94</v>
      </c>
      <c r="G53" s="38">
        <f t="shared" si="1"/>
        <v>2.0299999999999998</v>
      </c>
      <c r="H53" s="39">
        <f t="shared" si="2"/>
        <v>1058.4000000000001</v>
      </c>
      <c r="I53" s="42"/>
      <c r="J53" s="88">
        <f t="shared" si="0"/>
        <v>360</v>
      </c>
      <c r="K53" s="38">
        <f t="shared" si="3"/>
        <v>1.47</v>
      </c>
      <c r="L53" s="38">
        <f t="shared" si="4"/>
        <v>529.20000000000005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1.47</v>
      </c>
      <c r="T53" s="52">
        <f t="shared" si="6"/>
        <v>529.20000000000005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599</v>
      </c>
      <c r="C55" s="4" t="s">
        <v>424</v>
      </c>
      <c r="D55" s="129"/>
      <c r="E55" s="54">
        <v>2</v>
      </c>
      <c r="F55" s="15">
        <v>435.33</v>
      </c>
      <c r="G55" s="38">
        <f t="shared" si="1"/>
        <v>300.23</v>
      </c>
      <c r="H55" s="39">
        <f t="shared" si="2"/>
        <v>870.66</v>
      </c>
      <c r="I55" s="42"/>
      <c r="J55" s="88">
        <f t="shared" si="0"/>
        <v>2</v>
      </c>
      <c r="K55" s="38">
        <f t="shared" si="3"/>
        <v>165.43</v>
      </c>
      <c r="L55" s="38">
        <f t="shared" si="4"/>
        <v>330.86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165.43</v>
      </c>
      <c r="T55" s="52">
        <f t="shared" si="6"/>
        <v>330.86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600</v>
      </c>
      <c r="C56" s="6" t="s">
        <v>511</v>
      </c>
      <c r="D56" s="130"/>
      <c r="E56" s="53">
        <v>1</v>
      </c>
      <c r="F56" s="8">
        <v>160.9</v>
      </c>
      <c r="G56" s="9">
        <f t="shared" si="1"/>
        <v>110.97</v>
      </c>
      <c r="H56" s="10">
        <f t="shared" si="2"/>
        <v>160.9</v>
      </c>
      <c r="I56" s="42"/>
      <c r="J56" s="89">
        <f t="shared" si="0"/>
        <v>1</v>
      </c>
      <c r="K56" s="9">
        <f t="shared" si="3"/>
        <v>61.14</v>
      </c>
      <c r="L56" s="9">
        <f t="shared" si="4"/>
        <v>61.14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61.14</v>
      </c>
      <c r="T56" s="14">
        <f t="shared" si="6"/>
        <v>61.14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601</v>
      </c>
      <c r="C57" s="4" t="s">
        <v>513</v>
      </c>
      <c r="D57" s="129"/>
      <c r="E57" s="54">
        <v>1</v>
      </c>
      <c r="F57" s="15">
        <v>160.9</v>
      </c>
      <c r="G57" s="38">
        <f t="shared" si="1"/>
        <v>110.97</v>
      </c>
      <c r="H57" s="39">
        <f t="shared" si="2"/>
        <v>160.9</v>
      </c>
      <c r="I57" s="42"/>
      <c r="J57" s="88">
        <f t="shared" si="0"/>
        <v>1</v>
      </c>
      <c r="K57" s="38">
        <f t="shared" si="3"/>
        <v>61.14</v>
      </c>
      <c r="L57" s="38">
        <f t="shared" si="4"/>
        <v>61.14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61.14</v>
      </c>
      <c r="T57" s="52">
        <f t="shared" si="6"/>
        <v>61.14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514</v>
      </c>
      <c r="C58" s="6" t="s">
        <v>515</v>
      </c>
      <c r="D58" s="130"/>
      <c r="E58" s="53">
        <v>28</v>
      </c>
      <c r="F58" s="8">
        <v>4.51</v>
      </c>
      <c r="G58" s="9">
        <f t="shared" ref="G58:G70" si="10">ROUND(IF($F$17="USD $", F58*$E$15,F58*$D$15),2)</f>
        <v>3.11</v>
      </c>
      <c r="H58" s="10">
        <f t="shared" ref="H58:H70" si="11">ROUND(IF($H$17=$G$17,E58*G58,E58*F58),2)</f>
        <v>126.28</v>
      </c>
      <c r="I58" s="42"/>
      <c r="J58" s="89">
        <f t="shared" ref="J58:J70" si="12">E58</f>
        <v>28</v>
      </c>
      <c r="K58" s="9">
        <f t="shared" ref="K58:K70" si="13">IFERROR(IF(M58="OEM DISC %",ROUND(IF($K$17=$F$17,F58*(1-N58),G58*(1-N58)),2),IF(M58="MARKUP %",ROUND(R58/J58*(1+N58),2))),0)</f>
        <v>1.71</v>
      </c>
      <c r="L58" s="9">
        <f t="shared" ref="L58:L70" si="14">ROUND((J58*K58),2)</f>
        <v>47.88</v>
      </c>
      <c r="M58" s="8" t="s">
        <v>120</v>
      </c>
      <c r="N58" s="12">
        <v>0.62</v>
      </c>
      <c r="O58" s="51"/>
      <c r="P58" s="3"/>
      <c r="Q58" s="13"/>
      <c r="R58" s="14">
        <f t="shared" ref="R58:R70" si="15">ROUND(IF($R$17=$Q$17,Q58,IF($R$17="USD $",Q58*$D$15,Q58*$E$15))*E58,2)</f>
        <v>0</v>
      </c>
      <c r="S58" s="14">
        <f t="shared" ref="S58:S70" si="16">IFERROR(ROUND(T58/E58,2),0)</f>
        <v>1.71</v>
      </c>
      <c r="T58" s="14">
        <f t="shared" ref="T58:T70" si="17">ROUND(L58-R58,2)</f>
        <v>47.88</v>
      </c>
      <c r="U58" s="29">
        <f t="shared" ref="U58:U70" si="18">IFERROR(((K58-(R58/J58))/(R58/J58)),0)</f>
        <v>0</v>
      </c>
      <c r="V58" s="29">
        <f t="shared" ref="V58:V70" si="19">IFERROR(((K58-(R58/J58))/K58),0)</f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516</v>
      </c>
      <c r="C59" s="4" t="s">
        <v>218</v>
      </c>
      <c r="D59" s="129"/>
      <c r="E59" s="54">
        <v>28</v>
      </c>
      <c r="F59" s="15">
        <v>3.56</v>
      </c>
      <c r="G59" s="38">
        <f t="shared" si="10"/>
        <v>2.46</v>
      </c>
      <c r="H59" s="39">
        <f t="shared" si="11"/>
        <v>99.68</v>
      </c>
      <c r="I59" s="42"/>
      <c r="J59" s="88">
        <f t="shared" si="12"/>
        <v>28</v>
      </c>
      <c r="K59" s="38">
        <f t="shared" si="13"/>
        <v>1.35</v>
      </c>
      <c r="L59" s="38">
        <f t="shared" si="14"/>
        <v>37.799999999999997</v>
      </c>
      <c r="M59" s="132" t="s">
        <v>120</v>
      </c>
      <c r="N59" s="16">
        <v>0.62</v>
      </c>
      <c r="O59" s="51"/>
      <c r="P59" s="1"/>
      <c r="Q59" s="15"/>
      <c r="R59" s="40">
        <f t="shared" si="15"/>
        <v>0</v>
      </c>
      <c r="S59" s="52">
        <f t="shared" si="16"/>
        <v>1.35</v>
      </c>
      <c r="T59" s="52">
        <f t="shared" si="17"/>
        <v>37.799999999999997</v>
      </c>
      <c r="U59" s="41">
        <f t="shared" si="18"/>
        <v>0</v>
      </c>
      <c r="V59" s="41">
        <f t="shared" si="19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517</v>
      </c>
      <c r="C60" s="6" t="s">
        <v>518</v>
      </c>
      <c r="D60" s="130"/>
      <c r="E60" s="53">
        <v>28</v>
      </c>
      <c r="F60" s="8">
        <v>3.65</v>
      </c>
      <c r="G60" s="9">
        <f t="shared" si="10"/>
        <v>2.52</v>
      </c>
      <c r="H60" s="10">
        <f t="shared" si="11"/>
        <v>102.2</v>
      </c>
      <c r="I60" s="42"/>
      <c r="J60" s="89">
        <f t="shared" si="12"/>
        <v>28</v>
      </c>
      <c r="K60" s="9">
        <f t="shared" si="13"/>
        <v>1.39</v>
      </c>
      <c r="L60" s="9">
        <f t="shared" si="14"/>
        <v>38.92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1.39</v>
      </c>
      <c r="T60" s="14">
        <f t="shared" si="17"/>
        <v>38.92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/>
      <c r="C62" s="6" t="s">
        <v>533</v>
      </c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/>
      <c r="C63" s="4" t="s">
        <v>534</v>
      </c>
      <c r="D63" s="129"/>
      <c r="E63" s="54"/>
      <c r="F63" s="15"/>
      <c r="G63" s="38">
        <f t="shared" si="10"/>
        <v>0</v>
      </c>
      <c r="H63" s="39">
        <f t="shared" si="11"/>
        <v>0</v>
      </c>
      <c r="I63" s="42"/>
      <c r="J63" s="88">
        <f t="shared" si="12"/>
        <v>0</v>
      </c>
      <c r="K63" s="38">
        <f t="shared" si="13"/>
        <v>0</v>
      </c>
      <c r="L63" s="38">
        <f t="shared" si="14"/>
        <v>0</v>
      </c>
      <c r="M63" s="132" t="s">
        <v>120</v>
      </c>
      <c r="N63" s="16"/>
      <c r="O63" s="51"/>
      <c r="P63" s="1"/>
      <c r="Q63" s="15"/>
      <c r="R63" s="40">
        <f t="shared" si="15"/>
        <v>0</v>
      </c>
      <c r="S63" s="52">
        <f t="shared" si="16"/>
        <v>0</v>
      </c>
      <c r="T63" s="52">
        <f t="shared" si="17"/>
        <v>0</v>
      </c>
      <c r="U63" s="41">
        <f t="shared" si="18"/>
        <v>0</v>
      </c>
      <c r="V63" s="41">
        <f t="shared" si="19"/>
        <v>0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/>
      <c r="C67" s="4"/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3">
      <c r="A71" s="57"/>
      <c r="B71" s="75"/>
      <c r="C71" s="75"/>
      <c r="D71" s="131" t="s">
        <v>39</v>
      </c>
      <c r="E71" s="77">
        <f>SUM(E18:E70)</f>
        <v>1175</v>
      </c>
      <c r="F71" s="78">
        <f>SUM(F18:F70)</f>
        <v>36303.310000000012</v>
      </c>
      <c r="G71" s="79">
        <f>SUM(G18:G70)</f>
        <v>25036.76</v>
      </c>
      <c r="H71" s="80">
        <f>SUM(H18:H70)</f>
        <v>104229.27999999998</v>
      </c>
      <c r="I71" s="81"/>
      <c r="J71" s="82">
        <f>SUM(J18:J70)</f>
        <v>1175</v>
      </c>
      <c r="K71" s="79">
        <f>SUM(K18:K70)</f>
        <v>17947.519999999993</v>
      </c>
      <c r="L71" s="80">
        <f>SUM(L18:L70)</f>
        <v>51821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17947.519999999993</v>
      </c>
      <c r="T71" s="80">
        <f>SUM(T18:T70)</f>
        <v>51821</v>
      </c>
      <c r="U71" s="84"/>
      <c r="V71" s="84"/>
      <c r="W71" s="85"/>
      <c r="X71" s="74"/>
    </row>
    <row r="73" spans="1:28" ht="15" customHeight="1" x14ac:dyDescent="0.3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70" xr:uid="{73B66C37-8657-4A08-AFD9-9A413E9AE137}">
      <formula1>$Y$31:$Y$32</formula1>
    </dataValidation>
    <dataValidation type="list" showInputMessage="1" showErrorMessage="1" sqref="D18:D70" xr:uid="{C8C77FF1-F542-4597-A2B1-70D188945379}">
      <formula1>$Z$18:$Z$29</formula1>
    </dataValidation>
    <dataValidation type="list" allowBlank="1" showInputMessage="1" showErrorMessage="1" sqref="I13" xr:uid="{F56E8103-DD7A-4616-A4D1-258F9BBD5A7D}">
      <formula1>$K$9:$K$9</formula1>
    </dataValidation>
    <dataValidation type="list" allowBlank="1" showInputMessage="1" showErrorMessage="1" sqref="H13" xr:uid="{A90A5446-C6F9-4B30-9CBF-71C28AE3C57F}">
      <formula1>$Y$13:$Y$14</formula1>
    </dataValidation>
    <dataValidation type="list" allowBlank="1" showInputMessage="1" showErrorMessage="1" sqref="F17 K17 Q17 Q14" xr:uid="{C2A989E6-CCC0-42D5-8BFF-747F903E678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149-F7A1-47BC-8715-07D73EA7BBE3}">
  <sheetPr>
    <pageSetUpPr fitToPage="1"/>
  </sheetPr>
  <dimension ref="A1:AB83"/>
  <sheetViews>
    <sheetView topLeftCell="A41" zoomScale="85" zoomScaleNormal="85" workbookViewId="0">
      <selection activeCell="N65" sqref="N65:N7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602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H81</f>
        <v>120459.78999999998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L81</f>
        <v>59029.78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61430.00999999998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603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0.50996278509202109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604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T81</f>
        <v>59029.78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605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R81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6882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59029.78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E81</f>
        <v>1333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ref="G60:G80" si="10">ROUND(IF($F$17="USD $", F60*$E$15,F60*$D$15),2)</f>
        <v>110.97</v>
      </c>
      <c r="H60" s="10">
        <f t="shared" ref="H60:H80" si="11">ROUND(IF($H$17=$G$17,E60*G60,E60*F60),2)</f>
        <v>160.9</v>
      </c>
      <c r="I60" s="42"/>
      <c r="J60" s="89">
        <f t="shared" ref="J60:J80" si="12">E60</f>
        <v>1</v>
      </c>
      <c r="K60" s="9">
        <f t="shared" ref="K60:K80" si="13">IFERROR(IF(M60="OEM DISC %",ROUND(IF($K$17=$F$17,F60*(1-N60),G60*(1-N60)),2),IF(M60="MARKUP %",ROUND(R60/J60*(1+N60),2))),0)</f>
        <v>61.14</v>
      </c>
      <c r="L60" s="9">
        <f t="shared" ref="L60:L80" si="14">ROUND((J60*K60),2)</f>
        <v>61.14</v>
      </c>
      <c r="M60" s="8" t="s">
        <v>120</v>
      </c>
      <c r="N60" s="12">
        <v>0.62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61.14</v>
      </c>
      <c r="T60" s="14">
        <f t="shared" ref="T60:T80" si="17">ROUND(L60-R60,2)</f>
        <v>61.14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0"/>
        <v>3.11</v>
      </c>
      <c r="H61" s="39">
        <f t="shared" si="11"/>
        <v>126.28</v>
      </c>
      <c r="I61" s="42"/>
      <c r="J61" s="88">
        <f t="shared" si="12"/>
        <v>28</v>
      </c>
      <c r="K61" s="38">
        <f t="shared" si="13"/>
        <v>1.71</v>
      </c>
      <c r="L61" s="38">
        <f t="shared" si="1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1.71</v>
      </c>
      <c r="T61" s="52">
        <f t="shared" si="17"/>
        <v>47.88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0"/>
        <v>2.46</v>
      </c>
      <c r="H62" s="10">
        <f t="shared" si="11"/>
        <v>99.68</v>
      </c>
      <c r="I62" s="42"/>
      <c r="J62" s="89">
        <f t="shared" si="12"/>
        <v>28</v>
      </c>
      <c r="K62" s="9">
        <f t="shared" si="13"/>
        <v>1.35</v>
      </c>
      <c r="L62" s="9">
        <f t="shared" si="1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1.35</v>
      </c>
      <c r="T62" s="14">
        <f t="shared" si="17"/>
        <v>37.799999999999997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0"/>
        <v>2.52</v>
      </c>
      <c r="H63" s="39">
        <f t="shared" si="11"/>
        <v>102.2</v>
      </c>
      <c r="I63" s="42"/>
      <c r="J63" s="88">
        <f t="shared" si="12"/>
        <v>28</v>
      </c>
      <c r="K63" s="38">
        <f t="shared" si="13"/>
        <v>1.39</v>
      </c>
      <c r="L63" s="38">
        <f t="shared" si="1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1.39</v>
      </c>
      <c r="T63" s="52">
        <f t="shared" si="17"/>
        <v>38.92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0"/>
        <v>1415.9</v>
      </c>
      <c r="H65" s="39">
        <f t="shared" si="11"/>
        <v>6159.18</v>
      </c>
      <c r="I65" s="42"/>
      <c r="J65" s="88">
        <f t="shared" si="12"/>
        <v>3</v>
      </c>
      <c r="K65" s="38">
        <f t="shared" si="13"/>
        <v>780.16</v>
      </c>
      <c r="L65" s="38">
        <f t="shared" si="1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780.16</v>
      </c>
      <c r="T65" s="52">
        <f t="shared" si="17"/>
        <v>2340.48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0"/>
        <v>154.57</v>
      </c>
      <c r="H66" s="10">
        <f t="shared" si="11"/>
        <v>672.36</v>
      </c>
      <c r="I66" s="42"/>
      <c r="J66" s="89">
        <f t="shared" si="12"/>
        <v>3</v>
      </c>
      <c r="K66" s="9">
        <f t="shared" si="13"/>
        <v>85.17</v>
      </c>
      <c r="L66" s="9">
        <f t="shared" si="1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85.17</v>
      </c>
      <c r="T66" s="14">
        <f t="shared" si="17"/>
        <v>255.51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0"/>
        <v>113.72</v>
      </c>
      <c r="H67" s="39">
        <f t="shared" si="11"/>
        <v>494.7</v>
      </c>
      <c r="I67" s="42"/>
      <c r="J67" s="88">
        <f t="shared" si="12"/>
        <v>3</v>
      </c>
      <c r="K67" s="38">
        <f t="shared" si="13"/>
        <v>62.66</v>
      </c>
      <c r="L67" s="38">
        <f t="shared" si="1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62.66</v>
      </c>
      <c r="T67" s="52">
        <f t="shared" si="17"/>
        <v>187.98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0"/>
        <v>8.94</v>
      </c>
      <c r="H68" s="10">
        <f t="shared" si="11"/>
        <v>38.880000000000003</v>
      </c>
      <c r="I68" s="42"/>
      <c r="J68" s="89">
        <f t="shared" si="12"/>
        <v>3</v>
      </c>
      <c r="K68" s="9">
        <f t="shared" si="13"/>
        <v>4.92</v>
      </c>
      <c r="L68" s="9">
        <f t="shared" si="1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15"/>
        <v>0</v>
      </c>
      <c r="S68" s="14">
        <f t="shared" si="16"/>
        <v>4.92</v>
      </c>
      <c r="T68" s="14">
        <f t="shared" si="17"/>
        <v>14.76</v>
      </c>
      <c r="U68" s="29">
        <f t="shared" si="18"/>
        <v>0</v>
      </c>
      <c r="V68" s="29">
        <f t="shared" si="19"/>
        <v>1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0"/>
        <v>15.44</v>
      </c>
      <c r="H69" s="39">
        <f t="shared" si="11"/>
        <v>67.17</v>
      </c>
      <c r="I69" s="42"/>
      <c r="J69" s="88">
        <f t="shared" si="12"/>
        <v>3</v>
      </c>
      <c r="K69" s="38">
        <f t="shared" si="13"/>
        <v>8.51</v>
      </c>
      <c r="L69" s="38">
        <f t="shared" si="1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8.51</v>
      </c>
      <c r="T69" s="52">
        <f t="shared" si="17"/>
        <v>25.53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0"/>
        <v>5.29</v>
      </c>
      <c r="H70" s="10">
        <f t="shared" si="11"/>
        <v>46.02</v>
      </c>
      <c r="I70" s="42"/>
      <c r="J70" s="89">
        <f t="shared" si="12"/>
        <v>6</v>
      </c>
      <c r="K70" s="9">
        <f t="shared" si="13"/>
        <v>2.91</v>
      </c>
      <c r="L70" s="9">
        <f t="shared" si="1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2.91</v>
      </c>
      <c r="T70" s="14">
        <f t="shared" si="17"/>
        <v>17.46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3">
      <c r="A71" s="55"/>
      <c r="B71" s="1"/>
      <c r="C71" s="4"/>
      <c r="D71" s="129"/>
      <c r="E71" s="54"/>
      <c r="F71" s="15"/>
      <c r="G71" s="38">
        <f t="shared" si="10"/>
        <v>0</v>
      </c>
      <c r="H71" s="39">
        <f t="shared" si="11"/>
        <v>0</v>
      </c>
      <c r="I71" s="42"/>
      <c r="J71" s="88">
        <f t="shared" si="12"/>
        <v>0</v>
      </c>
      <c r="K71" s="38">
        <f t="shared" si="13"/>
        <v>0</v>
      </c>
      <c r="L71" s="38">
        <f t="shared" si="14"/>
        <v>0</v>
      </c>
      <c r="M71" s="132" t="s">
        <v>120</v>
      </c>
      <c r="N71" s="16"/>
      <c r="O71" s="51"/>
      <c r="P71" s="1"/>
      <c r="Q71" s="15"/>
      <c r="R71" s="40">
        <f t="shared" si="15"/>
        <v>0</v>
      </c>
      <c r="S71" s="52">
        <f t="shared" si="16"/>
        <v>0</v>
      </c>
      <c r="T71" s="52">
        <f t="shared" si="17"/>
        <v>0</v>
      </c>
      <c r="U71" s="41">
        <f t="shared" si="18"/>
        <v>0</v>
      </c>
      <c r="V71" s="41">
        <f t="shared" si="19"/>
        <v>0</v>
      </c>
      <c r="W71" s="28"/>
      <c r="X71" s="50"/>
      <c r="Y71" s="61"/>
      <c r="Z71" s="61"/>
      <c r="AA71" s="61"/>
      <c r="AB71" s="61"/>
    </row>
    <row r="72" spans="1:28" x14ac:dyDescent="0.3">
      <c r="A72" s="55"/>
      <c r="B72" s="2"/>
      <c r="C72" s="6" t="s">
        <v>533</v>
      </c>
      <c r="D72" s="130"/>
      <c r="E72" s="53"/>
      <c r="F72" s="8"/>
      <c r="G72" s="9">
        <f t="shared" si="10"/>
        <v>0</v>
      </c>
      <c r="H72" s="10">
        <f t="shared" si="11"/>
        <v>0</v>
      </c>
      <c r="I72" s="42"/>
      <c r="J72" s="89">
        <f t="shared" si="12"/>
        <v>0</v>
      </c>
      <c r="K72" s="9">
        <f t="shared" si="13"/>
        <v>0</v>
      </c>
      <c r="L72" s="9">
        <f t="shared" si="14"/>
        <v>0</v>
      </c>
      <c r="M72" s="8" t="s">
        <v>120</v>
      </c>
      <c r="N72" s="12"/>
      <c r="O72" s="51"/>
      <c r="P72" s="3"/>
      <c r="Q72" s="13"/>
      <c r="R72" s="14">
        <f t="shared" si="15"/>
        <v>0</v>
      </c>
      <c r="S72" s="14">
        <f t="shared" si="16"/>
        <v>0</v>
      </c>
      <c r="T72" s="14">
        <f t="shared" si="17"/>
        <v>0</v>
      </c>
      <c r="U72" s="29">
        <f t="shared" si="18"/>
        <v>0</v>
      </c>
      <c r="V72" s="29">
        <f t="shared" si="19"/>
        <v>0</v>
      </c>
      <c r="W72" s="28"/>
      <c r="X72" s="50"/>
      <c r="Y72" s="61"/>
      <c r="Z72" s="61"/>
      <c r="AA72" s="61"/>
      <c r="AB72" s="61"/>
    </row>
    <row r="73" spans="1:28" x14ac:dyDescent="0.3">
      <c r="A73" s="55"/>
      <c r="B73" s="1"/>
      <c r="C73" s="4" t="s">
        <v>534</v>
      </c>
      <c r="D73" s="129"/>
      <c r="E73" s="54"/>
      <c r="F73" s="15"/>
      <c r="G73" s="38">
        <f t="shared" si="10"/>
        <v>0</v>
      </c>
      <c r="H73" s="39">
        <f t="shared" si="11"/>
        <v>0</v>
      </c>
      <c r="I73" s="42"/>
      <c r="J73" s="88">
        <f t="shared" si="12"/>
        <v>0</v>
      </c>
      <c r="K73" s="38">
        <f t="shared" si="13"/>
        <v>0</v>
      </c>
      <c r="L73" s="38">
        <f t="shared" si="14"/>
        <v>0</v>
      </c>
      <c r="M73" s="132" t="s">
        <v>120</v>
      </c>
      <c r="N73" s="16"/>
      <c r="O73" s="51"/>
      <c r="P73" s="1"/>
      <c r="Q73" s="15"/>
      <c r="R73" s="40">
        <f t="shared" si="15"/>
        <v>0</v>
      </c>
      <c r="S73" s="52">
        <f t="shared" si="16"/>
        <v>0</v>
      </c>
      <c r="T73" s="52">
        <f t="shared" si="17"/>
        <v>0</v>
      </c>
      <c r="U73" s="41">
        <f t="shared" si="18"/>
        <v>0</v>
      </c>
      <c r="V73" s="41">
        <f t="shared" si="19"/>
        <v>0</v>
      </c>
      <c r="W73" s="28"/>
      <c r="X73" s="50"/>
      <c r="Y73" s="61"/>
      <c r="Z73" s="61"/>
      <c r="AA73" s="61"/>
      <c r="AB73" s="61"/>
    </row>
    <row r="74" spans="1:28" x14ac:dyDescent="0.3">
      <c r="A74" s="55"/>
      <c r="B74" s="2"/>
      <c r="C74" s="6"/>
      <c r="D74" s="130"/>
      <c r="E74" s="53"/>
      <c r="F74" s="8"/>
      <c r="G74" s="9">
        <f t="shared" si="10"/>
        <v>0</v>
      </c>
      <c r="H74" s="10">
        <f t="shared" si="11"/>
        <v>0</v>
      </c>
      <c r="I74" s="42"/>
      <c r="J74" s="89">
        <f t="shared" si="12"/>
        <v>0</v>
      </c>
      <c r="K74" s="9">
        <f t="shared" si="13"/>
        <v>0</v>
      </c>
      <c r="L74" s="9">
        <f t="shared" si="14"/>
        <v>0</v>
      </c>
      <c r="M74" s="8" t="s">
        <v>120</v>
      </c>
      <c r="N74" s="12"/>
      <c r="O74" s="51"/>
      <c r="P74" s="3"/>
      <c r="Q74" s="13"/>
      <c r="R74" s="14">
        <f t="shared" si="15"/>
        <v>0</v>
      </c>
      <c r="S74" s="14">
        <f t="shared" si="16"/>
        <v>0</v>
      </c>
      <c r="T74" s="14">
        <f t="shared" si="17"/>
        <v>0</v>
      </c>
      <c r="U74" s="29">
        <f t="shared" si="18"/>
        <v>0</v>
      </c>
      <c r="V74" s="29">
        <f t="shared" si="19"/>
        <v>0</v>
      </c>
      <c r="W74" s="28"/>
      <c r="X74" s="50"/>
      <c r="Y74" s="61"/>
      <c r="Z74" s="61"/>
      <c r="AA74" s="61"/>
      <c r="AB74" s="61"/>
    </row>
    <row r="75" spans="1:28" x14ac:dyDescent="0.3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3">
      <c r="A76" s="55"/>
      <c r="B76" s="2"/>
      <c r="C76" s="6"/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3">
      <c r="A77" s="55"/>
      <c r="B77" s="1"/>
      <c r="C77" s="4"/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3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3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3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3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3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M18:M80" xr:uid="{6091344F-EA14-4F51-B924-8DB2D7E9FC33}">
      <formula1>$Y$31:$Y$32</formula1>
    </dataValidation>
    <dataValidation type="list" showInputMessage="1" showErrorMessage="1" sqref="D18:D80" xr:uid="{9F540BC2-F08E-40C6-9FDE-2C650856EC3F}">
      <formula1>$Z$18:$Z$29</formula1>
    </dataValidation>
    <dataValidation type="list" allowBlank="1" showInputMessage="1" showErrorMessage="1" sqref="I13" xr:uid="{30FBEC78-6251-4D3C-9D57-2CF6C371ED9D}">
      <formula1>$K$9:$K$9</formula1>
    </dataValidation>
    <dataValidation type="list" allowBlank="1" showInputMessage="1" showErrorMessage="1" sqref="H13" xr:uid="{F2242707-C9AC-47F7-B5FD-2D1D19E1961D}">
      <formula1>$Y$13:$Y$14</formula1>
    </dataValidation>
    <dataValidation type="list" allowBlank="1" showInputMessage="1" showErrorMessage="1" sqref="F17 K17 Q17 Q14" xr:uid="{6AD84A90-4A03-4E4E-99EB-DA3333D965E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BAE-E3C4-421B-ADB2-F6CB1F69D2AB}">
  <sheetPr>
    <pageSetUpPr fitToPage="1"/>
  </sheetPr>
  <dimension ref="A1:AB83"/>
  <sheetViews>
    <sheetView zoomScale="85" zoomScaleNormal="85" workbookViewId="0">
      <selection activeCell="F9" sqref="F9:G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783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H81</f>
        <v>120459.78999999998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L81</f>
        <v>59029.78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61430.00999999998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603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0.50996278509202109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784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T81</f>
        <v>59029.78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605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R81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7990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59029.78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E81</f>
        <v>1333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si="1"/>
        <v>110.97</v>
      </c>
      <c r="H60" s="10">
        <f t="shared" si="2"/>
        <v>160.9</v>
      </c>
      <c r="I60" s="42"/>
      <c r="J60" s="89">
        <f t="shared" si="0"/>
        <v>1</v>
      </c>
      <c r="K60" s="9">
        <f t="shared" si="3"/>
        <v>61.14</v>
      </c>
      <c r="L60" s="9">
        <f t="shared" si="4"/>
        <v>61.14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61.14</v>
      </c>
      <c r="T60" s="14">
        <f t="shared" si="6"/>
        <v>61.14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"/>
        <v>3.11</v>
      </c>
      <c r="H61" s="39">
        <f t="shared" si="2"/>
        <v>126.28</v>
      </c>
      <c r="I61" s="42"/>
      <c r="J61" s="88">
        <f t="shared" si="0"/>
        <v>28</v>
      </c>
      <c r="K61" s="38">
        <f t="shared" si="3"/>
        <v>1.71</v>
      </c>
      <c r="L61" s="38">
        <f t="shared" si="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9"/>
        <v>0</v>
      </c>
      <c r="S61" s="52">
        <f t="shared" si="5"/>
        <v>1.71</v>
      </c>
      <c r="T61" s="52">
        <f t="shared" si="6"/>
        <v>47.88</v>
      </c>
      <c r="U61" s="41">
        <f t="shared" si="7"/>
        <v>0</v>
      </c>
      <c r="V61" s="41">
        <f t="shared" si="8"/>
        <v>1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"/>
        <v>2.46</v>
      </c>
      <c r="H62" s="10">
        <f t="shared" si="2"/>
        <v>99.68</v>
      </c>
      <c r="I62" s="42"/>
      <c r="J62" s="89">
        <f t="shared" si="0"/>
        <v>28</v>
      </c>
      <c r="K62" s="9">
        <f t="shared" si="3"/>
        <v>1.35</v>
      </c>
      <c r="L62" s="9">
        <f t="shared" si="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1.35</v>
      </c>
      <c r="T62" s="14">
        <f t="shared" si="6"/>
        <v>37.799999999999997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"/>
        <v>2.52</v>
      </c>
      <c r="H63" s="39">
        <f t="shared" si="2"/>
        <v>102.2</v>
      </c>
      <c r="I63" s="42"/>
      <c r="J63" s="88">
        <f t="shared" si="0"/>
        <v>28</v>
      </c>
      <c r="K63" s="38">
        <f t="shared" si="3"/>
        <v>1.39</v>
      </c>
      <c r="L63" s="38">
        <f t="shared" si="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1.39</v>
      </c>
      <c r="T63" s="52">
        <f t="shared" si="6"/>
        <v>38.92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/>
      <c r="C64" s="6"/>
      <c r="D64" s="130"/>
      <c r="E64" s="53"/>
      <c r="F64" s="8"/>
      <c r="G64" s="9">
        <f t="shared" si="1"/>
        <v>0</v>
      </c>
      <c r="H64" s="10">
        <f t="shared" si="2"/>
        <v>0</v>
      </c>
      <c r="I64" s="42"/>
      <c r="J64" s="89">
        <f t="shared" si="0"/>
        <v>0</v>
      </c>
      <c r="K64" s="9">
        <f t="shared" si="3"/>
        <v>0</v>
      </c>
      <c r="L64" s="9">
        <f t="shared" si="4"/>
        <v>0</v>
      </c>
      <c r="M64" s="8" t="s">
        <v>120</v>
      </c>
      <c r="N64" s="12"/>
      <c r="O64" s="51"/>
      <c r="P64" s="3"/>
      <c r="Q64" s="13"/>
      <c r="R64" s="14">
        <f t="shared" si="9"/>
        <v>0</v>
      </c>
      <c r="S64" s="14">
        <f t="shared" si="5"/>
        <v>0</v>
      </c>
      <c r="T64" s="14">
        <f t="shared" si="6"/>
        <v>0</v>
      </c>
      <c r="U64" s="29">
        <f t="shared" si="7"/>
        <v>0</v>
      </c>
      <c r="V64" s="29">
        <f t="shared" si="8"/>
        <v>0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"/>
        <v>1415.9</v>
      </c>
      <c r="H65" s="39">
        <f t="shared" si="2"/>
        <v>6159.18</v>
      </c>
      <c r="I65" s="42"/>
      <c r="J65" s="88">
        <f t="shared" si="0"/>
        <v>3</v>
      </c>
      <c r="K65" s="38">
        <f t="shared" si="3"/>
        <v>780.16</v>
      </c>
      <c r="L65" s="38">
        <f t="shared" si="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780.16</v>
      </c>
      <c r="T65" s="52">
        <f t="shared" si="6"/>
        <v>2340.48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"/>
        <v>154.57</v>
      </c>
      <c r="H66" s="10">
        <f t="shared" si="2"/>
        <v>672.36</v>
      </c>
      <c r="I66" s="42"/>
      <c r="J66" s="89">
        <f t="shared" si="0"/>
        <v>3</v>
      </c>
      <c r="K66" s="9">
        <f t="shared" si="3"/>
        <v>85.17</v>
      </c>
      <c r="L66" s="9">
        <f t="shared" si="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85.17</v>
      </c>
      <c r="T66" s="14">
        <f t="shared" si="6"/>
        <v>255.51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"/>
        <v>113.72</v>
      </c>
      <c r="H67" s="39">
        <f t="shared" si="2"/>
        <v>494.7</v>
      </c>
      <c r="I67" s="42"/>
      <c r="J67" s="88">
        <f t="shared" si="0"/>
        <v>3</v>
      </c>
      <c r="K67" s="38">
        <f t="shared" si="3"/>
        <v>62.66</v>
      </c>
      <c r="L67" s="38">
        <f t="shared" si="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62.66</v>
      </c>
      <c r="T67" s="52">
        <f t="shared" si="6"/>
        <v>187.98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"/>
        <v>8.94</v>
      </c>
      <c r="H68" s="10">
        <f t="shared" si="2"/>
        <v>38.880000000000003</v>
      </c>
      <c r="I68" s="42"/>
      <c r="J68" s="89">
        <f t="shared" si="0"/>
        <v>3</v>
      </c>
      <c r="K68" s="9">
        <f t="shared" si="3"/>
        <v>4.92</v>
      </c>
      <c r="L68" s="9">
        <f t="shared" si="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9"/>
        <v>0</v>
      </c>
      <c r="S68" s="14">
        <f t="shared" si="5"/>
        <v>4.92</v>
      </c>
      <c r="T68" s="14">
        <f t="shared" si="6"/>
        <v>14.76</v>
      </c>
      <c r="U68" s="29">
        <f t="shared" si="7"/>
        <v>0</v>
      </c>
      <c r="V68" s="29">
        <f t="shared" si="8"/>
        <v>1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"/>
        <v>15.44</v>
      </c>
      <c r="H69" s="39">
        <f t="shared" si="2"/>
        <v>67.17</v>
      </c>
      <c r="I69" s="42"/>
      <c r="J69" s="88">
        <f t="shared" si="0"/>
        <v>3</v>
      </c>
      <c r="K69" s="38">
        <f t="shared" si="3"/>
        <v>8.51</v>
      </c>
      <c r="L69" s="38">
        <f t="shared" si="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8.51</v>
      </c>
      <c r="T69" s="52">
        <f t="shared" si="6"/>
        <v>25.53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"/>
        <v>5.29</v>
      </c>
      <c r="H70" s="10">
        <f t="shared" si="2"/>
        <v>46.02</v>
      </c>
      <c r="I70" s="42"/>
      <c r="J70" s="89">
        <f t="shared" si="0"/>
        <v>6</v>
      </c>
      <c r="K70" s="9">
        <f t="shared" si="3"/>
        <v>2.91</v>
      </c>
      <c r="L70" s="9">
        <f t="shared" si="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2.91</v>
      </c>
      <c r="T70" s="14">
        <f t="shared" si="6"/>
        <v>17.46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3">
      <c r="A71" s="55"/>
      <c r="B71" s="1"/>
      <c r="C71" s="4"/>
      <c r="D71" s="129"/>
      <c r="E71" s="54"/>
      <c r="F71" s="15"/>
      <c r="G71" s="38">
        <f t="shared" si="1"/>
        <v>0</v>
      </c>
      <c r="H71" s="39">
        <f t="shared" si="2"/>
        <v>0</v>
      </c>
      <c r="I71" s="42"/>
      <c r="J71" s="88">
        <f t="shared" si="0"/>
        <v>0</v>
      </c>
      <c r="K71" s="38">
        <f t="shared" si="3"/>
        <v>0</v>
      </c>
      <c r="L71" s="38">
        <f t="shared" si="4"/>
        <v>0</v>
      </c>
      <c r="M71" s="132" t="s">
        <v>120</v>
      </c>
      <c r="N71" s="16"/>
      <c r="O71" s="51"/>
      <c r="P71" s="1"/>
      <c r="Q71" s="15"/>
      <c r="R71" s="40">
        <f t="shared" si="9"/>
        <v>0</v>
      </c>
      <c r="S71" s="52">
        <f t="shared" si="5"/>
        <v>0</v>
      </c>
      <c r="T71" s="52">
        <f t="shared" si="6"/>
        <v>0</v>
      </c>
      <c r="U71" s="41">
        <f t="shared" si="7"/>
        <v>0</v>
      </c>
      <c r="V71" s="41">
        <f t="shared" si="8"/>
        <v>0</v>
      </c>
      <c r="W71" s="28"/>
      <c r="X71" s="50"/>
      <c r="Y71" s="61"/>
      <c r="Z71" s="61"/>
      <c r="AA71" s="61"/>
      <c r="AB71" s="61"/>
    </row>
    <row r="72" spans="1:28" x14ac:dyDescent="0.3">
      <c r="A72" s="55"/>
      <c r="B72" s="2"/>
      <c r="C72" s="6" t="s">
        <v>533</v>
      </c>
      <c r="D72" s="130"/>
      <c r="E72" s="53"/>
      <c r="F72" s="8"/>
      <c r="G72" s="9">
        <f t="shared" si="1"/>
        <v>0</v>
      </c>
      <c r="H72" s="10">
        <f t="shared" si="2"/>
        <v>0</v>
      </c>
      <c r="I72" s="42"/>
      <c r="J72" s="89">
        <f t="shared" si="0"/>
        <v>0</v>
      </c>
      <c r="K72" s="9">
        <f t="shared" si="3"/>
        <v>0</v>
      </c>
      <c r="L72" s="9">
        <f t="shared" si="4"/>
        <v>0</v>
      </c>
      <c r="M72" s="8" t="s">
        <v>120</v>
      </c>
      <c r="N72" s="12"/>
      <c r="O72" s="51"/>
      <c r="P72" s="3"/>
      <c r="Q72" s="13"/>
      <c r="R72" s="14">
        <f t="shared" si="9"/>
        <v>0</v>
      </c>
      <c r="S72" s="14">
        <f t="shared" si="5"/>
        <v>0</v>
      </c>
      <c r="T72" s="14">
        <f t="shared" si="6"/>
        <v>0</v>
      </c>
      <c r="U72" s="29">
        <f t="shared" si="7"/>
        <v>0</v>
      </c>
      <c r="V72" s="29">
        <f t="shared" si="8"/>
        <v>0</v>
      </c>
      <c r="W72" s="28"/>
      <c r="X72" s="50"/>
      <c r="Y72" s="61"/>
      <c r="Z72" s="61"/>
      <c r="AA72" s="61"/>
      <c r="AB72" s="61"/>
    </row>
    <row r="73" spans="1:28" x14ac:dyDescent="0.3">
      <c r="A73" s="55"/>
      <c r="B73" s="1"/>
      <c r="C73" s="4" t="s">
        <v>534</v>
      </c>
      <c r="D73" s="129"/>
      <c r="E73" s="54"/>
      <c r="F73" s="15"/>
      <c r="G73" s="38">
        <f t="shared" si="1"/>
        <v>0</v>
      </c>
      <c r="H73" s="39">
        <f t="shared" si="2"/>
        <v>0</v>
      </c>
      <c r="I73" s="42"/>
      <c r="J73" s="88">
        <f t="shared" si="0"/>
        <v>0</v>
      </c>
      <c r="K73" s="38">
        <f t="shared" si="3"/>
        <v>0</v>
      </c>
      <c r="L73" s="38">
        <f t="shared" si="4"/>
        <v>0</v>
      </c>
      <c r="M73" s="132" t="s">
        <v>120</v>
      </c>
      <c r="N73" s="16"/>
      <c r="O73" s="51"/>
      <c r="P73" s="1"/>
      <c r="Q73" s="15"/>
      <c r="R73" s="40">
        <f t="shared" si="9"/>
        <v>0</v>
      </c>
      <c r="S73" s="52">
        <f t="shared" si="5"/>
        <v>0</v>
      </c>
      <c r="T73" s="52">
        <f t="shared" si="6"/>
        <v>0</v>
      </c>
      <c r="U73" s="41">
        <f t="shared" si="7"/>
        <v>0</v>
      </c>
      <c r="V73" s="41">
        <f t="shared" si="8"/>
        <v>0</v>
      </c>
      <c r="W73" s="28"/>
      <c r="X73" s="50"/>
      <c r="Y73" s="61"/>
      <c r="Z73" s="61"/>
      <c r="AA73" s="61"/>
      <c r="AB73" s="61"/>
    </row>
    <row r="74" spans="1:28" x14ac:dyDescent="0.3">
      <c r="A74" s="55"/>
      <c r="B74" s="2"/>
      <c r="C74" s="6"/>
      <c r="D74" s="130"/>
      <c r="E74" s="53"/>
      <c r="F74" s="8"/>
      <c r="G74" s="9">
        <f t="shared" si="1"/>
        <v>0</v>
      </c>
      <c r="H74" s="10">
        <f t="shared" si="2"/>
        <v>0</v>
      </c>
      <c r="I74" s="42"/>
      <c r="J74" s="89">
        <f t="shared" si="0"/>
        <v>0</v>
      </c>
      <c r="K74" s="9">
        <f t="shared" si="3"/>
        <v>0</v>
      </c>
      <c r="L74" s="9">
        <f t="shared" si="4"/>
        <v>0</v>
      </c>
      <c r="M74" s="8" t="s">
        <v>120</v>
      </c>
      <c r="N74" s="12"/>
      <c r="O74" s="51"/>
      <c r="P74" s="3"/>
      <c r="Q74" s="13"/>
      <c r="R74" s="14">
        <f t="shared" si="9"/>
        <v>0</v>
      </c>
      <c r="S74" s="14">
        <f t="shared" si="5"/>
        <v>0</v>
      </c>
      <c r="T74" s="14">
        <f t="shared" si="6"/>
        <v>0</v>
      </c>
      <c r="U74" s="29">
        <f t="shared" si="7"/>
        <v>0</v>
      </c>
      <c r="V74" s="29">
        <f t="shared" si="8"/>
        <v>0</v>
      </c>
      <c r="W74" s="28"/>
      <c r="X74" s="50"/>
      <c r="Y74" s="61"/>
      <c r="Z74" s="61"/>
      <c r="AA74" s="61"/>
      <c r="AB74" s="61"/>
    </row>
    <row r="75" spans="1:28" x14ac:dyDescent="0.3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3">
      <c r="A76" s="55"/>
      <c r="B76" s="2"/>
      <c r="C76" s="6"/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3">
      <c r="A77" s="55"/>
      <c r="B77" s="1"/>
      <c r="C77" s="4"/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3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3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3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3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3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8FA92116-8CB1-416A-AA19-1230FAC20777}">
      <formula1>$Y$11:$Y$12</formula1>
    </dataValidation>
    <dataValidation type="list" allowBlank="1" showInputMessage="1" showErrorMessage="1" sqref="H13" xr:uid="{5EFA78FB-5976-4EDD-82C8-D61B7A140070}">
      <formula1>$Y$13:$Y$14</formula1>
    </dataValidation>
    <dataValidation type="list" allowBlank="1" showInputMessage="1" showErrorMessage="1" sqref="I13" xr:uid="{83F91ABD-6A39-4ED3-B293-D18999289F24}">
      <formula1>$K$9:$K$9</formula1>
    </dataValidation>
    <dataValidation type="list" showInputMessage="1" showErrorMessage="1" sqref="D18:D80" xr:uid="{4AC08955-4195-4858-A514-62D44C3E5708}">
      <formula1>$Z$18:$Z$29</formula1>
    </dataValidation>
    <dataValidation type="list" allowBlank="1" showInputMessage="1" showErrorMessage="1" sqref="M18:M80" xr:uid="{6AAB5726-FFAA-420E-A3AE-9405EBD6A19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442-3E41-45B9-8CAD-0B89BE5107F7}">
  <sheetPr>
    <pageSetUpPr fitToPage="1"/>
  </sheetPr>
  <dimension ref="A1:AB83"/>
  <sheetViews>
    <sheetView zoomScale="85" zoomScaleNormal="85" workbookViewId="0">
      <selection activeCell="H70" sqref="H7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640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H81</f>
        <v>103215.44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2018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L81</f>
        <v>50416.290000000008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52799.149999999994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383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0.5115431373445678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641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T81</f>
        <v>50416.290000000008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642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R81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5666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50416.290000000008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E81</f>
        <v>1372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ref="G60:G80" si="10">ROUND(IF($F$17="USD $", F60*$E$15,F60*$D$15),2)</f>
        <v>6.37</v>
      </c>
      <c r="H60" s="10">
        <f t="shared" ref="H60:H80" si="11">ROUND(IF($H$17=$G$17,E60*G60,E60*F60),2)</f>
        <v>36.92</v>
      </c>
      <c r="I60" s="42"/>
      <c r="J60" s="89">
        <f t="shared" ref="J60:J80" si="12">E60</f>
        <v>4</v>
      </c>
      <c r="K60" s="9">
        <f t="shared" ref="K60:K80" si="13">IFERROR(IF(M60="OEM DISC %",ROUND(IF($K$17=$F$17,F60*(1-N60),G60*(1-N60)),2),IF(M60="MARKUP %",ROUND(R60/J60*(1+N60),2))),0)</f>
        <v>4.62</v>
      </c>
      <c r="L60" s="9">
        <f t="shared" ref="L60:L80" si="14">ROUND((J60*K60),2)</f>
        <v>18.48</v>
      </c>
      <c r="M60" s="8" t="s">
        <v>120</v>
      </c>
      <c r="N60" s="12">
        <v>0.5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4.62</v>
      </c>
      <c r="T60" s="14">
        <f t="shared" ref="T60:T80" si="17">ROUND(L60-R60,2)</f>
        <v>18.48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0"/>
        <v>300.23</v>
      </c>
      <c r="H62" s="10">
        <f t="shared" si="11"/>
        <v>870.66</v>
      </c>
      <c r="I62" s="42"/>
      <c r="J62" s="89">
        <f t="shared" si="12"/>
        <v>2</v>
      </c>
      <c r="K62" s="9">
        <f t="shared" si="13"/>
        <v>165.43</v>
      </c>
      <c r="L62" s="9">
        <f t="shared" si="1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165.43</v>
      </c>
      <c r="T62" s="14">
        <f t="shared" si="17"/>
        <v>330.86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0"/>
        <v>110.97</v>
      </c>
      <c r="H63" s="39">
        <f t="shared" si="11"/>
        <v>160.9</v>
      </c>
      <c r="I63" s="42"/>
      <c r="J63" s="88">
        <f t="shared" si="12"/>
        <v>1</v>
      </c>
      <c r="K63" s="38">
        <f t="shared" si="13"/>
        <v>61.14</v>
      </c>
      <c r="L63" s="38">
        <f t="shared" si="1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61.14</v>
      </c>
      <c r="T63" s="52">
        <f t="shared" si="17"/>
        <v>61.14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0"/>
        <v>110.97</v>
      </c>
      <c r="H64" s="10">
        <f t="shared" si="11"/>
        <v>160.9</v>
      </c>
      <c r="I64" s="42"/>
      <c r="J64" s="89">
        <f t="shared" si="12"/>
        <v>1</v>
      </c>
      <c r="K64" s="9">
        <f t="shared" si="13"/>
        <v>61.14</v>
      </c>
      <c r="L64" s="9">
        <f t="shared" si="1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61.14</v>
      </c>
      <c r="T64" s="14">
        <f t="shared" si="17"/>
        <v>61.14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0"/>
        <v>3.11</v>
      </c>
      <c r="H65" s="39">
        <f t="shared" si="11"/>
        <v>126.28</v>
      </c>
      <c r="I65" s="42"/>
      <c r="J65" s="88">
        <f t="shared" si="12"/>
        <v>28</v>
      </c>
      <c r="K65" s="38">
        <f t="shared" si="13"/>
        <v>1.71</v>
      </c>
      <c r="L65" s="38">
        <f t="shared" si="1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1.71</v>
      </c>
      <c r="T65" s="52">
        <f t="shared" si="17"/>
        <v>47.88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0"/>
        <v>2.46</v>
      </c>
      <c r="H66" s="10">
        <f t="shared" si="11"/>
        <v>99.68</v>
      </c>
      <c r="I66" s="42"/>
      <c r="J66" s="89">
        <f t="shared" si="12"/>
        <v>28</v>
      </c>
      <c r="K66" s="9">
        <f t="shared" si="13"/>
        <v>1.35</v>
      </c>
      <c r="L66" s="9">
        <f t="shared" si="1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1.35</v>
      </c>
      <c r="T66" s="14">
        <f t="shared" si="17"/>
        <v>37.799999999999997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0"/>
        <v>2.52</v>
      </c>
      <c r="H67" s="39">
        <f t="shared" si="11"/>
        <v>102.2</v>
      </c>
      <c r="I67" s="42"/>
      <c r="J67" s="88">
        <f t="shared" si="12"/>
        <v>28</v>
      </c>
      <c r="K67" s="38">
        <f t="shared" si="13"/>
        <v>1.39</v>
      </c>
      <c r="L67" s="38">
        <f t="shared" si="1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1.39</v>
      </c>
      <c r="T67" s="52">
        <f t="shared" si="17"/>
        <v>38.92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0"/>
        <v>1415.9</v>
      </c>
      <c r="H69" s="39">
        <f t="shared" si="11"/>
        <v>6159.18</v>
      </c>
      <c r="I69" s="42"/>
      <c r="J69" s="88">
        <f t="shared" si="12"/>
        <v>3</v>
      </c>
      <c r="K69" s="38">
        <f t="shared" si="13"/>
        <v>780.16</v>
      </c>
      <c r="L69" s="38">
        <f t="shared" si="1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780.16</v>
      </c>
      <c r="T69" s="52">
        <f t="shared" si="17"/>
        <v>2340.48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0"/>
        <v>154.57</v>
      </c>
      <c r="H70" s="10">
        <f t="shared" si="11"/>
        <v>672.36</v>
      </c>
      <c r="I70" s="42"/>
      <c r="J70" s="89">
        <f t="shared" si="12"/>
        <v>3</v>
      </c>
      <c r="K70" s="9">
        <f t="shared" si="13"/>
        <v>85.17</v>
      </c>
      <c r="L70" s="9">
        <f t="shared" si="1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85.17</v>
      </c>
      <c r="T70" s="14">
        <f t="shared" si="17"/>
        <v>255.51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3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0"/>
        <v>113.72</v>
      </c>
      <c r="H71" s="39">
        <f t="shared" si="11"/>
        <v>494.7</v>
      </c>
      <c r="I71" s="42"/>
      <c r="J71" s="88">
        <f t="shared" si="12"/>
        <v>3</v>
      </c>
      <c r="K71" s="38">
        <f t="shared" si="13"/>
        <v>62.66</v>
      </c>
      <c r="L71" s="38">
        <f t="shared" si="1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15"/>
        <v>0</v>
      </c>
      <c r="S71" s="52">
        <f t="shared" si="16"/>
        <v>62.66</v>
      </c>
      <c r="T71" s="52">
        <f t="shared" si="17"/>
        <v>187.98</v>
      </c>
      <c r="U71" s="41">
        <f t="shared" si="18"/>
        <v>0</v>
      </c>
      <c r="V71" s="41">
        <f t="shared" si="19"/>
        <v>1</v>
      </c>
      <c r="W71" s="28"/>
      <c r="X71" s="50"/>
      <c r="Y71" s="61"/>
      <c r="Z71" s="61"/>
      <c r="AA71" s="61"/>
      <c r="AB71" s="61"/>
    </row>
    <row r="72" spans="1:28" x14ac:dyDescent="0.3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0"/>
        <v>8.94</v>
      </c>
      <c r="H72" s="10">
        <f t="shared" si="11"/>
        <v>38.880000000000003</v>
      </c>
      <c r="I72" s="42"/>
      <c r="J72" s="89">
        <f t="shared" si="12"/>
        <v>3</v>
      </c>
      <c r="K72" s="9">
        <f t="shared" si="13"/>
        <v>4.92</v>
      </c>
      <c r="L72" s="9">
        <f t="shared" si="1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15"/>
        <v>0</v>
      </c>
      <c r="S72" s="14">
        <f t="shared" si="16"/>
        <v>4.92</v>
      </c>
      <c r="T72" s="14">
        <f t="shared" si="17"/>
        <v>14.76</v>
      </c>
      <c r="U72" s="29">
        <f t="shared" si="18"/>
        <v>0</v>
      </c>
      <c r="V72" s="29">
        <f t="shared" si="19"/>
        <v>1</v>
      </c>
      <c r="W72" s="28"/>
      <c r="X72" s="50"/>
      <c r="Y72" s="61"/>
      <c r="Z72" s="61"/>
      <c r="AA72" s="61"/>
      <c r="AB72" s="61"/>
    </row>
    <row r="73" spans="1:28" x14ac:dyDescent="0.3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0"/>
        <v>15.44</v>
      </c>
      <c r="H73" s="39">
        <f t="shared" si="11"/>
        <v>67.17</v>
      </c>
      <c r="I73" s="42"/>
      <c r="J73" s="88">
        <f t="shared" si="12"/>
        <v>3</v>
      </c>
      <c r="K73" s="38">
        <f t="shared" si="13"/>
        <v>8.51</v>
      </c>
      <c r="L73" s="38">
        <f t="shared" si="1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15"/>
        <v>0</v>
      </c>
      <c r="S73" s="52">
        <f t="shared" si="16"/>
        <v>8.51</v>
      </c>
      <c r="T73" s="52">
        <f t="shared" si="17"/>
        <v>25.53</v>
      </c>
      <c r="U73" s="41">
        <f t="shared" si="18"/>
        <v>0</v>
      </c>
      <c r="V73" s="41">
        <f t="shared" si="19"/>
        <v>1</v>
      </c>
      <c r="W73" s="28"/>
      <c r="X73" s="50"/>
      <c r="Y73" s="61"/>
      <c r="Z73" s="61"/>
      <c r="AA73" s="61"/>
      <c r="AB73" s="61"/>
    </row>
    <row r="74" spans="1:28" x14ac:dyDescent="0.3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0"/>
        <v>5.29</v>
      </c>
      <c r="H74" s="10">
        <f t="shared" si="11"/>
        <v>46.02</v>
      </c>
      <c r="I74" s="42"/>
      <c r="J74" s="89">
        <f t="shared" si="12"/>
        <v>6</v>
      </c>
      <c r="K74" s="9">
        <f t="shared" si="13"/>
        <v>2.91</v>
      </c>
      <c r="L74" s="9">
        <f t="shared" si="1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15"/>
        <v>0</v>
      </c>
      <c r="S74" s="14">
        <f t="shared" si="16"/>
        <v>2.91</v>
      </c>
      <c r="T74" s="14">
        <f t="shared" si="17"/>
        <v>17.46</v>
      </c>
      <c r="U74" s="29">
        <f t="shared" si="18"/>
        <v>0</v>
      </c>
      <c r="V74" s="29">
        <f t="shared" si="19"/>
        <v>1</v>
      </c>
      <c r="W74" s="28"/>
      <c r="X74" s="50"/>
      <c r="Y74" s="61"/>
      <c r="Z74" s="61"/>
      <c r="AA74" s="61"/>
      <c r="AB74" s="61"/>
    </row>
    <row r="75" spans="1:28" x14ac:dyDescent="0.3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3">
      <c r="A76" s="55"/>
      <c r="B76" s="2"/>
      <c r="C76" s="6" t="s">
        <v>533</v>
      </c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3">
      <c r="A77" s="55"/>
      <c r="B77" s="1"/>
      <c r="C77" s="4" t="s">
        <v>534</v>
      </c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3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3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3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3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3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80" xr:uid="{A6580F57-ABFD-4E43-8A16-3AF55C975622}">
      <formula1>$Y$31:$Y$32</formula1>
    </dataValidation>
    <dataValidation type="list" showInputMessage="1" showErrorMessage="1" sqref="D18:D80" xr:uid="{332F2473-8130-454D-9D86-2C4D957A2E0B}">
      <formula1>$Z$18:$Z$29</formula1>
    </dataValidation>
    <dataValidation type="list" allowBlank="1" showInputMessage="1" showErrorMessage="1" sqref="I13" xr:uid="{DEB4C390-B8E8-4DE0-9D4D-CBC0431CEC40}">
      <formula1>$K$9:$K$9</formula1>
    </dataValidation>
    <dataValidation type="list" allowBlank="1" showInputMessage="1" showErrorMessage="1" sqref="H13" xr:uid="{8116F457-125D-4312-AB79-716F1FC4E13B}">
      <formula1>$Y$13:$Y$14</formula1>
    </dataValidation>
    <dataValidation type="list" allowBlank="1" showInputMessage="1" showErrorMessage="1" sqref="F17 K17 Q17 Q14" xr:uid="{C6C7DFB6-B8E4-4C4A-B874-FE77D704218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D6-C9A2-4828-9074-7C0E97EC48A5}">
  <sheetPr>
    <pageSetUpPr fitToPage="1"/>
  </sheetPr>
  <dimension ref="A1:AB83"/>
  <sheetViews>
    <sheetView zoomScale="85" zoomScaleNormal="85" workbookViewId="0">
      <selection activeCell="F9" sqref="F9:G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781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H81</f>
        <v>103215.44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2018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L81</f>
        <v>50416.290000000008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52799.149999999994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383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0.5115431373445678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782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T81</f>
        <v>50416.290000000008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642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R81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2634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50416.290000000008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E81</f>
        <v>1372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si="1"/>
        <v>6.37</v>
      </c>
      <c r="H60" s="10">
        <f t="shared" si="2"/>
        <v>36.92</v>
      </c>
      <c r="I60" s="42"/>
      <c r="J60" s="89">
        <f t="shared" si="0"/>
        <v>4</v>
      </c>
      <c r="K60" s="9">
        <f t="shared" si="3"/>
        <v>4.62</v>
      </c>
      <c r="L60" s="9">
        <f t="shared" si="4"/>
        <v>18.48</v>
      </c>
      <c r="M60" s="8" t="s">
        <v>120</v>
      </c>
      <c r="N60" s="12">
        <v>0.5</v>
      </c>
      <c r="O60" s="51"/>
      <c r="P60" s="3"/>
      <c r="Q60" s="13"/>
      <c r="R60" s="14">
        <f t="shared" si="9"/>
        <v>0</v>
      </c>
      <c r="S60" s="14">
        <f t="shared" si="5"/>
        <v>4.62</v>
      </c>
      <c r="T60" s="14">
        <f t="shared" si="6"/>
        <v>18.48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"/>
        <v>300.23</v>
      </c>
      <c r="H62" s="10">
        <f t="shared" si="2"/>
        <v>870.66</v>
      </c>
      <c r="I62" s="42"/>
      <c r="J62" s="89">
        <f t="shared" si="0"/>
        <v>2</v>
      </c>
      <c r="K62" s="9">
        <f t="shared" si="3"/>
        <v>165.43</v>
      </c>
      <c r="L62" s="9">
        <f t="shared" si="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165.43</v>
      </c>
      <c r="T62" s="14">
        <f t="shared" si="6"/>
        <v>330.86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"/>
        <v>110.97</v>
      </c>
      <c r="H63" s="39">
        <f t="shared" si="2"/>
        <v>160.9</v>
      </c>
      <c r="I63" s="42"/>
      <c r="J63" s="88">
        <f t="shared" si="0"/>
        <v>1</v>
      </c>
      <c r="K63" s="38">
        <f t="shared" si="3"/>
        <v>61.14</v>
      </c>
      <c r="L63" s="38">
        <f t="shared" si="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61.14</v>
      </c>
      <c r="T63" s="52">
        <f t="shared" si="6"/>
        <v>61.14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"/>
        <v>110.97</v>
      </c>
      <c r="H64" s="10">
        <f t="shared" si="2"/>
        <v>160.9</v>
      </c>
      <c r="I64" s="42"/>
      <c r="J64" s="89">
        <f t="shared" si="0"/>
        <v>1</v>
      </c>
      <c r="K64" s="9">
        <f t="shared" si="3"/>
        <v>61.14</v>
      </c>
      <c r="L64" s="9">
        <f t="shared" si="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9"/>
        <v>0</v>
      </c>
      <c r="S64" s="14">
        <f t="shared" si="5"/>
        <v>61.14</v>
      </c>
      <c r="T64" s="14">
        <f t="shared" si="6"/>
        <v>61.14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"/>
        <v>3.11</v>
      </c>
      <c r="H65" s="39">
        <f t="shared" si="2"/>
        <v>126.28</v>
      </c>
      <c r="I65" s="42"/>
      <c r="J65" s="88">
        <f t="shared" si="0"/>
        <v>28</v>
      </c>
      <c r="K65" s="38">
        <f t="shared" si="3"/>
        <v>1.71</v>
      </c>
      <c r="L65" s="38">
        <f t="shared" si="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1.71</v>
      </c>
      <c r="T65" s="52">
        <f t="shared" si="6"/>
        <v>47.88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"/>
        <v>2.46</v>
      </c>
      <c r="H66" s="10">
        <f t="shared" si="2"/>
        <v>99.68</v>
      </c>
      <c r="I66" s="42"/>
      <c r="J66" s="89">
        <f t="shared" si="0"/>
        <v>28</v>
      </c>
      <c r="K66" s="9">
        <f t="shared" si="3"/>
        <v>1.35</v>
      </c>
      <c r="L66" s="9">
        <f t="shared" si="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1.35</v>
      </c>
      <c r="T66" s="14">
        <f t="shared" si="6"/>
        <v>37.799999999999997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"/>
        <v>2.52</v>
      </c>
      <c r="H67" s="39">
        <f t="shared" si="2"/>
        <v>102.2</v>
      </c>
      <c r="I67" s="42"/>
      <c r="J67" s="88">
        <f t="shared" si="0"/>
        <v>28</v>
      </c>
      <c r="K67" s="38">
        <f t="shared" si="3"/>
        <v>1.39</v>
      </c>
      <c r="L67" s="38">
        <f t="shared" si="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1.39</v>
      </c>
      <c r="T67" s="52">
        <f t="shared" si="6"/>
        <v>38.92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/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"/>
        <v>1415.9</v>
      </c>
      <c r="H69" s="39">
        <f t="shared" si="2"/>
        <v>6159.18</v>
      </c>
      <c r="I69" s="42"/>
      <c r="J69" s="88">
        <f t="shared" si="0"/>
        <v>3</v>
      </c>
      <c r="K69" s="38">
        <f t="shared" si="3"/>
        <v>780.16</v>
      </c>
      <c r="L69" s="38">
        <f t="shared" si="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780.16</v>
      </c>
      <c r="T69" s="52">
        <f t="shared" si="6"/>
        <v>2340.48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"/>
        <v>154.57</v>
      </c>
      <c r="H70" s="10">
        <f t="shared" si="2"/>
        <v>672.36</v>
      </c>
      <c r="I70" s="42"/>
      <c r="J70" s="89">
        <f t="shared" si="0"/>
        <v>3</v>
      </c>
      <c r="K70" s="9">
        <f t="shared" si="3"/>
        <v>85.17</v>
      </c>
      <c r="L70" s="9">
        <f t="shared" si="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85.17</v>
      </c>
      <c r="T70" s="14">
        <f t="shared" si="6"/>
        <v>255.51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3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"/>
        <v>113.72</v>
      </c>
      <c r="H71" s="39">
        <f t="shared" si="2"/>
        <v>494.7</v>
      </c>
      <c r="I71" s="42"/>
      <c r="J71" s="88">
        <f t="shared" si="0"/>
        <v>3</v>
      </c>
      <c r="K71" s="38">
        <f t="shared" si="3"/>
        <v>62.66</v>
      </c>
      <c r="L71" s="38">
        <f t="shared" si="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9"/>
        <v>0</v>
      </c>
      <c r="S71" s="52">
        <f t="shared" si="5"/>
        <v>62.66</v>
      </c>
      <c r="T71" s="52">
        <f t="shared" si="6"/>
        <v>187.98</v>
      </c>
      <c r="U71" s="41">
        <f t="shared" si="7"/>
        <v>0</v>
      </c>
      <c r="V71" s="41">
        <f t="shared" si="8"/>
        <v>1</v>
      </c>
      <c r="W71" s="28"/>
      <c r="X71" s="50"/>
      <c r="Y71" s="61"/>
      <c r="Z71" s="61"/>
      <c r="AA71" s="61"/>
      <c r="AB71" s="61"/>
    </row>
    <row r="72" spans="1:28" x14ac:dyDescent="0.3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"/>
        <v>8.94</v>
      </c>
      <c r="H72" s="10">
        <f t="shared" si="2"/>
        <v>38.880000000000003</v>
      </c>
      <c r="I72" s="42"/>
      <c r="J72" s="89">
        <f t="shared" si="0"/>
        <v>3</v>
      </c>
      <c r="K72" s="9">
        <f t="shared" si="3"/>
        <v>4.92</v>
      </c>
      <c r="L72" s="9">
        <f t="shared" si="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9"/>
        <v>0</v>
      </c>
      <c r="S72" s="14">
        <f t="shared" si="5"/>
        <v>4.92</v>
      </c>
      <c r="T72" s="14">
        <f t="shared" si="6"/>
        <v>14.76</v>
      </c>
      <c r="U72" s="29">
        <f t="shared" si="7"/>
        <v>0</v>
      </c>
      <c r="V72" s="29">
        <f t="shared" si="8"/>
        <v>1</v>
      </c>
      <c r="W72" s="28"/>
      <c r="X72" s="50"/>
      <c r="Y72" s="61"/>
      <c r="Z72" s="61"/>
      <c r="AA72" s="61"/>
      <c r="AB72" s="61"/>
    </row>
    <row r="73" spans="1:28" x14ac:dyDescent="0.3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"/>
        <v>15.44</v>
      </c>
      <c r="H73" s="39">
        <f t="shared" si="2"/>
        <v>67.17</v>
      </c>
      <c r="I73" s="42"/>
      <c r="J73" s="88">
        <f t="shared" si="0"/>
        <v>3</v>
      </c>
      <c r="K73" s="38">
        <f t="shared" si="3"/>
        <v>8.51</v>
      </c>
      <c r="L73" s="38">
        <f t="shared" si="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9"/>
        <v>0</v>
      </c>
      <c r="S73" s="52">
        <f t="shared" si="5"/>
        <v>8.51</v>
      </c>
      <c r="T73" s="52">
        <f t="shared" si="6"/>
        <v>25.53</v>
      </c>
      <c r="U73" s="41">
        <f t="shared" si="7"/>
        <v>0</v>
      </c>
      <c r="V73" s="41">
        <f t="shared" si="8"/>
        <v>1</v>
      </c>
      <c r="W73" s="28"/>
      <c r="X73" s="50"/>
      <c r="Y73" s="61"/>
      <c r="Z73" s="61"/>
      <c r="AA73" s="61"/>
      <c r="AB73" s="61"/>
    </row>
    <row r="74" spans="1:28" x14ac:dyDescent="0.3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"/>
        <v>5.29</v>
      </c>
      <c r="H74" s="10">
        <f t="shared" si="2"/>
        <v>46.02</v>
      </c>
      <c r="I74" s="42"/>
      <c r="J74" s="89">
        <f t="shared" si="0"/>
        <v>6</v>
      </c>
      <c r="K74" s="9">
        <f t="shared" si="3"/>
        <v>2.91</v>
      </c>
      <c r="L74" s="9">
        <f t="shared" si="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9"/>
        <v>0</v>
      </c>
      <c r="S74" s="14">
        <f t="shared" si="5"/>
        <v>2.91</v>
      </c>
      <c r="T74" s="14">
        <f t="shared" si="6"/>
        <v>17.46</v>
      </c>
      <c r="U74" s="29">
        <f t="shared" si="7"/>
        <v>0</v>
      </c>
      <c r="V74" s="29">
        <f t="shared" si="8"/>
        <v>1</v>
      </c>
      <c r="W74" s="28"/>
      <c r="X74" s="50"/>
      <c r="Y74" s="61"/>
      <c r="Z74" s="61"/>
      <c r="AA74" s="61"/>
      <c r="AB74" s="61"/>
    </row>
    <row r="75" spans="1:28" x14ac:dyDescent="0.3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3">
      <c r="A76" s="55"/>
      <c r="B76" s="2"/>
      <c r="C76" s="6" t="s">
        <v>533</v>
      </c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3">
      <c r="A77" s="55"/>
      <c r="B77" s="1"/>
      <c r="C77" s="4" t="s">
        <v>534</v>
      </c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3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3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3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3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3">
      <c r="U8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623051EC-598B-43F4-B1F3-D0719BA9A917}">
      <formula1>$Y$11:$Y$12</formula1>
    </dataValidation>
    <dataValidation type="list" allowBlank="1" showInputMessage="1" showErrorMessage="1" sqref="H13" xr:uid="{89EEBF69-0E6D-4DF8-B73C-AF34504B8DC8}">
      <formula1>$Y$13:$Y$14</formula1>
    </dataValidation>
    <dataValidation type="list" allowBlank="1" showInputMessage="1" showErrorMessage="1" sqref="I13" xr:uid="{EB07E7B7-6FA3-4FE7-9BE2-5D863B07BA7C}">
      <formula1>$K$9:$K$9</formula1>
    </dataValidation>
    <dataValidation type="list" showInputMessage="1" showErrorMessage="1" sqref="D18:D80" xr:uid="{3CA58B93-DE02-4467-AFBE-8423E4BE4C9C}">
      <formula1>$Z$18:$Z$29</formula1>
    </dataValidation>
    <dataValidation type="list" allowBlank="1" showInputMessage="1" showErrorMessage="1" sqref="M18:M80" xr:uid="{23CCE9EF-8F75-480A-92A0-1313C35FEAC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140-9B0E-4C0A-B279-BBF705404981}">
  <sheetPr>
    <pageSetUpPr fitToPage="1"/>
  </sheetPr>
  <dimension ref="A1:AB73"/>
  <sheetViews>
    <sheetView topLeftCell="A26" zoomScale="85" zoomScaleNormal="85" workbookViewId="0">
      <selection activeCell="G60" sqref="G6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658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H71</f>
        <v>114230.09999999999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2018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L71</f>
        <v>55875.779999999984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58354.320000000007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659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0.51084889184199267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660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T71</f>
        <v>55875.779999999984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 t="s">
        <v>661</v>
      </c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R71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4720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55875.779999999984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E71</f>
        <v>944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364</v>
      </c>
      <c r="C19" s="4" t="s">
        <v>192</v>
      </c>
      <c r="D19" s="129"/>
      <c r="E19" s="54">
        <v>1</v>
      </c>
      <c r="F19" s="15">
        <v>104.86</v>
      </c>
      <c r="G19" s="38">
        <f t="shared" ref="G19:G59" si="1">ROUND(IF($F$17="USD $", F19*$E$15,F19*$D$15),2)</f>
        <v>72.319999999999993</v>
      </c>
      <c r="H19" s="39">
        <f t="shared" ref="H19:H59" si="2">ROUND(IF($H$17=$G$17,E19*G19,E19*F19),2)</f>
        <v>104.86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39.85</v>
      </c>
      <c r="L19" s="38">
        <f t="shared" ref="L19:L59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39.85</v>
      </c>
      <c r="T19" s="52">
        <f t="shared" ref="T19:T59" si="6">ROUND(L19-R19,2)</f>
        <v>39.85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237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662</v>
      </c>
      <c r="C24" s="6" t="s">
        <v>142</v>
      </c>
      <c r="D24" s="130"/>
      <c r="E24" s="53">
        <v>1</v>
      </c>
      <c r="F24" s="8">
        <v>43.37</v>
      </c>
      <c r="G24" s="9">
        <f t="shared" si="1"/>
        <v>29.91</v>
      </c>
      <c r="H24" s="10">
        <f t="shared" si="2"/>
        <v>43.37</v>
      </c>
      <c r="I24" s="42"/>
      <c r="J24" s="89">
        <f t="shared" si="0"/>
        <v>1</v>
      </c>
      <c r="K24" s="9">
        <f t="shared" si="3"/>
        <v>16.48</v>
      </c>
      <c r="L24" s="9">
        <f t="shared" si="4"/>
        <v>16.48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16.48</v>
      </c>
      <c r="T24" s="14">
        <f t="shared" si="6"/>
        <v>16.48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368</v>
      </c>
      <c r="C25" s="4" t="s">
        <v>198</v>
      </c>
      <c r="D25" s="129"/>
      <c r="E25" s="54">
        <v>6</v>
      </c>
      <c r="F25" s="15">
        <v>1474.09</v>
      </c>
      <c r="G25" s="38">
        <f t="shared" si="1"/>
        <v>1016.61</v>
      </c>
      <c r="H25" s="39">
        <f t="shared" si="2"/>
        <v>8844.5400000000009</v>
      </c>
      <c r="I25" s="42"/>
      <c r="J25" s="88">
        <f t="shared" si="0"/>
        <v>6</v>
      </c>
      <c r="K25" s="38">
        <f t="shared" si="3"/>
        <v>737.05</v>
      </c>
      <c r="L25" s="38">
        <f t="shared" si="4"/>
        <v>4422.3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737.05</v>
      </c>
      <c r="T25" s="52">
        <f t="shared" si="6"/>
        <v>4422.3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663</v>
      </c>
      <c r="C26" s="6" t="s">
        <v>200</v>
      </c>
      <c r="D26" s="130"/>
      <c r="E26" s="53">
        <v>1</v>
      </c>
      <c r="F26" s="8">
        <v>7083.49</v>
      </c>
      <c r="G26" s="9">
        <f t="shared" si="1"/>
        <v>4885.17</v>
      </c>
      <c r="H26" s="10">
        <f t="shared" si="2"/>
        <v>7083.49</v>
      </c>
      <c r="I26" s="42"/>
      <c r="J26" s="89">
        <f t="shared" si="0"/>
        <v>1</v>
      </c>
      <c r="K26" s="9">
        <f t="shared" si="3"/>
        <v>3541.75</v>
      </c>
      <c r="L26" s="9">
        <f t="shared" si="4"/>
        <v>3541.75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3541.75</v>
      </c>
      <c r="T26" s="14">
        <f t="shared" si="6"/>
        <v>3541.75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664</v>
      </c>
      <c r="C28" s="6" t="s">
        <v>401</v>
      </c>
      <c r="D28" s="130"/>
      <c r="E28" s="53">
        <v>10</v>
      </c>
      <c r="F28" s="8">
        <v>292.60000000000002</v>
      </c>
      <c r="G28" s="9">
        <f t="shared" si="1"/>
        <v>201.79</v>
      </c>
      <c r="H28" s="10">
        <f t="shared" si="2"/>
        <v>2926</v>
      </c>
      <c r="I28" s="42"/>
      <c r="J28" s="89">
        <f t="shared" si="0"/>
        <v>10</v>
      </c>
      <c r="K28" s="9">
        <f t="shared" si="3"/>
        <v>146.30000000000001</v>
      </c>
      <c r="L28" s="9">
        <f t="shared" si="4"/>
        <v>1463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146.30000000000001</v>
      </c>
      <c r="T28" s="14">
        <f t="shared" si="6"/>
        <v>1463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582</v>
      </c>
      <c r="C29" s="4" t="s">
        <v>206</v>
      </c>
      <c r="D29" s="129"/>
      <c r="E29" s="54">
        <v>50</v>
      </c>
      <c r="F29" s="15">
        <v>3.14</v>
      </c>
      <c r="G29" s="38">
        <f>ROUND(IF($F$17="USD $", F29*$E$15,F29*$D$15),2)</f>
        <v>2.17</v>
      </c>
      <c r="H29" s="39">
        <f>ROUND(IF($H$17=$G$17,E29*G29,E29*F29),2)</f>
        <v>157</v>
      </c>
      <c r="I29" s="42"/>
      <c r="J29" s="88">
        <f t="shared" si="0"/>
        <v>50</v>
      </c>
      <c r="K29" s="38">
        <f t="shared" si="3"/>
        <v>1.57</v>
      </c>
      <c r="L29" s="38">
        <f>ROUND((J29*K29),2)</f>
        <v>78.5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1.57</v>
      </c>
      <c r="T29" s="52">
        <f t="shared" si="6"/>
        <v>78.5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583</v>
      </c>
      <c r="C30" s="6" t="s">
        <v>218</v>
      </c>
      <c r="D30" s="130"/>
      <c r="E30" s="53">
        <v>50</v>
      </c>
      <c r="F30" s="8">
        <v>2.0499999999999998</v>
      </c>
      <c r="G30" s="9">
        <f t="shared" si="1"/>
        <v>1.41</v>
      </c>
      <c r="H30" s="10">
        <f t="shared" si="2"/>
        <v>102.5</v>
      </c>
      <c r="I30" s="42"/>
      <c r="J30" s="89">
        <f t="shared" si="0"/>
        <v>50</v>
      </c>
      <c r="K30" s="9">
        <f t="shared" si="3"/>
        <v>1.03</v>
      </c>
      <c r="L30" s="9">
        <f t="shared" si="4"/>
        <v>51.5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1.03</v>
      </c>
      <c r="T30" s="14">
        <f t="shared" si="6"/>
        <v>51.5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492</v>
      </c>
      <c r="C31" s="4" t="s">
        <v>547</v>
      </c>
      <c r="D31" s="129"/>
      <c r="E31" s="54">
        <v>50</v>
      </c>
      <c r="F31" s="15">
        <v>3.41</v>
      </c>
      <c r="G31" s="38">
        <f t="shared" si="1"/>
        <v>2.35</v>
      </c>
      <c r="H31" s="39">
        <f t="shared" si="2"/>
        <v>170.5</v>
      </c>
      <c r="I31" s="42"/>
      <c r="J31" s="88">
        <f t="shared" si="0"/>
        <v>50</v>
      </c>
      <c r="K31" s="38">
        <f t="shared" si="3"/>
        <v>1.71</v>
      </c>
      <c r="L31" s="38">
        <f t="shared" si="4"/>
        <v>85.5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1.71</v>
      </c>
      <c r="T31" s="52">
        <f t="shared" si="6"/>
        <v>85.5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 t="s">
        <v>665</v>
      </c>
      <c r="C37" s="4" t="s">
        <v>666</v>
      </c>
      <c r="D37" s="129"/>
      <c r="E37" s="54">
        <v>16</v>
      </c>
      <c r="F37" s="15">
        <v>27.02</v>
      </c>
      <c r="G37" s="38">
        <f t="shared" si="1"/>
        <v>18.63</v>
      </c>
      <c r="H37" s="39">
        <f t="shared" si="2"/>
        <v>432.32</v>
      </c>
      <c r="I37" s="42"/>
      <c r="J37" s="88">
        <f t="shared" si="0"/>
        <v>16</v>
      </c>
      <c r="K37" s="38">
        <f t="shared" si="3"/>
        <v>13.51</v>
      </c>
      <c r="L37" s="38">
        <f t="shared" si="4"/>
        <v>216.16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13.51</v>
      </c>
      <c r="T37" s="52">
        <f t="shared" si="6"/>
        <v>216.16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302</v>
      </c>
      <c r="C38" s="6" t="s">
        <v>218</v>
      </c>
      <c r="D38" s="130"/>
      <c r="E38" s="53">
        <v>16</v>
      </c>
      <c r="F38" s="8">
        <v>2.83</v>
      </c>
      <c r="G38" s="9">
        <f t="shared" si="1"/>
        <v>1.95</v>
      </c>
      <c r="H38" s="10">
        <f t="shared" si="2"/>
        <v>45.28</v>
      </c>
      <c r="I38" s="42"/>
      <c r="J38" s="89">
        <f t="shared" si="0"/>
        <v>16</v>
      </c>
      <c r="K38" s="9">
        <f t="shared" si="3"/>
        <v>1.42</v>
      </c>
      <c r="L38" s="9">
        <f t="shared" si="4"/>
        <v>22.72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22.72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 t="s">
        <v>667</v>
      </c>
      <c r="C39" s="4" t="s">
        <v>496</v>
      </c>
      <c r="D39" s="129"/>
      <c r="E39" s="54">
        <v>12</v>
      </c>
      <c r="F39" s="15">
        <v>1023.54</v>
      </c>
      <c r="G39" s="38">
        <f t="shared" si="1"/>
        <v>705.89</v>
      </c>
      <c r="H39" s="39">
        <f t="shared" si="2"/>
        <v>12282.48</v>
      </c>
      <c r="I39" s="42"/>
      <c r="J39" s="88">
        <f t="shared" si="0"/>
        <v>12</v>
      </c>
      <c r="K39" s="38">
        <f t="shared" si="3"/>
        <v>511.77</v>
      </c>
      <c r="L39" s="38">
        <f t="shared" si="4"/>
        <v>6141.24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511.77</v>
      </c>
      <c r="T39" s="52">
        <f t="shared" si="6"/>
        <v>6141.24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668</v>
      </c>
      <c r="C40" s="6" t="s">
        <v>213</v>
      </c>
      <c r="D40" s="130"/>
      <c r="E40" s="53">
        <v>4</v>
      </c>
      <c r="F40" s="8">
        <v>936.48</v>
      </c>
      <c r="G40" s="9">
        <f t="shared" si="1"/>
        <v>645.85</v>
      </c>
      <c r="H40" s="10">
        <f t="shared" si="2"/>
        <v>3745.92</v>
      </c>
      <c r="I40" s="42"/>
      <c r="J40" s="89">
        <f t="shared" si="0"/>
        <v>4</v>
      </c>
      <c r="K40" s="9">
        <f t="shared" si="3"/>
        <v>468.24</v>
      </c>
      <c r="L40" s="9">
        <f t="shared" si="4"/>
        <v>1872.96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468.24</v>
      </c>
      <c r="T40" s="14">
        <f t="shared" si="6"/>
        <v>1872.96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669</v>
      </c>
      <c r="C41" s="4" t="s">
        <v>309</v>
      </c>
      <c r="D41" s="129"/>
      <c r="E41" s="54">
        <v>64</v>
      </c>
      <c r="F41" s="15">
        <v>13.48</v>
      </c>
      <c r="G41" s="38">
        <f t="shared" si="1"/>
        <v>9.3000000000000007</v>
      </c>
      <c r="H41" s="39">
        <f t="shared" si="2"/>
        <v>862.72</v>
      </c>
      <c r="I41" s="42"/>
      <c r="J41" s="88">
        <f t="shared" si="0"/>
        <v>64</v>
      </c>
      <c r="K41" s="38">
        <f t="shared" si="3"/>
        <v>6.74</v>
      </c>
      <c r="L41" s="38">
        <f t="shared" si="4"/>
        <v>431.36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6.74</v>
      </c>
      <c r="T41" s="52">
        <f t="shared" si="6"/>
        <v>431.36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302</v>
      </c>
      <c r="C42" s="6" t="s">
        <v>218</v>
      </c>
      <c r="D42" s="130"/>
      <c r="E42" s="53">
        <v>64</v>
      </c>
      <c r="F42" s="8">
        <v>2.83</v>
      </c>
      <c r="G42" s="9">
        <f t="shared" si="1"/>
        <v>1.95</v>
      </c>
      <c r="H42" s="10">
        <f t="shared" si="2"/>
        <v>181.12</v>
      </c>
      <c r="I42" s="42"/>
      <c r="J42" s="89">
        <f t="shared" si="0"/>
        <v>64</v>
      </c>
      <c r="K42" s="9">
        <f t="shared" si="3"/>
        <v>1.42</v>
      </c>
      <c r="L42" s="9">
        <f t="shared" si="4"/>
        <v>90.88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90.88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670</v>
      </c>
      <c r="C44" s="6" t="s">
        <v>252</v>
      </c>
      <c r="D44" s="130"/>
      <c r="E44" s="53">
        <v>2</v>
      </c>
      <c r="F44" s="8">
        <v>15772.81</v>
      </c>
      <c r="G44" s="9">
        <f t="shared" si="1"/>
        <v>10877.8</v>
      </c>
      <c r="H44" s="10">
        <f t="shared" si="2"/>
        <v>31545.62</v>
      </c>
      <c r="I44" s="42"/>
      <c r="J44" s="89">
        <f t="shared" si="0"/>
        <v>2</v>
      </c>
      <c r="K44" s="9">
        <f t="shared" si="3"/>
        <v>7886.41</v>
      </c>
      <c r="L44" s="9">
        <f t="shared" si="4"/>
        <v>15772.82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7886.41</v>
      </c>
      <c r="T44" s="14">
        <f t="shared" si="6"/>
        <v>15772.82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671</v>
      </c>
      <c r="C45" s="4" t="s">
        <v>672</v>
      </c>
      <c r="D45" s="129"/>
      <c r="E45" s="54">
        <v>44</v>
      </c>
      <c r="F45" s="15">
        <v>223.22</v>
      </c>
      <c r="G45" s="38">
        <f t="shared" si="1"/>
        <v>153.94</v>
      </c>
      <c r="H45" s="39">
        <f t="shared" si="2"/>
        <v>9821.68</v>
      </c>
      <c r="I45" s="42"/>
      <c r="J45" s="88">
        <f t="shared" si="0"/>
        <v>44</v>
      </c>
      <c r="K45" s="38">
        <f t="shared" si="3"/>
        <v>111.61</v>
      </c>
      <c r="L45" s="38">
        <f t="shared" si="4"/>
        <v>4910.84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111.61</v>
      </c>
      <c r="T45" s="52">
        <f t="shared" si="6"/>
        <v>4910.84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673</v>
      </c>
      <c r="C46" s="6" t="s">
        <v>674</v>
      </c>
      <c r="D46" s="130"/>
      <c r="E46" s="53">
        <v>44</v>
      </c>
      <c r="F46" s="8">
        <v>223.22</v>
      </c>
      <c r="G46" s="9">
        <f t="shared" si="1"/>
        <v>153.94</v>
      </c>
      <c r="H46" s="10">
        <f t="shared" si="2"/>
        <v>9821.68</v>
      </c>
      <c r="I46" s="42"/>
      <c r="J46" s="89">
        <f t="shared" si="0"/>
        <v>44</v>
      </c>
      <c r="K46" s="9">
        <f t="shared" si="3"/>
        <v>111.61</v>
      </c>
      <c r="L46" s="9">
        <f t="shared" si="4"/>
        <v>4910.84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111.61</v>
      </c>
      <c r="T46" s="14">
        <f t="shared" si="6"/>
        <v>4910.84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675</v>
      </c>
      <c r="C47" s="4" t="s">
        <v>676</v>
      </c>
      <c r="D47" s="129"/>
      <c r="E47" s="54">
        <v>1</v>
      </c>
      <c r="F47" s="15">
        <v>242.72</v>
      </c>
      <c r="G47" s="38">
        <f t="shared" si="1"/>
        <v>167.39</v>
      </c>
      <c r="H47" s="39">
        <f t="shared" si="2"/>
        <v>242.72</v>
      </c>
      <c r="I47" s="42"/>
      <c r="J47" s="88">
        <f t="shared" si="0"/>
        <v>1</v>
      </c>
      <c r="K47" s="38">
        <f t="shared" si="3"/>
        <v>121.36</v>
      </c>
      <c r="L47" s="38">
        <f t="shared" si="4"/>
        <v>121.36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121.36</v>
      </c>
      <c r="T47" s="52">
        <f t="shared" si="6"/>
        <v>121.36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677</v>
      </c>
      <c r="C48" s="6" t="s">
        <v>678</v>
      </c>
      <c r="D48" s="130"/>
      <c r="E48" s="53">
        <v>1</v>
      </c>
      <c r="F48" s="8">
        <v>235.62</v>
      </c>
      <c r="G48" s="9">
        <f t="shared" si="1"/>
        <v>162.5</v>
      </c>
      <c r="H48" s="10">
        <f t="shared" si="2"/>
        <v>235.62</v>
      </c>
      <c r="I48" s="42"/>
      <c r="J48" s="89">
        <f t="shared" si="0"/>
        <v>1</v>
      </c>
      <c r="K48" s="9">
        <f t="shared" si="3"/>
        <v>117.81</v>
      </c>
      <c r="L48" s="9">
        <f t="shared" si="4"/>
        <v>117.81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117.81</v>
      </c>
      <c r="T48" s="14">
        <f t="shared" si="6"/>
        <v>117.81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472</v>
      </c>
      <c r="C49" s="4" t="s">
        <v>161</v>
      </c>
      <c r="D49" s="129"/>
      <c r="E49" s="54">
        <v>352</v>
      </c>
      <c r="F49" s="15">
        <v>5.38</v>
      </c>
      <c r="G49" s="38">
        <f t="shared" si="1"/>
        <v>3.71</v>
      </c>
      <c r="H49" s="39">
        <f t="shared" si="2"/>
        <v>1893.76</v>
      </c>
      <c r="I49" s="42"/>
      <c r="J49" s="88">
        <f t="shared" si="0"/>
        <v>352</v>
      </c>
      <c r="K49" s="38">
        <f t="shared" si="3"/>
        <v>2.69</v>
      </c>
      <c r="L49" s="38">
        <f t="shared" si="4"/>
        <v>946.88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2.69</v>
      </c>
      <c r="T49" s="52">
        <f t="shared" si="6"/>
        <v>946.88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563</v>
      </c>
      <c r="C50" s="6" t="s">
        <v>474</v>
      </c>
      <c r="D50" s="130"/>
      <c r="E50" s="53">
        <v>8</v>
      </c>
      <c r="F50" s="8">
        <v>9.9600000000000009</v>
      </c>
      <c r="G50" s="9">
        <f t="shared" si="1"/>
        <v>6.87</v>
      </c>
      <c r="H50" s="10">
        <f t="shared" si="2"/>
        <v>79.680000000000007</v>
      </c>
      <c r="I50" s="42"/>
      <c r="J50" s="89">
        <f t="shared" si="0"/>
        <v>8</v>
      </c>
      <c r="K50" s="9">
        <f t="shared" si="3"/>
        <v>4.9800000000000004</v>
      </c>
      <c r="L50" s="9">
        <f t="shared" si="4"/>
        <v>39.840000000000003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4.9800000000000004</v>
      </c>
      <c r="T50" s="14">
        <f t="shared" si="6"/>
        <v>39.840000000000003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679</v>
      </c>
      <c r="C52" s="6" t="s">
        <v>424</v>
      </c>
      <c r="D52" s="130"/>
      <c r="E52" s="53">
        <v>2</v>
      </c>
      <c r="F52" s="8">
        <v>559.01</v>
      </c>
      <c r="G52" s="9">
        <f t="shared" si="1"/>
        <v>385.52</v>
      </c>
      <c r="H52" s="10">
        <f t="shared" si="2"/>
        <v>1118.02</v>
      </c>
      <c r="I52" s="42"/>
      <c r="J52" s="89">
        <f t="shared" si="0"/>
        <v>2</v>
      </c>
      <c r="K52" s="9">
        <f t="shared" si="3"/>
        <v>212.42</v>
      </c>
      <c r="L52" s="9">
        <f t="shared" si="4"/>
        <v>424.84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212.42</v>
      </c>
      <c r="T52" s="14">
        <f t="shared" si="6"/>
        <v>424.84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 t="s">
        <v>680</v>
      </c>
      <c r="C53" s="4" t="s">
        <v>513</v>
      </c>
      <c r="D53" s="129"/>
      <c r="E53" s="54">
        <v>1</v>
      </c>
      <c r="F53" s="15">
        <v>219.63</v>
      </c>
      <c r="G53" s="38">
        <f t="shared" si="1"/>
        <v>151.47</v>
      </c>
      <c r="H53" s="39">
        <f t="shared" si="2"/>
        <v>219.63</v>
      </c>
      <c r="I53" s="42"/>
      <c r="J53" s="88">
        <f t="shared" si="0"/>
        <v>1</v>
      </c>
      <c r="K53" s="38">
        <f t="shared" si="3"/>
        <v>83.46</v>
      </c>
      <c r="L53" s="38">
        <f t="shared" si="4"/>
        <v>83.46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83.46</v>
      </c>
      <c r="T53" s="52">
        <f t="shared" si="6"/>
        <v>83.46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681</v>
      </c>
      <c r="C54" s="6" t="s">
        <v>511</v>
      </c>
      <c r="D54" s="130"/>
      <c r="E54" s="53">
        <v>1</v>
      </c>
      <c r="F54" s="8">
        <v>219.63</v>
      </c>
      <c r="G54" s="9">
        <f t="shared" si="1"/>
        <v>151.47</v>
      </c>
      <c r="H54" s="10">
        <f t="shared" si="2"/>
        <v>219.63</v>
      </c>
      <c r="I54" s="42"/>
      <c r="J54" s="89">
        <f t="shared" si="0"/>
        <v>1</v>
      </c>
      <c r="K54" s="9">
        <f t="shared" si="3"/>
        <v>83.46</v>
      </c>
      <c r="L54" s="9">
        <f t="shared" si="4"/>
        <v>83.46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83.46</v>
      </c>
      <c r="T54" s="14">
        <f t="shared" si="6"/>
        <v>83.46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514</v>
      </c>
      <c r="C55" s="4" t="s">
        <v>515</v>
      </c>
      <c r="D55" s="129"/>
      <c r="E55" s="54">
        <v>34</v>
      </c>
      <c r="F55" s="15">
        <v>4.51</v>
      </c>
      <c r="G55" s="38">
        <f t="shared" si="1"/>
        <v>3.11</v>
      </c>
      <c r="H55" s="39">
        <f t="shared" si="2"/>
        <v>153.34</v>
      </c>
      <c r="I55" s="42"/>
      <c r="J55" s="88">
        <f t="shared" si="0"/>
        <v>34</v>
      </c>
      <c r="K55" s="38">
        <f t="shared" si="3"/>
        <v>1.71</v>
      </c>
      <c r="L55" s="38">
        <f t="shared" si="4"/>
        <v>58.14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1.71</v>
      </c>
      <c r="T55" s="52">
        <f t="shared" si="6"/>
        <v>58.14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516</v>
      </c>
      <c r="C56" s="6" t="s">
        <v>218</v>
      </c>
      <c r="D56" s="130"/>
      <c r="E56" s="53">
        <v>34</v>
      </c>
      <c r="F56" s="8">
        <v>3.56</v>
      </c>
      <c r="G56" s="9">
        <f t="shared" si="1"/>
        <v>2.46</v>
      </c>
      <c r="H56" s="10">
        <f t="shared" si="2"/>
        <v>121.04</v>
      </c>
      <c r="I56" s="42"/>
      <c r="J56" s="89">
        <f t="shared" si="0"/>
        <v>34</v>
      </c>
      <c r="K56" s="9">
        <f t="shared" si="3"/>
        <v>1.35</v>
      </c>
      <c r="L56" s="9">
        <f t="shared" si="4"/>
        <v>45.9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1.35</v>
      </c>
      <c r="T56" s="14">
        <f t="shared" si="6"/>
        <v>45.9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517</v>
      </c>
      <c r="C57" s="4" t="s">
        <v>547</v>
      </c>
      <c r="D57" s="129"/>
      <c r="E57" s="54">
        <v>34</v>
      </c>
      <c r="F57" s="15">
        <v>3.65</v>
      </c>
      <c r="G57" s="38">
        <f t="shared" si="1"/>
        <v>2.52</v>
      </c>
      <c r="H57" s="39">
        <f t="shared" si="2"/>
        <v>124.1</v>
      </c>
      <c r="I57" s="42"/>
      <c r="J57" s="88">
        <f t="shared" si="0"/>
        <v>34</v>
      </c>
      <c r="K57" s="38">
        <f t="shared" si="3"/>
        <v>1.39</v>
      </c>
      <c r="L57" s="38">
        <f t="shared" si="4"/>
        <v>47.26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1.39</v>
      </c>
      <c r="T57" s="52">
        <f t="shared" si="6"/>
        <v>47.26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 t="s">
        <v>682</v>
      </c>
      <c r="C59" s="4" t="s">
        <v>434</v>
      </c>
      <c r="D59" s="129"/>
      <c r="E59" s="54">
        <v>3</v>
      </c>
      <c r="F59" s="15">
        <v>2061.73</v>
      </c>
      <c r="G59" s="38">
        <f t="shared" si="1"/>
        <v>1421.88</v>
      </c>
      <c r="H59" s="39">
        <f t="shared" si="2"/>
        <v>6185.19</v>
      </c>
      <c r="I59" s="42"/>
      <c r="J59" s="88">
        <f t="shared" si="0"/>
        <v>3</v>
      </c>
      <c r="K59" s="38">
        <f t="shared" si="3"/>
        <v>783.46</v>
      </c>
      <c r="L59" s="38">
        <f t="shared" si="4"/>
        <v>2350.38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783.46</v>
      </c>
      <c r="T59" s="52">
        <f t="shared" si="6"/>
        <v>2350.38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 t="s">
        <v>683</v>
      </c>
      <c r="C60" s="6" t="s">
        <v>684</v>
      </c>
      <c r="D60" s="130"/>
      <c r="E60" s="53">
        <v>3</v>
      </c>
      <c r="F60" s="8">
        <v>224.15</v>
      </c>
      <c r="G60" s="9">
        <f t="shared" ref="G60:G70" si="10">ROUND(IF($F$17="USD $", F60*$E$15,F60*$D$15),2)</f>
        <v>154.59</v>
      </c>
      <c r="H60" s="10">
        <f t="shared" ref="H60:H70" si="11">ROUND(IF($H$17=$G$17,E60*G60,E60*F60),2)</f>
        <v>672.45</v>
      </c>
      <c r="I60" s="42"/>
      <c r="J60" s="89">
        <f t="shared" ref="J60:J70" si="12">E60</f>
        <v>3</v>
      </c>
      <c r="K60" s="9">
        <f t="shared" ref="K60:K70" si="13">IFERROR(IF(M60="OEM DISC %",ROUND(IF($K$17=$F$17,F60*(1-N60),G60*(1-N60)),2),IF(M60="MARKUP %",ROUND(R60/J60*(1+N60),2))),0)</f>
        <v>85.18</v>
      </c>
      <c r="L60" s="9">
        <f t="shared" ref="L60:L70" si="14">ROUND((J60*K60),2)</f>
        <v>255.54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85.18</v>
      </c>
      <c r="T60" s="14">
        <f t="shared" ref="T60:T70" si="17">ROUND(L60-R60,2)</f>
        <v>255.54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 t="s">
        <v>637</v>
      </c>
      <c r="C61" s="4" t="s">
        <v>685</v>
      </c>
      <c r="D61" s="129"/>
      <c r="E61" s="54">
        <v>3</v>
      </c>
      <c r="F61" s="15">
        <v>12.96</v>
      </c>
      <c r="G61" s="38">
        <f t="shared" si="10"/>
        <v>8.94</v>
      </c>
      <c r="H61" s="39">
        <f t="shared" si="11"/>
        <v>38.880000000000003</v>
      </c>
      <c r="I61" s="42"/>
      <c r="J61" s="88">
        <f t="shared" si="12"/>
        <v>3</v>
      </c>
      <c r="K61" s="38">
        <f t="shared" si="13"/>
        <v>4.92</v>
      </c>
      <c r="L61" s="38">
        <f t="shared" si="14"/>
        <v>14.76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4.92</v>
      </c>
      <c r="T61" s="52">
        <f t="shared" si="17"/>
        <v>14.76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3">
      <c r="A62" s="55"/>
      <c r="B62" s="2" t="s">
        <v>636</v>
      </c>
      <c r="C62" s="6" t="s">
        <v>521</v>
      </c>
      <c r="D62" s="130"/>
      <c r="E62" s="53">
        <v>3</v>
      </c>
      <c r="F62" s="8">
        <v>164.9</v>
      </c>
      <c r="G62" s="9">
        <f t="shared" si="10"/>
        <v>113.72</v>
      </c>
      <c r="H62" s="10">
        <f t="shared" si="11"/>
        <v>494.7</v>
      </c>
      <c r="I62" s="42"/>
      <c r="J62" s="89">
        <f t="shared" si="12"/>
        <v>3</v>
      </c>
      <c r="K62" s="9">
        <f t="shared" si="13"/>
        <v>62.66</v>
      </c>
      <c r="L62" s="9">
        <f t="shared" si="14"/>
        <v>187.98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62.66</v>
      </c>
      <c r="T62" s="14">
        <f t="shared" si="17"/>
        <v>187.98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3">
      <c r="A63" s="55"/>
      <c r="B63" s="1" t="s">
        <v>522</v>
      </c>
      <c r="C63" s="4" t="s">
        <v>523</v>
      </c>
      <c r="D63" s="129"/>
      <c r="E63" s="54">
        <v>3</v>
      </c>
      <c r="F63" s="15">
        <v>22.39</v>
      </c>
      <c r="G63" s="38">
        <f t="shared" si="10"/>
        <v>15.44</v>
      </c>
      <c r="H63" s="39">
        <f t="shared" si="11"/>
        <v>67.17</v>
      </c>
      <c r="I63" s="42"/>
      <c r="J63" s="88">
        <f t="shared" si="12"/>
        <v>3</v>
      </c>
      <c r="K63" s="38">
        <f t="shared" si="13"/>
        <v>8.51</v>
      </c>
      <c r="L63" s="38">
        <f t="shared" si="14"/>
        <v>25.53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8.51</v>
      </c>
      <c r="T63" s="52">
        <f t="shared" si="17"/>
        <v>25.53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3">
      <c r="A64" s="55"/>
      <c r="B64" s="2" t="s">
        <v>639</v>
      </c>
      <c r="C64" s="6" t="s">
        <v>438</v>
      </c>
      <c r="D64" s="130"/>
      <c r="E64" s="53">
        <v>6</v>
      </c>
      <c r="F64" s="8">
        <v>7.67</v>
      </c>
      <c r="G64" s="9">
        <f t="shared" si="10"/>
        <v>5.29</v>
      </c>
      <c r="H64" s="10">
        <f t="shared" si="11"/>
        <v>46.02</v>
      </c>
      <c r="I64" s="42"/>
      <c r="J64" s="89">
        <f t="shared" si="12"/>
        <v>6</v>
      </c>
      <c r="K64" s="9">
        <f t="shared" si="13"/>
        <v>2.91</v>
      </c>
      <c r="L64" s="9">
        <f t="shared" si="14"/>
        <v>17.46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2.91</v>
      </c>
      <c r="T64" s="14">
        <f t="shared" si="17"/>
        <v>17.46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3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3">
      <c r="A66" s="55"/>
      <c r="B66" s="2"/>
      <c r="C66" s="6" t="s">
        <v>533</v>
      </c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3">
      <c r="A67" s="55"/>
      <c r="B67" s="1"/>
      <c r="C67" s="4" t="s">
        <v>534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3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3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3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3">
      <c r="A71" s="57"/>
      <c r="B71" s="75"/>
      <c r="C71" s="75"/>
      <c r="D71" s="131" t="s">
        <v>39</v>
      </c>
      <c r="E71" s="77">
        <f>SUM(E18:E70)</f>
        <v>944</v>
      </c>
      <c r="F71" s="78">
        <f>SUM(F18:F70)</f>
        <v>35556.559999999998</v>
      </c>
      <c r="G71" s="79">
        <f>SUM(G18:G70)</f>
        <v>24521.769999999997</v>
      </c>
      <c r="H71" s="80">
        <f>SUM(H18:H70)</f>
        <v>114230.09999999999</v>
      </c>
      <c r="I71" s="81"/>
      <c r="J71" s="82">
        <f>SUM(J18:J70)</f>
        <v>944</v>
      </c>
      <c r="K71" s="79">
        <f>SUM(K18:K70)</f>
        <v>17259.189999999995</v>
      </c>
      <c r="L71" s="80">
        <f>SUM(L18:L70)</f>
        <v>55875.779999999984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17259.189999999995</v>
      </c>
      <c r="T71" s="80">
        <f>SUM(T18:T70)</f>
        <v>55875.779999999984</v>
      </c>
      <c r="U71" s="84"/>
      <c r="V71" s="84"/>
      <c r="W71" s="85"/>
      <c r="X71" s="74"/>
    </row>
    <row r="73" spans="1:28" ht="15" customHeight="1" x14ac:dyDescent="0.3">
      <c r="U7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M18:M70" xr:uid="{1D505C8B-89A2-410E-9257-B9703BF65379}">
      <formula1>$Y$31:$Y$32</formula1>
    </dataValidation>
    <dataValidation type="list" showInputMessage="1" showErrorMessage="1" sqref="D18:D70" xr:uid="{AFDD63C8-B0A4-49FF-BB11-F85437E8A7A8}">
      <formula1>$Z$18:$Z$29</formula1>
    </dataValidation>
    <dataValidation type="list" allowBlank="1" showInputMessage="1" showErrorMessage="1" sqref="I13" xr:uid="{F9512945-B8B0-437D-8C44-3B3CFC45DA29}">
      <formula1>$K$9:$K$9</formula1>
    </dataValidation>
    <dataValidation type="list" allowBlank="1" showInputMessage="1" showErrorMessage="1" sqref="H13" xr:uid="{012C17FD-B145-4F78-B7A4-D52001A9B843}">
      <formula1>$Y$13:$Y$14</formula1>
    </dataValidation>
    <dataValidation type="list" allowBlank="1" showInputMessage="1" showErrorMessage="1" sqref="F17 K17 Q17 Q14" xr:uid="{C5575CEE-99B5-402A-AFB6-03643697CC7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5706-2F1F-4F7C-8BC7-11858649FBB6}">
  <sheetPr>
    <pageSetUpPr fitToPage="1"/>
  </sheetPr>
  <dimension ref="A1:AB64"/>
  <sheetViews>
    <sheetView zoomScale="85" zoomScaleNormal="85" workbookViewId="0">
      <selection activeCell="C27" sqref="C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778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H62</f>
        <v>179151.11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1979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L62</f>
        <v>85366.989999999991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93784.12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779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0.52349170485184271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74" t="s">
        <v>780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T62</f>
        <v>85107.04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R62</f>
        <v>259.95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/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6.5</v>
      </c>
      <c r="Q9" s="231"/>
      <c r="R9" s="232"/>
      <c r="S9" s="170">
        <f>P7+P8+P9</f>
        <v>266.45</v>
      </c>
      <c r="T9" s="170">
        <f>P3-S9</f>
        <v>85100.54</v>
      </c>
      <c r="U9" s="172">
        <f>IFERROR(((P3-S9)/S9),0)</f>
        <v>319.38652655282414</v>
      </c>
      <c r="V9" s="172">
        <f>IFERROR(T9/P3,0)</f>
        <v>0.99687877011945725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E62</f>
        <v>827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686</v>
      </c>
      <c r="C18" s="5" t="s">
        <v>134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687</v>
      </c>
      <c r="C19" s="4" t="s">
        <v>539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387</v>
      </c>
      <c r="C20" s="6" t="s">
        <v>452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688</v>
      </c>
      <c r="C21" s="4" t="s">
        <v>271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689</v>
      </c>
      <c r="C22" s="6" t="s">
        <v>138</v>
      </c>
      <c r="D22" s="130"/>
      <c r="E22" s="53">
        <v>1</v>
      </c>
      <c r="F22" s="8">
        <v>116.66</v>
      </c>
      <c r="G22" s="9">
        <f t="shared" si="1"/>
        <v>80.459999999999994</v>
      </c>
      <c r="H22" s="10">
        <f t="shared" si="2"/>
        <v>116.66</v>
      </c>
      <c r="I22" s="42"/>
      <c r="J22" s="89">
        <f t="shared" si="0"/>
        <v>1</v>
      </c>
      <c r="K22" s="9">
        <f t="shared" si="3"/>
        <v>44.33</v>
      </c>
      <c r="L22" s="9">
        <f t="shared" si="4"/>
        <v>44.33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44.33</v>
      </c>
      <c r="T22" s="14">
        <f t="shared" si="6"/>
        <v>44.33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690</v>
      </c>
      <c r="C23" s="4" t="s">
        <v>140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691</v>
      </c>
      <c r="C24" s="6" t="s">
        <v>142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 t="s">
        <v>692</v>
      </c>
      <c r="C25" s="4" t="s">
        <v>388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396</v>
      </c>
      <c r="C26" s="6" t="s">
        <v>819</v>
      </c>
      <c r="D26" s="130"/>
      <c r="E26" s="53">
        <v>1</v>
      </c>
      <c r="F26" s="8">
        <v>726.37</v>
      </c>
      <c r="G26" s="9">
        <f t="shared" ref="G26" si="10">ROUND(IF($F$17="USD $", F26*$E$15,F26*$D$15),2)</f>
        <v>500.94</v>
      </c>
      <c r="H26" s="10">
        <f t="shared" ref="H26" si="11">ROUND(IF($H$17=$G$17,E26*G26,E26*F26),2)</f>
        <v>726.37</v>
      </c>
      <c r="I26" s="42"/>
      <c r="J26" s="89">
        <f t="shared" ref="J26" si="12">E26</f>
        <v>1</v>
      </c>
      <c r="K26" s="9">
        <f t="shared" ref="K26" si="13">IFERROR(IF(M26="OEM DISC %",ROUND(IF($K$17=$F$17,F26*(1-N26),G26*(1-N26)),2),IF(M26="MARKUP %",ROUND(R26/J26*(1+N26),2))),0)</f>
        <v>292.44</v>
      </c>
      <c r="L26" s="9">
        <f t="shared" ref="L26" si="14">ROUND((J26*K26),2)</f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ref="R26" si="15">ROUND(IF($R$17=$Q$17,Q26,IF($R$17="USD $",Q26*$D$15,Q26*$E$15))*E26,2)</f>
        <v>259.95</v>
      </c>
      <c r="S26" s="14">
        <f t="shared" ref="S26" si="16">IFERROR(ROUND(T26/E26,2),0)</f>
        <v>32.49</v>
      </c>
      <c r="T26" s="14">
        <f t="shared" ref="T26" si="17">ROUND(L26-R26,2)</f>
        <v>32.49</v>
      </c>
      <c r="U26" s="29">
        <f t="shared" ref="U26" si="18">IFERROR(((K26-(R26/J26))/(R26/J26)),0)</f>
        <v>0.12498557414887482</v>
      </c>
      <c r="V26" s="29">
        <f t="shared" ref="V26" si="19">IFERROR(((K26-(R26/J26))/K26),0)</f>
        <v>0.11109971276159215</v>
      </c>
      <c r="W26" s="28"/>
      <c r="X26" s="50"/>
      <c r="Y26" s="61"/>
      <c r="Z26" s="61"/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3">
      <c r="A28" s="55"/>
      <c r="B28" s="2" t="s">
        <v>715</v>
      </c>
      <c r="C28" s="6" t="s">
        <v>716</v>
      </c>
      <c r="D28" s="130"/>
      <c r="E28" s="53">
        <v>1</v>
      </c>
      <c r="F28" s="8">
        <v>6725.5</v>
      </c>
      <c r="G28" s="9">
        <f t="shared" ref="G28:G33" si="20">ROUND(IF($F$17="USD $", F28*$E$15,F28*$D$15),2)</f>
        <v>4638.28</v>
      </c>
      <c r="H28" s="10">
        <f t="shared" ref="H28:H33" si="21">ROUND(IF($H$17=$G$17,E28*G28,E28*F28),2)</f>
        <v>6725.5</v>
      </c>
      <c r="I28" s="42"/>
      <c r="J28" s="89">
        <f t="shared" ref="J28:J33" si="22">E28</f>
        <v>1</v>
      </c>
      <c r="K28" s="9">
        <f t="shared" ref="K28:K33" si="23">IFERROR(IF(M28="OEM DISC %",ROUND(IF($K$17=$F$17,F28*(1-N28),G28*(1-N28)),2),IF(M28="MARKUP %",ROUND(R28/J28*(1+N28),2))),0)</f>
        <v>3362.75</v>
      </c>
      <c r="L28" s="9">
        <f t="shared" ref="L28:L33" si="2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25">ROUND(IF($R$17=$Q$17,Q28,IF($R$17="USD $",Q28*$D$15,Q28*$E$15))*E28,2)</f>
        <v>0</v>
      </c>
      <c r="S28" s="14">
        <f t="shared" ref="S28:S33" si="26">IFERROR(ROUND(T28/E28,2),0)</f>
        <v>3362.75</v>
      </c>
      <c r="T28" s="14">
        <f t="shared" ref="T28:T33" si="27">ROUND(L28-R28,2)</f>
        <v>3362.75</v>
      </c>
      <c r="U28" s="29">
        <f t="shared" ref="U28:U33" si="28">IFERROR(((K28-(R28/J28))/(R28/J28)),0)</f>
        <v>0</v>
      </c>
      <c r="V28" s="29">
        <f t="shared" ref="V28:V33" si="2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3">
      <c r="A29" s="55"/>
      <c r="B29" s="1" t="s">
        <v>717</v>
      </c>
      <c r="C29" s="4" t="s">
        <v>718</v>
      </c>
      <c r="D29" s="129"/>
      <c r="E29" s="54">
        <v>1</v>
      </c>
      <c r="F29" s="15">
        <v>3141.67</v>
      </c>
      <c r="G29" s="38">
        <f t="shared" si="20"/>
        <v>2166.67</v>
      </c>
      <c r="H29" s="39">
        <f t="shared" si="21"/>
        <v>3141.67</v>
      </c>
      <c r="I29" s="42"/>
      <c r="J29" s="88">
        <f t="shared" si="22"/>
        <v>1</v>
      </c>
      <c r="K29" s="38">
        <f t="shared" si="23"/>
        <v>1570.84</v>
      </c>
      <c r="L29" s="38">
        <f t="shared" si="2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25"/>
        <v>0</v>
      </c>
      <c r="S29" s="52">
        <f t="shared" si="26"/>
        <v>1570.84</v>
      </c>
      <c r="T29" s="52">
        <f t="shared" si="27"/>
        <v>1570.84</v>
      </c>
      <c r="U29" s="41">
        <f t="shared" si="28"/>
        <v>0</v>
      </c>
      <c r="V29" s="41">
        <f t="shared" si="29"/>
        <v>1</v>
      </c>
      <c r="W29" s="28"/>
      <c r="X29" s="50"/>
      <c r="Y29" s="61"/>
      <c r="Z29" s="61"/>
      <c r="AA29" s="61"/>
      <c r="AB29" s="61"/>
    </row>
    <row r="30" spans="1:28" x14ac:dyDescent="0.3">
      <c r="A30" s="55"/>
      <c r="B30" s="2" t="s">
        <v>719</v>
      </c>
      <c r="C30" s="6" t="s">
        <v>171</v>
      </c>
      <c r="D30" s="130"/>
      <c r="E30" s="53">
        <v>1</v>
      </c>
      <c r="F30" s="8">
        <v>17640.77</v>
      </c>
      <c r="G30" s="9">
        <f t="shared" si="20"/>
        <v>12166.05</v>
      </c>
      <c r="H30" s="10">
        <f t="shared" si="21"/>
        <v>17640.77</v>
      </c>
      <c r="I30" s="42"/>
      <c r="J30" s="89">
        <f t="shared" si="22"/>
        <v>1</v>
      </c>
      <c r="K30" s="9">
        <f t="shared" si="23"/>
        <v>8820.39</v>
      </c>
      <c r="L30" s="9">
        <f t="shared" si="2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25"/>
        <v>0</v>
      </c>
      <c r="S30" s="14">
        <f t="shared" si="26"/>
        <v>8820.39</v>
      </c>
      <c r="T30" s="14">
        <f t="shared" si="27"/>
        <v>8820.39</v>
      </c>
      <c r="U30" s="29">
        <f t="shared" si="28"/>
        <v>0</v>
      </c>
      <c r="V30" s="29">
        <f t="shared" si="29"/>
        <v>1</v>
      </c>
      <c r="W30" s="28"/>
      <c r="X30" s="50"/>
      <c r="Y30" s="61"/>
      <c r="Z30" s="61"/>
      <c r="AA30" s="61"/>
      <c r="AB30" s="61"/>
    </row>
    <row r="31" spans="1:28" x14ac:dyDescent="0.3">
      <c r="A31" s="55"/>
      <c r="B31" s="1" t="s">
        <v>720</v>
      </c>
      <c r="C31" s="4" t="s">
        <v>173</v>
      </c>
      <c r="D31" s="129"/>
      <c r="E31" s="54">
        <v>1</v>
      </c>
      <c r="F31" s="15">
        <v>7409.03</v>
      </c>
      <c r="G31" s="38">
        <f t="shared" si="20"/>
        <v>5109.68</v>
      </c>
      <c r="H31" s="39">
        <f t="shared" si="21"/>
        <v>7409.03</v>
      </c>
      <c r="I31" s="42"/>
      <c r="J31" s="88">
        <f t="shared" si="22"/>
        <v>1</v>
      </c>
      <c r="K31" s="38">
        <f t="shared" si="23"/>
        <v>3704.52</v>
      </c>
      <c r="L31" s="38">
        <f t="shared" si="2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25"/>
        <v>0</v>
      </c>
      <c r="S31" s="52">
        <f t="shared" si="26"/>
        <v>3704.52</v>
      </c>
      <c r="T31" s="52">
        <f t="shared" si="27"/>
        <v>3704.52</v>
      </c>
      <c r="U31" s="41">
        <f t="shared" si="28"/>
        <v>0</v>
      </c>
      <c r="V31" s="41">
        <f t="shared" si="29"/>
        <v>1</v>
      </c>
      <c r="W31" s="28"/>
      <c r="X31" s="50"/>
      <c r="Y31" s="61"/>
      <c r="Z31" s="61"/>
      <c r="AA31" s="61"/>
      <c r="AB31" s="61"/>
    </row>
    <row r="32" spans="1:28" x14ac:dyDescent="0.3">
      <c r="A32" s="55"/>
      <c r="B32" s="2" t="s">
        <v>721</v>
      </c>
      <c r="C32" s="6" t="s">
        <v>722</v>
      </c>
      <c r="D32" s="130"/>
      <c r="E32" s="53">
        <v>1</v>
      </c>
      <c r="F32" s="8">
        <v>6518.5</v>
      </c>
      <c r="G32" s="9">
        <f t="shared" si="20"/>
        <v>4495.5200000000004</v>
      </c>
      <c r="H32" s="10">
        <f t="shared" si="21"/>
        <v>6518.5</v>
      </c>
      <c r="I32" s="42"/>
      <c r="J32" s="89">
        <f t="shared" si="22"/>
        <v>1</v>
      </c>
      <c r="K32" s="9">
        <f t="shared" si="23"/>
        <v>3259.25</v>
      </c>
      <c r="L32" s="9">
        <f t="shared" si="2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25"/>
        <v>0</v>
      </c>
      <c r="S32" s="14">
        <f t="shared" si="26"/>
        <v>3259.25</v>
      </c>
      <c r="T32" s="14">
        <f t="shared" si="27"/>
        <v>3259.25</v>
      </c>
      <c r="U32" s="29">
        <f t="shared" si="28"/>
        <v>0</v>
      </c>
      <c r="V32" s="29">
        <f t="shared" si="29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723</v>
      </c>
      <c r="C33" s="4" t="s">
        <v>724</v>
      </c>
      <c r="D33" s="129"/>
      <c r="E33" s="54">
        <v>6</v>
      </c>
      <c r="F33" s="15">
        <v>500.81</v>
      </c>
      <c r="G33" s="38">
        <f t="shared" si="20"/>
        <v>345.39</v>
      </c>
      <c r="H33" s="39">
        <f t="shared" si="21"/>
        <v>3004.86</v>
      </c>
      <c r="I33" s="42"/>
      <c r="J33" s="88">
        <f t="shared" si="22"/>
        <v>6</v>
      </c>
      <c r="K33" s="38">
        <f t="shared" si="23"/>
        <v>250.41</v>
      </c>
      <c r="L33" s="38">
        <f t="shared" si="2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25"/>
        <v>0</v>
      </c>
      <c r="S33" s="52">
        <f t="shared" si="26"/>
        <v>250.41</v>
      </c>
      <c r="T33" s="52">
        <f t="shared" si="27"/>
        <v>1502.46</v>
      </c>
      <c r="U33" s="41">
        <f t="shared" si="28"/>
        <v>0</v>
      </c>
      <c r="V33" s="41">
        <f t="shared" si="29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693</v>
      </c>
      <c r="C35" s="4" t="s">
        <v>401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3">
      <c r="A36" s="55"/>
      <c r="B36" s="2" t="s">
        <v>694</v>
      </c>
      <c r="C36" s="6" t="s">
        <v>206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3">
      <c r="A37" s="55"/>
      <c r="B37" s="1" t="s">
        <v>492</v>
      </c>
      <c r="C37" s="4" t="s">
        <v>326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3">
      <c r="A38" s="55"/>
      <c r="B38" s="2" t="s">
        <v>695</v>
      </c>
      <c r="C38" s="6" t="s">
        <v>696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3">
      <c r="A39" s="55"/>
      <c r="B39" s="1" t="s">
        <v>697</v>
      </c>
      <c r="C39" s="4" t="s">
        <v>154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3">
      <c r="A40" s="55"/>
      <c r="B40" s="2" t="s">
        <v>698</v>
      </c>
      <c r="C40" s="6" t="s">
        <v>156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3">
      <c r="A42" s="55"/>
      <c r="B42" s="2" t="s">
        <v>699</v>
      </c>
      <c r="C42" s="6" t="s">
        <v>208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700</v>
      </c>
      <c r="C43" s="4" t="s">
        <v>701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3">
      <c r="A44" s="55"/>
      <c r="B44" s="2" t="s">
        <v>702</v>
      </c>
      <c r="C44" s="6" t="s">
        <v>703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3">
      <c r="A46" s="55"/>
      <c r="B46" s="2" t="s">
        <v>704</v>
      </c>
      <c r="C46" s="6" t="s">
        <v>555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705</v>
      </c>
      <c r="C47" s="4" t="s">
        <v>706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707</v>
      </c>
      <c r="C48" s="6" t="s">
        <v>559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708</v>
      </c>
      <c r="C49" s="4" t="s">
        <v>161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709</v>
      </c>
      <c r="C50" s="6" t="s">
        <v>255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710</v>
      </c>
      <c r="C51" s="4" t="s">
        <v>562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711</v>
      </c>
      <c r="C52" s="6" t="s">
        <v>564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712</v>
      </c>
      <c r="C54" s="6" t="s">
        <v>713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714</v>
      </c>
      <c r="C55" s="4" t="s">
        <v>434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683</v>
      </c>
      <c r="C56" s="6" t="s">
        <v>635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637</v>
      </c>
      <c r="C57" s="4" t="s">
        <v>521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 t="s">
        <v>522</v>
      </c>
      <c r="C58" s="6" t="s">
        <v>657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 t="s">
        <v>725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3">
      <c r="A61" s="55"/>
      <c r="B61" s="1"/>
      <c r="C61" s="4" t="s">
        <v>726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3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104780.65000000001</v>
      </c>
      <c r="G62" s="79">
        <f>SUM(G18:G61)</f>
        <v>72262.540000000008</v>
      </c>
      <c r="H62" s="80">
        <f>SUM(H18:H61)</f>
        <v>179151.11</v>
      </c>
      <c r="I62" s="81"/>
      <c r="J62" s="82">
        <f>SUM(J18:J61)</f>
        <v>827</v>
      </c>
      <c r="K62" s="79">
        <f>SUM(K18:K61)</f>
        <v>48179.490000000005</v>
      </c>
      <c r="L62" s="80">
        <f>SUM(L18:L61)</f>
        <v>85366.989999999991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47919.540000000008</v>
      </c>
      <c r="T62" s="80">
        <f>SUM(T18:T61)</f>
        <v>85107.04</v>
      </c>
      <c r="U62" s="84"/>
      <c r="V62" s="84"/>
      <c r="W62" s="85"/>
      <c r="X62" s="74"/>
    </row>
    <row r="64" spans="1:28" ht="15" customHeight="1" x14ac:dyDescent="0.3">
      <c r="U64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I13" xr:uid="{A32C634E-64CD-471F-A2D1-3E982B5EFA2F}">
      <formula1>$K$9:$K$9</formula1>
    </dataValidation>
    <dataValidation type="list" allowBlank="1" showInputMessage="1" showErrorMessage="1" sqref="H13" xr:uid="{BC424D13-32EE-4CDD-85A1-D30F5B6BA473}">
      <formula1>$Y$13:$Y$14</formula1>
    </dataValidation>
    <dataValidation type="list" allowBlank="1" showInputMessage="1" showErrorMessage="1" sqref="F17 K17 Q17 Q14" xr:uid="{D69F2C6A-A0D1-4818-9CD9-D66DEDE044ED}">
      <formula1>$Y$11:$Y$12</formula1>
    </dataValidation>
    <dataValidation type="list" allowBlank="1" showInputMessage="1" showErrorMessage="1" sqref="M18:M61" xr:uid="{CB1068B3-7171-4916-9E46-BBBA69E357AD}">
      <formula1>$Y$40:$Y$41</formula1>
    </dataValidation>
    <dataValidation type="list" showInputMessage="1" showErrorMessage="1" sqref="D18:D61" xr:uid="{CB5C07BC-DFCA-4E3D-8B06-4399DB710A23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131-8CBE-4E5E-8155-E3AF7659E77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767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191536.52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2005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95285.81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96250.709999999992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0.50251884079339015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769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95070.91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12853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95065.54</v>
      </c>
      <c r="U9" s="172">
        <f>IFERROR(((P3-S9)/S9),0)</f>
        <v>431.58641667044986</v>
      </c>
      <c r="V9" s="172">
        <f>IFERROR(T9/P3,0)</f>
        <v>0.99768832316165434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732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3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5"/>
      <c r="D58" s="128"/>
      <c r="E58" s="53"/>
      <c r="F58" s="8"/>
      <c r="G58" s="9">
        <f t="shared" ref="G58:G59" si="10">ROUND(IF($F$17="USD $", F58*$E$15,F58*$D$15),2)</f>
        <v>0</v>
      </c>
      <c r="H58" s="10">
        <f t="shared" ref="H58:H59" si="11">ROUND(IF($H$17=$G$17,E58*G58,E58*F58),2)</f>
        <v>0</v>
      </c>
      <c r="I58" s="11"/>
      <c r="J58" s="89">
        <f t="shared" ref="J58:J59" si="12">E58</f>
        <v>0</v>
      </c>
      <c r="K58" s="9">
        <f t="shared" ref="K58:K59" si="13">IFERROR(IF(M58="OEM DISC %",ROUND(IF($K$17=$F$17,F58*(1-N58),G58*(1-N58)),2),IF(M58="MARKUP %",ROUND(R58/J58*(1+N58),2))),0)</f>
        <v>0</v>
      </c>
      <c r="L58" s="9">
        <f t="shared" ref="L58:L59" si="14">ROUND((J58*K58),2)</f>
        <v>0</v>
      </c>
      <c r="M58" s="8" t="s">
        <v>120</v>
      </c>
      <c r="N58" s="36"/>
      <c r="O58" s="51"/>
      <c r="P58" s="2"/>
      <c r="Q58" s="13"/>
      <c r="R58" s="14">
        <f t="shared" ref="R58:R59" si="15">ROUND(IF($R$17=$Q$17,Q58,IF($R$17="USD $",Q58*$D$15,Q58*$E$15))*E58,2)</f>
        <v>0</v>
      </c>
      <c r="S58" s="14">
        <f t="shared" ref="S58:S59" si="16">IFERROR(ROUND(T58/E58,2),0)</f>
        <v>0</v>
      </c>
      <c r="T58" s="14">
        <f t="shared" ref="T58:T59" si="17">ROUND(L58-R58,2)</f>
        <v>0</v>
      </c>
      <c r="U58" s="29">
        <f t="shared" ref="U58:U59" si="18">IFERROR(((K58-(R58/J58))/(R58/J58)),0)</f>
        <v>0</v>
      </c>
      <c r="V58" s="29">
        <f t="shared" ref="V58:V59" si="19">IFERROR(((K58-(R58/J58))/K58),0)</f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 t="s">
        <v>533</v>
      </c>
      <c r="D59" s="129"/>
      <c r="E59" s="54"/>
      <c r="F59" s="15"/>
      <c r="G59" s="38">
        <f t="shared" si="10"/>
        <v>0</v>
      </c>
      <c r="H59" s="39">
        <f t="shared" si="11"/>
        <v>0</v>
      </c>
      <c r="I59" s="42"/>
      <c r="J59" s="88">
        <f t="shared" si="12"/>
        <v>0</v>
      </c>
      <c r="K59" s="38">
        <f t="shared" si="13"/>
        <v>0</v>
      </c>
      <c r="L59" s="38">
        <f t="shared" si="14"/>
        <v>0</v>
      </c>
      <c r="M59" s="132" t="s">
        <v>120</v>
      </c>
      <c r="N59" s="16"/>
      <c r="O59" s="51"/>
      <c r="P59" s="1"/>
      <c r="Q59" s="15"/>
      <c r="R59" s="40">
        <f t="shared" si="15"/>
        <v>0</v>
      </c>
      <c r="S59" s="52">
        <f t="shared" si="16"/>
        <v>0</v>
      </c>
      <c r="T59" s="52">
        <f t="shared" si="17"/>
        <v>0</v>
      </c>
      <c r="U59" s="41">
        <f t="shared" si="18"/>
        <v>0</v>
      </c>
      <c r="V59" s="41">
        <f t="shared" si="19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I13" xr:uid="{44FA74FE-D9E3-41CF-8F6C-4DD584954C0F}">
      <formula1>$K$9:$K$9</formula1>
    </dataValidation>
    <dataValidation type="list" allowBlank="1" showInputMessage="1" showErrorMessage="1" sqref="H13" xr:uid="{8E80A6A4-E2F8-456C-89DB-F88A49D366F8}">
      <formula1>$Y$13:$Y$14</formula1>
    </dataValidation>
    <dataValidation type="list" allowBlank="1" showInputMessage="1" showErrorMessage="1" sqref="F17 K17 Q17 Q14" xr:uid="{F67277BE-8D30-4BC2-92A2-D1E12D46B6E2}">
      <formula1>$Y$11:$Y$12</formula1>
    </dataValidation>
    <dataValidation type="list" allowBlank="1" showInputMessage="1" showErrorMessage="1" sqref="M18:M60" xr:uid="{A4C817C8-7214-4085-B7BD-1B911375AFD8}">
      <formula1>$Y$31:$Y$31</formula1>
    </dataValidation>
    <dataValidation type="list" showInputMessage="1" showErrorMessage="1" sqref="D18:D60" xr:uid="{4D238120-0C82-4D55-A559-07BCB04ADD7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D04-71F0-4AE6-9928-7974F3B79AA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770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191536.52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2005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95285.81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96250.709999999992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0.50251884079339015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771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95070.91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14951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95065.54</v>
      </c>
      <c r="U9" s="172">
        <f>IFERROR(((P3-S9)/S9),0)</f>
        <v>431.58641667044986</v>
      </c>
      <c r="V9" s="172">
        <f>IFERROR(T9/P3,0)</f>
        <v>0.99768832316165434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732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3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showInputMessage="1" showErrorMessage="1" sqref="D18:D60" xr:uid="{47E3B69B-BA31-42FB-8262-3317DCEB0F1F}">
      <formula1>$Z$18:$Z$29</formula1>
    </dataValidation>
    <dataValidation type="list" allowBlank="1" showInputMessage="1" showErrorMessage="1" sqref="M18:M60" xr:uid="{FE5D0CA8-7C33-48EE-8E56-749C9FD3F3AF}">
      <formula1>$Y$31:$Y$31</formula1>
    </dataValidation>
    <dataValidation type="list" allowBlank="1" showInputMessage="1" showErrorMessage="1" sqref="F17 K17 Q17 Q14" xr:uid="{647072E0-2391-4A0B-9325-34EAB664E317}">
      <formula1>$Y$11:$Y$12</formula1>
    </dataValidation>
    <dataValidation type="list" allowBlank="1" showInputMessage="1" showErrorMessage="1" sqref="H13" xr:uid="{55FC1E43-3676-4AE6-A100-9A0A348057CC}">
      <formula1>$Y$13:$Y$14</formula1>
    </dataValidation>
    <dataValidation type="list" allowBlank="1" showInputMessage="1" showErrorMessage="1" sqref="I13" xr:uid="{608C4699-AAB0-4C23-A34E-1EC53097AC52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F95-765D-4A81-829D-BE019F2E183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772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191536.52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2006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95285.81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96250.709999999992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0.50251884079339015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773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95070.91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588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95065.54</v>
      </c>
      <c r="U9" s="172">
        <f>IFERROR(((P3-S9)/S9),0)</f>
        <v>431.58641667044986</v>
      </c>
      <c r="V9" s="172">
        <f>IFERROR(T9/P3,0)</f>
        <v>0.99768832316165434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732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3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I13" xr:uid="{6A288136-6EFD-4B3A-9D13-BB7C1B209CB2}">
      <formula1>$K$9:$K$9</formula1>
    </dataValidation>
    <dataValidation type="list" allowBlank="1" showInputMessage="1" showErrorMessage="1" sqref="H13" xr:uid="{98E4CC6D-AB0D-4653-92B7-FFEA17BFCD2E}">
      <formula1>$Y$13:$Y$14</formula1>
    </dataValidation>
    <dataValidation type="list" allowBlank="1" showInputMessage="1" showErrorMessage="1" sqref="F17 K17 Q17 Q14" xr:uid="{059A35A1-57DA-4413-9B6A-B0C238964620}">
      <formula1>$Y$11:$Y$12</formula1>
    </dataValidation>
    <dataValidation type="list" allowBlank="1" showInputMessage="1" showErrorMessage="1" sqref="M18:M60" xr:uid="{BEBE3766-6CBA-4617-984F-98706FD4ECE6}">
      <formula1>$Y$31:$Y$31</formula1>
    </dataValidation>
    <dataValidation type="list" showInputMessage="1" showErrorMessage="1" sqref="D18:D60" xr:uid="{B6741141-F062-4258-9886-14F5ED70DA7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6C8-04DB-4AE3-AF54-9B024F5BDE01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774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191536.52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2007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95285.81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96250.709999999992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0.50251884079339015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775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95070.91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11660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95065.54</v>
      </c>
      <c r="U9" s="172">
        <f>IFERROR(((P3-S9)/S9),0)</f>
        <v>431.58641667044986</v>
      </c>
      <c r="V9" s="172">
        <f>IFERROR(T9/P3,0)</f>
        <v>0.99768832316165434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732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3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showInputMessage="1" showErrorMessage="1" sqref="D18:D60" xr:uid="{5A80B64B-E53C-4054-832F-7E5CFF38EB03}">
      <formula1>$Z$18:$Z$29</formula1>
    </dataValidation>
    <dataValidation type="list" allowBlank="1" showInputMessage="1" showErrorMessage="1" sqref="M18:M60" xr:uid="{2F76C16B-22B6-40D5-8CE9-0B5293EAF77F}">
      <formula1>$Y$31:$Y$31</formula1>
    </dataValidation>
    <dataValidation type="list" allowBlank="1" showInputMessage="1" showErrorMessage="1" sqref="F17 K17 Q17 Q14" xr:uid="{A48AA027-ACCD-473F-938C-B26CC1722163}">
      <formula1>$Y$11:$Y$12</formula1>
    </dataValidation>
    <dataValidation type="list" allowBlank="1" showInputMessage="1" showErrorMessage="1" sqref="H13" xr:uid="{6A01F20C-C10C-42B7-917B-3BD7173A32E2}">
      <formula1>$Y$13:$Y$14</formula1>
    </dataValidation>
    <dataValidation type="list" allowBlank="1" showInputMessage="1" showErrorMessage="1" sqref="I13" xr:uid="{3508FCDB-BD9E-4286-B1DD-6416C98AE894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948E-E47A-455D-9E63-62BFAB5E06C1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776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191536.52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2007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95285.81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96250.709999999992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768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0.50251884079339015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777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95070.91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214.9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12059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5.37</v>
      </c>
      <c r="Q9" s="231"/>
      <c r="R9" s="232"/>
      <c r="S9" s="170">
        <f>P7+P8+P9</f>
        <v>220.27</v>
      </c>
      <c r="T9" s="170">
        <f>P3-S9</f>
        <v>95065.54</v>
      </c>
      <c r="U9" s="172">
        <f>IFERROR(((P3-S9)/S9),0)</f>
        <v>431.58641667044986</v>
      </c>
      <c r="V9" s="172">
        <f>IFERROR(T9/P3,0)</f>
        <v>0.99768832316165434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732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3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3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3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3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3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3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I13" xr:uid="{AD0FCF2A-C6EB-4DEB-85E2-7F0B02630F10}">
      <formula1>$K$9:$K$9</formula1>
    </dataValidation>
    <dataValidation type="list" allowBlank="1" showInputMessage="1" showErrorMessage="1" sqref="H13" xr:uid="{0F990436-C037-4EDD-B04F-534095892163}">
      <formula1>$Y$13:$Y$14</formula1>
    </dataValidation>
    <dataValidation type="list" allowBlank="1" showInputMessage="1" showErrorMessage="1" sqref="F17 K17 Q17 Q14" xr:uid="{7D029F41-B30C-476A-94DB-E2202582DC89}">
      <formula1>$Y$11:$Y$12</formula1>
    </dataValidation>
    <dataValidation type="list" allowBlank="1" showInputMessage="1" showErrorMessage="1" sqref="M18:M60" xr:uid="{922E5756-FF51-4F64-B7CF-647AFE2C7FAF}">
      <formula1>$Y$31:$Y$31</formula1>
    </dataValidation>
    <dataValidation type="list" showInputMessage="1" showErrorMessage="1" sqref="D18:D60" xr:uid="{077B2FA0-7E5C-49BC-AF84-F0445E044AD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81-EAEB-426E-AFCF-FFC6B09859F0}">
  <sheetPr>
    <pageSetUpPr fitToPage="1"/>
  </sheetPr>
  <dimension ref="A1:AB63"/>
  <sheetViews>
    <sheetView topLeftCell="A26" zoomScale="85" zoomScaleNormal="85" workbookViewId="0">
      <selection activeCell="F43" sqref="F4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760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116567.99999999999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58188.930000000008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58379.069999999978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761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0.50081557545810163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764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58188.930000000008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5798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58188.930000000008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877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60" xr:uid="{68A27CA4-5826-4512-AF5E-463D2305BD1A}">
      <formula1>$Y$31:$Y$32</formula1>
    </dataValidation>
    <dataValidation type="list" showInputMessage="1" showErrorMessage="1" sqref="D18:D60" xr:uid="{6A64A6DC-797C-4C1F-94A7-78CF02CA1231}">
      <formula1>$Z$18:$Z$29</formula1>
    </dataValidation>
    <dataValidation type="list" allowBlank="1" showInputMessage="1" showErrorMessage="1" sqref="I13" xr:uid="{84095A76-8987-4C38-91FF-CDCCB1539D03}">
      <formula1>$K$9:$K$9</formula1>
    </dataValidation>
    <dataValidation type="list" allowBlank="1" showInputMessage="1" showErrorMessage="1" sqref="H13" xr:uid="{38FC8B19-5881-4371-B7B8-6F8537B1B43C}">
      <formula1>$Y$13:$Y$14</formula1>
    </dataValidation>
    <dataValidation type="list" allowBlank="1" showInputMessage="1" showErrorMessage="1" sqref="F17 K17 Q17 Q14" xr:uid="{62FFC760-F2D1-4DB9-8BE7-98F5563D344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7657-5C15-4FAE-A6A3-4D1261572E78}">
  <sheetPr>
    <pageSetUpPr fitToPage="1"/>
  </sheetPr>
  <dimension ref="A1:AB63"/>
  <sheetViews>
    <sheetView topLeftCell="A17" zoomScale="85" zoomScaleNormal="85" workbookViewId="0">
      <selection activeCell="F43" sqref="F4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762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116567.99999999999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58188.930000000008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58379.069999999978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761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0.50081557545810163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763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58188.930000000008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5552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58188.930000000008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877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EA6DE43D-0FDB-4CE9-816C-7862B8042E44}">
      <formula1>$Y$11:$Y$12</formula1>
    </dataValidation>
    <dataValidation type="list" allowBlank="1" showInputMessage="1" showErrorMessage="1" sqref="H13" xr:uid="{5B07C799-F65B-4AEA-97C3-0DFC1B3688D8}">
      <formula1>$Y$13:$Y$14</formula1>
    </dataValidation>
    <dataValidation type="list" allowBlank="1" showInputMessage="1" showErrorMessage="1" sqref="I13" xr:uid="{68BE6784-D823-408E-A086-ECEB919D3D53}">
      <formula1>$K$9:$K$9</formula1>
    </dataValidation>
    <dataValidation type="list" showInputMessage="1" showErrorMessage="1" sqref="D18:D60" xr:uid="{1B5F1D65-762B-46B7-977D-D0B58A5C0728}">
      <formula1>$Z$18:$Z$29</formula1>
    </dataValidation>
    <dataValidation type="list" allowBlank="1" showInputMessage="1" showErrorMessage="1" sqref="M18:M60" xr:uid="{A752C157-7634-4667-9098-E654F58BF41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6FEE-7B45-4863-816B-3DC98B9C4516}">
  <sheetPr>
    <pageSetUpPr fitToPage="1"/>
  </sheetPr>
  <dimension ref="A1:AB63"/>
  <sheetViews>
    <sheetView topLeftCell="A12" zoomScale="85" zoomScaleNormal="85" workbookViewId="0">
      <selection activeCell="F43" sqref="F4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 t="s">
        <v>766</v>
      </c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116567.99999999999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>
        <v>2013</v>
      </c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58188.930000000008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 t="s">
        <v>129</v>
      </c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58379.069999999978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 t="s">
        <v>761</v>
      </c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>
        <f>IFERROR((P2-P3)/P2,"")</f>
        <v>0.50081557545810163</v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 t="s">
        <v>765</v>
      </c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58188.930000000008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>
        <v>4762</v>
      </c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58188.930000000008</v>
      </c>
      <c r="U9" s="172">
        <f>IFERROR(((P3-S9)/S9),0)</f>
        <v>0</v>
      </c>
      <c r="V9" s="172">
        <f>IFERROR(T9/P3,0)</f>
        <v>1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877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60" xr:uid="{7BA0442F-9DB9-4FB0-8E4D-C0BCDE06D952}">
      <formula1>$Y$31:$Y$32</formula1>
    </dataValidation>
    <dataValidation type="list" showInputMessage="1" showErrorMessage="1" sqref="D18:D60" xr:uid="{ACC24588-99F3-4436-AB5F-57B7059D55FA}">
      <formula1>$Z$18:$Z$29</formula1>
    </dataValidation>
    <dataValidation type="list" allowBlank="1" showInputMessage="1" showErrorMessage="1" sqref="I13" xr:uid="{DED47FB3-7D02-4AA9-B150-F8D2FE5DF68C}">
      <formula1>$K$9:$K$9</formula1>
    </dataValidation>
    <dataValidation type="list" allowBlank="1" showInputMessage="1" showErrorMessage="1" sqref="H13" xr:uid="{848EAB6C-1859-468B-90B5-A5F694EF84D5}">
      <formula1>$Y$13:$Y$14</formula1>
    </dataValidation>
    <dataValidation type="list" allowBlank="1" showInputMessage="1" showErrorMessage="1" sqref="F17 K17 Q17 Q14" xr:uid="{8B76A88C-0FEA-4565-8F41-431244D637B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C545-F7F9-4FFE-B2EB-71CE80F2398C}">
  <sheetPr>
    <pageSetUpPr fitToPage="1"/>
  </sheetPr>
  <dimension ref="A1:AB63"/>
  <sheetViews>
    <sheetView topLeftCell="A26" zoomScale="85" zoomScaleNormal="85" workbookViewId="0">
      <selection activeCell="M26" sqref="M26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47" t="s">
        <v>42</v>
      </c>
      <c r="C1" s="164"/>
      <c r="D1" s="273" t="s">
        <v>18</v>
      </c>
      <c r="E1" s="142"/>
      <c r="F1" s="142"/>
      <c r="G1" s="143"/>
      <c r="H1" s="164" t="s">
        <v>22</v>
      </c>
      <c r="I1" s="142"/>
      <c r="J1" s="142"/>
      <c r="K1" s="143"/>
      <c r="L1" s="140" t="s">
        <v>26</v>
      </c>
      <c r="M1" s="141"/>
      <c r="N1" s="141"/>
      <c r="O1" s="141"/>
      <c r="P1" s="142" t="str">
        <f>K17</f>
        <v>CAD $</v>
      </c>
      <c r="Q1" s="142"/>
      <c r="R1" s="143"/>
      <c r="S1" s="164" t="s">
        <v>78</v>
      </c>
      <c r="T1" s="142"/>
      <c r="U1" s="142"/>
      <c r="V1" s="142"/>
      <c r="W1" s="14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 t="s">
        <v>122</v>
      </c>
      <c r="D2" s="248" t="s">
        <v>41</v>
      </c>
      <c r="E2" s="250"/>
      <c r="F2" s="251"/>
      <c r="G2" s="252"/>
      <c r="H2" s="248" t="s">
        <v>21</v>
      </c>
      <c r="I2" s="249"/>
      <c r="J2" s="250"/>
      <c r="K2" s="34"/>
      <c r="L2" s="233" t="s">
        <v>19</v>
      </c>
      <c r="M2" s="234"/>
      <c r="N2" s="235"/>
      <c r="O2" s="120"/>
      <c r="P2" s="146">
        <f>H61</f>
        <v>0</v>
      </c>
      <c r="Q2" s="146"/>
      <c r="R2" s="147"/>
      <c r="S2" s="213" t="s">
        <v>23</v>
      </c>
      <c r="T2" s="214"/>
      <c r="U2" s="176"/>
      <c r="V2" s="17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 t="s">
        <v>123</v>
      </c>
      <c r="D3" s="242" t="s">
        <v>13</v>
      </c>
      <c r="E3" s="244"/>
      <c r="F3" s="245"/>
      <c r="G3" s="246"/>
      <c r="H3" s="242" t="s">
        <v>20</v>
      </c>
      <c r="I3" s="243"/>
      <c r="J3" s="244"/>
      <c r="K3" s="32"/>
      <c r="L3" s="236" t="s">
        <v>24</v>
      </c>
      <c r="M3" s="237"/>
      <c r="N3" s="238"/>
      <c r="O3" s="120"/>
      <c r="P3" s="148">
        <f>L61</f>
        <v>0</v>
      </c>
      <c r="Q3" s="148"/>
      <c r="R3" s="149"/>
      <c r="S3" s="159" t="s">
        <v>62</v>
      </c>
      <c r="T3" s="161"/>
      <c r="U3" s="218"/>
      <c r="V3" s="21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84</v>
      </c>
      <c r="C4" s="4" t="s">
        <v>124</v>
      </c>
      <c r="D4" s="242" t="s">
        <v>14</v>
      </c>
      <c r="E4" s="244"/>
      <c r="F4" s="245"/>
      <c r="G4" s="246"/>
      <c r="H4" s="242" t="s">
        <v>28</v>
      </c>
      <c r="I4" s="243"/>
      <c r="J4" s="244"/>
      <c r="K4" s="32"/>
      <c r="L4" s="236" t="s">
        <v>27</v>
      </c>
      <c r="M4" s="237"/>
      <c r="N4" s="238"/>
      <c r="O4" s="120"/>
      <c r="P4" s="148">
        <f>P2-P3</f>
        <v>0</v>
      </c>
      <c r="Q4" s="148"/>
      <c r="R4" s="149"/>
      <c r="S4" s="159" t="s">
        <v>63</v>
      </c>
      <c r="T4" s="161"/>
      <c r="U4" s="218"/>
      <c r="V4" s="21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85</v>
      </c>
      <c r="C5" s="4" t="s">
        <v>125</v>
      </c>
      <c r="D5" s="242" t="s">
        <v>15</v>
      </c>
      <c r="E5" s="244"/>
      <c r="F5" s="245"/>
      <c r="G5" s="246"/>
      <c r="H5" s="242" t="s">
        <v>29</v>
      </c>
      <c r="I5" s="243"/>
      <c r="J5" s="244"/>
      <c r="K5" s="32"/>
      <c r="L5" s="239" t="s">
        <v>25</v>
      </c>
      <c r="M5" s="240"/>
      <c r="N5" s="241"/>
      <c r="O5" s="120"/>
      <c r="P5" s="225" t="str">
        <f>IFERROR((P2-P3)/P2,"")</f>
        <v/>
      </c>
      <c r="Q5" s="225"/>
      <c r="R5" s="226"/>
      <c r="S5" s="159" t="s">
        <v>64</v>
      </c>
      <c r="T5" s="161"/>
      <c r="U5" s="218"/>
      <c r="V5" s="21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86</v>
      </c>
      <c r="C6" s="30" t="s">
        <v>126</v>
      </c>
      <c r="D6" s="242" t="s">
        <v>16</v>
      </c>
      <c r="E6" s="244"/>
      <c r="F6" s="245"/>
      <c r="G6" s="246"/>
      <c r="H6" s="242" t="s">
        <v>30</v>
      </c>
      <c r="I6" s="243"/>
      <c r="J6" s="244"/>
      <c r="K6" s="32"/>
      <c r="L6" s="220" t="s">
        <v>71</v>
      </c>
      <c r="M6" s="221"/>
      <c r="N6" s="222"/>
      <c r="O6" s="120"/>
      <c r="P6" s="223">
        <f>T61</f>
        <v>0</v>
      </c>
      <c r="Q6" s="223"/>
      <c r="R6" s="224"/>
      <c r="S6" s="159" t="s">
        <v>60</v>
      </c>
      <c r="T6" s="161"/>
      <c r="U6" s="218"/>
      <c r="V6" s="21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 t="s">
        <v>127</v>
      </c>
      <c r="D7" s="242" t="s">
        <v>57</v>
      </c>
      <c r="E7" s="244"/>
      <c r="F7" s="245"/>
      <c r="G7" s="246"/>
      <c r="H7" s="242" t="s">
        <v>31</v>
      </c>
      <c r="I7" s="243"/>
      <c r="J7" s="244"/>
      <c r="K7" s="32"/>
      <c r="L7" s="165" t="s">
        <v>80</v>
      </c>
      <c r="M7" s="166"/>
      <c r="N7" s="167"/>
      <c r="O7" s="120"/>
      <c r="P7" s="168">
        <f>R61</f>
        <v>0</v>
      </c>
      <c r="Q7" s="168"/>
      <c r="R7" s="169"/>
      <c r="S7" s="227" t="s">
        <v>61</v>
      </c>
      <c r="T7" s="228"/>
      <c r="U7" s="229"/>
      <c r="V7" s="23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42" t="s">
        <v>32</v>
      </c>
      <c r="E8" s="244"/>
      <c r="F8" s="245"/>
      <c r="G8" s="246"/>
      <c r="H8" s="242" t="s">
        <v>40</v>
      </c>
      <c r="I8" s="243"/>
      <c r="J8" s="244"/>
      <c r="K8" s="32"/>
      <c r="L8" s="165" t="s">
        <v>72</v>
      </c>
      <c r="M8" s="166"/>
      <c r="N8" s="167"/>
      <c r="O8" s="120"/>
      <c r="P8" s="168">
        <f>IF(P1=Q14,R14,IF(Q14="CAD $",R14*D15,IF(Q14="USD $",R14*E15,0)))</f>
        <v>0</v>
      </c>
      <c r="Q8" s="168"/>
      <c r="R8" s="169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42" t="s">
        <v>58</v>
      </c>
      <c r="E9" s="244"/>
      <c r="F9" s="245"/>
      <c r="G9" s="246"/>
      <c r="H9" s="111"/>
      <c r="I9" s="112"/>
      <c r="J9" s="112"/>
      <c r="K9" s="43"/>
      <c r="L9" s="165" t="s">
        <v>70</v>
      </c>
      <c r="M9" s="166"/>
      <c r="N9" s="167"/>
      <c r="O9" s="120"/>
      <c r="P9" s="231">
        <f>V14</f>
        <v>0</v>
      </c>
      <c r="Q9" s="231"/>
      <c r="R9" s="232"/>
      <c r="S9" s="170">
        <f>P7+P8+P9</f>
        <v>0</v>
      </c>
      <c r="T9" s="170">
        <f>P3-S9</f>
        <v>0</v>
      </c>
      <c r="U9" s="172">
        <f>IFERROR(((P3-S9)/S9),0)</f>
        <v>0</v>
      </c>
      <c r="V9" s="172">
        <f>IFERROR(T9/P3,0)</f>
        <v>0</v>
      </c>
      <c r="W9" s="17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59" t="s">
        <v>83</v>
      </c>
      <c r="M10" s="160"/>
      <c r="N10" s="161"/>
      <c r="O10" s="120"/>
      <c r="P10" s="162">
        <f>E61</f>
        <v>0</v>
      </c>
      <c r="Q10" s="162"/>
      <c r="R10" s="163"/>
      <c r="S10" s="171"/>
      <c r="T10" s="171"/>
      <c r="U10" s="173"/>
      <c r="V10" s="173"/>
      <c r="W10" s="175"/>
      <c r="X10" s="64"/>
      <c r="Y10" s="61"/>
      <c r="Z10" s="61"/>
      <c r="AA10" s="61"/>
      <c r="AB10" s="61"/>
    </row>
    <row r="11" spans="1:28" ht="15" customHeight="1" x14ac:dyDescent="0.3">
      <c r="A11" s="55"/>
      <c r="B11" s="256"/>
      <c r="C11" s="257"/>
      <c r="D11" s="260" t="s">
        <v>37</v>
      </c>
      <c r="E11" s="261"/>
      <c r="F11" s="264" t="s">
        <v>19</v>
      </c>
      <c r="G11" s="151"/>
      <c r="H11" s="265"/>
      <c r="I11" s="90"/>
      <c r="J11" s="182" t="s">
        <v>44</v>
      </c>
      <c r="K11" s="183"/>
      <c r="L11" s="183"/>
      <c r="M11" s="183"/>
      <c r="N11" s="184"/>
      <c r="O11" s="120"/>
      <c r="P11" s="150" t="s">
        <v>43</v>
      </c>
      <c r="Q11" s="151"/>
      <c r="R11" s="151"/>
      <c r="S11" s="151"/>
      <c r="T11" s="151"/>
      <c r="U11" s="151"/>
      <c r="V11" s="15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58"/>
      <c r="C12" s="259"/>
      <c r="D12" s="262"/>
      <c r="E12" s="263"/>
      <c r="F12" s="266"/>
      <c r="G12" s="267"/>
      <c r="H12" s="268"/>
      <c r="I12" s="91"/>
      <c r="J12" s="185"/>
      <c r="K12" s="186"/>
      <c r="L12" s="186"/>
      <c r="M12" s="186"/>
      <c r="N12" s="187"/>
      <c r="O12" s="121"/>
      <c r="P12" s="153"/>
      <c r="Q12" s="154"/>
      <c r="R12" s="154"/>
      <c r="S12" s="154"/>
      <c r="T12" s="154"/>
      <c r="U12" s="154"/>
      <c r="V12" s="15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58"/>
      <c r="C13" s="259"/>
      <c r="D13" s="195"/>
      <c r="E13" s="196"/>
      <c r="F13" s="191" t="s">
        <v>82</v>
      </c>
      <c r="G13" s="192"/>
      <c r="H13" s="44" t="s">
        <v>33</v>
      </c>
      <c r="I13" s="92"/>
      <c r="J13" s="188"/>
      <c r="K13" s="189"/>
      <c r="L13" s="189"/>
      <c r="M13" s="189"/>
      <c r="N13" s="190"/>
      <c r="O13" s="121"/>
      <c r="P13" s="153"/>
      <c r="Q13" s="154"/>
      <c r="R13" s="154"/>
      <c r="S13" s="154"/>
      <c r="T13" s="154"/>
      <c r="U13" s="154"/>
      <c r="V13" s="155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3">
      <c r="A14" s="55"/>
      <c r="B14" s="258"/>
      <c r="C14" s="259"/>
      <c r="D14" s="106" t="s">
        <v>35</v>
      </c>
      <c r="E14" s="107" t="s">
        <v>36</v>
      </c>
      <c r="F14" s="197" t="s">
        <v>105</v>
      </c>
      <c r="G14" s="198"/>
      <c r="H14" s="199"/>
      <c r="I14" s="93"/>
      <c r="J14" s="193" t="s">
        <v>116</v>
      </c>
      <c r="K14" s="194"/>
      <c r="L14" s="207" t="s">
        <v>117</v>
      </c>
      <c r="M14" s="208"/>
      <c r="N14" s="209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3">
      <c r="A15" s="55"/>
      <c r="B15" s="258"/>
      <c r="C15" s="259"/>
      <c r="D15" s="119">
        <f>1/E15</f>
        <v>0.68965517241379315</v>
      </c>
      <c r="E15" s="7">
        <v>1.45</v>
      </c>
      <c r="F15" s="202"/>
      <c r="G15" s="203"/>
      <c r="H15" s="204"/>
      <c r="I15" s="94"/>
      <c r="J15" s="195"/>
      <c r="K15" s="196"/>
      <c r="L15" s="210"/>
      <c r="M15" s="211"/>
      <c r="N15" s="212"/>
      <c r="O15" s="122"/>
      <c r="P15" s="156" t="s">
        <v>79</v>
      </c>
      <c r="Q15" s="157"/>
      <c r="R15" s="157"/>
      <c r="S15" s="157"/>
      <c r="T15" s="157"/>
      <c r="U15" s="157"/>
      <c r="V15" s="15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53" t="s">
        <v>0</v>
      </c>
      <c r="C16" s="255" t="s">
        <v>1</v>
      </c>
      <c r="D16" s="269" t="s">
        <v>38</v>
      </c>
      <c r="E16" s="271" t="s">
        <v>2</v>
      </c>
      <c r="F16" s="200" t="s">
        <v>3</v>
      </c>
      <c r="G16" s="201"/>
      <c r="H16" s="104" t="s">
        <v>9</v>
      </c>
      <c r="I16" s="95"/>
      <c r="J16" s="178" t="s">
        <v>2</v>
      </c>
      <c r="K16" s="102" t="s">
        <v>6</v>
      </c>
      <c r="L16" s="99" t="s">
        <v>4</v>
      </c>
      <c r="M16" s="205" t="s">
        <v>118</v>
      </c>
      <c r="N16" s="205" t="s">
        <v>119</v>
      </c>
      <c r="O16" s="123"/>
      <c r="P16" s="144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54"/>
      <c r="C17" s="200"/>
      <c r="D17" s="270"/>
      <c r="E17" s="27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79"/>
      <c r="K17" s="180" t="s">
        <v>7</v>
      </c>
      <c r="L17" s="181"/>
      <c r="M17" s="206"/>
      <c r="N17" s="206"/>
      <c r="O17" s="124"/>
      <c r="P17" s="145"/>
      <c r="Q17" s="37" t="s">
        <v>7</v>
      </c>
      <c r="R17" s="215" t="str">
        <f>K17</f>
        <v>CAD $</v>
      </c>
      <c r="S17" s="216"/>
      <c r="T17" s="216"/>
      <c r="U17" s="216"/>
      <c r="V17" s="217"/>
      <c r="W17" s="20"/>
      <c r="X17" s="68"/>
      <c r="Y17" s="69"/>
      <c r="Z17" s="69"/>
      <c r="AA17" s="69"/>
      <c r="AB17" s="69"/>
    </row>
    <row r="18" spans="1:28" x14ac:dyDescent="0.3">
      <c r="A18" s="55"/>
      <c r="B18" s="2"/>
      <c r="C18" s="5"/>
      <c r="D18" s="128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60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120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/>
      <c r="C19" s="4"/>
      <c r="D19" s="129"/>
      <c r="E19" s="54"/>
      <c r="F19" s="15"/>
      <c r="G19" s="38">
        <f t="shared" ref="G19:G60" si="1">ROUND(IF($F$17="USD $", F19*$E$15,F19*$D$15),2)</f>
        <v>0</v>
      </c>
      <c r="H19" s="39">
        <f t="shared" ref="H19:H60" si="2">ROUND(IF($H$17=$G$17,E19*G19,E19*F19),2)</f>
        <v>0</v>
      </c>
      <c r="I19" s="42"/>
      <c r="J19" s="88">
        <f t="shared" si="0"/>
        <v>0</v>
      </c>
      <c r="K19" s="38">
        <f t="shared" ref="K19:K60" si="3">IFERROR(IF(M19="OEM DISC %",ROUND(IF($K$17=$F$17,F19*(1-N19),G19*(1-N19)),2),IF(M19="MARKUP %",ROUND(R19/J19*(1+N19),2))),0)</f>
        <v>0</v>
      </c>
      <c r="L19" s="38">
        <f t="shared" ref="L19:L60" si="4">ROUND((J19*K19),2)</f>
        <v>0</v>
      </c>
      <c r="M19" s="132" t="s">
        <v>120</v>
      </c>
      <c r="N19" s="16"/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0</v>
      </c>
      <c r="T19" s="52">
        <f t="shared" ref="T19:T60" si="6">ROUND(L19-R19,2)</f>
        <v>0</v>
      </c>
      <c r="U19" s="41">
        <f t="shared" ref="U19:U60" si="7">IFERROR(((K19-(R19/J19))/(R19/J19)),0)</f>
        <v>0</v>
      </c>
      <c r="V19" s="41">
        <f t="shared" ref="V19:V60" si="8">IFERROR(((K19-(R19/J19))/K19),0)</f>
        <v>0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3">
      <c r="A20" s="55"/>
      <c r="B20" s="2"/>
      <c r="C20" s="6"/>
      <c r="D20" s="130"/>
      <c r="E20" s="53"/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0</v>
      </c>
      <c r="K20" s="9">
        <f t="shared" si="3"/>
        <v>0</v>
      </c>
      <c r="L20" s="9">
        <f t="shared" si="4"/>
        <v>0</v>
      </c>
      <c r="M20" s="8" t="s">
        <v>120</v>
      </c>
      <c r="N20" s="12"/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3">
      <c r="A21" s="55"/>
      <c r="B21" s="1"/>
      <c r="C21" s="4"/>
      <c r="D21" s="129"/>
      <c r="E21" s="54"/>
      <c r="F21" s="15"/>
      <c r="G21" s="38">
        <f t="shared" si="1"/>
        <v>0</v>
      </c>
      <c r="H21" s="39">
        <f t="shared" si="2"/>
        <v>0</v>
      </c>
      <c r="I21" s="42"/>
      <c r="J21" s="88">
        <f t="shared" si="0"/>
        <v>0</v>
      </c>
      <c r="K21" s="38">
        <f t="shared" si="3"/>
        <v>0</v>
      </c>
      <c r="L21" s="38">
        <f t="shared" si="4"/>
        <v>0</v>
      </c>
      <c r="M21" s="132" t="s">
        <v>120</v>
      </c>
      <c r="N21" s="16"/>
      <c r="O21" s="51"/>
      <c r="P21" s="1"/>
      <c r="Q21" s="15"/>
      <c r="R21" s="40">
        <f t="shared" si="9"/>
        <v>0</v>
      </c>
      <c r="S21" s="52">
        <f t="shared" si="5"/>
        <v>0</v>
      </c>
      <c r="T21" s="52">
        <f t="shared" si="6"/>
        <v>0</v>
      </c>
      <c r="U21" s="41">
        <f t="shared" si="7"/>
        <v>0</v>
      </c>
      <c r="V21" s="41">
        <f t="shared" si="8"/>
        <v>0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3">
      <c r="A22" s="55"/>
      <c r="B22" s="2"/>
      <c r="C22" s="6"/>
      <c r="D22" s="130"/>
      <c r="E22" s="53"/>
      <c r="F22" s="8"/>
      <c r="G22" s="9">
        <f t="shared" si="1"/>
        <v>0</v>
      </c>
      <c r="H22" s="10">
        <f t="shared" si="2"/>
        <v>0</v>
      </c>
      <c r="I22" s="42"/>
      <c r="J22" s="89">
        <f t="shared" si="0"/>
        <v>0</v>
      </c>
      <c r="K22" s="9">
        <f t="shared" si="3"/>
        <v>0</v>
      </c>
      <c r="L22" s="9">
        <f t="shared" si="4"/>
        <v>0</v>
      </c>
      <c r="M22" s="8" t="s">
        <v>120</v>
      </c>
      <c r="N22" s="12"/>
      <c r="O22" s="51"/>
      <c r="P22" s="3"/>
      <c r="Q22" s="13"/>
      <c r="R22" s="14">
        <f t="shared" si="9"/>
        <v>0</v>
      </c>
      <c r="S22" s="14">
        <f t="shared" si="5"/>
        <v>0</v>
      </c>
      <c r="T22" s="14">
        <f t="shared" si="6"/>
        <v>0</v>
      </c>
      <c r="U22" s="29">
        <f t="shared" si="7"/>
        <v>0</v>
      </c>
      <c r="V22" s="29">
        <f t="shared" si="8"/>
        <v>0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3">
      <c r="A23" s="55"/>
      <c r="B23" s="1"/>
      <c r="C23" s="4"/>
      <c r="D23" s="129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32" t="s">
        <v>120</v>
      </c>
      <c r="N23" s="16"/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3">
      <c r="A24" s="55"/>
      <c r="B24" s="2"/>
      <c r="C24" s="6"/>
      <c r="D24" s="130"/>
      <c r="E24" s="53"/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0</v>
      </c>
      <c r="K24" s="9">
        <f t="shared" si="3"/>
        <v>0</v>
      </c>
      <c r="L24" s="9">
        <f t="shared" si="4"/>
        <v>0</v>
      </c>
      <c r="M24" s="8" t="s">
        <v>120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3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3">
      <c r="A26" s="55"/>
      <c r="B26" s="2"/>
      <c r="C26" s="6"/>
      <c r="D26" s="130"/>
      <c r="E26" s="53"/>
      <c r="F26" s="8"/>
      <c r="G26" s="9">
        <f t="shared" si="1"/>
        <v>0</v>
      </c>
      <c r="H26" s="10">
        <f t="shared" si="2"/>
        <v>0</v>
      </c>
      <c r="I26" s="42"/>
      <c r="J26" s="89">
        <f t="shared" si="0"/>
        <v>0</v>
      </c>
      <c r="K26" s="9">
        <f t="shared" si="3"/>
        <v>0</v>
      </c>
      <c r="L26" s="9">
        <f t="shared" si="4"/>
        <v>0</v>
      </c>
      <c r="M26" s="8" t="s">
        <v>120</v>
      </c>
      <c r="N26" s="12"/>
      <c r="O26" s="51"/>
      <c r="P26" s="3"/>
      <c r="Q26" s="13"/>
      <c r="R26" s="14">
        <f t="shared" si="9"/>
        <v>0</v>
      </c>
      <c r="S26" s="14">
        <f t="shared" si="5"/>
        <v>0</v>
      </c>
      <c r="T26" s="14">
        <f t="shared" si="6"/>
        <v>0</v>
      </c>
      <c r="U26" s="29">
        <f t="shared" si="7"/>
        <v>0</v>
      </c>
      <c r="V26" s="29">
        <f t="shared" si="8"/>
        <v>0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3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3">
      <c r="A28" s="55"/>
      <c r="B28" s="2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3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3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3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3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120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3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3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3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3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3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3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3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3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3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3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3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3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3">
      <c r="A61" s="57"/>
      <c r="B61" s="75"/>
      <c r="C61" s="75"/>
      <c r="D61" s="131" t="s">
        <v>39</v>
      </c>
      <c r="E61" s="77">
        <f>SUM(E18:E60)</f>
        <v>0</v>
      </c>
      <c r="F61" s="78">
        <f>SUM(F18:F60)</f>
        <v>0</v>
      </c>
      <c r="G61" s="79">
        <f>SUM(G18:G60)</f>
        <v>0</v>
      </c>
      <c r="H61" s="80">
        <f>SUM(H18:H60)</f>
        <v>0</v>
      </c>
      <c r="I61" s="81"/>
      <c r="J61" s="82">
        <f>SUM(J18:J60)</f>
        <v>0</v>
      </c>
      <c r="K61" s="79">
        <f>SUM(K18:K60)</f>
        <v>0</v>
      </c>
      <c r="L61" s="80">
        <f>SUM(L18:L60)</f>
        <v>0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0</v>
      </c>
      <c r="T61" s="80">
        <f>SUM(T18:T60)</f>
        <v>0</v>
      </c>
      <c r="U61" s="84"/>
      <c r="V61" s="84"/>
      <c r="W61" s="85"/>
      <c r="X61" s="74"/>
    </row>
    <row r="63" spans="1:28" ht="15" customHeight="1" x14ac:dyDescent="0.3">
      <c r="U63" s="87"/>
    </row>
  </sheetData>
  <sheetProtection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D70AF8EB-E556-4F4C-A8EF-4BE255392577}">
      <formula1>$Y$11:$Y$12</formula1>
    </dataValidation>
    <dataValidation type="list" allowBlank="1" showInputMessage="1" showErrorMessage="1" sqref="H13" xr:uid="{F1998BE6-5299-45ED-BF9A-E8E14A6C2759}">
      <formula1>$Y$13:$Y$14</formula1>
    </dataValidation>
    <dataValidation type="list" allowBlank="1" showInputMessage="1" showErrorMessage="1" sqref="I13" xr:uid="{ACA29C8F-5F4F-4078-BE60-2FC9BE155508}">
      <formula1>$K$9:$K$9</formula1>
    </dataValidation>
    <dataValidation type="list" showInputMessage="1" showErrorMessage="1" sqref="D18:D60" xr:uid="{FF1BDE00-A7DF-47F2-997E-54F7738CFA7D}">
      <formula1>$Z$18:$Z$29</formula1>
    </dataValidation>
    <dataValidation type="list" allowBlank="1" showInputMessage="1" showErrorMessage="1" sqref="M18:M60" xr:uid="{80A6E728-5937-4935-9CD5-BF6A13DCBCE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Instructions</vt:lpstr>
      <vt:lpstr>CAT 303.5E</vt:lpstr>
      <vt:lpstr>CAT 320E L (WBK)</vt:lpstr>
      <vt:lpstr>CAT 320E L (WBK) (2)</vt:lpstr>
      <vt:lpstr>CAT 320F L (YBM)</vt:lpstr>
      <vt:lpstr>CAT 320 (HEX)</vt:lpstr>
      <vt:lpstr>CAT 320 (MYK)</vt:lpstr>
      <vt:lpstr>CAT 320 (MYK) (2)</vt:lpstr>
      <vt:lpstr>CAT 329E L (ZCD)</vt:lpstr>
      <vt:lpstr>CAT 329F L (ERL)</vt:lpstr>
      <vt:lpstr>CAT 329F L (ERL) (2)</vt:lpstr>
      <vt:lpstr>CAT 330F L (MBX)</vt:lpstr>
      <vt:lpstr>CAT 330F L (HCK)</vt:lpstr>
      <vt:lpstr>CAT 330F L (HCK) (2)</vt:lpstr>
      <vt:lpstr>CAT 330 (LHW)</vt:lpstr>
      <vt:lpstr>CAT 330 (LHW) (2)</vt:lpstr>
      <vt:lpstr>CAT 330 (LHW) (3)</vt:lpstr>
      <vt:lpstr>CAT 330 (LHW) (4)</vt:lpstr>
      <vt:lpstr>CAT 330 (WCH)</vt:lpstr>
      <vt:lpstr>CAT 330 (WCH) (2)</vt:lpstr>
      <vt:lpstr>CAT 330 (WCH) (3)</vt:lpstr>
      <vt:lpstr>CAT 330 (WCH) (4)</vt:lpstr>
      <vt:lpstr>CAT 330 (WCH) (5)</vt:lpstr>
      <vt:lpstr>CAT 330 (WCH) (6)</vt:lpstr>
      <vt:lpstr>CAT 336F L (RKB)</vt:lpstr>
      <vt:lpstr>CAT D3 (1PJ)</vt:lpstr>
      <vt:lpstr>CAT D4 (66J)</vt:lpstr>
      <vt:lpstr>CAT D5 (3CR)</vt:lpstr>
      <vt:lpstr>CAT D5 (3CR) (2)</vt:lpstr>
      <vt:lpstr>CAT D6 (RDC)</vt:lpstr>
      <vt:lpstr>CAT D6N LGP (GHS)</vt:lpstr>
      <vt:lpstr>CAT D6N LGP (PBA)</vt:lpstr>
      <vt:lpstr>CAT D6N LGP (PBA) (2)</vt:lpstr>
      <vt:lpstr>CAT D6N LGP (SGG)</vt:lpstr>
      <vt:lpstr>CAT D6N LGP (SGG) (2)</vt:lpstr>
      <vt:lpstr>CAT D6T (MH7)</vt:lpstr>
      <vt:lpstr>CAT D7G (92V)</vt:lpstr>
      <vt:lpstr>CAT 561N (CPH)</vt:lpstr>
      <vt:lpstr>CAT 561N (CPH) (2)</vt:lpstr>
      <vt:lpstr>CAT 561N (CPH) (3)</vt:lpstr>
      <vt:lpstr>CAT 561N (CPH) (4)</vt:lpstr>
      <vt:lpstr>CAT 561N (CPH) (5)</vt:lpstr>
      <vt:lpstr>CAT PL61 (WGS)</vt:lpstr>
      <vt:lpstr>CAT PL61 (WGS) (2)</vt:lpstr>
      <vt:lpstr>CAT PL61 (WGS) (3)</vt:lpstr>
      <vt:lpstr>OEM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2025-09-10T19:22:28Z</dcterms:modified>
</cp:coreProperties>
</file>