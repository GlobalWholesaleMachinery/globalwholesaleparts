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425A0F19-658F-42E3-8550-11C4464CD038}" xr6:coauthVersionLast="47" xr6:coauthVersionMax="47" xr10:uidLastSave="{00000000-0000-0000-0000-000000000000}"/>
  <bookViews>
    <workbookView xWindow="-108" yWindow="-108" windowWidth="23256" windowHeight="12456" tabRatio="897" firstSheet="1" activeTab="1" xr2:uid="{EAC116F2-D257-4308-B3E1-626B33CB1430}"/>
  </bookViews>
  <sheets>
    <sheet name="MOQ Batteries" sheetId="47" r:id="rId1"/>
    <sheet name="MOQ GET Parts" sheetId="60" r:id="rId2"/>
    <sheet name="MOQ SEAT" sheetId="53" r:id="rId3"/>
    <sheet name="MOQ Seats" sheetId="55" state="hidden" r:id="rId4"/>
    <sheet name="MOQ Undercarriage" sheetId="57" r:id="rId5"/>
    <sheet name="MOQ Grand Total" sheetId="58" r:id="rId6"/>
  </sheets>
  <externalReferences>
    <externalReference r:id="rId7"/>
  </externalReferences>
  <definedNames>
    <definedName name="_xlnm._FilterDatabase" localSheetId="0" hidden="1">'MOQ Batteries'!$B$14:$I$64</definedName>
    <definedName name="_xlnm._FilterDatabase" localSheetId="1" hidden="1">'MOQ GET Parts'!$B$14:$I$97</definedName>
    <definedName name="_xlnm._FilterDatabase" localSheetId="2" hidden="1">'MOQ SEAT'!$B$14:$I$64</definedName>
    <definedName name="_xlnm._FilterDatabase" localSheetId="3" hidden="1">'MOQ Seats'!$B$14:$I$63</definedName>
    <definedName name="_xlnm._FilterDatabase" localSheetId="4" hidden="1">'MOQ Undercarriage'!$B$14:$I$206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7" l="1"/>
  <c r="I7" i="60"/>
  <c r="I7" i="53"/>
  <c r="I7" i="57"/>
  <c r="C12" i="47"/>
  <c r="C11" i="47"/>
  <c r="C10" i="47"/>
  <c r="C9" i="47"/>
  <c r="C8" i="47"/>
  <c r="C7" i="47"/>
  <c r="C12" i="60"/>
  <c r="C11" i="60"/>
  <c r="C10" i="60"/>
  <c r="C9" i="60"/>
  <c r="C8" i="60"/>
  <c r="C7" i="60"/>
  <c r="C12" i="53"/>
  <c r="C11" i="53"/>
  <c r="C10" i="53"/>
  <c r="C9" i="53"/>
  <c r="C8" i="53"/>
  <c r="C7" i="53"/>
  <c r="C11" i="57"/>
  <c r="C12" i="57"/>
  <c r="C10" i="57"/>
  <c r="C9" i="57"/>
  <c r="C8" i="57"/>
  <c r="C7" i="57"/>
  <c r="C16" i="57"/>
  <c r="D16" i="57"/>
  <c r="E16" i="57"/>
  <c r="F16" i="57"/>
  <c r="H16" i="57"/>
  <c r="C17" i="57"/>
  <c r="D17" i="57"/>
  <c r="E17" i="57"/>
  <c r="I17" i="57" s="1"/>
  <c r="F17" i="57"/>
  <c r="H17" i="57"/>
  <c r="C18" i="57"/>
  <c r="D18" i="57"/>
  <c r="E18" i="57"/>
  <c r="F18" i="57"/>
  <c r="H18" i="57"/>
  <c r="C19" i="57"/>
  <c r="D19" i="57"/>
  <c r="E19" i="57"/>
  <c r="G19" i="57" s="1"/>
  <c r="F19" i="57"/>
  <c r="H19" i="57"/>
  <c r="C20" i="57"/>
  <c r="D20" i="57"/>
  <c r="E20" i="57"/>
  <c r="F20" i="57"/>
  <c r="H20" i="57"/>
  <c r="C21" i="57"/>
  <c r="D21" i="57"/>
  <c r="E21" i="57"/>
  <c r="F21" i="57"/>
  <c r="H21" i="57"/>
  <c r="C22" i="57"/>
  <c r="D22" i="57"/>
  <c r="E22" i="57"/>
  <c r="F22" i="57"/>
  <c r="H22" i="57"/>
  <c r="C23" i="57"/>
  <c r="D23" i="57"/>
  <c r="E23" i="57"/>
  <c r="F23" i="57"/>
  <c r="H23" i="57"/>
  <c r="C24" i="57"/>
  <c r="D24" i="57"/>
  <c r="E24" i="57"/>
  <c r="F24" i="57"/>
  <c r="H24" i="57"/>
  <c r="C25" i="57"/>
  <c r="D25" i="57"/>
  <c r="E25" i="57"/>
  <c r="F25" i="57"/>
  <c r="H25" i="57"/>
  <c r="C26" i="57"/>
  <c r="D26" i="57"/>
  <c r="E26" i="57"/>
  <c r="F26" i="57"/>
  <c r="H26" i="57"/>
  <c r="C27" i="57"/>
  <c r="D27" i="57"/>
  <c r="E27" i="57"/>
  <c r="F27" i="57"/>
  <c r="H27" i="57"/>
  <c r="C28" i="57"/>
  <c r="D28" i="57"/>
  <c r="E28" i="57"/>
  <c r="F28" i="57"/>
  <c r="H28" i="57"/>
  <c r="C29" i="57"/>
  <c r="D29" i="57"/>
  <c r="E29" i="57"/>
  <c r="F29" i="57"/>
  <c r="H29" i="57"/>
  <c r="C30" i="57"/>
  <c r="D30" i="57"/>
  <c r="E30" i="57"/>
  <c r="F30" i="57"/>
  <c r="H30" i="57"/>
  <c r="I30" i="57" s="1"/>
  <c r="C31" i="57"/>
  <c r="D31" i="57"/>
  <c r="E31" i="57"/>
  <c r="G31" i="57" s="1"/>
  <c r="F31" i="57"/>
  <c r="H31" i="57"/>
  <c r="C32" i="57"/>
  <c r="D32" i="57"/>
  <c r="E32" i="57"/>
  <c r="F32" i="57"/>
  <c r="H32" i="57"/>
  <c r="C33" i="57"/>
  <c r="D33" i="57"/>
  <c r="E33" i="57"/>
  <c r="F33" i="57"/>
  <c r="H33" i="57"/>
  <c r="C34" i="57"/>
  <c r="D34" i="57"/>
  <c r="E34" i="57"/>
  <c r="F34" i="57"/>
  <c r="H34" i="57"/>
  <c r="C35" i="57"/>
  <c r="D35" i="57"/>
  <c r="E35" i="57"/>
  <c r="F35" i="57"/>
  <c r="H35" i="57"/>
  <c r="C36" i="57"/>
  <c r="D36" i="57"/>
  <c r="E36" i="57"/>
  <c r="F36" i="57"/>
  <c r="H36" i="57"/>
  <c r="C37" i="57"/>
  <c r="D37" i="57"/>
  <c r="E37" i="57"/>
  <c r="G37" i="57" s="1"/>
  <c r="F37" i="57"/>
  <c r="H37" i="57"/>
  <c r="C38" i="57"/>
  <c r="D38" i="57"/>
  <c r="E38" i="57"/>
  <c r="F38" i="57"/>
  <c r="G38" i="57" s="1"/>
  <c r="H38" i="57"/>
  <c r="C39" i="57"/>
  <c r="D39" i="57"/>
  <c r="E39" i="57"/>
  <c r="F39" i="57"/>
  <c r="H39" i="57"/>
  <c r="C40" i="57"/>
  <c r="D40" i="57"/>
  <c r="E40" i="57"/>
  <c r="F40" i="57"/>
  <c r="H40" i="57"/>
  <c r="C41" i="57"/>
  <c r="D41" i="57"/>
  <c r="E41" i="57"/>
  <c r="F41" i="57"/>
  <c r="H41" i="57"/>
  <c r="C42" i="57"/>
  <c r="D42" i="57"/>
  <c r="E42" i="57"/>
  <c r="F42" i="57"/>
  <c r="H42" i="57"/>
  <c r="C43" i="57"/>
  <c r="D43" i="57"/>
  <c r="E43" i="57"/>
  <c r="F43" i="57"/>
  <c r="H43" i="57"/>
  <c r="C44" i="57"/>
  <c r="D44" i="57"/>
  <c r="E44" i="57"/>
  <c r="I44" i="57" s="1"/>
  <c r="F44" i="57"/>
  <c r="H44" i="57"/>
  <c r="C45" i="57"/>
  <c r="D45" i="57"/>
  <c r="E45" i="57"/>
  <c r="F45" i="57"/>
  <c r="H45" i="57"/>
  <c r="C46" i="57"/>
  <c r="D46" i="57"/>
  <c r="E46" i="57"/>
  <c r="F46" i="57"/>
  <c r="H46" i="57"/>
  <c r="C47" i="57"/>
  <c r="D47" i="57"/>
  <c r="E47" i="57"/>
  <c r="I47" i="57" s="1"/>
  <c r="F47" i="57"/>
  <c r="G47" i="57" s="1"/>
  <c r="H47" i="57"/>
  <c r="C48" i="57"/>
  <c r="D48" i="57"/>
  <c r="E48" i="57"/>
  <c r="F48" i="57"/>
  <c r="H48" i="57"/>
  <c r="I48" i="57" s="1"/>
  <c r="C49" i="57"/>
  <c r="D49" i="57"/>
  <c r="E49" i="57"/>
  <c r="F49" i="57"/>
  <c r="H49" i="57"/>
  <c r="C50" i="57"/>
  <c r="D50" i="57"/>
  <c r="E50" i="57"/>
  <c r="I50" i="57" s="1"/>
  <c r="F50" i="57"/>
  <c r="H50" i="57"/>
  <c r="C51" i="57"/>
  <c r="D51" i="57"/>
  <c r="E51" i="57"/>
  <c r="F51" i="57"/>
  <c r="H51" i="57"/>
  <c r="C52" i="57"/>
  <c r="D52" i="57"/>
  <c r="E52" i="57"/>
  <c r="F52" i="57"/>
  <c r="H52" i="57"/>
  <c r="C53" i="57"/>
  <c r="D53" i="57"/>
  <c r="E53" i="57"/>
  <c r="F53" i="57"/>
  <c r="H53" i="57"/>
  <c r="C54" i="57"/>
  <c r="D54" i="57"/>
  <c r="E54" i="57"/>
  <c r="F54" i="57"/>
  <c r="H54" i="57"/>
  <c r="C55" i="57"/>
  <c r="D55" i="57"/>
  <c r="E55" i="57"/>
  <c r="F55" i="57"/>
  <c r="H55" i="57"/>
  <c r="C56" i="57"/>
  <c r="D56" i="57"/>
  <c r="E56" i="57"/>
  <c r="I56" i="57" s="1"/>
  <c r="F56" i="57"/>
  <c r="H56" i="57"/>
  <c r="C57" i="57"/>
  <c r="D57" i="57"/>
  <c r="E57" i="57"/>
  <c r="F57" i="57"/>
  <c r="H57" i="57"/>
  <c r="C58" i="57"/>
  <c r="D58" i="57"/>
  <c r="E58" i="57"/>
  <c r="F58" i="57"/>
  <c r="H58" i="57"/>
  <c r="C59" i="57"/>
  <c r="D59" i="57"/>
  <c r="E59" i="57"/>
  <c r="I59" i="57" s="1"/>
  <c r="F59" i="57"/>
  <c r="H59" i="57"/>
  <c r="C60" i="57"/>
  <c r="D60" i="57"/>
  <c r="E60" i="57"/>
  <c r="F60" i="57"/>
  <c r="H60" i="57"/>
  <c r="C61" i="57"/>
  <c r="D61" i="57"/>
  <c r="E61" i="57"/>
  <c r="F61" i="57"/>
  <c r="H61" i="57"/>
  <c r="C62" i="57"/>
  <c r="D62" i="57"/>
  <c r="E62" i="57"/>
  <c r="F62" i="57"/>
  <c r="H62" i="57"/>
  <c r="C63" i="57"/>
  <c r="D63" i="57"/>
  <c r="E63" i="57"/>
  <c r="F63" i="57"/>
  <c r="H63" i="57"/>
  <c r="I63" i="57" s="1"/>
  <c r="C64" i="57"/>
  <c r="D64" i="57"/>
  <c r="E64" i="57"/>
  <c r="F64" i="57"/>
  <c r="H64" i="57"/>
  <c r="C65" i="57"/>
  <c r="D65" i="57"/>
  <c r="E65" i="57"/>
  <c r="F65" i="57"/>
  <c r="H65" i="57"/>
  <c r="I65" i="57"/>
  <c r="C66" i="57"/>
  <c r="D66" i="57"/>
  <c r="E66" i="57"/>
  <c r="F66" i="57"/>
  <c r="H66" i="57"/>
  <c r="C67" i="57"/>
  <c r="D67" i="57"/>
  <c r="E67" i="57"/>
  <c r="F67" i="57"/>
  <c r="H67" i="57"/>
  <c r="C68" i="57"/>
  <c r="D68" i="57"/>
  <c r="E68" i="57"/>
  <c r="F68" i="57"/>
  <c r="H68" i="57"/>
  <c r="C69" i="57"/>
  <c r="D69" i="57"/>
  <c r="E69" i="57"/>
  <c r="F69" i="57"/>
  <c r="H69" i="57"/>
  <c r="C70" i="57"/>
  <c r="D70" i="57"/>
  <c r="E70" i="57"/>
  <c r="F70" i="57"/>
  <c r="H70" i="57"/>
  <c r="C71" i="57"/>
  <c r="D71" i="57"/>
  <c r="E71" i="57"/>
  <c r="F71" i="57"/>
  <c r="H71" i="57"/>
  <c r="C72" i="57"/>
  <c r="D72" i="57"/>
  <c r="E72" i="57"/>
  <c r="F72" i="57"/>
  <c r="H72" i="57"/>
  <c r="C73" i="57"/>
  <c r="D73" i="57"/>
  <c r="E73" i="57"/>
  <c r="F73" i="57"/>
  <c r="H73" i="57"/>
  <c r="C74" i="57"/>
  <c r="D74" i="57"/>
  <c r="E74" i="57"/>
  <c r="F74" i="57"/>
  <c r="H74" i="57"/>
  <c r="C75" i="57"/>
  <c r="D75" i="57"/>
  <c r="E75" i="57"/>
  <c r="F75" i="57"/>
  <c r="H75" i="57"/>
  <c r="C76" i="57"/>
  <c r="D76" i="57"/>
  <c r="E76" i="57"/>
  <c r="F76" i="57"/>
  <c r="H76" i="57"/>
  <c r="C77" i="57"/>
  <c r="D77" i="57"/>
  <c r="E77" i="57"/>
  <c r="G77" i="57" s="1"/>
  <c r="F77" i="57"/>
  <c r="H77" i="57"/>
  <c r="C78" i="57"/>
  <c r="D78" i="57"/>
  <c r="E78" i="57"/>
  <c r="F78" i="57"/>
  <c r="H78" i="57"/>
  <c r="C79" i="57"/>
  <c r="D79" i="57"/>
  <c r="E79" i="57"/>
  <c r="F79" i="57"/>
  <c r="H79" i="57"/>
  <c r="C80" i="57"/>
  <c r="D80" i="57"/>
  <c r="E80" i="57"/>
  <c r="I80" i="57" s="1"/>
  <c r="F80" i="57"/>
  <c r="H80" i="57"/>
  <c r="C81" i="57"/>
  <c r="D81" i="57"/>
  <c r="E81" i="57"/>
  <c r="G81" i="57" s="1"/>
  <c r="F81" i="57"/>
  <c r="H81" i="57"/>
  <c r="C82" i="57"/>
  <c r="D82" i="57"/>
  <c r="E82" i="57"/>
  <c r="G82" i="57" s="1"/>
  <c r="F82" i="57"/>
  <c r="H82" i="57"/>
  <c r="C83" i="57"/>
  <c r="D83" i="57"/>
  <c r="E83" i="57"/>
  <c r="F83" i="57"/>
  <c r="H83" i="57"/>
  <c r="C84" i="57"/>
  <c r="D84" i="57"/>
  <c r="E84" i="57"/>
  <c r="F84" i="57"/>
  <c r="H84" i="57"/>
  <c r="C85" i="57"/>
  <c r="D85" i="57"/>
  <c r="E85" i="57"/>
  <c r="F85" i="57"/>
  <c r="H85" i="57"/>
  <c r="C86" i="57"/>
  <c r="D86" i="57"/>
  <c r="E86" i="57"/>
  <c r="F86" i="57"/>
  <c r="G86" i="57" s="1"/>
  <c r="H86" i="57"/>
  <c r="C87" i="57"/>
  <c r="D87" i="57"/>
  <c r="E87" i="57"/>
  <c r="F87" i="57"/>
  <c r="H87" i="57"/>
  <c r="C88" i="57"/>
  <c r="D88" i="57"/>
  <c r="E88" i="57"/>
  <c r="F88" i="57"/>
  <c r="H88" i="57"/>
  <c r="C89" i="57"/>
  <c r="D89" i="57"/>
  <c r="E89" i="57"/>
  <c r="F89" i="57"/>
  <c r="H89" i="57"/>
  <c r="C90" i="57"/>
  <c r="D90" i="57"/>
  <c r="E90" i="57"/>
  <c r="F90" i="57"/>
  <c r="H90" i="57"/>
  <c r="C91" i="57"/>
  <c r="D91" i="57"/>
  <c r="E91" i="57"/>
  <c r="F91" i="57"/>
  <c r="H91" i="57"/>
  <c r="C92" i="57"/>
  <c r="D92" i="57"/>
  <c r="E92" i="57"/>
  <c r="F92" i="57"/>
  <c r="H92" i="57"/>
  <c r="C93" i="57"/>
  <c r="D93" i="57"/>
  <c r="E93" i="57"/>
  <c r="F93" i="57"/>
  <c r="H93" i="57"/>
  <c r="C94" i="57"/>
  <c r="D94" i="57"/>
  <c r="E94" i="57"/>
  <c r="F94" i="57"/>
  <c r="H94" i="57"/>
  <c r="C95" i="57"/>
  <c r="D95" i="57"/>
  <c r="E95" i="57"/>
  <c r="F95" i="57"/>
  <c r="H95" i="57"/>
  <c r="C96" i="57"/>
  <c r="D96" i="57"/>
  <c r="E96" i="57"/>
  <c r="F96" i="57"/>
  <c r="H96" i="57"/>
  <c r="C97" i="57"/>
  <c r="D97" i="57"/>
  <c r="E97" i="57"/>
  <c r="G97" i="57" s="1"/>
  <c r="F97" i="57"/>
  <c r="H97" i="57"/>
  <c r="C98" i="57"/>
  <c r="D98" i="57"/>
  <c r="E98" i="57"/>
  <c r="F98" i="57"/>
  <c r="H98" i="57"/>
  <c r="C99" i="57"/>
  <c r="D99" i="57"/>
  <c r="E99" i="57"/>
  <c r="F99" i="57"/>
  <c r="H99" i="57"/>
  <c r="C100" i="57"/>
  <c r="D100" i="57"/>
  <c r="E100" i="57"/>
  <c r="G100" i="57" s="1"/>
  <c r="F100" i="57"/>
  <c r="H100" i="57"/>
  <c r="C101" i="57"/>
  <c r="D101" i="57"/>
  <c r="E101" i="57"/>
  <c r="F101" i="57"/>
  <c r="H101" i="57"/>
  <c r="C102" i="57"/>
  <c r="D102" i="57"/>
  <c r="E102" i="57"/>
  <c r="F102" i="57"/>
  <c r="H102" i="57"/>
  <c r="C103" i="57"/>
  <c r="D103" i="57"/>
  <c r="E103" i="57"/>
  <c r="F103" i="57"/>
  <c r="H103" i="57"/>
  <c r="C104" i="57"/>
  <c r="D104" i="57"/>
  <c r="E104" i="57"/>
  <c r="F104" i="57"/>
  <c r="G104" i="57" s="1"/>
  <c r="H104" i="57"/>
  <c r="I104" i="57"/>
  <c r="C105" i="57"/>
  <c r="D105" i="57"/>
  <c r="E105" i="57"/>
  <c r="F105" i="57"/>
  <c r="H105" i="57"/>
  <c r="C106" i="57"/>
  <c r="D106" i="57"/>
  <c r="E106" i="57"/>
  <c r="F106" i="57"/>
  <c r="H106" i="57"/>
  <c r="C107" i="57"/>
  <c r="D107" i="57"/>
  <c r="E107" i="57"/>
  <c r="F107" i="57"/>
  <c r="H107" i="57"/>
  <c r="C108" i="57"/>
  <c r="D108" i="57"/>
  <c r="E108" i="57"/>
  <c r="F108" i="57"/>
  <c r="H108" i="57"/>
  <c r="C109" i="57"/>
  <c r="D109" i="57"/>
  <c r="E109" i="57"/>
  <c r="F109" i="57"/>
  <c r="H109" i="57"/>
  <c r="C110" i="57"/>
  <c r="D110" i="57"/>
  <c r="E110" i="57"/>
  <c r="F110" i="57"/>
  <c r="H110" i="57"/>
  <c r="C111" i="57"/>
  <c r="D111" i="57"/>
  <c r="E111" i="57"/>
  <c r="F111" i="57"/>
  <c r="H111" i="57"/>
  <c r="C112" i="57"/>
  <c r="D112" i="57"/>
  <c r="E112" i="57"/>
  <c r="F112" i="57"/>
  <c r="G112" i="57"/>
  <c r="H112" i="57"/>
  <c r="C113" i="57"/>
  <c r="D113" i="57"/>
  <c r="E113" i="57"/>
  <c r="F113" i="57"/>
  <c r="G113" i="57"/>
  <c r="H113" i="57"/>
  <c r="C114" i="57"/>
  <c r="D114" i="57"/>
  <c r="E114" i="57"/>
  <c r="F114" i="57"/>
  <c r="H114" i="57"/>
  <c r="C115" i="57"/>
  <c r="D115" i="57"/>
  <c r="E115" i="57"/>
  <c r="G115" i="57" s="1"/>
  <c r="F115" i="57"/>
  <c r="H115" i="57"/>
  <c r="C116" i="57"/>
  <c r="D116" i="57"/>
  <c r="E116" i="57"/>
  <c r="F116" i="57"/>
  <c r="H116" i="57"/>
  <c r="C117" i="57"/>
  <c r="D117" i="57"/>
  <c r="E117" i="57"/>
  <c r="F117" i="57"/>
  <c r="H117" i="57"/>
  <c r="C118" i="57"/>
  <c r="D118" i="57"/>
  <c r="E118" i="57"/>
  <c r="G118" i="57" s="1"/>
  <c r="F118" i="57"/>
  <c r="H118" i="57"/>
  <c r="C119" i="57"/>
  <c r="D119" i="57"/>
  <c r="E119" i="57"/>
  <c r="F119" i="57"/>
  <c r="H119" i="57"/>
  <c r="C120" i="57"/>
  <c r="D120" i="57"/>
  <c r="E120" i="57"/>
  <c r="F120" i="57"/>
  <c r="H120" i="57"/>
  <c r="C121" i="57"/>
  <c r="D121" i="57"/>
  <c r="E121" i="57"/>
  <c r="G121" i="57" s="1"/>
  <c r="F121" i="57"/>
  <c r="H121" i="57"/>
  <c r="C122" i="57"/>
  <c r="D122" i="57"/>
  <c r="E122" i="57"/>
  <c r="F122" i="57"/>
  <c r="H122" i="57"/>
  <c r="C123" i="57"/>
  <c r="D123" i="57"/>
  <c r="E123" i="57"/>
  <c r="F123" i="57"/>
  <c r="H123" i="57"/>
  <c r="C124" i="57"/>
  <c r="D124" i="57"/>
  <c r="E124" i="57"/>
  <c r="G124" i="57" s="1"/>
  <c r="F124" i="57"/>
  <c r="H124" i="57"/>
  <c r="C125" i="57"/>
  <c r="D125" i="57"/>
  <c r="E125" i="57"/>
  <c r="F125" i="57"/>
  <c r="H125" i="57"/>
  <c r="C126" i="57"/>
  <c r="D126" i="57"/>
  <c r="E126" i="57"/>
  <c r="F126" i="57"/>
  <c r="H126" i="57"/>
  <c r="C127" i="57"/>
  <c r="D127" i="57"/>
  <c r="E127" i="57"/>
  <c r="F127" i="57"/>
  <c r="H127" i="57"/>
  <c r="C128" i="57"/>
  <c r="D128" i="57"/>
  <c r="E128" i="57"/>
  <c r="I128" i="57" s="1"/>
  <c r="F128" i="57"/>
  <c r="H128" i="57"/>
  <c r="C129" i="57"/>
  <c r="D129" i="57"/>
  <c r="E129" i="57"/>
  <c r="F129" i="57"/>
  <c r="H129" i="57"/>
  <c r="C130" i="57"/>
  <c r="D130" i="57"/>
  <c r="E130" i="57"/>
  <c r="G130" i="57" s="1"/>
  <c r="F130" i="57"/>
  <c r="H130" i="57"/>
  <c r="C131" i="57"/>
  <c r="D131" i="57"/>
  <c r="E131" i="57"/>
  <c r="F131" i="57"/>
  <c r="H131" i="57"/>
  <c r="C132" i="57"/>
  <c r="D132" i="57"/>
  <c r="E132" i="57"/>
  <c r="F132" i="57"/>
  <c r="H132" i="57"/>
  <c r="C133" i="57"/>
  <c r="D133" i="57"/>
  <c r="E133" i="57"/>
  <c r="F133" i="57"/>
  <c r="H133" i="57"/>
  <c r="C134" i="57"/>
  <c r="D134" i="57"/>
  <c r="E134" i="57"/>
  <c r="I134" i="57" s="1"/>
  <c r="F134" i="57"/>
  <c r="H134" i="57"/>
  <c r="C135" i="57"/>
  <c r="D135" i="57"/>
  <c r="E135" i="57"/>
  <c r="I135" i="57" s="1"/>
  <c r="F135" i="57"/>
  <c r="H135" i="57"/>
  <c r="C136" i="57"/>
  <c r="D136" i="57"/>
  <c r="E136" i="57"/>
  <c r="F136" i="57"/>
  <c r="H136" i="57"/>
  <c r="C137" i="57"/>
  <c r="D137" i="57"/>
  <c r="E137" i="57"/>
  <c r="F137" i="57"/>
  <c r="H137" i="57"/>
  <c r="C138" i="57"/>
  <c r="D138" i="57"/>
  <c r="E138" i="57"/>
  <c r="F138" i="57"/>
  <c r="H138" i="57"/>
  <c r="C139" i="57"/>
  <c r="D139" i="57"/>
  <c r="E139" i="57"/>
  <c r="F139" i="57"/>
  <c r="H139" i="57"/>
  <c r="C140" i="57"/>
  <c r="D140" i="57"/>
  <c r="E140" i="57"/>
  <c r="F140" i="57"/>
  <c r="H140" i="57"/>
  <c r="C141" i="57"/>
  <c r="D141" i="57"/>
  <c r="E141" i="57"/>
  <c r="I141" i="57" s="1"/>
  <c r="F141" i="57"/>
  <c r="H141" i="57"/>
  <c r="C142" i="57"/>
  <c r="D142" i="57"/>
  <c r="E142" i="57"/>
  <c r="F142" i="57"/>
  <c r="H142" i="57"/>
  <c r="C143" i="57"/>
  <c r="D143" i="57"/>
  <c r="E143" i="57"/>
  <c r="F143" i="57"/>
  <c r="H143" i="57"/>
  <c r="C144" i="57"/>
  <c r="D144" i="57"/>
  <c r="E144" i="57"/>
  <c r="F144" i="57"/>
  <c r="H144" i="57"/>
  <c r="C145" i="57"/>
  <c r="D145" i="57"/>
  <c r="E145" i="57"/>
  <c r="F145" i="57"/>
  <c r="H145" i="57"/>
  <c r="C146" i="57"/>
  <c r="D146" i="57"/>
  <c r="E146" i="57"/>
  <c r="F146" i="57"/>
  <c r="H146" i="57"/>
  <c r="C147" i="57"/>
  <c r="D147" i="57"/>
  <c r="E147" i="57"/>
  <c r="F147" i="57"/>
  <c r="H147" i="57"/>
  <c r="C148" i="57"/>
  <c r="D148" i="57"/>
  <c r="E148" i="57"/>
  <c r="F148" i="57"/>
  <c r="H148" i="57"/>
  <c r="C149" i="57"/>
  <c r="D149" i="57"/>
  <c r="E149" i="57"/>
  <c r="I149" i="57" s="1"/>
  <c r="F149" i="57"/>
  <c r="H149" i="57"/>
  <c r="C150" i="57"/>
  <c r="D150" i="57"/>
  <c r="E150" i="57"/>
  <c r="F150" i="57"/>
  <c r="H150" i="57"/>
  <c r="C151" i="57"/>
  <c r="D151" i="57"/>
  <c r="E151" i="57"/>
  <c r="F151" i="57"/>
  <c r="H151" i="57"/>
  <c r="C152" i="57"/>
  <c r="D152" i="57"/>
  <c r="E152" i="57"/>
  <c r="F152" i="57"/>
  <c r="H152" i="57"/>
  <c r="C153" i="57"/>
  <c r="D153" i="57"/>
  <c r="E153" i="57"/>
  <c r="F153" i="57"/>
  <c r="H153" i="57"/>
  <c r="C154" i="57"/>
  <c r="D154" i="57"/>
  <c r="E154" i="57"/>
  <c r="F154" i="57"/>
  <c r="H154" i="57"/>
  <c r="C155" i="57"/>
  <c r="D155" i="57"/>
  <c r="E155" i="57"/>
  <c r="F155" i="57"/>
  <c r="H155" i="57"/>
  <c r="C156" i="57"/>
  <c r="D156" i="57"/>
  <c r="E156" i="57"/>
  <c r="F156" i="57"/>
  <c r="H156" i="57"/>
  <c r="C157" i="57"/>
  <c r="D157" i="57"/>
  <c r="E157" i="57"/>
  <c r="F157" i="57"/>
  <c r="H157" i="57"/>
  <c r="C158" i="57"/>
  <c r="D158" i="57"/>
  <c r="E158" i="57"/>
  <c r="F158" i="57"/>
  <c r="H158" i="57"/>
  <c r="C159" i="57"/>
  <c r="D159" i="57"/>
  <c r="E159" i="57"/>
  <c r="F159" i="57"/>
  <c r="H159" i="57"/>
  <c r="C160" i="57"/>
  <c r="D160" i="57"/>
  <c r="E160" i="57"/>
  <c r="G160" i="57" s="1"/>
  <c r="F160" i="57"/>
  <c r="H160" i="57"/>
  <c r="C161" i="57"/>
  <c r="D161" i="57"/>
  <c r="E161" i="57"/>
  <c r="I161" i="57" s="1"/>
  <c r="F161" i="57"/>
  <c r="H161" i="57"/>
  <c r="C162" i="57"/>
  <c r="D162" i="57"/>
  <c r="E162" i="57"/>
  <c r="F162" i="57"/>
  <c r="H162" i="57"/>
  <c r="C163" i="57"/>
  <c r="D163" i="57"/>
  <c r="E163" i="57"/>
  <c r="F163" i="57"/>
  <c r="H163" i="57"/>
  <c r="C164" i="57"/>
  <c r="D164" i="57"/>
  <c r="E164" i="57"/>
  <c r="F164" i="57"/>
  <c r="H164" i="57"/>
  <c r="C165" i="57"/>
  <c r="D165" i="57"/>
  <c r="E165" i="57"/>
  <c r="F165" i="57"/>
  <c r="H165" i="57"/>
  <c r="C166" i="57"/>
  <c r="D166" i="57"/>
  <c r="E166" i="57"/>
  <c r="F166" i="57"/>
  <c r="H166" i="57"/>
  <c r="C167" i="57"/>
  <c r="D167" i="57"/>
  <c r="E167" i="57"/>
  <c r="F167" i="57"/>
  <c r="H167" i="57"/>
  <c r="I167" i="57" s="1"/>
  <c r="C168" i="57"/>
  <c r="D168" i="57"/>
  <c r="E168" i="57"/>
  <c r="F168" i="57"/>
  <c r="H168" i="57"/>
  <c r="C169" i="57"/>
  <c r="D169" i="57"/>
  <c r="E169" i="57"/>
  <c r="F169" i="57"/>
  <c r="H169" i="57"/>
  <c r="C170" i="57"/>
  <c r="D170" i="57"/>
  <c r="E170" i="57"/>
  <c r="F170" i="57"/>
  <c r="H170" i="57"/>
  <c r="C171" i="57"/>
  <c r="D171" i="57"/>
  <c r="E171" i="57"/>
  <c r="F171" i="57"/>
  <c r="H171" i="57"/>
  <c r="C172" i="57"/>
  <c r="D172" i="57"/>
  <c r="E172" i="57"/>
  <c r="F172" i="57"/>
  <c r="H172" i="57"/>
  <c r="C173" i="57"/>
  <c r="D173" i="57"/>
  <c r="E173" i="57"/>
  <c r="F173" i="57"/>
  <c r="G173" i="57" s="1"/>
  <c r="H173" i="57"/>
  <c r="I173" i="57" s="1"/>
  <c r="C174" i="57"/>
  <c r="D174" i="57"/>
  <c r="E174" i="57"/>
  <c r="F174" i="57"/>
  <c r="H174" i="57"/>
  <c r="C175" i="57"/>
  <c r="D175" i="57"/>
  <c r="E175" i="57"/>
  <c r="F175" i="57"/>
  <c r="H175" i="57"/>
  <c r="C176" i="57"/>
  <c r="D176" i="57"/>
  <c r="E176" i="57"/>
  <c r="G176" i="57" s="1"/>
  <c r="F176" i="57"/>
  <c r="H176" i="57"/>
  <c r="C177" i="57"/>
  <c r="D177" i="57"/>
  <c r="E177" i="57"/>
  <c r="G177" i="57" s="1"/>
  <c r="F177" i="57"/>
  <c r="H177" i="57"/>
  <c r="C178" i="57"/>
  <c r="D178" i="57"/>
  <c r="E178" i="57"/>
  <c r="G178" i="57" s="1"/>
  <c r="F178" i="57"/>
  <c r="H178" i="57"/>
  <c r="C179" i="57"/>
  <c r="D179" i="57"/>
  <c r="E179" i="57"/>
  <c r="F179" i="57"/>
  <c r="H179" i="57"/>
  <c r="C180" i="57"/>
  <c r="D180" i="57"/>
  <c r="E180" i="57"/>
  <c r="F180" i="57"/>
  <c r="H180" i="57"/>
  <c r="C181" i="57"/>
  <c r="D181" i="57"/>
  <c r="E181" i="57"/>
  <c r="F181" i="57"/>
  <c r="H181" i="57"/>
  <c r="C182" i="57"/>
  <c r="D182" i="57"/>
  <c r="E182" i="57"/>
  <c r="F182" i="57"/>
  <c r="H182" i="57"/>
  <c r="C183" i="57"/>
  <c r="D183" i="57"/>
  <c r="E183" i="57"/>
  <c r="G183" i="57" s="1"/>
  <c r="F183" i="57"/>
  <c r="H183" i="57"/>
  <c r="C184" i="57"/>
  <c r="D184" i="57"/>
  <c r="E184" i="57"/>
  <c r="G184" i="57" s="1"/>
  <c r="F184" i="57"/>
  <c r="H184" i="57"/>
  <c r="C185" i="57"/>
  <c r="D185" i="57"/>
  <c r="E185" i="57"/>
  <c r="F185" i="57"/>
  <c r="H185" i="57"/>
  <c r="C186" i="57"/>
  <c r="D186" i="57"/>
  <c r="E186" i="57"/>
  <c r="F186" i="57"/>
  <c r="H186" i="57"/>
  <c r="C187" i="57"/>
  <c r="D187" i="57"/>
  <c r="E187" i="57"/>
  <c r="F187" i="57"/>
  <c r="H187" i="57"/>
  <c r="C188" i="57"/>
  <c r="D188" i="57"/>
  <c r="E188" i="57"/>
  <c r="F188" i="57"/>
  <c r="H188" i="57"/>
  <c r="C189" i="57"/>
  <c r="D189" i="57"/>
  <c r="E189" i="57"/>
  <c r="F189" i="57"/>
  <c r="H189" i="57"/>
  <c r="H15" i="57"/>
  <c r="F15" i="57"/>
  <c r="E15" i="57"/>
  <c r="D15" i="57"/>
  <c r="C15" i="57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74" i="60"/>
  <c r="I75" i="60"/>
  <c r="I76" i="60"/>
  <c r="I77" i="60"/>
  <c r="I78" i="60"/>
  <c r="I79" i="60"/>
  <c r="I80" i="60"/>
  <c r="I81" i="60"/>
  <c r="I82" i="60"/>
  <c r="I83" i="60"/>
  <c r="I84" i="60"/>
  <c r="I85" i="60"/>
  <c r="I86" i="60"/>
  <c r="I87" i="60"/>
  <c r="I88" i="60"/>
  <c r="I89" i="60"/>
  <c r="I90" i="60"/>
  <c r="G20" i="55"/>
  <c r="G21" i="55"/>
  <c r="I28" i="53"/>
  <c r="I21" i="55"/>
  <c r="G22" i="55"/>
  <c r="I199" i="57"/>
  <c r="I56" i="55"/>
  <c r="I55" i="55"/>
  <c r="I54" i="55"/>
  <c r="I53" i="55"/>
  <c r="I52" i="55"/>
  <c r="I51" i="55"/>
  <c r="I50" i="55"/>
  <c r="I49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57" i="53"/>
  <c r="I56" i="53"/>
  <c r="I55" i="53"/>
  <c r="I54" i="53"/>
  <c r="I53" i="53"/>
  <c r="I52" i="53"/>
  <c r="I51" i="53"/>
  <c r="I50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7" i="53"/>
  <c r="G170" i="57" l="1"/>
  <c r="G142" i="57"/>
  <c r="I187" i="57"/>
  <c r="I166" i="57"/>
  <c r="I81" i="57"/>
  <c r="I34" i="57"/>
  <c r="I188" i="57"/>
  <c r="G182" i="57"/>
  <c r="I174" i="57"/>
  <c r="G167" i="57"/>
  <c r="G161" i="57"/>
  <c r="G152" i="57"/>
  <c r="G138" i="57"/>
  <c r="G131" i="57"/>
  <c r="I111" i="57"/>
  <c r="I105" i="57"/>
  <c r="I88" i="57"/>
  <c r="I86" i="57"/>
  <c r="I82" i="57"/>
  <c r="I74" i="57"/>
  <c r="G72" i="57"/>
  <c r="G66" i="57"/>
  <c r="G53" i="57"/>
  <c r="G29" i="57"/>
  <c r="G23" i="57"/>
  <c r="G164" i="57"/>
  <c r="G148" i="57"/>
  <c r="G141" i="57"/>
  <c r="I177" i="57"/>
  <c r="I176" i="57"/>
  <c r="I160" i="57"/>
  <c r="I110" i="57"/>
  <c r="I40" i="57"/>
  <c r="I93" i="57"/>
  <c r="G88" i="57"/>
  <c r="I87" i="57"/>
  <c r="I62" i="57"/>
  <c r="G30" i="57"/>
  <c r="G155" i="57"/>
  <c r="G89" i="57"/>
  <c r="G69" i="57"/>
  <c r="I129" i="57"/>
  <c r="G90" i="57"/>
  <c r="G76" i="57"/>
  <c r="G63" i="57"/>
  <c r="G45" i="57"/>
  <c r="I27" i="57"/>
  <c r="I170" i="57"/>
  <c r="I89" i="57"/>
  <c r="I83" i="57"/>
  <c r="I45" i="57"/>
  <c r="G179" i="57"/>
  <c r="I171" i="57"/>
  <c r="I158" i="57"/>
  <c r="G156" i="57"/>
  <c r="G150" i="57"/>
  <c r="G149" i="57"/>
  <c r="G143" i="57"/>
  <c r="G136" i="57"/>
  <c r="G135" i="57"/>
  <c r="I131" i="57"/>
  <c r="I130" i="57"/>
  <c r="G125" i="57"/>
  <c r="G119" i="57"/>
  <c r="G101" i="57"/>
  <c r="G94" i="57"/>
  <c r="G74" i="57"/>
  <c r="G59" i="57"/>
  <c r="G51" i="57"/>
  <c r="I41" i="57"/>
  <c r="G35" i="57"/>
  <c r="G21" i="57"/>
  <c r="I183" i="57"/>
  <c r="I182" i="57"/>
  <c r="G181" i="57"/>
  <c r="G180" i="57"/>
  <c r="I164" i="57"/>
  <c r="I159" i="57"/>
  <c r="G144" i="57"/>
  <c r="G137" i="57"/>
  <c r="G102" i="57"/>
  <c r="G96" i="57"/>
  <c r="G95" i="57"/>
  <c r="I58" i="57"/>
  <c r="I52" i="57"/>
  <c r="G36" i="57"/>
  <c r="I22" i="57"/>
  <c r="I18" i="57"/>
  <c r="G153" i="57"/>
  <c r="G146" i="57"/>
  <c r="I142" i="57"/>
  <c r="I116" i="57"/>
  <c r="G106" i="57"/>
  <c r="G98" i="57"/>
  <c r="G83" i="57"/>
  <c r="I77" i="57"/>
  <c r="I70" i="57"/>
  <c r="I66" i="57"/>
  <c r="G54" i="57"/>
  <c r="G48" i="57"/>
  <c r="I38" i="57"/>
  <c r="I32" i="57"/>
  <c r="I26" i="57"/>
  <c r="G24" i="57"/>
  <c r="G17" i="57"/>
  <c r="G185" i="57"/>
  <c r="I178" i="57"/>
  <c r="I186" i="57"/>
  <c r="I180" i="57"/>
  <c r="I179" i="57"/>
  <c r="I168" i="57"/>
  <c r="G154" i="57"/>
  <c r="G147" i="57"/>
  <c r="I143" i="57"/>
  <c r="G140" i="57"/>
  <c r="I136" i="57"/>
  <c r="G133" i="57"/>
  <c r="I117" i="57"/>
  <c r="I113" i="57"/>
  <c r="I112" i="57"/>
  <c r="G107" i="57"/>
  <c r="G99" i="57"/>
  <c r="I95" i="57"/>
  <c r="I92" i="57"/>
  <c r="G71" i="57"/>
  <c r="G65" i="57"/>
  <c r="G56" i="57"/>
  <c r="G55" i="57"/>
  <c r="G41" i="57"/>
  <c r="G33" i="57"/>
  <c r="I29" i="57"/>
  <c r="G26" i="57"/>
  <c r="G103" i="57"/>
  <c r="G60" i="57"/>
  <c r="G57" i="57"/>
  <c r="G42" i="57"/>
  <c r="G25" i="57"/>
  <c r="I185" i="57"/>
  <c r="I184" i="57"/>
  <c r="I172" i="57"/>
  <c r="G171" i="57"/>
  <c r="G169" i="57"/>
  <c r="G168" i="57"/>
  <c r="G159" i="57"/>
  <c r="G158" i="57"/>
  <c r="I148" i="57"/>
  <c r="I147" i="57"/>
  <c r="I140" i="57"/>
  <c r="G127" i="57"/>
  <c r="I119" i="57"/>
  <c r="I118" i="57"/>
  <c r="G109" i="57"/>
  <c r="I94" i="57"/>
  <c r="G84" i="57"/>
  <c r="G80" i="57"/>
  <c r="G79" i="57"/>
  <c r="G75" i="57"/>
  <c r="G62" i="57"/>
  <c r="G61" i="57"/>
  <c r="I53" i="57"/>
  <c r="I51" i="57"/>
  <c r="G44" i="57"/>
  <c r="G43" i="57"/>
  <c r="I35" i="57"/>
  <c r="I33" i="57"/>
  <c r="G18" i="57"/>
  <c r="G162" i="57"/>
  <c r="G126" i="57"/>
  <c r="G122" i="57"/>
  <c r="G78" i="57"/>
  <c r="G39" i="57"/>
  <c r="I189" i="57"/>
  <c r="G175" i="57"/>
  <c r="G174" i="57"/>
  <c r="I155" i="57"/>
  <c r="I154" i="57"/>
  <c r="I153" i="57"/>
  <c r="I152" i="57"/>
  <c r="I146" i="57"/>
  <c r="G132" i="57"/>
  <c r="G129" i="57"/>
  <c r="G128" i="57"/>
  <c r="G114" i="57"/>
  <c r="G111" i="57"/>
  <c r="G110" i="57"/>
  <c r="I101" i="57"/>
  <c r="I100" i="57"/>
  <c r="I99" i="57"/>
  <c r="I98" i="57"/>
  <c r="G85" i="57"/>
  <c r="I71" i="57"/>
  <c r="I69" i="57"/>
  <c r="I68" i="57"/>
  <c r="I64" i="57"/>
  <c r="I54" i="57"/>
  <c r="I46" i="57"/>
  <c r="I36" i="57"/>
  <c r="I28" i="57"/>
  <c r="G27" i="57"/>
  <c r="I23" i="57"/>
  <c r="I21" i="57"/>
  <c r="I20" i="57"/>
  <c r="I16" i="57"/>
  <c r="G165" i="57"/>
  <c r="G157" i="57"/>
  <c r="G123" i="57"/>
  <c r="G108" i="57"/>
  <c r="I165" i="57"/>
  <c r="I162" i="57"/>
  <c r="I137" i="57"/>
  <c r="I125" i="57"/>
  <c r="I124" i="57"/>
  <c r="I123" i="57"/>
  <c r="I122" i="57"/>
  <c r="I107" i="57"/>
  <c r="I106" i="57"/>
  <c r="G91" i="57"/>
  <c r="G87" i="57"/>
  <c r="I72" i="57"/>
  <c r="G68" i="57"/>
  <c r="G67" i="57"/>
  <c r="I57" i="57"/>
  <c r="G50" i="57"/>
  <c r="G49" i="57"/>
  <c r="I39" i="57"/>
  <c r="G32" i="57"/>
  <c r="I24" i="57"/>
  <c r="G20" i="57"/>
  <c r="G163" i="57"/>
  <c r="G105" i="57"/>
  <c r="G73" i="57"/>
  <c r="G189" i="57"/>
  <c r="G188" i="57"/>
  <c r="G187" i="57"/>
  <c r="G186" i="57"/>
  <c r="G151" i="57"/>
  <c r="G145" i="57"/>
  <c r="G139" i="57"/>
  <c r="G134" i="57"/>
  <c r="G120" i="57"/>
  <c r="G117" i="57"/>
  <c r="G116" i="57"/>
  <c r="G93" i="57"/>
  <c r="G92" i="57"/>
  <c r="I76" i="57"/>
  <c r="I75" i="57"/>
  <c r="I60" i="57"/>
  <c r="I42" i="57"/>
  <c r="G172" i="57"/>
  <c r="G166" i="57"/>
  <c r="G70" i="57"/>
  <c r="G64" i="57"/>
  <c r="G58" i="57"/>
  <c r="G52" i="57"/>
  <c r="G46" i="57"/>
  <c r="G40" i="57"/>
  <c r="G34" i="57"/>
  <c r="G28" i="57"/>
  <c r="G22" i="57"/>
  <c r="G16" i="57"/>
  <c r="I181" i="57"/>
  <c r="I175" i="57"/>
  <c r="I169" i="57"/>
  <c r="I163" i="57"/>
  <c r="I157" i="57"/>
  <c r="I151" i="57"/>
  <c r="I145" i="57"/>
  <c r="I139" i="57"/>
  <c r="I133" i="57"/>
  <c r="I127" i="57"/>
  <c r="I121" i="57"/>
  <c r="I115" i="57"/>
  <c r="I109" i="57"/>
  <c r="I103" i="57"/>
  <c r="I97" i="57"/>
  <c r="I91" i="57"/>
  <c r="I85" i="57"/>
  <c r="I79" i="57"/>
  <c r="I73" i="57"/>
  <c r="I67" i="57"/>
  <c r="I61" i="57"/>
  <c r="I55" i="57"/>
  <c r="I49" i="57"/>
  <c r="I43" i="57"/>
  <c r="I37" i="57"/>
  <c r="I31" i="57"/>
  <c r="I25" i="57"/>
  <c r="I19" i="57"/>
  <c r="I156" i="57"/>
  <c r="I150" i="57"/>
  <c r="I144" i="57"/>
  <c r="I138" i="57"/>
  <c r="I132" i="57"/>
  <c r="I126" i="57"/>
  <c r="I120" i="57"/>
  <c r="I114" i="57"/>
  <c r="I108" i="57"/>
  <c r="I102" i="57"/>
  <c r="I96" i="57"/>
  <c r="I90" i="57"/>
  <c r="I84" i="57"/>
  <c r="I78" i="57"/>
  <c r="I59" i="60"/>
  <c r="I20" i="55"/>
  <c r="I57" i="47" l="1"/>
  <c r="I56" i="47"/>
  <c r="I55" i="47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7" i="47"/>
  <c r="I26" i="47"/>
  <c r="I25" i="47"/>
  <c r="I24" i="47"/>
  <c r="I23" i="47"/>
  <c r="I20" i="47" l="1"/>
  <c r="I22" i="47"/>
  <c r="I21" i="47"/>
  <c r="G16" i="55" l="1"/>
  <c r="G18" i="55"/>
  <c r="I18" i="55"/>
  <c r="G19" i="55"/>
  <c r="I19" i="55"/>
  <c r="I16" i="55" l="1"/>
  <c r="G17" i="55"/>
  <c r="I17" i="55"/>
  <c r="G15" i="55"/>
  <c r="I15" i="55"/>
  <c r="E59" i="55" l="1"/>
  <c r="I57" i="55"/>
  <c r="I60" i="55" s="1"/>
  <c r="I61" i="55" s="1"/>
  <c r="I63" i="55" s="1"/>
  <c r="E58" i="55"/>
  <c r="E60" i="55" l="1"/>
  <c r="I15" i="57" l="1"/>
  <c r="G15" i="57"/>
  <c r="E202" i="57" l="1"/>
  <c r="E201" i="57"/>
  <c r="I19" i="47"/>
  <c r="G19" i="47"/>
  <c r="E203" i="57" l="1"/>
  <c r="I200" i="57"/>
  <c r="I203" i="57" s="1"/>
  <c r="I204" i="57" s="1"/>
  <c r="I206" i="57" s="1"/>
  <c r="H16" i="58" l="1"/>
  <c r="H17" i="58"/>
  <c r="H19" i="58"/>
  <c r="H20" i="58"/>
  <c r="H21" i="58"/>
  <c r="H22" i="58"/>
  <c r="H23" i="58"/>
  <c r="H27" i="58"/>
  <c r="H29" i="58"/>
  <c r="H31" i="58"/>
  <c r="H32" i="58"/>
  <c r="H33" i="58"/>
  <c r="H34" i="58"/>
  <c r="H40" i="58"/>
  <c r="H47" i="58"/>
  <c r="H50" i="58"/>
  <c r="H54" i="58"/>
  <c r="H55" i="58"/>
  <c r="H56" i="58"/>
  <c r="H60" i="58"/>
  <c r="H61" i="58"/>
  <c r="H62" i="58"/>
  <c r="H64" i="58"/>
  <c r="H65" i="58"/>
  <c r="H66" i="58"/>
  <c r="H68" i="58"/>
  <c r="H69" i="58"/>
  <c r="H82" i="58"/>
  <c r="H83" i="58"/>
  <c r="H85" i="58"/>
  <c r="H87" i="58"/>
  <c r="H88" i="58"/>
  <c r="H89" i="58"/>
  <c r="H91" i="58"/>
  <c r="H92" i="58"/>
  <c r="H93" i="58"/>
  <c r="H94" i="58"/>
  <c r="H95" i="58"/>
  <c r="H97" i="58"/>
  <c r="H98" i="58"/>
  <c r="H99" i="58"/>
  <c r="H100" i="58"/>
  <c r="H103" i="58"/>
  <c r="H104" i="58"/>
  <c r="H105" i="58"/>
  <c r="H106" i="58"/>
  <c r="H107" i="58"/>
  <c r="H109" i="58"/>
  <c r="H112" i="58"/>
  <c r="H113" i="58"/>
  <c r="H115" i="58"/>
  <c r="H119" i="58"/>
  <c r="H120" i="58"/>
  <c r="H122" i="58"/>
  <c r="H124" i="58"/>
  <c r="H125" i="58"/>
  <c r="H126" i="58"/>
  <c r="H127" i="58"/>
  <c r="H132" i="58"/>
  <c r="H133" i="58"/>
  <c r="H138" i="58"/>
  <c r="H144" i="58"/>
  <c r="H146" i="58"/>
  <c r="H149" i="58"/>
  <c r="H150" i="58"/>
  <c r="H151" i="58"/>
  <c r="H152" i="58"/>
  <c r="H153" i="58"/>
  <c r="H154" i="58"/>
  <c r="H158" i="58"/>
  <c r="H159" i="58"/>
  <c r="H161" i="58"/>
  <c r="H162" i="58"/>
  <c r="H163" i="58"/>
  <c r="H165" i="58"/>
  <c r="H167" i="58"/>
  <c r="H168" i="58"/>
  <c r="H176" i="58"/>
  <c r="H182" i="58"/>
  <c r="H183" i="58"/>
  <c r="H184" i="58"/>
  <c r="H186" i="58"/>
  <c r="H188" i="58"/>
  <c r="H191" i="58"/>
  <c r="H192" i="58"/>
  <c r="H193" i="58"/>
  <c r="H194" i="58"/>
  <c r="H195" i="58"/>
  <c r="H196" i="58"/>
  <c r="H197" i="58"/>
  <c r="H198" i="58"/>
  <c r="H199" i="58"/>
  <c r="H200" i="58"/>
  <c r="H204" i="58"/>
  <c r="H211" i="58"/>
  <c r="H215" i="58"/>
  <c r="H216" i="58"/>
  <c r="H221" i="58"/>
  <c r="H222" i="58"/>
  <c r="H226" i="58"/>
  <c r="H227" i="58"/>
  <c r="H235" i="58"/>
  <c r="H238" i="58"/>
  <c r="H239" i="58"/>
  <c r="H242" i="58"/>
  <c r="H243" i="58"/>
  <c r="H249" i="58"/>
  <c r="H251" i="58"/>
  <c r="H252" i="58"/>
  <c r="H253" i="58"/>
  <c r="H254" i="58"/>
  <c r="H255" i="58"/>
  <c r="H257" i="58"/>
  <c r="H259" i="58"/>
  <c r="H260" i="58"/>
  <c r="H261" i="58"/>
  <c r="H270" i="58"/>
  <c r="H271" i="58"/>
  <c r="H272" i="58"/>
  <c r="H275" i="58"/>
  <c r="H278" i="58"/>
  <c r="H280" i="58"/>
  <c r="H282" i="58"/>
  <c r="H296" i="58"/>
  <c r="H297" i="58"/>
  <c r="H299" i="58"/>
  <c r="H300" i="58"/>
  <c r="H301" i="58"/>
  <c r="H302" i="58"/>
  <c r="H303" i="58"/>
  <c r="H304" i="58"/>
  <c r="H305" i="58"/>
  <c r="H306" i="58"/>
  <c r="H307" i="58"/>
  <c r="H311" i="58"/>
  <c r="H312" i="58"/>
  <c r="H313" i="58"/>
  <c r="H314" i="58"/>
  <c r="H315" i="58"/>
  <c r="H316" i="58"/>
  <c r="H317" i="58"/>
  <c r="H318" i="58"/>
  <c r="H320" i="58"/>
  <c r="H321" i="58"/>
  <c r="H322" i="58"/>
  <c r="H327" i="58"/>
  <c r="H328" i="58"/>
  <c r="H329" i="58"/>
  <c r="H334" i="58"/>
  <c r="H335" i="58"/>
  <c r="H341" i="58"/>
  <c r="H342" i="58"/>
  <c r="H343" i="58"/>
  <c r="H344" i="58"/>
  <c r="H345" i="58"/>
  <c r="H346" i="58"/>
  <c r="H347" i="58"/>
  <c r="H348" i="58"/>
  <c r="H349" i="58"/>
  <c r="H350" i="58"/>
  <c r="H351" i="58"/>
  <c r="H352" i="58"/>
  <c r="H353" i="58"/>
  <c r="H356" i="58"/>
  <c r="H357" i="58"/>
  <c r="H361" i="58"/>
  <c r="H364" i="58"/>
  <c r="H365" i="58"/>
  <c r="H368" i="58"/>
  <c r="H369" i="58"/>
  <c r="H371" i="58"/>
  <c r="H377" i="58"/>
  <c r="H383" i="58"/>
  <c r="H384" i="58"/>
  <c r="H386" i="58"/>
  <c r="F16" i="58"/>
  <c r="F17" i="58"/>
  <c r="F19" i="58"/>
  <c r="F20" i="58"/>
  <c r="F21" i="58"/>
  <c r="F22" i="58"/>
  <c r="F23" i="58"/>
  <c r="F27" i="58"/>
  <c r="F29" i="58"/>
  <c r="F31" i="58"/>
  <c r="F32" i="58"/>
  <c r="F33" i="58"/>
  <c r="F34" i="58"/>
  <c r="F40" i="58"/>
  <c r="F47" i="58"/>
  <c r="F50" i="58"/>
  <c r="F54" i="58"/>
  <c r="F55" i="58"/>
  <c r="F56" i="58"/>
  <c r="F60" i="58"/>
  <c r="F61" i="58"/>
  <c r="F62" i="58"/>
  <c r="F64" i="58"/>
  <c r="F65" i="58"/>
  <c r="F66" i="58"/>
  <c r="F68" i="58"/>
  <c r="F69" i="58"/>
  <c r="F82" i="58"/>
  <c r="F83" i="58"/>
  <c r="F85" i="58"/>
  <c r="F87" i="58"/>
  <c r="F88" i="58"/>
  <c r="F89" i="58"/>
  <c r="F91" i="58"/>
  <c r="F92" i="58"/>
  <c r="F93" i="58"/>
  <c r="F94" i="58"/>
  <c r="F95" i="58"/>
  <c r="F97" i="58"/>
  <c r="F98" i="58"/>
  <c r="F99" i="58"/>
  <c r="F100" i="58"/>
  <c r="F103" i="58"/>
  <c r="F104" i="58"/>
  <c r="F105" i="58"/>
  <c r="F106" i="58"/>
  <c r="F107" i="58"/>
  <c r="F109" i="58"/>
  <c r="F112" i="58"/>
  <c r="F113" i="58"/>
  <c r="F115" i="58"/>
  <c r="F119" i="58"/>
  <c r="F120" i="58"/>
  <c r="F122" i="58"/>
  <c r="F124" i="58"/>
  <c r="F125" i="58"/>
  <c r="F126" i="58"/>
  <c r="F127" i="58"/>
  <c r="F132" i="58"/>
  <c r="F133" i="58"/>
  <c r="F138" i="58"/>
  <c r="F144" i="58"/>
  <c r="F146" i="58"/>
  <c r="F149" i="58"/>
  <c r="F150" i="58"/>
  <c r="F151" i="58"/>
  <c r="F152" i="58"/>
  <c r="F153" i="58"/>
  <c r="F154" i="58"/>
  <c r="F158" i="58"/>
  <c r="F159" i="58"/>
  <c r="F161" i="58"/>
  <c r="F162" i="58"/>
  <c r="F163" i="58"/>
  <c r="F165" i="58"/>
  <c r="F167" i="58"/>
  <c r="F168" i="58"/>
  <c r="F176" i="58"/>
  <c r="F182" i="58"/>
  <c r="F183" i="58"/>
  <c r="F184" i="58"/>
  <c r="F186" i="58"/>
  <c r="F188" i="58"/>
  <c r="F191" i="58"/>
  <c r="F192" i="58"/>
  <c r="F193" i="58"/>
  <c r="F194" i="58"/>
  <c r="F195" i="58"/>
  <c r="F196" i="58"/>
  <c r="F197" i="58"/>
  <c r="F198" i="58"/>
  <c r="F199" i="58"/>
  <c r="F200" i="58"/>
  <c r="F204" i="58"/>
  <c r="F211" i="58"/>
  <c r="F215" i="58"/>
  <c r="F216" i="58"/>
  <c r="F221" i="58"/>
  <c r="F222" i="58"/>
  <c r="F226" i="58"/>
  <c r="F227" i="58"/>
  <c r="F235" i="58"/>
  <c r="F238" i="58"/>
  <c r="F239" i="58"/>
  <c r="F242" i="58"/>
  <c r="F243" i="58"/>
  <c r="F249" i="58"/>
  <c r="F251" i="58"/>
  <c r="F252" i="58"/>
  <c r="F253" i="58"/>
  <c r="F254" i="58"/>
  <c r="F255" i="58"/>
  <c r="F257" i="58"/>
  <c r="F259" i="58"/>
  <c r="F260" i="58"/>
  <c r="F261" i="58"/>
  <c r="F270" i="58"/>
  <c r="F271" i="58"/>
  <c r="F272" i="58"/>
  <c r="F275" i="58"/>
  <c r="F278" i="58"/>
  <c r="F280" i="58"/>
  <c r="F282" i="58"/>
  <c r="F296" i="58"/>
  <c r="F297" i="58"/>
  <c r="F299" i="58"/>
  <c r="F300" i="58"/>
  <c r="F301" i="58"/>
  <c r="F302" i="58"/>
  <c r="F303" i="58"/>
  <c r="F304" i="58"/>
  <c r="F305" i="58"/>
  <c r="F306" i="58"/>
  <c r="F307" i="58"/>
  <c r="F311" i="58"/>
  <c r="F312" i="58"/>
  <c r="F313" i="58"/>
  <c r="F314" i="58"/>
  <c r="F315" i="58"/>
  <c r="F316" i="58"/>
  <c r="F317" i="58"/>
  <c r="F318" i="58"/>
  <c r="F320" i="58"/>
  <c r="F321" i="58"/>
  <c r="F322" i="58"/>
  <c r="F327" i="58"/>
  <c r="F328" i="58"/>
  <c r="F329" i="58"/>
  <c r="F334" i="58"/>
  <c r="F335" i="58"/>
  <c r="F341" i="58"/>
  <c r="F342" i="58"/>
  <c r="F343" i="58"/>
  <c r="F344" i="58"/>
  <c r="F345" i="58"/>
  <c r="F346" i="58"/>
  <c r="F347" i="58"/>
  <c r="F348" i="58"/>
  <c r="F349" i="58"/>
  <c r="F350" i="58"/>
  <c r="F351" i="58"/>
  <c r="F352" i="58"/>
  <c r="F353" i="58"/>
  <c r="F356" i="58"/>
  <c r="F357" i="58"/>
  <c r="F361" i="58"/>
  <c r="F364" i="58"/>
  <c r="F365" i="58"/>
  <c r="F368" i="58"/>
  <c r="F369" i="58"/>
  <c r="F371" i="58"/>
  <c r="F377" i="58"/>
  <c r="F383" i="58"/>
  <c r="F384" i="58"/>
  <c r="F386" i="58"/>
  <c r="D16" i="58"/>
  <c r="D17" i="58"/>
  <c r="D19" i="58"/>
  <c r="D20" i="58"/>
  <c r="D21" i="58"/>
  <c r="D22" i="58"/>
  <c r="D23" i="58"/>
  <c r="D27" i="58"/>
  <c r="D29" i="58"/>
  <c r="D31" i="58"/>
  <c r="D32" i="58"/>
  <c r="D33" i="58"/>
  <c r="D34" i="58"/>
  <c r="D40" i="58"/>
  <c r="D47" i="58"/>
  <c r="D50" i="58"/>
  <c r="D54" i="58"/>
  <c r="D55" i="58"/>
  <c r="D56" i="58"/>
  <c r="D60" i="58"/>
  <c r="D61" i="58"/>
  <c r="D62" i="58"/>
  <c r="D64" i="58"/>
  <c r="D65" i="58"/>
  <c r="D66" i="58"/>
  <c r="D68" i="58"/>
  <c r="D69" i="58"/>
  <c r="D82" i="58"/>
  <c r="D83" i="58"/>
  <c r="D85" i="58"/>
  <c r="D87" i="58"/>
  <c r="D88" i="58"/>
  <c r="D89" i="58"/>
  <c r="D91" i="58"/>
  <c r="D92" i="58"/>
  <c r="D93" i="58"/>
  <c r="D94" i="58"/>
  <c r="D95" i="58"/>
  <c r="D97" i="58"/>
  <c r="D98" i="58"/>
  <c r="D99" i="58"/>
  <c r="D100" i="58"/>
  <c r="D103" i="58"/>
  <c r="D104" i="58"/>
  <c r="D105" i="58"/>
  <c r="D106" i="58"/>
  <c r="D107" i="58"/>
  <c r="D109" i="58"/>
  <c r="D112" i="58"/>
  <c r="D113" i="58"/>
  <c r="D115" i="58"/>
  <c r="D119" i="58"/>
  <c r="D120" i="58"/>
  <c r="D122" i="58"/>
  <c r="D124" i="58"/>
  <c r="D125" i="58"/>
  <c r="D126" i="58"/>
  <c r="D127" i="58"/>
  <c r="D132" i="58"/>
  <c r="D133" i="58"/>
  <c r="D138" i="58"/>
  <c r="D144" i="58"/>
  <c r="D146" i="58"/>
  <c r="D149" i="58"/>
  <c r="D150" i="58"/>
  <c r="D151" i="58"/>
  <c r="D152" i="58"/>
  <c r="D153" i="58"/>
  <c r="D154" i="58"/>
  <c r="D158" i="58"/>
  <c r="D159" i="58"/>
  <c r="D161" i="58"/>
  <c r="D162" i="58"/>
  <c r="D163" i="58"/>
  <c r="D165" i="58"/>
  <c r="D167" i="58"/>
  <c r="D168" i="58"/>
  <c r="D176" i="58"/>
  <c r="D182" i="58"/>
  <c r="D183" i="58"/>
  <c r="D184" i="58"/>
  <c r="D186" i="58"/>
  <c r="D188" i="58"/>
  <c r="D191" i="58"/>
  <c r="D192" i="58"/>
  <c r="D193" i="58"/>
  <c r="D194" i="58"/>
  <c r="D195" i="58"/>
  <c r="D196" i="58"/>
  <c r="D197" i="58"/>
  <c r="D198" i="58"/>
  <c r="D199" i="58"/>
  <c r="D200" i="58"/>
  <c r="D204" i="58"/>
  <c r="D211" i="58"/>
  <c r="D215" i="58"/>
  <c r="D216" i="58"/>
  <c r="D221" i="58"/>
  <c r="D222" i="58"/>
  <c r="D226" i="58"/>
  <c r="D227" i="58"/>
  <c r="D235" i="58"/>
  <c r="D238" i="58"/>
  <c r="D239" i="58"/>
  <c r="D242" i="58"/>
  <c r="D243" i="58"/>
  <c r="D249" i="58"/>
  <c r="D251" i="58"/>
  <c r="D252" i="58"/>
  <c r="D253" i="58"/>
  <c r="D254" i="58"/>
  <c r="D255" i="58"/>
  <c r="D257" i="58"/>
  <c r="D259" i="58"/>
  <c r="D260" i="58"/>
  <c r="D261" i="58"/>
  <c r="D270" i="58"/>
  <c r="D271" i="58"/>
  <c r="D272" i="58"/>
  <c r="D275" i="58"/>
  <c r="D278" i="58"/>
  <c r="D280" i="58"/>
  <c r="D282" i="58"/>
  <c r="D296" i="58"/>
  <c r="D297" i="58"/>
  <c r="D299" i="58"/>
  <c r="D300" i="58"/>
  <c r="D301" i="58"/>
  <c r="D302" i="58"/>
  <c r="D303" i="58"/>
  <c r="D304" i="58"/>
  <c r="D305" i="58"/>
  <c r="D306" i="58"/>
  <c r="D307" i="58"/>
  <c r="D311" i="58"/>
  <c r="D312" i="58"/>
  <c r="D313" i="58"/>
  <c r="D314" i="58"/>
  <c r="D315" i="58"/>
  <c r="D316" i="58"/>
  <c r="D317" i="58"/>
  <c r="D318" i="58"/>
  <c r="D320" i="58"/>
  <c r="D321" i="58"/>
  <c r="D322" i="58"/>
  <c r="D327" i="58"/>
  <c r="D328" i="58"/>
  <c r="D329" i="58"/>
  <c r="D334" i="58"/>
  <c r="D335" i="58"/>
  <c r="D341" i="58"/>
  <c r="D342" i="58"/>
  <c r="D343" i="58"/>
  <c r="D344" i="58"/>
  <c r="D345" i="58"/>
  <c r="D346" i="58"/>
  <c r="D347" i="58"/>
  <c r="D348" i="58"/>
  <c r="D349" i="58"/>
  <c r="D350" i="58"/>
  <c r="D351" i="58"/>
  <c r="D352" i="58"/>
  <c r="D353" i="58"/>
  <c r="D356" i="58"/>
  <c r="D357" i="58"/>
  <c r="D361" i="58"/>
  <c r="D364" i="58"/>
  <c r="D365" i="58"/>
  <c r="D368" i="58"/>
  <c r="D369" i="58"/>
  <c r="D371" i="58"/>
  <c r="D377" i="58"/>
  <c r="D383" i="58"/>
  <c r="D384" i="58"/>
  <c r="D386" i="58"/>
  <c r="C16" i="58"/>
  <c r="C17" i="58"/>
  <c r="C19" i="58"/>
  <c r="C20" i="58"/>
  <c r="C21" i="58"/>
  <c r="C22" i="58"/>
  <c r="C23" i="58"/>
  <c r="C27" i="58"/>
  <c r="C29" i="58"/>
  <c r="C31" i="58"/>
  <c r="C32" i="58"/>
  <c r="C33" i="58"/>
  <c r="C34" i="58"/>
  <c r="C40" i="58"/>
  <c r="C47" i="58"/>
  <c r="C50" i="58"/>
  <c r="C54" i="58"/>
  <c r="C55" i="58"/>
  <c r="C56" i="58"/>
  <c r="C60" i="58"/>
  <c r="C61" i="58"/>
  <c r="C62" i="58"/>
  <c r="C64" i="58"/>
  <c r="C65" i="58"/>
  <c r="C66" i="58"/>
  <c r="C68" i="58"/>
  <c r="C69" i="58"/>
  <c r="C82" i="58"/>
  <c r="C83" i="58"/>
  <c r="C85" i="58"/>
  <c r="C87" i="58"/>
  <c r="C88" i="58"/>
  <c r="C89" i="58"/>
  <c r="C91" i="58"/>
  <c r="C92" i="58"/>
  <c r="C93" i="58"/>
  <c r="C94" i="58"/>
  <c r="C95" i="58"/>
  <c r="C97" i="58"/>
  <c r="C98" i="58"/>
  <c r="C99" i="58"/>
  <c r="C100" i="58"/>
  <c r="C103" i="58"/>
  <c r="C104" i="58"/>
  <c r="C105" i="58"/>
  <c r="C106" i="58"/>
  <c r="C107" i="58"/>
  <c r="C109" i="58"/>
  <c r="C112" i="58"/>
  <c r="C113" i="58"/>
  <c r="C115" i="58"/>
  <c r="C119" i="58"/>
  <c r="C120" i="58"/>
  <c r="C122" i="58"/>
  <c r="C124" i="58"/>
  <c r="C125" i="58"/>
  <c r="C126" i="58"/>
  <c r="C127" i="58"/>
  <c r="C132" i="58"/>
  <c r="C133" i="58"/>
  <c r="C138" i="58"/>
  <c r="C144" i="58"/>
  <c r="C146" i="58"/>
  <c r="C149" i="58"/>
  <c r="C150" i="58"/>
  <c r="C151" i="58"/>
  <c r="C152" i="58"/>
  <c r="C153" i="58"/>
  <c r="C154" i="58"/>
  <c r="C158" i="58"/>
  <c r="C159" i="58"/>
  <c r="C161" i="58"/>
  <c r="C162" i="58"/>
  <c r="C163" i="58"/>
  <c r="C165" i="58"/>
  <c r="C167" i="58"/>
  <c r="C168" i="58"/>
  <c r="C176" i="58"/>
  <c r="C182" i="58"/>
  <c r="C183" i="58"/>
  <c r="C184" i="58"/>
  <c r="C186" i="58"/>
  <c r="C188" i="58"/>
  <c r="C191" i="58"/>
  <c r="C192" i="58"/>
  <c r="C193" i="58"/>
  <c r="C194" i="58"/>
  <c r="C195" i="58"/>
  <c r="C196" i="58"/>
  <c r="C197" i="58"/>
  <c r="C198" i="58"/>
  <c r="C199" i="58"/>
  <c r="C200" i="58"/>
  <c r="C204" i="58"/>
  <c r="C211" i="58"/>
  <c r="C215" i="58"/>
  <c r="C216" i="58"/>
  <c r="C221" i="58"/>
  <c r="C222" i="58"/>
  <c r="C226" i="58"/>
  <c r="C227" i="58"/>
  <c r="C235" i="58"/>
  <c r="C238" i="58"/>
  <c r="C239" i="58"/>
  <c r="C242" i="58"/>
  <c r="C243" i="58"/>
  <c r="C249" i="58"/>
  <c r="C251" i="58"/>
  <c r="C252" i="58"/>
  <c r="C253" i="58"/>
  <c r="C254" i="58"/>
  <c r="C255" i="58"/>
  <c r="C257" i="58"/>
  <c r="C259" i="58"/>
  <c r="C260" i="58"/>
  <c r="C261" i="58"/>
  <c r="C270" i="58"/>
  <c r="C271" i="58"/>
  <c r="C272" i="58"/>
  <c r="C275" i="58"/>
  <c r="C278" i="58"/>
  <c r="C280" i="58"/>
  <c r="C282" i="58"/>
  <c r="C296" i="58"/>
  <c r="C297" i="58"/>
  <c r="C299" i="58"/>
  <c r="C300" i="58"/>
  <c r="C301" i="58"/>
  <c r="C302" i="58"/>
  <c r="C303" i="58"/>
  <c r="C304" i="58"/>
  <c r="C305" i="58"/>
  <c r="C306" i="58"/>
  <c r="C307" i="58"/>
  <c r="C311" i="58"/>
  <c r="C312" i="58"/>
  <c r="C313" i="58"/>
  <c r="C314" i="58"/>
  <c r="C315" i="58"/>
  <c r="C316" i="58"/>
  <c r="C317" i="58"/>
  <c r="C318" i="58"/>
  <c r="C320" i="58"/>
  <c r="C321" i="58"/>
  <c r="C322" i="58"/>
  <c r="C327" i="58"/>
  <c r="C328" i="58"/>
  <c r="C329" i="58"/>
  <c r="C334" i="58"/>
  <c r="C335" i="58"/>
  <c r="C341" i="58"/>
  <c r="C342" i="58"/>
  <c r="C343" i="58"/>
  <c r="C344" i="58"/>
  <c r="C345" i="58"/>
  <c r="C346" i="58"/>
  <c r="C347" i="58"/>
  <c r="C348" i="58"/>
  <c r="C349" i="58"/>
  <c r="C350" i="58"/>
  <c r="C351" i="58"/>
  <c r="C352" i="58"/>
  <c r="C353" i="58"/>
  <c r="C356" i="58"/>
  <c r="C357" i="58"/>
  <c r="C361" i="58"/>
  <c r="C364" i="58"/>
  <c r="C365" i="58"/>
  <c r="C368" i="58"/>
  <c r="C369" i="58"/>
  <c r="C371" i="58"/>
  <c r="C377" i="58"/>
  <c r="C383" i="58"/>
  <c r="C384" i="58"/>
  <c r="C386" i="58"/>
  <c r="C129" i="58" l="1"/>
  <c r="C16" i="53"/>
  <c r="C63" i="58"/>
  <c r="C15" i="53"/>
  <c r="D354" i="58"/>
  <c r="D24" i="53"/>
  <c r="D246" i="58"/>
  <c r="D23" i="53"/>
  <c r="F354" i="58"/>
  <c r="F24" i="53"/>
  <c r="F246" i="58"/>
  <c r="F23" i="53"/>
  <c r="H355" i="58"/>
  <c r="H25" i="53"/>
  <c r="C355" i="58"/>
  <c r="C25" i="53"/>
  <c r="D131" i="58"/>
  <c r="D18" i="53"/>
  <c r="F131" i="58"/>
  <c r="F18" i="53"/>
  <c r="H354" i="58"/>
  <c r="H24" i="53"/>
  <c r="H246" i="58"/>
  <c r="H23" i="53"/>
  <c r="D355" i="58"/>
  <c r="D25" i="53"/>
  <c r="H212" i="58"/>
  <c r="H20" i="53"/>
  <c r="C380" i="58"/>
  <c r="C26" i="53"/>
  <c r="D172" i="58"/>
  <c r="D19" i="53"/>
  <c r="D130" i="58"/>
  <c r="D17" i="53"/>
  <c r="F214" i="58"/>
  <c r="F21" i="53"/>
  <c r="F130" i="58"/>
  <c r="F17" i="53"/>
  <c r="C131" i="58"/>
  <c r="C18" i="53"/>
  <c r="D129" i="58"/>
  <c r="D16" i="53"/>
  <c r="D63" i="58"/>
  <c r="D15" i="53"/>
  <c r="F129" i="58"/>
  <c r="F16" i="53"/>
  <c r="F63" i="58"/>
  <c r="F15" i="53"/>
  <c r="H214" i="58"/>
  <c r="H21" i="53"/>
  <c r="H172" i="58"/>
  <c r="H19" i="53"/>
  <c r="H130" i="58"/>
  <c r="H17" i="53"/>
  <c r="F355" i="58"/>
  <c r="F25" i="53"/>
  <c r="H380" i="58"/>
  <c r="H26" i="53"/>
  <c r="H218" i="58"/>
  <c r="H22" i="53"/>
  <c r="C218" i="58"/>
  <c r="C22" i="53"/>
  <c r="C212" i="58"/>
  <c r="C20" i="53"/>
  <c r="C354" i="58"/>
  <c r="C24" i="53"/>
  <c r="C246" i="58"/>
  <c r="C23" i="53"/>
  <c r="D214" i="58"/>
  <c r="D21" i="53"/>
  <c r="F172" i="58"/>
  <c r="F19" i="53"/>
  <c r="H131" i="58"/>
  <c r="H18" i="53"/>
  <c r="C214" i="58"/>
  <c r="C21" i="53"/>
  <c r="C172" i="58"/>
  <c r="C19" i="53"/>
  <c r="C130" i="58"/>
  <c r="C17" i="53"/>
  <c r="D380" i="58"/>
  <c r="D26" i="53"/>
  <c r="D218" i="58"/>
  <c r="D22" i="53"/>
  <c r="D212" i="58"/>
  <c r="D20" i="53"/>
  <c r="F380" i="58"/>
  <c r="F26" i="53"/>
  <c r="F218" i="58"/>
  <c r="F22" i="53"/>
  <c r="F212" i="58"/>
  <c r="F20" i="53"/>
  <c r="H129" i="58"/>
  <c r="H16" i="53"/>
  <c r="H63" i="58"/>
  <c r="H15" i="53"/>
  <c r="C231" i="58"/>
  <c r="C36" i="60"/>
  <c r="C189" i="58"/>
  <c r="C31" i="60"/>
  <c r="C177" i="58"/>
  <c r="C26" i="60"/>
  <c r="D283" i="58"/>
  <c r="D43" i="60"/>
  <c r="D277" i="58"/>
  <c r="D42" i="60"/>
  <c r="D223" i="58"/>
  <c r="D33" i="60"/>
  <c r="D181" i="58"/>
  <c r="D30" i="60"/>
  <c r="D169" i="58"/>
  <c r="D24" i="60"/>
  <c r="F367" i="58"/>
  <c r="F57" i="60"/>
  <c r="F337" i="58"/>
  <c r="F53" i="60"/>
  <c r="F331" i="58"/>
  <c r="F49" i="60"/>
  <c r="F181" i="58"/>
  <c r="F30" i="60"/>
  <c r="F25" i="58"/>
  <c r="F15" i="60"/>
  <c r="H332" i="58"/>
  <c r="H50" i="60"/>
  <c r="H230" i="58"/>
  <c r="H35" i="60"/>
  <c r="H116" i="58"/>
  <c r="H21" i="60"/>
  <c r="C332" i="58"/>
  <c r="C50" i="60"/>
  <c r="C230" i="58"/>
  <c r="C35" i="60"/>
  <c r="C170" i="58"/>
  <c r="C25" i="60"/>
  <c r="C164" i="58"/>
  <c r="C23" i="60"/>
  <c r="C116" i="58"/>
  <c r="C21" i="60"/>
  <c r="C26" i="58"/>
  <c r="C16" i="60"/>
  <c r="D366" i="58"/>
  <c r="D56" i="60"/>
  <c r="D336" i="58"/>
  <c r="D52" i="60"/>
  <c r="D330" i="58"/>
  <c r="D48" i="60"/>
  <c r="D276" i="58"/>
  <c r="D41" i="60"/>
  <c r="D234" i="58"/>
  <c r="D39" i="60"/>
  <c r="D228" i="58"/>
  <c r="D34" i="60"/>
  <c r="D210" i="58"/>
  <c r="D32" i="60"/>
  <c r="D180" i="58"/>
  <c r="D29" i="60"/>
  <c r="D114" i="58"/>
  <c r="D20" i="60"/>
  <c r="D96" i="58"/>
  <c r="D19" i="60"/>
  <c r="D84" i="58"/>
  <c r="D18" i="60"/>
  <c r="F366" i="58"/>
  <c r="F56" i="60"/>
  <c r="F336" i="58"/>
  <c r="F52" i="60"/>
  <c r="F330" i="58"/>
  <c r="F48" i="60"/>
  <c r="F276" i="58"/>
  <c r="F41" i="60"/>
  <c r="F234" i="58"/>
  <c r="F39" i="60"/>
  <c r="F228" i="58"/>
  <c r="F34" i="60"/>
  <c r="F210" i="58"/>
  <c r="F32" i="60"/>
  <c r="F180" i="58"/>
  <c r="F29" i="60"/>
  <c r="F114" i="58"/>
  <c r="F20" i="60"/>
  <c r="F96" i="58"/>
  <c r="F19" i="60"/>
  <c r="F84" i="58"/>
  <c r="F18" i="60"/>
  <c r="H367" i="58"/>
  <c r="H57" i="60"/>
  <c r="H337" i="58"/>
  <c r="H53" i="60"/>
  <c r="H331" i="58"/>
  <c r="H49" i="60"/>
  <c r="H283" i="58"/>
  <c r="H43" i="60"/>
  <c r="H277" i="58"/>
  <c r="H42" i="60"/>
  <c r="H223" i="58"/>
  <c r="H33" i="60"/>
  <c r="H181" i="58"/>
  <c r="H30" i="60"/>
  <c r="H169" i="58"/>
  <c r="H24" i="60"/>
  <c r="H25" i="58"/>
  <c r="H15" i="60"/>
  <c r="C333" i="58"/>
  <c r="C51" i="60"/>
  <c r="C309" i="58"/>
  <c r="C46" i="60"/>
  <c r="C147" i="58"/>
  <c r="C22" i="60"/>
  <c r="D367" i="58"/>
  <c r="D57" i="60"/>
  <c r="D337" i="58"/>
  <c r="D53" i="60"/>
  <c r="D331" i="58"/>
  <c r="D49" i="60"/>
  <c r="D25" i="58"/>
  <c r="D15" i="60"/>
  <c r="F283" i="58"/>
  <c r="F43" i="60"/>
  <c r="F277" i="58"/>
  <c r="F42" i="60"/>
  <c r="F223" i="58"/>
  <c r="F33" i="60"/>
  <c r="F169" i="58"/>
  <c r="F24" i="60"/>
  <c r="H308" i="58"/>
  <c r="H45" i="60"/>
  <c r="H290" i="58"/>
  <c r="H44" i="60"/>
  <c r="H170" i="58"/>
  <c r="H25" i="60"/>
  <c r="H164" i="58"/>
  <c r="H23" i="60"/>
  <c r="H26" i="58"/>
  <c r="H16" i="60"/>
  <c r="C308" i="58"/>
  <c r="C45" i="60"/>
  <c r="C290" i="58"/>
  <c r="C44" i="60"/>
  <c r="C367" i="58"/>
  <c r="C57" i="60"/>
  <c r="C337" i="58"/>
  <c r="C53" i="60"/>
  <c r="C331" i="58"/>
  <c r="C49" i="60"/>
  <c r="C283" i="58"/>
  <c r="C43" i="60"/>
  <c r="C277" i="58"/>
  <c r="C42" i="60"/>
  <c r="C223" i="58"/>
  <c r="C33" i="60"/>
  <c r="C181" i="58"/>
  <c r="C30" i="60"/>
  <c r="C169" i="58"/>
  <c r="C24" i="60"/>
  <c r="C25" i="58"/>
  <c r="C15" i="60"/>
  <c r="D359" i="58"/>
  <c r="D55" i="60"/>
  <c r="D233" i="58"/>
  <c r="D38" i="60"/>
  <c r="D179" i="58"/>
  <c r="D28" i="60"/>
  <c r="D41" i="58"/>
  <c r="D17" i="60"/>
  <c r="F359" i="58"/>
  <c r="F55" i="60"/>
  <c r="F233" i="58"/>
  <c r="F38" i="60"/>
  <c r="F179" i="58"/>
  <c r="F28" i="60"/>
  <c r="F41" i="58"/>
  <c r="F17" i="60"/>
  <c r="H366" i="58"/>
  <c r="H56" i="60"/>
  <c r="H336" i="58"/>
  <c r="H52" i="60"/>
  <c r="H330" i="58"/>
  <c r="H48" i="60"/>
  <c r="H276" i="58"/>
  <c r="H41" i="60"/>
  <c r="H234" i="58"/>
  <c r="H39" i="60"/>
  <c r="H228" i="58"/>
  <c r="H34" i="60"/>
  <c r="H210" i="58"/>
  <c r="H32" i="60"/>
  <c r="H180" i="58"/>
  <c r="H29" i="60"/>
  <c r="H114" i="58"/>
  <c r="H20" i="60"/>
  <c r="H96" i="58"/>
  <c r="H19" i="60"/>
  <c r="H84" i="58"/>
  <c r="H18" i="60"/>
  <c r="C336" i="58"/>
  <c r="C52" i="60"/>
  <c r="C276" i="58"/>
  <c r="C41" i="60"/>
  <c r="C228" i="58"/>
  <c r="C34" i="60"/>
  <c r="C210" i="58"/>
  <c r="C32" i="60"/>
  <c r="C114" i="58"/>
  <c r="C20" i="60"/>
  <c r="D381" i="58"/>
  <c r="D58" i="60"/>
  <c r="D274" i="58"/>
  <c r="D40" i="60"/>
  <c r="D232" i="58"/>
  <c r="D37" i="60"/>
  <c r="D178" i="58"/>
  <c r="D27" i="60"/>
  <c r="F358" i="58"/>
  <c r="F54" i="60"/>
  <c r="F310" i="58"/>
  <c r="F47" i="60"/>
  <c r="H233" i="58"/>
  <c r="H38" i="60"/>
  <c r="H179" i="58"/>
  <c r="H28" i="60"/>
  <c r="H41" i="58"/>
  <c r="H17" i="60"/>
  <c r="C233" i="58"/>
  <c r="C38" i="60"/>
  <c r="C179" i="58"/>
  <c r="C28" i="60"/>
  <c r="C41" i="58"/>
  <c r="C17" i="60"/>
  <c r="D333" i="58"/>
  <c r="D51" i="60"/>
  <c r="D309" i="58"/>
  <c r="D46" i="60"/>
  <c r="D231" i="58"/>
  <c r="D36" i="60"/>
  <c r="D189" i="58"/>
  <c r="D31" i="60"/>
  <c r="D177" i="58"/>
  <c r="D26" i="60"/>
  <c r="D147" i="58"/>
  <c r="D22" i="60"/>
  <c r="F333" i="58"/>
  <c r="F51" i="60"/>
  <c r="F309" i="58"/>
  <c r="F46" i="60"/>
  <c r="F231" i="58"/>
  <c r="F36" i="60"/>
  <c r="F189" i="58"/>
  <c r="F31" i="60"/>
  <c r="F177" i="58"/>
  <c r="F26" i="60"/>
  <c r="F147" i="58"/>
  <c r="F22" i="60"/>
  <c r="H381" i="58"/>
  <c r="H58" i="60"/>
  <c r="H358" i="58"/>
  <c r="H54" i="60"/>
  <c r="H310" i="58"/>
  <c r="H47" i="60"/>
  <c r="H274" i="58"/>
  <c r="H40" i="60"/>
  <c r="H232" i="58"/>
  <c r="H37" i="60"/>
  <c r="H178" i="58"/>
  <c r="H27" i="60"/>
  <c r="C366" i="58"/>
  <c r="C56" i="60"/>
  <c r="C330" i="58"/>
  <c r="C48" i="60"/>
  <c r="C234" i="58"/>
  <c r="C39" i="60"/>
  <c r="C180" i="58"/>
  <c r="C29" i="60"/>
  <c r="C96" i="58"/>
  <c r="C19" i="60"/>
  <c r="C84" i="58"/>
  <c r="C18" i="60"/>
  <c r="D358" i="58"/>
  <c r="D54" i="60"/>
  <c r="D310" i="58"/>
  <c r="D47" i="60"/>
  <c r="F381" i="58"/>
  <c r="F58" i="60"/>
  <c r="F274" i="58"/>
  <c r="F40" i="60"/>
  <c r="F232" i="58"/>
  <c r="F37" i="60"/>
  <c r="F178" i="58"/>
  <c r="F27" i="60"/>
  <c r="H359" i="58"/>
  <c r="H55" i="60"/>
  <c r="C359" i="58"/>
  <c r="C55" i="60"/>
  <c r="C381" i="58"/>
  <c r="C58" i="60"/>
  <c r="C358" i="58"/>
  <c r="C54" i="60"/>
  <c r="C310" i="58"/>
  <c r="C47" i="60"/>
  <c r="C274" i="58"/>
  <c r="C40" i="60"/>
  <c r="C232" i="58"/>
  <c r="C37" i="60"/>
  <c r="C178" i="58"/>
  <c r="C27" i="60"/>
  <c r="D332" i="58"/>
  <c r="D50" i="60"/>
  <c r="D308" i="58"/>
  <c r="D45" i="60"/>
  <c r="D290" i="58"/>
  <c r="D44" i="60"/>
  <c r="D230" i="58"/>
  <c r="D35" i="60"/>
  <c r="D170" i="58"/>
  <c r="D25" i="60"/>
  <c r="D164" i="58"/>
  <c r="D23" i="60"/>
  <c r="D116" i="58"/>
  <c r="D21" i="60"/>
  <c r="D26" i="58"/>
  <c r="D16" i="60"/>
  <c r="F332" i="58"/>
  <c r="F50" i="60"/>
  <c r="F308" i="58"/>
  <c r="F45" i="60"/>
  <c r="F290" i="58"/>
  <c r="F44" i="60"/>
  <c r="F230" i="58"/>
  <c r="F35" i="60"/>
  <c r="F170" i="58"/>
  <c r="F25" i="60"/>
  <c r="F164" i="58"/>
  <c r="F23" i="60"/>
  <c r="F116" i="58"/>
  <c r="F21" i="60"/>
  <c r="F26" i="58"/>
  <c r="F16" i="60"/>
  <c r="H333" i="58"/>
  <c r="H51" i="60"/>
  <c r="H309" i="58"/>
  <c r="H46" i="60"/>
  <c r="H231" i="58"/>
  <c r="H36" i="60"/>
  <c r="H189" i="58"/>
  <c r="H31" i="60"/>
  <c r="H177" i="58"/>
  <c r="H26" i="60"/>
  <c r="H147" i="58"/>
  <c r="H22" i="60"/>
  <c r="C24" i="58"/>
  <c r="D298" i="58"/>
  <c r="D148" i="58"/>
  <c r="D136" i="58"/>
  <c r="D58" i="58"/>
  <c r="F298" i="58"/>
  <c r="F148" i="58"/>
  <c r="F136" i="58"/>
  <c r="F70" i="58"/>
  <c r="H293" i="58"/>
  <c r="H137" i="58"/>
  <c r="C117" i="58"/>
  <c r="D325" i="58"/>
  <c r="D295" i="58"/>
  <c r="D265" i="58"/>
  <c r="D247" i="58"/>
  <c r="D241" i="58"/>
  <c r="D229" i="58"/>
  <c r="D217" i="58"/>
  <c r="D205" i="58"/>
  <c r="D157" i="58"/>
  <c r="D139" i="58"/>
  <c r="D121" i="58"/>
  <c r="D79" i="58"/>
  <c r="D73" i="58"/>
  <c r="D67" i="58"/>
  <c r="D43" i="58"/>
  <c r="D37" i="58"/>
  <c r="F325" i="58"/>
  <c r="F295" i="58"/>
  <c r="F265" i="58"/>
  <c r="F247" i="58"/>
  <c r="F241" i="58"/>
  <c r="F229" i="58"/>
  <c r="F217" i="58"/>
  <c r="F205" i="58"/>
  <c r="F157" i="58"/>
  <c r="F139" i="58"/>
  <c r="F121" i="58"/>
  <c r="F79" i="58"/>
  <c r="F73" i="58"/>
  <c r="F67" i="58"/>
  <c r="F43" i="58"/>
  <c r="F37" i="58"/>
  <c r="H362" i="58"/>
  <c r="H326" i="58"/>
  <c r="H248" i="58"/>
  <c r="H236" i="58"/>
  <c r="H224" i="58"/>
  <c r="H140" i="58"/>
  <c r="H110" i="58"/>
  <c r="H86" i="58"/>
  <c r="H80" i="58"/>
  <c r="H74" i="58"/>
  <c r="H44" i="58"/>
  <c r="C324" i="58"/>
  <c r="C294" i="58"/>
  <c r="C78" i="58"/>
  <c r="C36" i="58"/>
  <c r="D220" i="58"/>
  <c r="D142" i="58"/>
  <c r="D70" i="58"/>
  <c r="F340" i="58"/>
  <c r="F256" i="58"/>
  <c r="F166" i="58"/>
  <c r="F118" i="58"/>
  <c r="C363" i="58"/>
  <c r="C273" i="58"/>
  <c r="C237" i="58"/>
  <c r="C81" i="58"/>
  <c r="C75" i="58"/>
  <c r="C45" i="58"/>
  <c r="C39" i="58"/>
  <c r="C362" i="58"/>
  <c r="C236" i="58"/>
  <c r="C140" i="58"/>
  <c r="C110" i="58"/>
  <c r="C86" i="58"/>
  <c r="C80" i="58"/>
  <c r="C74" i="58"/>
  <c r="C44" i="58"/>
  <c r="D360" i="58"/>
  <c r="D324" i="58"/>
  <c r="D294" i="58"/>
  <c r="D240" i="58"/>
  <c r="D156" i="58"/>
  <c r="D102" i="58"/>
  <c r="D78" i="58"/>
  <c r="D72" i="58"/>
  <c r="D42" i="58"/>
  <c r="D36" i="58"/>
  <c r="D30" i="58"/>
  <c r="D24" i="58"/>
  <c r="F360" i="58"/>
  <c r="F324" i="58"/>
  <c r="F294" i="58"/>
  <c r="F240" i="58"/>
  <c r="F156" i="58"/>
  <c r="F102" i="58"/>
  <c r="F78" i="58"/>
  <c r="F72" i="58"/>
  <c r="F42" i="58"/>
  <c r="F36" i="58"/>
  <c r="F30" i="58"/>
  <c r="F24" i="58"/>
  <c r="H325" i="58"/>
  <c r="H295" i="58"/>
  <c r="H265" i="58"/>
  <c r="H247" i="58"/>
  <c r="H241" i="58"/>
  <c r="H229" i="58"/>
  <c r="H217" i="58"/>
  <c r="H205" i="58"/>
  <c r="H157" i="58"/>
  <c r="H139" i="58"/>
  <c r="H121" i="58"/>
  <c r="H79" i="58"/>
  <c r="H73" i="58"/>
  <c r="H67" i="58"/>
  <c r="H43" i="58"/>
  <c r="H37" i="58"/>
  <c r="C240" i="58"/>
  <c r="C102" i="58"/>
  <c r="C72" i="58"/>
  <c r="C42" i="58"/>
  <c r="C30" i="58"/>
  <c r="D340" i="58"/>
  <c r="D256" i="58"/>
  <c r="D244" i="58"/>
  <c r="D118" i="58"/>
  <c r="D76" i="58"/>
  <c r="F250" i="58"/>
  <c r="F244" i="58"/>
  <c r="F208" i="58"/>
  <c r="F142" i="58"/>
  <c r="F76" i="58"/>
  <c r="F58" i="58"/>
  <c r="F46" i="58"/>
  <c r="H269" i="58"/>
  <c r="H245" i="58"/>
  <c r="H203" i="58"/>
  <c r="C267" i="58"/>
  <c r="C225" i="58"/>
  <c r="C219" i="58"/>
  <c r="C207" i="58"/>
  <c r="C141" i="58"/>
  <c r="C123" i="58"/>
  <c r="C51" i="58"/>
  <c r="C15" i="58"/>
  <c r="C326" i="58"/>
  <c r="C248" i="58"/>
  <c r="C224" i="58"/>
  <c r="C325" i="58"/>
  <c r="C295" i="58"/>
  <c r="C265" i="58"/>
  <c r="C247" i="58"/>
  <c r="C241" i="58"/>
  <c r="C229" i="58"/>
  <c r="C217" i="58"/>
  <c r="C205" i="58"/>
  <c r="C157" i="58"/>
  <c r="C139" i="58"/>
  <c r="C121" i="58"/>
  <c r="C79" i="58"/>
  <c r="C73" i="58"/>
  <c r="C67" i="58"/>
  <c r="C43" i="58"/>
  <c r="C37" i="58"/>
  <c r="D293" i="58"/>
  <c r="D269" i="58"/>
  <c r="D245" i="58"/>
  <c r="D209" i="58"/>
  <c r="D203" i="58"/>
  <c r="D143" i="58"/>
  <c r="D137" i="58"/>
  <c r="D101" i="58"/>
  <c r="D77" i="58"/>
  <c r="D71" i="58"/>
  <c r="D53" i="58"/>
  <c r="F293" i="58"/>
  <c r="F269" i="58"/>
  <c r="F245" i="58"/>
  <c r="F209" i="58"/>
  <c r="F203" i="58"/>
  <c r="F143" i="58"/>
  <c r="F137" i="58"/>
  <c r="F101" i="58"/>
  <c r="F77" i="58"/>
  <c r="F71" i="58"/>
  <c r="F53" i="58"/>
  <c r="H360" i="58"/>
  <c r="H324" i="58"/>
  <c r="H294" i="58"/>
  <c r="H240" i="58"/>
  <c r="H156" i="58"/>
  <c r="H102" i="58"/>
  <c r="H78" i="58"/>
  <c r="H72" i="58"/>
  <c r="H42" i="58"/>
  <c r="H36" i="58"/>
  <c r="H30" i="58"/>
  <c r="H24" i="58"/>
  <c r="C203" i="58"/>
  <c r="C71" i="58"/>
  <c r="C53" i="58"/>
  <c r="D363" i="58"/>
  <c r="D273" i="58"/>
  <c r="D267" i="58"/>
  <c r="D237" i="58"/>
  <c r="D225" i="58"/>
  <c r="D219" i="58"/>
  <c r="D207" i="58"/>
  <c r="D141" i="58"/>
  <c r="D123" i="58"/>
  <c r="D117" i="58"/>
  <c r="D81" i="58"/>
  <c r="D75" i="58"/>
  <c r="D51" i="58"/>
  <c r="D45" i="58"/>
  <c r="D39" i="58"/>
  <c r="F363" i="58"/>
  <c r="F273" i="58"/>
  <c r="F267" i="58"/>
  <c r="F237" i="58"/>
  <c r="F225" i="58"/>
  <c r="F219" i="58"/>
  <c r="F207" i="58"/>
  <c r="F141" i="58"/>
  <c r="F123" i="58"/>
  <c r="F117" i="58"/>
  <c r="F81" i="58"/>
  <c r="F75" i="58"/>
  <c r="F51" i="58"/>
  <c r="F45" i="58"/>
  <c r="F39" i="58"/>
  <c r="F15" i="58"/>
  <c r="H340" i="58"/>
  <c r="H298" i="58"/>
  <c r="H292" i="58"/>
  <c r="H256" i="58"/>
  <c r="H250" i="58"/>
  <c r="H244" i="58"/>
  <c r="H220" i="58"/>
  <c r="H208" i="58"/>
  <c r="H166" i="58"/>
  <c r="H148" i="58"/>
  <c r="H142" i="58"/>
  <c r="H136" i="58"/>
  <c r="H118" i="58"/>
  <c r="H76" i="58"/>
  <c r="H70" i="58"/>
  <c r="H58" i="58"/>
  <c r="H46" i="58"/>
  <c r="C360" i="58"/>
  <c r="C156" i="58"/>
  <c r="D15" i="58"/>
  <c r="D292" i="58"/>
  <c r="D250" i="58"/>
  <c r="D208" i="58"/>
  <c r="D166" i="58"/>
  <c r="D46" i="58"/>
  <c r="F292" i="58"/>
  <c r="F220" i="58"/>
  <c r="H209" i="58"/>
  <c r="H143" i="58"/>
  <c r="H101" i="58"/>
  <c r="H77" i="58"/>
  <c r="H71" i="58"/>
  <c r="H53" i="58"/>
  <c r="C293" i="58"/>
  <c r="C269" i="58"/>
  <c r="C245" i="58"/>
  <c r="C209" i="58"/>
  <c r="C143" i="58"/>
  <c r="C137" i="58"/>
  <c r="C101" i="58"/>
  <c r="C77" i="58"/>
  <c r="C340" i="58"/>
  <c r="C298" i="58"/>
  <c r="C292" i="58"/>
  <c r="C256" i="58"/>
  <c r="C250" i="58"/>
  <c r="C244" i="58"/>
  <c r="C220" i="58"/>
  <c r="C208" i="58"/>
  <c r="C166" i="58"/>
  <c r="C148" i="58"/>
  <c r="C142" i="58"/>
  <c r="C136" i="58"/>
  <c r="C118" i="58"/>
  <c r="C76" i="58"/>
  <c r="C70" i="58"/>
  <c r="C58" i="58"/>
  <c r="C46" i="58"/>
  <c r="D362" i="58"/>
  <c r="D326" i="58"/>
  <c r="D248" i="58"/>
  <c r="D236" i="58"/>
  <c r="D224" i="58"/>
  <c r="D140" i="58"/>
  <c r="D110" i="58"/>
  <c r="D86" i="58"/>
  <c r="D80" i="58"/>
  <c r="D74" i="58"/>
  <c r="D44" i="58"/>
  <c r="F362" i="58"/>
  <c r="F326" i="58"/>
  <c r="F248" i="58"/>
  <c r="F236" i="58"/>
  <c r="F224" i="58"/>
  <c r="F140" i="58"/>
  <c r="F110" i="58"/>
  <c r="F86" i="58"/>
  <c r="F80" i="58"/>
  <c r="F74" i="58"/>
  <c r="F44" i="58"/>
  <c r="H363" i="58"/>
  <c r="H273" i="58"/>
  <c r="H267" i="58"/>
  <c r="H237" i="58"/>
  <c r="H225" i="58"/>
  <c r="H219" i="58"/>
  <c r="H207" i="58"/>
  <c r="H141" i="58"/>
  <c r="H123" i="58"/>
  <c r="H117" i="58"/>
  <c r="H81" i="58"/>
  <c r="H75" i="58"/>
  <c r="H51" i="58"/>
  <c r="H45" i="58"/>
  <c r="H39" i="58"/>
  <c r="H15" i="58"/>
  <c r="H128" i="58"/>
  <c r="H38" i="58"/>
  <c r="D289" i="58"/>
  <c r="D175" i="58"/>
  <c r="D145" i="58"/>
  <c r="F289" i="58"/>
  <c r="H374" i="58"/>
  <c r="H266" i="58"/>
  <c r="C284" i="58"/>
  <c r="D378" i="58"/>
  <c r="D372" i="58"/>
  <c r="D288" i="58"/>
  <c r="D264" i="58"/>
  <c r="D258" i="58"/>
  <c r="D174" i="58"/>
  <c r="D108" i="58"/>
  <c r="D90" i="58"/>
  <c r="D18" i="58"/>
  <c r="F378" i="58"/>
  <c r="F372" i="58"/>
  <c r="F288" i="58"/>
  <c r="F264" i="58"/>
  <c r="F258" i="58"/>
  <c r="F174" i="58"/>
  <c r="F108" i="58"/>
  <c r="F90" i="58"/>
  <c r="F18" i="58"/>
  <c r="H379" i="58"/>
  <c r="H373" i="58"/>
  <c r="H319" i="58"/>
  <c r="H289" i="58"/>
  <c r="H187" i="58"/>
  <c r="H175" i="58"/>
  <c r="H145" i="58"/>
  <c r="C379" i="58"/>
  <c r="C373" i="58"/>
  <c r="C319" i="58"/>
  <c r="C289" i="58"/>
  <c r="C187" i="58"/>
  <c r="C175" i="58"/>
  <c r="C145" i="58"/>
  <c r="D382" i="58"/>
  <c r="D323" i="58"/>
  <c r="D287" i="58"/>
  <c r="D281" i="58"/>
  <c r="D263" i="58"/>
  <c r="D185" i="58"/>
  <c r="D173" i="58"/>
  <c r="D155" i="58"/>
  <c r="D59" i="58"/>
  <c r="D35" i="58"/>
  <c r="F382" i="58"/>
  <c r="F323" i="58"/>
  <c r="F287" i="58"/>
  <c r="F281" i="58"/>
  <c r="F263" i="58"/>
  <c r="F185" i="58"/>
  <c r="F173" i="58"/>
  <c r="F155" i="58"/>
  <c r="F59" i="58"/>
  <c r="F35" i="58"/>
  <c r="H378" i="58"/>
  <c r="H372" i="58"/>
  <c r="H288" i="58"/>
  <c r="H264" i="58"/>
  <c r="H258" i="58"/>
  <c r="H174" i="58"/>
  <c r="H108" i="58"/>
  <c r="H90" i="58"/>
  <c r="H18" i="58"/>
  <c r="C339" i="58"/>
  <c r="C171" i="58"/>
  <c r="D373" i="58"/>
  <c r="C375" i="58"/>
  <c r="C285" i="58"/>
  <c r="C279" i="58"/>
  <c r="C201" i="58"/>
  <c r="C135" i="58"/>
  <c r="C111" i="58"/>
  <c r="D379" i="58"/>
  <c r="F319" i="58"/>
  <c r="F187" i="58"/>
  <c r="F175" i="58"/>
  <c r="F145" i="58"/>
  <c r="H385" i="58"/>
  <c r="H338" i="58"/>
  <c r="H206" i="58"/>
  <c r="H134" i="58"/>
  <c r="C385" i="58"/>
  <c r="C374" i="58"/>
  <c r="C338" i="58"/>
  <c r="C266" i="58"/>
  <c r="C206" i="58"/>
  <c r="C134" i="58"/>
  <c r="C128" i="58"/>
  <c r="C38" i="58"/>
  <c r="C378" i="58"/>
  <c r="C288" i="58"/>
  <c r="C174" i="58"/>
  <c r="C108" i="58"/>
  <c r="D202" i="58"/>
  <c r="C287" i="58"/>
  <c r="D375" i="58"/>
  <c r="D339" i="58"/>
  <c r="D291" i="58"/>
  <c r="D285" i="58"/>
  <c r="D279" i="58"/>
  <c r="D213" i="58"/>
  <c r="D201" i="58"/>
  <c r="D171" i="58"/>
  <c r="D135" i="58"/>
  <c r="D111" i="58"/>
  <c r="D57" i="58"/>
  <c r="F375" i="58"/>
  <c r="F339" i="58"/>
  <c r="F291" i="58"/>
  <c r="F285" i="58"/>
  <c r="F279" i="58"/>
  <c r="F213" i="58"/>
  <c r="F201" i="58"/>
  <c r="F171" i="58"/>
  <c r="F135" i="58"/>
  <c r="F111" i="58"/>
  <c r="F57" i="58"/>
  <c r="H376" i="58"/>
  <c r="H286" i="58"/>
  <c r="H268" i="58"/>
  <c r="H262" i="58"/>
  <c r="H202" i="58"/>
  <c r="H190" i="58"/>
  <c r="H160" i="58"/>
  <c r="H52" i="58"/>
  <c r="C291" i="58"/>
  <c r="C213" i="58"/>
  <c r="C57" i="58"/>
  <c r="D319" i="58"/>
  <c r="D187" i="58"/>
  <c r="F379" i="58"/>
  <c r="F373" i="58"/>
  <c r="H284" i="58"/>
  <c r="C372" i="58"/>
  <c r="C264" i="58"/>
  <c r="C258" i="58"/>
  <c r="C90" i="58"/>
  <c r="C18" i="58"/>
  <c r="D376" i="58"/>
  <c r="D286" i="58"/>
  <c r="D268" i="58"/>
  <c r="D262" i="58"/>
  <c r="D190" i="58"/>
  <c r="D160" i="58"/>
  <c r="D52" i="58"/>
  <c r="F376" i="58"/>
  <c r="F286" i="58"/>
  <c r="F268" i="58"/>
  <c r="F262" i="58"/>
  <c r="F202" i="58"/>
  <c r="F190" i="58"/>
  <c r="F160" i="58"/>
  <c r="F52" i="58"/>
  <c r="H382" i="58"/>
  <c r="H323" i="58"/>
  <c r="H287" i="58"/>
  <c r="H281" i="58"/>
  <c r="H263" i="58"/>
  <c r="H185" i="58"/>
  <c r="H173" i="58"/>
  <c r="H155" i="58"/>
  <c r="H59" i="58"/>
  <c r="H35" i="58"/>
  <c r="C382" i="58"/>
  <c r="C323" i="58"/>
  <c r="C281" i="58"/>
  <c r="C263" i="58"/>
  <c r="C185" i="58"/>
  <c r="C173" i="58"/>
  <c r="C155" i="58"/>
  <c r="C59" i="58"/>
  <c r="C35" i="58"/>
  <c r="C376" i="58"/>
  <c r="C286" i="58"/>
  <c r="C268" i="58"/>
  <c r="C262" i="58"/>
  <c r="C202" i="58"/>
  <c r="C190" i="58"/>
  <c r="C160" i="58"/>
  <c r="C52" i="58"/>
  <c r="D385" i="58"/>
  <c r="D374" i="58"/>
  <c r="D338" i="58"/>
  <c r="D284" i="58"/>
  <c r="D266" i="58"/>
  <c r="D206" i="58"/>
  <c r="D134" i="58"/>
  <c r="D128" i="58"/>
  <c r="D38" i="58"/>
  <c r="F385" i="58"/>
  <c r="F374" i="58"/>
  <c r="F338" i="58"/>
  <c r="F284" i="58"/>
  <c r="F266" i="58"/>
  <c r="F206" i="58"/>
  <c r="F134" i="58"/>
  <c r="F128" i="58"/>
  <c r="F38" i="58"/>
  <c r="H375" i="58"/>
  <c r="H339" i="58"/>
  <c r="H291" i="58"/>
  <c r="H285" i="58"/>
  <c r="H279" i="58"/>
  <c r="H213" i="58"/>
  <c r="H201" i="58"/>
  <c r="H171" i="58"/>
  <c r="H135" i="58"/>
  <c r="H111" i="58"/>
  <c r="H57" i="58"/>
  <c r="D49" i="58"/>
  <c r="D17" i="47"/>
  <c r="F49" i="58"/>
  <c r="F17" i="47"/>
  <c r="D48" i="58"/>
  <c r="D16" i="47"/>
  <c r="F48" i="58"/>
  <c r="F16" i="47"/>
  <c r="H49" i="58"/>
  <c r="H17" i="47"/>
  <c r="C49" i="58"/>
  <c r="C17" i="47"/>
  <c r="H48" i="58"/>
  <c r="H16" i="47"/>
  <c r="H370" i="58"/>
  <c r="H18" i="47"/>
  <c r="H28" i="58"/>
  <c r="H15" i="47"/>
  <c r="C48" i="58"/>
  <c r="C16" i="47"/>
  <c r="D370" i="58"/>
  <c r="D18" i="47"/>
  <c r="D28" i="58"/>
  <c r="D15" i="47"/>
  <c r="F370" i="58"/>
  <c r="F18" i="47"/>
  <c r="F28" i="58"/>
  <c r="F15" i="47"/>
  <c r="C370" i="58"/>
  <c r="C18" i="47"/>
  <c r="C28" i="58"/>
  <c r="C15" i="47"/>
  <c r="E19" i="53" l="1"/>
  <c r="E24" i="60"/>
  <c r="E48" i="60"/>
  <c r="E18" i="60"/>
  <c r="G19" i="53" l="1"/>
  <c r="I19" i="53"/>
  <c r="I18" i="60"/>
  <c r="G18" i="60"/>
  <c r="G48" i="60"/>
  <c r="I48" i="60"/>
  <c r="G24" i="60"/>
  <c r="I24" i="60"/>
  <c r="E84" i="58"/>
  <c r="E187" i="58"/>
  <c r="E253" i="58"/>
  <c r="E241" i="58"/>
  <c r="E172" i="58"/>
  <c r="E216" i="58"/>
  <c r="E56" i="58"/>
  <c r="E330" i="58"/>
  <c r="E169" i="58"/>
  <c r="E222" i="58"/>
  <c r="E53" i="58"/>
  <c r="E43" i="60"/>
  <c r="E33" i="60"/>
  <c r="E29" i="60"/>
  <c r="E21" i="60"/>
  <c r="E25" i="60"/>
  <c r="E56" i="60"/>
  <c r="E20" i="60"/>
  <c r="E31" i="60"/>
  <c r="E30" i="60"/>
  <c r="E24" i="53"/>
  <c r="E17" i="53"/>
  <c r="E17" i="60"/>
  <c r="E44" i="60"/>
  <c r="E17" i="47"/>
  <c r="I17" i="47" s="1"/>
  <c r="E32" i="60"/>
  <c r="E16" i="47"/>
  <c r="E21" i="53"/>
  <c r="E35" i="60"/>
  <c r="E16" i="60"/>
  <c r="E58" i="60"/>
  <c r="E38" i="60"/>
  <c r="E51" i="60"/>
  <c r="E15" i="60"/>
  <c r="E15" i="53"/>
  <c r="E50" i="60"/>
  <c r="G15" i="53" l="1"/>
  <c r="I15" i="53"/>
  <c r="G24" i="53"/>
  <c r="I24" i="53"/>
  <c r="G21" i="53"/>
  <c r="I21" i="53"/>
  <c r="G17" i="53"/>
  <c r="I17" i="53"/>
  <c r="G50" i="60"/>
  <c r="I50" i="60"/>
  <c r="I15" i="60"/>
  <c r="G15" i="60"/>
  <c r="G35" i="60"/>
  <c r="I35" i="60"/>
  <c r="G44" i="60"/>
  <c r="I44" i="60"/>
  <c r="I30" i="60"/>
  <c r="G30" i="60"/>
  <c r="I29" i="60"/>
  <c r="G29" i="60"/>
  <c r="G43" i="60"/>
  <c r="I43" i="60"/>
  <c r="G17" i="60"/>
  <c r="I17" i="60"/>
  <c r="G56" i="60"/>
  <c r="I56" i="60"/>
  <c r="G51" i="60"/>
  <c r="I51" i="60"/>
  <c r="G32" i="60"/>
  <c r="I32" i="60"/>
  <c r="G25" i="60"/>
  <c r="I25" i="60"/>
  <c r="I16" i="60"/>
  <c r="G16" i="60"/>
  <c r="G20" i="60"/>
  <c r="I20" i="60"/>
  <c r="G38" i="60"/>
  <c r="I38" i="60"/>
  <c r="I33" i="60"/>
  <c r="G33" i="60"/>
  <c r="G58" i="60"/>
  <c r="I58" i="60"/>
  <c r="G31" i="60"/>
  <c r="I31" i="60"/>
  <c r="G21" i="60"/>
  <c r="I21" i="60"/>
  <c r="E248" i="58"/>
  <c r="E43" i="58"/>
  <c r="E70" i="58"/>
  <c r="G70" i="58" s="1"/>
  <c r="E123" i="58"/>
  <c r="E45" i="58"/>
  <c r="E340" i="58"/>
  <c r="G16" i="47"/>
  <c r="I16" i="47"/>
  <c r="E323" i="58"/>
  <c r="E289" i="58"/>
  <c r="E149" i="58"/>
  <c r="E110" i="58"/>
  <c r="E27" i="58"/>
  <c r="E302" i="58"/>
  <c r="E87" i="58"/>
  <c r="E339" i="58"/>
  <c r="E208" i="58"/>
  <c r="E210" i="58"/>
  <c r="E18" i="58"/>
  <c r="E92" i="58"/>
  <c r="E81" i="58"/>
  <c r="E211" i="58"/>
  <c r="E272" i="58"/>
  <c r="E223" i="58"/>
  <c r="I222" i="58"/>
  <c r="G222" i="58"/>
  <c r="G187" i="58"/>
  <c r="I187" i="58"/>
  <c r="E117" i="58"/>
  <c r="E233" i="58"/>
  <c r="E42" i="58"/>
  <c r="E240" i="58"/>
  <c r="E372" i="58"/>
  <c r="E311" i="58"/>
  <c r="E17" i="58"/>
  <c r="E214" i="58"/>
  <c r="E245" i="58"/>
  <c r="E305" i="58"/>
  <c r="E52" i="58"/>
  <c r="E261" i="58"/>
  <c r="E382" i="58"/>
  <c r="E150" i="58"/>
  <c r="E97" i="58"/>
  <c r="E114" i="58"/>
  <c r="E312" i="58"/>
  <c r="E116" i="58"/>
  <c r="E200" i="58"/>
  <c r="E63" i="58"/>
  <c r="E333" i="58"/>
  <c r="E205" i="58"/>
  <c r="E291" i="58"/>
  <c r="E124" i="58"/>
  <c r="E361" i="58"/>
  <c r="E347" i="58"/>
  <c r="E135" i="58"/>
  <c r="E263" i="58"/>
  <c r="E379" i="58"/>
  <c r="E38" i="58"/>
  <c r="E115" i="58"/>
  <c r="E221" i="58"/>
  <c r="E174" i="58"/>
  <c r="I56" i="58"/>
  <c r="G56" i="58"/>
  <c r="G172" i="58"/>
  <c r="I172" i="58"/>
  <c r="E109" i="58"/>
  <c r="E188" i="58"/>
  <c r="E371" i="58"/>
  <c r="E36" i="58"/>
  <c r="E226" i="58"/>
  <c r="E287" i="58"/>
  <c r="E315" i="58"/>
  <c r="E93" i="58"/>
  <c r="E369" i="58"/>
  <c r="E146" i="58"/>
  <c r="E69" i="58"/>
  <c r="E51" i="58"/>
  <c r="E48" i="58"/>
  <c r="E259" i="58"/>
  <c r="E155" i="58"/>
  <c r="E49" i="58"/>
  <c r="E206" i="58"/>
  <c r="E61" i="58"/>
  <c r="E354" i="58"/>
  <c r="E34" i="60"/>
  <c r="E345" i="58"/>
  <c r="E85" i="58"/>
  <c r="E111" i="58"/>
  <c r="E366" i="58"/>
  <c r="E154" i="58"/>
  <c r="E113" i="58"/>
  <c r="E378" i="58"/>
  <c r="I169" i="58"/>
  <c r="G169" i="58"/>
  <c r="G43" i="58"/>
  <c r="I43" i="58"/>
  <c r="G241" i="58"/>
  <c r="I241" i="58"/>
  <c r="E383" i="58"/>
  <c r="E318" i="58"/>
  <c r="E239" i="58"/>
  <c r="E285" i="58"/>
  <c r="E173" i="58"/>
  <c r="E194" i="58"/>
  <c r="E171" i="58"/>
  <c r="E251" i="58"/>
  <c r="E62" i="58"/>
  <c r="E317" i="58"/>
  <c r="E90" i="58"/>
  <c r="E95" i="58"/>
  <c r="E125" i="58"/>
  <c r="E353" i="58"/>
  <c r="E247" i="58"/>
  <c r="E34" i="58"/>
  <c r="E74" i="58"/>
  <c r="E230" i="58"/>
  <c r="E351" i="58"/>
  <c r="E71" i="58"/>
  <c r="E153" i="58"/>
  <c r="E65" i="58"/>
  <c r="E66" i="58"/>
  <c r="E151" i="58"/>
  <c r="E41" i="58"/>
  <c r="E94" i="58"/>
  <c r="E189" i="58"/>
  <c r="E106" i="58"/>
  <c r="E170" i="58"/>
  <c r="E325" i="58"/>
  <c r="E40" i="58"/>
  <c r="E180" i="58"/>
  <c r="E190" i="58"/>
  <c r="E283" i="58"/>
  <c r="I53" i="58"/>
  <c r="G53" i="58"/>
  <c r="G330" i="58"/>
  <c r="I330" i="58"/>
  <c r="I216" i="58"/>
  <c r="G216" i="58"/>
  <c r="I253" i="58"/>
  <c r="G253" i="58"/>
  <c r="G84" i="58"/>
  <c r="I84" i="58"/>
  <c r="E278" i="58"/>
  <c r="E304" i="58"/>
  <c r="E26" i="58"/>
  <c r="E199" i="58"/>
  <c r="E32" i="58"/>
  <c r="E198" i="58"/>
  <c r="E112" i="58"/>
  <c r="E252" i="58"/>
  <c r="E332" i="58"/>
  <c r="E25" i="58"/>
  <c r="E381" i="58"/>
  <c r="E262" i="58"/>
  <c r="E235" i="58"/>
  <c r="E329" i="58"/>
  <c r="E86" i="58"/>
  <c r="E229" i="58"/>
  <c r="E160" i="58"/>
  <c r="E128" i="58"/>
  <c r="E157" i="58"/>
  <c r="E299" i="58"/>
  <c r="E290" i="58"/>
  <c r="E343" i="58"/>
  <c r="E130" i="58"/>
  <c r="E181" i="58"/>
  <c r="E44" i="58"/>
  <c r="E314" i="58"/>
  <c r="E46" i="58"/>
  <c r="E133" i="58"/>
  <c r="E26" i="53"/>
  <c r="E54" i="60"/>
  <c r="E39" i="60"/>
  <c r="E16" i="53"/>
  <c r="E20" i="53"/>
  <c r="E41" i="60"/>
  <c r="E47" i="60"/>
  <c r="E55" i="60"/>
  <c r="E15" i="47"/>
  <c r="E25" i="53"/>
  <c r="E53" i="60"/>
  <c r="E36" i="60"/>
  <c r="E22" i="60"/>
  <c r="E18" i="53"/>
  <c r="E22" i="53"/>
  <c r="E52" i="60"/>
  <c r="E18" i="47"/>
  <c r="I18" i="47" s="1"/>
  <c r="E23" i="60"/>
  <c r="E28" i="60"/>
  <c r="E49" i="60"/>
  <c r="E23" i="53"/>
  <c r="E27" i="60"/>
  <c r="E46" i="60"/>
  <c r="E57" i="60"/>
  <c r="E19" i="60"/>
  <c r="E42" i="60"/>
  <c r="E45" i="60"/>
  <c r="E26" i="60"/>
  <c r="E40" i="60"/>
  <c r="E37" i="60"/>
  <c r="I26" i="53" l="1"/>
  <c r="G26" i="53"/>
  <c r="G23" i="53"/>
  <c r="I23" i="53"/>
  <c r="I22" i="53"/>
  <c r="G22" i="53"/>
  <c r="E209" i="58"/>
  <c r="G209" i="58" s="1"/>
  <c r="G20" i="53"/>
  <c r="I20" i="53"/>
  <c r="G18" i="53"/>
  <c r="I18" i="53"/>
  <c r="I70" i="58"/>
  <c r="G25" i="53"/>
  <c r="I25" i="53"/>
  <c r="E143" i="58"/>
  <c r="G16" i="53"/>
  <c r="I16" i="53"/>
  <c r="I41" i="60"/>
  <c r="G41" i="60"/>
  <c r="I27" i="60"/>
  <c r="G27" i="60"/>
  <c r="I28" i="60"/>
  <c r="G28" i="60"/>
  <c r="G23" i="60"/>
  <c r="I23" i="60"/>
  <c r="G54" i="60"/>
  <c r="I54" i="60"/>
  <c r="E76" i="58"/>
  <c r="G76" i="58" s="1"/>
  <c r="G39" i="60"/>
  <c r="I39" i="60"/>
  <c r="I40" i="60"/>
  <c r="G40" i="60"/>
  <c r="G42" i="60"/>
  <c r="I42" i="60"/>
  <c r="I57" i="60"/>
  <c r="G57" i="60"/>
  <c r="I52" i="60"/>
  <c r="G52" i="60"/>
  <c r="I47" i="60"/>
  <c r="G47" i="60"/>
  <c r="I34" i="60"/>
  <c r="G34" i="60"/>
  <c r="G45" i="60"/>
  <c r="I45" i="60"/>
  <c r="I22" i="60"/>
  <c r="G22" i="60"/>
  <c r="G36" i="60"/>
  <c r="I36" i="60"/>
  <c r="E58" i="58"/>
  <c r="G58" i="58" s="1"/>
  <c r="G37" i="60"/>
  <c r="I37" i="60"/>
  <c r="G19" i="60"/>
  <c r="I19" i="60"/>
  <c r="I46" i="60"/>
  <c r="G46" i="60"/>
  <c r="G49" i="60"/>
  <c r="I49" i="60"/>
  <c r="G55" i="60"/>
  <c r="I55" i="60"/>
  <c r="G26" i="60"/>
  <c r="I26" i="60"/>
  <c r="I53" i="60"/>
  <c r="G53" i="60"/>
  <c r="E256" i="58"/>
  <c r="E250" i="58"/>
  <c r="I250" i="58" s="1"/>
  <c r="E294" i="58"/>
  <c r="I294" i="58" s="1"/>
  <c r="E75" i="58"/>
  <c r="I75" i="58" s="1"/>
  <c r="G15" i="47"/>
  <c r="E59" i="47" s="1"/>
  <c r="I15" i="47"/>
  <c r="E274" i="58"/>
  <c r="E255" i="58"/>
  <c r="E279" i="58"/>
  <c r="E341" i="58"/>
  <c r="E88" i="58"/>
  <c r="E322" i="58"/>
  <c r="E296" i="58"/>
  <c r="E132" i="58"/>
  <c r="E293" i="58"/>
  <c r="E268" i="58"/>
  <c r="E281" i="58"/>
  <c r="E64" i="58"/>
  <c r="E120" i="58"/>
  <c r="E161" i="58"/>
  <c r="E276" i="58"/>
  <c r="E319" i="58"/>
  <c r="E83" i="58"/>
  <c r="E234" i="58"/>
  <c r="I314" i="58"/>
  <c r="G314" i="58"/>
  <c r="G194" i="58"/>
  <c r="I194" i="58"/>
  <c r="I383" i="58"/>
  <c r="G383" i="58"/>
  <c r="I113" i="58"/>
  <c r="G113" i="58"/>
  <c r="I116" i="58"/>
  <c r="G116" i="58"/>
  <c r="I97" i="58"/>
  <c r="G97" i="58"/>
  <c r="I305" i="58"/>
  <c r="G305" i="58"/>
  <c r="I17" i="58"/>
  <c r="G17" i="58"/>
  <c r="G117" i="58"/>
  <c r="I117" i="58"/>
  <c r="I339" i="58"/>
  <c r="G339" i="58"/>
  <c r="I149" i="58"/>
  <c r="G149" i="58"/>
  <c r="E260" i="58"/>
  <c r="E270" i="58"/>
  <c r="E163" i="58"/>
  <c r="E307" i="58"/>
  <c r="E292" i="58"/>
  <c r="E185" i="58"/>
  <c r="E217" i="58"/>
  <c r="E367" i="58"/>
  <c r="E101" i="58"/>
  <c r="E331" i="58"/>
  <c r="E175" i="58"/>
  <c r="E164" i="58"/>
  <c r="E357" i="58"/>
  <c r="E243" i="58"/>
  <c r="E183" i="58"/>
  <c r="E29" i="58"/>
  <c r="E237" i="58"/>
  <c r="E59" i="58"/>
  <c r="E15" i="58"/>
  <c r="E197" i="58"/>
  <c r="E348" i="58"/>
  <c r="E225" i="58"/>
  <c r="E219" i="58"/>
  <c r="E313" i="58"/>
  <c r="E192" i="58"/>
  <c r="E324" i="58"/>
  <c r="E140" i="58"/>
  <c r="E310" i="58"/>
  <c r="E358" i="58"/>
  <c r="E142" i="58"/>
  <c r="E374" i="58"/>
  <c r="I181" i="58"/>
  <c r="G181" i="58"/>
  <c r="G290" i="58"/>
  <c r="I290" i="58"/>
  <c r="G157" i="58"/>
  <c r="I157" i="58"/>
  <c r="I229" i="58"/>
  <c r="G229" i="58"/>
  <c r="G235" i="58"/>
  <c r="I235" i="58"/>
  <c r="G381" i="58"/>
  <c r="I381" i="58"/>
  <c r="G252" i="58"/>
  <c r="I252" i="58"/>
  <c r="I26" i="58"/>
  <c r="G26" i="58"/>
  <c r="G190" i="58"/>
  <c r="I190" i="58"/>
  <c r="G325" i="58"/>
  <c r="I325" i="58"/>
  <c r="I189" i="58"/>
  <c r="G189" i="58"/>
  <c r="G151" i="58"/>
  <c r="I151" i="58"/>
  <c r="I153" i="58"/>
  <c r="G153" i="58"/>
  <c r="I230" i="58"/>
  <c r="G230" i="58"/>
  <c r="I247" i="58"/>
  <c r="G247" i="58"/>
  <c r="G353" i="58"/>
  <c r="I353" i="58"/>
  <c r="G90" i="58"/>
  <c r="I90" i="58"/>
  <c r="G251" i="58"/>
  <c r="I251" i="58"/>
  <c r="I206" i="58"/>
  <c r="G206" i="58"/>
  <c r="G259" i="58"/>
  <c r="I259" i="58"/>
  <c r="I69" i="58"/>
  <c r="G69" i="58"/>
  <c r="G93" i="58"/>
  <c r="I93" i="58"/>
  <c r="G226" i="58"/>
  <c r="I226" i="58"/>
  <c r="I188" i="58"/>
  <c r="G188" i="58"/>
  <c r="G221" i="58"/>
  <c r="I221" i="58"/>
  <c r="G379" i="58"/>
  <c r="I379" i="58"/>
  <c r="G347" i="58"/>
  <c r="I347" i="58"/>
  <c r="G291" i="58"/>
  <c r="I291" i="58"/>
  <c r="G63" i="58"/>
  <c r="I63" i="58"/>
  <c r="E344" i="58"/>
  <c r="E282" i="58"/>
  <c r="E320" i="58"/>
  <c r="E277" i="58"/>
  <c r="E145" i="58"/>
  <c r="E368" i="58"/>
  <c r="E105" i="58"/>
  <c r="E204" i="58"/>
  <c r="E265" i="58"/>
  <c r="E148" i="58"/>
  <c r="E126" i="58"/>
  <c r="E359" i="58"/>
  <c r="E107" i="58"/>
  <c r="E328" i="58"/>
  <c r="E264" i="58"/>
  <c r="I239" i="58"/>
  <c r="G239" i="58"/>
  <c r="G345" i="58"/>
  <c r="I345" i="58"/>
  <c r="I261" i="58"/>
  <c r="G261" i="58"/>
  <c r="I240" i="58"/>
  <c r="G240" i="58"/>
  <c r="G223" i="58"/>
  <c r="I223" i="58"/>
  <c r="I81" i="58"/>
  <c r="G81" i="58"/>
  <c r="G18" i="58"/>
  <c r="I18" i="58"/>
  <c r="G27" i="58"/>
  <c r="I27" i="58"/>
  <c r="E168" i="58"/>
  <c r="E342" i="58"/>
  <c r="E232" i="58"/>
  <c r="E138" i="58"/>
  <c r="E55" i="58"/>
  <c r="E177" i="58"/>
  <c r="E96" i="58"/>
  <c r="E203" i="58"/>
  <c r="E54" i="58"/>
  <c r="E195" i="58"/>
  <c r="E338" i="58"/>
  <c r="E20" i="58"/>
  <c r="E218" i="58"/>
  <c r="E22" i="58"/>
  <c r="E202" i="58"/>
  <c r="E334" i="58"/>
  <c r="E147" i="58"/>
  <c r="E231" i="58"/>
  <c r="E60" i="58"/>
  <c r="E301" i="58"/>
  <c r="E284" i="58"/>
  <c r="E21" i="58"/>
  <c r="E89" i="58"/>
  <c r="E31" i="58"/>
  <c r="E47" i="58"/>
  <c r="E280" i="58"/>
  <c r="E28" i="58"/>
  <c r="E244" i="58"/>
  <c r="E306" i="58"/>
  <c r="E102" i="58"/>
  <c r="E158" i="58"/>
  <c r="E129" i="58"/>
  <c r="E82" i="58"/>
  <c r="E286" i="58"/>
  <c r="I133" i="58"/>
  <c r="G133" i="58"/>
  <c r="I44" i="58"/>
  <c r="G44" i="58"/>
  <c r="I173" i="58"/>
  <c r="G173" i="58"/>
  <c r="I143" i="58"/>
  <c r="G143" i="58"/>
  <c r="I154" i="58"/>
  <c r="G154" i="58"/>
  <c r="G111" i="58"/>
  <c r="I111" i="58"/>
  <c r="E228" i="58"/>
  <c r="G312" i="58"/>
  <c r="I312" i="58"/>
  <c r="I150" i="58"/>
  <c r="G150" i="58"/>
  <c r="G45" i="58"/>
  <c r="I45" i="58"/>
  <c r="G245" i="58"/>
  <c r="I245" i="58"/>
  <c r="I311" i="58"/>
  <c r="G311" i="58"/>
  <c r="G42" i="58"/>
  <c r="I42" i="58"/>
  <c r="G272" i="58"/>
  <c r="I272" i="58"/>
  <c r="I92" i="58"/>
  <c r="G92" i="58"/>
  <c r="I210" i="58"/>
  <c r="G210" i="58"/>
  <c r="I87" i="58"/>
  <c r="G87" i="58"/>
  <c r="G110" i="58"/>
  <c r="I110" i="58"/>
  <c r="I289" i="58"/>
  <c r="G289" i="58"/>
  <c r="E176" i="58"/>
  <c r="E321" i="58"/>
  <c r="E316" i="58"/>
  <c r="E384" i="58"/>
  <c r="E68" i="58"/>
  <c r="E152" i="58"/>
  <c r="E308" i="58"/>
  <c r="E336" i="58"/>
  <c r="E35" i="58"/>
  <c r="E350" i="58"/>
  <c r="E141" i="58"/>
  <c r="E19" i="58"/>
  <c r="G130" i="58"/>
  <c r="I130" i="58"/>
  <c r="I256" i="58"/>
  <c r="G256" i="58"/>
  <c r="G304" i="58"/>
  <c r="I304" i="58"/>
  <c r="I170" i="58"/>
  <c r="G170" i="58"/>
  <c r="I66" i="58"/>
  <c r="G66" i="58"/>
  <c r="G250" i="58"/>
  <c r="G125" i="58"/>
  <c r="I125" i="58"/>
  <c r="I171" i="58"/>
  <c r="G171" i="58"/>
  <c r="G354" i="58"/>
  <c r="I354" i="58"/>
  <c r="I49" i="58"/>
  <c r="G49" i="58"/>
  <c r="I48" i="58"/>
  <c r="G48" i="58"/>
  <c r="I315" i="58"/>
  <c r="G315" i="58"/>
  <c r="I36" i="58"/>
  <c r="G36" i="58"/>
  <c r="G109" i="58"/>
  <c r="I109" i="58"/>
  <c r="G174" i="58"/>
  <c r="I174" i="58"/>
  <c r="I115" i="58"/>
  <c r="G115" i="58"/>
  <c r="I263" i="58"/>
  <c r="G263" i="58"/>
  <c r="I361" i="58"/>
  <c r="G361" i="58"/>
  <c r="G205" i="58"/>
  <c r="I205" i="58"/>
  <c r="E201" i="58"/>
  <c r="E159" i="58"/>
  <c r="E266" i="58"/>
  <c r="E207" i="58"/>
  <c r="E288" i="58"/>
  <c r="E119" i="58"/>
  <c r="E246" i="58"/>
  <c r="E220" i="58"/>
  <c r="E370" i="58"/>
  <c r="E349" i="58"/>
  <c r="E385" i="58"/>
  <c r="E362" i="58"/>
  <c r="E16" i="58"/>
  <c r="E236" i="58"/>
  <c r="E57" i="58"/>
  <c r="E91" i="58"/>
  <c r="E99" i="58"/>
  <c r="E300" i="58"/>
  <c r="E213" i="58"/>
  <c r="E238" i="58"/>
  <c r="E337" i="58"/>
  <c r="E257" i="58"/>
  <c r="E386" i="58"/>
  <c r="E104" i="58"/>
  <c r="E73" i="58"/>
  <c r="E122" i="58"/>
  <c r="E376" i="58"/>
  <c r="E364" i="58"/>
  <c r="E50" i="58"/>
  <c r="E212" i="58"/>
  <c r="E360" i="58"/>
  <c r="E303" i="58"/>
  <c r="E365" i="58"/>
  <c r="I46" i="58"/>
  <c r="G46" i="58"/>
  <c r="I285" i="58"/>
  <c r="G285" i="58"/>
  <c r="G318" i="58"/>
  <c r="I318" i="58"/>
  <c r="I378" i="58"/>
  <c r="G378" i="58"/>
  <c r="G366" i="58"/>
  <c r="I366" i="58"/>
  <c r="G85" i="58"/>
  <c r="I85" i="58"/>
  <c r="G200" i="58"/>
  <c r="I200" i="58"/>
  <c r="G114" i="58"/>
  <c r="I114" i="58"/>
  <c r="G382" i="58"/>
  <c r="I382" i="58"/>
  <c r="G52" i="58"/>
  <c r="I52" i="58"/>
  <c r="G214" i="58"/>
  <c r="I214" i="58"/>
  <c r="I372" i="58"/>
  <c r="G372" i="58"/>
  <c r="I233" i="58"/>
  <c r="G233" i="58"/>
  <c r="I211" i="58"/>
  <c r="G211" i="58"/>
  <c r="G340" i="58"/>
  <c r="I340" i="58"/>
  <c r="I208" i="58"/>
  <c r="G208" i="58"/>
  <c r="G302" i="58"/>
  <c r="I302" i="58"/>
  <c r="G123" i="58"/>
  <c r="I123" i="58"/>
  <c r="I323" i="58"/>
  <c r="G323" i="58"/>
  <c r="E98" i="58"/>
  <c r="E346" i="58"/>
  <c r="E165" i="58"/>
  <c r="E227" i="58"/>
  <c r="E273" i="58"/>
  <c r="E178" i="58"/>
  <c r="E377" i="58"/>
  <c r="E131" i="58"/>
  <c r="E193" i="58"/>
  <c r="E167" i="58"/>
  <c r="E355" i="58"/>
  <c r="E191" i="58"/>
  <c r="E267" i="58"/>
  <c r="E33" i="58"/>
  <c r="E127" i="58"/>
  <c r="E182" i="58"/>
  <c r="G299" i="58"/>
  <c r="I299" i="58"/>
  <c r="G128" i="58"/>
  <c r="I128" i="58"/>
  <c r="I86" i="58"/>
  <c r="G86" i="58"/>
  <c r="I25" i="58"/>
  <c r="G25" i="58"/>
  <c r="I112" i="58"/>
  <c r="G112" i="58"/>
  <c r="I32" i="58"/>
  <c r="G32" i="58"/>
  <c r="G180" i="58"/>
  <c r="I180" i="58"/>
  <c r="G94" i="58"/>
  <c r="I94" i="58"/>
  <c r="G71" i="58"/>
  <c r="I71" i="58"/>
  <c r="G74" i="58"/>
  <c r="I74" i="58"/>
  <c r="G317" i="58"/>
  <c r="I317" i="58"/>
  <c r="G146" i="58"/>
  <c r="I146" i="58"/>
  <c r="E121" i="58"/>
  <c r="E254" i="58"/>
  <c r="E23" i="58"/>
  <c r="E373" i="58"/>
  <c r="E375" i="58"/>
  <c r="E100" i="58"/>
  <c r="E224" i="58"/>
  <c r="E103" i="58"/>
  <c r="E108" i="58"/>
  <c r="E356" i="58"/>
  <c r="E37" i="58"/>
  <c r="E258" i="58"/>
  <c r="E309" i="58"/>
  <c r="E249" i="58"/>
  <c r="E275" i="58"/>
  <c r="E179" i="58"/>
  <c r="E186" i="58"/>
  <c r="E144" i="58"/>
  <c r="E184" i="58"/>
  <c r="E166" i="58"/>
  <c r="E30" i="58"/>
  <c r="E295" i="58"/>
  <c r="E215" i="58"/>
  <c r="E196" i="58"/>
  <c r="E335" i="58"/>
  <c r="E327" i="58"/>
  <c r="E242" i="58"/>
  <c r="E162" i="58"/>
  <c r="E352" i="58"/>
  <c r="E78" i="58"/>
  <c r="E297" i="58"/>
  <c r="E139" i="58"/>
  <c r="E77" i="58"/>
  <c r="E134" i="58"/>
  <c r="E380" i="58"/>
  <c r="E271" i="58"/>
  <c r="G343" i="58"/>
  <c r="I343" i="58"/>
  <c r="G160" i="58"/>
  <c r="I160" i="58"/>
  <c r="G329" i="58"/>
  <c r="I329" i="58"/>
  <c r="I262" i="58"/>
  <c r="G262" i="58"/>
  <c r="I332" i="58"/>
  <c r="G332" i="58"/>
  <c r="G198" i="58"/>
  <c r="I198" i="58"/>
  <c r="I199" i="58"/>
  <c r="G199" i="58"/>
  <c r="I278" i="58"/>
  <c r="G278" i="58"/>
  <c r="G283" i="58"/>
  <c r="I283" i="58"/>
  <c r="I40" i="58"/>
  <c r="G40" i="58"/>
  <c r="I106" i="58"/>
  <c r="G106" i="58"/>
  <c r="I41" i="58"/>
  <c r="G41" i="58"/>
  <c r="G65" i="58"/>
  <c r="I65" i="58"/>
  <c r="G351" i="58"/>
  <c r="I351" i="58"/>
  <c r="I34" i="58"/>
  <c r="G34" i="58"/>
  <c r="I58" i="58"/>
  <c r="I95" i="58"/>
  <c r="G95" i="58"/>
  <c r="I62" i="58"/>
  <c r="G62" i="58"/>
  <c r="G61" i="58"/>
  <c r="I61" i="58"/>
  <c r="I155" i="58"/>
  <c r="G155" i="58"/>
  <c r="G51" i="58"/>
  <c r="I51" i="58"/>
  <c r="G369" i="58"/>
  <c r="I369" i="58"/>
  <c r="I287" i="58"/>
  <c r="G287" i="58"/>
  <c r="G371" i="58"/>
  <c r="I371" i="58"/>
  <c r="I248" i="58"/>
  <c r="G248" i="58"/>
  <c r="I38" i="58"/>
  <c r="G38" i="58"/>
  <c r="I135" i="58"/>
  <c r="G135" i="58"/>
  <c r="G124" i="58"/>
  <c r="I124" i="58"/>
  <c r="I333" i="58"/>
  <c r="G333" i="58"/>
  <c r="I209" i="58" l="1"/>
  <c r="E60" i="53"/>
  <c r="E59" i="53"/>
  <c r="E61" i="53" s="1"/>
  <c r="G294" i="58"/>
  <c r="I58" i="53"/>
  <c r="I61" i="53" s="1"/>
  <c r="I62" i="53" s="1"/>
  <c r="I64" i="53" s="1"/>
  <c r="E136" i="58"/>
  <c r="G75" i="58"/>
  <c r="I76" i="58"/>
  <c r="E92" i="60"/>
  <c r="E363" i="58"/>
  <c r="E156" i="58"/>
  <c r="E93" i="60"/>
  <c r="I91" i="60"/>
  <c r="I94" i="60" s="1"/>
  <c r="I95" i="60" s="1"/>
  <c r="I97" i="60" s="1"/>
  <c r="E298" i="58"/>
  <c r="I298" i="58" s="1"/>
  <c r="E118" i="58"/>
  <c r="G118" i="58" s="1"/>
  <c r="E80" i="58"/>
  <c r="E269" i="58"/>
  <c r="I269" i="58" s="1"/>
  <c r="E79" i="58"/>
  <c r="G79" i="58" s="1"/>
  <c r="E72" i="58"/>
  <c r="I72" i="58" s="1"/>
  <c r="E39" i="58"/>
  <c r="E67" i="58"/>
  <c r="G67" i="58" s="1"/>
  <c r="E326" i="58"/>
  <c r="I326" i="58" s="1"/>
  <c r="E24" i="58"/>
  <c r="I24" i="58" s="1"/>
  <c r="E137" i="58"/>
  <c r="G137" i="58" s="1"/>
  <c r="E60" i="47"/>
  <c r="E61" i="47" s="1"/>
  <c r="I58" i="47"/>
  <c r="I61" i="47" s="1"/>
  <c r="I62" i="47" s="1"/>
  <c r="I64" i="47" s="1"/>
  <c r="G271" i="58"/>
  <c r="I271" i="58"/>
  <c r="G184" i="58"/>
  <c r="I184" i="58"/>
  <c r="G249" i="58"/>
  <c r="I249" i="58"/>
  <c r="G108" i="58"/>
  <c r="I108" i="58"/>
  <c r="G23" i="58"/>
  <c r="I23" i="58"/>
  <c r="G182" i="58"/>
  <c r="I182" i="58"/>
  <c r="I167" i="58"/>
  <c r="G167" i="58"/>
  <c r="I346" i="58"/>
  <c r="G346" i="58"/>
  <c r="G192" i="58"/>
  <c r="I192" i="58"/>
  <c r="G225" i="58"/>
  <c r="I225" i="58"/>
  <c r="I15" i="58"/>
  <c r="G15" i="58"/>
  <c r="I29" i="58"/>
  <c r="G29" i="58"/>
  <c r="G367" i="58"/>
  <c r="I367" i="58"/>
  <c r="I270" i="58"/>
  <c r="G270" i="58"/>
  <c r="G281" i="58"/>
  <c r="I281" i="58"/>
  <c r="I132" i="58"/>
  <c r="G132" i="58"/>
  <c r="I79" i="58"/>
  <c r="G78" i="58"/>
  <c r="I78" i="58"/>
  <c r="I242" i="58"/>
  <c r="G242" i="58"/>
  <c r="G196" i="58"/>
  <c r="I196" i="58"/>
  <c r="I303" i="58"/>
  <c r="G303" i="58"/>
  <c r="G50" i="58"/>
  <c r="I50" i="58"/>
  <c r="I122" i="58"/>
  <c r="G122" i="58"/>
  <c r="I386" i="58"/>
  <c r="G386" i="58"/>
  <c r="G238" i="58"/>
  <c r="I238" i="58"/>
  <c r="G99" i="58"/>
  <c r="I99" i="58"/>
  <c r="G236" i="58"/>
  <c r="I236" i="58"/>
  <c r="I385" i="58"/>
  <c r="G385" i="58"/>
  <c r="G370" i="58"/>
  <c r="I370" i="58"/>
  <c r="G269" i="58"/>
  <c r="G207" i="58"/>
  <c r="I207" i="58"/>
  <c r="G201" i="58"/>
  <c r="I201" i="58"/>
  <c r="G19" i="58"/>
  <c r="I19" i="58"/>
  <c r="I35" i="58"/>
  <c r="G35" i="58"/>
  <c r="I152" i="58"/>
  <c r="G152" i="58"/>
  <c r="G384" i="58"/>
  <c r="I384" i="58"/>
  <c r="G176" i="58"/>
  <c r="I176" i="58"/>
  <c r="G82" i="58"/>
  <c r="I82" i="58"/>
  <c r="I47" i="58"/>
  <c r="G47" i="58"/>
  <c r="I21" i="58"/>
  <c r="G21" i="58"/>
  <c r="G301" i="58"/>
  <c r="I301" i="58"/>
  <c r="I147" i="58"/>
  <c r="G147" i="58"/>
  <c r="G22" i="58"/>
  <c r="I22" i="58"/>
  <c r="I338" i="58"/>
  <c r="G338" i="58"/>
  <c r="G203" i="58"/>
  <c r="I203" i="58"/>
  <c r="I55" i="58"/>
  <c r="G55" i="58"/>
  <c r="G232" i="58"/>
  <c r="I232" i="58"/>
  <c r="I168" i="58"/>
  <c r="G168" i="58"/>
  <c r="G264" i="58"/>
  <c r="I264" i="58"/>
  <c r="G359" i="58"/>
  <c r="I359" i="58"/>
  <c r="G265" i="58"/>
  <c r="I265" i="58"/>
  <c r="I105" i="58"/>
  <c r="G105" i="58"/>
  <c r="I277" i="58"/>
  <c r="G277" i="58"/>
  <c r="G282" i="58"/>
  <c r="I282" i="58"/>
  <c r="G142" i="58"/>
  <c r="I142" i="58"/>
  <c r="I77" i="58"/>
  <c r="G77" i="58"/>
  <c r="I186" i="58"/>
  <c r="G186" i="58"/>
  <c r="G156" i="58"/>
  <c r="I156" i="58"/>
  <c r="G100" i="58"/>
  <c r="I100" i="58"/>
  <c r="G267" i="58"/>
  <c r="I267" i="58"/>
  <c r="G377" i="58"/>
  <c r="I377" i="58"/>
  <c r="G227" i="58"/>
  <c r="I227" i="58"/>
  <c r="G244" i="58"/>
  <c r="I244" i="58"/>
  <c r="I310" i="58"/>
  <c r="G310" i="58"/>
  <c r="I357" i="58"/>
  <c r="G357" i="58"/>
  <c r="I331" i="58"/>
  <c r="G331" i="58"/>
  <c r="I292" i="58"/>
  <c r="G292" i="58"/>
  <c r="I83" i="58"/>
  <c r="G83" i="58"/>
  <c r="I161" i="58"/>
  <c r="G161" i="58"/>
  <c r="G279" i="58"/>
  <c r="I279" i="58"/>
  <c r="G380" i="58"/>
  <c r="I380" i="58"/>
  <c r="G30" i="58"/>
  <c r="I30" i="58"/>
  <c r="G179" i="58"/>
  <c r="I179" i="58"/>
  <c r="G309" i="58"/>
  <c r="I309" i="58"/>
  <c r="I37" i="58"/>
  <c r="G37" i="58"/>
  <c r="G103" i="58"/>
  <c r="I103" i="58"/>
  <c r="I375" i="58"/>
  <c r="G375" i="58"/>
  <c r="I254" i="58"/>
  <c r="G254" i="58"/>
  <c r="G127" i="58"/>
  <c r="I127" i="58"/>
  <c r="I191" i="58"/>
  <c r="G191" i="58"/>
  <c r="G193" i="58"/>
  <c r="I193" i="58"/>
  <c r="G178" i="58"/>
  <c r="I178" i="58"/>
  <c r="I118" i="58"/>
  <c r="I80" i="58"/>
  <c r="G80" i="58"/>
  <c r="G102" i="58"/>
  <c r="I102" i="58"/>
  <c r="G28" i="58"/>
  <c r="I28" i="58"/>
  <c r="G140" i="58"/>
  <c r="I140" i="58"/>
  <c r="I313" i="58"/>
  <c r="G313" i="58"/>
  <c r="G348" i="58"/>
  <c r="I348" i="58"/>
  <c r="I59" i="58"/>
  <c r="G59" i="58"/>
  <c r="I183" i="58"/>
  <c r="G183" i="58"/>
  <c r="G164" i="58"/>
  <c r="I164" i="58"/>
  <c r="I101" i="58"/>
  <c r="G101" i="58"/>
  <c r="G217" i="58"/>
  <c r="I217" i="58"/>
  <c r="I307" i="58"/>
  <c r="G307" i="58"/>
  <c r="I260" i="58"/>
  <c r="G260" i="58"/>
  <c r="G319" i="58"/>
  <c r="I319" i="58"/>
  <c r="G120" i="58"/>
  <c r="I120" i="58"/>
  <c r="G268" i="58"/>
  <c r="I268" i="58"/>
  <c r="G296" i="58"/>
  <c r="I296" i="58"/>
  <c r="G88" i="58"/>
  <c r="I88" i="58"/>
  <c r="G255" i="58"/>
  <c r="I255" i="58"/>
  <c r="G352" i="58"/>
  <c r="I352" i="58"/>
  <c r="I215" i="58"/>
  <c r="G215" i="58"/>
  <c r="G364" i="58"/>
  <c r="I364" i="58"/>
  <c r="G73" i="58"/>
  <c r="I73" i="58"/>
  <c r="I213" i="58"/>
  <c r="G213" i="58"/>
  <c r="I91" i="58"/>
  <c r="G91" i="58"/>
  <c r="G16" i="58"/>
  <c r="I16" i="58"/>
  <c r="I220" i="58"/>
  <c r="G220" i="58"/>
  <c r="G119" i="58"/>
  <c r="I119" i="58"/>
  <c r="G72" i="58"/>
  <c r="I141" i="58"/>
  <c r="G141" i="58"/>
  <c r="G316" i="58"/>
  <c r="I316" i="58"/>
  <c r="G129" i="58"/>
  <c r="I129" i="58"/>
  <c r="G31" i="58"/>
  <c r="I31" i="58"/>
  <c r="G39" i="58"/>
  <c r="I39" i="58"/>
  <c r="G60" i="58"/>
  <c r="I60" i="58"/>
  <c r="G218" i="58"/>
  <c r="I218" i="58"/>
  <c r="G96" i="58"/>
  <c r="I96" i="58"/>
  <c r="I67" i="58"/>
  <c r="G328" i="58"/>
  <c r="I328" i="58"/>
  <c r="G126" i="58"/>
  <c r="I126" i="58"/>
  <c r="I368" i="58"/>
  <c r="G368" i="58"/>
  <c r="I134" i="58"/>
  <c r="G134" i="58"/>
  <c r="G166" i="58"/>
  <c r="I166" i="58"/>
  <c r="G144" i="58"/>
  <c r="I144" i="58"/>
  <c r="I275" i="58"/>
  <c r="G275" i="58"/>
  <c r="G258" i="58"/>
  <c r="I258" i="58"/>
  <c r="I356" i="58"/>
  <c r="G356" i="58"/>
  <c r="G224" i="58"/>
  <c r="I224" i="58"/>
  <c r="I373" i="58"/>
  <c r="G373" i="58"/>
  <c r="G121" i="58"/>
  <c r="I121" i="58"/>
  <c r="I33" i="58"/>
  <c r="G33" i="58"/>
  <c r="I355" i="58"/>
  <c r="G355" i="58"/>
  <c r="I131" i="58"/>
  <c r="G131" i="58"/>
  <c r="G273" i="58"/>
  <c r="I273" i="58"/>
  <c r="G165" i="58"/>
  <c r="I165" i="58"/>
  <c r="I98" i="58"/>
  <c r="G98" i="58"/>
  <c r="G365" i="58"/>
  <c r="I365" i="58"/>
  <c r="G306" i="58"/>
  <c r="I306" i="58"/>
  <c r="G358" i="58"/>
  <c r="I358" i="58"/>
  <c r="G324" i="58"/>
  <c r="I324" i="58"/>
  <c r="G219" i="58"/>
  <c r="I219" i="58"/>
  <c r="G197" i="58"/>
  <c r="I197" i="58"/>
  <c r="G237" i="58"/>
  <c r="I237" i="58"/>
  <c r="I243" i="58"/>
  <c r="G243" i="58"/>
  <c r="G175" i="58"/>
  <c r="I175" i="58"/>
  <c r="I185" i="58"/>
  <c r="G185" i="58"/>
  <c r="G163" i="58"/>
  <c r="I163" i="58"/>
  <c r="G234" i="58"/>
  <c r="I234" i="58"/>
  <c r="G276" i="58"/>
  <c r="I276" i="58"/>
  <c r="G64" i="58"/>
  <c r="I64" i="58"/>
  <c r="I293" i="58"/>
  <c r="G293" i="58"/>
  <c r="G322" i="58"/>
  <c r="I322" i="58"/>
  <c r="G341" i="58"/>
  <c r="I341" i="58"/>
  <c r="G274" i="58"/>
  <c r="I274" i="58"/>
  <c r="G139" i="58"/>
  <c r="I139" i="58"/>
  <c r="G327" i="58"/>
  <c r="I327" i="58"/>
  <c r="G360" i="58"/>
  <c r="I360" i="58"/>
  <c r="I257" i="58"/>
  <c r="G257" i="58"/>
  <c r="I349" i="58"/>
  <c r="G349" i="58"/>
  <c r="I266" i="58"/>
  <c r="G266" i="58"/>
  <c r="I336" i="58"/>
  <c r="G336" i="58"/>
  <c r="G136" i="58"/>
  <c r="I136" i="58"/>
  <c r="I228" i="58"/>
  <c r="G228" i="58"/>
  <c r="G334" i="58"/>
  <c r="I334" i="58"/>
  <c r="G195" i="58"/>
  <c r="I195" i="58"/>
  <c r="I363" i="58"/>
  <c r="G363" i="58"/>
  <c r="G344" i="58"/>
  <c r="I344" i="58"/>
  <c r="I297" i="58"/>
  <c r="G297" i="58"/>
  <c r="G162" i="58"/>
  <c r="I162" i="58"/>
  <c r="G335" i="58"/>
  <c r="I335" i="58"/>
  <c r="I295" i="58"/>
  <c r="G295" i="58"/>
  <c r="G212" i="58"/>
  <c r="I212" i="58"/>
  <c r="G376" i="58"/>
  <c r="I376" i="58"/>
  <c r="I104" i="58"/>
  <c r="G104" i="58"/>
  <c r="G337" i="58"/>
  <c r="I337" i="58"/>
  <c r="I300" i="58"/>
  <c r="G300" i="58"/>
  <c r="G57" i="58"/>
  <c r="I57" i="58"/>
  <c r="I362" i="58"/>
  <c r="G362" i="58"/>
  <c r="I137" i="58"/>
  <c r="G246" i="58"/>
  <c r="I246" i="58"/>
  <c r="G288" i="58"/>
  <c r="I288" i="58"/>
  <c r="G159" i="58"/>
  <c r="I159" i="58"/>
  <c r="G350" i="58"/>
  <c r="I350" i="58"/>
  <c r="G308" i="58"/>
  <c r="I308" i="58"/>
  <c r="I68" i="58"/>
  <c r="G68" i="58"/>
  <c r="I321" i="58"/>
  <c r="G321" i="58"/>
  <c r="G286" i="58"/>
  <c r="I286" i="58"/>
  <c r="G158" i="58"/>
  <c r="I158" i="58"/>
  <c r="G280" i="58"/>
  <c r="I280" i="58"/>
  <c r="I89" i="58"/>
  <c r="G89" i="58"/>
  <c r="G284" i="58"/>
  <c r="I284" i="58"/>
  <c r="G231" i="58"/>
  <c r="I231" i="58"/>
  <c r="G202" i="58"/>
  <c r="I202" i="58"/>
  <c r="I20" i="58"/>
  <c r="G20" i="58"/>
  <c r="G54" i="58"/>
  <c r="I54" i="58"/>
  <c r="I177" i="58"/>
  <c r="G177" i="58"/>
  <c r="G138" i="58"/>
  <c r="I138" i="58"/>
  <c r="I342" i="58"/>
  <c r="G342" i="58"/>
  <c r="I107" i="58"/>
  <c r="G107" i="58"/>
  <c r="I148" i="58"/>
  <c r="G148" i="58"/>
  <c r="G204" i="58"/>
  <c r="I204" i="58"/>
  <c r="I145" i="58"/>
  <c r="G145" i="58"/>
  <c r="G320" i="58"/>
  <c r="I320" i="58"/>
  <c r="I374" i="58"/>
  <c r="G374" i="58"/>
  <c r="E94" i="60" l="1"/>
  <c r="G24" i="58"/>
  <c r="G298" i="58"/>
  <c r="G326" i="58"/>
  <c r="I387" i="58"/>
  <c r="I390" i="58" s="1"/>
  <c r="I391" i="58" s="1"/>
  <c r="I393" i="58" s="1"/>
  <c r="E389" i="58"/>
  <c r="E388" i="58" l="1"/>
  <c r="E390" i="5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FD820-4C33-4BAF-B383-1DF1579F8026}" keepAlive="1" name="Query - County of Vermillion MOQ xlsx" description="Connection to the 'County of Vermillion MOQ xlsx' query in the workbook." type="5" refreshedVersion="8" background="1" saveData="1">
    <dbPr connection="Provider=Microsoft.Mashup.OleDb.1;Data Source=$Workbook$;Location=&quot;County of Vermillion MOQ xlsx&quot;;Extended Properties=&quot;&quot;" command="SELECT * FROM [County of Vermillion MOQ xlsx]"/>
  </connection>
</connections>
</file>

<file path=xl/sharedStrings.xml><?xml version="1.0" encoding="utf-8"?>
<sst xmlns="http://schemas.openxmlformats.org/spreadsheetml/2006/main" count="825" uniqueCount="423">
  <si>
    <t>PART NUMBER</t>
  </si>
  <si>
    <t>DESCRIPTION</t>
  </si>
  <si>
    <t>QTY</t>
  </si>
  <si>
    <t>CAD $</t>
  </si>
  <si>
    <t>OEM MSRP</t>
  </si>
  <si>
    <t>GQP PRICE</t>
  </si>
  <si>
    <t>Seats</t>
  </si>
  <si>
    <t>COMPANY:</t>
  </si>
  <si>
    <t>DATE:</t>
  </si>
  <si>
    <t>PO NUMBER:</t>
  </si>
  <si>
    <t>CONTACT NAME:</t>
  </si>
  <si>
    <t>PHONE NUMBER:</t>
  </si>
  <si>
    <t>BILLING ADDRESS:</t>
  </si>
  <si>
    <t>EMAIL ADDRESS:</t>
  </si>
  <si>
    <t>SHIPPING ADDRESS:</t>
  </si>
  <si>
    <t>Make &amp; Model</t>
  </si>
  <si>
    <t>TOTAL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</si>
  <si>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</si>
  <si>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</si>
  <si>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</si>
  <si>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</si>
  <si>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</si>
  <si>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</si>
  <si>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</si>
  <si>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</si>
  <si>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</si>
  <si>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</si>
  <si>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</si>
  <si>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MOQ QUOTE</t>
  </si>
  <si>
    <t>Injectors</t>
  </si>
  <si>
    <t>Batteries</t>
  </si>
  <si>
    <t>Grand Total</t>
  </si>
  <si>
    <t>Undercarriages</t>
  </si>
  <si>
    <t>Enoch</t>
  </si>
  <si>
    <t>G.E.T.</t>
  </si>
  <si>
    <t>1R-0749</t>
  </si>
  <si>
    <t>1R-1808</t>
  </si>
  <si>
    <t>112-7448</t>
  </si>
  <si>
    <t>1R-0719</t>
  </si>
  <si>
    <t>326-1644</t>
  </si>
  <si>
    <t>1G-8878</t>
  </si>
  <si>
    <t>1R-0750</t>
  </si>
  <si>
    <t>328-3655</t>
  </si>
  <si>
    <t>326-1643</t>
  </si>
  <si>
    <t>5I-8670</t>
  </si>
  <si>
    <t>093-7521</t>
  </si>
  <si>
    <t>513-4490</t>
  </si>
  <si>
    <t>209-8217</t>
  </si>
  <si>
    <t>1R-0777</t>
  </si>
  <si>
    <t>447-1720</t>
  </si>
  <si>
    <t>520-7951</t>
  </si>
  <si>
    <t>2J-3506</t>
  </si>
  <si>
    <t>5P-8248</t>
  </si>
  <si>
    <t>LINCOLN COUNTY OILFIELD SERVICES</t>
  </si>
  <si>
    <t>DUSTIN MINNS</t>
  </si>
  <si>
    <t>780-609-0758</t>
  </si>
  <si>
    <t>D.MINNS@LCOS.CA</t>
  </si>
  <si>
    <t>577-8381</t>
  </si>
  <si>
    <t>CAT D7</t>
  </si>
  <si>
    <t>Seat Group</t>
  </si>
  <si>
    <t>6W-9744</t>
  </si>
  <si>
    <t>AT527707</t>
  </si>
  <si>
    <t>JD 624K, JD 624KXDW</t>
  </si>
  <si>
    <t>Seat</t>
  </si>
  <si>
    <t>AT522591</t>
  </si>
  <si>
    <t>JD 650K</t>
  </si>
  <si>
    <t>AT522601</t>
  </si>
  <si>
    <t>JD 770G, JD 772G</t>
  </si>
  <si>
    <t>0S-1585</t>
  </si>
  <si>
    <t>0S-1594</t>
  </si>
  <si>
    <t>104-5857</t>
  </si>
  <si>
    <t>106-1642</t>
  </si>
  <si>
    <t>107-0719</t>
  </si>
  <si>
    <t>108-0946</t>
  </si>
  <si>
    <t>108-0954</t>
  </si>
  <si>
    <t>110-2976</t>
  </si>
  <si>
    <t>114-0358</t>
  </si>
  <si>
    <t>114-0359</t>
  </si>
  <si>
    <t>114-6099</t>
  </si>
  <si>
    <t>115-2422</t>
  </si>
  <si>
    <t>115-3696</t>
  </si>
  <si>
    <t>117-4089</t>
  </si>
  <si>
    <t>118-1608</t>
  </si>
  <si>
    <t>118-1609</t>
  </si>
  <si>
    <t>124-8237</t>
  </si>
  <si>
    <t>124-8240</t>
  </si>
  <si>
    <t>127-8216</t>
  </si>
  <si>
    <t>131-8821</t>
  </si>
  <si>
    <t>131-8822</t>
  </si>
  <si>
    <t>134-5276</t>
  </si>
  <si>
    <t>134-8726</t>
  </si>
  <si>
    <t>136-2422</t>
  </si>
  <si>
    <t>136-8308</t>
  </si>
  <si>
    <t>140-2334</t>
  </si>
  <si>
    <t>142-1339</t>
  </si>
  <si>
    <t>142-1404</t>
  </si>
  <si>
    <t>146-6695</t>
  </si>
  <si>
    <t>151-0914</t>
  </si>
  <si>
    <t>153-5044</t>
  </si>
  <si>
    <t>153-5656</t>
  </si>
  <si>
    <t>153-5700</t>
  </si>
  <si>
    <t>154-3642</t>
  </si>
  <si>
    <t>156-1200</t>
  </si>
  <si>
    <t>160-5130</t>
  </si>
  <si>
    <t>169-4019</t>
  </si>
  <si>
    <t>173-0946</t>
  </si>
  <si>
    <t>177-2347</t>
  </si>
  <si>
    <t>177-2348</t>
  </si>
  <si>
    <t>178-6342</t>
  </si>
  <si>
    <t>179-9806</t>
  </si>
  <si>
    <t>187-1603</t>
  </si>
  <si>
    <t>190-1546</t>
  </si>
  <si>
    <t>190-1551</t>
  </si>
  <si>
    <t>190-7396</t>
  </si>
  <si>
    <t>191-2933</t>
  </si>
  <si>
    <t>192-4744</t>
  </si>
  <si>
    <t>196-7074</t>
  </si>
  <si>
    <t>196-7078</t>
  </si>
  <si>
    <t>1M-1408</t>
  </si>
  <si>
    <t>1M-8867</t>
  </si>
  <si>
    <t>1R-0713</t>
  </si>
  <si>
    <t>1R-0746</t>
  </si>
  <si>
    <t>1R0749</t>
  </si>
  <si>
    <t>1R0750</t>
  </si>
  <si>
    <t>1R-0751</t>
  </si>
  <si>
    <t>1R-0753</t>
  </si>
  <si>
    <t>1R-1807</t>
  </si>
  <si>
    <t>1S1860</t>
  </si>
  <si>
    <t>1S-1860</t>
  </si>
  <si>
    <t>1U-3202</t>
  </si>
  <si>
    <t>202-4296</t>
  </si>
  <si>
    <t>213-1971</t>
  </si>
  <si>
    <t>213-5007</t>
  </si>
  <si>
    <t>216-6286</t>
  </si>
  <si>
    <t>216-7921</t>
  </si>
  <si>
    <t>219-7569</t>
  </si>
  <si>
    <t>222-1796</t>
  </si>
  <si>
    <t>222-1797</t>
  </si>
  <si>
    <t>224-1311</t>
  </si>
  <si>
    <t>229-5446</t>
  </si>
  <si>
    <t>229-6958</t>
  </si>
  <si>
    <t>235-5974</t>
  </si>
  <si>
    <t>240-9557</t>
  </si>
  <si>
    <t>248-7143</t>
  </si>
  <si>
    <t>251-8601</t>
  </si>
  <si>
    <t>252-5001</t>
  </si>
  <si>
    <t>252-5002</t>
  </si>
  <si>
    <t>254-0225</t>
  </si>
  <si>
    <t>255-8095</t>
  </si>
  <si>
    <t>259-2627</t>
  </si>
  <si>
    <t>267-4829</t>
  </si>
  <si>
    <t>267-6099</t>
  </si>
  <si>
    <t>278-4843</t>
  </si>
  <si>
    <t>282-3655</t>
  </si>
  <si>
    <t>284-5686</t>
  </si>
  <si>
    <t>285-3414</t>
  </si>
  <si>
    <t>288-0934</t>
  </si>
  <si>
    <t>288-0936</t>
  </si>
  <si>
    <t>288-3462</t>
  </si>
  <si>
    <t>294-4813</t>
  </si>
  <si>
    <t>2P-4004</t>
  </si>
  <si>
    <t>2S-1285</t>
  </si>
  <si>
    <t>2S-5658</t>
  </si>
  <si>
    <t>300-4545</t>
  </si>
  <si>
    <t>304-7196</t>
  </si>
  <si>
    <t>306-2148</t>
  </si>
  <si>
    <t>308-1502</t>
  </si>
  <si>
    <t>310-4912</t>
  </si>
  <si>
    <t>310-4915</t>
  </si>
  <si>
    <t>310-4918</t>
  </si>
  <si>
    <t>311-8150</t>
  </si>
  <si>
    <t>314-9972</t>
  </si>
  <si>
    <t>316-8889</t>
  </si>
  <si>
    <t>316-8894</t>
  </si>
  <si>
    <t>316-8895</t>
  </si>
  <si>
    <t>318-2375</t>
  </si>
  <si>
    <t>318-2558</t>
  </si>
  <si>
    <t>320-0690</t>
  </si>
  <si>
    <t>321-3600</t>
  </si>
  <si>
    <t>322-3151</t>
  </si>
  <si>
    <t>322-3155</t>
  </si>
  <si>
    <t>323-1168</t>
  </si>
  <si>
    <t>329-3243</t>
  </si>
  <si>
    <t>331-8108</t>
  </si>
  <si>
    <t>332-8903</t>
  </si>
  <si>
    <t>334-8389</t>
  </si>
  <si>
    <t>341-1417</t>
  </si>
  <si>
    <t>341-2814</t>
  </si>
  <si>
    <t>346-6694</t>
  </si>
  <si>
    <t>353-2186</t>
  </si>
  <si>
    <t>353-2187</t>
  </si>
  <si>
    <t>356-3429</t>
  </si>
  <si>
    <t>356-3430</t>
  </si>
  <si>
    <t>357-6019</t>
  </si>
  <si>
    <t>358-8557</t>
  </si>
  <si>
    <t>359-0128</t>
  </si>
  <si>
    <t>360-8960</t>
  </si>
  <si>
    <t>363-9402</t>
  </si>
  <si>
    <t>365-0751</t>
  </si>
  <si>
    <t>365-0752</t>
  </si>
  <si>
    <t>370-7280</t>
  </si>
  <si>
    <t>375-6431</t>
  </si>
  <si>
    <t>376-1274</t>
  </si>
  <si>
    <t>376-1275</t>
  </si>
  <si>
    <t>376-2025</t>
  </si>
  <si>
    <t>377-2989</t>
  </si>
  <si>
    <t>377-6969</t>
  </si>
  <si>
    <t>379-8893</t>
  </si>
  <si>
    <t>379-8894</t>
  </si>
  <si>
    <t>383-0293</t>
  </si>
  <si>
    <t>383-0433</t>
  </si>
  <si>
    <t>383-0544</t>
  </si>
  <si>
    <t>384-5674</t>
  </si>
  <si>
    <t>386-6920</t>
  </si>
  <si>
    <t>386-6934</t>
  </si>
  <si>
    <t>386-6936</t>
  </si>
  <si>
    <t>3B4504 </t>
  </si>
  <si>
    <t>3B-4632</t>
  </si>
  <si>
    <t>3B-5325</t>
  </si>
  <si>
    <t>3F-5108</t>
  </si>
  <si>
    <t>3G-3424</t>
  </si>
  <si>
    <t>3j6571</t>
  </si>
  <si>
    <t>3S-8182</t>
  </si>
  <si>
    <t>3T-3884</t>
  </si>
  <si>
    <t>3T-3889</t>
  </si>
  <si>
    <t>421-3007</t>
  </si>
  <si>
    <t>422-0864</t>
  </si>
  <si>
    <t>424-3436</t>
  </si>
  <si>
    <t>428-0056</t>
  </si>
  <si>
    <t>433-3886</t>
  </si>
  <si>
    <t>443-0318</t>
  </si>
  <si>
    <t>447-1707</t>
  </si>
  <si>
    <t>447-1718</t>
  </si>
  <si>
    <t>447-1723</t>
  </si>
  <si>
    <t>447-1725</t>
  </si>
  <si>
    <t>447-1731</t>
  </si>
  <si>
    <t>451-2176</t>
  </si>
  <si>
    <t>451-2177</t>
  </si>
  <si>
    <t>453-2855</t>
  </si>
  <si>
    <t>456-1742</t>
  </si>
  <si>
    <t>456-3509</t>
  </si>
  <si>
    <t>457-3636</t>
  </si>
  <si>
    <t>462-1171</t>
  </si>
  <si>
    <t>468-7455</t>
  </si>
  <si>
    <t>472-7939</t>
  </si>
  <si>
    <t>476-1146</t>
  </si>
  <si>
    <t>479-4131</t>
  </si>
  <si>
    <t>479-8989</t>
  </si>
  <si>
    <t>479-8991</t>
  </si>
  <si>
    <t>484-8282</t>
  </si>
  <si>
    <t>487-8695</t>
  </si>
  <si>
    <t>488-6511</t>
  </si>
  <si>
    <t>489-2731</t>
  </si>
  <si>
    <t>489-6483</t>
  </si>
  <si>
    <t>490-6505</t>
  </si>
  <si>
    <t>491-4518</t>
  </si>
  <si>
    <t>491-6075</t>
  </si>
  <si>
    <t>494-0057</t>
  </si>
  <si>
    <t>496-9845</t>
  </si>
  <si>
    <t>496-9846</t>
  </si>
  <si>
    <t>499-9026</t>
  </si>
  <si>
    <t>499-9049</t>
  </si>
  <si>
    <t>4K-0367</t>
  </si>
  <si>
    <t>4N-0313</t>
  </si>
  <si>
    <t>4N-0326</t>
  </si>
  <si>
    <t>4N-2955</t>
  </si>
  <si>
    <t>4S9051 </t>
  </si>
  <si>
    <t>4T-2315</t>
  </si>
  <si>
    <t>4T-3132</t>
  </si>
  <si>
    <t>4T-5407</t>
  </si>
  <si>
    <t>4T-5408</t>
  </si>
  <si>
    <t>4T-6229</t>
  </si>
  <si>
    <t>4T-6230</t>
  </si>
  <si>
    <t>4T-8940</t>
  </si>
  <si>
    <t>4V-4106</t>
  </si>
  <si>
    <t>500-0483</t>
  </si>
  <si>
    <t>500-0957</t>
  </si>
  <si>
    <t>503-1353</t>
  </si>
  <si>
    <t>504-5774</t>
  </si>
  <si>
    <t>509-5694</t>
  </si>
  <si>
    <t>517-2065</t>
  </si>
  <si>
    <t>523-4987</t>
  </si>
  <si>
    <t>525-6205</t>
  </si>
  <si>
    <t>526-7416</t>
  </si>
  <si>
    <t>528-7222</t>
  </si>
  <si>
    <t>529-0132</t>
  </si>
  <si>
    <t>533-5536</t>
  </si>
  <si>
    <t>539-6920</t>
  </si>
  <si>
    <t>540-3825</t>
  </si>
  <si>
    <t>540-3826</t>
  </si>
  <si>
    <t>540-3827</t>
  </si>
  <si>
    <t>540-3828</t>
  </si>
  <si>
    <t>541-4630</t>
  </si>
  <si>
    <t>545-8339</t>
  </si>
  <si>
    <t>551-2067</t>
  </si>
  <si>
    <t>553-8167</t>
  </si>
  <si>
    <t>561-1069</t>
  </si>
  <si>
    <t>565-4423</t>
  </si>
  <si>
    <t>566-2975</t>
  </si>
  <si>
    <t>566-8180</t>
  </si>
  <si>
    <t>569-6097</t>
  </si>
  <si>
    <t>571-0940</t>
  </si>
  <si>
    <t>571-5253</t>
  </si>
  <si>
    <t>575-9942</t>
  </si>
  <si>
    <t>577-1435</t>
  </si>
  <si>
    <t>587-3239</t>
  </si>
  <si>
    <t>590-9787</t>
  </si>
  <si>
    <t>596-4526</t>
  </si>
  <si>
    <t>596-8460</t>
  </si>
  <si>
    <t>5A-3187</t>
  </si>
  <si>
    <t>5J-4773</t>
  </si>
  <si>
    <t>5P-8245</t>
  </si>
  <si>
    <t>5P-8247</t>
  </si>
  <si>
    <t>604-1761</t>
  </si>
  <si>
    <t>605-4657</t>
  </si>
  <si>
    <t>607-2263</t>
  </si>
  <si>
    <t>610-2300</t>
  </si>
  <si>
    <t>610-6264</t>
  </si>
  <si>
    <t>614-7778</t>
  </si>
  <si>
    <t>615-6119</t>
  </si>
  <si>
    <t>615-6123</t>
  </si>
  <si>
    <t>617-1913</t>
  </si>
  <si>
    <t>629-6309</t>
  </si>
  <si>
    <t>651-2584</t>
  </si>
  <si>
    <t>651-2600</t>
  </si>
  <si>
    <t>6B-5464</t>
  </si>
  <si>
    <t>6I-2378</t>
  </si>
  <si>
    <t>6I-2499</t>
  </si>
  <si>
    <t>6I-2500</t>
  </si>
  <si>
    <t>6I-2503</t>
  </si>
  <si>
    <t>6I-2504</t>
  </si>
  <si>
    <t>6I-8077</t>
  </si>
  <si>
    <t>6K-9880</t>
  </si>
  <si>
    <t>6P-6664</t>
  </si>
  <si>
    <t>6S3609</t>
  </si>
  <si>
    <t>6T-0232</t>
  </si>
  <si>
    <t>6T-2779</t>
  </si>
  <si>
    <t>6T-2780</t>
  </si>
  <si>
    <t>6V-0937</t>
  </si>
  <si>
    <t>6V-1792</t>
  </si>
  <si>
    <t>6V-3669</t>
  </si>
  <si>
    <t>6V-4316</t>
  </si>
  <si>
    <t>6V-9167</t>
  </si>
  <si>
    <t>6Y-0309</t>
  </si>
  <si>
    <t>6Y-0352</t>
  </si>
  <si>
    <t>6Y-0359</t>
  </si>
  <si>
    <t>6Y-0846</t>
  </si>
  <si>
    <t>6Y-2126</t>
  </si>
  <si>
    <t>6Y-4898</t>
  </si>
  <si>
    <t>6Y-5685</t>
  </si>
  <si>
    <t>6Y-6300</t>
  </si>
  <si>
    <t>6Y-8180</t>
  </si>
  <si>
    <t>6Y-8973</t>
  </si>
  <si>
    <t>6Y-9024</t>
  </si>
  <si>
    <t>7E-9980</t>
  </si>
  <si>
    <t>7h-3599</t>
  </si>
  <si>
    <t>7H-3607</t>
  </si>
  <si>
    <t>7K-2017</t>
  </si>
  <si>
    <t>7N-2515</t>
  </si>
  <si>
    <t>7W-5317</t>
  </si>
  <si>
    <t>7W-5389</t>
  </si>
  <si>
    <t>7W-8910</t>
  </si>
  <si>
    <t>7X-0515</t>
  </si>
  <si>
    <t>7X-2532</t>
  </si>
  <si>
    <t>8E-5600</t>
  </si>
  <si>
    <t>8E-6208</t>
  </si>
  <si>
    <t>8E-6209</t>
  </si>
  <si>
    <t>8E-9378</t>
  </si>
  <si>
    <t>8E-9379</t>
  </si>
  <si>
    <t>8E-9805</t>
  </si>
  <si>
    <t>8H-5724</t>
  </si>
  <si>
    <t>8J-2190</t>
  </si>
  <si>
    <t>8J-5299</t>
  </si>
  <si>
    <t>8N-1187</t>
  </si>
  <si>
    <t>8N-7005</t>
  </si>
  <si>
    <t>8N-9803</t>
  </si>
  <si>
    <t>8P-8174</t>
  </si>
  <si>
    <t>8T-0281</t>
  </si>
  <si>
    <t>8T-0282</t>
  </si>
  <si>
    <t>8T-0359</t>
  </si>
  <si>
    <t>8T-0656</t>
  </si>
  <si>
    <t>8T-3282</t>
  </si>
  <si>
    <t>8T-4123</t>
  </si>
  <si>
    <t>8T-4131</t>
  </si>
  <si>
    <t>8T-4132</t>
  </si>
  <si>
    <t>8T-4192</t>
  </si>
  <si>
    <t>8T-4223</t>
  </si>
  <si>
    <t>8T-6430</t>
  </si>
  <si>
    <t>8T-7338</t>
  </si>
  <si>
    <t>8Y-6179</t>
  </si>
  <si>
    <t>9C-3696</t>
  </si>
  <si>
    <t>9G-3110</t>
  </si>
  <si>
    <t>9G-8592</t>
  </si>
  <si>
    <t>9J-8913</t>
  </si>
  <si>
    <t>9J-8923</t>
  </si>
  <si>
    <t>9P-7121</t>
  </si>
  <si>
    <t>9S-1838</t>
  </si>
  <si>
    <t>9S-9972</t>
  </si>
  <si>
    <t>9T-8578</t>
  </si>
  <si>
    <t>9W-3361</t>
  </si>
  <si>
    <t>9W-3619</t>
  </si>
  <si>
    <t>9W-8874</t>
  </si>
  <si>
    <t>9W-8875</t>
  </si>
  <si>
    <t>9w-9058</t>
  </si>
  <si>
    <t>9W-9265</t>
  </si>
  <si>
    <t>9X-3404</t>
  </si>
  <si>
    <t>9X-8268</t>
  </si>
  <si>
    <t>CUSOTM-GQP-516NOK</t>
  </si>
  <si>
    <t>CUSOTM-GQPPL61OK</t>
  </si>
  <si>
    <t>CUSTOM-GQP303.5EOK</t>
  </si>
  <si>
    <t>CUSTOM-GQP320ELOK</t>
  </si>
  <si>
    <t>CUSTOM-GQP320RK</t>
  </si>
  <si>
    <t>CUSTOM-GQP-561N30"TG</t>
  </si>
  <si>
    <t>CUSTOM-GQPC4.4BRK</t>
  </si>
  <si>
    <t>CUSTOM-GQPD3OK</t>
  </si>
  <si>
    <t>CUSTOM-GQPD4SSA</t>
  </si>
  <si>
    <t>CUSTOM-GQPD5ABA</t>
  </si>
  <si>
    <t>CUSTOM-GQPD5OK</t>
  </si>
  <si>
    <t>CUSTOM-GQPD630"TG</t>
  </si>
  <si>
    <t>CUSTOM-GQPD7G30"TG</t>
  </si>
  <si>
    <t>CUSTOM-GQPD7GSOK</t>
  </si>
  <si>
    <t>CUSTOM-GQPPL6130"TG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</si>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</sst>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[$-409]mmmm\ d\,\ yyyy;@"/>
    <numFmt numFmtId="168" formatCode="&quot;$&quot;#,##0.00"/>
    <numFmt numFmtId="169" formatCode="0;\-0;;@"/>
    <numFmt numFmtId="170" formatCode="[$-F800]dddd\,\ mmmm\ dd\,\ yyyy"/>
    <numFmt numFmtId="171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70" fontId="4" fillId="2" borderId="1" xfId="0" applyNumberFormat="1" applyFont="1" applyFill="1" applyBorder="1" applyAlignment="1">
      <alignment horizontal="right"/>
    </xf>
    <xf numFmtId="167" fontId="4" fillId="0" borderId="1" xfId="0" applyNumberFormat="1" applyFont="1" applyBorder="1" applyAlignment="1">
      <alignment horizontal="left" vertical="center"/>
    </xf>
    <xf numFmtId="167" fontId="4" fillId="2" borderId="1" xfId="0" applyNumberFormat="1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9" fontId="6" fillId="0" borderId="2" xfId="0" applyNumberFormat="1" applyFont="1" applyBorder="1" applyAlignment="1">
      <alignment horizontal="left"/>
    </xf>
    <xf numFmtId="171" fontId="6" fillId="0" borderId="2" xfId="2" applyNumberFormat="1" applyFont="1" applyBorder="1" applyAlignment="1">
      <alignment horizontal="center"/>
    </xf>
    <xf numFmtId="166" fontId="6" fillId="0" borderId="2" xfId="1" applyFont="1" applyBorder="1" applyAlignment="1">
      <alignment horizontal="center"/>
    </xf>
    <xf numFmtId="166" fontId="6" fillId="2" borderId="2" xfId="1" applyFont="1" applyFill="1" applyBorder="1" applyProtection="1"/>
    <xf numFmtId="166" fontId="6" fillId="0" borderId="2" xfId="1" applyFont="1" applyBorder="1" applyProtection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164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68" fontId="11" fillId="2" borderId="8" xfId="0" applyNumberFormat="1" applyFont="1" applyFill="1" applyBorder="1" applyAlignment="1">
      <alignment horizontal="left" vertical="center" wrapText="1"/>
    </xf>
    <xf numFmtId="166" fontId="11" fillId="2" borderId="1" xfId="1" applyFont="1" applyFill="1" applyBorder="1" applyProtection="1">
      <protection locked="0"/>
    </xf>
    <xf numFmtId="0" fontId="5" fillId="0" borderId="1" xfId="0" applyFont="1" applyBorder="1"/>
    <xf numFmtId="168" fontId="13" fillId="2" borderId="8" xfId="0" applyNumberFormat="1" applyFont="1" applyFill="1" applyBorder="1" applyAlignment="1">
      <alignment horizontal="left" vertical="center" wrapText="1"/>
    </xf>
    <xf numFmtId="166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166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0" fillId="0" borderId="0" xfId="0" applyAlignment="1">
      <alignment wrapText="1"/>
    </xf>
    <xf numFmtId="169" fontId="6" fillId="0" borderId="2" xfId="0" applyNumberFormat="1" applyFont="1" applyBorder="1" applyAlignment="1">
      <alignment horizontal="left" wrapText="1"/>
    </xf>
    <xf numFmtId="171" fontId="6" fillId="0" borderId="2" xfId="2" applyNumberFormat="1" applyFont="1" applyBorder="1" applyAlignment="1">
      <alignment horizontal="center" wrapText="1"/>
    </xf>
    <xf numFmtId="166" fontId="6" fillId="0" borderId="2" xfId="1" applyFont="1" applyBorder="1" applyAlignment="1">
      <alignment horizontal="center" wrapText="1"/>
    </xf>
    <xf numFmtId="166" fontId="6" fillId="2" borderId="2" xfId="1" applyFont="1" applyFill="1" applyBorder="1" applyAlignment="1" applyProtection="1">
      <alignment wrapText="1"/>
    </xf>
    <xf numFmtId="166" fontId="0" fillId="0" borderId="0" xfId="0" applyNumberFormat="1" applyAlignment="1">
      <alignment wrapText="1"/>
    </xf>
    <xf numFmtId="167" fontId="4" fillId="0" borderId="4" xfId="0" applyNumberFormat="1" applyFont="1" applyBorder="1" applyAlignment="1">
      <alignment horizontal="left" vertical="center"/>
    </xf>
    <xf numFmtId="0" fontId="5" fillId="2" borderId="4" xfId="0" applyFont="1" applyFill="1" applyBorder="1" applyAlignment="1" applyProtection="1">
      <alignment horizontal="center"/>
      <protection locked="0"/>
    </xf>
    <xf numFmtId="0" fontId="10" fillId="0" borderId="22" xfId="0" applyFont="1" applyBorder="1" applyAlignment="1">
      <alignment horizontal="center"/>
    </xf>
    <xf numFmtId="166" fontId="6" fillId="0" borderId="9" xfId="1" applyFont="1" applyBorder="1" applyAlignment="1">
      <alignment horizontal="center"/>
    </xf>
    <xf numFmtId="169" fontId="6" fillId="0" borderId="23" xfId="0" applyNumberFormat="1" applyFont="1" applyBorder="1" applyAlignment="1">
      <alignment horizontal="left"/>
    </xf>
    <xf numFmtId="171" fontId="6" fillId="0" borderId="23" xfId="2" applyNumberFormat="1" applyFont="1" applyBorder="1" applyAlignment="1">
      <alignment horizontal="center"/>
    </xf>
    <xf numFmtId="166" fontId="6" fillId="0" borderId="23" xfId="1" applyFont="1" applyBorder="1" applyAlignment="1">
      <alignment horizontal="center"/>
    </xf>
    <xf numFmtId="166" fontId="6" fillId="2" borderId="23" xfId="1" applyFont="1" applyFill="1" applyBorder="1" applyProtection="1"/>
    <xf numFmtId="166" fontId="6" fillId="0" borderId="23" xfId="1" applyFont="1" applyBorder="1" applyProtection="1"/>
    <xf numFmtId="0" fontId="0" fillId="0" borderId="2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28" xfId="0" applyBorder="1"/>
    <xf numFmtId="0" fontId="3" fillId="3" borderId="27" xfId="0" applyFont="1" applyFill="1" applyBorder="1" applyAlignment="1">
      <alignment horizontal="center" wrapText="1"/>
    </xf>
    <xf numFmtId="0" fontId="4" fillId="2" borderId="30" xfId="0" applyFont="1" applyFill="1" applyBorder="1"/>
    <xf numFmtId="167" fontId="4" fillId="0" borderId="31" xfId="0" applyNumberFormat="1" applyFont="1" applyBorder="1" applyAlignment="1">
      <alignment horizontal="left" vertical="center"/>
    </xf>
    <xf numFmtId="0" fontId="5" fillId="2" borderId="30" xfId="0" applyFont="1" applyFill="1" applyBorder="1"/>
    <xf numFmtId="0" fontId="7" fillId="2" borderId="30" xfId="0" applyFont="1" applyFill="1" applyBorder="1"/>
    <xf numFmtId="0" fontId="10" fillId="0" borderId="33" xfId="0" applyFont="1" applyBorder="1" applyAlignment="1">
      <alignment horizontal="center"/>
    </xf>
    <xf numFmtId="0" fontId="0" fillId="0" borderId="34" xfId="0" applyBorder="1" applyAlignment="1">
      <alignment wrapText="1"/>
    </xf>
    <xf numFmtId="166" fontId="6" fillId="0" borderId="35" xfId="1" applyFont="1" applyBorder="1" applyAlignment="1">
      <alignment horizontal="center" wrapText="1"/>
    </xf>
    <xf numFmtId="0" fontId="0" fillId="0" borderId="36" xfId="0" applyBorder="1" applyAlignment="1">
      <alignment wrapText="1"/>
    </xf>
    <xf numFmtId="169" fontId="6" fillId="0" borderId="37" xfId="0" applyNumberFormat="1" applyFont="1" applyBorder="1" applyAlignment="1">
      <alignment horizontal="left" wrapText="1"/>
    </xf>
    <xf numFmtId="171" fontId="6" fillId="0" borderId="37" xfId="2" applyNumberFormat="1" applyFont="1" applyBorder="1" applyAlignment="1">
      <alignment horizontal="center" wrapText="1"/>
    </xf>
    <xf numFmtId="166" fontId="6" fillId="0" borderId="38" xfId="1" applyFont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167" fontId="4" fillId="2" borderId="34" xfId="0" applyNumberFormat="1" applyFont="1" applyFill="1" applyBorder="1" applyAlignment="1">
      <alignment horizontal="center"/>
    </xf>
    <xf numFmtId="167" fontId="4" fillId="0" borderId="31" xfId="0" applyNumberFormat="1" applyFont="1" applyBorder="1" applyAlignment="1">
      <alignment horizontal="left"/>
    </xf>
    <xf numFmtId="0" fontId="10" fillId="0" borderId="40" xfId="0" applyFont="1" applyBorder="1" applyAlignment="1">
      <alignment horizontal="center"/>
    </xf>
    <xf numFmtId="166" fontId="6" fillId="2" borderId="41" xfId="1" applyFont="1" applyFill="1" applyBorder="1" applyAlignment="1" applyProtection="1">
      <alignment wrapText="1"/>
    </xf>
    <xf numFmtId="166" fontId="6" fillId="0" borderId="35" xfId="1" applyFont="1" applyBorder="1" applyAlignment="1" applyProtection="1">
      <alignment wrapText="1"/>
    </xf>
    <xf numFmtId="166" fontId="6" fillId="2" borderId="42" xfId="1" applyFont="1" applyFill="1" applyBorder="1" applyAlignment="1" applyProtection="1">
      <alignment wrapText="1"/>
    </xf>
    <xf numFmtId="166" fontId="6" fillId="0" borderId="38" xfId="1" applyFont="1" applyBorder="1" applyAlignment="1" applyProtection="1">
      <alignment wrapText="1"/>
    </xf>
    <xf numFmtId="0" fontId="11" fillId="2" borderId="13" xfId="0" applyFont="1" applyFill="1" applyBorder="1"/>
    <xf numFmtId="0" fontId="11" fillId="2" borderId="27" xfId="0" applyFont="1" applyFill="1" applyBorder="1" applyAlignment="1">
      <alignment vertical="center" wrapText="1"/>
    </xf>
    <xf numFmtId="0" fontId="12" fillId="0" borderId="44" xfId="0" applyFont="1" applyBorder="1"/>
    <xf numFmtId="164" fontId="11" fillId="0" borderId="45" xfId="0" applyNumberFormat="1" applyFont="1" applyBorder="1"/>
    <xf numFmtId="0" fontId="12" fillId="0" borderId="34" xfId="0" applyFont="1" applyBorder="1"/>
    <xf numFmtId="166" fontId="11" fillId="2" borderId="31" xfId="1" applyFont="1" applyFill="1" applyBorder="1" applyProtection="1">
      <protection locked="0"/>
    </xf>
    <xf numFmtId="0" fontId="5" fillId="0" borderId="34" xfId="0" applyFont="1" applyBorder="1"/>
    <xf numFmtId="166" fontId="11" fillId="0" borderId="31" xfId="0" applyNumberFormat="1" applyFont="1" applyBorder="1"/>
    <xf numFmtId="0" fontId="14" fillId="0" borderId="36" xfId="0" applyFont="1" applyBorder="1"/>
    <xf numFmtId="166" fontId="14" fillId="0" borderId="40" xfId="0" applyNumberFormat="1" applyFont="1" applyBorder="1"/>
    <xf numFmtId="0" fontId="0" fillId="0" borderId="34" xfId="0" applyBorder="1"/>
    <xf numFmtId="169" fontId="6" fillId="0" borderId="41" xfId="0" applyNumberFormat="1" applyFont="1" applyBorder="1" applyAlignment="1">
      <alignment horizontal="left"/>
    </xf>
    <xf numFmtId="169" fontId="6" fillId="0" borderId="42" xfId="0" applyNumberFormat="1" applyFont="1" applyBorder="1" applyAlignment="1">
      <alignment horizontal="left"/>
    </xf>
    <xf numFmtId="0" fontId="2" fillId="0" borderId="25" xfId="0" applyFont="1" applyBorder="1" applyAlignment="1">
      <alignment vertical="center" wrapText="1"/>
    </xf>
    <xf numFmtId="166" fontId="6" fillId="0" borderId="35" xfId="1" applyFont="1" applyBorder="1" applyProtection="1"/>
    <xf numFmtId="164" fontId="11" fillId="0" borderId="31" xfId="0" applyNumberFormat="1" applyFont="1" applyBorder="1"/>
    <xf numFmtId="0" fontId="7" fillId="2" borderId="46" xfId="0" applyFont="1" applyFill="1" applyBorder="1" applyAlignment="1">
      <alignment horizontal="center"/>
    </xf>
    <xf numFmtId="0" fontId="14" fillId="0" borderId="20" xfId="0" applyFont="1" applyBorder="1"/>
    <xf numFmtId="0" fontId="0" fillId="0" borderId="36" xfId="0" applyBorder="1"/>
    <xf numFmtId="166" fontId="6" fillId="0" borderId="38" xfId="1" applyFont="1" applyBorder="1" applyProtection="1"/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68" fontId="13" fillId="2" borderId="0" xfId="0" applyNumberFormat="1" applyFont="1" applyFill="1" applyAlignment="1">
      <alignment horizontal="left" vertical="center" wrapText="1"/>
    </xf>
    <xf numFmtId="168" fontId="13" fillId="2" borderId="27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 wrapText="1"/>
    </xf>
    <xf numFmtId="169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1" xfId="0" applyFont="1" applyFill="1" applyBorder="1" applyAlignment="1" applyProtection="1">
      <alignment horizontal="center"/>
      <protection locked="0"/>
    </xf>
    <xf numFmtId="169" fontId="4" fillId="0" borderId="3" xfId="0" applyNumberFormat="1" applyFont="1" applyBorder="1" applyAlignment="1">
      <alignment horizontal="left"/>
    </xf>
    <xf numFmtId="169" fontId="4" fillId="0" borderId="4" xfId="0" applyNumberFormat="1" applyFont="1" applyBorder="1" applyAlignment="1">
      <alignment horizontal="left"/>
    </xf>
    <xf numFmtId="0" fontId="2" fillId="0" borderId="2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9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168" fontId="11" fillId="2" borderId="0" xfId="0" applyNumberFormat="1" applyFont="1" applyFill="1" applyAlignment="1">
      <alignment horizontal="left" vertical="center" wrapText="1"/>
    </xf>
    <xf numFmtId="168" fontId="11" fillId="2" borderId="27" xfId="0" applyNumberFormat="1" applyFont="1" applyFill="1" applyBorder="1" applyAlignment="1">
      <alignment horizontal="left" vertical="center" wrapText="1"/>
    </xf>
    <xf numFmtId="169" fontId="7" fillId="0" borderId="34" xfId="0" applyNumberFormat="1" applyFont="1" applyBorder="1"/>
    <xf numFmtId="169" fontId="7" fillId="0" borderId="31" xfId="0" applyNumberFormat="1" applyFont="1" applyBorder="1"/>
    <xf numFmtId="0" fontId="7" fillId="0" borderId="34" xfId="0" applyFont="1" applyBorder="1" applyProtection="1">
      <protection locked="0"/>
    </xf>
    <xf numFmtId="0" fontId="7" fillId="0" borderId="31" xfId="0" applyFont="1" applyBorder="1" applyProtection="1">
      <protection locked="0"/>
    </xf>
    <xf numFmtId="169" fontId="15" fillId="0" borderId="34" xfId="3" applyNumberFormat="1" applyBorder="1"/>
    <xf numFmtId="169" fontId="4" fillId="0" borderId="31" xfId="0" applyNumberFormat="1" applyFont="1" applyBorder="1"/>
    <xf numFmtId="0" fontId="4" fillId="0" borderId="34" xfId="0" applyFont="1" applyBorder="1"/>
    <xf numFmtId="0" fontId="4" fillId="0" borderId="31" xfId="0" applyFont="1" applyBorder="1"/>
    <xf numFmtId="0" fontId="7" fillId="2" borderId="46" xfId="0" applyFont="1" applyFill="1" applyBorder="1" applyAlignment="1">
      <alignment horizontal="center"/>
    </xf>
    <xf numFmtId="168" fontId="13" fillId="2" borderId="8" xfId="0" applyNumberFormat="1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39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8" fontId="11" fillId="2" borderId="8" xfId="0" applyNumberFormat="1" applyFont="1" applyFill="1" applyBorder="1" applyAlignment="1">
      <alignment horizontal="left" vertical="center" wrapText="1"/>
    </xf>
    <xf numFmtId="169" fontId="7" fillId="0" borderId="1" xfId="0" applyNumberFormat="1" applyFont="1" applyBorder="1"/>
    <xf numFmtId="0" fontId="7" fillId="0" borderId="1" xfId="0" applyFont="1" applyBorder="1" applyProtection="1">
      <protection locked="0"/>
    </xf>
    <xf numFmtId="0" fontId="4" fillId="0" borderId="1" xfId="0" applyFont="1" applyBorder="1"/>
    <xf numFmtId="169" fontId="15" fillId="0" borderId="1" xfId="3" applyNumberFormat="1" applyBorder="1"/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A9AA4-F1A4-4BA4-A669-D7108747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A6929-EE86-46D0-95B0-B7C49299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2539197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78E64-EB4F-40A6-BEF0-CF82F7A2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6453A-E7A4-45BB-84B7-70373A25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2624922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09009-7E51-48CC-AAEC-6F79C08E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4D0BF9-6A1B-4B4E-8059-639343B2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ACACD0-9BFA-47B7-B216-65C72AE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ADD4B-7844-4C9F-A57D-0D7A5ED7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2377272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DE4775-91F7-4605-B92F-76B2CB75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195403-D30D-46CA-8DEA-F9B098C1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1800225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7436D-8C8B-4833-B308-B24DE7F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075" y="103245"/>
          <a:ext cx="3333750" cy="74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386</xdr:row>
      <xdr:rowOff>178138</xdr:rowOff>
    </xdr:from>
    <xdr:to>
      <xdr:col>2</xdr:col>
      <xdr:colOff>427935</xdr:colOff>
      <xdr:row>392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C4625-CF6E-4AAD-BC73-0A5D75A0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386</xdr:row>
      <xdr:rowOff>178138</xdr:rowOff>
    </xdr:from>
    <xdr:to>
      <xdr:col>2</xdr:col>
      <xdr:colOff>427935</xdr:colOff>
      <xdr:row>392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94A22-23AF-429A-98BA-470E49ED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0</xdr:row>
      <xdr:rowOff>0</xdr:rowOff>
    </xdr:from>
    <xdr:to>
      <xdr:col>3</xdr:col>
      <xdr:colOff>2095500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ADF765-B130-4225-A228-50FF94CAD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4900" y="0"/>
          <a:ext cx="1895475" cy="9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OneDrive%20-%20Global%20Machinery%20Auctions%20Inc\Desktop\MOQ%20Workbook\Lincoln%20Oilfield%20Services\LINCOLN%20COUNTY%20FLEET%20LIST%20MOQ%20AUG2025%20-%20DATA%20FILE.xlsx" TargetMode="External"/><Relationship Id="rId1" Type="http://schemas.openxmlformats.org/officeDocument/2006/relationships/externalLinkPath" Target="/Users/Owner/OneDrive%20-%20Global%20Machinery%20Auctions%20Inc/Desktop/MOQ%20Workbook/Lincoln%20Oilfield%20Services/LINCOLN%20COUNTY%20FLEET%20LIST%20MOQ%20AUG2025%20-%20DATA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Q DATA SHEET INSTRUCTIONS"/>
      <sheetName val="LINCOLN COUNTY FLEET LIST MOQ A"/>
      <sheetName val="Product by Machine"/>
      <sheetName val="Product by Part Number"/>
      <sheetName val="Vlookup Make and Model"/>
    </sheetNames>
    <sheetDataSet>
      <sheetData sheetId="0"/>
      <sheetData sheetId="1"/>
      <sheetData sheetId="2"/>
      <sheetData sheetId="3">
        <row r="1">
          <cell r="A1" t="str">
            <v>Part Number</v>
          </cell>
          <cell r="B1" t="str">
            <v>Make and Model</v>
          </cell>
          <cell r="C1" t="str">
            <v>Part Description</v>
          </cell>
          <cell r="D1" t="str">
            <v>OEM CAD $</v>
          </cell>
          <cell r="E1" t="str">
            <v>GQP CAD $</v>
          </cell>
          <cell r="F1" t="str">
            <v>Product Type</v>
          </cell>
          <cell r="G1" t="str">
            <v>Q1 QTY</v>
          </cell>
          <cell r="H1" t="str">
            <v>Q2 QTY</v>
          </cell>
          <cell r="I1" t="str">
            <v>Q3 QTY</v>
          </cell>
          <cell r="J1" t="str">
            <v>Q4 QTY</v>
          </cell>
          <cell r="K1" t="str">
            <v>Annual</v>
          </cell>
        </row>
        <row r="2">
          <cell r="A2" t="str">
            <v>093-7521</v>
          </cell>
          <cell r="B2" t="str">
            <v xml:space="preserve">CAT 320F L (YBM) CAT 336F L (RKB)                </v>
          </cell>
          <cell r="C2" t="str">
            <v>HYDRAULIC OIL FILTER</v>
          </cell>
          <cell r="D2">
            <v>102.09</v>
          </cell>
          <cell r="E2">
            <v>38.79</v>
          </cell>
          <cell r="F2" t="str">
            <v>Filter</v>
          </cell>
          <cell r="G2">
            <v>4</v>
          </cell>
          <cell r="H2">
            <v>2</v>
          </cell>
          <cell r="I2">
            <v>2</v>
          </cell>
          <cell r="J2">
            <v>2</v>
          </cell>
          <cell r="K2">
            <v>10</v>
          </cell>
        </row>
        <row r="3">
          <cell r="A3" t="str">
            <v>0S-1585</v>
          </cell>
          <cell r="B3" t="str">
            <v xml:space="preserve">CAT D3 (1PJ)                  </v>
          </cell>
          <cell r="C3" t="str">
            <v xml:space="preserve">HEX HEAD BOLT SF </v>
          </cell>
          <cell r="D3">
            <v>2.78</v>
          </cell>
          <cell r="E3">
            <v>1.39</v>
          </cell>
          <cell r="F3" t="str">
            <v>UC</v>
          </cell>
          <cell r="G3">
            <v>16</v>
          </cell>
          <cell r="H3">
            <v>0</v>
          </cell>
          <cell r="I3">
            <v>0</v>
          </cell>
          <cell r="J3">
            <v>0</v>
          </cell>
          <cell r="K3">
            <v>16</v>
          </cell>
        </row>
        <row r="4">
          <cell r="A4" t="str">
            <v>0S-1594</v>
          </cell>
          <cell r="B4" t="str">
            <v xml:space="preserve">CAT D7G (92V)                  </v>
          </cell>
          <cell r="C4" t="str">
            <v>CARRIER BOLT</v>
          </cell>
          <cell r="D4">
            <v>1.1599999999999999</v>
          </cell>
          <cell r="E4">
            <v>0.57999999999999996</v>
          </cell>
          <cell r="F4" t="str">
            <v>UC</v>
          </cell>
          <cell r="G4">
            <v>6</v>
          </cell>
          <cell r="H4">
            <v>0</v>
          </cell>
          <cell r="I4">
            <v>0</v>
          </cell>
          <cell r="J4">
            <v>0</v>
          </cell>
          <cell r="K4">
            <v>6</v>
          </cell>
        </row>
        <row r="5">
          <cell r="A5" t="str">
            <v>104-5857</v>
          </cell>
          <cell r="B5" t="str">
            <v xml:space="preserve">CAT D5 (3CR)                  </v>
          </cell>
          <cell r="C5" t="str">
            <v>TURBOCHARGER ASSEMBLY</v>
          </cell>
          <cell r="D5">
            <v>4677.47</v>
          </cell>
          <cell r="E5">
            <v>2338.7399999999998</v>
          </cell>
          <cell r="F5" t="str">
            <v>ENGINE</v>
          </cell>
          <cell r="G5">
            <v>2</v>
          </cell>
          <cell r="H5">
            <v>0</v>
          </cell>
          <cell r="I5">
            <v>0</v>
          </cell>
          <cell r="J5">
            <v>0</v>
          </cell>
          <cell r="K5">
            <v>2</v>
          </cell>
        </row>
        <row r="6">
          <cell r="A6" t="str">
            <v>106-1642</v>
          </cell>
          <cell r="B6" t="str">
            <v xml:space="preserve">CAT D4 (66J) CAT D6N LGP (GHS) CAT D6N LGP (SGG) CAT PL61 (WGS)            </v>
          </cell>
          <cell r="C6" t="str">
            <v>TRACK BOLT MASTER</v>
          </cell>
          <cell r="D6">
            <v>6.66</v>
          </cell>
          <cell r="E6">
            <v>3.33</v>
          </cell>
          <cell r="F6" t="str">
            <v>UC</v>
          </cell>
          <cell r="G6">
            <v>28</v>
          </cell>
          <cell r="H6">
            <v>0</v>
          </cell>
          <cell r="I6">
            <v>0</v>
          </cell>
          <cell r="J6">
            <v>0</v>
          </cell>
          <cell r="K6">
            <v>28</v>
          </cell>
        </row>
        <row r="7">
          <cell r="A7" t="str">
            <v>107-0719</v>
          </cell>
          <cell r="B7" t="str">
            <v xml:space="preserve">CAT D4 (66J) CAT D6N LGP (GHS) CAT D6N LGP (SGG) CAT PL61 (WGS)            </v>
          </cell>
          <cell r="C7" t="str">
            <v>TRACK BOLT MASTER</v>
          </cell>
          <cell r="D7">
            <v>9.23</v>
          </cell>
          <cell r="E7">
            <v>4.62</v>
          </cell>
          <cell r="F7" t="str">
            <v>UC</v>
          </cell>
          <cell r="G7">
            <v>28</v>
          </cell>
          <cell r="H7">
            <v>0</v>
          </cell>
          <cell r="I7">
            <v>0</v>
          </cell>
          <cell r="J7">
            <v>0</v>
          </cell>
          <cell r="K7">
            <v>28</v>
          </cell>
        </row>
        <row r="8">
          <cell r="A8" t="str">
            <v>108-0946</v>
          </cell>
          <cell r="B8" t="str">
            <v xml:space="preserve">CAT D5 (3CR) CAT 561N (CPH)                </v>
          </cell>
          <cell r="C8" t="str">
            <v>SPROCKET SEGMENT</v>
          </cell>
          <cell r="D8">
            <v>177.98</v>
          </cell>
          <cell r="E8">
            <v>88.99</v>
          </cell>
          <cell r="F8" t="str">
            <v>UC</v>
          </cell>
          <cell r="G8">
            <v>70</v>
          </cell>
          <cell r="H8">
            <v>0</v>
          </cell>
          <cell r="I8">
            <v>0</v>
          </cell>
          <cell r="J8">
            <v>0</v>
          </cell>
          <cell r="K8">
            <v>70</v>
          </cell>
        </row>
        <row r="9">
          <cell r="A9" t="str">
            <v>108-0954</v>
          </cell>
          <cell r="B9" t="str">
            <v xml:space="preserve">CAT D5 (3CR) CAT 561N (CPH)                </v>
          </cell>
          <cell r="C9" t="str">
            <v>TRACK LINK ASSEMBLY</v>
          </cell>
          <cell r="D9">
            <v>11935.92</v>
          </cell>
          <cell r="E9">
            <v>5967.96</v>
          </cell>
          <cell r="F9" t="str">
            <v>UC</v>
          </cell>
          <cell r="G9">
            <v>14</v>
          </cell>
          <cell r="H9">
            <v>0</v>
          </cell>
          <cell r="I9">
            <v>0</v>
          </cell>
          <cell r="J9">
            <v>0</v>
          </cell>
          <cell r="K9">
            <v>14</v>
          </cell>
        </row>
        <row r="10">
          <cell r="A10" t="str">
            <v>110-2976</v>
          </cell>
          <cell r="B10" t="str">
            <v xml:space="preserve">CAT PL61 (WGS)                  </v>
          </cell>
          <cell r="C10" t="str">
            <v>TRACK LINK 39 JOINT</v>
          </cell>
          <cell r="D10">
            <v>8654.5499999999993</v>
          </cell>
          <cell r="E10">
            <v>4327.28</v>
          </cell>
          <cell r="F10" t="str">
            <v>UC</v>
          </cell>
          <cell r="G10">
            <v>6</v>
          </cell>
          <cell r="H10">
            <v>0</v>
          </cell>
          <cell r="I10">
            <v>0</v>
          </cell>
          <cell r="J10">
            <v>0</v>
          </cell>
          <cell r="K10">
            <v>6</v>
          </cell>
        </row>
        <row r="11">
          <cell r="A11" t="str">
            <v>112-7448</v>
          </cell>
          <cell r="B11" t="str">
            <v xml:space="preserve">CAT D6T (MH7)                  </v>
          </cell>
          <cell r="C11" t="str">
            <v>CABIN AIR FILTER ELEMENT</v>
          </cell>
          <cell r="D11">
            <v>43.37</v>
          </cell>
          <cell r="E11">
            <v>16.48</v>
          </cell>
          <cell r="F11" t="str">
            <v>FILTER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  <cell r="K11">
            <v>3</v>
          </cell>
        </row>
        <row r="12">
          <cell r="A12" t="str">
            <v>114-0358</v>
          </cell>
          <cell r="B12" t="str">
            <v xml:space="preserve">CAT D6N LGP (PBA) CAT D6N LGP (SGG) CAT D6T (MH7) CAT D7G (92V)            </v>
          </cell>
          <cell r="C12" t="str">
            <v>GROOVED PIN</v>
          </cell>
          <cell r="D12">
            <v>12.96</v>
          </cell>
          <cell r="E12">
            <v>4.92</v>
          </cell>
          <cell r="F12" t="str">
            <v>GET</v>
          </cell>
          <cell r="G12">
            <v>16</v>
          </cell>
          <cell r="H12">
            <v>0</v>
          </cell>
          <cell r="I12">
            <v>0</v>
          </cell>
          <cell r="J12">
            <v>0</v>
          </cell>
          <cell r="K12">
            <v>16</v>
          </cell>
        </row>
        <row r="13">
          <cell r="A13" t="str">
            <v>114-0359</v>
          </cell>
          <cell r="B13" t="str">
            <v xml:space="preserve">CAT D5 (3CR) CAT D6N LGP (PBA) CAT D6N LGP (SGG) CAT D6T (MH7) CAT D7G (92V)          </v>
          </cell>
          <cell r="C13" t="str">
            <v>RETAINER</v>
          </cell>
          <cell r="D13">
            <v>22.39</v>
          </cell>
          <cell r="E13">
            <v>8.51</v>
          </cell>
          <cell r="F13" t="str">
            <v>GET</v>
          </cell>
          <cell r="G13">
            <v>18</v>
          </cell>
          <cell r="H13">
            <v>0</v>
          </cell>
          <cell r="I13">
            <v>0</v>
          </cell>
          <cell r="J13">
            <v>0</v>
          </cell>
          <cell r="K13">
            <v>18</v>
          </cell>
        </row>
        <row r="14">
          <cell r="A14" t="str">
            <v>114-6099</v>
          </cell>
          <cell r="B14" t="str">
            <v xml:space="preserve">CAT 329E L (ZCD)                  </v>
          </cell>
          <cell r="C14" t="str">
            <v>CARRIER BOLT</v>
          </cell>
          <cell r="D14">
            <v>31.9</v>
          </cell>
          <cell r="E14">
            <v>15.95</v>
          </cell>
          <cell r="F14" t="str">
            <v>UC</v>
          </cell>
          <cell r="G14">
            <v>4</v>
          </cell>
          <cell r="H14">
            <v>0</v>
          </cell>
          <cell r="I14">
            <v>0</v>
          </cell>
          <cell r="J14">
            <v>0</v>
          </cell>
          <cell r="K14">
            <v>4</v>
          </cell>
        </row>
        <row r="15">
          <cell r="A15" t="str">
            <v>115-2422</v>
          </cell>
          <cell r="B15" t="str">
            <v xml:space="preserve">CAT 320E L (WBK) CAT 320 (HEX) CAT 320 (MYK) CAT 329E L (ZCD) CAT 329F L (ERL) CAT 330F L (MBX) CAT 330F L (HCK)      </v>
          </cell>
          <cell r="C15" t="str">
            <v>12V BATTERY 1000CCA</v>
          </cell>
          <cell r="D15">
            <v>523.07000000000005</v>
          </cell>
          <cell r="E15">
            <v>132.13</v>
          </cell>
          <cell r="F15" t="str">
            <v>BATTERY</v>
          </cell>
          <cell r="G15">
            <v>26</v>
          </cell>
          <cell r="H15">
            <v>0</v>
          </cell>
          <cell r="I15">
            <v>0</v>
          </cell>
          <cell r="J15">
            <v>0</v>
          </cell>
          <cell r="K15">
            <v>26</v>
          </cell>
        </row>
        <row r="16">
          <cell r="A16" t="str">
            <v>115-3696</v>
          </cell>
          <cell r="B16" t="str">
            <v xml:space="preserve">CAT 329E L (ZCD) CAT 329F L (ERL) CAT 330F L (MBX) CAT 330F L (HCK) CAT 330 (LHW) CAT 330 (WCH)        </v>
          </cell>
          <cell r="C16" t="str">
            <v>FRONT IDLER</v>
          </cell>
          <cell r="D16">
            <v>3159.07</v>
          </cell>
          <cell r="E16">
            <v>1579.54</v>
          </cell>
          <cell r="F16" t="str">
            <v>UC</v>
          </cell>
          <cell r="G16">
            <v>32</v>
          </cell>
          <cell r="H16">
            <v>0</v>
          </cell>
          <cell r="I16">
            <v>0</v>
          </cell>
          <cell r="J16">
            <v>0</v>
          </cell>
          <cell r="K16">
            <v>32</v>
          </cell>
        </row>
        <row r="17">
          <cell r="A17" t="str">
            <v>117-4089</v>
          </cell>
          <cell r="B17" t="str">
            <v xml:space="preserve">CAT D5 (3CR)                  </v>
          </cell>
          <cell r="C17" t="str">
            <v>FUEL WATER SEPARATOR</v>
          </cell>
          <cell r="D17">
            <v>52.82</v>
          </cell>
          <cell r="E17">
            <v>20.07</v>
          </cell>
          <cell r="F17" t="str">
            <v>FILTER</v>
          </cell>
          <cell r="G17">
            <v>6</v>
          </cell>
          <cell r="H17">
            <v>4</v>
          </cell>
          <cell r="I17">
            <v>6</v>
          </cell>
          <cell r="J17">
            <v>4</v>
          </cell>
          <cell r="K17">
            <v>20</v>
          </cell>
        </row>
        <row r="18">
          <cell r="A18" t="str">
            <v>118-1608</v>
          </cell>
          <cell r="B18" t="str">
            <v xml:space="preserve">CAT D4 (66J)                  </v>
          </cell>
          <cell r="C18" t="str">
            <v>SINGLE FLANGE TRACK ROLLER</v>
          </cell>
          <cell r="D18">
            <v>1023.71</v>
          </cell>
          <cell r="E18">
            <v>511.86</v>
          </cell>
          <cell r="F18" t="str">
            <v>UC</v>
          </cell>
          <cell r="G18">
            <v>4</v>
          </cell>
          <cell r="H18">
            <v>0</v>
          </cell>
          <cell r="I18">
            <v>0</v>
          </cell>
          <cell r="J18">
            <v>0</v>
          </cell>
          <cell r="K18">
            <v>4</v>
          </cell>
        </row>
        <row r="19">
          <cell r="A19" t="str">
            <v>118-1609</v>
          </cell>
          <cell r="B19" t="str">
            <v xml:space="preserve">CAT D4 (66J)                  </v>
          </cell>
          <cell r="C19" t="str">
            <v>DOUBLE FLANGE TRACK ROLLER (GUIDE AR)*</v>
          </cell>
          <cell r="D19">
            <v>1246.45</v>
          </cell>
          <cell r="E19">
            <v>623.23</v>
          </cell>
          <cell r="F19" t="str">
            <v>UC</v>
          </cell>
          <cell r="G19">
            <v>6</v>
          </cell>
          <cell r="H19">
            <v>0</v>
          </cell>
          <cell r="I19">
            <v>0</v>
          </cell>
          <cell r="J19">
            <v>0</v>
          </cell>
          <cell r="K19">
            <v>6</v>
          </cell>
        </row>
        <row r="20">
          <cell r="A20" t="str">
            <v>124-8237</v>
          </cell>
          <cell r="B20" t="str">
            <v xml:space="preserve">CAT D5 (3CR) CAT 561N (CPH)                </v>
          </cell>
          <cell r="C20" t="str">
            <v>SINGLE FLANGE TRACK ROLLER</v>
          </cell>
          <cell r="D20">
            <v>785.53</v>
          </cell>
          <cell r="E20">
            <v>392.77</v>
          </cell>
          <cell r="F20" t="str">
            <v>UC</v>
          </cell>
          <cell r="G20">
            <v>102</v>
          </cell>
          <cell r="H20">
            <v>0</v>
          </cell>
          <cell r="I20">
            <v>0</v>
          </cell>
          <cell r="J20">
            <v>0</v>
          </cell>
          <cell r="K20">
            <v>102</v>
          </cell>
        </row>
        <row r="21">
          <cell r="A21" t="str">
            <v>124-8240</v>
          </cell>
          <cell r="B21" t="str">
            <v xml:space="preserve">CAT D5 (3CR) CAT 561N (CPH)                </v>
          </cell>
          <cell r="C21" t="str">
            <v>DOUBLE FLANGE TRACK ROLLER</v>
          </cell>
          <cell r="D21">
            <v>651.61</v>
          </cell>
          <cell r="E21">
            <v>325.81</v>
          </cell>
          <cell r="F21" t="str">
            <v>UC</v>
          </cell>
          <cell r="G21">
            <v>42</v>
          </cell>
          <cell r="H21">
            <v>0</v>
          </cell>
          <cell r="I21">
            <v>0</v>
          </cell>
          <cell r="J21">
            <v>0</v>
          </cell>
          <cell r="K21">
            <v>42</v>
          </cell>
        </row>
        <row r="22">
          <cell r="A22" t="str">
            <v>127-8216</v>
          </cell>
          <cell r="B22" t="str">
            <v xml:space="preserve">CAT D5 (3CR)                  </v>
          </cell>
          <cell r="C22" t="str">
            <v>FUEL INJECTOR</v>
          </cell>
          <cell r="D22">
            <v>914.54</v>
          </cell>
          <cell r="E22">
            <v>457.27</v>
          </cell>
          <cell r="F22" t="str">
            <v>ENGINE</v>
          </cell>
          <cell r="G22">
            <v>12</v>
          </cell>
          <cell r="H22">
            <v>0</v>
          </cell>
          <cell r="I22">
            <v>0</v>
          </cell>
          <cell r="J22">
            <v>0</v>
          </cell>
          <cell r="K22">
            <v>12</v>
          </cell>
        </row>
        <row r="23">
          <cell r="A23" t="str">
            <v>131-8821</v>
          </cell>
          <cell r="B23" t="str">
            <v xml:space="preserve">CAT 320E L (WBK) CAT 320F L (YBM)                </v>
          </cell>
          <cell r="C23" t="str">
            <v>SECONDARY AIR FILTER ELEMENT</v>
          </cell>
          <cell r="D23">
            <v>97.91</v>
          </cell>
          <cell r="E23">
            <v>37.21</v>
          </cell>
          <cell r="F23" t="str">
            <v>Filter</v>
          </cell>
          <cell r="G23">
            <v>3</v>
          </cell>
          <cell r="H23">
            <v>3</v>
          </cell>
          <cell r="I23">
            <v>0</v>
          </cell>
          <cell r="J23">
            <v>3</v>
          </cell>
          <cell r="K23">
            <v>9</v>
          </cell>
        </row>
        <row r="24">
          <cell r="A24" t="str">
            <v>131-8822</v>
          </cell>
          <cell r="B24" t="str">
            <v xml:space="preserve">CAT 320E L (WBK) CAT 320F L (YBM)                </v>
          </cell>
          <cell r="C24" t="str">
            <v>PRIMARY AIR FILTER ELEMENT</v>
          </cell>
          <cell r="D24">
            <v>120.35</v>
          </cell>
          <cell r="E24">
            <v>45.73</v>
          </cell>
          <cell r="F24" t="str">
            <v>Filter</v>
          </cell>
          <cell r="G24">
            <v>3</v>
          </cell>
          <cell r="H24">
            <v>3</v>
          </cell>
          <cell r="I24">
            <v>0</v>
          </cell>
          <cell r="J24">
            <v>3</v>
          </cell>
          <cell r="K24">
            <v>9</v>
          </cell>
        </row>
        <row r="25">
          <cell r="A25" t="str">
            <v>134-5276</v>
          </cell>
          <cell r="B25" t="str">
            <v xml:space="preserve">CAT D5 (3CR)                  </v>
          </cell>
          <cell r="C25" t="str">
            <v>CAMSHAFT</v>
          </cell>
          <cell r="D25">
            <v>4368</v>
          </cell>
          <cell r="E25">
            <v>2184</v>
          </cell>
          <cell r="F25" t="str">
            <v>ENGINE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</v>
          </cell>
        </row>
        <row r="26">
          <cell r="A26" t="str">
            <v>134-8726</v>
          </cell>
          <cell r="B26" t="str">
            <v xml:space="preserve">CAT 303.5E                  </v>
          </cell>
          <cell r="C26" t="str">
            <v>PRIMARY AIR FILTER ELEMENT</v>
          </cell>
          <cell r="D26">
            <v>67.33</v>
          </cell>
          <cell r="E26">
            <v>25.59</v>
          </cell>
          <cell r="F26" t="str">
            <v>Filter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3</v>
          </cell>
        </row>
        <row r="27">
          <cell r="A27" t="str">
            <v>136-2422</v>
          </cell>
          <cell r="B27" t="str">
            <v xml:space="preserve">CAT 336F L (RKB)                  </v>
          </cell>
          <cell r="C27" t="str">
            <v>FRONT IDLER</v>
          </cell>
          <cell r="D27">
            <v>4335.3599999999997</v>
          </cell>
          <cell r="E27">
            <v>2167.6799999999998</v>
          </cell>
          <cell r="F27" t="str">
            <v>UC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</row>
        <row r="28">
          <cell r="A28" t="str">
            <v>136-8308</v>
          </cell>
          <cell r="B28" t="str">
            <v xml:space="preserve">CAT D5 (3CR)                  </v>
          </cell>
          <cell r="C28" t="str">
            <v>RIPPER PIN</v>
          </cell>
          <cell r="D28">
            <v>10.35</v>
          </cell>
          <cell r="E28">
            <v>3.93</v>
          </cell>
          <cell r="F28" t="str">
            <v>GET</v>
          </cell>
          <cell r="G28">
            <v>2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</row>
        <row r="29">
          <cell r="A29" t="str">
            <v>140-2334</v>
          </cell>
          <cell r="B29" t="str">
            <v xml:space="preserve">CAT 303.5E                  </v>
          </cell>
          <cell r="C29" t="str">
            <v>SECONDARY AIR FILTER ELEMENT</v>
          </cell>
          <cell r="D29">
            <v>61.69</v>
          </cell>
          <cell r="E29">
            <v>23.44</v>
          </cell>
          <cell r="F29" t="str">
            <v>Filter</v>
          </cell>
          <cell r="G29">
            <v>1</v>
          </cell>
          <cell r="H29">
            <v>1</v>
          </cell>
          <cell r="I29">
            <v>0</v>
          </cell>
          <cell r="J29">
            <v>1</v>
          </cell>
          <cell r="K29">
            <v>3</v>
          </cell>
        </row>
        <row r="30">
          <cell r="A30" t="str">
            <v>142-1339</v>
          </cell>
          <cell r="B30" t="str">
            <v xml:space="preserve">CAT 336F L (RKB)                  </v>
          </cell>
          <cell r="C30" t="str">
            <v>PRIMARY AIR FILTER ELEMENT</v>
          </cell>
          <cell r="D30">
            <v>201.81</v>
          </cell>
          <cell r="E30">
            <v>76.69</v>
          </cell>
          <cell r="F30" t="str">
            <v>FILTER</v>
          </cell>
          <cell r="G30">
            <v>1</v>
          </cell>
          <cell r="H30">
            <v>1</v>
          </cell>
          <cell r="I30">
            <v>0</v>
          </cell>
          <cell r="J30">
            <v>1</v>
          </cell>
          <cell r="K30">
            <v>3</v>
          </cell>
        </row>
        <row r="31">
          <cell r="A31" t="str">
            <v>142-1404</v>
          </cell>
          <cell r="B31" t="str">
            <v xml:space="preserve">CAT 336F L (RKB)                  </v>
          </cell>
          <cell r="C31" t="str">
            <v>SECONDARY AIR FILTER ELEMENT</v>
          </cell>
          <cell r="D31">
            <v>119.45</v>
          </cell>
          <cell r="E31">
            <v>45.39</v>
          </cell>
          <cell r="F31" t="str">
            <v>FILTER</v>
          </cell>
          <cell r="G31">
            <v>1</v>
          </cell>
          <cell r="H31">
            <v>1</v>
          </cell>
          <cell r="I31">
            <v>0</v>
          </cell>
          <cell r="J31">
            <v>1</v>
          </cell>
          <cell r="K31">
            <v>3</v>
          </cell>
        </row>
        <row r="32">
          <cell r="A32" t="str">
            <v>146-6695</v>
          </cell>
          <cell r="B32" t="str">
            <v xml:space="preserve">CAT 561N (CPH)                  </v>
          </cell>
          <cell r="C32" t="str">
            <v>FUEL WATER SEPARATOR FILTER</v>
          </cell>
          <cell r="D32">
            <v>60.23</v>
          </cell>
          <cell r="E32">
            <v>22.89</v>
          </cell>
          <cell r="F32" t="str">
            <v>FILTER</v>
          </cell>
          <cell r="G32">
            <v>15</v>
          </cell>
          <cell r="H32">
            <v>10</v>
          </cell>
          <cell r="I32">
            <v>15</v>
          </cell>
          <cell r="J32">
            <v>10</v>
          </cell>
          <cell r="K32">
            <v>50</v>
          </cell>
        </row>
        <row r="33">
          <cell r="A33" t="str">
            <v>151-0914</v>
          </cell>
          <cell r="B33" t="str">
            <v xml:space="preserve">CAT D6N LGP (PBA)                  </v>
          </cell>
          <cell r="C33" t="str">
            <v>PRIMARY CABIN AIR FILTER ELEMENT</v>
          </cell>
          <cell r="D33">
            <v>112.48</v>
          </cell>
          <cell r="E33">
            <v>42.74</v>
          </cell>
          <cell r="F33" t="str">
            <v>FILTER</v>
          </cell>
          <cell r="G33">
            <v>2</v>
          </cell>
          <cell r="H33">
            <v>2</v>
          </cell>
          <cell r="I33">
            <v>0</v>
          </cell>
          <cell r="J33">
            <v>2</v>
          </cell>
          <cell r="K33">
            <v>6</v>
          </cell>
        </row>
        <row r="34">
          <cell r="A34" t="str">
            <v>153-5044</v>
          </cell>
          <cell r="B34" t="str">
            <v xml:space="preserve">CAT D6 (RDC)                  </v>
          </cell>
          <cell r="C34" t="str">
            <v>FLAT WASHER</v>
          </cell>
          <cell r="D34">
            <v>8.75</v>
          </cell>
          <cell r="E34">
            <v>4.38</v>
          </cell>
          <cell r="F34" t="str">
            <v>UC</v>
          </cell>
          <cell r="G34">
            <v>16</v>
          </cell>
          <cell r="H34">
            <v>0</v>
          </cell>
          <cell r="I34">
            <v>0</v>
          </cell>
          <cell r="J34">
            <v>0</v>
          </cell>
          <cell r="K34">
            <v>16</v>
          </cell>
        </row>
        <row r="35">
          <cell r="A35" t="str">
            <v>153-5656</v>
          </cell>
          <cell r="B35" t="str">
            <v xml:space="preserve">CAT 303.5E                  </v>
          </cell>
          <cell r="C35" t="str">
            <v>12V BATTERY - 650CCA</v>
          </cell>
          <cell r="D35">
            <v>356.29</v>
          </cell>
          <cell r="E35">
            <v>160.66999999999999</v>
          </cell>
          <cell r="F35" t="str">
            <v>BATTERY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</row>
        <row r="36">
          <cell r="A36" t="str">
            <v>153-5700</v>
          </cell>
          <cell r="B36" t="str">
            <v xml:space="preserve">CAT D3 (1PJ) CAT D7G (92V)                </v>
          </cell>
          <cell r="C36" t="str">
            <v>12V BATTERY - 1125CCA</v>
          </cell>
          <cell r="D36">
            <v>726.37</v>
          </cell>
          <cell r="E36">
            <v>292.44</v>
          </cell>
          <cell r="F36" t="str">
            <v>BATTERY</v>
          </cell>
          <cell r="G36">
            <v>2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</row>
        <row r="37">
          <cell r="A37" t="str">
            <v>154-3642</v>
          </cell>
          <cell r="B37" t="str">
            <v xml:space="preserve">CAT D3 (1PJ)                  </v>
          </cell>
          <cell r="C37" t="str">
            <v>TRACK LINK ASSEMBLY</v>
          </cell>
          <cell r="D37">
            <v>3975.66</v>
          </cell>
          <cell r="E37">
            <v>1987.83</v>
          </cell>
          <cell r="F37" t="str">
            <v>UC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</v>
          </cell>
        </row>
        <row r="38">
          <cell r="A38" t="str">
            <v>156-1200</v>
          </cell>
          <cell r="B38" t="str">
            <v xml:space="preserve">CAT 303.5E                  </v>
          </cell>
          <cell r="C38" t="str">
            <v xml:space="preserve">FUEL WATER SEPARATOR </v>
          </cell>
          <cell r="D38">
            <v>57.5</v>
          </cell>
          <cell r="E38">
            <v>21.85</v>
          </cell>
          <cell r="F38" t="str">
            <v>Filter</v>
          </cell>
          <cell r="G38">
            <v>3</v>
          </cell>
          <cell r="H38">
            <v>2</v>
          </cell>
          <cell r="I38">
            <v>3</v>
          </cell>
          <cell r="J38">
            <v>2</v>
          </cell>
          <cell r="K38">
            <v>10</v>
          </cell>
        </row>
        <row r="39">
          <cell r="A39" t="str">
            <v>160-5130</v>
          </cell>
          <cell r="B39" t="str">
            <v xml:space="preserve">CAT D5 (3CR)                  </v>
          </cell>
          <cell r="C39" t="str">
            <v>CYLINDER HEAD</v>
          </cell>
          <cell r="D39">
            <v>9139.2999999999993</v>
          </cell>
          <cell r="E39">
            <v>4569.6499999999996</v>
          </cell>
          <cell r="F39" t="str">
            <v>ENGINE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</v>
          </cell>
        </row>
        <row r="40">
          <cell r="A40" t="str">
            <v>169-4019</v>
          </cell>
          <cell r="B40" t="str">
            <v xml:space="preserve">CAT D4 (66J)                  </v>
          </cell>
          <cell r="C40" t="str">
            <v>HYDRAULIC OIL FILTER</v>
          </cell>
          <cell r="D40">
            <v>703.78</v>
          </cell>
          <cell r="E40">
            <v>267.44</v>
          </cell>
          <cell r="F40" t="str">
            <v>FILTER</v>
          </cell>
          <cell r="G40">
            <v>2</v>
          </cell>
          <cell r="H40">
            <v>1</v>
          </cell>
          <cell r="I40">
            <v>1</v>
          </cell>
          <cell r="J40">
            <v>1</v>
          </cell>
          <cell r="K40">
            <v>5</v>
          </cell>
        </row>
        <row r="41">
          <cell r="A41" t="str">
            <v>173-0946</v>
          </cell>
          <cell r="B41" t="str">
            <v xml:space="preserve">CAT D6T (MH7)                  </v>
          </cell>
          <cell r="C41" t="str">
            <v>SPROCKET SEGMENT</v>
          </cell>
          <cell r="D41">
            <v>292.60000000000002</v>
          </cell>
          <cell r="E41">
            <v>146.30000000000001</v>
          </cell>
          <cell r="F41" t="str">
            <v>UC</v>
          </cell>
          <cell r="G41">
            <v>10</v>
          </cell>
          <cell r="H41">
            <v>0</v>
          </cell>
          <cell r="I41">
            <v>0</v>
          </cell>
          <cell r="J41">
            <v>0</v>
          </cell>
          <cell r="K41">
            <v>10</v>
          </cell>
        </row>
        <row r="42">
          <cell r="A42" t="str">
            <v>177-2347</v>
          </cell>
          <cell r="B42" t="str">
            <v xml:space="preserve">CAT D4 (66J)                  </v>
          </cell>
          <cell r="C42" t="str">
            <v>TRACK SHOE SINGLE GROUSER 860MM</v>
          </cell>
          <cell r="D42">
            <v>188.07</v>
          </cell>
          <cell r="E42">
            <v>94.04</v>
          </cell>
          <cell r="F42" t="str">
            <v>UC</v>
          </cell>
          <cell r="G42">
            <v>90</v>
          </cell>
          <cell r="H42">
            <v>0</v>
          </cell>
          <cell r="I42">
            <v>0</v>
          </cell>
          <cell r="J42">
            <v>0</v>
          </cell>
          <cell r="K42">
            <v>90</v>
          </cell>
        </row>
        <row r="43">
          <cell r="A43" t="str">
            <v>177-2348</v>
          </cell>
          <cell r="B43" t="str">
            <v xml:space="preserve">CAT D4 (66J)                  </v>
          </cell>
          <cell r="C43" t="str">
            <v>TRACK SHOE MASTER</v>
          </cell>
          <cell r="D43">
            <v>200.07</v>
          </cell>
          <cell r="E43">
            <v>100.04</v>
          </cell>
          <cell r="F43" t="str">
            <v>UC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</v>
          </cell>
        </row>
        <row r="44">
          <cell r="A44" t="str">
            <v>178-6342</v>
          </cell>
          <cell r="B44" t="str">
            <v xml:space="preserve">CAT 561N (CPH)                  </v>
          </cell>
          <cell r="C44" t="str">
            <v>INJECTROR</v>
          </cell>
          <cell r="D44">
            <v>1817.71</v>
          </cell>
          <cell r="E44">
            <v>908.86</v>
          </cell>
          <cell r="F44" t="str">
            <v>ENGINE</v>
          </cell>
          <cell r="G44">
            <v>30</v>
          </cell>
          <cell r="H44">
            <v>0</v>
          </cell>
          <cell r="I44">
            <v>0</v>
          </cell>
          <cell r="J44">
            <v>0</v>
          </cell>
          <cell r="K44">
            <v>30</v>
          </cell>
        </row>
        <row r="45">
          <cell r="A45" t="str">
            <v>179-9806</v>
          </cell>
          <cell r="B45" t="str">
            <v xml:space="preserve">CAT 320E L (WBK) CAT 320F L (YBM) CAT 329E L (ZCD) CAT 329F L (ERL) CAT 330F L (MBX) CAT 330F L (HCK) CAT 336F L (RKB)      </v>
          </cell>
          <cell r="C45" t="str">
            <v xml:space="preserve">HYDRAULIC OIL FILTER ELEMENT </v>
          </cell>
          <cell r="D45">
            <v>229</v>
          </cell>
          <cell r="E45">
            <v>87.02</v>
          </cell>
          <cell r="F45" t="str">
            <v>Filter</v>
          </cell>
          <cell r="G45">
            <v>24</v>
          </cell>
          <cell r="H45">
            <v>12</v>
          </cell>
          <cell r="I45">
            <v>12</v>
          </cell>
          <cell r="J45">
            <v>12</v>
          </cell>
          <cell r="K45">
            <v>60</v>
          </cell>
        </row>
        <row r="46">
          <cell r="A46" t="str">
            <v>187-1603</v>
          </cell>
          <cell r="B46" t="str">
            <v xml:space="preserve">CAT 561N (CPH)                  </v>
          </cell>
          <cell r="C46" t="str">
            <v>TURBOCHARGER</v>
          </cell>
          <cell r="D46">
            <v>5839.53</v>
          </cell>
          <cell r="E46">
            <v>2919.77</v>
          </cell>
          <cell r="F46" t="str">
            <v>ENGINE</v>
          </cell>
          <cell r="G46">
            <v>5</v>
          </cell>
          <cell r="H46">
            <v>0</v>
          </cell>
          <cell r="I46">
            <v>0</v>
          </cell>
          <cell r="J46">
            <v>0</v>
          </cell>
          <cell r="K46">
            <v>5</v>
          </cell>
        </row>
        <row r="47">
          <cell r="A47" t="str">
            <v>190-1546</v>
          </cell>
          <cell r="B47" t="str">
            <v xml:space="preserve">CAT D6N LGP (GHS) CAT D6N LGP (SGG)                </v>
          </cell>
          <cell r="C47" t="str">
            <v xml:space="preserve">TRACK IDLER </v>
          </cell>
          <cell r="D47">
            <v>2878.82</v>
          </cell>
          <cell r="E47">
            <v>1439.41</v>
          </cell>
          <cell r="F47" t="str">
            <v>UC</v>
          </cell>
          <cell r="G47">
            <v>12</v>
          </cell>
          <cell r="H47">
            <v>0</v>
          </cell>
          <cell r="I47">
            <v>0</v>
          </cell>
          <cell r="J47">
            <v>0</v>
          </cell>
          <cell r="K47">
            <v>12</v>
          </cell>
        </row>
        <row r="48">
          <cell r="A48" t="str">
            <v>190-1551</v>
          </cell>
          <cell r="B48" t="str">
            <v xml:space="preserve">CAT D5 (3CR) CAT 561N (CPH)                </v>
          </cell>
          <cell r="C48" t="str">
            <v xml:space="preserve">TRACK IDLER </v>
          </cell>
          <cell r="D48">
            <v>3220.34</v>
          </cell>
          <cell r="E48">
            <v>1610.17</v>
          </cell>
          <cell r="F48" t="str">
            <v>UC</v>
          </cell>
          <cell r="G48">
            <v>14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</row>
        <row r="49">
          <cell r="A49" t="str">
            <v>190-7396</v>
          </cell>
          <cell r="B49" t="str">
            <v xml:space="preserve">CAT D3 (1PJ)                  </v>
          </cell>
          <cell r="C49" t="str">
            <v>SPROCKET SEGMENT</v>
          </cell>
          <cell r="D49">
            <v>134.41999999999999</v>
          </cell>
          <cell r="E49">
            <v>67.209999999999994</v>
          </cell>
          <cell r="F49" t="str">
            <v>UC</v>
          </cell>
          <cell r="G49">
            <v>10</v>
          </cell>
          <cell r="H49">
            <v>0</v>
          </cell>
          <cell r="I49">
            <v>0</v>
          </cell>
          <cell r="J49">
            <v>0</v>
          </cell>
          <cell r="K49">
            <v>10</v>
          </cell>
        </row>
        <row r="50">
          <cell r="A50" t="str">
            <v>191-2933</v>
          </cell>
          <cell r="B50" t="str">
            <v xml:space="preserve">CAT D6N LGP (GHS)                  </v>
          </cell>
          <cell r="C50" t="str">
            <v>SEAT SUSPENSION ASSEMBLY</v>
          </cell>
          <cell r="D50">
            <v>3100.37</v>
          </cell>
          <cell r="E50">
            <v>1550.19</v>
          </cell>
          <cell r="F50" t="str">
            <v>SEAT</v>
          </cell>
          <cell r="G50">
            <v>1</v>
          </cell>
          <cell r="H50">
            <v>0</v>
          </cell>
          <cell r="I50">
            <v>0</v>
          </cell>
          <cell r="J50">
            <v>0</v>
          </cell>
          <cell r="K50">
            <v>1</v>
          </cell>
        </row>
        <row r="51">
          <cell r="A51" t="str">
            <v>192-4744</v>
          </cell>
          <cell r="B51" t="str">
            <v xml:space="preserve">CAT PL61 (WGS)                  </v>
          </cell>
          <cell r="C51" t="str">
            <v>CARRIER BOLT</v>
          </cell>
          <cell r="D51">
            <v>1.31</v>
          </cell>
          <cell r="E51">
            <v>0.66</v>
          </cell>
          <cell r="F51" t="str">
            <v>UC</v>
          </cell>
          <cell r="G51">
            <v>12</v>
          </cell>
          <cell r="H51">
            <v>0</v>
          </cell>
          <cell r="I51">
            <v>0</v>
          </cell>
          <cell r="J51">
            <v>0</v>
          </cell>
          <cell r="K51">
            <v>12</v>
          </cell>
        </row>
        <row r="52">
          <cell r="A52" t="str">
            <v>196-7074</v>
          </cell>
          <cell r="B52" t="str">
            <v xml:space="preserve">CAT D6N LGP (GHS) CAT D6N LGP (SGG)                </v>
          </cell>
          <cell r="C52" t="str">
            <v>REAR WEAR STRIP 16MM</v>
          </cell>
          <cell r="D52">
            <v>200.89</v>
          </cell>
          <cell r="E52">
            <v>100.45</v>
          </cell>
          <cell r="F52" t="str">
            <v>UC</v>
          </cell>
          <cell r="G52">
            <v>12</v>
          </cell>
          <cell r="H52">
            <v>0</v>
          </cell>
          <cell r="I52">
            <v>0</v>
          </cell>
          <cell r="J52">
            <v>0</v>
          </cell>
          <cell r="K52">
            <v>12</v>
          </cell>
        </row>
        <row r="53">
          <cell r="A53" t="str">
            <v>196-7078</v>
          </cell>
          <cell r="B53" t="str">
            <v xml:space="preserve">CAT D6N LGP (GHS) CAT D6N LGP (SGG)                </v>
          </cell>
          <cell r="C53" t="str">
            <v>FRONT WEAR STRIP 16MM</v>
          </cell>
          <cell r="D53">
            <v>159.66</v>
          </cell>
          <cell r="E53">
            <v>79.83</v>
          </cell>
          <cell r="F53" t="str">
            <v>UC</v>
          </cell>
          <cell r="G53">
            <v>12</v>
          </cell>
          <cell r="H53">
            <v>0</v>
          </cell>
          <cell r="I53">
            <v>0</v>
          </cell>
          <cell r="J53">
            <v>0</v>
          </cell>
          <cell r="K53">
            <v>12</v>
          </cell>
        </row>
        <row r="54">
          <cell r="A54" t="str">
            <v>1G-8878</v>
          </cell>
          <cell r="B54" t="str">
            <v xml:space="preserve">CAT PL61 (WGS)                  </v>
          </cell>
          <cell r="C54" t="str">
            <v>HYDRAULIC OIL FILTER ELEMENT</v>
          </cell>
          <cell r="D54">
            <v>150.47</v>
          </cell>
          <cell r="E54">
            <v>57.18</v>
          </cell>
          <cell r="F54" t="str">
            <v>FILTER</v>
          </cell>
          <cell r="G54">
            <v>6</v>
          </cell>
          <cell r="H54">
            <v>3</v>
          </cell>
          <cell r="I54">
            <v>3</v>
          </cell>
          <cell r="J54">
            <v>3</v>
          </cell>
          <cell r="K54">
            <v>15</v>
          </cell>
        </row>
        <row r="55">
          <cell r="A55" t="str">
            <v>1M-1408</v>
          </cell>
          <cell r="B55" t="str">
            <v xml:space="preserve">CAT D5 (3CR) CAT 561N (CPH)                </v>
          </cell>
          <cell r="C55" t="str">
            <v>TRACK NUT</v>
          </cell>
          <cell r="D55">
            <v>2.0699999999999998</v>
          </cell>
          <cell r="E55">
            <v>1.04</v>
          </cell>
          <cell r="F55" t="str">
            <v>UC</v>
          </cell>
          <cell r="G55">
            <v>1204</v>
          </cell>
          <cell r="H55">
            <v>0</v>
          </cell>
          <cell r="I55">
            <v>0</v>
          </cell>
          <cell r="J55">
            <v>0</v>
          </cell>
          <cell r="K55">
            <v>1204</v>
          </cell>
        </row>
        <row r="56">
          <cell r="A56" t="str">
            <v>1M-8867</v>
          </cell>
          <cell r="B56" t="str">
            <v xml:space="preserve">CAT D4 (66J)                  </v>
          </cell>
          <cell r="C56" t="str">
            <v xml:space="preserve">TRACK IDLER </v>
          </cell>
          <cell r="D56">
            <v>2233.12</v>
          </cell>
          <cell r="E56">
            <v>1116.56</v>
          </cell>
          <cell r="F56" t="str">
            <v>UC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</row>
        <row r="57">
          <cell r="A57" t="str">
            <v>1R-0713</v>
          </cell>
          <cell r="B57" t="str">
            <v xml:space="preserve">CAT D3 (1PJ)                  </v>
          </cell>
          <cell r="C57" t="str">
            <v>ENGINE OIL FILTER</v>
          </cell>
          <cell r="D57">
            <v>27.68</v>
          </cell>
          <cell r="E57">
            <v>10.52</v>
          </cell>
          <cell r="F57" t="str">
            <v>FILTER</v>
          </cell>
          <cell r="G57">
            <v>2</v>
          </cell>
          <cell r="H57">
            <v>1</v>
          </cell>
          <cell r="I57">
            <v>1</v>
          </cell>
          <cell r="J57">
            <v>1</v>
          </cell>
          <cell r="K57">
            <v>5</v>
          </cell>
        </row>
        <row r="58">
          <cell r="A58" t="str">
            <v>1R-0719</v>
          </cell>
          <cell r="B58" t="str">
            <v xml:space="preserve">CAT D3 (1PJ) CAT D5 (3CR)                </v>
          </cell>
          <cell r="C58" t="str">
            <v>HYDRAULIC OIL FILTER</v>
          </cell>
          <cell r="D58">
            <v>38.32</v>
          </cell>
          <cell r="E58">
            <v>14.56</v>
          </cell>
          <cell r="F58" t="str">
            <v>FILTER</v>
          </cell>
          <cell r="G58">
            <v>6</v>
          </cell>
          <cell r="H58">
            <v>3</v>
          </cell>
          <cell r="I58">
            <v>3</v>
          </cell>
          <cell r="J58">
            <v>3</v>
          </cell>
          <cell r="K58">
            <v>15</v>
          </cell>
        </row>
        <row r="59">
          <cell r="A59" t="str">
            <v>1R-0746</v>
          </cell>
          <cell r="B59" t="str">
            <v xml:space="preserve">CAT D3 (1PJ)                  </v>
          </cell>
          <cell r="C59" t="str">
            <v xml:space="preserve">HYDRAULIC/TRANSMISSION OIL FILTER </v>
          </cell>
          <cell r="D59">
            <v>47.44</v>
          </cell>
          <cell r="E59">
            <v>18.03</v>
          </cell>
          <cell r="F59" t="str">
            <v>FILTER</v>
          </cell>
          <cell r="G59">
            <v>2</v>
          </cell>
          <cell r="H59">
            <v>1</v>
          </cell>
          <cell r="I59">
            <v>1</v>
          </cell>
          <cell r="J59">
            <v>1</v>
          </cell>
          <cell r="K59">
            <v>5</v>
          </cell>
        </row>
        <row r="60">
          <cell r="A60" t="str">
            <v>1R0749</v>
          </cell>
          <cell r="B60" t="str">
            <v xml:space="preserve">CAT 561N (CPH)                  </v>
          </cell>
          <cell r="C60" t="str">
            <v>FUEL FILTER</v>
          </cell>
          <cell r="D60">
            <v>51.52</v>
          </cell>
          <cell r="E60">
            <v>19.579999999999998</v>
          </cell>
          <cell r="F60" t="str">
            <v>FILTER</v>
          </cell>
          <cell r="G60">
            <v>20</v>
          </cell>
          <cell r="H60">
            <v>10</v>
          </cell>
          <cell r="I60">
            <v>10</v>
          </cell>
          <cell r="J60">
            <v>10</v>
          </cell>
          <cell r="K60">
            <v>50</v>
          </cell>
        </row>
        <row r="61">
          <cell r="A61" t="str">
            <v>1R-0749</v>
          </cell>
          <cell r="B61" t="str">
            <v xml:space="preserve">CAT 336F L (RKB) CAT D6 (RDC) CAT D6T (MH7)              </v>
          </cell>
          <cell r="C61" t="str">
            <v xml:space="preserve">FUEL FILTER </v>
          </cell>
          <cell r="D61">
            <v>51.52</v>
          </cell>
          <cell r="E61">
            <v>19.579999999999998</v>
          </cell>
          <cell r="F61" t="str">
            <v>FILTER</v>
          </cell>
          <cell r="G61">
            <v>12</v>
          </cell>
          <cell r="H61">
            <v>6</v>
          </cell>
          <cell r="I61">
            <v>6</v>
          </cell>
          <cell r="J61">
            <v>6</v>
          </cell>
          <cell r="K61">
            <v>30</v>
          </cell>
        </row>
        <row r="62">
          <cell r="A62" t="str">
            <v>1R0750</v>
          </cell>
          <cell r="B62" t="str">
            <v xml:space="preserve">CAT D4 (66J)                  </v>
          </cell>
          <cell r="C62" t="str">
            <v>SECONDARY FUEL FILTER</v>
          </cell>
          <cell r="D62">
            <v>42.69</v>
          </cell>
          <cell r="E62">
            <v>16.22</v>
          </cell>
          <cell r="F62" t="str">
            <v>FILTER</v>
          </cell>
          <cell r="G62">
            <v>2</v>
          </cell>
          <cell r="H62">
            <v>1</v>
          </cell>
          <cell r="I62">
            <v>1</v>
          </cell>
          <cell r="J62">
            <v>1</v>
          </cell>
          <cell r="K62">
            <v>5</v>
          </cell>
        </row>
        <row r="63">
          <cell r="A63" t="str">
            <v>1R-0750</v>
          </cell>
          <cell r="B63" t="str">
            <v xml:space="preserve">CAT D3 (1PJ) CAT D7G (92V)                </v>
          </cell>
          <cell r="C63" t="str">
            <v>FUEL FILTER</v>
          </cell>
          <cell r="D63">
            <v>42.69</v>
          </cell>
          <cell r="E63">
            <v>16.22</v>
          </cell>
          <cell r="F63" t="str">
            <v>FILTER</v>
          </cell>
          <cell r="G63">
            <v>4</v>
          </cell>
          <cell r="H63">
            <v>2</v>
          </cell>
          <cell r="I63">
            <v>2</v>
          </cell>
          <cell r="J63">
            <v>2</v>
          </cell>
          <cell r="K63">
            <v>10</v>
          </cell>
        </row>
        <row r="64">
          <cell r="A64" t="str">
            <v>1R-0751</v>
          </cell>
          <cell r="B64" t="str">
            <v xml:space="preserve">CAT D5 (3CR) CAT D6N LGP (GHS) CAT PL61 (WGS)              </v>
          </cell>
          <cell r="C64" t="str">
            <v>PRIMARY FUEL FILTER</v>
          </cell>
          <cell r="D64">
            <v>47.05</v>
          </cell>
          <cell r="E64">
            <v>17.88</v>
          </cell>
          <cell r="F64" t="str">
            <v>FILTER</v>
          </cell>
          <cell r="G64">
            <v>12</v>
          </cell>
          <cell r="H64">
            <v>6</v>
          </cell>
          <cell r="I64">
            <v>6</v>
          </cell>
          <cell r="J64">
            <v>6</v>
          </cell>
          <cell r="K64">
            <v>30</v>
          </cell>
        </row>
        <row r="65">
          <cell r="A65" t="str">
            <v>1R-0753</v>
          </cell>
          <cell r="B65" t="str">
            <v xml:space="preserve">CAT D5 (3CR)                  </v>
          </cell>
          <cell r="C65" t="str">
            <v>SECONDARY FUEL FILTER</v>
          </cell>
          <cell r="D65">
            <v>67.900000000000006</v>
          </cell>
          <cell r="E65">
            <v>25.8</v>
          </cell>
          <cell r="F65" t="str">
            <v>FILTER</v>
          </cell>
          <cell r="G65">
            <v>4</v>
          </cell>
          <cell r="H65">
            <v>2</v>
          </cell>
          <cell r="I65">
            <v>2</v>
          </cell>
          <cell r="J65">
            <v>2</v>
          </cell>
          <cell r="K65">
            <v>10</v>
          </cell>
        </row>
        <row r="66">
          <cell r="A66" t="str">
            <v>1R-0777</v>
          </cell>
          <cell r="B66" t="str">
            <v xml:space="preserve">CAT D4 (66J)                  </v>
          </cell>
          <cell r="C66" t="str">
            <v xml:space="preserve">HYDRAULIC OIL FILTER ELEMENT </v>
          </cell>
          <cell r="D66">
            <v>93.49</v>
          </cell>
          <cell r="E66">
            <v>35.53</v>
          </cell>
          <cell r="F66" t="str">
            <v>FILTER</v>
          </cell>
          <cell r="G66">
            <v>2</v>
          </cell>
          <cell r="H66">
            <v>1</v>
          </cell>
          <cell r="I66">
            <v>1</v>
          </cell>
          <cell r="J66">
            <v>1</v>
          </cell>
          <cell r="K66">
            <v>5</v>
          </cell>
        </row>
        <row r="67">
          <cell r="A67" t="str">
            <v>1R-1807</v>
          </cell>
          <cell r="B67" t="str">
            <v xml:space="preserve">CAT D4 (66J) CAT D5 (3CR)                </v>
          </cell>
          <cell r="C67" t="str">
            <v>ENGINE OIL FILTER</v>
          </cell>
          <cell r="D67">
            <v>44.09</v>
          </cell>
          <cell r="E67">
            <v>16.75</v>
          </cell>
          <cell r="F67" t="str">
            <v>FILTER</v>
          </cell>
          <cell r="G67">
            <v>6</v>
          </cell>
          <cell r="H67">
            <v>3</v>
          </cell>
          <cell r="I67">
            <v>3</v>
          </cell>
          <cell r="J67">
            <v>3</v>
          </cell>
          <cell r="K67">
            <v>15</v>
          </cell>
        </row>
        <row r="68">
          <cell r="A68" t="str">
            <v>1R-1808</v>
          </cell>
          <cell r="B68" t="str">
            <v xml:space="preserve">CAT 336F L (RKB) CAT D6 (RDC) CAT D6T (MH7)              </v>
          </cell>
          <cell r="C68" t="str">
            <v>ENGINE OIL FILTER</v>
          </cell>
          <cell r="D68">
            <v>82.08</v>
          </cell>
          <cell r="E68">
            <v>31.19</v>
          </cell>
          <cell r="F68" t="str">
            <v>FILTER</v>
          </cell>
          <cell r="G68">
            <v>6</v>
          </cell>
          <cell r="H68">
            <v>3</v>
          </cell>
          <cell r="I68">
            <v>3</v>
          </cell>
          <cell r="J68">
            <v>3</v>
          </cell>
          <cell r="K68">
            <v>15</v>
          </cell>
        </row>
        <row r="69">
          <cell r="A69" t="str">
            <v>1S1860</v>
          </cell>
          <cell r="B69" t="str">
            <v xml:space="preserve">CAT D4 (66J)                  </v>
          </cell>
          <cell r="C69" t="str">
            <v>TRACK NUT</v>
          </cell>
          <cell r="D69">
            <v>2.94</v>
          </cell>
          <cell r="E69">
            <v>1.47</v>
          </cell>
          <cell r="F69" t="str">
            <v>UC</v>
          </cell>
          <cell r="G69">
            <v>360</v>
          </cell>
          <cell r="H69">
            <v>0</v>
          </cell>
          <cell r="I69">
            <v>0</v>
          </cell>
          <cell r="J69">
            <v>0</v>
          </cell>
          <cell r="K69">
            <v>360</v>
          </cell>
        </row>
        <row r="70">
          <cell r="A70" t="str">
            <v>1S-1860</v>
          </cell>
          <cell r="B70" t="str">
            <v xml:space="preserve">CAT D6 (RDC) CAT D6N LGP (GHS) CAT D6N LGP (SGG) CAT D7G (92V) CAT PL61 (WGS)          </v>
          </cell>
          <cell r="C70" t="str">
            <v>TRACK NUT</v>
          </cell>
          <cell r="D70">
            <v>2.94</v>
          </cell>
          <cell r="E70">
            <v>1.47</v>
          </cell>
          <cell r="F70" t="str">
            <v>UC</v>
          </cell>
          <cell r="G70">
            <v>2672</v>
          </cell>
          <cell r="H70">
            <v>0</v>
          </cell>
          <cell r="I70">
            <v>0</v>
          </cell>
          <cell r="J70">
            <v>0</v>
          </cell>
          <cell r="K70">
            <v>2672</v>
          </cell>
        </row>
        <row r="71">
          <cell r="A71" t="str">
            <v>1U-3202</v>
          </cell>
          <cell r="B71" t="str">
            <v xml:space="preserve">CAT D3 (1PJ)                  </v>
          </cell>
          <cell r="C71" t="str">
            <v>TIP SHORT</v>
          </cell>
          <cell r="D71">
            <v>37.42</v>
          </cell>
          <cell r="E71">
            <v>14.22</v>
          </cell>
          <cell r="F71" t="str">
            <v>GET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1</v>
          </cell>
        </row>
        <row r="72">
          <cell r="A72" t="str">
            <v>202-4296</v>
          </cell>
          <cell r="B72" t="str">
            <v xml:space="preserve">CAT D6 (RDC) CAT D6T (MH7)                </v>
          </cell>
          <cell r="C72" t="str">
            <v>TRACK IDLER</v>
          </cell>
          <cell r="D72">
            <v>3032.3</v>
          </cell>
          <cell r="E72">
            <v>1516.15</v>
          </cell>
          <cell r="F72" t="str">
            <v>UC</v>
          </cell>
          <cell r="G72">
            <v>8</v>
          </cell>
          <cell r="H72">
            <v>0</v>
          </cell>
          <cell r="I72">
            <v>0</v>
          </cell>
          <cell r="J72">
            <v>0</v>
          </cell>
          <cell r="K72">
            <v>8</v>
          </cell>
        </row>
        <row r="73">
          <cell r="A73" t="str">
            <v>209-8217</v>
          </cell>
          <cell r="B73" t="str">
            <v xml:space="preserve">CAT PL61 (WGS)                  </v>
          </cell>
          <cell r="C73" t="str">
            <v>CABIN AIR FILTER ELEMENT</v>
          </cell>
          <cell r="D73">
            <v>85.17</v>
          </cell>
          <cell r="E73">
            <v>32.36</v>
          </cell>
          <cell r="F73" t="str">
            <v>FILTER</v>
          </cell>
          <cell r="G73">
            <v>3</v>
          </cell>
          <cell r="H73">
            <v>3</v>
          </cell>
          <cell r="I73">
            <v>0</v>
          </cell>
          <cell r="J73">
            <v>3</v>
          </cell>
          <cell r="K73">
            <v>9</v>
          </cell>
        </row>
        <row r="74">
          <cell r="A74" t="str">
            <v>213-1971</v>
          </cell>
          <cell r="B74" t="str">
            <v xml:space="preserve">CAT 336F L (RKB)                  </v>
          </cell>
          <cell r="C74" t="str">
            <v>TRACK LINK ASSEMBLY</v>
          </cell>
          <cell r="D74">
            <v>12083.08</v>
          </cell>
          <cell r="E74">
            <v>6041.54</v>
          </cell>
          <cell r="F74" t="str">
            <v>UC</v>
          </cell>
          <cell r="G74">
            <v>2</v>
          </cell>
          <cell r="H74">
            <v>0</v>
          </cell>
          <cell r="I74">
            <v>0</v>
          </cell>
          <cell r="J74">
            <v>0</v>
          </cell>
          <cell r="K74">
            <v>2</v>
          </cell>
        </row>
        <row r="75">
          <cell r="A75" t="str">
            <v>213-5007</v>
          </cell>
          <cell r="B75" t="str">
            <v xml:space="preserve">CAT D6 (RDC) CAT D6T (MH7)                </v>
          </cell>
          <cell r="C75" t="str">
            <v>CARRIER BOLT</v>
          </cell>
          <cell r="D75">
            <v>22.26</v>
          </cell>
          <cell r="E75">
            <v>11.13</v>
          </cell>
          <cell r="F75" t="str">
            <v>UC</v>
          </cell>
          <cell r="G75">
            <v>8</v>
          </cell>
          <cell r="H75">
            <v>0</v>
          </cell>
          <cell r="I75">
            <v>0</v>
          </cell>
          <cell r="J75">
            <v>0</v>
          </cell>
          <cell r="K75">
            <v>8</v>
          </cell>
        </row>
        <row r="76">
          <cell r="A76" t="str">
            <v>216-6286</v>
          </cell>
          <cell r="B76" t="str">
            <v xml:space="preserve">CAT D5 (3CR)                  </v>
          </cell>
          <cell r="C76" t="str">
            <v>TRACK SHOE SINGLE GROUSER 760MM</v>
          </cell>
          <cell r="D76">
            <v>126.01</v>
          </cell>
          <cell r="E76">
            <v>63.01</v>
          </cell>
          <cell r="F76" t="str">
            <v>UC</v>
          </cell>
          <cell r="G76">
            <v>176</v>
          </cell>
          <cell r="H76">
            <v>0</v>
          </cell>
          <cell r="I76">
            <v>0</v>
          </cell>
          <cell r="J76">
            <v>0</v>
          </cell>
          <cell r="K76">
            <v>176</v>
          </cell>
        </row>
        <row r="77">
          <cell r="A77" t="str">
            <v>216-7921</v>
          </cell>
          <cell r="B77" t="str">
            <v xml:space="preserve">CAT 561N (CPH) CAT PL61 (WGS)                </v>
          </cell>
          <cell r="C77" t="str">
            <v>CAMSHAFT</v>
          </cell>
          <cell r="D77">
            <v>4686.51</v>
          </cell>
          <cell r="E77">
            <v>2343.2600000000002</v>
          </cell>
          <cell r="F77" t="str">
            <v>ENGINE</v>
          </cell>
          <cell r="G77">
            <v>8</v>
          </cell>
          <cell r="H77">
            <v>0</v>
          </cell>
          <cell r="I77">
            <v>0</v>
          </cell>
          <cell r="J77">
            <v>0</v>
          </cell>
          <cell r="K77">
            <v>8</v>
          </cell>
        </row>
        <row r="78">
          <cell r="A78" t="str">
            <v>219-7569</v>
          </cell>
          <cell r="B78" t="str">
            <v xml:space="preserve">CAT 320E L (WBK) CAT 320F L (YBM) CAT 320 (HEX) CAT 320 (MYK)            </v>
          </cell>
          <cell r="C78" t="str">
            <v>SPROCKET BOLT</v>
          </cell>
          <cell r="D78">
            <v>8.76</v>
          </cell>
          <cell r="E78">
            <v>4.38</v>
          </cell>
          <cell r="F78" t="str">
            <v>UC</v>
          </cell>
          <cell r="G78">
            <v>192</v>
          </cell>
          <cell r="H78">
            <v>0</v>
          </cell>
          <cell r="I78">
            <v>0</v>
          </cell>
          <cell r="J78">
            <v>0</v>
          </cell>
          <cell r="K78">
            <v>192</v>
          </cell>
        </row>
        <row r="79">
          <cell r="A79" t="str">
            <v>222-1796</v>
          </cell>
          <cell r="B79" t="str">
            <v xml:space="preserve">CAT D6N LGP (GHS)                  </v>
          </cell>
          <cell r="C79" t="str">
            <v>TRACK SHOE SINGLE GROUSER 860MM</v>
          </cell>
          <cell r="D79">
            <v>206.6</v>
          </cell>
          <cell r="E79">
            <v>103.3</v>
          </cell>
          <cell r="F79" t="str">
            <v>UC</v>
          </cell>
          <cell r="G79">
            <v>90</v>
          </cell>
          <cell r="H79">
            <v>0</v>
          </cell>
          <cell r="I79">
            <v>0</v>
          </cell>
          <cell r="J79">
            <v>0</v>
          </cell>
          <cell r="K79">
            <v>90</v>
          </cell>
        </row>
        <row r="80">
          <cell r="A80" t="str">
            <v>222-1797</v>
          </cell>
          <cell r="B80" t="str">
            <v xml:space="preserve">CAT D6N LGP (GHS)                  </v>
          </cell>
          <cell r="C80" t="str">
            <v>TRACK SHOE MASTER</v>
          </cell>
          <cell r="D80">
            <v>226.51</v>
          </cell>
          <cell r="E80">
            <v>113.26</v>
          </cell>
          <cell r="F80" t="str">
            <v>UC</v>
          </cell>
          <cell r="G80">
            <v>2</v>
          </cell>
          <cell r="H80">
            <v>0</v>
          </cell>
          <cell r="I80">
            <v>0</v>
          </cell>
          <cell r="J80">
            <v>0</v>
          </cell>
          <cell r="K80">
            <v>2</v>
          </cell>
        </row>
        <row r="81">
          <cell r="A81" t="str">
            <v>224-1311</v>
          </cell>
          <cell r="B81" t="str">
            <v xml:space="preserve">CAT D7G (92V)                  </v>
          </cell>
          <cell r="C81" t="str">
            <v>SPROCKET HUB</v>
          </cell>
          <cell r="D81">
            <v>3635.61</v>
          </cell>
          <cell r="E81">
            <v>1817.81</v>
          </cell>
          <cell r="F81" t="str">
            <v>UC</v>
          </cell>
          <cell r="G81">
            <v>2</v>
          </cell>
          <cell r="H81">
            <v>0</v>
          </cell>
          <cell r="I81">
            <v>0</v>
          </cell>
          <cell r="J81">
            <v>0</v>
          </cell>
          <cell r="K81">
            <v>2</v>
          </cell>
        </row>
        <row r="82">
          <cell r="A82" t="str">
            <v>229-5446</v>
          </cell>
          <cell r="B82" t="str">
            <v xml:space="preserve">CAT D6N LGP (GHS) CAT D6N LGP (PBA) CAT D6N LGP (SGG)              </v>
          </cell>
          <cell r="C82" t="str">
            <v>CARRIER ROLLER</v>
          </cell>
          <cell r="D82">
            <v>496.33</v>
          </cell>
          <cell r="E82">
            <v>248.17</v>
          </cell>
          <cell r="F82" t="str">
            <v>UC</v>
          </cell>
          <cell r="G82">
            <v>10</v>
          </cell>
          <cell r="H82">
            <v>0</v>
          </cell>
          <cell r="I82">
            <v>0</v>
          </cell>
          <cell r="J82">
            <v>0</v>
          </cell>
          <cell r="K82">
            <v>10</v>
          </cell>
        </row>
        <row r="83">
          <cell r="A83" t="str">
            <v>229-6958</v>
          </cell>
          <cell r="B83" t="str">
            <v xml:space="preserve">CAT D6T (MH7)                  </v>
          </cell>
          <cell r="C83" t="str">
            <v>CUTTING EDGE</v>
          </cell>
          <cell r="D83">
            <v>559.01</v>
          </cell>
          <cell r="E83">
            <v>212.42</v>
          </cell>
          <cell r="F83" t="str">
            <v>GET</v>
          </cell>
          <cell r="G83">
            <v>2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</row>
        <row r="84">
          <cell r="A84" t="str">
            <v>235-5974</v>
          </cell>
          <cell r="B84" t="str">
            <v xml:space="preserve">CAT D6 (RDC) CAT D6T (MH7)                </v>
          </cell>
          <cell r="C84" t="str">
            <v>CARRIER ROLLER</v>
          </cell>
          <cell r="D84">
            <v>594.54</v>
          </cell>
          <cell r="E84">
            <v>297.27</v>
          </cell>
          <cell r="F84" t="str">
            <v>UC</v>
          </cell>
          <cell r="G84">
            <v>4</v>
          </cell>
          <cell r="H84">
            <v>0</v>
          </cell>
          <cell r="I84">
            <v>0</v>
          </cell>
          <cell r="J84">
            <v>0</v>
          </cell>
          <cell r="K84">
            <v>4</v>
          </cell>
        </row>
        <row r="85">
          <cell r="A85" t="str">
            <v>240-9557</v>
          </cell>
          <cell r="B85" t="str">
            <v xml:space="preserve">CAT D6N LGP (PBA)                  </v>
          </cell>
          <cell r="C85" t="str">
            <v>SINGLE FLANGE TRACK ROLLER</v>
          </cell>
          <cell r="D85">
            <v>866.99</v>
          </cell>
          <cell r="E85">
            <v>433.5</v>
          </cell>
          <cell r="F85" t="str">
            <v>UC</v>
          </cell>
          <cell r="G85">
            <v>32</v>
          </cell>
          <cell r="H85">
            <v>0</v>
          </cell>
          <cell r="I85">
            <v>0</v>
          </cell>
          <cell r="J85">
            <v>0</v>
          </cell>
          <cell r="K85">
            <v>32</v>
          </cell>
        </row>
        <row r="86">
          <cell r="A86" t="str">
            <v>248-7143</v>
          </cell>
          <cell r="B86" t="str">
            <v xml:space="preserve">CAT 320E L (WBK) CAT 320F L (YBM) CAT 320 (HEX) CAT 320 (MYK)            </v>
          </cell>
          <cell r="C86" t="str">
            <v>TRACK IDLER</v>
          </cell>
          <cell r="D86">
            <v>2633.14</v>
          </cell>
          <cell r="E86">
            <v>1316.57</v>
          </cell>
          <cell r="F86" t="str">
            <v>UC</v>
          </cell>
          <cell r="G86">
            <v>16</v>
          </cell>
          <cell r="H86">
            <v>0</v>
          </cell>
          <cell r="I86">
            <v>0</v>
          </cell>
          <cell r="J86">
            <v>0</v>
          </cell>
          <cell r="K86">
            <v>16</v>
          </cell>
        </row>
        <row r="87">
          <cell r="A87" t="str">
            <v>251-8601</v>
          </cell>
          <cell r="B87" t="str">
            <v xml:space="preserve">CAT D6N LGP (GHS) CAT D6N LGP (SGG)                </v>
          </cell>
          <cell r="C87" t="str">
            <v>IDLER SCRAPER</v>
          </cell>
          <cell r="D87">
            <v>113.29</v>
          </cell>
          <cell r="E87">
            <v>56.65</v>
          </cell>
          <cell r="F87" t="str">
            <v>UC</v>
          </cell>
          <cell r="G87">
            <v>6</v>
          </cell>
          <cell r="H87">
            <v>0</v>
          </cell>
          <cell r="I87">
            <v>0</v>
          </cell>
          <cell r="J87">
            <v>0</v>
          </cell>
          <cell r="K87">
            <v>6</v>
          </cell>
        </row>
        <row r="88">
          <cell r="A88" t="str">
            <v>252-5001</v>
          </cell>
          <cell r="B88" t="str">
            <v xml:space="preserve">CAT D6N LGP (GHS) CAT PL61 (WGS)                </v>
          </cell>
          <cell r="C88" t="str">
            <v>PRIMARY AIR FILTER ELEMENT</v>
          </cell>
          <cell r="D88">
            <v>221.03</v>
          </cell>
          <cell r="E88">
            <v>83.99</v>
          </cell>
          <cell r="F88" t="str">
            <v>FILTER</v>
          </cell>
          <cell r="G88">
            <v>4</v>
          </cell>
          <cell r="H88">
            <v>4</v>
          </cell>
          <cell r="I88">
            <v>0</v>
          </cell>
          <cell r="J88">
            <v>4</v>
          </cell>
          <cell r="K88">
            <v>12</v>
          </cell>
        </row>
        <row r="89">
          <cell r="A89" t="str">
            <v>252-5002</v>
          </cell>
          <cell r="B89" t="str">
            <v xml:space="preserve">CAT D6N LGP (GHS) CAT PL61 (WGS)                </v>
          </cell>
          <cell r="C89" t="str">
            <v>SECONDARY AIR FILTER ELEMENT</v>
          </cell>
          <cell r="D89">
            <v>152.66999999999999</v>
          </cell>
          <cell r="E89">
            <v>58.01</v>
          </cell>
          <cell r="F89" t="str">
            <v>FILTER</v>
          </cell>
          <cell r="G89">
            <v>4</v>
          </cell>
          <cell r="H89">
            <v>4</v>
          </cell>
          <cell r="I89">
            <v>0</v>
          </cell>
          <cell r="J89">
            <v>4</v>
          </cell>
          <cell r="K89">
            <v>12</v>
          </cell>
        </row>
        <row r="90">
          <cell r="A90" t="str">
            <v>254-0225</v>
          </cell>
          <cell r="B90" t="str">
            <v xml:space="preserve">CAT D6N LGP (PBA)                  </v>
          </cell>
          <cell r="C90" t="str">
            <v>TRACK BOLT MASTER</v>
          </cell>
          <cell r="D90">
            <v>10.72</v>
          </cell>
          <cell r="E90">
            <v>5.36</v>
          </cell>
          <cell r="F90" t="str">
            <v>UC</v>
          </cell>
          <cell r="G90">
            <v>16</v>
          </cell>
          <cell r="H90">
            <v>0</v>
          </cell>
          <cell r="I90">
            <v>0</v>
          </cell>
          <cell r="J90">
            <v>0</v>
          </cell>
          <cell r="K90">
            <v>16</v>
          </cell>
        </row>
        <row r="91">
          <cell r="A91" t="str">
            <v>255-8095</v>
          </cell>
          <cell r="B91" t="str">
            <v xml:space="preserve">CAT PL61 (WGS)                  </v>
          </cell>
          <cell r="C91" t="str">
            <v>SPROCKET</v>
          </cell>
          <cell r="D91">
            <v>1650.99</v>
          </cell>
          <cell r="E91">
            <v>825.5</v>
          </cell>
          <cell r="F91" t="str">
            <v>UC</v>
          </cell>
          <cell r="G91">
            <v>6</v>
          </cell>
          <cell r="H91">
            <v>0</v>
          </cell>
          <cell r="I91">
            <v>0</v>
          </cell>
          <cell r="J91">
            <v>0</v>
          </cell>
          <cell r="K91">
            <v>6</v>
          </cell>
        </row>
        <row r="92">
          <cell r="A92" t="str">
            <v>259-2627</v>
          </cell>
          <cell r="B92" t="str">
            <v xml:space="preserve">CAT D6N LGP (GHS) CAT D6N LGP (SGG)                </v>
          </cell>
          <cell r="C92" t="str">
            <v>HEX HEAD BOLT</v>
          </cell>
          <cell r="D92">
            <v>4.12</v>
          </cell>
          <cell r="E92">
            <v>2.06</v>
          </cell>
          <cell r="F92" t="str">
            <v>UC</v>
          </cell>
          <cell r="G92">
            <v>12</v>
          </cell>
          <cell r="H92">
            <v>0</v>
          </cell>
          <cell r="I92">
            <v>0</v>
          </cell>
          <cell r="J92">
            <v>0</v>
          </cell>
          <cell r="K92">
            <v>12</v>
          </cell>
        </row>
        <row r="93">
          <cell r="A93" t="str">
            <v>267-4829</v>
          </cell>
          <cell r="B93" t="str">
            <v xml:space="preserve">CAT 303.5E                  </v>
          </cell>
          <cell r="C93" t="str">
            <v>IDLER-BEARING ASSY LH</v>
          </cell>
          <cell r="D93">
            <v>854.8</v>
          </cell>
          <cell r="E93">
            <v>427.4</v>
          </cell>
          <cell r="F93" t="str">
            <v>UC</v>
          </cell>
          <cell r="G93">
            <v>2</v>
          </cell>
          <cell r="H93">
            <v>0</v>
          </cell>
          <cell r="I93">
            <v>0</v>
          </cell>
          <cell r="J93">
            <v>0</v>
          </cell>
          <cell r="K93">
            <v>2</v>
          </cell>
        </row>
        <row r="94">
          <cell r="A94" t="str">
            <v>267-6099</v>
          </cell>
          <cell r="B94" t="str">
            <v xml:space="preserve">CAT D6N LGP (PBA)                  </v>
          </cell>
          <cell r="C94" t="str">
            <v>TRACK SHOE 860MM</v>
          </cell>
          <cell r="D94">
            <v>211.37</v>
          </cell>
          <cell r="E94">
            <v>105.69</v>
          </cell>
          <cell r="F94" t="str">
            <v>UC</v>
          </cell>
          <cell r="G94">
            <v>180</v>
          </cell>
          <cell r="H94">
            <v>0</v>
          </cell>
          <cell r="I94">
            <v>0</v>
          </cell>
          <cell r="J94">
            <v>0</v>
          </cell>
          <cell r="K94">
            <v>180</v>
          </cell>
        </row>
        <row r="95">
          <cell r="A95" t="str">
            <v>278-4843</v>
          </cell>
          <cell r="B95" t="str">
            <v xml:space="preserve">CAT 561N (CPH) CAT PL61 (WGS)                </v>
          </cell>
          <cell r="C95" t="str">
            <v>CYLINDER HEAD</v>
          </cell>
          <cell r="D95">
            <v>12450.3</v>
          </cell>
          <cell r="E95">
            <v>6225.15</v>
          </cell>
          <cell r="F95" t="str">
            <v>ENGINE</v>
          </cell>
          <cell r="G95">
            <v>8</v>
          </cell>
          <cell r="H95">
            <v>0</v>
          </cell>
          <cell r="I95">
            <v>0</v>
          </cell>
          <cell r="J95">
            <v>0</v>
          </cell>
          <cell r="K95">
            <v>8</v>
          </cell>
        </row>
        <row r="96">
          <cell r="A96" t="str">
            <v>282-3655</v>
          </cell>
          <cell r="B96" t="str">
            <v xml:space="preserve">CAT D7G (92V)                  </v>
          </cell>
          <cell r="C96" t="str">
            <v>SPROCKET BOLT</v>
          </cell>
          <cell r="D96">
            <v>4.75</v>
          </cell>
          <cell r="E96">
            <v>2.38</v>
          </cell>
          <cell r="F96" t="str">
            <v>UC</v>
          </cell>
          <cell r="G96">
            <v>40</v>
          </cell>
          <cell r="H96">
            <v>0</v>
          </cell>
          <cell r="I96">
            <v>0</v>
          </cell>
          <cell r="J96">
            <v>0</v>
          </cell>
          <cell r="K96">
            <v>40</v>
          </cell>
        </row>
        <row r="97">
          <cell r="A97" t="str">
            <v>284-5686</v>
          </cell>
          <cell r="B97" t="str">
            <v xml:space="preserve">CAT 303.5E                  </v>
          </cell>
          <cell r="C97" t="str">
            <v>CABIN AIR FILTER ELEMENT</v>
          </cell>
          <cell r="D97">
            <v>98.39</v>
          </cell>
          <cell r="E97">
            <v>37.39</v>
          </cell>
          <cell r="F97" t="str">
            <v>Filter</v>
          </cell>
          <cell r="G97">
            <v>1</v>
          </cell>
          <cell r="H97">
            <v>1</v>
          </cell>
          <cell r="I97">
            <v>0</v>
          </cell>
          <cell r="J97">
            <v>1</v>
          </cell>
          <cell r="K97">
            <v>3</v>
          </cell>
        </row>
        <row r="98">
          <cell r="A98" t="str">
            <v>285-3414</v>
          </cell>
          <cell r="B98" t="str">
            <v xml:space="preserve">CAT D4 (66J)                  </v>
          </cell>
          <cell r="C98" t="str">
            <v>TURBOCHARGER ASSEMBLY</v>
          </cell>
          <cell r="D98">
            <v>3627.05</v>
          </cell>
          <cell r="E98">
            <v>1813.53</v>
          </cell>
          <cell r="F98" t="str">
            <v>ENGINE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1</v>
          </cell>
        </row>
        <row r="99">
          <cell r="A99" t="str">
            <v>288-0934</v>
          </cell>
          <cell r="B99" t="str">
            <v xml:space="preserve">CAT D6T (MH7)                  </v>
          </cell>
          <cell r="C99" t="str">
            <v>SINGLE FLANGE TRACK ROLLER</v>
          </cell>
          <cell r="D99">
            <v>936.48</v>
          </cell>
          <cell r="E99">
            <v>468.24</v>
          </cell>
          <cell r="F99" t="str">
            <v>UC</v>
          </cell>
          <cell r="G99">
            <v>4</v>
          </cell>
          <cell r="H99">
            <v>0</v>
          </cell>
          <cell r="I99">
            <v>0</v>
          </cell>
          <cell r="J99">
            <v>0</v>
          </cell>
          <cell r="K99">
            <v>4</v>
          </cell>
        </row>
        <row r="100">
          <cell r="A100" t="str">
            <v>288-0936</v>
          </cell>
          <cell r="B100" t="str">
            <v xml:space="preserve">CAT D6T (MH7)                  </v>
          </cell>
          <cell r="C100" t="str">
            <v>DOUBLE FLANGE TRACK ROLLER</v>
          </cell>
          <cell r="D100">
            <v>1023.54</v>
          </cell>
          <cell r="E100">
            <v>511.77</v>
          </cell>
          <cell r="F100" t="str">
            <v>UC</v>
          </cell>
          <cell r="G100">
            <v>12</v>
          </cell>
          <cell r="H100">
            <v>0</v>
          </cell>
          <cell r="I100">
            <v>0</v>
          </cell>
          <cell r="J100">
            <v>0</v>
          </cell>
          <cell r="K100">
            <v>12</v>
          </cell>
        </row>
        <row r="101">
          <cell r="A101" t="str">
            <v>288-3462</v>
          </cell>
          <cell r="B101" t="str">
            <v xml:space="preserve">CAT 303.5E                  </v>
          </cell>
          <cell r="C101" t="str">
            <v>FINAL DRIVE</v>
          </cell>
          <cell r="D101">
            <v>10089.31</v>
          </cell>
          <cell r="E101">
            <v>5044.66</v>
          </cell>
          <cell r="F101" t="str">
            <v>GET</v>
          </cell>
          <cell r="G101">
            <v>2</v>
          </cell>
          <cell r="H101">
            <v>0</v>
          </cell>
          <cell r="I101">
            <v>0</v>
          </cell>
          <cell r="J101">
            <v>0</v>
          </cell>
          <cell r="K101">
            <v>2</v>
          </cell>
        </row>
        <row r="102">
          <cell r="A102" t="str">
            <v>294-4813</v>
          </cell>
          <cell r="B102" t="str">
            <v xml:space="preserve">CAT D6N LGP (PBA)                  </v>
          </cell>
          <cell r="C102" t="str">
            <v>TRACK SHOE MASTER</v>
          </cell>
          <cell r="D102">
            <v>241.71</v>
          </cell>
          <cell r="E102">
            <v>120.86</v>
          </cell>
          <cell r="F102" t="str">
            <v>UC</v>
          </cell>
          <cell r="G102">
            <v>4</v>
          </cell>
          <cell r="H102">
            <v>0</v>
          </cell>
          <cell r="I102">
            <v>0</v>
          </cell>
          <cell r="J102">
            <v>0</v>
          </cell>
          <cell r="K102">
            <v>4</v>
          </cell>
        </row>
        <row r="103">
          <cell r="A103" t="str">
            <v>2J-3506</v>
          </cell>
          <cell r="B103" t="str">
            <v xml:space="preserve">CAT D5 (3CR) CAT D6N LGP (GHS) CAT D6N LGP (PBA) CAT D6N LGP (SGG) CAT D6T (MH7)          </v>
          </cell>
          <cell r="C103" t="str">
            <v xml:space="preserve">HEX NUT </v>
          </cell>
          <cell r="D103">
            <v>3.65</v>
          </cell>
          <cell r="E103">
            <v>1.39</v>
          </cell>
          <cell r="F103" t="str">
            <v>GET</v>
          </cell>
          <cell r="G103">
            <v>222</v>
          </cell>
          <cell r="H103">
            <v>0</v>
          </cell>
          <cell r="I103">
            <v>0</v>
          </cell>
          <cell r="J103">
            <v>0</v>
          </cell>
          <cell r="K103">
            <v>222</v>
          </cell>
        </row>
        <row r="104">
          <cell r="A104" t="str">
            <v>2P-4004</v>
          </cell>
          <cell r="B104" t="str">
            <v xml:space="preserve">CAT D7G (92V)                  </v>
          </cell>
          <cell r="C104" t="str">
            <v>ENGINE OIL FILTER</v>
          </cell>
          <cell r="D104">
            <v>17.309999999999999</v>
          </cell>
          <cell r="E104">
            <v>6.58</v>
          </cell>
          <cell r="F104" t="str">
            <v>FILTER</v>
          </cell>
          <cell r="G104">
            <v>2</v>
          </cell>
          <cell r="H104">
            <v>1</v>
          </cell>
          <cell r="I104">
            <v>1</v>
          </cell>
          <cell r="J104">
            <v>1</v>
          </cell>
          <cell r="K104">
            <v>5</v>
          </cell>
        </row>
        <row r="105">
          <cell r="A105" t="str">
            <v>2S-1285</v>
          </cell>
          <cell r="B105" t="str">
            <v xml:space="preserve">CAT D4 (66J)                  </v>
          </cell>
          <cell r="C105" t="str">
            <v>SECONDARY AIR FILTER ELEMENT</v>
          </cell>
          <cell r="D105">
            <v>111.66</v>
          </cell>
          <cell r="E105">
            <v>42.43</v>
          </cell>
          <cell r="F105" t="str">
            <v>FILTER</v>
          </cell>
          <cell r="G105">
            <v>1</v>
          </cell>
          <cell r="H105">
            <v>1</v>
          </cell>
          <cell r="I105">
            <v>0</v>
          </cell>
          <cell r="J105">
            <v>1</v>
          </cell>
          <cell r="K105">
            <v>3</v>
          </cell>
        </row>
        <row r="106">
          <cell r="A106" t="str">
            <v>2S-5658</v>
          </cell>
          <cell r="B106" t="str">
            <v xml:space="preserve">CAT D6N LGP (GHS) CAT D6N LGP (PBA) CAT D6N LGP (SGG) CAT D6T (MH7)            </v>
          </cell>
          <cell r="C106" t="str">
            <v>FLAT WASHER</v>
          </cell>
          <cell r="D106">
            <v>2.0499999999999998</v>
          </cell>
          <cell r="E106">
            <v>1.03</v>
          </cell>
          <cell r="F106" t="str">
            <v>UC</v>
          </cell>
          <cell r="G106">
            <v>300</v>
          </cell>
          <cell r="H106">
            <v>0</v>
          </cell>
          <cell r="I106">
            <v>0</v>
          </cell>
          <cell r="J106">
            <v>0</v>
          </cell>
          <cell r="K106">
            <v>300</v>
          </cell>
        </row>
        <row r="107">
          <cell r="A107" t="str">
            <v>300-4545</v>
          </cell>
          <cell r="B107" t="str">
            <v xml:space="preserve">CAT 329E L (ZCD) CAT 329F L (ERL) CAT 330F L (MBX) CAT 330F L (HCK) CAT 330 (LHW) CAT 330 (WCH) CAT 336F L (RKB)      </v>
          </cell>
          <cell r="C107" t="str">
            <v>CARRIER ROLLER</v>
          </cell>
          <cell r="D107">
            <v>635.41999999999996</v>
          </cell>
          <cell r="E107">
            <v>317.70999999999998</v>
          </cell>
          <cell r="F107" t="str">
            <v>UC</v>
          </cell>
          <cell r="G107">
            <v>68</v>
          </cell>
          <cell r="H107">
            <v>0</v>
          </cell>
          <cell r="I107">
            <v>0</v>
          </cell>
          <cell r="J107">
            <v>0</v>
          </cell>
          <cell r="K107">
            <v>68</v>
          </cell>
        </row>
        <row r="108">
          <cell r="A108" t="str">
            <v>304-7196</v>
          </cell>
          <cell r="B108" t="str">
            <v xml:space="preserve">CAT 303.5E                  </v>
          </cell>
          <cell r="C108" t="str">
            <v>HYDRAULIC OIL FILTER</v>
          </cell>
          <cell r="D108">
            <v>130.47</v>
          </cell>
          <cell r="E108">
            <v>49.58</v>
          </cell>
          <cell r="F108" t="str">
            <v>Filter</v>
          </cell>
          <cell r="G108">
            <v>2</v>
          </cell>
          <cell r="H108">
            <v>1</v>
          </cell>
          <cell r="I108">
            <v>1</v>
          </cell>
          <cell r="J108">
            <v>1</v>
          </cell>
          <cell r="K108">
            <v>5</v>
          </cell>
        </row>
        <row r="109">
          <cell r="A109" t="str">
            <v>306-2148</v>
          </cell>
          <cell r="B109" t="str">
            <v xml:space="preserve">CAT 329E L (ZCD) CAT 329F L (ERL) CAT 330F L (MBX) CAT 330F L (HCK)            </v>
          </cell>
          <cell r="C109" t="str">
            <v>TRACK BOLT 68MM</v>
          </cell>
          <cell r="D109">
            <v>6.78</v>
          </cell>
          <cell r="E109">
            <v>3.39</v>
          </cell>
          <cell r="F109" t="str">
            <v>UC</v>
          </cell>
          <cell r="G109">
            <v>2400</v>
          </cell>
          <cell r="H109">
            <v>0</v>
          </cell>
          <cell r="I109">
            <v>0</v>
          </cell>
          <cell r="J109">
            <v>0</v>
          </cell>
          <cell r="K109">
            <v>2400</v>
          </cell>
        </row>
        <row r="110">
          <cell r="A110" t="str">
            <v>308-1502</v>
          </cell>
          <cell r="B110" t="str">
            <v xml:space="preserve">CAT D6N LGP (GHS) CAT PL61 (WGS)                </v>
          </cell>
          <cell r="C110" t="str">
            <v>PRIMARY FUEL FILTER</v>
          </cell>
          <cell r="D110">
            <v>62.25</v>
          </cell>
          <cell r="E110">
            <v>23.66</v>
          </cell>
          <cell r="F110" t="str">
            <v>FILTER</v>
          </cell>
          <cell r="G110">
            <v>11</v>
          </cell>
          <cell r="H110">
            <v>7</v>
          </cell>
          <cell r="I110">
            <v>10</v>
          </cell>
          <cell r="J110">
            <v>7</v>
          </cell>
          <cell r="K110">
            <v>35</v>
          </cell>
        </row>
        <row r="111">
          <cell r="A111" t="str">
            <v>310-4912</v>
          </cell>
          <cell r="B111" t="str">
            <v xml:space="preserve">CAT D6N LGP (GHS) CAT D6N LGP (SGG)                </v>
          </cell>
          <cell r="C111" t="str">
            <v>SINGLE FLANGE TRACK ROLLER</v>
          </cell>
          <cell r="D111">
            <v>857.8</v>
          </cell>
          <cell r="E111">
            <v>428.9</v>
          </cell>
          <cell r="F111" t="str">
            <v>UC</v>
          </cell>
          <cell r="G111">
            <v>20</v>
          </cell>
          <cell r="H111">
            <v>0</v>
          </cell>
          <cell r="I111">
            <v>0</v>
          </cell>
          <cell r="J111">
            <v>0</v>
          </cell>
          <cell r="K111">
            <v>20</v>
          </cell>
        </row>
        <row r="112">
          <cell r="A112" t="str">
            <v>310-4915</v>
          </cell>
          <cell r="B112" t="str">
            <v xml:space="preserve">CAT D6N LGP (SGG)                  </v>
          </cell>
          <cell r="C112" t="str">
            <v>DOUBLE FLANGE TRACK ROLLER</v>
          </cell>
          <cell r="D112">
            <v>900.53</v>
          </cell>
          <cell r="E112">
            <v>450.27</v>
          </cell>
          <cell r="F112" t="str">
            <v>UC</v>
          </cell>
          <cell r="G112">
            <v>16</v>
          </cell>
          <cell r="H112">
            <v>0</v>
          </cell>
          <cell r="I112">
            <v>0</v>
          </cell>
          <cell r="J112">
            <v>0</v>
          </cell>
          <cell r="K112">
            <v>16</v>
          </cell>
        </row>
        <row r="113">
          <cell r="A113" t="str">
            <v>310-4918</v>
          </cell>
          <cell r="B113" t="str">
            <v xml:space="preserve">CAT D6N LGP (GHS)                  </v>
          </cell>
          <cell r="C113" t="str">
            <v>DOUBLE FLANGE TRACK ROLLER (GUIDE AR)*</v>
          </cell>
          <cell r="D113">
            <v>1006.57</v>
          </cell>
          <cell r="E113">
            <v>503.29</v>
          </cell>
          <cell r="F113" t="str">
            <v>UC</v>
          </cell>
          <cell r="G113">
            <v>12</v>
          </cell>
          <cell r="H113">
            <v>0</v>
          </cell>
          <cell r="I113">
            <v>0</v>
          </cell>
          <cell r="J113">
            <v>0</v>
          </cell>
          <cell r="K113">
            <v>12</v>
          </cell>
        </row>
        <row r="114">
          <cell r="A114" t="str">
            <v>311-8150</v>
          </cell>
          <cell r="B114" t="str">
            <v xml:space="preserve">CAT 330 (LHW) CAT 330 (WCH) CAT 336F L (RKB)              </v>
          </cell>
          <cell r="C114" t="str">
            <v>TRACK NUT</v>
          </cell>
          <cell r="D114">
            <v>3.94</v>
          </cell>
          <cell r="E114">
            <v>1.97</v>
          </cell>
          <cell r="F114" t="str">
            <v>UC</v>
          </cell>
          <cell r="G114">
            <v>4396</v>
          </cell>
          <cell r="H114">
            <v>0</v>
          </cell>
          <cell r="I114">
            <v>0</v>
          </cell>
          <cell r="J114">
            <v>0</v>
          </cell>
          <cell r="K114">
            <v>4396</v>
          </cell>
        </row>
        <row r="115">
          <cell r="A115" t="str">
            <v>314-9972</v>
          </cell>
          <cell r="B115" t="str">
            <v xml:space="preserve">CAT D3 (1PJ)                  </v>
          </cell>
          <cell r="C115" t="str">
            <v>TURBOCHARGER ASSEMBLY</v>
          </cell>
          <cell r="D115">
            <v>4384.51</v>
          </cell>
          <cell r="E115">
            <v>2192.2600000000002</v>
          </cell>
          <cell r="F115" t="str">
            <v>ENGINE</v>
          </cell>
          <cell r="G115">
            <v>1</v>
          </cell>
          <cell r="H115">
            <v>0</v>
          </cell>
          <cell r="I115">
            <v>0</v>
          </cell>
          <cell r="J115">
            <v>0</v>
          </cell>
          <cell r="K115">
            <v>1</v>
          </cell>
        </row>
        <row r="116">
          <cell r="A116" t="str">
            <v>316-8889</v>
          </cell>
          <cell r="B116" t="str">
            <v xml:space="preserve">CAT 329F L (ERL)                  </v>
          </cell>
          <cell r="C116" t="str">
            <v xml:space="preserve">SEAT ASSEMBLY </v>
          </cell>
          <cell r="D116">
            <v>3384.84</v>
          </cell>
          <cell r="E116">
            <v>1692.42</v>
          </cell>
          <cell r="F116" t="str">
            <v>SEAT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2</v>
          </cell>
        </row>
        <row r="117">
          <cell r="A117" t="str">
            <v>316-8894</v>
          </cell>
          <cell r="B117" t="str">
            <v xml:space="preserve">CAT 329F L (ERL)                  </v>
          </cell>
          <cell r="C117" t="str">
            <v>SEAT SUSPENSION ASSEMBLY</v>
          </cell>
          <cell r="D117">
            <v>3739.65</v>
          </cell>
          <cell r="E117">
            <v>1869.83</v>
          </cell>
          <cell r="F117" t="str">
            <v>SEAT</v>
          </cell>
          <cell r="G117">
            <v>2</v>
          </cell>
          <cell r="H117">
            <v>0</v>
          </cell>
          <cell r="I117">
            <v>0</v>
          </cell>
          <cell r="J117">
            <v>0</v>
          </cell>
          <cell r="K117">
            <v>2</v>
          </cell>
        </row>
        <row r="118">
          <cell r="A118" t="str">
            <v>316-8895</v>
          </cell>
          <cell r="B118" t="str">
            <v xml:space="preserve">CAT 320F L (YBM) CAT 329E L (ZCD) CAT 330F L (MBX) CAT 330F L (HCK) CAT 336F L (RKB)          </v>
          </cell>
          <cell r="C118" t="str">
            <v>SEAT SUSPENSION ASSEMBLY</v>
          </cell>
          <cell r="D118">
            <v>4369.08</v>
          </cell>
          <cell r="E118">
            <v>2184.54</v>
          </cell>
          <cell r="F118" t="str">
            <v>SEAT</v>
          </cell>
          <cell r="G118">
            <v>6</v>
          </cell>
          <cell r="H118">
            <v>0</v>
          </cell>
          <cell r="I118">
            <v>0</v>
          </cell>
          <cell r="J118">
            <v>0</v>
          </cell>
          <cell r="K118">
            <v>6</v>
          </cell>
        </row>
        <row r="119">
          <cell r="A119" t="str">
            <v>318-2375</v>
          </cell>
          <cell r="B119" t="str">
            <v xml:space="preserve">CAT D6N LGP (PBA)                  </v>
          </cell>
          <cell r="C119" t="str">
            <v>TRACK LINK MASTER</v>
          </cell>
          <cell r="D119">
            <v>392.82</v>
          </cell>
          <cell r="E119">
            <v>196.41</v>
          </cell>
          <cell r="F119" t="str">
            <v>UC</v>
          </cell>
          <cell r="G119">
            <v>8</v>
          </cell>
          <cell r="H119">
            <v>0</v>
          </cell>
          <cell r="I119">
            <v>0</v>
          </cell>
          <cell r="J119">
            <v>0</v>
          </cell>
          <cell r="K119">
            <v>8</v>
          </cell>
        </row>
        <row r="120">
          <cell r="A120" t="str">
            <v>318-2558</v>
          </cell>
          <cell r="B120" t="str">
            <v xml:space="preserve">CAT 336F L (RKB)                  </v>
          </cell>
          <cell r="C120" t="str">
            <v>TRACK BOLT</v>
          </cell>
          <cell r="D120">
            <v>9.11</v>
          </cell>
          <cell r="E120">
            <v>4.5599999999999996</v>
          </cell>
          <cell r="F120" t="str">
            <v>UC</v>
          </cell>
          <cell r="G120">
            <v>396</v>
          </cell>
          <cell r="H120">
            <v>0</v>
          </cell>
          <cell r="I120">
            <v>0</v>
          </cell>
          <cell r="J120">
            <v>0</v>
          </cell>
          <cell r="K120">
            <v>396</v>
          </cell>
        </row>
        <row r="121">
          <cell r="A121" t="str">
            <v>320-0690</v>
          </cell>
          <cell r="B121" t="str">
            <v xml:space="preserve">CAT D6N LGP (GHS)                  </v>
          </cell>
          <cell r="C121" t="str">
            <v>FUEL INJECTOR</v>
          </cell>
          <cell r="D121">
            <v>1132.93</v>
          </cell>
          <cell r="E121">
            <v>566.47</v>
          </cell>
          <cell r="F121" t="str">
            <v>ENGINE</v>
          </cell>
          <cell r="G121">
            <v>6</v>
          </cell>
          <cell r="H121">
            <v>0</v>
          </cell>
          <cell r="I121">
            <v>0</v>
          </cell>
          <cell r="J121">
            <v>0</v>
          </cell>
          <cell r="K121">
            <v>6</v>
          </cell>
        </row>
        <row r="122">
          <cell r="A122" t="str">
            <v>321-3600</v>
          </cell>
          <cell r="B122" t="str">
            <v xml:space="preserve">CAT D4 (66J)                  </v>
          </cell>
          <cell r="C122" t="str">
            <v>FUEL INJECTOR</v>
          </cell>
          <cell r="D122">
            <v>1138.5999999999999</v>
          </cell>
          <cell r="E122">
            <v>569.29999999999995</v>
          </cell>
          <cell r="F122" t="str">
            <v>ENGINE</v>
          </cell>
          <cell r="G122">
            <v>6</v>
          </cell>
          <cell r="H122">
            <v>0</v>
          </cell>
          <cell r="I122">
            <v>0</v>
          </cell>
          <cell r="J122">
            <v>0</v>
          </cell>
          <cell r="K122">
            <v>6</v>
          </cell>
        </row>
        <row r="123">
          <cell r="A123" t="str">
            <v>322-3151</v>
          </cell>
          <cell r="B123" t="str">
            <v xml:space="preserve">CAT 330 (WCH)                  </v>
          </cell>
          <cell r="C123" t="str">
            <v>ENGINE OIL FILTER ELEMENT</v>
          </cell>
          <cell r="D123">
            <v>44.15</v>
          </cell>
          <cell r="E123">
            <v>16.78</v>
          </cell>
          <cell r="F123" t="str">
            <v>FILTER</v>
          </cell>
          <cell r="G123">
            <v>12</v>
          </cell>
          <cell r="H123">
            <v>6</v>
          </cell>
          <cell r="I123">
            <v>6</v>
          </cell>
          <cell r="J123">
            <v>6</v>
          </cell>
          <cell r="K123">
            <v>30</v>
          </cell>
        </row>
        <row r="124">
          <cell r="A124" t="str">
            <v>322-3155</v>
          </cell>
          <cell r="B124" t="str">
            <v xml:space="preserve">CAT 320E L (WBK) CAT 320F L (YBM) CAT 320 (HEX) CAT 320 (MYK) CAT 329E L (ZCD) CAT 329F L (ERL) CAT 330F L (MBX) CAT 330F L (HCK) CAT 330 (LHW)  </v>
          </cell>
          <cell r="C124" t="str">
            <v xml:space="preserve">ENGINE OIL FILTER ELEMENT </v>
          </cell>
          <cell r="D124">
            <v>44.15</v>
          </cell>
          <cell r="E124">
            <v>16.78</v>
          </cell>
          <cell r="F124" t="str">
            <v>Filter</v>
          </cell>
          <cell r="G124">
            <v>32</v>
          </cell>
          <cell r="H124">
            <v>16</v>
          </cell>
          <cell r="I124">
            <v>16</v>
          </cell>
          <cell r="J124">
            <v>16</v>
          </cell>
          <cell r="K124">
            <v>80</v>
          </cell>
        </row>
        <row r="125">
          <cell r="A125" t="str">
            <v>323-1168</v>
          </cell>
          <cell r="B125" t="str">
            <v xml:space="preserve">CAT D6N LGP (PBA)                  </v>
          </cell>
          <cell r="C125" t="str">
            <v>TRACK IDLER</v>
          </cell>
          <cell r="D125">
            <v>4087.57</v>
          </cell>
          <cell r="E125">
            <v>2043.79</v>
          </cell>
          <cell r="F125" t="str">
            <v>UC</v>
          </cell>
          <cell r="G125">
            <v>8</v>
          </cell>
          <cell r="H125">
            <v>0</v>
          </cell>
          <cell r="I125">
            <v>0</v>
          </cell>
          <cell r="J125">
            <v>0</v>
          </cell>
          <cell r="K125">
            <v>8</v>
          </cell>
        </row>
        <row r="126">
          <cell r="A126" t="str">
            <v>326-1643</v>
          </cell>
          <cell r="B126" t="str">
            <v xml:space="preserve">CAT 336F L (RKB) CAT D6 (RDC) CAT D6T (MH7)              </v>
          </cell>
          <cell r="C126" t="str">
            <v xml:space="preserve">FUEL WATER SEPARATOR </v>
          </cell>
          <cell r="D126">
            <v>104.86</v>
          </cell>
          <cell r="E126">
            <v>39.85</v>
          </cell>
          <cell r="F126" t="str">
            <v>FILTER</v>
          </cell>
          <cell r="G126">
            <v>9</v>
          </cell>
          <cell r="H126">
            <v>6</v>
          </cell>
          <cell r="I126">
            <v>9</v>
          </cell>
          <cell r="J126">
            <v>6</v>
          </cell>
          <cell r="K126">
            <v>30</v>
          </cell>
        </row>
        <row r="127">
          <cell r="A127" t="str">
            <v>326-1644</v>
          </cell>
          <cell r="B127" t="str">
            <v xml:space="preserve">CAT D6N LGP (GHS)                  </v>
          </cell>
          <cell r="C127" t="str">
            <v>FUEL WATER SEPARATOR **VERIFY**</v>
          </cell>
          <cell r="D127">
            <v>85.6</v>
          </cell>
          <cell r="E127">
            <v>32.53</v>
          </cell>
          <cell r="F127" t="str">
            <v>FILTER</v>
          </cell>
          <cell r="G127">
            <v>3</v>
          </cell>
          <cell r="H127">
            <v>2</v>
          </cell>
          <cell r="I127">
            <v>3</v>
          </cell>
          <cell r="J127">
            <v>2</v>
          </cell>
          <cell r="K127">
            <v>10</v>
          </cell>
        </row>
        <row r="128">
          <cell r="A128" t="str">
            <v>328-3655</v>
          </cell>
          <cell r="B128" t="str">
            <v xml:space="preserve">CAT D6N LGP (GHS)                  </v>
          </cell>
          <cell r="C128" t="str">
            <v xml:space="preserve">HYDRAULIC OIL FILTER ELEMENT </v>
          </cell>
          <cell r="D128">
            <v>204.36</v>
          </cell>
          <cell r="E128">
            <v>77.66</v>
          </cell>
          <cell r="F128" t="str">
            <v>FILTER</v>
          </cell>
          <cell r="G128">
            <v>2</v>
          </cell>
          <cell r="H128">
            <v>1</v>
          </cell>
          <cell r="I128">
            <v>1</v>
          </cell>
          <cell r="J128">
            <v>1</v>
          </cell>
          <cell r="K128">
            <v>5</v>
          </cell>
        </row>
        <row r="129">
          <cell r="A129" t="str">
            <v>329-3243</v>
          </cell>
          <cell r="B129" t="str">
            <v xml:space="preserve">CAT D6N LGP (PBA) CAT D6N LGP (SGG)                </v>
          </cell>
          <cell r="C129" t="str">
            <v>SECONDARY CABIN AIR FILTER ELEMENT</v>
          </cell>
          <cell r="D129">
            <v>79.09</v>
          </cell>
          <cell r="E129">
            <v>30.05</v>
          </cell>
          <cell r="F129" t="str">
            <v>FILTER</v>
          </cell>
          <cell r="G129">
            <v>6</v>
          </cell>
          <cell r="H129">
            <v>6</v>
          </cell>
          <cell r="I129">
            <v>0</v>
          </cell>
          <cell r="J129">
            <v>6</v>
          </cell>
          <cell r="K129">
            <v>18</v>
          </cell>
        </row>
        <row r="130">
          <cell r="A130" t="str">
            <v>331-8108</v>
          </cell>
          <cell r="B130" t="str">
            <v xml:space="preserve">CAT D6 (RDC) CAT D6T (MH7) CAT 561N (CPH)              </v>
          </cell>
          <cell r="C130" t="str">
            <v>SECONDARY AIR FILTER ELEMENT</v>
          </cell>
          <cell r="D130">
            <v>109.02</v>
          </cell>
          <cell r="E130">
            <v>41.43</v>
          </cell>
          <cell r="F130" t="str">
            <v>FILTER</v>
          </cell>
          <cell r="G130">
            <v>7</v>
          </cell>
          <cell r="H130">
            <v>7</v>
          </cell>
          <cell r="I130">
            <v>0</v>
          </cell>
          <cell r="J130">
            <v>7</v>
          </cell>
          <cell r="K130">
            <v>21</v>
          </cell>
        </row>
        <row r="131">
          <cell r="A131" t="str">
            <v>332-8903</v>
          </cell>
          <cell r="B131" t="str">
            <v xml:space="preserve">CAT 320E L (WBK) CAT 320F L (YBM) CAT 320 (HEX) CAT 320 (MYK)            </v>
          </cell>
          <cell r="C131" t="str">
            <v>TRACK SHOE 790MM</v>
          </cell>
          <cell r="D131">
            <v>179.13</v>
          </cell>
          <cell r="E131">
            <v>89.57</v>
          </cell>
          <cell r="F131" t="str">
            <v>UC</v>
          </cell>
          <cell r="G131">
            <v>588</v>
          </cell>
          <cell r="H131">
            <v>0</v>
          </cell>
          <cell r="I131">
            <v>0</v>
          </cell>
          <cell r="J131">
            <v>0</v>
          </cell>
          <cell r="K131">
            <v>588</v>
          </cell>
        </row>
        <row r="132">
          <cell r="A132" t="str">
            <v>334-8389</v>
          </cell>
          <cell r="B132" t="str">
            <v xml:space="preserve">CAT D7G (92V)                  </v>
          </cell>
          <cell r="C132" t="str">
            <v>CRANKSHAFT ASSY</v>
          </cell>
          <cell r="D132">
            <v>17640.77</v>
          </cell>
          <cell r="E132">
            <v>8820.39</v>
          </cell>
          <cell r="F132" t="str">
            <v>ENGINE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1</v>
          </cell>
        </row>
        <row r="133">
          <cell r="A133" t="str">
            <v>341-1417</v>
          </cell>
          <cell r="B133" t="str">
            <v xml:space="preserve">CAT 329E L (ZCD) CAT 329F L (ERL) CAT 330F L (MBX) CAT 330F L (HCK)            </v>
          </cell>
          <cell r="C133" t="str">
            <v>TRACK LINK ASSEMBLY</v>
          </cell>
          <cell r="D133">
            <v>10788.51</v>
          </cell>
          <cell r="E133">
            <v>5394.26</v>
          </cell>
          <cell r="F133" t="str">
            <v>UC</v>
          </cell>
          <cell r="G133">
            <v>12</v>
          </cell>
          <cell r="H133">
            <v>0</v>
          </cell>
          <cell r="I133">
            <v>0</v>
          </cell>
          <cell r="J133">
            <v>0</v>
          </cell>
          <cell r="K133">
            <v>12</v>
          </cell>
        </row>
        <row r="134">
          <cell r="A134" t="str">
            <v>341-2814</v>
          </cell>
          <cell r="B134" t="str">
            <v xml:space="preserve">CAT 320F L (YBM) CAT 320 (HEX) CAT 320 (MYK)              </v>
          </cell>
          <cell r="C134" t="str">
            <v>BUCKET CYLINDER</v>
          </cell>
          <cell r="D134">
            <v>22869.96</v>
          </cell>
          <cell r="E134">
            <v>8690.58</v>
          </cell>
          <cell r="F134" t="str">
            <v>GET</v>
          </cell>
          <cell r="G134">
            <v>4</v>
          </cell>
          <cell r="H134">
            <v>0</v>
          </cell>
          <cell r="I134">
            <v>0</v>
          </cell>
          <cell r="J134">
            <v>0</v>
          </cell>
          <cell r="K134">
            <v>4</v>
          </cell>
        </row>
        <row r="135">
          <cell r="A135" t="str">
            <v>346-6694</v>
          </cell>
          <cell r="B135" t="str">
            <v xml:space="preserve">CAT D6N LGP (PBA)                  </v>
          </cell>
          <cell r="C135" t="str">
            <v>SECONDARY AIR FILTER ELEMENT</v>
          </cell>
          <cell r="D135">
            <v>137.53</v>
          </cell>
          <cell r="E135">
            <v>52.26</v>
          </cell>
          <cell r="F135" t="str">
            <v>FILTER</v>
          </cell>
          <cell r="G135">
            <v>2</v>
          </cell>
          <cell r="H135">
            <v>2</v>
          </cell>
          <cell r="I135">
            <v>0</v>
          </cell>
          <cell r="J135">
            <v>2</v>
          </cell>
          <cell r="K135">
            <v>6</v>
          </cell>
        </row>
        <row r="136">
          <cell r="A136" t="str">
            <v>353-2186</v>
          </cell>
          <cell r="B136" t="str">
            <v xml:space="preserve">CAT D6N LGP (PBA)                  </v>
          </cell>
          <cell r="C136" t="str">
            <v>FRONT WEAR PLATE</v>
          </cell>
          <cell r="D136">
            <v>317.01</v>
          </cell>
          <cell r="E136">
            <v>158.51</v>
          </cell>
          <cell r="F136" t="str">
            <v>UC</v>
          </cell>
          <cell r="G136">
            <v>8</v>
          </cell>
          <cell r="H136">
            <v>0</v>
          </cell>
          <cell r="I136">
            <v>0</v>
          </cell>
          <cell r="J136">
            <v>0</v>
          </cell>
          <cell r="K136">
            <v>8</v>
          </cell>
        </row>
        <row r="137">
          <cell r="A137" t="str">
            <v>353-2187</v>
          </cell>
          <cell r="B137" t="str">
            <v xml:space="preserve">CAT D6N LGP (PBA)                  </v>
          </cell>
          <cell r="C137" t="str">
            <v>REAR WEAR PLATE</v>
          </cell>
          <cell r="D137">
            <v>369.71</v>
          </cell>
          <cell r="E137">
            <v>184.86</v>
          </cell>
          <cell r="F137" t="str">
            <v>UC</v>
          </cell>
          <cell r="G137">
            <v>8</v>
          </cell>
          <cell r="H137">
            <v>0</v>
          </cell>
          <cell r="I137">
            <v>0</v>
          </cell>
          <cell r="J137">
            <v>0</v>
          </cell>
          <cell r="K137">
            <v>8</v>
          </cell>
        </row>
        <row r="138">
          <cell r="A138" t="str">
            <v>356-3429</v>
          </cell>
          <cell r="B138" t="str">
            <v xml:space="preserve">CAT D6N LGP (SGG)                  </v>
          </cell>
          <cell r="C138" t="str">
            <v>TRACK SHOE 835MM</v>
          </cell>
          <cell r="D138">
            <v>197.96</v>
          </cell>
          <cell r="E138">
            <v>98.98</v>
          </cell>
          <cell r="F138" t="str">
            <v>UC</v>
          </cell>
          <cell r="G138">
            <v>180</v>
          </cell>
          <cell r="H138">
            <v>0</v>
          </cell>
          <cell r="I138">
            <v>0</v>
          </cell>
          <cell r="J138">
            <v>0</v>
          </cell>
          <cell r="K138">
            <v>180</v>
          </cell>
        </row>
        <row r="139">
          <cell r="A139" t="str">
            <v>356-3430</v>
          </cell>
          <cell r="B139" t="str">
            <v xml:space="preserve">CAT D6N LGP (SGG)                  </v>
          </cell>
          <cell r="C139" t="str">
            <v>TRACK SHOE MASTER</v>
          </cell>
          <cell r="D139">
            <v>209.96</v>
          </cell>
          <cell r="E139">
            <v>104.98</v>
          </cell>
          <cell r="F139" t="str">
            <v>UC</v>
          </cell>
          <cell r="G139">
            <v>4</v>
          </cell>
          <cell r="H139">
            <v>0</v>
          </cell>
          <cell r="I139">
            <v>0</v>
          </cell>
          <cell r="J139">
            <v>0</v>
          </cell>
          <cell r="K139">
            <v>4</v>
          </cell>
        </row>
        <row r="140">
          <cell r="A140" t="str">
            <v>357-6019</v>
          </cell>
          <cell r="B140" t="str">
            <v xml:space="preserve">CAT 561N (CPH) CAT 561N (CPH)                </v>
          </cell>
          <cell r="C140" t="str">
            <v>BOLT</v>
          </cell>
          <cell r="D140">
            <v>8.76</v>
          </cell>
          <cell r="E140">
            <v>4.38</v>
          </cell>
          <cell r="F140" t="str">
            <v>UC</v>
          </cell>
          <cell r="G140">
            <v>300</v>
          </cell>
          <cell r="H140">
            <v>0</v>
          </cell>
          <cell r="I140">
            <v>0</v>
          </cell>
          <cell r="J140">
            <v>0</v>
          </cell>
          <cell r="K140">
            <v>300</v>
          </cell>
        </row>
        <row r="141">
          <cell r="A141" t="str">
            <v>358-8557</v>
          </cell>
          <cell r="B141" t="str">
            <v xml:space="preserve">CAT PL61 (WGS)                  </v>
          </cell>
          <cell r="C141" t="str">
            <v>TRACK IDLER</v>
          </cell>
          <cell r="D141">
            <v>3032.3</v>
          </cell>
          <cell r="E141">
            <v>1516.15</v>
          </cell>
          <cell r="F141" t="str">
            <v>UC</v>
          </cell>
          <cell r="G141">
            <v>6</v>
          </cell>
          <cell r="H141">
            <v>0</v>
          </cell>
          <cell r="I141">
            <v>0</v>
          </cell>
          <cell r="J141">
            <v>0</v>
          </cell>
          <cell r="K141">
            <v>6</v>
          </cell>
        </row>
        <row r="142">
          <cell r="A142" t="str">
            <v>359-0128</v>
          </cell>
          <cell r="B142" t="str">
            <v xml:space="preserve">CAT 329E L (ZCD)                  </v>
          </cell>
          <cell r="C142" t="str">
            <v>SECONDARY TURBOCHARGER ASSEMBLY</v>
          </cell>
          <cell r="D142">
            <v>4722.29</v>
          </cell>
          <cell r="E142">
            <v>2361.15</v>
          </cell>
          <cell r="F142" t="str">
            <v>ENGINE</v>
          </cell>
          <cell r="G142">
            <v>1</v>
          </cell>
          <cell r="H142">
            <v>0</v>
          </cell>
          <cell r="I142">
            <v>0</v>
          </cell>
          <cell r="J142">
            <v>0</v>
          </cell>
          <cell r="K142">
            <v>1</v>
          </cell>
        </row>
        <row r="143">
          <cell r="A143" t="str">
            <v>360-8960</v>
          </cell>
          <cell r="B143" t="str">
            <v xml:space="preserve">CAT 320E L (WBK) CAT 320F L (YBM) CAT 329E L (ZCD) CAT 329F L (ERL) CAT 330F L (MBX) CAT 330F L (HCK) CAT D6N LGP (PBA) CAT D6N LGP (SGG)    </v>
          </cell>
          <cell r="C143" t="str">
            <v>FUEL FILTER ELEMENT</v>
          </cell>
          <cell r="D143">
            <v>51.88</v>
          </cell>
          <cell r="E143">
            <v>19.71</v>
          </cell>
          <cell r="F143" t="str">
            <v>Filter</v>
          </cell>
          <cell r="G143">
            <v>30</v>
          </cell>
          <cell r="H143">
            <v>15</v>
          </cell>
          <cell r="I143">
            <v>15</v>
          </cell>
          <cell r="J143">
            <v>15</v>
          </cell>
          <cell r="K143">
            <v>75</v>
          </cell>
        </row>
        <row r="144">
          <cell r="A144" t="str">
            <v>363-9402</v>
          </cell>
          <cell r="B144" t="str">
            <v xml:space="preserve">CAT 329E L (ZCD) CAT 329F L (ERL) CAT 330F L (MBX) CAT 330F L (HCK)            </v>
          </cell>
          <cell r="C144" t="str">
            <v>CABIN AIR FILTER ELEMENT</v>
          </cell>
          <cell r="D144">
            <v>94.42</v>
          </cell>
          <cell r="E144">
            <v>35.880000000000003</v>
          </cell>
          <cell r="F144" t="str">
            <v>Filter</v>
          </cell>
          <cell r="G144">
            <v>6</v>
          </cell>
          <cell r="H144">
            <v>6</v>
          </cell>
          <cell r="I144">
            <v>0</v>
          </cell>
          <cell r="J144">
            <v>6</v>
          </cell>
          <cell r="K144">
            <v>18</v>
          </cell>
        </row>
        <row r="145">
          <cell r="A145" t="str">
            <v>365-0751</v>
          </cell>
          <cell r="B145" t="str">
            <v xml:space="preserve">CAT PL61 (WGS)                  </v>
          </cell>
          <cell r="C145" t="str">
            <v>DUAL FLANGE ROLLER</v>
          </cell>
          <cell r="D145">
            <v>564.07000000000005</v>
          </cell>
          <cell r="E145">
            <v>282.04000000000002</v>
          </cell>
          <cell r="F145" t="str">
            <v>UC</v>
          </cell>
          <cell r="G145">
            <v>48</v>
          </cell>
          <cell r="H145">
            <v>0</v>
          </cell>
          <cell r="I145">
            <v>0</v>
          </cell>
          <cell r="J145">
            <v>0</v>
          </cell>
          <cell r="K145">
            <v>48</v>
          </cell>
        </row>
        <row r="146">
          <cell r="A146" t="str">
            <v>365-0752</v>
          </cell>
          <cell r="B146" t="str">
            <v xml:space="preserve">CAT PL61 (WGS)                  </v>
          </cell>
          <cell r="C146" t="str">
            <v>SINGLE FLANGE ROLLER</v>
          </cell>
          <cell r="D146">
            <v>537.23</v>
          </cell>
          <cell r="E146">
            <v>268.62</v>
          </cell>
          <cell r="F146" t="str">
            <v>UC</v>
          </cell>
          <cell r="G146">
            <v>48</v>
          </cell>
          <cell r="H146">
            <v>0</v>
          </cell>
          <cell r="I146">
            <v>0</v>
          </cell>
          <cell r="J146">
            <v>0</v>
          </cell>
          <cell r="K146">
            <v>48</v>
          </cell>
        </row>
        <row r="147">
          <cell r="A147" t="str">
            <v>370-7280</v>
          </cell>
          <cell r="B147" t="str">
            <v xml:space="preserve">CAT 320F L (YBM) CAT 320 (HEX) CAT 329E L (ZCD)              </v>
          </cell>
          <cell r="C147" t="str">
            <v>FUEL INJECTOR</v>
          </cell>
          <cell r="D147">
            <v>1474.09</v>
          </cell>
          <cell r="E147">
            <v>737.05</v>
          </cell>
          <cell r="F147" t="str">
            <v>ENGINE</v>
          </cell>
          <cell r="G147">
            <v>14</v>
          </cell>
          <cell r="H147">
            <v>0</v>
          </cell>
          <cell r="I147">
            <v>0</v>
          </cell>
          <cell r="J147">
            <v>0</v>
          </cell>
          <cell r="K147">
            <v>14</v>
          </cell>
        </row>
        <row r="148">
          <cell r="A148" t="str">
            <v>375-6431</v>
          </cell>
          <cell r="B148" t="str">
            <v xml:space="preserve">CAT PL61 (WGS)                  </v>
          </cell>
          <cell r="C148" t="str">
            <v>CARRIER ROLLER</v>
          </cell>
          <cell r="D148">
            <v>558.77</v>
          </cell>
          <cell r="E148">
            <v>279.39</v>
          </cell>
          <cell r="F148" t="str">
            <v>UC</v>
          </cell>
          <cell r="G148">
            <v>6</v>
          </cell>
          <cell r="H148">
            <v>0</v>
          </cell>
          <cell r="I148">
            <v>0</v>
          </cell>
          <cell r="J148">
            <v>0</v>
          </cell>
          <cell r="K148">
            <v>6</v>
          </cell>
        </row>
        <row r="149">
          <cell r="A149" t="str">
            <v>376-1274</v>
          </cell>
          <cell r="B149" t="str">
            <v xml:space="preserve">CAT D7G (92V)                  </v>
          </cell>
          <cell r="C149" t="str">
            <v>TRACK SHOE</v>
          </cell>
          <cell r="D149">
            <v>250.75</v>
          </cell>
          <cell r="E149">
            <v>125.38</v>
          </cell>
          <cell r="F149" t="str">
            <v>UC</v>
          </cell>
          <cell r="G149">
            <v>74</v>
          </cell>
          <cell r="H149">
            <v>0</v>
          </cell>
          <cell r="I149">
            <v>0</v>
          </cell>
          <cell r="J149">
            <v>0</v>
          </cell>
          <cell r="K149">
            <v>74</v>
          </cell>
        </row>
        <row r="150">
          <cell r="A150" t="str">
            <v>376-1275</v>
          </cell>
          <cell r="B150" t="str">
            <v xml:space="preserve">CAT D7G (92V)                  </v>
          </cell>
          <cell r="C150" t="str">
            <v>MASTER SHOE</v>
          </cell>
          <cell r="D150">
            <v>199.65</v>
          </cell>
          <cell r="E150">
            <v>99.83</v>
          </cell>
          <cell r="F150" t="str">
            <v>UC</v>
          </cell>
          <cell r="G150">
            <v>2</v>
          </cell>
          <cell r="H150">
            <v>0</v>
          </cell>
          <cell r="I150">
            <v>0</v>
          </cell>
          <cell r="J150">
            <v>0</v>
          </cell>
          <cell r="K150">
            <v>2</v>
          </cell>
        </row>
        <row r="151">
          <cell r="A151" t="str">
            <v>376-2025</v>
          </cell>
          <cell r="B151" t="str">
            <v xml:space="preserve">CAT 303.5E                  </v>
          </cell>
          <cell r="C151" t="str">
            <v>HYDRAULIC PUMP</v>
          </cell>
          <cell r="D151">
            <v>7622.73</v>
          </cell>
          <cell r="E151">
            <v>3811.37</v>
          </cell>
          <cell r="F151" t="str">
            <v>GET</v>
          </cell>
          <cell r="G151">
            <v>1</v>
          </cell>
          <cell r="H151">
            <v>0</v>
          </cell>
          <cell r="I151">
            <v>0</v>
          </cell>
          <cell r="J151">
            <v>0</v>
          </cell>
          <cell r="K151">
            <v>1</v>
          </cell>
        </row>
        <row r="152">
          <cell r="A152" t="str">
            <v>377-2989</v>
          </cell>
          <cell r="B152" t="str">
            <v xml:space="preserve">CAT D7G (92V)                  </v>
          </cell>
          <cell r="C152" t="str">
            <v>TRACK IDLER</v>
          </cell>
          <cell r="D152">
            <v>3497.04</v>
          </cell>
          <cell r="E152">
            <v>1748.52</v>
          </cell>
          <cell r="F152" t="str">
            <v>UC</v>
          </cell>
          <cell r="G152">
            <v>2</v>
          </cell>
          <cell r="H152">
            <v>0</v>
          </cell>
          <cell r="I152">
            <v>0</v>
          </cell>
          <cell r="J152">
            <v>0</v>
          </cell>
          <cell r="K152">
            <v>2</v>
          </cell>
        </row>
        <row r="153">
          <cell r="A153" t="str">
            <v>377-6969</v>
          </cell>
          <cell r="B153" t="str">
            <v xml:space="preserve">CAT 303.5E                  </v>
          </cell>
          <cell r="C153" t="str">
            <v>ENGINE OIL FILTER</v>
          </cell>
          <cell r="D153">
            <v>40.69</v>
          </cell>
          <cell r="E153">
            <v>15.46</v>
          </cell>
          <cell r="F153" t="str">
            <v>Filter</v>
          </cell>
          <cell r="G153">
            <v>2</v>
          </cell>
          <cell r="H153">
            <v>1</v>
          </cell>
          <cell r="I153">
            <v>1</v>
          </cell>
          <cell r="J153">
            <v>1</v>
          </cell>
          <cell r="K153">
            <v>5</v>
          </cell>
        </row>
        <row r="154">
          <cell r="A154" t="str">
            <v>379-8893</v>
          </cell>
          <cell r="B154" t="str">
            <v xml:space="preserve">CAT PL61 (WGS)                  </v>
          </cell>
          <cell r="C154" t="str">
            <v>TRACK SHOE</v>
          </cell>
          <cell r="D154">
            <v>131.6</v>
          </cell>
          <cell r="E154">
            <v>65.8</v>
          </cell>
          <cell r="F154" t="str">
            <v>UC</v>
          </cell>
          <cell r="G154">
            <v>234</v>
          </cell>
          <cell r="H154">
            <v>0</v>
          </cell>
          <cell r="I154">
            <v>0</v>
          </cell>
          <cell r="J154">
            <v>0</v>
          </cell>
          <cell r="K154">
            <v>234</v>
          </cell>
        </row>
        <row r="155">
          <cell r="A155" t="str">
            <v>379-8894</v>
          </cell>
          <cell r="B155" t="str">
            <v xml:space="preserve">CAT PL61 (WGS)                  </v>
          </cell>
          <cell r="C155" t="str">
            <v>MASTER SHOE</v>
          </cell>
          <cell r="D155">
            <v>143.16999999999999</v>
          </cell>
          <cell r="E155">
            <v>71.59</v>
          </cell>
          <cell r="F155" t="str">
            <v>UC</v>
          </cell>
          <cell r="G155">
            <v>6</v>
          </cell>
          <cell r="H155">
            <v>0</v>
          </cell>
          <cell r="I155">
            <v>0</v>
          </cell>
          <cell r="J155">
            <v>0</v>
          </cell>
          <cell r="K155">
            <v>6</v>
          </cell>
        </row>
        <row r="156">
          <cell r="A156" t="str">
            <v>383-0293</v>
          </cell>
          <cell r="B156" t="str">
            <v xml:space="preserve">CAT 303.5E                  </v>
          </cell>
          <cell r="C156" t="str">
            <v>OIL PUMP ENGINE</v>
          </cell>
          <cell r="D156">
            <v>831.44</v>
          </cell>
          <cell r="E156">
            <v>415.72</v>
          </cell>
          <cell r="F156" t="str">
            <v>GET</v>
          </cell>
          <cell r="G156">
            <v>1</v>
          </cell>
          <cell r="H156">
            <v>0</v>
          </cell>
          <cell r="I156">
            <v>0</v>
          </cell>
          <cell r="J156">
            <v>0</v>
          </cell>
          <cell r="K156">
            <v>1</v>
          </cell>
        </row>
        <row r="157">
          <cell r="A157" t="str">
            <v>383-0433</v>
          </cell>
          <cell r="B157" t="str">
            <v xml:space="preserve">CAT 303.5E                  </v>
          </cell>
          <cell r="C157" t="str">
            <v>WATER PUMP</v>
          </cell>
          <cell r="D157">
            <v>512.79</v>
          </cell>
          <cell r="E157">
            <v>256.39999999999998</v>
          </cell>
          <cell r="F157" t="str">
            <v>GET</v>
          </cell>
          <cell r="G157">
            <v>1</v>
          </cell>
          <cell r="H157">
            <v>0</v>
          </cell>
          <cell r="I157">
            <v>0</v>
          </cell>
          <cell r="J157">
            <v>0</v>
          </cell>
          <cell r="K157">
            <v>1</v>
          </cell>
        </row>
        <row r="158">
          <cell r="A158" t="str">
            <v>383-0544</v>
          </cell>
          <cell r="B158" t="str">
            <v xml:space="preserve">CAT 303.5E                  </v>
          </cell>
          <cell r="C158" t="str">
            <v xml:space="preserve">FUEL INJECTOR NOZZLE </v>
          </cell>
          <cell r="D158">
            <v>974.18</v>
          </cell>
          <cell r="E158">
            <v>487.09</v>
          </cell>
          <cell r="F158" t="str">
            <v>ENGINE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3</v>
          </cell>
        </row>
        <row r="159">
          <cell r="A159" t="str">
            <v>384-5674</v>
          </cell>
          <cell r="B159" t="str">
            <v xml:space="preserve">CAT 303.5E                  </v>
          </cell>
          <cell r="C159" t="str">
            <v xml:space="preserve">SUSPENSION SEAT ASSEMBLY </v>
          </cell>
          <cell r="D159">
            <v>3786.04</v>
          </cell>
          <cell r="E159">
            <v>1893.02</v>
          </cell>
          <cell r="F159" t="str">
            <v>SEAT</v>
          </cell>
          <cell r="G159">
            <v>1</v>
          </cell>
          <cell r="H159">
            <v>0</v>
          </cell>
          <cell r="I159">
            <v>0</v>
          </cell>
          <cell r="J159">
            <v>0</v>
          </cell>
          <cell r="K159">
            <v>1</v>
          </cell>
        </row>
        <row r="160">
          <cell r="A160" t="str">
            <v>386-6920</v>
          </cell>
          <cell r="B160" t="str">
            <v xml:space="preserve">CAT 303.5E                  </v>
          </cell>
          <cell r="C160" t="str">
            <v>CYLINDER HEAD</v>
          </cell>
          <cell r="D160">
            <v>3744.05</v>
          </cell>
          <cell r="E160">
            <v>1872.03</v>
          </cell>
          <cell r="F160" t="str">
            <v>ENGINE</v>
          </cell>
          <cell r="G160">
            <v>1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</row>
        <row r="161">
          <cell r="A161" t="str">
            <v>386-6934</v>
          </cell>
          <cell r="B161" t="str">
            <v xml:space="preserve">CAT 303.5E                  </v>
          </cell>
          <cell r="C161" t="str">
            <v>CAMSHAFT AS</v>
          </cell>
          <cell r="D161">
            <v>515.16999999999996</v>
          </cell>
          <cell r="E161">
            <v>257.58999999999997</v>
          </cell>
          <cell r="F161" t="str">
            <v>ENGINE</v>
          </cell>
          <cell r="G161">
            <v>1</v>
          </cell>
          <cell r="H161">
            <v>0</v>
          </cell>
          <cell r="I161">
            <v>0</v>
          </cell>
          <cell r="J161">
            <v>0</v>
          </cell>
          <cell r="K161">
            <v>1</v>
          </cell>
        </row>
        <row r="162">
          <cell r="A162" t="str">
            <v>386-6936</v>
          </cell>
          <cell r="B162" t="str">
            <v xml:space="preserve">CAT 303.5E                  </v>
          </cell>
          <cell r="C162" t="str">
            <v>CRANKSHAFT ASSY</v>
          </cell>
          <cell r="D162">
            <v>4035.36</v>
          </cell>
          <cell r="E162">
            <v>2017.68</v>
          </cell>
          <cell r="F162" t="str">
            <v>ENGINE</v>
          </cell>
          <cell r="G162">
            <v>1</v>
          </cell>
          <cell r="H162">
            <v>0</v>
          </cell>
          <cell r="I162">
            <v>0</v>
          </cell>
          <cell r="J162">
            <v>0</v>
          </cell>
          <cell r="K162">
            <v>1</v>
          </cell>
        </row>
        <row r="163">
          <cell r="A163" t="str">
            <v>3B4504 </v>
          </cell>
          <cell r="B163" t="str">
            <v xml:space="preserve">CAT D4 (66J)                  </v>
          </cell>
          <cell r="C163" t="str">
            <v>FLAT WASHER</v>
          </cell>
          <cell r="D163">
            <v>0.33</v>
          </cell>
          <cell r="E163">
            <v>0.17</v>
          </cell>
          <cell r="F163" t="str">
            <v>UC</v>
          </cell>
          <cell r="G163">
            <v>12</v>
          </cell>
          <cell r="H163">
            <v>0</v>
          </cell>
          <cell r="I163">
            <v>0</v>
          </cell>
          <cell r="J163">
            <v>0</v>
          </cell>
          <cell r="K163">
            <v>12</v>
          </cell>
        </row>
        <row r="164">
          <cell r="A164" t="str">
            <v>3B-4632</v>
          </cell>
          <cell r="B164" t="str">
            <v xml:space="preserve">CAT D3 (1PJ)                  </v>
          </cell>
          <cell r="C164" t="str">
            <v>COTTER PIN</v>
          </cell>
          <cell r="D164">
            <v>1.18</v>
          </cell>
          <cell r="E164">
            <v>0.45</v>
          </cell>
          <cell r="F164" t="str">
            <v>GET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1</v>
          </cell>
        </row>
        <row r="165">
          <cell r="A165" t="str">
            <v>3B-5325</v>
          </cell>
          <cell r="B165" t="str">
            <v xml:space="preserve">CAT D6N LGP (PBA) CAT D6N LGP (SGG) CAT D6T (MH7)              </v>
          </cell>
          <cell r="C165" t="str">
            <v>COTTER PIN</v>
          </cell>
          <cell r="D165">
            <v>7.67</v>
          </cell>
          <cell r="E165">
            <v>2.91</v>
          </cell>
          <cell r="F165" t="str">
            <v>GET</v>
          </cell>
          <cell r="G165">
            <v>30</v>
          </cell>
          <cell r="H165">
            <v>0</v>
          </cell>
          <cell r="I165">
            <v>0</v>
          </cell>
          <cell r="J165">
            <v>0</v>
          </cell>
          <cell r="K165">
            <v>30</v>
          </cell>
        </row>
        <row r="166">
          <cell r="A166" t="str">
            <v>3F-5108</v>
          </cell>
          <cell r="B166" t="str">
            <v xml:space="preserve">CAT D3 (1PJ)                  </v>
          </cell>
          <cell r="C166" t="str">
            <v>BOLT</v>
          </cell>
          <cell r="D166">
            <v>3.22</v>
          </cell>
          <cell r="E166">
            <v>1.22</v>
          </cell>
          <cell r="F166" t="str">
            <v>GET</v>
          </cell>
          <cell r="G166">
            <v>18</v>
          </cell>
          <cell r="H166">
            <v>0</v>
          </cell>
          <cell r="I166">
            <v>0</v>
          </cell>
          <cell r="J166">
            <v>0</v>
          </cell>
          <cell r="K166">
            <v>18</v>
          </cell>
        </row>
        <row r="167">
          <cell r="A167" t="str">
            <v>3G-3424</v>
          </cell>
          <cell r="B167" t="str">
            <v xml:space="preserve">CAT D3 (1PJ)                  </v>
          </cell>
          <cell r="C167" t="str">
            <v>BLADE AS</v>
          </cell>
          <cell r="D167">
            <v>11144.2</v>
          </cell>
          <cell r="E167">
            <v>4234.8</v>
          </cell>
          <cell r="F167" t="str">
            <v>GET</v>
          </cell>
          <cell r="G167">
            <v>1</v>
          </cell>
          <cell r="H167">
            <v>0</v>
          </cell>
          <cell r="I167">
            <v>0</v>
          </cell>
          <cell r="J167">
            <v>0</v>
          </cell>
          <cell r="K167">
            <v>1</v>
          </cell>
        </row>
        <row r="168">
          <cell r="A168" t="str">
            <v>3j6571</v>
          </cell>
          <cell r="B168" t="str">
            <v xml:space="preserve">CAT D7G (92V)                  </v>
          </cell>
          <cell r="C168" t="str">
            <v>BLADE ASSEMBLY</v>
          </cell>
          <cell r="D168">
            <v>27033.599999999999</v>
          </cell>
          <cell r="E168">
            <v>10272.77</v>
          </cell>
          <cell r="F168" t="str">
            <v>GET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</row>
        <row r="169">
          <cell r="A169" t="str">
            <v>3S-8182</v>
          </cell>
          <cell r="B169" t="str">
            <v xml:space="preserve">CAT D5 (3CR) CAT 561N (CPH) CAT PL61 (WGS)              </v>
          </cell>
          <cell r="C169" t="str">
            <v>SPROCKET BOLT</v>
          </cell>
          <cell r="D169">
            <v>2.94</v>
          </cell>
          <cell r="E169">
            <v>1.47</v>
          </cell>
          <cell r="F169" t="str">
            <v>UC</v>
          </cell>
          <cell r="G169">
            <v>442</v>
          </cell>
          <cell r="H169">
            <v>0</v>
          </cell>
          <cell r="I169">
            <v>0</v>
          </cell>
          <cell r="J169">
            <v>0</v>
          </cell>
          <cell r="K169">
            <v>442</v>
          </cell>
        </row>
        <row r="170">
          <cell r="A170" t="str">
            <v>3T-3884</v>
          </cell>
          <cell r="B170" t="str">
            <v xml:space="preserve">CAT D5 (3CR) CAT 561N (CPH)                </v>
          </cell>
          <cell r="C170" t="str">
            <v>TRACK BOLT</v>
          </cell>
          <cell r="D170">
            <v>5.51</v>
          </cell>
          <cell r="E170">
            <v>2.76</v>
          </cell>
          <cell r="F170" t="str">
            <v>UC</v>
          </cell>
          <cell r="G170">
            <v>606</v>
          </cell>
          <cell r="H170">
            <v>0</v>
          </cell>
          <cell r="I170">
            <v>0</v>
          </cell>
          <cell r="J170">
            <v>0</v>
          </cell>
          <cell r="K170">
            <v>606</v>
          </cell>
        </row>
        <row r="171">
          <cell r="A171" t="str">
            <v>3T-3889</v>
          </cell>
          <cell r="B171" t="str">
            <v xml:space="preserve">CAT D5 (3CR) CAT 561N (CPH)                </v>
          </cell>
          <cell r="C171" t="str">
            <v>TRACK BOLT MASTER</v>
          </cell>
          <cell r="D171">
            <v>6.45</v>
          </cell>
          <cell r="E171">
            <v>3.23</v>
          </cell>
          <cell r="F171" t="str">
            <v>UC</v>
          </cell>
          <cell r="G171">
            <v>14</v>
          </cell>
          <cell r="H171">
            <v>0</v>
          </cell>
          <cell r="I171">
            <v>0</v>
          </cell>
          <cell r="J171">
            <v>0</v>
          </cell>
          <cell r="K171">
            <v>14</v>
          </cell>
        </row>
        <row r="172">
          <cell r="A172" t="str">
            <v>421-3007</v>
          </cell>
          <cell r="B172" t="str">
            <v xml:space="preserve">CAT 320F L (YBM) CAT 320 (HEX)                </v>
          </cell>
          <cell r="C172" t="str">
            <v>PRIMARY TURBOCHARGER ASSEMBLY</v>
          </cell>
          <cell r="D172">
            <v>3725.79</v>
          </cell>
          <cell r="E172">
            <v>1862.9</v>
          </cell>
          <cell r="F172" t="str">
            <v>ENGINE</v>
          </cell>
          <cell r="G172">
            <v>2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</row>
        <row r="173">
          <cell r="A173" t="str">
            <v>422-0864</v>
          </cell>
          <cell r="B173" t="str">
            <v xml:space="preserve">CAT 303.5E                  </v>
          </cell>
          <cell r="C173" t="str">
            <v>CARRIER ROLLER</v>
          </cell>
          <cell r="D173">
            <v>403.56</v>
          </cell>
          <cell r="E173">
            <v>201.78</v>
          </cell>
          <cell r="F173" t="str">
            <v>UC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2</v>
          </cell>
        </row>
        <row r="174">
          <cell r="A174" t="str">
            <v>424-3436</v>
          </cell>
          <cell r="B174" t="str">
            <v xml:space="preserve">CAT 336F L (RKB)                  </v>
          </cell>
          <cell r="C174" t="str">
            <v>TURBOCHARGER ASSEMBLY</v>
          </cell>
          <cell r="D174">
            <v>7358.86</v>
          </cell>
          <cell r="E174">
            <v>3679.43</v>
          </cell>
          <cell r="F174" t="str">
            <v>ENGINE</v>
          </cell>
          <cell r="G174">
            <v>1</v>
          </cell>
          <cell r="H174">
            <v>0</v>
          </cell>
          <cell r="I174">
            <v>0</v>
          </cell>
          <cell r="J174">
            <v>0</v>
          </cell>
          <cell r="K174">
            <v>1</v>
          </cell>
        </row>
        <row r="175">
          <cell r="A175" t="str">
            <v>428-0056</v>
          </cell>
          <cell r="B175" t="str">
            <v xml:space="preserve">CAT D7G (92V)                  </v>
          </cell>
          <cell r="C175" t="str">
            <v>CARRIER ROLLER</v>
          </cell>
          <cell r="D175">
            <v>722.36</v>
          </cell>
          <cell r="E175">
            <v>361.18</v>
          </cell>
          <cell r="F175" t="str">
            <v>UC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2</v>
          </cell>
        </row>
        <row r="176">
          <cell r="A176" t="str">
            <v>433-3886</v>
          </cell>
          <cell r="B176" t="str">
            <v xml:space="preserve">CAT 303.5E                  </v>
          </cell>
          <cell r="C176" t="str">
            <v>BLADE - PUSH REPLACMENT WELD ON EDGE</v>
          </cell>
          <cell r="D176">
            <v>147.55000000000001</v>
          </cell>
          <cell r="E176">
            <v>56.07</v>
          </cell>
          <cell r="F176" t="str">
            <v>GET</v>
          </cell>
          <cell r="G176">
            <v>1</v>
          </cell>
          <cell r="H176">
            <v>0</v>
          </cell>
          <cell r="I176">
            <v>0</v>
          </cell>
          <cell r="J176">
            <v>0</v>
          </cell>
          <cell r="K176">
            <v>1</v>
          </cell>
        </row>
        <row r="177">
          <cell r="A177" t="str">
            <v>443-0318</v>
          </cell>
          <cell r="B177" t="str">
            <v xml:space="preserve">CAT 329E L (ZCD)                  </v>
          </cell>
          <cell r="C177" t="str">
            <v>PRIMARY TURBOCHARGER ASSEMBLY</v>
          </cell>
          <cell r="D177">
            <v>3927.73</v>
          </cell>
          <cell r="E177">
            <v>1963.87</v>
          </cell>
          <cell r="F177" t="str">
            <v>ENGINE</v>
          </cell>
          <cell r="G177">
            <v>1</v>
          </cell>
          <cell r="H177">
            <v>0</v>
          </cell>
          <cell r="I177">
            <v>0</v>
          </cell>
          <cell r="J177">
            <v>0</v>
          </cell>
          <cell r="K177">
            <v>1</v>
          </cell>
        </row>
        <row r="178">
          <cell r="A178" t="str">
            <v>447-1707</v>
          </cell>
          <cell r="B178" t="str">
            <v xml:space="preserve">CAT 320E L (WBK) CAT 320F L (YBM) CAT 320 (HEX) CAT 320 (MYK)            </v>
          </cell>
          <cell r="C178" t="str">
            <v>IDLER BOLT</v>
          </cell>
          <cell r="D178">
            <v>7.85</v>
          </cell>
          <cell r="E178">
            <v>3.93</v>
          </cell>
          <cell r="F178" t="str">
            <v>UC</v>
          </cell>
          <cell r="G178">
            <v>48</v>
          </cell>
          <cell r="H178">
            <v>0</v>
          </cell>
          <cell r="I178">
            <v>0</v>
          </cell>
          <cell r="J178">
            <v>0</v>
          </cell>
          <cell r="K178">
            <v>48</v>
          </cell>
        </row>
        <row r="179">
          <cell r="A179" t="str">
            <v>447-1718</v>
          </cell>
          <cell r="B179" t="str">
            <v xml:space="preserve">CAT 329E L (ZCD) CAT 329F L (ERL) CAT 330F L (MBX) CAT 330F L (HCK)            </v>
          </cell>
          <cell r="C179" t="str">
            <v>IDLER BOLT</v>
          </cell>
          <cell r="D179">
            <v>10.24</v>
          </cell>
          <cell r="E179">
            <v>5.12</v>
          </cell>
          <cell r="F179" t="str">
            <v>UC</v>
          </cell>
          <cell r="G179">
            <v>48</v>
          </cell>
          <cell r="H179">
            <v>0</v>
          </cell>
          <cell r="I179">
            <v>0</v>
          </cell>
          <cell r="J179">
            <v>0</v>
          </cell>
          <cell r="K179">
            <v>48</v>
          </cell>
        </row>
        <row r="180">
          <cell r="A180" t="str">
            <v>447-1720</v>
          </cell>
          <cell r="B180" t="str">
            <v xml:space="preserve">CAT 330 (LHW) CAT 330 (WCH)                </v>
          </cell>
          <cell r="C180" t="str">
            <v>IDLER BOLT</v>
          </cell>
          <cell r="D180">
            <v>14.28</v>
          </cell>
          <cell r="E180">
            <v>7.14</v>
          </cell>
          <cell r="F180" t="str">
            <v>UC</v>
          </cell>
          <cell r="G180">
            <v>80</v>
          </cell>
          <cell r="H180">
            <v>0</v>
          </cell>
          <cell r="I180">
            <v>0</v>
          </cell>
          <cell r="J180">
            <v>0</v>
          </cell>
          <cell r="K180">
            <v>80</v>
          </cell>
        </row>
        <row r="181">
          <cell r="A181" t="str">
            <v>447-1723</v>
          </cell>
          <cell r="B181" t="str">
            <v xml:space="preserve">CAT 336F L (RKB)                  </v>
          </cell>
          <cell r="C181" t="str">
            <v>ROLLER BOLT</v>
          </cell>
          <cell r="D181">
            <v>31.86</v>
          </cell>
          <cell r="E181">
            <v>15.93</v>
          </cell>
          <cell r="F181" t="str">
            <v>UC</v>
          </cell>
          <cell r="G181">
            <v>72</v>
          </cell>
          <cell r="H181">
            <v>0</v>
          </cell>
          <cell r="I181">
            <v>0</v>
          </cell>
          <cell r="J181">
            <v>0</v>
          </cell>
          <cell r="K181">
            <v>72</v>
          </cell>
        </row>
        <row r="182">
          <cell r="A182" t="str">
            <v>447-1725</v>
          </cell>
          <cell r="B182" t="str">
            <v xml:space="preserve">CAT 320E L (WBK) CAT 320F L (YBM) CAT 320 (HEX) CAT 320 (MYK) CAT 329F L (ERL) CAT 330F L (MBX) CAT 330F L (HCK) CAT 330 (LHW) CAT 330 (WCH)  </v>
          </cell>
          <cell r="C182" t="str">
            <v>HEX HEAD BOLT</v>
          </cell>
          <cell r="D182">
            <v>23.18</v>
          </cell>
          <cell r="E182">
            <v>11.59</v>
          </cell>
          <cell r="F182" t="str">
            <v>UC</v>
          </cell>
          <cell r="G182">
            <v>84</v>
          </cell>
          <cell r="H182">
            <v>0</v>
          </cell>
          <cell r="I182">
            <v>0</v>
          </cell>
          <cell r="J182">
            <v>0</v>
          </cell>
          <cell r="K182">
            <v>84</v>
          </cell>
        </row>
        <row r="183">
          <cell r="A183" t="str">
            <v>447-1731</v>
          </cell>
          <cell r="B183" t="str">
            <v>CAT 320E L (WBK) CAT 320F L (YBM) CAT 320 (HEX) CAT 320 (MYK) CAT 329E L (ZCD) CAT 329F L (ERL) CAT 330F L (MBX) CAT 330F L (HCK) CAT 330 (LHW) CAT 330 (WCH)</v>
          </cell>
          <cell r="C183" t="str">
            <v>HEX HEAD BOLT</v>
          </cell>
          <cell r="D183">
            <v>20.079999999999998</v>
          </cell>
          <cell r="E183">
            <v>10.039999999999999</v>
          </cell>
          <cell r="F183" t="str">
            <v>UC</v>
          </cell>
          <cell r="G183">
            <v>1536</v>
          </cell>
          <cell r="H183">
            <v>0</v>
          </cell>
          <cell r="I183">
            <v>0</v>
          </cell>
          <cell r="J183">
            <v>0</v>
          </cell>
          <cell r="K183">
            <v>1536</v>
          </cell>
        </row>
        <row r="184">
          <cell r="A184" t="str">
            <v>451-2176</v>
          </cell>
          <cell r="B184" t="str">
            <v>CAT 320E L (WBK) CAT 320F L (YBM) CAT 320 (HEX) CAT 320 (MYK) CAT 329E L (ZCD) CAT 329F L (ERL) CAT 330F L (MBX) CAT 330F L (HCK) CAT 330 (LHW) CAT 330 (WCH)</v>
          </cell>
          <cell r="C184" t="str">
            <v>FLAT WASHER</v>
          </cell>
          <cell r="D184">
            <v>2.99</v>
          </cell>
          <cell r="E184">
            <v>1.5</v>
          </cell>
          <cell r="F184" t="str">
            <v>UC</v>
          </cell>
          <cell r="G184">
            <v>1536</v>
          </cell>
          <cell r="H184">
            <v>0</v>
          </cell>
          <cell r="I184">
            <v>0</v>
          </cell>
          <cell r="J184">
            <v>0</v>
          </cell>
          <cell r="K184">
            <v>1536</v>
          </cell>
        </row>
        <row r="185">
          <cell r="A185" t="str">
            <v>451-2177</v>
          </cell>
          <cell r="B185" t="str">
            <v xml:space="preserve">CAT 336F L (RKB)                  </v>
          </cell>
          <cell r="C185" t="str">
            <v>FLAT WASHER</v>
          </cell>
          <cell r="D185">
            <v>4.9800000000000004</v>
          </cell>
          <cell r="E185">
            <v>2.4900000000000002</v>
          </cell>
          <cell r="F185" t="str">
            <v>UC</v>
          </cell>
          <cell r="G185">
            <v>72</v>
          </cell>
          <cell r="H185">
            <v>0</v>
          </cell>
          <cell r="I185">
            <v>0</v>
          </cell>
          <cell r="J185">
            <v>0</v>
          </cell>
          <cell r="K185">
            <v>72</v>
          </cell>
        </row>
        <row r="186">
          <cell r="A186" t="str">
            <v>453-2855</v>
          </cell>
          <cell r="B186" t="str">
            <v xml:space="preserve">CAT 336F L (RKB)                  </v>
          </cell>
          <cell r="C186" t="str">
            <v>CARRIER BOLT</v>
          </cell>
          <cell r="D186">
            <v>26.18</v>
          </cell>
          <cell r="E186">
            <v>13.09</v>
          </cell>
          <cell r="F186" t="str">
            <v>UC</v>
          </cell>
          <cell r="G186">
            <v>4</v>
          </cell>
          <cell r="H186">
            <v>0</v>
          </cell>
          <cell r="I186">
            <v>0</v>
          </cell>
          <cell r="J186">
            <v>0</v>
          </cell>
          <cell r="K186">
            <v>4</v>
          </cell>
        </row>
        <row r="187">
          <cell r="A187" t="str">
            <v>456-1742</v>
          </cell>
          <cell r="B187" t="str">
            <v xml:space="preserve">CAT D7G (92V)                  </v>
          </cell>
          <cell r="C187" t="str">
            <v>TRACK LINK 38 JOINT</v>
          </cell>
          <cell r="D187">
            <v>8201.7900000000009</v>
          </cell>
          <cell r="E187">
            <v>4100.8999999999996</v>
          </cell>
          <cell r="F187" t="str">
            <v>UC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2</v>
          </cell>
        </row>
        <row r="188">
          <cell r="A188" t="str">
            <v>456-3509</v>
          </cell>
          <cell r="B188" t="str">
            <v xml:space="preserve">CAT 336F L (RKB) CAT D6T (MH7)                </v>
          </cell>
          <cell r="C188" t="str">
            <v xml:space="preserve">FUEL INJECTOR </v>
          </cell>
          <cell r="D188">
            <v>1474.09</v>
          </cell>
          <cell r="E188">
            <v>737.05</v>
          </cell>
          <cell r="F188" t="str">
            <v>ENGINE</v>
          </cell>
          <cell r="G188">
            <v>12</v>
          </cell>
          <cell r="H188">
            <v>0</v>
          </cell>
          <cell r="I188">
            <v>0</v>
          </cell>
          <cell r="J188">
            <v>0</v>
          </cell>
          <cell r="K188">
            <v>12</v>
          </cell>
        </row>
        <row r="189">
          <cell r="A189" t="str">
            <v>457-3636</v>
          </cell>
          <cell r="B189" t="str">
            <v xml:space="preserve">CAT 329F L (ERL) CAT 330F L (MBX) CAT 330F L (HCK) CAT 330 (LHW) CAT 330 (WCH)          </v>
          </cell>
          <cell r="C189" t="str">
            <v>PRIMARY TURBOCHARGER ASSEMBLY</v>
          </cell>
          <cell r="D189">
            <v>4722.29</v>
          </cell>
          <cell r="E189">
            <v>2361.15</v>
          </cell>
          <cell r="F189" t="str">
            <v>ENGINE</v>
          </cell>
          <cell r="G189">
            <v>15</v>
          </cell>
          <cell r="H189">
            <v>0</v>
          </cell>
          <cell r="I189">
            <v>0</v>
          </cell>
          <cell r="J189">
            <v>0</v>
          </cell>
          <cell r="K189">
            <v>15</v>
          </cell>
        </row>
        <row r="190">
          <cell r="A190" t="str">
            <v>462-1171</v>
          </cell>
          <cell r="B190" t="str">
            <v xml:space="preserve">CAT D6N LGP (GHS) CAT D6N LGP (PBA) CAT D6N LGP (SGG)              </v>
          </cell>
          <cell r="C190" t="str">
            <v>ENGINE OIL FILTER</v>
          </cell>
          <cell r="D190">
            <v>36.51</v>
          </cell>
          <cell r="E190">
            <v>13.87</v>
          </cell>
          <cell r="F190" t="str">
            <v>FILTER</v>
          </cell>
          <cell r="G190">
            <v>10</v>
          </cell>
          <cell r="H190">
            <v>5</v>
          </cell>
          <cell r="I190">
            <v>5</v>
          </cell>
          <cell r="J190">
            <v>5</v>
          </cell>
          <cell r="K190">
            <v>25</v>
          </cell>
        </row>
        <row r="191">
          <cell r="A191" t="str">
            <v>468-7455</v>
          </cell>
          <cell r="B191" t="str">
            <v xml:space="preserve">CAT 303.5E                  </v>
          </cell>
          <cell r="C191" t="str">
            <v>CENTRE FLANGE ROLLER</v>
          </cell>
          <cell r="D191">
            <v>498.61</v>
          </cell>
          <cell r="E191">
            <v>249.31</v>
          </cell>
          <cell r="F191" t="str">
            <v>UC</v>
          </cell>
          <cell r="G191">
            <v>4</v>
          </cell>
          <cell r="H191">
            <v>0</v>
          </cell>
          <cell r="I191">
            <v>0</v>
          </cell>
          <cell r="J191">
            <v>0</v>
          </cell>
          <cell r="K191">
            <v>4</v>
          </cell>
        </row>
        <row r="192">
          <cell r="A192" t="str">
            <v>472-7939</v>
          </cell>
          <cell r="B192" t="str">
            <v xml:space="preserve">CAT 561N (CPH)                  </v>
          </cell>
          <cell r="C192" t="str">
            <v>CABIN AIR FILTER ELEMENT</v>
          </cell>
          <cell r="D192">
            <v>1076.32</v>
          </cell>
          <cell r="E192">
            <v>409</v>
          </cell>
          <cell r="F192" t="str">
            <v>FILTER</v>
          </cell>
          <cell r="G192">
            <v>5</v>
          </cell>
          <cell r="H192">
            <v>5</v>
          </cell>
          <cell r="I192">
            <v>0</v>
          </cell>
          <cell r="J192">
            <v>5</v>
          </cell>
          <cell r="K192">
            <v>15</v>
          </cell>
        </row>
        <row r="193">
          <cell r="A193" t="str">
            <v>476-1146</v>
          </cell>
          <cell r="B193" t="str">
            <v xml:space="preserve">CAT D6T (MH7)                  </v>
          </cell>
          <cell r="C193" t="str">
            <v>TURBOCHARGER ASSEMBLY</v>
          </cell>
          <cell r="D193">
            <v>7083.49</v>
          </cell>
          <cell r="E193">
            <v>3541.75</v>
          </cell>
          <cell r="F193" t="str">
            <v>ENGINE</v>
          </cell>
          <cell r="G193">
            <v>1</v>
          </cell>
          <cell r="H193">
            <v>0</v>
          </cell>
          <cell r="I193">
            <v>0</v>
          </cell>
          <cell r="J193">
            <v>0</v>
          </cell>
          <cell r="K193">
            <v>1</v>
          </cell>
        </row>
        <row r="194">
          <cell r="A194" t="str">
            <v>479-4131</v>
          </cell>
          <cell r="B194" t="str">
            <v xml:space="preserve">CAT 320E L (WBK) CAT 320F L (YBM) CAT 329E L (ZCD) CAT 329F L (ERL) CAT 330F L (MBX) CAT 330F L (HCK) CAT D6N LGP (PBA) CAT D6N LGP (SGG)    </v>
          </cell>
          <cell r="C194" t="str">
            <v>FUEL WATER SEPARATOR</v>
          </cell>
          <cell r="D194">
            <v>78.87</v>
          </cell>
          <cell r="E194">
            <v>29.97</v>
          </cell>
          <cell r="F194" t="str">
            <v>Filter</v>
          </cell>
          <cell r="G194">
            <v>42</v>
          </cell>
          <cell r="H194">
            <v>28</v>
          </cell>
          <cell r="I194">
            <v>42</v>
          </cell>
          <cell r="J194">
            <v>28</v>
          </cell>
          <cell r="K194">
            <v>140</v>
          </cell>
        </row>
        <row r="195">
          <cell r="A195" t="str">
            <v>479-8989</v>
          </cell>
          <cell r="B195" t="str">
            <v xml:space="preserve">CAT 320 (HEX) CAT 320 (MYK)                </v>
          </cell>
          <cell r="C195" t="str">
            <v>PRIMARY AIR FILTER ELEMENT</v>
          </cell>
          <cell r="D195">
            <v>244.2</v>
          </cell>
          <cell r="E195">
            <v>92.8</v>
          </cell>
          <cell r="F195" t="str">
            <v>Filter</v>
          </cell>
          <cell r="G195">
            <v>3</v>
          </cell>
          <cell r="H195">
            <v>3</v>
          </cell>
          <cell r="I195">
            <v>0</v>
          </cell>
          <cell r="J195">
            <v>3</v>
          </cell>
          <cell r="K195">
            <v>9</v>
          </cell>
        </row>
        <row r="196">
          <cell r="A196" t="str">
            <v>479-8991</v>
          </cell>
          <cell r="B196" t="str">
            <v xml:space="preserve">CAT 320 (HEX) CAT 320 (MYK)                </v>
          </cell>
          <cell r="C196" t="str">
            <v>SECONDARY AIR FILTER ELEMENT</v>
          </cell>
          <cell r="D196">
            <v>133.28</v>
          </cell>
          <cell r="E196">
            <v>50.65</v>
          </cell>
          <cell r="F196" t="str">
            <v>Filter</v>
          </cell>
          <cell r="G196">
            <v>3</v>
          </cell>
          <cell r="H196">
            <v>3</v>
          </cell>
          <cell r="I196">
            <v>0</v>
          </cell>
          <cell r="J196">
            <v>3</v>
          </cell>
          <cell r="K196">
            <v>9</v>
          </cell>
        </row>
        <row r="197">
          <cell r="A197" t="str">
            <v>484-8282</v>
          </cell>
          <cell r="B197" t="str">
            <v xml:space="preserve">CAT D6T (MH7)                  </v>
          </cell>
          <cell r="C197" t="str">
            <v>RIPPER SHANK</v>
          </cell>
          <cell r="D197">
            <v>2061.73</v>
          </cell>
          <cell r="E197">
            <v>783.46</v>
          </cell>
          <cell r="F197" t="str">
            <v>GET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</row>
        <row r="198">
          <cell r="A198" t="str">
            <v>487-8695</v>
          </cell>
          <cell r="B198" t="str">
            <v xml:space="preserve">CAT 336F L (RKB)                  </v>
          </cell>
          <cell r="C198" t="str">
            <v>SINGLE FLANGE TRACK ROLLER</v>
          </cell>
          <cell r="D198">
            <v>987.95</v>
          </cell>
          <cell r="E198">
            <v>493.98</v>
          </cell>
          <cell r="F198" t="str">
            <v>UC</v>
          </cell>
          <cell r="G198">
            <v>18</v>
          </cell>
          <cell r="H198">
            <v>0</v>
          </cell>
          <cell r="I198">
            <v>0</v>
          </cell>
          <cell r="J198">
            <v>0</v>
          </cell>
          <cell r="K198">
            <v>18</v>
          </cell>
        </row>
        <row r="199">
          <cell r="A199" t="str">
            <v>488-6511</v>
          </cell>
          <cell r="B199" t="str">
            <v xml:space="preserve">CAT 320 (HEX) CAT 320 (MYK) CAT 330 (LHW) CAT 330 (WCH)            </v>
          </cell>
          <cell r="C199" t="str">
            <v>SUSPENSION SEAT ASSEMBLY</v>
          </cell>
          <cell r="D199">
            <v>8493.36</v>
          </cell>
          <cell r="E199">
            <v>4246.68</v>
          </cell>
          <cell r="F199" t="str">
            <v>SEAT</v>
          </cell>
          <cell r="G199">
            <v>13</v>
          </cell>
          <cell r="H199">
            <v>0</v>
          </cell>
          <cell r="I199">
            <v>0</v>
          </cell>
          <cell r="J199">
            <v>0</v>
          </cell>
          <cell r="K199">
            <v>13</v>
          </cell>
        </row>
        <row r="200">
          <cell r="A200" t="str">
            <v>489-2731</v>
          </cell>
          <cell r="B200" t="str">
            <v xml:space="preserve">CAT D5 (3CR) CAT 561N (CPH) CAT PL61 (WGS)              </v>
          </cell>
          <cell r="C200" t="str">
            <v>CRANKSHAFT</v>
          </cell>
          <cell r="D200">
            <v>14944.09</v>
          </cell>
          <cell r="E200">
            <v>7472.05</v>
          </cell>
          <cell r="F200" t="str">
            <v>ENGINE</v>
          </cell>
          <cell r="G200">
            <v>10</v>
          </cell>
          <cell r="H200">
            <v>0</v>
          </cell>
          <cell r="I200">
            <v>0</v>
          </cell>
          <cell r="J200">
            <v>0</v>
          </cell>
          <cell r="K200">
            <v>10</v>
          </cell>
        </row>
        <row r="201">
          <cell r="A201" t="str">
            <v>489-6483</v>
          </cell>
          <cell r="B201" t="str">
            <v xml:space="preserve">CAT D6N LGP (GHS)                  </v>
          </cell>
          <cell r="C201" t="str">
            <v>SEAT ASSEMBLY</v>
          </cell>
          <cell r="D201">
            <v>3921.14</v>
          </cell>
          <cell r="E201">
            <v>1960.57</v>
          </cell>
          <cell r="F201" t="str">
            <v>SEAT</v>
          </cell>
          <cell r="G201">
            <v>1</v>
          </cell>
          <cell r="H201">
            <v>0</v>
          </cell>
          <cell r="I201">
            <v>0</v>
          </cell>
          <cell r="J201">
            <v>0</v>
          </cell>
          <cell r="K201">
            <v>1</v>
          </cell>
        </row>
        <row r="202">
          <cell r="A202" t="str">
            <v>490-6505</v>
          </cell>
          <cell r="B202" t="str">
            <v xml:space="preserve">CAT D6 (RDC)                  </v>
          </cell>
          <cell r="C202" t="str">
            <v>SPROCKET SEGMENT</v>
          </cell>
          <cell r="D202">
            <v>293.17</v>
          </cell>
          <cell r="E202">
            <v>146.59</v>
          </cell>
          <cell r="F202" t="str">
            <v>UC</v>
          </cell>
          <cell r="G202">
            <v>10</v>
          </cell>
          <cell r="H202">
            <v>0</v>
          </cell>
          <cell r="I202">
            <v>0</v>
          </cell>
          <cell r="J202">
            <v>0</v>
          </cell>
          <cell r="K202">
            <v>10</v>
          </cell>
        </row>
        <row r="203">
          <cell r="A203" t="str">
            <v>491-4518</v>
          </cell>
          <cell r="B203" t="str">
            <v xml:space="preserve">CAT D6 (RDC)                  </v>
          </cell>
          <cell r="C203" t="str">
            <v>SPROCKET BOLT</v>
          </cell>
          <cell r="D203">
            <v>9.4700000000000006</v>
          </cell>
          <cell r="E203">
            <v>4.74</v>
          </cell>
          <cell r="F203" t="str">
            <v>UC</v>
          </cell>
          <cell r="G203">
            <v>50</v>
          </cell>
          <cell r="H203">
            <v>0</v>
          </cell>
          <cell r="I203">
            <v>0</v>
          </cell>
          <cell r="J203">
            <v>0</v>
          </cell>
          <cell r="K203">
            <v>50</v>
          </cell>
        </row>
        <row r="204">
          <cell r="A204" t="str">
            <v>491-6075</v>
          </cell>
          <cell r="B204" t="str">
            <v xml:space="preserve">CAT 330 (LHW)                  </v>
          </cell>
          <cell r="C204" t="str">
            <v>HYDRAULIC OIL FILTER</v>
          </cell>
          <cell r="D204">
            <v>159.19999999999999</v>
          </cell>
          <cell r="E204">
            <v>60.5</v>
          </cell>
          <cell r="F204" t="str">
            <v>FILTER</v>
          </cell>
          <cell r="G204">
            <v>8</v>
          </cell>
          <cell r="H204">
            <v>4</v>
          </cell>
          <cell r="I204">
            <v>4</v>
          </cell>
          <cell r="J204">
            <v>4</v>
          </cell>
          <cell r="K204">
            <v>20</v>
          </cell>
        </row>
        <row r="205">
          <cell r="A205" t="str">
            <v>494-0057</v>
          </cell>
          <cell r="B205" t="str">
            <v xml:space="preserve">CAT 320F L (YBM) CAT 329E L (ZCD) CAT 330F L (MBX) CAT 330F L (HCK) CAT 336F L (RKB)          </v>
          </cell>
          <cell r="C205" t="str">
            <v xml:space="preserve">OPERATOR SEAT ASSEMBLY </v>
          </cell>
          <cell r="D205">
            <v>4161.4399999999996</v>
          </cell>
          <cell r="E205">
            <v>2080.7199999999998</v>
          </cell>
          <cell r="F205" t="str">
            <v>SEAT</v>
          </cell>
          <cell r="G205">
            <v>6</v>
          </cell>
          <cell r="H205">
            <v>0</v>
          </cell>
          <cell r="I205">
            <v>0</v>
          </cell>
          <cell r="J205">
            <v>0</v>
          </cell>
          <cell r="K205">
            <v>6</v>
          </cell>
        </row>
        <row r="206">
          <cell r="A206" t="str">
            <v>496-9845</v>
          </cell>
          <cell r="B206" t="str">
            <v xml:space="preserve">CAT 330 (LHW) CAT 330 (WCH)                </v>
          </cell>
          <cell r="C206" t="str">
            <v>PRIMARY AIR FILTER ELEMENT</v>
          </cell>
          <cell r="D206">
            <v>307.85000000000002</v>
          </cell>
          <cell r="E206">
            <v>116.98</v>
          </cell>
          <cell r="F206" t="str">
            <v>FILTER</v>
          </cell>
          <cell r="G206">
            <v>10</v>
          </cell>
          <cell r="H206">
            <v>10</v>
          </cell>
          <cell r="I206">
            <v>0</v>
          </cell>
          <cell r="J206">
            <v>10</v>
          </cell>
          <cell r="K206">
            <v>30</v>
          </cell>
        </row>
        <row r="207">
          <cell r="A207" t="str">
            <v>496-9846</v>
          </cell>
          <cell r="B207" t="str">
            <v xml:space="preserve">CAT 330 (LHW) CAT 330 (WCH)                </v>
          </cell>
          <cell r="C207" t="str">
            <v>SECONDAY AIR FILTER ELEMENT</v>
          </cell>
          <cell r="D207">
            <v>137.38</v>
          </cell>
          <cell r="E207">
            <v>52.2</v>
          </cell>
          <cell r="F207" t="str">
            <v>FILTER</v>
          </cell>
          <cell r="G207">
            <v>10</v>
          </cell>
          <cell r="H207">
            <v>10</v>
          </cell>
          <cell r="I207">
            <v>0</v>
          </cell>
          <cell r="J207">
            <v>10</v>
          </cell>
          <cell r="K207">
            <v>30</v>
          </cell>
        </row>
        <row r="208">
          <cell r="A208" t="str">
            <v>499-9026</v>
          </cell>
          <cell r="B208" t="str">
            <v xml:space="preserve">CAT D3 (1PJ)                  </v>
          </cell>
          <cell r="C208" t="str">
            <v>SINGLE FLANGE TRACK ROLLER</v>
          </cell>
          <cell r="D208">
            <v>579.6</v>
          </cell>
          <cell r="E208">
            <v>289.8</v>
          </cell>
          <cell r="F208" t="str">
            <v>UC</v>
          </cell>
          <cell r="G208">
            <v>12</v>
          </cell>
          <cell r="H208">
            <v>0</v>
          </cell>
          <cell r="I208">
            <v>0</v>
          </cell>
          <cell r="J208">
            <v>0</v>
          </cell>
          <cell r="K208">
            <v>12</v>
          </cell>
        </row>
        <row r="209">
          <cell r="A209" t="str">
            <v>499-9049</v>
          </cell>
          <cell r="B209" t="str">
            <v xml:space="preserve">CAT D3 (1PJ)                  </v>
          </cell>
          <cell r="C209" t="str">
            <v>DOUBLE FLANGE TRACK ROLLER (GUIDE AR)*</v>
          </cell>
          <cell r="D209">
            <v>623.29</v>
          </cell>
          <cell r="E209">
            <v>311.64999999999998</v>
          </cell>
          <cell r="F209" t="str">
            <v>UC</v>
          </cell>
          <cell r="G209">
            <v>8</v>
          </cell>
          <cell r="H209">
            <v>0</v>
          </cell>
          <cell r="I209">
            <v>0</v>
          </cell>
          <cell r="J209">
            <v>0</v>
          </cell>
          <cell r="K209">
            <v>8</v>
          </cell>
        </row>
        <row r="210">
          <cell r="A210" t="str">
            <v>4K-0367</v>
          </cell>
          <cell r="B210" t="str">
            <v xml:space="preserve">CAT D3 (1PJ)                  </v>
          </cell>
          <cell r="C210" t="str">
            <v>NUT</v>
          </cell>
          <cell r="D210">
            <v>2.44</v>
          </cell>
          <cell r="E210">
            <v>0.93</v>
          </cell>
          <cell r="F210" t="str">
            <v>GET</v>
          </cell>
          <cell r="G210">
            <v>18</v>
          </cell>
          <cell r="H210">
            <v>0</v>
          </cell>
          <cell r="I210">
            <v>0</v>
          </cell>
          <cell r="J210">
            <v>0</v>
          </cell>
          <cell r="K210">
            <v>18</v>
          </cell>
        </row>
        <row r="211">
          <cell r="A211" t="str">
            <v>4N-0313</v>
          </cell>
          <cell r="B211" t="str">
            <v xml:space="preserve">CAT D3 (1PJ)                  </v>
          </cell>
          <cell r="C211" t="str">
            <v>SECONDARY AIR FILTER ELEMENT</v>
          </cell>
          <cell r="D211">
            <v>77.260000000000005</v>
          </cell>
          <cell r="E211">
            <v>29.36</v>
          </cell>
          <cell r="F211" t="str">
            <v>FILTER</v>
          </cell>
          <cell r="G211">
            <v>1</v>
          </cell>
          <cell r="H211">
            <v>1</v>
          </cell>
          <cell r="I211">
            <v>0</v>
          </cell>
          <cell r="J211">
            <v>1</v>
          </cell>
          <cell r="K211">
            <v>3</v>
          </cell>
        </row>
        <row r="212">
          <cell r="A212" t="str">
            <v>4N-0326</v>
          </cell>
          <cell r="B212" t="str">
            <v xml:space="preserve">CAT D3 (1PJ)                  </v>
          </cell>
          <cell r="C212" t="str">
            <v>PRIMARY AIR FILTER ELEMENT</v>
          </cell>
          <cell r="D212">
            <v>91.61</v>
          </cell>
          <cell r="E212">
            <v>34.81</v>
          </cell>
          <cell r="F212" t="str">
            <v>FILTER</v>
          </cell>
          <cell r="G212">
            <v>1</v>
          </cell>
          <cell r="H212">
            <v>1</v>
          </cell>
          <cell r="I212">
            <v>0</v>
          </cell>
          <cell r="J212">
            <v>1</v>
          </cell>
          <cell r="K212">
            <v>3</v>
          </cell>
        </row>
        <row r="213">
          <cell r="A213" t="str">
            <v>4N-2955</v>
          </cell>
          <cell r="B213" t="str">
            <v xml:space="preserve">CAT D4 (66J)                  </v>
          </cell>
          <cell r="C213" t="str">
            <v>SPROCKET BOLT</v>
          </cell>
          <cell r="D213">
            <v>5.71</v>
          </cell>
          <cell r="E213">
            <v>2.86</v>
          </cell>
          <cell r="F213" t="str">
            <v>UC</v>
          </cell>
          <cell r="G213">
            <v>12</v>
          </cell>
          <cell r="H213">
            <v>0</v>
          </cell>
          <cell r="I213">
            <v>0</v>
          </cell>
          <cell r="J213">
            <v>0</v>
          </cell>
          <cell r="K213">
            <v>12</v>
          </cell>
        </row>
        <row r="214">
          <cell r="A214" t="str">
            <v>4S9051 </v>
          </cell>
          <cell r="B214" t="str">
            <v xml:space="preserve">CAT D7G (92V)                  </v>
          </cell>
          <cell r="C214" t="str">
            <v>SINGLE FLANGE ROLLER</v>
          </cell>
          <cell r="D214">
            <v>1122.06</v>
          </cell>
          <cell r="E214">
            <v>561.03</v>
          </cell>
          <cell r="F214" t="str">
            <v>UC</v>
          </cell>
          <cell r="G214">
            <v>12</v>
          </cell>
          <cell r="H214">
            <v>0</v>
          </cell>
          <cell r="I214">
            <v>0</v>
          </cell>
          <cell r="J214">
            <v>0</v>
          </cell>
          <cell r="K214">
            <v>12</v>
          </cell>
        </row>
        <row r="215">
          <cell r="A215" t="str">
            <v>4T-2315</v>
          </cell>
          <cell r="B215" t="str">
            <v xml:space="preserve">CAT D6N LGP (GHS) CAT D6N LGP (PBA) CAT D6N LGP (SGG)              </v>
          </cell>
          <cell r="C215" t="str">
            <v>CUTTING EDGE</v>
          </cell>
          <cell r="D215">
            <v>435.33</v>
          </cell>
          <cell r="E215">
            <v>165.43</v>
          </cell>
          <cell r="F215" t="str">
            <v>GET</v>
          </cell>
          <cell r="G215">
            <v>10</v>
          </cell>
          <cell r="H215">
            <v>0</v>
          </cell>
          <cell r="I215">
            <v>0</v>
          </cell>
          <cell r="J215">
            <v>0</v>
          </cell>
          <cell r="K215">
            <v>10</v>
          </cell>
        </row>
        <row r="216">
          <cell r="A216" t="str">
            <v>4T-3132</v>
          </cell>
          <cell r="B216" t="str">
            <v xml:space="preserve">CAT D7G (92V)                  </v>
          </cell>
          <cell r="C216" t="str">
            <v>HYDRAULIC OIL FILTER ELEMENT</v>
          </cell>
          <cell r="D216">
            <v>131.11000000000001</v>
          </cell>
          <cell r="E216">
            <v>49.82</v>
          </cell>
          <cell r="F216" t="str">
            <v>FILTER</v>
          </cell>
          <cell r="G216">
            <v>2</v>
          </cell>
          <cell r="H216">
            <v>1</v>
          </cell>
          <cell r="I216">
            <v>1</v>
          </cell>
          <cell r="J216">
            <v>1</v>
          </cell>
          <cell r="K216">
            <v>5</v>
          </cell>
        </row>
        <row r="217">
          <cell r="A217" t="str">
            <v>4T-5407</v>
          </cell>
          <cell r="B217" t="str">
            <v xml:space="preserve">CAT D5 (3CR)                  </v>
          </cell>
          <cell r="C217" t="str">
            <v>END BIT RH</v>
          </cell>
          <cell r="D217">
            <v>273.04000000000002</v>
          </cell>
          <cell r="E217">
            <v>103.76</v>
          </cell>
          <cell r="F217" t="str">
            <v>GET</v>
          </cell>
          <cell r="G217">
            <v>2</v>
          </cell>
          <cell r="H217">
            <v>0</v>
          </cell>
          <cell r="I217">
            <v>0</v>
          </cell>
          <cell r="J217">
            <v>0</v>
          </cell>
          <cell r="K217">
            <v>2</v>
          </cell>
        </row>
        <row r="218">
          <cell r="A218" t="str">
            <v>4T-5408</v>
          </cell>
          <cell r="B218" t="str">
            <v xml:space="preserve">CAT D5 (3CR)                  </v>
          </cell>
          <cell r="C218" t="str">
            <v>END BIT LH</v>
          </cell>
          <cell r="D218">
            <v>273.04000000000002</v>
          </cell>
          <cell r="E218">
            <v>103.76</v>
          </cell>
          <cell r="F218" t="str">
            <v>GET</v>
          </cell>
          <cell r="G218">
            <v>2</v>
          </cell>
          <cell r="H218">
            <v>0</v>
          </cell>
          <cell r="I218">
            <v>0</v>
          </cell>
          <cell r="J218">
            <v>0</v>
          </cell>
          <cell r="K218">
            <v>2</v>
          </cell>
        </row>
        <row r="219">
          <cell r="A219" t="str">
            <v>4T-6229</v>
          </cell>
          <cell r="B219" t="str">
            <v xml:space="preserve">CAT D3 (1PJ)                  </v>
          </cell>
          <cell r="C219" t="str">
            <v>END BIT</v>
          </cell>
          <cell r="D219">
            <v>73.28</v>
          </cell>
          <cell r="E219">
            <v>27.85</v>
          </cell>
          <cell r="F219" t="str">
            <v>GET</v>
          </cell>
          <cell r="G219">
            <v>2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A220" t="str">
            <v>4T-6230</v>
          </cell>
          <cell r="B220" t="str">
            <v xml:space="preserve">CAT D3 (1PJ)                  </v>
          </cell>
          <cell r="C220" t="str">
            <v>CUTTING EDGE</v>
          </cell>
          <cell r="D220">
            <v>195.02</v>
          </cell>
          <cell r="E220">
            <v>74.11</v>
          </cell>
          <cell r="F220" t="str">
            <v>GET</v>
          </cell>
          <cell r="G220">
            <v>2</v>
          </cell>
          <cell r="H220">
            <v>0</v>
          </cell>
          <cell r="I220">
            <v>0</v>
          </cell>
          <cell r="J220">
            <v>0</v>
          </cell>
          <cell r="K220">
            <v>2</v>
          </cell>
        </row>
        <row r="221">
          <cell r="A221" t="str">
            <v>4T-8940</v>
          </cell>
          <cell r="B221" t="str">
            <v xml:space="preserve">CAT D5 (3CR)                  </v>
          </cell>
          <cell r="C221" t="str">
            <v>CUTTING EDGE</v>
          </cell>
          <cell r="D221">
            <v>296.41000000000003</v>
          </cell>
          <cell r="E221">
            <v>112.64</v>
          </cell>
          <cell r="F221" t="str">
            <v>GET</v>
          </cell>
          <cell r="G221">
            <v>4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</row>
        <row r="222">
          <cell r="A222" t="str">
            <v>4V-4106</v>
          </cell>
          <cell r="B222" t="str">
            <v xml:space="preserve">CAT D4 (66J)                  </v>
          </cell>
          <cell r="C222" t="str">
            <v>SPROCKET SEGMENT</v>
          </cell>
          <cell r="D222">
            <v>1870.5</v>
          </cell>
          <cell r="E222">
            <v>935.25</v>
          </cell>
          <cell r="F222" t="str">
            <v>UC</v>
          </cell>
          <cell r="G222">
            <v>2</v>
          </cell>
          <cell r="H222">
            <v>0</v>
          </cell>
          <cell r="I222">
            <v>0</v>
          </cell>
          <cell r="J222">
            <v>0</v>
          </cell>
          <cell r="K222">
            <v>2</v>
          </cell>
        </row>
        <row r="223">
          <cell r="A223" t="str">
            <v>500-0483</v>
          </cell>
          <cell r="B223" t="str">
            <v xml:space="preserve">CAT 561N (CPH) CAT PL61 (WGS)                </v>
          </cell>
          <cell r="C223" t="str">
            <v>ENGINE OIL FILTER</v>
          </cell>
          <cell r="D223">
            <v>78</v>
          </cell>
          <cell r="E223">
            <v>29.64</v>
          </cell>
          <cell r="F223" t="str">
            <v>FILTER</v>
          </cell>
          <cell r="G223">
            <v>16</v>
          </cell>
          <cell r="H223">
            <v>8</v>
          </cell>
          <cell r="I223">
            <v>8</v>
          </cell>
          <cell r="J223">
            <v>8</v>
          </cell>
          <cell r="K223">
            <v>40</v>
          </cell>
        </row>
        <row r="224">
          <cell r="A224" t="str">
            <v>500-0957</v>
          </cell>
          <cell r="B224" t="str">
            <v xml:space="preserve">CAT 320 (HEX) CAT 320 (MYK) CAT 330 (LHW) CAT 330 (WCH)            </v>
          </cell>
          <cell r="C224" t="str">
            <v xml:space="preserve">CABIN AIR FILTER ELEMENT </v>
          </cell>
          <cell r="D224">
            <v>87.85</v>
          </cell>
          <cell r="E224">
            <v>33.380000000000003</v>
          </cell>
          <cell r="F224" t="str">
            <v>Filter</v>
          </cell>
          <cell r="G224">
            <v>13</v>
          </cell>
          <cell r="H224">
            <v>13</v>
          </cell>
          <cell r="I224">
            <v>0</v>
          </cell>
          <cell r="J224">
            <v>13</v>
          </cell>
          <cell r="K224">
            <v>39</v>
          </cell>
        </row>
        <row r="225">
          <cell r="A225" t="str">
            <v>503-1353</v>
          </cell>
          <cell r="B225" t="str">
            <v xml:space="preserve">CAT 329E L (ZCD) CAT 329F L (ERL) CAT 330F L (MBX) CAT 330F L (HCK) CAT 330 (LHW) CAT 330 (WCH)        </v>
          </cell>
          <cell r="C225" t="str">
            <v>SINGLE FLANGE TRACK ROLLER</v>
          </cell>
          <cell r="D225">
            <v>862.15</v>
          </cell>
          <cell r="E225">
            <v>431.08</v>
          </cell>
          <cell r="F225" t="str">
            <v>UC</v>
          </cell>
          <cell r="G225">
            <v>288</v>
          </cell>
          <cell r="H225">
            <v>0</v>
          </cell>
          <cell r="I225">
            <v>0</v>
          </cell>
          <cell r="J225">
            <v>0</v>
          </cell>
          <cell r="K225">
            <v>288</v>
          </cell>
        </row>
        <row r="226">
          <cell r="A226" t="str">
            <v>504-5774</v>
          </cell>
          <cell r="B226" t="str">
            <v xml:space="preserve">CAT D6 (RDC)                  </v>
          </cell>
          <cell r="C226" t="str">
            <v>HEX NUT</v>
          </cell>
          <cell r="D226">
            <v>10.44</v>
          </cell>
          <cell r="E226">
            <v>5.22</v>
          </cell>
          <cell r="F226" t="str">
            <v>UC</v>
          </cell>
          <cell r="G226">
            <v>50</v>
          </cell>
          <cell r="H226">
            <v>0</v>
          </cell>
          <cell r="I226">
            <v>0</v>
          </cell>
          <cell r="J226">
            <v>0</v>
          </cell>
          <cell r="K226">
            <v>50</v>
          </cell>
        </row>
        <row r="227">
          <cell r="A227" t="str">
            <v>509-5694</v>
          </cell>
          <cell r="B227" t="str">
            <v xml:space="preserve">CAT 320 (HEX) CAT 320 (MYK) CAT 330 (LHW) CAT 330 (WCH)            </v>
          </cell>
          <cell r="C227" t="str">
            <v>SECONDARY FUEL FILTER ELEMENT</v>
          </cell>
          <cell r="D227">
            <v>66.94</v>
          </cell>
          <cell r="E227">
            <v>25.44</v>
          </cell>
          <cell r="F227" t="str">
            <v>Filter</v>
          </cell>
          <cell r="G227">
            <v>26</v>
          </cell>
          <cell r="H227">
            <v>13</v>
          </cell>
          <cell r="I227">
            <v>13</v>
          </cell>
          <cell r="J227">
            <v>13</v>
          </cell>
          <cell r="K227">
            <v>65</v>
          </cell>
        </row>
        <row r="228">
          <cell r="A228" t="str">
            <v>513-4490</v>
          </cell>
          <cell r="B228" t="str">
            <v xml:space="preserve">CAT D7G (92V)                  </v>
          </cell>
          <cell r="C228" t="str">
            <v>FUEL WATER SEPARATOR FILTER</v>
          </cell>
          <cell r="D228">
            <v>104</v>
          </cell>
          <cell r="E228">
            <v>39.520000000000003</v>
          </cell>
          <cell r="F228" t="str">
            <v>FILTER</v>
          </cell>
          <cell r="G228">
            <v>3</v>
          </cell>
          <cell r="H228">
            <v>2</v>
          </cell>
          <cell r="I228">
            <v>3</v>
          </cell>
          <cell r="J228">
            <v>2</v>
          </cell>
          <cell r="K228">
            <v>10</v>
          </cell>
        </row>
        <row r="229">
          <cell r="A229" t="str">
            <v>517-2065</v>
          </cell>
          <cell r="B229" t="str">
            <v xml:space="preserve">CAT 330 (LHW) CAT 330 (WCH)                </v>
          </cell>
          <cell r="C229" t="str">
            <v>TRACK SHOE 800MM</v>
          </cell>
          <cell r="D229">
            <v>230.91</v>
          </cell>
          <cell r="E229">
            <v>115.46</v>
          </cell>
          <cell r="F229" t="str">
            <v>UC</v>
          </cell>
          <cell r="G229">
            <v>1000</v>
          </cell>
          <cell r="H229">
            <v>0</v>
          </cell>
          <cell r="I229">
            <v>0</v>
          </cell>
          <cell r="J229">
            <v>0</v>
          </cell>
          <cell r="K229">
            <v>1000</v>
          </cell>
        </row>
        <row r="230">
          <cell r="A230" t="str">
            <v>520-7951</v>
          </cell>
          <cell r="B230" t="str">
            <v xml:space="preserve">CAT 336F L (RKB)                  </v>
          </cell>
          <cell r="C230" t="str">
            <v>SPROCKET BOLT</v>
          </cell>
          <cell r="D230">
            <v>22.52</v>
          </cell>
          <cell r="E230">
            <v>11.26</v>
          </cell>
          <cell r="F230" t="str">
            <v>UC</v>
          </cell>
          <cell r="G230">
            <v>32</v>
          </cell>
          <cell r="H230">
            <v>0</v>
          </cell>
          <cell r="I230">
            <v>0</v>
          </cell>
          <cell r="J230">
            <v>0</v>
          </cell>
          <cell r="K230">
            <v>32</v>
          </cell>
        </row>
        <row r="231">
          <cell r="A231" t="str">
            <v>523-4987</v>
          </cell>
          <cell r="B231" t="str">
            <v xml:space="preserve">CAT 320 (HEX) CAT 320 (MYK) CAT 330 (LHW) CAT 330 (WCH)            </v>
          </cell>
          <cell r="C231" t="str">
            <v>FUEL WATER SEPARATOR ELEMENT</v>
          </cell>
          <cell r="D231">
            <v>95.91</v>
          </cell>
          <cell r="E231">
            <v>36.450000000000003</v>
          </cell>
          <cell r="F231" t="str">
            <v>Filter</v>
          </cell>
          <cell r="G231">
            <v>39</v>
          </cell>
          <cell r="H231">
            <v>26</v>
          </cell>
          <cell r="I231">
            <v>39</v>
          </cell>
          <cell r="J231">
            <v>26</v>
          </cell>
          <cell r="K231">
            <v>130</v>
          </cell>
        </row>
        <row r="232">
          <cell r="A232" t="str">
            <v>525-6205</v>
          </cell>
          <cell r="B232" t="str">
            <v xml:space="preserve">CAT D6N LGP (SGG)                  </v>
          </cell>
          <cell r="C232" t="str">
            <v>IN-LINE FUEL FILTER</v>
          </cell>
          <cell r="D232">
            <v>81.27</v>
          </cell>
          <cell r="E232">
            <v>30.88</v>
          </cell>
          <cell r="F232" t="str">
            <v>FILTER</v>
          </cell>
          <cell r="G232">
            <v>4</v>
          </cell>
          <cell r="H232">
            <v>2</v>
          </cell>
          <cell r="I232">
            <v>2</v>
          </cell>
          <cell r="J232">
            <v>2</v>
          </cell>
          <cell r="K232">
            <v>10</v>
          </cell>
        </row>
        <row r="233">
          <cell r="A233" t="str">
            <v>526-7416</v>
          </cell>
          <cell r="B233" t="str">
            <v xml:space="preserve">CAT 561N (CPH)                  </v>
          </cell>
          <cell r="C233" t="str">
            <v>SEAT ASSY</v>
          </cell>
          <cell r="D233">
            <v>2482.65</v>
          </cell>
          <cell r="E233">
            <v>1241.33</v>
          </cell>
          <cell r="F233" t="str">
            <v>SEAT</v>
          </cell>
          <cell r="G233">
            <v>5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A234" t="str">
            <v>528-7222</v>
          </cell>
          <cell r="B234" t="str">
            <v xml:space="preserve">CAT D6N LGP (SGG)                  </v>
          </cell>
          <cell r="C234" t="str">
            <v>PRIMARY AIR FILTER ELEMENT</v>
          </cell>
          <cell r="D234">
            <v>136.4</v>
          </cell>
          <cell r="E234">
            <v>51.83</v>
          </cell>
          <cell r="F234" t="str">
            <v>FILTER</v>
          </cell>
          <cell r="G234">
            <v>2</v>
          </cell>
          <cell r="H234">
            <v>2</v>
          </cell>
          <cell r="I234">
            <v>0</v>
          </cell>
          <cell r="J234">
            <v>2</v>
          </cell>
          <cell r="K234">
            <v>6</v>
          </cell>
        </row>
        <row r="235">
          <cell r="A235" t="str">
            <v>529-0132</v>
          </cell>
          <cell r="B235" t="str">
            <v xml:space="preserve">CAT D6N LGP (SGG)                  </v>
          </cell>
          <cell r="C235" t="str">
            <v>SECONDARY AIR FILTER ELEMENT</v>
          </cell>
          <cell r="D235">
            <v>103.4</v>
          </cell>
          <cell r="E235">
            <v>39.29</v>
          </cell>
          <cell r="F235" t="str">
            <v>FILTER</v>
          </cell>
          <cell r="G235">
            <v>2</v>
          </cell>
          <cell r="H235">
            <v>2</v>
          </cell>
          <cell r="I235">
            <v>0</v>
          </cell>
          <cell r="J235">
            <v>2</v>
          </cell>
          <cell r="K235">
            <v>6</v>
          </cell>
        </row>
        <row r="236">
          <cell r="A236" t="str">
            <v>533-5536</v>
          </cell>
          <cell r="B236" t="str">
            <v xml:space="preserve">CAT D3 (1PJ)                  </v>
          </cell>
          <cell r="C236" t="str">
            <v>TRACK IDLER AND BEARING ASSY</v>
          </cell>
          <cell r="D236">
            <v>1859.1</v>
          </cell>
          <cell r="E236">
            <v>929.55</v>
          </cell>
          <cell r="F236" t="str">
            <v>UC</v>
          </cell>
          <cell r="G236">
            <v>2</v>
          </cell>
          <cell r="H236">
            <v>0</v>
          </cell>
          <cell r="I236">
            <v>0</v>
          </cell>
          <cell r="J236">
            <v>0</v>
          </cell>
          <cell r="K236">
            <v>2</v>
          </cell>
        </row>
        <row r="237">
          <cell r="A237" t="str">
            <v>539-6920</v>
          </cell>
          <cell r="B237" t="str">
            <v xml:space="preserve">CAT D6N LGP (PBA)                  </v>
          </cell>
          <cell r="C237" t="str">
            <v>PRIMARY AIR FILTER ELEMENT</v>
          </cell>
          <cell r="D237">
            <v>225.94</v>
          </cell>
          <cell r="E237">
            <v>85.86</v>
          </cell>
          <cell r="F237" t="str">
            <v>FILTER</v>
          </cell>
          <cell r="G237">
            <v>2</v>
          </cell>
          <cell r="H237">
            <v>2</v>
          </cell>
          <cell r="I237">
            <v>0</v>
          </cell>
          <cell r="J237">
            <v>2</v>
          </cell>
          <cell r="K237">
            <v>6</v>
          </cell>
        </row>
        <row r="238">
          <cell r="A238" t="str">
            <v>540-3825</v>
          </cell>
          <cell r="B238" t="str">
            <v xml:space="preserve">CAT D6T (MH7)                  </v>
          </cell>
          <cell r="C238" t="str">
            <v>TRACK SHOE RH - 790MM - OFFSET</v>
          </cell>
          <cell r="D238">
            <v>223.22</v>
          </cell>
          <cell r="E238">
            <v>111.61</v>
          </cell>
          <cell r="F238" t="str">
            <v>UC</v>
          </cell>
          <cell r="G238">
            <v>44</v>
          </cell>
          <cell r="H238">
            <v>0</v>
          </cell>
          <cell r="I238">
            <v>0</v>
          </cell>
          <cell r="J238">
            <v>0</v>
          </cell>
          <cell r="K238">
            <v>44</v>
          </cell>
        </row>
        <row r="239">
          <cell r="A239" t="str">
            <v>540-3826</v>
          </cell>
          <cell r="B239" t="str">
            <v xml:space="preserve">CAT D6T (MH7)                  </v>
          </cell>
          <cell r="C239" t="str">
            <v>TRACK SHOE MASTER RH</v>
          </cell>
          <cell r="D239">
            <v>242.72</v>
          </cell>
          <cell r="E239">
            <v>121.36</v>
          </cell>
          <cell r="F239" t="str">
            <v>UC</v>
          </cell>
          <cell r="G239">
            <v>1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</row>
        <row r="240">
          <cell r="A240" t="str">
            <v>540-3827</v>
          </cell>
          <cell r="B240" t="str">
            <v xml:space="preserve">CAT D6T (MH7)                  </v>
          </cell>
          <cell r="C240" t="str">
            <v>TRACK SHOE LH - 790MM - OFFSET</v>
          </cell>
          <cell r="D240">
            <v>223.22</v>
          </cell>
          <cell r="E240">
            <v>111.61</v>
          </cell>
          <cell r="F240" t="str">
            <v>UC</v>
          </cell>
          <cell r="G240">
            <v>44</v>
          </cell>
          <cell r="H240">
            <v>0</v>
          </cell>
          <cell r="I240">
            <v>0</v>
          </cell>
          <cell r="J240">
            <v>0</v>
          </cell>
          <cell r="K240">
            <v>44</v>
          </cell>
        </row>
        <row r="241">
          <cell r="A241" t="str">
            <v>540-3828</v>
          </cell>
          <cell r="B241" t="str">
            <v xml:space="preserve">CAT D6T (MH7)                  </v>
          </cell>
          <cell r="C241" t="str">
            <v>TRACK SHOE MASTER LH</v>
          </cell>
          <cell r="D241">
            <v>235.62</v>
          </cell>
          <cell r="E241">
            <v>117.81</v>
          </cell>
          <cell r="F241" t="str">
            <v>UC</v>
          </cell>
          <cell r="G241">
            <v>1</v>
          </cell>
          <cell r="H241">
            <v>0</v>
          </cell>
          <cell r="I241">
            <v>0</v>
          </cell>
          <cell r="J241">
            <v>0</v>
          </cell>
          <cell r="K241">
            <v>1</v>
          </cell>
        </row>
        <row r="242">
          <cell r="A242" t="str">
            <v>541-4630</v>
          </cell>
          <cell r="B242" t="str">
            <v xml:space="preserve">CAT D4 (66J) CAT D6N LGP (GHS) CAT D6N LGP (SGG)              </v>
          </cell>
          <cell r="C242" t="str">
            <v>TRACK LINK ASSEMBLY</v>
          </cell>
          <cell r="D242">
            <v>13503.77</v>
          </cell>
          <cell r="E242">
            <v>6751.89</v>
          </cell>
          <cell r="F242" t="str">
            <v>UC</v>
          </cell>
          <cell r="G242">
            <v>8</v>
          </cell>
          <cell r="H242">
            <v>0</v>
          </cell>
          <cell r="I242">
            <v>0</v>
          </cell>
          <cell r="J242">
            <v>0</v>
          </cell>
          <cell r="K242">
            <v>8</v>
          </cell>
        </row>
        <row r="243">
          <cell r="A243" t="str">
            <v>545-8339</v>
          </cell>
          <cell r="B243" t="str">
            <v xml:space="preserve">CAT D6 (RDC)                  </v>
          </cell>
          <cell r="C243" t="str">
            <v>CABIN AIR FILTER ELEMENT</v>
          </cell>
          <cell r="D243">
            <v>143.80000000000001</v>
          </cell>
          <cell r="E243">
            <v>54.64</v>
          </cell>
          <cell r="F243" t="str">
            <v>FILTER</v>
          </cell>
          <cell r="G243">
            <v>1</v>
          </cell>
          <cell r="H243">
            <v>1</v>
          </cell>
          <cell r="I243">
            <v>0</v>
          </cell>
          <cell r="J243">
            <v>1</v>
          </cell>
          <cell r="K243">
            <v>3</v>
          </cell>
        </row>
        <row r="244">
          <cell r="A244" t="str">
            <v>551-2067</v>
          </cell>
          <cell r="B244" t="str">
            <v xml:space="preserve">CAT D7G (92V)                  </v>
          </cell>
          <cell r="C244" t="str">
            <v>DUAL FLANGE ROLLER</v>
          </cell>
          <cell r="D244">
            <v>1169.26</v>
          </cell>
          <cell r="E244">
            <v>584.63</v>
          </cell>
          <cell r="F244" t="str">
            <v>UC</v>
          </cell>
          <cell r="G244">
            <v>12</v>
          </cell>
          <cell r="H244">
            <v>0</v>
          </cell>
          <cell r="I244">
            <v>0</v>
          </cell>
          <cell r="J244">
            <v>0</v>
          </cell>
          <cell r="K244">
            <v>12</v>
          </cell>
        </row>
        <row r="245">
          <cell r="A245" t="str">
            <v>553-8167</v>
          </cell>
          <cell r="B245" t="str">
            <v xml:space="preserve">CAT D3 (1PJ)                  </v>
          </cell>
          <cell r="C245" t="str">
            <v>FUEL INJECTOR</v>
          </cell>
          <cell r="D245">
            <v>1132.93</v>
          </cell>
          <cell r="E245">
            <v>566.47</v>
          </cell>
          <cell r="F245" t="str">
            <v>ENGINE</v>
          </cell>
          <cell r="G245">
            <v>4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</row>
        <row r="246">
          <cell r="A246" t="str">
            <v>561-1069</v>
          </cell>
          <cell r="B246" t="str">
            <v xml:space="preserve">CAT D6N LGP (PBA)                  </v>
          </cell>
          <cell r="C246" t="str">
            <v xml:space="preserve">TRACK LINK ASSEMBLY </v>
          </cell>
          <cell r="D246">
            <v>17735.5</v>
          </cell>
          <cell r="E246">
            <v>8867.75</v>
          </cell>
          <cell r="F246" t="str">
            <v>UC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4</v>
          </cell>
        </row>
        <row r="247">
          <cell r="A247" t="str">
            <v>565-4423</v>
          </cell>
          <cell r="B247" t="str">
            <v xml:space="preserve">CAT D6T (MH7)                  </v>
          </cell>
          <cell r="C247" t="str">
            <v>TRACK LINK ASSEMBLY</v>
          </cell>
          <cell r="D247">
            <v>15772.81</v>
          </cell>
          <cell r="E247">
            <v>7886.41</v>
          </cell>
          <cell r="F247" t="str">
            <v>UC</v>
          </cell>
          <cell r="G247">
            <v>2</v>
          </cell>
          <cell r="H247">
            <v>0</v>
          </cell>
          <cell r="I247">
            <v>0</v>
          </cell>
          <cell r="J247">
            <v>0</v>
          </cell>
          <cell r="K247">
            <v>2</v>
          </cell>
        </row>
        <row r="248">
          <cell r="A248" t="str">
            <v>566-2975</v>
          </cell>
          <cell r="B248" t="str">
            <v xml:space="preserve">CAT 303.5E                  </v>
          </cell>
          <cell r="C248" t="str">
            <v>RUBBER TRACKS</v>
          </cell>
          <cell r="D248">
            <v>2467.27</v>
          </cell>
          <cell r="E248">
            <v>1233.6400000000001</v>
          </cell>
          <cell r="F248" t="str">
            <v>UC</v>
          </cell>
          <cell r="G248">
            <v>2</v>
          </cell>
          <cell r="H248">
            <v>0</v>
          </cell>
          <cell r="I248">
            <v>0</v>
          </cell>
          <cell r="J248">
            <v>0</v>
          </cell>
          <cell r="K248">
            <v>2</v>
          </cell>
        </row>
        <row r="249">
          <cell r="A249" t="str">
            <v>566-8180</v>
          </cell>
          <cell r="B249" t="str">
            <v xml:space="preserve">CAT 320 (MYK)                  </v>
          </cell>
          <cell r="C249" t="str">
            <v>SECONDARY TURBOCHARGER ASSEMBLY</v>
          </cell>
          <cell r="D249">
            <v>3756.87</v>
          </cell>
          <cell r="E249">
            <v>1878.44</v>
          </cell>
          <cell r="F249" t="str">
            <v>ENGINE</v>
          </cell>
          <cell r="G249">
            <v>2</v>
          </cell>
          <cell r="H249">
            <v>0</v>
          </cell>
          <cell r="I249">
            <v>0</v>
          </cell>
          <cell r="J249">
            <v>0</v>
          </cell>
          <cell r="K249">
            <v>2</v>
          </cell>
        </row>
        <row r="250">
          <cell r="A250" t="str">
            <v>569-6097</v>
          </cell>
          <cell r="B250" t="str">
            <v xml:space="preserve">CAT D6N LGP (GHS)                  </v>
          </cell>
          <cell r="C250" t="str">
            <v>TURBOCHARGER ASSEMBLY</v>
          </cell>
          <cell r="D250">
            <v>6551.41</v>
          </cell>
          <cell r="E250">
            <v>3275.71</v>
          </cell>
          <cell r="F250" t="str">
            <v>ENGINE</v>
          </cell>
          <cell r="G250">
            <v>1</v>
          </cell>
          <cell r="H250">
            <v>0</v>
          </cell>
          <cell r="I250">
            <v>0</v>
          </cell>
          <cell r="J250">
            <v>0</v>
          </cell>
          <cell r="K250">
            <v>1</v>
          </cell>
        </row>
        <row r="251">
          <cell r="A251" t="str">
            <v>571-0940</v>
          </cell>
          <cell r="B251" t="str">
            <v xml:space="preserve">CAT 320 (MYK)                  </v>
          </cell>
          <cell r="C251" t="str">
            <v>FUEL INJECTOR</v>
          </cell>
          <cell r="D251">
            <v>1132.8800000000001</v>
          </cell>
          <cell r="E251">
            <v>566.44000000000005</v>
          </cell>
          <cell r="F251" t="str">
            <v>ENGINE</v>
          </cell>
          <cell r="G251">
            <v>8</v>
          </cell>
          <cell r="H251">
            <v>0</v>
          </cell>
          <cell r="I251">
            <v>0</v>
          </cell>
          <cell r="J251">
            <v>0</v>
          </cell>
          <cell r="K251">
            <v>8</v>
          </cell>
        </row>
        <row r="252">
          <cell r="A252" t="str">
            <v>571-5253</v>
          </cell>
          <cell r="B252" t="str">
            <v xml:space="preserve">CAT D6 (RDC) CAT D6N LGP (PBA) CAT D6N LGP (SGG) CAT D6T (MH7) CAT 561N (CPH)          </v>
          </cell>
          <cell r="C252" t="str">
            <v>HYDRAULIC OIL FILTER ELEMENT</v>
          </cell>
          <cell r="D252">
            <v>171.55</v>
          </cell>
          <cell r="E252">
            <v>65.19</v>
          </cell>
          <cell r="F252" t="str">
            <v>FILTER</v>
          </cell>
          <cell r="G252">
            <v>22</v>
          </cell>
          <cell r="H252">
            <v>11</v>
          </cell>
          <cell r="I252">
            <v>11</v>
          </cell>
          <cell r="J252">
            <v>11</v>
          </cell>
          <cell r="K252">
            <v>55</v>
          </cell>
        </row>
        <row r="253">
          <cell r="A253" t="str">
            <v>575-9942</v>
          </cell>
          <cell r="B253" t="str">
            <v xml:space="preserve">CAT D6 (RDC)                  </v>
          </cell>
          <cell r="C253" t="str">
            <v>TURBO KIT</v>
          </cell>
          <cell r="D253">
            <v>6921.5</v>
          </cell>
          <cell r="E253">
            <v>3460.75</v>
          </cell>
          <cell r="F253" t="str">
            <v>ENGINE</v>
          </cell>
          <cell r="G253">
            <v>1</v>
          </cell>
          <cell r="H253">
            <v>0</v>
          </cell>
          <cell r="I253">
            <v>0</v>
          </cell>
          <cell r="J253">
            <v>0</v>
          </cell>
          <cell r="K253">
            <v>1</v>
          </cell>
        </row>
        <row r="254">
          <cell r="A254" t="str">
            <v>577-1435</v>
          </cell>
          <cell r="B254" t="str">
            <v xml:space="preserve">CAT D6 (RDC) CAT D6T (MH7) CAT 561N (CPH)              </v>
          </cell>
          <cell r="C254" t="str">
            <v>PRIMARY AIR FILTER ELEMENT</v>
          </cell>
          <cell r="D254">
            <v>259.82</v>
          </cell>
          <cell r="E254">
            <v>98.73</v>
          </cell>
          <cell r="F254" t="str">
            <v>FILTER</v>
          </cell>
          <cell r="G254">
            <v>7</v>
          </cell>
          <cell r="H254">
            <v>7</v>
          </cell>
          <cell r="I254">
            <v>0</v>
          </cell>
          <cell r="J254">
            <v>7</v>
          </cell>
          <cell r="K254">
            <v>21</v>
          </cell>
        </row>
        <row r="255">
          <cell r="A255" t="str">
            <v>587-3239</v>
          </cell>
          <cell r="B255" t="str">
            <v xml:space="preserve">CAT 320F L (YBM) CAT 320 (HEX)                </v>
          </cell>
          <cell r="C255" t="str">
            <v>SECONDARY TURBOCHARGER ASSEMBLY</v>
          </cell>
          <cell r="D255">
            <v>3188.6</v>
          </cell>
          <cell r="E255">
            <v>1594.3</v>
          </cell>
          <cell r="F255" t="str">
            <v>ENGINE</v>
          </cell>
          <cell r="G255">
            <v>2</v>
          </cell>
          <cell r="H255">
            <v>0</v>
          </cell>
          <cell r="I255">
            <v>0</v>
          </cell>
          <cell r="J255">
            <v>0</v>
          </cell>
          <cell r="K255">
            <v>2</v>
          </cell>
        </row>
        <row r="256">
          <cell r="A256" t="str">
            <v>590-9787</v>
          </cell>
          <cell r="B256" t="str">
            <v xml:space="preserve">CAT 320 (HEX) CAT 320 (MYK) CAT 330 (LHW) CAT 330 (WCH)            </v>
          </cell>
          <cell r="C256" t="str">
            <v>HYDRAULIC OIL FILTER ELEMENT</v>
          </cell>
          <cell r="D256">
            <v>283.86</v>
          </cell>
          <cell r="E256">
            <v>107.87</v>
          </cell>
          <cell r="F256" t="str">
            <v>Filter</v>
          </cell>
          <cell r="G256">
            <v>26</v>
          </cell>
          <cell r="H256">
            <v>13</v>
          </cell>
          <cell r="I256">
            <v>13</v>
          </cell>
          <cell r="J256">
            <v>13</v>
          </cell>
          <cell r="K256">
            <v>65</v>
          </cell>
        </row>
        <row r="257">
          <cell r="A257" t="str">
            <v>596-4526</v>
          </cell>
          <cell r="B257" t="str">
            <v xml:space="preserve">CAT D6 (RDC)                  </v>
          </cell>
          <cell r="C257" t="str">
            <v>TRACK LINK 46 JOINT</v>
          </cell>
          <cell r="D257">
            <v>10339.93</v>
          </cell>
          <cell r="E257">
            <v>5169.97</v>
          </cell>
          <cell r="F257" t="str">
            <v>UC</v>
          </cell>
          <cell r="G257">
            <v>2</v>
          </cell>
          <cell r="H257">
            <v>0</v>
          </cell>
          <cell r="I257">
            <v>0</v>
          </cell>
          <cell r="J257">
            <v>0</v>
          </cell>
          <cell r="K257">
            <v>2</v>
          </cell>
        </row>
        <row r="258">
          <cell r="A258" t="str">
            <v>596-8460</v>
          </cell>
          <cell r="B258" t="str">
            <v xml:space="preserve">CAT 320E L (WBK) CAT 320F L (YBM) CAT 320 (HEX) CAT 320 (MYK)            </v>
          </cell>
          <cell r="C258" t="str">
            <v xml:space="preserve">TRACK LINK ASSEMBLY </v>
          </cell>
          <cell r="D258">
            <v>8238.4699999999993</v>
          </cell>
          <cell r="E258">
            <v>4119.24</v>
          </cell>
          <cell r="F258" t="str">
            <v>UC</v>
          </cell>
          <cell r="G258">
            <v>12</v>
          </cell>
          <cell r="H258">
            <v>0</v>
          </cell>
          <cell r="I258">
            <v>0</v>
          </cell>
          <cell r="J258">
            <v>0</v>
          </cell>
          <cell r="K258">
            <v>12</v>
          </cell>
        </row>
        <row r="259">
          <cell r="A259" t="str">
            <v>5A-3187</v>
          </cell>
          <cell r="B259" t="str">
            <v xml:space="preserve">CAT D3 (1PJ)                  </v>
          </cell>
          <cell r="C259" t="str">
            <v>TRACK BOLT</v>
          </cell>
          <cell r="D259">
            <v>3.73</v>
          </cell>
          <cell r="E259">
            <v>1.87</v>
          </cell>
          <cell r="F259" t="str">
            <v>UC</v>
          </cell>
          <cell r="G259">
            <v>344</v>
          </cell>
          <cell r="H259">
            <v>0</v>
          </cell>
          <cell r="I259">
            <v>0</v>
          </cell>
          <cell r="J259">
            <v>0</v>
          </cell>
          <cell r="K259">
            <v>344</v>
          </cell>
        </row>
        <row r="260">
          <cell r="A260" t="str">
            <v>5I-8670</v>
          </cell>
          <cell r="B260" t="str">
            <v xml:space="preserve">CAT 320F L (YBM) CAT 329E L (ZCD)                </v>
          </cell>
          <cell r="C260" t="str">
            <v>HYDRAULIC OIL FILTER</v>
          </cell>
          <cell r="D260">
            <v>106.56</v>
          </cell>
          <cell r="E260">
            <v>40.49</v>
          </cell>
          <cell r="F260" t="str">
            <v>Filter</v>
          </cell>
          <cell r="G260">
            <v>4</v>
          </cell>
          <cell r="H260">
            <v>2</v>
          </cell>
          <cell r="I260">
            <v>2</v>
          </cell>
          <cell r="J260">
            <v>2</v>
          </cell>
          <cell r="K260">
            <v>10</v>
          </cell>
        </row>
        <row r="261">
          <cell r="A261" t="str">
            <v>5J-4773</v>
          </cell>
          <cell r="B261" t="str">
            <v xml:space="preserve">CAT D5 (3CR) CAT D6N LGP (GHS) CAT D6N LGP (PBA) CAT D6N LGP (SGG) CAT D6T (MH7)          </v>
          </cell>
          <cell r="C261" t="str">
            <v>PLOW BOLT</v>
          </cell>
          <cell r="D261">
            <v>4.51</v>
          </cell>
          <cell r="E261">
            <v>1.71</v>
          </cell>
          <cell r="F261" t="str">
            <v>GET</v>
          </cell>
          <cell r="G261">
            <v>222</v>
          </cell>
          <cell r="H261">
            <v>0</v>
          </cell>
          <cell r="I261">
            <v>0</v>
          </cell>
          <cell r="J261">
            <v>0</v>
          </cell>
          <cell r="K261">
            <v>222</v>
          </cell>
        </row>
        <row r="262">
          <cell r="A262" t="str">
            <v>5P-8245</v>
          </cell>
          <cell r="B262" t="str">
            <v xml:space="preserve">CAT D3 (1PJ)                  </v>
          </cell>
          <cell r="C262" t="str">
            <v>FLAT WASHER</v>
          </cell>
          <cell r="D262">
            <v>1.86</v>
          </cell>
          <cell r="E262">
            <v>0.93</v>
          </cell>
          <cell r="F262" t="str">
            <v>UC</v>
          </cell>
          <cell r="G262">
            <v>50</v>
          </cell>
          <cell r="H262">
            <v>0</v>
          </cell>
          <cell r="I262">
            <v>0</v>
          </cell>
          <cell r="J262">
            <v>0</v>
          </cell>
          <cell r="K262">
            <v>50</v>
          </cell>
        </row>
        <row r="263">
          <cell r="A263" t="str">
            <v>5P-8247</v>
          </cell>
          <cell r="B263" t="str">
            <v xml:space="preserve">CAT D3 (1PJ) CAT D6N LGP (SGG) CAT 561N (CPH) CAT 561N (CPH)            </v>
          </cell>
          <cell r="C263" t="str">
            <v>WASHER</v>
          </cell>
          <cell r="D263">
            <v>2.83</v>
          </cell>
          <cell r="E263">
            <v>1.42</v>
          </cell>
          <cell r="F263" t="str">
            <v>GET</v>
          </cell>
          <cell r="G263">
            <v>350</v>
          </cell>
          <cell r="H263">
            <v>0</v>
          </cell>
          <cell r="I263">
            <v>0</v>
          </cell>
          <cell r="J263">
            <v>0</v>
          </cell>
          <cell r="K263">
            <v>350</v>
          </cell>
        </row>
        <row r="264">
          <cell r="A264" t="str">
            <v>5P-8248</v>
          </cell>
          <cell r="B264" t="str">
            <v xml:space="preserve">CAT D5 (3CR) CAT D6 (RDC) CAT D6N LGP (GHS) CAT D6N LGP (PBA) CAT D6N LGP (SGG) CAT D6T (MH7)        </v>
          </cell>
          <cell r="C264" t="str">
            <v>FLAT WASHER</v>
          </cell>
          <cell r="D264">
            <v>3.56</v>
          </cell>
          <cell r="E264">
            <v>1.35</v>
          </cell>
          <cell r="F264" t="str">
            <v>GET</v>
          </cell>
          <cell r="G264">
            <v>272</v>
          </cell>
          <cell r="H264">
            <v>0</v>
          </cell>
          <cell r="I264">
            <v>0</v>
          </cell>
          <cell r="J264">
            <v>0</v>
          </cell>
          <cell r="K264">
            <v>272</v>
          </cell>
        </row>
        <row r="265">
          <cell r="A265" t="str">
            <v>604-1761</v>
          </cell>
          <cell r="B265" t="str">
            <v xml:space="preserve">CAT 320E L (WBK) CAT 320F L (YBM) CAT 320 (HEX) CAT 320 (MYK)            </v>
          </cell>
          <cell r="C265" t="str">
            <v>SINGLE FLANGE TRACK ROLLER</v>
          </cell>
          <cell r="D265">
            <v>748.26</v>
          </cell>
          <cell r="E265">
            <v>374.13</v>
          </cell>
          <cell r="F265" t="str">
            <v>UC</v>
          </cell>
          <cell r="G265">
            <v>96</v>
          </cell>
          <cell r="H265">
            <v>0</v>
          </cell>
          <cell r="I265">
            <v>0</v>
          </cell>
          <cell r="J265">
            <v>0</v>
          </cell>
          <cell r="K265">
            <v>96</v>
          </cell>
        </row>
        <row r="266">
          <cell r="A266" t="str">
            <v>605-4657</v>
          </cell>
          <cell r="B266" t="str">
            <v xml:space="preserve">CAT 320 (MYK)                  </v>
          </cell>
          <cell r="C266" t="str">
            <v>PRIMARY TURBOCHARGER ASSEMBLY</v>
          </cell>
          <cell r="D266">
            <v>3256.94</v>
          </cell>
          <cell r="E266">
            <v>1628.47</v>
          </cell>
          <cell r="F266" t="str">
            <v>ENGINE</v>
          </cell>
          <cell r="G266">
            <v>2</v>
          </cell>
          <cell r="H266">
            <v>0</v>
          </cell>
          <cell r="I266">
            <v>0</v>
          </cell>
          <cell r="J266">
            <v>0</v>
          </cell>
          <cell r="K266">
            <v>2</v>
          </cell>
        </row>
        <row r="267">
          <cell r="A267" t="str">
            <v>607-2263</v>
          </cell>
          <cell r="B267" t="str">
            <v xml:space="preserve">CAT 329E L (ZCD) CAT 329F L (ERL) CAT 330F L (MBX) CAT 330F L (HCK) CAT 330 (LHW) CAT 330 (WCH)        </v>
          </cell>
          <cell r="C267" t="str">
            <v>SPROCKET BOLT</v>
          </cell>
          <cell r="D267">
            <v>10.72</v>
          </cell>
          <cell r="E267">
            <v>5.36</v>
          </cell>
          <cell r="F267" t="str">
            <v>UC</v>
          </cell>
          <cell r="G267">
            <v>576</v>
          </cell>
          <cell r="H267">
            <v>0</v>
          </cell>
          <cell r="I267">
            <v>0</v>
          </cell>
          <cell r="J267">
            <v>0</v>
          </cell>
          <cell r="K267">
            <v>576</v>
          </cell>
        </row>
        <row r="268">
          <cell r="A268" t="str">
            <v>610-2300</v>
          </cell>
          <cell r="B268" t="str">
            <v xml:space="preserve">CAT 320E L (WBK) CAT 329F L (ERL) CAT 330F L (MBX) CAT 330F L (HCK) CAT 330 (LHW) CAT 330 (WCH) CAT D6N LGP (PBA) CAT D6N LGP (SGG)    </v>
          </cell>
          <cell r="C268" t="str">
            <v>FUEL INJECTOR</v>
          </cell>
          <cell r="D268">
            <v>1474.09</v>
          </cell>
          <cell r="E268">
            <v>737.05</v>
          </cell>
          <cell r="F268" t="str">
            <v>ENGINE</v>
          </cell>
          <cell r="G268">
            <v>126</v>
          </cell>
          <cell r="H268">
            <v>0</v>
          </cell>
          <cell r="I268">
            <v>0</v>
          </cell>
          <cell r="J268">
            <v>0</v>
          </cell>
          <cell r="K268">
            <v>126</v>
          </cell>
        </row>
        <row r="269">
          <cell r="A269" t="str">
            <v>610-6264</v>
          </cell>
          <cell r="B269" t="str">
            <v xml:space="preserve">CAT 330 (LHW) CAT 330 (WCH)                </v>
          </cell>
          <cell r="C269" t="str">
            <v>TRACK LINK ASSEMBLY</v>
          </cell>
          <cell r="D269">
            <v>10788.51</v>
          </cell>
          <cell r="E269">
            <v>5394.26</v>
          </cell>
          <cell r="F269" t="str">
            <v>UC</v>
          </cell>
          <cell r="G269">
            <v>20</v>
          </cell>
          <cell r="H269">
            <v>0</v>
          </cell>
          <cell r="I269">
            <v>0</v>
          </cell>
          <cell r="J269">
            <v>0</v>
          </cell>
          <cell r="K269">
            <v>20</v>
          </cell>
        </row>
        <row r="270">
          <cell r="A270" t="str">
            <v>614-7778</v>
          </cell>
          <cell r="B270" t="str">
            <v xml:space="preserve">CAT D7G (92V)                  </v>
          </cell>
          <cell r="C270" t="str">
            <v>RIPPER SHANK</v>
          </cell>
          <cell r="D270">
            <v>6515.49</v>
          </cell>
          <cell r="E270">
            <v>2475.89</v>
          </cell>
          <cell r="F270" t="str">
            <v>GET</v>
          </cell>
          <cell r="G270">
            <v>1</v>
          </cell>
          <cell r="H270">
            <v>0</v>
          </cell>
          <cell r="I270">
            <v>0</v>
          </cell>
          <cell r="J270">
            <v>0</v>
          </cell>
          <cell r="K270">
            <v>1</v>
          </cell>
        </row>
        <row r="271">
          <cell r="A271" t="str">
            <v>615-6119</v>
          </cell>
          <cell r="B271" t="str">
            <v xml:space="preserve">CAT D6N LGP (PBA) CAT D6N LGP (SGG)                </v>
          </cell>
          <cell r="C271" t="str">
            <v>TURBOCHARGER ASSEMBLY</v>
          </cell>
          <cell r="D271">
            <v>4119.04</v>
          </cell>
          <cell r="E271">
            <v>2059.52</v>
          </cell>
          <cell r="F271" t="str">
            <v>ENGINE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</row>
        <row r="272">
          <cell r="A272" t="str">
            <v>615-6123</v>
          </cell>
          <cell r="B272" t="str">
            <v xml:space="preserve">CAT 320E L (WBK)                  </v>
          </cell>
          <cell r="C272" t="str">
            <v>TURBOCHARGER ASSEMBLY</v>
          </cell>
          <cell r="D272">
            <v>5964.28</v>
          </cell>
          <cell r="E272">
            <v>2982.14</v>
          </cell>
          <cell r="F272" t="str">
            <v>ENGINE</v>
          </cell>
          <cell r="G272">
            <v>2</v>
          </cell>
          <cell r="H272">
            <v>0</v>
          </cell>
          <cell r="I272">
            <v>0</v>
          </cell>
          <cell r="J272">
            <v>0</v>
          </cell>
          <cell r="K272">
            <v>2</v>
          </cell>
        </row>
        <row r="273">
          <cell r="A273" t="str">
            <v>617-1913</v>
          </cell>
          <cell r="B273" t="str">
            <v xml:space="preserve">CAT D6 (RDC)                  </v>
          </cell>
          <cell r="C273" t="str">
            <v>INJECTOR</v>
          </cell>
          <cell r="D273">
            <v>1423.26</v>
          </cell>
          <cell r="E273">
            <v>711.63</v>
          </cell>
          <cell r="F273" t="str">
            <v>ENGINE</v>
          </cell>
          <cell r="G273">
            <v>6</v>
          </cell>
          <cell r="H273">
            <v>0</v>
          </cell>
          <cell r="I273">
            <v>0</v>
          </cell>
          <cell r="J273">
            <v>0</v>
          </cell>
          <cell r="K273">
            <v>6</v>
          </cell>
        </row>
        <row r="274">
          <cell r="A274" t="str">
            <v>629-6309</v>
          </cell>
          <cell r="B274" t="str">
            <v xml:space="preserve">CAT 329F L (ERL) CAT 330F L (MBX) CAT 330F L (HCK) CAT 330 (LHW) CAT 330 (WCH)          </v>
          </cell>
          <cell r="C274" t="str">
            <v>SECONDARY TUBROCHARGER ASSEMBLY</v>
          </cell>
          <cell r="D274">
            <v>3634.22</v>
          </cell>
          <cell r="E274">
            <v>1817.11</v>
          </cell>
          <cell r="F274" t="str">
            <v>ENGINE</v>
          </cell>
          <cell r="G274">
            <v>15</v>
          </cell>
          <cell r="H274">
            <v>0</v>
          </cell>
          <cell r="I274">
            <v>0</v>
          </cell>
          <cell r="J274">
            <v>0</v>
          </cell>
          <cell r="K274">
            <v>15</v>
          </cell>
        </row>
        <row r="275">
          <cell r="A275" t="str">
            <v>651-2584</v>
          </cell>
          <cell r="B275" t="str">
            <v xml:space="preserve">CAT 329E L (ZCD)                  </v>
          </cell>
          <cell r="C275" t="str">
            <v>ENGINE OVERHAUL KIT</v>
          </cell>
          <cell r="D275">
            <v>13595.74</v>
          </cell>
          <cell r="E275">
            <v>6797.87</v>
          </cell>
          <cell r="F275" t="str">
            <v>ENGINE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1</v>
          </cell>
        </row>
        <row r="276">
          <cell r="A276" t="str">
            <v>651-2600</v>
          </cell>
          <cell r="B276" t="str">
            <v xml:space="preserve">CAT 329F L (ERL) CAT 330F L (MBX) CAT 330F L (HCK)              </v>
          </cell>
          <cell r="C276" t="str">
            <v>ENGINE OVERHAUL KIT</v>
          </cell>
          <cell r="D276">
            <v>13595.74</v>
          </cell>
          <cell r="E276">
            <v>6797.87</v>
          </cell>
          <cell r="F276" t="str">
            <v>ENGINE</v>
          </cell>
          <cell r="G276">
            <v>5</v>
          </cell>
          <cell r="H276">
            <v>0</v>
          </cell>
          <cell r="I276">
            <v>0</v>
          </cell>
          <cell r="J276">
            <v>0</v>
          </cell>
          <cell r="K276">
            <v>5</v>
          </cell>
        </row>
        <row r="277">
          <cell r="A277" t="str">
            <v>6B-5464</v>
          </cell>
          <cell r="B277" t="str">
            <v xml:space="preserve">CAT D3 (1PJ)                  </v>
          </cell>
          <cell r="C277" t="str">
            <v>DOWEL PIN</v>
          </cell>
          <cell r="D277">
            <v>67.7</v>
          </cell>
          <cell r="E277">
            <v>25.73</v>
          </cell>
          <cell r="F277" t="str">
            <v>GET</v>
          </cell>
          <cell r="G277">
            <v>1</v>
          </cell>
          <cell r="H277">
            <v>0</v>
          </cell>
          <cell r="I277">
            <v>0</v>
          </cell>
          <cell r="J277">
            <v>0</v>
          </cell>
          <cell r="K277">
            <v>1</v>
          </cell>
        </row>
        <row r="278">
          <cell r="A278" t="str">
            <v>6I-2378</v>
          </cell>
          <cell r="B278" t="str">
            <v xml:space="preserve">CAT D3 (1PJ)                  </v>
          </cell>
          <cell r="C278" t="str">
            <v>CYLINDER HEAD</v>
          </cell>
          <cell r="D278">
            <v>6130.36</v>
          </cell>
          <cell r="E278">
            <v>3065.18</v>
          </cell>
          <cell r="F278" t="str">
            <v>ENGINE</v>
          </cell>
          <cell r="G278">
            <v>1</v>
          </cell>
          <cell r="H278">
            <v>0</v>
          </cell>
          <cell r="I278">
            <v>0</v>
          </cell>
          <cell r="J278">
            <v>0</v>
          </cell>
          <cell r="K278">
            <v>1</v>
          </cell>
        </row>
        <row r="279">
          <cell r="A279" t="str">
            <v>6I-2499</v>
          </cell>
          <cell r="B279" t="str">
            <v xml:space="preserve">CAT D5 (3CR)                  </v>
          </cell>
          <cell r="C279" t="str">
            <v>PRIMARY AIR FILTER ELEMENT</v>
          </cell>
          <cell r="D279">
            <v>110.04</v>
          </cell>
          <cell r="E279">
            <v>41.82</v>
          </cell>
          <cell r="F279" t="str">
            <v>FILTER</v>
          </cell>
          <cell r="G279">
            <v>2</v>
          </cell>
          <cell r="H279">
            <v>2</v>
          </cell>
          <cell r="I279">
            <v>0</v>
          </cell>
          <cell r="J279">
            <v>2</v>
          </cell>
          <cell r="K279">
            <v>6</v>
          </cell>
        </row>
        <row r="280">
          <cell r="A280" t="str">
            <v>6I-2500</v>
          </cell>
          <cell r="B280" t="str">
            <v xml:space="preserve">CAT D5 (3CR)                  </v>
          </cell>
          <cell r="C280" t="str">
            <v>SECONDARY AIR FILTER ELEMENT</v>
          </cell>
          <cell r="D280">
            <v>81.73</v>
          </cell>
          <cell r="E280">
            <v>31.06</v>
          </cell>
          <cell r="F280" t="str">
            <v>FILTER</v>
          </cell>
          <cell r="G280">
            <v>2</v>
          </cell>
          <cell r="H280">
            <v>2</v>
          </cell>
          <cell r="I280">
            <v>0</v>
          </cell>
          <cell r="J280">
            <v>2</v>
          </cell>
          <cell r="K280">
            <v>6</v>
          </cell>
        </row>
        <row r="281">
          <cell r="A281" t="str">
            <v>6I-2503</v>
          </cell>
          <cell r="B281" t="str">
            <v xml:space="preserve">CAT 329E L (ZCD) CAT 329F L (ERL) CAT 330F L (MBX) CAT 330F L (HCK)            </v>
          </cell>
          <cell r="C281" t="str">
            <v>PRIMARY AIR FILTER ELEMENT</v>
          </cell>
          <cell r="D281">
            <v>165.83</v>
          </cell>
          <cell r="E281">
            <v>63.02</v>
          </cell>
          <cell r="F281" t="str">
            <v>Filter</v>
          </cell>
          <cell r="G281">
            <v>6</v>
          </cell>
          <cell r="H281">
            <v>6</v>
          </cell>
          <cell r="I281">
            <v>0</v>
          </cell>
          <cell r="J281">
            <v>6</v>
          </cell>
          <cell r="K281">
            <v>18</v>
          </cell>
        </row>
        <row r="282">
          <cell r="A282" t="str">
            <v>6I-2504</v>
          </cell>
          <cell r="B282" t="str">
            <v xml:space="preserve">CAT 329E L (ZCD) CAT 329F L (ERL) CAT 330F L (MBX) CAT 330F L (HCK)            </v>
          </cell>
          <cell r="C282" t="str">
            <v>SECONDARY AIR FILTER ELEMENT</v>
          </cell>
          <cell r="D282">
            <v>117.3</v>
          </cell>
          <cell r="E282">
            <v>44.57</v>
          </cell>
          <cell r="F282" t="str">
            <v>Filter</v>
          </cell>
          <cell r="G282">
            <v>6</v>
          </cell>
          <cell r="H282">
            <v>6</v>
          </cell>
          <cell r="I282">
            <v>0</v>
          </cell>
          <cell r="J282">
            <v>6</v>
          </cell>
          <cell r="K282">
            <v>18</v>
          </cell>
        </row>
        <row r="283">
          <cell r="A283" t="str">
            <v>6I-8077</v>
          </cell>
          <cell r="B283" t="str">
            <v xml:space="preserve">CAT D6N LGP (GHS) CAT D6N LGP (PBA) CAT D6N LGP (SGG)              </v>
          </cell>
          <cell r="C283" t="str">
            <v>SPROCKET SEGMENT</v>
          </cell>
          <cell r="D283">
            <v>204.05</v>
          </cell>
          <cell r="E283">
            <v>102.03</v>
          </cell>
          <cell r="F283" t="str">
            <v>UC</v>
          </cell>
          <cell r="G283">
            <v>50</v>
          </cell>
          <cell r="H283">
            <v>0</v>
          </cell>
          <cell r="I283">
            <v>0</v>
          </cell>
          <cell r="J283">
            <v>0</v>
          </cell>
          <cell r="K283">
            <v>50</v>
          </cell>
        </row>
        <row r="284">
          <cell r="A284" t="str">
            <v>6K-9880</v>
          </cell>
          <cell r="B284" t="str">
            <v xml:space="preserve">CAT D4 (66J) CAT D5 (3CR) CAT 561N (CPH)              </v>
          </cell>
          <cell r="C284" t="str">
            <v>CARRIER ROLLER</v>
          </cell>
          <cell r="D284">
            <v>520.11</v>
          </cell>
          <cell r="E284">
            <v>260.06</v>
          </cell>
          <cell r="F284" t="str">
            <v>UC</v>
          </cell>
          <cell r="G284">
            <v>16</v>
          </cell>
          <cell r="H284">
            <v>0</v>
          </cell>
          <cell r="I284">
            <v>0</v>
          </cell>
          <cell r="J284">
            <v>0</v>
          </cell>
          <cell r="K284">
            <v>16</v>
          </cell>
        </row>
        <row r="285">
          <cell r="A285" t="str">
            <v>6P-6664</v>
          </cell>
          <cell r="B285" t="str">
            <v xml:space="preserve">CAT D7G (92V)                  </v>
          </cell>
          <cell r="C285" t="str">
            <v>CABIN AIR FILTER ELEMENT</v>
          </cell>
          <cell r="D285">
            <v>121.67</v>
          </cell>
          <cell r="E285">
            <v>46.23</v>
          </cell>
          <cell r="F285" t="str">
            <v>FILTER</v>
          </cell>
          <cell r="G285">
            <v>1</v>
          </cell>
          <cell r="H285">
            <v>1</v>
          </cell>
          <cell r="I285">
            <v>0</v>
          </cell>
          <cell r="J285">
            <v>1</v>
          </cell>
          <cell r="K285">
            <v>3</v>
          </cell>
        </row>
        <row r="286">
          <cell r="A286" t="str">
            <v>6S3609</v>
          </cell>
          <cell r="B286" t="str">
            <v xml:space="preserve">CAT D3 (1PJ)                  </v>
          </cell>
          <cell r="C286" t="str">
            <v>CARRIER ROLLER</v>
          </cell>
          <cell r="D286">
            <v>493.88</v>
          </cell>
          <cell r="E286">
            <v>246.94</v>
          </cell>
          <cell r="F286" t="str">
            <v>UC</v>
          </cell>
          <cell r="G286">
            <v>2</v>
          </cell>
          <cell r="H286">
            <v>0</v>
          </cell>
          <cell r="I286">
            <v>0</v>
          </cell>
          <cell r="J286">
            <v>0</v>
          </cell>
          <cell r="K286">
            <v>2</v>
          </cell>
        </row>
        <row r="287">
          <cell r="A287" t="str">
            <v>6T-0232</v>
          </cell>
          <cell r="B287" t="str">
            <v xml:space="preserve">CAT 561N (CPH)                  </v>
          </cell>
          <cell r="C287" t="str">
            <v>TRACK SHOE</v>
          </cell>
          <cell r="D287">
            <v>655.30999999999995</v>
          </cell>
          <cell r="E287">
            <v>327.66000000000003</v>
          </cell>
          <cell r="F287" t="str">
            <v>UC</v>
          </cell>
          <cell r="G287">
            <v>440</v>
          </cell>
          <cell r="H287">
            <v>0</v>
          </cell>
          <cell r="I287">
            <v>0</v>
          </cell>
          <cell r="J287">
            <v>0</v>
          </cell>
          <cell r="K287">
            <v>440</v>
          </cell>
        </row>
        <row r="288">
          <cell r="A288" t="str">
            <v>6T-2779</v>
          </cell>
          <cell r="B288" t="str">
            <v xml:space="preserve">CAT D3 (1PJ)                  </v>
          </cell>
          <cell r="C288" t="str">
            <v>TRACK SHOE MASTER</v>
          </cell>
          <cell r="D288">
            <v>729.52</v>
          </cell>
          <cell r="E288">
            <v>364.76</v>
          </cell>
          <cell r="F288" t="str">
            <v>UC</v>
          </cell>
          <cell r="G288">
            <v>2</v>
          </cell>
          <cell r="H288">
            <v>0</v>
          </cell>
          <cell r="I288">
            <v>0</v>
          </cell>
          <cell r="J288">
            <v>0</v>
          </cell>
          <cell r="K288">
            <v>2</v>
          </cell>
        </row>
        <row r="289">
          <cell r="A289" t="str">
            <v>6T-2780</v>
          </cell>
          <cell r="B289" t="str">
            <v xml:space="preserve">CAT D3 (1PJ)                  </v>
          </cell>
          <cell r="C289" t="str">
            <v>TRACK SHOE SINGLE GROUSER 860MM</v>
          </cell>
          <cell r="D289">
            <v>693.26</v>
          </cell>
          <cell r="E289">
            <v>346.63</v>
          </cell>
          <cell r="F289" t="str">
            <v>UC</v>
          </cell>
          <cell r="G289">
            <v>86</v>
          </cell>
          <cell r="H289">
            <v>0</v>
          </cell>
          <cell r="I289">
            <v>0</v>
          </cell>
          <cell r="J289">
            <v>0</v>
          </cell>
          <cell r="K289">
            <v>86</v>
          </cell>
        </row>
        <row r="290">
          <cell r="A290" t="str">
            <v>6V-0937</v>
          </cell>
          <cell r="B290" t="str">
            <v xml:space="preserve">CAT D6N LGP (GHS) CAT D6N LGP (PBA) CAT D6N LGP (SGG) CAT D6T (MH7)            </v>
          </cell>
          <cell r="C290" t="str">
            <v>SPROCKET BOLT</v>
          </cell>
          <cell r="D290">
            <v>3.14</v>
          </cell>
          <cell r="E290">
            <v>1.57</v>
          </cell>
          <cell r="F290" t="str">
            <v>UC</v>
          </cell>
          <cell r="G290">
            <v>300</v>
          </cell>
          <cell r="H290">
            <v>0</v>
          </cell>
          <cell r="I290">
            <v>0</v>
          </cell>
          <cell r="J290">
            <v>0</v>
          </cell>
          <cell r="K290">
            <v>300</v>
          </cell>
        </row>
        <row r="291">
          <cell r="A291" t="str">
            <v>6V-1792</v>
          </cell>
          <cell r="B291" t="str">
            <v xml:space="preserve">CAT D4 (66J) CAT D6 (RDC) CAT D6N LGP (GHS) CAT D6N LGP (SGG) CAT D6T (MH7) CAT PL61 (WGS)        </v>
          </cell>
          <cell r="C291" t="str">
            <v>TRACK BOLT</v>
          </cell>
          <cell r="D291">
            <v>5.38</v>
          </cell>
          <cell r="E291">
            <v>2.69</v>
          </cell>
          <cell r="F291" t="str">
            <v>UC</v>
          </cell>
          <cell r="G291">
            <v>3088</v>
          </cell>
          <cell r="H291">
            <v>0</v>
          </cell>
          <cell r="I291">
            <v>0</v>
          </cell>
          <cell r="J291">
            <v>0</v>
          </cell>
          <cell r="K291">
            <v>3088</v>
          </cell>
        </row>
        <row r="292">
          <cell r="A292" t="str">
            <v>6V-3669</v>
          </cell>
          <cell r="B292" t="str">
            <v xml:space="preserve">CAT D6T (MH7)                  </v>
          </cell>
          <cell r="C292" t="str">
            <v>ROLLER BOLT</v>
          </cell>
          <cell r="D292">
            <v>13.48</v>
          </cell>
          <cell r="E292">
            <v>6.74</v>
          </cell>
          <cell r="F292" t="str">
            <v>UC</v>
          </cell>
          <cell r="G292">
            <v>64</v>
          </cell>
          <cell r="H292">
            <v>0</v>
          </cell>
          <cell r="I292">
            <v>0</v>
          </cell>
          <cell r="J292">
            <v>0</v>
          </cell>
          <cell r="K292">
            <v>64</v>
          </cell>
        </row>
        <row r="293">
          <cell r="A293" t="str">
            <v>6V-4316</v>
          </cell>
          <cell r="B293" t="str">
            <v xml:space="preserve">CAT D5 (3CR) CAT 561N (CPH)                </v>
          </cell>
          <cell r="C293" t="str">
            <v>FLAT WASHER</v>
          </cell>
          <cell r="D293">
            <v>3.41</v>
          </cell>
          <cell r="E293">
            <v>1.71</v>
          </cell>
          <cell r="F293" t="str">
            <v>UC</v>
          </cell>
          <cell r="G293">
            <v>280</v>
          </cell>
          <cell r="H293">
            <v>0</v>
          </cell>
          <cell r="I293">
            <v>0</v>
          </cell>
          <cell r="J293">
            <v>0</v>
          </cell>
          <cell r="K293">
            <v>280</v>
          </cell>
        </row>
        <row r="294">
          <cell r="A294" t="str">
            <v>6V-9167</v>
          </cell>
          <cell r="B294" t="str">
            <v xml:space="preserve">CAT D6T (MH7)                  </v>
          </cell>
          <cell r="C294" t="str">
            <v>IDLER CAP BOLT</v>
          </cell>
          <cell r="D294">
            <v>27.02</v>
          </cell>
          <cell r="E294">
            <v>13.51</v>
          </cell>
          <cell r="F294" t="str">
            <v>UC</v>
          </cell>
          <cell r="G294">
            <v>16</v>
          </cell>
          <cell r="H294">
            <v>0</v>
          </cell>
          <cell r="I294">
            <v>0</v>
          </cell>
          <cell r="J294">
            <v>0</v>
          </cell>
          <cell r="K294">
            <v>16</v>
          </cell>
        </row>
        <row r="295">
          <cell r="A295" t="str">
            <v>6Y-0309</v>
          </cell>
          <cell r="B295" t="str">
            <v xml:space="preserve">CAT D5 (3CR)                  </v>
          </cell>
          <cell r="C295" t="str">
            <v>RIPPER</v>
          </cell>
          <cell r="D295">
            <v>144.57</v>
          </cell>
          <cell r="E295">
            <v>54.94</v>
          </cell>
          <cell r="F295" t="str">
            <v>GET</v>
          </cell>
          <cell r="G295">
            <v>2</v>
          </cell>
          <cell r="H295">
            <v>0</v>
          </cell>
          <cell r="I295">
            <v>0</v>
          </cell>
          <cell r="J295">
            <v>0</v>
          </cell>
          <cell r="K295">
            <v>2</v>
          </cell>
        </row>
        <row r="296">
          <cell r="A296" t="str">
            <v>6Y-0352</v>
          </cell>
          <cell r="B296" t="str">
            <v xml:space="preserve">CAT D6N LGP (PBA) CAT D6N LGP (SGG)                </v>
          </cell>
          <cell r="C296" t="str">
            <v>RIPPER TIP</v>
          </cell>
          <cell r="D296">
            <v>224.12</v>
          </cell>
          <cell r="E296">
            <v>85.17</v>
          </cell>
          <cell r="F296" t="str">
            <v>GET</v>
          </cell>
          <cell r="G296">
            <v>12</v>
          </cell>
          <cell r="H296">
            <v>0</v>
          </cell>
          <cell r="I296">
            <v>0</v>
          </cell>
          <cell r="J296">
            <v>0</v>
          </cell>
          <cell r="K296">
            <v>12</v>
          </cell>
        </row>
        <row r="297">
          <cell r="A297" t="str">
            <v>6Y-0359</v>
          </cell>
          <cell r="B297" t="str">
            <v xml:space="preserve">CAT D6T (MH7) CAT D7G (92V)                </v>
          </cell>
          <cell r="C297" t="str">
            <v>RIPPER TOOTH</v>
          </cell>
          <cell r="D297">
            <v>224.15</v>
          </cell>
          <cell r="E297">
            <v>85.18</v>
          </cell>
          <cell r="F297" t="str">
            <v>GET</v>
          </cell>
          <cell r="G297">
            <v>4</v>
          </cell>
          <cell r="H297">
            <v>0</v>
          </cell>
          <cell r="I297">
            <v>0</v>
          </cell>
          <cell r="J297">
            <v>0</v>
          </cell>
          <cell r="K297">
            <v>4</v>
          </cell>
        </row>
        <row r="298">
          <cell r="A298" t="str">
            <v>6Y-0846</v>
          </cell>
          <cell r="B298" t="str">
            <v xml:space="preserve">CAT D6N LGP (PBA)                  </v>
          </cell>
          <cell r="C298" t="str">
            <v>TRACK BOLT</v>
          </cell>
          <cell r="D298">
            <v>6.32</v>
          </cell>
          <cell r="E298">
            <v>3.16</v>
          </cell>
          <cell r="F298" t="str">
            <v>UC</v>
          </cell>
          <cell r="G298">
            <v>720</v>
          </cell>
          <cell r="H298">
            <v>0</v>
          </cell>
          <cell r="I298">
            <v>0</v>
          </cell>
          <cell r="J298">
            <v>0</v>
          </cell>
          <cell r="K298">
            <v>720</v>
          </cell>
        </row>
        <row r="299">
          <cell r="A299" t="str">
            <v>6Y-2126</v>
          </cell>
          <cell r="B299" t="str">
            <v xml:space="preserve">CAT 329E L (ZCD) CAT 329F L (ERL) CAT 330F L (MBX) CAT 330F L (HCK)            </v>
          </cell>
          <cell r="C299" t="str">
            <v>TRACK SHOE 800MM</v>
          </cell>
          <cell r="D299">
            <v>230.39</v>
          </cell>
          <cell r="E299">
            <v>115.2</v>
          </cell>
          <cell r="F299" t="str">
            <v>UC</v>
          </cell>
          <cell r="G299">
            <v>600</v>
          </cell>
          <cell r="H299">
            <v>0</v>
          </cell>
          <cell r="I299">
            <v>0</v>
          </cell>
          <cell r="J299">
            <v>0</v>
          </cell>
          <cell r="K299">
            <v>600</v>
          </cell>
        </row>
        <row r="300">
          <cell r="A300" t="str">
            <v>6Y-4898</v>
          </cell>
          <cell r="B300" t="str">
            <v xml:space="preserve">CAT 329E L (ZCD) CAT 329F L (ERL) CAT 330F L (MBX) CAT 330F L (HCK) CAT 330 (LHW) CAT 330 (WCH)        </v>
          </cell>
          <cell r="C300" t="str">
            <v>TRACK SPROCKET</v>
          </cell>
          <cell r="D300">
            <v>1259.02</v>
          </cell>
          <cell r="E300">
            <v>629.51</v>
          </cell>
          <cell r="F300" t="str">
            <v>UC</v>
          </cell>
          <cell r="G300">
            <v>32</v>
          </cell>
          <cell r="H300">
            <v>0</v>
          </cell>
          <cell r="I300">
            <v>0</v>
          </cell>
          <cell r="J300">
            <v>0</v>
          </cell>
          <cell r="K300">
            <v>32</v>
          </cell>
        </row>
        <row r="301">
          <cell r="A301" t="str">
            <v>6Y-5685</v>
          </cell>
          <cell r="B301" t="str">
            <v xml:space="preserve">CAT 336F L (RKB)                  </v>
          </cell>
          <cell r="C301" t="str">
            <v>TRACK SPROCKET</v>
          </cell>
          <cell r="D301">
            <v>1567.41</v>
          </cell>
          <cell r="E301">
            <v>783.71</v>
          </cell>
          <cell r="F301" t="str">
            <v>UC</v>
          </cell>
          <cell r="G301">
            <v>2</v>
          </cell>
          <cell r="H301">
            <v>0</v>
          </cell>
          <cell r="I301">
            <v>0</v>
          </cell>
          <cell r="J301">
            <v>0</v>
          </cell>
          <cell r="K301">
            <v>2</v>
          </cell>
        </row>
        <row r="302">
          <cell r="A302" t="str">
            <v>6Y-6300</v>
          </cell>
          <cell r="B302" t="str">
            <v xml:space="preserve">CAT D6 (RDC)                  </v>
          </cell>
          <cell r="C302" t="str">
            <v>MASTER SHOE</v>
          </cell>
          <cell r="D302">
            <v>240.45</v>
          </cell>
          <cell r="E302">
            <v>120.23</v>
          </cell>
          <cell r="F302" t="str">
            <v>UC</v>
          </cell>
          <cell r="G302">
            <v>2</v>
          </cell>
          <cell r="H302">
            <v>0</v>
          </cell>
          <cell r="I302">
            <v>0</v>
          </cell>
          <cell r="J302">
            <v>0</v>
          </cell>
          <cell r="K302">
            <v>2</v>
          </cell>
        </row>
        <row r="303">
          <cell r="A303" t="str">
            <v>6Y-8180</v>
          </cell>
          <cell r="B303" t="str">
            <v xml:space="preserve">CAT 336F L (RKB)                  </v>
          </cell>
          <cell r="C303" t="str">
            <v>TRACK SHOE 850MM</v>
          </cell>
          <cell r="D303">
            <v>260.58</v>
          </cell>
          <cell r="E303">
            <v>130.29</v>
          </cell>
          <cell r="F303" t="str">
            <v>UC</v>
          </cell>
          <cell r="G303">
            <v>98</v>
          </cell>
          <cell r="H303">
            <v>0</v>
          </cell>
          <cell r="I303">
            <v>0</v>
          </cell>
          <cell r="J303">
            <v>0</v>
          </cell>
          <cell r="K303">
            <v>98</v>
          </cell>
        </row>
        <row r="304">
          <cell r="A304" t="str">
            <v>6Y-8973</v>
          </cell>
          <cell r="B304" t="str">
            <v xml:space="preserve">CAT D6 (RDC)                  </v>
          </cell>
          <cell r="C304" t="str">
            <v>TRACK SHOE</v>
          </cell>
          <cell r="D304">
            <v>185.5</v>
          </cell>
          <cell r="E304">
            <v>92.75</v>
          </cell>
          <cell r="F304" t="str">
            <v>UC</v>
          </cell>
          <cell r="G304">
            <v>90</v>
          </cell>
          <cell r="H304">
            <v>0</v>
          </cell>
          <cell r="I304">
            <v>0</v>
          </cell>
          <cell r="J304">
            <v>0</v>
          </cell>
          <cell r="K304">
            <v>90</v>
          </cell>
        </row>
        <row r="305">
          <cell r="A305" t="str">
            <v>6Y-9024</v>
          </cell>
          <cell r="B305" t="str">
            <v xml:space="preserve">CAT 330 (LHW) CAT 330 (WCH)                </v>
          </cell>
          <cell r="C305" t="str">
            <v>TRACK BOLT</v>
          </cell>
          <cell r="D305">
            <v>8.3699999999999992</v>
          </cell>
          <cell r="E305">
            <v>4.1900000000000004</v>
          </cell>
          <cell r="F305" t="str">
            <v>UC</v>
          </cell>
          <cell r="G305">
            <v>4000</v>
          </cell>
          <cell r="H305">
            <v>0</v>
          </cell>
          <cell r="I305">
            <v>0</v>
          </cell>
          <cell r="J305">
            <v>0</v>
          </cell>
          <cell r="K305">
            <v>4000</v>
          </cell>
        </row>
        <row r="306">
          <cell r="A306" t="str">
            <v>7E-9980</v>
          </cell>
          <cell r="B306" t="str">
            <v xml:space="preserve">CAT D7G (92V)                  </v>
          </cell>
          <cell r="C306" t="str">
            <v>CAMSHAFT ASSY</v>
          </cell>
          <cell r="D306">
            <v>3141.67</v>
          </cell>
          <cell r="E306">
            <v>1570.84</v>
          </cell>
          <cell r="F306" t="str">
            <v>ENGINE</v>
          </cell>
          <cell r="G306">
            <v>1</v>
          </cell>
          <cell r="H306">
            <v>0</v>
          </cell>
          <cell r="I306">
            <v>0</v>
          </cell>
          <cell r="J306">
            <v>0</v>
          </cell>
          <cell r="K306">
            <v>1</v>
          </cell>
        </row>
        <row r="307">
          <cell r="A307" t="str">
            <v>7h-3599</v>
          </cell>
          <cell r="B307" t="str">
            <v xml:space="preserve">CAT D7G (92V)                  </v>
          </cell>
          <cell r="C307" t="str">
            <v>TRACK BOLT</v>
          </cell>
          <cell r="D307">
            <v>4.01</v>
          </cell>
          <cell r="E307">
            <v>2.0099999999999998</v>
          </cell>
          <cell r="F307" t="str">
            <v>UC</v>
          </cell>
          <cell r="G307">
            <v>296</v>
          </cell>
          <cell r="H307">
            <v>0</v>
          </cell>
          <cell r="I307">
            <v>0</v>
          </cell>
          <cell r="J307">
            <v>0</v>
          </cell>
          <cell r="K307">
            <v>296</v>
          </cell>
        </row>
        <row r="308">
          <cell r="A308" t="str">
            <v>7H-3607</v>
          </cell>
          <cell r="B308" t="str">
            <v xml:space="preserve">CAT D5 (3CR) CAT D6N LGP (GHS) CAT D6N LGP (PBA) CAT D6N LGP (SGG) CAT D6T (MH7) CAT D7G (92V) CAT 561N (CPH) CAT PL61 (WGS)    </v>
          </cell>
          <cell r="C308" t="str">
            <v>SPROCKET NUT</v>
          </cell>
          <cell r="D308">
            <v>3.41</v>
          </cell>
          <cell r="E308">
            <v>1.71</v>
          </cell>
          <cell r="F308" t="str">
            <v>UC</v>
          </cell>
          <cell r="G308">
            <v>782</v>
          </cell>
          <cell r="H308">
            <v>0</v>
          </cell>
          <cell r="I308">
            <v>0</v>
          </cell>
          <cell r="J308">
            <v>0</v>
          </cell>
          <cell r="K308">
            <v>782</v>
          </cell>
        </row>
        <row r="309">
          <cell r="A309" t="str">
            <v>7K-2017</v>
          </cell>
          <cell r="B309" t="str">
            <v xml:space="preserve">CAT D3 (1PJ)                  </v>
          </cell>
          <cell r="C309" t="str">
            <v>TRACK NUT</v>
          </cell>
          <cell r="D309">
            <v>1.47</v>
          </cell>
          <cell r="E309">
            <v>0.74</v>
          </cell>
          <cell r="F309" t="str">
            <v>UC</v>
          </cell>
          <cell r="G309">
            <v>344</v>
          </cell>
          <cell r="H309">
            <v>0</v>
          </cell>
          <cell r="I309">
            <v>0</v>
          </cell>
          <cell r="J309">
            <v>0</v>
          </cell>
          <cell r="K309">
            <v>344</v>
          </cell>
        </row>
        <row r="310">
          <cell r="A310" t="str">
            <v>7N-2515</v>
          </cell>
          <cell r="B310" t="str">
            <v xml:space="preserve">CAT D7G (92V)                  </v>
          </cell>
          <cell r="C310" t="str">
            <v>TURBOCHARGER</v>
          </cell>
          <cell r="D310">
            <v>6518.5</v>
          </cell>
          <cell r="E310">
            <v>3259.25</v>
          </cell>
          <cell r="F310" t="str">
            <v>ENGINE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1</v>
          </cell>
        </row>
        <row r="311">
          <cell r="A311" t="str">
            <v>7W-5317</v>
          </cell>
          <cell r="B311" t="str">
            <v xml:space="preserve">CAT D7G (92V)                  </v>
          </cell>
          <cell r="C311" t="str">
            <v>PRIMARY AIR FILTER ELEMENT</v>
          </cell>
          <cell r="D311">
            <v>116.66</v>
          </cell>
          <cell r="E311">
            <v>44.33</v>
          </cell>
          <cell r="F311" t="str">
            <v>FILTER</v>
          </cell>
          <cell r="G311">
            <v>1</v>
          </cell>
          <cell r="H311">
            <v>1</v>
          </cell>
          <cell r="I311">
            <v>0</v>
          </cell>
          <cell r="J311">
            <v>1</v>
          </cell>
          <cell r="K311">
            <v>3</v>
          </cell>
        </row>
        <row r="312">
          <cell r="A312" t="str">
            <v>7W-5389</v>
          </cell>
          <cell r="B312" t="str">
            <v xml:space="preserve">CAT D4 (66J)                  </v>
          </cell>
          <cell r="C312" t="str">
            <v>PRIMARY AIR FILTER ELEMENT</v>
          </cell>
          <cell r="D312">
            <v>125.6</v>
          </cell>
          <cell r="E312">
            <v>47.73</v>
          </cell>
          <cell r="F312" t="str">
            <v>FILTER</v>
          </cell>
          <cell r="G312">
            <v>1</v>
          </cell>
          <cell r="H312">
            <v>1</v>
          </cell>
          <cell r="I312">
            <v>0</v>
          </cell>
          <cell r="J312">
            <v>1</v>
          </cell>
          <cell r="K312">
            <v>3</v>
          </cell>
        </row>
        <row r="313">
          <cell r="A313" t="str">
            <v>7W-8910</v>
          </cell>
          <cell r="B313" t="str">
            <v xml:space="preserve">CAT D7G (92V)                  </v>
          </cell>
          <cell r="C313" t="str">
            <v>FUEL FILTER</v>
          </cell>
          <cell r="D313">
            <v>43.78</v>
          </cell>
          <cell r="E313">
            <v>16.64</v>
          </cell>
          <cell r="F313" t="str">
            <v>FILTER</v>
          </cell>
          <cell r="G313">
            <v>2</v>
          </cell>
          <cell r="H313">
            <v>1</v>
          </cell>
          <cell r="I313">
            <v>1</v>
          </cell>
          <cell r="J313">
            <v>1</v>
          </cell>
          <cell r="K313">
            <v>5</v>
          </cell>
        </row>
        <row r="314">
          <cell r="A314" t="str">
            <v>7X-0515</v>
          </cell>
          <cell r="B314" t="str">
            <v xml:space="preserve">CAT 303.5E                  </v>
          </cell>
          <cell r="C314" t="str">
            <v>TRACK WASHER</v>
          </cell>
          <cell r="D314">
            <v>5.59</v>
          </cell>
          <cell r="E314">
            <v>2.8</v>
          </cell>
          <cell r="F314" t="str">
            <v>UC</v>
          </cell>
          <cell r="G314">
            <v>20</v>
          </cell>
          <cell r="H314">
            <v>0</v>
          </cell>
          <cell r="I314">
            <v>0</v>
          </cell>
          <cell r="J314">
            <v>0</v>
          </cell>
          <cell r="K314">
            <v>20</v>
          </cell>
        </row>
        <row r="315">
          <cell r="A315" t="str">
            <v>7X-2532</v>
          </cell>
          <cell r="B315" t="str">
            <v xml:space="preserve">CAT D6N LGP (PBA) CAT D6N LGP (SGG)                </v>
          </cell>
          <cell r="C315" t="str">
            <v>CARRIER BOLT</v>
          </cell>
          <cell r="D315">
            <v>31.3</v>
          </cell>
          <cell r="E315">
            <v>15.65</v>
          </cell>
          <cell r="F315" t="str">
            <v>UC</v>
          </cell>
          <cell r="G315">
            <v>16</v>
          </cell>
          <cell r="H315">
            <v>0</v>
          </cell>
          <cell r="I315">
            <v>0</v>
          </cell>
          <cell r="J315">
            <v>0</v>
          </cell>
          <cell r="K315">
            <v>16</v>
          </cell>
        </row>
        <row r="316">
          <cell r="A316" t="str">
            <v>8E-5600</v>
          </cell>
          <cell r="B316" t="str">
            <v xml:space="preserve">CAT 320E L (WBK) CAT 320F L (YBM) CAT 320 (HEX) CAT 320 (MYK)            </v>
          </cell>
          <cell r="C316" t="str">
            <v>CARRIER ROLLER</v>
          </cell>
          <cell r="D316">
            <v>537.45000000000005</v>
          </cell>
          <cell r="E316">
            <v>268.73</v>
          </cell>
          <cell r="F316" t="str">
            <v>UC</v>
          </cell>
          <cell r="G316">
            <v>24</v>
          </cell>
          <cell r="H316">
            <v>0</v>
          </cell>
          <cell r="I316">
            <v>0</v>
          </cell>
          <cell r="J316">
            <v>0</v>
          </cell>
          <cell r="K316">
            <v>24</v>
          </cell>
        </row>
        <row r="317">
          <cell r="A317" t="str">
            <v>8E-6208</v>
          </cell>
          <cell r="B317" t="str">
            <v xml:space="preserve">CAT D3 (1PJ)                  </v>
          </cell>
          <cell r="C317" t="str">
            <v>G.E.T PIN</v>
          </cell>
          <cell r="D317">
            <v>4.38</v>
          </cell>
          <cell r="E317">
            <v>1.66</v>
          </cell>
          <cell r="F317" t="str">
            <v>GET</v>
          </cell>
          <cell r="G317">
            <v>1</v>
          </cell>
          <cell r="H317">
            <v>0</v>
          </cell>
          <cell r="I317">
            <v>0</v>
          </cell>
          <cell r="J317">
            <v>0</v>
          </cell>
          <cell r="K317">
            <v>1</v>
          </cell>
        </row>
        <row r="318">
          <cell r="A318" t="str">
            <v>8E-6209</v>
          </cell>
          <cell r="B318" t="str">
            <v xml:space="preserve">CAT D3 (1PJ)                  </v>
          </cell>
          <cell r="C318" t="str">
            <v>TIP PIN RETAINER</v>
          </cell>
          <cell r="D318">
            <v>9.4499999999999993</v>
          </cell>
          <cell r="E318">
            <v>3.59</v>
          </cell>
          <cell r="F318" t="str">
            <v>GET</v>
          </cell>
          <cell r="G318">
            <v>1</v>
          </cell>
          <cell r="H318">
            <v>0</v>
          </cell>
          <cell r="I318">
            <v>0</v>
          </cell>
          <cell r="J318">
            <v>0</v>
          </cell>
          <cell r="K318">
            <v>1</v>
          </cell>
        </row>
        <row r="319">
          <cell r="A319" t="str">
            <v>8E-9378</v>
          </cell>
          <cell r="B319" t="str">
            <v xml:space="preserve">CAT D6N LGP (GHS) CAT D6N LGP (PBA) CAT D6N LGP (SGG)              </v>
          </cell>
          <cell r="C319" t="str">
            <v>END BIT LH</v>
          </cell>
          <cell r="D319">
            <v>160.9</v>
          </cell>
          <cell r="E319">
            <v>61.14</v>
          </cell>
          <cell r="F319" t="str">
            <v>GET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5</v>
          </cell>
        </row>
        <row r="320">
          <cell r="A320" t="str">
            <v>8E-9379</v>
          </cell>
          <cell r="B320" t="str">
            <v xml:space="preserve">CAT D6N LGP (GHS) CAT D6N LGP (PBA) CAT D6N LGP (SGG)              </v>
          </cell>
          <cell r="C320" t="str">
            <v>END BIT RH</v>
          </cell>
          <cell r="D320">
            <v>160.9</v>
          </cell>
          <cell r="E320">
            <v>61.14</v>
          </cell>
          <cell r="F320" t="str">
            <v>GET</v>
          </cell>
          <cell r="G320">
            <v>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</row>
        <row r="321">
          <cell r="A321" t="str">
            <v>8E-9805</v>
          </cell>
          <cell r="B321" t="str">
            <v xml:space="preserve">CAT 320E L (WBK) CAT 320F L (YBM) CAT 320 (HEX) CAT 320 (MYK)            </v>
          </cell>
          <cell r="C321" t="str">
            <v>TRACK SPROCKET</v>
          </cell>
          <cell r="D321">
            <v>1064.58</v>
          </cell>
          <cell r="E321">
            <v>532.29</v>
          </cell>
          <cell r="F321" t="str">
            <v>UC</v>
          </cell>
          <cell r="G321">
            <v>12</v>
          </cell>
          <cell r="H321">
            <v>0</v>
          </cell>
          <cell r="I321">
            <v>0</v>
          </cell>
          <cell r="J321">
            <v>0</v>
          </cell>
          <cell r="K321">
            <v>12</v>
          </cell>
        </row>
        <row r="322">
          <cell r="A322" t="str">
            <v>8H-5724</v>
          </cell>
          <cell r="B322" t="str">
            <v xml:space="preserve">CAT D3 (1PJ)                  </v>
          </cell>
          <cell r="C322" t="str">
            <v>SPROCKET NUT</v>
          </cell>
          <cell r="D322">
            <v>0.67</v>
          </cell>
          <cell r="E322">
            <v>0.34</v>
          </cell>
          <cell r="F322" t="str">
            <v>UC</v>
          </cell>
          <cell r="G322">
            <v>50</v>
          </cell>
          <cell r="H322">
            <v>0</v>
          </cell>
          <cell r="I322">
            <v>0</v>
          </cell>
          <cell r="J322">
            <v>0</v>
          </cell>
          <cell r="K322">
            <v>50</v>
          </cell>
        </row>
        <row r="323">
          <cell r="A323" t="str">
            <v>8J-2190</v>
          </cell>
          <cell r="B323" t="str">
            <v xml:space="preserve">CAT D6N LGP (PBA) CAT D6N LGP (SGG) CAT D6T (MH7)              </v>
          </cell>
          <cell r="C323" t="str">
            <v>RIPPER PIN</v>
          </cell>
          <cell r="D323">
            <v>164.9</v>
          </cell>
          <cell r="E323">
            <v>62.66</v>
          </cell>
          <cell r="F323" t="str">
            <v>GET</v>
          </cell>
          <cell r="G323">
            <v>15</v>
          </cell>
          <cell r="H323">
            <v>0</v>
          </cell>
          <cell r="I323">
            <v>0</v>
          </cell>
          <cell r="J323">
            <v>0</v>
          </cell>
          <cell r="K323">
            <v>15</v>
          </cell>
        </row>
        <row r="324">
          <cell r="A324" t="str">
            <v>8J-5299</v>
          </cell>
          <cell r="B324" t="str">
            <v xml:space="preserve">CAT D3 (1PJ)                  </v>
          </cell>
          <cell r="C324" t="str">
            <v>RIPPER SHANK</v>
          </cell>
          <cell r="D324">
            <v>446.79</v>
          </cell>
          <cell r="E324">
            <v>169.78</v>
          </cell>
          <cell r="F324" t="str">
            <v>GET</v>
          </cell>
          <cell r="G324">
            <v>1</v>
          </cell>
          <cell r="H324">
            <v>0</v>
          </cell>
          <cell r="I324">
            <v>0</v>
          </cell>
          <cell r="J324">
            <v>0</v>
          </cell>
          <cell r="K324">
            <v>1</v>
          </cell>
        </row>
        <row r="325">
          <cell r="A325" t="str">
            <v>8N-1187</v>
          </cell>
          <cell r="B325" t="str">
            <v xml:space="preserve">CAT D7G (92V)                  </v>
          </cell>
          <cell r="C325" t="str">
            <v>CYLINDER HEAD</v>
          </cell>
          <cell r="D325">
            <v>7409.03</v>
          </cell>
          <cell r="E325">
            <v>3704.52</v>
          </cell>
          <cell r="F325" t="str">
            <v>ENGINE</v>
          </cell>
          <cell r="G325">
            <v>1</v>
          </cell>
          <cell r="H325">
            <v>0</v>
          </cell>
          <cell r="I325">
            <v>0</v>
          </cell>
          <cell r="J325">
            <v>0</v>
          </cell>
          <cell r="K325">
            <v>1</v>
          </cell>
        </row>
        <row r="326">
          <cell r="A326" t="str">
            <v>8N-7005</v>
          </cell>
          <cell r="B326" t="str">
            <v xml:space="preserve">CAT D7G (92V)                  </v>
          </cell>
          <cell r="C326" t="str">
            <v>INJECTORS</v>
          </cell>
          <cell r="D326">
            <v>500.81</v>
          </cell>
          <cell r="E326">
            <v>250.41</v>
          </cell>
          <cell r="F326" t="str">
            <v>ENGINE</v>
          </cell>
          <cell r="G326">
            <v>6</v>
          </cell>
          <cell r="H326">
            <v>0</v>
          </cell>
          <cell r="I326">
            <v>0</v>
          </cell>
          <cell r="J326">
            <v>0</v>
          </cell>
          <cell r="K326">
            <v>6</v>
          </cell>
        </row>
        <row r="327">
          <cell r="A327" t="str">
            <v>8N-9803</v>
          </cell>
          <cell r="B327" t="str">
            <v xml:space="preserve">CAT D4 (66J)                  </v>
          </cell>
          <cell r="C327" t="str">
            <v>FUEL WATER SEPARATOR</v>
          </cell>
          <cell r="D327">
            <v>60.68</v>
          </cell>
          <cell r="E327">
            <v>23.06</v>
          </cell>
          <cell r="F327" t="str">
            <v>FILTER</v>
          </cell>
          <cell r="G327">
            <v>3</v>
          </cell>
          <cell r="H327">
            <v>2</v>
          </cell>
          <cell r="I327">
            <v>3</v>
          </cell>
          <cell r="J327">
            <v>2</v>
          </cell>
          <cell r="K327">
            <v>10</v>
          </cell>
        </row>
        <row r="328">
          <cell r="A328" t="str">
            <v>8P-8174</v>
          </cell>
          <cell r="B328" t="str">
            <v xml:space="preserve">CAT D7G (92V)                  </v>
          </cell>
          <cell r="C328" t="str">
            <v>SPROCKET SEGMENT</v>
          </cell>
          <cell r="D328">
            <v>111.66</v>
          </cell>
          <cell r="E328">
            <v>55.83</v>
          </cell>
          <cell r="F328" t="str">
            <v>UC</v>
          </cell>
          <cell r="G328">
            <v>10</v>
          </cell>
          <cell r="H328">
            <v>0</v>
          </cell>
          <cell r="I328">
            <v>0</v>
          </cell>
          <cell r="J328">
            <v>0</v>
          </cell>
          <cell r="K328">
            <v>10</v>
          </cell>
        </row>
        <row r="329">
          <cell r="A329" t="str">
            <v>8T-0281</v>
          </cell>
          <cell r="B329" t="str">
            <v xml:space="preserve">CAT D6N LGP (PBA) CAT D6N LGP (SGG)                </v>
          </cell>
          <cell r="C329" t="str">
            <v>ROLLER BOLT</v>
          </cell>
          <cell r="D329">
            <v>8.73</v>
          </cell>
          <cell r="E329">
            <v>4.37</v>
          </cell>
          <cell r="F329" t="str">
            <v>UC</v>
          </cell>
          <cell r="G329">
            <v>256</v>
          </cell>
          <cell r="H329">
            <v>0</v>
          </cell>
          <cell r="I329">
            <v>0</v>
          </cell>
          <cell r="J329">
            <v>0</v>
          </cell>
          <cell r="K329">
            <v>256</v>
          </cell>
        </row>
        <row r="330">
          <cell r="A330" t="str">
            <v>8T-0282</v>
          </cell>
          <cell r="B330" t="str">
            <v xml:space="preserve">CAT D6N LGP (SGG)                  </v>
          </cell>
          <cell r="C330" t="str">
            <v>IDLER CAP BOLT - REAR</v>
          </cell>
          <cell r="D330">
            <v>12.9</v>
          </cell>
          <cell r="E330">
            <v>6.45</v>
          </cell>
          <cell r="F330" t="str">
            <v>UC</v>
          </cell>
          <cell r="G330">
            <v>16</v>
          </cell>
          <cell r="H330">
            <v>0</v>
          </cell>
          <cell r="I330">
            <v>0</v>
          </cell>
          <cell r="J330">
            <v>0</v>
          </cell>
          <cell r="K330">
            <v>16</v>
          </cell>
        </row>
        <row r="331">
          <cell r="A331" t="str">
            <v>8T-0359</v>
          </cell>
          <cell r="B331" t="str">
            <v xml:space="preserve">CAT D6N LGP (SGG)                  </v>
          </cell>
          <cell r="C331" t="str">
            <v xml:space="preserve">IDLER CAP BOLT - FRONT </v>
          </cell>
          <cell r="D331">
            <v>14.24</v>
          </cell>
          <cell r="E331">
            <v>7.12</v>
          </cell>
          <cell r="F331" t="str">
            <v>UC</v>
          </cell>
          <cell r="G331">
            <v>16</v>
          </cell>
          <cell r="H331">
            <v>0</v>
          </cell>
          <cell r="I331">
            <v>0</v>
          </cell>
          <cell r="J331">
            <v>0</v>
          </cell>
          <cell r="K331">
            <v>16</v>
          </cell>
        </row>
        <row r="332">
          <cell r="A332" t="str">
            <v>8T-0656</v>
          </cell>
          <cell r="B332" t="str">
            <v xml:space="preserve">CAT D6 (RDC)                  </v>
          </cell>
          <cell r="C332" t="str">
            <v>IDLER BOLT</v>
          </cell>
          <cell r="D332">
            <v>25.19</v>
          </cell>
          <cell r="E332">
            <v>12.6</v>
          </cell>
          <cell r="F332" t="str">
            <v>UC</v>
          </cell>
          <cell r="G332">
            <v>16</v>
          </cell>
          <cell r="H332">
            <v>0</v>
          </cell>
          <cell r="I332">
            <v>0</v>
          </cell>
          <cell r="J332">
            <v>0</v>
          </cell>
          <cell r="K332">
            <v>16</v>
          </cell>
        </row>
        <row r="333">
          <cell r="A333" t="str">
            <v>8T-3282</v>
          </cell>
          <cell r="B333" t="str">
            <v xml:space="preserve">CAT 329E L (ZCD) CAT 329F L (ERL) CAT 330F L (MBX) CAT 330F L (HCK) CAT 330 (LHW) CAT 330 (WCH) CAT D6T (MH7) CAT D6T (MH7)    </v>
          </cell>
          <cell r="C333" t="str">
            <v>FLAT WASHER</v>
          </cell>
          <cell r="D333">
            <v>2.83</v>
          </cell>
          <cell r="E333">
            <v>1.42</v>
          </cell>
          <cell r="F333" t="str">
            <v>UC</v>
          </cell>
          <cell r="G333">
            <v>656</v>
          </cell>
          <cell r="H333">
            <v>0</v>
          </cell>
          <cell r="I333">
            <v>0</v>
          </cell>
          <cell r="J333">
            <v>0</v>
          </cell>
          <cell r="K333">
            <v>656</v>
          </cell>
        </row>
        <row r="334">
          <cell r="A334" t="str">
            <v>8T-4123</v>
          </cell>
          <cell r="B334" t="str">
            <v xml:space="preserve">CAT D6 (RDC) CAT D6N LGP (PBA) CAT D6N LGP (SGG) CAT D6T (MH7)            </v>
          </cell>
          <cell r="C334" t="str">
            <v>FLAT WASHER</v>
          </cell>
          <cell r="D334">
            <v>3.56</v>
          </cell>
          <cell r="E334">
            <v>1.78</v>
          </cell>
          <cell r="F334" t="str">
            <v>UC</v>
          </cell>
          <cell r="G334">
            <v>40</v>
          </cell>
          <cell r="H334">
            <v>0</v>
          </cell>
          <cell r="I334">
            <v>0</v>
          </cell>
          <cell r="J334">
            <v>0</v>
          </cell>
          <cell r="K334">
            <v>40</v>
          </cell>
        </row>
        <row r="335">
          <cell r="A335" t="str">
            <v>8T-4131</v>
          </cell>
          <cell r="B335" t="str">
            <v xml:space="preserve">CAT D6N LGP (PBA) CAT D6N LGP (SGG)                </v>
          </cell>
          <cell r="C335" t="str">
            <v>HEX NUT</v>
          </cell>
          <cell r="D335">
            <v>6.85</v>
          </cell>
          <cell r="E335">
            <v>3.43</v>
          </cell>
          <cell r="F335" t="str">
            <v>UC</v>
          </cell>
          <cell r="G335">
            <v>16</v>
          </cell>
          <cell r="H335">
            <v>0</v>
          </cell>
          <cell r="I335">
            <v>0</v>
          </cell>
          <cell r="J335">
            <v>0</v>
          </cell>
          <cell r="K335">
            <v>16</v>
          </cell>
        </row>
        <row r="336">
          <cell r="A336" t="str">
            <v>8T-4132</v>
          </cell>
          <cell r="B336" t="str">
            <v xml:space="preserve">CAT 303.5E                  </v>
          </cell>
          <cell r="C336" t="str">
            <v>CARIER NUT</v>
          </cell>
          <cell r="D336">
            <v>3.77</v>
          </cell>
          <cell r="E336">
            <v>1.89</v>
          </cell>
          <cell r="F336" t="str">
            <v>UC</v>
          </cell>
          <cell r="G336">
            <v>4</v>
          </cell>
          <cell r="H336">
            <v>0</v>
          </cell>
          <cell r="I336">
            <v>0</v>
          </cell>
          <cell r="J336">
            <v>0</v>
          </cell>
          <cell r="K336">
            <v>4</v>
          </cell>
        </row>
        <row r="337">
          <cell r="A337" t="str">
            <v>8T-4192</v>
          </cell>
          <cell r="B337" t="str">
            <v xml:space="preserve">CAT D6N LGP (GHS) CAT D6N LGP (PBA) CAT D6N LGP (SGG)              </v>
          </cell>
          <cell r="C337" t="str">
            <v>HEX HEAD BOLT</v>
          </cell>
          <cell r="D337">
            <v>2.42</v>
          </cell>
          <cell r="E337">
            <v>1.21</v>
          </cell>
          <cell r="F337" t="str">
            <v>UC</v>
          </cell>
          <cell r="G337">
            <v>120</v>
          </cell>
          <cell r="H337">
            <v>0</v>
          </cell>
          <cell r="I337">
            <v>0</v>
          </cell>
          <cell r="J337">
            <v>0</v>
          </cell>
          <cell r="K337">
            <v>120</v>
          </cell>
        </row>
        <row r="338">
          <cell r="A338" t="str">
            <v>8T-4223</v>
          </cell>
          <cell r="B338" t="str">
            <v xml:space="preserve">CAT D6N LGP (GHS) CAT D6N LGP (PBA) CAT D6N LGP (SGG)              </v>
          </cell>
          <cell r="C338" t="str">
            <v>FLAT WASHER</v>
          </cell>
          <cell r="D338">
            <v>2.15</v>
          </cell>
          <cell r="E338">
            <v>1.08</v>
          </cell>
          <cell r="F338" t="str">
            <v>UC</v>
          </cell>
          <cell r="G338">
            <v>132</v>
          </cell>
          <cell r="H338">
            <v>0</v>
          </cell>
          <cell r="I338">
            <v>0</v>
          </cell>
          <cell r="J338">
            <v>0</v>
          </cell>
          <cell r="K338">
            <v>132</v>
          </cell>
        </row>
        <row r="339">
          <cell r="A339" t="str">
            <v>8T-6430</v>
          </cell>
          <cell r="B339" t="str">
            <v xml:space="preserve">CAT 336F L (RKB)                  </v>
          </cell>
          <cell r="C339" t="str">
            <v>IDLER BOLT</v>
          </cell>
          <cell r="D339">
            <v>12.21</v>
          </cell>
          <cell r="E339">
            <v>6.11</v>
          </cell>
          <cell r="F339" t="str">
            <v>UC</v>
          </cell>
          <cell r="G339">
            <v>8</v>
          </cell>
          <cell r="H339">
            <v>0</v>
          </cell>
          <cell r="I339">
            <v>0</v>
          </cell>
          <cell r="J339">
            <v>0</v>
          </cell>
          <cell r="K339">
            <v>8</v>
          </cell>
        </row>
        <row r="340">
          <cell r="A340" t="str">
            <v>8T-7338</v>
          </cell>
          <cell r="B340" t="str">
            <v xml:space="preserve">CAT 303.5E CAT 303.5E                </v>
          </cell>
          <cell r="C340" t="str">
            <v>CARRIER BOLT</v>
          </cell>
          <cell r="D340">
            <v>7.14</v>
          </cell>
          <cell r="E340">
            <v>3.57</v>
          </cell>
          <cell r="F340" t="str">
            <v>UC</v>
          </cell>
          <cell r="G340">
            <v>18</v>
          </cell>
          <cell r="H340">
            <v>0</v>
          </cell>
          <cell r="I340">
            <v>0</v>
          </cell>
          <cell r="J340">
            <v>0</v>
          </cell>
          <cell r="K340">
            <v>18</v>
          </cell>
        </row>
        <row r="341">
          <cell r="A341" t="str">
            <v>8Y-6179</v>
          </cell>
          <cell r="B341" t="str">
            <v xml:space="preserve">CAT D5 (3CR)                  </v>
          </cell>
          <cell r="C341" t="str">
            <v>SEAT/SUSPENSION ASSEMBLY</v>
          </cell>
          <cell r="D341">
            <v>9424.19</v>
          </cell>
          <cell r="E341">
            <v>4712.1000000000004</v>
          </cell>
          <cell r="F341" t="str">
            <v>SEAT</v>
          </cell>
          <cell r="G341">
            <v>2</v>
          </cell>
          <cell r="H341">
            <v>0</v>
          </cell>
          <cell r="I341">
            <v>0</v>
          </cell>
          <cell r="J341">
            <v>0</v>
          </cell>
          <cell r="K341">
            <v>2</v>
          </cell>
        </row>
        <row r="342">
          <cell r="A342" t="str">
            <v>9C-3696</v>
          </cell>
          <cell r="B342" t="str">
            <v xml:space="preserve">CAT D3 (1PJ)                  </v>
          </cell>
          <cell r="C342" t="str">
            <v>SEAT ASSEMBLY</v>
          </cell>
          <cell r="D342">
            <v>5796.13</v>
          </cell>
          <cell r="E342">
            <v>2898.07</v>
          </cell>
          <cell r="F342" t="str">
            <v>SEAT</v>
          </cell>
          <cell r="G342">
            <v>1</v>
          </cell>
          <cell r="H342">
            <v>0</v>
          </cell>
          <cell r="I342">
            <v>0</v>
          </cell>
          <cell r="J342">
            <v>0</v>
          </cell>
          <cell r="K342">
            <v>1</v>
          </cell>
        </row>
        <row r="343">
          <cell r="A343" t="str">
            <v>9G-3110</v>
          </cell>
          <cell r="B343" t="str">
            <v xml:space="preserve">CAT D5 (3CR) CAT 561N (CPH)                </v>
          </cell>
          <cell r="C343" t="str">
            <v>TRACK BOLT</v>
          </cell>
          <cell r="D343">
            <v>3.12</v>
          </cell>
          <cell r="E343">
            <v>1.56</v>
          </cell>
          <cell r="F343" t="str">
            <v>UC</v>
          </cell>
          <cell r="G343">
            <v>606</v>
          </cell>
          <cell r="H343">
            <v>0</v>
          </cell>
          <cell r="I343">
            <v>0</v>
          </cell>
          <cell r="J343">
            <v>0</v>
          </cell>
          <cell r="K343">
            <v>606</v>
          </cell>
        </row>
        <row r="344">
          <cell r="A344" t="str">
            <v>9G-8592</v>
          </cell>
          <cell r="B344" t="str">
            <v xml:space="preserve">CAT D5 (3CR) CAT 561N (CPH)                </v>
          </cell>
          <cell r="C344" t="str">
            <v>TRACK BOLT MASTER</v>
          </cell>
          <cell r="D344">
            <v>5.25</v>
          </cell>
          <cell r="E344">
            <v>2.63</v>
          </cell>
          <cell r="F344" t="str">
            <v>UC</v>
          </cell>
          <cell r="G344">
            <v>14</v>
          </cell>
          <cell r="H344">
            <v>0</v>
          </cell>
          <cell r="I344">
            <v>0</v>
          </cell>
          <cell r="J344">
            <v>0</v>
          </cell>
          <cell r="K344">
            <v>14</v>
          </cell>
        </row>
        <row r="345">
          <cell r="A345" t="str">
            <v>9J-8913</v>
          </cell>
          <cell r="B345" t="str">
            <v xml:space="preserve">CAT D5 (3CR)                  </v>
          </cell>
          <cell r="C345" t="str">
            <v>RIPPER SHANK</v>
          </cell>
          <cell r="D345">
            <v>1095.81</v>
          </cell>
          <cell r="E345">
            <v>416.41</v>
          </cell>
          <cell r="F345" t="str">
            <v>GET</v>
          </cell>
          <cell r="G345">
            <v>2</v>
          </cell>
          <cell r="H345">
            <v>0</v>
          </cell>
          <cell r="I345">
            <v>0</v>
          </cell>
          <cell r="J345">
            <v>0</v>
          </cell>
          <cell r="K345">
            <v>2</v>
          </cell>
        </row>
        <row r="346">
          <cell r="A346" t="str">
            <v>9J-8923</v>
          </cell>
          <cell r="B346" t="str">
            <v xml:space="preserve">CAT D6N LGP (PBA) CAT D6N LGP (SGG)                </v>
          </cell>
          <cell r="C346" t="str">
            <v>RIPPER SHANK</v>
          </cell>
          <cell r="D346">
            <v>2053.06</v>
          </cell>
          <cell r="E346">
            <v>780.16</v>
          </cell>
          <cell r="F346" t="str">
            <v>GET</v>
          </cell>
          <cell r="G346">
            <v>12</v>
          </cell>
          <cell r="H346">
            <v>0</v>
          </cell>
          <cell r="I346">
            <v>0</v>
          </cell>
          <cell r="J346">
            <v>0</v>
          </cell>
          <cell r="K346">
            <v>12</v>
          </cell>
        </row>
        <row r="347">
          <cell r="A347" t="str">
            <v>9P-7121</v>
          </cell>
          <cell r="B347" t="str">
            <v xml:space="preserve">CAT D3 (1PJ)                  </v>
          </cell>
          <cell r="C347" t="str">
            <v>**FUEL TANK STRAINER**</v>
          </cell>
          <cell r="D347">
            <v>127.92</v>
          </cell>
          <cell r="E347">
            <v>48.61</v>
          </cell>
          <cell r="F347" t="str">
            <v>FILTER</v>
          </cell>
          <cell r="G347">
            <v>2</v>
          </cell>
          <cell r="H347">
            <v>1</v>
          </cell>
          <cell r="I347">
            <v>1</v>
          </cell>
          <cell r="J347">
            <v>1</v>
          </cell>
          <cell r="K347">
            <v>5</v>
          </cell>
        </row>
        <row r="348">
          <cell r="A348" t="str">
            <v>9S-1838</v>
          </cell>
          <cell r="B348" t="str">
            <v xml:space="preserve">CAT D6 (RDC) CAT D6T (MH7)                </v>
          </cell>
          <cell r="C348" t="str">
            <v>MASTER TRACK BOLT</v>
          </cell>
          <cell r="D348">
            <v>9.9600000000000009</v>
          </cell>
          <cell r="E348">
            <v>4.9800000000000004</v>
          </cell>
          <cell r="F348" t="str">
            <v>UC</v>
          </cell>
          <cell r="G348">
            <v>16</v>
          </cell>
          <cell r="H348">
            <v>0</v>
          </cell>
          <cell r="I348">
            <v>0</v>
          </cell>
          <cell r="J348">
            <v>0</v>
          </cell>
          <cell r="K348">
            <v>16</v>
          </cell>
        </row>
        <row r="349">
          <cell r="A349" t="str">
            <v>9S-9972</v>
          </cell>
          <cell r="B349" t="str">
            <v xml:space="preserve">CAT D7G (92V)                  </v>
          </cell>
          <cell r="C349" t="str">
            <v>SECONDARY AIR FILTER ELEMENT</v>
          </cell>
          <cell r="D349">
            <v>115.44</v>
          </cell>
          <cell r="E349">
            <v>43.87</v>
          </cell>
          <cell r="F349" t="str">
            <v>FILTER</v>
          </cell>
          <cell r="G349">
            <v>1</v>
          </cell>
          <cell r="H349">
            <v>1</v>
          </cell>
          <cell r="I349">
            <v>0</v>
          </cell>
          <cell r="J349">
            <v>1</v>
          </cell>
          <cell r="K349">
            <v>3</v>
          </cell>
        </row>
        <row r="350">
          <cell r="A350" t="str">
            <v>9T-8578</v>
          </cell>
          <cell r="B350" t="str">
            <v xml:space="preserve">CAT D6N LGP (GHS) CAT D6N LGP (PBA) CAT D6N LGP (SGG)              </v>
          </cell>
          <cell r="C350" t="str">
            <v>HYDRAULIC OIL FILTER</v>
          </cell>
          <cell r="D350">
            <v>123.35</v>
          </cell>
          <cell r="E350">
            <v>46.87</v>
          </cell>
          <cell r="F350" t="str">
            <v>FILTER</v>
          </cell>
          <cell r="G350">
            <v>10</v>
          </cell>
          <cell r="H350">
            <v>5</v>
          </cell>
          <cell r="I350">
            <v>5</v>
          </cell>
          <cell r="J350">
            <v>5</v>
          </cell>
          <cell r="K350">
            <v>25</v>
          </cell>
        </row>
        <row r="351">
          <cell r="A351" t="str">
            <v>9W-3361</v>
          </cell>
          <cell r="B351" t="str">
            <v xml:space="preserve">CAT 320E L (WBK) CAT 320F L (YBM) CAT 320 (HEX) CAT 320 (MYK) CAT 329E L (ZCD) CAT 329F L (ERL) CAT 330F L (MBX) CAT 330F L (HCK) CAT D6N LGP (PBA)  </v>
          </cell>
          <cell r="C351" t="str">
            <v xml:space="preserve">TRACK NUT </v>
          </cell>
          <cell r="D351">
            <v>3.14</v>
          </cell>
          <cell r="E351">
            <v>1.57</v>
          </cell>
          <cell r="F351" t="str">
            <v>UC</v>
          </cell>
          <cell r="G351">
            <v>5472</v>
          </cell>
          <cell r="H351">
            <v>0</v>
          </cell>
          <cell r="I351">
            <v>0</v>
          </cell>
          <cell r="J351">
            <v>0</v>
          </cell>
          <cell r="K351">
            <v>5472</v>
          </cell>
        </row>
        <row r="352">
          <cell r="A352" t="str">
            <v>9W-3619</v>
          </cell>
          <cell r="B352" t="str">
            <v xml:space="preserve">CAT 320E L (WBK) CAT 320F L (YBM) CAT 320 (HEX) CAT 320 (MYK)            </v>
          </cell>
          <cell r="C352" t="str">
            <v xml:space="preserve">TRACK BOLT </v>
          </cell>
          <cell r="D352">
            <v>4.25</v>
          </cell>
          <cell r="E352">
            <v>2.13</v>
          </cell>
          <cell r="F352" t="str">
            <v>UC</v>
          </cell>
          <cell r="G352">
            <v>2352</v>
          </cell>
          <cell r="H352">
            <v>0</v>
          </cell>
          <cell r="I352">
            <v>0</v>
          </cell>
          <cell r="J352">
            <v>0</v>
          </cell>
          <cell r="K352">
            <v>2352</v>
          </cell>
        </row>
        <row r="353">
          <cell r="A353" t="str">
            <v>9W-8874</v>
          </cell>
          <cell r="B353" t="str">
            <v xml:space="preserve">CAT D6T (MH7)                  </v>
          </cell>
          <cell r="C353" t="str">
            <v>END BIT RH</v>
          </cell>
          <cell r="D353">
            <v>219.63</v>
          </cell>
          <cell r="E353">
            <v>83.46</v>
          </cell>
          <cell r="F353" t="str">
            <v>GET</v>
          </cell>
          <cell r="G353">
            <v>1</v>
          </cell>
          <cell r="H353">
            <v>0</v>
          </cell>
          <cell r="I353">
            <v>0</v>
          </cell>
          <cell r="J353">
            <v>0</v>
          </cell>
          <cell r="K353">
            <v>1</v>
          </cell>
        </row>
        <row r="354">
          <cell r="A354" t="str">
            <v>9W-8875</v>
          </cell>
          <cell r="B354" t="str">
            <v xml:space="preserve">CAT D6T (MH7)                  </v>
          </cell>
          <cell r="C354" t="str">
            <v>END BIT LH</v>
          </cell>
          <cell r="D354">
            <v>219.63</v>
          </cell>
          <cell r="E354">
            <v>83.46</v>
          </cell>
          <cell r="F354" t="str">
            <v>GET</v>
          </cell>
          <cell r="G354">
            <v>1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A355" t="str">
            <v>9w-9058</v>
          </cell>
          <cell r="B355" t="str">
            <v xml:space="preserve">CAT D7G (92V)                  </v>
          </cell>
          <cell r="C355" t="str">
            <v>MASTER TRACK BOLT</v>
          </cell>
          <cell r="D355">
            <v>15.58</v>
          </cell>
          <cell r="E355">
            <v>7.79</v>
          </cell>
          <cell r="F355" t="str">
            <v>UC</v>
          </cell>
          <cell r="G355">
            <v>4</v>
          </cell>
          <cell r="H355">
            <v>0</v>
          </cell>
          <cell r="I355">
            <v>0</v>
          </cell>
          <cell r="J355">
            <v>0</v>
          </cell>
          <cell r="K355">
            <v>4</v>
          </cell>
        </row>
        <row r="356">
          <cell r="A356" t="str">
            <v>9W-9265</v>
          </cell>
          <cell r="B356" t="str">
            <v xml:space="preserve">CAT D3 (1PJ)                  </v>
          </cell>
          <cell r="C356" t="str">
            <v>SPROCKET BOLT</v>
          </cell>
          <cell r="D356">
            <v>1.46</v>
          </cell>
          <cell r="E356">
            <v>0.73</v>
          </cell>
          <cell r="F356" t="str">
            <v>UC</v>
          </cell>
          <cell r="G356">
            <v>50</v>
          </cell>
          <cell r="H356">
            <v>0</v>
          </cell>
          <cell r="I356">
            <v>0</v>
          </cell>
          <cell r="J356">
            <v>0</v>
          </cell>
          <cell r="K356">
            <v>50</v>
          </cell>
        </row>
        <row r="357">
          <cell r="A357" t="str">
            <v>9X-3404</v>
          </cell>
          <cell r="B357" t="str">
            <v xml:space="preserve">CAT 320F L (YBM) CAT 330 (LHW) CAT 330 (WCH) CAT 561N (CPH)            </v>
          </cell>
          <cell r="C357" t="str">
            <v>12V BATTERY - 900CCA</v>
          </cell>
          <cell r="D357">
            <v>503.86</v>
          </cell>
          <cell r="E357">
            <v>120.88</v>
          </cell>
          <cell r="F357" t="str">
            <v>BATTERY</v>
          </cell>
          <cell r="G357">
            <v>52</v>
          </cell>
          <cell r="H357">
            <v>0</v>
          </cell>
          <cell r="I357">
            <v>0</v>
          </cell>
          <cell r="J357">
            <v>0</v>
          </cell>
          <cell r="K357">
            <v>52</v>
          </cell>
        </row>
        <row r="358">
          <cell r="A358" t="str">
            <v>9X-8268</v>
          </cell>
          <cell r="B358" t="str">
            <v xml:space="preserve">CAT D6N LGP (PBA) CAT D6N LGP (SGG)                </v>
          </cell>
          <cell r="C358" t="str">
            <v>FLAT WASHER</v>
          </cell>
          <cell r="D358">
            <v>2.4700000000000002</v>
          </cell>
          <cell r="E358">
            <v>1.24</v>
          </cell>
          <cell r="F358" t="str">
            <v>UC</v>
          </cell>
          <cell r="G358">
            <v>256</v>
          </cell>
          <cell r="H358">
            <v>0</v>
          </cell>
          <cell r="I358">
            <v>0</v>
          </cell>
          <cell r="J358">
            <v>0</v>
          </cell>
          <cell r="K358">
            <v>256</v>
          </cell>
        </row>
        <row r="359">
          <cell r="A359" t="str">
            <v>CUSOTM-GQP-516NOK</v>
          </cell>
          <cell r="B359" t="str">
            <v xml:space="preserve">CAT 561N (CPH)                  </v>
          </cell>
          <cell r="C359" t="str">
            <v>GQP ENGINE OVERHAUL KIT</v>
          </cell>
          <cell r="D359">
            <v>6826.34</v>
          </cell>
          <cell r="E359">
            <v>3413.17</v>
          </cell>
          <cell r="F359" t="str">
            <v>ENGINE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</row>
        <row r="360">
          <cell r="A360" t="str">
            <v>CUSOTM-GQPPL61OK</v>
          </cell>
          <cell r="B360" t="str">
            <v xml:space="preserve">CAT PL61 (WGS)                  </v>
          </cell>
          <cell r="C360" t="str">
            <v>GQP ENGINE OVERHAUL KIT</v>
          </cell>
          <cell r="D360">
            <v>6826.34</v>
          </cell>
          <cell r="E360">
            <v>3413.17</v>
          </cell>
          <cell r="F360" t="str">
            <v>ENGINE</v>
          </cell>
          <cell r="G360">
            <v>3</v>
          </cell>
          <cell r="H360">
            <v>0</v>
          </cell>
          <cell r="I360">
            <v>0</v>
          </cell>
          <cell r="J360">
            <v>0</v>
          </cell>
          <cell r="K360">
            <v>3</v>
          </cell>
        </row>
        <row r="361">
          <cell r="A361" t="str">
            <v>CUSTOM-GQP303.5EOK</v>
          </cell>
          <cell r="B361" t="str">
            <v xml:space="preserve">CAT 303.5E                  </v>
          </cell>
          <cell r="C361" t="str">
            <v>GQP ENGINE OVERHAUL KIT</v>
          </cell>
          <cell r="D361">
            <v>3156.78</v>
          </cell>
          <cell r="E361">
            <v>1578.39</v>
          </cell>
          <cell r="F361" t="str">
            <v>ENGINE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1</v>
          </cell>
        </row>
        <row r="362">
          <cell r="A362" t="str">
            <v>CUSTOM-GQP320ELOK</v>
          </cell>
          <cell r="B362" t="str">
            <v xml:space="preserve">CAT 320E L (WBK)                  </v>
          </cell>
          <cell r="C362" t="str">
            <v>ENGINE OVERHAUL KIT</v>
          </cell>
          <cell r="D362">
            <v>3792.79</v>
          </cell>
          <cell r="E362">
            <v>1896.4</v>
          </cell>
          <cell r="F362" t="str">
            <v>ENGINE</v>
          </cell>
          <cell r="G362">
            <v>2</v>
          </cell>
          <cell r="H362">
            <v>0</v>
          </cell>
          <cell r="I362">
            <v>0</v>
          </cell>
          <cell r="J362">
            <v>0</v>
          </cell>
          <cell r="K362">
            <v>2</v>
          </cell>
        </row>
        <row r="363">
          <cell r="A363" t="str">
            <v>CUSTOM-GQP320RK</v>
          </cell>
          <cell r="B363" t="str">
            <v xml:space="preserve">CAT 320 (MYK)                  </v>
          </cell>
          <cell r="C363" t="str">
            <v>ENGINE REBUILD KIT</v>
          </cell>
          <cell r="D363">
            <v>2889.4</v>
          </cell>
          <cell r="E363">
            <v>1444.7</v>
          </cell>
          <cell r="F363" t="str">
            <v>ENGINE</v>
          </cell>
          <cell r="G363">
            <v>2</v>
          </cell>
          <cell r="H363">
            <v>0</v>
          </cell>
          <cell r="I363">
            <v>0</v>
          </cell>
          <cell r="J363">
            <v>0</v>
          </cell>
          <cell r="K363">
            <v>2</v>
          </cell>
        </row>
        <row r="364">
          <cell r="A364" t="str">
            <v>CUSTOM-GQP-561N30"TG</v>
          </cell>
          <cell r="B364" t="str">
            <v xml:space="preserve">CAT 561N (CPH)                  </v>
          </cell>
          <cell r="C364" t="str">
            <v>30" GQP TRACK GROUP</v>
          </cell>
          <cell r="D364">
            <v>12613.63</v>
          </cell>
          <cell r="E364">
            <v>6306.82</v>
          </cell>
          <cell r="F364" t="str">
            <v>UC</v>
          </cell>
          <cell r="G364">
            <v>10</v>
          </cell>
          <cell r="H364">
            <v>0</v>
          </cell>
          <cell r="I364">
            <v>0</v>
          </cell>
          <cell r="J364">
            <v>0</v>
          </cell>
          <cell r="K364">
            <v>10</v>
          </cell>
        </row>
        <row r="365">
          <cell r="A365" t="str">
            <v>CUSTOM-GQPC4.4BRK</v>
          </cell>
          <cell r="B365" t="str">
            <v xml:space="preserve">CAT 320F L (YBM) CAT 320 (HEX)                </v>
          </cell>
          <cell r="C365" t="str">
            <v>C4.4B REBUILD KIT</v>
          </cell>
          <cell r="D365">
            <v>2512.7199999999998</v>
          </cell>
          <cell r="E365">
            <v>1256.3599999999999</v>
          </cell>
          <cell r="F365" t="str">
            <v>ENGINE</v>
          </cell>
          <cell r="G365">
            <v>2</v>
          </cell>
          <cell r="H365">
            <v>0</v>
          </cell>
          <cell r="I365">
            <v>0</v>
          </cell>
          <cell r="J365">
            <v>0</v>
          </cell>
          <cell r="K365">
            <v>2</v>
          </cell>
        </row>
        <row r="366">
          <cell r="A366" t="str">
            <v>CUSTOM-GQPD3OK</v>
          </cell>
          <cell r="B366" t="str">
            <v xml:space="preserve">CAT D3 (1PJ)                  </v>
          </cell>
          <cell r="C366" t="str">
            <v>GQP OVERHAUL KIT</v>
          </cell>
          <cell r="D366">
            <v>4182.34</v>
          </cell>
          <cell r="E366">
            <v>2091.17</v>
          </cell>
          <cell r="F366" t="str">
            <v>ENGINE</v>
          </cell>
          <cell r="G366">
            <v>1</v>
          </cell>
          <cell r="H366">
            <v>0</v>
          </cell>
          <cell r="I366">
            <v>0</v>
          </cell>
          <cell r="J366">
            <v>0</v>
          </cell>
          <cell r="K366">
            <v>1</v>
          </cell>
        </row>
        <row r="367">
          <cell r="A367" t="str">
            <v>CUSTOM-GQPD4SSA</v>
          </cell>
          <cell r="B367" t="str">
            <v xml:space="preserve">CAT D4 (66J)                  </v>
          </cell>
          <cell r="C367" t="str">
            <v>SEAT SUSPENSION ASSEMBLY</v>
          </cell>
          <cell r="D367">
            <v>1021.54</v>
          </cell>
          <cell r="E367">
            <v>510.77</v>
          </cell>
          <cell r="F367" t="str">
            <v>SEAT</v>
          </cell>
          <cell r="G367">
            <v>1</v>
          </cell>
          <cell r="H367">
            <v>0</v>
          </cell>
          <cell r="I367">
            <v>0</v>
          </cell>
          <cell r="J367">
            <v>0</v>
          </cell>
          <cell r="K367">
            <v>1</v>
          </cell>
        </row>
        <row r="368">
          <cell r="A368" t="str">
            <v>CUSTOM-GQPD530"TG</v>
          </cell>
          <cell r="B368" t="str">
            <v xml:space="preserve">CAT D5 (3CR)                  </v>
          </cell>
          <cell r="C368" t="str">
            <v>TRACK GROUP</v>
          </cell>
          <cell r="D368">
            <v>0</v>
          </cell>
          <cell r="E368">
            <v>0</v>
          </cell>
          <cell r="F368" t="str">
            <v>UC</v>
          </cell>
          <cell r="G368">
            <v>4</v>
          </cell>
          <cell r="H368">
            <v>0</v>
          </cell>
          <cell r="I368">
            <v>0</v>
          </cell>
          <cell r="J368">
            <v>0</v>
          </cell>
          <cell r="K368">
            <v>4</v>
          </cell>
        </row>
        <row r="369">
          <cell r="A369" t="str">
            <v>CUSTOM-GQPD5ABA</v>
          </cell>
          <cell r="B369" t="str">
            <v xml:space="preserve">CAT D5 (3CR)                  </v>
          </cell>
          <cell r="C369" t="str">
            <v>ANGLING BLADE ASSY</v>
          </cell>
          <cell r="D369">
            <v>16888.900000000001</v>
          </cell>
          <cell r="E369">
            <v>6417.78</v>
          </cell>
          <cell r="F369" t="str">
            <v>GET</v>
          </cell>
          <cell r="G369">
            <v>2</v>
          </cell>
          <cell r="H369">
            <v>0</v>
          </cell>
          <cell r="I369">
            <v>0</v>
          </cell>
          <cell r="J369">
            <v>0</v>
          </cell>
          <cell r="K369">
            <v>2</v>
          </cell>
        </row>
        <row r="370">
          <cell r="A370" t="str">
            <v>CUSTOM-GQPD5OK</v>
          </cell>
          <cell r="B370" t="str">
            <v xml:space="preserve">CAT D5 (3CR)                  </v>
          </cell>
          <cell r="C370" t="str">
            <v xml:space="preserve">GQP ENGINE OVERHAUL KIT </v>
          </cell>
          <cell r="D370">
            <v>5134.55</v>
          </cell>
          <cell r="E370">
            <v>2567.2800000000002</v>
          </cell>
          <cell r="F370" t="str">
            <v>ENGINE</v>
          </cell>
          <cell r="G370">
            <v>2</v>
          </cell>
          <cell r="H370">
            <v>0</v>
          </cell>
          <cell r="I370">
            <v>0</v>
          </cell>
          <cell r="J370">
            <v>0</v>
          </cell>
          <cell r="K370">
            <v>2</v>
          </cell>
        </row>
        <row r="371">
          <cell r="A371" t="str">
            <v>CUSTOM-GQPD630"TG</v>
          </cell>
          <cell r="B371" t="str">
            <v xml:space="preserve">CAT D6 (RDC)                  </v>
          </cell>
          <cell r="C371" t="str">
            <v>30" GQP TRACK GROUP</v>
          </cell>
          <cell r="D371">
            <v>10784.168</v>
          </cell>
          <cell r="E371">
            <v>5392.08</v>
          </cell>
          <cell r="F371" t="str">
            <v>UC</v>
          </cell>
          <cell r="G371">
            <v>2</v>
          </cell>
          <cell r="H371">
            <v>0</v>
          </cell>
          <cell r="I371">
            <v>0</v>
          </cell>
          <cell r="J371">
            <v>0</v>
          </cell>
          <cell r="K371">
            <v>2</v>
          </cell>
        </row>
        <row r="372">
          <cell r="A372" t="str">
            <v>CUSTOM-GQPD7G30"TG</v>
          </cell>
          <cell r="B372" t="str">
            <v xml:space="preserve">CAT D7G (92V)                  </v>
          </cell>
          <cell r="C372" t="str">
            <v>30" GQP TRACK GROUP</v>
          </cell>
          <cell r="D372">
            <v>8674.7200000000012</v>
          </cell>
          <cell r="E372">
            <v>4337.3599999999997</v>
          </cell>
          <cell r="F372" t="str">
            <v>UC</v>
          </cell>
          <cell r="G372">
            <v>2</v>
          </cell>
          <cell r="H372">
            <v>0</v>
          </cell>
          <cell r="I372">
            <v>0</v>
          </cell>
          <cell r="J372">
            <v>0</v>
          </cell>
          <cell r="K372">
            <v>2</v>
          </cell>
        </row>
        <row r="373">
          <cell r="A373" t="str">
            <v>CUSTOM-GQPD7GSOK</v>
          </cell>
          <cell r="B373" t="str">
            <v xml:space="preserve">CAT D7G (92V)                  </v>
          </cell>
          <cell r="C373" t="str">
            <v>SILVER ENGINE OVERHAUL KIT</v>
          </cell>
          <cell r="D373">
            <v>6725.5</v>
          </cell>
          <cell r="E373">
            <v>3362.75</v>
          </cell>
          <cell r="F373" t="str">
            <v>ENGINE</v>
          </cell>
          <cell r="G373">
            <v>1</v>
          </cell>
          <cell r="H373">
            <v>0</v>
          </cell>
          <cell r="I373">
            <v>0</v>
          </cell>
          <cell r="J373">
            <v>0</v>
          </cell>
          <cell r="K373">
            <v>1</v>
          </cell>
        </row>
        <row r="374">
          <cell r="A374" t="str">
            <v>CUSTOM-GQPPL6130"TG</v>
          </cell>
          <cell r="B374" t="str">
            <v xml:space="preserve">CAT PL61 (WGS)                  </v>
          </cell>
          <cell r="C374" t="str">
            <v>30" GQP TRACK GROUP</v>
          </cell>
          <cell r="D374">
            <v>8945.7099999999991</v>
          </cell>
          <cell r="E374">
            <v>4472.8599999999997</v>
          </cell>
          <cell r="F374" t="str">
            <v>UC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6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.MINNS@LCOS.C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D.MINNS@LCOS.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D.MINNS@LCOS.C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D.MINNS@LCO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AB4-DFBE-4D76-97FE-0C7F33856F71}">
  <sheetPr filterMode="1">
    <pageSetUpPr fitToPage="1"/>
  </sheetPr>
  <dimension ref="B1:I64"/>
  <sheetViews>
    <sheetView workbookViewId="0">
      <selection activeCell="I64" sqref="I64"/>
    </sheetView>
  </sheetViews>
  <sheetFormatPr defaultRowHeight="14.4" x14ac:dyDescent="0.3"/>
  <cols>
    <col min="1" max="1" width="2.6640625" customWidth="1"/>
    <col min="2" max="2" width="15.44140625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69"/>
      <c r="C1" s="70"/>
      <c r="D1" s="70"/>
      <c r="E1" s="116" t="s">
        <v>28</v>
      </c>
      <c r="F1" s="117"/>
      <c r="G1" s="44"/>
      <c r="H1" s="133" t="s">
        <v>30</v>
      </c>
      <c r="I1" s="117"/>
    </row>
    <row r="2" spans="2:9" ht="15" customHeight="1" x14ac:dyDescent="0.3">
      <c r="B2" s="71"/>
      <c r="E2" s="118"/>
      <c r="F2" s="119"/>
      <c r="G2" s="45"/>
      <c r="H2" s="134"/>
      <c r="I2" s="119"/>
    </row>
    <row r="3" spans="2:9" ht="15" customHeight="1" x14ac:dyDescent="0.3">
      <c r="B3" s="71"/>
      <c r="E3" s="118"/>
      <c r="F3" s="119"/>
      <c r="G3" s="45"/>
      <c r="H3" s="134"/>
      <c r="I3" s="119"/>
    </row>
    <row r="4" spans="2:9" ht="15" customHeight="1" x14ac:dyDescent="0.3">
      <c r="B4" s="71"/>
      <c r="E4" s="118"/>
      <c r="F4" s="119"/>
      <c r="G4" s="45"/>
      <c r="H4" s="134"/>
      <c r="I4" s="119"/>
    </row>
    <row r="5" spans="2:9" ht="15" customHeight="1" x14ac:dyDescent="0.3">
      <c r="B5" s="72"/>
      <c r="C5" s="1"/>
      <c r="D5" s="1"/>
      <c r="E5" s="120"/>
      <c r="F5" s="121"/>
      <c r="G5" s="46"/>
      <c r="H5" s="135"/>
      <c r="I5" s="121"/>
    </row>
    <row r="6" spans="2:9" ht="36.6" x14ac:dyDescent="0.7">
      <c r="B6" s="6"/>
      <c r="C6" s="7"/>
      <c r="D6" s="7"/>
      <c r="E6" s="8"/>
      <c r="F6" s="73"/>
      <c r="G6" s="8"/>
      <c r="H6" s="85"/>
      <c r="I6" s="73"/>
    </row>
    <row r="7" spans="2:9" x14ac:dyDescent="0.3">
      <c r="B7" s="74" t="s">
        <v>7</v>
      </c>
      <c r="C7" s="131" t="str">
        <f>'MOQ Grand Total'!C7</f>
        <v>LINCOLN COUNTY OILFIELD SERVICES</v>
      </c>
      <c r="D7" s="13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3">
      <c r="B8" s="76" t="s">
        <v>10</v>
      </c>
      <c r="C8" s="126" t="str">
        <f>'MOQ Grand Total'!C8</f>
        <v>DUSTIN MINNS</v>
      </c>
      <c r="D8" s="126"/>
      <c r="E8" s="127" t="s">
        <v>11</v>
      </c>
      <c r="F8" s="128"/>
      <c r="G8" s="51"/>
      <c r="H8" s="150" t="s">
        <v>55</v>
      </c>
      <c r="I8" s="151"/>
    </row>
    <row r="9" spans="2:9" x14ac:dyDescent="0.3">
      <c r="B9" s="76" t="s">
        <v>12</v>
      </c>
      <c r="C9" s="126">
        <f>'MOQ Grand Total'!C9</f>
        <v>0</v>
      </c>
      <c r="D9" s="126"/>
      <c r="E9" s="127" t="s">
        <v>13</v>
      </c>
      <c r="F9" s="128"/>
      <c r="G9" s="51"/>
      <c r="H9" s="148" t="s">
        <v>56</v>
      </c>
      <c r="I9" s="149"/>
    </row>
    <row r="10" spans="2:9" x14ac:dyDescent="0.3">
      <c r="B10" s="76"/>
      <c r="C10" s="126">
        <f>'MOQ Grand Total'!C10</f>
        <v>0</v>
      </c>
      <c r="D10" s="126"/>
      <c r="E10" s="127" t="s">
        <v>14</v>
      </c>
      <c r="F10" s="128"/>
      <c r="G10" s="51"/>
      <c r="H10" s="144" t="s">
        <v>422</v>
      </c>
      <c r="I10" s="145"/>
    </row>
    <row r="11" spans="2:9" x14ac:dyDescent="0.3">
      <c r="B11" s="76"/>
      <c r="C11" s="126">
        <f>'MOQ Grand Total'!C11</f>
        <v>0</v>
      </c>
      <c r="D11" s="126"/>
      <c r="E11" s="127"/>
      <c r="F11" s="128"/>
      <c r="G11" s="51"/>
      <c r="H11" s="144" t="s">
        <v>422</v>
      </c>
      <c r="I11" s="145"/>
    </row>
    <row r="12" spans="2:9" x14ac:dyDescent="0.3">
      <c r="B12" s="77"/>
      <c r="C12" s="126">
        <f>'MOQ Grand Total'!C12</f>
        <v>0</v>
      </c>
      <c r="D12" s="126"/>
      <c r="E12" s="129"/>
      <c r="F12" s="130"/>
      <c r="G12" s="60"/>
      <c r="H12" s="146" t="s">
        <v>422</v>
      </c>
      <c r="I12" s="147"/>
    </row>
    <row r="13" spans="2:9" ht="15" thickBot="1" x14ac:dyDescent="0.35">
      <c r="B13" s="15"/>
      <c r="C13" s="16"/>
      <c r="D13" s="16"/>
      <c r="E13" s="16"/>
      <c r="F13" s="136" t="s">
        <v>3</v>
      </c>
      <c r="G13" s="137"/>
      <c r="H13" s="138"/>
      <c r="I13" s="136"/>
    </row>
    <row r="14" spans="2:9" ht="15" thickBot="1" x14ac:dyDescent="0.35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s="53" customFormat="1" ht="40.200000000000003" x14ac:dyDescent="0.3">
      <c r="B15" s="79" t="s">
        <v>79</v>
      </c>
      <c r="C15" s="54" t="str">
        <f>VLOOKUP(B15,'[1]Product by Part Number'!$A:$K,2,0)</f>
        <v xml:space="preserve">CAT 320E L (WBK) CAT 320 (HEX) CAT 320 (MYK) CAT 329E L (ZCD) CAT 329F L (ERL) CAT 330F L (MBX) CAT 330F L (HCK)      </v>
      </c>
      <c r="D15" s="54" t="str">
        <f>VLOOKUP(B15,'[1]Product by Part Number'!$A:$K,3,0)</f>
        <v>12V BATTERY 1000CCA</v>
      </c>
      <c r="E15" s="55">
        <f>VLOOKUP(B15,'[1]Product by Part Number'!$A:$K,11,0)</f>
        <v>26</v>
      </c>
      <c r="F15" s="80">
        <f>VLOOKUP(B15,'[1]Product by Part Number'!$A:$K,4,0)</f>
        <v>523.07000000000005</v>
      </c>
      <c r="G15" s="62">
        <f t="shared" ref="G15" si="0">E15*F15</f>
        <v>13599.820000000002</v>
      </c>
      <c r="H15" s="89">
        <f>VLOOKUP(B15,'[1]Product by Part Number'!$A:$K,5,0)</f>
        <v>132.13</v>
      </c>
      <c r="I15" s="90">
        <f t="shared" ref="I15:I57" si="1">ROUND(E15*H15,2)</f>
        <v>3435.38</v>
      </c>
    </row>
    <row r="16" spans="2:9" s="53" customFormat="1" x14ac:dyDescent="0.3">
      <c r="B16" s="79" t="s">
        <v>99</v>
      </c>
      <c r="C16" s="54" t="str">
        <f>VLOOKUP(B16,'[1]Product by Part Number'!$A:$K,2,0)</f>
        <v xml:space="preserve">CAT 303.5E                  </v>
      </c>
      <c r="D16" s="54" t="str">
        <f>VLOOKUP(B16,'[1]Product by Part Number'!$A:$K,3,0)</f>
        <v>12V BATTERY - 650CCA</v>
      </c>
      <c r="E16" s="55">
        <f>VLOOKUP(B16,'[1]Product by Part Number'!$A:$K,11,0)</f>
        <v>1</v>
      </c>
      <c r="F16" s="80">
        <f>VLOOKUP(B16,'[1]Product by Part Number'!$A:$K,4,0)</f>
        <v>356.29</v>
      </c>
      <c r="G16" s="62">
        <f t="shared" ref="G16:G19" si="2">E16*F16</f>
        <v>356.29</v>
      </c>
      <c r="H16" s="89">
        <f>VLOOKUP(B16,'[1]Product by Part Number'!$A:$K,5,0)</f>
        <v>160.66999999999999</v>
      </c>
      <c r="I16" s="90">
        <f t="shared" si="1"/>
        <v>160.66999999999999</v>
      </c>
    </row>
    <row r="17" spans="2:9" s="53" customFormat="1" x14ac:dyDescent="0.3">
      <c r="B17" s="79" t="s">
        <v>100</v>
      </c>
      <c r="C17" s="54" t="str">
        <f>VLOOKUP(B17,'[1]Product by Part Number'!$A:$K,2,0)</f>
        <v xml:space="preserve">CAT D3 (1PJ) CAT D7G (92V)                </v>
      </c>
      <c r="D17" s="54" t="str">
        <f>VLOOKUP(B17,'[1]Product by Part Number'!$A:$K,3,0)</f>
        <v>12V BATTERY - 1125CCA</v>
      </c>
      <c r="E17" s="55">
        <f>VLOOKUP(B17,'[1]Product by Part Number'!$A:$K,11,0)</f>
        <v>2</v>
      </c>
      <c r="F17" s="80">
        <f>VLOOKUP(B17,'[1]Product by Part Number'!$A:$K,4,0)</f>
        <v>726.37</v>
      </c>
      <c r="G17" s="62"/>
      <c r="H17" s="89">
        <f>VLOOKUP(B17,'[1]Product by Part Number'!$A:$K,5,0)</f>
        <v>292.44</v>
      </c>
      <c r="I17" s="90">
        <f t="shared" si="1"/>
        <v>584.88</v>
      </c>
    </row>
    <row r="18" spans="2:9" s="53" customFormat="1" ht="27.6" thickBot="1" x14ac:dyDescent="0.35">
      <c r="B18" s="81" t="s">
        <v>405</v>
      </c>
      <c r="C18" s="82" t="str">
        <f>VLOOKUP(B18,'[1]Product by Part Number'!$A:$K,2,0)</f>
        <v xml:space="preserve">CAT 320F L (YBM) CAT 330 (LHW) CAT 330 (WCH) CAT 561N (CPH)            </v>
      </c>
      <c r="D18" s="82" t="str">
        <f>VLOOKUP(B18,'[1]Product by Part Number'!$A:$K,3,0)</f>
        <v>12V BATTERY - 900CCA</v>
      </c>
      <c r="E18" s="83">
        <f>VLOOKUP(B18,'[1]Product by Part Number'!$A:$K,11,0)</f>
        <v>52</v>
      </c>
      <c r="F18" s="84">
        <f>VLOOKUP(B18,'[1]Product by Part Number'!$A:$K,4,0)</f>
        <v>503.86</v>
      </c>
      <c r="G18" s="62"/>
      <c r="H18" s="91">
        <f>VLOOKUP(B18,'[1]Product by Part Number'!$A:$K,5,0)</f>
        <v>120.88</v>
      </c>
      <c r="I18" s="92">
        <f t="shared" si="1"/>
        <v>6285.76</v>
      </c>
    </row>
    <row r="19" spans="2:9" hidden="1" x14ac:dyDescent="0.3">
      <c r="B19" s="68"/>
      <c r="C19" s="22"/>
      <c r="D19" s="22"/>
      <c r="E19" s="23"/>
      <c r="F19" s="24"/>
      <c r="G19" s="24">
        <f t="shared" si="2"/>
        <v>0</v>
      </c>
      <c r="H19" s="25"/>
      <c r="I19" s="26">
        <f t="shared" si="1"/>
        <v>0</v>
      </c>
    </row>
    <row r="20" spans="2:9" hidden="1" x14ac:dyDescent="0.3">
      <c r="B20" s="22"/>
      <c r="C20" s="22"/>
      <c r="D20" s="22"/>
      <c r="E20" s="23"/>
      <c r="F20" s="24"/>
      <c r="G20" s="24"/>
      <c r="H20" s="25"/>
      <c r="I20" s="26">
        <f t="shared" si="1"/>
        <v>0</v>
      </c>
    </row>
    <row r="21" spans="2:9" hidden="1" x14ac:dyDescent="0.3">
      <c r="B21" s="22"/>
      <c r="C21" s="22"/>
      <c r="D21" s="22"/>
      <c r="E21" s="23"/>
      <c r="F21" s="24"/>
      <c r="G21" s="24"/>
      <c r="H21" s="25"/>
      <c r="I21" s="26">
        <f t="shared" si="1"/>
        <v>0</v>
      </c>
    </row>
    <row r="22" spans="2:9" hidden="1" x14ac:dyDescent="0.3">
      <c r="B22" s="22"/>
      <c r="C22" s="22"/>
      <c r="D22" s="22"/>
      <c r="E22" s="23"/>
      <c r="F22" s="24"/>
      <c r="G22" s="24"/>
      <c r="H22" s="25"/>
      <c r="I22" s="26">
        <f t="shared" si="1"/>
        <v>0</v>
      </c>
    </row>
    <row r="23" spans="2:9" hidden="1" x14ac:dyDescent="0.3">
      <c r="B23" s="22"/>
      <c r="C23" s="22"/>
      <c r="D23" s="22"/>
      <c r="E23" s="23"/>
      <c r="F23" s="24"/>
      <c r="G23" s="24"/>
      <c r="H23" s="25"/>
      <c r="I23" s="26">
        <f t="shared" si="1"/>
        <v>0</v>
      </c>
    </row>
    <row r="24" spans="2:9" hidden="1" x14ac:dyDescent="0.3">
      <c r="B24" s="22"/>
      <c r="C24" s="22"/>
      <c r="D24" s="22"/>
      <c r="E24" s="23"/>
      <c r="F24" s="24"/>
      <c r="G24" s="24"/>
      <c r="H24" s="25"/>
      <c r="I24" s="26">
        <f t="shared" si="1"/>
        <v>0</v>
      </c>
    </row>
    <row r="25" spans="2:9" hidden="1" x14ac:dyDescent="0.3">
      <c r="B25" s="22"/>
      <c r="C25" s="22"/>
      <c r="D25" s="22"/>
      <c r="E25" s="23"/>
      <c r="F25" s="24"/>
      <c r="G25" s="24"/>
      <c r="H25" s="25"/>
      <c r="I25" s="26">
        <f t="shared" si="1"/>
        <v>0</v>
      </c>
    </row>
    <row r="26" spans="2:9" hidden="1" x14ac:dyDescent="0.3">
      <c r="B26" s="22"/>
      <c r="C26" s="22"/>
      <c r="D26" s="22"/>
      <c r="E26" s="23"/>
      <c r="F26" s="24"/>
      <c r="G26" s="24"/>
      <c r="H26" s="25"/>
      <c r="I26" s="26">
        <f t="shared" si="1"/>
        <v>0</v>
      </c>
    </row>
    <row r="27" spans="2:9" hidden="1" x14ac:dyDescent="0.3">
      <c r="B27" s="22"/>
      <c r="C27" s="22"/>
      <c r="D27" s="22"/>
      <c r="E27" s="23"/>
      <c r="F27" s="24"/>
      <c r="G27" s="24"/>
      <c r="H27" s="25"/>
      <c r="I27" s="26">
        <f t="shared" si="1"/>
        <v>0</v>
      </c>
    </row>
    <row r="28" spans="2:9" hidden="1" x14ac:dyDescent="0.3">
      <c r="B28" s="22"/>
      <c r="C28" s="22"/>
      <c r="D28" s="22"/>
      <c r="E28" s="23"/>
      <c r="F28" s="24"/>
      <c r="G28" s="24"/>
      <c r="H28" s="25"/>
      <c r="I28" s="26">
        <f t="shared" si="1"/>
        <v>0</v>
      </c>
    </row>
    <row r="29" spans="2:9" hidden="1" x14ac:dyDescent="0.3">
      <c r="B29" s="22"/>
      <c r="C29" s="22"/>
      <c r="D29" s="22"/>
      <c r="E29" s="23"/>
      <c r="F29" s="24"/>
      <c r="G29" s="24"/>
      <c r="H29" s="25"/>
      <c r="I29" s="26">
        <f t="shared" si="1"/>
        <v>0</v>
      </c>
    </row>
    <row r="30" spans="2:9" hidden="1" x14ac:dyDescent="0.3">
      <c r="B30" s="22"/>
      <c r="C30" s="22"/>
      <c r="D30" s="22"/>
      <c r="E30" s="23"/>
      <c r="F30" s="24"/>
      <c r="G30" s="24"/>
      <c r="H30" s="25"/>
      <c r="I30" s="26">
        <f t="shared" si="1"/>
        <v>0</v>
      </c>
    </row>
    <row r="31" spans="2:9" hidden="1" x14ac:dyDescent="0.3">
      <c r="B31" s="22"/>
      <c r="C31" s="22"/>
      <c r="D31" s="22"/>
      <c r="E31" s="23"/>
      <c r="F31" s="24"/>
      <c r="G31" s="24"/>
      <c r="H31" s="25"/>
      <c r="I31" s="26">
        <f t="shared" si="1"/>
        <v>0</v>
      </c>
    </row>
    <row r="32" spans="2:9" hidden="1" x14ac:dyDescent="0.3">
      <c r="B32" s="22"/>
      <c r="C32" s="22"/>
      <c r="D32" s="22"/>
      <c r="E32" s="23"/>
      <c r="F32" s="24"/>
      <c r="G32" s="24"/>
      <c r="H32" s="25"/>
      <c r="I32" s="26">
        <f t="shared" si="1"/>
        <v>0</v>
      </c>
    </row>
    <row r="33" spans="2:9" hidden="1" x14ac:dyDescent="0.3">
      <c r="B33" s="22"/>
      <c r="C33" s="22"/>
      <c r="D33" s="22"/>
      <c r="E33" s="23"/>
      <c r="F33" s="24"/>
      <c r="G33" s="24"/>
      <c r="H33" s="25"/>
      <c r="I33" s="26">
        <f t="shared" si="1"/>
        <v>0</v>
      </c>
    </row>
    <row r="34" spans="2:9" hidden="1" x14ac:dyDescent="0.3">
      <c r="B34" s="22"/>
      <c r="C34" s="22"/>
      <c r="D34" s="22"/>
      <c r="E34" s="23"/>
      <c r="F34" s="24"/>
      <c r="G34" s="24"/>
      <c r="H34" s="25"/>
      <c r="I34" s="26">
        <f t="shared" si="1"/>
        <v>0</v>
      </c>
    </row>
    <row r="35" spans="2:9" hidden="1" x14ac:dyDescent="0.3">
      <c r="B35" s="22"/>
      <c r="C35" s="22"/>
      <c r="D35" s="22"/>
      <c r="E35" s="23"/>
      <c r="F35" s="24"/>
      <c r="G35" s="24"/>
      <c r="H35" s="25"/>
      <c r="I35" s="26">
        <f t="shared" si="1"/>
        <v>0</v>
      </c>
    </row>
    <row r="36" spans="2:9" hidden="1" x14ac:dyDescent="0.3">
      <c r="B36" s="22"/>
      <c r="C36" s="22"/>
      <c r="D36" s="22"/>
      <c r="E36" s="23"/>
      <c r="F36" s="24"/>
      <c r="G36" s="24"/>
      <c r="H36" s="25"/>
      <c r="I36" s="26">
        <f t="shared" si="1"/>
        <v>0</v>
      </c>
    </row>
    <row r="37" spans="2:9" hidden="1" x14ac:dyDescent="0.3">
      <c r="B37" s="22"/>
      <c r="C37" s="22"/>
      <c r="D37" s="22"/>
      <c r="E37" s="23"/>
      <c r="F37" s="24"/>
      <c r="G37" s="24"/>
      <c r="H37" s="25"/>
      <c r="I37" s="26">
        <f t="shared" si="1"/>
        <v>0</v>
      </c>
    </row>
    <row r="38" spans="2:9" hidden="1" x14ac:dyDescent="0.3">
      <c r="B38" s="22"/>
      <c r="C38" s="22"/>
      <c r="D38" s="22"/>
      <c r="E38" s="23"/>
      <c r="F38" s="24"/>
      <c r="G38" s="24"/>
      <c r="H38" s="25"/>
      <c r="I38" s="26">
        <f t="shared" si="1"/>
        <v>0</v>
      </c>
    </row>
    <row r="39" spans="2:9" hidden="1" x14ac:dyDescent="0.3">
      <c r="B39" s="22"/>
      <c r="C39" s="22"/>
      <c r="D39" s="22"/>
      <c r="E39" s="23"/>
      <c r="F39" s="24"/>
      <c r="G39" s="24"/>
      <c r="H39" s="25"/>
      <c r="I39" s="26">
        <f t="shared" si="1"/>
        <v>0</v>
      </c>
    </row>
    <row r="40" spans="2:9" hidden="1" x14ac:dyDescent="0.3">
      <c r="B40" s="22"/>
      <c r="C40" s="22"/>
      <c r="D40" s="22"/>
      <c r="E40" s="23"/>
      <c r="F40" s="24"/>
      <c r="G40" s="24"/>
      <c r="H40" s="25"/>
      <c r="I40" s="26">
        <f t="shared" si="1"/>
        <v>0</v>
      </c>
    </row>
    <row r="41" spans="2:9" hidden="1" x14ac:dyDescent="0.3">
      <c r="B41" s="22"/>
      <c r="C41" s="22"/>
      <c r="D41" s="22"/>
      <c r="E41" s="23"/>
      <c r="F41" s="24"/>
      <c r="G41" s="24"/>
      <c r="H41" s="25"/>
      <c r="I41" s="26">
        <f t="shared" si="1"/>
        <v>0</v>
      </c>
    </row>
    <row r="42" spans="2:9" hidden="1" x14ac:dyDescent="0.3">
      <c r="B42" s="22"/>
      <c r="C42" s="22"/>
      <c r="D42" s="22"/>
      <c r="E42" s="23"/>
      <c r="F42" s="24"/>
      <c r="G42" s="24"/>
      <c r="H42" s="25"/>
      <c r="I42" s="26">
        <f t="shared" si="1"/>
        <v>0</v>
      </c>
    </row>
    <row r="43" spans="2:9" hidden="1" x14ac:dyDescent="0.3">
      <c r="B43" s="22"/>
      <c r="C43" s="22"/>
      <c r="D43" s="22"/>
      <c r="E43" s="23"/>
      <c r="F43" s="24"/>
      <c r="G43" s="24"/>
      <c r="H43" s="25"/>
      <c r="I43" s="26">
        <f t="shared" si="1"/>
        <v>0</v>
      </c>
    </row>
    <row r="44" spans="2:9" hidden="1" x14ac:dyDescent="0.3">
      <c r="B44" s="22"/>
      <c r="C44" s="22"/>
      <c r="D44" s="22"/>
      <c r="E44" s="23"/>
      <c r="F44" s="24"/>
      <c r="G44" s="24"/>
      <c r="H44" s="25"/>
      <c r="I44" s="26">
        <f t="shared" si="1"/>
        <v>0</v>
      </c>
    </row>
    <row r="45" spans="2:9" hidden="1" x14ac:dyDescent="0.3">
      <c r="B45" s="22"/>
      <c r="C45" s="22"/>
      <c r="D45" s="22"/>
      <c r="E45" s="23"/>
      <c r="F45" s="24"/>
      <c r="G45" s="24"/>
      <c r="H45" s="25"/>
      <c r="I45" s="26">
        <f t="shared" si="1"/>
        <v>0</v>
      </c>
    </row>
    <row r="46" spans="2:9" hidden="1" x14ac:dyDescent="0.3">
      <c r="B46" s="22"/>
      <c r="C46" s="22"/>
      <c r="D46" s="22"/>
      <c r="E46" s="23"/>
      <c r="F46" s="24"/>
      <c r="G46" s="24"/>
      <c r="H46" s="25"/>
      <c r="I46" s="26">
        <f t="shared" si="1"/>
        <v>0</v>
      </c>
    </row>
    <row r="47" spans="2:9" hidden="1" x14ac:dyDescent="0.3">
      <c r="B47" s="22"/>
      <c r="C47" s="22"/>
      <c r="D47" s="22"/>
      <c r="E47" s="23"/>
      <c r="F47" s="24"/>
      <c r="G47" s="24"/>
      <c r="H47" s="25"/>
      <c r="I47" s="26">
        <f t="shared" si="1"/>
        <v>0</v>
      </c>
    </row>
    <row r="48" spans="2:9" hidden="1" x14ac:dyDescent="0.3">
      <c r="B48" s="22"/>
      <c r="C48" s="22"/>
      <c r="D48" s="22"/>
      <c r="E48" s="23"/>
      <c r="F48" s="24"/>
      <c r="G48" s="24"/>
      <c r="H48" s="25"/>
      <c r="I48" s="26">
        <f t="shared" si="1"/>
        <v>0</v>
      </c>
    </row>
    <row r="49" spans="2:9" hidden="1" x14ac:dyDescent="0.3">
      <c r="B49" s="22"/>
      <c r="C49" s="22"/>
      <c r="D49" s="22"/>
      <c r="E49" s="23"/>
      <c r="F49" s="24"/>
      <c r="G49" s="24"/>
      <c r="H49" s="25"/>
      <c r="I49" s="26">
        <f t="shared" si="1"/>
        <v>0</v>
      </c>
    </row>
    <row r="50" spans="2:9" hidden="1" x14ac:dyDescent="0.3">
      <c r="B50" s="22"/>
      <c r="C50" s="22"/>
      <c r="D50" s="22"/>
      <c r="E50" s="23"/>
      <c r="F50" s="24"/>
      <c r="G50" s="24"/>
      <c r="H50" s="25"/>
      <c r="I50" s="26">
        <f t="shared" si="1"/>
        <v>0</v>
      </c>
    </row>
    <row r="51" spans="2:9" hidden="1" x14ac:dyDescent="0.3">
      <c r="B51" s="22"/>
      <c r="C51" s="22"/>
      <c r="D51" s="22"/>
      <c r="E51" s="23"/>
      <c r="F51" s="24"/>
      <c r="G51" s="24"/>
      <c r="H51" s="25"/>
      <c r="I51" s="26">
        <f t="shared" si="1"/>
        <v>0</v>
      </c>
    </row>
    <row r="52" spans="2:9" hidden="1" x14ac:dyDescent="0.3">
      <c r="B52" s="22"/>
      <c r="C52" s="22"/>
      <c r="D52" s="22"/>
      <c r="E52" s="23"/>
      <c r="F52" s="24"/>
      <c r="G52" s="24"/>
      <c r="H52" s="25"/>
      <c r="I52" s="26">
        <f t="shared" si="1"/>
        <v>0</v>
      </c>
    </row>
    <row r="53" spans="2:9" hidden="1" x14ac:dyDescent="0.3">
      <c r="B53" s="22"/>
      <c r="C53" s="22"/>
      <c r="D53" s="22"/>
      <c r="E53" s="23"/>
      <c r="F53" s="24"/>
      <c r="G53" s="24"/>
      <c r="H53" s="25"/>
      <c r="I53" s="26">
        <f t="shared" si="1"/>
        <v>0</v>
      </c>
    </row>
    <row r="54" spans="2:9" hidden="1" x14ac:dyDescent="0.3">
      <c r="B54" s="22"/>
      <c r="C54" s="22"/>
      <c r="D54" s="22"/>
      <c r="E54" s="23"/>
      <c r="F54" s="24"/>
      <c r="G54" s="24"/>
      <c r="H54" s="25"/>
      <c r="I54" s="26">
        <f t="shared" si="1"/>
        <v>0</v>
      </c>
    </row>
    <row r="55" spans="2:9" hidden="1" x14ac:dyDescent="0.3">
      <c r="B55" s="22"/>
      <c r="C55" s="22"/>
      <c r="D55" s="22"/>
      <c r="E55" s="23"/>
      <c r="F55" s="24"/>
      <c r="G55" s="24"/>
      <c r="H55" s="25"/>
      <c r="I55" s="26">
        <f t="shared" si="1"/>
        <v>0</v>
      </c>
    </row>
    <row r="56" spans="2:9" hidden="1" x14ac:dyDescent="0.3">
      <c r="B56" s="22"/>
      <c r="C56" s="22"/>
      <c r="D56" s="22"/>
      <c r="E56" s="23"/>
      <c r="F56" s="24"/>
      <c r="G56" s="24"/>
      <c r="H56" s="25"/>
      <c r="I56" s="26">
        <f t="shared" si="1"/>
        <v>0</v>
      </c>
    </row>
    <row r="57" spans="2:9" hidden="1" x14ac:dyDescent="0.3">
      <c r="B57" s="63"/>
      <c r="C57" s="63"/>
      <c r="D57" s="63"/>
      <c r="E57" s="64"/>
      <c r="F57" s="65"/>
      <c r="G57" s="24"/>
      <c r="H57" s="66"/>
      <c r="I57" s="67">
        <f t="shared" si="1"/>
        <v>0</v>
      </c>
    </row>
    <row r="58" spans="2:9" x14ac:dyDescent="0.3">
      <c r="B58" s="139"/>
      <c r="C58" s="140"/>
      <c r="D58" s="140"/>
      <c r="E58" s="140"/>
      <c r="F58" s="141"/>
      <c r="G58" s="27"/>
      <c r="H58" s="95" t="s">
        <v>17</v>
      </c>
      <c r="I58" s="96">
        <f>SUM(I15:I57)</f>
        <v>10466.69</v>
      </c>
    </row>
    <row r="59" spans="2:9" x14ac:dyDescent="0.3">
      <c r="B59" s="93"/>
      <c r="C59" s="31"/>
      <c r="D59" s="32" t="s">
        <v>18</v>
      </c>
      <c r="E59" s="142">
        <f>SUM(G15:G57)</f>
        <v>13956.110000000002</v>
      </c>
      <c r="F59" s="143"/>
      <c r="G59" s="33"/>
      <c r="H59" s="97" t="s">
        <v>19</v>
      </c>
      <c r="I59" s="98">
        <v>0</v>
      </c>
    </row>
    <row r="60" spans="2:9" x14ac:dyDescent="0.3">
      <c r="B60" s="93"/>
      <c r="C60" s="31"/>
      <c r="D60" s="32" t="s">
        <v>20</v>
      </c>
      <c r="E60" s="142">
        <f>SUM(I15:I57)</f>
        <v>10466.69</v>
      </c>
      <c r="F60" s="143"/>
      <c r="G60" s="33"/>
      <c r="H60" s="99" t="s">
        <v>21</v>
      </c>
      <c r="I60" s="98">
        <v>0</v>
      </c>
    </row>
    <row r="61" spans="2:9" x14ac:dyDescent="0.3">
      <c r="B61" s="93"/>
      <c r="C61" s="31"/>
      <c r="D61" s="32" t="s">
        <v>22</v>
      </c>
      <c r="E61" s="122">
        <f>E59-E60</f>
        <v>3489.4200000000019</v>
      </c>
      <c r="F61" s="123"/>
      <c r="G61" s="36"/>
      <c r="H61" s="97" t="s">
        <v>23</v>
      </c>
      <c r="I61" s="100">
        <f>SUM(I58:I60)</f>
        <v>10466.69</v>
      </c>
    </row>
    <row r="62" spans="2:9" x14ac:dyDescent="0.3">
      <c r="B62" s="93"/>
      <c r="C62" s="31"/>
      <c r="D62" s="32"/>
      <c r="E62" s="124"/>
      <c r="F62" s="125"/>
      <c r="G62" s="38"/>
      <c r="H62" s="97" t="s">
        <v>24</v>
      </c>
      <c r="I62" s="100">
        <f>I61*0.05</f>
        <v>523.33450000000005</v>
      </c>
    </row>
    <row r="63" spans="2:9" x14ac:dyDescent="0.3">
      <c r="B63" s="93"/>
      <c r="C63" s="31"/>
      <c r="D63" s="39"/>
      <c r="E63" s="39"/>
      <c r="F63" s="94"/>
      <c r="G63" s="40"/>
      <c r="H63" s="97" t="s">
        <v>25</v>
      </c>
      <c r="I63" s="98"/>
    </row>
    <row r="64" spans="2:9" ht="16.2" thickBot="1" x14ac:dyDescent="0.35">
      <c r="B64" s="113" t="s">
        <v>26</v>
      </c>
      <c r="C64" s="114"/>
      <c r="D64" s="114"/>
      <c r="E64" s="114"/>
      <c r="F64" s="115"/>
      <c r="G64" s="41"/>
      <c r="H64" s="101" t="s">
        <v>27</v>
      </c>
      <c r="I64" s="102">
        <f>SUM(I61:I63)</f>
        <v>10990.024500000001</v>
      </c>
    </row>
  </sheetData>
  <autoFilter ref="B14:I64" xr:uid="{79A81AB4-DFBE-4D76-97FE-0C7F33856F71}">
    <filterColumn colId="6">
      <customFilters>
        <customFilter operator="notEqual" val=" "/>
      </customFilters>
    </filterColumn>
  </autoFilter>
  <mergeCells count="25">
    <mergeCell ref="H1:I5"/>
    <mergeCell ref="F13:I13"/>
    <mergeCell ref="B58:F58"/>
    <mergeCell ref="E59:F59"/>
    <mergeCell ref="E60:F60"/>
    <mergeCell ref="E11:F11"/>
    <mergeCell ref="H11:I11"/>
    <mergeCell ref="H12:I12"/>
    <mergeCell ref="H10:I10"/>
    <mergeCell ref="H9:I9"/>
    <mergeCell ref="H8:I8"/>
    <mergeCell ref="B64:F64"/>
    <mergeCell ref="E1:F5"/>
    <mergeCell ref="E61:F61"/>
    <mergeCell ref="E62:F62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</mergeCells>
  <hyperlinks>
    <hyperlink ref="H9" r:id="rId1" xr:uid="{8DB14D04-AC72-4FFB-B3FC-D2A996948771}"/>
  </hyperlinks>
  <pageMargins left="0.7" right="0.7" top="0.75" bottom="0.75" header="0.3" footer="0.3"/>
  <pageSetup scale="5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EAAF-E9D4-4F41-920A-F55BC0791038}">
  <sheetPr filterMode="1"/>
  <dimension ref="B1:I97"/>
  <sheetViews>
    <sheetView tabSelected="1" workbookViewId="0">
      <selection activeCell="D16" sqref="D16"/>
    </sheetView>
  </sheetViews>
  <sheetFormatPr defaultRowHeight="14.4" x14ac:dyDescent="0.3"/>
  <cols>
    <col min="1" max="1" width="2.6640625" customWidth="1"/>
    <col min="2" max="2" width="19" bestFit="1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69"/>
      <c r="C1" s="70"/>
      <c r="D1" s="70"/>
      <c r="E1" s="116" t="s">
        <v>28</v>
      </c>
      <c r="F1" s="117"/>
      <c r="G1" s="44"/>
      <c r="H1" s="133" t="s">
        <v>34</v>
      </c>
      <c r="I1" s="117"/>
    </row>
    <row r="2" spans="2:9" ht="15" customHeight="1" x14ac:dyDescent="0.3">
      <c r="B2" s="71"/>
      <c r="E2" s="118"/>
      <c r="F2" s="119"/>
      <c r="G2" s="45"/>
      <c r="H2" s="134"/>
      <c r="I2" s="119"/>
    </row>
    <row r="3" spans="2:9" ht="15" customHeight="1" x14ac:dyDescent="0.3">
      <c r="B3" s="71"/>
      <c r="E3" s="118"/>
      <c r="F3" s="119"/>
      <c r="G3" s="45"/>
      <c r="H3" s="134"/>
      <c r="I3" s="119"/>
    </row>
    <row r="4" spans="2:9" ht="15" customHeight="1" x14ac:dyDescent="0.3">
      <c r="B4" s="71"/>
      <c r="E4" s="118"/>
      <c r="F4" s="119"/>
      <c r="G4" s="45"/>
      <c r="H4" s="134"/>
      <c r="I4" s="119"/>
    </row>
    <row r="5" spans="2:9" ht="15" customHeight="1" x14ac:dyDescent="0.3">
      <c r="B5" s="72"/>
      <c r="C5" s="1"/>
      <c r="D5" s="1"/>
      <c r="E5" s="120"/>
      <c r="F5" s="121"/>
      <c r="G5" s="46"/>
      <c r="H5" s="135"/>
      <c r="I5" s="121"/>
    </row>
    <row r="6" spans="2:9" ht="36.6" x14ac:dyDescent="0.7">
      <c r="B6" s="6"/>
      <c r="C6" s="7"/>
      <c r="D6" s="7"/>
      <c r="E6" s="8"/>
      <c r="F6" s="73"/>
      <c r="G6" s="8"/>
      <c r="H6" s="85"/>
      <c r="I6" s="73"/>
    </row>
    <row r="7" spans="2:9" x14ac:dyDescent="0.3">
      <c r="B7" s="74" t="s">
        <v>7</v>
      </c>
      <c r="C7" s="131" t="str">
        <f>'MOQ Grand Total'!C7</f>
        <v>LINCOLN COUNTY OILFIELD SERVICES</v>
      </c>
      <c r="D7" s="13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3">
      <c r="B8" s="76" t="s">
        <v>10</v>
      </c>
      <c r="C8" s="126" t="str">
        <f>'MOQ Grand Total'!C8</f>
        <v>DUSTIN MINNS</v>
      </c>
      <c r="D8" s="126"/>
      <c r="E8" s="127" t="s">
        <v>11</v>
      </c>
      <c r="F8" s="128"/>
      <c r="G8" s="51"/>
      <c r="H8" s="150" t="s">
        <v>55</v>
      </c>
      <c r="I8" s="151"/>
    </row>
    <row r="9" spans="2:9" x14ac:dyDescent="0.3">
      <c r="B9" s="76" t="s">
        <v>12</v>
      </c>
      <c r="C9" s="126">
        <f>'MOQ Grand Total'!C9</f>
        <v>0</v>
      </c>
      <c r="D9" s="126"/>
      <c r="E9" s="127" t="s">
        <v>13</v>
      </c>
      <c r="F9" s="128"/>
      <c r="G9" s="51"/>
      <c r="H9" s="148" t="s">
        <v>56</v>
      </c>
      <c r="I9" s="149"/>
    </row>
    <row r="10" spans="2:9" x14ac:dyDescent="0.3">
      <c r="B10" s="76"/>
      <c r="C10" s="126">
        <f>'MOQ Grand Total'!C10</f>
        <v>0</v>
      </c>
      <c r="D10" s="126"/>
      <c r="E10" s="127" t="s">
        <v>14</v>
      </c>
      <c r="F10" s="128"/>
      <c r="G10" s="51"/>
      <c r="H10" s="144" t="s">
        <v>422</v>
      </c>
      <c r="I10" s="145"/>
    </row>
    <row r="11" spans="2:9" x14ac:dyDescent="0.3">
      <c r="B11" s="76"/>
      <c r="C11" s="126">
        <f>'MOQ Grand Total'!C11</f>
        <v>0</v>
      </c>
      <c r="D11" s="126"/>
      <c r="E11" s="127"/>
      <c r="F11" s="128"/>
      <c r="G11" s="51"/>
      <c r="H11" s="144" t="s">
        <v>422</v>
      </c>
      <c r="I11" s="145"/>
    </row>
    <row r="12" spans="2:9" x14ac:dyDescent="0.3">
      <c r="B12" s="77"/>
      <c r="C12" s="126">
        <f>'MOQ Grand Total'!C12</f>
        <v>0</v>
      </c>
      <c r="D12" s="126"/>
      <c r="E12" s="129"/>
      <c r="F12" s="130"/>
      <c r="G12" s="60"/>
      <c r="H12" s="146" t="s">
        <v>422</v>
      </c>
      <c r="I12" s="147"/>
    </row>
    <row r="13" spans="2:9" ht="15" thickBot="1" x14ac:dyDescent="0.35">
      <c r="B13" s="15"/>
      <c r="C13" s="16"/>
      <c r="D13" s="16"/>
      <c r="E13" s="16"/>
      <c r="F13" s="136" t="s">
        <v>3</v>
      </c>
      <c r="G13" s="137"/>
      <c r="H13" s="138"/>
      <c r="I13" s="136"/>
    </row>
    <row r="14" spans="2:9" ht="15" thickBot="1" x14ac:dyDescent="0.35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ht="27" x14ac:dyDescent="0.3">
      <c r="B15" s="103" t="s">
        <v>76</v>
      </c>
      <c r="C15" s="54" t="str">
        <f>VLOOKUP(B15,'[1]Product by Part Number'!$A:$K,2,0)</f>
        <v xml:space="preserve">CAT D6N LGP (PBA) CAT D6N LGP (SGG) CAT D6T (MH7) CAT D7G (92V)            </v>
      </c>
      <c r="D15" s="54" t="str">
        <f>VLOOKUP(B15,'[1]Product by Part Number'!$A:$K,3,0)</f>
        <v>GROOVED PIN</v>
      </c>
      <c r="E15" s="55">
        <f>VLOOKUP(B15,'[1]Product by Part Number'!$A:$K,11,0)</f>
        <v>16</v>
      </c>
      <c r="F15" s="80">
        <f>VLOOKUP(B15,'[1]Product by Part Number'!$A:$K,4,0)</f>
        <v>12.96</v>
      </c>
      <c r="G15" s="62">
        <f>E15*F15</f>
        <v>207.36</v>
      </c>
      <c r="H15" s="89">
        <f>VLOOKUP(B15,'[1]Product by Part Number'!$A:$K,5,0)</f>
        <v>4.92</v>
      </c>
      <c r="I15" s="107">
        <f t="shared" ref="I15:I90" si="0">ROUND(E15*H15,2)</f>
        <v>78.72</v>
      </c>
    </row>
    <row r="16" spans="2:9" ht="27" x14ac:dyDescent="0.3">
      <c r="B16" s="103" t="s">
        <v>77</v>
      </c>
      <c r="C16" s="54" t="str">
        <f>VLOOKUP(B16,'[1]Product by Part Number'!$A:$K,2,0)</f>
        <v xml:space="preserve">CAT D5 (3CR) CAT D6N LGP (PBA) CAT D6N LGP (SGG) CAT D6T (MH7) CAT D7G (92V)          </v>
      </c>
      <c r="D16" s="54" t="str">
        <f>VLOOKUP(B16,'[1]Product by Part Number'!$A:$K,3,0)</f>
        <v>RETAINER</v>
      </c>
      <c r="E16" s="55">
        <f>VLOOKUP(B16,'[1]Product by Part Number'!$A:$K,11,0)</f>
        <v>18</v>
      </c>
      <c r="F16" s="80">
        <f>VLOOKUP(B16,'[1]Product by Part Number'!$A:$K,4,0)</f>
        <v>22.39</v>
      </c>
      <c r="G16" s="62">
        <f t="shared" ref="G16:G58" si="1">E16*F16</f>
        <v>403.02</v>
      </c>
      <c r="H16" s="89">
        <f>VLOOKUP(B16,'[1]Product by Part Number'!$A:$K,5,0)</f>
        <v>8.51</v>
      </c>
      <c r="I16" s="107">
        <f t="shared" ref="I16:I59" si="2">ROUND(E16*H16,2)</f>
        <v>153.18</v>
      </c>
    </row>
    <row r="17" spans="2:9" x14ac:dyDescent="0.3">
      <c r="B17" s="103" t="s">
        <v>92</v>
      </c>
      <c r="C17" s="54" t="str">
        <f>VLOOKUP(B17,'[1]Product by Part Number'!$A:$K,2,0)</f>
        <v xml:space="preserve">CAT D5 (3CR)                  </v>
      </c>
      <c r="D17" s="54" t="str">
        <f>VLOOKUP(B17,'[1]Product by Part Number'!$A:$K,3,0)</f>
        <v>RIPPER PIN</v>
      </c>
      <c r="E17" s="55">
        <f>VLOOKUP(B17,'[1]Product by Part Number'!$A:$K,11,0)</f>
        <v>2</v>
      </c>
      <c r="F17" s="80">
        <f>VLOOKUP(B17,'[1]Product by Part Number'!$A:$K,4,0)</f>
        <v>10.35</v>
      </c>
      <c r="G17" s="62">
        <f t="shared" si="1"/>
        <v>20.7</v>
      </c>
      <c r="H17" s="89">
        <f>VLOOKUP(B17,'[1]Product by Part Number'!$A:$K,5,0)</f>
        <v>3.93</v>
      </c>
      <c r="I17" s="107">
        <f t="shared" si="2"/>
        <v>7.86</v>
      </c>
    </row>
    <row r="18" spans="2:9" x14ac:dyDescent="0.3">
      <c r="B18" s="103" t="s">
        <v>129</v>
      </c>
      <c r="C18" s="54" t="str">
        <f>VLOOKUP(B18,'[1]Product by Part Number'!$A:$K,2,0)</f>
        <v xml:space="preserve">CAT D3 (1PJ)                  </v>
      </c>
      <c r="D18" s="54" t="str">
        <f>VLOOKUP(B18,'[1]Product by Part Number'!$A:$K,3,0)</f>
        <v>TIP SHORT</v>
      </c>
      <c r="E18" s="55">
        <f>VLOOKUP(B18,'[1]Product by Part Number'!$A:$K,11,0)</f>
        <v>1</v>
      </c>
      <c r="F18" s="80">
        <f>VLOOKUP(B18,'[1]Product by Part Number'!$A:$K,4,0)</f>
        <v>37.42</v>
      </c>
      <c r="G18" s="62">
        <f t="shared" si="1"/>
        <v>37.42</v>
      </c>
      <c r="H18" s="89">
        <f>VLOOKUP(B18,'[1]Product by Part Number'!$A:$K,5,0)</f>
        <v>14.22</v>
      </c>
      <c r="I18" s="107">
        <f t="shared" si="2"/>
        <v>14.22</v>
      </c>
    </row>
    <row r="19" spans="2:9" x14ac:dyDescent="0.3">
      <c r="B19" s="103" t="s">
        <v>140</v>
      </c>
      <c r="C19" s="54" t="str">
        <f>VLOOKUP(B19,'[1]Product by Part Number'!$A:$K,2,0)</f>
        <v xml:space="preserve">CAT D6T (MH7)                  </v>
      </c>
      <c r="D19" s="54" t="str">
        <f>VLOOKUP(B19,'[1]Product by Part Number'!$A:$K,3,0)</f>
        <v>CUTTING EDGE</v>
      </c>
      <c r="E19" s="55">
        <f>VLOOKUP(B19,'[1]Product by Part Number'!$A:$K,11,0)</f>
        <v>2</v>
      </c>
      <c r="F19" s="80">
        <f>VLOOKUP(B19,'[1]Product by Part Number'!$A:$K,4,0)</f>
        <v>559.01</v>
      </c>
      <c r="G19" s="62">
        <f t="shared" si="1"/>
        <v>1118.02</v>
      </c>
      <c r="H19" s="89">
        <f>VLOOKUP(B19,'[1]Product by Part Number'!$A:$K,5,0)</f>
        <v>212.42</v>
      </c>
      <c r="I19" s="107">
        <f t="shared" si="2"/>
        <v>424.84</v>
      </c>
    </row>
    <row r="20" spans="2:9" x14ac:dyDescent="0.3">
      <c r="B20" s="103" t="s">
        <v>158</v>
      </c>
      <c r="C20" s="54" t="str">
        <f>VLOOKUP(B20,'[1]Product by Part Number'!$A:$K,2,0)</f>
        <v xml:space="preserve">CAT 303.5E                  </v>
      </c>
      <c r="D20" s="54" t="str">
        <f>VLOOKUP(B20,'[1]Product by Part Number'!$A:$K,3,0)</f>
        <v>FINAL DRIVE</v>
      </c>
      <c r="E20" s="55">
        <f>VLOOKUP(B20,'[1]Product by Part Number'!$A:$K,11,0)</f>
        <v>2</v>
      </c>
      <c r="F20" s="80">
        <f>VLOOKUP(B20,'[1]Product by Part Number'!$A:$K,4,0)</f>
        <v>10089.31</v>
      </c>
      <c r="G20" s="62">
        <f t="shared" si="1"/>
        <v>20178.62</v>
      </c>
      <c r="H20" s="89">
        <f>VLOOKUP(B20,'[1]Product by Part Number'!$A:$K,5,0)</f>
        <v>5044.66</v>
      </c>
      <c r="I20" s="107">
        <f t="shared" si="2"/>
        <v>10089.32</v>
      </c>
    </row>
    <row r="21" spans="2:9" ht="27" x14ac:dyDescent="0.3">
      <c r="B21" s="103" t="s">
        <v>51</v>
      </c>
      <c r="C21" s="54" t="str">
        <f>VLOOKUP(B21,'[1]Product by Part Number'!$A:$K,2,0)</f>
        <v xml:space="preserve">CAT D5 (3CR) CAT D6N LGP (GHS) CAT D6N LGP (PBA) CAT D6N LGP (SGG) CAT D6T (MH7)          </v>
      </c>
      <c r="D21" s="54" t="str">
        <f>VLOOKUP(B21,'[1]Product by Part Number'!$A:$K,3,0)</f>
        <v xml:space="preserve">HEX NUT </v>
      </c>
      <c r="E21" s="55">
        <f>VLOOKUP(B21,'[1]Product by Part Number'!$A:$K,11,0)</f>
        <v>222</v>
      </c>
      <c r="F21" s="80">
        <f>VLOOKUP(B21,'[1]Product by Part Number'!$A:$K,4,0)</f>
        <v>3.65</v>
      </c>
      <c r="G21" s="62">
        <f t="shared" si="1"/>
        <v>810.3</v>
      </c>
      <c r="H21" s="89">
        <f>VLOOKUP(B21,'[1]Product by Part Number'!$A:$K,5,0)</f>
        <v>1.39</v>
      </c>
      <c r="I21" s="107">
        <f t="shared" si="2"/>
        <v>308.58</v>
      </c>
    </row>
    <row r="22" spans="2:9" x14ac:dyDescent="0.3">
      <c r="B22" s="103" t="s">
        <v>187</v>
      </c>
      <c r="C22" s="54" t="str">
        <f>VLOOKUP(B22,'[1]Product by Part Number'!$A:$K,2,0)</f>
        <v xml:space="preserve">CAT 320F L (YBM) CAT 320 (HEX) CAT 320 (MYK)              </v>
      </c>
      <c r="D22" s="54" t="str">
        <f>VLOOKUP(B22,'[1]Product by Part Number'!$A:$K,3,0)</f>
        <v>BUCKET CYLINDER</v>
      </c>
      <c r="E22" s="55">
        <f>VLOOKUP(B22,'[1]Product by Part Number'!$A:$K,11,0)</f>
        <v>4</v>
      </c>
      <c r="F22" s="80">
        <f>VLOOKUP(B22,'[1]Product by Part Number'!$A:$K,4,0)</f>
        <v>22869.96</v>
      </c>
      <c r="G22" s="62">
        <f t="shared" si="1"/>
        <v>91479.84</v>
      </c>
      <c r="H22" s="89">
        <f>VLOOKUP(B22,'[1]Product by Part Number'!$A:$K,5,0)</f>
        <v>8690.58</v>
      </c>
      <c r="I22" s="107">
        <f t="shared" si="2"/>
        <v>34762.32</v>
      </c>
    </row>
    <row r="23" spans="2:9" x14ac:dyDescent="0.3">
      <c r="B23" s="103" t="s">
        <v>204</v>
      </c>
      <c r="C23" s="54" t="str">
        <f>VLOOKUP(B23,'[1]Product by Part Number'!$A:$K,2,0)</f>
        <v xml:space="preserve">CAT 303.5E                  </v>
      </c>
      <c r="D23" s="54" t="str">
        <f>VLOOKUP(B23,'[1]Product by Part Number'!$A:$K,3,0)</f>
        <v>HYDRAULIC PUMP</v>
      </c>
      <c r="E23" s="55">
        <f>VLOOKUP(B23,'[1]Product by Part Number'!$A:$K,11,0)</f>
        <v>1</v>
      </c>
      <c r="F23" s="80">
        <f>VLOOKUP(B23,'[1]Product by Part Number'!$A:$K,4,0)</f>
        <v>7622.73</v>
      </c>
      <c r="G23" s="62">
        <f t="shared" si="1"/>
        <v>7622.73</v>
      </c>
      <c r="H23" s="89">
        <f>VLOOKUP(B23,'[1]Product by Part Number'!$A:$K,5,0)</f>
        <v>3811.37</v>
      </c>
      <c r="I23" s="107">
        <f t="shared" si="2"/>
        <v>3811.37</v>
      </c>
    </row>
    <row r="24" spans="2:9" x14ac:dyDescent="0.3">
      <c r="B24" s="103" t="s">
        <v>209</v>
      </c>
      <c r="C24" s="54" t="str">
        <f>VLOOKUP(B24,'[1]Product by Part Number'!$A:$K,2,0)</f>
        <v xml:space="preserve">CAT 303.5E                  </v>
      </c>
      <c r="D24" s="54" t="str">
        <f>VLOOKUP(B24,'[1]Product by Part Number'!$A:$K,3,0)</f>
        <v>OIL PUMP ENGINE</v>
      </c>
      <c r="E24" s="55">
        <f>VLOOKUP(B24,'[1]Product by Part Number'!$A:$K,11,0)</f>
        <v>1</v>
      </c>
      <c r="F24" s="80">
        <f>VLOOKUP(B24,'[1]Product by Part Number'!$A:$K,4,0)</f>
        <v>831.44</v>
      </c>
      <c r="G24" s="62">
        <f t="shared" si="1"/>
        <v>831.44</v>
      </c>
      <c r="H24" s="89">
        <f>VLOOKUP(B24,'[1]Product by Part Number'!$A:$K,5,0)</f>
        <v>415.72</v>
      </c>
      <c r="I24" s="107">
        <f t="shared" si="2"/>
        <v>415.72</v>
      </c>
    </row>
    <row r="25" spans="2:9" x14ac:dyDescent="0.3">
      <c r="B25" s="103" t="s">
        <v>210</v>
      </c>
      <c r="C25" s="54" t="str">
        <f>VLOOKUP(B25,'[1]Product by Part Number'!$A:$K,2,0)</f>
        <v xml:space="preserve">CAT 303.5E                  </v>
      </c>
      <c r="D25" s="54" t="str">
        <f>VLOOKUP(B25,'[1]Product by Part Number'!$A:$K,3,0)</f>
        <v>WATER PUMP</v>
      </c>
      <c r="E25" s="55">
        <f>VLOOKUP(B25,'[1]Product by Part Number'!$A:$K,11,0)</f>
        <v>1</v>
      </c>
      <c r="F25" s="80">
        <f>VLOOKUP(B25,'[1]Product by Part Number'!$A:$K,4,0)</f>
        <v>512.79</v>
      </c>
      <c r="G25" s="62">
        <f t="shared" si="1"/>
        <v>512.79</v>
      </c>
      <c r="H25" s="89">
        <f>VLOOKUP(B25,'[1]Product by Part Number'!$A:$K,5,0)</f>
        <v>256.39999999999998</v>
      </c>
      <c r="I25" s="107">
        <f t="shared" si="2"/>
        <v>256.39999999999998</v>
      </c>
    </row>
    <row r="26" spans="2:9" x14ac:dyDescent="0.3">
      <c r="B26" s="103" t="s">
        <v>217</v>
      </c>
      <c r="C26" s="54" t="str">
        <f>VLOOKUP(B26,'[1]Product by Part Number'!$A:$K,2,0)</f>
        <v xml:space="preserve">CAT D3 (1PJ)                  </v>
      </c>
      <c r="D26" s="54" t="str">
        <f>VLOOKUP(B26,'[1]Product by Part Number'!$A:$K,3,0)</f>
        <v>COTTER PIN</v>
      </c>
      <c r="E26" s="55">
        <f>VLOOKUP(B26,'[1]Product by Part Number'!$A:$K,11,0)</f>
        <v>1</v>
      </c>
      <c r="F26" s="80">
        <f>VLOOKUP(B26,'[1]Product by Part Number'!$A:$K,4,0)</f>
        <v>1.18</v>
      </c>
      <c r="G26" s="62">
        <f t="shared" si="1"/>
        <v>1.18</v>
      </c>
      <c r="H26" s="89">
        <f>VLOOKUP(B26,'[1]Product by Part Number'!$A:$K,5,0)</f>
        <v>0.45</v>
      </c>
      <c r="I26" s="107">
        <f t="shared" si="2"/>
        <v>0.45</v>
      </c>
    </row>
    <row r="27" spans="2:9" ht="27" x14ac:dyDescent="0.3">
      <c r="B27" s="103" t="s">
        <v>218</v>
      </c>
      <c r="C27" s="54" t="str">
        <f>VLOOKUP(B27,'[1]Product by Part Number'!$A:$K,2,0)</f>
        <v xml:space="preserve">CAT D6N LGP (PBA) CAT D6N LGP (SGG) CAT D6T (MH7)              </v>
      </c>
      <c r="D27" s="54" t="str">
        <f>VLOOKUP(B27,'[1]Product by Part Number'!$A:$K,3,0)</f>
        <v>COTTER PIN</v>
      </c>
      <c r="E27" s="55">
        <f>VLOOKUP(B27,'[1]Product by Part Number'!$A:$K,11,0)</f>
        <v>30</v>
      </c>
      <c r="F27" s="80">
        <f>VLOOKUP(B27,'[1]Product by Part Number'!$A:$K,4,0)</f>
        <v>7.67</v>
      </c>
      <c r="G27" s="62">
        <f t="shared" si="1"/>
        <v>230.1</v>
      </c>
      <c r="H27" s="89">
        <f>VLOOKUP(B27,'[1]Product by Part Number'!$A:$K,5,0)</f>
        <v>2.91</v>
      </c>
      <c r="I27" s="107">
        <f t="shared" si="2"/>
        <v>87.3</v>
      </c>
    </row>
    <row r="28" spans="2:9" x14ac:dyDescent="0.3">
      <c r="B28" s="103" t="s">
        <v>219</v>
      </c>
      <c r="C28" s="54" t="str">
        <f>VLOOKUP(B28,'[1]Product by Part Number'!$A:$K,2,0)</f>
        <v xml:space="preserve">CAT D3 (1PJ)                  </v>
      </c>
      <c r="D28" s="54" t="str">
        <f>VLOOKUP(B28,'[1]Product by Part Number'!$A:$K,3,0)</f>
        <v>BOLT</v>
      </c>
      <c r="E28" s="55">
        <f>VLOOKUP(B28,'[1]Product by Part Number'!$A:$K,11,0)</f>
        <v>18</v>
      </c>
      <c r="F28" s="80">
        <f>VLOOKUP(B28,'[1]Product by Part Number'!$A:$K,4,0)</f>
        <v>3.22</v>
      </c>
      <c r="G28" s="62">
        <f t="shared" si="1"/>
        <v>57.96</v>
      </c>
      <c r="H28" s="89">
        <f>VLOOKUP(B28,'[1]Product by Part Number'!$A:$K,5,0)</f>
        <v>1.22</v>
      </c>
      <c r="I28" s="107">
        <f t="shared" si="2"/>
        <v>21.96</v>
      </c>
    </row>
    <row r="29" spans="2:9" x14ac:dyDescent="0.3">
      <c r="B29" s="103" t="s">
        <v>220</v>
      </c>
      <c r="C29" s="54" t="str">
        <f>VLOOKUP(B29,'[1]Product by Part Number'!$A:$K,2,0)</f>
        <v xml:space="preserve">CAT D3 (1PJ)                  </v>
      </c>
      <c r="D29" s="54" t="str">
        <f>VLOOKUP(B29,'[1]Product by Part Number'!$A:$K,3,0)</f>
        <v>BLADE AS</v>
      </c>
      <c r="E29" s="55">
        <f>VLOOKUP(B29,'[1]Product by Part Number'!$A:$K,11,0)</f>
        <v>1</v>
      </c>
      <c r="F29" s="80">
        <f>VLOOKUP(B29,'[1]Product by Part Number'!$A:$K,4,0)</f>
        <v>11144.2</v>
      </c>
      <c r="G29" s="62">
        <f t="shared" si="1"/>
        <v>11144.2</v>
      </c>
      <c r="H29" s="89">
        <f>VLOOKUP(B29,'[1]Product by Part Number'!$A:$K,5,0)</f>
        <v>4234.8</v>
      </c>
      <c r="I29" s="107">
        <f t="shared" si="2"/>
        <v>4234.8</v>
      </c>
    </row>
    <row r="30" spans="2:9" x14ac:dyDescent="0.3">
      <c r="B30" s="103" t="s">
        <v>221</v>
      </c>
      <c r="C30" s="54" t="str">
        <f>VLOOKUP(B30,'[1]Product by Part Number'!$A:$K,2,0)</f>
        <v xml:space="preserve">CAT D7G (92V)                  </v>
      </c>
      <c r="D30" s="54" t="str">
        <f>VLOOKUP(B30,'[1]Product by Part Number'!$A:$K,3,0)</f>
        <v>BLADE ASSEMBLY</v>
      </c>
      <c r="E30" s="55">
        <f>VLOOKUP(B30,'[1]Product by Part Number'!$A:$K,11,0)</f>
        <v>1</v>
      </c>
      <c r="F30" s="80">
        <f>VLOOKUP(B30,'[1]Product by Part Number'!$A:$K,4,0)</f>
        <v>27033.599999999999</v>
      </c>
      <c r="G30" s="62">
        <f t="shared" si="1"/>
        <v>27033.599999999999</v>
      </c>
      <c r="H30" s="89">
        <f>VLOOKUP(B30,'[1]Product by Part Number'!$A:$K,5,0)</f>
        <v>10272.77</v>
      </c>
      <c r="I30" s="107">
        <f t="shared" si="2"/>
        <v>10272.77</v>
      </c>
    </row>
    <row r="31" spans="2:9" ht="27" x14ac:dyDescent="0.3">
      <c r="B31" s="103" t="s">
        <v>229</v>
      </c>
      <c r="C31" s="54" t="str">
        <f>VLOOKUP(B31,'[1]Product by Part Number'!$A:$K,2,0)</f>
        <v xml:space="preserve">CAT 303.5E                  </v>
      </c>
      <c r="D31" s="54" t="str">
        <f>VLOOKUP(B31,'[1]Product by Part Number'!$A:$K,3,0)</f>
        <v>BLADE - PUSH REPLACMENT WELD ON EDGE</v>
      </c>
      <c r="E31" s="55">
        <f>VLOOKUP(B31,'[1]Product by Part Number'!$A:$K,11,0)</f>
        <v>1</v>
      </c>
      <c r="F31" s="80">
        <f>VLOOKUP(B31,'[1]Product by Part Number'!$A:$K,4,0)</f>
        <v>147.55000000000001</v>
      </c>
      <c r="G31" s="62">
        <f t="shared" si="1"/>
        <v>147.55000000000001</v>
      </c>
      <c r="H31" s="89">
        <f>VLOOKUP(B31,'[1]Product by Part Number'!$A:$K,5,0)</f>
        <v>56.07</v>
      </c>
      <c r="I31" s="107">
        <f t="shared" si="2"/>
        <v>56.07</v>
      </c>
    </row>
    <row r="32" spans="2:9" x14ac:dyDescent="0.3">
      <c r="B32" s="103" t="s">
        <v>249</v>
      </c>
      <c r="C32" s="54" t="str">
        <f>VLOOKUP(B32,'[1]Product by Part Number'!$A:$K,2,0)</f>
        <v xml:space="preserve">CAT D6T (MH7)                  </v>
      </c>
      <c r="D32" s="54" t="str">
        <f>VLOOKUP(B32,'[1]Product by Part Number'!$A:$K,3,0)</f>
        <v>RIPPER SHANK</v>
      </c>
      <c r="E32" s="55">
        <f>VLOOKUP(B32,'[1]Product by Part Number'!$A:$K,11,0)</f>
        <v>3</v>
      </c>
      <c r="F32" s="80">
        <f>VLOOKUP(B32,'[1]Product by Part Number'!$A:$K,4,0)</f>
        <v>2061.73</v>
      </c>
      <c r="G32" s="62">
        <f t="shared" si="1"/>
        <v>6185.1900000000005</v>
      </c>
      <c r="H32" s="89">
        <f>VLOOKUP(B32,'[1]Product by Part Number'!$A:$K,5,0)</f>
        <v>783.46</v>
      </c>
      <c r="I32" s="107">
        <f t="shared" si="2"/>
        <v>2350.38</v>
      </c>
    </row>
    <row r="33" spans="2:9" x14ac:dyDescent="0.3">
      <c r="B33" s="103" t="s">
        <v>262</v>
      </c>
      <c r="C33" s="54" t="str">
        <f>VLOOKUP(B33,'[1]Product by Part Number'!$A:$K,2,0)</f>
        <v xml:space="preserve">CAT D3 (1PJ)                  </v>
      </c>
      <c r="D33" s="54" t="str">
        <f>VLOOKUP(B33,'[1]Product by Part Number'!$A:$K,3,0)</f>
        <v>NUT</v>
      </c>
      <c r="E33" s="55">
        <f>VLOOKUP(B33,'[1]Product by Part Number'!$A:$K,11,0)</f>
        <v>18</v>
      </c>
      <c r="F33" s="80">
        <f>VLOOKUP(B33,'[1]Product by Part Number'!$A:$K,4,0)</f>
        <v>2.44</v>
      </c>
      <c r="G33" s="62">
        <f t="shared" si="1"/>
        <v>43.92</v>
      </c>
      <c r="H33" s="89">
        <f>VLOOKUP(B33,'[1]Product by Part Number'!$A:$K,5,0)</f>
        <v>0.93</v>
      </c>
      <c r="I33" s="107">
        <f t="shared" si="2"/>
        <v>16.739999999999998</v>
      </c>
    </row>
    <row r="34" spans="2:9" ht="27" x14ac:dyDescent="0.3">
      <c r="B34" s="103" t="s">
        <v>267</v>
      </c>
      <c r="C34" s="54" t="str">
        <f>VLOOKUP(B34,'[1]Product by Part Number'!$A:$K,2,0)</f>
        <v xml:space="preserve">CAT D6N LGP (GHS) CAT D6N LGP (PBA) CAT D6N LGP (SGG)              </v>
      </c>
      <c r="D34" s="54" t="str">
        <f>VLOOKUP(B34,'[1]Product by Part Number'!$A:$K,3,0)</f>
        <v>CUTTING EDGE</v>
      </c>
      <c r="E34" s="55">
        <f>VLOOKUP(B34,'[1]Product by Part Number'!$A:$K,11,0)</f>
        <v>10</v>
      </c>
      <c r="F34" s="80">
        <f>VLOOKUP(B34,'[1]Product by Part Number'!$A:$K,4,0)</f>
        <v>435.33</v>
      </c>
      <c r="G34" s="62">
        <f t="shared" si="1"/>
        <v>4353.3</v>
      </c>
      <c r="H34" s="89">
        <f>VLOOKUP(B34,'[1]Product by Part Number'!$A:$K,5,0)</f>
        <v>165.43</v>
      </c>
      <c r="I34" s="107">
        <f t="shared" si="2"/>
        <v>1654.3</v>
      </c>
    </row>
    <row r="35" spans="2:9" x14ac:dyDescent="0.3">
      <c r="B35" s="103" t="s">
        <v>269</v>
      </c>
      <c r="C35" s="54" t="str">
        <f>VLOOKUP(B35,'[1]Product by Part Number'!$A:$K,2,0)</f>
        <v xml:space="preserve">CAT D5 (3CR)                  </v>
      </c>
      <c r="D35" s="54" t="str">
        <f>VLOOKUP(B35,'[1]Product by Part Number'!$A:$K,3,0)</f>
        <v>END BIT RH</v>
      </c>
      <c r="E35" s="55">
        <f>VLOOKUP(B35,'[1]Product by Part Number'!$A:$K,11,0)</f>
        <v>2</v>
      </c>
      <c r="F35" s="80">
        <f>VLOOKUP(B35,'[1]Product by Part Number'!$A:$K,4,0)</f>
        <v>273.04000000000002</v>
      </c>
      <c r="G35" s="62">
        <f t="shared" si="1"/>
        <v>546.08000000000004</v>
      </c>
      <c r="H35" s="89">
        <f>VLOOKUP(B35,'[1]Product by Part Number'!$A:$K,5,0)</f>
        <v>103.76</v>
      </c>
      <c r="I35" s="107">
        <f t="shared" si="2"/>
        <v>207.52</v>
      </c>
    </row>
    <row r="36" spans="2:9" x14ac:dyDescent="0.3">
      <c r="B36" s="103" t="s">
        <v>270</v>
      </c>
      <c r="C36" s="54" t="str">
        <f>VLOOKUP(B36,'[1]Product by Part Number'!$A:$K,2,0)</f>
        <v xml:space="preserve">CAT D5 (3CR)                  </v>
      </c>
      <c r="D36" s="54" t="str">
        <f>VLOOKUP(B36,'[1]Product by Part Number'!$A:$K,3,0)</f>
        <v>END BIT LH</v>
      </c>
      <c r="E36" s="55">
        <f>VLOOKUP(B36,'[1]Product by Part Number'!$A:$K,11,0)</f>
        <v>2</v>
      </c>
      <c r="F36" s="80">
        <f>VLOOKUP(B36,'[1]Product by Part Number'!$A:$K,4,0)</f>
        <v>273.04000000000002</v>
      </c>
      <c r="G36" s="62">
        <f t="shared" si="1"/>
        <v>546.08000000000004</v>
      </c>
      <c r="H36" s="89">
        <f>VLOOKUP(B36,'[1]Product by Part Number'!$A:$K,5,0)</f>
        <v>103.76</v>
      </c>
      <c r="I36" s="107">
        <f t="shared" si="2"/>
        <v>207.52</v>
      </c>
    </row>
    <row r="37" spans="2:9" x14ac:dyDescent="0.3">
      <c r="B37" s="103" t="s">
        <v>271</v>
      </c>
      <c r="C37" s="54" t="str">
        <f>VLOOKUP(B37,'[1]Product by Part Number'!$A:$K,2,0)</f>
        <v xml:space="preserve">CAT D3 (1PJ)                  </v>
      </c>
      <c r="D37" s="54" t="str">
        <f>VLOOKUP(B37,'[1]Product by Part Number'!$A:$K,3,0)</f>
        <v>END BIT</v>
      </c>
      <c r="E37" s="55">
        <f>VLOOKUP(B37,'[1]Product by Part Number'!$A:$K,11,0)</f>
        <v>2</v>
      </c>
      <c r="F37" s="80">
        <f>VLOOKUP(B37,'[1]Product by Part Number'!$A:$K,4,0)</f>
        <v>73.28</v>
      </c>
      <c r="G37" s="62">
        <f t="shared" si="1"/>
        <v>146.56</v>
      </c>
      <c r="H37" s="89">
        <f>VLOOKUP(B37,'[1]Product by Part Number'!$A:$K,5,0)</f>
        <v>27.85</v>
      </c>
      <c r="I37" s="107">
        <f t="shared" si="2"/>
        <v>55.7</v>
      </c>
    </row>
    <row r="38" spans="2:9" x14ac:dyDescent="0.3">
      <c r="B38" s="103" t="s">
        <v>272</v>
      </c>
      <c r="C38" s="54" t="str">
        <f>VLOOKUP(B38,'[1]Product by Part Number'!$A:$K,2,0)</f>
        <v xml:space="preserve">CAT D3 (1PJ)                  </v>
      </c>
      <c r="D38" s="54" t="str">
        <f>VLOOKUP(B38,'[1]Product by Part Number'!$A:$K,3,0)</f>
        <v>CUTTING EDGE</v>
      </c>
      <c r="E38" s="55">
        <f>VLOOKUP(B38,'[1]Product by Part Number'!$A:$K,11,0)</f>
        <v>2</v>
      </c>
      <c r="F38" s="80">
        <f>VLOOKUP(B38,'[1]Product by Part Number'!$A:$K,4,0)</f>
        <v>195.02</v>
      </c>
      <c r="G38" s="62">
        <f t="shared" si="1"/>
        <v>390.04</v>
      </c>
      <c r="H38" s="89">
        <f>VLOOKUP(B38,'[1]Product by Part Number'!$A:$K,5,0)</f>
        <v>74.11</v>
      </c>
      <c r="I38" s="107">
        <f t="shared" si="2"/>
        <v>148.22</v>
      </c>
    </row>
    <row r="39" spans="2:9" x14ac:dyDescent="0.3">
      <c r="B39" s="103" t="s">
        <v>273</v>
      </c>
      <c r="C39" s="54" t="str">
        <f>VLOOKUP(B39,'[1]Product by Part Number'!$A:$K,2,0)</f>
        <v xml:space="preserve">CAT D5 (3CR)                  </v>
      </c>
      <c r="D39" s="54" t="str">
        <f>VLOOKUP(B39,'[1]Product by Part Number'!$A:$K,3,0)</f>
        <v>CUTTING EDGE</v>
      </c>
      <c r="E39" s="55">
        <f>VLOOKUP(B39,'[1]Product by Part Number'!$A:$K,11,0)</f>
        <v>4</v>
      </c>
      <c r="F39" s="80">
        <f>VLOOKUP(B39,'[1]Product by Part Number'!$A:$K,4,0)</f>
        <v>296.41000000000003</v>
      </c>
      <c r="G39" s="62">
        <f t="shared" si="1"/>
        <v>1185.6400000000001</v>
      </c>
      <c r="H39" s="89">
        <f>VLOOKUP(B39,'[1]Product by Part Number'!$A:$K,5,0)</f>
        <v>112.64</v>
      </c>
      <c r="I39" s="107">
        <f t="shared" si="2"/>
        <v>450.56</v>
      </c>
    </row>
    <row r="40" spans="2:9" ht="27" x14ac:dyDescent="0.3">
      <c r="B40" s="103" t="s">
        <v>310</v>
      </c>
      <c r="C40" s="54" t="str">
        <f>VLOOKUP(B40,'[1]Product by Part Number'!$A:$K,2,0)</f>
        <v xml:space="preserve">CAT D5 (3CR) CAT D6N LGP (GHS) CAT D6N LGP (PBA) CAT D6N LGP (SGG) CAT D6T (MH7)          </v>
      </c>
      <c r="D40" s="54" t="str">
        <f>VLOOKUP(B40,'[1]Product by Part Number'!$A:$K,3,0)</f>
        <v>PLOW BOLT</v>
      </c>
      <c r="E40" s="55">
        <f>VLOOKUP(B40,'[1]Product by Part Number'!$A:$K,11,0)</f>
        <v>222</v>
      </c>
      <c r="F40" s="80">
        <f>VLOOKUP(B40,'[1]Product by Part Number'!$A:$K,4,0)</f>
        <v>4.51</v>
      </c>
      <c r="G40" s="62">
        <f t="shared" si="1"/>
        <v>1001.2199999999999</v>
      </c>
      <c r="H40" s="89">
        <f>VLOOKUP(B40,'[1]Product by Part Number'!$A:$K,5,0)</f>
        <v>1.71</v>
      </c>
      <c r="I40" s="107">
        <f t="shared" si="2"/>
        <v>379.62</v>
      </c>
    </row>
    <row r="41" spans="2:9" ht="27" x14ac:dyDescent="0.3">
      <c r="B41" s="103" t="s">
        <v>312</v>
      </c>
      <c r="C41" s="54" t="str">
        <f>VLOOKUP(B41,'[1]Product by Part Number'!$A:$K,2,0)</f>
        <v xml:space="preserve">CAT D3 (1PJ) CAT D6N LGP (SGG) CAT 561N (CPH) CAT 561N (CPH)            </v>
      </c>
      <c r="D41" s="54" t="str">
        <f>VLOOKUP(B41,'[1]Product by Part Number'!$A:$K,3,0)</f>
        <v>WASHER</v>
      </c>
      <c r="E41" s="55">
        <f>VLOOKUP(B41,'[1]Product by Part Number'!$A:$K,11,0)</f>
        <v>350</v>
      </c>
      <c r="F41" s="80">
        <f>VLOOKUP(B41,'[1]Product by Part Number'!$A:$K,4,0)</f>
        <v>2.83</v>
      </c>
      <c r="G41" s="62">
        <f t="shared" si="1"/>
        <v>990.5</v>
      </c>
      <c r="H41" s="89">
        <f>VLOOKUP(B41,'[1]Product by Part Number'!$A:$K,5,0)</f>
        <v>1.42</v>
      </c>
      <c r="I41" s="107">
        <f t="shared" si="2"/>
        <v>497</v>
      </c>
    </row>
    <row r="42" spans="2:9" ht="27" x14ac:dyDescent="0.3">
      <c r="B42" s="103" t="s">
        <v>52</v>
      </c>
      <c r="C42" s="54" t="str">
        <f>VLOOKUP(B42,'[1]Product by Part Number'!$A:$K,2,0)</f>
        <v xml:space="preserve">CAT D5 (3CR) CAT D6 (RDC) CAT D6N LGP (GHS) CAT D6N LGP (PBA) CAT D6N LGP (SGG) CAT D6T (MH7)        </v>
      </c>
      <c r="D42" s="54" t="str">
        <f>VLOOKUP(B42,'[1]Product by Part Number'!$A:$K,3,0)</f>
        <v>FLAT WASHER</v>
      </c>
      <c r="E42" s="55">
        <f>VLOOKUP(B42,'[1]Product by Part Number'!$A:$K,11,0)</f>
        <v>272</v>
      </c>
      <c r="F42" s="80">
        <f>VLOOKUP(B42,'[1]Product by Part Number'!$A:$K,4,0)</f>
        <v>3.56</v>
      </c>
      <c r="G42" s="62">
        <f t="shared" si="1"/>
        <v>968.32</v>
      </c>
      <c r="H42" s="89">
        <f>VLOOKUP(B42,'[1]Product by Part Number'!$A:$K,5,0)</f>
        <v>1.35</v>
      </c>
      <c r="I42" s="107">
        <f t="shared" si="2"/>
        <v>367.2</v>
      </c>
    </row>
    <row r="43" spans="2:9" x14ac:dyDescent="0.3">
      <c r="B43" s="103" t="s">
        <v>318</v>
      </c>
      <c r="C43" s="54" t="str">
        <f>VLOOKUP(B43,'[1]Product by Part Number'!$A:$K,2,0)</f>
        <v xml:space="preserve">CAT D7G (92V)                  </v>
      </c>
      <c r="D43" s="54" t="str">
        <f>VLOOKUP(B43,'[1]Product by Part Number'!$A:$K,3,0)</f>
        <v>RIPPER SHANK</v>
      </c>
      <c r="E43" s="55">
        <f>VLOOKUP(B43,'[1]Product by Part Number'!$A:$K,11,0)</f>
        <v>1</v>
      </c>
      <c r="F43" s="80">
        <f>VLOOKUP(B43,'[1]Product by Part Number'!$A:$K,4,0)</f>
        <v>6515.49</v>
      </c>
      <c r="G43" s="62">
        <f t="shared" si="1"/>
        <v>6515.49</v>
      </c>
      <c r="H43" s="89">
        <f>VLOOKUP(B43,'[1]Product by Part Number'!$A:$K,5,0)</f>
        <v>2475.89</v>
      </c>
      <c r="I43" s="107">
        <f t="shared" si="2"/>
        <v>2475.89</v>
      </c>
    </row>
    <row r="44" spans="2:9" x14ac:dyDescent="0.3">
      <c r="B44" s="103" t="s">
        <v>325</v>
      </c>
      <c r="C44" s="54" t="str">
        <f>VLOOKUP(B44,'[1]Product by Part Number'!$A:$K,2,0)</f>
        <v xml:space="preserve">CAT D3 (1PJ)                  </v>
      </c>
      <c r="D44" s="54" t="str">
        <f>VLOOKUP(B44,'[1]Product by Part Number'!$A:$K,3,0)</f>
        <v>DOWEL PIN</v>
      </c>
      <c r="E44" s="55">
        <f>VLOOKUP(B44,'[1]Product by Part Number'!$A:$K,11,0)</f>
        <v>1</v>
      </c>
      <c r="F44" s="80">
        <f>VLOOKUP(B44,'[1]Product by Part Number'!$A:$K,4,0)</f>
        <v>67.7</v>
      </c>
      <c r="G44" s="62">
        <f t="shared" si="1"/>
        <v>67.7</v>
      </c>
      <c r="H44" s="89">
        <f>VLOOKUP(B44,'[1]Product by Part Number'!$A:$K,5,0)</f>
        <v>25.73</v>
      </c>
      <c r="I44" s="107">
        <f t="shared" si="2"/>
        <v>25.73</v>
      </c>
    </row>
    <row r="45" spans="2:9" x14ac:dyDescent="0.3">
      <c r="B45" s="103" t="s">
        <v>343</v>
      </c>
      <c r="C45" s="54" t="str">
        <f>VLOOKUP(B45,'[1]Product by Part Number'!$A:$K,2,0)</f>
        <v xml:space="preserve">CAT D5 (3CR)                  </v>
      </c>
      <c r="D45" s="54" t="str">
        <f>VLOOKUP(B45,'[1]Product by Part Number'!$A:$K,3,0)</f>
        <v>RIPPER</v>
      </c>
      <c r="E45" s="55">
        <f>VLOOKUP(B45,'[1]Product by Part Number'!$A:$K,11,0)</f>
        <v>2</v>
      </c>
      <c r="F45" s="80">
        <f>VLOOKUP(B45,'[1]Product by Part Number'!$A:$K,4,0)</f>
        <v>144.57</v>
      </c>
      <c r="G45" s="62">
        <f t="shared" si="1"/>
        <v>289.14</v>
      </c>
      <c r="H45" s="89">
        <f>VLOOKUP(B45,'[1]Product by Part Number'!$A:$K,5,0)</f>
        <v>54.94</v>
      </c>
      <c r="I45" s="107">
        <f t="shared" si="2"/>
        <v>109.88</v>
      </c>
    </row>
    <row r="46" spans="2:9" x14ac:dyDescent="0.3">
      <c r="B46" s="103" t="s">
        <v>344</v>
      </c>
      <c r="C46" s="54" t="str">
        <f>VLOOKUP(B46,'[1]Product by Part Number'!$A:$K,2,0)</f>
        <v xml:space="preserve">CAT D6N LGP (PBA) CAT D6N LGP (SGG)                </v>
      </c>
      <c r="D46" s="54" t="str">
        <f>VLOOKUP(B46,'[1]Product by Part Number'!$A:$K,3,0)</f>
        <v>RIPPER TIP</v>
      </c>
      <c r="E46" s="55">
        <f>VLOOKUP(B46,'[1]Product by Part Number'!$A:$K,11,0)</f>
        <v>12</v>
      </c>
      <c r="F46" s="80">
        <f>VLOOKUP(B46,'[1]Product by Part Number'!$A:$K,4,0)</f>
        <v>224.12</v>
      </c>
      <c r="G46" s="62">
        <f t="shared" si="1"/>
        <v>2689.44</v>
      </c>
      <c r="H46" s="89">
        <f>VLOOKUP(B46,'[1]Product by Part Number'!$A:$K,5,0)</f>
        <v>85.17</v>
      </c>
      <c r="I46" s="107">
        <f t="shared" si="2"/>
        <v>1022.04</v>
      </c>
    </row>
    <row r="47" spans="2:9" x14ac:dyDescent="0.3">
      <c r="B47" s="103" t="s">
        <v>345</v>
      </c>
      <c r="C47" s="54" t="str">
        <f>VLOOKUP(B47,'[1]Product by Part Number'!$A:$K,2,0)</f>
        <v xml:space="preserve">CAT D6T (MH7) CAT D7G (92V)                </v>
      </c>
      <c r="D47" s="54" t="str">
        <f>VLOOKUP(B47,'[1]Product by Part Number'!$A:$K,3,0)</f>
        <v>RIPPER TOOTH</v>
      </c>
      <c r="E47" s="55">
        <f>VLOOKUP(B47,'[1]Product by Part Number'!$A:$K,11,0)</f>
        <v>4</v>
      </c>
      <c r="F47" s="80">
        <f>VLOOKUP(B47,'[1]Product by Part Number'!$A:$K,4,0)</f>
        <v>224.15</v>
      </c>
      <c r="G47" s="62">
        <f t="shared" si="1"/>
        <v>896.6</v>
      </c>
      <c r="H47" s="89">
        <f>VLOOKUP(B47,'[1]Product by Part Number'!$A:$K,5,0)</f>
        <v>85.18</v>
      </c>
      <c r="I47" s="107">
        <f t="shared" si="2"/>
        <v>340.72</v>
      </c>
    </row>
    <row r="48" spans="2:9" x14ac:dyDescent="0.3">
      <c r="B48" s="103" t="s">
        <v>365</v>
      </c>
      <c r="C48" s="54" t="str">
        <f>VLOOKUP(B48,'[1]Product by Part Number'!$A:$K,2,0)</f>
        <v xml:space="preserve">CAT D3 (1PJ)                  </v>
      </c>
      <c r="D48" s="54" t="str">
        <f>VLOOKUP(B48,'[1]Product by Part Number'!$A:$K,3,0)</f>
        <v>G.E.T PIN</v>
      </c>
      <c r="E48" s="55">
        <f>VLOOKUP(B48,'[1]Product by Part Number'!$A:$K,11,0)</f>
        <v>1</v>
      </c>
      <c r="F48" s="80">
        <f>VLOOKUP(B48,'[1]Product by Part Number'!$A:$K,4,0)</f>
        <v>4.38</v>
      </c>
      <c r="G48" s="62">
        <f t="shared" si="1"/>
        <v>4.38</v>
      </c>
      <c r="H48" s="89">
        <f>VLOOKUP(B48,'[1]Product by Part Number'!$A:$K,5,0)</f>
        <v>1.66</v>
      </c>
      <c r="I48" s="107">
        <f t="shared" si="2"/>
        <v>1.66</v>
      </c>
    </row>
    <row r="49" spans="2:9" x14ac:dyDescent="0.3">
      <c r="B49" s="103" t="s">
        <v>366</v>
      </c>
      <c r="C49" s="54" t="str">
        <f>VLOOKUP(B49,'[1]Product by Part Number'!$A:$K,2,0)</f>
        <v xml:space="preserve">CAT D3 (1PJ)                  </v>
      </c>
      <c r="D49" s="54" t="str">
        <f>VLOOKUP(B49,'[1]Product by Part Number'!$A:$K,3,0)</f>
        <v>TIP PIN RETAINER</v>
      </c>
      <c r="E49" s="55">
        <f>VLOOKUP(B49,'[1]Product by Part Number'!$A:$K,11,0)</f>
        <v>1</v>
      </c>
      <c r="F49" s="80">
        <f>VLOOKUP(B49,'[1]Product by Part Number'!$A:$K,4,0)</f>
        <v>9.4499999999999993</v>
      </c>
      <c r="G49" s="62">
        <f t="shared" si="1"/>
        <v>9.4499999999999993</v>
      </c>
      <c r="H49" s="89">
        <f>VLOOKUP(B49,'[1]Product by Part Number'!$A:$K,5,0)</f>
        <v>3.59</v>
      </c>
      <c r="I49" s="107">
        <f t="shared" si="2"/>
        <v>3.59</v>
      </c>
    </row>
    <row r="50" spans="2:9" ht="27" x14ac:dyDescent="0.3">
      <c r="B50" s="103" t="s">
        <v>367</v>
      </c>
      <c r="C50" s="54" t="str">
        <f>VLOOKUP(B50,'[1]Product by Part Number'!$A:$K,2,0)</f>
        <v xml:space="preserve">CAT D6N LGP (GHS) CAT D6N LGP (PBA) CAT D6N LGP (SGG)              </v>
      </c>
      <c r="D50" s="54" t="str">
        <f>VLOOKUP(B50,'[1]Product by Part Number'!$A:$K,3,0)</f>
        <v>END BIT LH</v>
      </c>
      <c r="E50" s="55">
        <f>VLOOKUP(B50,'[1]Product by Part Number'!$A:$K,11,0)</f>
        <v>5</v>
      </c>
      <c r="F50" s="80">
        <f>VLOOKUP(B50,'[1]Product by Part Number'!$A:$K,4,0)</f>
        <v>160.9</v>
      </c>
      <c r="G50" s="62">
        <f t="shared" si="1"/>
        <v>804.5</v>
      </c>
      <c r="H50" s="89">
        <f>VLOOKUP(B50,'[1]Product by Part Number'!$A:$K,5,0)</f>
        <v>61.14</v>
      </c>
      <c r="I50" s="107">
        <f t="shared" si="2"/>
        <v>305.7</v>
      </c>
    </row>
    <row r="51" spans="2:9" ht="27" x14ac:dyDescent="0.3">
      <c r="B51" s="103" t="s">
        <v>368</v>
      </c>
      <c r="C51" s="54" t="str">
        <f>VLOOKUP(B51,'[1]Product by Part Number'!$A:$K,2,0)</f>
        <v xml:space="preserve">CAT D6N LGP (GHS) CAT D6N LGP (PBA) CAT D6N LGP (SGG)              </v>
      </c>
      <c r="D51" s="54" t="str">
        <f>VLOOKUP(B51,'[1]Product by Part Number'!$A:$K,3,0)</f>
        <v>END BIT RH</v>
      </c>
      <c r="E51" s="55">
        <f>VLOOKUP(B51,'[1]Product by Part Number'!$A:$K,11,0)</f>
        <v>5</v>
      </c>
      <c r="F51" s="80">
        <f>VLOOKUP(B51,'[1]Product by Part Number'!$A:$K,4,0)</f>
        <v>160.9</v>
      </c>
      <c r="G51" s="62">
        <f t="shared" si="1"/>
        <v>804.5</v>
      </c>
      <c r="H51" s="89">
        <f>VLOOKUP(B51,'[1]Product by Part Number'!$A:$K,5,0)</f>
        <v>61.14</v>
      </c>
      <c r="I51" s="107">
        <f t="shared" si="2"/>
        <v>305.7</v>
      </c>
    </row>
    <row r="52" spans="2:9" ht="27" x14ac:dyDescent="0.3">
      <c r="B52" s="103" t="s">
        <v>371</v>
      </c>
      <c r="C52" s="54" t="str">
        <f>VLOOKUP(B52,'[1]Product by Part Number'!$A:$K,2,0)</f>
        <v xml:space="preserve">CAT D6N LGP (PBA) CAT D6N LGP (SGG) CAT D6T (MH7)              </v>
      </c>
      <c r="D52" s="54" t="str">
        <f>VLOOKUP(B52,'[1]Product by Part Number'!$A:$K,3,0)</f>
        <v>RIPPER PIN</v>
      </c>
      <c r="E52" s="55">
        <f>VLOOKUP(B52,'[1]Product by Part Number'!$A:$K,11,0)</f>
        <v>15</v>
      </c>
      <c r="F52" s="80">
        <f>VLOOKUP(B52,'[1]Product by Part Number'!$A:$K,4,0)</f>
        <v>164.9</v>
      </c>
      <c r="G52" s="62">
        <f t="shared" si="1"/>
        <v>2473.5</v>
      </c>
      <c r="H52" s="89">
        <f>VLOOKUP(B52,'[1]Product by Part Number'!$A:$K,5,0)</f>
        <v>62.66</v>
      </c>
      <c r="I52" s="107">
        <f t="shared" si="2"/>
        <v>939.9</v>
      </c>
    </row>
    <row r="53" spans="2:9" x14ac:dyDescent="0.3">
      <c r="B53" s="103" t="s">
        <v>372</v>
      </c>
      <c r="C53" s="54" t="str">
        <f>VLOOKUP(B53,'[1]Product by Part Number'!$A:$K,2,0)</f>
        <v xml:space="preserve">CAT D3 (1PJ)                  </v>
      </c>
      <c r="D53" s="54" t="str">
        <f>VLOOKUP(B53,'[1]Product by Part Number'!$A:$K,3,0)</f>
        <v>RIPPER SHANK</v>
      </c>
      <c r="E53" s="55">
        <f>VLOOKUP(B53,'[1]Product by Part Number'!$A:$K,11,0)</f>
        <v>1</v>
      </c>
      <c r="F53" s="80">
        <f>VLOOKUP(B53,'[1]Product by Part Number'!$A:$K,4,0)</f>
        <v>446.79</v>
      </c>
      <c r="G53" s="62">
        <f t="shared" si="1"/>
        <v>446.79</v>
      </c>
      <c r="H53" s="89">
        <f>VLOOKUP(B53,'[1]Product by Part Number'!$A:$K,5,0)</f>
        <v>169.78</v>
      </c>
      <c r="I53" s="107">
        <f t="shared" si="2"/>
        <v>169.78</v>
      </c>
    </row>
    <row r="54" spans="2:9" x14ac:dyDescent="0.3">
      <c r="B54" s="103" t="s">
        <v>393</v>
      </c>
      <c r="C54" s="54" t="str">
        <f>VLOOKUP(B54,'[1]Product by Part Number'!$A:$K,2,0)</f>
        <v xml:space="preserve">CAT D5 (3CR)                  </v>
      </c>
      <c r="D54" s="54" t="str">
        <f>VLOOKUP(B54,'[1]Product by Part Number'!$A:$K,3,0)</f>
        <v>RIPPER SHANK</v>
      </c>
      <c r="E54" s="55">
        <f>VLOOKUP(B54,'[1]Product by Part Number'!$A:$K,11,0)</f>
        <v>2</v>
      </c>
      <c r="F54" s="80">
        <f>VLOOKUP(B54,'[1]Product by Part Number'!$A:$K,4,0)</f>
        <v>1095.81</v>
      </c>
      <c r="G54" s="62">
        <f t="shared" si="1"/>
        <v>2191.62</v>
      </c>
      <c r="H54" s="89">
        <f>VLOOKUP(B54,'[1]Product by Part Number'!$A:$K,5,0)</f>
        <v>416.41</v>
      </c>
      <c r="I54" s="107">
        <f t="shared" si="2"/>
        <v>832.82</v>
      </c>
    </row>
    <row r="55" spans="2:9" x14ac:dyDescent="0.3">
      <c r="B55" s="103" t="s">
        <v>394</v>
      </c>
      <c r="C55" s="54" t="str">
        <f>VLOOKUP(B55,'[1]Product by Part Number'!$A:$K,2,0)</f>
        <v xml:space="preserve">CAT D6N LGP (PBA) CAT D6N LGP (SGG)                </v>
      </c>
      <c r="D55" s="54" t="str">
        <f>VLOOKUP(B55,'[1]Product by Part Number'!$A:$K,3,0)</f>
        <v>RIPPER SHANK</v>
      </c>
      <c r="E55" s="55">
        <f>VLOOKUP(B55,'[1]Product by Part Number'!$A:$K,11,0)</f>
        <v>12</v>
      </c>
      <c r="F55" s="80">
        <f>VLOOKUP(B55,'[1]Product by Part Number'!$A:$K,4,0)</f>
        <v>2053.06</v>
      </c>
      <c r="G55" s="62">
        <f t="shared" si="1"/>
        <v>24636.720000000001</v>
      </c>
      <c r="H55" s="89">
        <f>VLOOKUP(B55,'[1]Product by Part Number'!$A:$K,5,0)</f>
        <v>780.16</v>
      </c>
      <c r="I55" s="107">
        <f t="shared" si="2"/>
        <v>9361.92</v>
      </c>
    </row>
    <row r="56" spans="2:9" x14ac:dyDescent="0.3">
      <c r="B56" s="103" t="s">
        <v>401</v>
      </c>
      <c r="C56" s="54" t="str">
        <f>VLOOKUP(B56,'[1]Product by Part Number'!$A:$K,2,0)</f>
        <v xml:space="preserve">CAT D6T (MH7)                  </v>
      </c>
      <c r="D56" s="54" t="str">
        <f>VLOOKUP(B56,'[1]Product by Part Number'!$A:$K,3,0)</f>
        <v>END BIT RH</v>
      </c>
      <c r="E56" s="55">
        <f>VLOOKUP(B56,'[1]Product by Part Number'!$A:$K,11,0)</f>
        <v>1</v>
      </c>
      <c r="F56" s="80">
        <f>VLOOKUP(B56,'[1]Product by Part Number'!$A:$K,4,0)</f>
        <v>219.63</v>
      </c>
      <c r="G56" s="62">
        <f t="shared" si="1"/>
        <v>219.63</v>
      </c>
      <c r="H56" s="89">
        <f>VLOOKUP(B56,'[1]Product by Part Number'!$A:$K,5,0)</f>
        <v>83.46</v>
      </c>
      <c r="I56" s="107">
        <f t="shared" si="2"/>
        <v>83.46</v>
      </c>
    </row>
    <row r="57" spans="2:9" x14ac:dyDescent="0.3">
      <c r="B57" s="103" t="s">
        <v>402</v>
      </c>
      <c r="C57" s="54" t="str">
        <f>VLOOKUP(B57,'[1]Product by Part Number'!$A:$K,2,0)</f>
        <v xml:space="preserve">CAT D6T (MH7)                  </v>
      </c>
      <c r="D57" s="54" t="str">
        <f>VLOOKUP(B57,'[1]Product by Part Number'!$A:$K,3,0)</f>
        <v>END BIT LH</v>
      </c>
      <c r="E57" s="55">
        <f>VLOOKUP(B57,'[1]Product by Part Number'!$A:$K,11,0)</f>
        <v>1</v>
      </c>
      <c r="F57" s="80">
        <f>VLOOKUP(B57,'[1]Product by Part Number'!$A:$K,4,0)</f>
        <v>219.63</v>
      </c>
      <c r="G57" s="62">
        <f t="shared" si="1"/>
        <v>219.63</v>
      </c>
      <c r="H57" s="89">
        <f>VLOOKUP(B57,'[1]Product by Part Number'!$A:$K,5,0)</f>
        <v>83.46</v>
      </c>
      <c r="I57" s="107">
        <f t="shared" si="2"/>
        <v>83.46</v>
      </c>
    </row>
    <row r="58" spans="2:9" ht="15" thickBot="1" x14ac:dyDescent="0.35">
      <c r="B58" s="111" t="s">
        <v>416</v>
      </c>
      <c r="C58" s="82" t="str">
        <f>VLOOKUP(B58,'[1]Product by Part Number'!$A:$K,2,0)</f>
        <v xml:space="preserve">CAT D5 (3CR)                  </v>
      </c>
      <c r="D58" s="82" t="str">
        <f>VLOOKUP(B58,'[1]Product by Part Number'!$A:$K,3,0)</f>
        <v>ANGLING BLADE ASSY</v>
      </c>
      <c r="E58" s="83">
        <f>VLOOKUP(B58,'[1]Product by Part Number'!$A:$K,11,0)</f>
        <v>2</v>
      </c>
      <c r="F58" s="84">
        <f>VLOOKUP(B58,'[1]Product by Part Number'!$A:$K,4,0)</f>
        <v>16888.900000000001</v>
      </c>
      <c r="G58" s="62">
        <f t="shared" si="1"/>
        <v>33777.800000000003</v>
      </c>
      <c r="H58" s="91">
        <f>VLOOKUP(B58,'[1]Product by Part Number'!$A:$K,5,0)</f>
        <v>6417.78</v>
      </c>
      <c r="I58" s="112">
        <f t="shared" si="2"/>
        <v>12835.56</v>
      </c>
    </row>
    <row r="59" spans="2:9" hidden="1" x14ac:dyDescent="0.3">
      <c r="B59" s="68"/>
      <c r="C59" s="54"/>
      <c r="D59" s="54"/>
      <c r="E59" s="55"/>
      <c r="F59" s="56"/>
      <c r="G59" s="24"/>
      <c r="H59" s="57"/>
      <c r="I59" s="26">
        <f t="shared" si="2"/>
        <v>0</v>
      </c>
    </row>
    <row r="60" spans="2:9" hidden="1" x14ac:dyDescent="0.3">
      <c r="B60" s="22"/>
      <c r="C60" s="22"/>
      <c r="D60" s="22"/>
      <c r="E60" s="23"/>
      <c r="F60" s="24"/>
      <c r="G60" s="24"/>
      <c r="H60" s="25"/>
      <c r="I60" s="26">
        <f t="shared" si="0"/>
        <v>0</v>
      </c>
    </row>
    <row r="61" spans="2:9" hidden="1" x14ac:dyDescent="0.3">
      <c r="B61" s="22"/>
      <c r="C61" s="22"/>
      <c r="D61" s="22"/>
      <c r="E61" s="23"/>
      <c r="F61" s="24"/>
      <c r="G61" s="24"/>
      <c r="H61" s="25"/>
      <c r="I61" s="26">
        <f t="shared" si="0"/>
        <v>0</v>
      </c>
    </row>
    <row r="62" spans="2:9" hidden="1" x14ac:dyDescent="0.3">
      <c r="B62" s="22"/>
      <c r="C62" s="22"/>
      <c r="D62" s="22"/>
      <c r="E62" s="23"/>
      <c r="F62" s="24"/>
      <c r="G62" s="24"/>
      <c r="H62" s="25"/>
      <c r="I62" s="26">
        <f t="shared" si="0"/>
        <v>0</v>
      </c>
    </row>
    <row r="63" spans="2:9" hidden="1" x14ac:dyDescent="0.3">
      <c r="B63" s="22"/>
      <c r="C63" s="22"/>
      <c r="D63" s="22"/>
      <c r="E63" s="23"/>
      <c r="F63" s="24"/>
      <c r="G63" s="24"/>
      <c r="H63" s="25"/>
      <c r="I63" s="26">
        <f t="shared" si="0"/>
        <v>0</v>
      </c>
    </row>
    <row r="64" spans="2:9" hidden="1" x14ac:dyDescent="0.3">
      <c r="B64" s="22"/>
      <c r="C64" s="22"/>
      <c r="D64" s="22"/>
      <c r="E64" s="23"/>
      <c r="F64" s="24"/>
      <c r="G64" s="24"/>
      <c r="H64" s="25"/>
      <c r="I64" s="26">
        <f t="shared" si="0"/>
        <v>0</v>
      </c>
    </row>
    <row r="65" spans="2:9" hidden="1" x14ac:dyDescent="0.3">
      <c r="B65" s="22"/>
      <c r="C65" s="22"/>
      <c r="D65" s="22"/>
      <c r="E65" s="23"/>
      <c r="F65" s="24"/>
      <c r="G65" s="24"/>
      <c r="H65" s="25"/>
      <c r="I65" s="26">
        <f t="shared" si="0"/>
        <v>0</v>
      </c>
    </row>
    <row r="66" spans="2:9" hidden="1" x14ac:dyDescent="0.3">
      <c r="B66" s="22"/>
      <c r="C66" s="22"/>
      <c r="D66" s="22"/>
      <c r="E66" s="23"/>
      <c r="F66" s="24"/>
      <c r="G66" s="24"/>
      <c r="H66" s="25"/>
      <c r="I66" s="26">
        <f t="shared" si="0"/>
        <v>0</v>
      </c>
    </row>
    <row r="67" spans="2:9" hidden="1" x14ac:dyDescent="0.3">
      <c r="B67" s="22"/>
      <c r="C67" s="22"/>
      <c r="D67" s="22"/>
      <c r="E67" s="23"/>
      <c r="F67" s="24"/>
      <c r="G67" s="24"/>
      <c r="H67" s="25"/>
      <c r="I67" s="26">
        <f t="shared" si="0"/>
        <v>0</v>
      </c>
    </row>
    <row r="68" spans="2:9" hidden="1" x14ac:dyDescent="0.3">
      <c r="B68" s="22"/>
      <c r="C68" s="22"/>
      <c r="D68" s="22"/>
      <c r="E68" s="23"/>
      <c r="F68" s="24"/>
      <c r="G68" s="24"/>
      <c r="H68" s="25"/>
      <c r="I68" s="26">
        <f t="shared" si="0"/>
        <v>0</v>
      </c>
    </row>
    <row r="69" spans="2:9" hidden="1" x14ac:dyDescent="0.3">
      <c r="B69" s="22"/>
      <c r="C69" s="22"/>
      <c r="D69" s="22"/>
      <c r="E69" s="23"/>
      <c r="F69" s="24"/>
      <c r="G69" s="24"/>
      <c r="H69" s="25"/>
      <c r="I69" s="26">
        <f t="shared" si="0"/>
        <v>0</v>
      </c>
    </row>
    <row r="70" spans="2:9" hidden="1" x14ac:dyDescent="0.3">
      <c r="B70" s="22"/>
      <c r="C70" s="22"/>
      <c r="D70" s="22"/>
      <c r="E70" s="23"/>
      <c r="F70" s="24"/>
      <c r="G70" s="24"/>
      <c r="H70" s="25"/>
      <c r="I70" s="26">
        <f t="shared" si="0"/>
        <v>0</v>
      </c>
    </row>
    <row r="71" spans="2:9" hidden="1" x14ac:dyDescent="0.3">
      <c r="B71" s="22"/>
      <c r="C71" s="22"/>
      <c r="D71" s="22"/>
      <c r="E71" s="23"/>
      <c r="F71" s="24"/>
      <c r="G71" s="24"/>
      <c r="H71" s="25"/>
      <c r="I71" s="26">
        <f t="shared" si="0"/>
        <v>0</v>
      </c>
    </row>
    <row r="72" spans="2:9" hidden="1" x14ac:dyDescent="0.3">
      <c r="B72" s="22"/>
      <c r="C72" s="22"/>
      <c r="D72" s="22"/>
      <c r="E72" s="23"/>
      <c r="F72" s="24"/>
      <c r="G72" s="24"/>
      <c r="H72" s="25"/>
      <c r="I72" s="26">
        <f t="shared" si="0"/>
        <v>0</v>
      </c>
    </row>
    <row r="73" spans="2:9" hidden="1" x14ac:dyDescent="0.3">
      <c r="B73" s="22"/>
      <c r="C73" s="22"/>
      <c r="D73" s="22"/>
      <c r="E73" s="23"/>
      <c r="F73" s="24"/>
      <c r="G73" s="24"/>
      <c r="H73" s="25"/>
      <c r="I73" s="26">
        <f t="shared" si="0"/>
        <v>0</v>
      </c>
    </row>
    <row r="74" spans="2:9" hidden="1" x14ac:dyDescent="0.3">
      <c r="B74" s="22"/>
      <c r="C74" s="22"/>
      <c r="D74" s="22"/>
      <c r="E74" s="23"/>
      <c r="F74" s="24"/>
      <c r="G74" s="24"/>
      <c r="H74" s="25"/>
      <c r="I74" s="26">
        <f t="shared" si="0"/>
        <v>0</v>
      </c>
    </row>
    <row r="75" spans="2:9" hidden="1" x14ac:dyDescent="0.3">
      <c r="B75" s="22"/>
      <c r="C75" s="22"/>
      <c r="D75" s="22"/>
      <c r="E75" s="23"/>
      <c r="F75" s="24"/>
      <c r="G75" s="24"/>
      <c r="H75" s="25"/>
      <c r="I75" s="26">
        <f t="shared" si="0"/>
        <v>0</v>
      </c>
    </row>
    <row r="76" spans="2:9" hidden="1" x14ac:dyDescent="0.3">
      <c r="B76" s="22"/>
      <c r="C76" s="22"/>
      <c r="D76" s="22"/>
      <c r="E76" s="23"/>
      <c r="F76" s="24"/>
      <c r="G76" s="24"/>
      <c r="H76" s="25"/>
      <c r="I76" s="26">
        <f t="shared" si="0"/>
        <v>0</v>
      </c>
    </row>
    <row r="77" spans="2:9" hidden="1" x14ac:dyDescent="0.3">
      <c r="B77" s="22"/>
      <c r="C77" s="22"/>
      <c r="D77" s="22"/>
      <c r="E77" s="23"/>
      <c r="F77" s="24"/>
      <c r="G77" s="24"/>
      <c r="H77" s="25"/>
      <c r="I77" s="26">
        <f t="shared" si="0"/>
        <v>0</v>
      </c>
    </row>
    <row r="78" spans="2:9" hidden="1" x14ac:dyDescent="0.3">
      <c r="B78" s="22"/>
      <c r="C78" s="22"/>
      <c r="D78" s="22"/>
      <c r="E78" s="23"/>
      <c r="F78" s="24"/>
      <c r="G78" s="24"/>
      <c r="H78" s="25"/>
      <c r="I78" s="26">
        <f t="shared" si="0"/>
        <v>0</v>
      </c>
    </row>
    <row r="79" spans="2:9" hidden="1" x14ac:dyDescent="0.3">
      <c r="B79" s="22"/>
      <c r="C79" s="22"/>
      <c r="D79" s="22"/>
      <c r="E79" s="23"/>
      <c r="F79" s="24"/>
      <c r="G79" s="24"/>
      <c r="H79" s="25"/>
      <c r="I79" s="26">
        <f t="shared" si="0"/>
        <v>0</v>
      </c>
    </row>
    <row r="80" spans="2:9" hidden="1" x14ac:dyDescent="0.3">
      <c r="B80" s="22"/>
      <c r="C80" s="22"/>
      <c r="D80" s="22"/>
      <c r="E80" s="23"/>
      <c r="F80" s="24"/>
      <c r="G80" s="24"/>
      <c r="H80" s="25"/>
      <c r="I80" s="26">
        <f t="shared" si="0"/>
        <v>0</v>
      </c>
    </row>
    <row r="81" spans="2:9" hidden="1" x14ac:dyDescent="0.3">
      <c r="B81" s="22"/>
      <c r="C81" s="22"/>
      <c r="D81" s="22"/>
      <c r="E81" s="23"/>
      <c r="F81" s="24"/>
      <c r="G81" s="24"/>
      <c r="H81" s="25"/>
      <c r="I81" s="26">
        <f t="shared" si="0"/>
        <v>0</v>
      </c>
    </row>
    <row r="82" spans="2:9" hidden="1" x14ac:dyDescent="0.3">
      <c r="B82" s="22"/>
      <c r="C82" s="22"/>
      <c r="D82" s="22"/>
      <c r="E82" s="23"/>
      <c r="F82" s="24"/>
      <c r="G82" s="24"/>
      <c r="H82" s="25"/>
      <c r="I82" s="26">
        <f t="shared" si="0"/>
        <v>0</v>
      </c>
    </row>
    <row r="83" spans="2:9" hidden="1" x14ac:dyDescent="0.3">
      <c r="B83" s="22"/>
      <c r="C83" s="22"/>
      <c r="D83" s="22"/>
      <c r="E83" s="23"/>
      <c r="F83" s="24"/>
      <c r="G83" s="24"/>
      <c r="H83" s="25"/>
      <c r="I83" s="26">
        <f t="shared" si="0"/>
        <v>0</v>
      </c>
    </row>
    <row r="84" spans="2:9" hidden="1" x14ac:dyDescent="0.3">
      <c r="B84" s="22"/>
      <c r="C84" s="22"/>
      <c r="D84" s="22"/>
      <c r="E84" s="23"/>
      <c r="F84" s="24"/>
      <c r="G84" s="24"/>
      <c r="H84" s="25"/>
      <c r="I84" s="26">
        <f t="shared" si="0"/>
        <v>0</v>
      </c>
    </row>
    <row r="85" spans="2:9" hidden="1" x14ac:dyDescent="0.3">
      <c r="B85" s="22"/>
      <c r="C85" s="22"/>
      <c r="D85" s="22"/>
      <c r="E85" s="23"/>
      <c r="F85" s="24"/>
      <c r="G85" s="24"/>
      <c r="H85" s="25"/>
      <c r="I85" s="26">
        <f t="shared" si="0"/>
        <v>0</v>
      </c>
    </row>
    <row r="86" spans="2:9" hidden="1" x14ac:dyDescent="0.3">
      <c r="B86" s="22"/>
      <c r="C86" s="22"/>
      <c r="D86" s="22"/>
      <c r="E86" s="23"/>
      <c r="F86" s="24"/>
      <c r="G86" s="24"/>
      <c r="H86" s="25"/>
      <c r="I86" s="26">
        <f t="shared" si="0"/>
        <v>0</v>
      </c>
    </row>
    <row r="87" spans="2:9" hidden="1" x14ac:dyDescent="0.3">
      <c r="B87" s="22"/>
      <c r="C87" s="22"/>
      <c r="D87" s="22"/>
      <c r="E87" s="23"/>
      <c r="F87" s="24"/>
      <c r="G87" s="24"/>
      <c r="H87" s="25"/>
      <c r="I87" s="26">
        <f t="shared" si="0"/>
        <v>0</v>
      </c>
    </row>
    <row r="88" spans="2:9" hidden="1" x14ac:dyDescent="0.3">
      <c r="B88" s="22"/>
      <c r="C88" s="22"/>
      <c r="D88" s="22"/>
      <c r="E88" s="23"/>
      <c r="F88" s="24"/>
      <c r="G88" s="24"/>
      <c r="H88" s="25"/>
      <c r="I88" s="26">
        <f t="shared" si="0"/>
        <v>0</v>
      </c>
    </row>
    <row r="89" spans="2:9" hidden="1" x14ac:dyDescent="0.3">
      <c r="B89" s="22"/>
      <c r="C89" s="22"/>
      <c r="D89" s="22"/>
      <c r="E89" s="23"/>
      <c r="F89" s="24"/>
      <c r="G89" s="24"/>
      <c r="H89" s="25"/>
      <c r="I89" s="26">
        <f t="shared" si="0"/>
        <v>0</v>
      </c>
    </row>
    <row r="90" spans="2:9" hidden="1" x14ac:dyDescent="0.3">
      <c r="B90" s="63"/>
      <c r="C90" s="63"/>
      <c r="D90" s="63"/>
      <c r="E90" s="64"/>
      <c r="F90" s="65"/>
      <c r="G90" s="24"/>
      <c r="H90" s="66"/>
      <c r="I90" s="67">
        <f t="shared" si="0"/>
        <v>0</v>
      </c>
    </row>
    <row r="91" spans="2:9" x14ac:dyDescent="0.3">
      <c r="B91" s="139"/>
      <c r="C91" s="140"/>
      <c r="D91" s="140"/>
      <c r="E91" s="140"/>
      <c r="F91" s="141"/>
      <c r="G91" s="27"/>
      <c r="H91" s="95" t="s">
        <v>17</v>
      </c>
      <c r="I91" s="96">
        <f>SUM(I15:I90)</f>
        <v>100228.45000000001</v>
      </c>
    </row>
    <row r="92" spans="2:9" x14ac:dyDescent="0.3">
      <c r="B92" s="93"/>
      <c r="C92" s="31"/>
      <c r="D92" s="32" t="s">
        <v>18</v>
      </c>
      <c r="E92" s="142">
        <f>SUM(G15:G90)</f>
        <v>254240.57000000007</v>
      </c>
      <c r="F92" s="143"/>
      <c r="G92" s="33"/>
      <c r="H92" s="97" t="s">
        <v>19</v>
      </c>
      <c r="I92" s="98">
        <v>0</v>
      </c>
    </row>
    <row r="93" spans="2:9" x14ac:dyDescent="0.3">
      <c r="B93" s="93"/>
      <c r="C93" s="31"/>
      <c r="D93" s="32" t="s">
        <v>20</v>
      </c>
      <c r="E93" s="142">
        <f>SUM(I15:I90)</f>
        <v>100228.45000000001</v>
      </c>
      <c r="F93" s="143"/>
      <c r="G93" s="33"/>
      <c r="H93" s="99" t="s">
        <v>21</v>
      </c>
      <c r="I93" s="98">
        <v>0</v>
      </c>
    </row>
    <row r="94" spans="2:9" x14ac:dyDescent="0.3">
      <c r="B94" s="93"/>
      <c r="C94" s="31"/>
      <c r="D94" s="32" t="s">
        <v>22</v>
      </c>
      <c r="E94" s="122">
        <f>E92-E93</f>
        <v>154012.12000000005</v>
      </c>
      <c r="F94" s="123"/>
      <c r="G94" s="36"/>
      <c r="H94" s="97" t="s">
        <v>23</v>
      </c>
      <c r="I94" s="100">
        <f>SUM(I91:I93)</f>
        <v>100228.45000000001</v>
      </c>
    </row>
    <row r="95" spans="2:9" x14ac:dyDescent="0.3">
      <c r="B95" s="93"/>
      <c r="C95" s="31"/>
      <c r="D95" s="32"/>
      <c r="E95" s="124"/>
      <c r="F95" s="125"/>
      <c r="G95" s="38"/>
      <c r="H95" s="97" t="s">
        <v>24</v>
      </c>
      <c r="I95" s="100">
        <f>I94*0.05</f>
        <v>5011.4225000000006</v>
      </c>
    </row>
    <row r="96" spans="2:9" x14ac:dyDescent="0.3">
      <c r="B96" s="93"/>
      <c r="C96" s="31"/>
      <c r="D96" s="39"/>
      <c r="E96" s="39"/>
      <c r="F96" s="94"/>
      <c r="G96" s="40"/>
      <c r="H96" s="97" t="s">
        <v>25</v>
      </c>
      <c r="I96" s="98"/>
    </row>
    <row r="97" spans="2:9" ht="16.2" thickBot="1" x14ac:dyDescent="0.35">
      <c r="B97" s="113" t="s">
        <v>26</v>
      </c>
      <c r="C97" s="114"/>
      <c r="D97" s="114"/>
      <c r="E97" s="114"/>
      <c r="F97" s="115"/>
      <c r="G97" s="41"/>
      <c r="H97" s="101" t="s">
        <v>27</v>
      </c>
      <c r="I97" s="102">
        <f>SUM(I94:I96)</f>
        <v>105239.87250000001</v>
      </c>
    </row>
  </sheetData>
  <autoFilter ref="B14:I97" xr:uid="{627AEAAF-E9D4-4F41-920A-F55BC0791038}">
    <filterColumn colId="6">
      <customFilters>
        <customFilter operator="notEqual" val=" "/>
      </customFilters>
    </filterColumn>
  </autoFilter>
  <mergeCells count="25">
    <mergeCell ref="B97:F97"/>
    <mergeCell ref="F13:I13"/>
    <mergeCell ref="B91:F91"/>
    <mergeCell ref="E92:F92"/>
    <mergeCell ref="E93:F93"/>
    <mergeCell ref="E94:F94"/>
    <mergeCell ref="E95:F95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hyperlinks>
    <hyperlink ref="H9" r:id="rId1" xr:uid="{9D562A3B-9141-41A4-B052-CAFE0EF0F52E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75C-C777-482C-B3DD-888A06E506C2}">
  <sheetPr filterMode="1"/>
  <dimension ref="B1:I64"/>
  <sheetViews>
    <sheetView topLeftCell="A18" workbookViewId="0">
      <selection activeCell="I64" sqref="B1:I64"/>
    </sheetView>
  </sheetViews>
  <sheetFormatPr defaultRowHeight="14.4" x14ac:dyDescent="0.3"/>
  <cols>
    <col min="1" max="1" width="2.6640625" customWidth="1"/>
    <col min="2" max="2" width="17.6640625" bestFit="1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69"/>
      <c r="C1" s="70"/>
      <c r="D1" s="70"/>
      <c r="E1" s="116" t="s">
        <v>28</v>
      </c>
      <c r="F1" s="117"/>
      <c r="G1" s="44"/>
      <c r="H1" s="133" t="s">
        <v>29</v>
      </c>
      <c r="I1" s="117"/>
    </row>
    <row r="2" spans="2:9" ht="15" customHeight="1" x14ac:dyDescent="0.3">
      <c r="B2" s="71"/>
      <c r="E2" s="118"/>
      <c r="F2" s="119"/>
      <c r="G2" s="45"/>
      <c r="H2" s="134"/>
      <c r="I2" s="119"/>
    </row>
    <row r="3" spans="2:9" ht="15" customHeight="1" x14ac:dyDescent="0.3">
      <c r="B3" s="71"/>
      <c r="E3" s="118"/>
      <c r="F3" s="119"/>
      <c r="G3" s="45"/>
      <c r="H3" s="134"/>
      <c r="I3" s="119"/>
    </row>
    <row r="4" spans="2:9" ht="15" customHeight="1" x14ac:dyDescent="0.3">
      <c r="B4" s="71"/>
      <c r="E4" s="118"/>
      <c r="F4" s="119"/>
      <c r="G4" s="45"/>
      <c r="H4" s="134"/>
      <c r="I4" s="119"/>
    </row>
    <row r="5" spans="2:9" ht="15" customHeight="1" x14ac:dyDescent="0.3">
      <c r="B5" s="72"/>
      <c r="C5" s="1"/>
      <c r="D5" s="1"/>
      <c r="E5" s="120"/>
      <c r="F5" s="121"/>
      <c r="G5" s="46"/>
      <c r="H5" s="135"/>
      <c r="I5" s="121"/>
    </row>
    <row r="6" spans="2:9" ht="36.6" x14ac:dyDescent="0.7">
      <c r="B6" s="6"/>
      <c r="C6" s="7"/>
      <c r="D6" s="7"/>
      <c r="E6" s="8"/>
      <c r="F6" s="73"/>
      <c r="G6" s="8"/>
      <c r="H6" s="85"/>
      <c r="I6" s="73"/>
    </row>
    <row r="7" spans="2:9" x14ac:dyDescent="0.3">
      <c r="B7" s="74" t="s">
        <v>7</v>
      </c>
      <c r="C7" s="131" t="str">
        <f>'MOQ Grand Total'!C7</f>
        <v>LINCOLN COUNTY OILFIELD SERVICES</v>
      </c>
      <c r="D7" s="13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3">
      <c r="B8" s="76" t="s">
        <v>10</v>
      </c>
      <c r="C8" s="126" t="str">
        <f>'MOQ Grand Total'!C8</f>
        <v>DUSTIN MINNS</v>
      </c>
      <c r="D8" s="126"/>
      <c r="E8" s="127" t="s">
        <v>11</v>
      </c>
      <c r="F8" s="128"/>
      <c r="G8" s="51"/>
      <c r="H8" s="150" t="s">
        <v>55</v>
      </c>
      <c r="I8" s="151"/>
    </row>
    <row r="9" spans="2:9" x14ac:dyDescent="0.3">
      <c r="B9" s="76" t="s">
        <v>12</v>
      </c>
      <c r="C9" s="126">
        <f>'MOQ Grand Total'!C9</f>
        <v>0</v>
      </c>
      <c r="D9" s="126"/>
      <c r="E9" s="127" t="s">
        <v>13</v>
      </c>
      <c r="F9" s="128"/>
      <c r="G9" s="51"/>
      <c r="H9" s="148" t="s">
        <v>56</v>
      </c>
      <c r="I9" s="149"/>
    </row>
    <row r="10" spans="2:9" x14ac:dyDescent="0.3">
      <c r="B10" s="76"/>
      <c r="C10" s="126">
        <f>'MOQ Grand Total'!C10</f>
        <v>0</v>
      </c>
      <c r="D10" s="126"/>
      <c r="E10" s="127" t="s">
        <v>14</v>
      </c>
      <c r="F10" s="128"/>
      <c r="G10" s="51"/>
      <c r="H10" s="144" t="s">
        <v>422</v>
      </c>
      <c r="I10" s="145"/>
    </row>
    <row r="11" spans="2:9" x14ac:dyDescent="0.3">
      <c r="B11" s="76"/>
      <c r="C11" s="126">
        <f>'MOQ Grand Total'!C11</f>
        <v>0</v>
      </c>
      <c r="D11" s="126"/>
      <c r="E11" s="127"/>
      <c r="F11" s="128"/>
      <c r="G11" s="51"/>
      <c r="H11" s="144" t="s">
        <v>422</v>
      </c>
      <c r="I11" s="145"/>
    </row>
    <row r="12" spans="2:9" x14ac:dyDescent="0.3">
      <c r="B12" s="77"/>
      <c r="C12" s="126">
        <f>'MOQ Grand Total'!C12</f>
        <v>0</v>
      </c>
      <c r="D12" s="126"/>
      <c r="E12" s="129"/>
      <c r="F12" s="130"/>
      <c r="G12" s="60"/>
      <c r="H12" s="146" t="s">
        <v>422</v>
      </c>
      <c r="I12" s="147"/>
    </row>
    <row r="13" spans="2:9" ht="15" thickBot="1" x14ac:dyDescent="0.35">
      <c r="B13" s="15"/>
      <c r="C13" s="16"/>
      <c r="D13" s="16"/>
      <c r="E13" s="16"/>
      <c r="F13" s="136" t="s">
        <v>3</v>
      </c>
      <c r="G13" s="137"/>
      <c r="H13" s="138"/>
      <c r="I13" s="136"/>
    </row>
    <row r="14" spans="2:9" ht="15" thickBot="1" x14ac:dyDescent="0.35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x14ac:dyDescent="0.3">
      <c r="B15" s="103" t="s">
        <v>114</v>
      </c>
      <c r="C15" s="54" t="str">
        <f>VLOOKUP(B15,'[1]Product by Part Number'!$A:$K,2,0)</f>
        <v xml:space="preserve">CAT D6N LGP (GHS)                  </v>
      </c>
      <c r="D15" s="54" t="str">
        <f>VLOOKUP(B15,'[1]Product by Part Number'!$A:$K,3,0)</f>
        <v>SEAT SUSPENSION ASSEMBLY</v>
      </c>
      <c r="E15" s="55">
        <f>VLOOKUP(B15,'[1]Product by Part Number'!$A:$K,11,0)</f>
        <v>1</v>
      </c>
      <c r="F15" s="80">
        <f>VLOOKUP(B15,'[1]Product by Part Number'!$A:$K,4,0)</f>
        <v>3100.37</v>
      </c>
      <c r="G15" s="62">
        <f>E15*F15</f>
        <v>3100.37</v>
      </c>
      <c r="H15" s="89">
        <f>VLOOKUP(B15,'[1]Product by Part Number'!$A:$K,5,0)</f>
        <v>1550.19</v>
      </c>
      <c r="I15" s="107">
        <f t="shared" ref="I15:I57" si="0">ROUND(E15*H15,2)</f>
        <v>1550.19</v>
      </c>
    </row>
    <row r="16" spans="2:9" x14ac:dyDescent="0.3">
      <c r="B16" s="103" t="s">
        <v>172</v>
      </c>
      <c r="C16" s="54" t="str">
        <f>VLOOKUP(B16,'[1]Product by Part Number'!$A:$K,2,0)</f>
        <v xml:space="preserve">CAT 329F L (ERL)                  </v>
      </c>
      <c r="D16" s="54" t="str">
        <f>VLOOKUP(B16,'[1]Product by Part Number'!$A:$K,3,0)</f>
        <v xml:space="preserve">SEAT ASSEMBLY </v>
      </c>
      <c r="E16" s="55">
        <f>VLOOKUP(B16,'[1]Product by Part Number'!$A:$K,11,0)</f>
        <v>2</v>
      </c>
      <c r="F16" s="80">
        <f>VLOOKUP(B16,'[1]Product by Part Number'!$A:$K,4,0)</f>
        <v>3384.84</v>
      </c>
      <c r="G16" s="62">
        <f t="shared" ref="G16:G26" si="1">E16*F16</f>
        <v>6769.68</v>
      </c>
      <c r="H16" s="89">
        <f>VLOOKUP(B16,'[1]Product by Part Number'!$A:$K,5,0)</f>
        <v>1692.42</v>
      </c>
      <c r="I16" s="107">
        <f t="shared" ref="I16:I26" si="2">ROUND(E16*H16,2)</f>
        <v>3384.84</v>
      </c>
    </row>
    <row r="17" spans="2:9" x14ac:dyDescent="0.3">
      <c r="B17" s="103" t="s">
        <v>173</v>
      </c>
      <c r="C17" s="54" t="str">
        <f>VLOOKUP(B17,'[1]Product by Part Number'!$A:$K,2,0)</f>
        <v xml:space="preserve">CAT 329F L (ERL)                  </v>
      </c>
      <c r="D17" s="54" t="str">
        <f>VLOOKUP(B17,'[1]Product by Part Number'!$A:$K,3,0)</f>
        <v>SEAT SUSPENSION ASSEMBLY</v>
      </c>
      <c r="E17" s="55">
        <f>VLOOKUP(B17,'[1]Product by Part Number'!$A:$K,11,0)</f>
        <v>2</v>
      </c>
      <c r="F17" s="80">
        <f>VLOOKUP(B17,'[1]Product by Part Number'!$A:$K,4,0)</f>
        <v>3739.65</v>
      </c>
      <c r="G17" s="62">
        <f t="shared" si="1"/>
        <v>7479.3</v>
      </c>
      <c r="H17" s="89">
        <f>VLOOKUP(B17,'[1]Product by Part Number'!$A:$K,5,0)</f>
        <v>1869.83</v>
      </c>
      <c r="I17" s="107">
        <f t="shared" si="2"/>
        <v>3739.66</v>
      </c>
    </row>
    <row r="18" spans="2:9" ht="27" x14ac:dyDescent="0.3">
      <c r="B18" s="103" t="s">
        <v>174</v>
      </c>
      <c r="C18" s="54" t="str">
        <f>VLOOKUP(B18,'[1]Product by Part Number'!$A:$K,2,0)</f>
        <v xml:space="preserve">CAT 320F L (YBM) CAT 329E L (ZCD) CAT 330F L (MBX) CAT 330F L (HCK) CAT 336F L (RKB)          </v>
      </c>
      <c r="D18" s="54" t="str">
        <f>VLOOKUP(B18,'[1]Product by Part Number'!$A:$K,3,0)</f>
        <v>SEAT SUSPENSION ASSEMBLY</v>
      </c>
      <c r="E18" s="55">
        <f>VLOOKUP(B18,'[1]Product by Part Number'!$A:$K,11,0)</f>
        <v>6</v>
      </c>
      <c r="F18" s="80">
        <f>VLOOKUP(B18,'[1]Product by Part Number'!$A:$K,4,0)</f>
        <v>4369.08</v>
      </c>
      <c r="G18" s="62">
        <f t="shared" si="1"/>
        <v>26214.48</v>
      </c>
      <c r="H18" s="89">
        <f>VLOOKUP(B18,'[1]Product by Part Number'!$A:$K,5,0)</f>
        <v>2184.54</v>
      </c>
      <c r="I18" s="107">
        <f t="shared" si="2"/>
        <v>13107.24</v>
      </c>
    </row>
    <row r="19" spans="2:9" x14ac:dyDescent="0.3">
      <c r="B19" s="103" t="s">
        <v>212</v>
      </c>
      <c r="C19" s="54" t="str">
        <f>VLOOKUP(B19,'[1]Product by Part Number'!$A:$K,2,0)</f>
        <v xml:space="preserve">CAT 303.5E                  </v>
      </c>
      <c r="D19" s="54" t="str">
        <f>VLOOKUP(B19,'[1]Product by Part Number'!$A:$K,3,0)</f>
        <v xml:space="preserve">SUSPENSION SEAT ASSEMBLY </v>
      </c>
      <c r="E19" s="55">
        <f>VLOOKUP(B19,'[1]Product by Part Number'!$A:$K,11,0)</f>
        <v>1</v>
      </c>
      <c r="F19" s="80">
        <f>VLOOKUP(B19,'[1]Product by Part Number'!$A:$K,4,0)</f>
        <v>3786.04</v>
      </c>
      <c r="G19" s="62">
        <f t="shared" si="1"/>
        <v>3786.04</v>
      </c>
      <c r="H19" s="89">
        <f>VLOOKUP(B19,'[1]Product by Part Number'!$A:$K,5,0)</f>
        <v>1893.02</v>
      </c>
      <c r="I19" s="107">
        <f t="shared" si="2"/>
        <v>1893.02</v>
      </c>
    </row>
    <row r="20" spans="2:9" ht="27" x14ac:dyDescent="0.3">
      <c r="B20" s="103" t="s">
        <v>251</v>
      </c>
      <c r="C20" s="54" t="str">
        <f>VLOOKUP(B20,'[1]Product by Part Number'!$A:$K,2,0)</f>
        <v xml:space="preserve">CAT 320 (HEX) CAT 320 (MYK) CAT 330 (LHW) CAT 330 (WCH)            </v>
      </c>
      <c r="D20" s="54" t="str">
        <f>VLOOKUP(B20,'[1]Product by Part Number'!$A:$K,3,0)</f>
        <v>SUSPENSION SEAT ASSEMBLY</v>
      </c>
      <c r="E20" s="55">
        <f>VLOOKUP(B20,'[1]Product by Part Number'!$A:$K,11,0)</f>
        <v>13</v>
      </c>
      <c r="F20" s="80">
        <f>VLOOKUP(B20,'[1]Product by Part Number'!$A:$K,4,0)</f>
        <v>8493.36</v>
      </c>
      <c r="G20" s="62">
        <f t="shared" si="1"/>
        <v>110413.68000000001</v>
      </c>
      <c r="H20" s="89">
        <f>VLOOKUP(B20,'[1]Product by Part Number'!$A:$K,5,0)</f>
        <v>4246.68</v>
      </c>
      <c r="I20" s="107">
        <f t="shared" si="2"/>
        <v>55206.84</v>
      </c>
    </row>
    <row r="21" spans="2:9" x14ac:dyDescent="0.3">
      <c r="B21" s="103" t="s">
        <v>253</v>
      </c>
      <c r="C21" s="54" t="str">
        <f>VLOOKUP(B21,'[1]Product by Part Number'!$A:$K,2,0)</f>
        <v xml:space="preserve">CAT D6N LGP (GHS)                  </v>
      </c>
      <c r="D21" s="54" t="str">
        <f>VLOOKUP(B21,'[1]Product by Part Number'!$A:$K,3,0)</f>
        <v>SEAT ASSEMBLY</v>
      </c>
      <c r="E21" s="55">
        <f>VLOOKUP(B21,'[1]Product by Part Number'!$A:$K,11,0)</f>
        <v>1</v>
      </c>
      <c r="F21" s="80">
        <f>VLOOKUP(B21,'[1]Product by Part Number'!$A:$K,4,0)</f>
        <v>3921.14</v>
      </c>
      <c r="G21" s="62">
        <f t="shared" si="1"/>
        <v>3921.14</v>
      </c>
      <c r="H21" s="89">
        <f>VLOOKUP(B21,'[1]Product by Part Number'!$A:$K,5,0)</f>
        <v>1960.57</v>
      </c>
      <c r="I21" s="107">
        <f t="shared" si="2"/>
        <v>1960.57</v>
      </c>
    </row>
    <row r="22" spans="2:9" ht="27" x14ac:dyDescent="0.3">
      <c r="B22" s="104" t="s">
        <v>257</v>
      </c>
      <c r="C22" s="54" t="str">
        <f>VLOOKUP(B22,'[1]Product by Part Number'!$A:$K,2,0)</f>
        <v xml:space="preserve">CAT 320F L (YBM) CAT 329E L (ZCD) CAT 330F L (MBX) CAT 330F L (HCK) CAT 336F L (RKB)          </v>
      </c>
      <c r="D22" s="54" t="str">
        <f>VLOOKUP(B22,'[1]Product by Part Number'!$A:$K,3,0)</f>
        <v xml:space="preserve">OPERATOR SEAT ASSEMBLY </v>
      </c>
      <c r="E22" s="55">
        <f>VLOOKUP(B22,'[1]Product by Part Number'!$A:$K,11,0)</f>
        <v>6</v>
      </c>
      <c r="F22" s="80">
        <f>VLOOKUP(B22,'[1]Product by Part Number'!$A:$K,4,0)</f>
        <v>4161.4399999999996</v>
      </c>
      <c r="G22" s="62">
        <f t="shared" si="1"/>
        <v>24968.639999999999</v>
      </c>
      <c r="H22" s="89">
        <f>VLOOKUP(B22,'[1]Product by Part Number'!$A:$K,5,0)</f>
        <v>2080.7199999999998</v>
      </c>
      <c r="I22" s="107">
        <f t="shared" si="2"/>
        <v>12484.32</v>
      </c>
    </row>
    <row r="23" spans="2:9" x14ac:dyDescent="0.3">
      <c r="B23" s="104" t="s">
        <v>283</v>
      </c>
      <c r="C23" s="54" t="str">
        <f>VLOOKUP(B23,'[1]Product by Part Number'!$A:$K,2,0)</f>
        <v xml:space="preserve">CAT 561N (CPH)                  </v>
      </c>
      <c r="D23" s="54" t="str">
        <f>VLOOKUP(B23,'[1]Product by Part Number'!$A:$K,3,0)</f>
        <v>SEAT ASSY</v>
      </c>
      <c r="E23" s="55">
        <f>VLOOKUP(B23,'[1]Product by Part Number'!$A:$K,11,0)</f>
        <v>5</v>
      </c>
      <c r="F23" s="80">
        <f>VLOOKUP(B23,'[1]Product by Part Number'!$A:$K,4,0)</f>
        <v>2482.65</v>
      </c>
      <c r="G23" s="62">
        <f t="shared" si="1"/>
        <v>12413.25</v>
      </c>
      <c r="H23" s="89">
        <f>VLOOKUP(B23,'[1]Product by Part Number'!$A:$K,5,0)</f>
        <v>1241.33</v>
      </c>
      <c r="I23" s="107">
        <f t="shared" si="2"/>
        <v>6206.65</v>
      </c>
    </row>
    <row r="24" spans="2:9" x14ac:dyDescent="0.3">
      <c r="B24" s="104" t="s">
        <v>389</v>
      </c>
      <c r="C24" s="54" t="str">
        <f>VLOOKUP(B24,'[1]Product by Part Number'!$A:$K,2,0)</f>
        <v xml:space="preserve">CAT D5 (3CR)                  </v>
      </c>
      <c r="D24" s="54" t="str">
        <f>VLOOKUP(B24,'[1]Product by Part Number'!$A:$K,3,0)</f>
        <v>SEAT/SUSPENSION ASSEMBLY</v>
      </c>
      <c r="E24" s="55">
        <f>VLOOKUP(B24,'[1]Product by Part Number'!$A:$K,11,0)</f>
        <v>2</v>
      </c>
      <c r="F24" s="80">
        <f>VLOOKUP(B24,'[1]Product by Part Number'!$A:$K,4,0)</f>
        <v>9424.19</v>
      </c>
      <c r="G24" s="62">
        <f t="shared" si="1"/>
        <v>18848.38</v>
      </c>
      <c r="H24" s="89">
        <f>VLOOKUP(B24,'[1]Product by Part Number'!$A:$K,5,0)</f>
        <v>4712.1000000000004</v>
      </c>
      <c r="I24" s="107">
        <f t="shared" si="2"/>
        <v>9424.2000000000007</v>
      </c>
    </row>
    <row r="25" spans="2:9" x14ac:dyDescent="0.3">
      <c r="B25" s="104" t="s">
        <v>390</v>
      </c>
      <c r="C25" s="54" t="str">
        <f>VLOOKUP(B25,'[1]Product by Part Number'!$A:$K,2,0)</f>
        <v xml:space="preserve">CAT D3 (1PJ)                  </v>
      </c>
      <c r="D25" s="54" t="str">
        <f>VLOOKUP(B25,'[1]Product by Part Number'!$A:$K,3,0)</f>
        <v>SEAT ASSEMBLY</v>
      </c>
      <c r="E25" s="55">
        <f>VLOOKUP(B25,'[1]Product by Part Number'!$A:$K,11,0)</f>
        <v>1</v>
      </c>
      <c r="F25" s="80">
        <f>VLOOKUP(B25,'[1]Product by Part Number'!$A:$K,4,0)</f>
        <v>5796.13</v>
      </c>
      <c r="G25" s="62">
        <f t="shared" si="1"/>
        <v>5796.13</v>
      </c>
      <c r="H25" s="89">
        <f>VLOOKUP(B25,'[1]Product by Part Number'!$A:$K,5,0)</f>
        <v>2898.07</v>
      </c>
      <c r="I25" s="107">
        <f t="shared" si="2"/>
        <v>2898.07</v>
      </c>
    </row>
    <row r="26" spans="2:9" ht="15" thickBot="1" x14ac:dyDescent="0.35">
      <c r="B26" s="105" t="s">
        <v>415</v>
      </c>
      <c r="C26" s="82" t="str">
        <f>VLOOKUP(B26,'[1]Product by Part Number'!$A:$K,2,0)</f>
        <v xml:space="preserve">CAT D4 (66J)                  </v>
      </c>
      <c r="D26" s="82" t="str">
        <f>VLOOKUP(B26,'[1]Product by Part Number'!$A:$K,3,0)</f>
        <v>SEAT SUSPENSION ASSEMBLY</v>
      </c>
      <c r="E26" s="83">
        <f>VLOOKUP(B26,'[1]Product by Part Number'!$A:$K,11,0)</f>
        <v>1</v>
      </c>
      <c r="F26" s="84">
        <f>VLOOKUP(B26,'[1]Product by Part Number'!$A:$K,4,0)</f>
        <v>1021.54</v>
      </c>
      <c r="G26" s="62">
        <f t="shared" si="1"/>
        <v>1021.54</v>
      </c>
      <c r="H26" s="91">
        <f>VLOOKUP(B26,'[1]Product by Part Number'!$A:$K,5,0)</f>
        <v>510.77</v>
      </c>
      <c r="I26" s="112">
        <f t="shared" si="2"/>
        <v>510.77</v>
      </c>
    </row>
    <row r="27" spans="2:9" hidden="1" x14ac:dyDescent="0.3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3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3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3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3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3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3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3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3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3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3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3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3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3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3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3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3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3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3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3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3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3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3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3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3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3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3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3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3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3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hidden="1" x14ac:dyDescent="0.3">
      <c r="B57" s="63"/>
      <c r="C57" s="63"/>
      <c r="D57" s="63"/>
      <c r="E57" s="64"/>
      <c r="F57" s="65"/>
      <c r="G57" s="24"/>
      <c r="H57" s="66"/>
      <c r="I57" s="67">
        <f t="shared" si="0"/>
        <v>0</v>
      </c>
    </row>
    <row r="58" spans="2:9" x14ac:dyDescent="0.3">
      <c r="B58" s="139"/>
      <c r="C58" s="140"/>
      <c r="D58" s="140"/>
      <c r="E58" s="140"/>
      <c r="F58" s="141"/>
      <c r="G58" s="27"/>
      <c r="H58" s="95" t="s">
        <v>17</v>
      </c>
      <c r="I58" s="96">
        <f>SUM(I15:I57)</f>
        <v>112366.37</v>
      </c>
    </row>
    <row r="59" spans="2:9" x14ac:dyDescent="0.3">
      <c r="B59" s="93"/>
      <c r="C59" s="31"/>
      <c r="D59" s="32" t="s">
        <v>18</v>
      </c>
      <c r="E59" s="142">
        <f>SUM(G15:G57)</f>
        <v>224732.63000000003</v>
      </c>
      <c r="F59" s="143"/>
      <c r="G59" s="33"/>
      <c r="H59" s="97" t="s">
        <v>19</v>
      </c>
      <c r="I59" s="98">
        <v>0</v>
      </c>
    </row>
    <row r="60" spans="2:9" x14ac:dyDescent="0.3">
      <c r="B60" s="93"/>
      <c r="C60" s="31"/>
      <c r="D60" s="32" t="s">
        <v>20</v>
      </c>
      <c r="E60" s="142">
        <f>SUM(I15:I57)</f>
        <v>112366.37</v>
      </c>
      <c r="F60" s="143"/>
      <c r="G60" s="33"/>
      <c r="H60" s="99" t="s">
        <v>21</v>
      </c>
      <c r="I60" s="98">
        <v>0</v>
      </c>
    </row>
    <row r="61" spans="2:9" x14ac:dyDescent="0.3">
      <c r="B61" s="93"/>
      <c r="C61" s="31"/>
      <c r="D61" s="32" t="s">
        <v>22</v>
      </c>
      <c r="E61" s="122">
        <f>E59-E60</f>
        <v>112366.26000000004</v>
      </c>
      <c r="F61" s="123"/>
      <c r="G61" s="36"/>
      <c r="H61" s="97" t="s">
        <v>23</v>
      </c>
      <c r="I61" s="100">
        <f>SUM(I58:I60)</f>
        <v>112366.37</v>
      </c>
    </row>
    <row r="62" spans="2:9" x14ac:dyDescent="0.3">
      <c r="B62" s="93"/>
      <c r="C62" s="31"/>
      <c r="D62" s="32"/>
      <c r="E62" s="124"/>
      <c r="F62" s="125"/>
      <c r="G62" s="38"/>
      <c r="H62" s="97" t="s">
        <v>24</v>
      </c>
      <c r="I62" s="100">
        <f>I61*0.05</f>
        <v>5618.3185000000003</v>
      </c>
    </row>
    <row r="63" spans="2:9" x14ac:dyDescent="0.3">
      <c r="B63" s="93"/>
      <c r="C63" s="31"/>
      <c r="D63" s="39"/>
      <c r="E63" s="39"/>
      <c r="F63" s="94"/>
      <c r="G63" s="40"/>
      <c r="H63" s="97" t="s">
        <v>25</v>
      </c>
      <c r="I63" s="98"/>
    </row>
    <row r="64" spans="2:9" ht="16.2" thickBot="1" x14ac:dyDescent="0.35">
      <c r="B64" s="113" t="s">
        <v>26</v>
      </c>
      <c r="C64" s="114"/>
      <c r="D64" s="114"/>
      <c r="E64" s="114"/>
      <c r="F64" s="115"/>
      <c r="G64" s="41"/>
      <c r="H64" s="101" t="s">
        <v>27</v>
      </c>
      <c r="I64" s="102">
        <f>SUM(I61:I63)</f>
        <v>117984.68849999999</v>
      </c>
    </row>
  </sheetData>
  <autoFilter ref="B14:I64" xr:uid="{667D775C-C777-482C-B3DD-888A06E506C2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64:F64"/>
    <mergeCell ref="F13:I13"/>
    <mergeCell ref="B58:F58"/>
    <mergeCell ref="E59:F59"/>
    <mergeCell ref="E60:F60"/>
    <mergeCell ref="E61:F61"/>
    <mergeCell ref="E62:F62"/>
  </mergeCells>
  <hyperlinks>
    <hyperlink ref="H9" r:id="rId1" xr:uid="{244311AD-6968-4476-9CBF-2A4C399578D3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3445-FB78-418E-9CD4-AFF919FEA4DA}">
  <sheetPr filterMode="1"/>
  <dimension ref="B1:I63"/>
  <sheetViews>
    <sheetView workbookViewId="0">
      <selection activeCell="I66" sqref="I66"/>
    </sheetView>
  </sheetViews>
  <sheetFormatPr defaultRowHeight="14.4" x14ac:dyDescent="0.3"/>
  <cols>
    <col min="1" max="1" width="2.6640625" customWidth="1"/>
    <col min="2" max="2" width="15.44140625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2"/>
      <c r="C1" s="3"/>
      <c r="D1" s="3"/>
      <c r="E1" s="169" t="s">
        <v>28</v>
      </c>
      <c r="F1" s="169"/>
      <c r="G1" s="44"/>
      <c r="H1" s="169" t="s">
        <v>6</v>
      </c>
      <c r="I1" s="170"/>
    </row>
    <row r="2" spans="2:9" ht="15" customHeight="1" x14ac:dyDescent="0.3">
      <c r="B2" s="4"/>
      <c r="E2" s="118"/>
      <c r="F2" s="118"/>
      <c r="G2" s="45"/>
      <c r="H2" s="118"/>
      <c r="I2" s="171"/>
    </row>
    <row r="3" spans="2:9" ht="15" customHeight="1" x14ac:dyDescent="0.3">
      <c r="B3" s="4"/>
      <c r="E3" s="118"/>
      <c r="F3" s="118"/>
      <c r="G3" s="45"/>
      <c r="H3" s="118"/>
      <c r="I3" s="171"/>
    </row>
    <row r="4" spans="2:9" ht="15" customHeight="1" x14ac:dyDescent="0.3">
      <c r="B4" s="4"/>
      <c r="E4" s="118"/>
      <c r="F4" s="118"/>
      <c r="G4" s="45"/>
      <c r="H4" s="118"/>
      <c r="I4" s="171"/>
    </row>
    <row r="5" spans="2:9" ht="15" customHeight="1" x14ac:dyDescent="0.3">
      <c r="B5" s="5"/>
      <c r="C5" s="1"/>
      <c r="D5" s="1"/>
      <c r="E5" s="120"/>
      <c r="F5" s="120"/>
      <c r="G5" s="46"/>
      <c r="H5" s="120"/>
      <c r="I5" s="172"/>
    </row>
    <row r="6" spans="2:9" ht="36.6" x14ac:dyDescent="0.7">
      <c r="B6" s="6"/>
      <c r="C6" s="7"/>
      <c r="D6" s="7"/>
      <c r="E6" s="8"/>
      <c r="F6" s="8"/>
      <c r="G6" s="8"/>
      <c r="H6" s="8"/>
      <c r="I6" s="8"/>
    </row>
    <row r="7" spans="2:9" x14ac:dyDescent="0.3">
      <c r="B7" s="48" t="s">
        <v>7</v>
      </c>
      <c r="C7" s="131" t="s">
        <v>33</v>
      </c>
      <c r="D7" s="132"/>
      <c r="E7" s="9" t="s">
        <v>8</v>
      </c>
      <c r="F7" s="10">
        <v>45444</v>
      </c>
      <c r="G7" s="10"/>
      <c r="H7" s="11" t="s">
        <v>9</v>
      </c>
      <c r="I7" s="12"/>
    </row>
    <row r="8" spans="2:9" x14ac:dyDescent="0.3">
      <c r="B8" s="49" t="s">
        <v>10</v>
      </c>
      <c r="C8" s="167">
        <v>0</v>
      </c>
      <c r="D8" s="167"/>
      <c r="E8" s="127" t="s">
        <v>11</v>
      </c>
      <c r="F8" s="127"/>
      <c r="G8" s="13"/>
      <c r="H8" s="161"/>
      <c r="I8" s="161"/>
    </row>
    <row r="9" spans="2:9" x14ac:dyDescent="0.3">
      <c r="B9" s="49" t="s">
        <v>12</v>
      </c>
      <c r="C9" s="167">
        <v>0</v>
      </c>
      <c r="D9" s="167"/>
      <c r="E9" s="127" t="s">
        <v>13</v>
      </c>
      <c r="F9" s="127"/>
      <c r="G9" s="13"/>
      <c r="H9" s="168"/>
      <c r="I9" s="168"/>
    </row>
    <row r="10" spans="2:9" x14ac:dyDescent="0.3">
      <c r="B10" s="49"/>
      <c r="C10" s="167">
        <v>0</v>
      </c>
      <c r="D10" s="167"/>
      <c r="E10" s="127" t="s">
        <v>14</v>
      </c>
      <c r="F10" s="127"/>
      <c r="G10" s="13"/>
      <c r="H10" s="159"/>
      <c r="I10" s="159"/>
    </row>
    <row r="11" spans="2:9" x14ac:dyDescent="0.3">
      <c r="B11" s="49"/>
      <c r="C11" s="167">
        <v>0</v>
      </c>
      <c r="D11" s="167"/>
      <c r="E11" s="127"/>
      <c r="F11" s="127"/>
      <c r="G11" s="13"/>
      <c r="H11" s="159"/>
      <c r="I11" s="159"/>
    </row>
    <row r="12" spans="2:9" x14ac:dyDescent="0.3">
      <c r="B12" s="50"/>
      <c r="C12" s="167">
        <v>0</v>
      </c>
      <c r="D12" s="167"/>
      <c r="E12" s="129"/>
      <c r="F12" s="129"/>
      <c r="G12" s="14"/>
      <c r="H12" s="160"/>
      <c r="I12" s="160"/>
    </row>
    <row r="13" spans="2:9" ht="15" thickBot="1" x14ac:dyDescent="0.35">
      <c r="B13" s="15"/>
      <c r="C13" s="16"/>
      <c r="D13" s="16"/>
      <c r="E13" s="16"/>
      <c r="F13" s="137" t="s">
        <v>3</v>
      </c>
      <c r="G13" s="137"/>
      <c r="H13" s="137"/>
      <c r="I13" s="137"/>
    </row>
    <row r="14" spans="2:9" ht="15" thickBot="1" x14ac:dyDescent="0.35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3">
      <c r="B15" s="22" t="s">
        <v>57</v>
      </c>
      <c r="C15" s="22" t="s">
        <v>58</v>
      </c>
      <c r="D15" s="22" t="s">
        <v>59</v>
      </c>
      <c r="E15" s="23">
        <v>1</v>
      </c>
      <c r="F15" s="24">
        <v>4801.95</v>
      </c>
      <c r="G15" s="24">
        <f>E15*F15</f>
        <v>4801.95</v>
      </c>
      <c r="H15" s="25">
        <v>2400.98</v>
      </c>
      <c r="I15" s="26">
        <f t="shared" ref="I15:I56" si="0">ROUND(E15*H15,2)</f>
        <v>2400.98</v>
      </c>
    </row>
    <row r="16" spans="2:9" x14ac:dyDescent="0.3">
      <c r="B16" s="22" t="s">
        <v>60</v>
      </c>
      <c r="C16" s="22" t="s">
        <v>58</v>
      </c>
      <c r="D16" s="22" t="s">
        <v>59</v>
      </c>
      <c r="E16" s="23">
        <v>1</v>
      </c>
      <c r="F16" s="24">
        <v>3996.4</v>
      </c>
      <c r="G16" s="24">
        <f t="shared" ref="G16:G21" si="1">E16*F16</f>
        <v>3996.4</v>
      </c>
      <c r="H16" s="25">
        <v>1998.2</v>
      </c>
      <c r="I16" s="26">
        <f t="shared" si="0"/>
        <v>1998.2</v>
      </c>
    </row>
    <row r="17" spans="2:9" x14ac:dyDescent="0.3">
      <c r="B17" s="22" t="s">
        <v>61</v>
      </c>
      <c r="C17" s="22" t="s">
        <v>62</v>
      </c>
      <c r="D17" s="22" t="s">
        <v>63</v>
      </c>
      <c r="E17" s="23">
        <v>3</v>
      </c>
      <c r="F17" s="24">
        <v>4614.62</v>
      </c>
      <c r="G17" s="24">
        <f t="shared" si="1"/>
        <v>13843.86</v>
      </c>
      <c r="H17" s="25">
        <v>2307.31</v>
      </c>
      <c r="I17" s="26">
        <f t="shared" si="0"/>
        <v>6921.93</v>
      </c>
    </row>
    <row r="18" spans="2:9" x14ac:dyDescent="0.3">
      <c r="B18" s="22" t="s">
        <v>64</v>
      </c>
      <c r="C18" s="22" t="s">
        <v>65</v>
      </c>
      <c r="D18" s="22" t="s">
        <v>59</v>
      </c>
      <c r="E18" s="23">
        <v>1</v>
      </c>
      <c r="F18" s="24">
        <v>5739.32</v>
      </c>
      <c r="G18" s="24">
        <f t="shared" si="1"/>
        <v>5739.32</v>
      </c>
      <c r="H18" s="25">
        <v>2869.66</v>
      </c>
      <c r="I18" s="26">
        <f t="shared" si="0"/>
        <v>2869.66</v>
      </c>
    </row>
    <row r="19" spans="2:9" x14ac:dyDescent="0.3">
      <c r="B19" s="22" t="s">
        <v>66</v>
      </c>
      <c r="C19" s="22" t="s">
        <v>67</v>
      </c>
      <c r="D19" s="22" t="s">
        <v>59</v>
      </c>
      <c r="E19" s="23">
        <v>2</v>
      </c>
      <c r="F19" s="24">
        <v>12791.1</v>
      </c>
      <c r="G19" s="24">
        <f t="shared" si="1"/>
        <v>25582.2</v>
      </c>
      <c r="H19" s="25">
        <v>6395.55</v>
      </c>
      <c r="I19" s="26">
        <f t="shared" si="0"/>
        <v>12791.1</v>
      </c>
    </row>
    <row r="20" spans="2:9" hidden="1" x14ac:dyDescent="0.3">
      <c r="B20" s="22"/>
      <c r="C20" s="22"/>
      <c r="D20" s="22"/>
      <c r="E20" s="23"/>
      <c r="F20" s="24"/>
      <c r="G20" s="24">
        <f t="shared" si="1"/>
        <v>0</v>
      </c>
      <c r="H20" s="25"/>
      <c r="I20" s="26">
        <f t="shared" si="0"/>
        <v>0</v>
      </c>
    </row>
    <row r="21" spans="2:9" hidden="1" x14ac:dyDescent="0.3">
      <c r="B21" s="22"/>
      <c r="C21" s="22"/>
      <c r="D21" s="22"/>
      <c r="E21" s="23"/>
      <c r="F21" s="24"/>
      <c r="G21" s="24">
        <f t="shared" si="1"/>
        <v>0</v>
      </c>
      <c r="H21" s="25"/>
      <c r="I21" s="26">
        <f t="shared" si="0"/>
        <v>0</v>
      </c>
    </row>
    <row r="22" spans="2:9" hidden="1" x14ac:dyDescent="0.3">
      <c r="B22" s="22"/>
      <c r="C22" s="22"/>
      <c r="D22" s="22"/>
      <c r="E22" s="23"/>
      <c r="F22" s="24"/>
      <c r="G22" s="24">
        <f t="shared" ref="G22" si="2">E22*F22</f>
        <v>0</v>
      </c>
      <c r="H22" s="25"/>
      <c r="I22" s="26">
        <f t="shared" si="0"/>
        <v>0</v>
      </c>
    </row>
    <row r="23" spans="2:9" hidden="1" x14ac:dyDescent="0.3">
      <c r="B23" s="22"/>
      <c r="C23" s="22"/>
      <c r="D23" s="22"/>
      <c r="E23" s="23"/>
      <c r="F23" s="24"/>
      <c r="G23" s="24"/>
      <c r="H23" s="25"/>
      <c r="I23" s="26">
        <f t="shared" si="0"/>
        <v>0</v>
      </c>
    </row>
    <row r="24" spans="2:9" hidden="1" x14ac:dyDescent="0.3">
      <c r="B24" s="22"/>
      <c r="C24" s="22"/>
      <c r="D24" s="22"/>
      <c r="E24" s="23"/>
      <c r="F24" s="24"/>
      <c r="G24" s="24"/>
      <c r="H24" s="25"/>
      <c r="I24" s="26">
        <f t="shared" si="0"/>
        <v>0</v>
      </c>
    </row>
    <row r="25" spans="2:9" hidden="1" x14ac:dyDescent="0.3">
      <c r="B25" s="22"/>
      <c r="C25" s="22"/>
      <c r="D25" s="22"/>
      <c r="E25" s="23"/>
      <c r="F25" s="24"/>
      <c r="G25" s="24"/>
      <c r="H25" s="25"/>
      <c r="I25" s="26">
        <f t="shared" si="0"/>
        <v>0</v>
      </c>
    </row>
    <row r="26" spans="2:9" hidden="1" x14ac:dyDescent="0.3">
      <c r="B26" s="22"/>
      <c r="C26" s="22"/>
      <c r="D26" s="22"/>
      <c r="E26" s="23"/>
      <c r="F26" s="24"/>
      <c r="G26" s="24"/>
      <c r="H26" s="25"/>
      <c r="I26" s="26">
        <f t="shared" si="0"/>
        <v>0</v>
      </c>
    </row>
    <row r="27" spans="2:9" hidden="1" x14ac:dyDescent="0.3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3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3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3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3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3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3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3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3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3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3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3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3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3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3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3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3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3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3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3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3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3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3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3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3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3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3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3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3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3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x14ac:dyDescent="0.3">
      <c r="B57" s="166"/>
      <c r="C57" s="156"/>
      <c r="D57" s="156"/>
      <c r="E57" s="156"/>
      <c r="F57" s="157"/>
      <c r="G57" s="27"/>
      <c r="H57" s="28" t="s">
        <v>17</v>
      </c>
      <c r="I57" s="29">
        <f>SUM(I15:I56)</f>
        <v>26981.870000000003</v>
      </c>
    </row>
    <row r="58" spans="2:9" x14ac:dyDescent="0.3">
      <c r="B58" s="30"/>
      <c r="C58" s="31"/>
      <c r="D58" s="32" t="s">
        <v>18</v>
      </c>
      <c r="E58" s="142">
        <f>SUM(G15:G56)</f>
        <v>53963.729999999996</v>
      </c>
      <c r="F58" s="158"/>
      <c r="G58" s="33"/>
      <c r="H58" s="28" t="s">
        <v>19</v>
      </c>
      <c r="I58" s="34">
        <v>0</v>
      </c>
    </row>
    <row r="59" spans="2:9" x14ac:dyDescent="0.3">
      <c r="B59" s="30"/>
      <c r="C59" s="31"/>
      <c r="D59" s="32" t="s">
        <v>20</v>
      </c>
      <c r="E59" s="142">
        <f>SUM(I15:I56)</f>
        <v>26981.870000000003</v>
      </c>
      <c r="F59" s="158"/>
      <c r="G59" s="33"/>
      <c r="H59" s="35" t="s">
        <v>21</v>
      </c>
      <c r="I59" s="34">
        <v>0</v>
      </c>
    </row>
    <row r="60" spans="2:9" x14ac:dyDescent="0.3">
      <c r="B60" s="30"/>
      <c r="C60" s="31"/>
      <c r="D60" s="32" t="s">
        <v>22</v>
      </c>
      <c r="E60" s="122">
        <f>E58-E59</f>
        <v>26981.859999999993</v>
      </c>
      <c r="F60" s="153"/>
      <c r="G60" s="36"/>
      <c r="H60" s="28" t="s">
        <v>23</v>
      </c>
      <c r="I60" s="37">
        <f>SUM(I57:I59)</f>
        <v>26981.870000000003</v>
      </c>
    </row>
    <row r="61" spans="2:9" x14ac:dyDescent="0.3">
      <c r="B61" s="30"/>
      <c r="C61" s="31"/>
      <c r="D61" s="32"/>
      <c r="E61" s="124"/>
      <c r="F61" s="154"/>
      <c r="G61" s="38"/>
      <c r="H61" s="28" t="s">
        <v>24</v>
      </c>
      <c r="I61" s="37">
        <f>I60*0.05</f>
        <v>1349.0935000000002</v>
      </c>
    </row>
    <row r="62" spans="2:9" x14ac:dyDescent="0.3">
      <c r="B62" s="30"/>
      <c r="C62" s="31"/>
      <c r="D62" s="39"/>
      <c r="E62" s="39"/>
      <c r="F62" s="40"/>
      <c r="G62" s="40"/>
      <c r="H62" s="28" t="s">
        <v>25</v>
      </c>
      <c r="I62" s="34"/>
    </row>
    <row r="63" spans="2:9" ht="15.6" x14ac:dyDescent="0.3">
      <c r="B63" s="163" t="s">
        <v>26</v>
      </c>
      <c r="C63" s="164"/>
      <c r="D63" s="164"/>
      <c r="E63" s="164"/>
      <c r="F63" s="165"/>
      <c r="G63" s="41"/>
      <c r="H63" s="42" t="s">
        <v>27</v>
      </c>
      <c r="I63" s="43">
        <f>SUM(I60:I62)</f>
        <v>28330.963500000002</v>
      </c>
    </row>
  </sheetData>
  <autoFilter ref="B14:I63" xr:uid="{A4513445-FB78-418E-9CD4-AFF919FEA4DA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63:F63"/>
    <mergeCell ref="F13:I13"/>
    <mergeCell ref="B57:F57"/>
    <mergeCell ref="E58:F58"/>
    <mergeCell ref="E59:F59"/>
    <mergeCell ref="E60:F60"/>
    <mergeCell ref="E61:F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224B-BC2F-465F-81CA-F8BD556D9C19}">
  <sheetPr filterMode="1"/>
  <dimension ref="B1:I206"/>
  <sheetViews>
    <sheetView workbookViewId="0">
      <selection activeCell="C8" sqref="C8:D8"/>
    </sheetView>
  </sheetViews>
  <sheetFormatPr defaultRowHeight="14.4" x14ac:dyDescent="0.3"/>
  <cols>
    <col min="1" max="1" width="2.6640625" customWidth="1"/>
    <col min="2" max="2" width="21.44140625" bestFit="1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</cols>
  <sheetData>
    <row r="1" spans="2:9" ht="15" customHeight="1" x14ac:dyDescent="0.3">
      <c r="B1" s="69"/>
      <c r="C1" s="70"/>
      <c r="D1" s="70"/>
      <c r="E1" s="116" t="s">
        <v>28</v>
      </c>
      <c r="F1" s="117"/>
      <c r="G1" s="44"/>
      <c r="H1" s="133" t="s">
        <v>32</v>
      </c>
      <c r="I1" s="117"/>
    </row>
    <row r="2" spans="2:9" ht="15" customHeight="1" x14ac:dyDescent="0.3">
      <c r="B2" s="71"/>
      <c r="E2" s="118"/>
      <c r="F2" s="119"/>
      <c r="G2" s="45"/>
      <c r="H2" s="134"/>
      <c r="I2" s="119"/>
    </row>
    <row r="3" spans="2:9" ht="15" customHeight="1" x14ac:dyDescent="0.3">
      <c r="B3" s="71"/>
      <c r="E3" s="118"/>
      <c r="F3" s="119"/>
      <c r="G3" s="45"/>
      <c r="H3" s="134"/>
      <c r="I3" s="119"/>
    </row>
    <row r="4" spans="2:9" ht="15" customHeight="1" x14ac:dyDescent="0.3">
      <c r="B4" s="71"/>
      <c r="E4" s="118"/>
      <c r="F4" s="119"/>
      <c r="G4" s="45"/>
      <c r="H4" s="134"/>
      <c r="I4" s="119"/>
    </row>
    <row r="5" spans="2:9" ht="15" customHeight="1" x14ac:dyDescent="0.3">
      <c r="B5" s="72"/>
      <c r="C5" s="1"/>
      <c r="D5" s="1"/>
      <c r="E5" s="120"/>
      <c r="F5" s="121"/>
      <c r="G5" s="46"/>
      <c r="H5" s="135"/>
      <c r="I5" s="121"/>
    </row>
    <row r="6" spans="2:9" ht="36.6" x14ac:dyDescent="0.7">
      <c r="B6" s="6"/>
      <c r="C6" s="7"/>
      <c r="D6" s="7"/>
      <c r="E6" s="8"/>
      <c r="F6" s="73"/>
      <c r="G6" s="8"/>
      <c r="H6" s="85"/>
      <c r="I6" s="73"/>
    </row>
    <row r="7" spans="2:9" x14ac:dyDescent="0.3">
      <c r="B7" s="74" t="s">
        <v>7</v>
      </c>
      <c r="C7" s="131" t="str">
        <f>'MOQ Grand Total'!C7</f>
        <v>LINCOLN COUNTY OILFIELD SERVICES</v>
      </c>
      <c r="D7" s="132"/>
      <c r="E7" s="9" t="s">
        <v>8</v>
      </c>
      <c r="F7" s="75">
        <v>45748</v>
      </c>
      <c r="G7" s="59"/>
      <c r="H7" s="86" t="s">
        <v>9</v>
      </c>
      <c r="I7" s="87" t="str">
        <f>'MOQ Grand Total'!I7</f>
        <v xml:space="preserve"> </v>
      </c>
    </row>
    <row r="8" spans="2:9" x14ac:dyDescent="0.3">
      <c r="B8" s="76" t="s">
        <v>10</v>
      </c>
      <c r="C8" s="126" t="str">
        <f>'MOQ Grand Total'!C8</f>
        <v>DUSTIN MINNS</v>
      </c>
      <c r="D8" s="126"/>
      <c r="E8" s="127" t="s">
        <v>11</v>
      </c>
      <c r="F8" s="128"/>
      <c r="G8" s="51"/>
      <c r="H8" s="150" t="s">
        <v>55</v>
      </c>
      <c r="I8" s="151"/>
    </row>
    <row r="9" spans="2:9" x14ac:dyDescent="0.3">
      <c r="B9" s="76" t="s">
        <v>12</v>
      </c>
      <c r="C9" s="126">
        <f>'MOQ Grand Total'!C9</f>
        <v>0</v>
      </c>
      <c r="D9" s="126"/>
      <c r="E9" s="127" t="s">
        <v>13</v>
      </c>
      <c r="F9" s="128"/>
      <c r="G9" s="51"/>
      <c r="H9" s="148" t="s">
        <v>56</v>
      </c>
      <c r="I9" s="149"/>
    </row>
    <row r="10" spans="2:9" x14ac:dyDescent="0.3">
      <c r="B10" s="76"/>
      <c r="C10" s="126">
        <f>'MOQ Grand Total'!C10</f>
        <v>0</v>
      </c>
      <c r="D10" s="126"/>
      <c r="E10" s="127" t="s">
        <v>14</v>
      </c>
      <c r="F10" s="128"/>
      <c r="G10" s="51"/>
      <c r="H10" s="144" t="s">
        <v>422</v>
      </c>
      <c r="I10" s="145"/>
    </row>
    <row r="11" spans="2:9" x14ac:dyDescent="0.3">
      <c r="B11" s="76"/>
      <c r="C11" s="126">
        <f>'MOQ Grand Total'!C11</f>
        <v>0</v>
      </c>
      <c r="D11" s="126"/>
      <c r="E11" s="127"/>
      <c r="F11" s="128"/>
      <c r="G11" s="51"/>
      <c r="H11" s="144" t="s">
        <v>422</v>
      </c>
      <c r="I11" s="145"/>
    </row>
    <row r="12" spans="2:9" x14ac:dyDescent="0.3">
      <c r="B12" s="77"/>
      <c r="C12" s="126">
        <f>'MOQ Grand Total'!C12</f>
        <v>0</v>
      </c>
      <c r="D12" s="126"/>
      <c r="E12" s="129"/>
      <c r="F12" s="130"/>
      <c r="G12" s="60"/>
      <c r="H12" s="146" t="s">
        <v>422</v>
      </c>
      <c r="I12" s="147"/>
    </row>
    <row r="13" spans="2:9" ht="15" thickBot="1" x14ac:dyDescent="0.35">
      <c r="B13" s="15"/>
      <c r="C13" s="16"/>
      <c r="D13" s="16"/>
      <c r="E13" s="16"/>
      <c r="F13" s="136" t="s">
        <v>3</v>
      </c>
      <c r="G13" s="137"/>
      <c r="H13" s="138"/>
      <c r="I13" s="136"/>
    </row>
    <row r="14" spans="2:9" ht="15" thickBot="1" x14ac:dyDescent="0.35">
      <c r="B14" s="52" t="s">
        <v>0</v>
      </c>
      <c r="C14" s="18" t="s">
        <v>15</v>
      </c>
      <c r="D14" s="19" t="s">
        <v>1</v>
      </c>
      <c r="E14" s="20" t="s">
        <v>2</v>
      </c>
      <c r="F14" s="78" t="s">
        <v>4</v>
      </c>
      <c r="G14" s="61"/>
      <c r="H14" s="17" t="s">
        <v>5</v>
      </c>
      <c r="I14" s="88" t="s">
        <v>16</v>
      </c>
    </row>
    <row r="15" spans="2:9" x14ac:dyDescent="0.3">
      <c r="B15" s="103" t="s">
        <v>68</v>
      </c>
      <c r="C15" s="54" t="str">
        <f>VLOOKUP(B15,'[1]Product by Part Number'!$A:$K,2,0)</f>
        <v xml:space="preserve">CAT D3 (1PJ)                  </v>
      </c>
      <c r="D15" s="54" t="str">
        <f>VLOOKUP(B15,'[1]Product by Part Number'!$A:$K,3,0)</f>
        <v xml:space="preserve">HEX HEAD BOLT SF </v>
      </c>
      <c r="E15" s="55">
        <f>VLOOKUP(B15,'[1]Product by Part Number'!$A:$K,11,0)</f>
        <v>16</v>
      </c>
      <c r="F15" s="80">
        <f>VLOOKUP(B15,'[1]Product by Part Number'!$A:$K,4,0)</f>
        <v>2.78</v>
      </c>
      <c r="G15" s="62">
        <f t="shared" ref="G15" si="0">E15*F15</f>
        <v>44.48</v>
      </c>
      <c r="H15" s="89">
        <f>VLOOKUP(B15,'[1]Product by Part Number'!$A:$K,5,0)</f>
        <v>1.39</v>
      </c>
      <c r="I15" s="107">
        <f t="shared" ref="I15:I199" si="1">ROUND(E15*H15,2)</f>
        <v>22.24</v>
      </c>
    </row>
    <row r="16" spans="2:9" x14ac:dyDescent="0.3">
      <c r="B16" s="103" t="s">
        <v>69</v>
      </c>
      <c r="C16" s="54" t="str">
        <f>VLOOKUP(B16,'[1]Product by Part Number'!$A:$K,2,0)</f>
        <v xml:space="preserve">CAT D7G (92V)                  </v>
      </c>
      <c r="D16" s="54" t="str">
        <f>VLOOKUP(B16,'[1]Product by Part Number'!$A:$K,3,0)</f>
        <v>CARRIER BOLT</v>
      </c>
      <c r="E16" s="55">
        <f>VLOOKUP(B16,'[1]Product by Part Number'!$A:$K,11,0)</f>
        <v>6</v>
      </c>
      <c r="F16" s="80">
        <f>VLOOKUP(B16,'[1]Product by Part Number'!$A:$K,4,0)</f>
        <v>1.1599999999999999</v>
      </c>
      <c r="G16" s="62">
        <f t="shared" ref="G16:G79" si="2">E16*F16</f>
        <v>6.9599999999999991</v>
      </c>
      <c r="H16" s="89">
        <f>VLOOKUP(B16,'[1]Product by Part Number'!$A:$K,5,0)</f>
        <v>0.57999999999999996</v>
      </c>
      <c r="I16" s="107">
        <f t="shared" ref="I16:I79" si="3">ROUND(E16*H16,2)</f>
        <v>3.48</v>
      </c>
    </row>
    <row r="17" spans="2:9" ht="27" x14ac:dyDescent="0.3">
      <c r="B17" s="104" t="s">
        <v>71</v>
      </c>
      <c r="C17" s="54" t="str">
        <f>VLOOKUP(B17,'[1]Product by Part Number'!$A:$K,2,0)</f>
        <v xml:space="preserve">CAT D4 (66J) CAT D6N LGP (GHS) CAT D6N LGP (SGG) CAT PL61 (WGS)            </v>
      </c>
      <c r="D17" s="54" t="str">
        <f>VLOOKUP(B17,'[1]Product by Part Number'!$A:$K,3,0)</f>
        <v>TRACK BOLT MASTER</v>
      </c>
      <c r="E17" s="55">
        <f>VLOOKUP(B17,'[1]Product by Part Number'!$A:$K,11,0)</f>
        <v>28</v>
      </c>
      <c r="F17" s="80">
        <f>VLOOKUP(B17,'[1]Product by Part Number'!$A:$K,4,0)</f>
        <v>6.66</v>
      </c>
      <c r="G17" s="62">
        <f t="shared" si="2"/>
        <v>186.48000000000002</v>
      </c>
      <c r="H17" s="89">
        <f>VLOOKUP(B17,'[1]Product by Part Number'!$A:$K,5,0)</f>
        <v>3.33</v>
      </c>
      <c r="I17" s="107">
        <f t="shared" si="3"/>
        <v>93.24</v>
      </c>
    </row>
    <row r="18" spans="2:9" ht="27" x14ac:dyDescent="0.3">
      <c r="B18" s="104" t="s">
        <v>72</v>
      </c>
      <c r="C18" s="54" t="str">
        <f>VLOOKUP(B18,'[1]Product by Part Number'!$A:$K,2,0)</f>
        <v xml:space="preserve">CAT D4 (66J) CAT D6N LGP (GHS) CAT D6N LGP (SGG) CAT PL61 (WGS)            </v>
      </c>
      <c r="D18" s="54" t="str">
        <f>VLOOKUP(B18,'[1]Product by Part Number'!$A:$K,3,0)</f>
        <v>TRACK BOLT MASTER</v>
      </c>
      <c r="E18" s="55">
        <f>VLOOKUP(B18,'[1]Product by Part Number'!$A:$K,11,0)</f>
        <v>28</v>
      </c>
      <c r="F18" s="80">
        <f>VLOOKUP(B18,'[1]Product by Part Number'!$A:$K,4,0)</f>
        <v>9.23</v>
      </c>
      <c r="G18" s="62">
        <f t="shared" si="2"/>
        <v>258.44</v>
      </c>
      <c r="H18" s="89">
        <f>VLOOKUP(B18,'[1]Product by Part Number'!$A:$K,5,0)</f>
        <v>4.62</v>
      </c>
      <c r="I18" s="107">
        <f t="shared" si="3"/>
        <v>129.36000000000001</v>
      </c>
    </row>
    <row r="19" spans="2:9" x14ac:dyDescent="0.3">
      <c r="B19" s="104" t="s">
        <v>73</v>
      </c>
      <c r="C19" s="54" t="str">
        <f>VLOOKUP(B19,'[1]Product by Part Number'!$A:$K,2,0)</f>
        <v xml:space="preserve">CAT D5 (3CR) CAT 561N (CPH)                </v>
      </c>
      <c r="D19" s="54" t="str">
        <f>VLOOKUP(B19,'[1]Product by Part Number'!$A:$K,3,0)</f>
        <v>SPROCKET SEGMENT</v>
      </c>
      <c r="E19" s="55">
        <f>VLOOKUP(B19,'[1]Product by Part Number'!$A:$K,11,0)</f>
        <v>70</v>
      </c>
      <c r="F19" s="80">
        <f>VLOOKUP(B19,'[1]Product by Part Number'!$A:$K,4,0)</f>
        <v>177.98</v>
      </c>
      <c r="G19" s="62">
        <f t="shared" si="2"/>
        <v>12458.599999999999</v>
      </c>
      <c r="H19" s="89">
        <f>VLOOKUP(B19,'[1]Product by Part Number'!$A:$K,5,0)</f>
        <v>88.99</v>
      </c>
      <c r="I19" s="107">
        <f t="shared" si="3"/>
        <v>6229.3</v>
      </c>
    </row>
    <row r="20" spans="2:9" x14ac:dyDescent="0.3">
      <c r="B20" s="104" t="s">
        <v>74</v>
      </c>
      <c r="C20" s="54" t="str">
        <f>VLOOKUP(B20,'[1]Product by Part Number'!$A:$K,2,0)</f>
        <v xml:space="preserve">CAT D5 (3CR) CAT 561N (CPH)                </v>
      </c>
      <c r="D20" s="54" t="str">
        <f>VLOOKUP(B20,'[1]Product by Part Number'!$A:$K,3,0)</f>
        <v>TRACK LINK ASSEMBLY</v>
      </c>
      <c r="E20" s="55">
        <f>VLOOKUP(B20,'[1]Product by Part Number'!$A:$K,11,0)</f>
        <v>14</v>
      </c>
      <c r="F20" s="80">
        <f>VLOOKUP(B20,'[1]Product by Part Number'!$A:$K,4,0)</f>
        <v>11935.92</v>
      </c>
      <c r="G20" s="62">
        <f t="shared" si="2"/>
        <v>167102.88</v>
      </c>
      <c r="H20" s="89">
        <f>VLOOKUP(B20,'[1]Product by Part Number'!$A:$K,5,0)</f>
        <v>5967.96</v>
      </c>
      <c r="I20" s="107">
        <f t="shared" si="3"/>
        <v>83551.44</v>
      </c>
    </row>
    <row r="21" spans="2:9" x14ac:dyDescent="0.3">
      <c r="B21" s="104" t="s">
        <v>75</v>
      </c>
      <c r="C21" s="54" t="str">
        <f>VLOOKUP(B21,'[1]Product by Part Number'!$A:$K,2,0)</f>
        <v xml:space="preserve">CAT PL61 (WGS)                  </v>
      </c>
      <c r="D21" s="54" t="str">
        <f>VLOOKUP(B21,'[1]Product by Part Number'!$A:$K,3,0)</f>
        <v>TRACK LINK 39 JOINT</v>
      </c>
      <c r="E21" s="55">
        <f>VLOOKUP(B21,'[1]Product by Part Number'!$A:$K,11,0)</f>
        <v>6</v>
      </c>
      <c r="F21" s="80">
        <f>VLOOKUP(B21,'[1]Product by Part Number'!$A:$K,4,0)</f>
        <v>8654.5499999999993</v>
      </c>
      <c r="G21" s="62">
        <f t="shared" si="2"/>
        <v>51927.299999999996</v>
      </c>
      <c r="H21" s="89">
        <f>VLOOKUP(B21,'[1]Product by Part Number'!$A:$K,5,0)</f>
        <v>4327.28</v>
      </c>
      <c r="I21" s="107">
        <f t="shared" si="3"/>
        <v>25963.68</v>
      </c>
    </row>
    <row r="22" spans="2:9" x14ac:dyDescent="0.3">
      <c r="B22" s="104" t="s">
        <v>78</v>
      </c>
      <c r="C22" s="54" t="str">
        <f>VLOOKUP(B22,'[1]Product by Part Number'!$A:$K,2,0)</f>
        <v xml:space="preserve">CAT 329E L (ZCD)                  </v>
      </c>
      <c r="D22" s="54" t="str">
        <f>VLOOKUP(B22,'[1]Product by Part Number'!$A:$K,3,0)</f>
        <v>CARRIER BOLT</v>
      </c>
      <c r="E22" s="55">
        <f>VLOOKUP(B22,'[1]Product by Part Number'!$A:$K,11,0)</f>
        <v>4</v>
      </c>
      <c r="F22" s="80">
        <f>VLOOKUP(B22,'[1]Product by Part Number'!$A:$K,4,0)</f>
        <v>31.9</v>
      </c>
      <c r="G22" s="62">
        <f t="shared" si="2"/>
        <v>127.6</v>
      </c>
      <c r="H22" s="89">
        <f>VLOOKUP(B22,'[1]Product by Part Number'!$A:$K,5,0)</f>
        <v>15.95</v>
      </c>
      <c r="I22" s="107">
        <f t="shared" si="3"/>
        <v>63.8</v>
      </c>
    </row>
    <row r="23" spans="2:9" ht="40.200000000000003" x14ac:dyDescent="0.3">
      <c r="B23" s="104" t="s">
        <v>80</v>
      </c>
      <c r="C23" s="54" t="str">
        <f>VLOOKUP(B23,'[1]Product by Part Number'!$A:$K,2,0)</f>
        <v xml:space="preserve">CAT 329E L (ZCD) CAT 329F L (ERL) CAT 330F L (MBX) CAT 330F L (HCK) CAT 330 (LHW) CAT 330 (WCH)        </v>
      </c>
      <c r="D23" s="54" t="str">
        <f>VLOOKUP(B23,'[1]Product by Part Number'!$A:$K,3,0)</f>
        <v>FRONT IDLER</v>
      </c>
      <c r="E23" s="55">
        <f>VLOOKUP(B23,'[1]Product by Part Number'!$A:$K,11,0)</f>
        <v>32</v>
      </c>
      <c r="F23" s="80">
        <f>VLOOKUP(B23,'[1]Product by Part Number'!$A:$K,4,0)</f>
        <v>3159.07</v>
      </c>
      <c r="G23" s="62">
        <f t="shared" si="2"/>
        <v>101090.24000000001</v>
      </c>
      <c r="H23" s="89">
        <f>VLOOKUP(B23,'[1]Product by Part Number'!$A:$K,5,0)</f>
        <v>1579.54</v>
      </c>
      <c r="I23" s="107">
        <f t="shared" si="3"/>
        <v>50545.279999999999</v>
      </c>
    </row>
    <row r="24" spans="2:9" x14ac:dyDescent="0.3">
      <c r="B24" s="104" t="s">
        <v>82</v>
      </c>
      <c r="C24" s="54" t="str">
        <f>VLOOKUP(B24,'[1]Product by Part Number'!$A:$K,2,0)</f>
        <v xml:space="preserve">CAT D4 (66J)                  </v>
      </c>
      <c r="D24" s="54" t="str">
        <f>VLOOKUP(B24,'[1]Product by Part Number'!$A:$K,3,0)</f>
        <v>SINGLE FLANGE TRACK ROLLER</v>
      </c>
      <c r="E24" s="55">
        <f>VLOOKUP(B24,'[1]Product by Part Number'!$A:$K,11,0)</f>
        <v>4</v>
      </c>
      <c r="F24" s="80">
        <f>VLOOKUP(B24,'[1]Product by Part Number'!$A:$K,4,0)</f>
        <v>1023.71</v>
      </c>
      <c r="G24" s="62">
        <f t="shared" si="2"/>
        <v>4094.84</v>
      </c>
      <c r="H24" s="89">
        <f>VLOOKUP(B24,'[1]Product by Part Number'!$A:$K,5,0)</f>
        <v>511.86</v>
      </c>
      <c r="I24" s="107">
        <f t="shared" si="3"/>
        <v>2047.44</v>
      </c>
    </row>
    <row r="25" spans="2:9" ht="27" x14ac:dyDescent="0.3">
      <c r="B25" s="104" t="s">
        <v>83</v>
      </c>
      <c r="C25" s="54" t="str">
        <f>VLOOKUP(B25,'[1]Product by Part Number'!$A:$K,2,0)</f>
        <v xml:space="preserve">CAT D4 (66J)                  </v>
      </c>
      <c r="D25" s="54" t="str">
        <f>VLOOKUP(B25,'[1]Product by Part Number'!$A:$K,3,0)</f>
        <v>DOUBLE FLANGE TRACK ROLLER (GUIDE AR)*</v>
      </c>
      <c r="E25" s="55">
        <f>VLOOKUP(B25,'[1]Product by Part Number'!$A:$K,11,0)</f>
        <v>6</v>
      </c>
      <c r="F25" s="80">
        <f>VLOOKUP(B25,'[1]Product by Part Number'!$A:$K,4,0)</f>
        <v>1246.45</v>
      </c>
      <c r="G25" s="62">
        <f t="shared" si="2"/>
        <v>7478.7000000000007</v>
      </c>
      <c r="H25" s="89">
        <f>VLOOKUP(B25,'[1]Product by Part Number'!$A:$K,5,0)</f>
        <v>623.23</v>
      </c>
      <c r="I25" s="107">
        <f t="shared" si="3"/>
        <v>3739.38</v>
      </c>
    </row>
    <row r="26" spans="2:9" x14ac:dyDescent="0.3">
      <c r="B26" s="104" t="s">
        <v>84</v>
      </c>
      <c r="C26" s="54" t="str">
        <f>VLOOKUP(B26,'[1]Product by Part Number'!$A:$K,2,0)</f>
        <v xml:space="preserve">CAT D5 (3CR) CAT 561N (CPH)                </v>
      </c>
      <c r="D26" s="54" t="str">
        <f>VLOOKUP(B26,'[1]Product by Part Number'!$A:$K,3,0)</f>
        <v>SINGLE FLANGE TRACK ROLLER</v>
      </c>
      <c r="E26" s="55">
        <f>VLOOKUP(B26,'[1]Product by Part Number'!$A:$K,11,0)</f>
        <v>102</v>
      </c>
      <c r="F26" s="80">
        <f>VLOOKUP(B26,'[1]Product by Part Number'!$A:$K,4,0)</f>
        <v>785.53</v>
      </c>
      <c r="G26" s="62">
        <f t="shared" si="2"/>
        <v>80124.06</v>
      </c>
      <c r="H26" s="89">
        <f>VLOOKUP(B26,'[1]Product by Part Number'!$A:$K,5,0)</f>
        <v>392.77</v>
      </c>
      <c r="I26" s="107">
        <f t="shared" si="3"/>
        <v>40062.54</v>
      </c>
    </row>
    <row r="27" spans="2:9" x14ac:dyDescent="0.3">
      <c r="B27" s="104" t="s">
        <v>85</v>
      </c>
      <c r="C27" s="54" t="str">
        <f>VLOOKUP(B27,'[1]Product by Part Number'!$A:$K,2,0)</f>
        <v xml:space="preserve">CAT D5 (3CR) CAT 561N (CPH)                </v>
      </c>
      <c r="D27" s="54" t="str">
        <f>VLOOKUP(B27,'[1]Product by Part Number'!$A:$K,3,0)</f>
        <v>DOUBLE FLANGE TRACK ROLLER</v>
      </c>
      <c r="E27" s="55">
        <f>VLOOKUP(B27,'[1]Product by Part Number'!$A:$K,11,0)</f>
        <v>42</v>
      </c>
      <c r="F27" s="80">
        <f>VLOOKUP(B27,'[1]Product by Part Number'!$A:$K,4,0)</f>
        <v>651.61</v>
      </c>
      <c r="G27" s="62">
        <f t="shared" si="2"/>
        <v>27367.62</v>
      </c>
      <c r="H27" s="89">
        <f>VLOOKUP(B27,'[1]Product by Part Number'!$A:$K,5,0)</f>
        <v>325.81</v>
      </c>
      <c r="I27" s="107">
        <f t="shared" si="3"/>
        <v>13684.02</v>
      </c>
    </row>
    <row r="28" spans="2:9" x14ac:dyDescent="0.3">
      <c r="B28" s="104" t="s">
        <v>91</v>
      </c>
      <c r="C28" s="54" t="str">
        <f>VLOOKUP(B28,'[1]Product by Part Number'!$A:$K,2,0)</f>
        <v xml:space="preserve">CAT 336F L (RKB)                  </v>
      </c>
      <c r="D28" s="54" t="str">
        <f>VLOOKUP(B28,'[1]Product by Part Number'!$A:$K,3,0)</f>
        <v>FRONT IDLER</v>
      </c>
      <c r="E28" s="55">
        <f>VLOOKUP(B28,'[1]Product by Part Number'!$A:$K,11,0)</f>
        <v>2</v>
      </c>
      <c r="F28" s="80">
        <f>VLOOKUP(B28,'[1]Product by Part Number'!$A:$K,4,0)</f>
        <v>4335.3599999999997</v>
      </c>
      <c r="G28" s="62">
        <f t="shared" si="2"/>
        <v>8670.7199999999993</v>
      </c>
      <c r="H28" s="89">
        <f>VLOOKUP(B28,'[1]Product by Part Number'!$A:$K,5,0)</f>
        <v>2167.6799999999998</v>
      </c>
      <c r="I28" s="107">
        <f t="shared" si="3"/>
        <v>4335.3599999999997</v>
      </c>
    </row>
    <row r="29" spans="2:9" x14ac:dyDescent="0.3">
      <c r="B29" s="104" t="s">
        <v>98</v>
      </c>
      <c r="C29" s="54" t="str">
        <f>VLOOKUP(B29,'[1]Product by Part Number'!$A:$K,2,0)</f>
        <v xml:space="preserve">CAT D6 (RDC)                  </v>
      </c>
      <c r="D29" s="54" t="str">
        <f>VLOOKUP(B29,'[1]Product by Part Number'!$A:$K,3,0)</f>
        <v>FLAT WASHER</v>
      </c>
      <c r="E29" s="55">
        <f>VLOOKUP(B29,'[1]Product by Part Number'!$A:$K,11,0)</f>
        <v>16</v>
      </c>
      <c r="F29" s="80">
        <f>VLOOKUP(B29,'[1]Product by Part Number'!$A:$K,4,0)</f>
        <v>8.75</v>
      </c>
      <c r="G29" s="62">
        <f t="shared" si="2"/>
        <v>140</v>
      </c>
      <c r="H29" s="89">
        <f>VLOOKUP(B29,'[1]Product by Part Number'!$A:$K,5,0)</f>
        <v>4.38</v>
      </c>
      <c r="I29" s="107">
        <f t="shared" si="3"/>
        <v>70.08</v>
      </c>
    </row>
    <row r="30" spans="2:9" x14ac:dyDescent="0.3">
      <c r="B30" s="104" t="s">
        <v>101</v>
      </c>
      <c r="C30" s="54" t="str">
        <f>VLOOKUP(B30,'[1]Product by Part Number'!$A:$K,2,0)</f>
        <v xml:space="preserve">CAT D3 (1PJ)                  </v>
      </c>
      <c r="D30" s="54" t="str">
        <f>VLOOKUP(B30,'[1]Product by Part Number'!$A:$K,3,0)</f>
        <v>TRACK LINK ASSEMBLY</v>
      </c>
      <c r="E30" s="55">
        <f>VLOOKUP(B30,'[1]Product by Part Number'!$A:$K,11,0)</f>
        <v>2</v>
      </c>
      <c r="F30" s="80">
        <f>VLOOKUP(B30,'[1]Product by Part Number'!$A:$K,4,0)</f>
        <v>3975.66</v>
      </c>
      <c r="G30" s="62">
        <f t="shared" si="2"/>
        <v>7951.32</v>
      </c>
      <c r="H30" s="89">
        <f>VLOOKUP(B30,'[1]Product by Part Number'!$A:$K,5,0)</f>
        <v>1987.83</v>
      </c>
      <c r="I30" s="107">
        <f t="shared" si="3"/>
        <v>3975.66</v>
      </c>
    </row>
    <row r="31" spans="2:9" x14ac:dyDescent="0.3">
      <c r="B31" s="104" t="s">
        <v>105</v>
      </c>
      <c r="C31" s="54" t="str">
        <f>VLOOKUP(B31,'[1]Product by Part Number'!$A:$K,2,0)</f>
        <v xml:space="preserve">CAT D6T (MH7)                  </v>
      </c>
      <c r="D31" s="54" t="str">
        <f>VLOOKUP(B31,'[1]Product by Part Number'!$A:$K,3,0)</f>
        <v>SPROCKET SEGMENT</v>
      </c>
      <c r="E31" s="55">
        <f>VLOOKUP(B31,'[1]Product by Part Number'!$A:$K,11,0)</f>
        <v>10</v>
      </c>
      <c r="F31" s="80">
        <f>VLOOKUP(B31,'[1]Product by Part Number'!$A:$K,4,0)</f>
        <v>292.60000000000002</v>
      </c>
      <c r="G31" s="62">
        <f t="shared" si="2"/>
        <v>2926</v>
      </c>
      <c r="H31" s="89">
        <f>VLOOKUP(B31,'[1]Product by Part Number'!$A:$K,5,0)</f>
        <v>146.30000000000001</v>
      </c>
      <c r="I31" s="107">
        <f t="shared" si="3"/>
        <v>1463</v>
      </c>
    </row>
    <row r="32" spans="2:9" x14ac:dyDescent="0.3">
      <c r="B32" s="104" t="s">
        <v>106</v>
      </c>
      <c r="C32" s="54" t="str">
        <f>VLOOKUP(B32,'[1]Product by Part Number'!$A:$K,2,0)</f>
        <v xml:space="preserve">CAT D4 (66J)                  </v>
      </c>
      <c r="D32" s="54" t="str">
        <f>VLOOKUP(B32,'[1]Product by Part Number'!$A:$K,3,0)</f>
        <v>TRACK SHOE SINGLE GROUSER 860MM</v>
      </c>
      <c r="E32" s="55">
        <f>VLOOKUP(B32,'[1]Product by Part Number'!$A:$K,11,0)</f>
        <v>90</v>
      </c>
      <c r="F32" s="80">
        <f>VLOOKUP(B32,'[1]Product by Part Number'!$A:$K,4,0)</f>
        <v>188.07</v>
      </c>
      <c r="G32" s="62">
        <f t="shared" si="2"/>
        <v>16926.3</v>
      </c>
      <c r="H32" s="89">
        <f>VLOOKUP(B32,'[1]Product by Part Number'!$A:$K,5,0)</f>
        <v>94.04</v>
      </c>
      <c r="I32" s="107">
        <f t="shared" si="3"/>
        <v>8463.6</v>
      </c>
    </row>
    <row r="33" spans="2:9" x14ac:dyDescent="0.3">
      <c r="B33" s="104" t="s">
        <v>107</v>
      </c>
      <c r="C33" s="54" t="str">
        <f>VLOOKUP(B33,'[1]Product by Part Number'!$A:$K,2,0)</f>
        <v xml:space="preserve">CAT D4 (66J)                  </v>
      </c>
      <c r="D33" s="54" t="str">
        <f>VLOOKUP(B33,'[1]Product by Part Number'!$A:$K,3,0)</f>
        <v>TRACK SHOE MASTER</v>
      </c>
      <c r="E33" s="55">
        <f>VLOOKUP(B33,'[1]Product by Part Number'!$A:$K,11,0)</f>
        <v>2</v>
      </c>
      <c r="F33" s="80">
        <f>VLOOKUP(B33,'[1]Product by Part Number'!$A:$K,4,0)</f>
        <v>200.07</v>
      </c>
      <c r="G33" s="62">
        <f t="shared" si="2"/>
        <v>400.14</v>
      </c>
      <c r="H33" s="89">
        <f>VLOOKUP(B33,'[1]Product by Part Number'!$A:$K,5,0)</f>
        <v>100.04</v>
      </c>
      <c r="I33" s="107">
        <f t="shared" si="3"/>
        <v>200.08</v>
      </c>
    </row>
    <row r="34" spans="2:9" x14ac:dyDescent="0.3">
      <c r="B34" s="104" t="s">
        <v>111</v>
      </c>
      <c r="C34" s="54" t="str">
        <f>VLOOKUP(B34,'[1]Product by Part Number'!$A:$K,2,0)</f>
        <v xml:space="preserve">CAT D6N LGP (GHS) CAT D6N LGP (SGG)                </v>
      </c>
      <c r="D34" s="54" t="str">
        <f>VLOOKUP(B34,'[1]Product by Part Number'!$A:$K,3,0)</f>
        <v xml:space="preserve">TRACK IDLER </v>
      </c>
      <c r="E34" s="55">
        <f>VLOOKUP(B34,'[1]Product by Part Number'!$A:$K,11,0)</f>
        <v>12</v>
      </c>
      <c r="F34" s="80">
        <f>VLOOKUP(B34,'[1]Product by Part Number'!$A:$K,4,0)</f>
        <v>2878.82</v>
      </c>
      <c r="G34" s="62">
        <f t="shared" si="2"/>
        <v>34545.840000000004</v>
      </c>
      <c r="H34" s="89">
        <f>VLOOKUP(B34,'[1]Product by Part Number'!$A:$K,5,0)</f>
        <v>1439.41</v>
      </c>
      <c r="I34" s="107">
        <f t="shared" si="3"/>
        <v>17272.919999999998</v>
      </c>
    </row>
    <row r="35" spans="2:9" x14ac:dyDescent="0.3">
      <c r="B35" s="104" t="s">
        <v>112</v>
      </c>
      <c r="C35" s="54" t="str">
        <f>VLOOKUP(B35,'[1]Product by Part Number'!$A:$K,2,0)</f>
        <v xml:space="preserve">CAT D5 (3CR) CAT 561N (CPH)                </v>
      </c>
      <c r="D35" s="54" t="str">
        <f>VLOOKUP(B35,'[1]Product by Part Number'!$A:$K,3,0)</f>
        <v xml:space="preserve">TRACK IDLER </v>
      </c>
      <c r="E35" s="55">
        <f>VLOOKUP(B35,'[1]Product by Part Number'!$A:$K,11,0)</f>
        <v>14</v>
      </c>
      <c r="F35" s="80">
        <f>VLOOKUP(B35,'[1]Product by Part Number'!$A:$K,4,0)</f>
        <v>3220.34</v>
      </c>
      <c r="G35" s="62">
        <f t="shared" si="2"/>
        <v>45084.76</v>
      </c>
      <c r="H35" s="89">
        <f>VLOOKUP(B35,'[1]Product by Part Number'!$A:$K,5,0)</f>
        <v>1610.17</v>
      </c>
      <c r="I35" s="107">
        <f t="shared" si="3"/>
        <v>22542.38</v>
      </c>
    </row>
    <row r="36" spans="2:9" x14ac:dyDescent="0.3">
      <c r="B36" s="104" t="s">
        <v>113</v>
      </c>
      <c r="C36" s="54" t="str">
        <f>VLOOKUP(B36,'[1]Product by Part Number'!$A:$K,2,0)</f>
        <v xml:space="preserve">CAT D3 (1PJ)                  </v>
      </c>
      <c r="D36" s="54" t="str">
        <f>VLOOKUP(B36,'[1]Product by Part Number'!$A:$K,3,0)</f>
        <v>SPROCKET SEGMENT</v>
      </c>
      <c r="E36" s="55">
        <f>VLOOKUP(B36,'[1]Product by Part Number'!$A:$K,11,0)</f>
        <v>10</v>
      </c>
      <c r="F36" s="80">
        <f>VLOOKUP(B36,'[1]Product by Part Number'!$A:$K,4,0)</f>
        <v>134.41999999999999</v>
      </c>
      <c r="G36" s="62">
        <f t="shared" si="2"/>
        <v>1344.1999999999998</v>
      </c>
      <c r="H36" s="89">
        <f>VLOOKUP(B36,'[1]Product by Part Number'!$A:$K,5,0)</f>
        <v>67.209999999999994</v>
      </c>
      <c r="I36" s="107">
        <f t="shared" si="3"/>
        <v>672.1</v>
      </c>
    </row>
    <row r="37" spans="2:9" x14ac:dyDescent="0.3">
      <c r="B37" s="104" t="s">
        <v>115</v>
      </c>
      <c r="C37" s="54" t="str">
        <f>VLOOKUP(B37,'[1]Product by Part Number'!$A:$K,2,0)</f>
        <v xml:space="preserve">CAT PL61 (WGS)                  </v>
      </c>
      <c r="D37" s="54" t="str">
        <f>VLOOKUP(B37,'[1]Product by Part Number'!$A:$K,3,0)</f>
        <v>CARRIER BOLT</v>
      </c>
      <c r="E37" s="55">
        <f>VLOOKUP(B37,'[1]Product by Part Number'!$A:$K,11,0)</f>
        <v>12</v>
      </c>
      <c r="F37" s="80">
        <f>VLOOKUP(B37,'[1]Product by Part Number'!$A:$K,4,0)</f>
        <v>1.31</v>
      </c>
      <c r="G37" s="62">
        <f t="shared" si="2"/>
        <v>15.72</v>
      </c>
      <c r="H37" s="89">
        <f>VLOOKUP(B37,'[1]Product by Part Number'!$A:$K,5,0)</f>
        <v>0.66</v>
      </c>
      <c r="I37" s="107">
        <f t="shared" si="3"/>
        <v>7.92</v>
      </c>
    </row>
    <row r="38" spans="2:9" x14ac:dyDescent="0.3">
      <c r="B38" s="104" t="s">
        <v>116</v>
      </c>
      <c r="C38" s="54" t="str">
        <f>VLOOKUP(B38,'[1]Product by Part Number'!$A:$K,2,0)</f>
        <v xml:space="preserve">CAT D6N LGP (GHS) CAT D6N LGP (SGG)                </v>
      </c>
      <c r="D38" s="54" t="str">
        <f>VLOOKUP(B38,'[1]Product by Part Number'!$A:$K,3,0)</f>
        <v>REAR WEAR STRIP 16MM</v>
      </c>
      <c r="E38" s="55">
        <f>VLOOKUP(B38,'[1]Product by Part Number'!$A:$K,11,0)</f>
        <v>12</v>
      </c>
      <c r="F38" s="80">
        <f>VLOOKUP(B38,'[1]Product by Part Number'!$A:$K,4,0)</f>
        <v>200.89</v>
      </c>
      <c r="G38" s="62">
        <f t="shared" si="2"/>
        <v>2410.6799999999998</v>
      </c>
      <c r="H38" s="89">
        <f>VLOOKUP(B38,'[1]Product by Part Number'!$A:$K,5,0)</f>
        <v>100.45</v>
      </c>
      <c r="I38" s="107">
        <f t="shared" si="3"/>
        <v>1205.4000000000001</v>
      </c>
    </row>
    <row r="39" spans="2:9" x14ac:dyDescent="0.3">
      <c r="B39" s="104" t="s">
        <v>117</v>
      </c>
      <c r="C39" s="54" t="str">
        <f>VLOOKUP(B39,'[1]Product by Part Number'!$A:$K,2,0)</f>
        <v xml:space="preserve">CAT D6N LGP (GHS) CAT D6N LGP (SGG)                </v>
      </c>
      <c r="D39" s="54" t="str">
        <f>VLOOKUP(B39,'[1]Product by Part Number'!$A:$K,3,0)</f>
        <v>FRONT WEAR STRIP 16MM</v>
      </c>
      <c r="E39" s="55">
        <f>VLOOKUP(B39,'[1]Product by Part Number'!$A:$K,11,0)</f>
        <v>12</v>
      </c>
      <c r="F39" s="80">
        <f>VLOOKUP(B39,'[1]Product by Part Number'!$A:$K,4,0)</f>
        <v>159.66</v>
      </c>
      <c r="G39" s="62">
        <f t="shared" si="2"/>
        <v>1915.92</v>
      </c>
      <c r="H39" s="89">
        <f>VLOOKUP(B39,'[1]Product by Part Number'!$A:$K,5,0)</f>
        <v>79.83</v>
      </c>
      <c r="I39" s="107">
        <f t="shared" si="3"/>
        <v>957.96</v>
      </c>
    </row>
    <row r="40" spans="2:9" x14ac:dyDescent="0.3">
      <c r="B40" s="104" t="s">
        <v>118</v>
      </c>
      <c r="C40" s="54" t="str">
        <f>VLOOKUP(B40,'[1]Product by Part Number'!$A:$K,2,0)</f>
        <v xml:space="preserve">CAT D5 (3CR) CAT 561N (CPH)                </v>
      </c>
      <c r="D40" s="54" t="str">
        <f>VLOOKUP(B40,'[1]Product by Part Number'!$A:$K,3,0)</f>
        <v>TRACK NUT</v>
      </c>
      <c r="E40" s="55">
        <f>VLOOKUP(B40,'[1]Product by Part Number'!$A:$K,11,0)</f>
        <v>1204</v>
      </c>
      <c r="F40" s="80">
        <f>VLOOKUP(B40,'[1]Product by Part Number'!$A:$K,4,0)</f>
        <v>2.0699999999999998</v>
      </c>
      <c r="G40" s="62">
        <f t="shared" si="2"/>
        <v>2492.2799999999997</v>
      </c>
      <c r="H40" s="89">
        <f>VLOOKUP(B40,'[1]Product by Part Number'!$A:$K,5,0)</f>
        <v>1.04</v>
      </c>
      <c r="I40" s="107">
        <f t="shared" si="3"/>
        <v>1252.1600000000001</v>
      </c>
    </row>
    <row r="41" spans="2:9" x14ac:dyDescent="0.3">
      <c r="B41" s="104" t="s">
        <v>119</v>
      </c>
      <c r="C41" s="54" t="str">
        <f>VLOOKUP(B41,'[1]Product by Part Number'!$A:$K,2,0)</f>
        <v xml:space="preserve">CAT D4 (66J)                  </v>
      </c>
      <c r="D41" s="54" t="str">
        <f>VLOOKUP(B41,'[1]Product by Part Number'!$A:$K,3,0)</f>
        <v xml:space="preserve">TRACK IDLER </v>
      </c>
      <c r="E41" s="55">
        <f>VLOOKUP(B41,'[1]Product by Part Number'!$A:$K,11,0)</f>
        <v>2</v>
      </c>
      <c r="F41" s="80">
        <f>VLOOKUP(B41,'[1]Product by Part Number'!$A:$K,4,0)</f>
        <v>2233.12</v>
      </c>
      <c r="G41" s="62">
        <f t="shared" si="2"/>
        <v>4466.24</v>
      </c>
      <c r="H41" s="89">
        <f>VLOOKUP(B41,'[1]Product by Part Number'!$A:$K,5,0)</f>
        <v>1116.56</v>
      </c>
      <c r="I41" s="107">
        <f t="shared" si="3"/>
        <v>2233.12</v>
      </c>
    </row>
    <row r="42" spans="2:9" x14ac:dyDescent="0.3">
      <c r="B42" s="104" t="s">
        <v>127</v>
      </c>
      <c r="C42" s="54" t="str">
        <f>VLOOKUP(B42,'[1]Product by Part Number'!$A:$K,2,0)</f>
        <v xml:space="preserve">CAT D4 (66J)                  </v>
      </c>
      <c r="D42" s="54" t="str">
        <f>VLOOKUP(B42,'[1]Product by Part Number'!$A:$K,3,0)</f>
        <v>TRACK NUT</v>
      </c>
      <c r="E42" s="55">
        <f>VLOOKUP(B42,'[1]Product by Part Number'!$A:$K,11,0)</f>
        <v>360</v>
      </c>
      <c r="F42" s="80">
        <f>VLOOKUP(B42,'[1]Product by Part Number'!$A:$K,4,0)</f>
        <v>2.94</v>
      </c>
      <c r="G42" s="62">
        <f t="shared" si="2"/>
        <v>1058.4000000000001</v>
      </c>
      <c r="H42" s="89">
        <f>VLOOKUP(B42,'[1]Product by Part Number'!$A:$K,5,0)</f>
        <v>1.47</v>
      </c>
      <c r="I42" s="107">
        <f t="shared" si="3"/>
        <v>529.20000000000005</v>
      </c>
    </row>
    <row r="43" spans="2:9" ht="27" x14ac:dyDescent="0.3">
      <c r="B43" s="104" t="s">
        <v>128</v>
      </c>
      <c r="C43" s="54" t="str">
        <f>VLOOKUP(B43,'[1]Product by Part Number'!$A:$K,2,0)</f>
        <v xml:space="preserve">CAT D6 (RDC) CAT D6N LGP (GHS) CAT D6N LGP (SGG) CAT D7G (92V) CAT PL61 (WGS)          </v>
      </c>
      <c r="D43" s="54" t="str">
        <f>VLOOKUP(B43,'[1]Product by Part Number'!$A:$K,3,0)</f>
        <v>TRACK NUT</v>
      </c>
      <c r="E43" s="55">
        <f>VLOOKUP(B43,'[1]Product by Part Number'!$A:$K,11,0)</f>
        <v>2672</v>
      </c>
      <c r="F43" s="80">
        <f>VLOOKUP(B43,'[1]Product by Part Number'!$A:$K,4,0)</f>
        <v>2.94</v>
      </c>
      <c r="G43" s="62">
        <f t="shared" si="2"/>
        <v>7855.68</v>
      </c>
      <c r="H43" s="89">
        <f>VLOOKUP(B43,'[1]Product by Part Number'!$A:$K,5,0)</f>
        <v>1.47</v>
      </c>
      <c r="I43" s="107">
        <f t="shared" si="3"/>
        <v>3927.84</v>
      </c>
    </row>
    <row r="44" spans="2:9" x14ac:dyDescent="0.3">
      <c r="B44" s="104" t="s">
        <v>130</v>
      </c>
      <c r="C44" s="54" t="str">
        <f>VLOOKUP(B44,'[1]Product by Part Number'!$A:$K,2,0)</f>
        <v xml:space="preserve">CAT D6 (RDC) CAT D6T (MH7)                </v>
      </c>
      <c r="D44" s="54" t="str">
        <f>VLOOKUP(B44,'[1]Product by Part Number'!$A:$K,3,0)</f>
        <v>TRACK IDLER</v>
      </c>
      <c r="E44" s="55">
        <f>VLOOKUP(B44,'[1]Product by Part Number'!$A:$K,11,0)</f>
        <v>8</v>
      </c>
      <c r="F44" s="80">
        <f>VLOOKUP(B44,'[1]Product by Part Number'!$A:$K,4,0)</f>
        <v>3032.3</v>
      </c>
      <c r="G44" s="62">
        <f t="shared" si="2"/>
        <v>24258.400000000001</v>
      </c>
      <c r="H44" s="89">
        <f>VLOOKUP(B44,'[1]Product by Part Number'!$A:$K,5,0)</f>
        <v>1516.15</v>
      </c>
      <c r="I44" s="107">
        <f t="shared" si="3"/>
        <v>12129.2</v>
      </c>
    </row>
    <row r="45" spans="2:9" x14ac:dyDescent="0.3">
      <c r="B45" s="104" t="s">
        <v>131</v>
      </c>
      <c r="C45" s="54" t="str">
        <f>VLOOKUP(B45,'[1]Product by Part Number'!$A:$K,2,0)</f>
        <v xml:space="preserve">CAT 336F L (RKB)                  </v>
      </c>
      <c r="D45" s="54" t="str">
        <f>VLOOKUP(B45,'[1]Product by Part Number'!$A:$K,3,0)</f>
        <v>TRACK LINK ASSEMBLY</v>
      </c>
      <c r="E45" s="55">
        <f>VLOOKUP(B45,'[1]Product by Part Number'!$A:$K,11,0)</f>
        <v>2</v>
      </c>
      <c r="F45" s="80">
        <f>VLOOKUP(B45,'[1]Product by Part Number'!$A:$K,4,0)</f>
        <v>12083.08</v>
      </c>
      <c r="G45" s="62">
        <f t="shared" si="2"/>
        <v>24166.16</v>
      </c>
      <c r="H45" s="89">
        <f>VLOOKUP(B45,'[1]Product by Part Number'!$A:$K,5,0)</f>
        <v>6041.54</v>
      </c>
      <c r="I45" s="107">
        <f t="shared" si="3"/>
        <v>12083.08</v>
      </c>
    </row>
    <row r="46" spans="2:9" x14ac:dyDescent="0.3">
      <c r="B46" s="104" t="s">
        <v>132</v>
      </c>
      <c r="C46" s="54" t="str">
        <f>VLOOKUP(B46,'[1]Product by Part Number'!$A:$K,2,0)</f>
        <v xml:space="preserve">CAT D6 (RDC) CAT D6T (MH7)                </v>
      </c>
      <c r="D46" s="54" t="str">
        <f>VLOOKUP(B46,'[1]Product by Part Number'!$A:$K,3,0)</f>
        <v>CARRIER BOLT</v>
      </c>
      <c r="E46" s="55">
        <f>VLOOKUP(B46,'[1]Product by Part Number'!$A:$K,11,0)</f>
        <v>8</v>
      </c>
      <c r="F46" s="80">
        <f>VLOOKUP(B46,'[1]Product by Part Number'!$A:$K,4,0)</f>
        <v>22.26</v>
      </c>
      <c r="G46" s="62">
        <f t="shared" si="2"/>
        <v>178.08</v>
      </c>
      <c r="H46" s="89">
        <f>VLOOKUP(B46,'[1]Product by Part Number'!$A:$K,5,0)</f>
        <v>11.13</v>
      </c>
      <c r="I46" s="107">
        <f t="shared" si="3"/>
        <v>89.04</v>
      </c>
    </row>
    <row r="47" spans="2:9" x14ac:dyDescent="0.3">
      <c r="B47" s="104" t="s">
        <v>133</v>
      </c>
      <c r="C47" s="54" t="str">
        <f>VLOOKUP(B47,'[1]Product by Part Number'!$A:$K,2,0)</f>
        <v xml:space="preserve">CAT D5 (3CR)                  </v>
      </c>
      <c r="D47" s="54" t="str">
        <f>VLOOKUP(B47,'[1]Product by Part Number'!$A:$K,3,0)</f>
        <v>TRACK SHOE SINGLE GROUSER 760MM</v>
      </c>
      <c r="E47" s="55">
        <f>VLOOKUP(B47,'[1]Product by Part Number'!$A:$K,11,0)</f>
        <v>176</v>
      </c>
      <c r="F47" s="80">
        <f>VLOOKUP(B47,'[1]Product by Part Number'!$A:$K,4,0)</f>
        <v>126.01</v>
      </c>
      <c r="G47" s="62">
        <f t="shared" si="2"/>
        <v>22177.760000000002</v>
      </c>
      <c r="H47" s="89">
        <f>VLOOKUP(B47,'[1]Product by Part Number'!$A:$K,5,0)</f>
        <v>63.01</v>
      </c>
      <c r="I47" s="107">
        <f t="shared" si="3"/>
        <v>11089.76</v>
      </c>
    </row>
    <row r="48" spans="2:9" ht="27" x14ac:dyDescent="0.3">
      <c r="B48" s="104" t="s">
        <v>135</v>
      </c>
      <c r="C48" s="54" t="str">
        <f>VLOOKUP(B48,'[1]Product by Part Number'!$A:$K,2,0)</f>
        <v xml:space="preserve">CAT 320E L (WBK) CAT 320F L (YBM) CAT 320 (HEX) CAT 320 (MYK)            </v>
      </c>
      <c r="D48" s="54" t="str">
        <f>VLOOKUP(B48,'[1]Product by Part Number'!$A:$K,3,0)</f>
        <v>SPROCKET BOLT</v>
      </c>
      <c r="E48" s="55">
        <f>VLOOKUP(B48,'[1]Product by Part Number'!$A:$K,11,0)</f>
        <v>192</v>
      </c>
      <c r="F48" s="80">
        <f>VLOOKUP(B48,'[1]Product by Part Number'!$A:$K,4,0)</f>
        <v>8.76</v>
      </c>
      <c r="G48" s="62">
        <f t="shared" si="2"/>
        <v>1681.92</v>
      </c>
      <c r="H48" s="89">
        <f>VLOOKUP(B48,'[1]Product by Part Number'!$A:$K,5,0)</f>
        <v>4.38</v>
      </c>
      <c r="I48" s="107">
        <f t="shared" si="3"/>
        <v>840.96</v>
      </c>
    </row>
    <row r="49" spans="2:9" x14ac:dyDescent="0.3">
      <c r="B49" s="104" t="s">
        <v>136</v>
      </c>
      <c r="C49" s="54" t="str">
        <f>VLOOKUP(B49,'[1]Product by Part Number'!$A:$K,2,0)</f>
        <v xml:space="preserve">CAT D6N LGP (GHS)                  </v>
      </c>
      <c r="D49" s="54" t="str">
        <f>VLOOKUP(B49,'[1]Product by Part Number'!$A:$K,3,0)</f>
        <v>TRACK SHOE SINGLE GROUSER 860MM</v>
      </c>
      <c r="E49" s="55">
        <f>VLOOKUP(B49,'[1]Product by Part Number'!$A:$K,11,0)</f>
        <v>90</v>
      </c>
      <c r="F49" s="80">
        <f>VLOOKUP(B49,'[1]Product by Part Number'!$A:$K,4,0)</f>
        <v>206.6</v>
      </c>
      <c r="G49" s="62">
        <f t="shared" si="2"/>
        <v>18594</v>
      </c>
      <c r="H49" s="89">
        <f>VLOOKUP(B49,'[1]Product by Part Number'!$A:$K,5,0)</f>
        <v>103.3</v>
      </c>
      <c r="I49" s="107">
        <f t="shared" si="3"/>
        <v>9297</v>
      </c>
    </row>
    <row r="50" spans="2:9" x14ac:dyDescent="0.3">
      <c r="B50" s="104" t="s">
        <v>137</v>
      </c>
      <c r="C50" s="54" t="str">
        <f>VLOOKUP(B50,'[1]Product by Part Number'!$A:$K,2,0)</f>
        <v xml:space="preserve">CAT D6N LGP (GHS)                  </v>
      </c>
      <c r="D50" s="54" t="str">
        <f>VLOOKUP(B50,'[1]Product by Part Number'!$A:$K,3,0)</f>
        <v>TRACK SHOE MASTER</v>
      </c>
      <c r="E50" s="55">
        <f>VLOOKUP(B50,'[1]Product by Part Number'!$A:$K,11,0)</f>
        <v>2</v>
      </c>
      <c r="F50" s="80">
        <f>VLOOKUP(B50,'[1]Product by Part Number'!$A:$K,4,0)</f>
        <v>226.51</v>
      </c>
      <c r="G50" s="62">
        <f t="shared" si="2"/>
        <v>453.02</v>
      </c>
      <c r="H50" s="89">
        <f>VLOOKUP(B50,'[1]Product by Part Number'!$A:$K,5,0)</f>
        <v>113.26</v>
      </c>
      <c r="I50" s="107">
        <f t="shared" si="3"/>
        <v>226.52</v>
      </c>
    </row>
    <row r="51" spans="2:9" x14ac:dyDescent="0.3">
      <c r="B51" s="104" t="s">
        <v>138</v>
      </c>
      <c r="C51" s="54" t="str">
        <f>VLOOKUP(B51,'[1]Product by Part Number'!$A:$K,2,0)</f>
        <v xml:space="preserve">CAT D7G (92V)                  </v>
      </c>
      <c r="D51" s="54" t="str">
        <f>VLOOKUP(B51,'[1]Product by Part Number'!$A:$K,3,0)</f>
        <v>SPROCKET HUB</v>
      </c>
      <c r="E51" s="55">
        <f>VLOOKUP(B51,'[1]Product by Part Number'!$A:$K,11,0)</f>
        <v>2</v>
      </c>
      <c r="F51" s="80">
        <f>VLOOKUP(B51,'[1]Product by Part Number'!$A:$K,4,0)</f>
        <v>3635.61</v>
      </c>
      <c r="G51" s="62">
        <f t="shared" si="2"/>
        <v>7271.22</v>
      </c>
      <c r="H51" s="89">
        <f>VLOOKUP(B51,'[1]Product by Part Number'!$A:$K,5,0)</f>
        <v>1817.81</v>
      </c>
      <c r="I51" s="107">
        <f t="shared" si="3"/>
        <v>3635.62</v>
      </c>
    </row>
    <row r="52" spans="2:9" ht="27" x14ac:dyDescent="0.3">
      <c r="B52" s="104" t="s">
        <v>139</v>
      </c>
      <c r="C52" s="54" t="str">
        <f>VLOOKUP(B52,'[1]Product by Part Number'!$A:$K,2,0)</f>
        <v xml:space="preserve">CAT D6N LGP (GHS) CAT D6N LGP (PBA) CAT D6N LGP (SGG)              </v>
      </c>
      <c r="D52" s="54" t="str">
        <f>VLOOKUP(B52,'[1]Product by Part Number'!$A:$K,3,0)</f>
        <v>CARRIER ROLLER</v>
      </c>
      <c r="E52" s="55">
        <f>VLOOKUP(B52,'[1]Product by Part Number'!$A:$K,11,0)</f>
        <v>10</v>
      </c>
      <c r="F52" s="80">
        <f>VLOOKUP(B52,'[1]Product by Part Number'!$A:$K,4,0)</f>
        <v>496.33</v>
      </c>
      <c r="G52" s="62">
        <f t="shared" si="2"/>
        <v>4963.3</v>
      </c>
      <c r="H52" s="89">
        <f>VLOOKUP(B52,'[1]Product by Part Number'!$A:$K,5,0)</f>
        <v>248.17</v>
      </c>
      <c r="I52" s="107">
        <f t="shared" si="3"/>
        <v>2481.6999999999998</v>
      </c>
    </row>
    <row r="53" spans="2:9" x14ac:dyDescent="0.3">
      <c r="B53" s="104" t="s">
        <v>141</v>
      </c>
      <c r="C53" s="54" t="str">
        <f>VLOOKUP(B53,'[1]Product by Part Number'!$A:$K,2,0)</f>
        <v xml:space="preserve">CAT D6 (RDC) CAT D6T (MH7)                </v>
      </c>
      <c r="D53" s="54" t="str">
        <f>VLOOKUP(B53,'[1]Product by Part Number'!$A:$K,3,0)</f>
        <v>CARRIER ROLLER</v>
      </c>
      <c r="E53" s="55">
        <f>VLOOKUP(B53,'[1]Product by Part Number'!$A:$K,11,0)</f>
        <v>4</v>
      </c>
      <c r="F53" s="80">
        <f>VLOOKUP(B53,'[1]Product by Part Number'!$A:$K,4,0)</f>
        <v>594.54</v>
      </c>
      <c r="G53" s="62">
        <f t="shared" si="2"/>
        <v>2378.16</v>
      </c>
      <c r="H53" s="89">
        <f>VLOOKUP(B53,'[1]Product by Part Number'!$A:$K,5,0)</f>
        <v>297.27</v>
      </c>
      <c r="I53" s="107">
        <f t="shared" si="3"/>
        <v>1189.08</v>
      </c>
    </row>
    <row r="54" spans="2:9" x14ac:dyDescent="0.3">
      <c r="B54" s="104" t="s">
        <v>142</v>
      </c>
      <c r="C54" s="54" t="str">
        <f>VLOOKUP(B54,'[1]Product by Part Number'!$A:$K,2,0)</f>
        <v xml:space="preserve">CAT D6N LGP (PBA)                  </v>
      </c>
      <c r="D54" s="54" t="str">
        <f>VLOOKUP(B54,'[1]Product by Part Number'!$A:$K,3,0)</f>
        <v>SINGLE FLANGE TRACK ROLLER</v>
      </c>
      <c r="E54" s="55">
        <f>VLOOKUP(B54,'[1]Product by Part Number'!$A:$K,11,0)</f>
        <v>32</v>
      </c>
      <c r="F54" s="80">
        <f>VLOOKUP(B54,'[1]Product by Part Number'!$A:$K,4,0)</f>
        <v>866.99</v>
      </c>
      <c r="G54" s="62">
        <f t="shared" si="2"/>
        <v>27743.68</v>
      </c>
      <c r="H54" s="89">
        <f>VLOOKUP(B54,'[1]Product by Part Number'!$A:$K,5,0)</f>
        <v>433.5</v>
      </c>
      <c r="I54" s="107">
        <f t="shared" si="3"/>
        <v>13872</v>
      </c>
    </row>
    <row r="55" spans="2:9" ht="27" x14ac:dyDescent="0.3">
      <c r="B55" s="104" t="s">
        <v>143</v>
      </c>
      <c r="C55" s="54" t="str">
        <f>VLOOKUP(B55,'[1]Product by Part Number'!$A:$K,2,0)</f>
        <v xml:space="preserve">CAT 320E L (WBK) CAT 320F L (YBM) CAT 320 (HEX) CAT 320 (MYK)            </v>
      </c>
      <c r="D55" s="54" t="str">
        <f>VLOOKUP(B55,'[1]Product by Part Number'!$A:$K,3,0)</f>
        <v>TRACK IDLER</v>
      </c>
      <c r="E55" s="55">
        <f>VLOOKUP(B55,'[1]Product by Part Number'!$A:$K,11,0)</f>
        <v>16</v>
      </c>
      <c r="F55" s="80">
        <f>VLOOKUP(B55,'[1]Product by Part Number'!$A:$K,4,0)</f>
        <v>2633.14</v>
      </c>
      <c r="G55" s="62">
        <f t="shared" si="2"/>
        <v>42130.239999999998</v>
      </c>
      <c r="H55" s="89">
        <f>VLOOKUP(B55,'[1]Product by Part Number'!$A:$K,5,0)</f>
        <v>1316.57</v>
      </c>
      <c r="I55" s="107">
        <f t="shared" si="3"/>
        <v>21065.119999999999</v>
      </c>
    </row>
    <row r="56" spans="2:9" x14ac:dyDescent="0.3">
      <c r="B56" s="104" t="s">
        <v>144</v>
      </c>
      <c r="C56" s="54" t="str">
        <f>VLOOKUP(B56,'[1]Product by Part Number'!$A:$K,2,0)</f>
        <v xml:space="preserve">CAT D6N LGP (GHS) CAT D6N LGP (SGG)                </v>
      </c>
      <c r="D56" s="54" t="str">
        <f>VLOOKUP(B56,'[1]Product by Part Number'!$A:$K,3,0)</f>
        <v>IDLER SCRAPER</v>
      </c>
      <c r="E56" s="55">
        <f>VLOOKUP(B56,'[1]Product by Part Number'!$A:$K,11,0)</f>
        <v>6</v>
      </c>
      <c r="F56" s="80">
        <f>VLOOKUP(B56,'[1]Product by Part Number'!$A:$K,4,0)</f>
        <v>113.29</v>
      </c>
      <c r="G56" s="62">
        <f t="shared" si="2"/>
        <v>679.74</v>
      </c>
      <c r="H56" s="89">
        <f>VLOOKUP(B56,'[1]Product by Part Number'!$A:$K,5,0)</f>
        <v>56.65</v>
      </c>
      <c r="I56" s="107">
        <f t="shared" si="3"/>
        <v>339.9</v>
      </c>
    </row>
    <row r="57" spans="2:9" x14ac:dyDescent="0.3">
      <c r="B57" s="104" t="s">
        <v>147</v>
      </c>
      <c r="C57" s="54" t="str">
        <f>VLOOKUP(B57,'[1]Product by Part Number'!$A:$K,2,0)</f>
        <v xml:space="preserve">CAT D6N LGP (PBA)                  </v>
      </c>
      <c r="D57" s="54" t="str">
        <f>VLOOKUP(B57,'[1]Product by Part Number'!$A:$K,3,0)</f>
        <v>TRACK BOLT MASTER</v>
      </c>
      <c r="E57" s="55">
        <f>VLOOKUP(B57,'[1]Product by Part Number'!$A:$K,11,0)</f>
        <v>16</v>
      </c>
      <c r="F57" s="80">
        <f>VLOOKUP(B57,'[1]Product by Part Number'!$A:$K,4,0)</f>
        <v>10.72</v>
      </c>
      <c r="G57" s="62">
        <f t="shared" si="2"/>
        <v>171.52</v>
      </c>
      <c r="H57" s="89">
        <f>VLOOKUP(B57,'[1]Product by Part Number'!$A:$K,5,0)</f>
        <v>5.36</v>
      </c>
      <c r="I57" s="107">
        <f t="shared" si="3"/>
        <v>85.76</v>
      </c>
    </row>
    <row r="58" spans="2:9" x14ac:dyDescent="0.3">
      <c r="B58" s="104" t="s">
        <v>148</v>
      </c>
      <c r="C58" s="54" t="str">
        <f>VLOOKUP(B58,'[1]Product by Part Number'!$A:$K,2,0)</f>
        <v xml:space="preserve">CAT PL61 (WGS)                  </v>
      </c>
      <c r="D58" s="54" t="str">
        <f>VLOOKUP(B58,'[1]Product by Part Number'!$A:$K,3,0)</f>
        <v>SPROCKET</v>
      </c>
      <c r="E58" s="55">
        <f>VLOOKUP(B58,'[1]Product by Part Number'!$A:$K,11,0)</f>
        <v>6</v>
      </c>
      <c r="F58" s="80">
        <f>VLOOKUP(B58,'[1]Product by Part Number'!$A:$K,4,0)</f>
        <v>1650.99</v>
      </c>
      <c r="G58" s="62">
        <f t="shared" si="2"/>
        <v>9905.94</v>
      </c>
      <c r="H58" s="89">
        <f>VLOOKUP(B58,'[1]Product by Part Number'!$A:$K,5,0)</f>
        <v>825.5</v>
      </c>
      <c r="I58" s="107">
        <f t="shared" si="3"/>
        <v>4953</v>
      </c>
    </row>
    <row r="59" spans="2:9" x14ac:dyDescent="0.3">
      <c r="B59" s="104" t="s">
        <v>149</v>
      </c>
      <c r="C59" s="54" t="str">
        <f>VLOOKUP(B59,'[1]Product by Part Number'!$A:$K,2,0)</f>
        <v xml:space="preserve">CAT D6N LGP (GHS) CAT D6N LGP (SGG)                </v>
      </c>
      <c r="D59" s="54" t="str">
        <f>VLOOKUP(B59,'[1]Product by Part Number'!$A:$K,3,0)</f>
        <v>HEX HEAD BOLT</v>
      </c>
      <c r="E59" s="55">
        <f>VLOOKUP(B59,'[1]Product by Part Number'!$A:$K,11,0)</f>
        <v>12</v>
      </c>
      <c r="F59" s="80">
        <f>VLOOKUP(B59,'[1]Product by Part Number'!$A:$K,4,0)</f>
        <v>4.12</v>
      </c>
      <c r="G59" s="62">
        <f t="shared" si="2"/>
        <v>49.44</v>
      </c>
      <c r="H59" s="89">
        <f>VLOOKUP(B59,'[1]Product by Part Number'!$A:$K,5,0)</f>
        <v>2.06</v>
      </c>
      <c r="I59" s="107">
        <f t="shared" si="3"/>
        <v>24.72</v>
      </c>
    </row>
    <row r="60" spans="2:9" x14ac:dyDescent="0.3">
      <c r="B60" s="104" t="s">
        <v>150</v>
      </c>
      <c r="C60" s="54" t="str">
        <f>VLOOKUP(B60,'[1]Product by Part Number'!$A:$K,2,0)</f>
        <v xml:space="preserve">CAT 303.5E                  </v>
      </c>
      <c r="D60" s="54" t="str">
        <f>VLOOKUP(B60,'[1]Product by Part Number'!$A:$K,3,0)</f>
        <v>IDLER-BEARING ASSY LH</v>
      </c>
      <c r="E60" s="55">
        <f>VLOOKUP(B60,'[1]Product by Part Number'!$A:$K,11,0)</f>
        <v>2</v>
      </c>
      <c r="F60" s="80">
        <f>VLOOKUP(B60,'[1]Product by Part Number'!$A:$K,4,0)</f>
        <v>854.8</v>
      </c>
      <c r="G60" s="62">
        <f t="shared" si="2"/>
        <v>1709.6</v>
      </c>
      <c r="H60" s="89">
        <f>VLOOKUP(B60,'[1]Product by Part Number'!$A:$K,5,0)</f>
        <v>427.4</v>
      </c>
      <c r="I60" s="107">
        <f t="shared" si="3"/>
        <v>854.8</v>
      </c>
    </row>
    <row r="61" spans="2:9" x14ac:dyDescent="0.3">
      <c r="B61" s="104" t="s">
        <v>151</v>
      </c>
      <c r="C61" s="54" t="str">
        <f>VLOOKUP(B61,'[1]Product by Part Number'!$A:$K,2,0)</f>
        <v xml:space="preserve">CAT D6N LGP (PBA)                  </v>
      </c>
      <c r="D61" s="54" t="str">
        <f>VLOOKUP(B61,'[1]Product by Part Number'!$A:$K,3,0)</f>
        <v>TRACK SHOE 860MM</v>
      </c>
      <c r="E61" s="55">
        <f>VLOOKUP(B61,'[1]Product by Part Number'!$A:$K,11,0)</f>
        <v>180</v>
      </c>
      <c r="F61" s="80">
        <f>VLOOKUP(B61,'[1]Product by Part Number'!$A:$K,4,0)</f>
        <v>211.37</v>
      </c>
      <c r="G61" s="62">
        <f t="shared" si="2"/>
        <v>38046.6</v>
      </c>
      <c r="H61" s="89">
        <f>VLOOKUP(B61,'[1]Product by Part Number'!$A:$K,5,0)</f>
        <v>105.69</v>
      </c>
      <c r="I61" s="107">
        <f t="shared" si="3"/>
        <v>19024.2</v>
      </c>
    </row>
    <row r="62" spans="2:9" x14ac:dyDescent="0.3">
      <c r="B62" s="104" t="s">
        <v>153</v>
      </c>
      <c r="C62" s="54" t="str">
        <f>VLOOKUP(B62,'[1]Product by Part Number'!$A:$K,2,0)</f>
        <v xml:space="preserve">CAT D7G (92V)                  </v>
      </c>
      <c r="D62" s="54" t="str">
        <f>VLOOKUP(B62,'[1]Product by Part Number'!$A:$K,3,0)</f>
        <v>SPROCKET BOLT</v>
      </c>
      <c r="E62" s="55">
        <f>VLOOKUP(B62,'[1]Product by Part Number'!$A:$K,11,0)</f>
        <v>40</v>
      </c>
      <c r="F62" s="80">
        <f>VLOOKUP(B62,'[1]Product by Part Number'!$A:$K,4,0)</f>
        <v>4.75</v>
      </c>
      <c r="G62" s="62">
        <f t="shared" si="2"/>
        <v>190</v>
      </c>
      <c r="H62" s="89">
        <f>VLOOKUP(B62,'[1]Product by Part Number'!$A:$K,5,0)</f>
        <v>2.38</v>
      </c>
      <c r="I62" s="107">
        <f t="shared" si="3"/>
        <v>95.2</v>
      </c>
    </row>
    <row r="63" spans="2:9" x14ac:dyDescent="0.3">
      <c r="B63" s="104" t="s">
        <v>156</v>
      </c>
      <c r="C63" s="54" t="str">
        <f>VLOOKUP(B63,'[1]Product by Part Number'!$A:$K,2,0)</f>
        <v xml:space="preserve">CAT D6T (MH7)                  </v>
      </c>
      <c r="D63" s="54" t="str">
        <f>VLOOKUP(B63,'[1]Product by Part Number'!$A:$K,3,0)</f>
        <v>SINGLE FLANGE TRACK ROLLER</v>
      </c>
      <c r="E63" s="55">
        <f>VLOOKUP(B63,'[1]Product by Part Number'!$A:$K,11,0)</f>
        <v>4</v>
      </c>
      <c r="F63" s="80">
        <f>VLOOKUP(B63,'[1]Product by Part Number'!$A:$K,4,0)</f>
        <v>936.48</v>
      </c>
      <c r="G63" s="62">
        <f t="shared" si="2"/>
        <v>3745.92</v>
      </c>
      <c r="H63" s="89">
        <f>VLOOKUP(B63,'[1]Product by Part Number'!$A:$K,5,0)</f>
        <v>468.24</v>
      </c>
      <c r="I63" s="107">
        <f t="shared" si="3"/>
        <v>1872.96</v>
      </c>
    </row>
    <row r="64" spans="2:9" x14ac:dyDescent="0.3">
      <c r="B64" s="104" t="s">
        <v>157</v>
      </c>
      <c r="C64" s="54" t="str">
        <f>VLOOKUP(B64,'[1]Product by Part Number'!$A:$K,2,0)</f>
        <v xml:space="preserve">CAT D6T (MH7)                  </v>
      </c>
      <c r="D64" s="54" t="str">
        <f>VLOOKUP(B64,'[1]Product by Part Number'!$A:$K,3,0)</f>
        <v>DOUBLE FLANGE TRACK ROLLER</v>
      </c>
      <c r="E64" s="55">
        <f>VLOOKUP(B64,'[1]Product by Part Number'!$A:$K,11,0)</f>
        <v>12</v>
      </c>
      <c r="F64" s="80">
        <f>VLOOKUP(B64,'[1]Product by Part Number'!$A:$K,4,0)</f>
        <v>1023.54</v>
      </c>
      <c r="G64" s="62">
        <f t="shared" si="2"/>
        <v>12282.48</v>
      </c>
      <c r="H64" s="89">
        <f>VLOOKUP(B64,'[1]Product by Part Number'!$A:$K,5,0)</f>
        <v>511.77</v>
      </c>
      <c r="I64" s="107">
        <f t="shared" si="3"/>
        <v>6141.24</v>
      </c>
    </row>
    <row r="65" spans="2:9" x14ac:dyDescent="0.3">
      <c r="B65" s="104" t="s">
        <v>159</v>
      </c>
      <c r="C65" s="54" t="str">
        <f>VLOOKUP(B65,'[1]Product by Part Number'!$A:$K,2,0)</f>
        <v xml:space="preserve">CAT D6N LGP (PBA)                  </v>
      </c>
      <c r="D65" s="54" t="str">
        <f>VLOOKUP(B65,'[1]Product by Part Number'!$A:$K,3,0)</f>
        <v>TRACK SHOE MASTER</v>
      </c>
      <c r="E65" s="55">
        <f>VLOOKUP(B65,'[1]Product by Part Number'!$A:$K,11,0)</f>
        <v>4</v>
      </c>
      <c r="F65" s="80">
        <f>VLOOKUP(B65,'[1]Product by Part Number'!$A:$K,4,0)</f>
        <v>241.71</v>
      </c>
      <c r="G65" s="62">
        <f t="shared" si="2"/>
        <v>966.84</v>
      </c>
      <c r="H65" s="89">
        <f>VLOOKUP(B65,'[1]Product by Part Number'!$A:$K,5,0)</f>
        <v>120.86</v>
      </c>
      <c r="I65" s="107">
        <f t="shared" si="3"/>
        <v>483.44</v>
      </c>
    </row>
    <row r="66" spans="2:9" ht="27" x14ac:dyDescent="0.3">
      <c r="B66" s="104" t="s">
        <v>162</v>
      </c>
      <c r="C66" s="54" t="str">
        <f>VLOOKUP(B66,'[1]Product by Part Number'!$A:$K,2,0)</f>
        <v xml:space="preserve">CAT D6N LGP (GHS) CAT D6N LGP (PBA) CAT D6N LGP (SGG) CAT D6T (MH7)            </v>
      </c>
      <c r="D66" s="54" t="str">
        <f>VLOOKUP(B66,'[1]Product by Part Number'!$A:$K,3,0)</f>
        <v>FLAT WASHER</v>
      </c>
      <c r="E66" s="55">
        <f>VLOOKUP(B66,'[1]Product by Part Number'!$A:$K,11,0)</f>
        <v>300</v>
      </c>
      <c r="F66" s="80">
        <f>VLOOKUP(B66,'[1]Product by Part Number'!$A:$K,4,0)</f>
        <v>2.0499999999999998</v>
      </c>
      <c r="G66" s="62">
        <f t="shared" si="2"/>
        <v>615</v>
      </c>
      <c r="H66" s="89">
        <f>VLOOKUP(B66,'[1]Product by Part Number'!$A:$K,5,0)</f>
        <v>1.03</v>
      </c>
      <c r="I66" s="107">
        <f t="shared" si="3"/>
        <v>309</v>
      </c>
    </row>
    <row r="67" spans="2:9" ht="40.200000000000003" x14ac:dyDescent="0.3">
      <c r="B67" s="104" t="s">
        <v>163</v>
      </c>
      <c r="C67" s="54" t="str">
        <f>VLOOKUP(B67,'[1]Product by Part Number'!$A:$K,2,0)</f>
        <v xml:space="preserve">CAT 329E L (ZCD) CAT 329F L (ERL) CAT 330F L (MBX) CAT 330F L (HCK) CAT 330 (LHW) CAT 330 (WCH) CAT 336F L (RKB)      </v>
      </c>
      <c r="D67" s="54" t="str">
        <f>VLOOKUP(B67,'[1]Product by Part Number'!$A:$K,3,0)</f>
        <v>CARRIER ROLLER</v>
      </c>
      <c r="E67" s="55">
        <f>VLOOKUP(B67,'[1]Product by Part Number'!$A:$K,11,0)</f>
        <v>68</v>
      </c>
      <c r="F67" s="80">
        <f>VLOOKUP(B67,'[1]Product by Part Number'!$A:$K,4,0)</f>
        <v>635.41999999999996</v>
      </c>
      <c r="G67" s="62">
        <f t="shared" si="2"/>
        <v>43208.56</v>
      </c>
      <c r="H67" s="89">
        <f>VLOOKUP(B67,'[1]Product by Part Number'!$A:$K,5,0)</f>
        <v>317.70999999999998</v>
      </c>
      <c r="I67" s="107">
        <f t="shared" si="3"/>
        <v>21604.28</v>
      </c>
    </row>
    <row r="68" spans="2:9" ht="27" x14ac:dyDescent="0.3">
      <c r="B68" s="104" t="s">
        <v>165</v>
      </c>
      <c r="C68" s="54" t="str">
        <f>VLOOKUP(B68,'[1]Product by Part Number'!$A:$K,2,0)</f>
        <v xml:space="preserve">CAT 329E L (ZCD) CAT 329F L (ERL) CAT 330F L (MBX) CAT 330F L (HCK)            </v>
      </c>
      <c r="D68" s="54" t="str">
        <f>VLOOKUP(B68,'[1]Product by Part Number'!$A:$K,3,0)</f>
        <v>TRACK BOLT 68MM</v>
      </c>
      <c r="E68" s="55">
        <f>VLOOKUP(B68,'[1]Product by Part Number'!$A:$K,11,0)</f>
        <v>2400</v>
      </c>
      <c r="F68" s="80">
        <f>VLOOKUP(B68,'[1]Product by Part Number'!$A:$K,4,0)</f>
        <v>6.78</v>
      </c>
      <c r="G68" s="62">
        <f t="shared" si="2"/>
        <v>16272</v>
      </c>
      <c r="H68" s="89">
        <f>VLOOKUP(B68,'[1]Product by Part Number'!$A:$K,5,0)</f>
        <v>3.39</v>
      </c>
      <c r="I68" s="107">
        <f t="shared" si="3"/>
        <v>8136</v>
      </c>
    </row>
    <row r="69" spans="2:9" x14ac:dyDescent="0.3">
      <c r="B69" s="104" t="s">
        <v>167</v>
      </c>
      <c r="C69" s="54" t="str">
        <f>VLOOKUP(B69,'[1]Product by Part Number'!$A:$K,2,0)</f>
        <v xml:space="preserve">CAT D6N LGP (GHS) CAT D6N LGP (SGG)                </v>
      </c>
      <c r="D69" s="54" t="str">
        <f>VLOOKUP(B69,'[1]Product by Part Number'!$A:$K,3,0)</f>
        <v>SINGLE FLANGE TRACK ROLLER</v>
      </c>
      <c r="E69" s="55">
        <f>VLOOKUP(B69,'[1]Product by Part Number'!$A:$K,11,0)</f>
        <v>20</v>
      </c>
      <c r="F69" s="80">
        <f>VLOOKUP(B69,'[1]Product by Part Number'!$A:$K,4,0)</f>
        <v>857.8</v>
      </c>
      <c r="G69" s="62">
        <f t="shared" si="2"/>
        <v>17156</v>
      </c>
      <c r="H69" s="89">
        <f>VLOOKUP(B69,'[1]Product by Part Number'!$A:$K,5,0)</f>
        <v>428.9</v>
      </c>
      <c r="I69" s="107">
        <f t="shared" si="3"/>
        <v>8578</v>
      </c>
    </row>
    <row r="70" spans="2:9" x14ac:dyDescent="0.3">
      <c r="B70" s="104" t="s">
        <v>168</v>
      </c>
      <c r="C70" s="54" t="str">
        <f>VLOOKUP(B70,'[1]Product by Part Number'!$A:$K,2,0)</f>
        <v xml:space="preserve">CAT D6N LGP (SGG)                  </v>
      </c>
      <c r="D70" s="54" t="str">
        <f>VLOOKUP(B70,'[1]Product by Part Number'!$A:$K,3,0)</f>
        <v>DOUBLE FLANGE TRACK ROLLER</v>
      </c>
      <c r="E70" s="55">
        <f>VLOOKUP(B70,'[1]Product by Part Number'!$A:$K,11,0)</f>
        <v>16</v>
      </c>
      <c r="F70" s="80">
        <f>VLOOKUP(B70,'[1]Product by Part Number'!$A:$K,4,0)</f>
        <v>900.53</v>
      </c>
      <c r="G70" s="62">
        <f t="shared" si="2"/>
        <v>14408.48</v>
      </c>
      <c r="H70" s="89">
        <f>VLOOKUP(B70,'[1]Product by Part Number'!$A:$K,5,0)</f>
        <v>450.27</v>
      </c>
      <c r="I70" s="107">
        <f t="shared" si="3"/>
        <v>7204.32</v>
      </c>
    </row>
    <row r="71" spans="2:9" ht="27" x14ac:dyDescent="0.3">
      <c r="B71" s="104" t="s">
        <v>169</v>
      </c>
      <c r="C71" s="54" t="str">
        <f>VLOOKUP(B71,'[1]Product by Part Number'!$A:$K,2,0)</f>
        <v xml:space="preserve">CAT D6N LGP (GHS)                  </v>
      </c>
      <c r="D71" s="54" t="str">
        <f>VLOOKUP(B71,'[1]Product by Part Number'!$A:$K,3,0)</f>
        <v>DOUBLE FLANGE TRACK ROLLER (GUIDE AR)*</v>
      </c>
      <c r="E71" s="55">
        <f>VLOOKUP(B71,'[1]Product by Part Number'!$A:$K,11,0)</f>
        <v>12</v>
      </c>
      <c r="F71" s="80">
        <f>VLOOKUP(B71,'[1]Product by Part Number'!$A:$K,4,0)</f>
        <v>1006.57</v>
      </c>
      <c r="G71" s="62">
        <f t="shared" si="2"/>
        <v>12078.84</v>
      </c>
      <c r="H71" s="89">
        <f>VLOOKUP(B71,'[1]Product by Part Number'!$A:$K,5,0)</f>
        <v>503.29</v>
      </c>
      <c r="I71" s="107">
        <f t="shared" si="3"/>
        <v>6039.48</v>
      </c>
    </row>
    <row r="72" spans="2:9" x14ac:dyDescent="0.3">
      <c r="B72" s="104" t="s">
        <v>170</v>
      </c>
      <c r="C72" s="54" t="str">
        <f>VLOOKUP(B72,'[1]Product by Part Number'!$A:$K,2,0)</f>
        <v xml:space="preserve">CAT 330 (LHW) CAT 330 (WCH) CAT 336F L (RKB)              </v>
      </c>
      <c r="D72" s="54" t="str">
        <f>VLOOKUP(B72,'[1]Product by Part Number'!$A:$K,3,0)</f>
        <v>TRACK NUT</v>
      </c>
      <c r="E72" s="55">
        <f>VLOOKUP(B72,'[1]Product by Part Number'!$A:$K,11,0)</f>
        <v>4396</v>
      </c>
      <c r="F72" s="80">
        <f>VLOOKUP(B72,'[1]Product by Part Number'!$A:$K,4,0)</f>
        <v>3.94</v>
      </c>
      <c r="G72" s="62">
        <f t="shared" si="2"/>
        <v>17320.239999999998</v>
      </c>
      <c r="H72" s="89">
        <f>VLOOKUP(B72,'[1]Product by Part Number'!$A:$K,5,0)</f>
        <v>1.97</v>
      </c>
      <c r="I72" s="107">
        <f t="shared" si="3"/>
        <v>8660.1200000000008</v>
      </c>
    </row>
    <row r="73" spans="2:9" x14ac:dyDescent="0.3">
      <c r="B73" s="104" t="s">
        <v>175</v>
      </c>
      <c r="C73" s="54" t="str">
        <f>VLOOKUP(B73,'[1]Product by Part Number'!$A:$K,2,0)</f>
        <v xml:space="preserve">CAT D6N LGP (PBA)                  </v>
      </c>
      <c r="D73" s="54" t="str">
        <f>VLOOKUP(B73,'[1]Product by Part Number'!$A:$K,3,0)</f>
        <v>TRACK LINK MASTER</v>
      </c>
      <c r="E73" s="55">
        <f>VLOOKUP(B73,'[1]Product by Part Number'!$A:$K,11,0)</f>
        <v>8</v>
      </c>
      <c r="F73" s="80">
        <f>VLOOKUP(B73,'[1]Product by Part Number'!$A:$K,4,0)</f>
        <v>392.82</v>
      </c>
      <c r="G73" s="62">
        <f t="shared" si="2"/>
        <v>3142.56</v>
      </c>
      <c r="H73" s="89">
        <f>VLOOKUP(B73,'[1]Product by Part Number'!$A:$K,5,0)</f>
        <v>196.41</v>
      </c>
      <c r="I73" s="107">
        <f t="shared" si="3"/>
        <v>1571.28</v>
      </c>
    </row>
    <row r="74" spans="2:9" x14ac:dyDescent="0.3">
      <c r="B74" s="104" t="s">
        <v>176</v>
      </c>
      <c r="C74" s="54" t="str">
        <f>VLOOKUP(B74,'[1]Product by Part Number'!$A:$K,2,0)</f>
        <v xml:space="preserve">CAT 336F L (RKB)                  </v>
      </c>
      <c r="D74" s="54" t="str">
        <f>VLOOKUP(B74,'[1]Product by Part Number'!$A:$K,3,0)</f>
        <v>TRACK BOLT</v>
      </c>
      <c r="E74" s="55">
        <f>VLOOKUP(B74,'[1]Product by Part Number'!$A:$K,11,0)</f>
        <v>396</v>
      </c>
      <c r="F74" s="80">
        <f>VLOOKUP(B74,'[1]Product by Part Number'!$A:$K,4,0)</f>
        <v>9.11</v>
      </c>
      <c r="G74" s="62">
        <f t="shared" si="2"/>
        <v>3607.56</v>
      </c>
      <c r="H74" s="89">
        <f>VLOOKUP(B74,'[1]Product by Part Number'!$A:$K,5,0)</f>
        <v>4.5599999999999996</v>
      </c>
      <c r="I74" s="107">
        <f t="shared" si="3"/>
        <v>1805.76</v>
      </c>
    </row>
    <row r="75" spans="2:9" x14ac:dyDescent="0.3">
      <c r="B75" s="104" t="s">
        <v>181</v>
      </c>
      <c r="C75" s="54" t="str">
        <f>VLOOKUP(B75,'[1]Product by Part Number'!$A:$K,2,0)</f>
        <v xml:space="preserve">CAT D6N LGP (PBA)                  </v>
      </c>
      <c r="D75" s="54" t="str">
        <f>VLOOKUP(B75,'[1]Product by Part Number'!$A:$K,3,0)</f>
        <v>TRACK IDLER</v>
      </c>
      <c r="E75" s="55">
        <f>VLOOKUP(B75,'[1]Product by Part Number'!$A:$K,11,0)</f>
        <v>8</v>
      </c>
      <c r="F75" s="80">
        <f>VLOOKUP(B75,'[1]Product by Part Number'!$A:$K,4,0)</f>
        <v>4087.57</v>
      </c>
      <c r="G75" s="62">
        <f t="shared" si="2"/>
        <v>32700.560000000001</v>
      </c>
      <c r="H75" s="89">
        <f>VLOOKUP(B75,'[1]Product by Part Number'!$A:$K,5,0)</f>
        <v>2043.79</v>
      </c>
      <c r="I75" s="107">
        <f t="shared" si="3"/>
        <v>16350.32</v>
      </c>
    </row>
    <row r="76" spans="2:9" ht="27" x14ac:dyDescent="0.3">
      <c r="B76" s="104" t="s">
        <v>184</v>
      </c>
      <c r="C76" s="54" t="str">
        <f>VLOOKUP(B76,'[1]Product by Part Number'!$A:$K,2,0)</f>
        <v xml:space="preserve">CAT 320E L (WBK) CAT 320F L (YBM) CAT 320 (HEX) CAT 320 (MYK)            </v>
      </c>
      <c r="D76" s="54" t="str">
        <f>VLOOKUP(B76,'[1]Product by Part Number'!$A:$K,3,0)</f>
        <v>TRACK SHOE 790MM</v>
      </c>
      <c r="E76" s="55">
        <f>VLOOKUP(B76,'[1]Product by Part Number'!$A:$K,11,0)</f>
        <v>588</v>
      </c>
      <c r="F76" s="80">
        <f>VLOOKUP(B76,'[1]Product by Part Number'!$A:$K,4,0)</f>
        <v>179.13</v>
      </c>
      <c r="G76" s="62">
        <f t="shared" si="2"/>
        <v>105328.44</v>
      </c>
      <c r="H76" s="89">
        <f>VLOOKUP(B76,'[1]Product by Part Number'!$A:$K,5,0)</f>
        <v>89.57</v>
      </c>
      <c r="I76" s="107">
        <f t="shared" si="3"/>
        <v>52667.16</v>
      </c>
    </row>
    <row r="77" spans="2:9" ht="27" x14ac:dyDescent="0.3">
      <c r="B77" s="104" t="s">
        <v>186</v>
      </c>
      <c r="C77" s="54" t="str">
        <f>VLOOKUP(B77,'[1]Product by Part Number'!$A:$K,2,0)</f>
        <v xml:space="preserve">CAT 329E L (ZCD) CAT 329F L (ERL) CAT 330F L (MBX) CAT 330F L (HCK)            </v>
      </c>
      <c r="D77" s="54" t="str">
        <f>VLOOKUP(B77,'[1]Product by Part Number'!$A:$K,3,0)</f>
        <v>TRACK LINK ASSEMBLY</v>
      </c>
      <c r="E77" s="55">
        <f>VLOOKUP(B77,'[1]Product by Part Number'!$A:$K,11,0)</f>
        <v>12</v>
      </c>
      <c r="F77" s="80">
        <f>VLOOKUP(B77,'[1]Product by Part Number'!$A:$K,4,0)</f>
        <v>10788.51</v>
      </c>
      <c r="G77" s="62">
        <f t="shared" si="2"/>
        <v>129462.12</v>
      </c>
      <c r="H77" s="89">
        <f>VLOOKUP(B77,'[1]Product by Part Number'!$A:$K,5,0)</f>
        <v>5394.26</v>
      </c>
      <c r="I77" s="107">
        <f t="shared" si="3"/>
        <v>64731.12</v>
      </c>
    </row>
    <row r="78" spans="2:9" x14ac:dyDescent="0.3">
      <c r="B78" s="104" t="s">
        <v>189</v>
      </c>
      <c r="C78" s="54" t="str">
        <f>VLOOKUP(B78,'[1]Product by Part Number'!$A:$K,2,0)</f>
        <v xml:space="preserve">CAT D6N LGP (PBA)                  </v>
      </c>
      <c r="D78" s="54" t="str">
        <f>VLOOKUP(B78,'[1]Product by Part Number'!$A:$K,3,0)</f>
        <v>FRONT WEAR PLATE</v>
      </c>
      <c r="E78" s="55">
        <f>VLOOKUP(B78,'[1]Product by Part Number'!$A:$K,11,0)</f>
        <v>8</v>
      </c>
      <c r="F78" s="80">
        <f>VLOOKUP(B78,'[1]Product by Part Number'!$A:$K,4,0)</f>
        <v>317.01</v>
      </c>
      <c r="G78" s="62">
        <f t="shared" si="2"/>
        <v>2536.08</v>
      </c>
      <c r="H78" s="89">
        <f>VLOOKUP(B78,'[1]Product by Part Number'!$A:$K,5,0)</f>
        <v>158.51</v>
      </c>
      <c r="I78" s="107">
        <f t="shared" si="3"/>
        <v>1268.08</v>
      </c>
    </row>
    <row r="79" spans="2:9" x14ac:dyDescent="0.3">
      <c r="B79" s="104" t="s">
        <v>190</v>
      </c>
      <c r="C79" s="54" t="str">
        <f>VLOOKUP(B79,'[1]Product by Part Number'!$A:$K,2,0)</f>
        <v xml:space="preserve">CAT D6N LGP (PBA)                  </v>
      </c>
      <c r="D79" s="54" t="str">
        <f>VLOOKUP(B79,'[1]Product by Part Number'!$A:$K,3,0)</f>
        <v>REAR WEAR PLATE</v>
      </c>
      <c r="E79" s="55">
        <f>VLOOKUP(B79,'[1]Product by Part Number'!$A:$K,11,0)</f>
        <v>8</v>
      </c>
      <c r="F79" s="80">
        <f>VLOOKUP(B79,'[1]Product by Part Number'!$A:$K,4,0)</f>
        <v>369.71</v>
      </c>
      <c r="G79" s="62">
        <f t="shared" si="2"/>
        <v>2957.68</v>
      </c>
      <c r="H79" s="89">
        <f>VLOOKUP(B79,'[1]Product by Part Number'!$A:$K,5,0)</f>
        <v>184.86</v>
      </c>
      <c r="I79" s="107">
        <f t="shared" si="3"/>
        <v>1478.88</v>
      </c>
    </row>
    <row r="80" spans="2:9" x14ac:dyDescent="0.3">
      <c r="B80" s="104" t="s">
        <v>191</v>
      </c>
      <c r="C80" s="54" t="str">
        <f>VLOOKUP(B80,'[1]Product by Part Number'!$A:$K,2,0)</f>
        <v xml:space="preserve">CAT D6N LGP (SGG)                  </v>
      </c>
      <c r="D80" s="54" t="str">
        <f>VLOOKUP(B80,'[1]Product by Part Number'!$A:$K,3,0)</f>
        <v>TRACK SHOE 835MM</v>
      </c>
      <c r="E80" s="55">
        <f>VLOOKUP(B80,'[1]Product by Part Number'!$A:$K,11,0)</f>
        <v>180</v>
      </c>
      <c r="F80" s="80">
        <f>VLOOKUP(B80,'[1]Product by Part Number'!$A:$K,4,0)</f>
        <v>197.96</v>
      </c>
      <c r="G80" s="62">
        <f t="shared" ref="G80:G143" si="4">E80*F80</f>
        <v>35632.800000000003</v>
      </c>
      <c r="H80" s="89">
        <f>VLOOKUP(B80,'[1]Product by Part Number'!$A:$K,5,0)</f>
        <v>98.98</v>
      </c>
      <c r="I80" s="107">
        <f t="shared" ref="I80:I143" si="5">ROUND(E80*H80,2)</f>
        <v>17816.400000000001</v>
      </c>
    </row>
    <row r="81" spans="2:9" x14ac:dyDescent="0.3">
      <c r="B81" s="104" t="s">
        <v>192</v>
      </c>
      <c r="C81" s="54" t="str">
        <f>VLOOKUP(B81,'[1]Product by Part Number'!$A:$K,2,0)</f>
        <v xml:space="preserve">CAT D6N LGP (SGG)                  </v>
      </c>
      <c r="D81" s="54" t="str">
        <f>VLOOKUP(B81,'[1]Product by Part Number'!$A:$K,3,0)</f>
        <v>TRACK SHOE MASTER</v>
      </c>
      <c r="E81" s="55">
        <f>VLOOKUP(B81,'[1]Product by Part Number'!$A:$K,11,0)</f>
        <v>4</v>
      </c>
      <c r="F81" s="80">
        <f>VLOOKUP(B81,'[1]Product by Part Number'!$A:$K,4,0)</f>
        <v>209.96</v>
      </c>
      <c r="G81" s="62">
        <f t="shared" si="4"/>
        <v>839.84</v>
      </c>
      <c r="H81" s="89">
        <f>VLOOKUP(B81,'[1]Product by Part Number'!$A:$K,5,0)</f>
        <v>104.98</v>
      </c>
      <c r="I81" s="107">
        <f t="shared" si="5"/>
        <v>419.92</v>
      </c>
    </row>
    <row r="82" spans="2:9" x14ac:dyDescent="0.3">
      <c r="B82" s="104" t="s">
        <v>193</v>
      </c>
      <c r="C82" s="54" t="str">
        <f>VLOOKUP(B82,'[1]Product by Part Number'!$A:$K,2,0)</f>
        <v xml:space="preserve">CAT 561N (CPH) CAT 561N (CPH)                </v>
      </c>
      <c r="D82" s="54" t="str">
        <f>VLOOKUP(B82,'[1]Product by Part Number'!$A:$K,3,0)</f>
        <v>BOLT</v>
      </c>
      <c r="E82" s="55">
        <f>VLOOKUP(B82,'[1]Product by Part Number'!$A:$K,11,0)</f>
        <v>300</v>
      </c>
      <c r="F82" s="80">
        <f>VLOOKUP(B82,'[1]Product by Part Number'!$A:$K,4,0)</f>
        <v>8.76</v>
      </c>
      <c r="G82" s="62">
        <f t="shared" si="4"/>
        <v>2628</v>
      </c>
      <c r="H82" s="89">
        <f>VLOOKUP(B82,'[1]Product by Part Number'!$A:$K,5,0)</f>
        <v>4.38</v>
      </c>
      <c r="I82" s="107">
        <f t="shared" si="5"/>
        <v>1314</v>
      </c>
    </row>
    <row r="83" spans="2:9" x14ac:dyDescent="0.3">
      <c r="B83" s="104" t="s">
        <v>194</v>
      </c>
      <c r="C83" s="54" t="str">
        <f>VLOOKUP(B83,'[1]Product by Part Number'!$A:$K,2,0)</f>
        <v xml:space="preserve">CAT PL61 (WGS)                  </v>
      </c>
      <c r="D83" s="54" t="str">
        <f>VLOOKUP(B83,'[1]Product by Part Number'!$A:$K,3,0)</f>
        <v>TRACK IDLER</v>
      </c>
      <c r="E83" s="55">
        <f>VLOOKUP(B83,'[1]Product by Part Number'!$A:$K,11,0)</f>
        <v>6</v>
      </c>
      <c r="F83" s="80">
        <f>VLOOKUP(B83,'[1]Product by Part Number'!$A:$K,4,0)</f>
        <v>3032.3</v>
      </c>
      <c r="G83" s="62">
        <f t="shared" si="4"/>
        <v>18193.800000000003</v>
      </c>
      <c r="H83" s="89">
        <f>VLOOKUP(B83,'[1]Product by Part Number'!$A:$K,5,0)</f>
        <v>1516.15</v>
      </c>
      <c r="I83" s="107">
        <f t="shared" si="5"/>
        <v>9096.9</v>
      </c>
    </row>
    <row r="84" spans="2:9" x14ac:dyDescent="0.3">
      <c r="B84" s="104" t="s">
        <v>198</v>
      </c>
      <c r="C84" s="54" t="str">
        <f>VLOOKUP(B84,'[1]Product by Part Number'!$A:$K,2,0)</f>
        <v xml:space="preserve">CAT PL61 (WGS)                  </v>
      </c>
      <c r="D84" s="54" t="str">
        <f>VLOOKUP(B84,'[1]Product by Part Number'!$A:$K,3,0)</f>
        <v>DUAL FLANGE ROLLER</v>
      </c>
      <c r="E84" s="55">
        <f>VLOOKUP(B84,'[1]Product by Part Number'!$A:$K,11,0)</f>
        <v>48</v>
      </c>
      <c r="F84" s="80">
        <f>VLOOKUP(B84,'[1]Product by Part Number'!$A:$K,4,0)</f>
        <v>564.07000000000005</v>
      </c>
      <c r="G84" s="62">
        <f t="shared" si="4"/>
        <v>27075.360000000001</v>
      </c>
      <c r="H84" s="89">
        <f>VLOOKUP(B84,'[1]Product by Part Number'!$A:$K,5,0)</f>
        <v>282.04000000000002</v>
      </c>
      <c r="I84" s="107">
        <f t="shared" si="5"/>
        <v>13537.92</v>
      </c>
    </row>
    <row r="85" spans="2:9" x14ac:dyDescent="0.3">
      <c r="B85" s="104" t="s">
        <v>199</v>
      </c>
      <c r="C85" s="54" t="str">
        <f>VLOOKUP(B85,'[1]Product by Part Number'!$A:$K,2,0)</f>
        <v xml:space="preserve">CAT PL61 (WGS)                  </v>
      </c>
      <c r="D85" s="54" t="str">
        <f>VLOOKUP(B85,'[1]Product by Part Number'!$A:$K,3,0)</f>
        <v>SINGLE FLANGE ROLLER</v>
      </c>
      <c r="E85" s="55">
        <f>VLOOKUP(B85,'[1]Product by Part Number'!$A:$K,11,0)</f>
        <v>48</v>
      </c>
      <c r="F85" s="80">
        <f>VLOOKUP(B85,'[1]Product by Part Number'!$A:$K,4,0)</f>
        <v>537.23</v>
      </c>
      <c r="G85" s="62">
        <f t="shared" si="4"/>
        <v>25787.040000000001</v>
      </c>
      <c r="H85" s="89">
        <f>VLOOKUP(B85,'[1]Product by Part Number'!$A:$K,5,0)</f>
        <v>268.62</v>
      </c>
      <c r="I85" s="107">
        <f t="shared" si="5"/>
        <v>12893.76</v>
      </c>
    </row>
    <row r="86" spans="2:9" x14ac:dyDescent="0.3">
      <c r="B86" s="104" t="s">
        <v>201</v>
      </c>
      <c r="C86" s="54" t="str">
        <f>VLOOKUP(B86,'[1]Product by Part Number'!$A:$K,2,0)</f>
        <v xml:space="preserve">CAT PL61 (WGS)                  </v>
      </c>
      <c r="D86" s="54" t="str">
        <f>VLOOKUP(B86,'[1]Product by Part Number'!$A:$K,3,0)</f>
        <v>CARRIER ROLLER</v>
      </c>
      <c r="E86" s="55">
        <f>VLOOKUP(B86,'[1]Product by Part Number'!$A:$K,11,0)</f>
        <v>6</v>
      </c>
      <c r="F86" s="80">
        <f>VLOOKUP(B86,'[1]Product by Part Number'!$A:$K,4,0)</f>
        <v>558.77</v>
      </c>
      <c r="G86" s="62">
        <f t="shared" si="4"/>
        <v>3352.62</v>
      </c>
      <c r="H86" s="89">
        <f>VLOOKUP(B86,'[1]Product by Part Number'!$A:$K,5,0)</f>
        <v>279.39</v>
      </c>
      <c r="I86" s="107">
        <f t="shared" si="5"/>
        <v>1676.34</v>
      </c>
    </row>
    <row r="87" spans="2:9" x14ac:dyDescent="0.3">
      <c r="B87" s="104" t="s">
        <v>202</v>
      </c>
      <c r="C87" s="54" t="str">
        <f>VLOOKUP(B87,'[1]Product by Part Number'!$A:$K,2,0)</f>
        <v xml:space="preserve">CAT D7G (92V)                  </v>
      </c>
      <c r="D87" s="54" t="str">
        <f>VLOOKUP(B87,'[1]Product by Part Number'!$A:$K,3,0)</f>
        <v>TRACK SHOE</v>
      </c>
      <c r="E87" s="55">
        <f>VLOOKUP(B87,'[1]Product by Part Number'!$A:$K,11,0)</f>
        <v>74</v>
      </c>
      <c r="F87" s="80">
        <f>VLOOKUP(B87,'[1]Product by Part Number'!$A:$K,4,0)</f>
        <v>250.75</v>
      </c>
      <c r="G87" s="62">
        <f t="shared" si="4"/>
        <v>18555.5</v>
      </c>
      <c r="H87" s="89">
        <f>VLOOKUP(B87,'[1]Product by Part Number'!$A:$K,5,0)</f>
        <v>125.38</v>
      </c>
      <c r="I87" s="107">
        <f t="shared" si="5"/>
        <v>9278.1200000000008</v>
      </c>
    </row>
    <row r="88" spans="2:9" x14ac:dyDescent="0.3">
      <c r="B88" s="104" t="s">
        <v>203</v>
      </c>
      <c r="C88" s="54" t="str">
        <f>VLOOKUP(B88,'[1]Product by Part Number'!$A:$K,2,0)</f>
        <v xml:space="preserve">CAT D7G (92V)                  </v>
      </c>
      <c r="D88" s="54" t="str">
        <f>VLOOKUP(B88,'[1]Product by Part Number'!$A:$K,3,0)</f>
        <v>MASTER SHOE</v>
      </c>
      <c r="E88" s="55">
        <f>VLOOKUP(B88,'[1]Product by Part Number'!$A:$K,11,0)</f>
        <v>2</v>
      </c>
      <c r="F88" s="80">
        <f>VLOOKUP(B88,'[1]Product by Part Number'!$A:$K,4,0)</f>
        <v>199.65</v>
      </c>
      <c r="G88" s="62">
        <f t="shared" si="4"/>
        <v>399.3</v>
      </c>
      <c r="H88" s="89">
        <f>VLOOKUP(B88,'[1]Product by Part Number'!$A:$K,5,0)</f>
        <v>99.83</v>
      </c>
      <c r="I88" s="107">
        <f t="shared" si="5"/>
        <v>199.66</v>
      </c>
    </row>
    <row r="89" spans="2:9" x14ac:dyDescent="0.3">
      <c r="B89" s="104" t="s">
        <v>205</v>
      </c>
      <c r="C89" s="54" t="str">
        <f>VLOOKUP(B89,'[1]Product by Part Number'!$A:$K,2,0)</f>
        <v xml:space="preserve">CAT D7G (92V)                  </v>
      </c>
      <c r="D89" s="54" t="str">
        <f>VLOOKUP(B89,'[1]Product by Part Number'!$A:$K,3,0)</f>
        <v>TRACK IDLER</v>
      </c>
      <c r="E89" s="55">
        <f>VLOOKUP(B89,'[1]Product by Part Number'!$A:$K,11,0)</f>
        <v>2</v>
      </c>
      <c r="F89" s="80">
        <f>VLOOKUP(B89,'[1]Product by Part Number'!$A:$K,4,0)</f>
        <v>3497.04</v>
      </c>
      <c r="G89" s="62">
        <f t="shared" si="4"/>
        <v>6994.08</v>
      </c>
      <c r="H89" s="89">
        <f>VLOOKUP(B89,'[1]Product by Part Number'!$A:$K,5,0)</f>
        <v>1748.52</v>
      </c>
      <c r="I89" s="107">
        <f t="shared" si="5"/>
        <v>3497.04</v>
      </c>
    </row>
    <row r="90" spans="2:9" x14ac:dyDescent="0.3">
      <c r="B90" s="104" t="s">
        <v>207</v>
      </c>
      <c r="C90" s="54" t="str">
        <f>VLOOKUP(B90,'[1]Product by Part Number'!$A:$K,2,0)</f>
        <v xml:space="preserve">CAT PL61 (WGS)                  </v>
      </c>
      <c r="D90" s="54" t="str">
        <f>VLOOKUP(B90,'[1]Product by Part Number'!$A:$K,3,0)</f>
        <v>TRACK SHOE</v>
      </c>
      <c r="E90" s="55">
        <f>VLOOKUP(B90,'[1]Product by Part Number'!$A:$K,11,0)</f>
        <v>234</v>
      </c>
      <c r="F90" s="80">
        <f>VLOOKUP(B90,'[1]Product by Part Number'!$A:$K,4,0)</f>
        <v>131.6</v>
      </c>
      <c r="G90" s="62">
        <f t="shared" si="4"/>
        <v>30794.399999999998</v>
      </c>
      <c r="H90" s="89">
        <f>VLOOKUP(B90,'[1]Product by Part Number'!$A:$K,5,0)</f>
        <v>65.8</v>
      </c>
      <c r="I90" s="107">
        <f t="shared" si="5"/>
        <v>15397.2</v>
      </c>
    </row>
    <row r="91" spans="2:9" x14ac:dyDescent="0.3">
      <c r="B91" s="104" t="s">
        <v>208</v>
      </c>
      <c r="C91" s="54" t="str">
        <f>VLOOKUP(B91,'[1]Product by Part Number'!$A:$K,2,0)</f>
        <v xml:space="preserve">CAT PL61 (WGS)                  </v>
      </c>
      <c r="D91" s="54" t="str">
        <f>VLOOKUP(B91,'[1]Product by Part Number'!$A:$K,3,0)</f>
        <v>MASTER SHOE</v>
      </c>
      <c r="E91" s="55">
        <f>VLOOKUP(B91,'[1]Product by Part Number'!$A:$K,11,0)</f>
        <v>6</v>
      </c>
      <c r="F91" s="80">
        <f>VLOOKUP(B91,'[1]Product by Part Number'!$A:$K,4,0)</f>
        <v>143.16999999999999</v>
      </c>
      <c r="G91" s="62">
        <f t="shared" si="4"/>
        <v>859.02</v>
      </c>
      <c r="H91" s="89">
        <f>VLOOKUP(B91,'[1]Product by Part Number'!$A:$K,5,0)</f>
        <v>71.59</v>
      </c>
      <c r="I91" s="107">
        <f t="shared" si="5"/>
        <v>429.54</v>
      </c>
    </row>
    <row r="92" spans="2:9" x14ac:dyDescent="0.3">
      <c r="B92" s="104" t="s">
        <v>216</v>
      </c>
      <c r="C92" s="54" t="str">
        <f>VLOOKUP(B92,'[1]Product by Part Number'!$A:$K,2,0)</f>
        <v xml:space="preserve">CAT D4 (66J)                  </v>
      </c>
      <c r="D92" s="54" t="str">
        <f>VLOOKUP(B92,'[1]Product by Part Number'!$A:$K,3,0)</f>
        <v>FLAT WASHER</v>
      </c>
      <c r="E92" s="55">
        <f>VLOOKUP(B92,'[1]Product by Part Number'!$A:$K,11,0)</f>
        <v>12</v>
      </c>
      <c r="F92" s="80">
        <f>VLOOKUP(B92,'[1]Product by Part Number'!$A:$K,4,0)</f>
        <v>0.33</v>
      </c>
      <c r="G92" s="62">
        <f t="shared" si="4"/>
        <v>3.96</v>
      </c>
      <c r="H92" s="89">
        <f>VLOOKUP(B92,'[1]Product by Part Number'!$A:$K,5,0)</f>
        <v>0.17</v>
      </c>
      <c r="I92" s="107">
        <f t="shared" si="5"/>
        <v>2.04</v>
      </c>
    </row>
    <row r="93" spans="2:9" x14ac:dyDescent="0.3">
      <c r="B93" s="104" t="s">
        <v>222</v>
      </c>
      <c r="C93" s="54" t="str">
        <f>VLOOKUP(B93,'[1]Product by Part Number'!$A:$K,2,0)</f>
        <v xml:space="preserve">CAT D5 (3CR) CAT 561N (CPH) CAT PL61 (WGS)              </v>
      </c>
      <c r="D93" s="54" t="str">
        <f>VLOOKUP(B93,'[1]Product by Part Number'!$A:$K,3,0)</f>
        <v>SPROCKET BOLT</v>
      </c>
      <c r="E93" s="55">
        <f>VLOOKUP(B93,'[1]Product by Part Number'!$A:$K,11,0)</f>
        <v>442</v>
      </c>
      <c r="F93" s="80">
        <f>VLOOKUP(B93,'[1]Product by Part Number'!$A:$K,4,0)</f>
        <v>2.94</v>
      </c>
      <c r="G93" s="62">
        <f t="shared" si="4"/>
        <v>1299.48</v>
      </c>
      <c r="H93" s="89">
        <f>VLOOKUP(B93,'[1]Product by Part Number'!$A:$K,5,0)</f>
        <v>1.47</v>
      </c>
      <c r="I93" s="107">
        <f t="shared" si="5"/>
        <v>649.74</v>
      </c>
    </row>
    <row r="94" spans="2:9" x14ac:dyDescent="0.3">
      <c r="B94" s="104" t="s">
        <v>223</v>
      </c>
      <c r="C94" s="54" t="str">
        <f>VLOOKUP(B94,'[1]Product by Part Number'!$A:$K,2,0)</f>
        <v xml:space="preserve">CAT D5 (3CR) CAT 561N (CPH)                </v>
      </c>
      <c r="D94" s="54" t="str">
        <f>VLOOKUP(B94,'[1]Product by Part Number'!$A:$K,3,0)</f>
        <v>TRACK BOLT</v>
      </c>
      <c r="E94" s="55">
        <f>VLOOKUP(B94,'[1]Product by Part Number'!$A:$K,11,0)</f>
        <v>606</v>
      </c>
      <c r="F94" s="80">
        <f>VLOOKUP(B94,'[1]Product by Part Number'!$A:$K,4,0)</f>
        <v>5.51</v>
      </c>
      <c r="G94" s="62">
        <f t="shared" si="4"/>
        <v>3339.06</v>
      </c>
      <c r="H94" s="89">
        <f>VLOOKUP(B94,'[1]Product by Part Number'!$A:$K,5,0)</f>
        <v>2.76</v>
      </c>
      <c r="I94" s="107">
        <f t="shared" si="5"/>
        <v>1672.56</v>
      </c>
    </row>
    <row r="95" spans="2:9" x14ac:dyDescent="0.3">
      <c r="B95" s="104" t="s">
        <v>224</v>
      </c>
      <c r="C95" s="54" t="str">
        <f>VLOOKUP(B95,'[1]Product by Part Number'!$A:$K,2,0)</f>
        <v xml:space="preserve">CAT D5 (3CR) CAT 561N (CPH)                </v>
      </c>
      <c r="D95" s="54" t="str">
        <f>VLOOKUP(B95,'[1]Product by Part Number'!$A:$K,3,0)</f>
        <v>TRACK BOLT MASTER</v>
      </c>
      <c r="E95" s="55">
        <f>VLOOKUP(B95,'[1]Product by Part Number'!$A:$K,11,0)</f>
        <v>14</v>
      </c>
      <c r="F95" s="80">
        <f>VLOOKUP(B95,'[1]Product by Part Number'!$A:$K,4,0)</f>
        <v>6.45</v>
      </c>
      <c r="G95" s="62">
        <f t="shared" si="4"/>
        <v>90.3</v>
      </c>
      <c r="H95" s="89">
        <f>VLOOKUP(B95,'[1]Product by Part Number'!$A:$K,5,0)</f>
        <v>3.23</v>
      </c>
      <c r="I95" s="107">
        <f t="shared" si="5"/>
        <v>45.22</v>
      </c>
    </row>
    <row r="96" spans="2:9" x14ac:dyDescent="0.3">
      <c r="B96" s="104" t="s">
        <v>226</v>
      </c>
      <c r="C96" s="54" t="str">
        <f>VLOOKUP(B96,'[1]Product by Part Number'!$A:$K,2,0)</f>
        <v xml:space="preserve">CAT 303.5E                  </v>
      </c>
      <c r="D96" s="54" t="str">
        <f>VLOOKUP(B96,'[1]Product by Part Number'!$A:$K,3,0)</f>
        <v>CARRIER ROLLER</v>
      </c>
      <c r="E96" s="55">
        <f>VLOOKUP(B96,'[1]Product by Part Number'!$A:$K,11,0)</f>
        <v>2</v>
      </c>
      <c r="F96" s="80">
        <f>VLOOKUP(B96,'[1]Product by Part Number'!$A:$K,4,0)</f>
        <v>403.56</v>
      </c>
      <c r="G96" s="62">
        <f t="shared" si="4"/>
        <v>807.12</v>
      </c>
      <c r="H96" s="89">
        <f>VLOOKUP(B96,'[1]Product by Part Number'!$A:$K,5,0)</f>
        <v>201.78</v>
      </c>
      <c r="I96" s="107">
        <f t="shared" si="5"/>
        <v>403.56</v>
      </c>
    </row>
    <row r="97" spans="2:9" x14ac:dyDescent="0.3">
      <c r="B97" s="104" t="s">
        <v>228</v>
      </c>
      <c r="C97" s="54" t="str">
        <f>VLOOKUP(B97,'[1]Product by Part Number'!$A:$K,2,0)</f>
        <v xml:space="preserve">CAT D7G (92V)                  </v>
      </c>
      <c r="D97" s="54" t="str">
        <f>VLOOKUP(B97,'[1]Product by Part Number'!$A:$K,3,0)</f>
        <v>CARRIER ROLLER</v>
      </c>
      <c r="E97" s="55">
        <f>VLOOKUP(B97,'[1]Product by Part Number'!$A:$K,11,0)</f>
        <v>2</v>
      </c>
      <c r="F97" s="80">
        <f>VLOOKUP(B97,'[1]Product by Part Number'!$A:$K,4,0)</f>
        <v>722.36</v>
      </c>
      <c r="G97" s="62">
        <f t="shared" si="4"/>
        <v>1444.72</v>
      </c>
      <c r="H97" s="89">
        <f>VLOOKUP(B97,'[1]Product by Part Number'!$A:$K,5,0)</f>
        <v>361.18</v>
      </c>
      <c r="I97" s="107">
        <f t="shared" si="5"/>
        <v>722.36</v>
      </c>
    </row>
    <row r="98" spans="2:9" ht="27" x14ac:dyDescent="0.3">
      <c r="B98" s="104" t="s">
        <v>231</v>
      </c>
      <c r="C98" s="54" t="str">
        <f>VLOOKUP(B98,'[1]Product by Part Number'!$A:$K,2,0)</f>
        <v xml:space="preserve">CAT 320E L (WBK) CAT 320F L (YBM) CAT 320 (HEX) CAT 320 (MYK)            </v>
      </c>
      <c r="D98" s="54" t="str">
        <f>VLOOKUP(B98,'[1]Product by Part Number'!$A:$K,3,0)</f>
        <v>IDLER BOLT</v>
      </c>
      <c r="E98" s="55">
        <f>VLOOKUP(B98,'[1]Product by Part Number'!$A:$K,11,0)</f>
        <v>48</v>
      </c>
      <c r="F98" s="80">
        <f>VLOOKUP(B98,'[1]Product by Part Number'!$A:$K,4,0)</f>
        <v>7.85</v>
      </c>
      <c r="G98" s="62">
        <f t="shared" si="4"/>
        <v>376.79999999999995</v>
      </c>
      <c r="H98" s="89">
        <f>VLOOKUP(B98,'[1]Product by Part Number'!$A:$K,5,0)</f>
        <v>3.93</v>
      </c>
      <c r="I98" s="107">
        <f t="shared" si="5"/>
        <v>188.64</v>
      </c>
    </row>
    <row r="99" spans="2:9" ht="27" x14ac:dyDescent="0.3">
      <c r="B99" s="104" t="s">
        <v>232</v>
      </c>
      <c r="C99" s="54" t="str">
        <f>VLOOKUP(B99,'[1]Product by Part Number'!$A:$K,2,0)</f>
        <v xml:space="preserve">CAT 329E L (ZCD) CAT 329F L (ERL) CAT 330F L (MBX) CAT 330F L (HCK)            </v>
      </c>
      <c r="D99" s="54" t="str">
        <f>VLOOKUP(B99,'[1]Product by Part Number'!$A:$K,3,0)</f>
        <v>IDLER BOLT</v>
      </c>
      <c r="E99" s="55">
        <f>VLOOKUP(B99,'[1]Product by Part Number'!$A:$K,11,0)</f>
        <v>48</v>
      </c>
      <c r="F99" s="80">
        <f>VLOOKUP(B99,'[1]Product by Part Number'!$A:$K,4,0)</f>
        <v>10.24</v>
      </c>
      <c r="G99" s="62">
        <f t="shared" si="4"/>
        <v>491.52</v>
      </c>
      <c r="H99" s="89">
        <f>VLOOKUP(B99,'[1]Product by Part Number'!$A:$K,5,0)</f>
        <v>5.12</v>
      </c>
      <c r="I99" s="107">
        <f t="shared" si="5"/>
        <v>245.76</v>
      </c>
    </row>
    <row r="100" spans="2:9" x14ac:dyDescent="0.3">
      <c r="B100" s="104" t="s">
        <v>49</v>
      </c>
      <c r="C100" s="54" t="str">
        <f>VLOOKUP(B100,'[1]Product by Part Number'!$A:$K,2,0)</f>
        <v xml:space="preserve">CAT 330 (LHW) CAT 330 (WCH)                </v>
      </c>
      <c r="D100" s="54" t="str">
        <f>VLOOKUP(B100,'[1]Product by Part Number'!$A:$K,3,0)</f>
        <v>IDLER BOLT</v>
      </c>
      <c r="E100" s="55">
        <f>VLOOKUP(B100,'[1]Product by Part Number'!$A:$K,11,0)</f>
        <v>80</v>
      </c>
      <c r="F100" s="80">
        <f>VLOOKUP(B100,'[1]Product by Part Number'!$A:$K,4,0)</f>
        <v>14.28</v>
      </c>
      <c r="G100" s="62">
        <f t="shared" si="4"/>
        <v>1142.3999999999999</v>
      </c>
      <c r="H100" s="89">
        <f>VLOOKUP(B100,'[1]Product by Part Number'!$A:$K,5,0)</f>
        <v>7.14</v>
      </c>
      <c r="I100" s="107">
        <f t="shared" si="5"/>
        <v>571.20000000000005</v>
      </c>
    </row>
    <row r="101" spans="2:9" x14ac:dyDescent="0.3">
      <c r="B101" s="104" t="s">
        <v>233</v>
      </c>
      <c r="C101" s="54" t="str">
        <f>VLOOKUP(B101,'[1]Product by Part Number'!$A:$K,2,0)</f>
        <v xml:space="preserve">CAT 336F L (RKB)                  </v>
      </c>
      <c r="D101" s="54" t="str">
        <f>VLOOKUP(B101,'[1]Product by Part Number'!$A:$K,3,0)</f>
        <v>ROLLER BOLT</v>
      </c>
      <c r="E101" s="55">
        <f>VLOOKUP(B101,'[1]Product by Part Number'!$A:$K,11,0)</f>
        <v>72</v>
      </c>
      <c r="F101" s="80">
        <f>VLOOKUP(B101,'[1]Product by Part Number'!$A:$K,4,0)</f>
        <v>31.86</v>
      </c>
      <c r="G101" s="62">
        <f t="shared" si="4"/>
        <v>2293.92</v>
      </c>
      <c r="H101" s="89">
        <f>VLOOKUP(B101,'[1]Product by Part Number'!$A:$K,5,0)</f>
        <v>15.93</v>
      </c>
      <c r="I101" s="107">
        <f t="shared" si="5"/>
        <v>1146.96</v>
      </c>
    </row>
    <row r="102" spans="2:9" ht="40.200000000000003" x14ac:dyDescent="0.3">
      <c r="B102" s="104" t="s">
        <v>234</v>
      </c>
      <c r="C102" s="54" t="str">
        <f>VLOOKUP(B102,'[1]Product by Part Number'!$A:$K,2,0)</f>
        <v xml:space="preserve">CAT 320E L (WBK) CAT 320F L (YBM) CAT 320 (HEX) CAT 320 (MYK) CAT 329F L (ERL) CAT 330F L (MBX) CAT 330F L (HCK) CAT 330 (LHW) CAT 330 (WCH)  </v>
      </c>
      <c r="D102" s="54" t="str">
        <f>VLOOKUP(B102,'[1]Product by Part Number'!$A:$K,3,0)</f>
        <v>HEX HEAD BOLT</v>
      </c>
      <c r="E102" s="55">
        <f>VLOOKUP(B102,'[1]Product by Part Number'!$A:$K,11,0)</f>
        <v>84</v>
      </c>
      <c r="F102" s="80">
        <f>VLOOKUP(B102,'[1]Product by Part Number'!$A:$K,4,0)</f>
        <v>23.18</v>
      </c>
      <c r="G102" s="62">
        <f t="shared" si="4"/>
        <v>1947.12</v>
      </c>
      <c r="H102" s="89">
        <f>VLOOKUP(B102,'[1]Product by Part Number'!$A:$K,5,0)</f>
        <v>11.59</v>
      </c>
      <c r="I102" s="107">
        <f t="shared" si="5"/>
        <v>973.56</v>
      </c>
    </row>
    <row r="103" spans="2:9" ht="53.4" x14ac:dyDescent="0.3">
      <c r="B103" s="104" t="s">
        <v>235</v>
      </c>
      <c r="C103" s="54" t="str">
        <f>VLOOKUP(B103,'[1]Product by Part Number'!$A:$K,2,0)</f>
        <v>CAT 320E L (WBK) CAT 320F L (YBM) CAT 320 (HEX) CAT 320 (MYK) CAT 329E L (ZCD) CAT 329F L (ERL) CAT 330F L (MBX) CAT 330F L (HCK) CAT 330 (LHW) CAT 330 (WCH)</v>
      </c>
      <c r="D103" s="54" t="str">
        <f>VLOOKUP(B103,'[1]Product by Part Number'!$A:$K,3,0)</f>
        <v>HEX HEAD BOLT</v>
      </c>
      <c r="E103" s="55">
        <f>VLOOKUP(B103,'[1]Product by Part Number'!$A:$K,11,0)</f>
        <v>1536</v>
      </c>
      <c r="F103" s="80">
        <f>VLOOKUP(B103,'[1]Product by Part Number'!$A:$K,4,0)</f>
        <v>20.079999999999998</v>
      </c>
      <c r="G103" s="62">
        <f t="shared" si="4"/>
        <v>30842.879999999997</v>
      </c>
      <c r="H103" s="89">
        <f>VLOOKUP(B103,'[1]Product by Part Number'!$A:$K,5,0)</f>
        <v>10.039999999999999</v>
      </c>
      <c r="I103" s="107">
        <f t="shared" si="5"/>
        <v>15421.44</v>
      </c>
    </row>
    <row r="104" spans="2:9" ht="53.4" x14ac:dyDescent="0.3">
      <c r="B104" s="104" t="s">
        <v>236</v>
      </c>
      <c r="C104" s="54" t="str">
        <f>VLOOKUP(B104,'[1]Product by Part Number'!$A:$K,2,0)</f>
        <v>CAT 320E L (WBK) CAT 320F L (YBM) CAT 320 (HEX) CAT 320 (MYK) CAT 329E L (ZCD) CAT 329F L (ERL) CAT 330F L (MBX) CAT 330F L (HCK) CAT 330 (LHW) CAT 330 (WCH)</v>
      </c>
      <c r="D104" s="54" t="str">
        <f>VLOOKUP(B104,'[1]Product by Part Number'!$A:$K,3,0)</f>
        <v>FLAT WASHER</v>
      </c>
      <c r="E104" s="55">
        <f>VLOOKUP(B104,'[1]Product by Part Number'!$A:$K,11,0)</f>
        <v>1536</v>
      </c>
      <c r="F104" s="80">
        <f>VLOOKUP(B104,'[1]Product by Part Number'!$A:$K,4,0)</f>
        <v>2.99</v>
      </c>
      <c r="G104" s="62">
        <f t="shared" si="4"/>
        <v>4592.6400000000003</v>
      </c>
      <c r="H104" s="89">
        <f>VLOOKUP(B104,'[1]Product by Part Number'!$A:$K,5,0)</f>
        <v>1.5</v>
      </c>
      <c r="I104" s="107">
        <f t="shared" si="5"/>
        <v>2304</v>
      </c>
    </row>
    <row r="105" spans="2:9" x14ac:dyDescent="0.3">
      <c r="B105" s="104" t="s">
        <v>237</v>
      </c>
      <c r="C105" s="54" t="str">
        <f>VLOOKUP(B105,'[1]Product by Part Number'!$A:$K,2,0)</f>
        <v xml:space="preserve">CAT 336F L (RKB)                  </v>
      </c>
      <c r="D105" s="54" t="str">
        <f>VLOOKUP(B105,'[1]Product by Part Number'!$A:$K,3,0)</f>
        <v>FLAT WASHER</v>
      </c>
      <c r="E105" s="55">
        <f>VLOOKUP(B105,'[1]Product by Part Number'!$A:$K,11,0)</f>
        <v>72</v>
      </c>
      <c r="F105" s="80">
        <f>VLOOKUP(B105,'[1]Product by Part Number'!$A:$K,4,0)</f>
        <v>4.9800000000000004</v>
      </c>
      <c r="G105" s="62">
        <f t="shared" si="4"/>
        <v>358.56000000000006</v>
      </c>
      <c r="H105" s="89">
        <f>VLOOKUP(B105,'[1]Product by Part Number'!$A:$K,5,0)</f>
        <v>2.4900000000000002</v>
      </c>
      <c r="I105" s="107">
        <f t="shared" si="5"/>
        <v>179.28</v>
      </c>
    </row>
    <row r="106" spans="2:9" x14ac:dyDescent="0.3">
      <c r="B106" s="104" t="s">
        <v>238</v>
      </c>
      <c r="C106" s="54" t="str">
        <f>VLOOKUP(B106,'[1]Product by Part Number'!$A:$K,2,0)</f>
        <v xml:space="preserve">CAT 336F L (RKB)                  </v>
      </c>
      <c r="D106" s="54" t="str">
        <f>VLOOKUP(B106,'[1]Product by Part Number'!$A:$K,3,0)</f>
        <v>CARRIER BOLT</v>
      </c>
      <c r="E106" s="55">
        <f>VLOOKUP(B106,'[1]Product by Part Number'!$A:$K,11,0)</f>
        <v>4</v>
      </c>
      <c r="F106" s="80">
        <f>VLOOKUP(B106,'[1]Product by Part Number'!$A:$K,4,0)</f>
        <v>26.18</v>
      </c>
      <c r="G106" s="62">
        <f t="shared" si="4"/>
        <v>104.72</v>
      </c>
      <c r="H106" s="89">
        <f>VLOOKUP(B106,'[1]Product by Part Number'!$A:$K,5,0)</f>
        <v>13.09</v>
      </c>
      <c r="I106" s="107">
        <f t="shared" si="5"/>
        <v>52.36</v>
      </c>
    </row>
    <row r="107" spans="2:9" x14ac:dyDescent="0.3">
      <c r="B107" s="104" t="s">
        <v>239</v>
      </c>
      <c r="C107" s="54" t="str">
        <f>VLOOKUP(B107,'[1]Product by Part Number'!$A:$K,2,0)</f>
        <v xml:space="preserve">CAT D7G (92V)                  </v>
      </c>
      <c r="D107" s="54" t="str">
        <f>VLOOKUP(B107,'[1]Product by Part Number'!$A:$K,3,0)</f>
        <v>TRACK LINK 38 JOINT</v>
      </c>
      <c r="E107" s="55">
        <f>VLOOKUP(B107,'[1]Product by Part Number'!$A:$K,11,0)</f>
        <v>2</v>
      </c>
      <c r="F107" s="80">
        <f>VLOOKUP(B107,'[1]Product by Part Number'!$A:$K,4,0)</f>
        <v>8201.7900000000009</v>
      </c>
      <c r="G107" s="62">
        <f t="shared" si="4"/>
        <v>16403.580000000002</v>
      </c>
      <c r="H107" s="89">
        <f>VLOOKUP(B107,'[1]Product by Part Number'!$A:$K,5,0)</f>
        <v>4100.8999999999996</v>
      </c>
      <c r="I107" s="107">
        <f t="shared" si="5"/>
        <v>8201.7999999999993</v>
      </c>
    </row>
    <row r="108" spans="2:9" x14ac:dyDescent="0.3">
      <c r="B108" s="104" t="s">
        <v>243</v>
      </c>
      <c r="C108" s="54" t="str">
        <f>VLOOKUP(B108,'[1]Product by Part Number'!$A:$K,2,0)</f>
        <v xml:space="preserve">CAT 303.5E                  </v>
      </c>
      <c r="D108" s="54" t="str">
        <f>VLOOKUP(B108,'[1]Product by Part Number'!$A:$K,3,0)</f>
        <v>CENTRE FLANGE ROLLER</v>
      </c>
      <c r="E108" s="55">
        <f>VLOOKUP(B108,'[1]Product by Part Number'!$A:$K,11,0)</f>
        <v>4</v>
      </c>
      <c r="F108" s="80">
        <f>VLOOKUP(B108,'[1]Product by Part Number'!$A:$K,4,0)</f>
        <v>498.61</v>
      </c>
      <c r="G108" s="62">
        <f t="shared" si="4"/>
        <v>1994.44</v>
      </c>
      <c r="H108" s="89">
        <f>VLOOKUP(B108,'[1]Product by Part Number'!$A:$K,5,0)</f>
        <v>249.31</v>
      </c>
      <c r="I108" s="107">
        <f t="shared" si="5"/>
        <v>997.24</v>
      </c>
    </row>
    <row r="109" spans="2:9" x14ac:dyDescent="0.3">
      <c r="B109" s="104" t="s">
        <v>250</v>
      </c>
      <c r="C109" s="54" t="str">
        <f>VLOOKUP(B109,'[1]Product by Part Number'!$A:$K,2,0)</f>
        <v xml:space="preserve">CAT 336F L (RKB)                  </v>
      </c>
      <c r="D109" s="54" t="str">
        <f>VLOOKUP(B109,'[1]Product by Part Number'!$A:$K,3,0)</f>
        <v>SINGLE FLANGE TRACK ROLLER</v>
      </c>
      <c r="E109" s="55">
        <f>VLOOKUP(B109,'[1]Product by Part Number'!$A:$K,11,0)</f>
        <v>18</v>
      </c>
      <c r="F109" s="80">
        <f>VLOOKUP(B109,'[1]Product by Part Number'!$A:$K,4,0)</f>
        <v>987.95</v>
      </c>
      <c r="G109" s="62">
        <f t="shared" si="4"/>
        <v>17783.100000000002</v>
      </c>
      <c r="H109" s="89">
        <f>VLOOKUP(B109,'[1]Product by Part Number'!$A:$K,5,0)</f>
        <v>493.98</v>
      </c>
      <c r="I109" s="107">
        <f t="shared" si="5"/>
        <v>8891.64</v>
      </c>
    </row>
    <row r="110" spans="2:9" x14ac:dyDescent="0.3">
      <c r="B110" s="104" t="s">
        <v>254</v>
      </c>
      <c r="C110" s="54" t="str">
        <f>VLOOKUP(B110,'[1]Product by Part Number'!$A:$K,2,0)</f>
        <v xml:space="preserve">CAT D6 (RDC)                  </v>
      </c>
      <c r="D110" s="54" t="str">
        <f>VLOOKUP(B110,'[1]Product by Part Number'!$A:$K,3,0)</f>
        <v>SPROCKET SEGMENT</v>
      </c>
      <c r="E110" s="55">
        <f>VLOOKUP(B110,'[1]Product by Part Number'!$A:$K,11,0)</f>
        <v>10</v>
      </c>
      <c r="F110" s="80">
        <f>VLOOKUP(B110,'[1]Product by Part Number'!$A:$K,4,0)</f>
        <v>293.17</v>
      </c>
      <c r="G110" s="62">
        <f t="shared" si="4"/>
        <v>2931.7000000000003</v>
      </c>
      <c r="H110" s="89">
        <f>VLOOKUP(B110,'[1]Product by Part Number'!$A:$K,5,0)</f>
        <v>146.59</v>
      </c>
      <c r="I110" s="107">
        <f t="shared" si="5"/>
        <v>1465.9</v>
      </c>
    </row>
    <row r="111" spans="2:9" x14ac:dyDescent="0.3">
      <c r="B111" s="104" t="s">
        <v>255</v>
      </c>
      <c r="C111" s="54" t="str">
        <f>VLOOKUP(B111,'[1]Product by Part Number'!$A:$K,2,0)</f>
        <v xml:space="preserve">CAT D6 (RDC)                  </v>
      </c>
      <c r="D111" s="54" t="str">
        <f>VLOOKUP(B111,'[1]Product by Part Number'!$A:$K,3,0)</f>
        <v>SPROCKET BOLT</v>
      </c>
      <c r="E111" s="55">
        <f>VLOOKUP(B111,'[1]Product by Part Number'!$A:$K,11,0)</f>
        <v>50</v>
      </c>
      <c r="F111" s="80">
        <f>VLOOKUP(B111,'[1]Product by Part Number'!$A:$K,4,0)</f>
        <v>9.4700000000000006</v>
      </c>
      <c r="G111" s="62">
        <f t="shared" si="4"/>
        <v>473.50000000000006</v>
      </c>
      <c r="H111" s="89">
        <f>VLOOKUP(B111,'[1]Product by Part Number'!$A:$K,5,0)</f>
        <v>4.74</v>
      </c>
      <c r="I111" s="107">
        <f t="shared" si="5"/>
        <v>237</v>
      </c>
    </row>
    <row r="112" spans="2:9" x14ac:dyDescent="0.3">
      <c r="B112" s="104" t="s">
        <v>260</v>
      </c>
      <c r="C112" s="54" t="str">
        <f>VLOOKUP(B112,'[1]Product by Part Number'!$A:$K,2,0)</f>
        <v xml:space="preserve">CAT D3 (1PJ)                  </v>
      </c>
      <c r="D112" s="54" t="str">
        <f>VLOOKUP(B112,'[1]Product by Part Number'!$A:$K,3,0)</f>
        <v>SINGLE FLANGE TRACK ROLLER</v>
      </c>
      <c r="E112" s="55">
        <f>VLOOKUP(B112,'[1]Product by Part Number'!$A:$K,11,0)</f>
        <v>12</v>
      </c>
      <c r="F112" s="80">
        <f>VLOOKUP(B112,'[1]Product by Part Number'!$A:$K,4,0)</f>
        <v>579.6</v>
      </c>
      <c r="G112" s="62">
        <f t="shared" si="4"/>
        <v>6955.2000000000007</v>
      </c>
      <c r="H112" s="89">
        <f>VLOOKUP(B112,'[1]Product by Part Number'!$A:$K,5,0)</f>
        <v>289.8</v>
      </c>
      <c r="I112" s="107">
        <f t="shared" si="5"/>
        <v>3477.6</v>
      </c>
    </row>
    <row r="113" spans="2:9" ht="27" x14ac:dyDescent="0.3">
      <c r="B113" s="104" t="s">
        <v>261</v>
      </c>
      <c r="C113" s="54" t="str">
        <f>VLOOKUP(B113,'[1]Product by Part Number'!$A:$K,2,0)</f>
        <v xml:space="preserve">CAT D3 (1PJ)                  </v>
      </c>
      <c r="D113" s="54" t="str">
        <f>VLOOKUP(B113,'[1]Product by Part Number'!$A:$K,3,0)</f>
        <v>DOUBLE FLANGE TRACK ROLLER (GUIDE AR)*</v>
      </c>
      <c r="E113" s="55">
        <f>VLOOKUP(B113,'[1]Product by Part Number'!$A:$K,11,0)</f>
        <v>8</v>
      </c>
      <c r="F113" s="80">
        <f>VLOOKUP(B113,'[1]Product by Part Number'!$A:$K,4,0)</f>
        <v>623.29</v>
      </c>
      <c r="G113" s="62">
        <f t="shared" si="4"/>
        <v>4986.32</v>
      </c>
      <c r="H113" s="89">
        <f>VLOOKUP(B113,'[1]Product by Part Number'!$A:$K,5,0)</f>
        <v>311.64999999999998</v>
      </c>
      <c r="I113" s="107">
        <f t="shared" si="5"/>
        <v>2493.1999999999998</v>
      </c>
    </row>
    <row r="114" spans="2:9" x14ac:dyDescent="0.3">
      <c r="B114" s="104" t="s">
        <v>265</v>
      </c>
      <c r="C114" s="54" t="str">
        <f>VLOOKUP(B114,'[1]Product by Part Number'!$A:$K,2,0)</f>
        <v xml:space="preserve">CAT D4 (66J)                  </v>
      </c>
      <c r="D114" s="54" t="str">
        <f>VLOOKUP(B114,'[1]Product by Part Number'!$A:$K,3,0)</f>
        <v>SPROCKET BOLT</v>
      </c>
      <c r="E114" s="55">
        <f>VLOOKUP(B114,'[1]Product by Part Number'!$A:$K,11,0)</f>
        <v>12</v>
      </c>
      <c r="F114" s="80">
        <f>VLOOKUP(B114,'[1]Product by Part Number'!$A:$K,4,0)</f>
        <v>5.71</v>
      </c>
      <c r="G114" s="62">
        <f t="shared" si="4"/>
        <v>68.52</v>
      </c>
      <c r="H114" s="89">
        <f>VLOOKUP(B114,'[1]Product by Part Number'!$A:$K,5,0)</f>
        <v>2.86</v>
      </c>
      <c r="I114" s="107">
        <f t="shared" si="5"/>
        <v>34.32</v>
      </c>
    </row>
    <row r="115" spans="2:9" x14ac:dyDescent="0.3">
      <c r="B115" s="104" t="s">
        <v>266</v>
      </c>
      <c r="C115" s="54" t="str">
        <f>VLOOKUP(B115,'[1]Product by Part Number'!$A:$K,2,0)</f>
        <v xml:space="preserve">CAT D7G (92V)                  </v>
      </c>
      <c r="D115" s="54" t="str">
        <f>VLOOKUP(B115,'[1]Product by Part Number'!$A:$K,3,0)</f>
        <v>SINGLE FLANGE ROLLER</v>
      </c>
      <c r="E115" s="55">
        <f>VLOOKUP(B115,'[1]Product by Part Number'!$A:$K,11,0)</f>
        <v>12</v>
      </c>
      <c r="F115" s="80">
        <f>VLOOKUP(B115,'[1]Product by Part Number'!$A:$K,4,0)</f>
        <v>1122.06</v>
      </c>
      <c r="G115" s="62">
        <f t="shared" si="4"/>
        <v>13464.72</v>
      </c>
      <c r="H115" s="89">
        <f>VLOOKUP(B115,'[1]Product by Part Number'!$A:$K,5,0)</f>
        <v>561.03</v>
      </c>
      <c r="I115" s="107">
        <f t="shared" si="5"/>
        <v>6732.36</v>
      </c>
    </row>
    <row r="116" spans="2:9" x14ac:dyDescent="0.3">
      <c r="B116" s="104" t="s">
        <v>274</v>
      </c>
      <c r="C116" s="54" t="str">
        <f>VLOOKUP(B116,'[1]Product by Part Number'!$A:$K,2,0)</f>
        <v xml:space="preserve">CAT D4 (66J)                  </v>
      </c>
      <c r="D116" s="54" t="str">
        <f>VLOOKUP(B116,'[1]Product by Part Number'!$A:$K,3,0)</f>
        <v>SPROCKET SEGMENT</v>
      </c>
      <c r="E116" s="55">
        <f>VLOOKUP(B116,'[1]Product by Part Number'!$A:$K,11,0)</f>
        <v>2</v>
      </c>
      <c r="F116" s="80">
        <f>VLOOKUP(B116,'[1]Product by Part Number'!$A:$K,4,0)</f>
        <v>1870.5</v>
      </c>
      <c r="G116" s="62">
        <f t="shared" si="4"/>
        <v>3741</v>
      </c>
      <c r="H116" s="89">
        <f>VLOOKUP(B116,'[1]Product by Part Number'!$A:$K,5,0)</f>
        <v>935.25</v>
      </c>
      <c r="I116" s="107">
        <f t="shared" si="5"/>
        <v>1870.5</v>
      </c>
    </row>
    <row r="117" spans="2:9" ht="40.200000000000003" x14ac:dyDescent="0.3">
      <c r="B117" s="104" t="s">
        <v>277</v>
      </c>
      <c r="C117" s="54" t="str">
        <f>VLOOKUP(B117,'[1]Product by Part Number'!$A:$K,2,0)</f>
        <v xml:space="preserve">CAT 329E L (ZCD) CAT 329F L (ERL) CAT 330F L (MBX) CAT 330F L (HCK) CAT 330 (LHW) CAT 330 (WCH)        </v>
      </c>
      <c r="D117" s="54" t="str">
        <f>VLOOKUP(B117,'[1]Product by Part Number'!$A:$K,3,0)</f>
        <v>SINGLE FLANGE TRACK ROLLER</v>
      </c>
      <c r="E117" s="55">
        <f>VLOOKUP(B117,'[1]Product by Part Number'!$A:$K,11,0)</f>
        <v>288</v>
      </c>
      <c r="F117" s="80">
        <f>VLOOKUP(B117,'[1]Product by Part Number'!$A:$K,4,0)</f>
        <v>862.15</v>
      </c>
      <c r="G117" s="62">
        <f t="shared" si="4"/>
        <v>248299.19999999998</v>
      </c>
      <c r="H117" s="89">
        <f>VLOOKUP(B117,'[1]Product by Part Number'!$A:$K,5,0)</f>
        <v>431.08</v>
      </c>
      <c r="I117" s="107">
        <f t="shared" si="5"/>
        <v>124151.03999999999</v>
      </c>
    </row>
    <row r="118" spans="2:9" x14ac:dyDescent="0.3">
      <c r="B118" s="104" t="s">
        <v>278</v>
      </c>
      <c r="C118" s="54" t="str">
        <f>VLOOKUP(B118,'[1]Product by Part Number'!$A:$K,2,0)</f>
        <v xml:space="preserve">CAT D6 (RDC)                  </v>
      </c>
      <c r="D118" s="54" t="str">
        <f>VLOOKUP(B118,'[1]Product by Part Number'!$A:$K,3,0)</f>
        <v>HEX NUT</v>
      </c>
      <c r="E118" s="55">
        <f>VLOOKUP(B118,'[1]Product by Part Number'!$A:$K,11,0)</f>
        <v>50</v>
      </c>
      <c r="F118" s="80">
        <f>VLOOKUP(B118,'[1]Product by Part Number'!$A:$K,4,0)</f>
        <v>10.44</v>
      </c>
      <c r="G118" s="62">
        <f t="shared" si="4"/>
        <v>522</v>
      </c>
      <c r="H118" s="89">
        <f>VLOOKUP(B118,'[1]Product by Part Number'!$A:$K,5,0)</f>
        <v>5.22</v>
      </c>
      <c r="I118" s="107">
        <f t="shared" si="5"/>
        <v>261</v>
      </c>
    </row>
    <row r="119" spans="2:9" x14ac:dyDescent="0.3">
      <c r="B119" s="104" t="s">
        <v>280</v>
      </c>
      <c r="C119" s="54" t="str">
        <f>VLOOKUP(B119,'[1]Product by Part Number'!$A:$K,2,0)</f>
        <v xml:space="preserve">CAT 330 (LHW) CAT 330 (WCH)                </v>
      </c>
      <c r="D119" s="54" t="str">
        <f>VLOOKUP(B119,'[1]Product by Part Number'!$A:$K,3,0)</f>
        <v>TRACK SHOE 800MM</v>
      </c>
      <c r="E119" s="55">
        <f>VLOOKUP(B119,'[1]Product by Part Number'!$A:$K,11,0)</f>
        <v>1000</v>
      </c>
      <c r="F119" s="80">
        <f>VLOOKUP(B119,'[1]Product by Part Number'!$A:$K,4,0)</f>
        <v>230.91</v>
      </c>
      <c r="G119" s="62">
        <f t="shared" si="4"/>
        <v>230910</v>
      </c>
      <c r="H119" s="89">
        <f>VLOOKUP(B119,'[1]Product by Part Number'!$A:$K,5,0)</f>
        <v>115.46</v>
      </c>
      <c r="I119" s="107">
        <f t="shared" si="5"/>
        <v>115460</v>
      </c>
    </row>
    <row r="120" spans="2:9" x14ac:dyDescent="0.3">
      <c r="B120" s="104" t="s">
        <v>50</v>
      </c>
      <c r="C120" s="54" t="str">
        <f>VLOOKUP(B120,'[1]Product by Part Number'!$A:$K,2,0)</f>
        <v xml:space="preserve">CAT 336F L (RKB)                  </v>
      </c>
      <c r="D120" s="54" t="str">
        <f>VLOOKUP(B120,'[1]Product by Part Number'!$A:$K,3,0)</f>
        <v>SPROCKET BOLT</v>
      </c>
      <c r="E120" s="55">
        <f>VLOOKUP(B120,'[1]Product by Part Number'!$A:$K,11,0)</f>
        <v>32</v>
      </c>
      <c r="F120" s="80">
        <f>VLOOKUP(B120,'[1]Product by Part Number'!$A:$K,4,0)</f>
        <v>22.52</v>
      </c>
      <c r="G120" s="62">
        <f t="shared" si="4"/>
        <v>720.64</v>
      </c>
      <c r="H120" s="89">
        <f>VLOOKUP(B120,'[1]Product by Part Number'!$A:$K,5,0)</f>
        <v>11.26</v>
      </c>
      <c r="I120" s="107">
        <f t="shared" si="5"/>
        <v>360.32</v>
      </c>
    </row>
    <row r="121" spans="2:9" x14ac:dyDescent="0.3">
      <c r="B121" s="104" t="s">
        <v>286</v>
      </c>
      <c r="C121" s="54" t="str">
        <f>VLOOKUP(B121,'[1]Product by Part Number'!$A:$K,2,0)</f>
        <v xml:space="preserve">CAT D3 (1PJ)                  </v>
      </c>
      <c r="D121" s="54" t="str">
        <f>VLOOKUP(B121,'[1]Product by Part Number'!$A:$K,3,0)</f>
        <v>TRACK IDLER AND BEARING ASSY</v>
      </c>
      <c r="E121" s="55">
        <f>VLOOKUP(B121,'[1]Product by Part Number'!$A:$K,11,0)</f>
        <v>2</v>
      </c>
      <c r="F121" s="80">
        <f>VLOOKUP(B121,'[1]Product by Part Number'!$A:$K,4,0)</f>
        <v>1859.1</v>
      </c>
      <c r="G121" s="62">
        <f t="shared" si="4"/>
        <v>3718.2</v>
      </c>
      <c r="H121" s="89">
        <f>VLOOKUP(B121,'[1]Product by Part Number'!$A:$K,5,0)</f>
        <v>929.55</v>
      </c>
      <c r="I121" s="107">
        <f t="shared" si="5"/>
        <v>1859.1</v>
      </c>
    </row>
    <row r="122" spans="2:9" x14ac:dyDescent="0.3">
      <c r="B122" s="104" t="s">
        <v>288</v>
      </c>
      <c r="C122" s="54" t="str">
        <f>VLOOKUP(B122,'[1]Product by Part Number'!$A:$K,2,0)</f>
        <v xml:space="preserve">CAT D6T (MH7)                  </v>
      </c>
      <c r="D122" s="54" t="str">
        <f>VLOOKUP(B122,'[1]Product by Part Number'!$A:$K,3,0)</f>
        <v>TRACK SHOE RH - 790MM - OFFSET</v>
      </c>
      <c r="E122" s="55">
        <f>VLOOKUP(B122,'[1]Product by Part Number'!$A:$K,11,0)</f>
        <v>44</v>
      </c>
      <c r="F122" s="80">
        <f>VLOOKUP(B122,'[1]Product by Part Number'!$A:$K,4,0)</f>
        <v>223.22</v>
      </c>
      <c r="G122" s="62">
        <f t="shared" si="4"/>
        <v>9821.68</v>
      </c>
      <c r="H122" s="89">
        <f>VLOOKUP(B122,'[1]Product by Part Number'!$A:$K,5,0)</f>
        <v>111.61</v>
      </c>
      <c r="I122" s="107">
        <f t="shared" si="5"/>
        <v>4910.84</v>
      </c>
    </row>
    <row r="123" spans="2:9" x14ac:dyDescent="0.3">
      <c r="B123" s="104" t="s">
        <v>289</v>
      </c>
      <c r="C123" s="54" t="str">
        <f>VLOOKUP(B123,'[1]Product by Part Number'!$A:$K,2,0)</f>
        <v xml:space="preserve">CAT D6T (MH7)                  </v>
      </c>
      <c r="D123" s="54" t="str">
        <f>VLOOKUP(B123,'[1]Product by Part Number'!$A:$K,3,0)</f>
        <v>TRACK SHOE MASTER RH</v>
      </c>
      <c r="E123" s="55">
        <f>VLOOKUP(B123,'[1]Product by Part Number'!$A:$K,11,0)</f>
        <v>1</v>
      </c>
      <c r="F123" s="80">
        <f>VLOOKUP(B123,'[1]Product by Part Number'!$A:$K,4,0)</f>
        <v>242.72</v>
      </c>
      <c r="G123" s="62">
        <f t="shared" si="4"/>
        <v>242.72</v>
      </c>
      <c r="H123" s="89">
        <f>VLOOKUP(B123,'[1]Product by Part Number'!$A:$K,5,0)</f>
        <v>121.36</v>
      </c>
      <c r="I123" s="107">
        <f t="shared" si="5"/>
        <v>121.36</v>
      </c>
    </row>
    <row r="124" spans="2:9" x14ac:dyDescent="0.3">
      <c r="B124" s="104" t="s">
        <v>290</v>
      </c>
      <c r="C124" s="54" t="str">
        <f>VLOOKUP(B124,'[1]Product by Part Number'!$A:$K,2,0)</f>
        <v xml:space="preserve">CAT D6T (MH7)                  </v>
      </c>
      <c r="D124" s="54" t="str">
        <f>VLOOKUP(B124,'[1]Product by Part Number'!$A:$K,3,0)</f>
        <v>TRACK SHOE LH - 790MM - OFFSET</v>
      </c>
      <c r="E124" s="55">
        <f>VLOOKUP(B124,'[1]Product by Part Number'!$A:$K,11,0)</f>
        <v>44</v>
      </c>
      <c r="F124" s="80">
        <f>VLOOKUP(B124,'[1]Product by Part Number'!$A:$K,4,0)</f>
        <v>223.22</v>
      </c>
      <c r="G124" s="62">
        <f t="shared" si="4"/>
        <v>9821.68</v>
      </c>
      <c r="H124" s="89">
        <f>VLOOKUP(B124,'[1]Product by Part Number'!$A:$K,5,0)</f>
        <v>111.61</v>
      </c>
      <c r="I124" s="107">
        <f t="shared" si="5"/>
        <v>4910.84</v>
      </c>
    </row>
    <row r="125" spans="2:9" x14ac:dyDescent="0.3">
      <c r="B125" s="104" t="s">
        <v>291</v>
      </c>
      <c r="C125" s="54" t="str">
        <f>VLOOKUP(B125,'[1]Product by Part Number'!$A:$K,2,0)</f>
        <v xml:space="preserve">CAT D6T (MH7)                  </v>
      </c>
      <c r="D125" s="54" t="str">
        <f>VLOOKUP(B125,'[1]Product by Part Number'!$A:$K,3,0)</f>
        <v>TRACK SHOE MASTER LH</v>
      </c>
      <c r="E125" s="55">
        <f>VLOOKUP(B125,'[1]Product by Part Number'!$A:$K,11,0)</f>
        <v>1</v>
      </c>
      <c r="F125" s="80">
        <f>VLOOKUP(B125,'[1]Product by Part Number'!$A:$K,4,0)</f>
        <v>235.62</v>
      </c>
      <c r="G125" s="62">
        <f t="shared" si="4"/>
        <v>235.62</v>
      </c>
      <c r="H125" s="89">
        <f>VLOOKUP(B125,'[1]Product by Part Number'!$A:$K,5,0)</f>
        <v>117.81</v>
      </c>
      <c r="I125" s="107">
        <f t="shared" si="5"/>
        <v>117.81</v>
      </c>
    </row>
    <row r="126" spans="2:9" ht="27" x14ac:dyDescent="0.3">
      <c r="B126" s="104" t="s">
        <v>292</v>
      </c>
      <c r="C126" s="54" t="str">
        <f>VLOOKUP(B126,'[1]Product by Part Number'!$A:$K,2,0)</f>
        <v xml:space="preserve">CAT D4 (66J) CAT D6N LGP (GHS) CAT D6N LGP (SGG)              </v>
      </c>
      <c r="D126" s="54" t="str">
        <f>VLOOKUP(B126,'[1]Product by Part Number'!$A:$K,3,0)</f>
        <v>TRACK LINK ASSEMBLY</v>
      </c>
      <c r="E126" s="55">
        <f>VLOOKUP(B126,'[1]Product by Part Number'!$A:$K,11,0)</f>
        <v>8</v>
      </c>
      <c r="F126" s="80">
        <f>VLOOKUP(B126,'[1]Product by Part Number'!$A:$K,4,0)</f>
        <v>13503.77</v>
      </c>
      <c r="G126" s="62">
        <f t="shared" si="4"/>
        <v>108030.16</v>
      </c>
      <c r="H126" s="89">
        <f>VLOOKUP(B126,'[1]Product by Part Number'!$A:$K,5,0)</f>
        <v>6751.89</v>
      </c>
      <c r="I126" s="107">
        <f t="shared" si="5"/>
        <v>54015.12</v>
      </c>
    </row>
    <row r="127" spans="2:9" x14ac:dyDescent="0.3">
      <c r="B127" s="104" t="s">
        <v>294</v>
      </c>
      <c r="C127" s="54" t="str">
        <f>VLOOKUP(B127,'[1]Product by Part Number'!$A:$K,2,0)</f>
        <v xml:space="preserve">CAT D7G (92V)                  </v>
      </c>
      <c r="D127" s="54" t="str">
        <f>VLOOKUP(B127,'[1]Product by Part Number'!$A:$K,3,0)</f>
        <v>DUAL FLANGE ROLLER</v>
      </c>
      <c r="E127" s="55">
        <f>VLOOKUP(B127,'[1]Product by Part Number'!$A:$K,11,0)</f>
        <v>12</v>
      </c>
      <c r="F127" s="80">
        <f>VLOOKUP(B127,'[1]Product by Part Number'!$A:$K,4,0)</f>
        <v>1169.26</v>
      </c>
      <c r="G127" s="62">
        <f t="shared" si="4"/>
        <v>14031.119999999999</v>
      </c>
      <c r="H127" s="89">
        <f>VLOOKUP(B127,'[1]Product by Part Number'!$A:$K,5,0)</f>
        <v>584.63</v>
      </c>
      <c r="I127" s="107">
        <f t="shared" si="5"/>
        <v>7015.56</v>
      </c>
    </row>
    <row r="128" spans="2:9" x14ac:dyDescent="0.3">
      <c r="B128" s="104" t="s">
        <v>296</v>
      </c>
      <c r="C128" s="54" t="str">
        <f>VLOOKUP(B128,'[1]Product by Part Number'!$A:$K,2,0)</f>
        <v xml:space="preserve">CAT D6N LGP (PBA)                  </v>
      </c>
      <c r="D128" s="54" t="str">
        <f>VLOOKUP(B128,'[1]Product by Part Number'!$A:$K,3,0)</f>
        <v xml:space="preserve">TRACK LINK ASSEMBLY </v>
      </c>
      <c r="E128" s="55">
        <f>VLOOKUP(B128,'[1]Product by Part Number'!$A:$K,11,0)</f>
        <v>4</v>
      </c>
      <c r="F128" s="80">
        <f>VLOOKUP(B128,'[1]Product by Part Number'!$A:$K,4,0)</f>
        <v>17735.5</v>
      </c>
      <c r="G128" s="62">
        <f t="shared" si="4"/>
        <v>70942</v>
      </c>
      <c r="H128" s="89">
        <f>VLOOKUP(B128,'[1]Product by Part Number'!$A:$K,5,0)</f>
        <v>8867.75</v>
      </c>
      <c r="I128" s="107">
        <f t="shared" si="5"/>
        <v>35471</v>
      </c>
    </row>
    <row r="129" spans="2:9" x14ac:dyDescent="0.3">
      <c r="B129" s="104" t="s">
        <v>297</v>
      </c>
      <c r="C129" s="54" t="str">
        <f>VLOOKUP(B129,'[1]Product by Part Number'!$A:$K,2,0)</f>
        <v xml:space="preserve">CAT D6T (MH7)                  </v>
      </c>
      <c r="D129" s="54" t="str">
        <f>VLOOKUP(B129,'[1]Product by Part Number'!$A:$K,3,0)</f>
        <v>TRACK LINK ASSEMBLY</v>
      </c>
      <c r="E129" s="55">
        <f>VLOOKUP(B129,'[1]Product by Part Number'!$A:$K,11,0)</f>
        <v>2</v>
      </c>
      <c r="F129" s="80">
        <f>VLOOKUP(B129,'[1]Product by Part Number'!$A:$K,4,0)</f>
        <v>15772.81</v>
      </c>
      <c r="G129" s="62">
        <f t="shared" si="4"/>
        <v>31545.62</v>
      </c>
      <c r="H129" s="89">
        <f>VLOOKUP(B129,'[1]Product by Part Number'!$A:$K,5,0)</f>
        <v>7886.41</v>
      </c>
      <c r="I129" s="107">
        <f t="shared" si="5"/>
        <v>15772.82</v>
      </c>
    </row>
    <row r="130" spans="2:9" x14ac:dyDescent="0.3">
      <c r="B130" s="104" t="s">
        <v>298</v>
      </c>
      <c r="C130" s="54" t="str">
        <f>VLOOKUP(B130,'[1]Product by Part Number'!$A:$K,2,0)</f>
        <v xml:space="preserve">CAT 303.5E                  </v>
      </c>
      <c r="D130" s="54" t="str">
        <f>VLOOKUP(B130,'[1]Product by Part Number'!$A:$K,3,0)</f>
        <v>RUBBER TRACKS</v>
      </c>
      <c r="E130" s="55">
        <f>VLOOKUP(B130,'[1]Product by Part Number'!$A:$K,11,0)</f>
        <v>2</v>
      </c>
      <c r="F130" s="80">
        <f>VLOOKUP(B130,'[1]Product by Part Number'!$A:$K,4,0)</f>
        <v>2467.27</v>
      </c>
      <c r="G130" s="62">
        <f t="shared" si="4"/>
        <v>4934.54</v>
      </c>
      <c r="H130" s="89">
        <f>VLOOKUP(B130,'[1]Product by Part Number'!$A:$K,5,0)</f>
        <v>1233.6400000000001</v>
      </c>
      <c r="I130" s="107">
        <f t="shared" si="5"/>
        <v>2467.2800000000002</v>
      </c>
    </row>
    <row r="131" spans="2:9" x14ac:dyDescent="0.3">
      <c r="B131" s="104" t="s">
        <v>307</v>
      </c>
      <c r="C131" s="54" t="str">
        <f>VLOOKUP(B131,'[1]Product by Part Number'!$A:$K,2,0)</f>
        <v xml:space="preserve">CAT D6 (RDC)                  </v>
      </c>
      <c r="D131" s="54" t="str">
        <f>VLOOKUP(B131,'[1]Product by Part Number'!$A:$K,3,0)</f>
        <v>TRACK LINK 46 JOINT</v>
      </c>
      <c r="E131" s="55">
        <f>VLOOKUP(B131,'[1]Product by Part Number'!$A:$K,11,0)</f>
        <v>2</v>
      </c>
      <c r="F131" s="80">
        <f>VLOOKUP(B131,'[1]Product by Part Number'!$A:$K,4,0)</f>
        <v>10339.93</v>
      </c>
      <c r="G131" s="62">
        <f t="shared" si="4"/>
        <v>20679.86</v>
      </c>
      <c r="H131" s="89">
        <f>VLOOKUP(B131,'[1]Product by Part Number'!$A:$K,5,0)</f>
        <v>5169.97</v>
      </c>
      <c r="I131" s="107">
        <f t="shared" si="5"/>
        <v>10339.94</v>
      </c>
    </row>
    <row r="132" spans="2:9" ht="27" x14ac:dyDescent="0.3">
      <c r="B132" s="104" t="s">
        <v>308</v>
      </c>
      <c r="C132" s="54" t="str">
        <f>VLOOKUP(B132,'[1]Product by Part Number'!$A:$K,2,0)</f>
        <v xml:space="preserve">CAT 320E L (WBK) CAT 320F L (YBM) CAT 320 (HEX) CAT 320 (MYK)            </v>
      </c>
      <c r="D132" s="54" t="str">
        <f>VLOOKUP(B132,'[1]Product by Part Number'!$A:$K,3,0)</f>
        <v xml:space="preserve">TRACK LINK ASSEMBLY </v>
      </c>
      <c r="E132" s="55">
        <f>VLOOKUP(B132,'[1]Product by Part Number'!$A:$K,11,0)</f>
        <v>12</v>
      </c>
      <c r="F132" s="80">
        <f>VLOOKUP(B132,'[1]Product by Part Number'!$A:$K,4,0)</f>
        <v>8238.4699999999993</v>
      </c>
      <c r="G132" s="62">
        <f t="shared" si="4"/>
        <v>98861.639999999985</v>
      </c>
      <c r="H132" s="89">
        <f>VLOOKUP(B132,'[1]Product by Part Number'!$A:$K,5,0)</f>
        <v>4119.24</v>
      </c>
      <c r="I132" s="107">
        <f t="shared" si="5"/>
        <v>49430.879999999997</v>
      </c>
    </row>
    <row r="133" spans="2:9" x14ac:dyDescent="0.3">
      <c r="B133" s="104" t="s">
        <v>309</v>
      </c>
      <c r="C133" s="54" t="str">
        <f>VLOOKUP(B133,'[1]Product by Part Number'!$A:$K,2,0)</f>
        <v xml:space="preserve">CAT D3 (1PJ)                  </v>
      </c>
      <c r="D133" s="54" t="str">
        <f>VLOOKUP(B133,'[1]Product by Part Number'!$A:$K,3,0)</f>
        <v>TRACK BOLT</v>
      </c>
      <c r="E133" s="55">
        <f>VLOOKUP(B133,'[1]Product by Part Number'!$A:$K,11,0)</f>
        <v>344</v>
      </c>
      <c r="F133" s="80">
        <f>VLOOKUP(B133,'[1]Product by Part Number'!$A:$K,4,0)</f>
        <v>3.73</v>
      </c>
      <c r="G133" s="62">
        <f t="shared" si="4"/>
        <v>1283.1199999999999</v>
      </c>
      <c r="H133" s="89">
        <f>VLOOKUP(B133,'[1]Product by Part Number'!$A:$K,5,0)</f>
        <v>1.87</v>
      </c>
      <c r="I133" s="107">
        <f t="shared" si="5"/>
        <v>643.28</v>
      </c>
    </row>
    <row r="134" spans="2:9" x14ac:dyDescent="0.3">
      <c r="B134" s="104" t="s">
        <v>311</v>
      </c>
      <c r="C134" s="54" t="str">
        <f>VLOOKUP(B134,'[1]Product by Part Number'!$A:$K,2,0)</f>
        <v xml:space="preserve">CAT D3 (1PJ)                  </v>
      </c>
      <c r="D134" s="54" t="str">
        <f>VLOOKUP(B134,'[1]Product by Part Number'!$A:$K,3,0)</f>
        <v>FLAT WASHER</v>
      </c>
      <c r="E134" s="55">
        <f>VLOOKUP(B134,'[1]Product by Part Number'!$A:$K,11,0)</f>
        <v>50</v>
      </c>
      <c r="F134" s="80">
        <f>VLOOKUP(B134,'[1]Product by Part Number'!$A:$K,4,0)</f>
        <v>1.86</v>
      </c>
      <c r="G134" s="62">
        <f t="shared" si="4"/>
        <v>93</v>
      </c>
      <c r="H134" s="89">
        <f>VLOOKUP(B134,'[1]Product by Part Number'!$A:$K,5,0)</f>
        <v>0.93</v>
      </c>
      <c r="I134" s="107">
        <f t="shared" si="5"/>
        <v>46.5</v>
      </c>
    </row>
    <row r="135" spans="2:9" ht="27" x14ac:dyDescent="0.3">
      <c r="B135" s="104" t="s">
        <v>313</v>
      </c>
      <c r="C135" s="54" t="str">
        <f>VLOOKUP(B135,'[1]Product by Part Number'!$A:$K,2,0)</f>
        <v xml:space="preserve">CAT 320E L (WBK) CAT 320F L (YBM) CAT 320 (HEX) CAT 320 (MYK)            </v>
      </c>
      <c r="D135" s="54" t="str">
        <f>VLOOKUP(B135,'[1]Product by Part Number'!$A:$K,3,0)</f>
        <v>SINGLE FLANGE TRACK ROLLER</v>
      </c>
      <c r="E135" s="55">
        <f>VLOOKUP(B135,'[1]Product by Part Number'!$A:$K,11,0)</f>
        <v>96</v>
      </c>
      <c r="F135" s="80">
        <f>VLOOKUP(B135,'[1]Product by Part Number'!$A:$K,4,0)</f>
        <v>748.26</v>
      </c>
      <c r="G135" s="62">
        <f t="shared" si="4"/>
        <v>71832.959999999992</v>
      </c>
      <c r="H135" s="89">
        <f>VLOOKUP(B135,'[1]Product by Part Number'!$A:$K,5,0)</f>
        <v>374.13</v>
      </c>
      <c r="I135" s="107">
        <f t="shared" si="5"/>
        <v>35916.480000000003</v>
      </c>
    </row>
    <row r="136" spans="2:9" ht="40.200000000000003" x14ac:dyDescent="0.3">
      <c r="B136" s="104" t="s">
        <v>315</v>
      </c>
      <c r="C136" s="54" t="str">
        <f>VLOOKUP(B136,'[1]Product by Part Number'!$A:$K,2,0)</f>
        <v xml:space="preserve">CAT 329E L (ZCD) CAT 329F L (ERL) CAT 330F L (MBX) CAT 330F L (HCK) CAT 330 (LHW) CAT 330 (WCH)        </v>
      </c>
      <c r="D136" s="54" t="str">
        <f>VLOOKUP(B136,'[1]Product by Part Number'!$A:$K,3,0)</f>
        <v>SPROCKET BOLT</v>
      </c>
      <c r="E136" s="55">
        <f>VLOOKUP(B136,'[1]Product by Part Number'!$A:$K,11,0)</f>
        <v>576</v>
      </c>
      <c r="F136" s="80">
        <f>VLOOKUP(B136,'[1]Product by Part Number'!$A:$K,4,0)</f>
        <v>10.72</v>
      </c>
      <c r="G136" s="62">
        <f t="shared" si="4"/>
        <v>6174.72</v>
      </c>
      <c r="H136" s="89">
        <f>VLOOKUP(B136,'[1]Product by Part Number'!$A:$K,5,0)</f>
        <v>5.36</v>
      </c>
      <c r="I136" s="107">
        <f t="shared" si="5"/>
        <v>3087.36</v>
      </c>
    </row>
    <row r="137" spans="2:9" x14ac:dyDescent="0.3">
      <c r="B137" s="104" t="s">
        <v>317</v>
      </c>
      <c r="C137" s="54" t="str">
        <f>VLOOKUP(B137,'[1]Product by Part Number'!$A:$K,2,0)</f>
        <v xml:space="preserve">CAT 330 (LHW) CAT 330 (WCH)                </v>
      </c>
      <c r="D137" s="54" t="str">
        <f>VLOOKUP(B137,'[1]Product by Part Number'!$A:$K,3,0)</f>
        <v>TRACK LINK ASSEMBLY</v>
      </c>
      <c r="E137" s="55">
        <f>VLOOKUP(B137,'[1]Product by Part Number'!$A:$K,11,0)</f>
        <v>20</v>
      </c>
      <c r="F137" s="80">
        <f>VLOOKUP(B137,'[1]Product by Part Number'!$A:$K,4,0)</f>
        <v>10788.51</v>
      </c>
      <c r="G137" s="62">
        <f t="shared" si="4"/>
        <v>215770.2</v>
      </c>
      <c r="H137" s="89">
        <f>VLOOKUP(B137,'[1]Product by Part Number'!$A:$K,5,0)</f>
        <v>5394.26</v>
      </c>
      <c r="I137" s="107">
        <f t="shared" si="5"/>
        <v>107885.2</v>
      </c>
    </row>
    <row r="138" spans="2:9" ht="27" x14ac:dyDescent="0.3">
      <c r="B138" s="104" t="s">
        <v>331</v>
      </c>
      <c r="C138" s="54" t="str">
        <f>VLOOKUP(B138,'[1]Product by Part Number'!$A:$K,2,0)</f>
        <v xml:space="preserve">CAT D6N LGP (GHS) CAT D6N LGP (PBA) CAT D6N LGP (SGG)              </v>
      </c>
      <c r="D138" s="54" t="str">
        <f>VLOOKUP(B138,'[1]Product by Part Number'!$A:$K,3,0)</f>
        <v>SPROCKET SEGMENT</v>
      </c>
      <c r="E138" s="55">
        <f>VLOOKUP(B138,'[1]Product by Part Number'!$A:$K,11,0)</f>
        <v>50</v>
      </c>
      <c r="F138" s="80">
        <f>VLOOKUP(B138,'[1]Product by Part Number'!$A:$K,4,0)</f>
        <v>204.05</v>
      </c>
      <c r="G138" s="62">
        <f t="shared" si="4"/>
        <v>10202.5</v>
      </c>
      <c r="H138" s="89">
        <f>VLOOKUP(B138,'[1]Product by Part Number'!$A:$K,5,0)</f>
        <v>102.03</v>
      </c>
      <c r="I138" s="107">
        <f t="shared" si="5"/>
        <v>5101.5</v>
      </c>
    </row>
    <row r="139" spans="2:9" x14ac:dyDescent="0.3">
      <c r="B139" s="104" t="s">
        <v>332</v>
      </c>
      <c r="C139" s="54" t="str">
        <f>VLOOKUP(B139,'[1]Product by Part Number'!$A:$K,2,0)</f>
        <v xml:space="preserve">CAT D4 (66J) CAT D5 (3CR) CAT 561N (CPH)              </v>
      </c>
      <c r="D139" s="54" t="str">
        <f>VLOOKUP(B139,'[1]Product by Part Number'!$A:$K,3,0)</f>
        <v>CARRIER ROLLER</v>
      </c>
      <c r="E139" s="55">
        <f>VLOOKUP(B139,'[1]Product by Part Number'!$A:$K,11,0)</f>
        <v>16</v>
      </c>
      <c r="F139" s="80">
        <f>VLOOKUP(B139,'[1]Product by Part Number'!$A:$K,4,0)</f>
        <v>520.11</v>
      </c>
      <c r="G139" s="62">
        <f t="shared" si="4"/>
        <v>8321.76</v>
      </c>
      <c r="H139" s="89">
        <f>VLOOKUP(B139,'[1]Product by Part Number'!$A:$K,5,0)</f>
        <v>260.06</v>
      </c>
      <c r="I139" s="107">
        <f t="shared" si="5"/>
        <v>4160.96</v>
      </c>
    </row>
    <row r="140" spans="2:9" x14ac:dyDescent="0.3">
      <c r="B140" s="104" t="s">
        <v>334</v>
      </c>
      <c r="C140" s="54" t="str">
        <f>VLOOKUP(B140,'[1]Product by Part Number'!$A:$K,2,0)</f>
        <v xml:space="preserve">CAT D3 (1PJ)                  </v>
      </c>
      <c r="D140" s="54" t="str">
        <f>VLOOKUP(B140,'[1]Product by Part Number'!$A:$K,3,0)</f>
        <v>CARRIER ROLLER</v>
      </c>
      <c r="E140" s="55">
        <f>VLOOKUP(B140,'[1]Product by Part Number'!$A:$K,11,0)</f>
        <v>2</v>
      </c>
      <c r="F140" s="80">
        <f>VLOOKUP(B140,'[1]Product by Part Number'!$A:$K,4,0)</f>
        <v>493.88</v>
      </c>
      <c r="G140" s="62">
        <f t="shared" si="4"/>
        <v>987.76</v>
      </c>
      <c r="H140" s="89">
        <f>VLOOKUP(B140,'[1]Product by Part Number'!$A:$K,5,0)</f>
        <v>246.94</v>
      </c>
      <c r="I140" s="107">
        <f t="shared" si="5"/>
        <v>493.88</v>
      </c>
    </row>
    <row r="141" spans="2:9" x14ac:dyDescent="0.3">
      <c r="B141" s="104" t="s">
        <v>335</v>
      </c>
      <c r="C141" s="54" t="str">
        <f>VLOOKUP(B141,'[1]Product by Part Number'!$A:$K,2,0)</f>
        <v xml:space="preserve">CAT 561N (CPH)                  </v>
      </c>
      <c r="D141" s="54" t="str">
        <f>VLOOKUP(B141,'[1]Product by Part Number'!$A:$K,3,0)</f>
        <v>TRACK SHOE</v>
      </c>
      <c r="E141" s="55">
        <f>VLOOKUP(B141,'[1]Product by Part Number'!$A:$K,11,0)</f>
        <v>440</v>
      </c>
      <c r="F141" s="80">
        <f>VLOOKUP(B141,'[1]Product by Part Number'!$A:$K,4,0)</f>
        <v>655.30999999999995</v>
      </c>
      <c r="G141" s="62">
        <f t="shared" si="4"/>
        <v>288336.39999999997</v>
      </c>
      <c r="H141" s="89">
        <f>VLOOKUP(B141,'[1]Product by Part Number'!$A:$K,5,0)</f>
        <v>327.66000000000003</v>
      </c>
      <c r="I141" s="107">
        <f t="shared" si="5"/>
        <v>144170.4</v>
      </c>
    </row>
    <row r="142" spans="2:9" x14ac:dyDescent="0.3">
      <c r="B142" s="104" t="s">
        <v>336</v>
      </c>
      <c r="C142" s="54" t="str">
        <f>VLOOKUP(B142,'[1]Product by Part Number'!$A:$K,2,0)</f>
        <v xml:space="preserve">CAT D3 (1PJ)                  </v>
      </c>
      <c r="D142" s="54" t="str">
        <f>VLOOKUP(B142,'[1]Product by Part Number'!$A:$K,3,0)</f>
        <v>TRACK SHOE MASTER</v>
      </c>
      <c r="E142" s="55">
        <f>VLOOKUP(B142,'[1]Product by Part Number'!$A:$K,11,0)</f>
        <v>2</v>
      </c>
      <c r="F142" s="80">
        <f>VLOOKUP(B142,'[1]Product by Part Number'!$A:$K,4,0)</f>
        <v>729.52</v>
      </c>
      <c r="G142" s="62">
        <f t="shared" si="4"/>
        <v>1459.04</v>
      </c>
      <c r="H142" s="89">
        <f>VLOOKUP(B142,'[1]Product by Part Number'!$A:$K,5,0)</f>
        <v>364.76</v>
      </c>
      <c r="I142" s="107">
        <f t="shared" si="5"/>
        <v>729.52</v>
      </c>
    </row>
    <row r="143" spans="2:9" x14ac:dyDescent="0.3">
      <c r="B143" s="104" t="s">
        <v>337</v>
      </c>
      <c r="C143" s="54" t="str">
        <f>VLOOKUP(B143,'[1]Product by Part Number'!$A:$K,2,0)</f>
        <v xml:space="preserve">CAT D3 (1PJ)                  </v>
      </c>
      <c r="D143" s="54" t="str">
        <f>VLOOKUP(B143,'[1]Product by Part Number'!$A:$K,3,0)</f>
        <v>TRACK SHOE SINGLE GROUSER 860MM</v>
      </c>
      <c r="E143" s="55">
        <f>VLOOKUP(B143,'[1]Product by Part Number'!$A:$K,11,0)</f>
        <v>86</v>
      </c>
      <c r="F143" s="80">
        <f>VLOOKUP(B143,'[1]Product by Part Number'!$A:$K,4,0)</f>
        <v>693.26</v>
      </c>
      <c r="G143" s="62">
        <f t="shared" si="4"/>
        <v>59620.36</v>
      </c>
      <c r="H143" s="89">
        <f>VLOOKUP(B143,'[1]Product by Part Number'!$A:$K,5,0)</f>
        <v>346.63</v>
      </c>
      <c r="I143" s="107">
        <f t="shared" si="5"/>
        <v>29810.18</v>
      </c>
    </row>
    <row r="144" spans="2:9" ht="27" x14ac:dyDescent="0.3">
      <c r="B144" s="104" t="s">
        <v>338</v>
      </c>
      <c r="C144" s="54" t="str">
        <f>VLOOKUP(B144,'[1]Product by Part Number'!$A:$K,2,0)</f>
        <v xml:space="preserve">CAT D6N LGP (GHS) CAT D6N LGP (PBA) CAT D6N LGP (SGG) CAT D6T (MH7)            </v>
      </c>
      <c r="D144" s="54" t="str">
        <f>VLOOKUP(B144,'[1]Product by Part Number'!$A:$K,3,0)</f>
        <v>SPROCKET BOLT</v>
      </c>
      <c r="E144" s="55">
        <f>VLOOKUP(B144,'[1]Product by Part Number'!$A:$K,11,0)</f>
        <v>300</v>
      </c>
      <c r="F144" s="80">
        <f>VLOOKUP(B144,'[1]Product by Part Number'!$A:$K,4,0)</f>
        <v>3.14</v>
      </c>
      <c r="G144" s="62">
        <f t="shared" ref="G144:G189" si="6">E144*F144</f>
        <v>942</v>
      </c>
      <c r="H144" s="89">
        <f>VLOOKUP(B144,'[1]Product by Part Number'!$A:$K,5,0)</f>
        <v>1.57</v>
      </c>
      <c r="I144" s="107">
        <f t="shared" ref="I144:I189" si="7">ROUND(E144*H144,2)</f>
        <v>471</v>
      </c>
    </row>
    <row r="145" spans="2:9" ht="27" x14ac:dyDescent="0.3">
      <c r="B145" s="104" t="s">
        <v>339</v>
      </c>
      <c r="C145" s="54" t="str">
        <f>VLOOKUP(B145,'[1]Product by Part Number'!$A:$K,2,0)</f>
        <v xml:space="preserve">CAT D4 (66J) CAT D6 (RDC) CAT D6N LGP (GHS) CAT D6N LGP (SGG) CAT D6T (MH7) CAT PL61 (WGS)        </v>
      </c>
      <c r="D145" s="54" t="str">
        <f>VLOOKUP(B145,'[1]Product by Part Number'!$A:$K,3,0)</f>
        <v>TRACK BOLT</v>
      </c>
      <c r="E145" s="55">
        <f>VLOOKUP(B145,'[1]Product by Part Number'!$A:$K,11,0)</f>
        <v>3088</v>
      </c>
      <c r="F145" s="80">
        <f>VLOOKUP(B145,'[1]Product by Part Number'!$A:$K,4,0)</f>
        <v>5.38</v>
      </c>
      <c r="G145" s="62">
        <f t="shared" si="6"/>
        <v>16613.439999999999</v>
      </c>
      <c r="H145" s="89">
        <f>VLOOKUP(B145,'[1]Product by Part Number'!$A:$K,5,0)</f>
        <v>2.69</v>
      </c>
      <c r="I145" s="107">
        <f t="shared" si="7"/>
        <v>8306.7199999999993</v>
      </c>
    </row>
    <row r="146" spans="2:9" x14ac:dyDescent="0.3">
      <c r="B146" s="104" t="s">
        <v>340</v>
      </c>
      <c r="C146" s="54" t="str">
        <f>VLOOKUP(B146,'[1]Product by Part Number'!$A:$K,2,0)</f>
        <v xml:space="preserve">CAT D6T (MH7)                  </v>
      </c>
      <c r="D146" s="54" t="str">
        <f>VLOOKUP(B146,'[1]Product by Part Number'!$A:$K,3,0)</f>
        <v>ROLLER BOLT</v>
      </c>
      <c r="E146" s="55">
        <f>VLOOKUP(B146,'[1]Product by Part Number'!$A:$K,11,0)</f>
        <v>64</v>
      </c>
      <c r="F146" s="80">
        <f>VLOOKUP(B146,'[1]Product by Part Number'!$A:$K,4,0)</f>
        <v>13.48</v>
      </c>
      <c r="G146" s="62">
        <f t="shared" si="6"/>
        <v>862.72</v>
      </c>
      <c r="H146" s="89">
        <f>VLOOKUP(B146,'[1]Product by Part Number'!$A:$K,5,0)</f>
        <v>6.74</v>
      </c>
      <c r="I146" s="107">
        <f t="shared" si="7"/>
        <v>431.36</v>
      </c>
    </row>
    <row r="147" spans="2:9" x14ac:dyDescent="0.3">
      <c r="B147" s="104" t="s">
        <v>341</v>
      </c>
      <c r="C147" s="54" t="str">
        <f>VLOOKUP(B147,'[1]Product by Part Number'!$A:$K,2,0)</f>
        <v xml:space="preserve">CAT D5 (3CR) CAT 561N (CPH)                </v>
      </c>
      <c r="D147" s="54" t="str">
        <f>VLOOKUP(B147,'[1]Product by Part Number'!$A:$K,3,0)</f>
        <v>FLAT WASHER</v>
      </c>
      <c r="E147" s="55">
        <f>VLOOKUP(B147,'[1]Product by Part Number'!$A:$K,11,0)</f>
        <v>280</v>
      </c>
      <c r="F147" s="80">
        <f>VLOOKUP(B147,'[1]Product by Part Number'!$A:$K,4,0)</f>
        <v>3.41</v>
      </c>
      <c r="G147" s="62">
        <f t="shared" si="6"/>
        <v>954.80000000000007</v>
      </c>
      <c r="H147" s="89">
        <f>VLOOKUP(B147,'[1]Product by Part Number'!$A:$K,5,0)</f>
        <v>1.71</v>
      </c>
      <c r="I147" s="107">
        <f t="shared" si="7"/>
        <v>478.8</v>
      </c>
    </row>
    <row r="148" spans="2:9" x14ac:dyDescent="0.3">
      <c r="B148" s="104" t="s">
        <v>342</v>
      </c>
      <c r="C148" s="54" t="str">
        <f>VLOOKUP(B148,'[1]Product by Part Number'!$A:$K,2,0)</f>
        <v xml:space="preserve">CAT D6T (MH7)                  </v>
      </c>
      <c r="D148" s="54" t="str">
        <f>VLOOKUP(B148,'[1]Product by Part Number'!$A:$K,3,0)</f>
        <v>IDLER CAP BOLT</v>
      </c>
      <c r="E148" s="55">
        <f>VLOOKUP(B148,'[1]Product by Part Number'!$A:$K,11,0)</f>
        <v>16</v>
      </c>
      <c r="F148" s="80">
        <f>VLOOKUP(B148,'[1]Product by Part Number'!$A:$K,4,0)</f>
        <v>27.02</v>
      </c>
      <c r="G148" s="62">
        <f t="shared" si="6"/>
        <v>432.32</v>
      </c>
      <c r="H148" s="89">
        <f>VLOOKUP(B148,'[1]Product by Part Number'!$A:$K,5,0)</f>
        <v>13.51</v>
      </c>
      <c r="I148" s="107">
        <f t="shared" si="7"/>
        <v>216.16</v>
      </c>
    </row>
    <row r="149" spans="2:9" x14ac:dyDescent="0.3">
      <c r="B149" s="104" t="s">
        <v>346</v>
      </c>
      <c r="C149" s="54" t="str">
        <f>VLOOKUP(B149,'[1]Product by Part Number'!$A:$K,2,0)</f>
        <v xml:space="preserve">CAT D6N LGP (PBA)                  </v>
      </c>
      <c r="D149" s="54" t="str">
        <f>VLOOKUP(B149,'[1]Product by Part Number'!$A:$K,3,0)</f>
        <v>TRACK BOLT</v>
      </c>
      <c r="E149" s="55">
        <f>VLOOKUP(B149,'[1]Product by Part Number'!$A:$K,11,0)</f>
        <v>720</v>
      </c>
      <c r="F149" s="80">
        <f>VLOOKUP(B149,'[1]Product by Part Number'!$A:$K,4,0)</f>
        <v>6.32</v>
      </c>
      <c r="G149" s="62">
        <f t="shared" si="6"/>
        <v>4550.4000000000005</v>
      </c>
      <c r="H149" s="89">
        <f>VLOOKUP(B149,'[1]Product by Part Number'!$A:$K,5,0)</f>
        <v>3.16</v>
      </c>
      <c r="I149" s="107">
        <f t="shared" si="7"/>
        <v>2275.1999999999998</v>
      </c>
    </row>
    <row r="150" spans="2:9" ht="27" x14ac:dyDescent="0.3">
      <c r="B150" s="104" t="s">
        <v>347</v>
      </c>
      <c r="C150" s="54" t="str">
        <f>VLOOKUP(B150,'[1]Product by Part Number'!$A:$K,2,0)</f>
        <v xml:space="preserve">CAT 329E L (ZCD) CAT 329F L (ERL) CAT 330F L (MBX) CAT 330F L (HCK)            </v>
      </c>
      <c r="D150" s="54" t="str">
        <f>VLOOKUP(B150,'[1]Product by Part Number'!$A:$K,3,0)</f>
        <v>TRACK SHOE 800MM</v>
      </c>
      <c r="E150" s="55">
        <f>VLOOKUP(B150,'[1]Product by Part Number'!$A:$K,11,0)</f>
        <v>600</v>
      </c>
      <c r="F150" s="80">
        <f>VLOOKUP(B150,'[1]Product by Part Number'!$A:$K,4,0)</f>
        <v>230.39</v>
      </c>
      <c r="G150" s="62">
        <f t="shared" si="6"/>
        <v>138234</v>
      </c>
      <c r="H150" s="89">
        <f>VLOOKUP(B150,'[1]Product by Part Number'!$A:$K,5,0)</f>
        <v>115.2</v>
      </c>
      <c r="I150" s="107">
        <f t="shared" si="7"/>
        <v>69120</v>
      </c>
    </row>
    <row r="151" spans="2:9" ht="40.200000000000003" x14ac:dyDescent="0.3">
      <c r="B151" s="104" t="s">
        <v>348</v>
      </c>
      <c r="C151" s="54" t="str">
        <f>VLOOKUP(B151,'[1]Product by Part Number'!$A:$K,2,0)</f>
        <v xml:space="preserve">CAT 329E L (ZCD) CAT 329F L (ERL) CAT 330F L (MBX) CAT 330F L (HCK) CAT 330 (LHW) CAT 330 (WCH)        </v>
      </c>
      <c r="D151" s="54" t="str">
        <f>VLOOKUP(B151,'[1]Product by Part Number'!$A:$K,3,0)</f>
        <v>TRACK SPROCKET</v>
      </c>
      <c r="E151" s="55">
        <f>VLOOKUP(B151,'[1]Product by Part Number'!$A:$K,11,0)</f>
        <v>32</v>
      </c>
      <c r="F151" s="80">
        <f>VLOOKUP(B151,'[1]Product by Part Number'!$A:$K,4,0)</f>
        <v>1259.02</v>
      </c>
      <c r="G151" s="62">
        <f t="shared" si="6"/>
        <v>40288.639999999999</v>
      </c>
      <c r="H151" s="89">
        <f>VLOOKUP(B151,'[1]Product by Part Number'!$A:$K,5,0)</f>
        <v>629.51</v>
      </c>
      <c r="I151" s="107">
        <f t="shared" si="7"/>
        <v>20144.32</v>
      </c>
    </row>
    <row r="152" spans="2:9" x14ac:dyDescent="0.3">
      <c r="B152" s="104" t="s">
        <v>349</v>
      </c>
      <c r="C152" s="54" t="str">
        <f>VLOOKUP(B152,'[1]Product by Part Number'!$A:$K,2,0)</f>
        <v xml:space="preserve">CAT 336F L (RKB)                  </v>
      </c>
      <c r="D152" s="54" t="str">
        <f>VLOOKUP(B152,'[1]Product by Part Number'!$A:$K,3,0)</f>
        <v>TRACK SPROCKET</v>
      </c>
      <c r="E152" s="55">
        <f>VLOOKUP(B152,'[1]Product by Part Number'!$A:$K,11,0)</f>
        <v>2</v>
      </c>
      <c r="F152" s="80">
        <f>VLOOKUP(B152,'[1]Product by Part Number'!$A:$K,4,0)</f>
        <v>1567.41</v>
      </c>
      <c r="G152" s="62">
        <f t="shared" si="6"/>
        <v>3134.82</v>
      </c>
      <c r="H152" s="89">
        <f>VLOOKUP(B152,'[1]Product by Part Number'!$A:$K,5,0)</f>
        <v>783.71</v>
      </c>
      <c r="I152" s="107">
        <f t="shared" si="7"/>
        <v>1567.42</v>
      </c>
    </row>
    <row r="153" spans="2:9" x14ac:dyDescent="0.3">
      <c r="B153" s="104" t="s">
        <v>350</v>
      </c>
      <c r="C153" s="54" t="str">
        <f>VLOOKUP(B153,'[1]Product by Part Number'!$A:$K,2,0)</f>
        <v xml:space="preserve">CAT D6 (RDC)                  </v>
      </c>
      <c r="D153" s="54" t="str">
        <f>VLOOKUP(B153,'[1]Product by Part Number'!$A:$K,3,0)</f>
        <v>MASTER SHOE</v>
      </c>
      <c r="E153" s="55">
        <f>VLOOKUP(B153,'[1]Product by Part Number'!$A:$K,11,0)</f>
        <v>2</v>
      </c>
      <c r="F153" s="80">
        <f>VLOOKUP(B153,'[1]Product by Part Number'!$A:$K,4,0)</f>
        <v>240.45</v>
      </c>
      <c r="G153" s="62">
        <f t="shared" si="6"/>
        <v>480.9</v>
      </c>
      <c r="H153" s="89">
        <f>VLOOKUP(B153,'[1]Product by Part Number'!$A:$K,5,0)</f>
        <v>120.23</v>
      </c>
      <c r="I153" s="107">
        <f t="shared" si="7"/>
        <v>240.46</v>
      </c>
    </row>
    <row r="154" spans="2:9" x14ac:dyDescent="0.3">
      <c r="B154" s="104" t="s">
        <v>351</v>
      </c>
      <c r="C154" s="54" t="str">
        <f>VLOOKUP(B154,'[1]Product by Part Number'!$A:$K,2,0)</f>
        <v xml:space="preserve">CAT 336F L (RKB)                  </v>
      </c>
      <c r="D154" s="54" t="str">
        <f>VLOOKUP(B154,'[1]Product by Part Number'!$A:$K,3,0)</f>
        <v>TRACK SHOE 850MM</v>
      </c>
      <c r="E154" s="55">
        <f>VLOOKUP(B154,'[1]Product by Part Number'!$A:$K,11,0)</f>
        <v>98</v>
      </c>
      <c r="F154" s="80">
        <f>VLOOKUP(B154,'[1]Product by Part Number'!$A:$K,4,0)</f>
        <v>260.58</v>
      </c>
      <c r="G154" s="62">
        <f t="shared" si="6"/>
        <v>25536.84</v>
      </c>
      <c r="H154" s="89">
        <f>VLOOKUP(B154,'[1]Product by Part Number'!$A:$K,5,0)</f>
        <v>130.29</v>
      </c>
      <c r="I154" s="107">
        <f t="shared" si="7"/>
        <v>12768.42</v>
      </c>
    </row>
    <row r="155" spans="2:9" x14ac:dyDescent="0.3">
      <c r="B155" s="104" t="s">
        <v>352</v>
      </c>
      <c r="C155" s="54" t="str">
        <f>VLOOKUP(B155,'[1]Product by Part Number'!$A:$K,2,0)</f>
        <v xml:space="preserve">CAT D6 (RDC)                  </v>
      </c>
      <c r="D155" s="54" t="str">
        <f>VLOOKUP(B155,'[1]Product by Part Number'!$A:$K,3,0)</f>
        <v>TRACK SHOE</v>
      </c>
      <c r="E155" s="55">
        <f>VLOOKUP(B155,'[1]Product by Part Number'!$A:$K,11,0)</f>
        <v>90</v>
      </c>
      <c r="F155" s="80">
        <f>VLOOKUP(B155,'[1]Product by Part Number'!$A:$K,4,0)</f>
        <v>185.5</v>
      </c>
      <c r="G155" s="62">
        <f t="shared" si="6"/>
        <v>16695</v>
      </c>
      <c r="H155" s="89">
        <f>VLOOKUP(B155,'[1]Product by Part Number'!$A:$K,5,0)</f>
        <v>92.75</v>
      </c>
      <c r="I155" s="107">
        <f t="shared" si="7"/>
        <v>8347.5</v>
      </c>
    </row>
    <row r="156" spans="2:9" x14ac:dyDescent="0.3">
      <c r="B156" s="104" t="s">
        <v>353</v>
      </c>
      <c r="C156" s="54" t="str">
        <f>VLOOKUP(B156,'[1]Product by Part Number'!$A:$K,2,0)</f>
        <v xml:space="preserve">CAT 330 (LHW) CAT 330 (WCH)                </v>
      </c>
      <c r="D156" s="54" t="str">
        <f>VLOOKUP(B156,'[1]Product by Part Number'!$A:$K,3,0)</f>
        <v>TRACK BOLT</v>
      </c>
      <c r="E156" s="55">
        <f>VLOOKUP(B156,'[1]Product by Part Number'!$A:$K,11,0)</f>
        <v>4000</v>
      </c>
      <c r="F156" s="80">
        <f>VLOOKUP(B156,'[1]Product by Part Number'!$A:$K,4,0)</f>
        <v>8.3699999999999992</v>
      </c>
      <c r="G156" s="62">
        <f t="shared" si="6"/>
        <v>33480</v>
      </c>
      <c r="H156" s="89">
        <f>VLOOKUP(B156,'[1]Product by Part Number'!$A:$K,5,0)</f>
        <v>4.1900000000000004</v>
      </c>
      <c r="I156" s="107">
        <f t="shared" si="7"/>
        <v>16760</v>
      </c>
    </row>
    <row r="157" spans="2:9" x14ac:dyDescent="0.3">
      <c r="B157" s="104" t="s">
        <v>355</v>
      </c>
      <c r="C157" s="54" t="str">
        <f>VLOOKUP(B157,'[1]Product by Part Number'!$A:$K,2,0)</f>
        <v xml:space="preserve">CAT D7G (92V)                  </v>
      </c>
      <c r="D157" s="54" t="str">
        <f>VLOOKUP(B157,'[1]Product by Part Number'!$A:$K,3,0)</f>
        <v>TRACK BOLT</v>
      </c>
      <c r="E157" s="55">
        <f>VLOOKUP(B157,'[1]Product by Part Number'!$A:$K,11,0)</f>
        <v>296</v>
      </c>
      <c r="F157" s="80">
        <f>VLOOKUP(B157,'[1]Product by Part Number'!$A:$K,4,0)</f>
        <v>4.01</v>
      </c>
      <c r="G157" s="62">
        <f t="shared" si="6"/>
        <v>1186.96</v>
      </c>
      <c r="H157" s="89">
        <f>VLOOKUP(B157,'[1]Product by Part Number'!$A:$K,5,0)</f>
        <v>2.0099999999999998</v>
      </c>
      <c r="I157" s="107">
        <f t="shared" si="7"/>
        <v>594.96</v>
      </c>
    </row>
    <row r="158" spans="2:9" ht="40.200000000000003" x14ac:dyDescent="0.3">
      <c r="B158" s="104" t="s">
        <v>356</v>
      </c>
      <c r="C158" s="54" t="str">
        <f>VLOOKUP(B158,'[1]Product by Part Number'!$A:$K,2,0)</f>
        <v xml:space="preserve">CAT D5 (3CR) CAT D6N LGP (GHS) CAT D6N LGP (PBA) CAT D6N LGP (SGG) CAT D6T (MH7) CAT D7G (92V) CAT 561N (CPH) CAT PL61 (WGS)    </v>
      </c>
      <c r="D158" s="54" t="str">
        <f>VLOOKUP(B158,'[1]Product by Part Number'!$A:$K,3,0)</f>
        <v>SPROCKET NUT</v>
      </c>
      <c r="E158" s="55">
        <f>VLOOKUP(B158,'[1]Product by Part Number'!$A:$K,11,0)</f>
        <v>782</v>
      </c>
      <c r="F158" s="80">
        <f>VLOOKUP(B158,'[1]Product by Part Number'!$A:$K,4,0)</f>
        <v>3.41</v>
      </c>
      <c r="G158" s="62">
        <f t="shared" si="6"/>
        <v>2666.62</v>
      </c>
      <c r="H158" s="89">
        <f>VLOOKUP(B158,'[1]Product by Part Number'!$A:$K,5,0)</f>
        <v>1.71</v>
      </c>
      <c r="I158" s="107">
        <f t="shared" si="7"/>
        <v>1337.22</v>
      </c>
    </row>
    <row r="159" spans="2:9" x14ac:dyDescent="0.3">
      <c r="B159" s="104" t="s">
        <v>357</v>
      </c>
      <c r="C159" s="54" t="str">
        <f>VLOOKUP(B159,'[1]Product by Part Number'!$A:$K,2,0)</f>
        <v xml:space="preserve">CAT D3 (1PJ)                  </v>
      </c>
      <c r="D159" s="54" t="str">
        <f>VLOOKUP(B159,'[1]Product by Part Number'!$A:$K,3,0)</f>
        <v>TRACK NUT</v>
      </c>
      <c r="E159" s="55">
        <f>VLOOKUP(B159,'[1]Product by Part Number'!$A:$K,11,0)</f>
        <v>344</v>
      </c>
      <c r="F159" s="80">
        <f>VLOOKUP(B159,'[1]Product by Part Number'!$A:$K,4,0)</f>
        <v>1.47</v>
      </c>
      <c r="G159" s="62">
        <f t="shared" si="6"/>
        <v>505.68</v>
      </c>
      <c r="H159" s="89">
        <f>VLOOKUP(B159,'[1]Product by Part Number'!$A:$K,5,0)</f>
        <v>0.74</v>
      </c>
      <c r="I159" s="107">
        <f t="shared" si="7"/>
        <v>254.56</v>
      </c>
    </row>
    <row r="160" spans="2:9" x14ac:dyDescent="0.3">
      <c r="B160" s="104" t="s">
        <v>362</v>
      </c>
      <c r="C160" s="54" t="str">
        <f>VLOOKUP(B160,'[1]Product by Part Number'!$A:$K,2,0)</f>
        <v xml:space="preserve">CAT 303.5E                  </v>
      </c>
      <c r="D160" s="54" t="str">
        <f>VLOOKUP(B160,'[1]Product by Part Number'!$A:$K,3,0)</f>
        <v>TRACK WASHER</v>
      </c>
      <c r="E160" s="55">
        <f>VLOOKUP(B160,'[1]Product by Part Number'!$A:$K,11,0)</f>
        <v>20</v>
      </c>
      <c r="F160" s="80">
        <f>VLOOKUP(B160,'[1]Product by Part Number'!$A:$K,4,0)</f>
        <v>5.59</v>
      </c>
      <c r="G160" s="62">
        <f t="shared" si="6"/>
        <v>111.8</v>
      </c>
      <c r="H160" s="89">
        <f>VLOOKUP(B160,'[1]Product by Part Number'!$A:$K,5,0)</f>
        <v>2.8</v>
      </c>
      <c r="I160" s="107">
        <f t="shared" si="7"/>
        <v>56</v>
      </c>
    </row>
    <row r="161" spans="2:9" x14ac:dyDescent="0.3">
      <c r="B161" s="104" t="s">
        <v>363</v>
      </c>
      <c r="C161" s="54" t="str">
        <f>VLOOKUP(B161,'[1]Product by Part Number'!$A:$K,2,0)</f>
        <v xml:space="preserve">CAT D6N LGP (PBA) CAT D6N LGP (SGG)                </v>
      </c>
      <c r="D161" s="54" t="str">
        <f>VLOOKUP(B161,'[1]Product by Part Number'!$A:$K,3,0)</f>
        <v>CARRIER BOLT</v>
      </c>
      <c r="E161" s="55">
        <f>VLOOKUP(B161,'[1]Product by Part Number'!$A:$K,11,0)</f>
        <v>16</v>
      </c>
      <c r="F161" s="80">
        <f>VLOOKUP(B161,'[1]Product by Part Number'!$A:$K,4,0)</f>
        <v>31.3</v>
      </c>
      <c r="G161" s="62">
        <f t="shared" si="6"/>
        <v>500.8</v>
      </c>
      <c r="H161" s="89">
        <f>VLOOKUP(B161,'[1]Product by Part Number'!$A:$K,5,0)</f>
        <v>15.65</v>
      </c>
      <c r="I161" s="107">
        <f t="shared" si="7"/>
        <v>250.4</v>
      </c>
    </row>
    <row r="162" spans="2:9" ht="27" x14ac:dyDescent="0.3">
      <c r="B162" s="104" t="s">
        <v>364</v>
      </c>
      <c r="C162" s="54" t="str">
        <f>VLOOKUP(B162,'[1]Product by Part Number'!$A:$K,2,0)</f>
        <v xml:space="preserve">CAT 320E L (WBK) CAT 320F L (YBM) CAT 320 (HEX) CAT 320 (MYK)            </v>
      </c>
      <c r="D162" s="54" t="str">
        <f>VLOOKUP(B162,'[1]Product by Part Number'!$A:$K,3,0)</f>
        <v>CARRIER ROLLER</v>
      </c>
      <c r="E162" s="55">
        <f>VLOOKUP(B162,'[1]Product by Part Number'!$A:$K,11,0)</f>
        <v>24</v>
      </c>
      <c r="F162" s="80">
        <f>VLOOKUP(B162,'[1]Product by Part Number'!$A:$K,4,0)</f>
        <v>537.45000000000005</v>
      </c>
      <c r="G162" s="62">
        <f t="shared" si="6"/>
        <v>12898.800000000001</v>
      </c>
      <c r="H162" s="89">
        <f>VLOOKUP(B162,'[1]Product by Part Number'!$A:$K,5,0)</f>
        <v>268.73</v>
      </c>
      <c r="I162" s="107">
        <f t="shared" si="7"/>
        <v>6449.52</v>
      </c>
    </row>
    <row r="163" spans="2:9" ht="27" x14ac:dyDescent="0.3">
      <c r="B163" s="104" t="s">
        <v>369</v>
      </c>
      <c r="C163" s="54" t="str">
        <f>VLOOKUP(B163,'[1]Product by Part Number'!$A:$K,2,0)</f>
        <v xml:space="preserve">CAT 320E L (WBK) CAT 320F L (YBM) CAT 320 (HEX) CAT 320 (MYK)            </v>
      </c>
      <c r="D163" s="54" t="str">
        <f>VLOOKUP(B163,'[1]Product by Part Number'!$A:$K,3,0)</f>
        <v>TRACK SPROCKET</v>
      </c>
      <c r="E163" s="55">
        <f>VLOOKUP(B163,'[1]Product by Part Number'!$A:$K,11,0)</f>
        <v>12</v>
      </c>
      <c r="F163" s="80">
        <f>VLOOKUP(B163,'[1]Product by Part Number'!$A:$K,4,0)</f>
        <v>1064.58</v>
      </c>
      <c r="G163" s="62">
        <f t="shared" si="6"/>
        <v>12774.96</v>
      </c>
      <c r="H163" s="89">
        <f>VLOOKUP(B163,'[1]Product by Part Number'!$A:$K,5,0)</f>
        <v>532.29</v>
      </c>
      <c r="I163" s="107">
        <f t="shared" si="7"/>
        <v>6387.48</v>
      </c>
    </row>
    <row r="164" spans="2:9" x14ac:dyDescent="0.3">
      <c r="B164" s="104" t="s">
        <v>370</v>
      </c>
      <c r="C164" s="54" t="str">
        <f>VLOOKUP(B164,'[1]Product by Part Number'!$A:$K,2,0)</f>
        <v xml:space="preserve">CAT D3 (1PJ)                  </v>
      </c>
      <c r="D164" s="54" t="str">
        <f>VLOOKUP(B164,'[1]Product by Part Number'!$A:$K,3,0)</f>
        <v>SPROCKET NUT</v>
      </c>
      <c r="E164" s="55">
        <f>VLOOKUP(B164,'[1]Product by Part Number'!$A:$K,11,0)</f>
        <v>50</v>
      </c>
      <c r="F164" s="80">
        <f>VLOOKUP(B164,'[1]Product by Part Number'!$A:$K,4,0)</f>
        <v>0.67</v>
      </c>
      <c r="G164" s="62">
        <f t="shared" si="6"/>
        <v>33.5</v>
      </c>
      <c r="H164" s="89">
        <f>VLOOKUP(B164,'[1]Product by Part Number'!$A:$K,5,0)</f>
        <v>0.34</v>
      </c>
      <c r="I164" s="107">
        <f t="shared" si="7"/>
        <v>17</v>
      </c>
    </row>
    <row r="165" spans="2:9" x14ac:dyDescent="0.3">
      <c r="B165" s="104" t="s">
        <v>376</v>
      </c>
      <c r="C165" s="54" t="str">
        <f>VLOOKUP(B165,'[1]Product by Part Number'!$A:$K,2,0)</f>
        <v xml:space="preserve">CAT D7G (92V)                  </v>
      </c>
      <c r="D165" s="54" t="str">
        <f>VLOOKUP(B165,'[1]Product by Part Number'!$A:$K,3,0)</f>
        <v>SPROCKET SEGMENT</v>
      </c>
      <c r="E165" s="55">
        <f>VLOOKUP(B165,'[1]Product by Part Number'!$A:$K,11,0)</f>
        <v>10</v>
      </c>
      <c r="F165" s="80">
        <f>VLOOKUP(B165,'[1]Product by Part Number'!$A:$K,4,0)</f>
        <v>111.66</v>
      </c>
      <c r="G165" s="62">
        <f t="shared" si="6"/>
        <v>1116.5999999999999</v>
      </c>
      <c r="H165" s="89">
        <f>VLOOKUP(B165,'[1]Product by Part Number'!$A:$K,5,0)</f>
        <v>55.83</v>
      </c>
      <c r="I165" s="107">
        <f t="shared" si="7"/>
        <v>558.29999999999995</v>
      </c>
    </row>
    <row r="166" spans="2:9" x14ac:dyDescent="0.3">
      <c r="B166" s="104" t="s">
        <v>377</v>
      </c>
      <c r="C166" s="54" t="str">
        <f>VLOOKUP(B166,'[1]Product by Part Number'!$A:$K,2,0)</f>
        <v xml:space="preserve">CAT D6N LGP (PBA) CAT D6N LGP (SGG)                </v>
      </c>
      <c r="D166" s="54" t="str">
        <f>VLOOKUP(B166,'[1]Product by Part Number'!$A:$K,3,0)</f>
        <v>ROLLER BOLT</v>
      </c>
      <c r="E166" s="55">
        <f>VLOOKUP(B166,'[1]Product by Part Number'!$A:$K,11,0)</f>
        <v>256</v>
      </c>
      <c r="F166" s="80">
        <f>VLOOKUP(B166,'[1]Product by Part Number'!$A:$K,4,0)</f>
        <v>8.73</v>
      </c>
      <c r="G166" s="62">
        <f t="shared" si="6"/>
        <v>2234.88</v>
      </c>
      <c r="H166" s="89">
        <f>VLOOKUP(B166,'[1]Product by Part Number'!$A:$K,5,0)</f>
        <v>4.37</v>
      </c>
      <c r="I166" s="107">
        <f t="shared" si="7"/>
        <v>1118.72</v>
      </c>
    </row>
    <row r="167" spans="2:9" x14ac:dyDescent="0.3">
      <c r="B167" s="104" t="s">
        <v>378</v>
      </c>
      <c r="C167" s="54" t="str">
        <f>VLOOKUP(B167,'[1]Product by Part Number'!$A:$K,2,0)</f>
        <v xml:space="preserve">CAT D6N LGP (SGG)                  </v>
      </c>
      <c r="D167" s="54" t="str">
        <f>VLOOKUP(B167,'[1]Product by Part Number'!$A:$K,3,0)</f>
        <v>IDLER CAP BOLT - REAR</v>
      </c>
      <c r="E167" s="55">
        <f>VLOOKUP(B167,'[1]Product by Part Number'!$A:$K,11,0)</f>
        <v>16</v>
      </c>
      <c r="F167" s="80">
        <f>VLOOKUP(B167,'[1]Product by Part Number'!$A:$K,4,0)</f>
        <v>12.9</v>
      </c>
      <c r="G167" s="62">
        <f t="shared" si="6"/>
        <v>206.4</v>
      </c>
      <c r="H167" s="89">
        <f>VLOOKUP(B167,'[1]Product by Part Number'!$A:$K,5,0)</f>
        <v>6.45</v>
      </c>
      <c r="I167" s="107">
        <f t="shared" si="7"/>
        <v>103.2</v>
      </c>
    </row>
    <row r="168" spans="2:9" x14ac:dyDescent="0.3">
      <c r="B168" s="104" t="s">
        <v>379</v>
      </c>
      <c r="C168" s="54" t="str">
        <f>VLOOKUP(B168,'[1]Product by Part Number'!$A:$K,2,0)</f>
        <v xml:space="preserve">CAT D6N LGP (SGG)                  </v>
      </c>
      <c r="D168" s="54" t="str">
        <f>VLOOKUP(B168,'[1]Product by Part Number'!$A:$K,3,0)</f>
        <v xml:space="preserve">IDLER CAP BOLT - FRONT </v>
      </c>
      <c r="E168" s="55">
        <f>VLOOKUP(B168,'[1]Product by Part Number'!$A:$K,11,0)</f>
        <v>16</v>
      </c>
      <c r="F168" s="80">
        <f>VLOOKUP(B168,'[1]Product by Part Number'!$A:$K,4,0)</f>
        <v>14.24</v>
      </c>
      <c r="G168" s="62">
        <f t="shared" si="6"/>
        <v>227.84</v>
      </c>
      <c r="H168" s="89">
        <f>VLOOKUP(B168,'[1]Product by Part Number'!$A:$K,5,0)</f>
        <v>7.12</v>
      </c>
      <c r="I168" s="107">
        <f t="shared" si="7"/>
        <v>113.92</v>
      </c>
    </row>
    <row r="169" spans="2:9" x14ac:dyDescent="0.3">
      <c r="B169" s="104" t="s">
        <v>380</v>
      </c>
      <c r="C169" s="54" t="str">
        <f>VLOOKUP(B169,'[1]Product by Part Number'!$A:$K,2,0)</f>
        <v xml:space="preserve">CAT D6 (RDC)                  </v>
      </c>
      <c r="D169" s="54" t="str">
        <f>VLOOKUP(B169,'[1]Product by Part Number'!$A:$K,3,0)</f>
        <v>IDLER BOLT</v>
      </c>
      <c r="E169" s="55">
        <f>VLOOKUP(B169,'[1]Product by Part Number'!$A:$K,11,0)</f>
        <v>16</v>
      </c>
      <c r="F169" s="80">
        <f>VLOOKUP(B169,'[1]Product by Part Number'!$A:$K,4,0)</f>
        <v>25.19</v>
      </c>
      <c r="G169" s="62">
        <f t="shared" si="6"/>
        <v>403.04</v>
      </c>
      <c r="H169" s="89">
        <f>VLOOKUP(B169,'[1]Product by Part Number'!$A:$K,5,0)</f>
        <v>12.6</v>
      </c>
      <c r="I169" s="107">
        <f t="shared" si="7"/>
        <v>201.6</v>
      </c>
    </row>
    <row r="170" spans="2:9" ht="40.200000000000003" x14ac:dyDescent="0.3">
      <c r="B170" s="104" t="s">
        <v>381</v>
      </c>
      <c r="C170" s="54" t="str">
        <f>VLOOKUP(B170,'[1]Product by Part Number'!$A:$K,2,0)</f>
        <v xml:space="preserve">CAT 329E L (ZCD) CAT 329F L (ERL) CAT 330F L (MBX) CAT 330F L (HCK) CAT 330 (LHW) CAT 330 (WCH) CAT D6T (MH7) CAT D6T (MH7)    </v>
      </c>
      <c r="D170" s="54" t="str">
        <f>VLOOKUP(B170,'[1]Product by Part Number'!$A:$K,3,0)</f>
        <v>FLAT WASHER</v>
      </c>
      <c r="E170" s="55">
        <f>VLOOKUP(B170,'[1]Product by Part Number'!$A:$K,11,0)</f>
        <v>656</v>
      </c>
      <c r="F170" s="80">
        <f>VLOOKUP(B170,'[1]Product by Part Number'!$A:$K,4,0)</f>
        <v>2.83</v>
      </c>
      <c r="G170" s="62">
        <f t="shared" si="6"/>
        <v>1856.48</v>
      </c>
      <c r="H170" s="89">
        <f>VLOOKUP(B170,'[1]Product by Part Number'!$A:$K,5,0)</f>
        <v>1.42</v>
      </c>
      <c r="I170" s="107">
        <f t="shared" si="7"/>
        <v>931.52</v>
      </c>
    </row>
    <row r="171" spans="2:9" ht="27" x14ac:dyDescent="0.3">
      <c r="B171" s="104" t="s">
        <v>382</v>
      </c>
      <c r="C171" s="54" t="str">
        <f>VLOOKUP(B171,'[1]Product by Part Number'!$A:$K,2,0)</f>
        <v xml:space="preserve">CAT D6 (RDC) CAT D6N LGP (PBA) CAT D6N LGP (SGG) CAT D6T (MH7)            </v>
      </c>
      <c r="D171" s="54" t="str">
        <f>VLOOKUP(B171,'[1]Product by Part Number'!$A:$K,3,0)</f>
        <v>FLAT WASHER</v>
      </c>
      <c r="E171" s="55">
        <f>VLOOKUP(B171,'[1]Product by Part Number'!$A:$K,11,0)</f>
        <v>40</v>
      </c>
      <c r="F171" s="80">
        <f>VLOOKUP(B171,'[1]Product by Part Number'!$A:$K,4,0)</f>
        <v>3.56</v>
      </c>
      <c r="G171" s="62">
        <f t="shared" si="6"/>
        <v>142.4</v>
      </c>
      <c r="H171" s="89">
        <f>VLOOKUP(B171,'[1]Product by Part Number'!$A:$K,5,0)</f>
        <v>1.78</v>
      </c>
      <c r="I171" s="107">
        <f t="shared" si="7"/>
        <v>71.2</v>
      </c>
    </row>
    <row r="172" spans="2:9" x14ac:dyDescent="0.3">
      <c r="B172" s="104" t="s">
        <v>383</v>
      </c>
      <c r="C172" s="54" t="str">
        <f>VLOOKUP(B172,'[1]Product by Part Number'!$A:$K,2,0)</f>
        <v xml:space="preserve">CAT D6N LGP (PBA) CAT D6N LGP (SGG)                </v>
      </c>
      <c r="D172" s="54" t="str">
        <f>VLOOKUP(B172,'[1]Product by Part Number'!$A:$K,3,0)</f>
        <v>HEX NUT</v>
      </c>
      <c r="E172" s="55">
        <f>VLOOKUP(B172,'[1]Product by Part Number'!$A:$K,11,0)</f>
        <v>16</v>
      </c>
      <c r="F172" s="80">
        <f>VLOOKUP(B172,'[1]Product by Part Number'!$A:$K,4,0)</f>
        <v>6.85</v>
      </c>
      <c r="G172" s="62">
        <f t="shared" si="6"/>
        <v>109.6</v>
      </c>
      <c r="H172" s="89">
        <f>VLOOKUP(B172,'[1]Product by Part Number'!$A:$K,5,0)</f>
        <v>3.43</v>
      </c>
      <c r="I172" s="107">
        <f t="shared" si="7"/>
        <v>54.88</v>
      </c>
    </row>
    <row r="173" spans="2:9" x14ac:dyDescent="0.3">
      <c r="B173" s="104" t="s">
        <v>384</v>
      </c>
      <c r="C173" s="54" t="str">
        <f>VLOOKUP(B173,'[1]Product by Part Number'!$A:$K,2,0)</f>
        <v xml:space="preserve">CAT 303.5E                  </v>
      </c>
      <c r="D173" s="54" t="str">
        <f>VLOOKUP(B173,'[1]Product by Part Number'!$A:$K,3,0)</f>
        <v>CARIER NUT</v>
      </c>
      <c r="E173" s="55">
        <f>VLOOKUP(B173,'[1]Product by Part Number'!$A:$K,11,0)</f>
        <v>4</v>
      </c>
      <c r="F173" s="80">
        <f>VLOOKUP(B173,'[1]Product by Part Number'!$A:$K,4,0)</f>
        <v>3.77</v>
      </c>
      <c r="G173" s="62">
        <f t="shared" si="6"/>
        <v>15.08</v>
      </c>
      <c r="H173" s="89">
        <f>VLOOKUP(B173,'[1]Product by Part Number'!$A:$K,5,0)</f>
        <v>1.89</v>
      </c>
      <c r="I173" s="107">
        <f t="shared" si="7"/>
        <v>7.56</v>
      </c>
    </row>
    <row r="174" spans="2:9" ht="27" x14ac:dyDescent="0.3">
      <c r="B174" s="104" t="s">
        <v>385</v>
      </c>
      <c r="C174" s="54" t="str">
        <f>VLOOKUP(B174,'[1]Product by Part Number'!$A:$K,2,0)</f>
        <v xml:space="preserve">CAT D6N LGP (GHS) CAT D6N LGP (PBA) CAT D6N LGP (SGG)              </v>
      </c>
      <c r="D174" s="54" t="str">
        <f>VLOOKUP(B174,'[1]Product by Part Number'!$A:$K,3,0)</f>
        <v>HEX HEAD BOLT</v>
      </c>
      <c r="E174" s="55">
        <f>VLOOKUP(B174,'[1]Product by Part Number'!$A:$K,11,0)</f>
        <v>120</v>
      </c>
      <c r="F174" s="80">
        <f>VLOOKUP(B174,'[1]Product by Part Number'!$A:$K,4,0)</f>
        <v>2.42</v>
      </c>
      <c r="G174" s="62">
        <f t="shared" si="6"/>
        <v>290.39999999999998</v>
      </c>
      <c r="H174" s="89">
        <f>VLOOKUP(B174,'[1]Product by Part Number'!$A:$K,5,0)</f>
        <v>1.21</v>
      </c>
      <c r="I174" s="107">
        <f t="shared" si="7"/>
        <v>145.19999999999999</v>
      </c>
    </row>
    <row r="175" spans="2:9" ht="27" x14ac:dyDescent="0.3">
      <c r="B175" s="104" t="s">
        <v>386</v>
      </c>
      <c r="C175" s="54" t="str">
        <f>VLOOKUP(B175,'[1]Product by Part Number'!$A:$K,2,0)</f>
        <v xml:space="preserve">CAT D6N LGP (GHS) CAT D6N LGP (PBA) CAT D6N LGP (SGG)              </v>
      </c>
      <c r="D175" s="54" t="str">
        <f>VLOOKUP(B175,'[1]Product by Part Number'!$A:$K,3,0)</f>
        <v>FLAT WASHER</v>
      </c>
      <c r="E175" s="55">
        <f>VLOOKUP(B175,'[1]Product by Part Number'!$A:$K,11,0)</f>
        <v>132</v>
      </c>
      <c r="F175" s="80">
        <f>VLOOKUP(B175,'[1]Product by Part Number'!$A:$K,4,0)</f>
        <v>2.15</v>
      </c>
      <c r="G175" s="62">
        <f t="shared" si="6"/>
        <v>283.8</v>
      </c>
      <c r="H175" s="89">
        <f>VLOOKUP(B175,'[1]Product by Part Number'!$A:$K,5,0)</f>
        <v>1.08</v>
      </c>
      <c r="I175" s="107">
        <f t="shared" si="7"/>
        <v>142.56</v>
      </c>
    </row>
    <row r="176" spans="2:9" x14ac:dyDescent="0.3">
      <c r="B176" s="104" t="s">
        <v>387</v>
      </c>
      <c r="C176" s="54" t="str">
        <f>VLOOKUP(B176,'[1]Product by Part Number'!$A:$K,2,0)</f>
        <v xml:space="preserve">CAT 336F L (RKB)                  </v>
      </c>
      <c r="D176" s="54" t="str">
        <f>VLOOKUP(B176,'[1]Product by Part Number'!$A:$K,3,0)</f>
        <v>IDLER BOLT</v>
      </c>
      <c r="E176" s="55">
        <f>VLOOKUP(B176,'[1]Product by Part Number'!$A:$K,11,0)</f>
        <v>8</v>
      </c>
      <c r="F176" s="80">
        <f>VLOOKUP(B176,'[1]Product by Part Number'!$A:$K,4,0)</f>
        <v>12.21</v>
      </c>
      <c r="G176" s="62">
        <f t="shared" si="6"/>
        <v>97.68</v>
      </c>
      <c r="H176" s="89">
        <f>VLOOKUP(B176,'[1]Product by Part Number'!$A:$K,5,0)</f>
        <v>6.11</v>
      </c>
      <c r="I176" s="107">
        <f t="shared" si="7"/>
        <v>48.88</v>
      </c>
    </row>
    <row r="177" spans="2:9" x14ac:dyDescent="0.3">
      <c r="B177" s="104" t="s">
        <v>388</v>
      </c>
      <c r="C177" s="54" t="str">
        <f>VLOOKUP(B177,'[1]Product by Part Number'!$A:$K,2,0)</f>
        <v xml:space="preserve">CAT 303.5E CAT 303.5E                </v>
      </c>
      <c r="D177" s="54" t="str">
        <f>VLOOKUP(B177,'[1]Product by Part Number'!$A:$K,3,0)</f>
        <v>CARRIER BOLT</v>
      </c>
      <c r="E177" s="55">
        <f>VLOOKUP(B177,'[1]Product by Part Number'!$A:$K,11,0)</f>
        <v>18</v>
      </c>
      <c r="F177" s="80">
        <f>VLOOKUP(B177,'[1]Product by Part Number'!$A:$K,4,0)</f>
        <v>7.14</v>
      </c>
      <c r="G177" s="62">
        <f t="shared" si="6"/>
        <v>128.51999999999998</v>
      </c>
      <c r="H177" s="89">
        <f>VLOOKUP(B177,'[1]Product by Part Number'!$A:$K,5,0)</f>
        <v>3.57</v>
      </c>
      <c r="I177" s="107">
        <f t="shared" si="7"/>
        <v>64.260000000000005</v>
      </c>
    </row>
    <row r="178" spans="2:9" x14ac:dyDescent="0.3">
      <c r="B178" s="104" t="s">
        <v>391</v>
      </c>
      <c r="C178" s="54" t="str">
        <f>VLOOKUP(B178,'[1]Product by Part Number'!$A:$K,2,0)</f>
        <v xml:space="preserve">CAT D5 (3CR) CAT 561N (CPH)                </v>
      </c>
      <c r="D178" s="54" t="str">
        <f>VLOOKUP(B178,'[1]Product by Part Number'!$A:$K,3,0)</f>
        <v>TRACK BOLT</v>
      </c>
      <c r="E178" s="55">
        <f>VLOOKUP(B178,'[1]Product by Part Number'!$A:$K,11,0)</f>
        <v>606</v>
      </c>
      <c r="F178" s="80">
        <f>VLOOKUP(B178,'[1]Product by Part Number'!$A:$K,4,0)</f>
        <v>3.12</v>
      </c>
      <c r="G178" s="62">
        <f t="shared" si="6"/>
        <v>1890.72</v>
      </c>
      <c r="H178" s="89">
        <f>VLOOKUP(B178,'[1]Product by Part Number'!$A:$K,5,0)</f>
        <v>1.56</v>
      </c>
      <c r="I178" s="107">
        <f t="shared" si="7"/>
        <v>945.36</v>
      </c>
    </row>
    <row r="179" spans="2:9" x14ac:dyDescent="0.3">
      <c r="B179" s="104" t="s">
        <v>392</v>
      </c>
      <c r="C179" s="54" t="str">
        <f>VLOOKUP(B179,'[1]Product by Part Number'!$A:$K,2,0)</f>
        <v xml:space="preserve">CAT D5 (3CR) CAT 561N (CPH)                </v>
      </c>
      <c r="D179" s="54" t="str">
        <f>VLOOKUP(B179,'[1]Product by Part Number'!$A:$K,3,0)</f>
        <v>TRACK BOLT MASTER</v>
      </c>
      <c r="E179" s="55">
        <f>VLOOKUP(B179,'[1]Product by Part Number'!$A:$K,11,0)</f>
        <v>14</v>
      </c>
      <c r="F179" s="80">
        <f>VLOOKUP(B179,'[1]Product by Part Number'!$A:$K,4,0)</f>
        <v>5.25</v>
      </c>
      <c r="G179" s="62">
        <f t="shared" si="6"/>
        <v>73.5</v>
      </c>
      <c r="H179" s="89">
        <f>VLOOKUP(B179,'[1]Product by Part Number'!$A:$K,5,0)</f>
        <v>2.63</v>
      </c>
      <c r="I179" s="107">
        <f t="shared" si="7"/>
        <v>36.82</v>
      </c>
    </row>
    <row r="180" spans="2:9" x14ac:dyDescent="0.3">
      <c r="B180" s="104" t="s">
        <v>396</v>
      </c>
      <c r="C180" s="54" t="str">
        <f>VLOOKUP(B180,'[1]Product by Part Number'!$A:$K,2,0)</f>
        <v xml:space="preserve">CAT D6 (RDC) CAT D6T (MH7)                </v>
      </c>
      <c r="D180" s="54" t="str">
        <f>VLOOKUP(B180,'[1]Product by Part Number'!$A:$K,3,0)</f>
        <v>MASTER TRACK BOLT</v>
      </c>
      <c r="E180" s="55">
        <f>VLOOKUP(B180,'[1]Product by Part Number'!$A:$K,11,0)</f>
        <v>16</v>
      </c>
      <c r="F180" s="80">
        <f>VLOOKUP(B180,'[1]Product by Part Number'!$A:$K,4,0)</f>
        <v>9.9600000000000009</v>
      </c>
      <c r="G180" s="62">
        <f t="shared" si="6"/>
        <v>159.36000000000001</v>
      </c>
      <c r="H180" s="89">
        <f>VLOOKUP(B180,'[1]Product by Part Number'!$A:$K,5,0)</f>
        <v>4.9800000000000004</v>
      </c>
      <c r="I180" s="107">
        <f t="shared" si="7"/>
        <v>79.680000000000007</v>
      </c>
    </row>
    <row r="181" spans="2:9" ht="53.4" x14ac:dyDescent="0.3">
      <c r="B181" s="104" t="s">
        <v>399</v>
      </c>
      <c r="C181" s="54" t="str">
        <f>VLOOKUP(B181,'[1]Product by Part Number'!$A:$K,2,0)</f>
        <v xml:space="preserve">CAT 320E L (WBK) CAT 320F L (YBM) CAT 320 (HEX) CAT 320 (MYK) CAT 329E L (ZCD) CAT 329F L (ERL) CAT 330F L (MBX) CAT 330F L (HCK) CAT D6N LGP (PBA)  </v>
      </c>
      <c r="D181" s="54" t="str">
        <f>VLOOKUP(B181,'[1]Product by Part Number'!$A:$K,3,0)</f>
        <v xml:space="preserve">TRACK NUT </v>
      </c>
      <c r="E181" s="55">
        <f>VLOOKUP(B181,'[1]Product by Part Number'!$A:$K,11,0)</f>
        <v>5472</v>
      </c>
      <c r="F181" s="80">
        <f>VLOOKUP(B181,'[1]Product by Part Number'!$A:$K,4,0)</f>
        <v>3.14</v>
      </c>
      <c r="G181" s="62">
        <f t="shared" si="6"/>
        <v>17182.080000000002</v>
      </c>
      <c r="H181" s="89">
        <f>VLOOKUP(B181,'[1]Product by Part Number'!$A:$K,5,0)</f>
        <v>1.57</v>
      </c>
      <c r="I181" s="107">
        <f t="shared" si="7"/>
        <v>8591.0400000000009</v>
      </c>
    </row>
    <row r="182" spans="2:9" ht="27" x14ac:dyDescent="0.3">
      <c r="B182" s="104" t="s">
        <v>400</v>
      </c>
      <c r="C182" s="54" t="str">
        <f>VLOOKUP(B182,'[1]Product by Part Number'!$A:$K,2,0)</f>
        <v xml:space="preserve">CAT 320E L (WBK) CAT 320F L (YBM) CAT 320 (HEX) CAT 320 (MYK)            </v>
      </c>
      <c r="D182" s="54" t="str">
        <f>VLOOKUP(B182,'[1]Product by Part Number'!$A:$K,3,0)</f>
        <v xml:space="preserve">TRACK BOLT </v>
      </c>
      <c r="E182" s="55">
        <f>VLOOKUP(B182,'[1]Product by Part Number'!$A:$K,11,0)</f>
        <v>2352</v>
      </c>
      <c r="F182" s="80">
        <f>VLOOKUP(B182,'[1]Product by Part Number'!$A:$K,4,0)</f>
        <v>4.25</v>
      </c>
      <c r="G182" s="62">
        <f t="shared" si="6"/>
        <v>9996</v>
      </c>
      <c r="H182" s="89">
        <f>VLOOKUP(B182,'[1]Product by Part Number'!$A:$K,5,0)</f>
        <v>2.13</v>
      </c>
      <c r="I182" s="107">
        <f t="shared" si="7"/>
        <v>5009.76</v>
      </c>
    </row>
    <row r="183" spans="2:9" x14ac:dyDescent="0.3">
      <c r="B183" s="104" t="s">
        <v>403</v>
      </c>
      <c r="C183" s="54" t="str">
        <f>VLOOKUP(B183,'[1]Product by Part Number'!$A:$K,2,0)</f>
        <v xml:space="preserve">CAT D7G (92V)                  </v>
      </c>
      <c r="D183" s="54" t="str">
        <f>VLOOKUP(B183,'[1]Product by Part Number'!$A:$K,3,0)</f>
        <v>MASTER TRACK BOLT</v>
      </c>
      <c r="E183" s="55">
        <f>VLOOKUP(B183,'[1]Product by Part Number'!$A:$K,11,0)</f>
        <v>4</v>
      </c>
      <c r="F183" s="80">
        <f>VLOOKUP(B183,'[1]Product by Part Number'!$A:$K,4,0)</f>
        <v>15.58</v>
      </c>
      <c r="G183" s="62">
        <f t="shared" si="6"/>
        <v>62.32</v>
      </c>
      <c r="H183" s="89">
        <f>VLOOKUP(B183,'[1]Product by Part Number'!$A:$K,5,0)</f>
        <v>7.79</v>
      </c>
      <c r="I183" s="107">
        <f t="shared" si="7"/>
        <v>31.16</v>
      </c>
    </row>
    <row r="184" spans="2:9" x14ac:dyDescent="0.3">
      <c r="B184" s="104" t="s">
        <v>404</v>
      </c>
      <c r="C184" s="54" t="str">
        <f>VLOOKUP(B184,'[1]Product by Part Number'!$A:$K,2,0)</f>
        <v xml:space="preserve">CAT D3 (1PJ)                  </v>
      </c>
      <c r="D184" s="54" t="str">
        <f>VLOOKUP(B184,'[1]Product by Part Number'!$A:$K,3,0)</f>
        <v>SPROCKET BOLT</v>
      </c>
      <c r="E184" s="55">
        <f>VLOOKUP(B184,'[1]Product by Part Number'!$A:$K,11,0)</f>
        <v>50</v>
      </c>
      <c r="F184" s="80">
        <f>VLOOKUP(B184,'[1]Product by Part Number'!$A:$K,4,0)</f>
        <v>1.46</v>
      </c>
      <c r="G184" s="62">
        <f t="shared" si="6"/>
        <v>73</v>
      </c>
      <c r="H184" s="89">
        <f>VLOOKUP(B184,'[1]Product by Part Number'!$A:$K,5,0)</f>
        <v>0.73</v>
      </c>
      <c r="I184" s="107">
        <f t="shared" si="7"/>
        <v>36.5</v>
      </c>
    </row>
    <row r="185" spans="2:9" x14ac:dyDescent="0.3">
      <c r="B185" s="104" t="s">
        <v>406</v>
      </c>
      <c r="C185" s="54" t="str">
        <f>VLOOKUP(B185,'[1]Product by Part Number'!$A:$K,2,0)</f>
        <v xml:space="preserve">CAT D6N LGP (PBA) CAT D6N LGP (SGG)                </v>
      </c>
      <c r="D185" s="54" t="str">
        <f>VLOOKUP(B185,'[1]Product by Part Number'!$A:$K,3,0)</f>
        <v>FLAT WASHER</v>
      </c>
      <c r="E185" s="55">
        <f>VLOOKUP(B185,'[1]Product by Part Number'!$A:$K,11,0)</f>
        <v>256</v>
      </c>
      <c r="F185" s="80">
        <f>VLOOKUP(B185,'[1]Product by Part Number'!$A:$K,4,0)</f>
        <v>2.4700000000000002</v>
      </c>
      <c r="G185" s="62">
        <f t="shared" si="6"/>
        <v>632.32000000000005</v>
      </c>
      <c r="H185" s="89">
        <f>VLOOKUP(B185,'[1]Product by Part Number'!$A:$K,5,0)</f>
        <v>1.24</v>
      </c>
      <c r="I185" s="107">
        <f t="shared" si="7"/>
        <v>317.44</v>
      </c>
    </row>
    <row r="186" spans="2:9" x14ac:dyDescent="0.3">
      <c r="B186" s="104" t="s">
        <v>412</v>
      </c>
      <c r="C186" s="54" t="str">
        <f>VLOOKUP(B186,'[1]Product by Part Number'!$A:$K,2,0)</f>
        <v xml:space="preserve">CAT 561N (CPH)                  </v>
      </c>
      <c r="D186" s="54" t="str">
        <f>VLOOKUP(B186,'[1]Product by Part Number'!$A:$K,3,0)</f>
        <v>30" GQP TRACK GROUP</v>
      </c>
      <c r="E186" s="55">
        <f>VLOOKUP(B186,'[1]Product by Part Number'!$A:$K,11,0)</f>
        <v>10</v>
      </c>
      <c r="F186" s="80">
        <f>VLOOKUP(B186,'[1]Product by Part Number'!$A:$K,4,0)</f>
        <v>12613.63</v>
      </c>
      <c r="G186" s="62">
        <f t="shared" si="6"/>
        <v>126136.29999999999</v>
      </c>
      <c r="H186" s="89">
        <f>VLOOKUP(B186,'[1]Product by Part Number'!$A:$K,5,0)</f>
        <v>6306.82</v>
      </c>
      <c r="I186" s="107">
        <f t="shared" si="7"/>
        <v>63068.2</v>
      </c>
    </row>
    <row r="187" spans="2:9" x14ac:dyDescent="0.3">
      <c r="B187" s="104" t="s">
        <v>418</v>
      </c>
      <c r="C187" s="54" t="str">
        <f>VLOOKUP(B187,'[1]Product by Part Number'!$A:$K,2,0)</f>
        <v xml:space="preserve">CAT D6 (RDC)                  </v>
      </c>
      <c r="D187" s="54" t="str">
        <f>VLOOKUP(B187,'[1]Product by Part Number'!$A:$K,3,0)</f>
        <v>30" GQP TRACK GROUP</v>
      </c>
      <c r="E187" s="55">
        <f>VLOOKUP(B187,'[1]Product by Part Number'!$A:$K,11,0)</f>
        <v>2</v>
      </c>
      <c r="F187" s="80">
        <f>VLOOKUP(B187,'[1]Product by Part Number'!$A:$K,4,0)</f>
        <v>10784.168</v>
      </c>
      <c r="G187" s="62">
        <f t="shared" si="6"/>
        <v>21568.335999999999</v>
      </c>
      <c r="H187" s="89">
        <f>VLOOKUP(B187,'[1]Product by Part Number'!$A:$K,5,0)</f>
        <v>5392.08</v>
      </c>
      <c r="I187" s="107">
        <f t="shared" si="7"/>
        <v>10784.16</v>
      </c>
    </row>
    <row r="188" spans="2:9" x14ac:dyDescent="0.3">
      <c r="B188" s="104" t="s">
        <v>419</v>
      </c>
      <c r="C188" s="54" t="str">
        <f>VLOOKUP(B188,'[1]Product by Part Number'!$A:$K,2,0)</f>
        <v xml:space="preserve">CAT D7G (92V)                  </v>
      </c>
      <c r="D188" s="54" t="str">
        <f>VLOOKUP(B188,'[1]Product by Part Number'!$A:$K,3,0)</f>
        <v>30" GQP TRACK GROUP</v>
      </c>
      <c r="E188" s="55">
        <f>VLOOKUP(B188,'[1]Product by Part Number'!$A:$K,11,0)</f>
        <v>2</v>
      </c>
      <c r="F188" s="80">
        <f>VLOOKUP(B188,'[1]Product by Part Number'!$A:$K,4,0)</f>
        <v>8674.7200000000012</v>
      </c>
      <c r="G188" s="62">
        <f t="shared" si="6"/>
        <v>17349.440000000002</v>
      </c>
      <c r="H188" s="89">
        <f>VLOOKUP(B188,'[1]Product by Part Number'!$A:$K,5,0)</f>
        <v>4337.3599999999997</v>
      </c>
      <c r="I188" s="107">
        <f t="shared" si="7"/>
        <v>8674.7199999999993</v>
      </c>
    </row>
    <row r="189" spans="2:9" ht="15" thickBot="1" x14ac:dyDescent="0.35">
      <c r="B189" s="105" t="s">
        <v>421</v>
      </c>
      <c r="C189" s="82" t="str">
        <f>VLOOKUP(B189,'[1]Product by Part Number'!$A:$K,2,0)</f>
        <v xml:space="preserve">CAT PL61 (WGS)                  </v>
      </c>
      <c r="D189" s="82" t="str">
        <f>VLOOKUP(B189,'[1]Product by Part Number'!$A:$K,3,0)</f>
        <v>30" GQP TRACK GROUP</v>
      </c>
      <c r="E189" s="83">
        <f>VLOOKUP(B189,'[1]Product by Part Number'!$A:$K,11,0)</f>
        <v>6</v>
      </c>
      <c r="F189" s="84">
        <f>VLOOKUP(B189,'[1]Product by Part Number'!$A:$K,4,0)</f>
        <v>8945.7099999999991</v>
      </c>
      <c r="G189" s="62">
        <f t="shared" si="6"/>
        <v>53674.259999999995</v>
      </c>
      <c r="H189" s="91">
        <f>VLOOKUP(B189,'[1]Product by Part Number'!$A:$K,5,0)</f>
        <v>4472.8599999999997</v>
      </c>
      <c r="I189" s="112">
        <f t="shared" si="7"/>
        <v>26837.16</v>
      </c>
    </row>
    <row r="190" spans="2:9" hidden="1" x14ac:dyDescent="0.3">
      <c r="B190" s="22"/>
      <c r="C190" s="22"/>
      <c r="D190" s="22"/>
      <c r="E190" s="23"/>
      <c r="F190" s="24"/>
      <c r="G190" s="24"/>
      <c r="H190" s="25"/>
      <c r="I190" s="26"/>
    </row>
    <row r="191" spans="2:9" hidden="1" x14ac:dyDescent="0.3">
      <c r="B191" s="22"/>
      <c r="C191" s="22"/>
      <c r="D191" s="22"/>
      <c r="E191" s="23"/>
      <c r="F191" s="24"/>
      <c r="G191" s="24"/>
      <c r="H191" s="25"/>
      <c r="I191" s="26"/>
    </row>
    <row r="192" spans="2:9" hidden="1" x14ac:dyDescent="0.3">
      <c r="B192" s="22"/>
      <c r="C192" s="22"/>
      <c r="D192" s="22"/>
      <c r="E192" s="23"/>
      <c r="F192" s="24"/>
      <c r="G192" s="24"/>
      <c r="H192" s="25"/>
      <c r="I192" s="26"/>
    </row>
    <row r="193" spans="2:9" hidden="1" x14ac:dyDescent="0.3">
      <c r="B193" s="22"/>
      <c r="C193" s="22"/>
      <c r="D193" s="22"/>
      <c r="E193" s="23"/>
      <c r="F193" s="24"/>
      <c r="G193" s="24"/>
      <c r="H193" s="25"/>
      <c r="I193" s="26"/>
    </row>
    <row r="194" spans="2:9" hidden="1" x14ac:dyDescent="0.3">
      <c r="B194" s="22"/>
      <c r="C194" s="22"/>
      <c r="D194" s="22"/>
      <c r="E194" s="23"/>
      <c r="F194" s="24"/>
      <c r="G194" s="24"/>
      <c r="H194" s="25"/>
      <c r="I194" s="26"/>
    </row>
    <row r="195" spans="2:9" hidden="1" x14ac:dyDescent="0.3">
      <c r="B195" s="22"/>
      <c r="C195" s="22"/>
      <c r="D195" s="22"/>
      <c r="E195" s="23"/>
      <c r="F195" s="24"/>
      <c r="G195" s="24"/>
      <c r="H195" s="25"/>
      <c r="I195" s="26"/>
    </row>
    <row r="196" spans="2:9" hidden="1" x14ac:dyDescent="0.3">
      <c r="B196" s="22"/>
      <c r="C196" s="22"/>
      <c r="D196" s="22"/>
      <c r="E196" s="23"/>
      <c r="F196" s="24"/>
      <c r="G196" s="24"/>
      <c r="H196" s="25"/>
      <c r="I196" s="26"/>
    </row>
    <row r="197" spans="2:9" hidden="1" x14ac:dyDescent="0.3">
      <c r="B197" s="22"/>
      <c r="C197" s="22"/>
      <c r="D197" s="22"/>
      <c r="E197" s="23"/>
      <c r="F197" s="24"/>
      <c r="G197" s="24"/>
      <c r="H197" s="25"/>
      <c r="I197" s="26"/>
    </row>
    <row r="198" spans="2:9" hidden="1" x14ac:dyDescent="0.3">
      <c r="B198" s="22"/>
      <c r="C198" s="22"/>
      <c r="D198" s="22"/>
      <c r="E198" s="23"/>
      <c r="F198" s="24"/>
      <c r="G198" s="24"/>
      <c r="H198" s="25"/>
      <c r="I198" s="26"/>
    </row>
    <row r="199" spans="2:9" hidden="1" x14ac:dyDescent="0.3">
      <c r="B199" s="63"/>
      <c r="C199" s="63"/>
      <c r="D199" s="63"/>
      <c r="E199" s="64"/>
      <c r="F199" s="65"/>
      <c r="G199" s="24"/>
      <c r="H199" s="66"/>
      <c r="I199" s="67">
        <f t="shared" si="1"/>
        <v>0</v>
      </c>
    </row>
    <row r="200" spans="2:9" x14ac:dyDescent="0.3">
      <c r="B200" s="139"/>
      <c r="C200" s="140"/>
      <c r="D200" s="140"/>
      <c r="E200" s="140"/>
      <c r="F200" s="141"/>
      <c r="G200" s="27"/>
      <c r="H200" s="95" t="s">
        <v>17</v>
      </c>
      <c r="I200" s="96">
        <f>SUM(I15:I199)</f>
        <v>1805217.5899999994</v>
      </c>
    </row>
    <row r="201" spans="2:9" x14ac:dyDescent="0.3">
      <c r="B201" s="93"/>
      <c r="C201" s="31"/>
      <c r="D201" s="32" t="s">
        <v>18</v>
      </c>
      <c r="E201" s="142">
        <f>SUM(G15:G199)</f>
        <v>3610253.4359999988</v>
      </c>
      <c r="F201" s="143"/>
      <c r="G201" s="33"/>
      <c r="H201" s="97" t="s">
        <v>19</v>
      </c>
      <c r="I201" s="98">
        <v>0</v>
      </c>
    </row>
    <row r="202" spans="2:9" x14ac:dyDescent="0.3">
      <c r="B202" s="93"/>
      <c r="C202" s="31"/>
      <c r="D202" s="32" t="s">
        <v>20</v>
      </c>
      <c r="E202" s="142">
        <f>SUM(I15:I199)</f>
        <v>1805217.5899999994</v>
      </c>
      <c r="F202" s="143"/>
      <c r="G202" s="33"/>
      <c r="H202" s="99" t="s">
        <v>21</v>
      </c>
      <c r="I202" s="98">
        <v>0</v>
      </c>
    </row>
    <row r="203" spans="2:9" x14ac:dyDescent="0.3">
      <c r="B203" s="93"/>
      <c r="C203" s="31"/>
      <c r="D203" s="32" t="s">
        <v>22</v>
      </c>
      <c r="E203" s="122">
        <f>E201-E202</f>
        <v>1805035.8459999994</v>
      </c>
      <c r="F203" s="123"/>
      <c r="G203" s="36"/>
      <c r="H203" s="97" t="s">
        <v>23</v>
      </c>
      <c r="I203" s="100">
        <f>SUM(I200:I202)</f>
        <v>1805217.5899999994</v>
      </c>
    </row>
    <row r="204" spans="2:9" x14ac:dyDescent="0.3">
      <c r="B204" s="93"/>
      <c r="C204" s="31"/>
      <c r="D204" s="32"/>
      <c r="E204" s="124"/>
      <c r="F204" s="125"/>
      <c r="G204" s="38"/>
      <c r="H204" s="97" t="s">
        <v>24</v>
      </c>
      <c r="I204" s="100">
        <f>I203*0.05</f>
        <v>90260.879499999981</v>
      </c>
    </row>
    <row r="205" spans="2:9" x14ac:dyDescent="0.3">
      <c r="B205" s="93"/>
      <c r="C205" s="31"/>
      <c r="D205" s="39"/>
      <c r="E205" s="39"/>
      <c r="F205" s="94"/>
      <c r="G205" s="40"/>
      <c r="H205" s="97" t="s">
        <v>25</v>
      </c>
      <c r="I205" s="98"/>
    </row>
    <row r="206" spans="2:9" ht="16.2" thickBot="1" x14ac:dyDescent="0.35">
      <c r="B206" s="113" t="s">
        <v>26</v>
      </c>
      <c r="C206" s="114"/>
      <c r="D206" s="114"/>
      <c r="E206" s="114"/>
      <c r="F206" s="115"/>
      <c r="G206" s="41"/>
      <c r="H206" s="101" t="s">
        <v>27</v>
      </c>
      <c r="I206" s="102">
        <f>SUM(I203:I205)</f>
        <v>1895478.4694999994</v>
      </c>
    </row>
  </sheetData>
  <autoFilter ref="B14:I206" xr:uid="{066E224B-BC2F-465F-81CA-F8BD556D9C19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206:F206"/>
    <mergeCell ref="F13:I13"/>
    <mergeCell ref="B200:F200"/>
    <mergeCell ref="E201:F201"/>
    <mergeCell ref="E202:F202"/>
    <mergeCell ref="E203:F203"/>
    <mergeCell ref="E204:F204"/>
  </mergeCells>
  <hyperlinks>
    <hyperlink ref="H9" r:id="rId1" xr:uid="{917B8A1E-BF67-4726-9837-280179307428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A5F-9A85-49B2-A032-166145993CC7}">
  <dimension ref="B1:K407"/>
  <sheetViews>
    <sheetView topLeftCell="A172" zoomScaleNormal="100" workbookViewId="0">
      <selection activeCell="F184" sqref="F184"/>
    </sheetView>
  </sheetViews>
  <sheetFormatPr defaultRowHeight="14.4" x14ac:dyDescent="0.3"/>
  <cols>
    <col min="1" max="1" width="2.6640625" customWidth="1"/>
    <col min="2" max="2" width="23.5546875" bestFit="1" customWidth="1"/>
    <col min="3" max="3" width="44.44140625" bestFit="1" customWidth="1"/>
    <col min="4" max="4" width="36" customWidth="1"/>
    <col min="5" max="5" width="7.33203125" customWidth="1"/>
    <col min="6" max="6" width="14.6640625" customWidth="1"/>
    <col min="7" max="7" width="14.6640625" hidden="1" customWidth="1"/>
    <col min="8" max="8" width="14.6640625" customWidth="1"/>
    <col min="9" max="9" width="20.44140625" bestFit="1" customWidth="1"/>
    <col min="11" max="11" width="12.5546875" bestFit="1" customWidth="1"/>
  </cols>
  <sheetData>
    <row r="1" spans="2:9" ht="15" customHeight="1" x14ac:dyDescent="0.3">
      <c r="B1" s="69"/>
      <c r="C1" s="70"/>
      <c r="D1" s="70"/>
      <c r="E1" s="116" t="s">
        <v>28</v>
      </c>
      <c r="F1" s="116"/>
      <c r="G1" s="106"/>
      <c r="H1" s="116" t="s">
        <v>31</v>
      </c>
      <c r="I1" s="117"/>
    </row>
    <row r="2" spans="2:9" ht="15" customHeight="1" x14ac:dyDescent="0.3">
      <c r="B2" s="71"/>
      <c r="E2" s="118"/>
      <c r="F2" s="118"/>
      <c r="G2" s="45"/>
      <c r="H2" s="118"/>
      <c r="I2" s="119"/>
    </row>
    <row r="3" spans="2:9" ht="15" customHeight="1" x14ac:dyDescent="0.3">
      <c r="B3" s="71"/>
      <c r="E3" s="118"/>
      <c r="F3" s="118"/>
      <c r="G3" s="45"/>
      <c r="H3" s="118"/>
      <c r="I3" s="119"/>
    </row>
    <row r="4" spans="2:9" ht="15" customHeight="1" x14ac:dyDescent="0.3">
      <c r="B4" s="71"/>
      <c r="E4" s="118"/>
      <c r="F4" s="118"/>
      <c r="G4" s="45"/>
      <c r="H4" s="118"/>
      <c r="I4" s="119"/>
    </row>
    <row r="5" spans="2:9" ht="15" customHeight="1" x14ac:dyDescent="0.3">
      <c r="B5" s="72"/>
      <c r="C5" s="1"/>
      <c r="D5" s="1"/>
      <c r="E5" s="120"/>
      <c r="F5" s="120"/>
      <c r="G5" s="46"/>
      <c r="H5" s="120"/>
      <c r="I5" s="121"/>
    </row>
    <row r="6" spans="2:9" ht="36.6" x14ac:dyDescent="0.7">
      <c r="B6" s="6"/>
      <c r="C6" s="7"/>
      <c r="D6" s="7"/>
      <c r="E6" s="8"/>
      <c r="F6" s="8"/>
      <c r="G6" s="8"/>
      <c r="H6" s="8"/>
      <c r="I6" s="73"/>
    </row>
    <row r="7" spans="2:9" x14ac:dyDescent="0.3">
      <c r="B7" s="74" t="s">
        <v>7</v>
      </c>
      <c r="C7" s="131" t="s">
        <v>53</v>
      </c>
      <c r="D7" s="132"/>
      <c r="E7" s="9" t="s">
        <v>8</v>
      </c>
      <c r="F7" s="10">
        <v>45748</v>
      </c>
      <c r="G7" s="10"/>
      <c r="H7" s="11" t="s">
        <v>9</v>
      </c>
      <c r="I7" s="87" t="s">
        <v>422</v>
      </c>
    </row>
    <row r="8" spans="2:9" x14ac:dyDescent="0.3">
      <c r="B8" s="76" t="s">
        <v>10</v>
      </c>
      <c r="C8" s="168" t="s">
        <v>54</v>
      </c>
      <c r="D8" s="168"/>
      <c r="E8" s="127" t="s">
        <v>11</v>
      </c>
      <c r="F8" s="127"/>
      <c r="G8" s="13"/>
      <c r="H8" s="161" t="s">
        <v>55</v>
      </c>
      <c r="I8" s="151"/>
    </row>
    <row r="9" spans="2:9" x14ac:dyDescent="0.3">
      <c r="B9" s="76" t="s">
        <v>12</v>
      </c>
      <c r="C9" s="167">
        <v>0</v>
      </c>
      <c r="D9" s="167"/>
      <c r="E9" s="127" t="s">
        <v>13</v>
      </c>
      <c r="F9" s="127"/>
      <c r="G9" s="13"/>
      <c r="H9" s="162" t="s">
        <v>56</v>
      </c>
      <c r="I9" s="149"/>
    </row>
    <row r="10" spans="2:9" x14ac:dyDescent="0.3">
      <c r="B10" s="76"/>
      <c r="C10" s="167">
        <v>0</v>
      </c>
      <c r="D10" s="167"/>
      <c r="E10" s="127" t="s">
        <v>14</v>
      </c>
      <c r="F10" s="127"/>
      <c r="G10" s="13"/>
      <c r="H10" s="159" t="s">
        <v>422</v>
      </c>
      <c r="I10" s="145"/>
    </row>
    <row r="11" spans="2:9" x14ac:dyDescent="0.3">
      <c r="B11" s="76"/>
      <c r="C11" s="167">
        <v>0</v>
      </c>
      <c r="D11" s="167"/>
      <c r="E11" s="127"/>
      <c r="F11" s="127"/>
      <c r="G11" s="13"/>
      <c r="H11" s="159" t="s">
        <v>422</v>
      </c>
      <c r="I11" s="145"/>
    </row>
    <row r="12" spans="2:9" x14ac:dyDescent="0.3">
      <c r="B12" s="77"/>
      <c r="C12" s="167">
        <v>0</v>
      </c>
      <c r="D12" s="167"/>
      <c r="E12" s="129"/>
      <c r="F12" s="129"/>
      <c r="G12" s="14"/>
      <c r="H12" s="160" t="s">
        <v>422</v>
      </c>
      <c r="I12" s="147"/>
    </row>
    <row r="13" spans="2:9" ht="15" thickBot="1" x14ac:dyDescent="0.35">
      <c r="B13" s="15"/>
      <c r="C13" s="16"/>
      <c r="D13" s="16"/>
      <c r="E13" s="16"/>
      <c r="F13" s="137" t="s">
        <v>3</v>
      </c>
      <c r="G13" s="137"/>
      <c r="H13" s="137"/>
      <c r="I13" s="136"/>
    </row>
    <row r="14" spans="2:9" ht="15" thickBot="1" x14ac:dyDescent="0.35">
      <c r="B14" s="52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88" t="s">
        <v>16</v>
      </c>
    </row>
    <row r="15" spans="2:9" s="53" customFormat="1" x14ac:dyDescent="0.3">
      <c r="B15" s="79" t="s">
        <v>45</v>
      </c>
      <c r="C15" s="54" t="str">
        <f>VLOOKUP(B15,'[1]Product by Part Number'!$A:$K,2,0)</f>
        <v xml:space="preserve">CAT 320F L (YBM) CAT 336F L (RKB)                </v>
      </c>
      <c r="D15" s="54" t="str">
        <f>VLOOKUP(B15,'[1]Product by Part Number'!$A:$K,3,0)</f>
        <v>HYDRAULIC OIL FILTER</v>
      </c>
      <c r="E15" s="55">
        <f>VLOOKUP(B15,'[1]Product by Part Number'!$A:$K,11,0)</f>
        <v>10</v>
      </c>
      <c r="F15" s="56">
        <f>VLOOKUP(B15,'[1]Product by Part Number'!$A:$K,4,0)</f>
        <v>102.09</v>
      </c>
      <c r="G15" s="56">
        <f t="shared" ref="G15" si="0">E15*F15</f>
        <v>1020.9000000000001</v>
      </c>
      <c r="H15" s="57">
        <f>VLOOKUP(B15,'[1]Product by Part Number'!$A:$K,5,0)</f>
        <v>38.79</v>
      </c>
      <c r="I15" s="90">
        <f t="shared" ref="I15" si="1">ROUND(E15*H15,2)</f>
        <v>387.9</v>
      </c>
    </row>
    <row r="16" spans="2:9" s="53" customFormat="1" x14ac:dyDescent="0.3">
      <c r="B16" s="79" t="s">
        <v>68</v>
      </c>
      <c r="C16" s="54" t="str">
        <f>VLOOKUP(B16,'[1]Product by Part Number'!$A:$K,2,0)</f>
        <v xml:space="preserve">CAT D3 (1PJ)                  </v>
      </c>
      <c r="D16" s="54" t="str">
        <f>VLOOKUP(B16,'[1]Product by Part Number'!$A:$K,3,0)</f>
        <v xml:space="preserve">HEX HEAD BOLT SF </v>
      </c>
      <c r="E16" s="55">
        <f>VLOOKUP(B16,'[1]Product by Part Number'!$A:$K,11,0)</f>
        <v>16</v>
      </c>
      <c r="F16" s="56">
        <f>VLOOKUP(B16,'[1]Product by Part Number'!$A:$K,4,0)</f>
        <v>2.78</v>
      </c>
      <c r="G16" s="56">
        <f t="shared" ref="G16:G79" si="2">E16*F16</f>
        <v>44.48</v>
      </c>
      <c r="H16" s="57">
        <f>VLOOKUP(B16,'[1]Product by Part Number'!$A:$K,5,0)</f>
        <v>1.39</v>
      </c>
      <c r="I16" s="90">
        <f t="shared" ref="I16:I79" si="3">ROUND(E16*H16,2)</f>
        <v>22.24</v>
      </c>
    </row>
    <row r="17" spans="2:11" s="53" customFormat="1" x14ac:dyDescent="0.3">
      <c r="B17" s="79" t="s">
        <v>69</v>
      </c>
      <c r="C17" s="54" t="str">
        <f>VLOOKUP(B17,'[1]Product by Part Number'!$A:$K,2,0)</f>
        <v xml:space="preserve">CAT D7G (92V)                  </v>
      </c>
      <c r="D17" s="54" t="str">
        <f>VLOOKUP(B17,'[1]Product by Part Number'!$A:$K,3,0)</f>
        <v>CARRIER BOLT</v>
      </c>
      <c r="E17" s="55">
        <f>VLOOKUP(B17,'[1]Product by Part Number'!$A:$K,11,0)</f>
        <v>6</v>
      </c>
      <c r="F17" s="56">
        <f>VLOOKUP(B17,'[1]Product by Part Number'!$A:$K,4,0)</f>
        <v>1.1599999999999999</v>
      </c>
      <c r="G17" s="56">
        <f t="shared" si="2"/>
        <v>6.9599999999999991</v>
      </c>
      <c r="H17" s="57">
        <f>VLOOKUP(B17,'[1]Product by Part Number'!$A:$K,5,0)</f>
        <v>0.57999999999999996</v>
      </c>
      <c r="I17" s="90">
        <f t="shared" si="3"/>
        <v>3.48</v>
      </c>
    </row>
    <row r="18" spans="2:11" s="53" customFormat="1" x14ac:dyDescent="0.3">
      <c r="B18" s="79" t="s">
        <v>70</v>
      </c>
      <c r="C18" s="54" t="str">
        <f>VLOOKUP(B18,'[1]Product by Part Number'!$A:$K,2,0)</f>
        <v xml:space="preserve">CAT D5 (3CR)                  </v>
      </c>
      <c r="D18" s="54" t="str">
        <f>VLOOKUP(B18,'[1]Product by Part Number'!$A:$K,3,0)</f>
        <v>TURBOCHARGER ASSEMBLY</v>
      </c>
      <c r="E18" s="55">
        <f>VLOOKUP(B18,'[1]Product by Part Number'!$A:$K,11,0)</f>
        <v>2</v>
      </c>
      <c r="F18" s="56">
        <f>VLOOKUP(B18,'[1]Product by Part Number'!$A:$K,4,0)</f>
        <v>4677.47</v>
      </c>
      <c r="G18" s="56">
        <f t="shared" si="2"/>
        <v>9354.94</v>
      </c>
      <c r="H18" s="57">
        <f>VLOOKUP(B18,'[1]Product by Part Number'!$A:$K,5,0)</f>
        <v>2338.7399999999998</v>
      </c>
      <c r="I18" s="90">
        <f t="shared" si="3"/>
        <v>4677.4799999999996</v>
      </c>
    </row>
    <row r="19" spans="2:11" s="53" customFormat="1" ht="27" x14ac:dyDescent="0.3">
      <c r="B19" s="79" t="s">
        <v>71</v>
      </c>
      <c r="C19" s="54" t="str">
        <f>VLOOKUP(B19,'[1]Product by Part Number'!$A:$K,2,0)</f>
        <v xml:space="preserve">CAT D4 (66J) CAT D6N LGP (GHS) CAT D6N LGP (SGG) CAT PL61 (WGS)            </v>
      </c>
      <c r="D19" s="54" t="str">
        <f>VLOOKUP(B19,'[1]Product by Part Number'!$A:$K,3,0)</f>
        <v>TRACK BOLT MASTER</v>
      </c>
      <c r="E19" s="55">
        <f>VLOOKUP(B19,'[1]Product by Part Number'!$A:$K,11,0)</f>
        <v>28</v>
      </c>
      <c r="F19" s="56">
        <f>VLOOKUP(B19,'[1]Product by Part Number'!$A:$K,4,0)</f>
        <v>6.66</v>
      </c>
      <c r="G19" s="56">
        <f t="shared" si="2"/>
        <v>186.48000000000002</v>
      </c>
      <c r="H19" s="57">
        <f>VLOOKUP(B19,'[1]Product by Part Number'!$A:$K,5,0)</f>
        <v>3.33</v>
      </c>
      <c r="I19" s="90">
        <f t="shared" si="3"/>
        <v>93.24</v>
      </c>
    </row>
    <row r="20" spans="2:11" s="53" customFormat="1" ht="27" x14ac:dyDescent="0.3">
      <c r="B20" s="79" t="s">
        <v>72</v>
      </c>
      <c r="C20" s="54" t="str">
        <f>VLOOKUP(B20,'[1]Product by Part Number'!$A:$K,2,0)</f>
        <v xml:space="preserve">CAT D4 (66J) CAT D6N LGP (GHS) CAT D6N LGP (SGG) CAT PL61 (WGS)            </v>
      </c>
      <c r="D20" s="54" t="str">
        <f>VLOOKUP(B20,'[1]Product by Part Number'!$A:$K,3,0)</f>
        <v>TRACK BOLT MASTER</v>
      </c>
      <c r="E20" s="55">
        <f>VLOOKUP(B20,'[1]Product by Part Number'!$A:$K,11,0)</f>
        <v>28</v>
      </c>
      <c r="F20" s="56">
        <f>VLOOKUP(B20,'[1]Product by Part Number'!$A:$K,4,0)</f>
        <v>9.23</v>
      </c>
      <c r="G20" s="56">
        <f t="shared" si="2"/>
        <v>258.44</v>
      </c>
      <c r="H20" s="57">
        <f>VLOOKUP(B20,'[1]Product by Part Number'!$A:$K,5,0)</f>
        <v>4.62</v>
      </c>
      <c r="I20" s="90">
        <f t="shared" si="3"/>
        <v>129.36000000000001</v>
      </c>
    </row>
    <row r="21" spans="2:11" s="53" customFormat="1" x14ac:dyDescent="0.3">
      <c r="B21" s="79" t="s">
        <v>73</v>
      </c>
      <c r="C21" s="54" t="str">
        <f>VLOOKUP(B21,'[1]Product by Part Number'!$A:$K,2,0)</f>
        <v xml:space="preserve">CAT D5 (3CR) CAT 561N (CPH)                </v>
      </c>
      <c r="D21" s="54" t="str">
        <f>VLOOKUP(B21,'[1]Product by Part Number'!$A:$K,3,0)</f>
        <v>SPROCKET SEGMENT</v>
      </c>
      <c r="E21" s="55">
        <f>VLOOKUP(B21,'[1]Product by Part Number'!$A:$K,11,0)</f>
        <v>70</v>
      </c>
      <c r="F21" s="56">
        <f>VLOOKUP(B21,'[1]Product by Part Number'!$A:$K,4,0)</f>
        <v>177.98</v>
      </c>
      <c r="G21" s="56">
        <f t="shared" si="2"/>
        <v>12458.599999999999</v>
      </c>
      <c r="H21" s="57">
        <f>VLOOKUP(B21,'[1]Product by Part Number'!$A:$K,5,0)</f>
        <v>88.99</v>
      </c>
      <c r="I21" s="90">
        <f t="shared" si="3"/>
        <v>6229.3</v>
      </c>
      <c r="K21" s="58"/>
    </row>
    <row r="22" spans="2:11" s="53" customFormat="1" x14ac:dyDescent="0.3">
      <c r="B22" s="79" t="s">
        <v>74</v>
      </c>
      <c r="C22" s="54" t="str">
        <f>VLOOKUP(B22,'[1]Product by Part Number'!$A:$K,2,0)</f>
        <v xml:space="preserve">CAT D5 (3CR) CAT 561N (CPH)                </v>
      </c>
      <c r="D22" s="54" t="str">
        <f>VLOOKUP(B22,'[1]Product by Part Number'!$A:$K,3,0)</f>
        <v>TRACK LINK ASSEMBLY</v>
      </c>
      <c r="E22" s="55">
        <f>VLOOKUP(B22,'[1]Product by Part Number'!$A:$K,11,0)</f>
        <v>14</v>
      </c>
      <c r="F22" s="56">
        <f>VLOOKUP(B22,'[1]Product by Part Number'!$A:$K,4,0)</f>
        <v>11935.92</v>
      </c>
      <c r="G22" s="56">
        <f t="shared" si="2"/>
        <v>167102.88</v>
      </c>
      <c r="H22" s="57">
        <f>VLOOKUP(B22,'[1]Product by Part Number'!$A:$K,5,0)</f>
        <v>5967.96</v>
      </c>
      <c r="I22" s="90">
        <f t="shared" si="3"/>
        <v>83551.44</v>
      </c>
    </row>
    <row r="23" spans="2:11" s="53" customFormat="1" x14ac:dyDescent="0.3">
      <c r="B23" s="79" t="s">
        <v>75</v>
      </c>
      <c r="C23" s="54" t="str">
        <f>VLOOKUP(B23,'[1]Product by Part Number'!$A:$K,2,0)</f>
        <v xml:space="preserve">CAT PL61 (WGS)                  </v>
      </c>
      <c r="D23" s="54" t="str">
        <f>VLOOKUP(B23,'[1]Product by Part Number'!$A:$K,3,0)</f>
        <v>TRACK LINK 39 JOINT</v>
      </c>
      <c r="E23" s="55">
        <f>VLOOKUP(B23,'[1]Product by Part Number'!$A:$K,11,0)</f>
        <v>6</v>
      </c>
      <c r="F23" s="56">
        <f>VLOOKUP(B23,'[1]Product by Part Number'!$A:$K,4,0)</f>
        <v>8654.5499999999993</v>
      </c>
      <c r="G23" s="56">
        <f t="shared" si="2"/>
        <v>51927.299999999996</v>
      </c>
      <c r="H23" s="57">
        <f>VLOOKUP(B23,'[1]Product by Part Number'!$A:$K,5,0)</f>
        <v>4327.28</v>
      </c>
      <c r="I23" s="90">
        <f t="shared" si="3"/>
        <v>25963.68</v>
      </c>
    </row>
    <row r="24" spans="2:11" s="53" customFormat="1" x14ac:dyDescent="0.3">
      <c r="B24" s="79" t="s">
        <v>37</v>
      </c>
      <c r="C24" s="54" t="str">
        <f>VLOOKUP(B24,'[1]Product by Part Number'!$A:$K,2,0)</f>
        <v xml:space="preserve">CAT D6T (MH7)                  </v>
      </c>
      <c r="D24" s="54" t="str">
        <f>VLOOKUP(B24,'[1]Product by Part Number'!$A:$K,3,0)</f>
        <v>CABIN AIR FILTER ELEMENT</v>
      </c>
      <c r="E24" s="55">
        <f>VLOOKUP(B24,'[1]Product by Part Number'!$A:$K,11,0)</f>
        <v>3</v>
      </c>
      <c r="F24" s="56">
        <f>VLOOKUP(B24,'[1]Product by Part Number'!$A:$K,4,0)</f>
        <v>43.37</v>
      </c>
      <c r="G24" s="56">
        <f t="shared" si="2"/>
        <v>130.10999999999999</v>
      </c>
      <c r="H24" s="57">
        <f>VLOOKUP(B24,'[1]Product by Part Number'!$A:$K,5,0)</f>
        <v>16.48</v>
      </c>
      <c r="I24" s="90">
        <f t="shared" si="3"/>
        <v>49.44</v>
      </c>
    </row>
    <row r="25" spans="2:11" s="53" customFormat="1" ht="27" x14ac:dyDescent="0.3">
      <c r="B25" s="79" t="s">
        <v>76</v>
      </c>
      <c r="C25" s="54" t="str">
        <f>VLOOKUP(B25,'[1]Product by Part Number'!$A:$K,2,0)</f>
        <v xml:space="preserve">CAT D6N LGP (PBA) CAT D6N LGP (SGG) CAT D6T (MH7) CAT D7G (92V)            </v>
      </c>
      <c r="D25" s="54" t="str">
        <f>VLOOKUP(B25,'[1]Product by Part Number'!$A:$K,3,0)</f>
        <v>GROOVED PIN</v>
      </c>
      <c r="E25" s="55">
        <f>VLOOKUP(B25,'[1]Product by Part Number'!$A:$K,11,0)</f>
        <v>16</v>
      </c>
      <c r="F25" s="56">
        <f>VLOOKUP(B25,'[1]Product by Part Number'!$A:$K,4,0)</f>
        <v>12.96</v>
      </c>
      <c r="G25" s="56">
        <f t="shared" si="2"/>
        <v>207.36</v>
      </c>
      <c r="H25" s="57">
        <f>VLOOKUP(B25,'[1]Product by Part Number'!$A:$K,5,0)</f>
        <v>4.92</v>
      </c>
      <c r="I25" s="90">
        <f t="shared" si="3"/>
        <v>78.72</v>
      </c>
    </row>
    <row r="26" spans="2:11" s="53" customFormat="1" ht="27" x14ac:dyDescent="0.3">
      <c r="B26" s="79" t="s">
        <v>77</v>
      </c>
      <c r="C26" s="54" t="str">
        <f>VLOOKUP(B26,'[1]Product by Part Number'!$A:$K,2,0)</f>
        <v xml:space="preserve">CAT D5 (3CR) CAT D6N LGP (PBA) CAT D6N LGP (SGG) CAT D6T (MH7) CAT D7G (92V)          </v>
      </c>
      <c r="D26" s="54" t="str">
        <f>VLOOKUP(B26,'[1]Product by Part Number'!$A:$K,3,0)</f>
        <v>RETAINER</v>
      </c>
      <c r="E26" s="55">
        <f>VLOOKUP(B26,'[1]Product by Part Number'!$A:$K,11,0)</f>
        <v>18</v>
      </c>
      <c r="F26" s="56">
        <f>VLOOKUP(B26,'[1]Product by Part Number'!$A:$K,4,0)</f>
        <v>22.39</v>
      </c>
      <c r="G26" s="56">
        <f t="shared" si="2"/>
        <v>403.02</v>
      </c>
      <c r="H26" s="57">
        <f>VLOOKUP(B26,'[1]Product by Part Number'!$A:$K,5,0)</f>
        <v>8.51</v>
      </c>
      <c r="I26" s="90">
        <f t="shared" si="3"/>
        <v>153.18</v>
      </c>
    </row>
    <row r="27" spans="2:11" s="53" customFormat="1" x14ac:dyDescent="0.3">
      <c r="B27" s="79" t="s">
        <v>78</v>
      </c>
      <c r="C27" s="54" t="str">
        <f>VLOOKUP(B27,'[1]Product by Part Number'!$A:$K,2,0)</f>
        <v xml:space="preserve">CAT 329E L (ZCD)                  </v>
      </c>
      <c r="D27" s="54" t="str">
        <f>VLOOKUP(B27,'[1]Product by Part Number'!$A:$K,3,0)</f>
        <v>CARRIER BOLT</v>
      </c>
      <c r="E27" s="55">
        <f>VLOOKUP(B27,'[1]Product by Part Number'!$A:$K,11,0)</f>
        <v>4</v>
      </c>
      <c r="F27" s="56">
        <f>VLOOKUP(B27,'[1]Product by Part Number'!$A:$K,4,0)</f>
        <v>31.9</v>
      </c>
      <c r="G27" s="56">
        <f t="shared" si="2"/>
        <v>127.6</v>
      </c>
      <c r="H27" s="57">
        <f>VLOOKUP(B27,'[1]Product by Part Number'!$A:$K,5,0)</f>
        <v>15.95</v>
      </c>
      <c r="I27" s="90">
        <f t="shared" si="3"/>
        <v>63.8</v>
      </c>
    </row>
    <row r="28" spans="2:11" s="53" customFormat="1" ht="40.200000000000003" x14ac:dyDescent="0.3">
      <c r="B28" s="79" t="s">
        <v>79</v>
      </c>
      <c r="C28" s="54" t="str">
        <f>VLOOKUP(B28,'[1]Product by Part Number'!$A:$K,2,0)</f>
        <v xml:space="preserve">CAT 320E L (WBK) CAT 320 (HEX) CAT 320 (MYK) CAT 329E L (ZCD) CAT 329F L (ERL) CAT 330F L (MBX) CAT 330F L (HCK)      </v>
      </c>
      <c r="D28" s="54" t="str">
        <f>VLOOKUP(B28,'[1]Product by Part Number'!$A:$K,3,0)</f>
        <v>12V BATTERY 1000CCA</v>
      </c>
      <c r="E28" s="55">
        <f>VLOOKUP(B28,'[1]Product by Part Number'!$A:$K,11,0)</f>
        <v>26</v>
      </c>
      <c r="F28" s="56">
        <f>VLOOKUP(B28,'[1]Product by Part Number'!$A:$K,4,0)</f>
        <v>523.07000000000005</v>
      </c>
      <c r="G28" s="56">
        <f t="shared" si="2"/>
        <v>13599.820000000002</v>
      </c>
      <c r="H28" s="57">
        <f>VLOOKUP(B28,'[1]Product by Part Number'!$A:$K,5,0)</f>
        <v>132.13</v>
      </c>
      <c r="I28" s="90">
        <f t="shared" si="3"/>
        <v>3435.38</v>
      </c>
    </row>
    <row r="29" spans="2:11" s="53" customFormat="1" ht="40.200000000000003" x14ac:dyDescent="0.3">
      <c r="B29" s="79" t="s">
        <v>80</v>
      </c>
      <c r="C29" s="54" t="str">
        <f>VLOOKUP(B29,'[1]Product by Part Number'!$A:$K,2,0)</f>
        <v xml:space="preserve">CAT 329E L (ZCD) CAT 329F L (ERL) CAT 330F L (MBX) CAT 330F L (HCK) CAT 330 (LHW) CAT 330 (WCH)        </v>
      </c>
      <c r="D29" s="54" t="str">
        <f>VLOOKUP(B29,'[1]Product by Part Number'!$A:$K,3,0)</f>
        <v>FRONT IDLER</v>
      </c>
      <c r="E29" s="55">
        <f>VLOOKUP(B29,'[1]Product by Part Number'!$A:$K,11,0)</f>
        <v>32</v>
      </c>
      <c r="F29" s="56">
        <f>VLOOKUP(B29,'[1]Product by Part Number'!$A:$K,4,0)</f>
        <v>3159.07</v>
      </c>
      <c r="G29" s="56">
        <f t="shared" si="2"/>
        <v>101090.24000000001</v>
      </c>
      <c r="H29" s="57">
        <f>VLOOKUP(B29,'[1]Product by Part Number'!$A:$K,5,0)</f>
        <v>1579.54</v>
      </c>
      <c r="I29" s="90">
        <f t="shared" si="3"/>
        <v>50545.279999999999</v>
      </c>
    </row>
    <row r="30" spans="2:11" s="53" customFormat="1" x14ac:dyDescent="0.3">
      <c r="B30" s="79" t="s">
        <v>81</v>
      </c>
      <c r="C30" s="54" t="str">
        <f>VLOOKUP(B30,'[1]Product by Part Number'!$A:$K,2,0)</f>
        <v xml:space="preserve">CAT D5 (3CR)                  </v>
      </c>
      <c r="D30" s="54" t="str">
        <f>VLOOKUP(B30,'[1]Product by Part Number'!$A:$K,3,0)</f>
        <v>FUEL WATER SEPARATOR</v>
      </c>
      <c r="E30" s="55">
        <f>VLOOKUP(B30,'[1]Product by Part Number'!$A:$K,11,0)</f>
        <v>20</v>
      </c>
      <c r="F30" s="56">
        <f>VLOOKUP(B30,'[1]Product by Part Number'!$A:$K,4,0)</f>
        <v>52.82</v>
      </c>
      <c r="G30" s="56">
        <f t="shared" si="2"/>
        <v>1056.4000000000001</v>
      </c>
      <c r="H30" s="57">
        <f>VLOOKUP(B30,'[1]Product by Part Number'!$A:$K,5,0)</f>
        <v>20.07</v>
      </c>
      <c r="I30" s="90">
        <f t="shared" si="3"/>
        <v>401.4</v>
      </c>
    </row>
    <row r="31" spans="2:11" s="53" customFormat="1" x14ac:dyDescent="0.3">
      <c r="B31" s="79" t="s">
        <v>82</v>
      </c>
      <c r="C31" s="54" t="str">
        <f>VLOOKUP(B31,'[1]Product by Part Number'!$A:$K,2,0)</f>
        <v xml:space="preserve">CAT D4 (66J)                  </v>
      </c>
      <c r="D31" s="54" t="str">
        <f>VLOOKUP(B31,'[1]Product by Part Number'!$A:$K,3,0)</f>
        <v>SINGLE FLANGE TRACK ROLLER</v>
      </c>
      <c r="E31" s="55">
        <f>VLOOKUP(B31,'[1]Product by Part Number'!$A:$K,11,0)</f>
        <v>4</v>
      </c>
      <c r="F31" s="56">
        <f>VLOOKUP(B31,'[1]Product by Part Number'!$A:$K,4,0)</f>
        <v>1023.71</v>
      </c>
      <c r="G31" s="56">
        <f t="shared" si="2"/>
        <v>4094.84</v>
      </c>
      <c r="H31" s="57">
        <f>VLOOKUP(B31,'[1]Product by Part Number'!$A:$K,5,0)</f>
        <v>511.86</v>
      </c>
      <c r="I31" s="90">
        <f t="shared" si="3"/>
        <v>2047.44</v>
      </c>
    </row>
    <row r="32" spans="2:11" s="53" customFormat="1" ht="27" x14ac:dyDescent="0.3">
      <c r="B32" s="79" t="s">
        <v>83</v>
      </c>
      <c r="C32" s="54" t="str">
        <f>VLOOKUP(B32,'[1]Product by Part Number'!$A:$K,2,0)</f>
        <v xml:space="preserve">CAT D4 (66J)                  </v>
      </c>
      <c r="D32" s="54" t="str">
        <f>VLOOKUP(B32,'[1]Product by Part Number'!$A:$K,3,0)</f>
        <v>DOUBLE FLANGE TRACK ROLLER (GUIDE AR)*</v>
      </c>
      <c r="E32" s="55">
        <f>VLOOKUP(B32,'[1]Product by Part Number'!$A:$K,11,0)</f>
        <v>6</v>
      </c>
      <c r="F32" s="56">
        <f>VLOOKUP(B32,'[1]Product by Part Number'!$A:$K,4,0)</f>
        <v>1246.45</v>
      </c>
      <c r="G32" s="56">
        <f t="shared" si="2"/>
        <v>7478.7000000000007</v>
      </c>
      <c r="H32" s="57">
        <f>VLOOKUP(B32,'[1]Product by Part Number'!$A:$K,5,0)</f>
        <v>623.23</v>
      </c>
      <c r="I32" s="90">
        <f t="shared" si="3"/>
        <v>3739.38</v>
      </c>
    </row>
    <row r="33" spans="2:9" s="53" customFormat="1" x14ac:dyDescent="0.3">
      <c r="B33" s="79" t="s">
        <v>84</v>
      </c>
      <c r="C33" s="54" t="str">
        <f>VLOOKUP(B33,'[1]Product by Part Number'!$A:$K,2,0)</f>
        <v xml:space="preserve">CAT D5 (3CR) CAT 561N (CPH)                </v>
      </c>
      <c r="D33" s="54" t="str">
        <f>VLOOKUP(B33,'[1]Product by Part Number'!$A:$K,3,0)</f>
        <v>SINGLE FLANGE TRACK ROLLER</v>
      </c>
      <c r="E33" s="55">
        <f>VLOOKUP(B33,'[1]Product by Part Number'!$A:$K,11,0)</f>
        <v>102</v>
      </c>
      <c r="F33" s="56">
        <f>VLOOKUP(B33,'[1]Product by Part Number'!$A:$K,4,0)</f>
        <v>785.53</v>
      </c>
      <c r="G33" s="56">
        <f t="shared" si="2"/>
        <v>80124.06</v>
      </c>
      <c r="H33" s="57">
        <f>VLOOKUP(B33,'[1]Product by Part Number'!$A:$K,5,0)</f>
        <v>392.77</v>
      </c>
      <c r="I33" s="90">
        <f t="shared" si="3"/>
        <v>40062.54</v>
      </c>
    </row>
    <row r="34" spans="2:9" s="53" customFormat="1" x14ac:dyDescent="0.3">
      <c r="B34" s="79" t="s">
        <v>85</v>
      </c>
      <c r="C34" s="54" t="str">
        <f>VLOOKUP(B34,'[1]Product by Part Number'!$A:$K,2,0)</f>
        <v xml:space="preserve">CAT D5 (3CR) CAT 561N (CPH)                </v>
      </c>
      <c r="D34" s="54" t="str">
        <f>VLOOKUP(B34,'[1]Product by Part Number'!$A:$K,3,0)</f>
        <v>DOUBLE FLANGE TRACK ROLLER</v>
      </c>
      <c r="E34" s="55">
        <f>VLOOKUP(B34,'[1]Product by Part Number'!$A:$K,11,0)</f>
        <v>42</v>
      </c>
      <c r="F34" s="56">
        <f>VLOOKUP(B34,'[1]Product by Part Number'!$A:$K,4,0)</f>
        <v>651.61</v>
      </c>
      <c r="G34" s="56">
        <f t="shared" si="2"/>
        <v>27367.62</v>
      </c>
      <c r="H34" s="57">
        <f>VLOOKUP(B34,'[1]Product by Part Number'!$A:$K,5,0)</f>
        <v>325.81</v>
      </c>
      <c r="I34" s="90">
        <f t="shared" si="3"/>
        <v>13684.02</v>
      </c>
    </row>
    <row r="35" spans="2:9" s="53" customFormat="1" x14ac:dyDescent="0.3">
      <c r="B35" s="79" t="s">
        <v>86</v>
      </c>
      <c r="C35" s="54" t="str">
        <f>VLOOKUP(B35,'[1]Product by Part Number'!$A:$K,2,0)</f>
        <v xml:space="preserve">CAT D5 (3CR)                  </v>
      </c>
      <c r="D35" s="54" t="str">
        <f>VLOOKUP(B35,'[1]Product by Part Number'!$A:$K,3,0)</f>
        <v>FUEL INJECTOR</v>
      </c>
      <c r="E35" s="55">
        <f>VLOOKUP(B35,'[1]Product by Part Number'!$A:$K,11,0)</f>
        <v>12</v>
      </c>
      <c r="F35" s="56">
        <f>VLOOKUP(B35,'[1]Product by Part Number'!$A:$K,4,0)</f>
        <v>914.54</v>
      </c>
      <c r="G35" s="56">
        <f t="shared" si="2"/>
        <v>10974.48</v>
      </c>
      <c r="H35" s="57">
        <f>VLOOKUP(B35,'[1]Product by Part Number'!$A:$K,5,0)</f>
        <v>457.27</v>
      </c>
      <c r="I35" s="90">
        <f t="shared" si="3"/>
        <v>5487.24</v>
      </c>
    </row>
    <row r="36" spans="2:9" s="53" customFormat="1" x14ac:dyDescent="0.3">
      <c r="B36" s="79" t="s">
        <v>87</v>
      </c>
      <c r="C36" s="54" t="str">
        <f>VLOOKUP(B36,'[1]Product by Part Number'!$A:$K,2,0)</f>
        <v xml:space="preserve">CAT 320E L (WBK) CAT 320F L (YBM)                </v>
      </c>
      <c r="D36" s="54" t="str">
        <f>VLOOKUP(B36,'[1]Product by Part Number'!$A:$K,3,0)</f>
        <v>SECONDARY AIR FILTER ELEMENT</v>
      </c>
      <c r="E36" s="55">
        <f>VLOOKUP(B36,'[1]Product by Part Number'!$A:$K,11,0)</f>
        <v>9</v>
      </c>
      <c r="F36" s="56">
        <f>VLOOKUP(B36,'[1]Product by Part Number'!$A:$K,4,0)</f>
        <v>97.91</v>
      </c>
      <c r="G36" s="56">
        <f t="shared" si="2"/>
        <v>881.18999999999994</v>
      </c>
      <c r="H36" s="57">
        <f>VLOOKUP(B36,'[1]Product by Part Number'!$A:$K,5,0)</f>
        <v>37.21</v>
      </c>
      <c r="I36" s="90">
        <f t="shared" si="3"/>
        <v>334.89</v>
      </c>
    </row>
    <row r="37" spans="2:9" s="53" customFormat="1" x14ac:dyDescent="0.3">
      <c r="B37" s="79" t="s">
        <v>88</v>
      </c>
      <c r="C37" s="54" t="str">
        <f>VLOOKUP(B37,'[1]Product by Part Number'!$A:$K,2,0)</f>
        <v xml:space="preserve">CAT 320E L (WBK) CAT 320F L (YBM)                </v>
      </c>
      <c r="D37" s="54" t="str">
        <f>VLOOKUP(B37,'[1]Product by Part Number'!$A:$K,3,0)</f>
        <v>PRIMARY AIR FILTER ELEMENT</v>
      </c>
      <c r="E37" s="55">
        <f>VLOOKUP(B37,'[1]Product by Part Number'!$A:$K,11,0)</f>
        <v>9</v>
      </c>
      <c r="F37" s="56">
        <f>VLOOKUP(B37,'[1]Product by Part Number'!$A:$K,4,0)</f>
        <v>120.35</v>
      </c>
      <c r="G37" s="56">
        <f t="shared" si="2"/>
        <v>1083.1499999999999</v>
      </c>
      <c r="H37" s="57">
        <f>VLOOKUP(B37,'[1]Product by Part Number'!$A:$K,5,0)</f>
        <v>45.73</v>
      </c>
      <c r="I37" s="90">
        <f t="shared" si="3"/>
        <v>411.57</v>
      </c>
    </row>
    <row r="38" spans="2:9" s="53" customFormat="1" x14ac:dyDescent="0.3">
      <c r="B38" s="79" t="s">
        <v>89</v>
      </c>
      <c r="C38" s="54" t="str">
        <f>VLOOKUP(B38,'[1]Product by Part Number'!$A:$K,2,0)</f>
        <v xml:space="preserve">CAT D5 (3CR)                  </v>
      </c>
      <c r="D38" s="54" t="str">
        <f>VLOOKUP(B38,'[1]Product by Part Number'!$A:$K,3,0)</f>
        <v>CAMSHAFT</v>
      </c>
      <c r="E38" s="55">
        <f>VLOOKUP(B38,'[1]Product by Part Number'!$A:$K,11,0)</f>
        <v>2</v>
      </c>
      <c r="F38" s="56">
        <f>VLOOKUP(B38,'[1]Product by Part Number'!$A:$K,4,0)</f>
        <v>4368</v>
      </c>
      <c r="G38" s="56">
        <f t="shared" si="2"/>
        <v>8736</v>
      </c>
      <c r="H38" s="57">
        <f>VLOOKUP(B38,'[1]Product by Part Number'!$A:$K,5,0)</f>
        <v>2184</v>
      </c>
      <c r="I38" s="90">
        <f t="shared" si="3"/>
        <v>4368</v>
      </c>
    </row>
    <row r="39" spans="2:9" s="53" customFormat="1" x14ac:dyDescent="0.3">
      <c r="B39" s="79" t="s">
        <v>90</v>
      </c>
      <c r="C39" s="54" t="str">
        <f>VLOOKUP(B39,'[1]Product by Part Number'!$A:$K,2,0)</f>
        <v xml:space="preserve">CAT 303.5E                  </v>
      </c>
      <c r="D39" s="54" t="str">
        <f>VLOOKUP(B39,'[1]Product by Part Number'!$A:$K,3,0)</f>
        <v>PRIMARY AIR FILTER ELEMENT</v>
      </c>
      <c r="E39" s="55">
        <f>VLOOKUP(B39,'[1]Product by Part Number'!$A:$K,11,0)</f>
        <v>3</v>
      </c>
      <c r="F39" s="56">
        <f>VLOOKUP(B39,'[1]Product by Part Number'!$A:$K,4,0)</f>
        <v>67.33</v>
      </c>
      <c r="G39" s="56">
        <f t="shared" si="2"/>
        <v>201.99</v>
      </c>
      <c r="H39" s="57">
        <f>VLOOKUP(B39,'[1]Product by Part Number'!$A:$K,5,0)</f>
        <v>25.59</v>
      </c>
      <c r="I39" s="90">
        <f t="shared" si="3"/>
        <v>76.77</v>
      </c>
    </row>
    <row r="40" spans="2:9" s="53" customFormat="1" x14ac:dyDescent="0.3">
      <c r="B40" s="79" t="s">
        <v>91</v>
      </c>
      <c r="C40" s="54" t="str">
        <f>VLOOKUP(B40,'[1]Product by Part Number'!$A:$K,2,0)</f>
        <v xml:space="preserve">CAT 336F L (RKB)                  </v>
      </c>
      <c r="D40" s="54" t="str">
        <f>VLOOKUP(B40,'[1]Product by Part Number'!$A:$K,3,0)</f>
        <v>FRONT IDLER</v>
      </c>
      <c r="E40" s="55">
        <f>VLOOKUP(B40,'[1]Product by Part Number'!$A:$K,11,0)</f>
        <v>2</v>
      </c>
      <c r="F40" s="56">
        <f>VLOOKUP(B40,'[1]Product by Part Number'!$A:$K,4,0)</f>
        <v>4335.3599999999997</v>
      </c>
      <c r="G40" s="56">
        <f t="shared" si="2"/>
        <v>8670.7199999999993</v>
      </c>
      <c r="H40" s="57">
        <f>VLOOKUP(B40,'[1]Product by Part Number'!$A:$K,5,0)</f>
        <v>2167.6799999999998</v>
      </c>
      <c r="I40" s="90">
        <f t="shared" si="3"/>
        <v>4335.3599999999997</v>
      </c>
    </row>
    <row r="41" spans="2:9" s="53" customFormat="1" x14ac:dyDescent="0.3">
      <c r="B41" s="79" t="s">
        <v>92</v>
      </c>
      <c r="C41" s="54" t="str">
        <f>VLOOKUP(B41,'[1]Product by Part Number'!$A:$K,2,0)</f>
        <v xml:space="preserve">CAT D5 (3CR)                  </v>
      </c>
      <c r="D41" s="54" t="str">
        <f>VLOOKUP(B41,'[1]Product by Part Number'!$A:$K,3,0)</f>
        <v>RIPPER PIN</v>
      </c>
      <c r="E41" s="55">
        <f>VLOOKUP(B41,'[1]Product by Part Number'!$A:$K,11,0)</f>
        <v>2</v>
      </c>
      <c r="F41" s="56">
        <f>VLOOKUP(B41,'[1]Product by Part Number'!$A:$K,4,0)</f>
        <v>10.35</v>
      </c>
      <c r="G41" s="56">
        <f t="shared" si="2"/>
        <v>20.7</v>
      </c>
      <c r="H41" s="57">
        <f>VLOOKUP(B41,'[1]Product by Part Number'!$A:$K,5,0)</f>
        <v>3.93</v>
      </c>
      <c r="I41" s="90">
        <f t="shared" si="3"/>
        <v>7.86</v>
      </c>
    </row>
    <row r="42" spans="2:9" s="53" customFormat="1" x14ac:dyDescent="0.3">
      <c r="B42" s="79" t="s">
        <v>93</v>
      </c>
      <c r="C42" s="54" t="str">
        <f>VLOOKUP(B42,'[1]Product by Part Number'!$A:$K,2,0)</f>
        <v xml:space="preserve">CAT 303.5E                  </v>
      </c>
      <c r="D42" s="54" t="str">
        <f>VLOOKUP(B42,'[1]Product by Part Number'!$A:$K,3,0)</f>
        <v>SECONDARY AIR FILTER ELEMENT</v>
      </c>
      <c r="E42" s="55">
        <f>VLOOKUP(B42,'[1]Product by Part Number'!$A:$K,11,0)</f>
        <v>3</v>
      </c>
      <c r="F42" s="56">
        <f>VLOOKUP(B42,'[1]Product by Part Number'!$A:$K,4,0)</f>
        <v>61.69</v>
      </c>
      <c r="G42" s="56">
        <f t="shared" si="2"/>
        <v>185.07</v>
      </c>
      <c r="H42" s="57">
        <f>VLOOKUP(B42,'[1]Product by Part Number'!$A:$K,5,0)</f>
        <v>23.44</v>
      </c>
      <c r="I42" s="90">
        <f t="shared" si="3"/>
        <v>70.319999999999993</v>
      </c>
    </row>
    <row r="43" spans="2:9" s="53" customFormat="1" x14ac:dyDescent="0.3">
      <c r="B43" s="79" t="s">
        <v>94</v>
      </c>
      <c r="C43" s="54" t="str">
        <f>VLOOKUP(B43,'[1]Product by Part Number'!$A:$K,2,0)</f>
        <v xml:space="preserve">CAT 336F L (RKB)                  </v>
      </c>
      <c r="D43" s="54" t="str">
        <f>VLOOKUP(B43,'[1]Product by Part Number'!$A:$K,3,0)</f>
        <v>PRIMARY AIR FILTER ELEMENT</v>
      </c>
      <c r="E43" s="55">
        <f>VLOOKUP(B43,'[1]Product by Part Number'!$A:$K,11,0)</f>
        <v>3</v>
      </c>
      <c r="F43" s="56">
        <f>VLOOKUP(B43,'[1]Product by Part Number'!$A:$K,4,0)</f>
        <v>201.81</v>
      </c>
      <c r="G43" s="56">
        <f t="shared" si="2"/>
        <v>605.43000000000006</v>
      </c>
      <c r="H43" s="57">
        <f>VLOOKUP(B43,'[1]Product by Part Number'!$A:$K,5,0)</f>
        <v>76.69</v>
      </c>
      <c r="I43" s="90">
        <f t="shared" si="3"/>
        <v>230.07</v>
      </c>
    </row>
    <row r="44" spans="2:9" s="53" customFormat="1" x14ac:dyDescent="0.3">
      <c r="B44" s="79" t="s">
        <v>95</v>
      </c>
      <c r="C44" s="54" t="str">
        <f>VLOOKUP(B44,'[1]Product by Part Number'!$A:$K,2,0)</f>
        <v xml:space="preserve">CAT 336F L (RKB)                  </v>
      </c>
      <c r="D44" s="54" t="str">
        <f>VLOOKUP(B44,'[1]Product by Part Number'!$A:$K,3,0)</f>
        <v>SECONDARY AIR FILTER ELEMENT</v>
      </c>
      <c r="E44" s="55">
        <f>VLOOKUP(B44,'[1]Product by Part Number'!$A:$K,11,0)</f>
        <v>3</v>
      </c>
      <c r="F44" s="56">
        <f>VLOOKUP(B44,'[1]Product by Part Number'!$A:$K,4,0)</f>
        <v>119.45</v>
      </c>
      <c r="G44" s="56">
        <f t="shared" si="2"/>
        <v>358.35</v>
      </c>
      <c r="H44" s="57">
        <f>VLOOKUP(B44,'[1]Product by Part Number'!$A:$K,5,0)</f>
        <v>45.39</v>
      </c>
      <c r="I44" s="90">
        <f t="shared" si="3"/>
        <v>136.16999999999999</v>
      </c>
    </row>
    <row r="45" spans="2:9" s="53" customFormat="1" x14ac:dyDescent="0.3">
      <c r="B45" s="79" t="s">
        <v>96</v>
      </c>
      <c r="C45" s="54" t="str">
        <f>VLOOKUP(B45,'[1]Product by Part Number'!$A:$K,2,0)</f>
        <v xml:space="preserve">CAT 561N (CPH)                  </v>
      </c>
      <c r="D45" s="54" t="str">
        <f>VLOOKUP(B45,'[1]Product by Part Number'!$A:$K,3,0)</f>
        <v>FUEL WATER SEPARATOR FILTER</v>
      </c>
      <c r="E45" s="55">
        <f>VLOOKUP(B45,'[1]Product by Part Number'!$A:$K,11,0)</f>
        <v>50</v>
      </c>
      <c r="F45" s="56">
        <f>VLOOKUP(B45,'[1]Product by Part Number'!$A:$K,4,0)</f>
        <v>60.23</v>
      </c>
      <c r="G45" s="56">
        <f t="shared" si="2"/>
        <v>3011.5</v>
      </c>
      <c r="H45" s="57">
        <f>VLOOKUP(B45,'[1]Product by Part Number'!$A:$K,5,0)</f>
        <v>22.89</v>
      </c>
      <c r="I45" s="90">
        <f t="shared" si="3"/>
        <v>1144.5</v>
      </c>
    </row>
    <row r="46" spans="2:9" s="53" customFormat="1" x14ac:dyDescent="0.3">
      <c r="B46" s="79" t="s">
        <v>97</v>
      </c>
      <c r="C46" s="54" t="str">
        <f>VLOOKUP(B46,'[1]Product by Part Number'!$A:$K,2,0)</f>
        <v xml:space="preserve">CAT D6N LGP (PBA)                  </v>
      </c>
      <c r="D46" s="54" t="str">
        <f>VLOOKUP(B46,'[1]Product by Part Number'!$A:$K,3,0)</f>
        <v>PRIMARY CABIN AIR FILTER ELEMENT</v>
      </c>
      <c r="E46" s="55">
        <f>VLOOKUP(B46,'[1]Product by Part Number'!$A:$K,11,0)</f>
        <v>6</v>
      </c>
      <c r="F46" s="56">
        <f>VLOOKUP(B46,'[1]Product by Part Number'!$A:$K,4,0)</f>
        <v>112.48</v>
      </c>
      <c r="G46" s="56">
        <f t="shared" si="2"/>
        <v>674.88</v>
      </c>
      <c r="H46" s="57">
        <f>VLOOKUP(B46,'[1]Product by Part Number'!$A:$K,5,0)</f>
        <v>42.74</v>
      </c>
      <c r="I46" s="90">
        <f t="shared" si="3"/>
        <v>256.44</v>
      </c>
    </row>
    <row r="47" spans="2:9" s="53" customFormat="1" x14ac:dyDescent="0.3">
      <c r="B47" s="79" t="s">
        <v>98</v>
      </c>
      <c r="C47" s="54" t="str">
        <f>VLOOKUP(B47,'[1]Product by Part Number'!$A:$K,2,0)</f>
        <v xml:space="preserve">CAT D6 (RDC)                  </v>
      </c>
      <c r="D47" s="54" t="str">
        <f>VLOOKUP(B47,'[1]Product by Part Number'!$A:$K,3,0)</f>
        <v>FLAT WASHER</v>
      </c>
      <c r="E47" s="55">
        <f>VLOOKUP(B47,'[1]Product by Part Number'!$A:$K,11,0)</f>
        <v>16</v>
      </c>
      <c r="F47" s="56">
        <f>VLOOKUP(B47,'[1]Product by Part Number'!$A:$K,4,0)</f>
        <v>8.75</v>
      </c>
      <c r="G47" s="56">
        <f t="shared" si="2"/>
        <v>140</v>
      </c>
      <c r="H47" s="57">
        <f>VLOOKUP(B47,'[1]Product by Part Number'!$A:$K,5,0)</f>
        <v>4.38</v>
      </c>
      <c r="I47" s="90">
        <f t="shared" si="3"/>
        <v>70.08</v>
      </c>
    </row>
    <row r="48" spans="2:9" s="53" customFormat="1" x14ac:dyDescent="0.3">
      <c r="B48" s="79" t="s">
        <v>99</v>
      </c>
      <c r="C48" s="54" t="str">
        <f>VLOOKUP(B48,'[1]Product by Part Number'!$A:$K,2,0)</f>
        <v xml:space="preserve">CAT 303.5E                  </v>
      </c>
      <c r="D48" s="54" t="str">
        <f>VLOOKUP(B48,'[1]Product by Part Number'!$A:$K,3,0)</f>
        <v>12V BATTERY - 650CCA</v>
      </c>
      <c r="E48" s="55">
        <f>VLOOKUP(B48,'[1]Product by Part Number'!$A:$K,11,0)</f>
        <v>1</v>
      </c>
      <c r="F48" s="56">
        <f>VLOOKUP(B48,'[1]Product by Part Number'!$A:$K,4,0)</f>
        <v>356.29</v>
      </c>
      <c r="G48" s="56">
        <f t="shared" si="2"/>
        <v>356.29</v>
      </c>
      <c r="H48" s="57">
        <f>VLOOKUP(B48,'[1]Product by Part Number'!$A:$K,5,0)</f>
        <v>160.66999999999999</v>
      </c>
      <c r="I48" s="90">
        <f t="shared" si="3"/>
        <v>160.66999999999999</v>
      </c>
    </row>
    <row r="49" spans="2:9" s="53" customFormat="1" x14ac:dyDescent="0.3">
      <c r="B49" s="79" t="s">
        <v>100</v>
      </c>
      <c r="C49" s="54" t="str">
        <f>VLOOKUP(B49,'[1]Product by Part Number'!$A:$K,2,0)</f>
        <v xml:space="preserve">CAT D3 (1PJ) CAT D7G (92V)                </v>
      </c>
      <c r="D49" s="54" t="str">
        <f>VLOOKUP(B49,'[1]Product by Part Number'!$A:$K,3,0)</f>
        <v>12V BATTERY - 1125CCA</v>
      </c>
      <c r="E49" s="55">
        <f>VLOOKUP(B49,'[1]Product by Part Number'!$A:$K,11,0)</f>
        <v>2</v>
      </c>
      <c r="F49" s="56">
        <f>VLOOKUP(B49,'[1]Product by Part Number'!$A:$K,4,0)</f>
        <v>726.37</v>
      </c>
      <c r="G49" s="56">
        <f t="shared" si="2"/>
        <v>1452.74</v>
      </c>
      <c r="H49" s="57">
        <f>VLOOKUP(B49,'[1]Product by Part Number'!$A:$K,5,0)</f>
        <v>292.44</v>
      </c>
      <c r="I49" s="90">
        <f t="shared" si="3"/>
        <v>584.88</v>
      </c>
    </row>
    <row r="50" spans="2:9" s="53" customFormat="1" x14ac:dyDescent="0.3">
      <c r="B50" s="79" t="s">
        <v>101</v>
      </c>
      <c r="C50" s="54" t="str">
        <f>VLOOKUP(B50,'[1]Product by Part Number'!$A:$K,2,0)</f>
        <v xml:space="preserve">CAT D3 (1PJ)                  </v>
      </c>
      <c r="D50" s="54" t="str">
        <f>VLOOKUP(B50,'[1]Product by Part Number'!$A:$K,3,0)</f>
        <v>TRACK LINK ASSEMBLY</v>
      </c>
      <c r="E50" s="55">
        <f>VLOOKUP(B50,'[1]Product by Part Number'!$A:$K,11,0)</f>
        <v>2</v>
      </c>
      <c r="F50" s="56">
        <f>VLOOKUP(B50,'[1]Product by Part Number'!$A:$K,4,0)</f>
        <v>3975.66</v>
      </c>
      <c r="G50" s="56">
        <f t="shared" si="2"/>
        <v>7951.32</v>
      </c>
      <c r="H50" s="57">
        <f>VLOOKUP(B50,'[1]Product by Part Number'!$A:$K,5,0)</f>
        <v>1987.83</v>
      </c>
      <c r="I50" s="90">
        <f t="shared" si="3"/>
        <v>3975.66</v>
      </c>
    </row>
    <row r="51" spans="2:9" s="53" customFormat="1" x14ac:dyDescent="0.3">
      <c r="B51" s="79" t="s">
        <v>102</v>
      </c>
      <c r="C51" s="54" t="str">
        <f>VLOOKUP(B51,'[1]Product by Part Number'!$A:$K,2,0)</f>
        <v xml:space="preserve">CAT 303.5E                  </v>
      </c>
      <c r="D51" s="54" t="str">
        <f>VLOOKUP(B51,'[1]Product by Part Number'!$A:$K,3,0)</f>
        <v xml:space="preserve">FUEL WATER SEPARATOR </v>
      </c>
      <c r="E51" s="55">
        <f>VLOOKUP(B51,'[1]Product by Part Number'!$A:$K,11,0)</f>
        <v>10</v>
      </c>
      <c r="F51" s="56">
        <f>VLOOKUP(B51,'[1]Product by Part Number'!$A:$K,4,0)</f>
        <v>57.5</v>
      </c>
      <c r="G51" s="56">
        <f t="shared" si="2"/>
        <v>575</v>
      </c>
      <c r="H51" s="57">
        <f>VLOOKUP(B51,'[1]Product by Part Number'!$A:$K,5,0)</f>
        <v>21.85</v>
      </c>
      <c r="I51" s="90">
        <f t="shared" si="3"/>
        <v>218.5</v>
      </c>
    </row>
    <row r="52" spans="2:9" s="53" customFormat="1" x14ac:dyDescent="0.3">
      <c r="B52" s="79" t="s">
        <v>103</v>
      </c>
      <c r="C52" s="54" t="str">
        <f>VLOOKUP(B52,'[1]Product by Part Number'!$A:$K,2,0)</f>
        <v xml:space="preserve">CAT D5 (3CR)                  </v>
      </c>
      <c r="D52" s="54" t="str">
        <f>VLOOKUP(B52,'[1]Product by Part Number'!$A:$K,3,0)</f>
        <v>CYLINDER HEAD</v>
      </c>
      <c r="E52" s="55">
        <f>VLOOKUP(B52,'[1]Product by Part Number'!$A:$K,11,0)</f>
        <v>2</v>
      </c>
      <c r="F52" s="56">
        <f>VLOOKUP(B52,'[1]Product by Part Number'!$A:$K,4,0)</f>
        <v>9139.2999999999993</v>
      </c>
      <c r="G52" s="56">
        <f t="shared" si="2"/>
        <v>18278.599999999999</v>
      </c>
      <c r="H52" s="57">
        <f>VLOOKUP(B52,'[1]Product by Part Number'!$A:$K,5,0)</f>
        <v>4569.6499999999996</v>
      </c>
      <c r="I52" s="90">
        <f t="shared" si="3"/>
        <v>9139.2999999999993</v>
      </c>
    </row>
    <row r="53" spans="2:9" s="53" customFormat="1" x14ac:dyDescent="0.3">
      <c r="B53" s="79" t="s">
        <v>104</v>
      </c>
      <c r="C53" s="54" t="str">
        <f>VLOOKUP(B53,'[1]Product by Part Number'!$A:$K,2,0)</f>
        <v xml:space="preserve">CAT D4 (66J)                  </v>
      </c>
      <c r="D53" s="54" t="str">
        <f>VLOOKUP(B53,'[1]Product by Part Number'!$A:$K,3,0)</f>
        <v>HYDRAULIC OIL FILTER</v>
      </c>
      <c r="E53" s="55">
        <f>VLOOKUP(B53,'[1]Product by Part Number'!$A:$K,11,0)</f>
        <v>5</v>
      </c>
      <c r="F53" s="56">
        <f>VLOOKUP(B53,'[1]Product by Part Number'!$A:$K,4,0)</f>
        <v>703.78</v>
      </c>
      <c r="G53" s="56">
        <f t="shared" si="2"/>
        <v>3518.8999999999996</v>
      </c>
      <c r="H53" s="57">
        <f>VLOOKUP(B53,'[1]Product by Part Number'!$A:$K,5,0)</f>
        <v>267.44</v>
      </c>
      <c r="I53" s="90">
        <f t="shared" si="3"/>
        <v>1337.2</v>
      </c>
    </row>
    <row r="54" spans="2:9" s="53" customFormat="1" x14ac:dyDescent="0.3">
      <c r="B54" s="79" t="s">
        <v>105</v>
      </c>
      <c r="C54" s="54" t="str">
        <f>VLOOKUP(B54,'[1]Product by Part Number'!$A:$K,2,0)</f>
        <v xml:space="preserve">CAT D6T (MH7)                  </v>
      </c>
      <c r="D54" s="54" t="str">
        <f>VLOOKUP(B54,'[1]Product by Part Number'!$A:$K,3,0)</f>
        <v>SPROCKET SEGMENT</v>
      </c>
      <c r="E54" s="55">
        <f>VLOOKUP(B54,'[1]Product by Part Number'!$A:$K,11,0)</f>
        <v>10</v>
      </c>
      <c r="F54" s="56">
        <f>VLOOKUP(B54,'[1]Product by Part Number'!$A:$K,4,0)</f>
        <v>292.60000000000002</v>
      </c>
      <c r="G54" s="56">
        <f t="shared" si="2"/>
        <v>2926</v>
      </c>
      <c r="H54" s="57">
        <f>VLOOKUP(B54,'[1]Product by Part Number'!$A:$K,5,0)</f>
        <v>146.30000000000001</v>
      </c>
      <c r="I54" s="90">
        <f t="shared" si="3"/>
        <v>1463</v>
      </c>
    </row>
    <row r="55" spans="2:9" s="53" customFormat="1" x14ac:dyDescent="0.3">
      <c r="B55" s="79" t="s">
        <v>106</v>
      </c>
      <c r="C55" s="54" t="str">
        <f>VLOOKUP(B55,'[1]Product by Part Number'!$A:$K,2,0)</f>
        <v xml:space="preserve">CAT D4 (66J)                  </v>
      </c>
      <c r="D55" s="54" t="str">
        <f>VLOOKUP(B55,'[1]Product by Part Number'!$A:$K,3,0)</f>
        <v>TRACK SHOE SINGLE GROUSER 860MM</v>
      </c>
      <c r="E55" s="55">
        <f>VLOOKUP(B55,'[1]Product by Part Number'!$A:$K,11,0)</f>
        <v>90</v>
      </c>
      <c r="F55" s="56">
        <f>VLOOKUP(B55,'[1]Product by Part Number'!$A:$K,4,0)</f>
        <v>188.07</v>
      </c>
      <c r="G55" s="56">
        <f t="shared" si="2"/>
        <v>16926.3</v>
      </c>
      <c r="H55" s="57">
        <f>VLOOKUP(B55,'[1]Product by Part Number'!$A:$K,5,0)</f>
        <v>94.04</v>
      </c>
      <c r="I55" s="90">
        <f t="shared" si="3"/>
        <v>8463.6</v>
      </c>
    </row>
    <row r="56" spans="2:9" s="53" customFormat="1" x14ac:dyDescent="0.3">
      <c r="B56" s="79" t="s">
        <v>107</v>
      </c>
      <c r="C56" s="54" t="str">
        <f>VLOOKUP(B56,'[1]Product by Part Number'!$A:$K,2,0)</f>
        <v xml:space="preserve">CAT D4 (66J)                  </v>
      </c>
      <c r="D56" s="54" t="str">
        <f>VLOOKUP(B56,'[1]Product by Part Number'!$A:$K,3,0)</f>
        <v>TRACK SHOE MASTER</v>
      </c>
      <c r="E56" s="55">
        <f>VLOOKUP(B56,'[1]Product by Part Number'!$A:$K,11,0)</f>
        <v>2</v>
      </c>
      <c r="F56" s="56">
        <f>VLOOKUP(B56,'[1]Product by Part Number'!$A:$K,4,0)</f>
        <v>200.07</v>
      </c>
      <c r="G56" s="56">
        <f t="shared" si="2"/>
        <v>400.14</v>
      </c>
      <c r="H56" s="57">
        <f>VLOOKUP(B56,'[1]Product by Part Number'!$A:$K,5,0)</f>
        <v>100.04</v>
      </c>
      <c r="I56" s="90">
        <f t="shared" si="3"/>
        <v>200.08</v>
      </c>
    </row>
    <row r="57" spans="2:9" s="53" customFormat="1" x14ac:dyDescent="0.3">
      <c r="B57" s="79" t="s">
        <v>108</v>
      </c>
      <c r="C57" s="54" t="str">
        <f>VLOOKUP(B57,'[1]Product by Part Number'!$A:$K,2,0)</f>
        <v xml:space="preserve">CAT 561N (CPH)                  </v>
      </c>
      <c r="D57" s="54" t="str">
        <f>VLOOKUP(B57,'[1]Product by Part Number'!$A:$K,3,0)</f>
        <v>INJECTROR</v>
      </c>
      <c r="E57" s="55">
        <f>VLOOKUP(B57,'[1]Product by Part Number'!$A:$K,11,0)</f>
        <v>30</v>
      </c>
      <c r="F57" s="56">
        <f>VLOOKUP(B57,'[1]Product by Part Number'!$A:$K,4,0)</f>
        <v>1817.71</v>
      </c>
      <c r="G57" s="56">
        <f t="shared" si="2"/>
        <v>54531.3</v>
      </c>
      <c r="H57" s="57">
        <f>VLOOKUP(B57,'[1]Product by Part Number'!$A:$K,5,0)</f>
        <v>908.86</v>
      </c>
      <c r="I57" s="90">
        <f t="shared" si="3"/>
        <v>27265.8</v>
      </c>
    </row>
    <row r="58" spans="2:9" s="53" customFormat="1" ht="40.200000000000003" x14ac:dyDescent="0.3">
      <c r="B58" s="79" t="s">
        <v>109</v>
      </c>
      <c r="C58" s="54" t="str">
        <f>VLOOKUP(B58,'[1]Product by Part Number'!$A:$K,2,0)</f>
        <v xml:space="preserve">CAT 320E L (WBK) CAT 320F L (YBM) CAT 329E L (ZCD) CAT 329F L (ERL) CAT 330F L (MBX) CAT 330F L (HCK) CAT 336F L (RKB)      </v>
      </c>
      <c r="D58" s="54" t="str">
        <f>VLOOKUP(B58,'[1]Product by Part Number'!$A:$K,3,0)</f>
        <v xml:space="preserve">HYDRAULIC OIL FILTER ELEMENT </v>
      </c>
      <c r="E58" s="55">
        <f>VLOOKUP(B58,'[1]Product by Part Number'!$A:$K,11,0)</f>
        <v>60</v>
      </c>
      <c r="F58" s="56">
        <f>VLOOKUP(B58,'[1]Product by Part Number'!$A:$K,4,0)</f>
        <v>229</v>
      </c>
      <c r="G58" s="56">
        <f t="shared" si="2"/>
        <v>13740</v>
      </c>
      <c r="H58" s="57">
        <f>VLOOKUP(B58,'[1]Product by Part Number'!$A:$K,5,0)</f>
        <v>87.02</v>
      </c>
      <c r="I58" s="90">
        <f t="shared" si="3"/>
        <v>5221.2</v>
      </c>
    </row>
    <row r="59" spans="2:9" s="53" customFormat="1" x14ac:dyDescent="0.3">
      <c r="B59" s="79" t="s">
        <v>110</v>
      </c>
      <c r="C59" s="54" t="str">
        <f>VLOOKUP(B59,'[1]Product by Part Number'!$A:$K,2,0)</f>
        <v xml:space="preserve">CAT 561N (CPH)                  </v>
      </c>
      <c r="D59" s="54" t="str">
        <f>VLOOKUP(B59,'[1]Product by Part Number'!$A:$K,3,0)</f>
        <v>TURBOCHARGER</v>
      </c>
      <c r="E59" s="55">
        <f>VLOOKUP(B59,'[1]Product by Part Number'!$A:$K,11,0)</f>
        <v>5</v>
      </c>
      <c r="F59" s="56">
        <f>VLOOKUP(B59,'[1]Product by Part Number'!$A:$K,4,0)</f>
        <v>5839.53</v>
      </c>
      <c r="G59" s="56">
        <f t="shared" si="2"/>
        <v>29197.649999999998</v>
      </c>
      <c r="H59" s="57">
        <f>VLOOKUP(B59,'[1]Product by Part Number'!$A:$K,5,0)</f>
        <v>2919.77</v>
      </c>
      <c r="I59" s="90">
        <f t="shared" si="3"/>
        <v>14598.85</v>
      </c>
    </row>
    <row r="60" spans="2:9" s="53" customFormat="1" x14ac:dyDescent="0.3">
      <c r="B60" s="79" t="s">
        <v>111</v>
      </c>
      <c r="C60" s="54" t="str">
        <f>VLOOKUP(B60,'[1]Product by Part Number'!$A:$K,2,0)</f>
        <v xml:space="preserve">CAT D6N LGP (GHS) CAT D6N LGP (SGG)                </v>
      </c>
      <c r="D60" s="54" t="str">
        <f>VLOOKUP(B60,'[1]Product by Part Number'!$A:$K,3,0)</f>
        <v xml:space="preserve">TRACK IDLER </v>
      </c>
      <c r="E60" s="55">
        <f>VLOOKUP(B60,'[1]Product by Part Number'!$A:$K,11,0)</f>
        <v>12</v>
      </c>
      <c r="F60" s="56">
        <f>VLOOKUP(B60,'[1]Product by Part Number'!$A:$K,4,0)</f>
        <v>2878.82</v>
      </c>
      <c r="G60" s="56">
        <f t="shared" si="2"/>
        <v>34545.840000000004</v>
      </c>
      <c r="H60" s="57">
        <f>VLOOKUP(B60,'[1]Product by Part Number'!$A:$K,5,0)</f>
        <v>1439.41</v>
      </c>
      <c r="I60" s="90">
        <f t="shared" si="3"/>
        <v>17272.919999999998</v>
      </c>
    </row>
    <row r="61" spans="2:9" s="53" customFormat="1" x14ac:dyDescent="0.3">
      <c r="B61" s="79" t="s">
        <v>112</v>
      </c>
      <c r="C61" s="54" t="str">
        <f>VLOOKUP(B61,'[1]Product by Part Number'!$A:$K,2,0)</f>
        <v xml:space="preserve">CAT D5 (3CR) CAT 561N (CPH)                </v>
      </c>
      <c r="D61" s="54" t="str">
        <f>VLOOKUP(B61,'[1]Product by Part Number'!$A:$K,3,0)</f>
        <v xml:space="preserve">TRACK IDLER </v>
      </c>
      <c r="E61" s="55">
        <f>VLOOKUP(B61,'[1]Product by Part Number'!$A:$K,11,0)</f>
        <v>14</v>
      </c>
      <c r="F61" s="56">
        <f>VLOOKUP(B61,'[1]Product by Part Number'!$A:$K,4,0)</f>
        <v>3220.34</v>
      </c>
      <c r="G61" s="56">
        <f t="shared" si="2"/>
        <v>45084.76</v>
      </c>
      <c r="H61" s="57">
        <f>VLOOKUP(B61,'[1]Product by Part Number'!$A:$K,5,0)</f>
        <v>1610.17</v>
      </c>
      <c r="I61" s="90">
        <f t="shared" si="3"/>
        <v>22542.38</v>
      </c>
    </row>
    <row r="62" spans="2:9" s="53" customFormat="1" x14ac:dyDescent="0.3">
      <c r="B62" s="79" t="s">
        <v>113</v>
      </c>
      <c r="C62" s="54" t="str">
        <f>VLOOKUP(B62,'[1]Product by Part Number'!$A:$K,2,0)</f>
        <v xml:space="preserve">CAT D3 (1PJ)                  </v>
      </c>
      <c r="D62" s="54" t="str">
        <f>VLOOKUP(B62,'[1]Product by Part Number'!$A:$K,3,0)</f>
        <v>SPROCKET SEGMENT</v>
      </c>
      <c r="E62" s="55">
        <f>VLOOKUP(B62,'[1]Product by Part Number'!$A:$K,11,0)</f>
        <v>10</v>
      </c>
      <c r="F62" s="56">
        <f>VLOOKUP(B62,'[1]Product by Part Number'!$A:$K,4,0)</f>
        <v>134.41999999999999</v>
      </c>
      <c r="G62" s="56">
        <f t="shared" si="2"/>
        <v>1344.1999999999998</v>
      </c>
      <c r="H62" s="57">
        <f>VLOOKUP(B62,'[1]Product by Part Number'!$A:$K,5,0)</f>
        <v>67.209999999999994</v>
      </c>
      <c r="I62" s="90">
        <f t="shared" si="3"/>
        <v>672.1</v>
      </c>
    </row>
    <row r="63" spans="2:9" s="53" customFormat="1" x14ac:dyDescent="0.3">
      <c r="B63" s="79" t="s">
        <v>114</v>
      </c>
      <c r="C63" s="54" t="str">
        <f>VLOOKUP(B63,'[1]Product by Part Number'!$A:$K,2,0)</f>
        <v xml:space="preserve">CAT D6N LGP (GHS)                  </v>
      </c>
      <c r="D63" s="54" t="str">
        <f>VLOOKUP(B63,'[1]Product by Part Number'!$A:$K,3,0)</f>
        <v>SEAT SUSPENSION ASSEMBLY</v>
      </c>
      <c r="E63" s="55">
        <f>VLOOKUP(B63,'[1]Product by Part Number'!$A:$K,11,0)</f>
        <v>1</v>
      </c>
      <c r="F63" s="56">
        <f>VLOOKUP(B63,'[1]Product by Part Number'!$A:$K,4,0)</f>
        <v>3100.37</v>
      </c>
      <c r="G63" s="56">
        <f t="shared" si="2"/>
        <v>3100.37</v>
      </c>
      <c r="H63" s="57">
        <f>VLOOKUP(B63,'[1]Product by Part Number'!$A:$K,5,0)</f>
        <v>1550.19</v>
      </c>
      <c r="I63" s="90">
        <f t="shared" si="3"/>
        <v>1550.19</v>
      </c>
    </row>
    <row r="64" spans="2:9" s="53" customFormat="1" x14ac:dyDescent="0.3">
      <c r="B64" s="79" t="s">
        <v>115</v>
      </c>
      <c r="C64" s="54" t="str">
        <f>VLOOKUP(B64,'[1]Product by Part Number'!$A:$K,2,0)</f>
        <v xml:space="preserve">CAT PL61 (WGS)                  </v>
      </c>
      <c r="D64" s="54" t="str">
        <f>VLOOKUP(B64,'[1]Product by Part Number'!$A:$K,3,0)</f>
        <v>CARRIER BOLT</v>
      </c>
      <c r="E64" s="55">
        <f>VLOOKUP(B64,'[1]Product by Part Number'!$A:$K,11,0)</f>
        <v>12</v>
      </c>
      <c r="F64" s="56">
        <f>VLOOKUP(B64,'[1]Product by Part Number'!$A:$K,4,0)</f>
        <v>1.31</v>
      </c>
      <c r="G64" s="56">
        <f t="shared" si="2"/>
        <v>15.72</v>
      </c>
      <c r="H64" s="57">
        <f>VLOOKUP(B64,'[1]Product by Part Number'!$A:$K,5,0)</f>
        <v>0.66</v>
      </c>
      <c r="I64" s="90">
        <f t="shared" si="3"/>
        <v>7.92</v>
      </c>
    </row>
    <row r="65" spans="2:9" s="53" customFormat="1" x14ac:dyDescent="0.3">
      <c r="B65" s="79" t="s">
        <v>116</v>
      </c>
      <c r="C65" s="54" t="str">
        <f>VLOOKUP(B65,'[1]Product by Part Number'!$A:$K,2,0)</f>
        <v xml:space="preserve">CAT D6N LGP (GHS) CAT D6N LGP (SGG)                </v>
      </c>
      <c r="D65" s="54" t="str">
        <f>VLOOKUP(B65,'[1]Product by Part Number'!$A:$K,3,0)</f>
        <v>REAR WEAR STRIP 16MM</v>
      </c>
      <c r="E65" s="55">
        <f>VLOOKUP(B65,'[1]Product by Part Number'!$A:$K,11,0)</f>
        <v>12</v>
      </c>
      <c r="F65" s="56">
        <f>VLOOKUP(B65,'[1]Product by Part Number'!$A:$K,4,0)</f>
        <v>200.89</v>
      </c>
      <c r="G65" s="56">
        <f t="shared" si="2"/>
        <v>2410.6799999999998</v>
      </c>
      <c r="H65" s="57">
        <f>VLOOKUP(B65,'[1]Product by Part Number'!$A:$K,5,0)</f>
        <v>100.45</v>
      </c>
      <c r="I65" s="90">
        <f t="shared" si="3"/>
        <v>1205.4000000000001</v>
      </c>
    </row>
    <row r="66" spans="2:9" s="53" customFormat="1" x14ac:dyDescent="0.3">
      <c r="B66" s="79" t="s">
        <v>117</v>
      </c>
      <c r="C66" s="54" t="str">
        <f>VLOOKUP(B66,'[1]Product by Part Number'!$A:$K,2,0)</f>
        <v xml:space="preserve">CAT D6N LGP (GHS) CAT D6N LGP (SGG)                </v>
      </c>
      <c r="D66" s="54" t="str">
        <f>VLOOKUP(B66,'[1]Product by Part Number'!$A:$K,3,0)</f>
        <v>FRONT WEAR STRIP 16MM</v>
      </c>
      <c r="E66" s="55">
        <f>VLOOKUP(B66,'[1]Product by Part Number'!$A:$K,11,0)</f>
        <v>12</v>
      </c>
      <c r="F66" s="56">
        <f>VLOOKUP(B66,'[1]Product by Part Number'!$A:$K,4,0)</f>
        <v>159.66</v>
      </c>
      <c r="G66" s="56">
        <f t="shared" si="2"/>
        <v>1915.92</v>
      </c>
      <c r="H66" s="57">
        <f>VLOOKUP(B66,'[1]Product by Part Number'!$A:$K,5,0)</f>
        <v>79.83</v>
      </c>
      <c r="I66" s="90">
        <f t="shared" si="3"/>
        <v>957.96</v>
      </c>
    </row>
    <row r="67" spans="2:9" s="53" customFormat="1" x14ac:dyDescent="0.3">
      <c r="B67" s="79" t="s">
        <v>40</v>
      </c>
      <c r="C67" s="54" t="str">
        <f>VLOOKUP(B67,'[1]Product by Part Number'!$A:$K,2,0)</f>
        <v xml:space="preserve">CAT PL61 (WGS)                  </v>
      </c>
      <c r="D67" s="54" t="str">
        <f>VLOOKUP(B67,'[1]Product by Part Number'!$A:$K,3,0)</f>
        <v>HYDRAULIC OIL FILTER ELEMENT</v>
      </c>
      <c r="E67" s="55">
        <f>VLOOKUP(B67,'[1]Product by Part Number'!$A:$K,11,0)</f>
        <v>15</v>
      </c>
      <c r="F67" s="56">
        <f>VLOOKUP(B67,'[1]Product by Part Number'!$A:$K,4,0)</f>
        <v>150.47</v>
      </c>
      <c r="G67" s="56">
        <f t="shared" si="2"/>
        <v>2257.0500000000002</v>
      </c>
      <c r="H67" s="57">
        <f>VLOOKUP(B67,'[1]Product by Part Number'!$A:$K,5,0)</f>
        <v>57.18</v>
      </c>
      <c r="I67" s="90">
        <f t="shared" si="3"/>
        <v>857.7</v>
      </c>
    </row>
    <row r="68" spans="2:9" s="53" customFormat="1" x14ac:dyDescent="0.3">
      <c r="B68" s="79" t="s">
        <v>118</v>
      </c>
      <c r="C68" s="54" t="str">
        <f>VLOOKUP(B68,'[1]Product by Part Number'!$A:$K,2,0)</f>
        <v xml:space="preserve">CAT D5 (3CR) CAT 561N (CPH)                </v>
      </c>
      <c r="D68" s="54" t="str">
        <f>VLOOKUP(B68,'[1]Product by Part Number'!$A:$K,3,0)</f>
        <v>TRACK NUT</v>
      </c>
      <c r="E68" s="55">
        <f>VLOOKUP(B68,'[1]Product by Part Number'!$A:$K,11,0)</f>
        <v>1204</v>
      </c>
      <c r="F68" s="56">
        <f>VLOOKUP(B68,'[1]Product by Part Number'!$A:$K,4,0)</f>
        <v>2.0699999999999998</v>
      </c>
      <c r="G68" s="56">
        <f t="shared" si="2"/>
        <v>2492.2799999999997</v>
      </c>
      <c r="H68" s="57">
        <f>VLOOKUP(B68,'[1]Product by Part Number'!$A:$K,5,0)</f>
        <v>1.04</v>
      </c>
      <c r="I68" s="90">
        <f t="shared" si="3"/>
        <v>1252.1600000000001</v>
      </c>
    </row>
    <row r="69" spans="2:9" s="53" customFormat="1" x14ac:dyDescent="0.3">
      <c r="B69" s="79" t="s">
        <v>119</v>
      </c>
      <c r="C69" s="54" t="str">
        <f>VLOOKUP(B69,'[1]Product by Part Number'!$A:$K,2,0)</f>
        <v xml:space="preserve">CAT D4 (66J)                  </v>
      </c>
      <c r="D69" s="54" t="str">
        <f>VLOOKUP(B69,'[1]Product by Part Number'!$A:$K,3,0)</f>
        <v xml:space="preserve">TRACK IDLER </v>
      </c>
      <c r="E69" s="55">
        <f>VLOOKUP(B69,'[1]Product by Part Number'!$A:$K,11,0)</f>
        <v>2</v>
      </c>
      <c r="F69" s="56">
        <f>VLOOKUP(B69,'[1]Product by Part Number'!$A:$K,4,0)</f>
        <v>2233.12</v>
      </c>
      <c r="G69" s="56">
        <f t="shared" si="2"/>
        <v>4466.24</v>
      </c>
      <c r="H69" s="57">
        <f>VLOOKUP(B69,'[1]Product by Part Number'!$A:$K,5,0)</f>
        <v>1116.56</v>
      </c>
      <c r="I69" s="90">
        <f t="shared" si="3"/>
        <v>2233.12</v>
      </c>
    </row>
    <row r="70" spans="2:9" s="53" customFormat="1" x14ac:dyDescent="0.3">
      <c r="B70" s="79" t="s">
        <v>120</v>
      </c>
      <c r="C70" s="54" t="str">
        <f>VLOOKUP(B70,'[1]Product by Part Number'!$A:$K,2,0)</f>
        <v xml:space="preserve">CAT D3 (1PJ)                  </v>
      </c>
      <c r="D70" s="54" t="str">
        <f>VLOOKUP(B70,'[1]Product by Part Number'!$A:$K,3,0)</f>
        <v>ENGINE OIL FILTER</v>
      </c>
      <c r="E70" s="55">
        <f>VLOOKUP(B70,'[1]Product by Part Number'!$A:$K,11,0)</f>
        <v>5</v>
      </c>
      <c r="F70" s="56">
        <f>VLOOKUP(B70,'[1]Product by Part Number'!$A:$K,4,0)</f>
        <v>27.68</v>
      </c>
      <c r="G70" s="56">
        <f t="shared" si="2"/>
        <v>138.4</v>
      </c>
      <c r="H70" s="57">
        <f>VLOOKUP(B70,'[1]Product by Part Number'!$A:$K,5,0)</f>
        <v>10.52</v>
      </c>
      <c r="I70" s="90">
        <f t="shared" si="3"/>
        <v>52.6</v>
      </c>
    </row>
    <row r="71" spans="2:9" s="53" customFormat="1" x14ac:dyDescent="0.3">
      <c r="B71" s="79" t="s">
        <v>38</v>
      </c>
      <c r="C71" s="54" t="str">
        <f>VLOOKUP(B71,'[1]Product by Part Number'!$A:$K,2,0)</f>
        <v xml:space="preserve">CAT D3 (1PJ) CAT D5 (3CR)                </v>
      </c>
      <c r="D71" s="54" t="str">
        <f>VLOOKUP(B71,'[1]Product by Part Number'!$A:$K,3,0)</f>
        <v>HYDRAULIC OIL FILTER</v>
      </c>
      <c r="E71" s="55">
        <f>VLOOKUP(B71,'[1]Product by Part Number'!$A:$K,11,0)</f>
        <v>15</v>
      </c>
      <c r="F71" s="56">
        <f>VLOOKUP(B71,'[1]Product by Part Number'!$A:$K,4,0)</f>
        <v>38.32</v>
      </c>
      <c r="G71" s="56">
        <f t="shared" si="2"/>
        <v>574.79999999999995</v>
      </c>
      <c r="H71" s="57">
        <f>VLOOKUP(B71,'[1]Product by Part Number'!$A:$K,5,0)</f>
        <v>14.56</v>
      </c>
      <c r="I71" s="90">
        <f t="shared" si="3"/>
        <v>218.4</v>
      </c>
    </row>
    <row r="72" spans="2:9" s="53" customFormat="1" x14ac:dyDescent="0.3">
      <c r="B72" s="79" t="s">
        <v>121</v>
      </c>
      <c r="C72" s="54" t="str">
        <f>VLOOKUP(B72,'[1]Product by Part Number'!$A:$K,2,0)</f>
        <v xml:space="preserve">CAT D3 (1PJ)                  </v>
      </c>
      <c r="D72" s="54" t="str">
        <f>VLOOKUP(B72,'[1]Product by Part Number'!$A:$K,3,0)</f>
        <v xml:space="preserve">HYDRAULIC/TRANSMISSION OIL FILTER </v>
      </c>
      <c r="E72" s="55">
        <f>VLOOKUP(B72,'[1]Product by Part Number'!$A:$K,11,0)</f>
        <v>5</v>
      </c>
      <c r="F72" s="56">
        <f>VLOOKUP(B72,'[1]Product by Part Number'!$A:$K,4,0)</f>
        <v>47.44</v>
      </c>
      <c r="G72" s="56">
        <f t="shared" si="2"/>
        <v>237.2</v>
      </c>
      <c r="H72" s="57">
        <f>VLOOKUP(B72,'[1]Product by Part Number'!$A:$K,5,0)</f>
        <v>18.03</v>
      </c>
      <c r="I72" s="90">
        <f t="shared" si="3"/>
        <v>90.15</v>
      </c>
    </row>
    <row r="73" spans="2:9" s="53" customFormat="1" x14ac:dyDescent="0.3">
      <c r="B73" s="79" t="s">
        <v>122</v>
      </c>
      <c r="C73" s="54" t="str">
        <f>VLOOKUP(B73,'[1]Product by Part Number'!$A:$K,2,0)</f>
        <v xml:space="preserve">CAT 561N (CPH)                  </v>
      </c>
      <c r="D73" s="54" t="str">
        <f>VLOOKUP(B73,'[1]Product by Part Number'!$A:$K,3,0)</f>
        <v>FUEL FILTER</v>
      </c>
      <c r="E73" s="55">
        <f>VLOOKUP(B73,'[1]Product by Part Number'!$A:$K,11,0)</f>
        <v>50</v>
      </c>
      <c r="F73" s="56">
        <f>VLOOKUP(B73,'[1]Product by Part Number'!$A:$K,4,0)</f>
        <v>51.52</v>
      </c>
      <c r="G73" s="56">
        <f t="shared" si="2"/>
        <v>2576</v>
      </c>
      <c r="H73" s="57">
        <f>VLOOKUP(B73,'[1]Product by Part Number'!$A:$K,5,0)</f>
        <v>19.579999999999998</v>
      </c>
      <c r="I73" s="90">
        <f t="shared" si="3"/>
        <v>979</v>
      </c>
    </row>
    <row r="74" spans="2:9" s="53" customFormat="1" x14ac:dyDescent="0.3">
      <c r="B74" s="79" t="s">
        <v>35</v>
      </c>
      <c r="C74" s="54" t="str">
        <f>VLOOKUP(B74,'[1]Product by Part Number'!$A:$K,2,0)</f>
        <v xml:space="preserve">CAT 336F L (RKB) CAT D6 (RDC) CAT D6T (MH7)              </v>
      </c>
      <c r="D74" s="54" t="str">
        <f>VLOOKUP(B74,'[1]Product by Part Number'!$A:$K,3,0)</f>
        <v xml:space="preserve">FUEL FILTER </v>
      </c>
      <c r="E74" s="55">
        <f>VLOOKUP(B74,'[1]Product by Part Number'!$A:$K,11,0)</f>
        <v>30</v>
      </c>
      <c r="F74" s="56">
        <f>VLOOKUP(B74,'[1]Product by Part Number'!$A:$K,4,0)</f>
        <v>51.52</v>
      </c>
      <c r="G74" s="56">
        <f t="shared" si="2"/>
        <v>1545.6000000000001</v>
      </c>
      <c r="H74" s="57">
        <f>VLOOKUP(B74,'[1]Product by Part Number'!$A:$K,5,0)</f>
        <v>19.579999999999998</v>
      </c>
      <c r="I74" s="90">
        <f t="shared" si="3"/>
        <v>587.4</v>
      </c>
    </row>
    <row r="75" spans="2:9" s="53" customFormat="1" x14ac:dyDescent="0.3">
      <c r="B75" s="79" t="s">
        <v>123</v>
      </c>
      <c r="C75" s="54" t="str">
        <f>VLOOKUP(B75,'[1]Product by Part Number'!$A:$K,2,0)</f>
        <v xml:space="preserve">CAT D4 (66J)                  </v>
      </c>
      <c r="D75" s="54" t="str">
        <f>VLOOKUP(B75,'[1]Product by Part Number'!$A:$K,3,0)</f>
        <v>SECONDARY FUEL FILTER</v>
      </c>
      <c r="E75" s="55">
        <f>VLOOKUP(B75,'[1]Product by Part Number'!$A:$K,11,0)</f>
        <v>5</v>
      </c>
      <c r="F75" s="56">
        <f>VLOOKUP(B75,'[1]Product by Part Number'!$A:$K,4,0)</f>
        <v>42.69</v>
      </c>
      <c r="G75" s="56">
        <f t="shared" si="2"/>
        <v>213.45</v>
      </c>
      <c r="H75" s="57">
        <f>VLOOKUP(B75,'[1]Product by Part Number'!$A:$K,5,0)</f>
        <v>16.22</v>
      </c>
      <c r="I75" s="90">
        <f t="shared" si="3"/>
        <v>81.099999999999994</v>
      </c>
    </row>
    <row r="76" spans="2:9" s="53" customFormat="1" x14ac:dyDescent="0.3">
      <c r="B76" s="79" t="s">
        <v>41</v>
      </c>
      <c r="C76" s="54" t="str">
        <f>VLOOKUP(B76,'[1]Product by Part Number'!$A:$K,2,0)</f>
        <v xml:space="preserve">CAT D3 (1PJ) CAT D7G (92V)                </v>
      </c>
      <c r="D76" s="54" t="str">
        <f>VLOOKUP(B76,'[1]Product by Part Number'!$A:$K,3,0)</f>
        <v>FUEL FILTER</v>
      </c>
      <c r="E76" s="55">
        <f>VLOOKUP(B76,'[1]Product by Part Number'!$A:$K,11,0)</f>
        <v>10</v>
      </c>
      <c r="F76" s="56">
        <f>VLOOKUP(B76,'[1]Product by Part Number'!$A:$K,4,0)</f>
        <v>42.69</v>
      </c>
      <c r="G76" s="56">
        <f t="shared" si="2"/>
        <v>426.9</v>
      </c>
      <c r="H76" s="57">
        <f>VLOOKUP(B76,'[1]Product by Part Number'!$A:$K,5,0)</f>
        <v>16.22</v>
      </c>
      <c r="I76" s="90">
        <f t="shared" si="3"/>
        <v>162.19999999999999</v>
      </c>
    </row>
    <row r="77" spans="2:9" s="53" customFormat="1" x14ac:dyDescent="0.3">
      <c r="B77" s="79" t="s">
        <v>124</v>
      </c>
      <c r="C77" s="54" t="str">
        <f>VLOOKUP(B77,'[1]Product by Part Number'!$A:$K,2,0)</f>
        <v xml:space="preserve">CAT D5 (3CR) CAT D6N LGP (GHS) CAT PL61 (WGS)              </v>
      </c>
      <c r="D77" s="54" t="str">
        <f>VLOOKUP(B77,'[1]Product by Part Number'!$A:$K,3,0)</f>
        <v>PRIMARY FUEL FILTER</v>
      </c>
      <c r="E77" s="55">
        <f>VLOOKUP(B77,'[1]Product by Part Number'!$A:$K,11,0)</f>
        <v>30</v>
      </c>
      <c r="F77" s="56">
        <f>VLOOKUP(B77,'[1]Product by Part Number'!$A:$K,4,0)</f>
        <v>47.05</v>
      </c>
      <c r="G77" s="56">
        <f t="shared" si="2"/>
        <v>1411.5</v>
      </c>
      <c r="H77" s="57">
        <f>VLOOKUP(B77,'[1]Product by Part Number'!$A:$K,5,0)</f>
        <v>17.88</v>
      </c>
      <c r="I77" s="90">
        <f t="shared" si="3"/>
        <v>536.4</v>
      </c>
    </row>
    <row r="78" spans="2:9" s="53" customFormat="1" x14ac:dyDescent="0.3">
      <c r="B78" s="79" t="s">
        <v>125</v>
      </c>
      <c r="C78" s="54" t="str">
        <f>VLOOKUP(B78,'[1]Product by Part Number'!$A:$K,2,0)</f>
        <v xml:space="preserve">CAT D5 (3CR)                  </v>
      </c>
      <c r="D78" s="54" t="str">
        <f>VLOOKUP(B78,'[1]Product by Part Number'!$A:$K,3,0)</f>
        <v>SECONDARY FUEL FILTER</v>
      </c>
      <c r="E78" s="55">
        <f>VLOOKUP(B78,'[1]Product by Part Number'!$A:$K,11,0)</f>
        <v>10</v>
      </c>
      <c r="F78" s="56">
        <f>VLOOKUP(B78,'[1]Product by Part Number'!$A:$K,4,0)</f>
        <v>67.900000000000006</v>
      </c>
      <c r="G78" s="56">
        <f t="shared" si="2"/>
        <v>679</v>
      </c>
      <c r="H78" s="57">
        <f>VLOOKUP(B78,'[1]Product by Part Number'!$A:$K,5,0)</f>
        <v>25.8</v>
      </c>
      <c r="I78" s="90">
        <f t="shared" si="3"/>
        <v>258</v>
      </c>
    </row>
    <row r="79" spans="2:9" s="53" customFormat="1" x14ac:dyDescent="0.3">
      <c r="B79" s="79" t="s">
        <v>48</v>
      </c>
      <c r="C79" s="54" t="str">
        <f>VLOOKUP(B79,'[1]Product by Part Number'!$A:$K,2,0)</f>
        <v xml:space="preserve">CAT D4 (66J)                  </v>
      </c>
      <c r="D79" s="54" t="str">
        <f>VLOOKUP(B79,'[1]Product by Part Number'!$A:$K,3,0)</f>
        <v xml:space="preserve">HYDRAULIC OIL FILTER ELEMENT </v>
      </c>
      <c r="E79" s="55">
        <f>VLOOKUP(B79,'[1]Product by Part Number'!$A:$K,11,0)</f>
        <v>5</v>
      </c>
      <c r="F79" s="56">
        <f>VLOOKUP(B79,'[1]Product by Part Number'!$A:$K,4,0)</f>
        <v>93.49</v>
      </c>
      <c r="G79" s="56">
        <f t="shared" si="2"/>
        <v>467.45</v>
      </c>
      <c r="H79" s="57">
        <f>VLOOKUP(B79,'[1]Product by Part Number'!$A:$K,5,0)</f>
        <v>35.53</v>
      </c>
      <c r="I79" s="90">
        <f t="shared" si="3"/>
        <v>177.65</v>
      </c>
    </row>
    <row r="80" spans="2:9" s="53" customFormat="1" x14ac:dyDescent="0.3">
      <c r="B80" s="79" t="s">
        <v>126</v>
      </c>
      <c r="C80" s="54" t="str">
        <f>VLOOKUP(B80,'[1]Product by Part Number'!$A:$K,2,0)</f>
        <v xml:space="preserve">CAT D4 (66J) CAT D5 (3CR)                </v>
      </c>
      <c r="D80" s="54" t="str">
        <f>VLOOKUP(B80,'[1]Product by Part Number'!$A:$K,3,0)</f>
        <v>ENGINE OIL FILTER</v>
      </c>
      <c r="E80" s="55">
        <f>VLOOKUP(B80,'[1]Product by Part Number'!$A:$K,11,0)</f>
        <v>15</v>
      </c>
      <c r="F80" s="56">
        <f>VLOOKUP(B80,'[1]Product by Part Number'!$A:$K,4,0)</f>
        <v>44.09</v>
      </c>
      <c r="G80" s="56">
        <f t="shared" ref="G80:G143" si="4">E80*F80</f>
        <v>661.35</v>
      </c>
      <c r="H80" s="57">
        <f>VLOOKUP(B80,'[1]Product by Part Number'!$A:$K,5,0)</f>
        <v>16.75</v>
      </c>
      <c r="I80" s="90">
        <f t="shared" ref="I80:I143" si="5">ROUND(E80*H80,2)</f>
        <v>251.25</v>
      </c>
    </row>
    <row r="81" spans="2:9" s="53" customFormat="1" x14ac:dyDescent="0.3">
      <c r="B81" s="79" t="s">
        <v>36</v>
      </c>
      <c r="C81" s="54" t="str">
        <f>VLOOKUP(B81,'[1]Product by Part Number'!$A:$K,2,0)</f>
        <v xml:space="preserve">CAT 336F L (RKB) CAT D6 (RDC) CAT D6T (MH7)              </v>
      </c>
      <c r="D81" s="54" t="str">
        <f>VLOOKUP(B81,'[1]Product by Part Number'!$A:$K,3,0)</f>
        <v>ENGINE OIL FILTER</v>
      </c>
      <c r="E81" s="55">
        <f>VLOOKUP(B81,'[1]Product by Part Number'!$A:$K,11,0)</f>
        <v>15</v>
      </c>
      <c r="F81" s="56">
        <f>VLOOKUP(B81,'[1]Product by Part Number'!$A:$K,4,0)</f>
        <v>82.08</v>
      </c>
      <c r="G81" s="56">
        <f t="shared" si="4"/>
        <v>1231.2</v>
      </c>
      <c r="H81" s="57">
        <f>VLOOKUP(B81,'[1]Product by Part Number'!$A:$K,5,0)</f>
        <v>31.19</v>
      </c>
      <c r="I81" s="90">
        <f t="shared" si="5"/>
        <v>467.85</v>
      </c>
    </row>
    <row r="82" spans="2:9" s="53" customFormat="1" x14ac:dyDescent="0.3">
      <c r="B82" s="79" t="s">
        <v>127</v>
      </c>
      <c r="C82" s="54" t="str">
        <f>VLOOKUP(B82,'[1]Product by Part Number'!$A:$K,2,0)</f>
        <v xml:space="preserve">CAT D4 (66J)                  </v>
      </c>
      <c r="D82" s="54" t="str">
        <f>VLOOKUP(B82,'[1]Product by Part Number'!$A:$K,3,0)</f>
        <v>TRACK NUT</v>
      </c>
      <c r="E82" s="55">
        <f>VLOOKUP(B82,'[1]Product by Part Number'!$A:$K,11,0)</f>
        <v>360</v>
      </c>
      <c r="F82" s="56">
        <f>VLOOKUP(B82,'[1]Product by Part Number'!$A:$K,4,0)</f>
        <v>2.94</v>
      </c>
      <c r="G82" s="56">
        <f t="shared" si="4"/>
        <v>1058.4000000000001</v>
      </c>
      <c r="H82" s="57">
        <f>VLOOKUP(B82,'[1]Product by Part Number'!$A:$K,5,0)</f>
        <v>1.47</v>
      </c>
      <c r="I82" s="90">
        <f t="shared" si="5"/>
        <v>529.20000000000005</v>
      </c>
    </row>
    <row r="83" spans="2:9" s="53" customFormat="1" ht="27" x14ac:dyDescent="0.3">
      <c r="B83" s="79" t="s">
        <v>128</v>
      </c>
      <c r="C83" s="54" t="str">
        <f>VLOOKUP(B83,'[1]Product by Part Number'!$A:$K,2,0)</f>
        <v xml:space="preserve">CAT D6 (RDC) CAT D6N LGP (GHS) CAT D6N LGP (SGG) CAT D7G (92V) CAT PL61 (WGS)          </v>
      </c>
      <c r="D83" s="54" t="str">
        <f>VLOOKUP(B83,'[1]Product by Part Number'!$A:$K,3,0)</f>
        <v>TRACK NUT</v>
      </c>
      <c r="E83" s="55">
        <f>VLOOKUP(B83,'[1]Product by Part Number'!$A:$K,11,0)</f>
        <v>2672</v>
      </c>
      <c r="F83" s="56">
        <f>VLOOKUP(B83,'[1]Product by Part Number'!$A:$K,4,0)</f>
        <v>2.94</v>
      </c>
      <c r="G83" s="56">
        <f t="shared" si="4"/>
        <v>7855.68</v>
      </c>
      <c r="H83" s="57">
        <f>VLOOKUP(B83,'[1]Product by Part Number'!$A:$K,5,0)</f>
        <v>1.47</v>
      </c>
      <c r="I83" s="90">
        <f t="shared" si="5"/>
        <v>3927.84</v>
      </c>
    </row>
    <row r="84" spans="2:9" s="53" customFormat="1" x14ac:dyDescent="0.3">
      <c r="B84" s="79" t="s">
        <v>129</v>
      </c>
      <c r="C84" s="54" t="str">
        <f>VLOOKUP(B84,'[1]Product by Part Number'!$A:$K,2,0)</f>
        <v xml:space="preserve">CAT D3 (1PJ)                  </v>
      </c>
      <c r="D84" s="54" t="str">
        <f>VLOOKUP(B84,'[1]Product by Part Number'!$A:$K,3,0)</f>
        <v>TIP SHORT</v>
      </c>
      <c r="E84" s="55">
        <f>VLOOKUP(B84,'[1]Product by Part Number'!$A:$K,11,0)</f>
        <v>1</v>
      </c>
      <c r="F84" s="56">
        <f>VLOOKUP(B84,'[1]Product by Part Number'!$A:$K,4,0)</f>
        <v>37.42</v>
      </c>
      <c r="G84" s="56">
        <f t="shared" si="4"/>
        <v>37.42</v>
      </c>
      <c r="H84" s="57">
        <f>VLOOKUP(B84,'[1]Product by Part Number'!$A:$K,5,0)</f>
        <v>14.22</v>
      </c>
      <c r="I84" s="90">
        <f t="shared" si="5"/>
        <v>14.22</v>
      </c>
    </row>
    <row r="85" spans="2:9" s="53" customFormat="1" x14ac:dyDescent="0.3">
      <c r="B85" s="79" t="s">
        <v>130</v>
      </c>
      <c r="C85" s="54" t="str">
        <f>VLOOKUP(B85,'[1]Product by Part Number'!$A:$K,2,0)</f>
        <v xml:space="preserve">CAT D6 (RDC) CAT D6T (MH7)                </v>
      </c>
      <c r="D85" s="54" t="str">
        <f>VLOOKUP(B85,'[1]Product by Part Number'!$A:$K,3,0)</f>
        <v>TRACK IDLER</v>
      </c>
      <c r="E85" s="55">
        <f>VLOOKUP(B85,'[1]Product by Part Number'!$A:$K,11,0)</f>
        <v>8</v>
      </c>
      <c r="F85" s="56">
        <f>VLOOKUP(B85,'[1]Product by Part Number'!$A:$K,4,0)</f>
        <v>3032.3</v>
      </c>
      <c r="G85" s="56">
        <f t="shared" si="4"/>
        <v>24258.400000000001</v>
      </c>
      <c r="H85" s="57">
        <f>VLOOKUP(B85,'[1]Product by Part Number'!$A:$K,5,0)</f>
        <v>1516.15</v>
      </c>
      <c r="I85" s="90">
        <f t="shared" si="5"/>
        <v>12129.2</v>
      </c>
    </row>
    <row r="86" spans="2:9" s="53" customFormat="1" x14ac:dyDescent="0.3">
      <c r="B86" s="79" t="s">
        <v>47</v>
      </c>
      <c r="C86" s="54" t="str">
        <f>VLOOKUP(B86,'[1]Product by Part Number'!$A:$K,2,0)</f>
        <v xml:space="preserve">CAT PL61 (WGS)                  </v>
      </c>
      <c r="D86" s="54" t="str">
        <f>VLOOKUP(B86,'[1]Product by Part Number'!$A:$K,3,0)</f>
        <v>CABIN AIR FILTER ELEMENT</v>
      </c>
      <c r="E86" s="55">
        <f>VLOOKUP(B86,'[1]Product by Part Number'!$A:$K,11,0)</f>
        <v>9</v>
      </c>
      <c r="F86" s="56">
        <f>VLOOKUP(B86,'[1]Product by Part Number'!$A:$K,4,0)</f>
        <v>85.17</v>
      </c>
      <c r="G86" s="56">
        <f t="shared" si="4"/>
        <v>766.53</v>
      </c>
      <c r="H86" s="57">
        <f>VLOOKUP(B86,'[1]Product by Part Number'!$A:$K,5,0)</f>
        <v>32.36</v>
      </c>
      <c r="I86" s="90">
        <f t="shared" si="5"/>
        <v>291.24</v>
      </c>
    </row>
    <row r="87" spans="2:9" s="53" customFormat="1" x14ac:dyDescent="0.3">
      <c r="B87" s="79" t="s">
        <v>131</v>
      </c>
      <c r="C87" s="54" t="str">
        <f>VLOOKUP(B87,'[1]Product by Part Number'!$A:$K,2,0)</f>
        <v xml:space="preserve">CAT 336F L (RKB)                  </v>
      </c>
      <c r="D87" s="54" t="str">
        <f>VLOOKUP(B87,'[1]Product by Part Number'!$A:$K,3,0)</f>
        <v>TRACK LINK ASSEMBLY</v>
      </c>
      <c r="E87" s="55">
        <f>VLOOKUP(B87,'[1]Product by Part Number'!$A:$K,11,0)</f>
        <v>2</v>
      </c>
      <c r="F87" s="56">
        <f>VLOOKUP(B87,'[1]Product by Part Number'!$A:$K,4,0)</f>
        <v>12083.08</v>
      </c>
      <c r="G87" s="56">
        <f t="shared" si="4"/>
        <v>24166.16</v>
      </c>
      <c r="H87" s="57">
        <f>VLOOKUP(B87,'[1]Product by Part Number'!$A:$K,5,0)</f>
        <v>6041.54</v>
      </c>
      <c r="I87" s="90">
        <f t="shared" si="5"/>
        <v>12083.08</v>
      </c>
    </row>
    <row r="88" spans="2:9" s="53" customFormat="1" x14ac:dyDescent="0.3">
      <c r="B88" s="79" t="s">
        <v>132</v>
      </c>
      <c r="C88" s="54" t="str">
        <f>VLOOKUP(B88,'[1]Product by Part Number'!$A:$K,2,0)</f>
        <v xml:space="preserve">CAT D6 (RDC) CAT D6T (MH7)                </v>
      </c>
      <c r="D88" s="54" t="str">
        <f>VLOOKUP(B88,'[1]Product by Part Number'!$A:$K,3,0)</f>
        <v>CARRIER BOLT</v>
      </c>
      <c r="E88" s="55">
        <f>VLOOKUP(B88,'[1]Product by Part Number'!$A:$K,11,0)</f>
        <v>8</v>
      </c>
      <c r="F88" s="56">
        <f>VLOOKUP(B88,'[1]Product by Part Number'!$A:$K,4,0)</f>
        <v>22.26</v>
      </c>
      <c r="G88" s="56">
        <f t="shared" si="4"/>
        <v>178.08</v>
      </c>
      <c r="H88" s="57">
        <f>VLOOKUP(B88,'[1]Product by Part Number'!$A:$K,5,0)</f>
        <v>11.13</v>
      </c>
      <c r="I88" s="90">
        <f t="shared" si="5"/>
        <v>89.04</v>
      </c>
    </row>
    <row r="89" spans="2:9" s="53" customFormat="1" x14ac:dyDescent="0.3">
      <c r="B89" s="79" t="s">
        <v>133</v>
      </c>
      <c r="C89" s="54" t="str">
        <f>VLOOKUP(B89,'[1]Product by Part Number'!$A:$K,2,0)</f>
        <v xml:space="preserve">CAT D5 (3CR)                  </v>
      </c>
      <c r="D89" s="54" t="str">
        <f>VLOOKUP(B89,'[1]Product by Part Number'!$A:$K,3,0)</f>
        <v>TRACK SHOE SINGLE GROUSER 760MM</v>
      </c>
      <c r="E89" s="55">
        <f>VLOOKUP(B89,'[1]Product by Part Number'!$A:$K,11,0)</f>
        <v>176</v>
      </c>
      <c r="F89" s="56">
        <f>VLOOKUP(B89,'[1]Product by Part Number'!$A:$K,4,0)</f>
        <v>126.01</v>
      </c>
      <c r="G89" s="56">
        <f t="shared" si="4"/>
        <v>22177.760000000002</v>
      </c>
      <c r="H89" s="57">
        <f>VLOOKUP(B89,'[1]Product by Part Number'!$A:$K,5,0)</f>
        <v>63.01</v>
      </c>
      <c r="I89" s="90">
        <f t="shared" si="5"/>
        <v>11089.76</v>
      </c>
    </row>
    <row r="90" spans="2:9" s="53" customFormat="1" x14ac:dyDescent="0.3">
      <c r="B90" s="79" t="s">
        <v>134</v>
      </c>
      <c r="C90" s="54" t="str">
        <f>VLOOKUP(B90,'[1]Product by Part Number'!$A:$K,2,0)</f>
        <v xml:space="preserve">CAT 561N (CPH) CAT PL61 (WGS)                </v>
      </c>
      <c r="D90" s="54" t="str">
        <f>VLOOKUP(B90,'[1]Product by Part Number'!$A:$K,3,0)</f>
        <v>CAMSHAFT</v>
      </c>
      <c r="E90" s="55">
        <f>VLOOKUP(B90,'[1]Product by Part Number'!$A:$K,11,0)</f>
        <v>8</v>
      </c>
      <c r="F90" s="56">
        <f>VLOOKUP(B90,'[1]Product by Part Number'!$A:$K,4,0)</f>
        <v>4686.51</v>
      </c>
      <c r="G90" s="56">
        <f t="shared" si="4"/>
        <v>37492.080000000002</v>
      </c>
      <c r="H90" s="57">
        <f>VLOOKUP(B90,'[1]Product by Part Number'!$A:$K,5,0)</f>
        <v>2343.2600000000002</v>
      </c>
      <c r="I90" s="90">
        <f t="shared" si="5"/>
        <v>18746.080000000002</v>
      </c>
    </row>
    <row r="91" spans="2:9" s="53" customFormat="1" ht="27" x14ac:dyDescent="0.3">
      <c r="B91" s="79" t="s">
        <v>135</v>
      </c>
      <c r="C91" s="54" t="str">
        <f>VLOOKUP(B91,'[1]Product by Part Number'!$A:$K,2,0)</f>
        <v xml:space="preserve">CAT 320E L (WBK) CAT 320F L (YBM) CAT 320 (HEX) CAT 320 (MYK)            </v>
      </c>
      <c r="D91" s="54" t="str">
        <f>VLOOKUP(B91,'[1]Product by Part Number'!$A:$K,3,0)</f>
        <v>SPROCKET BOLT</v>
      </c>
      <c r="E91" s="55">
        <f>VLOOKUP(B91,'[1]Product by Part Number'!$A:$K,11,0)</f>
        <v>192</v>
      </c>
      <c r="F91" s="56">
        <f>VLOOKUP(B91,'[1]Product by Part Number'!$A:$K,4,0)</f>
        <v>8.76</v>
      </c>
      <c r="G91" s="56">
        <f t="shared" si="4"/>
        <v>1681.92</v>
      </c>
      <c r="H91" s="57">
        <f>VLOOKUP(B91,'[1]Product by Part Number'!$A:$K,5,0)</f>
        <v>4.38</v>
      </c>
      <c r="I91" s="90">
        <f t="shared" si="5"/>
        <v>840.96</v>
      </c>
    </row>
    <row r="92" spans="2:9" s="53" customFormat="1" x14ac:dyDescent="0.3">
      <c r="B92" s="79" t="s">
        <v>136</v>
      </c>
      <c r="C92" s="54" t="str">
        <f>VLOOKUP(B92,'[1]Product by Part Number'!$A:$K,2,0)</f>
        <v xml:space="preserve">CAT D6N LGP (GHS)                  </v>
      </c>
      <c r="D92" s="54" t="str">
        <f>VLOOKUP(B92,'[1]Product by Part Number'!$A:$K,3,0)</f>
        <v>TRACK SHOE SINGLE GROUSER 860MM</v>
      </c>
      <c r="E92" s="55">
        <f>VLOOKUP(B92,'[1]Product by Part Number'!$A:$K,11,0)</f>
        <v>90</v>
      </c>
      <c r="F92" s="56">
        <f>VLOOKUP(B92,'[1]Product by Part Number'!$A:$K,4,0)</f>
        <v>206.6</v>
      </c>
      <c r="G92" s="56">
        <f t="shared" si="4"/>
        <v>18594</v>
      </c>
      <c r="H92" s="57">
        <f>VLOOKUP(B92,'[1]Product by Part Number'!$A:$K,5,0)</f>
        <v>103.3</v>
      </c>
      <c r="I92" s="90">
        <f t="shared" si="5"/>
        <v>9297</v>
      </c>
    </row>
    <row r="93" spans="2:9" s="53" customFormat="1" x14ac:dyDescent="0.3">
      <c r="B93" s="79" t="s">
        <v>137</v>
      </c>
      <c r="C93" s="54" t="str">
        <f>VLOOKUP(B93,'[1]Product by Part Number'!$A:$K,2,0)</f>
        <v xml:space="preserve">CAT D6N LGP (GHS)                  </v>
      </c>
      <c r="D93" s="54" t="str">
        <f>VLOOKUP(B93,'[1]Product by Part Number'!$A:$K,3,0)</f>
        <v>TRACK SHOE MASTER</v>
      </c>
      <c r="E93" s="55">
        <f>VLOOKUP(B93,'[1]Product by Part Number'!$A:$K,11,0)</f>
        <v>2</v>
      </c>
      <c r="F93" s="56">
        <f>VLOOKUP(B93,'[1]Product by Part Number'!$A:$K,4,0)</f>
        <v>226.51</v>
      </c>
      <c r="G93" s="56">
        <f t="shared" si="4"/>
        <v>453.02</v>
      </c>
      <c r="H93" s="57">
        <f>VLOOKUP(B93,'[1]Product by Part Number'!$A:$K,5,0)</f>
        <v>113.26</v>
      </c>
      <c r="I93" s="90">
        <f t="shared" si="5"/>
        <v>226.52</v>
      </c>
    </row>
    <row r="94" spans="2:9" s="53" customFormat="1" x14ac:dyDescent="0.3">
      <c r="B94" s="79" t="s">
        <v>138</v>
      </c>
      <c r="C94" s="54" t="str">
        <f>VLOOKUP(B94,'[1]Product by Part Number'!$A:$K,2,0)</f>
        <v xml:space="preserve">CAT D7G (92V)                  </v>
      </c>
      <c r="D94" s="54" t="str">
        <f>VLOOKUP(B94,'[1]Product by Part Number'!$A:$K,3,0)</f>
        <v>SPROCKET HUB</v>
      </c>
      <c r="E94" s="55">
        <f>VLOOKUP(B94,'[1]Product by Part Number'!$A:$K,11,0)</f>
        <v>2</v>
      </c>
      <c r="F94" s="56">
        <f>VLOOKUP(B94,'[1]Product by Part Number'!$A:$K,4,0)</f>
        <v>3635.61</v>
      </c>
      <c r="G94" s="56">
        <f t="shared" si="4"/>
        <v>7271.22</v>
      </c>
      <c r="H94" s="57">
        <f>VLOOKUP(B94,'[1]Product by Part Number'!$A:$K,5,0)</f>
        <v>1817.81</v>
      </c>
      <c r="I94" s="90">
        <f t="shared" si="5"/>
        <v>3635.62</v>
      </c>
    </row>
    <row r="95" spans="2:9" s="53" customFormat="1" ht="27" x14ac:dyDescent="0.3">
      <c r="B95" s="79" t="s">
        <v>139</v>
      </c>
      <c r="C95" s="54" t="str">
        <f>VLOOKUP(B95,'[1]Product by Part Number'!$A:$K,2,0)</f>
        <v xml:space="preserve">CAT D6N LGP (GHS) CAT D6N LGP (PBA) CAT D6N LGP (SGG)              </v>
      </c>
      <c r="D95" s="54" t="str">
        <f>VLOOKUP(B95,'[1]Product by Part Number'!$A:$K,3,0)</f>
        <v>CARRIER ROLLER</v>
      </c>
      <c r="E95" s="55">
        <f>VLOOKUP(B95,'[1]Product by Part Number'!$A:$K,11,0)</f>
        <v>10</v>
      </c>
      <c r="F95" s="56">
        <f>VLOOKUP(B95,'[1]Product by Part Number'!$A:$K,4,0)</f>
        <v>496.33</v>
      </c>
      <c r="G95" s="56">
        <f t="shared" si="4"/>
        <v>4963.3</v>
      </c>
      <c r="H95" s="57">
        <f>VLOOKUP(B95,'[1]Product by Part Number'!$A:$K,5,0)</f>
        <v>248.17</v>
      </c>
      <c r="I95" s="90">
        <f t="shared" si="5"/>
        <v>2481.6999999999998</v>
      </c>
    </row>
    <row r="96" spans="2:9" s="53" customFormat="1" x14ac:dyDescent="0.3">
      <c r="B96" s="79" t="s">
        <v>140</v>
      </c>
      <c r="C96" s="54" t="str">
        <f>VLOOKUP(B96,'[1]Product by Part Number'!$A:$K,2,0)</f>
        <v xml:space="preserve">CAT D6T (MH7)                  </v>
      </c>
      <c r="D96" s="54" t="str">
        <f>VLOOKUP(B96,'[1]Product by Part Number'!$A:$K,3,0)</f>
        <v>CUTTING EDGE</v>
      </c>
      <c r="E96" s="55">
        <f>VLOOKUP(B96,'[1]Product by Part Number'!$A:$K,11,0)</f>
        <v>2</v>
      </c>
      <c r="F96" s="56">
        <f>VLOOKUP(B96,'[1]Product by Part Number'!$A:$K,4,0)</f>
        <v>559.01</v>
      </c>
      <c r="G96" s="56">
        <f t="shared" si="4"/>
        <v>1118.02</v>
      </c>
      <c r="H96" s="57">
        <f>VLOOKUP(B96,'[1]Product by Part Number'!$A:$K,5,0)</f>
        <v>212.42</v>
      </c>
      <c r="I96" s="90">
        <f t="shared" si="5"/>
        <v>424.84</v>
      </c>
    </row>
    <row r="97" spans="2:9" s="53" customFormat="1" x14ac:dyDescent="0.3">
      <c r="B97" s="79" t="s">
        <v>141</v>
      </c>
      <c r="C97" s="54" t="str">
        <f>VLOOKUP(B97,'[1]Product by Part Number'!$A:$K,2,0)</f>
        <v xml:space="preserve">CAT D6 (RDC) CAT D6T (MH7)                </v>
      </c>
      <c r="D97" s="54" t="str">
        <f>VLOOKUP(B97,'[1]Product by Part Number'!$A:$K,3,0)</f>
        <v>CARRIER ROLLER</v>
      </c>
      <c r="E97" s="55">
        <f>VLOOKUP(B97,'[1]Product by Part Number'!$A:$K,11,0)</f>
        <v>4</v>
      </c>
      <c r="F97" s="56">
        <f>VLOOKUP(B97,'[1]Product by Part Number'!$A:$K,4,0)</f>
        <v>594.54</v>
      </c>
      <c r="G97" s="56">
        <f t="shared" si="4"/>
        <v>2378.16</v>
      </c>
      <c r="H97" s="57">
        <f>VLOOKUP(B97,'[1]Product by Part Number'!$A:$K,5,0)</f>
        <v>297.27</v>
      </c>
      <c r="I97" s="90">
        <f t="shared" si="5"/>
        <v>1189.08</v>
      </c>
    </row>
    <row r="98" spans="2:9" s="53" customFormat="1" x14ac:dyDescent="0.3">
      <c r="B98" s="79" t="s">
        <v>142</v>
      </c>
      <c r="C98" s="54" t="str">
        <f>VLOOKUP(B98,'[1]Product by Part Number'!$A:$K,2,0)</f>
        <v xml:space="preserve">CAT D6N LGP (PBA)                  </v>
      </c>
      <c r="D98" s="54" t="str">
        <f>VLOOKUP(B98,'[1]Product by Part Number'!$A:$K,3,0)</f>
        <v>SINGLE FLANGE TRACK ROLLER</v>
      </c>
      <c r="E98" s="55">
        <f>VLOOKUP(B98,'[1]Product by Part Number'!$A:$K,11,0)</f>
        <v>32</v>
      </c>
      <c r="F98" s="56">
        <f>VLOOKUP(B98,'[1]Product by Part Number'!$A:$K,4,0)</f>
        <v>866.99</v>
      </c>
      <c r="G98" s="56">
        <f t="shared" si="4"/>
        <v>27743.68</v>
      </c>
      <c r="H98" s="57">
        <f>VLOOKUP(B98,'[1]Product by Part Number'!$A:$K,5,0)</f>
        <v>433.5</v>
      </c>
      <c r="I98" s="90">
        <f t="shared" si="5"/>
        <v>13872</v>
      </c>
    </row>
    <row r="99" spans="2:9" s="53" customFormat="1" ht="27" x14ac:dyDescent="0.3">
      <c r="B99" s="79" t="s">
        <v>143</v>
      </c>
      <c r="C99" s="54" t="str">
        <f>VLOOKUP(B99,'[1]Product by Part Number'!$A:$K,2,0)</f>
        <v xml:space="preserve">CAT 320E L (WBK) CAT 320F L (YBM) CAT 320 (HEX) CAT 320 (MYK)            </v>
      </c>
      <c r="D99" s="54" t="str">
        <f>VLOOKUP(B99,'[1]Product by Part Number'!$A:$K,3,0)</f>
        <v>TRACK IDLER</v>
      </c>
      <c r="E99" s="55">
        <f>VLOOKUP(B99,'[1]Product by Part Number'!$A:$K,11,0)</f>
        <v>16</v>
      </c>
      <c r="F99" s="56">
        <f>VLOOKUP(B99,'[1]Product by Part Number'!$A:$K,4,0)</f>
        <v>2633.14</v>
      </c>
      <c r="G99" s="56">
        <f t="shared" si="4"/>
        <v>42130.239999999998</v>
      </c>
      <c r="H99" s="57">
        <f>VLOOKUP(B99,'[1]Product by Part Number'!$A:$K,5,0)</f>
        <v>1316.57</v>
      </c>
      <c r="I99" s="90">
        <f t="shared" si="5"/>
        <v>21065.119999999999</v>
      </c>
    </row>
    <row r="100" spans="2:9" s="53" customFormat="1" x14ac:dyDescent="0.3">
      <c r="B100" s="79" t="s">
        <v>144</v>
      </c>
      <c r="C100" s="54" t="str">
        <f>VLOOKUP(B100,'[1]Product by Part Number'!$A:$K,2,0)</f>
        <v xml:space="preserve">CAT D6N LGP (GHS) CAT D6N LGP (SGG)                </v>
      </c>
      <c r="D100" s="54" t="str">
        <f>VLOOKUP(B100,'[1]Product by Part Number'!$A:$K,3,0)</f>
        <v>IDLER SCRAPER</v>
      </c>
      <c r="E100" s="55">
        <f>VLOOKUP(B100,'[1]Product by Part Number'!$A:$K,11,0)</f>
        <v>6</v>
      </c>
      <c r="F100" s="56">
        <f>VLOOKUP(B100,'[1]Product by Part Number'!$A:$K,4,0)</f>
        <v>113.29</v>
      </c>
      <c r="G100" s="56">
        <f t="shared" si="4"/>
        <v>679.74</v>
      </c>
      <c r="H100" s="57">
        <f>VLOOKUP(B100,'[1]Product by Part Number'!$A:$K,5,0)</f>
        <v>56.65</v>
      </c>
      <c r="I100" s="90">
        <f t="shared" si="5"/>
        <v>339.9</v>
      </c>
    </row>
    <row r="101" spans="2:9" s="53" customFormat="1" x14ac:dyDescent="0.3">
      <c r="B101" s="79" t="s">
        <v>145</v>
      </c>
      <c r="C101" s="54" t="str">
        <f>VLOOKUP(B101,'[1]Product by Part Number'!$A:$K,2,0)</f>
        <v xml:space="preserve">CAT D6N LGP (GHS) CAT PL61 (WGS)                </v>
      </c>
      <c r="D101" s="54" t="str">
        <f>VLOOKUP(B101,'[1]Product by Part Number'!$A:$K,3,0)</f>
        <v>PRIMARY AIR FILTER ELEMENT</v>
      </c>
      <c r="E101" s="55">
        <f>VLOOKUP(B101,'[1]Product by Part Number'!$A:$K,11,0)</f>
        <v>12</v>
      </c>
      <c r="F101" s="56">
        <f>VLOOKUP(B101,'[1]Product by Part Number'!$A:$K,4,0)</f>
        <v>221.03</v>
      </c>
      <c r="G101" s="56">
        <f t="shared" si="4"/>
        <v>2652.36</v>
      </c>
      <c r="H101" s="57">
        <f>VLOOKUP(B101,'[1]Product by Part Number'!$A:$K,5,0)</f>
        <v>83.99</v>
      </c>
      <c r="I101" s="90">
        <f t="shared" si="5"/>
        <v>1007.88</v>
      </c>
    </row>
    <row r="102" spans="2:9" s="53" customFormat="1" x14ac:dyDescent="0.3">
      <c r="B102" s="79" t="s">
        <v>146</v>
      </c>
      <c r="C102" s="54" t="str">
        <f>VLOOKUP(B102,'[1]Product by Part Number'!$A:$K,2,0)</f>
        <v xml:space="preserve">CAT D6N LGP (GHS) CAT PL61 (WGS)                </v>
      </c>
      <c r="D102" s="54" t="str">
        <f>VLOOKUP(B102,'[1]Product by Part Number'!$A:$K,3,0)</f>
        <v>SECONDARY AIR FILTER ELEMENT</v>
      </c>
      <c r="E102" s="55">
        <f>VLOOKUP(B102,'[1]Product by Part Number'!$A:$K,11,0)</f>
        <v>12</v>
      </c>
      <c r="F102" s="56">
        <f>VLOOKUP(B102,'[1]Product by Part Number'!$A:$K,4,0)</f>
        <v>152.66999999999999</v>
      </c>
      <c r="G102" s="56">
        <f t="shared" si="4"/>
        <v>1832.04</v>
      </c>
      <c r="H102" s="57">
        <f>VLOOKUP(B102,'[1]Product by Part Number'!$A:$K,5,0)</f>
        <v>58.01</v>
      </c>
      <c r="I102" s="90">
        <f t="shared" si="5"/>
        <v>696.12</v>
      </c>
    </row>
    <row r="103" spans="2:9" s="53" customFormat="1" x14ac:dyDescent="0.3">
      <c r="B103" s="79" t="s">
        <v>147</v>
      </c>
      <c r="C103" s="54" t="str">
        <f>VLOOKUP(B103,'[1]Product by Part Number'!$A:$K,2,0)</f>
        <v xml:space="preserve">CAT D6N LGP (PBA)                  </v>
      </c>
      <c r="D103" s="54" t="str">
        <f>VLOOKUP(B103,'[1]Product by Part Number'!$A:$K,3,0)</f>
        <v>TRACK BOLT MASTER</v>
      </c>
      <c r="E103" s="55">
        <f>VLOOKUP(B103,'[1]Product by Part Number'!$A:$K,11,0)</f>
        <v>16</v>
      </c>
      <c r="F103" s="56">
        <f>VLOOKUP(B103,'[1]Product by Part Number'!$A:$K,4,0)</f>
        <v>10.72</v>
      </c>
      <c r="G103" s="56">
        <f t="shared" si="4"/>
        <v>171.52</v>
      </c>
      <c r="H103" s="57">
        <f>VLOOKUP(B103,'[1]Product by Part Number'!$A:$K,5,0)</f>
        <v>5.36</v>
      </c>
      <c r="I103" s="90">
        <f t="shared" si="5"/>
        <v>85.76</v>
      </c>
    </row>
    <row r="104" spans="2:9" s="53" customFormat="1" x14ac:dyDescent="0.3">
      <c r="B104" s="79" t="s">
        <v>148</v>
      </c>
      <c r="C104" s="54" t="str">
        <f>VLOOKUP(B104,'[1]Product by Part Number'!$A:$K,2,0)</f>
        <v xml:space="preserve">CAT PL61 (WGS)                  </v>
      </c>
      <c r="D104" s="54" t="str">
        <f>VLOOKUP(B104,'[1]Product by Part Number'!$A:$K,3,0)</f>
        <v>SPROCKET</v>
      </c>
      <c r="E104" s="55">
        <f>VLOOKUP(B104,'[1]Product by Part Number'!$A:$K,11,0)</f>
        <v>6</v>
      </c>
      <c r="F104" s="56">
        <f>VLOOKUP(B104,'[1]Product by Part Number'!$A:$K,4,0)</f>
        <v>1650.99</v>
      </c>
      <c r="G104" s="56">
        <f t="shared" si="4"/>
        <v>9905.94</v>
      </c>
      <c r="H104" s="57">
        <f>VLOOKUP(B104,'[1]Product by Part Number'!$A:$K,5,0)</f>
        <v>825.5</v>
      </c>
      <c r="I104" s="90">
        <f t="shared" si="5"/>
        <v>4953</v>
      </c>
    </row>
    <row r="105" spans="2:9" s="53" customFormat="1" x14ac:dyDescent="0.3">
      <c r="B105" s="79" t="s">
        <v>149</v>
      </c>
      <c r="C105" s="54" t="str">
        <f>VLOOKUP(B105,'[1]Product by Part Number'!$A:$K,2,0)</f>
        <v xml:space="preserve">CAT D6N LGP (GHS) CAT D6N LGP (SGG)                </v>
      </c>
      <c r="D105" s="54" t="str">
        <f>VLOOKUP(B105,'[1]Product by Part Number'!$A:$K,3,0)</f>
        <v>HEX HEAD BOLT</v>
      </c>
      <c r="E105" s="55">
        <f>VLOOKUP(B105,'[1]Product by Part Number'!$A:$K,11,0)</f>
        <v>12</v>
      </c>
      <c r="F105" s="56">
        <f>VLOOKUP(B105,'[1]Product by Part Number'!$A:$K,4,0)</f>
        <v>4.12</v>
      </c>
      <c r="G105" s="56">
        <f t="shared" si="4"/>
        <v>49.44</v>
      </c>
      <c r="H105" s="57">
        <f>VLOOKUP(B105,'[1]Product by Part Number'!$A:$K,5,0)</f>
        <v>2.06</v>
      </c>
      <c r="I105" s="90">
        <f t="shared" si="5"/>
        <v>24.72</v>
      </c>
    </row>
    <row r="106" spans="2:9" s="53" customFormat="1" x14ac:dyDescent="0.3">
      <c r="B106" s="79" t="s">
        <v>150</v>
      </c>
      <c r="C106" s="54" t="str">
        <f>VLOOKUP(B106,'[1]Product by Part Number'!$A:$K,2,0)</f>
        <v xml:space="preserve">CAT 303.5E                  </v>
      </c>
      <c r="D106" s="54" t="str">
        <f>VLOOKUP(B106,'[1]Product by Part Number'!$A:$K,3,0)</f>
        <v>IDLER-BEARING ASSY LH</v>
      </c>
      <c r="E106" s="55">
        <f>VLOOKUP(B106,'[1]Product by Part Number'!$A:$K,11,0)</f>
        <v>2</v>
      </c>
      <c r="F106" s="56">
        <f>VLOOKUP(B106,'[1]Product by Part Number'!$A:$K,4,0)</f>
        <v>854.8</v>
      </c>
      <c r="G106" s="56">
        <f t="shared" si="4"/>
        <v>1709.6</v>
      </c>
      <c r="H106" s="57">
        <f>VLOOKUP(B106,'[1]Product by Part Number'!$A:$K,5,0)</f>
        <v>427.4</v>
      </c>
      <c r="I106" s="90">
        <f t="shared" si="5"/>
        <v>854.8</v>
      </c>
    </row>
    <row r="107" spans="2:9" s="53" customFormat="1" x14ac:dyDescent="0.3">
      <c r="B107" s="79" t="s">
        <v>151</v>
      </c>
      <c r="C107" s="54" t="str">
        <f>VLOOKUP(B107,'[1]Product by Part Number'!$A:$K,2,0)</f>
        <v xml:space="preserve">CAT D6N LGP (PBA)                  </v>
      </c>
      <c r="D107" s="54" t="str">
        <f>VLOOKUP(B107,'[1]Product by Part Number'!$A:$K,3,0)</f>
        <v>TRACK SHOE 860MM</v>
      </c>
      <c r="E107" s="55">
        <f>VLOOKUP(B107,'[1]Product by Part Number'!$A:$K,11,0)</f>
        <v>180</v>
      </c>
      <c r="F107" s="56">
        <f>VLOOKUP(B107,'[1]Product by Part Number'!$A:$K,4,0)</f>
        <v>211.37</v>
      </c>
      <c r="G107" s="56">
        <f t="shared" si="4"/>
        <v>38046.6</v>
      </c>
      <c r="H107" s="57">
        <f>VLOOKUP(B107,'[1]Product by Part Number'!$A:$K,5,0)</f>
        <v>105.69</v>
      </c>
      <c r="I107" s="90">
        <f t="shared" si="5"/>
        <v>19024.2</v>
      </c>
    </row>
    <row r="108" spans="2:9" s="53" customFormat="1" x14ac:dyDescent="0.3">
      <c r="B108" s="79" t="s">
        <v>152</v>
      </c>
      <c r="C108" s="54" t="str">
        <f>VLOOKUP(B108,'[1]Product by Part Number'!$A:$K,2,0)</f>
        <v xml:space="preserve">CAT 561N (CPH) CAT PL61 (WGS)                </v>
      </c>
      <c r="D108" s="54" t="str">
        <f>VLOOKUP(B108,'[1]Product by Part Number'!$A:$K,3,0)</f>
        <v>CYLINDER HEAD</v>
      </c>
      <c r="E108" s="55">
        <f>VLOOKUP(B108,'[1]Product by Part Number'!$A:$K,11,0)</f>
        <v>8</v>
      </c>
      <c r="F108" s="56">
        <f>VLOOKUP(B108,'[1]Product by Part Number'!$A:$K,4,0)</f>
        <v>12450.3</v>
      </c>
      <c r="G108" s="56">
        <f t="shared" si="4"/>
        <v>99602.4</v>
      </c>
      <c r="H108" s="57">
        <f>VLOOKUP(B108,'[1]Product by Part Number'!$A:$K,5,0)</f>
        <v>6225.15</v>
      </c>
      <c r="I108" s="90">
        <f t="shared" si="5"/>
        <v>49801.2</v>
      </c>
    </row>
    <row r="109" spans="2:9" s="53" customFormat="1" x14ac:dyDescent="0.3">
      <c r="B109" s="79" t="s">
        <v>153</v>
      </c>
      <c r="C109" s="54" t="str">
        <f>VLOOKUP(B109,'[1]Product by Part Number'!$A:$K,2,0)</f>
        <v xml:space="preserve">CAT D7G (92V)                  </v>
      </c>
      <c r="D109" s="54" t="str">
        <f>VLOOKUP(B109,'[1]Product by Part Number'!$A:$K,3,0)</f>
        <v>SPROCKET BOLT</v>
      </c>
      <c r="E109" s="55">
        <f>VLOOKUP(B109,'[1]Product by Part Number'!$A:$K,11,0)</f>
        <v>40</v>
      </c>
      <c r="F109" s="56">
        <f>VLOOKUP(B109,'[1]Product by Part Number'!$A:$K,4,0)</f>
        <v>4.75</v>
      </c>
      <c r="G109" s="56">
        <f t="shared" si="4"/>
        <v>190</v>
      </c>
      <c r="H109" s="57">
        <f>VLOOKUP(B109,'[1]Product by Part Number'!$A:$K,5,0)</f>
        <v>2.38</v>
      </c>
      <c r="I109" s="90">
        <f t="shared" si="5"/>
        <v>95.2</v>
      </c>
    </row>
    <row r="110" spans="2:9" s="53" customFormat="1" x14ac:dyDescent="0.3">
      <c r="B110" s="79" t="s">
        <v>154</v>
      </c>
      <c r="C110" s="54" t="str">
        <f>VLOOKUP(B110,'[1]Product by Part Number'!$A:$K,2,0)</f>
        <v xml:space="preserve">CAT 303.5E                  </v>
      </c>
      <c r="D110" s="54" t="str">
        <f>VLOOKUP(B110,'[1]Product by Part Number'!$A:$K,3,0)</f>
        <v>CABIN AIR FILTER ELEMENT</v>
      </c>
      <c r="E110" s="55">
        <f>VLOOKUP(B110,'[1]Product by Part Number'!$A:$K,11,0)</f>
        <v>3</v>
      </c>
      <c r="F110" s="56">
        <f>VLOOKUP(B110,'[1]Product by Part Number'!$A:$K,4,0)</f>
        <v>98.39</v>
      </c>
      <c r="G110" s="56">
        <f t="shared" si="4"/>
        <v>295.17</v>
      </c>
      <c r="H110" s="57">
        <f>VLOOKUP(B110,'[1]Product by Part Number'!$A:$K,5,0)</f>
        <v>37.39</v>
      </c>
      <c r="I110" s="90">
        <f t="shared" si="5"/>
        <v>112.17</v>
      </c>
    </row>
    <row r="111" spans="2:9" s="53" customFormat="1" x14ac:dyDescent="0.3">
      <c r="B111" s="79" t="s">
        <v>155</v>
      </c>
      <c r="C111" s="54" t="str">
        <f>VLOOKUP(B111,'[1]Product by Part Number'!$A:$K,2,0)</f>
        <v xml:space="preserve">CAT D4 (66J)                  </v>
      </c>
      <c r="D111" s="54" t="str">
        <f>VLOOKUP(B111,'[1]Product by Part Number'!$A:$K,3,0)</f>
        <v>TURBOCHARGER ASSEMBLY</v>
      </c>
      <c r="E111" s="55">
        <f>VLOOKUP(B111,'[1]Product by Part Number'!$A:$K,11,0)</f>
        <v>1</v>
      </c>
      <c r="F111" s="56">
        <f>VLOOKUP(B111,'[1]Product by Part Number'!$A:$K,4,0)</f>
        <v>3627.05</v>
      </c>
      <c r="G111" s="56">
        <f t="shared" si="4"/>
        <v>3627.05</v>
      </c>
      <c r="H111" s="57">
        <f>VLOOKUP(B111,'[1]Product by Part Number'!$A:$K,5,0)</f>
        <v>1813.53</v>
      </c>
      <c r="I111" s="90">
        <f t="shared" si="5"/>
        <v>1813.53</v>
      </c>
    </row>
    <row r="112" spans="2:9" s="53" customFormat="1" x14ac:dyDescent="0.3">
      <c r="B112" s="79" t="s">
        <v>156</v>
      </c>
      <c r="C112" s="54" t="str">
        <f>VLOOKUP(B112,'[1]Product by Part Number'!$A:$K,2,0)</f>
        <v xml:space="preserve">CAT D6T (MH7)                  </v>
      </c>
      <c r="D112" s="54" t="str">
        <f>VLOOKUP(B112,'[1]Product by Part Number'!$A:$K,3,0)</f>
        <v>SINGLE FLANGE TRACK ROLLER</v>
      </c>
      <c r="E112" s="55">
        <f>VLOOKUP(B112,'[1]Product by Part Number'!$A:$K,11,0)</f>
        <v>4</v>
      </c>
      <c r="F112" s="56">
        <f>VLOOKUP(B112,'[1]Product by Part Number'!$A:$K,4,0)</f>
        <v>936.48</v>
      </c>
      <c r="G112" s="56">
        <f t="shared" si="4"/>
        <v>3745.92</v>
      </c>
      <c r="H112" s="57">
        <f>VLOOKUP(B112,'[1]Product by Part Number'!$A:$K,5,0)</f>
        <v>468.24</v>
      </c>
      <c r="I112" s="90">
        <f t="shared" si="5"/>
        <v>1872.96</v>
      </c>
    </row>
    <row r="113" spans="2:9" s="53" customFormat="1" x14ac:dyDescent="0.3">
      <c r="B113" s="79" t="s">
        <v>157</v>
      </c>
      <c r="C113" s="54" t="str">
        <f>VLOOKUP(B113,'[1]Product by Part Number'!$A:$K,2,0)</f>
        <v xml:space="preserve">CAT D6T (MH7)                  </v>
      </c>
      <c r="D113" s="54" t="str">
        <f>VLOOKUP(B113,'[1]Product by Part Number'!$A:$K,3,0)</f>
        <v>DOUBLE FLANGE TRACK ROLLER</v>
      </c>
      <c r="E113" s="55">
        <f>VLOOKUP(B113,'[1]Product by Part Number'!$A:$K,11,0)</f>
        <v>12</v>
      </c>
      <c r="F113" s="56">
        <f>VLOOKUP(B113,'[1]Product by Part Number'!$A:$K,4,0)</f>
        <v>1023.54</v>
      </c>
      <c r="G113" s="56">
        <f t="shared" si="4"/>
        <v>12282.48</v>
      </c>
      <c r="H113" s="57">
        <f>VLOOKUP(B113,'[1]Product by Part Number'!$A:$K,5,0)</f>
        <v>511.77</v>
      </c>
      <c r="I113" s="90">
        <f t="shared" si="5"/>
        <v>6141.24</v>
      </c>
    </row>
    <row r="114" spans="2:9" s="53" customFormat="1" x14ac:dyDescent="0.3">
      <c r="B114" s="79" t="s">
        <v>158</v>
      </c>
      <c r="C114" s="54" t="str">
        <f>VLOOKUP(B114,'[1]Product by Part Number'!$A:$K,2,0)</f>
        <v xml:space="preserve">CAT 303.5E                  </v>
      </c>
      <c r="D114" s="54" t="str">
        <f>VLOOKUP(B114,'[1]Product by Part Number'!$A:$K,3,0)</f>
        <v>FINAL DRIVE</v>
      </c>
      <c r="E114" s="55">
        <f>VLOOKUP(B114,'[1]Product by Part Number'!$A:$K,11,0)</f>
        <v>2</v>
      </c>
      <c r="F114" s="56">
        <f>VLOOKUP(B114,'[1]Product by Part Number'!$A:$K,4,0)</f>
        <v>10089.31</v>
      </c>
      <c r="G114" s="56">
        <f t="shared" si="4"/>
        <v>20178.62</v>
      </c>
      <c r="H114" s="57">
        <f>VLOOKUP(B114,'[1]Product by Part Number'!$A:$K,5,0)</f>
        <v>5044.66</v>
      </c>
      <c r="I114" s="90">
        <f t="shared" si="5"/>
        <v>10089.32</v>
      </c>
    </row>
    <row r="115" spans="2:9" s="53" customFormat="1" x14ac:dyDescent="0.3">
      <c r="B115" s="79" t="s">
        <v>159</v>
      </c>
      <c r="C115" s="54" t="str">
        <f>VLOOKUP(B115,'[1]Product by Part Number'!$A:$K,2,0)</f>
        <v xml:space="preserve">CAT D6N LGP (PBA)                  </v>
      </c>
      <c r="D115" s="54" t="str">
        <f>VLOOKUP(B115,'[1]Product by Part Number'!$A:$K,3,0)</f>
        <v>TRACK SHOE MASTER</v>
      </c>
      <c r="E115" s="55">
        <f>VLOOKUP(B115,'[1]Product by Part Number'!$A:$K,11,0)</f>
        <v>4</v>
      </c>
      <c r="F115" s="56">
        <f>VLOOKUP(B115,'[1]Product by Part Number'!$A:$K,4,0)</f>
        <v>241.71</v>
      </c>
      <c r="G115" s="56">
        <f t="shared" si="4"/>
        <v>966.84</v>
      </c>
      <c r="H115" s="57">
        <f>VLOOKUP(B115,'[1]Product by Part Number'!$A:$K,5,0)</f>
        <v>120.86</v>
      </c>
      <c r="I115" s="90">
        <f t="shared" si="5"/>
        <v>483.44</v>
      </c>
    </row>
    <row r="116" spans="2:9" s="53" customFormat="1" ht="27" x14ac:dyDescent="0.3">
      <c r="B116" s="79" t="s">
        <v>51</v>
      </c>
      <c r="C116" s="54" t="str">
        <f>VLOOKUP(B116,'[1]Product by Part Number'!$A:$K,2,0)</f>
        <v xml:space="preserve">CAT D5 (3CR) CAT D6N LGP (GHS) CAT D6N LGP (PBA) CAT D6N LGP (SGG) CAT D6T (MH7)          </v>
      </c>
      <c r="D116" s="54" t="str">
        <f>VLOOKUP(B116,'[1]Product by Part Number'!$A:$K,3,0)</f>
        <v xml:space="preserve">HEX NUT </v>
      </c>
      <c r="E116" s="55">
        <f>VLOOKUP(B116,'[1]Product by Part Number'!$A:$K,11,0)</f>
        <v>222</v>
      </c>
      <c r="F116" s="56">
        <f>VLOOKUP(B116,'[1]Product by Part Number'!$A:$K,4,0)</f>
        <v>3.65</v>
      </c>
      <c r="G116" s="56">
        <f t="shared" si="4"/>
        <v>810.3</v>
      </c>
      <c r="H116" s="57">
        <f>VLOOKUP(B116,'[1]Product by Part Number'!$A:$K,5,0)</f>
        <v>1.39</v>
      </c>
      <c r="I116" s="90">
        <f t="shared" si="5"/>
        <v>308.58</v>
      </c>
    </row>
    <row r="117" spans="2:9" s="53" customFormat="1" x14ac:dyDescent="0.3">
      <c r="B117" s="79" t="s">
        <v>160</v>
      </c>
      <c r="C117" s="54" t="str">
        <f>VLOOKUP(B117,'[1]Product by Part Number'!$A:$K,2,0)</f>
        <v xml:space="preserve">CAT D7G (92V)                  </v>
      </c>
      <c r="D117" s="54" t="str">
        <f>VLOOKUP(B117,'[1]Product by Part Number'!$A:$K,3,0)</f>
        <v>ENGINE OIL FILTER</v>
      </c>
      <c r="E117" s="55">
        <f>VLOOKUP(B117,'[1]Product by Part Number'!$A:$K,11,0)</f>
        <v>5</v>
      </c>
      <c r="F117" s="56">
        <f>VLOOKUP(B117,'[1]Product by Part Number'!$A:$K,4,0)</f>
        <v>17.309999999999999</v>
      </c>
      <c r="G117" s="56">
        <f t="shared" si="4"/>
        <v>86.55</v>
      </c>
      <c r="H117" s="57">
        <f>VLOOKUP(B117,'[1]Product by Part Number'!$A:$K,5,0)</f>
        <v>6.58</v>
      </c>
      <c r="I117" s="90">
        <f t="shared" si="5"/>
        <v>32.9</v>
      </c>
    </row>
    <row r="118" spans="2:9" s="53" customFormat="1" x14ac:dyDescent="0.3">
      <c r="B118" s="79" t="s">
        <v>161</v>
      </c>
      <c r="C118" s="54" t="str">
        <f>VLOOKUP(B118,'[1]Product by Part Number'!$A:$K,2,0)</f>
        <v xml:space="preserve">CAT D4 (66J)                  </v>
      </c>
      <c r="D118" s="54" t="str">
        <f>VLOOKUP(B118,'[1]Product by Part Number'!$A:$K,3,0)</f>
        <v>SECONDARY AIR FILTER ELEMENT</v>
      </c>
      <c r="E118" s="55">
        <f>VLOOKUP(B118,'[1]Product by Part Number'!$A:$K,11,0)</f>
        <v>3</v>
      </c>
      <c r="F118" s="56">
        <f>VLOOKUP(B118,'[1]Product by Part Number'!$A:$K,4,0)</f>
        <v>111.66</v>
      </c>
      <c r="G118" s="56">
        <f t="shared" si="4"/>
        <v>334.98</v>
      </c>
      <c r="H118" s="57">
        <f>VLOOKUP(B118,'[1]Product by Part Number'!$A:$K,5,0)</f>
        <v>42.43</v>
      </c>
      <c r="I118" s="90">
        <f t="shared" si="5"/>
        <v>127.29</v>
      </c>
    </row>
    <row r="119" spans="2:9" s="53" customFormat="1" ht="27" x14ac:dyDescent="0.3">
      <c r="B119" s="79" t="s">
        <v>162</v>
      </c>
      <c r="C119" s="54" t="str">
        <f>VLOOKUP(B119,'[1]Product by Part Number'!$A:$K,2,0)</f>
        <v xml:space="preserve">CAT D6N LGP (GHS) CAT D6N LGP (PBA) CAT D6N LGP (SGG) CAT D6T (MH7)            </v>
      </c>
      <c r="D119" s="54" t="str">
        <f>VLOOKUP(B119,'[1]Product by Part Number'!$A:$K,3,0)</f>
        <v>FLAT WASHER</v>
      </c>
      <c r="E119" s="55">
        <f>VLOOKUP(B119,'[1]Product by Part Number'!$A:$K,11,0)</f>
        <v>300</v>
      </c>
      <c r="F119" s="56">
        <f>VLOOKUP(B119,'[1]Product by Part Number'!$A:$K,4,0)</f>
        <v>2.0499999999999998</v>
      </c>
      <c r="G119" s="56">
        <f t="shared" si="4"/>
        <v>615</v>
      </c>
      <c r="H119" s="57">
        <f>VLOOKUP(B119,'[1]Product by Part Number'!$A:$K,5,0)</f>
        <v>1.03</v>
      </c>
      <c r="I119" s="90">
        <f t="shared" si="5"/>
        <v>309</v>
      </c>
    </row>
    <row r="120" spans="2:9" s="53" customFormat="1" ht="40.200000000000003" x14ac:dyDescent="0.3">
      <c r="B120" s="79" t="s">
        <v>163</v>
      </c>
      <c r="C120" s="54" t="str">
        <f>VLOOKUP(B120,'[1]Product by Part Number'!$A:$K,2,0)</f>
        <v xml:space="preserve">CAT 329E L (ZCD) CAT 329F L (ERL) CAT 330F L (MBX) CAT 330F L (HCK) CAT 330 (LHW) CAT 330 (WCH) CAT 336F L (RKB)      </v>
      </c>
      <c r="D120" s="54" t="str">
        <f>VLOOKUP(B120,'[1]Product by Part Number'!$A:$K,3,0)</f>
        <v>CARRIER ROLLER</v>
      </c>
      <c r="E120" s="55">
        <f>VLOOKUP(B120,'[1]Product by Part Number'!$A:$K,11,0)</f>
        <v>68</v>
      </c>
      <c r="F120" s="56">
        <f>VLOOKUP(B120,'[1]Product by Part Number'!$A:$K,4,0)</f>
        <v>635.41999999999996</v>
      </c>
      <c r="G120" s="56">
        <f t="shared" si="4"/>
        <v>43208.56</v>
      </c>
      <c r="H120" s="57">
        <f>VLOOKUP(B120,'[1]Product by Part Number'!$A:$K,5,0)</f>
        <v>317.70999999999998</v>
      </c>
      <c r="I120" s="90">
        <f t="shared" si="5"/>
        <v>21604.28</v>
      </c>
    </row>
    <row r="121" spans="2:9" s="53" customFormat="1" x14ac:dyDescent="0.3">
      <c r="B121" s="79" t="s">
        <v>164</v>
      </c>
      <c r="C121" s="54" t="str">
        <f>VLOOKUP(B121,'[1]Product by Part Number'!$A:$K,2,0)</f>
        <v xml:space="preserve">CAT 303.5E                  </v>
      </c>
      <c r="D121" s="54" t="str">
        <f>VLOOKUP(B121,'[1]Product by Part Number'!$A:$K,3,0)</f>
        <v>HYDRAULIC OIL FILTER</v>
      </c>
      <c r="E121" s="55">
        <f>VLOOKUP(B121,'[1]Product by Part Number'!$A:$K,11,0)</f>
        <v>5</v>
      </c>
      <c r="F121" s="56">
        <f>VLOOKUP(B121,'[1]Product by Part Number'!$A:$K,4,0)</f>
        <v>130.47</v>
      </c>
      <c r="G121" s="56">
        <f t="shared" si="4"/>
        <v>652.35</v>
      </c>
      <c r="H121" s="57">
        <f>VLOOKUP(B121,'[1]Product by Part Number'!$A:$K,5,0)</f>
        <v>49.58</v>
      </c>
      <c r="I121" s="90">
        <f t="shared" si="5"/>
        <v>247.9</v>
      </c>
    </row>
    <row r="122" spans="2:9" s="53" customFormat="1" ht="27" x14ac:dyDescent="0.3">
      <c r="B122" s="79" t="s">
        <v>165</v>
      </c>
      <c r="C122" s="54" t="str">
        <f>VLOOKUP(B122,'[1]Product by Part Number'!$A:$K,2,0)</f>
        <v xml:space="preserve">CAT 329E L (ZCD) CAT 329F L (ERL) CAT 330F L (MBX) CAT 330F L (HCK)            </v>
      </c>
      <c r="D122" s="54" t="str">
        <f>VLOOKUP(B122,'[1]Product by Part Number'!$A:$K,3,0)</f>
        <v>TRACK BOLT 68MM</v>
      </c>
      <c r="E122" s="55">
        <f>VLOOKUP(B122,'[1]Product by Part Number'!$A:$K,11,0)</f>
        <v>2400</v>
      </c>
      <c r="F122" s="56">
        <f>VLOOKUP(B122,'[1]Product by Part Number'!$A:$K,4,0)</f>
        <v>6.78</v>
      </c>
      <c r="G122" s="56">
        <f t="shared" si="4"/>
        <v>16272</v>
      </c>
      <c r="H122" s="57">
        <f>VLOOKUP(B122,'[1]Product by Part Number'!$A:$K,5,0)</f>
        <v>3.39</v>
      </c>
      <c r="I122" s="90">
        <f t="shared" si="5"/>
        <v>8136</v>
      </c>
    </row>
    <row r="123" spans="2:9" s="53" customFormat="1" x14ac:dyDescent="0.3">
      <c r="B123" s="79" t="s">
        <v>166</v>
      </c>
      <c r="C123" s="54" t="str">
        <f>VLOOKUP(B123,'[1]Product by Part Number'!$A:$K,2,0)</f>
        <v xml:space="preserve">CAT D6N LGP (GHS) CAT PL61 (WGS)                </v>
      </c>
      <c r="D123" s="54" t="str">
        <f>VLOOKUP(B123,'[1]Product by Part Number'!$A:$K,3,0)</f>
        <v>PRIMARY FUEL FILTER</v>
      </c>
      <c r="E123" s="55">
        <f>VLOOKUP(B123,'[1]Product by Part Number'!$A:$K,11,0)</f>
        <v>35</v>
      </c>
      <c r="F123" s="56">
        <f>VLOOKUP(B123,'[1]Product by Part Number'!$A:$K,4,0)</f>
        <v>62.25</v>
      </c>
      <c r="G123" s="56">
        <f t="shared" si="4"/>
        <v>2178.75</v>
      </c>
      <c r="H123" s="57">
        <f>VLOOKUP(B123,'[1]Product by Part Number'!$A:$K,5,0)</f>
        <v>23.66</v>
      </c>
      <c r="I123" s="90">
        <f t="shared" si="5"/>
        <v>828.1</v>
      </c>
    </row>
    <row r="124" spans="2:9" s="53" customFormat="1" x14ac:dyDescent="0.3">
      <c r="B124" s="79" t="s">
        <v>167</v>
      </c>
      <c r="C124" s="54" t="str">
        <f>VLOOKUP(B124,'[1]Product by Part Number'!$A:$K,2,0)</f>
        <v xml:space="preserve">CAT D6N LGP (GHS) CAT D6N LGP (SGG)                </v>
      </c>
      <c r="D124" s="54" t="str">
        <f>VLOOKUP(B124,'[1]Product by Part Number'!$A:$K,3,0)</f>
        <v>SINGLE FLANGE TRACK ROLLER</v>
      </c>
      <c r="E124" s="55">
        <f>VLOOKUP(B124,'[1]Product by Part Number'!$A:$K,11,0)</f>
        <v>20</v>
      </c>
      <c r="F124" s="56">
        <f>VLOOKUP(B124,'[1]Product by Part Number'!$A:$K,4,0)</f>
        <v>857.8</v>
      </c>
      <c r="G124" s="56">
        <f t="shared" si="4"/>
        <v>17156</v>
      </c>
      <c r="H124" s="57">
        <f>VLOOKUP(B124,'[1]Product by Part Number'!$A:$K,5,0)</f>
        <v>428.9</v>
      </c>
      <c r="I124" s="90">
        <f t="shared" si="5"/>
        <v>8578</v>
      </c>
    </row>
    <row r="125" spans="2:9" s="53" customFormat="1" x14ac:dyDescent="0.3">
      <c r="B125" s="79" t="s">
        <v>168</v>
      </c>
      <c r="C125" s="54" t="str">
        <f>VLOOKUP(B125,'[1]Product by Part Number'!$A:$K,2,0)</f>
        <v xml:space="preserve">CAT D6N LGP (SGG)                  </v>
      </c>
      <c r="D125" s="54" t="str">
        <f>VLOOKUP(B125,'[1]Product by Part Number'!$A:$K,3,0)</f>
        <v>DOUBLE FLANGE TRACK ROLLER</v>
      </c>
      <c r="E125" s="55">
        <f>VLOOKUP(B125,'[1]Product by Part Number'!$A:$K,11,0)</f>
        <v>16</v>
      </c>
      <c r="F125" s="56">
        <f>VLOOKUP(B125,'[1]Product by Part Number'!$A:$K,4,0)</f>
        <v>900.53</v>
      </c>
      <c r="G125" s="56">
        <f t="shared" si="4"/>
        <v>14408.48</v>
      </c>
      <c r="H125" s="57">
        <f>VLOOKUP(B125,'[1]Product by Part Number'!$A:$K,5,0)</f>
        <v>450.27</v>
      </c>
      <c r="I125" s="90">
        <f t="shared" si="5"/>
        <v>7204.32</v>
      </c>
    </row>
    <row r="126" spans="2:9" s="53" customFormat="1" ht="27" x14ac:dyDescent="0.3">
      <c r="B126" s="79" t="s">
        <v>169</v>
      </c>
      <c r="C126" s="54" t="str">
        <f>VLOOKUP(B126,'[1]Product by Part Number'!$A:$K,2,0)</f>
        <v xml:space="preserve">CAT D6N LGP (GHS)                  </v>
      </c>
      <c r="D126" s="54" t="str">
        <f>VLOOKUP(B126,'[1]Product by Part Number'!$A:$K,3,0)</f>
        <v>DOUBLE FLANGE TRACK ROLLER (GUIDE AR)*</v>
      </c>
      <c r="E126" s="55">
        <f>VLOOKUP(B126,'[1]Product by Part Number'!$A:$K,11,0)</f>
        <v>12</v>
      </c>
      <c r="F126" s="56">
        <f>VLOOKUP(B126,'[1]Product by Part Number'!$A:$K,4,0)</f>
        <v>1006.57</v>
      </c>
      <c r="G126" s="56">
        <f t="shared" si="4"/>
        <v>12078.84</v>
      </c>
      <c r="H126" s="57">
        <f>VLOOKUP(B126,'[1]Product by Part Number'!$A:$K,5,0)</f>
        <v>503.29</v>
      </c>
      <c r="I126" s="90">
        <f t="shared" si="5"/>
        <v>6039.48</v>
      </c>
    </row>
    <row r="127" spans="2:9" s="53" customFormat="1" x14ac:dyDescent="0.3">
      <c r="B127" s="79" t="s">
        <v>170</v>
      </c>
      <c r="C127" s="54" t="str">
        <f>VLOOKUP(B127,'[1]Product by Part Number'!$A:$K,2,0)</f>
        <v xml:space="preserve">CAT 330 (LHW) CAT 330 (WCH) CAT 336F L (RKB)              </v>
      </c>
      <c r="D127" s="54" t="str">
        <f>VLOOKUP(B127,'[1]Product by Part Number'!$A:$K,3,0)</f>
        <v>TRACK NUT</v>
      </c>
      <c r="E127" s="55">
        <f>VLOOKUP(B127,'[1]Product by Part Number'!$A:$K,11,0)</f>
        <v>4396</v>
      </c>
      <c r="F127" s="56">
        <f>VLOOKUP(B127,'[1]Product by Part Number'!$A:$K,4,0)</f>
        <v>3.94</v>
      </c>
      <c r="G127" s="56">
        <f t="shared" si="4"/>
        <v>17320.239999999998</v>
      </c>
      <c r="H127" s="57">
        <f>VLOOKUP(B127,'[1]Product by Part Number'!$A:$K,5,0)</f>
        <v>1.97</v>
      </c>
      <c r="I127" s="90">
        <f t="shared" si="5"/>
        <v>8660.1200000000008</v>
      </c>
    </row>
    <row r="128" spans="2:9" s="53" customFormat="1" x14ac:dyDescent="0.3">
      <c r="B128" s="79" t="s">
        <v>171</v>
      </c>
      <c r="C128" s="54" t="str">
        <f>VLOOKUP(B128,'[1]Product by Part Number'!$A:$K,2,0)</f>
        <v xml:space="preserve">CAT D3 (1PJ)                  </v>
      </c>
      <c r="D128" s="54" t="str">
        <f>VLOOKUP(B128,'[1]Product by Part Number'!$A:$K,3,0)</f>
        <v>TURBOCHARGER ASSEMBLY</v>
      </c>
      <c r="E128" s="55">
        <f>VLOOKUP(B128,'[1]Product by Part Number'!$A:$K,11,0)</f>
        <v>1</v>
      </c>
      <c r="F128" s="56">
        <f>VLOOKUP(B128,'[1]Product by Part Number'!$A:$K,4,0)</f>
        <v>4384.51</v>
      </c>
      <c r="G128" s="56">
        <f t="shared" si="4"/>
        <v>4384.51</v>
      </c>
      <c r="H128" s="57">
        <f>VLOOKUP(B128,'[1]Product by Part Number'!$A:$K,5,0)</f>
        <v>2192.2600000000002</v>
      </c>
      <c r="I128" s="90">
        <f t="shared" si="5"/>
        <v>2192.2600000000002</v>
      </c>
    </row>
    <row r="129" spans="2:9" s="53" customFormat="1" x14ac:dyDescent="0.3">
      <c r="B129" s="79" t="s">
        <v>172</v>
      </c>
      <c r="C129" s="54" t="str">
        <f>VLOOKUP(B129,'[1]Product by Part Number'!$A:$K,2,0)</f>
        <v xml:space="preserve">CAT 329F L (ERL)                  </v>
      </c>
      <c r="D129" s="54" t="str">
        <f>VLOOKUP(B129,'[1]Product by Part Number'!$A:$K,3,0)</f>
        <v xml:space="preserve">SEAT ASSEMBLY </v>
      </c>
      <c r="E129" s="55">
        <f>VLOOKUP(B129,'[1]Product by Part Number'!$A:$K,11,0)</f>
        <v>2</v>
      </c>
      <c r="F129" s="56">
        <f>VLOOKUP(B129,'[1]Product by Part Number'!$A:$K,4,0)</f>
        <v>3384.84</v>
      </c>
      <c r="G129" s="56">
        <f t="shared" si="4"/>
        <v>6769.68</v>
      </c>
      <c r="H129" s="57">
        <f>VLOOKUP(B129,'[1]Product by Part Number'!$A:$K,5,0)</f>
        <v>1692.42</v>
      </c>
      <c r="I129" s="90">
        <f t="shared" si="5"/>
        <v>3384.84</v>
      </c>
    </row>
    <row r="130" spans="2:9" s="53" customFormat="1" x14ac:dyDescent="0.3">
      <c r="B130" s="79" t="s">
        <v>173</v>
      </c>
      <c r="C130" s="54" t="str">
        <f>VLOOKUP(B130,'[1]Product by Part Number'!$A:$K,2,0)</f>
        <v xml:space="preserve">CAT 329F L (ERL)                  </v>
      </c>
      <c r="D130" s="54" t="str">
        <f>VLOOKUP(B130,'[1]Product by Part Number'!$A:$K,3,0)</f>
        <v>SEAT SUSPENSION ASSEMBLY</v>
      </c>
      <c r="E130" s="55">
        <f>VLOOKUP(B130,'[1]Product by Part Number'!$A:$K,11,0)</f>
        <v>2</v>
      </c>
      <c r="F130" s="56">
        <f>VLOOKUP(B130,'[1]Product by Part Number'!$A:$K,4,0)</f>
        <v>3739.65</v>
      </c>
      <c r="G130" s="56">
        <f t="shared" si="4"/>
        <v>7479.3</v>
      </c>
      <c r="H130" s="57">
        <f>VLOOKUP(B130,'[1]Product by Part Number'!$A:$K,5,0)</f>
        <v>1869.83</v>
      </c>
      <c r="I130" s="90">
        <f t="shared" si="5"/>
        <v>3739.66</v>
      </c>
    </row>
    <row r="131" spans="2:9" s="53" customFormat="1" ht="27" x14ac:dyDescent="0.3">
      <c r="B131" s="79" t="s">
        <v>174</v>
      </c>
      <c r="C131" s="54" t="str">
        <f>VLOOKUP(B131,'[1]Product by Part Number'!$A:$K,2,0)</f>
        <v xml:space="preserve">CAT 320F L (YBM) CAT 329E L (ZCD) CAT 330F L (MBX) CAT 330F L (HCK) CAT 336F L (RKB)          </v>
      </c>
      <c r="D131" s="54" t="str">
        <f>VLOOKUP(B131,'[1]Product by Part Number'!$A:$K,3,0)</f>
        <v>SEAT SUSPENSION ASSEMBLY</v>
      </c>
      <c r="E131" s="55">
        <f>VLOOKUP(B131,'[1]Product by Part Number'!$A:$K,11,0)</f>
        <v>6</v>
      </c>
      <c r="F131" s="56">
        <f>VLOOKUP(B131,'[1]Product by Part Number'!$A:$K,4,0)</f>
        <v>4369.08</v>
      </c>
      <c r="G131" s="56">
        <f t="shared" si="4"/>
        <v>26214.48</v>
      </c>
      <c r="H131" s="57">
        <f>VLOOKUP(B131,'[1]Product by Part Number'!$A:$K,5,0)</f>
        <v>2184.54</v>
      </c>
      <c r="I131" s="90">
        <f t="shared" si="5"/>
        <v>13107.24</v>
      </c>
    </row>
    <row r="132" spans="2:9" s="53" customFormat="1" x14ac:dyDescent="0.3">
      <c r="B132" s="79" t="s">
        <v>175</v>
      </c>
      <c r="C132" s="54" t="str">
        <f>VLOOKUP(B132,'[1]Product by Part Number'!$A:$K,2,0)</f>
        <v xml:space="preserve">CAT D6N LGP (PBA)                  </v>
      </c>
      <c r="D132" s="54" t="str">
        <f>VLOOKUP(B132,'[1]Product by Part Number'!$A:$K,3,0)</f>
        <v>TRACK LINK MASTER</v>
      </c>
      <c r="E132" s="55">
        <f>VLOOKUP(B132,'[1]Product by Part Number'!$A:$K,11,0)</f>
        <v>8</v>
      </c>
      <c r="F132" s="56">
        <f>VLOOKUP(B132,'[1]Product by Part Number'!$A:$K,4,0)</f>
        <v>392.82</v>
      </c>
      <c r="G132" s="56">
        <f t="shared" si="4"/>
        <v>3142.56</v>
      </c>
      <c r="H132" s="57">
        <f>VLOOKUP(B132,'[1]Product by Part Number'!$A:$K,5,0)</f>
        <v>196.41</v>
      </c>
      <c r="I132" s="90">
        <f t="shared" si="5"/>
        <v>1571.28</v>
      </c>
    </row>
    <row r="133" spans="2:9" s="53" customFormat="1" x14ac:dyDescent="0.3">
      <c r="B133" s="79" t="s">
        <v>176</v>
      </c>
      <c r="C133" s="54" t="str">
        <f>VLOOKUP(B133,'[1]Product by Part Number'!$A:$K,2,0)</f>
        <v xml:space="preserve">CAT 336F L (RKB)                  </v>
      </c>
      <c r="D133" s="54" t="str">
        <f>VLOOKUP(B133,'[1]Product by Part Number'!$A:$K,3,0)</f>
        <v>TRACK BOLT</v>
      </c>
      <c r="E133" s="55">
        <f>VLOOKUP(B133,'[1]Product by Part Number'!$A:$K,11,0)</f>
        <v>396</v>
      </c>
      <c r="F133" s="56">
        <f>VLOOKUP(B133,'[1]Product by Part Number'!$A:$K,4,0)</f>
        <v>9.11</v>
      </c>
      <c r="G133" s="56">
        <f t="shared" si="4"/>
        <v>3607.56</v>
      </c>
      <c r="H133" s="57">
        <f>VLOOKUP(B133,'[1]Product by Part Number'!$A:$K,5,0)</f>
        <v>4.5599999999999996</v>
      </c>
      <c r="I133" s="90">
        <f t="shared" si="5"/>
        <v>1805.76</v>
      </c>
    </row>
    <row r="134" spans="2:9" s="53" customFormat="1" x14ac:dyDescent="0.3">
      <c r="B134" s="79" t="s">
        <v>177</v>
      </c>
      <c r="C134" s="54" t="str">
        <f>VLOOKUP(B134,'[1]Product by Part Number'!$A:$K,2,0)</f>
        <v xml:space="preserve">CAT D6N LGP (GHS)                  </v>
      </c>
      <c r="D134" s="54" t="str">
        <f>VLOOKUP(B134,'[1]Product by Part Number'!$A:$K,3,0)</f>
        <v>FUEL INJECTOR</v>
      </c>
      <c r="E134" s="55">
        <f>VLOOKUP(B134,'[1]Product by Part Number'!$A:$K,11,0)</f>
        <v>6</v>
      </c>
      <c r="F134" s="56">
        <f>VLOOKUP(B134,'[1]Product by Part Number'!$A:$K,4,0)</f>
        <v>1132.93</v>
      </c>
      <c r="G134" s="56">
        <f t="shared" si="4"/>
        <v>6797.58</v>
      </c>
      <c r="H134" s="57">
        <f>VLOOKUP(B134,'[1]Product by Part Number'!$A:$K,5,0)</f>
        <v>566.47</v>
      </c>
      <c r="I134" s="90">
        <f t="shared" si="5"/>
        <v>3398.82</v>
      </c>
    </row>
    <row r="135" spans="2:9" s="53" customFormat="1" x14ac:dyDescent="0.3">
      <c r="B135" s="79" t="s">
        <v>178</v>
      </c>
      <c r="C135" s="54" t="str">
        <f>VLOOKUP(B135,'[1]Product by Part Number'!$A:$K,2,0)</f>
        <v xml:space="preserve">CAT D4 (66J)                  </v>
      </c>
      <c r="D135" s="54" t="str">
        <f>VLOOKUP(B135,'[1]Product by Part Number'!$A:$K,3,0)</f>
        <v>FUEL INJECTOR</v>
      </c>
      <c r="E135" s="55">
        <f>VLOOKUP(B135,'[1]Product by Part Number'!$A:$K,11,0)</f>
        <v>6</v>
      </c>
      <c r="F135" s="56">
        <f>VLOOKUP(B135,'[1]Product by Part Number'!$A:$K,4,0)</f>
        <v>1138.5999999999999</v>
      </c>
      <c r="G135" s="56">
        <f t="shared" si="4"/>
        <v>6831.5999999999995</v>
      </c>
      <c r="H135" s="57">
        <f>VLOOKUP(B135,'[1]Product by Part Number'!$A:$K,5,0)</f>
        <v>569.29999999999995</v>
      </c>
      <c r="I135" s="90">
        <f t="shared" si="5"/>
        <v>3415.8</v>
      </c>
    </row>
    <row r="136" spans="2:9" s="53" customFormat="1" x14ac:dyDescent="0.3">
      <c r="B136" s="79" t="s">
        <v>179</v>
      </c>
      <c r="C136" s="54" t="str">
        <f>VLOOKUP(B136,'[1]Product by Part Number'!$A:$K,2,0)</f>
        <v xml:space="preserve">CAT 330 (WCH)                  </v>
      </c>
      <c r="D136" s="54" t="str">
        <f>VLOOKUP(B136,'[1]Product by Part Number'!$A:$K,3,0)</f>
        <v>ENGINE OIL FILTER ELEMENT</v>
      </c>
      <c r="E136" s="55">
        <f>VLOOKUP(B136,'[1]Product by Part Number'!$A:$K,11,0)</f>
        <v>30</v>
      </c>
      <c r="F136" s="56">
        <f>VLOOKUP(B136,'[1]Product by Part Number'!$A:$K,4,0)</f>
        <v>44.15</v>
      </c>
      <c r="G136" s="56">
        <f t="shared" si="4"/>
        <v>1324.5</v>
      </c>
      <c r="H136" s="57">
        <f>VLOOKUP(B136,'[1]Product by Part Number'!$A:$K,5,0)</f>
        <v>16.78</v>
      </c>
      <c r="I136" s="90">
        <f t="shared" si="5"/>
        <v>503.4</v>
      </c>
    </row>
    <row r="137" spans="2:9" s="53" customFormat="1" ht="40.200000000000003" x14ac:dyDescent="0.3">
      <c r="B137" s="79" t="s">
        <v>180</v>
      </c>
      <c r="C137" s="54" t="str">
        <f>VLOOKUP(B137,'[1]Product by Part Number'!$A:$K,2,0)</f>
        <v xml:space="preserve">CAT 320E L (WBK) CAT 320F L (YBM) CAT 320 (HEX) CAT 320 (MYK) CAT 329E L (ZCD) CAT 329F L (ERL) CAT 330F L (MBX) CAT 330F L (HCK) CAT 330 (LHW)  </v>
      </c>
      <c r="D137" s="54" t="str">
        <f>VLOOKUP(B137,'[1]Product by Part Number'!$A:$K,3,0)</f>
        <v xml:space="preserve">ENGINE OIL FILTER ELEMENT </v>
      </c>
      <c r="E137" s="55">
        <f>VLOOKUP(B137,'[1]Product by Part Number'!$A:$K,11,0)</f>
        <v>80</v>
      </c>
      <c r="F137" s="56">
        <f>VLOOKUP(B137,'[1]Product by Part Number'!$A:$K,4,0)</f>
        <v>44.15</v>
      </c>
      <c r="G137" s="56">
        <f t="shared" si="4"/>
        <v>3532</v>
      </c>
      <c r="H137" s="57">
        <f>VLOOKUP(B137,'[1]Product by Part Number'!$A:$K,5,0)</f>
        <v>16.78</v>
      </c>
      <c r="I137" s="90">
        <f t="shared" si="5"/>
        <v>1342.4</v>
      </c>
    </row>
    <row r="138" spans="2:9" s="53" customFormat="1" x14ac:dyDescent="0.3">
      <c r="B138" s="79" t="s">
        <v>181</v>
      </c>
      <c r="C138" s="54" t="str">
        <f>VLOOKUP(B138,'[1]Product by Part Number'!$A:$K,2,0)</f>
        <v xml:space="preserve">CAT D6N LGP (PBA)                  </v>
      </c>
      <c r="D138" s="54" t="str">
        <f>VLOOKUP(B138,'[1]Product by Part Number'!$A:$K,3,0)</f>
        <v>TRACK IDLER</v>
      </c>
      <c r="E138" s="55">
        <f>VLOOKUP(B138,'[1]Product by Part Number'!$A:$K,11,0)</f>
        <v>8</v>
      </c>
      <c r="F138" s="56">
        <f>VLOOKUP(B138,'[1]Product by Part Number'!$A:$K,4,0)</f>
        <v>4087.57</v>
      </c>
      <c r="G138" s="56">
        <f t="shared" si="4"/>
        <v>32700.560000000001</v>
      </c>
      <c r="H138" s="57">
        <f>VLOOKUP(B138,'[1]Product by Part Number'!$A:$K,5,0)</f>
        <v>2043.79</v>
      </c>
      <c r="I138" s="90">
        <f t="shared" si="5"/>
        <v>16350.32</v>
      </c>
    </row>
    <row r="139" spans="2:9" s="53" customFormat="1" x14ac:dyDescent="0.3">
      <c r="B139" s="79" t="s">
        <v>43</v>
      </c>
      <c r="C139" s="54" t="str">
        <f>VLOOKUP(B139,'[1]Product by Part Number'!$A:$K,2,0)</f>
        <v xml:space="preserve">CAT 336F L (RKB) CAT D6 (RDC) CAT D6T (MH7)              </v>
      </c>
      <c r="D139" s="54" t="str">
        <f>VLOOKUP(B139,'[1]Product by Part Number'!$A:$K,3,0)</f>
        <v xml:space="preserve">FUEL WATER SEPARATOR </v>
      </c>
      <c r="E139" s="55">
        <f>VLOOKUP(B139,'[1]Product by Part Number'!$A:$K,11,0)</f>
        <v>30</v>
      </c>
      <c r="F139" s="56">
        <f>VLOOKUP(B139,'[1]Product by Part Number'!$A:$K,4,0)</f>
        <v>104.86</v>
      </c>
      <c r="G139" s="56">
        <f t="shared" si="4"/>
        <v>3145.8</v>
      </c>
      <c r="H139" s="57">
        <f>VLOOKUP(B139,'[1]Product by Part Number'!$A:$K,5,0)</f>
        <v>39.85</v>
      </c>
      <c r="I139" s="90">
        <f t="shared" si="5"/>
        <v>1195.5</v>
      </c>
    </row>
    <row r="140" spans="2:9" s="53" customFormat="1" x14ac:dyDescent="0.3">
      <c r="B140" s="79" t="s">
        <v>39</v>
      </c>
      <c r="C140" s="54" t="str">
        <f>VLOOKUP(B140,'[1]Product by Part Number'!$A:$K,2,0)</f>
        <v xml:space="preserve">CAT D6N LGP (GHS)                  </v>
      </c>
      <c r="D140" s="54" t="str">
        <f>VLOOKUP(B140,'[1]Product by Part Number'!$A:$K,3,0)</f>
        <v>FUEL WATER SEPARATOR **VERIFY**</v>
      </c>
      <c r="E140" s="55">
        <f>VLOOKUP(B140,'[1]Product by Part Number'!$A:$K,11,0)</f>
        <v>10</v>
      </c>
      <c r="F140" s="56">
        <f>VLOOKUP(B140,'[1]Product by Part Number'!$A:$K,4,0)</f>
        <v>85.6</v>
      </c>
      <c r="G140" s="56">
        <f t="shared" si="4"/>
        <v>856</v>
      </c>
      <c r="H140" s="57">
        <f>VLOOKUP(B140,'[1]Product by Part Number'!$A:$K,5,0)</f>
        <v>32.53</v>
      </c>
      <c r="I140" s="90">
        <f t="shared" si="5"/>
        <v>325.3</v>
      </c>
    </row>
    <row r="141" spans="2:9" s="53" customFormat="1" x14ac:dyDescent="0.3">
      <c r="B141" s="79" t="s">
        <v>42</v>
      </c>
      <c r="C141" s="54" t="str">
        <f>VLOOKUP(B141,'[1]Product by Part Number'!$A:$K,2,0)</f>
        <v xml:space="preserve">CAT D6N LGP (GHS)                  </v>
      </c>
      <c r="D141" s="54" t="str">
        <f>VLOOKUP(B141,'[1]Product by Part Number'!$A:$K,3,0)</f>
        <v xml:space="preserve">HYDRAULIC OIL FILTER ELEMENT </v>
      </c>
      <c r="E141" s="55">
        <f>VLOOKUP(B141,'[1]Product by Part Number'!$A:$K,11,0)</f>
        <v>5</v>
      </c>
      <c r="F141" s="56">
        <f>VLOOKUP(B141,'[1]Product by Part Number'!$A:$K,4,0)</f>
        <v>204.36</v>
      </c>
      <c r="G141" s="56">
        <f t="shared" si="4"/>
        <v>1021.8000000000001</v>
      </c>
      <c r="H141" s="57">
        <f>VLOOKUP(B141,'[1]Product by Part Number'!$A:$K,5,0)</f>
        <v>77.66</v>
      </c>
      <c r="I141" s="90">
        <f t="shared" si="5"/>
        <v>388.3</v>
      </c>
    </row>
    <row r="142" spans="2:9" s="53" customFormat="1" x14ac:dyDescent="0.3">
      <c r="B142" s="79" t="s">
        <v>182</v>
      </c>
      <c r="C142" s="54" t="str">
        <f>VLOOKUP(B142,'[1]Product by Part Number'!$A:$K,2,0)</f>
        <v xml:space="preserve">CAT D6N LGP (PBA) CAT D6N LGP (SGG)                </v>
      </c>
      <c r="D142" s="54" t="str">
        <f>VLOOKUP(B142,'[1]Product by Part Number'!$A:$K,3,0)</f>
        <v>SECONDARY CABIN AIR FILTER ELEMENT</v>
      </c>
      <c r="E142" s="55">
        <f>VLOOKUP(B142,'[1]Product by Part Number'!$A:$K,11,0)</f>
        <v>18</v>
      </c>
      <c r="F142" s="56">
        <f>VLOOKUP(B142,'[1]Product by Part Number'!$A:$K,4,0)</f>
        <v>79.09</v>
      </c>
      <c r="G142" s="56">
        <f t="shared" si="4"/>
        <v>1423.6200000000001</v>
      </c>
      <c r="H142" s="57">
        <f>VLOOKUP(B142,'[1]Product by Part Number'!$A:$K,5,0)</f>
        <v>30.05</v>
      </c>
      <c r="I142" s="90">
        <f t="shared" si="5"/>
        <v>540.9</v>
      </c>
    </row>
    <row r="143" spans="2:9" s="53" customFormat="1" x14ac:dyDescent="0.3">
      <c r="B143" s="79" t="s">
        <v>183</v>
      </c>
      <c r="C143" s="54" t="str">
        <f>VLOOKUP(B143,'[1]Product by Part Number'!$A:$K,2,0)</f>
        <v xml:space="preserve">CAT D6 (RDC) CAT D6T (MH7) CAT 561N (CPH)              </v>
      </c>
      <c r="D143" s="54" t="str">
        <f>VLOOKUP(B143,'[1]Product by Part Number'!$A:$K,3,0)</f>
        <v>SECONDARY AIR FILTER ELEMENT</v>
      </c>
      <c r="E143" s="55">
        <f>VLOOKUP(B143,'[1]Product by Part Number'!$A:$K,11,0)</f>
        <v>21</v>
      </c>
      <c r="F143" s="56">
        <f>VLOOKUP(B143,'[1]Product by Part Number'!$A:$K,4,0)</f>
        <v>109.02</v>
      </c>
      <c r="G143" s="56">
        <f t="shared" si="4"/>
        <v>2289.42</v>
      </c>
      <c r="H143" s="57">
        <f>VLOOKUP(B143,'[1]Product by Part Number'!$A:$K,5,0)</f>
        <v>41.43</v>
      </c>
      <c r="I143" s="90">
        <f t="shared" si="5"/>
        <v>870.03</v>
      </c>
    </row>
    <row r="144" spans="2:9" s="53" customFormat="1" ht="27" x14ac:dyDescent="0.3">
      <c r="B144" s="79" t="s">
        <v>184</v>
      </c>
      <c r="C144" s="54" t="str">
        <f>VLOOKUP(B144,'[1]Product by Part Number'!$A:$K,2,0)</f>
        <v xml:space="preserve">CAT 320E L (WBK) CAT 320F L (YBM) CAT 320 (HEX) CAT 320 (MYK)            </v>
      </c>
      <c r="D144" s="54" t="str">
        <f>VLOOKUP(B144,'[1]Product by Part Number'!$A:$K,3,0)</f>
        <v>TRACK SHOE 790MM</v>
      </c>
      <c r="E144" s="55">
        <f>VLOOKUP(B144,'[1]Product by Part Number'!$A:$K,11,0)</f>
        <v>588</v>
      </c>
      <c r="F144" s="56">
        <f>VLOOKUP(B144,'[1]Product by Part Number'!$A:$K,4,0)</f>
        <v>179.13</v>
      </c>
      <c r="G144" s="56">
        <f t="shared" ref="G144:G207" si="6">E144*F144</f>
        <v>105328.44</v>
      </c>
      <c r="H144" s="57">
        <f>VLOOKUP(B144,'[1]Product by Part Number'!$A:$K,5,0)</f>
        <v>89.57</v>
      </c>
      <c r="I144" s="90">
        <f t="shared" ref="I144:I207" si="7">ROUND(E144*H144,2)</f>
        <v>52667.16</v>
      </c>
    </row>
    <row r="145" spans="2:9" s="53" customFormat="1" x14ac:dyDescent="0.3">
      <c r="B145" s="79" t="s">
        <v>185</v>
      </c>
      <c r="C145" s="54" t="str">
        <f>VLOOKUP(B145,'[1]Product by Part Number'!$A:$K,2,0)</f>
        <v xml:space="preserve">CAT D7G (92V)                  </v>
      </c>
      <c r="D145" s="54" t="str">
        <f>VLOOKUP(B145,'[1]Product by Part Number'!$A:$K,3,0)</f>
        <v>CRANKSHAFT ASSY</v>
      </c>
      <c r="E145" s="55">
        <f>VLOOKUP(B145,'[1]Product by Part Number'!$A:$K,11,0)</f>
        <v>1</v>
      </c>
      <c r="F145" s="56">
        <f>VLOOKUP(B145,'[1]Product by Part Number'!$A:$K,4,0)</f>
        <v>17640.77</v>
      </c>
      <c r="G145" s="56">
        <f t="shared" si="6"/>
        <v>17640.77</v>
      </c>
      <c r="H145" s="57">
        <f>VLOOKUP(B145,'[1]Product by Part Number'!$A:$K,5,0)</f>
        <v>8820.39</v>
      </c>
      <c r="I145" s="90">
        <f t="shared" si="7"/>
        <v>8820.39</v>
      </c>
    </row>
    <row r="146" spans="2:9" s="53" customFormat="1" ht="27" x14ac:dyDescent="0.3">
      <c r="B146" s="79" t="s">
        <v>186</v>
      </c>
      <c r="C146" s="54" t="str">
        <f>VLOOKUP(B146,'[1]Product by Part Number'!$A:$K,2,0)</f>
        <v xml:space="preserve">CAT 329E L (ZCD) CAT 329F L (ERL) CAT 330F L (MBX) CAT 330F L (HCK)            </v>
      </c>
      <c r="D146" s="54" t="str">
        <f>VLOOKUP(B146,'[1]Product by Part Number'!$A:$K,3,0)</f>
        <v>TRACK LINK ASSEMBLY</v>
      </c>
      <c r="E146" s="55">
        <f>VLOOKUP(B146,'[1]Product by Part Number'!$A:$K,11,0)</f>
        <v>12</v>
      </c>
      <c r="F146" s="56">
        <f>VLOOKUP(B146,'[1]Product by Part Number'!$A:$K,4,0)</f>
        <v>10788.51</v>
      </c>
      <c r="G146" s="56">
        <f t="shared" si="6"/>
        <v>129462.12</v>
      </c>
      <c r="H146" s="57">
        <f>VLOOKUP(B146,'[1]Product by Part Number'!$A:$K,5,0)</f>
        <v>5394.26</v>
      </c>
      <c r="I146" s="90">
        <f t="shared" si="7"/>
        <v>64731.12</v>
      </c>
    </row>
    <row r="147" spans="2:9" s="53" customFormat="1" x14ac:dyDescent="0.3">
      <c r="B147" s="79" t="s">
        <v>187</v>
      </c>
      <c r="C147" s="54" t="str">
        <f>VLOOKUP(B147,'[1]Product by Part Number'!$A:$K,2,0)</f>
        <v xml:space="preserve">CAT 320F L (YBM) CAT 320 (HEX) CAT 320 (MYK)              </v>
      </c>
      <c r="D147" s="54" t="str">
        <f>VLOOKUP(B147,'[1]Product by Part Number'!$A:$K,3,0)</f>
        <v>BUCKET CYLINDER</v>
      </c>
      <c r="E147" s="55">
        <f>VLOOKUP(B147,'[1]Product by Part Number'!$A:$K,11,0)</f>
        <v>4</v>
      </c>
      <c r="F147" s="56">
        <f>VLOOKUP(B147,'[1]Product by Part Number'!$A:$K,4,0)</f>
        <v>22869.96</v>
      </c>
      <c r="G147" s="56">
        <f t="shared" si="6"/>
        <v>91479.84</v>
      </c>
      <c r="H147" s="57">
        <f>VLOOKUP(B147,'[1]Product by Part Number'!$A:$K,5,0)</f>
        <v>8690.58</v>
      </c>
      <c r="I147" s="90">
        <f t="shared" si="7"/>
        <v>34762.32</v>
      </c>
    </row>
    <row r="148" spans="2:9" s="53" customFormat="1" x14ac:dyDescent="0.3">
      <c r="B148" s="79" t="s">
        <v>188</v>
      </c>
      <c r="C148" s="54" t="str">
        <f>VLOOKUP(B148,'[1]Product by Part Number'!$A:$K,2,0)</f>
        <v xml:space="preserve">CAT D6N LGP (PBA)                  </v>
      </c>
      <c r="D148" s="54" t="str">
        <f>VLOOKUP(B148,'[1]Product by Part Number'!$A:$K,3,0)</f>
        <v>SECONDARY AIR FILTER ELEMENT</v>
      </c>
      <c r="E148" s="55">
        <f>VLOOKUP(B148,'[1]Product by Part Number'!$A:$K,11,0)</f>
        <v>6</v>
      </c>
      <c r="F148" s="56">
        <f>VLOOKUP(B148,'[1]Product by Part Number'!$A:$K,4,0)</f>
        <v>137.53</v>
      </c>
      <c r="G148" s="56">
        <f t="shared" si="6"/>
        <v>825.18000000000006</v>
      </c>
      <c r="H148" s="57">
        <f>VLOOKUP(B148,'[1]Product by Part Number'!$A:$K,5,0)</f>
        <v>52.26</v>
      </c>
      <c r="I148" s="90">
        <f t="shared" si="7"/>
        <v>313.56</v>
      </c>
    </row>
    <row r="149" spans="2:9" s="53" customFormat="1" x14ac:dyDescent="0.3">
      <c r="B149" s="79" t="s">
        <v>189</v>
      </c>
      <c r="C149" s="54" t="str">
        <f>VLOOKUP(B149,'[1]Product by Part Number'!$A:$K,2,0)</f>
        <v xml:space="preserve">CAT D6N LGP (PBA)                  </v>
      </c>
      <c r="D149" s="54" t="str">
        <f>VLOOKUP(B149,'[1]Product by Part Number'!$A:$K,3,0)</f>
        <v>FRONT WEAR PLATE</v>
      </c>
      <c r="E149" s="55">
        <f>VLOOKUP(B149,'[1]Product by Part Number'!$A:$K,11,0)</f>
        <v>8</v>
      </c>
      <c r="F149" s="56">
        <f>VLOOKUP(B149,'[1]Product by Part Number'!$A:$K,4,0)</f>
        <v>317.01</v>
      </c>
      <c r="G149" s="56">
        <f t="shared" si="6"/>
        <v>2536.08</v>
      </c>
      <c r="H149" s="57">
        <f>VLOOKUP(B149,'[1]Product by Part Number'!$A:$K,5,0)</f>
        <v>158.51</v>
      </c>
      <c r="I149" s="90">
        <f t="shared" si="7"/>
        <v>1268.08</v>
      </c>
    </row>
    <row r="150" spans="2:9" s="53" customFormat="1" x14ac:dyDescent="0.3">
      <c r="B150" s="79" t="s">
        <v>190</v>
      </c>
      <c r="C150" s="54" t="str">
        <f>VLOOKUP(B150,'[1]Product by Part Number'!$A:$K,2,0)</f>
        <v xml:space="preserve">CAT D6N LGP (PBA)                  </v>
      </c>
      <c r="D150" s="54" t="str">
        <f>VLOOKUP(B150,'[1]Product by Part Number'!$A:$K,3,0)</f>
        <v>REAR WEAR PLATE</v>
      </c>
      <c r="E150" s="55">
        <f>VLOOKUP(B150,'[1]Product by Part Number'!$A:$K,11,0)</f>
        <v>8</v>
      </c>
      <c r="F150" s="56">
        <f>VLOOKUP(B150,'[1]Product by Part Number'!$A:$K,4,0)</f>
        <v>369.71</v>
      </c>
      <c r="G150" s="56">
        <f t="shared" si="6"/>
        <v>2957.68</v>
      </c>
      <c r="H150" s="57">
        <f>VLOOKUP(B150,'[1]Product by Part Number'!$A:$K,5,0)</f>
        <v>184.86</v>
      </c>
      <c r="I150" s="90">
        <f t="shared" si="7"/>
        <v>1478.88</v>
      </c>
    </row>
    <row r="151" spans="2:9" s="53" customFormat="1" x14ac:dyDescent="0.3">
      <c r="B151" s="79" t="s">
        <v>191</v>
      </c>
      <c r="C151" s="54" t="str">
        <f>VLOOKUP(B151,'[1]Product by Part Number'!$A:$K,2,0)</f>
        <v xml:space="preserve">CAT D6N LGP (SGG)                  </v>
      </c>
      <c r="D151" s="54" t="str">
        <f>VLOOKUP(B151,'[1]Product by Part Number'!$A:$K,3,0)</f>
        <v>TRACK SHOE 835MM</v>
      </c>
      <c r="E151" s="55">
        <f>VLOOKUP(B151,'[1]Product by Part Number'!$A:$K,11,0)</f>
        <v>180</v>
      </c>
      <c r="F151" s="56">
        <f>VLOOKUP(B151,'[1]Product by Part Number'!$A:$K,4,0)</f>
        <v>197.96</v>
      </c>
      <c r="G151" s="56">
        <f t="shared" si="6"/>
        <v>35632.800000000003</v>
      </c>
      <c r="H151" s="57">
        <f>VLOOKUP(B151,'[1]Product by Part Number'!$A:$K,5,0)</f>
        <v>98.98</v>
      </c>
      <c r="I151" s="90">
        <f t="shared" si="7"/>
        <v>17816.400000000001</v>
      </c>
    </row>
    <row r="152" spans="2:9" s="53" customFormat="1" x14ac:dyDescent="0.3">
      <c r="B152" s="79" t="s">
        <v>192</v>
      </c>
      <c r="C152" s="54" t="str">
        <f>VLOOKUP(B152,'[1]Product by Part Number'!$A:$K,2,0)</f>
        <v xml:space="preserve">CAT D6N LGP (SGG)                  </v>
      </c>
      <c r="D152" s="54" t="str">
        <f>VLOOKUP(B152,'[1]Product by Part Number'!$A:$K,3,0)</f>
        <v>TRACK SHOE MASTER</v>
      </c>
      <c r="E152" s="55">
        <f>VLOOKUP(B152,'[1]Product by Part Number'!$A:$K,11,0)</f>
        <v>4</v>
      </c>
      <c r="F152" s="56">
        <f>VLOOKUP(B152,'[1]Product by Part Number'!$A:$K,4,0)</f>
        <v>209.96</v>
      </c>
      <c r="G152" s="56">
        <f t="shared" si="6"/>
        <v>839.84</v>
      </c>
      <c r="H152" s="57">
        <f>VLOOKUP(B152,'[1]Product by Part Number'!$A:$K,5,0)</f>
        <v>104.98</v>
      </c>
      <c r="I152" s="90">
        <f t="shared" si="7"/>
        <v>419.92</v>
      </c>
    </row>
    <row r="153" spans="2:9" s="53" customFormat="1" x14ac:dyDescent="0.3">
      <c r="B153" s="79" t="s">
        <v>193</v>
      </c>
      <c r="C153" s="54" t="str">
        <f>VLOOKUP(B153,'[1]Product by Part Number'!$A:$K,2,0)</f>
        <v xml:space="preserve">CAT 561N (CPH) CAT 561N (CPH)                </v>
      </c>
      <c r="D153" s="54" t="str">
        <f>VLOOKUP(B153,'[1]Product by Part Number'!$A:$K,3,0)</f>
        <v>BOLT</v>
      </c>
      <c r="E153" s="55">
        <f>VLOOKUP(B153,'[1]Product by Part Number'!$A:$K,11,0)</f>
        <v>300</v>
      </c>
      <c r="F153" s="56">
        <f>VLOOKUP(B153,'[1]Product by Part Number'!$A:$K,4,0)</f>
        <v>8.76</v>
      </c>
      <c r="G153" s="56">
        <f t="shared" si="6"/>
        <v>2628</v>
      </c>
      <c r="H153" s="57">
        <f>VLOOKUP(B153,'[1]Product by Part Number'!$A:$K,5,0)</f>
        <v>4.38</v>
      </c>
      <c r="I153" s="90">
        <f t="shared" si="7"/>
        <v>1314</v>
      </c>
    </row>
    <row r="154" spans="2:9" s="53" customFormat="1" x14ac:dyDescent="0.3">
      <c r="B154" s="79" t="s">
        <v>194</v>
      </c>
      <c r="C154" s="54" t="str">
        <f>VLOOKUP(B154,'[1]Product by Part Number'!$A:$K,2,0)</f>
        <v xml:space="preserve">CAT PL61 (WGS)                  </v>
      </c>
      <c r="D154" s="54" t="str">
        <f>VLOOKUP(B154,'[1]Product by Part Number'!$A:$K,3,0)</f>
        <v>TRACK IDLER</v>
      </c>
      <c r="E154" s="55">
        <f>VLOOKUP(B154,'[1]Product by Part Number'!$A:$K,11,0)</f>
        <v>6</v>
      </c>
      <c r="F154" s="56">
        <f>VLOOKUP(B154,'[1]Product by Part Number'!$A:$K,4,0)</f>
        <v>3032.3</v>
      </c>
      <c r="G154" s="56">
        <f t="shared" si="6"/>
        <v>18193.800000000003</v>
      </c>
      <c r="H154" s="57">
        <f>VLOOKUP(B154,'[1]Product by Part Number'!$A:$K,5,0)</f>
        <v>1516.15</v>
      </c>
      <c r="I154" s="90">
        <f t="shared" si="7"/>
        <v>9096.9</v>
      </c>
    </row>
    <row r="155" spans="2:9" s="53" customFormat="1" x14ac:dyDescent="0.3">
      <c r="B155" s="79" t="s">
        <v>195</v>
      </c>
      <c r="C155" s="54" t="str">
        <f>VLOOKUP(B155,'[1]Product by Part Number'!$A:$K,2,0)</f>
        <v xml:space="preserve">CAT 329E L (ZCD)                  </v>
      </c>
      <c r="D155" s="54" t="str">
        <f>VLOOKUP(B155,'[1]Product by Part Number'!$A:$K,3,0)</f>
        <v>SECONDARY TURBOCHARGER ASSEMBLY</v>
      </c>
      <c r="E155" s="55">
        <f>VLOOKUP(B155,'[1]Product by Part Number'!$A:$K,11,0)</f>
        <v>1</v>
      </c>
      <c r="F155" s="56">
        <f>VLOOKUP(B155,'[1]Product by Part Number'!$A:$K,4,0)</f>
        <v>4722.29</v>
      </c>
      <c r="G155" s="56">
        <f t="shared" si="6"/>
        <v>4722.29</v>
      </c>
      <c r="H155" s="57">
        <f>VLOOKUP(B155,'[1]Product by Part Number'!$A:$K,5,0)</f>
        <v>2361.15</v>
      </c>
      <c r="I155" s="90">
        <f t="shared" si="7"/>
        <v>2361.15</v>
      </c>
    </row>
    <row r="156" spans="2:9" s="53" customFormat="1" ht="40.200000000000003" x14ac:dyDescent="0.3">
      <c r="B156" s="79" t="s">
        <v>196</v>
      </c>
      <c r="C156" s="54" t="str">
        <f>VLOOKUP(B156,'[1]Product by Part Number'!$A:$K,2,0)</f>
        <v xml:space="preserve">CAT 320E L (WBK) CAT 320F L (YBM) CAT 329E L (ZCD) CAT 329F L (ERL) CAT 330F L (MBX) CAT 330F L (HCK) CAT D6N LGP (PBA) CAT D6N LGP (SGG)    </v>
      </c>
      <c r="D156" s="54" t="str">
        <f>VLOOKUP(B156,'[1]Product by Part Number'!$A:$K,3,0)</f>
        <v>FUEL FILTER ELEMENT</v>
      </c>
      <c r="E156" s="55">
        <f>VLOOKUP(B156,'[1]Product by Part Number'!$A:$K,11,0)</f>
        <v>75</v>
      </c>
      <c r="F156" s="56">
        <f>VLOOKUP(B156,'[1]Product by Part Number'!$A:$K,4,0)</f>
        <v>51.88</v>
      </c>
      <c r="G156" s="56">
        <f t="shared" si="6"/>
        <v>3891</v>
      </c>
      <c r="H156" s="57">
        <f>VLOOKUP(B156,'[1]Product by Part Number'!$A:$K,5,0)</f>
        <v>19.71</v>
      </c>
      <c r="I156" s="90">
        <f t="shared" si="7"/>
        <v>1478.25</v>
      </c>
    </row>
    <row r="157" spans="2:9" s="53" customFormat="1" ht="27" x14ac:dyDescent="0.3">
      <c r="B157" s="79" t="s">
        <v>197</v>
      </c>
      <c r="C157" s="54" t="str">
        <f>VLOOKUP(B157,'[1]Product by Part Number'!$A:$K,2,0)</f>
        <v xml:space="preserve">CAT 329E L (ZCD) CAT 329F L (ERL) CAT 330F L (MBX) CAT 330F L (HCK)            </v>
      </c>
      <c r="D157" s="54" t="str">
        <f>VLOOKUP(B157,'[1]Product by Part Number'!$A:$K,3,0)</f>
        <v>CABIN AIR FILTER ELEMENT</v>
      </c>
      <c r="E157" s="55">
        <f>VLOOKUP(B157,'[1]Product by Part Number'!$A:$K,11,0)</f>
        <v>18</v>
      </c>
      <c r="F157" s="56">
        <f>VLOOKUP(B157,'[1]Product by Part Number'!$A:$K,4,0)</f>
        <v>94.42</v>
      </c>
      <c r="G157" s="56">
        <f t="shared" si="6"/>
        <v>1699.56</v>
      </c>
      <c r="H157" s="57">
        <f>VLOOKUP(B157,'[1]Product by Part Number'!$A:$K,5,0)</f>
        <v>35.880000000000003</v>
      </c>
      <c r="I157" s="90">
        <f t="shared" si="7"/>
        <v>645.84</v>
      </c>
    </row>
    <row r="158" spans="2:9" s="53" customFormat="1" x14ac:dyDescent="0.3">
      <c r="B158" s="79" t="s">
        <v>198</v>
      </c>
      <c r="C158" s="54" t="str">
        <f>VLOOKUP(B158,'[1]Product by Part Number'!$A:$K,2,0)</f>
        <v xml:space="preserve">CAT PL61 (WGS)                  </v>
      </c>
      <c r="D158" s="54" t="str">
        <f>VLOOKUP(B158,'[1]Product by Part Number'!$A:$K,3,0)</f>
        <v>DUAL FLANGE ROLLER</v>
      </c>
      <c r="E158" s="55">
        <f>VLOOKUP(B158,'[1]Product by Part Number'!$A:$K,11,0)</f>
        <v>48</v>
      </c>
      <c r="F158" s="56">
        <f>VLOOKUP(B158,'[1]Product by Part Number'!$A:$K,4,0)</f>
        <v>564.07000000000005</v>
      </c>
      <c r="G158" s="56">
        <f t="shared" si="6"/>
        <v>27075.360000000001</v>
      </c>
      <c r="H158" s="57">
        <f>VLOOKUP(B158,'[1]Product by Part Number'!$A:$K,5,0)</f>
        <v>282.04000000000002</v>
      </c>
      <c r="I158" s="90">
        <f t="shared" si="7"/>
        <v>13537.92</v>
      </c>
    </row>
    <row r="159" spans="2:9" s="53" customFormat="1" x14ac:dyDescent="0.3">
      <c r="B159" s="79" t="s">
        <v>199</v>
      </c>
      <c r="C159" s="54" t="str">
        <f>VLOOKUP(B159,'[1]Product by Part Number'!$A:$K,2,0)</f>
        <v xml:space="preserve">CAT PL61 (WGS)                  </v>
      </c>
      <c r="D159" s="54" t="str">
        <f>VLOOKUP(B159,'[1]Product by Part Number'!$A:$K,3,0)</f>
        <v>SINGLE FLANGE ROLLER</v>
      </c>
      <c r="E159" s="55">
        <f>VLOOKUP(B159,'[1]Product by Part Number'!$A:$K,11,0)</f>
        <v>48</v>
      </c>
      <c r="F159" s="56">
        <f>VLOOKUP(B159,'[1]Product by Part Number'!$A:$K,4,0)</f>
        <v>537.23</v>
      </c>
      <c r="G159" s="56">
        <f t="shared" si="6"/>
        <v>25787.040000000001</v>
      </c>
      <c r="H159" s="57">
        <f>VLOOKUP(B159,'[1]Product by Part Number'!$A:$K,5,0)</f>
        <v>268.62</v>
      </c>
      <c r="I159" s="90">
        <f t="shared" si="7"/>
        <v>12893.76</v>
      </c>
    </row>
    <row r="160" spans="2:9" s="53" customFormat="1" x14ac:dyDescent="0.3">
      <c r="B160" s="79" t="s">
        <v>200</v>
      </c>
      <c r="C160" s="54" t="str">
        <f>VLOOKUP(B160,'[1]Product by Part Number'!$A:$K,2,0)</f>
        <v xml:space="preserve">CAT 320F L (YBM) CAT 320 (HEX) CAT 329E L (ZCD)              </v>
      </c>
      <c r="D160" s="54" t="str">
        <f>VLOOKUP(B160,'[1]Product by Part Number'!$A:$K,3,0)</f>
        <v>FUEL INJECTOR</v>
      </c>
      <c r="E160" s="55">
        <f>VLOOKUP(B160,'[1]Product by Part Number'!$A:$K,11,0)</f>
        <v>14</v>
      </c>
      <c r="F160" s="56">
        <f>VLOOKUP(B160,'[1]Product by Part Number'!$A:$K,4,0)</f>
        <v>1474.09</v>
      </c>
      <c r="G160" s="56">
        <f t="shared" si="6"/>
        <v>20637.259999999998</v>
      </c>
      <c r="H160" s="57">
        <f>VLOOKUP(B160,'[1]Product by Part Number'!$A:$K,5,0)</f>
        <v>737.05</v>
      </c>
      <c r="I160" s="90">
        <f t="shared" si="7"/>
        <v>10318.700000000001</v>
      </c>
    </row>
    <row r="161" spans="2:9" s="53" customFormat="1" x14ac:dyDescent="0.3">
      <c r="B161" s="79" t="s">
        <v>201</v>
      </c>
      <c r="C161" s="54" t="str">
        <f>VLOOKUP(B161,'[1]Product by Part Number'!$A:$K,2,0)</f>
        <v xml:space="preserve">CAT PL61 (WGS)                  </v>
      </c>
      <c r="D161" s="54" t="str">
        <f>VLOOKUP(B161,'[1]Product by Part Number'!$A:$K,3,0)</f>
        <v>CARRIER ROLLER</v>
      </c>
      <c r="E161" s="55">
        <f>VLOOKUP(B161,'[1]Product by Part Number'!$A:$K,11,0)</f>
        <v>6</v>
      </c>
      <c r="F161" s="56">
        <f>VLOOKUP(B161,'[1]Product by Part Number'!$A:$K,4,0)</f>
        <v>558.77</v>
      </c>
      <c r="G161" s="56">
        <f t="shared" si="6"/>
        <v>3352.62</v>
      </c>
      <c r="H161" s="57">
        <f>VLOOKUP(B161,'[1]Product by Part Number'!$A:$K,5,0)</f>
        <v>279.39</v>
      </c>
      <c r="I161" s="90">
        <f t="shared" si="7"/>
        <v>1676.34</v>
      </c>
    </row>
    <row r="162" spans="2:9" s="53" customFormat="1" x14ac:dyDescent="0.3">
      <c r="B162" s="79" t="s">
        <v>202</v>
      </c>
      <c r="C162" s="54" t="str">
        <f>VLOOKUP(B162,'[1]Product by Part Number'!$A:$K,2,0)</f>
        <v xml:space="preserve">CAT D7G (92V)                  </v>
      </c>
      <c r="D162" s="54" t="str">
        <f>VLOOKUP(B162,'[1]Product by Part Number'!$A:$K,3,0)</f>
        <v>TRACK SHOE</v>
      </c>
      <c r="E162" s="55">
        <f>VLOOKUP(B162,'[1]Product by Part Number'!$A:$K,11,0)</f>
        <v>74</v>
      </c>
      <c r="F162" s="56">
        <f>VLOOKUP(B162,'[1]Product by Part Number'!$A:$K,4,0)</f>
        <v>250.75</v>
      </c>
      <c r="G162" s="56">
        <f t="shared" si="6"/>
        <v>18555.5</v>
      </c>
      <c r="H162" s="57">
        <f>VLOOKUP(B162,'[1]Product by Part Number'!$A:$K,5,0)</f>
        <v>125.38</v>
      </c>
      <c r="I162" s="90">
        <f t="shared" si="7"/>
        <v>9278.1200000000008</v>
      </c>
    </row>
    <row r="163" spans="2:9" s="53" customFormat="1" x14ac:dyDescent="0.3">
      <c r="B163" s="79" t="s">
        <v>203</v>
      </c>
      <c r="C163" s="54" t="str">
        <f>VLOOKUP(B163,'[1]Product by Part Number'!$A:$K,2,0)</f>
        <v xml:space="preserve">CAT D7G (92V)                  </v>
      </c>
      <c r="D163" s="54" t="str">
        <f>VLOOKUP(B163,'[1]Product by Part Number'!$A:$K,3,0)</f>
        <v>MASTER SHOE</v>
      </c>
      <c r="E163" s="55">
        <f>VLOOKUP(B163,'[1]Product by Part Number'!$A:$K,11,0)</f>
        <v>2</v>
      </c>
      <c r="F163" s="56">
        <f>VLOOKUP(B163,'[1]Product by Part Number'!$A:$K,4,0)</f>
        <v>199.65</v>
      </c>
      <c r="G163" s="56">
        <f t="shared" si="6"/>
        <v>399.3</v>
      </c>
      <c r="H163" s="57">
        <f>VLOOKUP(B163,'[1]Product by Part Number'!$A:$K,5,0)</f>
        <v>99.83</v>
      </c>
      <c r="I163" s="90">
        <f t="shared" si="7"/>
        <v>199.66</v>
      </c>
    </row>
    <row r="164" spans="2:9" s="53" customFormat="1" x14ac:dyDescent="0.3">
      <c r="B164" s="79" t="s">
        <v>204</v>
      </c>
      <c r="C164" s="54" t="str">
        <f>VLOOKUP(B164,'[1]Product by Part Number'!$A:$K,2,0)</f>
        <v xml:space="preserve">CAT 303.5E                  </v>
      </c>
      <c r="D164" s="54" t="str">
        <f>VLOOKUP(B164,'[1]Product by Part Number'!$A:$K,3,0)</f>
        <v>HYDRAULIC PUMP</v>
      </c>
      <c r="E164" s="55">
        <f>VLOOKUP(B164,'[1]Product by Part Number'!$A:$K,11,0)</f>
        <v>1</v>
      </c>
      <c r="F164" s="56">
        <f>VLOOKUP(B164,'[1]Product by Part Number'!$A:$K,4,0)</f>
        <v>7622.73</v>
      </c>
      <c r="G164" s="56">
        <f t="shared" si="6"/>
        <v>7622.73</v>
      </c>
      <c r="H164" s="57">
        <f>VLOOKUP(B164,'[1]Product by Part Number'!$A:$K,5,0)</f>
        <v>3811.37</v>
      </c>
      <c r="I164" s="90">
        <f t="shared" si="7"/>
        <v>3811.37</v>
      </c>
    </row>
    <row r="165" spans="2:9" s="53" customFormat="1" x14ac:dyDescent="0.3">
      <c r="B165" s="79" t="s">
        <v>205</v>
      </c>
      <c r="C165" s="54" t="str">
        <f>VLOOKUP(B165,'[1]Product by Part Number'!$A:$K,2,0)</f>
        <v xml:space="preserve">CAT D7G (92V)                  </v>
      </c>
      <c r="D165" s="54" t="str">
        <f>VLOOKUP(B165,'[1]Product by Part Number'!$A:$K,3,0)</f>
        <v>TRACK IDLER</v>
      </c>
      <c r="E165" s="55">
        <f>VLOOKUP(B165,'[1]Product by Part Number'!$A:$K,11,0)</f>
        <v>2</v>
      </c>
      <c r="F165" s="56">
        <f>VLOOKUP(B165,'[1]Product by Part Number'!$A:$K,4,0)</f>
        <v>3497.04</v>
      </c>
      <c r="G165" s="56">
        <f t="shared" si="6"/>
        <v>6994.08</v>
      </c>
      <c r="H165" s="57">
        <f>VLOOKUP(B165,'[1]Product by Part Number'!$A:$K,5,0)</f>
        <v>1748.52</v>
      </c>
      <c r="I165" s="90">
        <f t="shared" si="7"/>
        <v>3497.04</v>
      </c>
    </row>
    <row r="166" spans="2:9" s="53" customFormat="1" x14ac:dyDescent="0.3">
      <c r="B166" s="79" t="s">
        <v>206</v>
      </c>
      <c r="C166" s="54" t="str">
        <f>VLOOKUP(B166,'[1]Product by Part Number'!$A:$K,2,0)</f>
        <v xml:space="preserve">CAT 303.5E                  </v>
      </c>
      <c r="D166" s="54" t="str">
        <f>VLOOKUP(B166,'[1]Product by Part Number'!$A:$K,3,0)</f>
        <v>ENGINE OIL FILTER</v>
      </c>
      <c r="E166" s="55">
        <f>VLOOKUP(B166,'[1]Product by Part Number'!$A:$K,11,0)</f>
        <v>5</v>
      </c>
      <c r="F166" s="56">
        <f>VLOOKUP(B166,'[1]Product by Part Number'!$A:$K,4,0)</f>
        <v>40.69</v>
      </c>
      <c r="G166" s="56">
        <f t="shared" si="6"/>
        <v>203.45</v>
      </c>
      <c r="H166" s="57">
        <f>VLOOKUP(B166,'[1]Product by Part Number'!$A:$K,5,0)</f>
        <v>15.46</v>
      </c>
      <c r="I166" s="90">
        <f t="shared" si="7"/>
        <v>77.3</v>
      </c>
    </row>
    <row r="167" spans="2:9" s="53" customFormat="1" x14ac:dyDescent="0.3">
      <c r="B167" s="79" t="s">
        <v>207</v>
      </c>
      <c r="C167" s="54" t="str">
        <f>VLOOKUP(B167,'[1]Product by Part Number'!$A:$K,2,0)</f>
        <v xml:space="preserve">CAT PL61 (WGS)                  </v>
      </c>
      <c r="D167" s="54" t="str">
        <f>VLOOKUP(B167,'[1]Product by Part Number'!$A:$K,3,0)</f>
        <v>TRACK SHOE</v>
      </c>
      <c r="E167" s="55">
        <f>VLOOKUP(B167,'[1]Product by Part Number'!$A:$K,11,0)</f>
        <v>234</v>
      </c>
      <c r="F167" s="56">
        <f>VLOOKUP(B167,'[1]Product by Part Number'!$A:$K,4,0)</f>
        <v>131.6</v>
      </c>
      <c r="G167" s="56">
        <f t="shared" si="6"/>
        <v>30794.399999999998</v>
      </c>
      <c r="H167" s="57">
        <f>VLOOKUP(B167,'[1]Product by Part Number'!$A:$K,5,0)</f>
        <v>65.8</v>
      </c>
      <c r="I167" s="90">
        <f t="shared" si="7"/>
        <v>15397.2</v>
      </c>
    </row>
    <row r="168" spans="2:9" s="53" customFormat="1" x14ac:dyDescent="0.3">
      <c r="B168" s="79" t="s">
        <v>208</v>
      </c>
      <c r="C168" s="54" t="str">
        <f>VLOOKUP(B168,'[1]Product by Part Number'!$A:$K,2,0)</f>
        <v xml:space="preserve">CAT PL61 (WGS)                  </v>
      </c>
      <c r="D168" s="54" t="str">
        <f>VLOOKUP(B168,'[1]Product by Part Number'!$A:$K,3,0)</f>
        <v>MASTER SHOE</v>
      </c>
      <c r="E168" s="55">
        <f>VLOOKUP(B168,'[1]Product by Part Number'!$A:$K,11,0)</f>
        <v>6</v>
      </c>
      <c r="F168" s="56">
        <f>VLOOKUP(B168,'[1]Product by Part Number'!$A:$K,4,0)</f>
        <v>143.16999999999999</v>
      </c>
      <c r="G168" s="56">
        <f t="shared" si="6"/>
        <v>859.02</v>
      </c>
      <c r="H168" s="57">
        <f>VLOOKUP(B168,'[1]Product by Part Number'!$A:$K,5,0)</f>
        <v>71.59</v>
      </c>
      <c r="I168" s="90">
        <f t="shared" si="7"/>
        <v>429.54</v>
      </c>
    </row>
    <row r="169" spans="2:9" s="53" customFormat="1" x14ac:dyDescent="0.3">
      <c r="B169" s="79" t="s">
        <v>209</v>
      </c>
      <c r="C169" s="54" t="str">
        <f>VLOOKUP(B169,'[1]Product by Part Number'!$A:$K,2,0)</f>
        <v xml:space="preserve">CAT 303.5E                  </v>
      </c>
      <c r="D169" s="54" t="str">
        <f>VLOOKUP(B169,'[1]Product by Part Number'!$A:$K,3,0)</f>
        <v>OIL PUMP ENGINE</v>
      </c>
      <c r="E169" s="55">
        <f>VLOOKUP(B169,'[1]Product by Part Number'!$A:$K,11,0)</f>
        <v>1</v>
      </c>
      <c r="F169" s="56">
        <f>VLOOKUP(B169,'[1]Product by Part Number'!$A:$K,4,0)</f>
        <v>831.44</v>
      </c>
      <c r="G169" s="56">
        <f t="shared" si="6"/>
        <v>831.44</v>
      </c>
      <c r="H169" s="57">
        <f>VLOOKUP(B169,'[1]Product by Part Number'!$A:$K,5,0)</f>
        <v>415.72</v>
      </c>
      <c r="I169" s="90">
        <f t="shared" si="7"/>
        <v>415.72</v>
      </c>
    </row>
    <row r="170" spans="2:9" s="53" customFormat="1" x14ac:dyDescent="0.3">
      <c r="B170" s="79" t="s">
        <v>210</v>
      </c>
      <c r="C170" s="54" t="str">
        <f>VLOOKUP(B170,'[1]Product by Part Number'!$A:$K,2,0)</f>
        <v xml:space="preserve">CAT 303.5E                  </v>
      </c>
      <c r="D170" s="54" t="str">
        <f>VLOOKUP(B170,'[1]Product by Part Number'!$A:$K,3,0)</f>
        <v>WATER PUMP</v>
      </c>
      <c r="E170" s="55">
        <f>VLOOKUP(B170,'[1]Product by Part Number'!$A:$K,11,0)</f>
        <v>1</v>
      </c>
      <c r="F170" s="56">
        <f>VLOOKUP(B170,'[1]Product by Part Number'!$A:$K,4,0)</f>
        <v>512.79</v>
      </c>
      <c r="G170" s="56">
        <f t="shared" si="6"/>
        <v>512.79</v>
      </c>
      <c r="H170" s="57">
        <f>VLOOKUP(B170,'[1]Product by Part Number'!$A:$K,5,0)</f>
        <v>256.39999999999998</v>
      </c>
      <c r="I170" s="90">
        <f t="shared" si="7"/>
        <v>256.39999999999998</v>
      </c>
    </row>
    <row r="171" spans="2:9" s="53" customFormat="1" x14ac:dyDescent="0.3">
      <c r="B171" s="79" t="s">
        <v>211</v>
      </c>
      <c r="C171" s="54" t="str">
        <f>VLOOKUP(B171,'[1]Product by Part Number'!$A:$K,2,0)</f>
        <v xml:space="preserve">CAT 303.5E                  </v>
      </c>
      <c r="D171" s="54" t="str">
        <f>VLOOKUP(B171,'[1]Product by Part Number'!$A:$K,3,0)</f>
        <v xml:space="preserve">FUEL INJECTOR NOZZLE </v>
      </c>
      <c r="E171" s="55">
        <f>VLOOKUP(B171,'[1]Product by Part Number'!$A:$K,11,0)</f>
        <v>3</v>
      </c>
      <c r="F171" s="56">
        <f>VLOOKUP(B171,'[1]Product by Part Number'!$A:$K,4,0)</f>
        <v>974.18</v>
      </c>
      <c r="G171" s="56">
        <f t="shared" si="6"/>
        <v>2922.54</v>
      </c>
      <c r="H171" s="57">
        <f>VLOOKUP(B171,'[1]Product by Part Number'!$A:$K,5,0)</f>
        <v>487.09</v>
      </c>
      <c r="I171" s="90">
        <f t="shared" si="7"/>
        <v>1461.27</v>
      </c>
    </row>
    <row r="172" spans="2:9" s="53" customFormat="1" x14ac:dyDescent="0.3">
      <c r="B172" s="79" t="s">
        <v>212</v>
      </c>
      <c r="C172" s="54" t="str">
        <f>VLOOKUP(B172,'[1]Product by Part Number'!$A:$K,2,0)</f>
        <v xml:space="preserve">CAT 303.5E                  </v>
      </c>
      <c r="D172" s="54" t="str">
        <f>VLOOKUP(B172,'[1]Product by Part Number'!$A:$K,3,0)</f>
        <v xml:space="preserve">SUSPENSION SEAT ASSEMBLY </v>
      </c>
      <c r="E172" s="55">
        <f>VLOOKUP(B172,'[1]Product by Part Number'!$A:$K,11,0)</f>
        <v>1</v>
      </c>
      <c r="F172" s="56">
        <f>VLOOKUP(B172,'[1]Product by Part Number'!$A:$K,4,0)</f>
        <v>3786.04</v>
      </c>
      <c r="G172" s="56">
        <f t="shared" si="6"/>
        <v>3786.04</v>
      </c>
      <c r="H172" s="57">
        <f>VLOOKUP(B172,'[1]Product by Part Number'!$A:$K,5,0)</f>
        <v>1893.02</v>
      </c>
      <c r="I172" s="90">
        <f t="shared" si="7"/>
        <v>1893.02</v>
      </c>
    </row>
    <row r="173" spans="2:9" s="53" customFormat="1" x14ac:dyDescent="0.3">
      <c r="B173" s="79" t="s">
        <v>213</v>
      </c>
      <c r="C173" s="54" t="str">
        <f>VLOOKUP(B173,'[1]Product by Part Number'!$A:$K,2,0)</f>
        <v xml:space="preserve">CAT 303.5E                  </v>
      </c>
      <c r="D173" s="54" t="str">
        <f>VLOOKUP(B173,'[1]Product by Part Number'!$A:$K,3,0)</f>
        <v>CYLINDER HEAD</v>
      </c>
      <c r="E173" s="55">
        <f>VLOOKUP(B173,'[1]Product by Part Number'!$A:$K,11,0)</f>
        <v>1</v>
      </c>
      <c r="F173" s="56">
        <f>VLOOKUP(B173,'[1]Product by Part Number'!$A:$K,4,0)</f>
        <v>3744.05</v>
      </c>
      <c r="G173" s="56">
        <f t="shared" si="6"/>
        <v>3744.05</v>
      </c>
      <c r="H173" s="57">
        <f>VLOOKUP(B173,'[1]Product by Part Number'!$A:$K,5,0)</f>
        <v>1872.03</v>
      </c>
      <c r="I173" s="90">
        <f t="shared" si="7"/>
        <v>1872.03</v>
      </c>
    </row>
    <row r="174" spans="2:9" s="53" customFormat="1" x14ac:dyDescent="0.3">
      <c r="B174" s="79" t="s">
        <v>214</v>
      </c>
      <c r="C174" s="54" t="str">
        <f>VLOOKUP(B174,'[1]Product by Part Number'!$A:$K,2,0)</f>
        <v xml:space="preserve">CAT 303.5E                  </v>
      </c>
      <c r="D174" s="54" t="str">
        <f>VLOOKUP(B174,'[1]Product by Part Number'!$A:$K,3,0)</f>
        <v>CAMSHAFT AS</v>
      </c>
      <c r="E174" s="55">
        <f>VLOOKUP(B174,'[1]Product by Part Number'!$A:$K,11,0)</f>
        <v>1</v>
      </c>
      <c r="F174" s="56">
        <f>VLOOKUP(B174,'[1]Product by Part Number'!$A:$K,4,0)</f>
        <v>515.16999999999996</v>
      </c>
      <c r="G174" s="56">
        <f t="shared" si="6"/>
        <v>515.16999999999996</v>
      </c>
      <c r="H174" s="57">
        <f>VLOOKUP(B174,'[1]Product by Part Number'!$A:$K,5,0)</f>
        <v>257.58999999999997</v>
      </c>
      <c r="I174" s="90">
        <f t="shared" si="7"/>
        <v>257.58999999999997</v>
      </c>
    </row>
    <row r="175" spans="2:9" s="53" customFormat="1" x14ac:dyDescent="0.3">
      <c r="B175" s="79" t="s">
        <v>215</v>
      </c>
      <c r="C175" s="54" t="str">
        <f>VLOOKUP(B175,'[1]Product by Part Number'!$A:$K,2,0)</f>
        <v xml:space="preserve">CAT 303.5E                  </v>
      </c>
      <c r="D175" s="54" t="str">
        <f>VLOOKUP(B175,'[1]Product by Part Number'!$A:$K,3,0)</f>
        <v>CRANKSHAFT ASSY</v>
      </c>
      <c r="E175" s="55">
        <f>VLOOKUP(B175,'[1]Product by Part Number'!$A:$K,11,0)</f>
        <v>1</v>
      </c>
      <c r="F175" s="56">
        <f>VLOOKUP(B175,'[1]Product by Part Number'!$A:$K,4,0)</f>
        <v>4035.36</v>
      </c>
      <c r="G175" s="56">
        <f t="shared" si="6"/>
        <v>4035.36</v>
      </c>
      <c r="H175" s="57">
        <f>VLOOKUP(B175,'[1]Product by Part Number'!$A:$K,5,0)</f>
        <v>2017.68</v>
      </c>
      <c r="I175" s="90">
        <f t="shared" si="7"/>
        <v>2017.68</v>
      </c>
    </row>
    <row r="176" spans="2:9" s="53" customFormat="1" x14ac:dyDescent="0.3">
      <c r="B176" s="79" t="s">
        <v>216</v>
      </c>
      <c r="C176" s="54" t="str">
        <f>VLOOKUP(B176,'[1]Product by Part Number'!$A:$K,2,0)</f>
        <v xml:space="preserve">CAT D4 (66J)                  </v>
      </c>
      <c r="D176" s="54" t="str">
        <f>VLOOKUP(B176,'[1]Product by Part Number'!$A:$K,3,0)</f>
        <v>FLAT WASHER</v>
      </c>
      <c r="E176" s="55">
        <f>VLOOKUP(B176,'[1]Product by Part Number'!$A:$K,11,0)</f>
        <v>12</v>
      </c>
      <c r="F176" s="56">
        <f>VLOOKUP(B176,'[1]Product by Part Number'!$A:$K,4,0)</f>
        <v>0.33</v>
      </c>
      <c r="G176" s="56">
        <f t="shared" si="6"/>
        <v>3.96</v>
      </c>
      <c r="H176" s="57">
        <f>VLOOKUP(B176,'[1]Product by Part Number'!$A:$K,5,0)</f>
        <v>0.17</v>
      </c>
      <c r="I176" s="90">
        <f t="shared" si="7"/>
        <v>2.04</v>
      </c>
    </row>
    <row r="177" spans="2:9" s="53" customFormat="1" x14ac:dyDescent="0.3">
      <c r="B177" s="79" t="s">
        <v>217</v>
      </c>
      <c r="C177" s="54" t="str">
        <f>VLOOKUP(B177,'[1]Product by Part Number'!$A:$K,2,0)</f>
        <v xml:space="preserve">CAT D3 (1PJ)                  </v>
      </c>
      <c r="D177" s="54" t="str">
        <f>VLOOKUP(B177,'[1]Product by Part Number'!$A:$K,3,0)</f>
        <v>COTTER PIN</v>
      </c>
      <c r="E177" s="55">
        <f>VLOOKUP(B177,'[1]Product by Part Number'!$A:$K,11,0)</f>
        <v>1</v>
      </c>
      <c r="F177" s="56">
        <f>VLOOKUP(B177,'[1]Product by Part Number'!$A:$K,4,0)</f>
        <v>1.18</v>
      </c>
      <c r="G177" s="56">
        <f t="shared" si="6"/>
        <v>1.18</v>
      </c>
      <c r="H177" s="57">
        <f>VLOOKUP(B177,'[1]Product by Part Number'!$A:$K,5,0)</f>
        <v>0.45</v>
      </c>
      <c r="I177" s="90">
        <f t="shared" si="7"/>
        <v>0.45</v>
      </c>
    </row>
    <row r="178" spans="2:9" s="53" customFormat="1" ht="27" x14ac:dyDescent="0.3">
      <c r="B178" s="79" t="s">
        <v>218</v>
      </c>
      <c r="C178" s="54" t="str">
        <f>VLOOKUP(B178,'[1]Product by Part Number'!$A:$K,2,0)</f>
        <v xml:space="preserve">CAT D6N LGP (PBA) CAT D6N LGP (SGG) CAT D6T (MH7)              </v>
      </c>
      <c r="D178" s="54" t="str">
        <f>VLOOKUP(B178,'[1]Product by Part Number'!$A:$K,3,0)</f>
        <v>COTTER PIN</v>
      </c>
      <c r="E178" s="55">
        <f>VLOOKUP(B178,'[1]Product by Part Number'!$A:$K,11,0)</f>
        <v>30</v>
      </c>
      <c r="F178" s="56">
        <f>VLOOKUP(B178,'[1]Product by Part Number'!$A:$K,4,0)</f>
        <v>7.67</v>
      </c>
      <c r="G178" s="56">
        <f t="shared" si="6"/>
        <v>230.1</v>
      </c>
      <c r="H178" s="57">
        <f>VLOOKUP(B178,'[1]Product by Part Number'!$A:$K,5,0)</f>
        <v>2.91</v>
      </c>
      <c r="I178" s="90">
        <f t="shared" si="7"/>
        <v>87.3</v>
      </c>
    </row>
    <row r="179" spans="2:9" s="53" customFormat="1" x14ac:dyDescent="0.3">
      <c r="B179" s="79" t="s">
        <v>219</v>
      </c>
      <c r="C179" s="54" t="str">
        <f>VLOOKUP(B179,'[1]Product by Part Number'!$A:$K,2,0)</f>
        <v xml:space="preserve">CAT D3 (1PJ)                  </v>
      </c>
      <c r="D179" s="54" t="str">
        <f>VLOOKUP(B179,'[1]Product by Part Number'!$A:$K,3,0)</f>
        <v>BOLT</v>
      </c>
      <c r="E179" s="55">
        <f>VLOOKUP(B179,'[1]Product by Part Number'!$A:$K,11,0)</f>
        <v>18</v>
      </c>
      <c r="F179" s="56">
        <f>VLOOKUP(B179,'[1]Product by Part Number'!$A:$K,4,0)</f>
        <v>3.22</v>
      </c>
      <c r="G179" s="56">
        <f t="shared" si="6"/>
        <v>57.96</v>
      </c>
      <c r="H179" s="57">
        <f>VLOOKUP(B179,'[1]Product by Part Number'!$A:$K,5,0)</f>
        <v>1.22</v>
      </c>
      <c r="I179" s="90">
        <f t="shared" si="7"/>
        <v>21.96</v>
      </c>
    </row>
    <row r="180" spans="2:9" s="53" customFormat="1" x14ac:dyDescent="0.3">
      <c r="B180" s="79" t="s">
        <v>220</v>
      </c>
      <c r="C180" s="54" t="str">
        <f>VLOOKUP(B180,'[1]Product by Part Number'!$A:$K,2,0)</f>
        <v xml:space="preserve">CAT D3 (1PJ)                  </v>
      </c>
      <c r="D180" s="54" t="str">
        <f>VLOOKUP(B180,'[1]Product by Part Number'!$A:$K,3,0)</f>
        <v>BLADE AS</v>
      </c>
      <c r="E180" s="55">
        <f>VLOOKUP(B180,'[1]Product by Part Number'!$A:$K,11,0)</f>
        <v>1</v>
      </c>
      <c r="F180" s="56">
        <f>VLOOKUP(B180,'[1]Product by Part Number'!$A:$K,4,0)</f>
        <v>11144.2</v>
      </c>
      <c r="G180" s="56">
        <f t="shared" si="6"/>
        <v>11144.2</v>
      </c>
      <c r="H180" s="57">
        <f>VLOOKUP(B180,'[1]Product by Part Number'!$A:$K,5,0)</f>
        <v>4234.8</v>
      </c>
      <c r="I180" s="90">
        <f t="shared" si="7"/>
        <v>4234.8</v>
      </c>
    </row>
    <row r="181" spans="2:9" s="53" customFormat="1" x14ac:dyDescent="0.3">
      <c r="B181" s="79" t="s">
        <v>221</v>
      </c>
      <c r="C181" s="54" t="str">
        <f>VLOOKUP(B181,'[1]Product by Part Number'!$A:$K,2,0)</f>
        <v xml:space="preserve">CAT D7G (92V)                  </v>
      </c>
      <c r="D181" s="54" t="str">
        <f>VLOOKUP(B181,'[1]Product by Part Number'!$A:$K,3,0)</f>
        <v>BLADE ASSEMBLY</v>
      </c>
      <c r="E181" s="55">
        <f>VLOOKUP(B181,'[1]Product by Part Number'!$A:$K,11,0)</f>
        <v>1</v>
      </c>
      <c r="F181" s="56">
        <f>VLOOKUP(B181,'[1]Product by Part Number'!$A:$K,4,0)</f>
        <v>27033.599999999999</v>
      </c>
      <c r="G181" s="56">
        <f t="shared" si="6"/>
        <v>27033.599999999999</v>
      </c>
      <c r="H181" s="57">
        <f>VLOOKUP(B181,'[1]Product by Part Number'!$A:$K,5,0)</f>
        <v>10272.77</v>
      </c>
      <c r="I181" s="90">
        <f t="shared" si="7"/>
        <v>10272.77</v>
      </c>
    </row>
    <row r="182" spans="2:9" s="53" customFormat="1" x14ac:dyDescent="0.3">
      <c r="B182" s="79" t="s">
        <v>222</v>
      </c>
      <c r="C182" s="54" t="str">
        <f>VLOOKUP(B182,'[1]Product by Part Number'!$A:$K,2,0)</f>
        <v xml:space="preserve">CAT D5 (3CR) CAT 561N (CPH) CAT PL61 (WGS)              </v>
      </c>
      <c r="D182" s="54" t="str">
        <f>VLOOKUP(B182,'[1]Product by Part Number'!$A:$K,3,0)</f>
        <v>SPROCKET BOLT</v>
      </c>
      <c r="E182" s="55">
        <f>VLOOKUP(B182,'[1]Product by Part Number'!$A:$K,11,0)</f>
        <v>442</v>
      </c>
      <c r="F182" s="56">
        <f>VLOOKUP(B182,'[1]Product by Part Number'!$A:$K,4,0)</f>
        <v>2.94</v>
      </c>
      <c r="G182" s="56">
        <f t="shared" si="6"/>
        <v>1299.48</v>
      </c>
      <c r="H182" s="57">
        <f>VLOOKUP(B182,'[1]Product by Part Number'!$A:$K,5,0)</f>
        <v>1.47</v>
      </c>
      <c r="I182" s="90">
        <f t="shared" si="7"/>
        <v>649.74</v>
      </c>
    </row>
    <row r="183" spans="2:9" s="53" customFormat="1" x14ac:dyDescent="0.3">
      <c r="B183" s="79" t="s">
        <v>223</v>
      </c>
      <c r="C183" s="54" t="str">
        <f>VLOOKUP(B183,'[1]Product by Part Number'!$A:$K,2,0)</f>
        <v xml:space="preserve">CAT D5 (3CR) CAT 561N (CPH)                </v>
      </c>
      <c r="D183" s="54" t="str">
        <f>VLOOKUP(B183,'[1]Product by Part Number'!$A:$K,3,0)</f>
        <v>TRACK BOLT</v>
      </c>
      <c r="E183" s="55">
        <f>VLOOKUP(B183,'[1]Product by Part Number'!$A:$K,11,0)</f>
        <v>606</v>
      </c>
      <c r="F183" s="56">
        <f>VLOOKUP(B183,'[1]Product by Part Number'!$A:$K,4,0)</f>
        <v>5.51</v>
      </c>
      <c r="G183" s="56">
        <f t="shared" si="6"/>
        <v>3339.06</v>
      </c>
      <c r="H183" s="57">
        <f>VLOOKUP(B183,'[1]Product by Part Number'!$A:$K,5,0)</f>
        <v>2.76</v>
      </c>
      <c r="I183" s="90">
        <f t="shared" si="7"/>
        <v>1672.56</v>
      </c>
    </row>
    <row r="184" spans="2:9" s="53" customFormat="1" x14ac:dyDescent="0.3">
      <c r="B184" s="79" t="s">
        <v>224</v>
      </c>
      <c r="C184" s="54" t="str">
        <f>VLOOKUP(B184,'[1]Product by Part Number'!$A:$K,2,0)</f>
        <v xml:space="preserve">CAT D5 (3CR) CAT 561N (CPH)                </v>
      </c>
      <c r="D184" s="54" t="str">
        <f>VLOOKUP(B184,'[1]Product by Part Number'!$A:$K,3,0)</f>
        <v>TRACK BOLT MASTER</v>
      </c>
      <c r="E184" s="55">
        <f>VLOOKUP(B184,'[1]Product by Part Number'!$A:$K,11,0)</f>
        <v>14</v>
      </c>
      <c r="F184" s="56">
        <f>VLOOKUP(B184,'[1]Product by Part Number'!$A:$K,4,0)</f>
        <v>6.45</v>
      </c>
      <c r="G184" s="56">
        <f t="shared" si="6"/>
        <v>90.3</v>
      </c>
      <c r="H184" s="57">
        <f>VLOOKUP(B184,'[1]Product by Part Number'!$A:$K,5,0)</f>
        <v>3.23</v>
      </c>
      <c r="I184" s="90">
        <f t="shared" si="7"/>
        <v>45.22</v>
      </c>
    </row>
    <row r="185" spans="2:9" s="53" customFormat="1" x14ac:dyDescent="0.3">
      <c r="B185" s="79" t="s">
        <v>225</v>
      </c>
      <c r="C185" s="54" t="str">
        <f>VLOOKUP(B185,'[1]Product by Part Number'!$A:$K,2,0)</f>
        <v xml:space="preserve">CAT 320F L (YBM) CAT 320 (HEX)                </v>
      </c>
      <c r="D185" s="54" t="str">
        <f>VLOOKUP(B185,'[1]Product by Part Number'!$A:$K,3,0)</f>
        <v>PRIMARY TURBOCHARGER ASSEMBLY</v>
      </c>
      <c r="E185" s="55">
        <f>VLOOKUP(B185,'[1]Product by Part Number'!$A:$K,11,0)</f>
        <v>2</v>
      </c>
      <c r="F185" s="56">
        <f>VLOOKUP(B185,'[1]Product by Part Number'!$A:$K,4,0)</f>
        <v>3725.79</v>
      </c>
      <c r="G185" s="56">
        <f t="shared" si="6"/>
        <v>7451.58</v>
      </c>
      <c r="H185" s="57">
        <f>VLOOKUP(B185,'[1]Product by Part Number'!$A:$K,5,0)</f>
        <v>1862.9</v>
      </c>
      <c r="I185" s="90">
        <f t="shared" si="7"/>
        <v>3725.8</v>
      </c>
    </row>
    <row r="186" spans="2:9" s="53" customFormat="1" x14ac:dyDescent="0.3">
      <c r="B186" s="79" t="s">
        <v>226</v>
      </c>
      <c r="C186" s="54" t="str">
        <f>VLOOKUP(B186,'[1]Product by Part Number'!$A:$K,2,0)</f>
        <v xml:space="preserve">CAT 303.5E                  </v>
      </c>
      <c r="D186" s="54" t="str">
        <f>VLOOKUP(B186,'[1]Product by Part Number'!$A:$K,3,0)</f>
        <v>CARRIER ROLLER</v>
      </c>
      <c r="E186" s="55">
        <f>VLOOKUP(B186,'[1]Product by Part Number'!$A:$K,11,0)</f>
        <v>2</v>
      </c>
      <c r="F186" s="56">
        <f>VLOOKUP(B186,'[1]Product by Part Number'!$A:$K,4,0)</f>
        <v>403.56</v>
      </c>
      <c r="G186" s="56">
        <f t="shared" si="6"/>
        <v>807.12</v>
      </c>
      <c r="H186" s="57">
        <f>VLOOKUP(B186,'[1]Product by Part Number'!$A:$K,5,0)</f>
        <v>201.78</v>
      </c>
      <c r="I186" s="90">
        <f t="shared" si="7"/>
        <v>403.56</v>
      </c>
    </row>
    <row r="187" spans="2:9" s="53" customFormat="1" x14ac:dyDescent="0.3">
      <c r="B187" s="79" t="s">
        <v>227</v>
      </c>
      <c r="C187" s="54" t="str">
        <f>VLOOKUP(B187,'[1]Product by Part Number'!$A:$K,2,0)</f>
        <v xml:space="preserve">CAT 336F L (RKB)                  </v>
      </c>
      <c r="D187" s="54" t="str">
        <f>VLOOKUP(B187,'[1]Product by Part Number'!$A:$K,3,0)</f>
        <v>TURBOCHARGER ASSEMBLY</v>
      </c>
      <c r="E187" s="55">
        <f>VLOOKUP(B187,'[1]Product by Part Number'!$A:$K,11,0)</f>
        <v>1</v>
      </c>
      <c r="F187" s="56">
        <f>VLOOKUP(B187,'[1]Product by Part Number'!$A:$K,4,0)</f>
        <v>7358.86</v>
      </c>
      <c r="G187" s="56">
        <f t="shared" si="6"/>
        <v>7358.86</v>
      </c>
      <c r="H187" s="57">
        <f>VLOOKUP(B187,'[1]Product by Part Number'!$A:$K,5,0)</f>
        <v>3679.43</v>
      </c>
      <c r="I187" s="90">
        <f t="shared" si="7"/>
        <v>3679.43</v>
      </c>
    </row>
    <row r="188" spans="2:9" s="53" customFormat="1" x14ac:dyDescent="0.3">
      <c r="B188" s="79" t="s">
        <v>228</v>
      </c>
      <c r="C188" s="54" t="str">
        <f>VLOOKUP(B188,'[1]Product by Part Number'!$A:$K,2,0)</f>
        <v xml:space="preserve">CAT D7G (92V)                  </v>
      </c>
      <c r="D188" s="54" t="str">
        <f>VLOOKUP(B188,'[1]Product by Part Number'!$A:$K,3,0)</f>
        <v>CARRIER ROLLER</v>
      </c>
      <c r="E188" s="55">
        <f>VLOOKUP(B188,'[1]Product by Part Number'!$A:$K,11,0)</f>
        <v>2</v>
      </c>
      <c r="F188" s="56">
        <f>VLOOKUP(B188,'[1]Product by Part Number'!$A:$K,4,0)</f>
        <v>722.36</v>
      </c>
      <c r="G188" s="56">
        <f t="shared" si="6"/>
        <v>1444.72</v>
      </c>
      <c r="H188" s="57">
        <f>VLOOKUP(B188,'[1]Product by Part Number'!$A:$K,5,0)</f>
        <v>361.18</v>
      </c>
      <c r="I188" s="90">
        <f t="shared" si="7"/>
        <v>722.36</v>
      </c>
    </row>
    <row r="189" spans="2:9" s="53" customFormat="1" ht="27" x14ac:dyDescent="0.3">
      <c r="B189" s="79" t="s">
        <v>229</v>
      </c>
      <c r="C189" s="54" t="str">
        <f>VLOOKUP(B189,'[1]Product by Part Number'!$A:$K,2,0)</f>
        <v xml:space="preserve">CAT 303.5E                  </v>
      </c>
      <c r="D189" s="54" t="str">
        <f>VLOOKUP(B189,'[1]Product by Part Number'!$A:$K,3,0)</f>
        <v>BLADE - PUSH REPLACMENT WELD ON EDGE</v>
      </c>
      <c r="E189" s="55">
        <f>VLOOKUP(B189,'[1]Product by Part Number'!$A:$K,11,0)</f>
        <v>1</v>
      </c>
      <c r="F189" s="56">
        <f>VLOOKUP(B189,'[1]Product by Part Number'!$A:$K,4,0)</f>
        <v>147.55000000000001</v>
      </c>
      <c r="G189" s="56">
        <f t="shared" si="6"/>
        <v>147.55000000000001</v>
      </c>
      <c r="H189" s="57">
        <f>VLOOKUP(B189,'[1]Product by Part Number'!$A:$K,5,0)</f>
        <v>56.07</v>
      </c>
      <c r="I189" s="90">
        <f t="shared" si="7"/>
        <v>56.07</v>
      </c>
    </row>
    <row r="190" spans="2:9" s="53" customFormat="1" x14ac:dyDescent="0.3">
      <c r="B190" s="79" t="s">
        <v>230</v>
      </c>
      <c r="C190" s="54" t="str">
        <f>VLOOKUP(B190,'[1]Product by Part Number'!$A:$K,2,0)</f>
        <v xml:space="preserve">CAT 329E L (ZCD)                  </v>
      </c>
      <c r="D190" s="54" t="str">
        <f>VLOOKUP(B190,'[1]Product by Part Number'!$A:$K,3,0)</f>
        <v>PRIMARY TURBOCHARGER ASSEMBLY</v>
      </c>
      <c r="E190" s="55">
        <f>VLOOKUP(B190,'[1]Product by Part Number'!$A:$K,11,0)</f>
        <v>1</v>
      </c>
      <c r="F190" s="56">
        <f>VLOOKUP(B190,'[1]Product by Part Number'!$A:$K,4,0)</f>
        <v>3927.73</v>
      </c>
      <c r="G190" s="56">
        <f t="shared" si="6"/>
        <v>3927.73</v>
      </c>
      <c r="H190" s="57">
        <f>VLOOKUP(B190,'[1]Product by Part Number'!$A:$K,5,0)</f>
        <v>1963.87</v>
      </c>
      <c r="I190" s="90">
        <f t="shared" si="7"/>
        <v>1963.87</v>
      </c>
    </row>
    <row r="191" spans="2:9" s="53" customFormat="1" ht="27" x14ac:dyDescent="0.3">
      <c r="B191" s="79" t="s">
        <v>231</v>
      </c>
      <c r="C191" s="54" t="str">
        <f>VLOOKUP(B191,'[1]Product by Part Number'!$A:$K,2,0)</f>
        <v xml:space="preserve">CAT 320E L (WBK) CAT 320F L (YBM) CAT 320 (HEX) CAT 320 (MYK)            </v>
      </c>
      <c r="D191" s="54" t="str">
        <f>VLOOKUP(B191,'[1]Product by Part Number'!$A:$K,3,0)</f>
        <v>IDLER BOLT</v>
      </c>
      <c r="E191" s="55">
        <f>VLOOKUP(B191,'[1]Product by Part Number'!$A:$K,11,0)</f>
        <v>48</v>
      </c>
      <c r="F191" s="56">
        <f>VLOOKUP(B191,'[1]Product by Part Number'!$A:$K,4,0)</f>
        <v>7.85</v>
      </c>
      <c r="G191" s="56">
        <f t="shared" si="6"/>
        <v>376.79999999999995</v>
      </c>
      <c r="H191" s="57">
        <f>VLOOKUP(B191,'[1]Product by Part Number'!$A:$K,5,0)</f>
        <v>3.93</v>
      </c>
      <c r="I191" s="90">
        <f t="shared" si="7"/>
        <v>188.64</v>
      </c>
    </row>
    <row r="192" spans="2:9" s="53" customFormat="1" ht="27" x14ac:dyDescent="0.3">
      <c r="B192" s="79" t="s">
        <v>232</v>
      </c>
      <c r="C192" s="54" t="str">
        <f>VLOOKUP(B192,'[1]Product by Part Number'!$A:$K,2,0)</f>
        <v xml:space="preserve">CAT 329E L (ZCD) CAT 329F L (ERL) CAT 330F L (MBX) CAT 330F L (HCK)            </v>
      </c>
      <c r="D192" s="54" t="str">
        <f>VLOOKUP(B192,'[1]Product by Part Number'!$A:$K,3,0)</f>
        <v>IDLER BOLT</v>
      </c>
      <c r="E192" s="55">
        <f>VLOOKUP(B192,'[1]Product by Part Number'!$A:$K,11,0)</f>
        <v>48</v>
      </c>
      <c r="F192" s="56">
        <f>VLOOKUP(B192,'[1]Product by Part Number'!$A:$K,4,0)</f>
        <v>10.24</v>
      </c>
      <c r="G192" s="56">
        <f t="shared" si="6"/>
        <v>491.52</v>
      </c>
      <c r="H192" s="57">
        <f>VLOOKUP(B192,'[1]Product by Part Number'!$A:$K,5,0)</f>
        <v>5.12</v>
      </c>
      <c r="I192" s="90">
        <f t="shared" si="7"/>
        <v>245.76</v>
      </c>
    </row>
    <row r="193" spans="2:9" s="53" customFormat="1" x14ac:dyDescent="0.3">
      <c r="B193" s="79" t="s">
        <v>49</v>
      </c>
      <c r="C193" s="54" t="str">
        <f>VLOOKUP(B193,'[1]Product by Part Number'!$A:$K,2,0)</f>
        <v xml:space="preserve">CAT 330 (LHW) CAT 330 (WCH)                </v>
      </c>
      <c r="D193" s="54" t="str">
        <f>VLOOKUP(B193,'[1]Product by Part Number'!$A:$K,3,0)</f>
        <v>IDLER BOLT</v>
      </c>
      <c r="E193" s="55">
        <f>VLOOKUP(B193,'[1]Product by Part Number'!$A:$K,11,0)</f>
        <v>80</v>
      </c>
      <c r="F193" s="56">
        <f>VLOOKUP(B193,'[1]Product by Part Number'!$A:$K,4,0)</f>
        <v>14.28</v>
      </c>
      <c r="G193" s="56">
        <f t="shared" si="6"/>
        <v>1142.3999999999999</v>
      </c>
      <c r="H193" s="57">
        <f>VLOOKUP(B193,'[1]Product by Part Number'!$A:$K,5,0)</f>
        <v>7.14</v>
      </c>
      <c r="I193" s="90">
        <f t="shared" si="7"/>
        <v>571.20000000000005</v>
      </c>
    </row>
    <row r="194" spans="2:9" s="53" customFormat="1" x14ac:dyDescent="0.3">
      <c r="B194" s="79" t="s">
        <v>233</v>
      </c>
      <c r="C194" s="54" t="str">
        <f>VLOOKUP(B194,'[1]Product by Part Number'!$A:$K,2,0)</f>
        <v xml:space="preserve">CAT 336F L (RKB)                  </v>
      </c>
      <c r="D194" s="54" t="str">
        <f>VLOOKUP(B194,'[1]Product by Part Number'!$A:$K,3,0)</f>
        <v>ROLLER BOLT</v>
      </c>
      <c r="E194" s="55">
        <f>VLOOKUP(B194,'[1]Product by Part Number'!$A:$K,11,0)</f>
        <v>72</v>
      </c>
      <c r="F194" s="56">
        <f>VLOOKUP(B194,'[1]Product by Part Number'!$A:$K,4,0)</f>
        <v>31.86</v>
      </c>
      <c r="G194" s="56">
        <f t="shared" si="6"/>
        <v>2293.92</v>
      </c>
      <c r="H194" s="57">
        <f>VLOOKUP(B194,'[1]Product by Part Number'!$A:$K,5,0)</f>
        <v>15.93</v>
      </c>
      <c r="I194" s="90">
        <f t="shared" si="7"/>
        <v>1146.96</v>
      </c>
    </row>
    <row r="195" spans="2:9" s="53" customFormat="1" ht="40.200000000000003" x14ac:dyDescent="0.3">
      <c r="B195" s="79" t="s">
        <v>234</v>
      </c>
      <c r="C195" s="54" t="str">
        <f>VLOOKUP(B195,'[1]Product by Part Number'!$A:$K,2,0)</f>
        <v xml:space="preserve">CAT 320E L (WBK) CAT 320F L (YBM) CAT 320 (HEX) CAT 320 (MYK) CAT 329F L (ERL) CAT 330F L (MBX) CAT 330F L (HCK) CAT 330 (LHW) CAT 330 (WCH)  </v>
      </c>
      <c r="D195" s="54" t="str">
        <f>VLOOKUP(B195,'[1]Product by Part Number'!$A:$K,3,0)</f>
        <v>HEX HEAD BOLT</v>
      </c>
      <c r="E195" s="55">
        <f>VLOOKUP(B195,'[1]Product by Part Number'!$A:$K,11,0)</f>
        <v>84</v>
      </c>
      <c r="F195" s="56">
        <f>VLOOKUP(B195,'[1]Product by Part Number'!$A:$K,4,0)</f>
        <v>23.18</v>
      </c>
      <c r="G195" s="56">
        <f t="shared" si="6"/>
        <v>1947.12</v>
      </c>
      <c r="H195" s="57">
        <f>VLOOKUP(B195,'[1]Product by Part Number'!$A:$K,5,0)</f>
        <v>11.59</v>
      </c>
      <c r="I195" s="90">
        <f t="shared" si="7"/>
        <v>973.56</v>
      </c>
    </row>
    <row r="196" spans="2:9" s="53" customFormat="1" ht="53.4" x14ac:dyDescent="0.3">
      <c r="B196" s="79" t="s">
        <v>235</v>
      </c>
      <c r="C196" s="54" t="str">
        <f>VLOOKUP(B196,'[1]Product by Part Number'!$A:$K,2,0)</f>
        <v>CAT 320E L (WBK) CAT 320F L (YBM) CAT 320 (HEX) CAT 320 (MYK) CAT 329E L (ZCD) CAT 329F L (ERL) CAT 330F L (MBX) CAT 330F L (HCK) CAT 330 (LHW) CAT 330 (WCH)</v>
      </c>
      <c r="D196" s="54" t="str">
        <f>VLOOKUP(B196,'[1]Product by Part Number'!$A:$K,3,0)</f>
        <v>HEX HEAD BOLT</v>
      </c>
      <c r="E196" s="55">
        <f>VLOOKUP(B196,'[1]Product by Part Number'!$A:$K,11,0)</f>
        <v>1536</v>
      </c>
      <c r="F196" s="56">
        <f>VLOOKUP(B196,'[1]Product by Part Number'!$A:$K,4,0)</f>
        <v>20.079999999999998</v>
      </c>
      <c r="G196" s="56">
        <f t="shared" si="6"/>
        <v>30842.879999999997</v>
      </c>
      <c r="H196" s="57">
        <f>VLOOKUP(B196,'[1]Product by Part Number'!$A:$K,5,0)</f>
        <v>10.039999999999999</v>
      </c>
      <c r="I196" s="90">
        <f t="shared" si="7"/>
        <v>15421.44</v>
      </c>
    </row>
    <row r="197" spans="2:9" s="53" customFormat="1" ht="53.4" x14ac:dyDescent="0.3">
      <c r="B197" s="79" t="s">
        <v>236</v>
      </c>
      <c r="C197" s="54" t="str">
        <f>VLOOKUP(B197,'[1]Product by Part Number'!$A:$K,2,0)</f>
        <v>CAT 320E L (WBK) CAT 320F L (YBM) CAT 320 (HEX) CAT 320 (MYK) CAT 329E L (ZCD) CAT 329F L (ERL) CAT 330F L (MBX) CAT 330F L (HCK) CAT 330 (LHW) CAT 330 (WCH)</v>
      </c>
      <c r="D197" s="54" t="str">
        <f>VLOOKUP(B197,'[1]Product by Part Number'!$A:$K,3,0)</f>
        <v>FLAT WASHER</v>
      </c>
      <c r="E197" s="55">
        <f>VLOOKUP(B197,'[1]Product by Part Number'!$A:$K,11,0)</f>
        <v>1536</v>
      </c>
      <c r="F197" s="56">
        <f>VLOOKUP(B197,'[1]Product by Part Number'!$A:$K,4,0)</f>
        <v>2.99</v>
      </c>
      <c r="G197" s="56">
        <f t="shared" si="6"/>
        <v>4592.6400000000003</v>
      </c>
      <c r="H197" s="57">
        <f>VLOOKUP(B197,'[1]Product by Part Number'!$A:$K,5,0)</f>
        <v>1.5</v>
      </c>
      <c r="I197" s="90">
        <f t="shared" si="7"/>
        <v>2304</v>
      </c>
    </row>
    <row r="198" spans="2:9" s="53" customFormat="1" x14ac:dyDescent="0.3">
      <c r="B198" s="79" t="s">
        <v>237</v>
      </c>
      <c r="C198" s="54" t="str">
        <f>VLOOKUP(B198,'[1]Product by Part Number'!$A:$K,2,0)</f>
        <v xml:space="preserve">CAT 336F L (RKB)                  </v>
      </c>
      <c r="D198" s="54" t="str">
        <f>VLOOKUP(B198,'[1]Product by Part Number'!$A:$K,3,0)</f>
        <v>FLAT WASHER</v>
      </c>
      <c r="E198" s="55">
        <f>VLOOKUP(B198,'[1]Product by Part Number'!$A:$K,11,0)</f>
        <v>72</v>
      </c>
      <c r="F198" s="56">
        <f>VLOOKUP(B198,'[1]Product by Part Number'!$A:$K,4,0)</f>
        <v>4.9800000000000004</v>
      </c>
      <c r="G198" s="56">
        <f t="shared" si="6"/>
        <v>358.56000000000006</v>
      </c>
      <c r="H198" s="57">
        <f>VLOOKUP(B198,'[1]Product by Part Number'!$A:$K,5,0)</f>
        <v>2.4900000000000002</v>
      </c>
      <c r="I198" s="90">
        <f t="shared" si="7"/>
        <v>179.28</v>
      </c>
    </row>
    <row r="199" spans="2:9" s="53" customFormat="1" x14ac:dyDescent="0.3">
      <c r="B199" s="79" t="s">
        <v>238</v>
      </c>
      <c r="C199" s="54" t="str">
        <f>VLOOKUP(B199,'[1]Product by Part Number'!$A:$K,2,0)</f>
        <v xml:space="preserve">CAT 336F L (RKB)                  </v>
      </c>
      <c r="D199" s="54" t="str">
        <f>VLOOKUP(B199,'[1]Product by Part Number'!$A:$K,3,0)</f>
        <v>CARRIER BOLT</v>
      </c>
      <c r="E199" s="55">
        <f>VLOOKUP(B199,'[1]Product by Part Number'!$A:$K,11,0)</f>
        <v>4</v>
      </c>
      <c r="F199" s="56">
        <f>VLOOKUP(B199,'[1]Product by Part Number'!$A:$K,4,0)</f>
        <v>26.18</v>
      </c>
      <c r="G199" s="56">
        <f t="shared" si="6"/>
        <v>104.72</v>
      </c>
      <c r="H199" s="57">
        <f>VLOOKUP(B199,'[1]Product by Part Number'!$A:$K,5,0)</f>
        <v>13.09</v>
      </c>
      <c r="I199" s="90">
        <f t="shared" si="7"/>
        <v>52.36</v>
      </c>
    </row>
    <row r="200" spans="2:9" s="53" customFormat="1" x14ac:dyDescent="0.3">
      <c r="B200" s="79" t="s">
        <v>239</v>
      </c>
      <c r="C200" s="54" t="str">
        <f>VLOOKUP(B200,'[1]Product by Part Number'!$A:$K,2,0)</f>
        <v xml:space="preserve">CAT D7G (92V)                  </v>
      </c>
      <c r="D200" s="54" t="str">
        <f>VLOOKUP(B200,'[1]Product by Part Number'!$A:$K,3,0)</f>
        <v>TRACK LINK 38 JOINT</v>
      </c>
      <c r="E200" s="55">
        <f>VLOOKUP(B200,'[1]Product by Part Number'!$A:$K,11,0)</f>
        <v>2</v>
      </c>
      <c r="F200" s="56">
        <f>VLOOKUP(B200,'[1]Product by Part Number'!$A:$K,4,0)</f>
        <v>8201.7900000000009</v>
      </c>
      <c r="G200" s="56">
        <f t="shared" si="6"/>
        <v>16403.580000000002</v>
      </c>
      <c r="H200" s="57">
        <f>VLOOKUP(B200,'[1]Product by Part Number'!$A:$K,5,0)</f>
        <v>4100.8999999999996</v>
      </c>
      <c r="I200" s="90">
        <f t="shared" si="7"/>
        <v>8201.7999999999993</v>
      </c>
    </row>
    <row r="201" spans="2:9" s="53" customFormat="1" x14ac:dyDescent="0.3">
      <c r="B201" s="79" t="s">
        <v>240</v>
      </c>
      <c r="C201" s="54" t="str">
        <f>VLOOKUP(B201,'[1]Product by Part Number'!$A:$K,2,0)</f>
        <v xml:space="preserve">CAT 336F L (RKB) CAT D6T (MH7)                </v>
      </c>
      <c r="D201" s="54" t="str">
        <f>VLOOKUP(B201,'[1]Product by Part Number'!$A:$K,3,0)</f>
        <v xml:space="preserve">FUEL INJECTOR </v>
      </c>
      <c r="E201" s="55">
        <f>VLOOKUP(B201,'[1]Product by Part Number'!$A:$K,11,0)</f>
        <v>12</v>
      </c>
      <c r="F201" s="56">
        <f>VLOOKUP(B201,'[1]Product by Part Number'!$A:$K,4,0)</f>
        <v>1474.09</v>
      </c>
      <c r="G201" s="56">
        <f t="shared" si="6"/>
        <v>17689.079999999998</v>
      </c>
      <c r="H201" s="57">
        <f>VLOOKUP(B201,'[1]Product by Part Number'!$A:$K,5,0)</f>
        <v>737.05</v>
      </c>
      <c r="I201" s="90">
        <f t="shared" si="7"/>
        <v>8844.6</v>
      </c>
    </row>
    <row r="202" spans="2:9" s="53" customFormat="1" ht="27" x14ac:dyDescent="0.3">
      <c r="B202" s="79" t="s">
        <v>241</v>
      </c>
      <c r="C202" s="54" t="str">
        <f>VLOOKUP(B202,'[1]Product by Part Number'!$A:$K,2,0)</f>
        <v xml:space="preserve">CAT 329F L (ERL) CAT 330F L (MBX) CAT 330F L (HCK) CAT 330 (LHW) CAT 330 (WCH)          </v>
      </c>
      <c r="D202" s="54" t="str">
        <f>VLOOKUP(B202,'[1]Product by Part Number'!$A:$K,3,0)</f>
        <v>PRIMARY TURBOCHARGER ASSEMBLY</v>
      </c>
      <c r="E202" s="55">
        <f>VLOOKUP(B202,'[1]Product by Part Number'!$A:$K,11,0)</f>
        <v>15</v>
      </c>
      <c r="F202" s="56">
        <f>VLOOKUP(B202,'[1]Product by Part Number'!$A:$K,4,0)</f>
        <v>4722.29</v>
      </c>
      <c r="G202" s="56">
        <f t="shared" si="6"/>
        <v>70834.350000000006</v>
      </c>
      <c r="H202" s="57">
        <f>VLOOKUP(B202,'[1]Product by Part Number'!$A:$K,5,0)</f>
        <v>2361.15</v>
      </c>
      <c r="I202" s="90">
        <f t="shared" si="7"/>
        <v>35417.25</v>
      </c>
    </row>
    <row r="203" spans="2:9" s="53" customFormat="1" ht="27" x14ac:dyDescent="0.3">
      <c r="B203" s="79" t="s">
        <v>242</v>
      </c>
      <c r="C203" s="54" t="str">
        <f>VLOOKUP(B203,'[1]Product by Part Number'!$A:$K,2,0)</f>
        <v xml:space="preserve">CAT D6N LGP (GHS) CAT D6N LGP (PBA) CAT D6N LGP (SGG)              </v>
      </c>
      <c r="D203" s="54" t="str">
        <f>VLOOKUP(B203,'[1]Product by Part Number'!$A:$K,3,0)</f>
        <v>ENGINE OIL FILTER</v>
      </c>
      <c r="E203" s="55">
        <f>VLOOKUP(B203,'[1]Product by Part Number'!$A:$K,11,0)</f>
        <v>25</v>
      </c>
      <c r="F203" s="56">
        <f>VLOOKUP(B203,'[1]Product by Part Number'!$A:$K,4,0)</f>
        <v>36.51</v>
      </c>
      <c r="G203" s="56">
        <f t="shared" si="6"/>
        <v>912.75</v>
      </c>
      <c r="H203" s="57">
        <f>VLOOKUP(B203,'[1]Product by Part Number'!$A:$K,5,0)</f>
        <v>13.87</v>
      </c>
      <c r="I203" s="90">
        <f t="shared" si="7"/>
        <v>346.75</v>
      </c>
    </row>
    <row r="204" spans="2:9" s="53" customFormat="1" x14ac:dyDescent="0.3">
      <c r="B204" s="79" t="s">
        <v>243</v>
      </c>
      <c r="C204" s="54" t="str">
        <f>VLOOKUP(B204,'[1]Product by Part Number'!$A:$K,2,0)</f>
        <v xml:space="preserve">CAT 303.5E                  </v>
      </c>
      <c r="D204" s="54" t="str">
        <f>VLOOKUP(B204,'[1]Product by Part Number'!$A:$K,3,0)</f>
        <v>CENTRE FLANGE ROLLER</v>
      </c>
      <c r="E204" s="55">
        <f>VLOOKUP(B204,'[1]Product by Part Number'!$A:$K,11,0)</f>
        <v>4</v>
      </c>
      <c r="F204" s="56">
        <f>VLOOKUP(B204,'[1]Product by Part Number'!$A:$K,4,0)</f>
        <v>498.61</v>
      </c>
      <c r="G204" s="56">
        <f t="shared" si="6"/>
        <v>1994.44</v>
      </c>
      <c r="H204" s="57">
        <f>VLOOKUP(B204,'[1]Product by Part Number'!$A:$K,5,0)</f>
        <v>249.31</v>
      </c>
      <c r="I204" s="90">
        <f t="shared" si="7"/>
        <v>997.24</v>
      </c>
    </row>
    <row r="205" spans="2:9" s="53" customFormat="1" x14ac:dyDescent="0.3">
      <c r="B205" s="79" t="s">
        <v>244</v>
      </c>
      <c r="C205" s="54" t="str">
        <f>VLOOKUP(B205,'[1]Product by Part Number'!$A:$K,2,0)</f>
        <v xml:space="preserve">CAT 561N (CPH)                  </v>
      </c>
      <c r="D205" s="54" t="str">
        <f>VLOOKUP(B205,'[1]Product by Part Number'!$A:$K,3,0)</f>
        <v>CABIN AIR FILTER ELEMENT</v>
      </c>
      <c r="E205" s="55">
        <f>VLOOKUP(B205,'[1]Product by Part Number'!$A:$K,11,0)</f>
        <v>15</v>
      </c>
      <c r="F205" s="56">
        <f>VLOOKUP(B205,'[1]Product by Part Number'!$A:$K,4,0)</f>
        <v>1076.32</v>
      </c>
      <c r="G205" s="56">
        <f t="shared" si="6"/>
        <v>16144.8</v>
      </c>
      <c r="H205" s="57">
        <f>VLOOKUP(B205,'[1]Product by Part Number'!$A:$K,5,0)</f>
        <v>409</v>
      </c>
      <c r="I205" s="90">
        <f t="shared" si="7"/>
        <v>6135</v>
      </c>
    </row>
    <row r="206" spans="2:9" s="53" customFormat="1" x14ac:dyDescent="0.3">
      <c r="B206" s="79" t="s">
        <v>245</v>
      </c>
      <c r="C206" s="54" t="str">
        <f>VLOOKUP(B206,'[1]Product by Part Number'!$A:$K,2,0)</f>
        <v xml:space="preserve">CAT D6T (MH7)                  </v>
      </c>
      <c r="D206" s="54" t="str">
        <f>VLOOKUP(B206,'[1]Product by Part Number'!$A:$K,3,0)</f>
        <v>TURBOCHARGER ASSEMBLY</v>
      </c>
      <c r="E206" s="55">
        <f>VLOOKUP(B206,'[1]Product by Part Number'!$A:$K,11,0)</f>
        <v>1</v>
      </c>
      <c r="F206" s="56">
        <f>VLOOKUP(B206,'[1]Product by Part Number'!$A:$K,4,0)</f>
        <v>7083.49</v>
      </c>
      <c r="G206" s="56">
        <f t="shared" si="6"/>
        <v>7083.49</v>
      </c>
      <c r="H206" s="57">
        <f>VLOOKUP(B206,'[1]Product by Part Number'!$A:$K,5,0)</f>
        <v>3541.75</v>
      </c>
      <c r="I206" s="90">
        <f t="shared" si="7"/>
        <v>3541.75</v>
      </c>
    </row>
    <row r="207" spans="2:9" s="53" customFormat="1" ht="40.200000000000003" x14ac:dyDescent="0.3">
      <c r="B207" s="79" t="s">
        <v>246</v>
      </c>
      <c r="C207" s="54" t="str">
        <f>VLOOKUP(B207,'[1]Product by Part Number'!$A:$K,2,0)</f>
        <v xml:space="preserve">CAT 320E L (WBK) CAT 320F L (YBM) CAT 329E L (ZCD) CAT 329F L (ERL) CAT 330F L (MBX) CAT 330F L (HCK) CAT D6N LGP (PBA) CAT D6N LGP (SGG)    </v>
      </c>
      <c r="D207" s="54" t="str">
        <f>VLOOKUP(B207,'[1]Product by Part Number'!$A:$K,3,0)</f>
        <v>FUEL WATER SEPARATOR</v>
      </c>
      <c r="E207" s="55">
        <f>VLOOKUP(B207,'[1]Product by Part Number'!$A:$K,11,0)</f>
        <v>140</v>
      </c>
      <c r="F207" s="56">
        <f>VLOOKUP(B207,'[1]Product by Part Number'!$A:$K,4,0)</f>
        <v>78.87</v>
      </c>
      <c r="G207" s="56">
        <f t="shared" si="6"/>
        <v>11041.800000000001</v>
      </c>
      <c r="H207" s="57">
        <f>VLOOKUP(B207,'[1]Product by Part Number'!$A:$K,5,0)</f>
        <v>29.97</v>
      </c>
      <c r="I207" s="90">
        <f t="shared" si="7"/>
        <v>4195.8</v>
      </c>
    </row>
    <row r="208" spans="2:9" s="53" customFormat="1" x14ac:dyDescent="0.3">
      <c r="B208" s="79" t="s">
        <v>247</v>
      </c>
      <c r="C208" s="54" t="str">
        <f>VLOOKUP(B208,'[1]Product by Part Number'!$A:$K,2,0)</f>
        <v xml:space="preserve">CAT 320 (HEX) CAT 320 (MYK)                </v>
      </c>
      <c r="D208" s="54" t="str">
        <f>VLOOKUP(B208,'[1]Product by Part Number'!$A:$K,3,0)</f>
        <v>PRIMARY AIR FILTER ELEMENT</v>
      </c>
      <c r="E208" s="55">
        <f>VLOOKUP(B208,'[1]Product by Part Number'!$A:$K,11,0)</f>
        <v>9</v>
      </c>
      <c r="F208" s="56">
        <f>VLOOKUP(B208,'[1]Product by Part Number'!$A:$K,4,0)</f>
        <v>244.2</v>
      </c>
      <c r="G208" s="56">
        <f t="shared" ref="G208:G271" si="8">E208*F208</f>
        <v>2197.7999999999997</v>
      </c>
      <c r="H208" s="57">
        <f>VLOOKUP(B208,'[1]Product by Part Number'!$A:$K,5,0)</f>
        <v>92.8</v>
      </c>
      <c r="I208" s="90">
        <f t="shared" ref="I208:I271" si="9">ROUND(E208*H208,2)</f>
        <v>835.2</v>
      </c>
    </row>
    <row r="209" spans="2:9" s="53" customFormat="1" x14ac:dyDescent="0.3">
      <c r="B209" s="79" t="s">
        <v>248</v>
      </c>
      <c r="C209" s="54" t="str">
        <f>VLOOKUP(B209,'[1]Product by Part Number'!$A:$K,2,0)</f>
        <v xml:space="preserve">CAT 320 (HEX) CAT 320 (MYK)                </v>
      </c>
      <c r="D209" s="54" t="str">
        <f>VLOOKUP(B209,'[1]Product by Part Number'!$A:$K,3,0)</f>
        <v>SECONDARY AIR FILTER ELEMENT</v>
      </c>
      <c r="E209" s="55">
        <f>VLOOKUP(B209,'[1]Product by Part Number'!$A:$K,11,0)</f>
        <v>9</v>
      </c>
      <c r="F209" s="56">
        <f>VLOOKUP(B209,'[1]Product by Part Number'!$A:$K,4,0)</f>
        <v>133.28</v>
      </c>
      <c r="G209" s="56">
        <f t="shared" si="8"/>
        <v>1199.52</v>
      </c>
      <c r="H209" s="57">
        <f>VLOOKUP(B209,'[1]Product by Part Number'!$A:$K,5,0)</f>
        <v>50.65</v>
      </c>
      <c r="I209" s="90">
        <f t="shared" si="9"/>
        <v>455.85</v>
      </c>
    </row>
    <row r="210" spans="2:9" s="53" customFormat="1" x14ac:dyDescent="0.3">
      <c r="B210" s="79" t="s">
        <v>249</v>
      </c>
      <c r="C210" s="54" t="str">
        <f>VLOOKUP(B210,'[1]Product by Part Number'!$A:$K,2,0)</f>
        <v xml:space="preserve">CAT D6T (MH7)                  </v>
      </c>
      <c r="D210" s="54" t="str">
        <f>VLOOKUP(B210,'[1]Product by Part Number'!$A:$K,3,0)</f>
        <v>RIPPER SHANK</v>
      </c>
      <c r="E210" s="55">
        <f>VLOOKUP(B210,'[1]Product by Part Number'!$A:$K,11,0)</f>
        <v>3</v>
      </c>
      <c r="F210" s="56">
        <f>VLOOKUP(B210,'[1]Product by Part Number'!$A:$K,4,0)</f>
        <v>2061.73</v>
      </c>
      <c r="G210" s="56">
        <f t="shared" si="8"/>
        <v>6185.1900000000005</v>
      </c>
      <c r="H210" s="57">
        <f>VLOOKUP(B210,'[1]Product by Part Number'!$A:$K,5,0)</f>
        <v>783.46</v>
      </c>
      <c r="I210" s="90">
        <f t="shared" si="9"/>
        <v>2350.38</v>
      </c>
    </row>
    <row r="211" spans="2:9" s="53" customFormat="1" x14ac:dyDescent="0.3">
      <c r="B211" s="79" t="s">
        <v>250</v>
      </c>
      <c r="C211" s="54" t="str">
        <f>VLOOKUP(B211,'[1]Product by Part Number'!$A:$K,2,0)</f>
        <v xml:space="preserve">CAT 336F L (RKB)                  </v>
      </c>
      <c r="D211" s="54" t="str">
        <f>VLOOKUP(B211,'[1]Product by Part Number'!$A:$K,3,0)</f>
        <v>SINGLE FLANGE TRACK ROLLER</v>
      </c>
      <c r="E211" s="55">
        <f>VLOOKUP(B211,'[1]Product by Part Number'!$A:$K,11,0)</f>
        <v>18</v>
      </c>
      <c r="F211" s="56">
        <f>VLOOKUP(B211,'[1]Product by Part Number'!$A:$K,4,0)</f>
        <v>987.95</v>
      </c>
      <c r="G211" s="56">
        <f t="shared" si="8"/>
        <v>17783.100000000002</v>
      </c>
      <c r="H211" s="57">
        <f>VLOOKUP(B211,'[1]Product by Part Number'!$A:$K,5,0)</f>
        <v>493.98</v>
      </c>
      <c r="I211" s="90">
        <f t="shared" si="9"/>
        <v>8891.64</v>
      </c>
    </row>
    <row r="212" spans="2:9" s="53" customFormat="1" ht="27" x14ac:dyDescent="0.3">
      <c r="B212" s="79" t="s">
        <v>251</v>
      </c>
      <c r="C212" s="54" t="str">
        <f>VLOOKUP(B212,'[1]Product by Part Number'!$A:$K,2,0)</f>
        <v xml:space="preserve">CAT 320 (HEX) CAT 320 (MYK) CAT 330 (LHW) CAT 330 (WCH)            </v>
      </c>
      <c r="D212" s="54" t="str">
        <f>VLOOKUP(B212,'[1]Product by Part Number'!$A:$K,3,0)</f>
        <v>SUSPENSION SEAT ASSEMBLY</v>
      </c>
      <c r="E212" s="55">
        <f>VLOOKUP(B212,'[1]Product by Part Number'!$A:$K,11,0)</f>
        <v>13</v>
      </c>
      <c r="F212" s="56">
        <f>VLOOKUP(B212,'[1]Product by Part Number'!$A:$K,4,0)</f>
        <v>8493.36</v>
      </c>
      <c r="G212" s="56">
        <f t="shared" si="8"/>
        <v>110413.68000000001</v>
      </c>
      <c r="H212" s="57">
        <f>VLOOKUP(B212,'[1]Product by Part Number'!$A:$K,5,0)</f>
        <v>4246.68</v>
      </c>
      <c r="I212" s="90">
        <f t="shared" si="9"/>
        <v>55206.84</v>
      </c>
    </row>
    <row r="213" spans="2:9" s="53" customFormat="1" x14ac:dyDescent="0.3">
      <c r="B213" s="79" t="s">
        <v>252</v>
      </c>
      <c r="C213" s="54" t="str">
        <f>VLOOKUP(B213,'[1]Product by Part Number'!$A:$K,2,0)</f>
        <v xml:space="preserve">CAT D5 (3CR) CAT 561N (CPH) CAT PL61 (WGS)              </v>
      </c>
      <c r="D213" s="54" t="str">
        <f>VLOOKUP(B213,'[1]Product by Part Number'!$A:$K,3,0)</f>
        <v>CRANKSHAFT</v>
      </c>
      <c r="E213" s="55">
        <f>VLOOKUP(B213,'[1]Product by Part Number'!$A:$K,11,0)</f>
        <v>10</v>
      </c>
      <c r="F213" s="56">
        <f>VLOOKUP(B213,'[1]Product by Part Number'!$A:$K,4,0)</f>
        <v>14944.09</v>
      </c>
      <c r="G213" s="56">
        <f t="shared" si="8"/>
        <v>149440.9</v>
      </c>
      <c r="H213" s="57">
        <f>VLOOKUP(B213,'[1]Product by Part Number'!$A:$K,5,0)</f>
        <v>7472.05</v>
      </c>
      <c r="I213" s="90">
        <f t="shared" si="9"/>
        <v>74720.5</v>
      </c>
    </row>
    <row r="214" spans="2:9" s="53" customFormat="1" x14ac:dyDescent="0.3">
      <c r="B214" s="79" t="s">
        <v>253</v>
      </c>
      <c r="C214" s="54" t="str">
        <f>VLOOKUP(B214,'[1]Product by Part Number'!$A:$K,2,0)</f>
        <v xml:space="preserve">CAT D6N LGP (GHS)                  </v>
      </c>
      <c r="D214" s="54" t="str">
        <f>VLOOKUP(B214,'[1]Product by Part Number'!$A:$K,3,0)</f>
        <v>SEAT ASSEMBLY</v>
      </c>
      <c r="E214" s="55">
        <f>VLOOKUP(B214,'[1]Product by Part Number'!$A:$K,11,0)</f>
        <v>1</v>
      </c>
      <c r="F214" s="56">
        <f>VLOOKUP(B214,'[1]Product by Part Number'!$A:$K,4,0)</f>
        <v>3921.14</v>
      </c>
      <c r="G214" s="56">
        <f t="shared" si="8"/>
        <v>3921.14</v>
      </c>
      <c r="H214" s="57">
        <f>VLOOKUP(B214,'[1]Product by Part Number'!$A:$K,5,0)</f>
        <v>1960.57</v>
      </c>
      <c r="I214" s="90">
        <f t="shared" si="9"/>
        <v>1960.57</v>
      </c>
    </row>
    <row r="215" spans="2:9" s="53" customFormat="1" x14ac:dyDescent="0.3">
      <c r="B215" s="79" t="s">
        <v>254</v>
      </c>
      <c r="C215" s="54" t="str">
        <f>VLOOKUP(B215,'[1]Product by Part Number'!$A:$K,2,0)</f>
        <v xml:space="preserve">CAT D6 (RDC)                  </v>
      </c>
      <c r="D215" s="54" t="str">
        <f>VLOOKUP(B215,'[1]Product by Part Number'!$A:$K,3,0)</f>
        <v>SPROCKET SEGMENT</v>
      </c>
      <c r="E215" s="55">
        <f>VLOOKUP(B215,'[1]Product by Part Number'!$A:$K,11,0)</f>
        <v>10</v>
      </c>
      <c r="F215" s="56">
        <f>VLOOKUP(B215,'[1]Product by Part Number'!$A:$K,4,0)</f>
        <v>293.17</v>
      </c>
      <c r="G215" s="56">
        <f t="shared" si="8"/>
        <v>2931.7000000000003</v>
      </c>
      <c r="H215" s="57">
        <f>VLOOKUP(B215,'[1]Product by Part Number'!$A:$K,5,0)</f>
        <v>146.59</v>
      </c>
      <c r="I215" s="90">
        <f t="shared" si="9"/>
        <v>1465.9</v>
      </c>
    </row>
    <row r="216" spans="2:9" s="53" customFormat="1" x14ac:dyDescent="0.3">
      <c r="B216" s="79" t="s">
        <v>255</v>
      </c>
      <c r="C216" s="54" t="str">
        <f>VLOOKUP(B216,'[1]Product by Part Number'!$A:$K,2,0)</f>
        <v xml:space="preserve">CAT D6 (RDC)                  </v>
      </c>
      <c r="D216" s="54" t="str">
        <f>VLOOKUP(B216,'[1]Product by Part Number'!$A:$K,3,0)</f>
        <v>SPROCKET BOLT</v>
      </c>
      <c r="E216" s="55">
        <f>VLOOKUP(B216,'[1]Product by Part Number'!$A:$K,11,0)</f>
        <v>50</v>
      </c>
      <c r="F216" s="56">
        <f>VLOOKUP(B216,'[1]Product by Part Number'!$A:$K,4,0)</f>
        <v>9.4700000000000006</v>
      </c>
      <c r="G216" s="56">
        <f t="shared" si="8"/>
        <v>473.50000000000006</v>
      </c>
      <c r="H216" s="57">
        <f>VLOOKUP(B216,'[1]Product by Part Number'!$A:$K,5,0)</f>
        <v>4.74</v>
      </c>
      <c r="I216" s="90">
        <f t="shared" si="9"/>
        <v>237</v>
      </c>
    </row>
    <row r="217" spans="2:9" s="53" customFormat="1" x14ac:dyDescent="0.3">
      <c r="B217" s="79" t="s">
        <v>256</v>
      </c>
      <c r="C217" s="54" t="str">
        <f>VLOOKUP(B217,'[1]Product by Part Number'!$A:$K,2,0)</f>
        <v xml:space="preserve">CAT 330 (LHW)                  </v>
      </c>
      <c r="D217" s="54" t="str">
        <f>VLOOKUP(B217,'[1]Product by Part Number'!$A:$K,3,0)</f>
        <v>HYDRAULIC OIL FILTER</v>
      </c>
      <c r="E217" s="55">
        <f>VLOOKUP(B217,'[1]Product by Part Number'!$A:$K,11,0)</f>
        <v>20</v>
      </c>
      <c r="F217" s="56">
        <f>VLOOKUP(B217,'[1]Product by Part Number'!$A:$K,4,0)</f>
        <v>159.19999999999999</v>
      </c>
      <c r="G217" s="56">
        <f t="shared" si="8"/>
        <v>3184</v>
      </c>
      <c r="H217" s="57">
        <f>VLOOKUP(B217,'[1]Product by Part Number'!$A:$K,5,0)</f>
        <v>60.5</v>
      </c>
      <c r="I217" s="90">
        <f t="shared" si="9"/>
        <v>1210</v>
      </c>
    </row>
    <row r="218" spans="2:9" s="53" customFormat="1" ht="27" x14ac:dyDescent="0.3">
      <c r="B218" s="79" t="s">
        <v>257</v>
      </c>
      <c r="C218" s="54" t="str">
        <f>VLOOKUP(B218,'[1]Product by Part Number'!$A:$K,2,0)</f>
        <v xml:space="preserve">CAT 320F L (YBM) CAT 329E L (ZCD) CAT 330F L (MBX) CAT 330F L (HCK) CAT 336F L (RKB)          </v>
      </c>
      <c r="D218" s="54" t="str">
        <f>VLOOKUP(B218,'[1]Product by Part Number'!$A:$K,3,0)</f>
        <v xml:space="preserve">OPERATOR SEAT ASSEMBLY </v>
      </c>
      <c r="E218" s="55">
        <f>VLOOKUP(B218,'[1]Product by Part Number'!$A:$K,11,0)</f>
        <v>6</v>
      </c>
      <c r="F218" s="56">
        <f>VLOOKUP(B218,'[1]Product by Part Number'!$A:$K,4,0)</f>
        <v>4161.4399999999996</v>
      </c>
      <c r="G218" s="56">
        <f t="shared" si="8"/>
        <v>24968.639999999999</v>
      </c>
      <c r="H218" s="57">
        <f>VLOOKUP(B218,'[1]Product by Part Number'!$A:$K,5,0)</f>
        <v>2080.7199999999998</v>
      </c>
      <c r="I218" s="90">
        <f t="shared" si="9"/>
        <v>12484.32</v>
      </c>
    </row>
    <row r="219" spans="2:9" s="53" customFormat="1" x14ac:dyDescent="0.3">
      <c r="B219" s="79" t="s">
        <v>258</v>
      </c>
      <c r="C219" s="54" t="str">
        <f>VLOOKUP(B219,'[1]Product by Part Number'!$A:$K,2,0)</f>
        <v xml:space="preserve">CAT 330 (LHW) CAT 330 (WCH)                </v>
      </c>
      <c r="D219" s="54" t="str">
        <f>VLOOKUP(B219,'[1]Product by Part Number'!$A:$K,3,0)</f>
        <v>PRIMARY AIR FILTER ELEMENT</v>
      </c>
      <c r="E219" s="55">
        <f>VLOOKUP(B219,'[1]Product by Part Number'!$A:$K,11,0)</f>
        <v>30</v>
      </c>
      <c r="F219" s="56">
        <f>VLOOKUP(B219,'[1]Product by Part Number'!$A:$K,4,0)</f>
        <v>307.85000000000002</v>
      </c>
      <c r="G219" s="56">
        <f t="shared" si="8"/>
        <v>9235.5</v>
      </c>
      <c r="H219" s="57">
        <f>VLOOKUP(B219,'[1]Product by Part Number'!$A:$K,5,0)</f>
        <v>116.98</v>
      </c>
      <c r="I219" s="90">
        <f t="shared" si="9"/>
        <v>3509.4</v>
      </c>
    </row>
    <row r="220" spans="2:9" s="53" customFormat="1" x14ac:dyDescent="0.3">
      <c r="B220" s="79" t="s">
        <v>259</v>
      </c>
      <c r="C220" s="54" t="str">
        <f>VLOOKUP(B220,'[1]Product by Part Number'!$A:$K,2,0)</f>
        <v xml:space="preserve">CAT 330 (LHW) CAT 330 (WCH)                </v>
      </c>
      <c r="D220" s="54" t="str">
        <f>VLOOKUP(B220,'[1]Product by Part Number'!$A:$K,3,0)</f>
        <v>SECONDAY AIR FILTER ELEMENT</v>
      </c>
      <c r="E220" s="55">
        <f>VLOOKUP(B220,'[1]Product by Part Number'!$A:$K,11,0)</f>
        <v>30</v>
      </c>
      <c r="F220" s="56">
        <f>VLOOKUP(B220,'[1]Product by Part Number'!$A:$K,4,0)</f>
        <v>137.38</v>
      </c>
      <c r="G220" s="56">
        <f t="shared" si="8"/>
        <v>4121.3999999999996</v>
      </c>
      <c r="H220" s="57">
        <f>VLOOKUP(B220,'[1]Product by Part Number'!$A:$K,5,0)</f>
        <v>52.2</v>
      </c>
      <c r="I220" s="90">
        <f t="shared" si="9"/>
        <v>1566</v>
      </c>
    </row>
    <row r="221" spans="2:9" s="53" customFormat="1" x14ac:dyDescent="0.3">
      <c r="B221" s="79" t="s">
        <v>260</v>
      </c>
      <c r="C221" s="54" t="str">
        <f>VLOOKUP(B221,'[1]Product by Part Number'!$A:$K,2,0)</f>
        <v xml:space="preserve">CAT D3 (1PJ)                  </v>
      </c>
      <c r="D221" s="54" t="str">
        <f>VLOOKUP(B221,'[1]Product by Part Number'!$A:$K,3,0)</f>
        <v>SINGLE FLANGE TRACK ROLLER</v>
      </c>
      <c r="E221" s="55">
        <f>VLOOKUP(B221,'[1]Product by Part Number'!$A:$K,11,0)</f>
        <v>12</v>
      </c>
      <c r="F221" s="56">
        <f>VLOOKUP(B221,'[1]Product by Part Number'!$A:$K,4,0)</f>
        <v>579.6</v>
      </c>
      <c r="G221" s="56">
        <f t="shared" si="8"/>
        <v>6955.2000000000007</v>
      </c>
      <c r="H221" s="57">
        <f>VLOOKUP(B221,'[1]Product by Part Number'!$A:$K,5,0)</f>
        <v>289.8</v>
      </c>
      <c r="I221" s="90">
        <f t="shared" si="9"/>
        <v>3477.6</v>
      </c>
    </row>
    <row r="222" spans="2:9" s="53" customFormat="1" ht="27" x14ac:dyDescent="0.3">
      <c r="B222" s="79" t="s">
        <v>261</v>
      </c>
      <c r="C222" s="54" t="str">
        <f>VLOOKUP(B222,'[1]Product by Part Number'!$A:$K,2,0)</f>
        <v xml:space="preserve">CAT D3 (1PJ)                  </v>
      </c>
      <c r="D222" s="54" t="str">
        <f>VLOOKUP(B222,'[1]Product by Part Number'!$A:$K,3,0)</f>
        <v>DOUBLE FLANGE TRACK ROLLER (GUIDE AR)*</v>
      </c>
      <c r="E222" s="55">
        <f>VLOOKUP(B222,'[1]Product by Part Number'!$A:$K,11,0)</f>
        <v>8</v>
      </c>
      <c r="F222" s="56">
        <f>VLOOKUP(B222,'[1]Product by Part Number'!$A:$K,4,0)</f>
        <v>623.29</v>
      </c>
      <c r="G222" s="56">
        <f t="shared" si="8"/>
        <v>4986.32</v>
      </c>
      <c r="H222" s="57">
        <f>VLOOKUP(B222,'[1]Product by Part Number'!$A:$K,5,0)</f>
        <v>311.64999999999998</v>
      </c>
      <c r="I222" s="90">
        <f t="shared" si="9"/>
        <v>2493.1999999999998</v>
      </c>
    </row>
    <row r="223" spans="2:9" s="53" customFormat="1" x14ac:dyDescent="0.3">
      <c r="B223" s="79" t="s">
        <v>262</v>
      </c>
      <c r="C223" s="54" t="str">
        <f>VLOOKUP(B223,'[1]Product by Part Number'!$A:$K,2,0)</f>
        <v xml:space="preserve">CAT D3 (1PJ)                  </v>
      </c>
      <c r="D223" s="54" t="str">
        <f>VLOOKUP(B223,'[1]Product by Part Number'!$A:$K,3,0)</f>
        <v>NUT</v>
      </c>
      <c r="E223" s="55">
        <f>VLOOKUP(B223,'[1]Product by Part Number'!$A:$K,11,0)</f>
        <v>18</v>
      </c>
      <c r="F223" s="56">
        <f>VLOOKUP(B223,'[1]Product by Part Number'!$A:$K,4,0)</f>
        <v>2.44</v>
      </c>
      <c r="G223" s="56">
        <f t="shared" si="8"/>
        <v>43.92</v>
      </c>
      <c r="H223" s="57">
        <f>VLOOKUP(B223,'[1]Product by Part Number'!$A:$K,5,0)</f>
        <v>0.93</v>
      </c>
      <c r="I223" s="90">
        <f t="shared" si="9"/>
        <v>16.739999999999998</v>
      </c>
    </row>
    <row r="224" spans="2:9" s="53" customFormat="1" x14ac:dyDescent="0.3">
      <c r="B224" s="79" t="s">
        <v>263</v>
      </c>
      <c r="C224" s="54" t="str">
        <f>VLOOKUP(B224,'[1]Product by Part Number'!$A:$K,2,0)</f>
        <v xml:space="preserve">CAT D3 (1PJ)                  </v>
      </c>
      <c r="D224" s="54" t="str">
        <f>VLOOKUP(B224,'[1]Product by Part Number'!$A:$K,3,0)</f>
        <v>SECONDARY AIR FILTER ELEMENT</v>
      </c>
      <c r="E224" s="55">
        <f>VLOOKUP(B224,'[1]Product by Part Number'!$A:$K,11,0)</f>
        <v>3</v>
      </c>
      <c r="F224" s="56">
        <f>VLOOKUP(B224,'[1]Product by Part Number'!$A:$K,4,0)</f>
        <v>77.260000000000005</v>
      </c>
      <c r="G224" s="56">
        <f t="shared" si="8"/>
        <v>231.78000000000003</v>
      </c>
      <c r="H224" s="57">
        <f>VLOOKUP(B224,'[1]Product by Part Number'!$A:$K,5,0)</f>
        <v>29.36</v>
      </c>
      <c r="I224" s="90">
        <f t="shared" si="9"/>
        <v>88.08</v>
      </c>
    </row>
    <row r="225" spans="2:9" s="53" customFormat="1" x14ac:dyDescent="0.3">
      <c r="B225" s="79" t="s">
        <v>264</v>
      </c>
      <c r="C225" s="54" t="str">
        <f>VLOOKUP(B225,'[1]Product by Part Number'!$A:$K,2,0)</f>
        <v xml:space="preserve">CAT D3 (1PJ)                  </v>
      </c>
      <c r="D225" s="54" t="str">
        <f>VLOOKUP(B225,'[1]Product by Part Number'!$A:$K,3,0)</f>
        <v>PRIMARY AIR FILTER ELEMENT</v>
      </c>
      <c r="E225" s="55">
        <f>VLOOKUP(B225,'[1]Product by Part Number'!$A:$K,11,0)</f>
        <v>3</v>
      </c>
      <c r="F225" s="56">
        <f>VLOOKUP(B225,'[1]Product by Part Number'!$A:$K,4,0)</f>
        <v>91.61</v>
      </c>
      <c r="G225" s="56">
        <f t="shared" si="8"/>
        <v>274.83</v>
      </c>
      <c r="H225" s="57">
        <f>VLOOKUP(B225,'[1]Product by Part Number'!$A:$K,5,0)</f>
        <v>34.81</v>
      </c>
      <c r="I225" s="90">
        <f t="shared" si="9"/>
        <v>104.43</v>
      </c>
    </row>
    <row r="226" spans="2:9" s="53" customFormat="1" x14ac:dyDescent="0.3">
      <c r="B226" s="79" t="s">
        <v>265</v>
      </c>
      <c r="C226" s="54" t="str">
        <f>VLOOKUP(B226,'[1]Product by Part Number'!$A:$K,2,0)</f>
        <v xml:space="preserve">CAT D4 (66J)                  </v>
      </c>
      <c r="D226" s="54" t="str">
        <f>VLOOKUP(B226,'[1]Product by Part Number'!$A:$K,3,0)</f>
        <v>SPROCKET BOLT</v>
      </c>
      <c r="E226" s="55">
        <f>VLOOKUP(B226,'[1]Product by Part Number'!$A:$K,11,0)</f>
        <v>12</v>
      </c>
      <c r="F226" s="56">
        <f>VLOOKUP(B226,'[1]Product by Part Number'!$A:$K,4,0)</f>
        <v>5.71</v>
      </c>
      <c r="G226" s="56">
        <f t="shared" si="8"/>
        <v>68.52</v>
      </c>
      <c r="H226" s="57">
        <f>VLOOKUP(B226,'[1]Product by Part Number'!$A:$K,5,0)</f>
        <v>2.86</v>
      </c>
      <c r="I226" s="90">
        <f t="shared" si="9"/>
        <v>34.32</v>
      </c>
    </row>
    <row r="227" spans="2:9" s="53" customFormat="1" x14ac:dyDescent="0.3">
      <c r="B227" s="79" t="s">
        <v>266</v>
      </c>
      <c r="C227" s="54" t="str">
        <f>VLOOKUP(B227,'[1]Product by Part Number'!$A:$K,2,0)</f>
        <v xml:space="preserve">CAT D7G (92V)                  </v>
      </c>
      <c r="D227" s="54" t="str">
        <f>VLOOKUP(B227,'[1]Product by Part Number'!$A:$K,3,0)</f>
        <v>SINGLE FLANGE ROLLER</v>
      </c>
      <c r="E227" s="55">
        <f>VLOOKUP(B227,'[1]Product by Part Number'!$A:$K,11,0)</f>
        <v>12</v>
      </c>
      <c r="F227" s="56">
        <f>VLOOKUP(B227,'[1]Product by Part Number'!$A:$K,4,0)</f>
        <v>1122.06</v>
      </c>
      <c r="G227" s="56">
        <f t="shared" si="8"/>
        <v>13464.72</v>
      </c>
      <c r="H227" s="57">
        <f>VLOOKUP(B227,'[1]Product by Part Number'!$A:$K,5,0)</f>
        <v>561.03</v>
      </c>
      <c r="I227" s="90">
        <f t="shared" si="9"/>
        <v>6732.36</v>
      </c>
    </row>
    <row r="228" spans="2:9" s="53" customFormat="1" ht="27" x14ac:dyDescent="0.3">
      <c r="B228" s="79" t="s">
        <v>267</v>
      </c>
      <c r="C228" s="54" t="str">
        <f>VLOOKUP(B228,'[1]Product by Part Number'!$A:$K,2,0)</f>
        <v xml:space="preserve">CAT D6N LGP (GHS) CAT D6N LGP (PBA) CAT D6N LGP (SGG)              </v>
      </c>
      <c r="D228" s="54" t="str">
        <f>VLOOKUP(B228,'[1]Product by Part Number'!$A:$K,3,0)</f>
        <v>CUTTING EDGE</v>
      </c>
      <c r="E228" s="55">
        <f>VLOOKUP(B228,'[1]Product by Part Number'!$A:$K,11,0)</f>
        <v>10</v>
      </c>
      <c r="F228" s="56">
        <f>VLOOKUP(B228,'[1]Product by Part Number'!$A:$K,4,0)</f>
        <v>435.33</v>
      </c>
      <c r="G228" s="56">
        <f t="shared" si="8"/>
        <v>4353.3</v>
      </c>
      <c r="H228" s="57">
        <f>VLOOKUP(B228,'[1]Product by Part Number'!$A:$K,5,0)</f>
        <v>165.43</v>
      </c>
      <c r="I228" s="90">
        <f t="shared" si="9"/>
        <v>1654.3</v>
      </c>
    </row>
    <row r="229" spans="2:9" s="53" customFormat="1" x14ac:dyDescent="0.3">
      <c r="B229" s="79" t="s">
        <v>268</v>
      </c>
      <c r="C229" s="54" t="str">
        <f>VLOOKUP(B229,'[1]Product by Part Number'!$A:$K,2,0)</f>
        <v xml:space="preserve">CAT D7G (92V)                  </v>
      </c>
      <c r="D229" s="54" t="str">
        <f>VLOOKUP(B229,'[1]Product by Part Number'!$A:$K,3,0)</f>
        <v>HYDRAULIC OIL FILTER ELEMENT</v>
      </c>
      <c r="E229" s="55">
        <f>VLOOKUP(B229,'[1]Product by Part Number'!$A:$K,11,0)</f>
        <v>5</v>
      </c>
      <c r="F229" s="56">
        <f>VLOOKUP(B229,'[1]Product by Part Number'!$A:$K,4,0)</f>
        <v>131.11000000000001</v>
      </c>
      <c r="G229" s="56">
        <f t="shared" si="8"/>
        <v>655.55000000000007</v>
      </c>
      <c r="H229" s="57">
        <f>VLOOKUP(B229,'[1]Product by Part Number'!$A:$K,5,0)</f>
        <v>49.82</v>
      </c>
      <c r="I229" s="90">
        <f t="shared" si="9"/>
        <v>249.1</v>
      </c>
    </row>
    <row r="230" spans="2:9" s="53" customFormat="1" x14ac:dyDescent="0.3">
      <c r="B230" s="79" t="s">
        <v>269</v>
      </c>
      <c r="C230" s="54" t="str">
        <f>VLOOKUP(B230,'[1]Product by Part Number'!$A:$K,2,0)</f>
        <v xml:space="preserve">CAT D5 (3CR)                  </v>
      </c>
      <c r="D230" s="54" t="str">
        <f>VLOOKUP(B230,'[1]Product by Part Number'!$A:$K,3,0)</f>
        <v>END BIT RH</v>
      </c>
      <c r="E230" s="55">
        <f>VLOOKUP(B230,'[1]Product by Part Number'!$A:$K,11,0)</f>
        <v>2</v>
      </c>
      <c r="F230" s="56">
        <f>VLOOKUP(B230,'[1]Product by Part Number'!$A:$K,4,0)</f>
        <v>273.04000000000002</v>
      </c>
      <c r="G230" s="56">
        <f t="shared" si="8"/>
        <v>546.08000000000004</v>
      </c>
      <c r="H230" s="57">
        <f>VLOOKUP(B230,'[1]Product by Part Number'!$A:$K,5,0)</f>
        <v>103.76</v>
      </c>
      <c r="I230" s="90">
        <f t="shared" si="9"/>
        <v>207.52</v>
      </c>
    </row>
    <row r="231" spans="2:9" s="53" customFormat="1" x14ac:dyDescent="0.3">
      <c r="B231" s="79" t="s">
        <v>270</v>
      </c>
      <c r="C231" s="54" t="str">
        <f>VLOOKUP(B231,'[1]Product by Part Number'!$A:$K,2,0)</f>
        <v xml:space="preserve">CAT D5 (3CR)                  </v>
      </c>
      <c r="D231" s="54" t="str">
        <f>VLOOKUP(B231,'[1]Product by Part Number'!$A:$K,3,0)</f>
        <v>END BIT LH</v>
      </c>
      <c r="E231" s="55">
        <f>VLOOKUP(B231,'[1]Product by Part Number'!$A:$K,11,0)</f>
        <v>2</v>
      </c>
      <c r="F231" s="56">
        <f>VLOOKUP(B231,'[1]Product by Part Number'!$A:$K,4,0)</f>
        <v>273.04000000000002</v>
      </c>
      <c r="G231" s="56">
        <f t="shared" si="8"/>
        <v>546.08000000000004</v>
      </c>
      <c r="H231" s="57">
        <f>VLOOKUP(B231,'[1]Product by Part Number'!$A:$K,5,0)</f>
        <v>103.76</v>
      </c>
      <c r="I231" s="90">
        <f t="shared" si="9"/>
        <v>207.52</v>
      </c>
    </row>
    <row r="232" spans="2:9" s="53" customFormat="1" x14ac:dyDescent="0.3">
      <c r="B232" s="79" t="s">
        <v>271</v>
      </c>
      <c r="C232" s="54" t="str">
        <f>VLOOKUP(B232,'[1]Product by Part Number'!$A:$K,2,0)</f>
        <v xml:space="preserve">CAT D3 (1PJ)                  </v>
      </c>
      <c r="D232" s="54" t="str">
        <f>VLOOKUP(B232,'[1]Product by Part Number'!$A:$K,3,0)</f>
        <v>END BIT</v>
      </c>
      <c r="E232" s="55">
        <f>VLOOKUP(B232,'[1]Product by Part Number'!$A:$K,11,0)</f>
        <v>2</v>
      </c>
      <c r="F232" s="56">
        <f>VLOOKUP(B232,'[1]Product by Part Number'!$A:$K,4,0)</f>
        <v>73.28</v>
      </c>
      <c r="G232" s="56">
        <f t="shared" si="8"/>
        <v>146.56</v>
      </c>
      <c r="H232" s="57">
        <f>VLOOKUP(B232,'[1]Product by Part Number'!$A:$K,5,0)</f>
        <v>27.85</v>
      </c>
      <c r="I232" s="90">
        <f t="shared" si="9"/>
        <v>55.7</v>
      </c>
    </row>
    <row r="233" spans="2:9" s="53" customFormat="1" x14ac:dyDescent="0.3">
      <c r="B233" s="79" t="s">
        <v>272</v>
      </c>
      <c r="C233" s="54" t="str">
        <f>VLOOKUP(B233,'[1]Product by Part Number'!$A:$K,2,0)</f>
        <v xml:space="preserve">CAT D3 (1PJ)                  </v>
      </c>
      <c r="D233" s="54" t="str">
        <f>VLOOKUP(B233,'[1]Product by Part Number'!$A:$K,3,0)</f>
        <v>CUTTING EDGE</v>
      </c>
      <c r="E233" s="55">
        <f>VLOOKUP(B233,'[1]Product by Part Number'!$A:$K,11,0)</f>
        <v>2</v>
      </c>
      <c r="F233" s="56">
        <f>VLOOKUP(B233,'[1]Product by Part Number'!$A:$K,4,0)</f>
        <v>195.02</v>
      </c>
      <c r="G233" s="56">
        <f t="shared" si="8"/>
        <v>390.04</v>
      </c>
      <c r="H233" s="57">
        <f>VLOOKUP(B233,'[1]Product by Part Number'!$A:$K,5,0)</f>
        <v>74.11</v>
      </c>
      <c r="I233" s="90">
        <f t="shared" si="9"/>
        <v>148.22</v>
      </c>
    </row>
    <row r="234" spans="2:9" s="53" customFormat="1" x14ac:dyDescent="0.3">
      <c r="B234" s="79" t="s">
        <v>273</v>
      </c>
      <c r="C234" s="54" t="str">
        <f>VLOOKUP(B234,'[1]Product by Part Number'!$A:$K,2,0)</f>
        <v xml:space="preserve">CAT D5 (3CR)                  </v>
      </c>
      <c r="D234" s="54" t="str">
        <f>VLOOKUP(B234,'[1]Product by Part Number'!$A:$K,3,0)</f>
        <v>CUTTING EDGE</v>
      </c>
      <c r="E234" s="55">
        <f>VLOOKUP(B234,'[1]Product by Part Number'!$A:$K,11,0)</f>
        <v>4</v>
      </c>
      <c r="F234" s="56">
        <f>VLOOKUP(B234,'[1]Product by Part Number'!$A:$K,4,0)</f>
        <v>296.41000000000003</v>
      </c>
      <c r="G234" s="56">
        <f t="shared" si="8"/>
        <v>1185.6400000000001</v>
      </c>
      <c r="H234" s="57">
        <f>VLOOKUP(B234,'[1]Product by Part Number'!$A:$K,5,0)</f>
        <v>112.64</v>
      </c>
      <c r="I234" s="90">
        <f t="shared" si="9"/>
        <v>450.56</v>
      </c>
    </row>
    <row r="235" spans="2:9" s="53" customFormat="1" x14ac:dyDescent="0.3">
      <c r="B235" s="79" t="s">
        <v>274</v>
      </c>
      <c r="C235" s="54" t="str">
        <f>VLOOKUP(B235,'[1]Product by Part Number'!$A:$K,2,0)</f>
        <v xml:space="preserve">CAT D4 (66J)                  </v>
      </c>
      <c r="D235" s="54" t="str">
        <f>VLOOKUP(B235,'[1]Product by Part Number'!$A:$K,3,0)</f>
        <v>SPROCKET SEGMENT</v>
      </c>
      <c r="E235" s="55">
        <f>VLOOKUP(B235,'[1]Product by Part Number'!$A:$K,11,0)</f>
        <v>2</v>
      </c>
      <c r="F235" s="56">
        <f>VLOOKUP(B235,'[1]Product by Part Number'!$A:$K,4,0)</f>
        <v>1870.5</v>
      </c>
      <c r="G235" s="56">
        <f t="shared" si="8"/>
        <v>3741</v>
      </c>
      <c r="H235" s="57">
        <f>VLOOKUP(B235,'[1]Product by Part Number'!$A:$K,5,0)</f>
        <v>935.25</v>
      </c>
      <c r="I235" s="90">
        <f t="shared" si="9"/>
        <v>1870.5</v>
      </c>
    </row>
    <row r="236" spans="2:9" s="53" customFormat="1" x14ac:dyDescent="0.3">
      <c r="B236" s="79" t="s">
        <v>275</v>
      </c>
      <c r="C236" s="54" t="str">
        <f>VLOOKUP(B236,'[1]Product by Part Number'!$A:$K,2,0)</f>
        <v xml:space="preserve">CAT 561N (CPH) CAT PL61 (WGS)                </v>
      </c>
      <c r="D236" s="54" t="str">
        <f>VLOOKUP(B236,'[1]Product by Part Number'!$A:$K,3,0)</f>
        <v>ENGINE OIL FILTER</v>
      </c>
      <c r="E236" s="55">
        <f>VLOOKUP(B236,'[1]Product by Part Number'!$A:$K,11,0)</f>
        <v>40</v>
      </c>
      <c r="F236" s="56">
        <f>VLOOKUP(B236,'[1]Product by Part Number'!$A:$K,4,0)</f>
        <v>78</v>
      </c>
      <c r="G236" s="56">
        <f t="shared" si="8"/>
        <v>3120</v>
      </c>
      <c r="H236" s="57">
        <f>VLOOKUP(B236,'[1]Product by Part Number'!$A:$K,5,0)</f>
        <v>29.64</v>
      </c>
      <c r="I236" s="90">
        <f t="shared" si="9"/>
        <v>1185.5999999999999</v>
      </c>
    </row>
    <row r="237" spans="2:9" s="53" customFormat="1" ht="27" x14ac:dyDescent="0.3">
      <c r="B237" s="79" t="s">
        <v>276</v>
      </c>
      <c r="C237" s="54" t="str">
        <f>VLOOKUP(B237,'[1]Product by Part Number'!$A:$K,2,0)</f>
        <v xml:space="preserve">CAT 320 (HEX) CAT 320 (MYK) CAT 330 (LHW) CAT 330 (WCH)            </v>
      </c>
      <c r="D237" s="54" t="str">
        <f>VLOOKUP(B237,'[1]Product by Part Number'!$A:$K,3,0)</f>
        <v xml:space="preserve">CABIN AIR FILTER ELEMENT </v>
      </c>
      <c r="E237" s="55">
        <f>VLOOKUP(B237,'[1]Product by Part Number'!$A:$K,11,0)</f>
        <v>39</v>
      </c>
      <c r="F237" s="56">
        <f>VLOOKUP(B237,'[1]Product by Part Number'!$A:$K,4,0)</f>
        <v>87.85</v>
      </c>
      <c r="G237" s="56">
        <f t="shared" si="8"/>
        <v>3426.1499999999996</v>
      </c>
      <c r="H237" s="57">
        <f>VLOOKUP(B237,'[1]Product by Part Number'!$A:$K,5,0)</f>
        <v>33.380000000000003</v>
      </c>
      <c r="I237" s="90">
        <f t="shared" si="9"/>
        <v>1301.82</v>
      </c>
    </row>
    <row r="238" spans="2:9" s="53" customFormat="1" ht="40.200000000000003" x14ac:dyDescent="0.3">
      <c r="B238" s="79" t="s">
        <v>277</v>
      </c>
      <c r="C238" s="54" t="str">
        <f>VLOOKUP(B238,'[1]Product by Part Number'!$A:$K,2,0)</f>
        <v xml:space="preserve">CAT 329E L (ZCD) CAT 329F L (ERL) CAT 330F L (MBX) CAT 330F L (HCK) CAT 330 (LHW) CAT 330 (WCH)        </v>
      </c>
      <c r="D238" s="54" t="str">
        <f>VLOOKUP(B238,'[1]Product by Part Number'!$A:$K,3,0)</f>
        <v>SINGLE FLANGE TRACK ROLLER</v>
      </c>
      <c r="E238" s="55">
        <f>VLOOKUP(B238,'[1]Product by Part Number'!$A:$K,11,0)</f>
        <v>288</v>
      </c>
      <c r="F238" s="56">
        <f>VLOOKUP(B238,'[1]Product by Part Number'!$A:$K,4,0)</f>
        <v>862.15</v>
      </c>
      <c r="G238" s="56">
        <f t="shared" si="8"/>
        <v>248299.19999999998</v>
      </c>
      <c r="H238" s="57">
        <f>VLOOKUP(B238,'[1]Product by Part Number'!$A:$K,5,0)</f>
        <v>431.08</v>
      </c>
      <c r="I238" s="90">
        <f t="shared" si="9"/>
        <v>124151.03999999999</v>
      </c>
    </row>
    <row r="239" spans="2:9" s="53" customFormat="1" x14ac:dyDescent="0.3">
      <c r="B239" s="79" t="s">
        <v>278</v>
      </c>
      <c r="C239" s="54" t="str">
        <f>VLOOKUP(B239,'[1]Product by Part Number'!$A:$K,2,0)</f>
        <v xml:space="preserve">CAT D6 (RDC)                  </v>
      </c>
      <c r="D239" s="54" t="str">
        <f>VLOOKUP(B239,'[1]Product by Part Number'!$A:$K,3,0)</f>
        <v>HEX NUT</v>
      </c>
      <c r="E239" s="55">
        <f>VLOOKUP(B239,'[1]Product by Part Number'!$A:$K,11,0)</f>
        <v>50</v>
      </c>
      <c r="F239" s="56">
        <f>VLOOKUP(B239,'[1]Product by Part Number'!$A:$K,4,0)</f>
        <v>10.44</v>
      </c>
      <c r="G239" s="56">
        <f t="shared" si="8"/>
        <v>522</v>
      </c>
      <c r="H239" s="57">
        <f>VLOOKUP(B239,'[1]Product by Part Number'!$A:$K,5,0)</f>
        <v>5.22</v>
      </c>
      <c r="I239" s="90">
        <f t="shared" si="9"/>
        <v>261</v>
      </c>
    </row>
    <row r="240" spans="2:9" s="53" customFormat="1" ht="27" x14ac:dyDescent="0.3">
      <c r="B240" s="79" t="s">
        <v>279</v>
      </c>
      <c r="C240" s="54" t="str">
        <f>VLOOKUP(B240,'[1]Product by Part Number'!$A:$K,2,0)</f>
        <v xml:space="preserve">CAT 320 (HEX) CAT 320 (MYK) CAT 330 (LHW) CAT 330 (WCH)            </v>
      </c>
      <c r="D240" s="54" t="str">
        <f>VLOOKUP(B240,'[1]Product by Part Number'!$A:$K,3,0)</f>
        <v>SECONDARY FUEL FILTER ELEMENT</v>
      </c>
      <c r="E240" s="55">
        <f>VLOOKUP(B240,'[1]Product by Part Number'!$A:$K,11,0)</f>
        <v>65</v>
      </c>
      <c r="F240" s="56">
        <f>VLOOKUP(B240,'[1]Product by Part Number'!$A:$K,4,0)</f>
        <v>66.94</v>
      </c>
      <c r="G240" s="56">
        <f t="shared" si="8"/>
        <v>4351.0999999999995</v>
      </c>
      <c r="H240" s="57">
        <f>VLOOKUP(B240,'[1]Product by Part Number'!$A:$K,5,0)</f>
        <v>25.44</v>
      </c>
      <c r="I240" s="90">
        <f t="shared" si="9"/>
        <v>1653.6</v>
      </c>
    </row>
    <row r="241" spans="2:9" s="53" customFormat="1" x14ac:dyDescent="0.3">
      <c r="B241" s="79" t="s">
        <v>46</v>
      </c>
      <c r="C241" s="54" t="str">
        <f>VLOOKUP(B241,'[1]Product by Part Number'!$A:$K,2,0)</f>
        <v xml:space="preserve">CAT D7G (92V)                  </v>
      </c>
      <c r="D241" s="54" t="str">
        <f>VLOOKUP(B241,'[1]Product by Part Number'!$A:$K,3,0)</f>
        <v>FUEL WATER SEPARATOR FILTER</v>
      </c>
      <c r="E241" s="55">
        <f>VLOOKUP(B241,'[1]Product by Part Number'!$A:$K,11,0)</f>
        <v>10</v>
      </c>
      <c r="F241" s="56">
        <f>VLOOKUP(B241,'[1]Product by Part Number'!$A:$K,4,0)</f>
        <v>104</v>
      </c>
      <c r="G241" s="56">
        <f t="shared" si="8"/>
        <v>1040</v>
      </c>
      <c r="H241" s="57">
        <f>VLOOKUP(B241,'[1]Product by Part Number'!$A:$K,5,0)</f>
        <v>39.520000000000003</v>
      </c>
      <c r="I241" s="90">
        <f t="shared" si="9"/>
        <v>395.2</v>
      </c>
    </row>
    <row r="242" spans="2:9" s="53" customFormat="1" x14ac:dyDescent="0.3">
      <c r="B242" s="79" t="s">
        <v>280</v>
      </c>
      <c r="C242" s="54" t="str">
        <f>VLOOKUP(B242,'[1]Product by Part Number'!$A:$K,2,0)</f>
        <v xml:space="preserve">CAT 330 (LHW) CAT 330 (WCH)                </v>
      </c>
      <c r="D242" s="54" t="str">
        <f>VLOOKUP(B242,'[1]Product by Part Number'!$A:$K,3,0)</f>
        <v>TRACK SHOE 800MM</v>
      </c>
      <c r="E242" s="55">
        <f>VLOOKUP(B242,'[1]Product by Part Number'!$A:$K,11,0)</f>
        <v>1000</v>
      </c>
      <c r="F242" s="56">
        <f>VLOOKUP(B242,'[1]Product by Part Number'!$A:$K,4,0)</f>
        <v>230.91</v>
      </c>
      <c r="G242" s="56">
        <f t="shared" si="8"/>
        <v>230910</v>
      </c>
      <c r="H242" s="57">
        <f>VLOOKUP(B242,'[1]Product by Part Number'!$A:$K,5,0)</f>
        <v>115.46</v>
      </c>
      <c r="I242" s="90">
        <f t="shared" si="9"/>
        <v>115460</v>
      </c>
    </row>
    <row r="243" spans="2:9" s="53" customFormat="1" x14ac:dyDescent="0.3">
      <c r="B243" s="79" t="s">
        <v>50</v>
      </c>
      <c r="C243" s="54" t="str">
        <f>VLOOKUP(B243,'[1]Product by Part Number'!$A:$K,2,0)</f>
        <v xml:space="preserve">CAT 336F L (RKB)                  </v>
      </c>
      <c r="D243" s="54" t="str">
        <f>VLOOKUP(B243,'[1]Product by Part Number'!$A:$K,3,0)</f>
        <v>SPROCKET BOLT</v>
      </c>
      <c r="E243" s="55">
        <f>VLOOKUP(B243,'[1]Product by Part Number'!$A:$K,11,0)</f>
        <v>32</v>
      </c>
      <c r="F243" s="56">
        <f>VLOOKUP(B243,'[1]Product by Part Number'!$A:$K,4,0)</f>
        <v>22.52</v>
      </c>
      <c r="G243" s="56">
        <f t="shared" si="8"/>
        <v>720.64</v>
      </c>
      <c r="H243" s="57">
        <f>VLOOKUP(B243,'[1]Product by Part Number'!$A:$K,5,0)</f>
        <v>11.26</v>
      </c>
      <c r="I243" s="90">
        <f t="shared" si="9"/>
        <v>360.32</v>
      </c>
    </row>
    <row r="244" spans="2:9" s="53" customFormat="1" ht="27" x14ac:dyDescent="0.3">
      <c r="B244" s="79" t="s">
        <v>281</v>
      </c>
      <c r="C244" s="54" t="str">
        <f>VLOOKUP(B244,'[1]Product by Part Number'!$A:$K,2,0)</f>
        <v xml:space="preserve">CAT 320 (HEX) CAT 320 (MYK) CAT 330 (LHW) CAT 330 (WCH)            </v>
      </c>
      <c r="D244" s="54" t="str">
        <f>VLOOKUP(B244,'[1]Product by Part Number'!$A:$K,3,0)</f>
        <v>FUEL WATER SEPARATOR ELEMENT</v>
      </c>
      <c r="E244" s="55">
        <f>VLOOKUP(B244,'[1]Product by Part Number'!$A:$K,11,0)</f>
        <v>130</v>
      </c>
      <c r="F244" s="56">
        <f>VLOOKUP(B244,'[1]Product by Part Number'!$A:$K,4,0)</f>
        <v>95.91</v>
      </c>
      <c r="G244" s="56">
        <f t="shared" si="8"/>
        <v>12468.3</v>
      </c>
      <c r="H244" s="57">
        <f>VLOOKUP(B244,'[1]Product by Part Number'!$A:$K,5,0)</f>
        <v>36.450000000000003</v>
      </c>
      <c r="I244" s="90">
        <f t="shared" si="9"/>
        <v>4738.5</v>
      </c>
    </row>
    <row r="245" spans="2:9" s="53" customFormat="1" x14ac:dyDescent="0.3">
      <c r="B245" s="79" t="s">
        <v>282</v>
      </c>
      <c r="C245" s="54" t="str">
        <f>VLOOKUP(B245,'[1]Product by Part Number'!$A:$K,2,0)</f>
        <v xml:space="preserve">CAT D6N LGP (SGG)                  </v>
      </c>
      <c r="D245" s="54" t="str">
        <f>VLOOKUP(B245,'[1]Product by Part Number'!$A:$K,3,0)</f>
        <v>IN-LINE FUEL FILTER</v>
      </c>
      <c r="E245" s="55">
        <f>VLOOKUP(B245,'[1]Product by Part Number'!$A:$K,11,0)</f>
        <v>10</v>
      </c>
      <c r="F245" s="56">
        <f>VLOOKUP(B245,'[1]Product by Part Number'!$A:$K,4,0)</f>
        <v>81.27</v>
      </c>
      <c r="G245" s="56">
        <f t="shared" si="8"/>
        <v>812.69999999999993</v>
      </c>
      <c r="H245" s="57">
        <f>VLOOKUP(B245,'[1]Product by Part Number'!$A:$K,5,0)</f>
        <v>30.88</v>
      </c>
      <c r="I245" s="90">
        <f t="shared" si="9"/>
        <v>308.8</v>
      </c>
    </row>
    <row r="246" spans="2:9" s="53" customFormat="1" x14ac:dyDescent="0.3">
      <c r="B246" s="79" t="s">
        <v>283</v>
      </c>
      <c r="C246" s="54" t="str">
        <f>VLOOKUP(B246,'[1]Product by Part Number'!$A:$K,2,0)</f>
        <v xml:space="preserve">CAT 561N (CPH)                  </v>
      </c>
      <c r="D246" s="54" t="str">
        <f>VLOOKUP(B246,'[1]Product by Part Number'!$A:$K,3,0)</f>
        <v>SEAT ASSY</v>
      </c>
      <c r="E246" s="55">
        <f>VLOOKUP(B246,'[1]Product by Part Number'!$A:$K,11,0)</f>
        <v>5</v>
      </c>
      <c r="F246" s="56">
        <f>VLOOKUP(B246,'[1]Product by Part Number'!$A:$K,4,0)</f>
        <v>2482.65</v>
      </c>
      <c r="G246" s="56">
        <f t="shared" si="8"/>
        <v>12413.25</v>
      </c>
      <c r="H246" s="57">
        <f>VLOOKUP(B246,'[1]Product by Part Number'!$A:$K,5,0)</f>
        <v>1241.33</v>
      </c>
      <c r="I246" s="90">
        <f t="shared" si="9"/>
        <v>6206.65</v>
      </c>
    </row>
    <row r="247" spans="2:9" s="53" customFormat="1" x14ac:dyDescent="0.3">
      <c r="B247" s="79" t="s">
        <v>284</v>
      </c>
      <c r="C247" s="54" t="str">
        <f>VLOOKUP(B247,'[1]Product by Part Number'!$A:$K,2,0)</f>
        <v xml:space="preserve">CAT D6N LGP (SGG)                  </v>
      </c>
      <c r="D247" s="54" t="str">
        <f>VLOOKUP(B247,'[1]Product by Part Number'!$A:$K,3,0)</f>
        <v>PRIMARY AIR FILTER ELEMENT</v>
      </c>
      <c r="E247" s="55">
        <f>VLOOKUP(B247,'[1]Product by Part Number'!$A:$K,11,0)</f>
        <v>6</v>
      </c>
      <c r="F247" s="56">
        <f>VLOOKUP(B247,'[1]Product by Part Number'!$A:$K,4,0)</f>
        <v>136.4</v>
      </c>
      <c r="G247" s="56">
        <f t="shared" si="8"/>
        <v>818.40000000000009</v>
      </c>
      <c r="H247" s="57">
        <f>VLOOKUP(B247,'[1]Product by Part Number'!$A:$K,5,0)</f>
        <v>51.83</v>
      </c>
      <c r="I247" s="90">
        <f t="shared" si="9"/>
        <v>310.98</v>
      </c>
    </row>
    <row r="248" spans="2:9" s="53" customFormat="1" x14ac:dyDescent="0.3">
      <c r="B248" s="79" t="s">
        <v>285</v>
      </c>
      <c r="C248" s="54" t="str">
        <f>VLOOKUP(B248,'[1]Product by Part Number'!$A:$K,2,0)</f>
        <v xml:space="preserve">CAT D6N LGP (SGG)                  </v>
      </c>
      <c r="D248" s="54" t="str">
        <f>VLOOKUP(B248,'[1]Product by Part Number'!$A:$K,3,0)</f>
        <v>SECONDARY AIR FILTER ELEMENT</v>
      </c>
      <c r="E248" s="55">
        <f>VLOOKUP(B248,'[1]Product by Part Number'!$A:$K,11,0)</f>
        <v>6</v>
      </c>
      <c r="F248" s="56">
        <f>VLOOKUP(B248,'[1]Product by Part Number'!$A:$K,4,0)</f>
        <v>103.4</v>
      </c>
      <c r="G248" s="56">
        <f t="shared" si="8"/>
        <v>620.40000000000009</v>
      </c>
      <c r="H248" s="57">
        <f>VLOOKUP(B248,'[1]Product by Part Number'!$A:$K,5,0)</f>
        <v>39.29</v>
      </c>
      <c r="I248" s="90">
        <f t="shared" si="9"/>
        <v>235.74</v>
      </c>
    </row>
    <row r="249" spans="2:9" s="53" customFormat="1" x14ac:dyDescent="0.3">
      <c r="B249" s="79" t="s">
        <v>286</v>
      </c>
      <c r="C249" s="54" t="str">
        <f>VLOOKUP(B249,'[1]Product by Part Number'!$A:$K,2,0)</f>
        <v xml:space="preserve">CAT D3 (1PJ)                  </v>
      </c>
      <c r="D249" s="54" t="str">
        <f>VLOOKUP(B249,'[1]Product by Part Number'!$A:$K,3,0)</f>
        <v>TRACK IDLER AND BEARING ASSY</v>
      </c>
      <c r="E249" s="55">
        <f>VLOOKUP(B249,'[1]Product by Part Number'!$A:$K,11,0)</f>
        <v>2</v>
      </c>
      <c r="F249" s="56">
        <f>VLOOKUP(B249,'[1]Product by Part Number'!$A:$K,4,0)</f>
        <v>1859.1</v>
      </c>
      <c r="G249" s="56">
        <f t="shared" si="8"/>
        <v>3718.2</v>
      </c>
      <c r="H249" s="57">
        <f>VLOOKUP(B249,'[1]Product by Part Number'!$A:$K,5,0)</f>
        <v>929.55</v>
      </c>
      <c r="I249" s="90">
        <f t="shared" si="9"/>
        <v>1859.1</v>
      </c>
    </row>
    <row r="250" spans="2:9" s="53" customFormat="1" x14ac:dyDescent="0.3">
      <c r="B250" s="79" t="s">
        <v>287</v>
      </c>
      <c r="C250" s="54" t="str">
        <f>VLOOKUP(B250,'[1]Product by Part Number'!$A:$K,2,0)</f>
        <v xml:space="preserve">CAT D6N LGP (PBA)                  </v>
      </c>
      <c r="D250" s="54" t="str">
        <f>VLOOKUP(B250,'[1]Product by Part Number'!$A:$K,3,0)</f>
        <v>PRIMARY AIR FILTER ELEMENT</v>
      </c>
      <c r="E250" s="55">
        <f>VLOOKUP(B250,'[1]Product by Part Number'!$A:$K,11,0)</f>
        <v>6</v>
      </c>
      <c r="F250" s="56">
        <f>VLOOKUP(B250,'[1]Product by Part Number'!$A:$K,4,0)</f>
        <v>225.94</v>
      </c>
      <c r="G250" s="56">
        <f t="shared" si="8"/>
        <v>1355.6399999999999</v>
      </c>
      <c r="H250" s="57">
        <f>VLOOKUP(B250,'[1]Product by Part Number'!$A:$K,5,0)</f>
        <v>85.86</v>
      </c>
      <c r="I250" s="90">
        <f t="shared" si="9"/>
        <v>515.16</v>
      </c>
    </row>
    <row r="251" spans="2:9" s="53" customFormat="1" x14ac:dyDescent="0.3">
      <c r="B251" s="79" t="s">
        <v>288</v>
      </c>
      <c r="C251" s="54" t="str">
        <f>VLOOKUP(B251,'[1]Product by Part Number'!$A:$K,2,0)</f>
        <v xml:space="preserve">CAT D6T (MH7)                  </v>
      </c>
      <c r="D251" s="54" t="str">
        <f>VLOOKUP(B251,'[1]Product by Part Number'!$A:$K,3,0)</f>
        <v>TRACK SHOE RH - 790MM - OFFSET</v>
      </c>
      <c r="E251" s="55">
        <f>VLOOKUP(B251,'[1]Product by Part Number'!$A:$K,11,0)</f>
        <v>44</v>
      </c>
      <c r="F251" s="56">
        <f>VLOOKUP(B251,'[1]Product by Part Number'!$A:$K,4,0)</f>
        <v>223.22</v>
      </c>
      <c r="G251" s="56">
        <f t="shared" si="8"/>
        <v>9821.68</v>
      </c>
      <c r="H251" s="57">
        <f>VLOOKUP(B251,'[1]Product by Part Number'!$A:$K,5,0)</f>
        <v>111.61</v>
      </c>
      <c r="I251" s="90">
        <f t="shared" si="9"/>
        <v>4910.84</v>
      </c>
    </row>
    <row r="252" spans="2:9" s="53" customFormat="1" x14ac:dyDescent="0.3">
      <c r="B252" s="79" t="s">
        <v>289</v>
      </c>
      <c r="C252" s="54" t="str">
        <f>VLOOKUP(B252,'[1]Product by Part Number'!$A:$K,2,0)</f>
        <v xml:space="preserve">CAT D6T (MH7)                  </v>
      </c>
      <c r="D252" s="54" t="str">
        <f>VLOOKUP(B252,'[1]Product by Part Number'!$A:$K,3,0)</f>
        <v>TRACK SHOE MASTER RH</v>
      </c>
      <c r="E252" s="55">
        <f>VLOOKUP(B252,'[1]Product by Part Number'!$A:$K,11,0)</f>
        <v>1</v>
      </c>
      <c r="F252" s="56">
        <f>VLOOKUP(B252,'[1]Product by Part Number'!$A:$K,4,0)</f>
        <v>242.72</v>
      </c>
      <c r="G252" s="56">
        <f t="shared" si="8"/>
        <v>242.72</v>
      </c>
      <c r="H252" s="57">
        <f>VLOOKUP(B252,'[1]Product by Part Number'!$A:$K,5,0)</f>
        <v>121.36</v>
      </c>
      <c r="I252" s="90">
        <f t="shared" si="9"/>
        <v>121.36</v>
      </c>
    </row>
    <row r="253" spans="2:9" s="53" customFormat="1" x14ac:dyDescent="0.3">
      <c r="B253" s="79" t="s">
        <v>290</v>
      </c>
      <c r="C253" s="54" t="str">
        <f>VLOOKUP(B253,'[1]Product by Part Number'!$A:$K,2,0)</f>
        <v xml:space="preserve">CAT D6T (MH7)                  </v>
      </c>
      <c r="D253" s="54" t="str">
        <f>VLOOKUP(B253,'[1]Product by Part Number'!$A:$K,3,0)</f>
        <v>TRACK SHOE LH - 790MM - OFFSET</v>
      </c>
      <c r="E253" s="55">
        <f>VLOOKUP(B253,'[1]Product by Part Number'!$A:$K,11,0)</f>
        <v>44</v>
      </c>
      <c r="F253" s="56">
        <f>VLOOKUP(B253,'[1]Product by Part Number'!$A:$K,4,0)</f>
        <v>223.22</v>
      </c>
      <c r="G253" s="56">
        <f t="shared" si="8"/>
        <v>9821.68</v>
      </c>
      <c r="H253" s="57">
        <f>VLOOKUP(B253,'[1]Product by Part Number'!$A:$K,5,0)</f>
        <v>111.61</v>
      </c>
      <c r="I253" s="90">
        <f t="shared" si="9"/>
        <v>4910.84</v>
      </c>
    </row>
    <row r="254" spans="2:9" s="53" customFormat="1" x14ac:dyDescent="0.3">
      <c r="B254" s="79" t="s">
        <v>291</v>
      </c>
      <c r="C254" s="54" t="str">
        <f>VLOOKUP(B254,'[1]Product by Part Number'!$A:$K,2,0)</f>
        <v xml:space="preserve">CAT D6T (MH7)                  </v>
      </c>
      <c r="D254" s="54" t="str">
        <f>VLOOKUP(B254,'[1]Product by Part Number'!$A:$K,3,0)</f>
        <v>TRACK SHOE MASTER LH</v>
      </c>
      <c r="E254" s="55">
        <f>VLOOKUP(B254,'[1]Product by Part Number'!$A:$K,11,0)</f>
        <v>1</v>
      </c>
      <c r="F254" s="56">
        <f>VLOOKUP(B254,'[1]Product by Part Number'!$A:$K,4,0)</f>
        <v>235.62</v>
      </c>
      <c r="G254" s="56">
        <f t="shared" si="8"/>
        <v>235.62</v>
      </c>
      <c r="H254" s="57">
        <f>VLOOKUP(B254,'[1]Product by Part Number'!$A:$K,5,0)</f>
        <v>117.81</v>
      </c>
      <c r="I254" s="90">
        <f t="shared" si="9"/>
        <v>117.81</v>
      </c>
    </row>
    <row r="255" spans="2:9" s="53" customFormat="1" ht="27" x14ac:dyDescent="0.3">
      <c r="B255" s="79" t="s">
        <v>292</v>
      </c>
      <c r="C255" s="54" t="str">
        <f>VLOOKUP(B255,'[1]Product by Part Number'!$A:$K,2,0)</f>
        <v xml:space="preserve">CAT D4 (66J) CAT D6N LGP (GHS) CAT D6N LGP (SGG)              </v>
      </c>
      <c r="D255" s="54" t="str">
        <f>VLOOKUP(B255,'[1]Product by Part Number'!$A:$K,3,0)</f>
        <v>TRACK LINK ASSEMBLY</v>
      </c>
      <c r="E255" s="55">
        <f>VLOOKUP(B255,'[1]Product by Part Number'!$A:$K,11,0)</f>
        <v>8</v>
      </c>
      <c r="F255" s="56">
        <f>VLOOKUP(B255,'[1]Product by Part Number'!$A:$K,4,0)</f>
        <v>13503.77</v>
      </c>
      <c r="G255" s="56">
        <f t="shared" si="8"/>
        <v>108030.16</v>
      </c>
      <c r="H255" s="57">
        <f>VLOOKUP(B255,'[1]Product by Part Number'!$A:$K,5,0)</f>
        <v>6751.89</v>
      </c>
      <c r="I255" s="90">
        <f t="shared" si="9"/>
        <v>54015.12</v>
      </c>
    </row>
    <row r="256" spans="2:9" s="53" customFormat="1" x14ac:dyDescent="0.3">
      <c r="B256" s="79" t="s">
        <v>293</v>
      </c>
      <c r="C256" s="54" t="str">
        <f>VLOOKUP(B256,'[1]Product by Part Number'!$A:$K,2,0)</f>
        <v xml:space="preserve">CAT D6 (RDC)                  </v>
      </c>
      <c r="D256" s="54" t="str">
        <f>VLOOKUP(B256,'[1]Product by Part Number'!$A:$K,3,0)</f>
        <v>CABIN AIR FILTER ELEMENT</v>
      </c>
      <c r="E256" s="55">
        <f>VLOOKUP(B256,'[1]Product by Part Number'!$A:$K,11,0)</f>
        <v>3</v>
      </c>
      <c r="F256" s="56">
        <f>VLOOKUP(B256,'[1]Product by Part Number'!$A:$K,4,0)</f>
        <v>143.80000000000001</v>
      </c>
      <c r="G256" s="56">
        <f t="shared" si="8"/>
        <v>431.40000000000003</v>
      </c>
      <c r="H256" s="57">
        <f>VLOOKUP(B256,'[1]Product by Part Number'!$A:$K,5,0)</f>
        <v>54.64</v>
      </c>
      <c r="I256" s="90">
        <f t="shared" si="9"/>
        <v>163.92</v>
      </c>
    </row>
    <row r="257" spans="2:9" s="53" customFormat="1" x14ac:dyDescent="0.3">
      <c r="B257" s="79" t="s">
        <v>294</v>
      </c>
      <c r="C257" s="54" t="str">
        <f>VLOOKUP(B257,'[1]Product by Part Number'!$A:$K,2,0)</f>
        <v xml:space="preserve">CAT D7G (92V)                  </v>
      </c>
      <c r="D257" s="54" t="str">
        <f>VLOOKUP(B257,'[1]Product by Part Number'!$A:$K,3,0)</f>
        <v>DUAL FLANGE ROLLER</v>
      </c>
      <c r="E257" s="55">
        <f>VLOOKUP(B257,'[1]Product by Part Number'!$A:$K,11,0)</f>
        <v>12</v>
      </c>
      <c r="F257" s="56">
        <f>VLOOKUP(B257,'[1]Product by Part Number'!$A:$K,4,0)</f>
        <v>1169.26</v>
      </c>
      <c r="G257" s="56">
        <f t="shared" si="8"/>
        <v>14031.119999999999</v>
      </c>
      <c r="H257" s="57">
        <f>VLOOKUP(B257,'[1]Product by Part Number'!$A:$K,5,0)</f>
        <v>584.63</v>
      </c>
      <c r="I257" s="90">
        <f t="shared" si="9"/>
        <v>7015.56</v>
      </c>
    </row>
    <row r="258" spans="2:9" s="53" customFormat="1" x14ac:dyDescent="0.3">
      <c r="B258" s="79" t="s">
        <v>295</v>
      </c>
      <c r="C258" s="54" t="str">
        <f>VLOOKUP(B258,'[1]Product by Part Number'!$A:$K,2,0)</f>
        <v xml:space="preserve">CAT D3 (1PJ)                  </v>
      </c>
      <c r="D258" s="54" t="str">
        <f>VLOOKUP(B258,'[1]Product by Part Number'!$A:$K,3,0)</f>
        <v>FUEL INJECTOR</v>
      </c>
      <c r="E258" s="55">
        <f>VLOOKUP(B258,'[1]Product by Part Number'!$A:$K,11,0)</f>
        <v>4</v>
      </c>
      <c r="F258" s="56">
        <f>VLOOKUP(B258,'[1]Product by Part Number'!$A:$K,4,0)</f>
        <v>1132.93</v>
      </c>
      <c r="G258" s="56">
        <f t="shared" si="8"/>
        <v>4531.72</v>
      </c>
      <c r="H258" s="57">
        <f>VLOOKUP(B258,'[1]Product by Part Number'!$A:$K,5,0)</f>
        <v>566.47</v>
      </c>
      <c r="I258" s="90">
        <f t="shared" si="9"/>
        <v>2265.88</v>
      </c>
    </row>
    <row r="259" spans="2:9" s="53" customFormat="1" x14ac:dyDescent="0.3">
      <c r="B259" s="79" t="s">
        <v>296</v>
      </c>
      <c r="C259" s="54" t="str">
        <f>VLOOKUP(B259,'[1]Product by Part Number'!$A:$K,2,0)</f>
        <v xml:space="preserve">CAT D6N LGP (PBA)                  </v>
      </c>
      <c r="D259" s="54" t="str">
        <f>VLOOKUP(B259,'[1]Product by Part Number'!$A:$K,3,0)</f>
        <v xml:space="preserve">TRACK LINK ASSEMBLY </v>
      </c>
      <c r="E259" s="55">
        <f>VLOOKUP(B259,'[1]Product by Part Number'!$A:$K,11,0)</f>
        <v>4</v>
      </c>
      <c r="F259" s="56">
        <f>VLOOKUP(B259,'[1]Product by Part Number'!$A:$K,4,0)</f>
        <v>17735.5</v>
      </c>
      <c r="G259" s="56">
        <f t="shared" si="8"/>
        <v>70942</v>
      </c>
      <c r="H259" s="57">
        <f>VLOOKUP(B259,'[1]Product by Part Number'!$A:$K,5,0)</f>
        <v>8867.75</v>
      </c>
      <c r="I259" s="90">
        <f t="shared" si="9"/>
        <v>35471</v>
      </c>
    </row>
    <row r="260" spans="2:9" s="53" customFormat="1" x14ac:dyDescent="0.3">
      <c r="B260" s="79" t="s">
        <v>297</v>
      </c>
      <c r="C260" s="54" t="str">
        <f>VLOOKUP(B260,'[1]Product by Part Number'!$A:$K,2,0)</f>
        <v xml:space="preserve">CAT D6T (MH7)                  </v>
      </c>
      <c r="D260" s="54" t="str">
        <f>VLOOKUP(B260,'[1]Product by Part Number'!$A:$K,3,0)</f>
        <v>TRACK LINK ASSEMBLY</v>
      </c>
      <c r="E260" s="55">
        <f>VLOOKUP(B260,'[1]Product by Part Number'!$A:$K,11,0)</f>
        <v>2</v>
      </c>
      <c r="F260" s="56">
        <f>VLOOKUP(B260,'[1]Product by Part Number'!$A:$K,4,0)</f>
        <v>15772.81</v>
      </c>
      <c r="G260" s="56">
        <f t="shared" si="8"/>
        <v>31545.62</v>
      </c>
      <c r="H260" s="57">
        <f>VLOOKUP(B260,'[1]Product by Part Number'!$A:$K,5,0)</f>
        <v>7886.41</v>
      </c>
      <c r="I260" s="90">
        <f t="shared" si="9"/>
        <v>15772.82</v>
      </c>
    </row>
    <row r="261" spans="2:9" s="53" customFormat="1" x14ac:dyDescent="0.3">
      <c r="B261" s="79" t="s">
        <v>298</v>
      </c>
      <c r="C261" s="54" t="str">
        <f>VLOOKUP(B261,'[1]Product by Part Number'!$A:$K,2,0)</f>
        <v xml:space="preserve">CAT 303.5E                  </v>
      </c>
      <c r="D261" s="54" t="str">
        <f>VLOOKUP(B261,'[1]Product by Part Number'!$A:$K,3,0)</f>
        <v>RUBBER TRACKS</v>
      </c>
      <c r="E261" s="55">
        <f>VLOOKUP(B261,'[1]Product by Part Number'!$A:$K,11,0)</f>
        <v>2</v>
      </c>
      <c r="F261" s="56">
        <f>VLOOKUP(B261,'[1]Product by Part Number'!$A:$K,4,0)</f>
        <v>2467.27</v>
      </c>
      <c r="G261" s="56">
        <f t="shared" si="8"/>
        <v>4934.54</v>
      </c>
      <c r="H261" s="57">
        <f>VLOOKUP(B261,'[1]Product by Part Number'!$A:$K,5,0)</f>
        <v>1233.6400000000001</v>
      </c>
      <c r="I261" s="90">
        <f t="shared" si="9"/>
        <v>2467.2800000000002</v>
      </c>
    </row>
    <row r="262" spans="2:9" s="53" customFormat="1" x14ac:dyDescent="0.3">
      <c r="B262" s="79" t="s">
        <v>299</v>
      </c>
      <c r="C262" s="54" t="str">
        <f>VLOOKUP(B262,'[1]Product by Part Number'!$A:$K,2,0)</f>
        <v xml:space="preserve">CAT 320 (MYK)                  </v>
      </c>
      <c r="D262" s="54" t="str">
        <f>VLOOKUP(B262,'[1]Product by Part Number'!$A:$K,3,0)</f>
        <v>SECONDARY TURBOCHARGER ASSEMBLY</v>
      </c>
      <c r="E262" s="55">
        <f>VLOOKUP(B262,'[1]Product by Part Number'!$A:$K,11,0)</f>
        <v>2</v>
      </c>
      <c r="F262" s="56">
        <f>VLOOKUP(B262,'[1]Product by Part Number'!$A:$K,4,0)</f>
        <v>3756.87</v>
      </c>
      <c r="G262" s="56">
        <f t="shared" si="8"/>
        <v>7513.74</v>
      </c>
      <c r="H262" s="57">
        <f>VLOOKUP(B262,'[1]Product by Part Number'!$A:$K,5,0)</f>
        <v>1878.44</v>
      </c>
      <c r="I262" s="90">
        <f t="shared" si="9"/>
        <v>3756.88</v>
      </c>
    </row>
    <row r="263" spans="2:9" s="53" customFormat="1" x14ac:dyDescent="0.3">
      <c r="B263" s="79" t="s">
        <v>300</v>
      </c>
      <c r="C263" s="54" t="str">
        <f>VLOOKUP(B263,'[1]Product by Part Number'!$A:$K,2,0)</f>
        <v xml:space="preserve">CAT D6N LGP (GHS)                  </v>
      </c>
      <c r="D263" s="54" t="str">
        <f>VLOOKUP(B263,'[1]Product by Part Number'!$A:$K,3,0)</f>
        <v>TURBOCHARGER ASSEMBLY</v>
      </c>
      <c r="E263" s="55">
        <f>VLOOKUP(B263,'[1]Product by Part Number'!$A:$K,11,0)</f>
        <v>1</v>
      </c>
      <c r="F263" s="56">
        <f>VLOOKUP(B263,'[1]Product by Part Number'!$A:$K,4,0)</f>
        <v>6551.41</v>
      </c>
      <c r="G263" s="56">
        <f t="shared" si="8"/>
        <v>6551.41</v>
      </c>
      <c r="H263" s="57">
        <f>VLOOKUP(B263,'[1]Product by Part Number'!$A:$K,5,0)</f>
        <v>3275.71</v>
      </c>
      <c r="I263" s="90">
        <f t="shared" si="9"/>
        <v>3275.71</v>
      </c>
    </row>
    <row r="264" spans="2:9" s="53" customFormat="1" x14ac:dyDescent="0.3">
      <c r="B264" s="79" t="s">
        <v>301</v>
      </c>
      <c r="C264" s="54" t="str">
        <f>VLOOKUP(B264,'[1]Product by Part Number'!$A:$K,2,0)</f>
        <v xml:space="preserve">CAT 320 (MYK)                  </v>
      </c>
      <c r="D264" s="54" t="str">
        <f>VLOOKUP(B264,'[1]Product by Part Number'!$A:$K,3,0)</f>
        <v>FUEL INJECTOR</v>
      </c>
      <c r="E264" s="55">
        <f>VLOOKUP(B264,'[1]Product by Part Number'!$A:$K,11,0)</f>
        <v>8</v>
      </c>
      <c r="F264" s="56">
        <f>VLOOKUP(B264,'[1]Product by Part Number'!$A:$K,4,0)</f>
        <v>1132.8800000000001</v>
      </c>
      <c r="G264" s="56">
        <f t="shared" si="8"/>
        <v>9063.0400000000009</v>
      </c>
      <c r="H264" s="57">
        <f>VLOOKUP(B264,'[1]Product by Part Number'!$A:$K,5,0)</f>
        <v>566.44000000000005</v>
      </c>
      <c r="I264" s="90">
        <f t="shared" si="9"/>
        <v>4531.5200000000004</v>
      </c>
    </row>
    <row r="265" spans="2:9" s="53" customFormat="1" ht="27" x14ac:dyDescent="0.3">
      <c r="B265" s="79" t="s">
        <v>302</v>
      </c>
      <c r="C265" s="54" t="str">
        <f>VLOOKUP(B265,'[1]Product by Part Number'!$A:$K,2,0)</f>
        <v xml:space="preserve">CAT D6 (RDC) CAT D6N LGP (PBA) CAT D6N LGP (SGG) CAT D6T (MH7) CAT 561N (CPH)          </v>
      </c>
      <c r="D265" s="54" t="str">
        <f>VLOOKUP(B265,'[1]Product by Part Number'!$A:$K,3,0)</f>
        <v>HYDRAULIC OIL FILTER ELEMENT</v>
      </c>
      <c r="E265" s="55">
        <f>VLOOKUP(B265,'[1]Product by Part Number'!$A:$K,11,0)</f>
        <v>55</v>
      </c>
      <c r="F265" s="56">
        <f>VLOOKUP(B265,'[1]Product by Part Number'!$A:$K,4,0)</f>
        <v>171.55</v>
      </c>
      <c r="G265" s="56">
        <f t="shared" si="8"/>
        <v>9435.25</v>
      </c>
      <c r="H265" s="57">
        <f>VLOOKUP(B265,'[1]Product by Part Number'!$A:$K,5,0)</f>
        <v>65.19</v>
      </c>
      <c r="I265" s="90">
        <f t="shared" si="9"/>
        <v>3585.45</v>
      </c>
    </row>
    <row r="266" spans="2:9" s="53" customFormat="1" x14ac:dyDescent="0.3">
      <c r="B266" s="79" t="s">
        <v>303</v>
      </c>
      <c r="C266" s="54" t="str">
        <f>VLOOKUP(B266,'[1]Product by Part Number'!$A:$K,2,0)</f>
        <v xml:space="preserve">CAT D6 (RDC)                  </v>
      </c>
      <c r="D266" s="54" t="str">
        <f>VLOOKUP(B266,'[1]Product by Part Number'!$A:$K,3,0)</f>
        <v>TURBO KIT</v>
      </c>
      <c r="E266" s="55">
        <f>VLOOKUP(B266,'[1]Product by Part Number'!$A:$K,11,0)</f>
        <v>1</v>
      </c>
      <c r="F266" s="56">
        <f>VLOOKUP(B266,'[1]Product by Part Number'!$A:$K,4,0)</f>
        <v>6921.5</v>
      </c>
      <c r="G266" s="56">
        <f t="shared" si="8"/>
        <v>6921.5</v>
      </c>
      <c r="H266" s="57">
        <f>VLOOKUP(B266,'[1]Product by Part Number'!$A:$K,5,0)</f>
        <v>3460.75</v>
      </c>
      <c r="I266" s="90">
        <f t="shared" si="9"/>
        <v>3460.75</v>
      </c>
    </row>
    <row r="267" spans="2:9" s="53" customFormat="1" x14ac:dyDescent="0.3">
      <c r="B267" s="79" t="s">
        <v>304</v>
      </c>
      <c r="C267" s="54" t="str">
        <f>VLOOKUP(B267,'[1]Product by Part Number'!$A:$K,2,0)</f>
        <v xml:space="preserve">CAT D6 (RDC) CAT D6T (MH7) CAT 561N (CPH)              </v>
      </c>
      <c r="D267" s="54" t="str">
        <f>VLOOKUP(B267,'[1]Product by Part Number'!$A:$K,3,0)</f>
        <v>PRIMARY AIR FILTER ELEMENT</v>
      </c>
      <c r="E267" s="55">
        <f>VLOOKUP(B267,'[1]Product by Part Number'!$A:$K,11,0)</f>
        <v>21</v>
      </c>
      <c r="F267" s="56">
        <f>VLOOKUP(B267,'[1]Product by Part Number'!$A:$K,4,0)</f>
        <v>259.82</v>
      </c>
      <c r="G267" s="56">
        <f t="shared" si="8"/>
        <v>5456.22</v>
      </c>
      <c r="H267" s="57">
        <f>VLOOKUP(B267,'[1]Product by Part Number'!$A:$K,5,0)</f>
        <v>98.73</v>
      </c>
      <c r="I267" s="90">
        <f t="shared" si="9"/>
        <v>2073.33</v>
      </c>
    </row>
    <row r="268" spans="2:9" s="53" customFormat="1" x14ac:dyDescent="0.3">
      <c r="B268" s="79" t="s">
        <v>305</v>
      </c>
      <c r="C268" s="54" t="str">
        <f>VLOOKUP(B268,'[1]Product by Part Number'!$A:$K,2,0)</f>
        <v xml:space="preserve">CAT 320F L (YBM) CAT 320 (HEX)                </v>
      </c>
      <c r="D268" s="54" t="str">
        <f>VLOOKUP(B268,'[1]Product by Part Number'!$A:$K,3,0)</f>
        <v>SECONDARY TURBOCHARGER ASSEMBLY</v>
      </c>
      <c r="E268" s="55">
        <f>VLOOKUP(B268,'[1]Product by Part Number'!$A:$K,11,0)</f>
        <v>2</v>
      </c>
      <c r="F268" s="56">
        <f>VLOOKUP(B268,'[1]Product by Part Number'!$A:$K,4,0)</f>
        <v>3188.6</v>
      </c>
      <c r="G268" s="56">
        <f t="shared" si="8"/>
        <v>6377.2</v>
      </c>
      <c r="H268" s="57">
        <f>VLOOKUP(B268,'[1]Product by Part Number'!$A:$K,5,0)</f>
        <v>1594.3</v>
      </c>
      <c r="I268" s="90">
        <f t="shared" si="9"/>
        <v>3188.6</v>
      </c>
    </row>
    <row r="269" spans="2:9" s="53" customFormat="1" ht="27" x14ac:dyDescent="0.3">
      <c r="B269" s="79" t="s">
        <v>306</v>
      </c>
      <c r="C269" s="54" t="str">
        <f>VLOOKUP(B269,'[1]Product by Part Number'!$A:$K,2,0)</f>
        <v xml:space="preserve">CAT 320 (HEX) CAT 320 (MYK) CAT 330 (LHW) CAT 330 (WCH)            </v>
      </c>
      <c r="D269" s="54" t="str">
        <f>VLOOKUP(B269,'[1]Product by Part Number'!$A:$K,3,0)</f>
        <v>HYDRAULIC OIL FILTER ELEMENT</v>
      </c>
      <c r="E269" s="55">
        <f>VLOOKUP(B269,'[1]Product by Part Number'!$A:$K,11,0)</f>
        <v>65</v>
      </c>
      <c r="F269" s="56">
        <f>VLOOKUP(B269,'[1]Product by Part Number'!$A:$K,4,0)</f>
        <v>283.86</v>
      </c>
      <c r="G269" s="56">
        <f t="shared" si="8"/>
        <v>18450.900000000001</v>
      </c>
      <c r="H269" s="57">
        <f>VLOOKUP(B269,'[1]Product by Part Number'!$A:$K,5,0)</f>
        <v>107.87</v>
      </c>
      <c r="I269" s="90">
        <f t="shared" si="9"/>
        <v>7011.55</v>
      </c>
    </row>
    <row r="270" spans="2:9" s="53" customFormat="1" x14ac:dyDescent="0.3">
      <c r="B270" s="79" t="s">
        <v>307</v>
      </c>
      <c r="C270" s="54" t="str">
        <f>VLOOKUP(B270,'[1]Product by Part Number'!$A:$K,2,0)</f>
        <v xml:space="preserve">CAT D6 (RDC)                  </v>
      </c>
      <c r="D270" s="54" t="str">
        <f>VLOOKUP(B270,'[1]Product by Part Number'!$A:$K,3,0)</f>
        <v>TRACK LINK 46 JOINT</v>
      </c>
      <c r="E270" s="55">
        <f>VLOOKUP(B270,'[1]Product by Part Number'!$A:$K,11,0)</f>
        <v>2</v>
      </c>
      <c r="F270" s="56">
        <f>VLOOKUP(B270,'[1]Product by Part Number'!$A:$K,4,0)</f>
        <v>10339.93</v>
      </c>
      <c r="G270" s="56">
        <f t="shared" si="8"/>
        <v>20679.86</v>
      </c>
      <c r="H270" s="57">
        <f>VLOOKUP(B270,'[1]Product by Part Number'!$A:$K,5,0)</f>
        <v>5169.97</v>
      </c>
      <c r="I270" s="90">
        <f t="shared" si="9"/>
        <v>10339.94</v>
      </c>
    </row>
    <row r="271" spans="2:9" s="53" customFormat="1" ht="27" x14ac:dyDescent="0.3">
      <c r="B271" s="79" t="s">
        <v>308</v>
      </c>
      <c r="C271" s="54" t="str">
        <f>VLOOKUP(B271,'[1]Product by Part Number'!$A:$K,2,0)</f>
        <v xml:space="preserve">CAT 320E L (WBK) CAT 320F L (YBM) CAT 320 (HEX) CAT 320 (MYK)            </v>
      </c>
      <c r="D271" s="54" t="str">
        <f>VLOOKUP(B271,'[1]Product by Part Number'!$A:$K,3,0)</f>
        <v xml:space="preserve">TRACK LINK ASSEMBLY </v>
      </c>
      <c r="E271" s="55">
        <f>VLOOKUP(B271,'[1]Product by Part Number'!$A:$K,11,0)</f>
        <v>12</v>
      </c>
      <c r="F271" s="56">
        <f>VLOOKUP(B271,'[1]Product by Part Number'!$A:$K,4,0)</f>
        <v>8238.4699999999993</v>
      </c>
      <c r="G271" s="56">
        <f t="shared" si="8"/>
        <v>98861.639999999985</v>
      </c>
      <c r="H271" s="57">
        <f>VLOOKUP(B271,'[1]Product by Part Number'!$A:$K,5,0)</f>
        <v>4119.24</v>
      </c>
      <c r="I271" s="90">
        <f t="shared" si="9"/>
        <v>49430.879999999997</v>
      </c>
    </row>
    <row r="272" spans="2:9" s="53" customFormat="1" x14ac:dyDescent="0.3">
      <c r="B272" s="79" t="s">
        <v>309</v>
      </c>
      <c r="C272" s="54" t="str">
        <f>VLOOKUP(B272,'[1]Product by Part Number'!$A:$K,2,0)</f>
        <v xml:space="preserve">CAT D3 (1PJ)                  </v>
      </c>
      <c r="D272" s="54" t="str">
        <f>VLOOKUP(B272,'[1]Product by Part Number'!$A:$K,3,0)</f>
        <v>TRACK BOLT</v>
      </c>
      <c r="E272" s="55">
        <f>VLOOKUP(B272,'[1]Product by Part Number'!$A:$K,11,0)</f>
        <v>344</v>
      </c>
      <c r="F272" s="56">
        <f>VLOOKUP(B272,'[1]Product by Part Number'!$A:$K,4,0)</f>
        <v>3.73</v>
      </c>
      <c r="G272" s="56">
        <f t="shared" ref="G272:G335" si="10">E272*F272</f>
        <v>1283.1199999999999</v>
      </c>
      <c r="H272" s="57">
        <f>VLOOKUP(B272,'[1]Product by Part Number'!$A:$K,5,0)</f>
        <v>1.87</v>
      </c>
      <c r="I272" s="90">
        <f t="shared" ref="I272:I335" si="11">ROUND(E272*H272,2)</f>
        <v>643.28</v>
      </c>
    </row>
    <row r="273" spans="2:9" s="53" customFormat="1" x14ac:dyDescent="0.3">
      <c r="B273" s="79" t="s">
        <v>44</v>
      </c>
      <c r="C273" s="54" t="str">
        <f>VLOOKUP(B273,'[1]Product by Part Number'!$A:$K,2,0)</f>
        <v xml:space="preserve">CAT 320F L (YBM) CAT 329E L (ZCD)                </v>
      </c>
      <c r="D273" s="54" t="str">
        <f>VLOOKUP(B273,'[1]Product by Part Number'!$A:$K,3,0)</f>
        <v>HYDRAULIC OIL FILTER</v>
      </c>
      <c r="E273" s="55">
        <f>VLOOKUP(B273,'[1]Product by Part Number'!$A:$K,11,0)</f>
        <v>10</v>
      </c>
      <c r="F273" s="56">
        <f>VLOOKUP(B273,'[1]Product by Part Number'!$A:$K,4,0)</f>
        <v>106.56</v>
      </c>
      <c r="G273" s="56">
        <f t="shared" si="10"/>
        <v>1065.5999999999999</v>
      </c>
      <c r="H273" s="57">
        <f>VLOOKUP(B273,'[1]Product by Part Number'!$A:$K,5,0)</f>
        <v>40.49</v>
      </c>
      <c r="I273" s="90">
        <f t="shared" si="11"/>
        <v>404.9</v>
      </c>
    </row>
    <row r="274" spans="2:9" s="53" customFormat="1" ht="27" x14ac:dyDescent="0.3">
      <c r="B274" s="79" t="s">
        <v>310</v>
      </c>
      <c r="C274" s="54" t="str">
        <f>VLOOKUP(B274,'[1]Product by Part Number'!$A:$K,2,0)</f>
        <v xml:space="preserve">CAT D5 (3CR) CAT D6N LGP (GHS) CAT D6N LGP (PBA) CAT D6N LGP (SGG) CAT D6T (MH7)          </v>
      </c>
      <c r="D274" s="54" t="str">
        <f>VLOOKUP(B274,'[1]Product by Part Number'!$A:$K,3,0)</f>
        <v>PLOW BOLT</v>
      </c>
      <c r="E274" s="55">
        <f>VLOOKUP(B274,'[1]Product by Part Number'!$A:$K,11,0)</f>
        <v>222</v>
      </c>
      <c r="F274" s="56">
        <f>VLOOKUP(B274,'[1]Product by Part Number'!$A:$K,4,0)</f>
        <v>4.51</v>
      </c>
      <c r="G274" s="56">
        <f t="shared" si="10"/>
        <v>1001.2199999999999</v>
      </c>
      <c r="H274" s="57">
        <f>VLOOKUP(B274,'[1]Product by Part Number'!$A:$K,5,0)</f>
        <v>1.71</v>
      </c>
      <c r="I274" s="90">
        <f t="shared" si="11"/>
        <v>379.62</v>
      </c>
    </row>
    <row r="275" spans="2:9" s="53" customFormat="1" x14ac:dyDescent="0.3">
      <c r="B275" s="79" t="s">
        <v>311</v>
      </c>
      <c r="C275" s="54" t="str">
        <f>VLOOKUP(B275,'[1]Product by Part Number'!$A:$K,2,0)</f>
        <v xml:space="preserve">CAT D3 (1PJ)                  </v>
      </c>
      <c r="D275" s="54" t="str">
        <f>VLOOKUP(B275,'[1]Product by Part Number'!$A:$K,3,0)</f>
        <v>FLAT WASHER</v>
      </c>
      <c r="E275" s="55">
        <f>VLOOKUP(B275,'[1]Product by Part Number'!$A:$K,11,0)</f>
        <v>50</v>
      </c>
      <c r="F275" s="56">
        <f>VLOOKUP(B275,'[1]Product by Part Number'!$A:$K,4,0)</f>
        <v>1.86</v>
      </c>
      <c r="G275" s="56">
        <f t="shared" si="10"/>
        <v>93</v>
      </c>
      <c r="H275" s="57">
        <f>VLOOKUP(B275,'[1]Product by Part Number'!$A:$K,5,0)</f>
        <v>0.93</v>
      </c>
      <c r="I275" s="90">
        <f t="shared" si="11"/>
        <v>46.5</v>
      </c>
    </row>
    <row r="276" spans="2:9" s="53" customFormat="1" ht="27" x14ac:dyDescent="0.3">
      <c r="B276" s="79" t="s">
        <v>312</v>
      </c>
      <c r="C276" s="54" t="str">
        <f>VLOOKUP(B276,'[1]Product by Part Number'!$A:$K,2,0)</f>
        <v xml:space="preserve">CAT D3 (1PJ) CAT D6N LGP (SGG) CAT 561N (CPH) CAT 561N (CPH)            </v>
      </c>
      <c r="D276" s="54" t="str">
        <f>VLOOKUP(B276,'[1]Product by Part Number'!$A:$K,3,0)</f>
        <v>WASHER</v>
      </c>
      <c r="E276" s="55">
        <f>VLOOKUP(B276,'[1]Product by Part Number'!$A:$K,11,0)</f>
        <v>350</v>
      </c>
      <c r="F276" s="56">
        <f>VLOOKUP(B276,'[1]Product by Part Number'!$A:$K,4,0)</f>
        <v>2.83</v>
      </c>
      <c r="G276" s="56">
        <f t="shared" si="10"/>
        <v>990.5</v>
      </c>
      <c r="H276" s="57">
        <f>VLOOKUP(B276,'[1]Product by Part Number'!$A:$K,5,0)</f>
        <v>1.42</v>
      </c>
      <c r="I276" s="90">
        <f t="shared" si="11"/>
        <v>497</v>
      </c>
    </row>
    <row r="277" spans="2:9" s="53" customFormat="1" ht="27" x14ac:dyDescent="0.3">
      <c r="B277" s="79" t="s">
        <v>52</v>
      </c>
      <c r="C277" s="54" t="str">
        <f>VLOOKUP(B277,'[1]Product by Part Number'!$A:$K,2,0)</f>
        <v xml:space="preserve">CAT D5 (3CR) CAT D6 (RDC) CAT D6N LGP (GHS) CAT D6N LGP (PBA) CAT D6N LGP (SGG) CAT D6T (MH7)        </v>
      </c>
      <c r="D277" s="54" t="str">
        <f>VLOOKUP(B277,'[1]Product by Part Number'!$A:$K,3,0)</f>
        <v>FLAT WASHER</v>
      </c>
      <c r="E277" s="55">
        <f>VLOOKUP(B277,'[1]Product by Part Number'!$A:$K,11,0)</f>
        <v>272</v>
      </c>
      <c r="F277" s="56">
        <f>VLOOKUP(B277,'[1]Product by Part Number'!$A:$K,4,0)</f>
        <v>3.56</v>
      </c>
      <c r="G277" s="56">
        <f t="shared" si="10"/>
        <v>968.32</v>
      </c>
      <c r="H277" s="57">
        <f>VLOOKUP(B277,'[1]Product by Part Number'!$A:$K,5,0)</f>
        <v>1.35</v>
      </c>
      <c r="I277" s="90">
        <f t="shared" si="11"/>
        <v>367.2</v>
      </c>
    </row>
    <row r="278" spans="2:9" s="53" customFormat="1" ht="27" x14ac:dyDescent="0.3">
      <c r="B278" s="79" t="s">
        <v>313</v>
      </c>
      <c r="C278" s="54" t="str">
        <f>VLOOKUP(B278,'[1]Product by Part Number'!$A:$K,2,0)</f>
        <v xml:space="preserve">CAT 320E L (WBK) CAT 320F L (YBM) CAT 320 (HEX) CAT 320 (MYK)            </v>
      </c>
      <c r="D278" s="54" t="str">
        <f>VLOOKUP(B278,'[1]Product by Part Number'!$A:$K,3,0)</f>
        <v>SINGLE FLANGE TRACK ROLLER</v>
      </c>
      <c r="E278" s="55">
        <f>VLOOKUP(B278,'[1]Product by Part Number'!$A:$K,11,0)</f>
        <v>96</v>
      </c>
      <c r="F278" s="56">
        <f>VLOOKUP(B278,'[1]Product by Part Number'!$A:$K,4,0)</f>
        <v>748.26</v>
      </c>
      <c r="G278" s="56">
        <f t="shared" si="10"/>
        <v>71832.959999999992</v>
      </c>
      <c r="H278" s="57">
        <f>VLOOKUP(B278,'[1]Product by Part Number'!$A:$K,5,0)</f>
        <v>374.13</v>
      </c>
      <c r="I278" s="90">
        <f t="shared" si="11"/>
        <v>35916.480000000003</v>
      </c>
    </row>
    <row r="279" spans="2:9" s="53" customFormat="1" x14ac:dyDescent="0.3">
      <c r="B279" s="79" t="s">
        <v>314</v>
      </c>
      <c r="C279" s="54" t="str">
        <f>VLOOKUP(B279,'[1]Product by Part Number'!$A:$K,2,0)</f>
        <v xml:space="preserve">CAT 320 (MYK)                  </v>
      </c>
      <c r="D279" s="54" t="str">
        <f>VLOOKUP(B279,'[1]Product by Part Number'!$A:$K,3,0)</f>
        <v>PRIMARY TURBOCHARGER ASSEMBLY</v>
      </c>
      <c r="E279" s="55">
        <f>VLOOKUP(B279,'[1]Product by Part Number'!$A:$K,11,0)</f>
        <v>2</v>
      </c>
      <c r="F279" s="56">
        <f>VLOOKUP(B279,'[1]Product by Part Number'!$A:$K,4,0)</f>
        <v>3256.94</v>
      </c>
      <c r="G279" s="56">
        <f t="shared" si="10"/>
        <v>6513.88</v>
      </c>
      <c r="H279" s="57">
        <f>VLOOKUP(B279,'[1]Product by Part Number'!$A:$K,5,0)</f>
        <v>1628.47</v>
      </c>
      <c r="I279" s="90">
        <f t="shared" si="11"/>
        <v>3256.94</v>
      </c>
    </row>
    <row r="280" spans="2:9" s="53" customFormat="1" ht="40.200000000000003" x14ac:dyDescent="0.3">
      <c r="B280" s="79" t="s">
        <v>315</v>
      </c>
      <c r="C280" s="54" t="str">
        <f>VLOOKUP(B280,'[1]Product by Part Number'!$A:$K,2,0)</f>
        <v xml:space="preserve">CAT 329E L (ZCD) CAT 329F L (ERL) CAT 330F L (MBX) CAT 330F L (HCK) CAT 330 (LHW) CAT 330 (WCH)        </v>
      </c>
      <c r="D280" s="54" t="str">
        <f>VLOOKUP(B280,'[1]Product by Part Number'!$A:$K,3,0)</f>
        <v>SPROCKET BOLT</v>
      </c>
      <c r="E280" s="55">
        <f>VLOOKUP(B280,'[1]Product by Part Number'!$A:$K,11,0)</f>
        <v>576</v>
      </c>
      <c r="F280" s="56">
        <f>VLOOKUP(B280,'[1]Product by Part Number'!$A:$K,4,0)</f>
        <v>10.72</v>
      </c>
      <c r="G280" s="56">
        <f t="shared" si="10"/>
        <v>6174.72</v>
      </c>
      <c r="H280" s="57">
        <f>VLOOKUP(B280,'[1]Product by Part Number'!$A:$K,5,0)</f>
        <v>5.36</v>
      </c>
      <c r="I280" s="90">
        <f t="shared" si="11"/>
        <v>3087.36</v>
      </c>
    </row>
    <row r="281" spans="2:9" s="53" customFormat="1" ht="40.200000000000003" x14ac:dyDescent="0.3">
      <c r="B281" s="79" t="s">
        <v>316</v>
      </c>
      <c r="C281" s="54" t="str">
        <f>VLOOKUP(B281,'[1]Product by Part Number'!$A:$K,2,0)</f>
        <v xml:space="preserve">CAT 320E L (WBK) CAT 329F L (ERL) CAT 330F L (MBX) CAT 330F L (HCK) CAT 330 (LHW) CAT 330 (WCH) CAT D6N LGP (PBA) CAT D6N LGP (SGG)    </v>
      </c>
      <c r="D281" s="54" t="str">
        <f>VLOOKUP(B281,'[1]Product by Part Number'!$A:$K,3,0)</f>
        <v>FUEL INJECTOR</v>
      </c>
      <c r="E281" s="55">
        <f>VLOOKUP(B281,'[1]Product by Part Number'!$A:$K,11,0)</f>
        <v>126</v>
      </c>
      <c r="F281" s="56">
        <f>VLOOKUP(B281,'[1]Product by Part Number'!$A:$K,4,0)</f>
        <v>1474.09</v>
      </c>
      <c r="G281" s="56">
        <f t="shared" si="10"/>
        <v>185735.34</v>
      </c>
      <c r="H281" s="57">
        <f>VLOOKUP(B281,'[1]Product by Part Number'!$A:$K,5,0)</f>
        <v>737.05</v>
      </c>
      <c r="I281" s="90">
        <f t="shared" si="11"/>
        <v>92868.3</v>
      </c>
    </row>
    <row r="282" spans="2:9" s="53" customFormat="1" x14ac:dyDescent="0.3">
      <c r="B282" s="79" t="s">
        <v>317</v>
      </c>
      <c r="C282" s="54" t="str">
        <f>VLOOKUP(B282,'[1]Product by Part Number'!$A:$K,2,0)</f>
        <v xml:space="preserve">CAT 330 (LHW) CAT 330 (WCH)                </v>
      </c>
      <c r="D282" s="54" t="str">
        <f>VLOOKUP(B282,'[1]Product by Part Number'!$A:$K,3,0)</f>
        <v>TRACK LINK ASSEMBLY</v>
      </c>
      <c r="E282" s="55">
        <f>VLOOKUP(B282,'[1]Product by Part Number'!$A:$K,11,0)</f>
        <v>20</v>
      </c>
      <c r="F282" s="56">
        <f>VLOOKUP(B282,'[1]Product by Part Number'!$A:$K,4,0)</f>
        <v>10788.51</v>
      </c>
      <c r="G282" s="56">
        <f t="shared" si="10"/>
        <v>215770.2</v>
      </c>
      <c r="H282" s="57">
        <f>VLOOKUP(B282,'[1]Product by Part Number'!$A:$K,5,0)</f>
        <v>5394.26</v>
      </c>
      <c r="I282" s="90">
        <f t="shared" si="11"/>
        <v>107885.2</v>
      </c>
    </row>
    <row r="283" spans="2:9" s="53" customFormat="1" x14ac:dyDescent="0.3">
      <c r="B283" s="79" t="s">
        <v>318</v>
      </c>
      <c r="C283" s="54" t="str">
        <f>VLOOKUP(B283,'[1]Product by Part Number'!$A:$K,2,0)</f>
        <v xml:space="preserve">CAT D7G (92V)                  </v>
      </c>
      <c r="D283" s="54" t="str">
        <f>VLOOKUP(B283,'[1]Product by Part Number'!$A:$K,3,0)</f>
        <v>RIPPER SHANK</v>
      </c>
      <c r="E283" s="55">
        <f>VLOOKUP(B283,'[1]Product by Part Number'!$A:$K,11,0)</f>
        <v>1</v>
      </c>
      <c r="F283" s="56">
        <f>VLOOKUP(B283,'[1]Product by Part Number'!$A:$K,4,0)</f>
        <v>6515.49</v>
      </c>
      <c r="G283" s="56">
        <f t="shared" si="10"/>
        <v>6515.49</v>
      </c>
      <c r="H283" s="57">
        <f>VLOOKUP(B283,'[1]Product by Part Number'!$A:$K,5,0)</f>
        <v>2475.89</v>
      </c>
      <c r="I283" s="90">
        <f t="shared" si="11"/>
        <v>2475.89</v>
      </c>
    </row>
    <row r="284" spans="2:9" s="53" customFormat="1" x14ac:dyDescent="0.3">
      <c r="B284" s="79" t="s">
        <v>319</v>
      </c>
      <c r="C284" s="54" t="str">
        <f>VLOOKUP(B284,'[1]Product by Part Number'!$A:$K,2,0)</f>
        <v xml:space="preserve">CAT D6N LGP (PBA) CAT D6N LGP (SGG)                </v>
      </c>
      <c r="D284" s="54" t="str">
        <f>VLOOKUP(B284,'[1]Product by Part Number'!$A:$K,3,0)</f>
        <v>TURBOCHARGER ASSEMBLY</v>
      </c>
      <c r="E284" s="55">
        <f>VLOOKUP(B284,'[1]Product by Part Number'!$A:$K,11,0)</f>
        <v>4</v>
      </c>
      <c r="F284" s="56">
        <f>VLOOKUP(B284,'[1]Product by Part Number'!$A:$K,4,0)</f>
        <v>4119.04</v>
      </c>
      <c r="G284" s="56">
        <f t="shared" si="10"/>
        <v>16476.16</v>
      </c>
      <c r="H284" s="57">
        <f>VLOOKUP(B284,'[1]Product by Part Number'!$A:$K,5,0)</f>
        <v>2059.52</v>
      </c>
      <c r="I284" s="90">
        <f t="shared" si="11"/>
        <v>8238.08</v>
      </c>
    </row>
    <row r="285" spans="2:9" s="53" customFormat="1" x14ac:dyDescent="0.3">
      <c r="B285" s="79" t="s">
        <v>320</v>
      </c>
      <c r="C285" s="54" t="str">
        <f>VLOOKUP(B285,'[1]Product by Part Number'!$A:$K,2,0)</f>
        <v xml:space="preserve">CAT 320E L (WBK)                  </v>
      </c>
      <c r="D285" s="54" t="str">
        <f>VLOOKUP(B285,'[1]Product by Part Number'!$A:$K,3,0)</f>
        <v>TURBOCHARGER ASSEMBLY</v>
      </c>
      <c r="E285" s="55">
        <f>VLOOKUP(B285,'[1]Product by Part Number'!$A:$K,11,0)</f>
        <v>2</v>
      </c>
      <c r="F285" s="56">
        <f>VLOOKUP(B285,'[1]Product by Part Number'!$A:$K,4,0)</f>
        <v>5964.28</v>
      </c>
      <c r="G285" s="56">
        <f t="shared" si="10"/>
        <v>11928.56</v>
      </c>
      <c r="H285" s="57">
        <f>VLOOKUP(B285,'[1]Product by Part Number'!$A:$K,5,0)</f>
        <v>2982.14</v>
      </c>
      <c r="I285" s="90">
        <f t="shared" si="11"/>
        <v>5964.28</v>
      </c>
    </row>
    <row r="286" spans="2:9" s="53" customFormat="1" x14ac:dyDescent="0.3">
      <c r="B286" s="79" t="s">
        <v>321</v>
      </c>
      <c r="C286" s="54" t="str">
        <f>VLOOKUP(B286,'[1]Product by Part Number'!$A:$K,2,0)</f>
        <v xml:space="preserve">CAT D6 (RDC)                  </v>
      </c>
      <c r="D286" s="54" t="str">
        <f>VLOOKUP(B286,'[1]Product by Part Number'!$A:$K,3,0)</f>
        <v>INJECTOR</v>
      </c>
      <c r="E286" s="55">
        <f>VLOOKUP(B286,'[1]Product by Part Number'!$A:$K,11,0)</f>
        <v>6</v>
      </c>
      <c r="F286" s="56">
        <f>VLOOKUP(B286,'[1]Product by Part Number'!$A:$K,4,0)</f>
        <v>1423.26</v>
      </c>
      <c r="G286" s="56">
        <f t="shared" si="10"/>
        <v>8539.56</v>
      </c>
      <c r="H286" s="57">
        <f>VLOOKUP(B286,'[1]Product by Part Number'!$A:$K,5,0)</f>
        <v>711.63</v>
      </c>
      <c r="I286" s="90">
        <f t="shared" si="11"/>
        <v>4269.78</v>
      </c>
    </row>
    <row r="287" spans="2:9" s="53" customFormat="1" ht="27" x14ac:dyDescent="0.3">
      <c r="B287" s="79" t="s">
        <v>322</v>
      </c>
      <c r="C287" s="54" t="str">
        <f>VLOOKUP(B287,'[1]Product by Part Number'!$A:$K,2,0)</f>
        <v xml:space="preserve">CAT 329F L (ERL) CAT 330F L (MBX) CAT 330F L (HCK) CAT 330 (LHW) CAT 330 (WCH)          </v>
      </c>
      <c r="D287" s="54" t="str">
        <f>VLOOKUP(B287,'[1]Product by Part Number'!$A:$K,3,0)</f>
        <v>SECONDARY TUBROCHARGER ASSEMBLY</v>
      </c>
      <c r="E287" s="55">
        <f>VLOOKUP(B287,'[1]Product by Part Number'!$A:$K,11,0)</f>
        <v>15</v>
      </c>
      <c r="F287" s="56">
        <f>VLOOKUP(B287,'[1]Product by Part Number'!$A:$K,4,0)</f>
        <v>3634.22</v>
      </c>
      <c r="G287" s="56">
        <f t="shared" si="10"/>
        <v>54513.299999999996</v>
      </c>
      <c r="H287" s="57">
        <f>VLOOKUP(B287,'[1]Product by Part Number'!$A:$K,5,0)</f>
        <v>1817.11</v>
      </c>
      <c r="I287" s="90">
        <f t="shared" si="11"/>
        <v>27256.65</v>
      </c>
    </row>
    <row r="288" spans="2:9" s="53" customFormat="1" x14ac:dyDescent="0.3">
      <c r="B288" s="79" t="s">
        <v>323</v>
      </c>
      <c r="C288" s="54" t="str">
        <f>VLOOKUP(B288,'[1]Product by Part Number'!$A:$K,2,0)</f>
        <v xml:space="preserve">CAT 329E L (ZCD)                  </v>
      </c>
      <c r="D288" s="54" t="str">
        <f>VLOOKUP(B288,'[1]Product by Part Number'!$A:$K,3,0)</f>
        <v>ENGINE OVERHAUL KIT</v>
      </c>
      <c r="E288" s="55">
        <f>VLOOKUP(B288,'[1]Product by Part Number'!$A:$K,11,0)</f>
        <v>1</v>
      </c>
      <c r="F288" s="56">
        <f>VLOOKUP(B288,'[1]Product by Part Number'!$A:$K,4,0)</f>
        <v>13595.74</v>
      </c>
      <c r="G288" s="56">
        <f t="shared" si="10"/>
        <v>13595.74</v>
      </c>
      <c r="H288" s="57">
        <f>VLOOKUP(B288,'[1]Product by Part Number'!$A:$K,5,0)</f>
        <v>6797.87</v>
      </c>
      <c r="I288" s="90">
        <f t="shared" si="11"/>
        <v>6797.87</v>
      </c>
    </row>
    <row r="289" spans="2:9" s="53" customFormat="1" ht="27" x14ac:dyDescent="0.3">
      <c r="B289" s="79" t="s">
        <v>324</v>
      </c>
      <c r="C289" s="54" t="str">
        <f>VLOOKUP(B289,'[1]Product by Part Number'!$A:$K,2,0)</f>
        <v xml:space="preserve">CAT 329F L (ERL) CAT 330F L (MBX) CAT 330F L (HCK)              </v>
      </c>
      <c r="D289" s="54" t="str">
        <f>VLOOKUP(B289,'[1]Product by Part Number'!$A:$K,3,0)</f>
        <v>ENGINE OVERHAUL KIT</v>
      </c>
      <c r="E289" s="55">
        <f>VLOOKUP(B289,'[1]Product by Part Number'!$A:$K,11,0)</f>
        <v>5</v>
      </c>
      <c r="F289" s="56">
        <f>VLOOKUP(B289,'[1]Product by Part Number'!$A:$K,4,0)</f>
        <v>13595.74</v>
      </c>
      <c r="G289" s="56">
        <f t="shared" si="10"/>
        <v>67978.7</v>
      </c>
      <c r="H289" s="57">
        <f>VLOOKUP(B289,'[1]Product by Part Number'!$A:$K,5,0)</f>
        <v>6797.87</v>
      </c>
      <c r="I289" s="90">
        <f t="shared" si="11"/>
        <v>33989.35</v>
      </c>
    </row>
    <row r="290" spans="2:9" s="53" customFormat="1" x14ac:dyDescent="0.3">
      <c r="B290" s="79" t="s">
        <v>325</v>
      </c>
      <c r="C290" s="54" t="str">
        <f>VLOOKUP(B290,'[1]Product by Part Number'!$A:$K,2,0)</f>
        <v xml:space="preserve">CAT D3 (1PJ)                  </v>
      </c>
      <c r="D290" s="54" t="str">
        <f>VLOOKUP(B290,'[1]Product by Part Number'!$A:$K,3,0)</f>
        <v>DOWEL PIN</v>
      </c>
      <c r="E290" s="55">
        <f>VLOOKUP(B290,'[1]Product by Part Number'!$A:$K,11,0)</f>
        <v>1</v>
      </c>
      <c r="F290" s="56">
        <f>VLOOKUP(B290,'[1]Product by Part Number'!$A:$K,4,0)</f>
        <v>67.7</v>
      </c>
      <c r="G290" s="56">
        <f t="shared" si="10"/>
        <v>67.7</v>
      </c>
      <c r="H290" s="57">
        <f>VLOOKUP(B290,'[1]Product by Part Number'!$A:$K,5,0)</f>
        <v>25.73</v>
      </c>
      <c r="I290" s="90">
        <f t="shared" si="11"/>
        <v>25.73</v>
      </c>
    </row>
    <row r="291" spans="2:9" s="53" customFormat="1" x14ac:dyDescent="0.3">
      <c r="B291" s="79" t="s">
        <v>326</v>
      </c>
      <c r="C291" s="54" t="str">
        <f>VLOOKUP(B291,'[1]Product by Part Number'!$A:$K,2,0)</f>
        <v xml:space="preserve">CAT D3 (1PJ)                  </v>
      </c>
      <c r="D291" s="54" t="str">
        <f>VLOOKUP(B291,'[1]Product by Part Number'!$A:$K,3,0)</f>
        <v>CYLINDER HEAD</v>
      </c>
      <c r="E291" s="55">
        <f>VLOOKUP(B291,'[1]Product by Part Number'!$A:$K,11,0)</f>
        <v>1</v>
      </c>
      <c r="F291" s="56">
        <f>VLOOKUP(B291,'[1]Product by Part Number'!$A:$K,4,0)</f>
        <v>6130.36</v>
      </c>
      <c r="G291" s="56">
        <f t="shared" si="10"/>
        <v>6130.36</v>
      </c>
      <c r="H291" s="57">
        <f>VLOOKUP(B291,'[1]Product by Part Number'!$A:$K,5,0)</f>
        <v>3065.18</v>
      </c>
      <c r="I291" s="90">
        <f t="shared" si="11"/>
        <v>3065.18</v>
      </c>
    </row>
    <row r="292" spans="2:9" s="53" customFormat="1" x14ac:dyDescent="0.3">
      <c r="B292" s="79" t="s">
        <v>327</v>
      </c>
      <c r="C292" s="54" t="str">
        <f>VLOOKUP(B292,'[1]Product by Part Number'!$A:$K,2,0)</f>
        <v xml:space="preserve">CAT D5 (3CR)                  </v>
      </c>
      <c r="D292" s="54" t="str">
        <f>VLOOKUP(B292,'[1]Product by Part Number'!$A:$K,3,0)</f>
        <v>PRIMARY AIR FILTER ELEMENT</v>
      </c>
      <c r="E292" s="55">
        <f>VLOOKUP(B292,'[1]Product by Part Number'!$A:$K,11,0)</f>
        <v>6</v>
      </c>
      <c r="F292" s="56">
        <f>VLOOKUP(B292,'[1]Product by Part Number'!$A:$K,4,0)</f>
        <v>110.04</v>
      </c>
      <c r="G292" s="56">
        <f t="shared" si="10"/>
        <v>660.24</v>
      </c>
      <c r="H292" s="57">
        <f>VLOOKUP(B292,'[1]Product by Part Number'!$A:$K,5,0)</f>
        <v>41.82</v>
      </c>
      <c r="I292" s="90">
        <f t="shared" si="11"/>
        <v>250.92</v>
      </c>
    </row>
    <row r="293" spans="2:9" s="53" customFormat="1" x14ac:dyDescent="0.3">
      <c r="B293" s="79" t="s">
        <v>328</v>
      </c>
      <c r="C293" s="54" t="str">
        <f>VLOOKUP(B293,'[1]Product by Part Number'!$A:$K,2,0)</f>
        <v xml:space="preserve">CAT D5 (3CR)                  </v>
      </c>
      <c r="D293" s="54" t="str">
        <f>VLOOKUP(B293,'[1]Product by Part Number'!$A:$K,3,0)</f>
        <v>SECONDARY AIR FILTER ELEMENT</v>
      </c>
      <c r="E293" s="55">
        <f>VLOOKUP(B293,'[1]Product by Part Number'!$A:$K,11,0)</f>
        <v>6</v>
      </c>
      <c r="F293" s="56">
        <f>VLOOKUP(B293,'[1]Product by Part Number'!$A:$K,4,0)</f>
        <v>81.73</v>
      </c>
      <c r="G293" s="56">
        <f t="shared" si="10"/>
        <v>490.38</v>
      </c>
      <c r="H293" s="57">
        <f>VLOOKUP(B293,'[1]Product by Part Number'!$A:$K,5,0)</f>
        <v>31.06</v>
      </c>
      <c r="I293" s="90">
        <f t="shared" si="11"/>
        <v>186.36</v>
      </c>
    </row>
    <row r="294" spans="2:9" s="53" customFormat="1" ht="27" x14ac:dyDescent="0.3">
      <c r="B294" s="79" t="s">
        <v>329</v>
      </c>
      <c r="C294" s="54" t="str">
        <f>VLOOKUP(B294,'[1]Product by Part Number'!$A:$K,2,0)</f>
        <v xml:space="preserve">CAT 329E L (ZCD) CAT 329F L (ERL) CAT 330F L (MBX) CAT 330F L (HCK)            </v>
      </c>
      <c r="D294" s="54" t="str">
        <f>VLOOKUP(B294,'[1]Product by Part Number'!$A:$K,3,0)</f>
        <v>PRIMARY AIR FILTER ELEMENT</v>
      </c>
      <c r="E294" s="55">
        <f>VLOOKUP(B294,'[1]Product by Part Number'!$A:$K,11,0)</f>
        <v>18</v>
      </c>
      <c r="F294" s="56">
        <f>VLOOKUP(B294,'[1]Product by Part Number'!$A:$K,4,0)</f>
        <v>165.83</v>
      </c>
      <c r="G294" s="56">
        <f t="shared" si="10"/>
        <v>2984.94</v>
      </c>
      <c r="H294" s="57">
        <f>VLOOKUP(B294,'[1]Product by Part Number'!$A:$K,5,0)</f>
        <v>63.02</v>
      </c>
      <c r="I294" s="90">
        <f t="shared" si="11"/>
        <v>1134.3599999999999</v>
      </c>
    </row>
    <row r="295" spans="2:9" s="53" customFormat="1" ht="27" x14ac:dyDescent="0.3">
      <c r="B295" s="79" t="s">
        <v>330</v>
      </c>
      <c r="C295" s="54" t="str">
        <f>VLOOKUP(B295,'[1]Product by Part Number'!$A:$K,2,0)</f>
        <v xml:space="preserve">CAT 329E L (ZCD) CAT 329F L (ERL) CAT 330F L (MBX) CAT 330F L (HCK)            </v>
      </c>
      <c r="D295" s="54" t="str">
        <f>VLOOKUP(B295,'[1]Product by Part Number'!$A:$K,3,0)</f>
        <v>SECONDARY AIR FILTER ELEMENT</v>
      </c>
      <c r="E295" s="55">
        <f>VLOOKUP(B295,'[1]Product by Part Number'!$A:$K,11,0)</f>
        <v>18</v>
      </c>
      <c r="F295" s="56">
        <f>VLOOKUP(B295,'[1]Product by Part Number'!$A:$K,4,0)</f>
        <v>117.3</v>
      </c>
      <c r="G295" s="56">
        <f t="shared" si="10"/>
        <v>2111.4</v>
      </c>
      <c r="H295" s="57">
        <f>VLOOKUP(B295,'[1]Product by Part Number'!$A:$K,5,0)</f>
        <v>44.57</v>
      </c>
      <c r="I295" s="90">
        <f t="shared" si="11"/>
        <v>802.26</v>
      </c>
    </row>
    <row r="296" spans="2:9" s="53" customFormat="1" ht="27" x14ac:dyDescent="0.3">
      <c r="B296" s="79" t="s">
        <v>331</v>
      </c>
      <c r="C296" s="54" t="str">
        <f>VLOOKUP(B296,'[1]Product by Part Number'!$A:$K,2,0)</f>
        <v xml:space="preserve">CAT D6N LGP (GHS) CAT D6N LGP (PBA) CAT D6N LGP (SGG)              </v>
      </c>
      <c r="D296" s="54" t="str">
        <f>VLOOKUP(B296,'[1]Product by Part Number'!$A:$K,3,0)</f>
        <v>SPROCKET SEGMENT</v>
      </c>
      <c r="E296" s="55">
        <f>VLOOKUP(B296,'[1]Product by Part Number'!$A:$K,11,0)</f>
        <v>50</v>
      </c>
      <c r="F296" s="56">
        <f>VLOOKUP(B296,'[1]Product by Part Number'!$A:$K,4,0)</f>
        <v>204.05</v>
      </c>
      <c r="G296" s="56">
        <f t="shared" si="10"/>
        <v>10202.5</v>
      </c>
      <c r="H296" s="57">
        <f>VLOOKUP(B296,'[1]Product by Part Number'!$A:$K,5,0)</f>
        <v>102.03</v>
      </c>
      <c r="I296" s="90">
        <f t="shared" si="11"/>
        <v>5101.5</v>
      </c>
    </row>
    <row r="297" spans="2:9" s="53" customFormat="1" x14ac:dyDescent="0.3">
      <c r="B297" s="79" t="s">
        <v>332</v>
      </c>
      <c r="C297" s="54" t="str">
        <f>VLOOKUP(B297,'[1]Product by Part Number'!$A:$K,2,0)</f>
        <v xml:space="preserve">CAT D4 (66J) CAT D5 (3CR) CAT 561N (CPH)              </v>
      </c>
      <c r="D297" s="54" t="str">
        <f>VLOOKUP(B297,'[1]Product by Part Number'!$A:$K,3,0)</f>
        <v>CARRIER ROLLER</v>
      </c>
      <c r="E297" s="55">
        <f>VLOOKUP(B297,'[1]Product by Part Number'!$A:$K,11,0)</f>
        <v>16</v>
      </c>
      <c r="F297" s="56">
        <f>VLOOKUP(B297,'[1]Product by Part Number'!$A:$K,4,0)</f>
        <v>520.11</v>
      </c>
      <c r="G297" s="56">
        <f t="shared" si="10"/>
        <v>8321.76</v>
      </c>
      <c r="H297" s="57">
        <f>VLOOKUP(B297,'[1]Product by Part Number'!$A:$K,5,0)</f>
        <v>260.06</v>
      </c>
      <c r="I297" s="90">
        <f t="shared" si="11"/>
        <v>4160.96</v>
      </c>
    </row>
    <row r="298" spans="2:9" s="53" customFormat="1" x14ac:dyDescent="0.3">
      <c r="B298" s="79" t="s">
        <v>333</v>
      </c>
      <c r="C298" s="54" t="str">
        <f>VLOOKUP(B298,'[1]Product by Part Number'!$A:$K,2,0)</f>
        <v xml:space="preserve">CAT D7G (92V)                  </v>
      </c>
      <c r="D298" s="54" t="str">
        <f>VLOOKUP(B298,'[1]Product by Part Number'!$A:$K,3,0)</f>
        <v>CABIN AIR FILTER ELEMENT</v>
      </c>
      <c r="E298" s="55">
        <f>VLOOKUP(B298,'[1]Product by Part Number'!$A:$K,11,0)</f>
        <v>3</v>
      </c>
      <c r="F298" s="56">
        <f>VLOOKUP(B298,'[1]Product by Part Number'!$A:$K,4,0)</f>
        <v>121.67</v>
      </c>
      <c r="G298" s="56">
        <f t="shared" si="10"/>
        <v>365.01</v>
      </c>
      <c r="H298" s="57">
        <f>VLOOKUP(B298,'[1]Product by Part Number'!$A:$K,5,0)</f>
        <v>46.23</v>
      </c>
      <c r="I298" s="90">
        <f t="shared" si="11"/>
        <v>138.69</v>
      </c>
    </row>
    <row r="299" spans="2:9" s="53" customFormat="1" x14ac:dyDescent="0.3">
      <c r="B299" s="79" t="s">
        <v>334</v>
      </c>
      <c r="C299" s="54" t="str">
        <f>VLOOKUP(B299,'[1]Product by Part Number'!$A:$K,2,0)</f>
        <v xml:space="preserve">CAT D3 (1PJ)                  </v>
      </c>
      <c r="D299" s="54" t="str">
        <f>VLOOKUP(B299,'[1]Product by Part Number'!$A:$K,3,0)</f>
        <v>CARRIER ROLLER</v>
      </c>
      <c r="E299" s="55">
        <f>VLOOKUP(B299,'[1]Product by Part Number'!$A:$K,11,0)</f>
        <v>2</v>
      </c>
      <c r="F299" s="56">
        <f>VLOOKUP(B299,'[1]Product by Part Number'!$A:$K,4,0)</f>
        <v>493.88</v>
      </c>
      <c r="G299" s="56">
        <f t="shared" si="10"/>
        <v>987.76</v>
      </c>
      <c r="H299" s="57">
        <f>VLOOKUP(B299,'[1]Product by Part Number'!$A:$K,5,0)</f>
        <v>246.94</v>
      </c>
      <c r="I299" s="90">
        <f t="shared" si="11"/>
        <v>493.88</v>
      </c>
    </row>
    <row r="300" spans="2:9" s="53" customFormat="1" x14ac:dyDescent="0.3">
      <c r="B300" s="79" t="s">
        <v>335</v>
      </c>
      <c r="C300" s="54" t="str">
        <f>VLOOKUP(B300,'[1]Product by Part Number'!$A:$K,2,0)</f>
        <v xml:space="preserve">CAT 561N (CPH)                  </v>
      </c>
      <c r="D300" s="54" t="str">
        <f>VLOOKUP(B300,'[1]Product by Part Number'!$A:$K,3,0)</f>
        <v>TRACK SHOE</v>
      </c>
      <c r="E300" s="55">
        <f>VLOOKUP(B300,'[1]Product by Part Number'!$A:$K,11,0)</f>
        <v>440</v>
      </c>
      <c r="F300" s="56">
        <f>VLOOKUP(B300,'[1]Product by Part Number'!$A:$K,4,0)</f>
        <v>655.30999999999995</v>
      </c>
      <c r="G300" s="56">
        <f t="shared" si="10"/>
        <v>288336.39999999997</v>
      </c>
      <c r="H300" s="57">
        <f>VLOOKUP(B300,'[1]Product by Part Number'!$A:$K,5,0)</f>
        <v>327.66000000000003</v>
      </c>
      <c r="I300" s="90">
        <f t="shared" si="11"/>
        <v>144170.4</v>
      </c>
    </row>
    <row r="301" spans="2:9" s="53" customFormat="1" x14ac:dyDescent="0.3">
      <c r="B301" s="79" t="s">
        <v>336</v>
      </c>
      <c r="C301" s="54" t="str">
        <f>VLOOKUP(B301,'[1]Product by Part Number'!$A:$K,2,0)</f>
        <v xml:space="preserve">CAT D3 (1PJ)                  </v>
      </c>
      <c r="D301" s="54" t="str">
        <f>VLOOKUP(B301,'[1]Product by Part Number'!$A:$K,3,0)</f>
        <v>TRACK SHOE MASTER</v>
      </c>
      <c r="E301" s="55">
        <f>VLOOKUP(B301,'[1]Product by Part Number'!$A:$K,11,0)</f>
        <v>2</v>
      </c>
      <c r="F301" s="56">
        <f>VLOOKUP(B301,'[1]Product by Part Number'!$A:$K,4,0)</f>
        <v>729.52</v>
      </c>
      <c r="G301" s="56">
        <f t="shared" si="10"/>
        <v>1459.04</v>
      </c>
      <c r="H301" s="57">
        <f>VLOOKUP(B301,'[1]Product by Part Number'!$A:$K,5,0)</f>
        <v>364.76</v>
      </c>
      <c r="I301" s="90">
        <f t="shared" si="11"/>
        <v>729.52</v>
      </c>
    </row>
    <row r="302" spans="2:9" s="53" customFormat="1" x14ac:dyDescent="0.3">
      <c r="B302" s="79" t="s">
        <v>337</v>
      </c>
      <c r="C302" s="54" t="str">
        <f>VLOOKUP(B302,'[1]Product by Part Number'!$A:$K,2,0)</f>
        <v xml:space="preserve">CAT D3 (1PJ)                  </v>
      </c>
      <c r="D302" s="54" t="str">
        <f>VLOOKUP(B302,'[1]Product by Part Number'!$A:$K,3,0)</f>
        <v>TRACK SHOE SINGLE GROUSER 860MM</v>
      </c>
      <c r="E302" s="55">
        <f>VLOOKUP(B302,'[1]Product by Part Number'!$A:$K,11,0)</f>
        <v>86</v>
      </c>
      <c r="F302" s="56">
        <f>VLOOKUP(B302,'[1]Product by Part Number'!$A:$K,4,0)</f>
        <v>693.26</v>
      </c>
      <c r="G302" s="56">
        <f t="shared" si="10"/>
        <v>59620.36</v>
      </c>
      <c r="H302" s="57">
        <f>VLOOKUP(B302,'[1]Product by Part Number'!$A:$K,5,0)</f>
        <v>346.63</v>
      </c>
      <c r="I302" s="90">
        <f t="shared" si="11"/>
        <v>29810.18</v>
      </c>
    </row>
    <row r="303" spans="2:9" s="53" customFormat="1" ht="27" x14ac:dyDescent="0.3">
      <c r="B303" s="79" t="s">
        <v>338</v>
      </c>
      <c r="C303" s="54" t="str">
        <f>VLOOKUP(B303,'[1]Product by Part Number'!$A:$K,2,0)</f>
        <v xml:space="preserve">CAT D6N LGP (GHS) CAT D6N LGP (PBA) CAT D6N LGP (SGG) CAT D6T (MH7)            </v>
      </c>
      <c r="D303" s="54" t="str">
        <f>VLOOKUP(B303,'[1]Product by Part Number'!$A:$K,3,0)</f>
        <v>SPROCKET BOLT</v>
      </c>
      <c r="E303" s="55">
        <f>VLOOKUP(B303,'[1]Product by Part Number'!$A:$K,11,0)</f>
        <v>300</v>
      </c>
      <c r="F303" s="56">
        <f>VLOOKUP(B303,'[1]Product by Part Number'!$A:$K,4,0)</f>
        <v>3.14</v>
      </c>
      <c r="G303" s="56">
        <f t="shared" si="10"/>
        <v>942</v>
      </c>
      <c r="H303" s="57">
        <f>VLOOKUP(B303,'[1]Product by Part Number'!$A:$K,5,0)</f>
        <v>1.57</v>
      </c>
      <c r="I303" s="90">
        <f t="shared" si="11"/>
        <v>471</v>
      </c>
    </row>
    <row r="304" spans="2:9" s="53" customFormat="1" ht="27" x14ac:dyDescent="0.3">
      <c r="B304" s="79" t="s">
        <v>339</v>
      </c>
      <c r="C304" s="54" t="str">
        <f>VLOOKUP(B304,'[1]Product by Part Number'!$A:$K,2,0)</f>
        <v xml:space="preserve">CAT D4 (66J) CAT D6 (RDC) CAT D6N LGP (GHS) CAT D6N LGP (SGG) CAT D6T (MH7) CAT PL61 (WGS)        </v>
      </c>
      <c r="D304" s="54" t="str">
        <f>VLOOKUP(B304,'[1]Product by Part Number'!$A:$K,3,0)</f>
        <v>TRACK BOLT</v>
      </c>
      <c r="E304" s="55">
        <f>VLOOKUP(B304,'[1]Product by Part Number'!$A:$K,11,0)</f>
        <v>3088</v>
      </c>
      <c r="F304" s="56">
        <f>VLOOKUP(B304,'[1]Product by Part Number'!$A:$K,4,0)</f>
        <v>5.38</v>
      </c>
      <c r="G304" s="56">
        <f t="shared" si="10"/>
        <v>16613.439999999999</v>
      </c>
      <c r="H304" s="57">
        <f>VLOOKUP(B304,'[1]Product by Part Number'!$A:$K,5,0)</f>
        <v>2.69</v>
      </c>
      <c r="I304" s="90">
        <f t="shared" si="11"/>
        <v>8306.7199999999993</v>
      </c>
    </row>
    <row r="305" spans="2:9" s="53" customFormat="1" x14ac:dyDescent="0.3">
      <c r="B305" s="79" t="s">
        <v>340</v>
      </c>
      <c r="C305" s="54" t="str">
        <f>VLOOKUP(B305,'[1]Product by Part Number'!$A:$K,2,0)</f>
        <v xml:space="preserve">CAT D6T (MH7)                  </v>
      </c>
      <c r="D305" s="54" t="str">
        <f>VLOOKUP(B305,'[1]Product by Part Number'!$A:$K,3,0)</f>
        <v>ROLLER BOLT</v>
      </c>
      <c r="E305" s="55">
        <f>VLOOKUP(B305,'[1]Product by Part Number'!$A:$K,11,0)</f>
        <v>64</v>
      </c>
      <c r="F305" s="56">
        <f>VLOOKUP(B305,'[1]Product by Part Number'!$A:$K,4,0)</f>
        <v>13.48</v>
      </c>
      <c r="G305" s="56">
        <f t="shared" si="10"/>
        <v>862.72</v>
      </c>
      <c r="H305" s="57">
        <f>VLOOKUP(B305,'[1]Product by Part Number'!$A:$K,5,0)</f>
        <v>6.74</v>
      </c>
      <c r="I305" s="90">
        <f t="shared" si="11"/>
        <v>431.36</v>
      </c>
    </row>
    <row r="306" spans="2:9" s="53" customFormat="1" x14ac:dyDescent="0.3">
      <c r="B306" s="79" t="s">
        <v>341</v>
      </c>
      <c r="C306" s="54" t="str">
        <f>VLOOKUP(B306,'[1]Product by Part Number'!$A:$K,2,0)</f>
        <v xml:space="preserve">CAT D5 (3CR) CAT 561N (CPH)                </v>
      </c>
      <c r="D306" s="54" t="str">
        <f>VLOOKUP(B306,'[1]Product by Part Number'!$A:$K,3,0)</f>
        <v>FLAT WASHER</v>
      </c>
      <c r="E306" s="55">
        <f>VLOOKUP(B306,'[1]Product by Part Number'!$A:$K,11,0)</f>
        <v>280</v>
      </c>
      <c r="F306" s="56">
        <f>VLOOKUP(B306,'[1]Product by Part Number'!$A:$K,4,0)</f>
        <v>3.41</v>
      </c>
      <c r="G306" s="56">
        <f t="shared" si="10"/>
        <v>954.80000000000007</v>
      </c>
      <c r="H306" s="57">
        <f>VLOOKUP(B306,'[1]Product by Part Number'!$A:$K,5,0)</f>
        <v>1.71</v>
      </c>
      <c r="I306" s="90">
        <f t="shared" si="11"/>
        <v>478.8</v>
      </c>
    </row>
    <row r="307" spans="2:9" s="53" customFormat="1" x14ac:dyDescent="0.3">
      <c r="B307" s="79" t="s">
        <v>342</v>
      </c>
      <c r="C307" s="54" t="str">
        <f>VLOOKUP(B307,'[1]Product by Part Number'!$A:$K,2,0)</f>
        <v xml:space="preserve">CAT D6T (MH7)                  </v>
      </c>
      <c r="D307" s="54" t="str">
        <f>VLOOKUP(B307,'[1]Product by Part Number'!$A:$K,3,0)</f>
        <v>IDLER CAP BOLT</v>
      </c>
      <c r="E307" s="55">
        <f>VLOOKUP(B307,'[1]Product by Part Number'!$A:$K,11,0)</f>
        <v>16</v>
      </c>
      <c r="F307" s="56">
        <f>VLOOKUP(B307,'[1]Product by Part Number'!$A:$K,4,0)</f>
        <v>27.02</v>
      </c>
      <c r="G307" s="56">
        <f t="shared" si="10"/>
        <v>432.32</v>
      </c>
      <c r="H307" s="57">
        <f>VLOOKUP(B307,'[1]Product by Part Number'!$A:$K,5,0)</f>
        <v>13.51</v>
      </c>
      <c r="I307" s="90">
        <f t="shared" si="11"/>
        <v>216.16</v>
      </c>
    </row>
    <row r="308" spans="2:9" s="53" customFormat="1" x14ac:dyDescent="0.3">
      <c r="B308" s="79" t="s">
        <v>343</v>
      </c>
      <c r="C308" s="54" t="str">
        <f>VLOOKUP(B308,'[1]Product by Part Number'!$A:$K,2,0)</f>
        <v xml:space="preserve">CAT D5 (3CR)                  </v>
      </c>
      <c r="D308" s="54" t="str">
        <f>VLOOKUP(B308,'[1]Product by Part Number'!$A:$K,3,0)</f>
        <v>RIPPER</v>
      </c>
      <c r="E308" s="55">
        <f>VLOOKUP(B308,'[1]Product by Part Number'!$A:$K,11,0)</f>
        <v>2</v>
      </c>
      <c r="F308" s="56">
        <f>VLOOKUP(B308,'[1]Product by Part Number'!$A:$K,4,0)</f>
        <v>144.57</v>
      </c>
      <c r="G308" s="56">
        <f t="shared" si="10"/>
        <v>289.14</v>
      </c>
      <c r="H308" s="57">
        <f>VLOOKUP(B308,'[1]Product by Part Number'!$A:$K,5,0)</f>
        <v>54.94</v>
      </c>
      <c r="I308" s="90">
        <f t="shared" si="11"/>
        <v>109.88</v>
      </c>
    </row>
    <row r="309" spans="2:9" s="53" customFormat="1" x14ac:dyDescent="0.3">
      <c r="B309" s="79" t="s">
        <v>344</v>
      </c>
      <c r="C309" s="54" t="str">
        <f>VLOOKUP(B309,'[1]Product by Part Number'!$A:$K,2,0)</f>
        <v xml:space="preserve">CAT D6N LGP (PBA) CAT D6N LGP (SGG)                </v>
      </c>
      <c r="D309" s="54" t="str">
        <f>VLOOKUP(B309,'[1]Product by Part Number'!$A:$K,3,0)</f>
        <v>RIPPER TIP</v>
      </c>
      <c r="E309" s="55">
        <f>VLOOKUP(B309,'[1]Product by Part Number'!$A:$K,11,0)</f>
        <v>12</v>
      </c>
      <c r="F309" s="56">
        <f>VLOOKUP(B309,'[1]Product by Part Number'!$A:$K,4,0)</f>
        <v>224.12</v>
      </c>
      <c r="G309" s="56">
        <f t="shared" si="10"/>
        <v>2689.44</v>
      </c>
      <c r="H309" s="57">
        <f>VLOOKUP(B309,'[1]Product by Part Number'!$A:$K,5,0)</f>
        <v>85.17</v>
      </c>
      <c r="I309" s="90">
        <f t="shared" si="11"/>
        <v>1022.04</v>
      </c>
    </row>
    <row r="310" spans="2:9" s="53" customFormat="1" x14ac:dyDescent="0.3">
      <c r="B310" s="79" t="s">
        <v>345</v>
      </c>
      <c r="C310" s="54" t="str">
        <f>VLOOKUP(B310,'[1]Product by Part Number'!$A:$K,2,0)</f>
        <v xml:space="preserve">CAT D6T (MH7) CAT D7G (92V)                </v>
      </c>
      <c r="D310" s="54" t="str">
        <f>VLOOKUP(B310,'[1]Product by Part Number'!$A:$K,3,0)</f>
        <v>RIPPER TOOTH</v>
      </c>
      <c r="E310" s="55">
        <f>VLOOKUP(B310,'[1]Product by Part Number'!$A:$K,11,0)</f>
        <v>4</v>
      </c>
      <c r="F310" s="56">
        <f>VLOOKUP(B310,'[1]Product by Part Number'!$A:$K,4,0)</f>
        <v>224.15</v>
      </c>
      <c r="G310" s="56">
        <f t="shared" si="10"/>
        <v>896.6</v>
      </c>
      <c r="H310" s="57">
        <f>VLOOKUP(B310,'[1]Product by Part Number'!$A:$K,5,0)</f>
        <v>85.18</v>
      </c>
      <c r="I310" s="90">
        <f t="shared" si="11"/>
        <v>340.72</v>
      </c>
    </row>
    <row r="311" spans="2:9" s="53" customFormat="1" x14ac:dyDescent="0.3">
      <c r="B311" s="79" t="s">
        <v>346</v>
      </c>
      <c r="C311" s="54" t="str">
        <f>VLOOKUP(B311,'[1]Product by Part Number'!$A:$K,2,0)</f>
        <v xml:space="preserve">CAT D6N LGP (PBA)                  </v>
      </c>
      <c r="D311" s="54" t="str">
        <f>VLOOKUP(B311,'[1]Product by Part Number'!$A:$K,3,0)</f>
        <v>TRACK BOLT</v>
      </c>
      <c r="E311" s="55">
        <f>VLOOKUP(B311,'[1]Product by Part Number'!$A:$K,11,0)</f>
        <v>720</v>
      </c>
      <c r="F311" s="56">
        <f>VLOOKUP(B311,'[1]Product by Part Number'!$A:$K,4,0)</f>
        <v>6.32</v>
      </c>
      <c r="G311" s="56">
        <f t="shared" si="10"/>
        <v>4550.4000000000005</v>
      </c>
      <c r="H311" s="57">
        <f>VLOOKUP(B311,'[1]Product by Part Number'!$A:$K,5,0)</f>
        <v>3.16</v>
      </c>
      <c r="I311" s="90">
        <f t="shared" si="11"/>
        <v>2275.1999999999998</v>
      </c>
    </row>
    <row r="312" spans="2:9" s="53" customFormat="1" ht="27" x14ac:dyDescent="0.3">
      <c r="B312" s="79" t="s">
        <v>347</v>
      </c>
      <c r="C312" s="54" t="str">
        <f>VLOOKUP(B312,'[1]Product by Part Number'!$A:$K,2,0)</f>
        <v xml:space="preserve">CAT 329E L (ZCD) CAT 329F L (ERL) CAT 330F L (MBX) CAT 330F L (HCK)            </v>
      </c>
      <c r="D312" s="54" t="str">
        <f>VLOOKUP(B312,'[1]Product by Part Number'!$A:$K,3,0)</f>
        <v>TRACK SHOE 800MM</v>
      </c>
      <c r="E312" s="55">
        <f>VLOOKUP(B312,'[1]Product by Part Number'!$A:$K,11,0)</f>
        <v>600</v>
      </c>
      <c r="F312" s="56">
        <f>VLOOKUP(B312,'[1]Product by Part Number'!$A:$K,4,0)</f>
        <v>230.39</v>
      </c>
      <c r="G312" s="56">
        <f t="shared" si="10"/>
        <v>138234</v>
      </c>
      <c r="H312" s="57">
        <f>VLOOKUP(B312,'[1]Product by Part Number'!$A:$K,5,0)</f>
        <v>115.2</v>
      </c>
      <c r="I312" s="90">
        <f t="shared" si="11"/>
        <v>69120</v>
      </c>
    </row>
    <row r="313" spans="2:9" s="53" customFormat="1" ht="40.200000000000003" x14ac:dyDescent="0.3">
      <c r="B313" s="79" t="s">
        <v>348</v>
      </c>
      <c r="C313" s="54" t="str">
        <f>VLOOKUP(B313,'[1]Product by Part Number'!$A:$K,2,0)</f>
        <v xml:space="preserve">CAT 329E L (ZCD) CAT 329F L (ERL) CAT 330F L (MBX) CAT 330F L (HCK) CAT 330 (LHW) CAT 330 (WCH)        </v>
      </c>
      <c r="D313" s="54" t="str">
        <f>VLOOKUP(B313,'[1]Product by Part Number'!$A:$K,3,0)</f>
        <v>TRACK SPROCKET</v>
      </c>
      <c r="E313" s="55">
        <f>VLOOKUP(B313,'[1]Product by Part Number'!$A:$K,11,0)</f>
        <v>32</v>
      </c>
      <c r="F313" s="56">
        <f>VLOOKUP(B313,'[1]Product by Part Number'!$A:$K,4,0)</f>
        <v>1259.02</v>
      </c>
      <c r="G313" s="56">
        <f t="shared" si="10"/>
        <v>40288.639999999999</v>
      </c>
      <c r="H313" s="57">
        <f>VLOOKUP(B313,'[1]Product by Part Number'!$A:$K,5,0)</f>
        <v>629.51</v>
      </c>
      <c r="I313" s="90">
        <f t="shared" si="11"/>
        <v>20144.32</v>
      </c>
    </row>
    <row r="314" spans="2:9" s="53" customFormat="1" x14ac:dyDescent="0.3">
      <c r="B314" s="79" t="s">
        <v>349</v>
      </c>
      <c r="C314" s="54" t="str">
        <f>VLOOKUP(B314,'[1]Product by Part Number'!$A:$K,2,0)</f>
        <v xml:space="preserve">CAT 336F L (RKB)                  </v>
      </c>
      <c r="D314" s="54" t="str">
        <f>VLOOKUP(B314,'[1]Product by Part Number'!$A:$K,3,0)</f>
        <v>TRACK SPROCKET</v>
      </c>
      <c r="E314" s="55">
        <f>VLOOKUP(B314,'[1]Product by Part Number'!$A:$K,11,0)</f>
        <v>2</v>
      </c>
      <c r="F314" s="56">
        <f>VLOOKUP(B314,'[1]Product by Part Number'!$A:$K,4,0)</f>
        <v>1567.41</v>
      </c>
      <c r="G314" s="56">
        <f t="shared" si="10"/>
        <v>3134.82</v>
      </c>
      <c r="H314" s="57">
        <f>VLOOKUP(B314,'[1]Product by Part Number'!$A:$K,5,0)</f>
        <v>783.71</v>
      </c>
      <c r="I314" s="90">
        <f t="shared" si="11"/>
        <v>1567.42</v>
      </c>
    </row>
    <row r="315" spans="2:9" s="53" customFormat="1" x14ac:dyDescent="0.3">
      <c r="B315" s="79" t="s">
        <v>350</v>
      </c>
      <c r="C315" s="54" t="str">
        <f>VLOOKUP(B315,'[1]Product by Part Number'!$A:$K,2,0)</f>
        <v xml:space="preserve">CAT D6 (RDC)                  </v>
      </c>
      <c r="D315" s="54" t="str">
        <f>VLOOKUP(B315,'[1]Product by Part Number'!$A:$K,3,0)</f>
        <v>MASTER SHOE</v>
      </c>
      <c r="E315" s="55">
        <f>VLOOKUP(B315,'[1]Product by Part Number'!$A:$K,11,0)</f>
        <v>2</v>
      </c>
      <c r="F315" s="56">
        <f>VLOOKUP(B315,'[1]Product by Part Number'!$A:$K,4,0)</f>
        <v>240.45</v>
      </c>
      <c r="G315" s="56">
        <f t="shared" si="10"/>
        <v>480.9</v>
      </c>
      <c r="H315" s="57">
        <f>VLOOKUP(B315,'[1]Product by Part Number'!$A:$K,5,0)</f>
        <v>120.23</v>
      </c>
      <c r="I315" s="90">
        <f t="shared" si="11"/>
        <v>240.46</v>
      </c>
    </row>
    <row r="316" spans="2:9" s="53" customFormat="1" x14ac:dyDescent="0.3">
      <c r="B316" s="79" t="s">
        <v>351</v>
      </c>
      <c r="C316" s="54" t="str">
        <f>VLOOKUP(B316,'[1]Product by Part Number'!$A:$K,2,0)</f>
        <v xml:space="preserve">CAT 336F L (RKB)                  </v>
      </c>
      <c r="D316" s="54" t="str">
        <f>VLOOKUP(B316,'[1]Product by Part Number'!$A:$K,3,0)</f>
        <v>TRACK SHOE 850MM</v>
      </c>
      <c r="E316" s="55">
        <f>VLOOKUP(B316,'[1]Product by Part Number'!$A:$K,11,0)</f>
        <v>98</v>
      </c>
      <c r="F316" s="56">
        <f>VLOOKUP(B316,'[1]Product by Part Number'!$A:$K,4,0)</f>
        <v>260.58</v>
      </c>
      <c r="G316" s="56">
        <f t="shared" si="10"/>
        <v>25536.84</v>
      </c>
      <c r="H316" s="57">
        <f>VLOOKUP(B316,'[1]Product by Part Number'!$A:$K,5,0)</f>
        <v>130.29</v>
      </c>
      <c r="I316" s="90">
        <f t="shared" si="11"/>
        <v>12768.42</v>
      </c>
    </row>
    <row r="317" spans="2:9" s="53" customFormat="1" x14ac:dyDescent="0.3">
      <c r="B317" s="79" t="s">
        <v>352</v>
      </c>
      <c r="C317" s="54" t="str">
        <f>VLOOKUP(B317,'[1]Product by Part Number'!$A:$K,2,0)</f>
        <v xml:space="preserve">CAT D6 (RDC)                  </v>
      </c>
      <c r="D317" s="54" t="str">
        <f>VLOOKUP(B317,'[1]Product by Part Number'!$A:$K,3,0)</f>
        <v>TRACK SHOE</v>
      </c>
      <c r="E317" s="55">
        <f>VLOOKUP(B317,'[1]Product by Part Number'!$A:$K,11,0)</f>
        <v>90</v>
      </c>
      <c r="F317" s="56">
        <f>VLOOKUP(B317,'[1]Product by Part Number'!$A:$K,4,0)</f>
        <v>185.5</v>
      </c>
      <c r="G317" s="56">
        <f t="shared" si="10"/>
        <v>16695</v>
      </c>
      <c r="H317" s="57">
        <f>VLOOKUP(B317,'[1]Product by Part Number'!$A:$K,5,0)</f>
        <v>92.75</v>
      </c>
      <c r="I317" s="90">
        <f t="shared" si="11"/>
        <v>8347.5</v>
      </c>
    </row>
    <row r="318" spans="2:9" s="53" customFormat="1" x14ac:dyDescent="0.3">
      <c r="B318" s="79" t="s">
        <v>353</v>
      </c>
      <c r="C318" s="54" t="str">
        <f>VLOOKUP(B318,'[1]Product by Part Number'!$A:$K,2,0)</f>
        <v xml:space="preserve">CAT 330 (LHW) CAT 330 (WCH)                </v>
      </c>
      <c r="D318" s="54" t="str">
        <f>VLOOKUP(B318,'[1]Product by Part Number'!$A:$K,3,0)</f>
        <v>TRACK BOLT</v>
      </c>
      <c r="E318" s="55">
        <f>VLOOKUP(B318,'[1]Product by Part Number'!$A:$K,11,0)</f>
        <v>4000</v>
      </c>
      <c r="F318" s="56">
        <f>VLOOKUP(B318,'[1]Product by Part Number'!$A:$K,4,0)</f>
        <v>8.3699999999999992</v>
      </c>
      <c r="G318" s="56">
        <f t="shared" si="10"/>
        <v>33480</v>
      </c>
      <c r="H318" s="57">
        <f>VLOOKUP(B318,'[1]Product by Part Number'!$A:$K,5,0)</f>
        <v>4.1900000000000004</v>
      </c>
      <c r="I318" s="90">
        <f t="shared" si="11"/>
        <v>16760</v>
      </c>
    </row>
    <row r="319" spans="2:9" s="53" customFormat="1" x14ac:dyDescent="0.3">
      <c r="B319" s="79" t="s">
        <v>354</v>
      </c>
      <c r="C319" s="54" t="str">
        <f>VLOOKUP(B319,'[1]Product by Part Number'!$A:$K,2,0)</f>
        <v xml:space="preserve">CAT D7G (92V)                  </v>
      </c>
      <c r="D319" s="54" t="str">
        <f>VLOOKUP(B319,'[1]Product by Part Number'!$A:$K,3,0)</f>
        <v>CAMSHAFT ASSY</v>
      </c>
      <c r="E319" s="55">
        <f>VLOOKUP(B319,'[1]Product by Part Number'!$A:$K,11,0)</f>
        <v>1</v>
      </c>
      <c r="F319" s="56">
        <f>VLOOKUP(B319,'[1]Product by Part Number'!$A:$K,4,0)</f>
        <v>3141.67</v>
      </c>
      <c r="G319" s="56">
        <f t="shared" si="10"/>
        <v>3141.67</v>
      </c>
      <c r="H319" s="57">
        <f>VLOOKUP(B319,'[1]Product by Part Number'!$A:$K,5,0)</f>
        <v>1570.84</v>
      </c>
      <c r="I319" s="90">
        <f t="shared" si="11"/>
        <v>1570.84</v>
      </c>
    </row>
    <row r="320" spans="2:9" s="53" customFormat="1" x14ac:dyDescent="0.3">
      <c r="B320" s="79" t="s">
        <v>355</v>
      </c>
      <c r="C320" s="54" t="str">
        <f>VLOOKUP(B320,'[1]Product by Part Number'!$A:$K,2,0)</f>
        <v xml:space="preserve">CAT D7G (92V)                  </v>
      </c>
      <c r="D320" s="54" t="str">
        <f>VLOOKUP(B320,'[1]Product by Part Number'!$A:$K,3,0)</f>
        <v>TRACK BOLT</v>
      </c>
      <c r="E320" s="55">
        <f>VLOOKUP(B320,'[1]Product by Part Number'!$A:$K,11,0)</f>
        <v>296</v>
      </c>
      <c r="F320" s="56">
        <f>VLOOKUP(B320,'[1]Product by Part Number'!$A:$K,4,0)</f>
        <v>4.01</v>
      </c>
      <c r="G320" s="56">
        <f t="shared" si="10"/>
        <v>1186.96</v>
      </c>
      <c r="H320" s="57">
        <f>VLOOKUP(B320,'[1]Product by Part Number'!$A:$K,5,0)</f>
        <v>2.0099999999999998</v>
      </c>
      <c r="I320" s="90">
        <f t="shared" si="11"/>
        <v>594.96</v>
      </c>
    </row>
    <row r="321" spans="2:9" s="53" customFormat="1" ht="40.200000000000003" x14ac:dyDescent="0.3">
      <c r="B321" s="79" t="s">
        <v>356</v>
      </c>
      <c r="C321" s="54" t="str">
        <f>VLOOKUP(B321,'[1]Product by Part Number'!$A:$K,2,0)</f>
        <v xml:space="preserve">CAT D5 (3CR) CAT D6N LGP (GHS) CAT D6N LGP (PBA) CAT D6N LGP (SGG) CAT D6T (MH7) CAT D7G (92V) CAT 561N (CPH) CAT PL61 (WGS)    </v>
      </c>
      <c r="D321" s="54" t="str">
        <f>VLOOKUP(B321,'[1]Product by Part Number'!$A:$K,3,0)</f>
        <v>SPROCKET NUT</v>
      </c>
      <c r="E321" s="55">
        <f>VLOOKUP(B321,'[1]Product by Part Number'!$A:$K,11,0)</f>
        <v>782</v>
      </c>
      <c r="F321" s="56">
        <f>VLOOKUP(B321,'[1]Product by Part Number'!$A:$K,4,0)</f>
        <v>3.41</v>
      </c>
      <c r="G321" s="56">
        <f t="shared" si="10"/>
        <v>2666.62</v>
      </c>
      <c r="H321" s="57">
        <f>VLOOKUP(B321,'[1]Product by Part Number'!$A:$K,5,0)</f>
        <v>1.71</v>
      </c>
      <c r="I321" s="90">
        <f t="shared" si="11"/>
        <v>1337.22</v>
      </c>
    </row>
    <row r="322" spans="2:9" s="53" customFormat="1" x14ac:dyDescent="0.3">
      <c r="B322" s="79" t="s">
        <v>357</v>
      </c>
      <c r="C322" s="54" t="str">
        <f>VLOOKUP(B322,'[1]Product by Part Number'!$A:$K,2,0)</f>
        <v xml:space="preserve">CAT D3 (1PJ)                  </v>
      </c>
      <c r="D322" s="54" t="str">
        <f>VLOOKUP(B322,'[1]Product by Part Number'!$A:$K,3,0)</f>
        <v>TRACK NUT</v>
      </c>
      <c r="E322" s="55">
        <f>VLOOKUP(B322,'[1]Product by Part Number'!$A:$K,11,0)</f>
        <v>344</v>
      </c>
      <c r="F322" s="56">
        <f>VLOOKUP(B322,'[1]Product by Part Number'!$A:$K,4,0)</f>
        <v>1.47</v>
      </c>
      <c r="G322" s="56">
        <f t="shared" si="10"/>
        <v>505.68</v>
      </c>
      <c r="H322" s="57">
        <f>VLOOKUP(B322,'[1]Product by Part Number'!$A:$K,5,0)</f>
        <v>0.74</v>
      </c>
      <c r="I322" s="90">
        <f t="shared" si="11"/>
        <v>254.56</v>
      </c>
    </row>
    <row r="323" spans="2:9" s="53" customFormat="1" x14ac:dyDescent="0.3">
      <c r="B323" s="79" t="s">
        <v>358</v>
      </c>
      <c r="C323" s="54" t="str">
        <f>VLOOKUP(B323,'[1]Product by Part Number'!$A:$K,2,0)</f>
        <v xml:space="preserve">CAT D7G (92V)                  </v>
      </c>
      <c r="D323" s="54" t="str">
        <f>VLOOKUP(B323,'[1]Product by Part Number'!$A:$K,3,0)</f>
        <v>TURBOCHARGER</v>
      </c>
      <c r="E323" s="55">
        <f>VLOOKUP(B323,'[1]Product by Part Number'!$A:$K,11,0)</f>
        <v>1</v>
      </c>
      <c r="F323" s="56">
        <f>VLOOKUP(B323,'[1]Product by Part Number'!$A:$K,4,0)</f>
        <v>6518.5</v>
      </c>
      <c r="G323" s="56">
        <f t="shared" si="10"/>
        <v>6518.5</v>
      </c>
      <c r="H323" s="57">
        <f>VLOOKUP(B323,'[1]Product by Part Number'!$A:$K,5,0)</f>
        <v>3259.25</v>
      </c>
      <c r="I323" s="90">
        <f t="shared" si="11"/>
        <v>3259.25</v>
      </c>
    </row>
    <row r="324" spans="2:9" s="53" customFormat="1" x14ac:dyDescent="0.3">
      <c r="B324" s="79" t="s">
        <v>359</v>
      </c>
      <c r="C324" s="54" t="str">
        <f>VLOOKUP(B324,'[1]Product by Part Number'!$A:$K,2,0)</f>
        <v xml:space="preserve">CAT D7G (92V)                  </v>
      </c>
      <c r="D324" s="54" t="str">
        <f>VLOOKUP(B324,'[1]Product by Part Number'!$A:$K,3,0)</f>
        <v>PRIMARY AIR FILTER ELEMENT</v>
      </c>
      <c r="E324" s="55">
        <f>VLOOKUP(B324,'[1]Product by Part Number'!$A:$K,11,0)</f>
        <v>3</v>
      </c>
      <c r="F324" s="56">
        <f>VLOOKUP(B324,'[1]Product by Part Number'!$A:$K,4,0)</f>
        <v>116.66</v>
      </c>
      <c r="G324" s="56">
        <f t="shared" si="10"/>
        <v>349.98</v>
      </c>
      <c r="H324" s="57">
        <f>VLOOKUP(B324,'[1]Product by Part Number'!$A:$K,5,0)</f>
        <v>44.33</v>
      </c>
      <c r="I324" s="90">
        <f t="shared" si="11"/>
        <v>132.99</v>
      </c>
    </row>
    <row r="325" spans="2:9" s="53" customFormat="1" x14ac:dyDescent="0.3">
      <c r="B325" s="79" t="s">
        <v>360</v>
      </c>
      <c r="C325" s="54" t="str">
        <f>VLOOKUP(B325,'[1]Product by Part Number'!$A:$K,2,0)</f>
        <v xml:space="preserve">CAT D4 (66J)                  </v>
      </c>
      <c r="D325" s="54" t="str">
        <f>VLOOKUP(B325,'[1]Product by Part Number'!$A:$K,3,0)</f>
        <v>PRIMARY AIR FILTER ELEMENT</v>
      </c>
      <c r="E325" s="55">
        <f>VLOOKUP(B325,'[1]Product by Part Number'!$A:$K,11,0)</f>
        <v>3</v>
      </c>
      <c r="F325" s="56">
        <f>VLOOKUP(B325,'[1]Product by Part Number'!$A:$K,4,0)</f>
        <v>125.6</v>
      </c>
      <c r="G325" s="56">
        <f t="shared" si="10"/>
        <v>376.79999999999995</v>
      </c>
      <c r="H325" s="57">
        <f>VLOOKUP(B325,'[1]Product by Part Number'!$A:$K,5,0)</f>
        <v>47.73</v>
      </c>
      <c r="I325" s="90">
        <f t="shared" si="11"/>
        <v>143.19</v>
      </c>
    </row>
    <row r="326" spans="2:9" s="53" customFormat="1" x14ac:dyDescent="0.3">
      <c r="B326" s="79" t="s">
        <v>361</v>
      </c>
      <c r="C326" s="54" t="str">
        <f>VLOOKUP(B326,'[1]Product by Part Number'!$A:$K,2,0)</f>
        <v xml:space="preserve">CAT D7G (92V)                  </v>
      </c>
      <c r="D326" s="54" t="str">
        <f>VLOOKUP(B326,'[1]Product by Part Number'!$A:$K,3,0)</f>
        <v>FUEL FILTER</v>
      </c>
      <c r="E326" s="55">
        <f>VLOOKUP(B326,'[1]Product by Part Number'!$A:$K,11,0)</f>
        <v>5</v>
      </c>
      <c r="F326" s="56">
        <f>VLOOKUP(B326,'[1]Product by Part Number'!$A:$K,4,0)</f>
        <v>43.78</v>
      </c>
      <c r="G326" s="56">
        <f t="shared" si="10"/>
        <v>218.9</v>
      </c>
      <c r="H326" s="57">
        <f>VLOOKUP(B326,'[1]Product by Part Number'!$A:$K,5,0)</f>
        <v>16.64</v>
      </c>
      <c r="I326" s="90">
        <f t="shared" si="11"/>
        <v>83.2</v>
      </c>
    </row>
    <row r="327" spans="2:9" s="53" customFormat="1" x14ac:dyDescent="0.3">
      <c r="B327" s="79" t="s">
        <v>362</v>
      </c>
      <c r="C327" s="54" t="str">
        <f>VLOOKUP(B327,'[1]Product by Part Number'!$A:$K,2,0)</f>
        <v xml:space="preserve">CAT 303.5E                  </v>
      </c>
      <c r="D327" s="54" t="str">
        <f>VLOOKUP(B327,'[1]Product by Part Number'!$A:$K,3,0)</f>
        <v>TRACK WASHER</v>
      </c>
      <c r="E327" s="55">
        <f>VLOOKUP(B327,'[1]Product by Part Number'!$A:$K,11,0)</f>
        <v>20</v>
      </c>
      <c r="F327" s="56">
        <f>VLOOKUP(B327,'[1]Product by Part Number'!$A:$K,4,0)</f>
        <v>5.59</v>
      </c>
      <c r="G327" s="56">
        <f t="shared" si="10"/>
        <v>111.8</v>
      </c>
      <c r="H327" s="57">
        <f>VLOOKUP(B327,'[1]Product by Part Number'!$A:$K,5,0)</f>
        <v>2.8</v>
      </c>
      <c r="I327" s="90">
        <f t="shared" si="11"/>
        <v>56</v>
      </c>
    </row>
    <row r="328" spans="2:9" s="53" customFormat="1" x14ac:dyDescent="0.3">
      <c r="B328" s="79" t="s">
        <v>363</v>
      </c>
      <c r="C328" s="54" t="str">
        <f>VLOOKUP(B328,'[1]Product by Part Number'!$A:$K,2,0)</f>
        <v xml:space="preserve">CAT D6N LGP (PBA) CAT D6N LGP (SGG)                </v>
      </c>
      <c r="D328" s="54" t="str">
        <f>VLOOKUP(B328,'[1]Product by Part Number'!$A:$K,3,0)</f>
        <v>CARRIER BOLT</v>
      </c>
      <c r="E328" s="55">
        <f>VLOOKUP(B328,'[1]Product by Part Number'!$A:$K,11,0)</f>
        <v>16</v>
      </c>
      <c r="F328" s="56">
        <f>VLOOKUP(B328,'[1]Product by Part Number'!$A:$K,4,0)</f>
        <v>31.3</v>
      </c>
      <c r="G328" s="56">
        <f t="shared" si="10"/>
        <v>500.8</v>
      </c>
      <c r="H328" s="57">
        <f>VLOOKUP(B328,'[1]Product by Part Number'!$A:$K,5,0)</f>
        <v>15.65</v>
      </c>
      <c r="I328" s="90">
        <f t="shared" si="11"/>
        <v>250.4</v>
      </c>
    </row>
    <row r="329" spans="2:9" s="53" customFormat="1" ht="27" x14ac:dyDescent="0.3">
      <c r="B329" s="79" t="s">
        <v>364</v>
      </c>
      <c r="C329" s="54" t="str">
        <f>VLOOKUP(B329,'[1]Product by Part Number'!$A:$K,2,0)</f>
        <v xml:space="preserve">CAT 320E L (WBK) CAT 320F L (YBM) CAT 320 (HEX) CAT 320 (MYK)            </v>
      </c>
      <c r="D329" s="54" t="str">
        <f>VLOOKUP(B329,'[1]Product by Part Number'!$A:$K,3,0)</f>
        <v>CARRIER ROLLER</v>
      </c>
      <c r="E329" s="55">
        <f>VLOOKUP(B329,'[1]Product by Part Number'!$A:$K,11,0)</f>
        <v>24</v>
      </c>
      <c r="F329" s="56">
        <f>VLOOKUP(B329,'[1]Product by Part Number'!$A:$K,4,0)</f>
        <v>537.45000000000005</v>
      </c>
      <c r="G329" s="56">
        <f t="shared" si="10"/>
        <v>12898.800000000001</v>
      </c>
      <c r="H329" s="57">
        <f>VLOOKUP(B329,'[1]Product by Part Number'!$A:$K,5,0)</f>
        <v>268.73</v>
      </c>
      <c r="I329" s="90">
        <f t="shared" si="11"/>
        <v>6449.52</v>
      </c>
    </row>
    <row r="330" spans="2:9" s="53" customFormat="1" x14ac:dyDescent="0.3">
      <c r="B330" s="79" t="s">
        <v>365</v>
      </c>
      <c r="C330" s="54" t="str">
        <f>VLOOKUP(B330,'[1]Product by Part Number'!$A:$K,2,0)</f>
        <v xml:space="preserve">CAT D3 (1PJ)                  </v>
      </c>
      <c r="D330" s="54" t="str">
        <f>VLOOKUP(B330,'[1]Product by Part Number'!$A:$K,3,0)</f>
        <v>G.E.T PIN</v>
      </c>
      <c r="E330" s="55">
        <f>VLOOKUP(B330,'[1]Product by Part Number'!$A:$K,11,0)</f>
        <v>1</v>
      </c>
      <c r="F330" s="56">
        <f>VLOOKUP(B330,'[1]Product by Part Number'!$A:$K,4,0)</f>
        <v>4.38</v>
      </c>
      <c r="G330" s="56">
        <f t="shared" si="10"/>
        <v>4.38</v>
      </c>
      <c r="H330" s="57">
        <f>VLOOKUP(B330,'[1]Product by Part Number'!$A:$K,5,0)</f>
        <v>1.66</v>
      </c>
      <c r="I330" s="90">
        <f t="shared" si="11"/>
        <v>1.66</v>
      </c>
    </row>
    <row r="331" spans="2:9" s="53" customFormat="1" x14ac:dyDescent="0.3">
      <c r="B331" s="79" t="s">
        <v>366</v>
      </c>
      <c r="C331" s="54" t="str">
        <f>VLOOKUP(B331,'[1]Product by Part Number'!$A:$K,2,0)</f>
        <v xml:space="preserve">CAT D3 (1PJ)                  </v>
      </c>
      <c r="D331" s="54" t="str">
        <f>VLOOKUP(B331,'[1]Product by Part Number'!$A:$K,3,0)</f>
        <v>TIP PIN RETAINER</v>
      </c>
      <c r="E331" s="55">
        <f>VLOOKUP(B331,'[1]Product by Part Number'!$A:$K,11,0)</f>
        <v>1</v>
      </c>
      <c r="F331" s="56">
        <f>VLOOKUP(B331,'[1]Product by Part Number'!$A:$K,4,0)</f>
        <v>9.4499999999999993</v>
      </c>
      <c r="G331" s="56">
        <f t="shared" si="10"/>
        <v>9.4499999999999993</v>
      </c>
      <c r="H331" s="57">
        <f>VLOOKUP(B331,'[1]Product by Part Number'!$A:$K,5,0)</f>
        <v>3.59</v>
      </c>
      <c r="I331" s="90">
        <f t="shared" si="11"/>
        <v>3.59</v>
      </c>
    </row>
    <row r="332" spans="2:9" s="53" customFormat="1" ht="27" x14ac:dyDescent="0.3">
      <c r="B332" s="79" t="s">
        <v>367</v>
      </c>
      <c r="C332" s="54" t="str">
        <f>VLOOKUP(B332,'[1]Product by Part Number'!$A:$K,2,0)</f>
        <v xml:space="preserve">CAT D6N LGP (GHS) CAT D6N LGP (PBA) CAT D6N LGP (SGG)              </v>
      </c>
      <c r="D332" s="54" t="str">
        <f>VLOOKUP(B332,'[1]Product by Part Number'!$A:$K,3,0)</f>
        <v>END BIT LH</v>
      </c>
      <c r="E332" s="55">
        <f>VLOOKUP(B332,'[1]Product by Part Number'!$A:$K,11,0)</f>
        <v>5</v>
      </c>
      <c r="F332" s="56">
        <f>VLOOKUP(B332,'[1]Product by Part Number'!$A:$K,4,0)</f>
        <v>160.9</v>
      </c>
      <c r="G332" s="56">
        <f t="shared" si="10"/>
        <v>804.5</v>
      </c>
      <c r="H332" s="57">
        <f>VLOOKUP(B332,'[1]Product by Part Number'!$A:$K,5,0)</f>
        <v>61.14</v>
      </c>
      <c r="I332" s="90">
        <f t="shared" si="11"/>
        <v>305.7</v>
      </c>
    </row>
    <row r="333" spans="2:9" s="53" customFormat="1" ht="27" x14ac:dyDescent="0.3">
      <c r="B333" s="79" t="s">
        <v>368</v>
      </c>
      <c r="C333" s="54" t="str">
        <f>VLOOKUP(B333,'[1]Product by Part Number'!$A:$K,2,0)</f>
        <v xml:space="preserve">CAT D6N LGP (GHS) CAT D6N LGP (PBA) CAT D6N LGP (SGG)              </v>
      </c>
      <c r="D333" s="54" t="str">
        <f>VLOOKUP(B333,'[1]Product by Part Number'!$A:$K,3,0)</f>
        <v>END BIT RH</v>
      </c>
      <c r="E333" s="55">
        <f>VLOOKUP(B333,'[1]Product by Part Number'!$A:$K,11,0)</f>
        <v>5</v>
      </c>
      <c r="F333" s="56">
        <f>VLOOKUP(B333,'[1]Product by Part Number'!$A:$K,4,0)</f>
        <v>160.9</v>
      </c>
      <c r="G333" s="56">
        <f t="shared" si="10"/>
        <v>804.5</v>
      </c>
      <c r="H333" s="57">
        <f>VLOOKUP(B333,'[1]Product by Part Number'!$A:$K,5,0)</f>
        <v>61.14</v>
      </c>
      <c r="I333" s="90">
        <f t="shared" si="11"/>
        <v>305.7</v>
      </c>
    </row>
    <row r="334" spans="2:9" s="53" customFormat="1" ht="27" x14ac:dyDescent="0.3">
      <c r="B334" s="79" t="s">
        <v>369</v>
      </c>
      <c r="C334" s="54" t="str">
        <f>VLOOKUP(B334,'[1]Product by Part Number'!$A:$K,2,0)</f>
        <v xml:space="preserve">CAT 320E L (WBK) CAT 320F L (YBM) CAT 320 (HEX) CAT 320 (MYK)            </v>
      </c>
      <c r="D334" s="54" t="str">
        <f>VLOOKUP(B334,'[1]Product by Part Number'!$A:$K,3,0)</f>
        <v>TRACK SPROCKET</v>
      </c>
      <c r="E334" s="55">
        <f>VLOOKUP(B334,'[1]Product by Part Number'!$A:$K,11,0)</f>
        <v>12</v>
      </c>
      <c r="F334" s="56">
        <f>VLOOKUP(B334,'[1]Product by Part Number'!$A:$K,4,0)</f>
        <v>1064.58</v>
      </c>
      <c r="G334" s="56">
        <f t="shared" si="10"/>
        <v>12774.96</v>
      </c>
      <c r="H334" s="57">
        <f>VLOOKUP(B334,'[1]Product by Part Number'!$A:$K,5,0)</f>
        <v>532.29</v>
      </c>
      <c r="I334" s="90">
        <f t="shared" si="11"/>
        <v>6387.48</v>
      </c>
    </row>
    <row r="335" spans="2:9" s="53" customFormat="1" x14ac:dyDescent="0.3">
      <c r="B335" s="79" t="s">
        <v>370</v>
      </c>
      <c r="C335" s="54" t="str">
        <f>VLOOKUP(B335,'[1]Product by Part Number'!$A:$K,2,0)</f>
        <v xml:space="preserve">CAT D3 (1PJ)                  </v>
      </c>
      <c r="D335" s="54" t="str">
        <f>VLOOKUP(B335,'[1]Product by Part Number'!$A:$K,3,0)</f>
        <v>SPROCKET NUT</v>
      </c>
      <c r="E335" s="55">
        <f>VLOOKUP(B335,'[1]Product by Part Number'!$A:$K,11,0)</f>
        <v>50</v>
      </c>
      <c r="F335" s="56">
        <f>VLOOKUP(B335,'[1]Product by Part Number'!$A:$K,4,0)</f>
        <v>0.67</v>
      </c>
      <c r="G335" s="56">
        <f t="shared" si="10"/>
        <v>33.5</v>
      </c>
      <c r="H335" s="57">
        <f>VLOOKUP(B335,'[1]Product by Part Number'!$A:$K,5,0)</f>
        <v>0.34</v>
      </c>
      <c r="I335" s="90">
        <f t="shared" si="11"/>
        <v>17</v>
      </c>
    </row>
    <row r="336" spans="2:9" s="53" customFormat="1" ht="27" x14ac:dyDescent="0.3">
      <c r="B336" s="79" t="s">
        <v>371</v>
      </c>
      <c r="C336" s="54" t="str">
        <f>VLOOKUP(B336,'[1]Product by Part Number'!$A:$K,2,0)</f>
        <v xml:space="preserve">CAT D6N LGP (PBA) CAT D6N LGP (SGG) CAT D6T (MH7)              </v>
      </c>
      <c r="D336" s="54" t="str">
        <f>VLOOKUP(B336,'[1]Product by Part Number'!$A:$K,3,0)</f>
        <v>RIPPER PIN</v>
      </c>
      <c r="E336" s="55">
        <f>VLOOKUP(B336,'[1]Product by Part Number'!$A:$K,11,0)</f>
        <v>15</v>
      </c>
      <c r="F336" s="56">
        <f>VLOOKUP(B336,'[1]Product by Part Number'!$A:$K,4,0)</f>
        <v>164.9</v>
      </c>
      <c r="G336" s="56">
        <f t="shared" ref="G336:G386" si="12">E336*F336</f>
        <v>2473.5</v>
      </c>
      <c r="H336" s="57">
        <f>VLOOKUP(B336,'[1]Product by Part Number'!$A:$K,5,0)</f>
        <v>62.66</v>
      </c>
      <c r="I336" s="90">
        <f t="shared" ref="I336:I386" si="13">ROUND(E336*H336,2)</f>
        <v>939.9</v>
      </c>
    </row>
    <row r="337" spans="2:9" s="53" customFormat="1" x14ac:dyDescent="0.3">
      <c r="B337" s="79" t="s">
        <v>372</v>
      </c>
      <c r="C337" s="54" t="str">
        <f>VLOOKUP(B337,'[1]Product by Part Number'!$A:$K,2,0)</f>
        <v xml:space="preserve">CAT D3 (1PJ)                  </v>
      </c>
      <c r="D337" s="54" t="str">
        <f>VLOOKUP(B337,'[1]Product by Part Number'!$A:$K,3,0)</f>
        <v>RIPPER SHANK</v>
      </c>
      <c r="E337" s="55">
        <f>VLOOKUP(B337,'[1]Product by Part Number'!$A:$K,11,0)</f>
        <v>1</v>
      </c>
      <c r="F337" s="56">
        <f>VLOOKUP(B337,'[1]Product by Part Number'!$A:$K,4,0)</f>
        <v>446.79</v>
      </c>
      <c r="G337" s="56">
        <f t="shared" si="12"/>
        <v>446.79</v>
      </c>
      <c r="H337" s="57">
        <f>VLOOKUP(B337,'[1]Product by Part Number'!$A:$K,5,0)</f>
        <v>169.78</v>
      </c>
      <c r="I337" s="90">
        <f t="shared" si="13"/>
        <v>169.78</v>
      </c>
    </row>
    <row r="338" spans="2:9" s="53" customFormat="1" x14ac:dyDescent="0.3">
      <c r="B338" s="79" t="s">
        <v>373</v>
      </c>
      <c r="C338" s="54" t="str">
        <f>VLOOKUP(B338,'[1]Product by Part Number'!$A:$K,2,0)</f>
        <v xml:space="preserve">CAT D7G (92V)                  </v>
      </c>
      <c r="D338" s="54" t="str">
        <f>VLOOKUP(B338,'[1]Product by Part Number'!$A:$K,3,0)</f>
        <v>CYLINDER HEAD</v>
      </c>
      <c r="E338" s="55">
        <f>VLOOKUP(B338,'[1]Product by Part Number'!$A:$K,11,0)</f>
        <v>1</v>
      </c>
      <c r="F338" s="56">
        <f>VLOOKUP(B338,'[1]Product by Part Number'!$A:$K,4,0)</f>
        <v>7409.03</v>
      </c>
      <c r="G338" s="56">
        <f t="shared" si="12"/>
        <v>7409.03</v>
      </c>
      <c r="H338" s="57">
        <f>VLOOKUP(B338,'[1]Product by Part Number'!$A:$K,5,0)</f>
        <v>3704.52</v>
      </c>
      <c r="I338" s="90">
        <f t="shared" si="13"/>
        <v>3704.52</v>
      </c>
    </row>
    <row r="339" spans="2:9" s="53" customFormat="1" x14ac:dyDescent="0.3">
      <c r="B339" s="79" t="s">
        <v>374</v>
      </c>
      <c r="C339" s="54" t="str">
        <f>VLOOKUP(B339,'[1]Product by Part Number'!$A:$K,2,0)</f>
        <v xml:space="preserve">CAT D7G (92V)                  </v>
      </c>
      <c r="D339" s="54" t="str">
        <f>VLOOKUP(B339,'[1]Product by Part Number'!$A:$K,3,0)</f>
        <v>INJECTORS</v>
      </c>
      <c r="E339" s="55">
        <f>VLOOKUP(B339,'[1]Product by Part Number'!$A:$K,11,0)</f>
        <v>6</v>
      </c>
      <c r="F339" s="56">
        <f>VLOOKUP(B339,'[1]Product by Part Number'!$A:$K,4,0)</f>
        <v>500.81</v>
      </c>
      <c r="G339" s="56">
        <f t="shared" si="12"/>
        <v>3004.86</v>
      </c>
      <c r="H339" s="57">
        <f>VLOOKUP(B339,'[1]Product by Part Number'!$A:$K,5,0)</f>
        <v>250.41</v>
      </c>
      <c r="I339" s="90">
        <f t="shared" si="13"/>
        <v>1502.46</v>
      </c>
    </row>
    <row r="340" spans="2:9" s="53" customFormat="1" x14ac:dyDescent="0.3">
      <c r="B340" s="79" t="s">
        <v>375</v>
      </c>
      <c r="C340" s="54" t="str">
        <f>VLOOKUP(B340,'[1]Product by Part Number'!$A:$K,2,0)</f>
        <v xml:space="preserve">CAT D4 (66J)                  </v>
      </c>
      <c r="D340" s="54" t="str">
        <f>VLOOKUP(B340,'[1]Product by Part Number'!$A:$K,3,0)</f>
        <v>FUEL WATER SEPARATOR</v>
      </c>
      <c r="E340" s="55">
        <f>VLOOKUP(B340,'[1]Product by Part Number'!$A:$K,11,0)</f>
        <v>10</v>
      </c>
      <c r="F340" s="56">
        <f>VLOOKUP(B340,'[1]Product by Part Number'!$A:$K,4,0)</f>
        <v>60.68</v>
      </c>
      <c r="G340" s="56">
        <f t="shared" si="12"/>
        <v>606.79999999999995</v>
      </c>
      <c r="H340" s="57">
        <f>VLOOKUP(B340,'[1]Product by Part Number'!$A:$K,5,0)</f>
        <v>23.06</v>
      </c>
      <c r="I340" s="90">
        <f t="shared" si="13"/>
        <v>230.6</v>
      </c>
    </row>
    <row r="341" spans="2:9" s="53" customFormat="1" x14ac:dyDescent="0.3">
      <c r="B341" s="79" t="s">
        <v>376</v>
      </c>
      <c r="C341" s="54" t="str">
        <f>VLOOKUP(B341,'[1]Product by Part Number'!$A:$K,2,0)</f>
        <v xml:space="preserve">CAT D7G (92V)                  </v>
      </c>
      <c r="D341" s="54" t="str">
        <f>VLOOKUP(B341,'[1]Product by Part Number'!$A:$K,3,0)</f>
        <v>SPROCKET SEGMENT</v>
      </c>
      <c r="E341" s="55">
        <f>VLOOKUP(B341,'[1]Product by Part Number'!$A:$K,11,0)</f>
        <v>10</v>
      </c>
      <c r="F341" s="56">
        <f>VLOOKUP(B341,'[1]Product by Part Number'!$A:$K,4,0)</f>
        <v>111.66</v>
      </c>
      <c r="G341" s="56">
        <f t="shared" si="12"/>
        <v>1116.5999999999999</v>
      </c>
      <c r="H341" s="57">
        <f>VLOOKUP(B341,'[1]Product by Part Number'!$A:$K,5,0)</f>
        <v>55.83</v>
      </c>
      <c r="I341" s="90">
        <f t="shared" si="13"/>
        <v>558.29999999999995</v>
      </c>
    </row>
    <row r="342" spans="2:9" s="53" customFormat="1" x14ac:dyDescent="0.3">
      <c r="B342" s="79" t="s">
        <v>377</v>
      </c>
      <c r="C342" s="54" t="str">
        <f>VLOOKUP(B342,'[1]Product by Part Number'!$A:$K,2,0)</f>
        <v xml:space="preserve">CAT D6N LGP (PBA) CAT D6N LGP (SGG)                </v>
      </c>
      <c r="D342" s="54" t="str">
        <f>VLOOKUP(B342,'[1]Product by Part Number'!$A:$K,3,0)</f>
        <v>ROLLER BOLT</v>
      </c>
      <c r="E342" s="55">
        <f>VLOOKUP(B342,'[1]Product by Part Number'!$A:$K,11,0)</f>
        <v>256</v>
      </c>
      <c r="F342" s="56">
        <f>VLOOKUP(B342,'[1]Product by Part Number'!$A:$K,4,0)</f>
        <v>8.73</v>
      </c>
      <c r="G342" s="56">
        <f t="shared" si="12"/>
        <v>2234.88</v>
      </c>
      <c r="H342" s="57">
        <f>VLOOKUP(B342,'[1]Product by Part Number'!$A:$K,5,0)</f>
        <v>4.37</v>
      </c>
      <c r="I342" s="90">
        <f t="shared" si="13"/>
        <v>1118.72</v>
      </c>
    </row>
    <row r="343" spans="2:9" s="53" customFormat="1" x14ac:dyDescent="0.3">
      <c r="B343" s="79" t="s">
        <v>378</v>
      </c>
      <c r="C343" s="54" t="str">
        <f>VLOOKUP(B343,'[1]Product by Part Number'!$A:$K,2,0)</f>
        <v xml:space="preserve">CAT D6N LGP (SGG)                  </v>
      </c>
      <c r="D343" s="54" t="str">
        <f>VLOOKUP(B343,'[1]Product by Part Number'!$A:$K,3,0)</f>
        <v>IDLER CAP BOLT - REAR</v>
      </c>
      <c r="E343" s="55">
        <f>VLOOKUP(B343,'[1]Product by Part Number'!$A:$K,11,0)</f>
        <v>16</v>
      </c>
      <c r="F343" s="56">
        <f>VLOOKUP(B343,'[1]Product by Part Number'!$A:$K,4,0)</f>
        <v>12.9</v>
      </c>
      <c r="G343" s="56">
        <f t="shared" si="12"/>
        <v>206.4</v>
      </c>
      <c r="H343" s="57">
        <f>VLOOKUP(B343,'[1]Product by Part Number'!$A:$K,5,0)</f>
        <v>6.45</v>
      </c>
      <c r="I343" s="90">
        <f t="shared" si="13"/>
        <v>103.2</v>
      </c>
    </row>
    <row r="344" spans="2:9" s="53" customFormat="1" x14ac:dyDescent="0.3">
      <c r="B344" s="79" t="s">
        <v>379</v>
      </c>
      <c r="C344" s="54" t="str">
        <f>VLOOKUP(B344,'[1]Product by Part Number'!$A:$K,2,0)</f>
        <v xml:space="preserve">CAT D6N LGP (SGG)                  </v>
      </c>
      <c r="D344" s="54" t="str">
        <f>VLOOKUP(B344,'[1]Product by Part Number'!$A:$K,3,0)</f>
        <v xml:space="preserve">IDLER CAP BOLT - FRONT </v>
      </c>
      <c r="E344" s="55">
        <f>VLOOKUP(B344,'[1]Product by Part Number'!$A:$K,11,0)</f>
        <v>16</v>
      </c>
      <c r="F344" s="56">
        <f>VLOOKUP(B344,'[1]Product by Part Number'!$A:$K,4,0)</f>
        <v>14.24</v>
      </c>
      <c r="G344" s="56">
        <f t="shared" si="12"/>
        <v>227.84</v>
      </c>
      <c r="H344" s="57">
        <f>VLOOKUP(B344,'[1]Product by Part Number'!$A:$K,5,0)</f>
        <v>7.12</v>
      </c>
      <c r="I344" s="90">
        <f t="shared" si="13"/>
        <v>113.92</v>
      </c>
    </row>
    <row r="345" spans="2:9" s="53" customFormat="1" x14ac:dyDescent="0.3">
      <c r="B345" s="79" t="s">
        <v>380</v>
      </c>
      <c r="C345" s="54" t="str">
        <f>VLOOKUP(B345,'[1]Product by Part Number'!$A:$K,2,0)</f>
        <v xml:space="preserve">CAT D6 (RDC)                  </v>
      </c>
      <c r="D345" s="54" t="str">
        <f>VLOOKUP(B345,'[1]Product by Part Number'!$A:$K,3,0)</f>
        <v>IDLER BOLT</v>
      </c>
      <c r="E345" s="55">
        <f>VLOOKUP(B345,'[1]Product by Part Number'!$A:$K,11,0)</f>
        <v>16</v>
      </c>
      <c r="F345" s="56">
        <f>VLOOKUP(B345,'[1]Product by Part Number'!$A:$K,4,0)</f>
        <v>25.19</v>
      </c>
      <c r="G345" s="56">
        <f t="shared" si="12"/>
        <v>403.04</v>
      </c>
      <c r="H345" s="57">
        <f>VLOOKUP(B345,'[1]Product by Part Number'!$A:$K,5,0)</f>
        <v>12.6</v>
      </c>
      <c r="I345" s="90">
        <f t="shared" si="13"/>
        <v>201.6</v>
      </c>
    </row>
    <row r="346" spans="2:9" s="53" customFormat="1" ht="40.200000000000003" x14ac:dyDescent="0.3">
      <c r="B346" s="79" t="s">
        <v>381</v>
      </c>
      <c r="C346" s="54" t="str">
        <f>VLOOKUP(B346,'[1]Product by Part Number'!$A:$K,2,0)</f>
        <v xml:space="preserve">CAT 329E L (ZCD) CAT 329F L (ERL) CAT 330F L (MBX) CAT 330F L (HCK) CAT 330 (LHW) CAT 330 (WCH) CAT D6T (MH7) CAT D6T (MH7)    </v>
      </c>
      <c r="D346" s="54" t="str">
        <f>VLOOKUP(B346,'[1]Product by Part Number'!$A:$K,3,0)</f>
        <v>FLAT WASHER</v>
      </c>
      <c r="E346" s="55">
        <f>VLOOKUP(B346,'[1]Product by Part Number'!$A:$K,11,0)</f>
        <v>656</v>
      </c>
      <c r="F346" s="56">
        <f>VLOOKUP(B346,'[1]Product by Part Number'!$A:$K,4,0)</f>
        <v>2.83</v>
      </c>
      <c r="G346" s="56">
        <f t="shared" si="12"/>
        <v>1856.48</v>
      </c>
      <c r="H346" s="57">
        <f>VLOOKUP(B346,'[1]Product by Part Number'!$A:$K,5,0)</f>
        <v>1.42</v>
      </c>
      <c r="I346" s="90">
        <f t="shared" si="13"/>
        <v>931.52</v>
      </c>
    </row>
    <row r="347" spans="2:9" s="53" customFormat="1" ht="27" x14ac:dyDescent="0.3">
      <c r="B347" s="79" t="s">
        <v>382</v>
      </c>
      <c r="C347" s="54" t="str">
        <f>VLOOKUP(B347,'[1]Product by Part Number'!$A:$K,2,0)</f>
        <v xml:space="preserve">CAT D6 (RDC) CAT D6N LGP (PBA) CAT D6N LGP (SGG) CAT D6T (MH7)            </v>
      </c>
      <c r="D347" s="54" t="str">
        <f>VLOOKUP(B347,'[1]Product by Part Number'!$A:$K,3,0)</f>
        <v>FLAT WASHER</v>
      </c>
      <c r="E347" s="55">
        <f>VLOOKUP(B347,'[1]Product by Part Number'!$A:$K,11,0)</f>
        <v>40</v>
      </c>
      <c r="F347" s="56">
        <f>VLOOKUP(B347,'[1]Product by Part Number'!$A:$K,4,0)</f>
        <v>3.56</v>
      </c>
      <c r="G347" s="56">
        <f t="shared" si="12"/>
        <v>142.4</v>
      </c>
      <c r="H347" s="57">
        <f>VLOOKUP(B347,'[1]Product by Part Number'!$A:$K,5,0)</f>
        <v>1.78</v>
      </c>
      <c r="I347" s="90">
        <f t="shared" si="13"/>
        <v>71.2</v>
      </c>
    </row>
    <row r="348" spans="2:9" s="53" customFormat="1" x14ac:dyDescent="0.3">
      <c r="B348" s="79" t="s">
        <v>383</v>
      </c>
      <c r="C348" s="54" t="str">
        <f>VLOOKUP(B348,'[1]Product by Part Number'!$A:$K,2,0)</f>
        <v xml:space="preserve">CAT D6N LGP (PBA) CAT D6N LGP (SGG)                </v>
      </c>
      <c r="D348" s="54" t="str">
        <f>VLOOKUP(B348,'[1]Product by Part Number'!$A:$K,3,0)</f>
        <v>HEX NUT</v>
      </c>
      <c r="E348" s="55">
        <f>VLOOKUP(B348,'[1]Product by Part Number'!$A:$K,11,0)</f>
        <v>16</v>
      </c>
      <c r="F348" s="56">
        <f>VLOOKUP(B348,'[1]Product by Part Number'!$A:$K,4,0)</f>
        <v>6.85</v>
      </c>
      <c r="G348" s="56">
        <f t="shared" si="12"/>
        <v>109.6</v>
      </c>
      <c r="H348" s="57">
        <f>VLOOKUP(B348,'[1]Product by Part Number'!$A:$K,5,0)</f>
        <v>3.43</v>
      </c>
      <c r="I348" s="90">
        <f t="shared" si="13"/>
        <v>54.88</v>
      </c>
    </row>
    <row r="349" spans="2:9" s="53" customFormat="1" x14ac:dyDescent="0.3">
      <c r="B349" s="79" t="s">
        <v>384</v>
      </c>
      <c r="C349" s="54" t="str">
        <f>VLOOKUP(B349,'[1]Product by Part Number'!$A:$K,2,0)</f>
        <v xml:space="preserve">CAT 303.5E                  </v>
      </c>
      <c r="D349" s="54" t="str">
        <f>VLOOKUP(B349,'[1]Product by Part Number'!$A:$K,3,0)</f>
        <v>CARIER NUT</v>
      </c>
      <c r="E349" s="55">
        <f>VLOOKUP(B349,'[1]Product by Part Number'!$A:$K,11,0)</f>
        <v>4</v>
      </c>
      <c r="F349" s="56">
        <f>VLOOKUP(B349,'[1]Product by Part Number'!$A:$K,4,0)</f>
        <v>3.77</v>
      </c>
      <c r="G349" s="56">
        <f t="shared" si="12"/>
        <v>15.08</v>
      </c>
      <c r="H349" s="57">
        <f>VLOOKUP(B349,'[1]Product by Part Number'!$A:$K,5,0)</f>
        <v>1.89</v>
      </c>
      <c r="I349" s="90">
        <f t="shared" si="13"/>
        <v>7.56</v>
      </c>
    </row>
    <row r="350" spans="2:9" s="53" customFormat="1" ht="27" x14ac:dyDescent="0.3">
      <c r="B350" s="79" t="s">
        <v>385</v>
      </c>
      <c r="C350" s="54" t="str">
        <f>VLOOKUP(B350,'[1]Product by Part Number'!$A:$K,2,0)</f>
        <v xml:space="preserve">CAT D6N LGP (GHS) CAT D6N LGP (PBA) CAT D6N LGP (SGG)              </v>
      </c>
      <c r="D350" s="54" t="str">
        <f>VLOOKUP(B350,'[1]Product by Part Number'!$A:$K,3,0)</f>
        <v>HEX HEAD BOLT</v>
      </c>
      <c r="E350" s="55">
        <f>VLOOKUP(B350,'[1]Product by Part Number'!$A:$K,11,0)</f>
        <v>120</v>
      </c>
      <c r="F350" s="56">
        <f>VLOOKUP(B350,'[1]Product by Part Number'!$A:$K,4,0)</f>
        <v>2.42</v>
      </c>
      <c r="G350" s="56">
        <f t="shared" si="12"/>
        <v>290.39999999999998</v>
      </c>
      <c r="H350" s="57">
        <f>VLOOKUP(B350,'[1]Product by Part Number'!$A:$K,5,0)</f>
        <v>1.21</v>
      </c>
      <c r="I350" s="90">
        <f t="shared" si="13"/>
        <v>145.19999999999999</v>
      </c>
    </row>
    <row r="351" spans="2:9" s="53" customFormat="1" ht="27" x14ac:dyDescent="0.3">
      <c r="B351" s="79" t="s">
        <v>386</v>
      </c>
      <c r="C351" s="54" t="str">
        <f>VLOOKUP(B351,'[1]Product by Part Number'!$A:$K,2,0)</f>
        <v xml:space="preserve">CAT D6N LGP (GHS) CAT D6N LGP (PBA) CAT D6N LGP (SGG)              </v>
      </c>
      <c r="D351" s="54" t="str">
        <f>VLOOKUP(B351,'[1]Product by Part Number'!$A:$K,3,0)</f>
        <v>FLAT WASHER</v>
      </c>
      <c r="E351" s="55">
        <f>VLOOKUP(B351,'[1]Product by Part Number'!$A:$K,11,0)</f>
        <v>132</v>
      </c>
      <c r="F351" s="56">
        <f>VLOOKUP(B351,'[1]Product by Part Number'!$A:$K,4,0)</f>
        <v>2.15</v>
      </c>
      <c r="G351" s="56">
        <f t="shared" si="12"/>
        <v>283.8</v>
      </c>
      <c r="H351" s="57">
        <f>VLOOKUP(B351,'[1]Product by Part Number'!$A:$K,5,0)</f>
        <v>1.08</v>
      </c>
      <c r="I351" s="90">
        <f t="shared" si="13"/>
        <v>142.56</v>
      </c>
    </row>
    <row r="352" spans="2:9" s="53" customFormat="1" x14ac:dyDescent="0.3">
      <c r="B352" s="79" t="s">
        <v>387</v>
      </c>
      <c r="C352" s="54" t="str">
        <f>VLOOKUP(B352,'[1]Product by Part Number'!$A:$K,2,0)</f>
        <v xml:space="preserve">CAT 336F L (RKB)                  </v>
      </c>
      <c r="D352" s="54" t="str">
        <f>VLOOKUP(B352,'[1]Product by Part Number'!$A:$K,3,0)</f>
        <v>IDLER BOLT</v>
      </c>
      <c r="E352" s="55">
        <f>VLOOKUP(B352,'[1]Product by Part Number'!$A:$K,11,0)</f>
        <v>8</v>
      </c>
      <c r="F352" s="56">
        <f>VLOOKUP(B352,'[1]Product by Part Number'!$A:$K,4,0)</f>
        <v>12.21</v>
      </c>
      <c r="G352" s="56">
        <f t="shared" si="12"/>
        <v>97.68</v>
      </c>
      <c r="H352" s="57">
        <f>VLOOKUP(B352,'[1]Product by Part Number'!$A:$K,5,0)</f>
        <v>6.11</v>
      </c>
      <c r="I352" s="90">
        <f t="shared" si="13"/>
        <v>48.88</v>
      </c>
    </row>
    <row r="353" spans="2:9" s="53" customFormat="1" x14ac:dyDescent="0.3">
      <c r="B353" s="79" t="s">
        <v>388</v>
      </c>
      <c r="C353" s="54" t="str">
        <f>VLOOKUP(B353,'[1]Product by Part Number'!$A:$K,2,0)</f>
        <v xml:space="preserve">CAT 303.5E CAT 303.5E                </v>
      </c>
      <c r="D353" s="54" t="str">
        <f>VLOOKUP(B353,'[1]Product by Part Number'!$A:$K,3,0)</f>
        <v>CARRIER BOLT</v>
      </c>
      <c r="E353" s="55">
        <f>VLOOKUP(B353,'[1]Product by Part Number'!$A:$K,11,0)</f>
        <v>18</v>
      </c>
      <c r="F353" s="56">
        <f>VLOOKUP(B353,'[1]Product by Part Number'!$A:$K,4,0)</f>
        <v>7.14</v>
      </c>
      <c r="G353" s="56">
        <f t="shared" si="12"/>
        <v>128.51999999999998</v>
      </c>
      <c r="H353" s="57">
        <f>VLOOKUP(B353,'[1]Product by Part Number'!$A:$K,5,0)</f>
        <v>3.57</v>
      </c>
      <c r="I353" s="90">
        <f t="shared" si="13"/>
        <v>64.260000000000005</v>
      </c>
    </row>
    <row r="354" spans="2:9" s="53" customFormat="1" x14ac:dyDescent="0.3">
      <c r="B354" s="79" t="s">
        <v>389</v>
      </c>
      <c r="C354" s="54" t="str">
        <f>VLOOKUP(B354,'[1]Product by Part Number'!$A:$K,2,0)</f>
        <v xml:space="preserve">CAT D5 (3CR)                  </v>
      </c>
      <c r="D354" s="54" t="str">
        <f>VLOOKUP(B354,'[1]Product by Part Number'!$A:$K,3,0)</f>
        <v>SEAT/SUSPENSION ASSEMBLY</v>
      </c>
      <c r="E354" s="55">
        <f>VLOOKUP(B354,'[1]Product by Part Number'!$A:$K,11,0)</f>
        <v>2</v>
      </c>
      <c r="F354" s="56">
        <f>VLOOKUP(B354,'[1]Product by Part Number'!$A:$K,4,0)</f>
        <v>9424.19</v>
      </c>
      <c r="G354" s="56">
        <f t="shared" si="12"/>
        <v>18848.38</v>
      </c>
      <c r="H354" s="57">
        <f>VLOOKUP(B354,'[1]Product by Part Number'!$A:$K,5,0)</f>
        <v>4712.1000000000004</v>
      </c>
      <c r="I354" s="90">
        <f t="shared" si="13"/>
        <v>9424.2000000000007</v>
      </c>
    </row>
    <row r="355" spans="2:9" s="53" customFormat="1" x14ac:dyDescent="0.3">
      <c r="B355" s="79" t="s">
        <v>390</v>
      </c>
      <c r="C355" s="54" t="str">
        <f>VLOOKUP(B355,'[1]Product by Part Number'!$A:$K,2,0)</f>
        <v xml:space="preserve">CAT D3 (1PJ)                  </v>
      </c>
      <c r="D355" s="54" t="str">
        <f>VLOOKUP(B355,'[1]Product by Part Number'!$A:$K,3,0)</f>
        <v>SEAT ASSEMBLY</v>
      </c>
      <c r="E355" s="55">
        <f>VLOOKUP(B355,'[1]Product by Part Number'!$A:$K,11,0)</f>
        <v>1</v>
      </c>
      <c r="F355" s="56">
        <f>VLOOKUP(B355,'[1]Product by Part Number'!$A:$K,4,0)</f>
        <v>5796.13</v>
      </c>
      <c r="G355" s="56">
        <f t="shared" si="12"/>
        <v>5796.13</v>
      </c>
      <c r="H355" s="57">
        <f>VLOOKUP(B355,'[1]Product by Part Number'!$A:$K,5,0)</f>
        <v>2898.07</v>
      </c>
      <c r="I355" s="90">
        <f t="shared" si="13"/>
        <v>2898.07</v>
      </c>
    </row>
    <row r="356" spans="2:9" s="53" customFormat="1" x14ac:dyDescent="0.3">
      <c r="B356" s="79" t="s">
        <v>391</v>
      </c>
      <c r="C356" s="54" t="str">
        <f>VLOOKUP(B356,'[1]Product by Part Number'!$A:$K,2,0)</f>
        <v xml:space="preserve">CAT D5 (3CR) CAT 561N (CPH)                </v>
      </c>
      <c r="D356" s="54" t="str">
        <f>VLOOKUP(B356,'[1]Product by Part Number'!$A:$K,3,0)</f>
        <v>TRACK BOLT</v>
      </c>
      <c r="E356" s="55">
        <f>VLOOKUP(B356,'[1]Product by Part Number'!$A:$K,11,0)</f>
        <v>606</v>
      </c>
      <c r="F356" s="56">
        <f>VLOOKUP(B356,'[1]Product by Part Number'!$A:$K,4,0)</f>
        <v>3.12</v>
      </c>
      <c r="G356" s="56">
        <f t="shared" si="12"/>
        <v>1890.72</v>
      </c>
      <c r="H356" s="57">
        <f>VLOOKUP(B356,'[1]Product by Part Number'!$A:$K,5,0)</f>
        <v>1.56</v>
      </c>
      <c r="I356" s="90">
        <f t="shared" si="13"/>
        <v>945.36</v>
      </c>
    </row>
    <row r="357" spans="2:9" s="53" customFormat="1" x14ac:dyDescent="0.3">
      <c r="B357" s="79" t="s">
        <v>392</v>
      </c>
      <c r="C357" s="54" t="str">
        <f>VLOOKUP(B357,'[1]Product by Part Number'!$A:$K,2,0)</f>
        <v xml:space="preserve">CAT D5 (3CR) CAT 561N (CPH)                </v>
      </c>
      <c r="D357" s="54" t="str">
        <f>VLOOKUP(B357,'[1]Product by Part Number'!$A:$K,3,0)</f>
        <v>TRACK BOLT MASTER</v>
      </c>
      <c r="E357" s="55">
        <f>VLOOKUP(B357,'[1]Product by Part Number'!$A:$K,11,0)</f>
        <v>14</v>
      </c>
      <c r="F357" s="56">
        <f>VLOOKUP(B357,'[1]Product by Part Number'!$A:$K,4,0)</f>
        <v>5.25</v>
      </c>
      <c r="G357" s="56">
        <f t="shared" si="12"/>
        <v>73.5</v>
      </c>
      <c r="H357" s="57">
        <f>VLOOKUP(B357,'[1]Product by Part Number'!$A:$K,5,0)</f>
        <v>2.63</v>
      </c>
      <c r="I357" s="90">
        <f t="shared" si="13"/>
        <v>36.82</v>
      </c>
    </row>
    <row r="358" spans="2:9" s="53" customFormat="1" x14ac:dyDescent="0.3">
      <c r="B358" s="79" t="s">
        <v>393</v>
      </c>
      <c r="C358" s="54" t="str">
        <f>VLOOKUP(B358,'[1]Product by Part Number'!$A:$K,2,0)</f>
        <v xml:space="preserve">CAT D5 (3CR)                  </v>
      </c>
      <c r="D358" s="54" t="str">
        <f>VLOOKUP(B358,'[1]Product by Part Number'!$A:$K,3,0)</f>
        <v>RIPPER SHANK</v>
      </c>
      <c r="E358" s="55">
        <f>VLOOKUP(B358,'[1]Product by Part Number'!$A:$K,11,0)</f>
        <v>2</v>
      </c>
      <c r="F358" s="56">
        <f>VLOOKUP(B358,'[1]Product by Part Number'!$A:$K,4,0)</f>
        <v>1095.81</v>
      </c>
      <c r="G358" s="56">
        <f t="shared" si="12"/>
        <v>2191.62</v>
      </c>
      <c r="H358" s="57">
        <f>VLOOKUP(B358,'[1]Product by Part Number'!$A:$K,5,0)</f>
        <v>416.41</v>
      </c>
      <c r="I358" s="90">
        <f t="shared" si="13"/>
        <v>832.82</v>
      </c>
    </row>
    <row r="359" spans="2:9" s="53" customFormat="1" x14ac:dyDescent="0.3">
      <c r="B359" s="79" t="s">
        <v>394</v>
      </c>
      <c r="C359" s="54" t="str">
        <f>VLOOKUP(B359,'[1]Product by Part Number'!$A:$K,2,0)</f>
        <v xml:space="preserve">CAT D6N LGP (PBA) CAT D6N LGP (SGG)                </v>
      </c>
      <c r="D359" s="54" t="str">
        <f>VLOOKUP(B359,'[1]Product by Part Number'!$A:$K,3,0)</f>
        <v>RIPPER SHANK</v>
      </c>
      <c r="E359" s="55">
        <f>VLOOKUP(B359,'[1]Product by Part Number'!$A:$K,11,0)</f>
        <v>12</v>
      </c>
      <c r="F359" s="56">
        <f>VLOOKUP(B359,'[1]Product by Part Number'!$A:$K,4,0)</f>
        <v>2053.06</v>
      </c>
      <c r="G359" s="56">
        <f t="shared" si="12"/>
        <v>24636.720000000001</v>
      </c>
      <c r="H359" s="57">
        <f>VLOOKUP(B359,'[1]Product by Part Number'!$A:$K,5,0)</f>
        <v>780.16</v>
      </c>
      <c r="I359" s="90">
        <f t="shared" si="13"/>
        <v>9361.92</v>
      </c>
    </row>
    <row r="360" spans="2:9" s="53" customFormat="1" x14ac:dyDescent="0.3">
      <c r="B360" s="79" t="s">
        <v>395</v>
      </c>
      <c r="C360" s="54" t="str">
        <f>VLOOKUP(B360,'[1]Product by Part Number'!$A:$K,2,0)</f>
        <v xml:space="preserve">CAT D3 (1PJ)                  </v>
      </c>
      <c r="D360" s="54" t="str">
        <f>VLOOKUP(B360,'[1]Product by Part Number'!$A:$K,3,0)</f>
        <v>**FUEL TANK STRAINER**</v>
      </c>
      <c r="E360" s="55">
        <f>VLOOKUP(B360,'[1]Product by Part Number'!$A:$K,11,0)</f>
        <v>5</v>
      </c>
      <c r="F360" s="56">
        <f>VLOOKUP(B360,'[1]Product by Part Number'!$A:$K,4,0)</f>
        <v>127.92</v>
      </c>
      <c r="G360" s="56">
        <f t="shared" si="12"/>
        <v>639.6</v>
      </c>
      <c r="H360" s="57">
        <f>VLOOKUP(B360,'[1]Product by Part Number'!$A:$K,5,0)</f>
        <v>48.61</v>
      </c>
      <c r="I360" s="90">
        <f t="shared" si="13"/>
        <v>243.05</v>
      </c>
    </row>
    <row r="361" spans="2:9" s="53" customFormat="1" x14ac:dyDescent="0.3">
      <c r="B361" s="79" t="s">
        <v>396</v>
      </c>
      <c r="C361" s="54" t="str">
        <f>VLOOKUP(B361,'[1]Product by Part Number'!$A:$K,2,0)</f>
        <v xml:space="preserve">CAT D6 (RDC) CAT D6T (MH7)                </v>
      </c>
      <c r="D361" s="54" t="str">
        <f>VLOOKUP(B361,'[1]Product by Part Number'!$A:$K,3,0)</f>
        <v>MASTER TRACK BOLT</v>
      </c>
      <c r="E361" s="55">
        <f>VLOOKUP(B361,'[1]Product by Part Number'!$A:$K,11,0)</f>
        <v>16</v>
      </c>
      <c r="F361" s="56">
        <f>VLOOKUP(B361,'[1]Product by Part Number'!$A:$K,4,0)</f>
        <v>9.9600000000000009</v>
      </c>
      <c r="G361" s="56">
        <f t="shared" si="12"/>
        <v>159.36000000000001</v>
      </c>
      <c r="H361" s="57">
        <f>VLOOKUP(B361,'[1]Product by Part Number'!$A:$K,5,0)</f>
        <v>4.9800000000000004</v>
      </c>
      <c r="I361" s="90">
        <f t="shared" si="13"/>
        <v>79.680000000000007</v>
      </c>
    </row>
    <row r="362" spans="2:9" s="53" customFormat="1" x14ac:dyDescent="0.3">
      <c r="B362" s="79" t="s">
        <v>397</v>
      </c>
      <c r="C362" s="54" t="str">
        <f>VLOOKUP(B362,'[1]Product by Part Number'!$A:$K,2,0)</f>
        <v xml:space="preserve">CAT D7G (92V)                  </v>
      </c>
      <c r="D362" s="54" t="str">
        <f>VLOOKUP(B362,'[1]Product by Part Number'!$A:$K,3,0)</f>
        <v>SECONDARY AIR FILTER ELEMENT</v>
      </c>
      <c r="E362" s="55">
        <f>VLOOKUP(B362,'[1]Product by Part Number'!$A:$K,11,0)</f>
        <v>3</v>
      </c>
      <c r="F362" s="56">
        <f>VLOOKUP(B362,'[1]Product by Part Number'!$A:$K,4,0)</f>
        <v>115.44</v>
      </c>
      <c r="G362" s="56">
        <f t="shared" si="12"/>
        <v>346.32</v>
      </c>
      <c r="H362" s="57">
        <f>VLOOKUP(B362,'[1]Product by Part Number'!$A:$K,5,0)</f>
        <v>43.87</v>
      </c>
      <c r="I362" s="90">
        <f t="shared" si="13"/>
        <v>131.61000000000001</v>
      </c>
    </row>
    <row r="363" spans="2:9" s="53" customFormat="1" ht="27" x14ac:dyDescent="0.3">
      <c r="B363" s="79" t="s">
        <v>398</v>
      </c>
      <c r="C363" s="54" t="str">
        <f>VLOOKUP(B363,'[1]Product by Part Number'!$A:$K,2,0)</f>
        <v xml:space="preserve">CAT D6N LGP (GHS) CAT D6N LGP (PBA) CAT D6N LGP (SGG)              </v>
      </c>
      <c r="D363" s="54" t="str">
        <f>VLOOKUP(B363,'[1]Product by Part Number'!$A:$K,3,0)</f>
        <v>HYDRAULIC OIL FILTER</v>
      </c>
      <c r="E363" s="55">
        <f>VLOOKUP(B363,'[1]Product by Part Number'!$A:$K,11,0)</f>
        <v>25</v>
      </c>
      <c r="F363" s="56">
        <f>VLOOKUP(B363,'[1]Product by Part Number'!$A:$K,4,0)</f>
        <v>123.35</v>
      </c>
      <c r="G363" s="56">
        <f t="shared" si="12"/>
        <v>3083.75</v>
      </c>
      <c r="H363" s="57">
        <f>VLOOKUP(B363,'[1]Product by Part Number'!$A:$K,5,0)</f>
        <v>46.87</v>
      </c>
      <c r="I363" s="90">
        <f t="shared" si="13"/>
        <v>1171.75</v>
      </c>
    </row>
    <row r="364" spans="2:9" s="53" customFormat="1" ht="53.4" x14ac:dyDescent="0.3">
      <c r="B364" s="79" t="s">
        <v>399</v>
      </c>
      <c r="C364" s="54" t="str">
        <f>VLOOKUP(B364,'[1]Product by Part Number'!$A:$K,2,0)</f>
        <v xml:space="preserve">CAT 320E L (WBK) CAT 320F L (YBM) CAT 320 (HEX) CAT 320 (MYK) CAT 329E L (ZCD) CAT 329F L (ERL) CAT 330F L (MBX) CAT 330F L (HCK) CAT D6N LGP (PBA)  </v>
      </c>
      <c r="D364" s="54" t="str">
        <f>VLOOKUP(B364,'[1]Product by Part Number'!$A:$K,3,0)</f>
        <v xml:space="preserve">TRACK NUT </v>
      </c>
      <c r="E364" s="55">
        <f>VLOOKUP(B364,'[1]Product by Part Number'!$A:$K,11,0)</f>
        <v>5472</v>
      </c>
      <c r="F364" s="56">
        <f>VLOOKUP(B364,'[1]Product by Part Number'!$A:$K,4,0)</f>
        <v>3.14</v>
      </c>
      <c r="G364" s="56">
        <f t="shared" si="12"/>
        <v>17182.080000000002</v>
      </c>
      <c r="H364" s="57">
        <f>VLOOKUP(B364,'[1]Product by Part Number'!$A:$K,5,0)</f>
        <v>1.57</v>
      </c>
      <c r="I364" s="90">
        <f t="shared" si="13"/>
        <v>8591.0400000000009</v>
      </c>
    </row>
    <row r="365" spans="2:9" s="53" customFormat="1" ht="27" x14ac:dyDescent="0.3">
      <c r="B365" s="79" t="s">
        <v>400</v>
      </c>
      <c r="C365" s="54" t="str">
        <f>VLOOKUP(B365,'[1]Product by Part Number'!$A:$K,2,0)</f>
        <v xml:space="preserve">CAT 320E L (WBK) CAT 320F L (YBM) CAT 320 (HEX) CAT 320 (MYK)            </v>
      </c>
      <c r="D365" s="54" t="str">
        <f>VLOOKUP(B365,'[1]Product by Part Number'!$A:$K,3,0)</f>
        <v xml:space="preserve">TRACK BOLT </v>
      </c>
      <c r="E365" s="55">
        <f>VLOOKUP(B365,'[1]Product by Part Number'!$A:$K,11,0)</f>
        <v>2352</v>
      </c>
      <c r="F365" s="56">
        <f>VLOOKUP(B365,'[1]Product by Part Number'!$A:$K,4,0)</f>
        <v>4.25</v>
      </c>
      <c r="G365" s="56">
        <f t="shared" si="12"/>
        <v>9996</v>
      </c>
      <c r="H365" s="57">
        <f>VLOOKUP(B365,'[1]Product by Part Number'!$A:$K,5,0)</f>
        <v>2.13</v>
      </c>
      <c r="I365" s="90">
        <f t="shared" si="13"/>
        <v>5009.76</v>
      </c>
    </row>
    <row r="366" spans="2:9" s="53" customFormat="1" x14ac:dyDescent="0.3">
      <c r="B366" s="79" t="s">
        <v>401</v>
      </c>
      <c r="C366" s="54" t="str">
        <f>VLOOKUP(B366,'[1]Product by Part Number'!$A:$K,2,0)</f>
        <v xml:space="preserve">CAT D6T (MH7)                  </v>
      </c>
      <c r="D366" s="54" t="str">
        <f>VLOOKUP(B366,'[1]Product by Part Number'!$A:$K,3,0)</f>
        <v>END BIT RH</v>
      </c>
      <c r="E366" s="55">
        <f>VLOOKUP(B366,'[1]Product by Part Number'!$A:$K,11,0)</f>
        <v>1</v>
      </c>
      <c r="F366" s="56">
        <f>VLOOKUP(B366,'[1]Product by Part Number'!$A:$K,4,0)</f>
        <v>219.63</v>
      </c>
      <c r="G366" s="56">
        <f t="shared" si="12"/>
        <v>219.63</v>
      </c>
      <c r="H366" s="57">
        <f>VLOOKUP(B366,'[1]Product by Part Number'!$A:$K,5,0)</f>
        <v>83.46</v>
      </c>
      <c r="I366" s="90">
        <f t="shared" si="13"/>
        <v>83.46</v>
      </c>
    </row>
    <row r="367" spans="2:9" s="53" customFormat="1" x14ac:dyDescent="0.3">
      <c r="B367" s="79" t="s">
        <v>402</v>
      </c>
      <c r="C367" s="54" t="str">
        <f>VLOOKUP(B367,'[1]Product by Part Number'!$A:$K,2,0)</f>
        <v xml:space="preserve">CAT D6T (MH7)                  </v>
      </c>
      <c r="D367" s="54" t="str">
        <f>VLOOKUP(B367,'[1]Product by Part Number'!$A:$K,3,0)</f>
        <v>END BIT LH</v>
      </c>
      <c r="E367" s="55">
        <f>VLOOKUP(B367,'[1]Product by Part Number'!$A:$K,11,0)</f>
        <v>1</v>
      </c>
      <c r="F367" s="56">
        <f>VLOOKUP(B367,'[1]Product by Part Number'!$A:$K,4,0)</f>
        <v>219.63</v>
      </c>
      <c r="G367" s="56">
        <f t="shared" si="12"/>
        <v>219.63</v>
      </c>
      <c r="H367" s="57">
        <f>VLOOKUP(B367,'[1]Product by Part Number'!$A:$K,5,0)</f>
        <v>83.46</v>
      </c>
      <c r="I367" s="90">
        <f t="shared" si="13"/>
        <v>83.46</v>
      </c>
    </row>
    <row r="368" spans="2:9" s="53" customFormat="1" x14ac:dyDescent="0.3">
      <c r="B368" s="79" t="s">
        <v>403</v>
      </c>
      <c r="C368" s="54" t="str">
        <f>VLOOKUP(B368,'[1]Product by Part Number'!$A:$K,2,0)</f>
        <v xml:space="preserve">CAT D7G (92V)                  </v>
      </c>
      <c r="D368" s="54" t="str">
        <f>VLOOKUP(B368,'[1]Product by Part Number'!$A:$K,3,0)</f>
        <v>MASTER TRACK BOLT</v>
      </c>
      <c r="E368" s="55">
        <f>VLOOKUP(B368,'[1]Product by Part Number'!$A:$K,11,0)</f>
        <v>4</v>
      </c>
      <c r="F368" s="56">
        <f>VLOOKUP(B368,'[1]Product by Part Number'!$A:$K,4,0)</f>
        <v>15.58</v>
      </c>
      <c r="G368" s="56">
        <f t="shared" si="12"/>
        <v>62.32</v>
      </c>
      <c r="H368" s="57">
        <f>VLOOKUP(B368,'[1]Product by Part Number'!$A:$K,5,0)</f>
        <v>7.79</v>
      </c>
      <c r="I368" s="90">
        <f t="shared" si="13"/>
        <v>31.16</v>
      </c>
    </row>
    <row r="369" spans="2:9" s="53" customFormat="1" x14ac:dyDescent="0.3">
      <c r="B369" s="79" t="s">
        <v>404</v>
      </c>
      <c r="C369" s="54" t="str">
        <f>VLOOKUP(B369,'[1]Product by Part Number'!$A:$K,2,0)</f>
        <v xml:space="preserve">CAT D3 (1PJ)                  </v>
      </c>
      <c r="D369" s="54" t="str">
        <f>VLOOKUP(B369,'[1]Product by Part Number'!$A:$K,3,0)</f>
        <v>SPROCKET BOLT</v>
      </c>
      <c r="E369" s="55">
        <f>VLOOKUP(B369,'[1]Product by Part Number'!$A:$K,11,0)</f>
        <v>50</v>
      </c>
      <c r="F369" s="56">
        <f>VLOOKUP(B369,'[1]Product by Part Number'!$A:$K,4,0)</f>
        <v>1.46</v>
      </c>
      <c r="G369" s="56">
        <f t="shared" si="12"/>
        <v>73</v>
      </c>
      <c r="H369" s="57">
        <f>VLOOKUP(B369,'[1]Product by Part Number'!$A:$K,5,0)</f>
        <v>0.73</v>
      </c>
      <c r="I369" s="90">
        <f t="shared" si="13"/>
        <v>36.5</v>
      </c>
    </row>
    <row r="370" spans="2:9" s="53" customFormat="1" ht="27" x14ac:dyDescent="0.3">
      <c r="B370" s="79" t="s">
        <v>405</v>
      </c>
      <c r="C370" s="54" t="str">
        <f>VLOOKUP(B370,'[1]Product by Part Number'!$A:$K,2,0)</f>
        <v xml:space="preserve">CAT 320F L (YBM) CAT 330 (LHW) CAT 330 (WCH) CAT 561N (CPH)            </v>
      </c>
      <c r="D370" s="54" t="str">
        <f>VLOOKUP(B370,'[1]Product by Part Number'!$A:$K,3,0)</f>
        <v>12V BATTERY - 900CCA</v>
      </c>
      <c r="E370" s="55">
        <f>VLOOKUP(B370,'[1]Product by Part Number'!$A:$K,11,0)</f>
        <v>52</v>
      </c>
      <c r="F370" s="56">
        <f>VLOOKUP(B370,'[1]Product by Part Number'!$A:$K,4,0)</f>
        <v>503.86</v>
      </c>
      <c r="G370" s="56">
        <f t="shared" si="12"/>
        <v>26200.720000000001</v>
      </c>
      <c r="H370" s="57">
        <f>VLOOKUP(B370,'[1]Product by Part Number'!$A:$K,5,0)</f>
        <v>120.88</v>
      </c>
      <c r="I370" s="90">
        <f t="shared" si="13"/>
        <v>6285.76</v>
      </c>
    </row>
    <row r="371" spans="2:9" s="53" customFormat="1" x14ac:dyDescent="0.3">
      <c r="B371" s="79" t="s">
        <v>406</v>
      </c>
      <c r="C371" s="54" t="str">
        <f>VLOOKUP(B371,'[1]Product by Part Number'!$A:$K,2,0)</f>
        <v xml:space="preserve">CAT D6N LGP (PBA) CAT D6N LGP (SGG)                </v>
      </c>
      <c r="D371" s="54" t="str">
        <f>VLOOKUP(B371,'[1]Product by Part Number'!$A:$K,3,0)</f>
        <v>FLAT WASHER</v>
      </c>
      <c r="E371" s="55">
        <f>VLOOKUP(B371,'[1]Product by Part Number'!$A:$K,11,0)</f>
        <v>256</v>
      </c>
      <c r="F371" s="56">
        <f>VLOOKUP(B371,'[1]Product by Part Number'!$A:$K,4,0)</f>
        <v>2.4700000000000002</v>
      </c>
      <c r="G371" s="56">
        <f t="shared" si="12"/>
        <v>632.32000000000005</v>
      </c>
      <c r="H371" s="57">
        <f>VLOOKUP(B371,'[1]Product by Part Number'!$A:$K,5,0)</f>
        <v>1.24</v>
      </c>
      <c r="I371" s="90">
        <f t="shared" si="13"/>
        <v>317.44</v>
      </c>
    </row>
    <row r="372" spans="2:9" s="53" customFormat="1" x14ac:dyDescent="0.3">
      <c r="B372" s="79" t="s">
        <v>407</v>
      </c>
      <c r="C372" s="54" t="str">
        <f>VLOOKUP(B372,'[1]Product by Part Number'!$A:$K,2,0)</f>
        <v xml:space="preserve">CAT 561N (CPH)                  </v>
      </c>
      <c r="D372" s="54" t="str">
        <f>VLOOKUP(B372,'[1]Product by Part Number'!$A:$K,3,0)</f>
        <v>GQP ENGINE OVERHAUL KIT</v>
      </c>
      <c r="E372" s="55">
        <f>VLOOKUP(B372,'[1]Product by Part Number'!$A:$K,11,0)</f>
        <v>5</v>
      </c>
      <c r="F372" s="56">
        <f>VLOOKUP(B372,'[1]Product by Part Number'!$A:$K,4,0)</f>
        <v>6826.34</v>
      </c>
      <c r="G372" s="56">
        <f t="shared" si="12"/>
        <v>34131.699999999997</v>
      </c>
      <c r="H372" s="57">
        <f>VLOOKUP(B372,'[1]Product by Part Number'!$A:$K,5,0)</f>
        <v>3413.17</v>
      </c>
      <c r="I372" s="90">
        <f t="shared" si="13"/>
        <v>17065.849999999999</v>
      </c>
    </row>
    <row r="373" spans="2:9" s="53" customFormat="1" x14ac:dyDescent="0.3">
      <c r="B373" s="79" t="s">
        <v>408</v>
      </c>
      <c r="C373" s="54" t="str">
        <f>VLOOKUP(B373,'[1]Product by Part Number'!$A:$K,2,0)</f>
        <v xml:space="preserve">CAT PL61 (WGS)                  </v>
      </c>
      <c r="D373" s="54" t="str">
        <f>VLOOKUP(B373,'[1]Product by Part Number'!$A:$K,3,0)</f>
        <v>GQP ENGINE OVERHAUL KIT</v>
      </c>
      <c r="E373" s="55">
        <f>VLOOKUP(B373,'[1]Product by Part Number'!$A:$K,11,0)</f>
        <v>3</v>
      </c>
      <c r="F373" s="56">
        <f>VLOOKUP(B373,'[1]Product by Part Number'!$A:$K,4,0)</f>
        <v>6826.34</v>
      </c>
      <c r="G373" s="56">
        <f t="shared" si="12"/>
        <v>20479.02</v>
      </c>
      <c r="H373" s="57">
        <f>VLOOKUP(B373,'[1]Product by Part Number'!$A:$K,5,0)</f>
        <v>3413.17</v>
      </c>
      <c r="I373" s="90">
        <f t="shared" si="13"/>
        <v>10239.51</v>
      </c>
    </row>
    <row r="374" spans="2:9" s="53" customFormat="1" x14ac:dyDescent="0.3">
      <c r="B374" s="79" t="s">
        <v>409</v>
      </c>
      <c r="C374" s="54" t="str">
        <f>VLOOKUP(B374,'[1]Product by Part Number'!$A:$K,2,0)</f>
        <v xml:space="preserve">CAT 303.5E                  </v>
      </c>
      <c r="D374" s="54" t="str">
        <f>VLOOKUP(B374,'[1]Product by Part Number'!$A:$K,3,0)</f>
        <v>GQP ENGINE OVERHAUL KIT</v>
      </c>
      <c r="E374" s="55">
        <f>VLOOKUP(B374,'[1]Product by Part Number'!$A:$K,11,0)</f>
        <v>1</v>
      </c>
      <c r="F374" s="56">
        <f>VLOOKUP(B374,'[1]Product by Part Number'!$A:$K,4,0)</f>
        <v>3156.78</v>
      </c>
      <c r="G374" s="56">
        <f t="shared" si="12"/>
        <v>3156.78</v>
      </c>
      <c r="H374" s="57">
        <f>VLOOKUP(B374,'[1]Product by Part Number'!$A:$K,5,0)</f>
        <v>1578.39</v>
      </c>
      <c r="I374" s="90">
        <f t="shared" si="13"/>
        <v>1578.39</v>
      </c>
    </row>
    <row r="375" spans="2:9" s="53" customFormat="1" x14ac:dyDescent="0.3">
      <c r="B375" s="79" t="s">
        <v>410</v>
      </c>
      <c r="C375" s="54" t="str">
        <f>VLOOKUP(B375,'[1]Product by Part Number'!$A:$K,2,0)</f>
        <v xml:space="preserve">CAT 320E L (WBK)                  </v>
      </c>
      <c r="D375" s="54" t="str">
        <f>VLOOKUP(B375,'[1]Product by Part Number'!$A:$K,3,0)</f>
        <v>ENGINE OVERHAUL KIT</v>
      </c>
      <c r="E375" s="55">
        <f>VLOOKUP(B375,'[1]Product by Part Number'!$A:$K,11,0)</f>
        <v>2</v>
      </c>
      <c r="F375" s="56">
        <f>VLOOKUP(B375,'[1]Product by Part Number'!$A:$K,4,0)</f>
        <v>3792.79</v>
      </c>
      <c r="G375" s="56">
        <f t="shared" si="12"/>
        <v>7585.58</v>
      </c>
      <c r="H375" s="57">
        <f>VLOOKUP(B375,'[1]Product by Part Number'!$A:$K,5,0)</f>
        <v>1896.4</v>
      </c>
      <c r="I375" s="90">
        <f t="shared" si="13"/>
        <v>3792.8</v>
      </c>
    </row>
    <row r="376" spans="2:9" s="53" customFormat="1" x14ac:dyDescent="0.3">
      <c r="B376" s="79" t="s">
        <v>411</v>
      </c>
      <c r="C376" s="54" t="str">
        <f>VLOOKUP(B376,'[1]Product by Part Number'!$A:$K,2,0)</f>
        <v xml:space="preserve">CAT 320 (MYK)                  </v>
      </c>
      <c r="D376" s="54" t="str">
        <f>VLOOKUP(B376,'[1]Product by Part Number'!$A:$K,3,0)</f>
        <v>ENGINE REBUILD KIT</v>
      </c>
      <c r="E376" s="55">
        <f>VLOOKUP(B376,'[1]Product by Part Number'!$A:$K,11,0)</f>
        <v>2</v>
      </c>
      <c r="F376" s="56">
        <f>VLOOKUP(B376,'[1]Product by Part Number'!$A:$K,4,0)</f>
        <v>2889.4</v>
      </c>
      <c r="G376" s="56">
        <f t="shared" si="12"/>
        <v>5778.8</v>
      </c>
      <c r="H376" s="57">
        <f>VLOOKUP(B376,'[1]Product by Part Number'!$A:$K,5,0)</f>
        <v>1444.7</v>
      </c>
      <c r="I376" s="90">
        <f t="shared" si="13"/>
        <v>2889.4</v>
      </c>
    </row>
    <row r="377" spans="2:9" s="53" customFormat="1" x14ac:dyDescent="0.3">
      <c r="B377" s="79" t="s">
        <v>412</v>
      </c>
      <c r="C377" s="54" t="str">
        <f>VLOOKUP(B377,'[1]Product by Part Number'!$A:$K,2,0)</f>
        <v xml:space="preserve">CAT 561N (CPH)                  </v>
      </c>
      <c r="D377" s="54" t="str">
        <f>VLOOKUP(B377,'[1]Product by Part Number'!$A:$K,3,0)</f>
        <v>30" GQP TRACK GROUP</v>
      </c>
      <c r="E377" s="55">
        <f>VLOOKUP(B377,'[1]Product by Part Number'!$A:$K,11,0)</f>
        <v>10</v>
      </c>
      <c r="F377" s="56">
        <f>VLOOKUP(B377,'[1]Product by Part Number'!$A:$K,4,0)</f>
        <v>12613.63</v>
      </c>
      <c r="G377" s="56">
        <f t="shared" si="12"/>
        <v>126136.29999999999</v>
      </c>
      <c r="H377" s="57">
        <f>VLOOKUP(B377,'[1]Product by Part Number'!$A:$K,5,0)</f>
        <v>6306.82</v>
      </c>
      <c r="I377" s="90">
        <f t="shared" si="13"/>
        <v>63068.2</v>
      </c>
    </row>
    <row r="378" spans="2:9" s="53" customFormat="1" x14ac:dyDescent="0.3">
      <c r="B378" s="79" t="s">
        <v>413</v>
      </c>
      <c r="C378" s="54" t="str">
        <f>VLOOKUP(B378,'[1]Product by Part Number'!$A:$K,2,0)</f>
        <v xml:space="preserve">CAT 320F L (YBM) CAT 320 (HEX)                </v>
      </c>
      <c r="D378" s="54" t="str">
        <f>VLOOKUP(B378,'[1]Product by Part Number'!$A:$K,3,0)</f>
        <v>C4.4B REBUILD KIT</v>
      </c>
      <c r="E378" s="55">
        <f>VLOOKUP(B378,'[1]Product by Part Number'!$A:$K,11,0)</f>
        <v>2</v>
      </c>
      <c r="F378" s="56">
        <f>VLOOKUP(B378,'[1]Product by Part Number'!$A:$K,4,0)</f>
        <v>2512.7199999999998</v>
      </c>
      <c r="G378" s="56">
        <f t="shared" si="12"/>
        <v>5025.4399999999996</v>
      </c>
      <c r="H378" s="57">
        <f>VLOOKUP(B378,'[1]Product by Part Number'!$A:$K,5,0)</f>
        <v>1256.3599999999999</v>
      </c>
      <c r="I378" s="90">
        <f t="shared" si="13"/>
        <v>2512.7199999999998</v>
      </c>
    </row>
    <row r="379" spans="2:9" s="53" customFormat="1" x14ac:dyDescent="0.3">
      <c r="B379" s="79" t="s">
        <v>414</v>
      </c>
      <c r="C379" s="54" t="str">
        <f>VLOOKUP(B379,'[1]Product by Part Number'!$A:$K,2,0)</f>
        <v xml:space="preserve">CAT D3 (1PJ)                  </v>
      </c>
      <c r="D379" s="54" t="str">
        <f>VLOOKUP(B379,'[1]Product by Part Number'!$A:$K,3,0)</f>
        <v>GQP OVERHAUL KIT</v>
      </c>
      <c r="E379" s="55">
        <f>VLOOKUP(B379,'[1]Product by Part Number'!$A:$K,11,0)</f>
        <v>1</v>
      </c>
      <c r="F379" s="56">
        <f>VLOOKUP(B379,'[1]Product by Part Number'!$A:$K,4,0)</f>
        <v>4182.34</v>
      </c>
      <c r="G379" s="56">
        <f t="shared" si="12"/>
        <v>4182.34</v>
      </c>
      <c r="H379" s="57">
        <f>VLOOKUP(B379,'[1]Product by Part Number'!$A:$K,5,0)</f>
        <v>2091.17</v>
      </c>
      <c r="I379" s="90">
        <f t="shared" si="13"/>
        <v>2091.17</v>
      </c>
    </row>
    <row r="380" spans="2:9" s="53" customFormat="1" x14ac:dyDescent="0.3">
      <c r="B380" s="79" t="s">
        <v>415</v>
      </c>
      <c r="C380" s="54" t="str">
        <f>VLOOKUP(B380,'[1]Product by Part Number'!$A:$K,2,0)</f>
        <v xml:space="preserve">CAT D4 (66J)                  </v>
      </c>
      <c r="D380" s="54" t="str">
        <f>VLOOKUP(B380,'[1]Product by Part Number'!$A:$K,3,0)</f>
        <v>SEAT SUSPENSION ASSEMBLY</v>
      </c>
      <c r="E380" s="55">
        <f>VLOOKUP(B380,'[1]Product by Part Number'!$A:$K,11,0)</f>
        <v>1</v>
      </c>
      <c r="F380" s="56">
        <f>VLOOKUP(B380,'[1]Product by Part Number'!$A:$K,4,0)</f>
        <v>1021.54</v>
      </c>
      <c r="G380" s="56">
        <f t="shared" si="12"/>
        <v>1021.54</v>
      </c>
      <c r="H380" s="57">
        <f>VLOOKUP(B380,'[1]Product by Part Number'!$A:$K,5,0)</f>
        <v>510.77</v>
      </c>
      <c r="I380" s="90">
        <f t="shared" si="13"/>
        <v>510.77</v>
      </c>
    </row>
    <row r="381" spans="2:9" s="53" customFormat="1" x14ac:dyDescent="0.3">
      <c r="B381" s="79" t="s">
        <v>416</v>
      </c>
      <c r="C381" s="54" t="str">
        <f>VLOOKUP(B381,'[1]Product by Part Number'!$A:$K,2,0)</f>
        <v xml:space="preserve">CAT D5 (3CR)                  </v>
      </c>
      <c r="D381" s="54" t="str">
        <f>VLOOKUP(B381,'[1]Product by Part Number'!$A:$K,3,0)</f>
        <v>ANGLING BLADE ASSY</v>
      </c>
      <c r="E381" s="55">
        <f>VLOOKUP(B381,'[1]Product by Part Number'!$A:$K,11,0)</f>
        <v>2</v>
      </c>
      <c r="F381" s="56">
        <f>VLOOKUP(B381,'[1]Product by Part Number'!$A:$K,4,0)</f>
        <v>16888.900000000001</v>
      </c>
      <c r="G381" s="56">
        <f t="shared" si="12"/>
        <v>33777.800000000003</v>
      </c>
      <c r="H381" s="57">
        <f>VLOOKUP(B381,'[1]Product by Part Number'!$A:$K,5,0)</f>
        <v>6417.78</v>
      </c>
      <c r="I381" s="90">
        <f t="shared" si="13"/>
        <v>12835.56</v>
      </c>
    </row>
    <row r="382" spans="2:9" s="53" customFormat="1" x14ac:dyDescent="0.3">
      <c r="B382" s="79" t="s">
        <v>417</v>
      </c>
      <c r="C382" s="54" t="str">
        <f>VLOOKUP(B382,'[1]Product by Part Number'!$A:$K,2,0)</f>
        <v xml:space="preserve">CAT D5 (3CR)                  </v>
      </c>
      <c r="D382" s="54" t="str">
        <f>VLOOKUP(B382,'[1]Product by Part Number'!$A:$K,3,0)</f>
        <v xml:space="preserve">GQP ENGINE OVERHAUL KIT </v>
      </c>
      <c r="E382" s="55">
        <f>VLOOKUP(B382,'[1]Product by Part Number'!$A:$K,11,0)</f>
        <v>2</v>
      </c>
      <c r="F382" s="56">
        <f>VLOOKUP(B382,'[1]Product by Part Number'!$A:$K,4,0)</f>
        <v>5134.55</v>
      </c>
      <c r="G382" s="56">
        <f t="shared" si="12"/>
        <v>10269.1</v>
      </c>
      <c r="H382" s="57">
        <f>VLOOKUP(B382,'[1]Product by Part Number'!$A:$K,5,0)</f>
        <v>2567.2800000000002</v>
      </c>
      <c r="I382" s="90">
        <f t="shared" si="13"/>
        <v>5134.5600000000004</v>
      </c>
    </row>
    <row r="383" spans="2:9" s="53" customFormat="1" x14ac:dyDescent="0.3">
      <c r="B383" s="79" t="s">
        <v>418</v>
      </c>
      <c r="C383" s="54" t="str">
        <f>VLOOKUP(B383,'[1]Product by Part Number'!$A:$K,2,0)</f>
        <v xml:space="preserve">CAT D6 (RDC)                  </v>
      </c>
      <c r="D383" s="54" t="str">
        <f>VLOOKUP(B383,'[1]Product by Part Number'!$A:$K,3,0)</f>
        <v>30" GQP TRACK GROUP</v>
      </c>
      <c r="E383" s="55">
        <f>VLOOKUP(B383,'[1]Product by Part Number'!$A:$K,11,0)</f>
        <v>2</v>
      </c>
      <c r="F383" s="56">
        <f>VLOOKUP(B383,'[1]Product by Part Number'!$A:$K,4,0)</f>
        <v>10784.168</v>
      </c>
      <c r="G383" s="56">
        <f t="shared" si="12"/>
        <v>21568.335999999999</v>
      </c>
      <c r="H383" s="57">
        <f>VLOOKUP(B383,'[1]Product by Part Number'!$A:$K,5,0)</f>
        <v>5392.08</v>
      </c>
      <c r="I383" s="90">
        <f t="shared" si="13"/>
        <v>10784.16</v>
      </c>
    </row>
    <row r="384" spans="2:9" s="53" customFormat="1" x14ac:dyDescent="0.3">
      <c r="B384" s="79" t="s">
        <v>419</v>
      </c>
      <c r="C384" s="54" t="str">
        <f>VLOOKUP(B384,'[1]Product by Part Number'!$A:$K,2,0)</f>
        <v xml:space="preserve">CAT D7G (92V)                  </v>
      </c>
      <c r="D384" s="54" t="str">
        <f>VLOOKUP(B384,'[1]Product by Part Number'!$A:$K,3,0)</f>
        <v>30" GQP TRACK GROUP</v>
      </c>
      <c r="E384" s="55">
        <f>VLOOKUP(B384,'[1]Product by Part Number'!$A:$K,11,0)</f>
        <v>2</v>
      </c>
      <c r="F384" s="56">
        <f>VLOOKUP(B384,'[1]Product by Part Number'!$A:$K,4,0)</f>
        <v>8674.7200000000012</v>
      </c>
      <c r="G384" s="56">
        <f t="shared" si="12"/>
        <v>17349.440000000002</v>
      </c>
      <c r="H384" s="57">
        <f>VLOOKUP(B384,'[1]Product by Part Number'!$A:$K,5,0)</f>
        <v>4337.3599999999997</v>
      </c>
      <c r="I384" s="90">
        <f t="shared" si="13"/>
        <v>8674.7199999999993</v>
      </c>
    </row>
    <row r="385" spans="2:9" s="53" customFormat="1" x14ac:dyDescent="0.3">
      <c r="B385" s="79" t="s">
        <v>420</v>
      </c>
      <c r="C385" s="54" t="str">
        <f>VLOOKUP(B385,'[1]Product by Part Number'!$A:$K,2,0)</f>
        <v xml:space="preserve">CAT D7G (92V)                  </v>
      </c>
      <c r="D385" s="54" t="str">
        <f>VLOOKUP(B385,'[1]Product by Part Number'!$A:$K,3,0)</f>
        <v>SILVER ENGINE OVERHAUL KIT</v>
      </c>
      <c r="E385" s="55">
        <f>VLOOKUP(B385,'[1]Product by Part Number'!$A:$K,11,0)</f>
        <v>1</v>
      </c>
      <c r="F385" s="56">
        <f>VLOOKUP(B385,'[1]Product by Part Number'!$A:$K,4,0)</f>
        <v>6725.5</v>
      </c>
      <c r="G385" s="56">
        <f t="shared" si="12"/>
        <v>6725.5</v>
      </c>
      <c r="H385" s="57">
        <f>VLOOKUP(B385,'[1]Product by Part Number'!$A:$K,5,0)</f>
        <v>3362.75</v>
      </c>
      <c r="I385" s="90">
        <f t="shared" si="13"/>
        <v>3362.75</v>
      </c>
    </row>
    <row r="386" spans="2:9" s="53" customFormat="1" x14ac:dyDescent="0.3">
      <c r="B386" s="79" t="s">
        <v>421</v>
      </c>
      <c r="C386" s="54" t="str">
        <f>VLOOKUP(B386,'[1]Product by Part Number'!$A:$K,2,0)</f>
        <v xml:space="preserve">CAT PL61 (WGS)                  </v>
      </c>
      <c r="D386" s="54" t="str">
        <f>VLOOKUP(B386,'[1]Product by Part Number'!$A:$K,3,0)</f>
        <v>30" GQP TRACK GROUP</v>
      </c>
      <c r="E386" s="55">
        <f>VLOOKUP(B386,'[1]Product by Part Number'!$A:$K,11,0)</f>
        <v>6</v>
      </c>
      <c r="F386" s="56">
        <f>VLOOKUP(B386,'[1]Product by Part Number'!$A:$K,4,0)</f>
        <v>8945.7099999999991</v>
      </c>
      <c r="G386" s="56">
        <f t="shared" si="12"/>
        <v>53674.259999999995</v>
      </c>
      <c r="H386" s="57">
        <f>VLOOKUP(B386,'[1]Product by Part Number'!$A:$K,5,0)</f>
        <v>4472.8599999999997</v>
      </c>
      <c r="I386" s="90">
        <f t="shared" si="13"/>
        <v>26837.16</v>
      </c>
    </row>
    <row r="387" spans="2:9" x14ac:dyDescent="0.3">
      <c r="B387" s="155"/>
      <c r="C387" s="156"/>
      <c r="D387" s="156"/>
      <c r="E387" s="156"/>
      <c r="F387" s="157"/>
      <c r="G387" s="27"/>
      <c r="H387" s="28" t="s">
        <v>17</v>
      </c>
      <c r="I387" s="108">
        <f>SUM(I15:I386)</f>
        <v>2670325.0500000017</v>
      </c>
    </row>
    <row r="388" spans="2:9" x14ac:dyDescent="0.3">
      <c r="B388" s="93"/>
      <c r="C388" s="31"/>
      <c r="D388" s="32" t="s">
        <v>18</v>
      </c>
      <c r="E388" s="142">
        <f>SUM(G15:G386)</f>
        <v>5461186.0960000074</v>
      </c>
      <c r="F388" s="158"/>
      <c r="G388" s="33"/>
      <c r="H388" s="28" t="s">
        <v>19</v>
      </c>
      <c r="I388" s="98">
        <v>0</v>
      </c>
    </row>
    <row r="389" spans="2:9" x14ac:dyDescent="0.3">
      <c r="B389" s="93"/>
      <c r="C389" s="31"/>
      <c r="D389" s="32" t="s">
        <v>20</v>
      </c>
      <c r="E389" s="142">
        <f>SUM(I15:I386)</f>
        <v>2670325.0500000017</v>
      </c>
      <c r="F389" s="158"/>
      <c r="G389" s="33"/>
      <c r="H389" s="35" t="s">
        <v>21</v>
      </c>
      <c r="I389" s="98">
        <v>0</v>
      </c>
    </row>
    <row r="390" spans="2:9" x14ac:dyDescent="0.3">
      <c r="B390" s="93"/>
      <c r="C390" s="31"/>
      <c r="D390" s="32" t="s">
        <v>22</v>
      </c>
      <c r="E390" s="122">
        <f>E388-E389</f>
        <v>2790861.0460000057</v>
      </c>
      <c r="F390" s="153"/>
      <c r="G390" s="36"/>
      <c r="H390" s="28" t="s">
        <v>23</v>
      </c>
      <c r="I390" s="100">
        <f>SUM(I387:I389)</f>
        <v>2670325.0500000017</v>
      </c>
    </row>
    <row r="391" spans="2:9" x14ac:dyDescent="0.3">
      <c r="B391" s="93"/>
      <c r="C391" s="31"/>
      <c r="D391" s="32"/>
      <c r="E391" s="124"/>
      <c r="F391" s="154"/>
      <c r="G391" s="38"/>
      <c r="H391" s="28" t="s">
        <v>24</v>
      </c>
      <c r="I391" s="100">
        <f>I390*0.05</f>
        <v>133516.25250000009</v>
      </c>
    </row>
    <row r="392" spans="2:9" x14ac:dyDescent="0.3">
      <c r="B392" s="93"/>
      <c r="C392" s="31"/>
      <c r="D392" s="39"/>
      <c r="E392" s="39"/>
      <c r="F392" s="40"/>
      <c r="G392" s="40"/>
      <c r="H392" s="28" t="s">
        <v>25</v>
      </c>
      <c r="I392" s="98"/>
    </row>
    <row r="393" spans="2:9" ht="16.2" thickBot="1" x14ac:dyDescent="0.35">
      <c r="B393" s="113" t="s">
        <v>26</v>
      </c>
      <c r="C393" s="114"/>
      <c r="D393" s="114"/>
      <c r="E393" s="114"/>
      <c r="F393" s="152"/>
      <c r="G393" s="109"/>
      <c r="H393" s="110" t="s">
        <v>27</v>
      </c>
      <c r="I393" s="102">
        <f>SUM(I390:I392)</f>
        <v>2803841.3025000016</v>
      </c>
    </row>
    <row r="394" spans="2:9" x14ac:dyDescent="0.3">
      <c r="I394" s="47"/>
    </row>
    <row r="395" spans="2:9" x14ac:dyDescent="0.3">
      <c r="I395" s="47"/>
    </row>
    <row r="396" spans="2:9" x14ac:dyDescent="0.3">
      <c r="I396" s="47"/>
    </row>
    <row r="397" spans="2:9" x14ac:dyDescent="0.3">
      <c r="I397" s="47"/>
    </row>
    <row r="398" spans="2:9" x14ac:dyDescent="0.3">
      <c r="I398" s="47"/>
    </row>
    <row r="399" spans="2:9" x14ac:dyDescent="0.3">
      <c r="I399" s="47"/>
    </row>
    <row r="400" spans="2:9" x14ac:dyDescent="0.3">
      <c r="I400" s="47"/>
    </row>
    <row r="401" spans="9:9" x14ac:dyDescent="0.3">
      <c r="I401" s="47"/>
    </row>
    <row r="402" spans="9:9" x14ac:dyDescent="0.3">
      <c r="I402" s="47"/>
    </row>
    <row r="403" spans="9:9" x14ac:dyDescent="0.3">
      <c r="I403" s="47"/>
    </row>
    <row r="404" spans="9:9" x14ac:dyDescent="0.3">
      <c r="I404" s="47"/>
    </row>
    <row r="405" spans="9:9" x14ac:dyDescent="0.3">
      <c r="I405" s="47"/>
    </row>
    <row r="406" spans="9:9" x14ac:dyDescent="0.3">
      <c r="I406" s="47"/>
    </row>
    <row r="407" spans="9:9" x14ac:dyDescent="0.3">
      <c r="I407" s="47"/>
    </row>
  </sheetData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393:F393"/>
    <mergeCell ref="F13:I13"/>
    <mergeCell ref="B387:F387"/>
    <mergeCell ref="E388:F388"/>
    <mergeCell ref="E389:F389"/>
    <mergeCell ref="E390:F390"/>
    <mergeCell ref="E391:F391"/>
  </mergeCells>
  <phoneticPr fontId="16" type="noConversion"/>
  <hyperlinks>
    <hyperlink ref="H9" r:id="rId1" xr:uid="{821FCB9B-2056-49D3-B452-317CDA274C49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A8376-DD3C-4FED-B721-B7ABE66EF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MOQ Batteries</vt:lpstr>
      <vt:lpstr>MOQ GET Parts</vt:lpstr>
      <vt:lpstr>MOQ SEAT</vt:lpstr>
      <vt:lpstr>MOQ Seats</vt:lpstr>
      <vt:lpstr>MOQ Undercarriage</vt:lpstr>
      <vt:lpstr>MOQ Grand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2024-06-05T20:54:10Z</cp:lastPrinted>
  <dcterms:created xsi:type="dcterms:W3CDTF">2024-03-27T02:49:14Z</dcterms:created>
  <dcterms:modified xsi:type="dcterms:W3CDTF">2025-09-10T21:32:34Z</dcterms:modified>
</cp:coreProperties>
</file>