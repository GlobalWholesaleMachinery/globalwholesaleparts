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ushil\Downloads\"/>
    </mc:Choice>
  </mc:AlternateContent>
  <xr:revisionPtr revIDLastSave="0" documentId="13_ncr:1_{A7E8B100-78D9-496C-B3DF-7298B2683FAD}" xr6:coauthVersionLast="47" xr6:coauthVersionMax="47" xr10:uidLastSave="{00000000-0000-0000-0000-000000000000}"/>
  <bookViews>
    <workbookView xWindow="-108" yWindow="-108" windowWidth="23256" windowHeight="12456" firstSheet="1" activeTab="1" xr2:uid="{EAC116F2-D257-4308-B3E1-626B33CB1430}"/>
  </bookViews>
  <sheets>
    <sheet name="Instructions" sheetId="6" r:id="rId1"/>
    <sheet name="CAT 561M (1KW)" sheetId="5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2" i="53" l="1"/>
  <c r="G62" i="53"/>
  <c r="F62" i="53"/>
  <c r="P11" i="53" s="1"/>
  <c r="L61" i="53"/>
  <c r="K61" i="53"/>
  <c r="L60" i="53"/>
  <c r="M60" i="53" s="1"/>
  <c r="K60" i="53"/>
  <c r="L59" i="53"/>
  <c r="K59" i="53"/>
  <c r="M59" i="53" s="1"/>
  <c r="L58" i="53"/>
  <c r="K58" i="53"/>
  <c r="L57" i="53"/>
  <c r="K57" i="53"/>
  <c r="M57" i="53" s="1"/>
  <c r="L56" i="53"/>
  <c r="K56" i="53"/>
  <c r="M56" i="53" s="1"/>
  <c r="L55" i="53"/>
  <c r="K55" i="53"/>
  <c r="L54" i="53"/>
  <c r="K54" i="53"/>
  <c r="L53" i="53"/>
  <c r="K53" i="53"/>
  <c r="L52" i="53"/>
  <c r="K52" i="53"/>
  <c r="L51" i="53"/>
  <c r="K51" i="53"/>
  <c r="M51" i="53" s="1"/>
  <c r="L50" i="53"/>
  <c r="K50" i="53"/>
  <c r="L49" i="53"/>
  <c r="K49" i="53"/>
  <c r="L48" i="53"/>
  <c r="K48" i="53"/>
  <c r="L47" i="53"/>
  <c r="K47" i="53"/>
  <c r="L46" i="53"/>
  <c r="K46" i="53"/>
  <c r="L45" i="53"/>
  <c r="K45" i="53"/>
  <c r="M45" i="53" s="1"/>
  <c r="L44" i="53"/>
  <c r="K44" i="53"/>
  <c r="L43" i="53"/>
  <c r="K43" i="53"/>
  <c r="M43" i="53" s="1"/>
  <c r="L42" i="53"/>
  <c r="K42" i="53"/>
  <c r="L41" i="53"/>
  <c r="K41" i="53"/>
  <c r="L40" i="53"/>
  <c r="K40" i="53"/>
  <c r="L39" i="53"/>
  <c r="K39" i="53"/>
  <c r="L38" i="53"/>
  <c r="K38" i="53"/>
  <c r="M38" i="53" s="1"/>
  <c r="L37" i="53"/>
  <c r="K37" i="53"/>
  <c r="L36" i="53"/>
  <c r="K36" i="53"/>
  <c r="L35" i="53"/>
  <c r="K35" i="53"/>
  <c r="M35" i="53" s="1"/>
  <c r="L34" i="53"/>
  <c r="K34" i="53"/>
  <c r="L33" i="53"/>
  <c r="K33" i="53"/>
  <c r="L32" i="53"/>
  <c r="K32" i="53"/>
  <c r="L31" i="53"/>
  <c r="K31" i="53"/>
  <c r="L30" i="53"/>
  <c r="K30" i="53"/>
  <c r="L29" i="53"/>
  <c r="K29" i="53"/>
  <c r="L28" i="53"/>
  <c r="K28" i="53"/>
  <c r="L27" i="53"/>
  <c r="K27" i="53"/>
  <c r="K26" i="53"/>
  <c r="L25" i="53"/>
  <c r="K25" i="53"/>
  <c r="L24" i="53"/>
  <c r="K24" i="53"/>
  <c r="L23" i="53"/>
  <c r="K23" i="53"/>
  <c r="L22" i="53"/>
  <c r="K22" i="53"/>
  <c r="M22" i="53" s="1"/>
  <c r="L21" i="53"/>
  <c r="K21" i="53"/>
  <c r="L20" i="53"/>
  <c r="K20" i="53"/>
  <c r="L19" i="53"/>
  <c r="K19" i="53"/>
  <c r="R18" i="53"/>
  <c r="R60" i="53" s="1"/>
  <c r="I18" i="53"/>
  <c r="H18" i="53"/>
  <c r="E16" i="53"/>
  <c r="H60" i="53" s="1"/>
  <c r="P1" i="53"/>
  <c r="P8" i="53" s="1"/>
  <c r="M52" i="53" l="1"/>
  <c r="M50" i="53"/>
  <c r="M48" i="53"/>
  <c r="M54" i="53"/>
  <c r="T35" i="53"/>
  <c r="S35" i="53" s="1"/>
  <c r="R41" i="53"/>
  <c r="R20" i="53"/>
  <c r="R26" i="53"/>
  <c r="L26" i="53" s="1"/>
  <c r="U26" i="53" s="1"/>
  <c r="M32" i="53"/>
  <c r="R47" i="53"/>
  <c r="U47" i="53" s="1"/>
  <c r="M58" i="53"/>
  <c r="R29" i="53"/>
  <c r="V29" i="53" s="1"/>
  <c r="R50" i="53"/>
  <c r="R53" i="53"/>
  <c r="V53" i="53" s="1"/>
  <c r="R38" i="53"/>
  <c r="V38" i="53" s="1"/>
  <c r="R35" i="53"/>
  <c r="U35" i="53" s="1"/>
  <c r="R56" i="53"/>
  <c r="T56" i="53" s="1"/>
  <c r="S56" i="53" s="1"/>
  <c r="R32" i="53"/>
  <c r="V32" i="53" s="1"/>
  <c r="I57" i="53"/>
  <c r="V35" i="53"/>
  <c r="V20" i="53"/>
  <c r="M30" i="53"/>
  <c r="V56" i="53"/>
  <c r="M41" i="53"/>
  <c r="T41" i="53" s="1"/>
  <c r="S41" i="53" s="1"/>
  <c r="M36" i="53"/>
  <c r="M47" i="53"/>
  <c r="M42" i="53"/>
  <c r="M53" i="53"/>
  <c r="I61" i="53"/>
  <c r="M23" i="53"/>
  <c r="R23" i="53"/>
  <c r="V23" i="53" s="1"/>
  <c r="M44" i="53"/>
  <c r="R59" i="53"/>
  <c r="V59" i="53" s="1"/>
  <c r="K62" i="53"/>
  <c r="M39" i="53"/>
  <c r="R44" i="53"/>
  <c r="V44" i="53" s="1"/>
  <c r="M55" i="53"/>
  <c r="M34" i="53"/>
  <c r="M46" i="53"/>
  <c r="M24" i="53"/>
  <c r="M40" i="53"/>
  <c r="M33" i="53"/>
  <c r="M31" i="53"/>
  <c r="M49" i="53"/>
  <c r="M29" i="53"/>
  <c r="M28" i="53"/>
  <c r="M27" i="53"/>
  <c r="M25" i="53"/>
  <c r="M21" i="53"/>
  <c r="M20" i="53"/>
  <c r="T20" i="53" s="1"/>
  <c r="S20" i="53" s="1"/>
  <c r="M37" i="53"/>
  <c r="T37" i="53" s="1"/>
  <c r="S37" i="53" s="1"/>
  <c r="V51" i="53"/>
  <c r="T60" i="53"/>
  <c r="S60" i="53" s="1"/>
  <c r="I30" i="53"/>
  <c r="I36" i="53"/>
  <c r="I39" i="53"/>
  <c r="I45" i="53"/>
  <c r="I48" i="53"/>
  <c r="M19" i="53"/>
  <c r="H20" i="53"/>
  <c r="H23" i="53"/>
  <c r="H26" i="53"/>
  <c r="H29" i="53"/>
  <c r="H32" i="53"/>
  <c r="H35" i="53"/>
  <c r="H38" i="53"/>
  <c r="H41" i="53"/>
  <c r="H44" i="53"/>
  <c r="H47" i="53"/>
  <c r="H50" i="53"/>
  <c r="H53" i="53"/>
  <c r="H56" i="53"/>
  <c r="H59" i="53"/>
  <c r="U60" i="53"/>
  <c r="M61" i="53"/>
  <c r="I42" i="53"/>
  <c r="I60" i="53"/>
  <c r="R19" i="53"/>
  <c r="V19" i="53" s="1"/>
  <c r="I20" i="53"/>
  <c r="R22" i="53"/>
  <c r="U22" i="53" s="1"/>
  <c r="I23" i="53"/>
  <c r="R25" i="53"/>
  <c r="T25" i="53" s="1"/>
  <c r="S25" i="53" s="1"/>
  <c r="I26" i="53"/>
  <c r="R28" i="53"/>
  <c r="U28" i="53" s="1"/>
  <c r="I29" i="53"/>
  <c r="R31" i="53"/>
  <c r="U31" i="53" s="1"/>
  <c r="I32" i="53"/>
  <c r="R34" i="53"/>
  <c r="I35" i="53"/>
  <c r="R37" i="53"/>
  <c r="U37" i="53" s="1"/>
  <c r="I38" i="53"/>
  <c r="R40" i="53"/>
  <c r="U40" i="53" s="1"/>
  <c r="I41" i="53"/>
  <c r="R43" i="53"/>
  <c r="U43" i="53" s="1"/>
  <c r="I44" i="53"/>
  <c r="R46" i="53"/>
  <c r="U46" i="53" s="1"/>
  <c r="I47" i="53"/>
  <c r="R49" i="53"/>
  <c r="U49" i="53" s="1"/>
  <c r="I50" i="53"/>
  <c r="R52" i="53"/>
  <c r="T52" i="53" s="1"/>
  <c r="S52" i="53" s="1"/>
  <c r="I53" i="53"/>
  <c r="R55" i="53"/>
  <c r="U55" i="53" s="1"/>
  <c r="I56" i="53"/>
  <c r="R58" i="53"/>
  <c r="I59" i="53"/>
  <c r="V60" i="53"/>
  <c r="R61" i="53"/>
  <c r="U61" i="53" s="1"/>
  <c r="I27" i="53"/>
  <c r="I33" i="53"/>
  <c r="I51" i="53"/>
  <c r="I54" i="53"/>
  <c r="V55" i="53"/>
  <c r="H19" i="53"/>
  <c r="U20" i="53"/>
  <c r="H22" i="53"/>
  <c r="U23" i="53"/>
  <c r="H25" i="53"/>
  <c r="H28" i="53"/>
  <c r="H31" i="53"/>
  <c r="U32" i="53"/>
  <c r="H34" i="53"/>
  <c r="H37" i="53"/>
  <c r="H40" i="53"/>
  <c r="U41" i="53"/>
  <c r="H43" i="53"/>
  <c r="H46" i="53"/>
  <c r="H49" i="53"/>
  <c r="H52" i="53"/>
  <c r="H55" i="53"/>
  <c r="U56" i="53"/>
  <c r="H58" i="53"/>
  <c r="H61" i="53"/>
  <c r="I19" i="53"/>
  <c r="R21" i="53"/>
  <c r="I22" i="53"/>
  <c r="R24" i="53"/>
  <c r="V24" i="53" s="1"/>
  <c r="I25" i="53"/>
  <c r="R27" i="53"/>
  <c r="U27" i="53" s="1"/>
  <c r="I28" i="53"/>
  <c r="R30" i="53"/>
  <c r="V30" i="53" s="1"/>
  <c r="I31" i="53"/>
  <c r="R33" i="53"/>
  <c r="V33" i="53" s="1"/>
  <c r="I34" i="53"/>
  <c r="R36" i="53"/>
  <c r="U36" i="53" s="1"/>
  <c r="I37" i="53"/>
  <c r="R39" i="53"/>
  <c r="I40" i="53"/>
  <c r="V41" i="53"/>
  <c r="R42" i="53"/>
  <c r="V42" i="53" s="1"/>
  <c r="I43" i="53"/>
  <c r="R45" i="53"/>
  <c r="T45" i="53" s="1"/>
  <c r="S45" i="53" s="1"/>
  <c r="I46" i="53"/>
  <c r="V47" i="53"/>
  <c r="R48" i="53"/>
  <c r="T48" i="53" s="1"/>
  <c r="S48" i="53" s="1"/>
  <c r="I49" i="53"/>
  <c r="V50" i="53"/>
  <c r="R51" i="53"/>
  <c r="U51" i="53" s="1"/>
  <c r="I52" i="53"/>
  <c r="R54" i="53"/>
  <c r="U54" i="53" s="1"/>
  <c r="I55" i="53"/>
  <c r="R57" i="53"/>
  <c r="T57" i="53" s="1"/>
  <c r="S57" i="53" s="1"/>
  <c r="I58" i="53"/>
  <c r="I21" i="53"/>
  <c r="I24" i="53"/>
  <c r="H21" i="53"/>
  <c r="H24" i="53"/>
  <c r="H27" i="53"/>
  <c r="H30" i="53"/>
  <c r="H33" i="53"/>
  <c r="H36" i="53"/>
  <c r="H39" i="53"/>
  <c r="H42" i="53"/>
  <c r="H45" i="53"/>
  <c r="H48" i="53"/>
  <c r="H51" i="53"/>
  <c r="H54" i="53"/>
  <c r="H57" i="53"/>
  <c r="T46" i="53" l="1"/>
  <c r="S46" i="53" s="1"/>
  <c r="T58" i="53"/>
  <c r="S58" i="53" s="1"/>
  <c r="V61" i="53"/>
  <c r="T51" i="53"/>
  <c r="S51" i="53" s="1"/>
  <c r="T31" i="53"/>
  <c r="S31" i="53" s="1"/>
  <c r="T30" i="53"/>
  <c r="S30" i="53" s="1"/>
  <c r="T39" i="53"/>
  <c r="S39" i="53" s="1"/>
  <c r="V52" i="53"/>
  <c r="V46" i="53"/>
  <c r="V45" i="53"/>
  <c r="T50" i="53"/>
  <c r="S50" i="53" s="1"/>
  <c r="T32" i="53"/>
  <c r="S32" i="53" s="1"/>
  <c r="V25" i="53"/>
  <c r="U38" i="53"/>
  <c r="U25" i="53"/>
  <c r="T38" i="53"/>
  <c r="S38" i="53" s="1"/>
  <c r="U48" i="53"/>
  <c r="T43" i="53"/>
  <c r="S43" i="53" s="1"/>
  <c r="U53" i="53"/>
  <c r="L62" i="53"/>
  <c r="T34" i="53"/>
  <c r="S34" i="53" s="1"/>
  <c r="U45" i="53"/>
  <c r="T29" i="53"/>
  <c r="S29" i="53" s="1"/>
  <c r="T59" i="53"/>
  <c r="S59" i="53" s="1"/>
  <c r="U50" i="53"/>
  <c r="T22" i="53"/>
  <c r="S22" i="53" s="1"/>
  <c r="U29" i="53"/>
  <c r="T55" i="53"/>
  <c r="S55" i="53" s="1"/>
  <c r="T53" i="53"/>
  <c r="S53" i="53" s="1"/>
  <c r="V31" i="53"/>
  <c r="V22" i="53"/>
  <c r="T47" i="53"/>
  <c r="S47" i="53" s="1"/>
  <c r="U44" i="53"/>
  <c r="U39" i="53"/>
  <c r="T24" i="53"/>
  <c r="S24" i="53" s="1"/>
  <c r="M26" i="53"/>
  <c r="T26" i="53" s="1"/>
  <c r="S26" i="53" s="1"/>
  <c r="V26" i="53"/>
  <c r="U59" i="53"/>
  <c r="V37" i="53"/>
  <c r="T44" i="53"/>
  <c r="S44" i="53" s="1"/>
  <c r="U30" i="53"/>
  <c r="V39" i="53"/>
  <c r="T23" i="53"/>
  <c r="S23" i="53" s="1"/>
  <c r="U52" i="53"/>
  <c r="T54" i="53"/>
  <c r="S54" i="53" s="1"/>
  <c r="T21" i="53"/>
  <c r="S21" i="53" s="1"/>
  <c r="I62" i="53"/>
  <c r="P2" i="53" s="1"/>
  <c r="V48" i="53"/>
  <c r="V27" i="53"/>
  <c r="V54" i="53"/>
  <c r="V43" i="53"/>
  <c r="U42" i="53"/>
  <c r="U33" i="53"/>
  <c r="U24" i="53"/>
  <c r="V49" i="53"/>
  <c r="V21" i="53"/>
  <c r="U58" i="53"/>
  <c r="T42" i="53"/>
  <c r="S42" i="53" s="1"/>
  <c r="U19" i="53"/>
  <c r="V58" i="53"/>
  <c r="V28" i="53"/>
  <c r="T61" i="53"/>
  <c r="S61" i="53" s="1"/>
  <c r="U34" i="53"/>
  <c r="T49" i="53"/>
  <c r="S49" i="53" s="1"/>
  <c r="V40" i="53"/>
  <c r="V36" i="53"/>
  <c r="T36" i="53"/>
  <c r="S36" i="53" s="1"/>
  <c r="T33" i="53"/>
  <c r="S33" i="53" s="1"/>
  <c r="T40" i="53"/>
  <c r="S40" i="53" s="1"/>
  <c r="H62" i="53"/>
  <c r="R62" i="53"/>
  <c r="V34" i="53"/>
  <c r="U57" i="53"/>
  <c r="U21" i="53"/>
  <c r="V57" i="53"/>
  <c r="T28" i="53"/>
  <c r="S28" i="53" s="1"/>
  <c r="T27" i="53"/>
  <c r="S27" i="53" s="1"/>
  <c r="T19" i="53"/>
  <c r="M62" i="53" l="1"/>
  <c r="P3" i="53" s="1"/>
  <c r="P4" i="53" s="1"/>
  <c r="T62" i="53"/>
  <c r="P6" i="53" s="1"/>
  <c r="S19" i="53"/>
  <c r="S62" i="53" s="1"/>
  <c r="V15" i="53"/>
  <c r="P9" i="53" s="1"/>
  <c r="P7" i="53"/>
  <c r="S9" i="53" s="1"/>
  <c r="P5" i="53" l="1"/>
  <c r="T9" i="53"/>
  <c r="V9" i="53" s="1"/>
  <c r="U9" i="53"/>
</calcChain>
</file>

<file path=xl/sharedStrings.xml><?xml version="1.0" encoding="utf-8"?>
<sst xmlns="http://schemas.openxmlformats.org/spreadsheetml/2006/main" count="247" uniqueCount="193">
  <si>
    <t>PART NUMBER</t>
  </si>
  <si>
    <t>DESCRIPTION</t>
  </si>
  <si>
    <t>QTY</t>
  </si>
  <si>
    <t>UNIT PRICE</t>
  </si>
  <si>
    <t>EXTENDED AMOUNT</t>
  </si>
  <si>
    <t>VENDOR</t>
  </si>
  <si>
    <t xml:space="preserve">UNIT PRICE </t>
  </si>
  <si>
    <t>CAD $</t>
  </si>
  <si>
    <t>USD $</t>
  </si>
  <si>
    <t>EXT AMOUNT</t>
  </si>
  <si>
    <t>DATE:</t>
  </si>
  <si>
    <t>COMPANY:</t>
  </si>
  <si>
    <t>SALES REP:</t>
  </si>
  <si>
    <t>YEAR</t>
  </si>
  <si>
    <t>MAKE</t>
  </si>
  <si>
    <t>MODEL</t>
  </si>
  <si>
    <t>SERIAL NUMBER</t>
  </si>
  <si>
    <t>Global Wholesale Machinery Inc.</t>
  </si>
  <si>
    <t>MACHINE INFORMATION</t>
  </si>
  <si>
    <t>OEM MSRP</t>
  </si>
  <si>
    <t>ENGINE OIL</t>
  </si>
  <si>
    <t>ENGINE AIR</t>
  </si>
  <si>
    <t>MACHINE SERVICE HR INTERVALS</t>
  </si>
  <si>
    <t>SALES REP</t>
  </si>
  <si>
    <t>GQP LIST</t>
  </si>
  <si>
    <t>% SAVINGS</t>
  </si>
  <si>
    <t>SUMMARY</t>
  </si>
  <si>
    <t>$ SAVINGS</t>
  </si>
  <si>
    <t>FUEL FILTERS</t>
  </si>
  <si>
    <t>HYDRAULIC FILTERS</t>
  </si>
  <si>
    <t>TRANSMISSION FILTERS</t>
  </si>
  <si>
    <t>CAB FILTERS</t>
  </si>
  <si>
    <t>CURRENT HOURS</t>
  </si>
  <si>
    <t>YES</t>
  </si>
  <si>
    <t>NO</t>
  </si>
  <si>
    <t>CAD-USD</t>
  </si>
  <si>
    <t>USD-CAD</t>
  </si>
  <si>
    <t>ENTER EXCHANGE RATES $</t>
  </si>
  <si>
    <t>SERVICE INTERVAL</t>
  </si>
  <si>
    <t>TOTALS</t>
  </si>
  <si>
    <t>UNDERCARRIAGE / TIRES</t>
  </si>
  <si>
    <t>UNIT #</t>
  </si>
  <si>
    <t>CUSTOMER INFORMATION</t>
  </si>
  <si>
    <t>COST ANALYSIS</t>
  </si>
  <si>
    <t>CUSTOMER SELL PRICE</t>
  </si>
  <si>
    <t>GQP</t>
  </si>
  <si>
    <t>CTP</t>
  </si>
  <si>
    <t>BLMQ</t>
  </si>
  <si>
    <t>FINNING</t>
  </si>
  <si>
    <t>BRANDT</t>
  </si>
  <si>
    <t>PTI</t>
  </si>
  <si>
    <t>AS REQ'D</t>
  </si>
  <si>
    <t>CAT</t>
  </si>
  <si>
    <t>JD</t>
  </si>
  <si>
    <t>CONEQUIP</t>
  </si>
  <si>
    <t>CANDY</t>
  </si>
  <si>
    <t>U/C</t>
  </si>
  <si>
    <t>ENGINE SER NUMBER</t>
  </si>
  <si>
    <t>USAGE/MONTH</t>
  </si>
  <si>
    <t>MARGIN %</t>
  </si>
  <si>
    <t>PAYMENT TYPE</t>
  </si>
  <si>
    <t>DATE DELIVERED</t>
  </si>
  <si>
    <t>ORDER PO #</t>
  </si>
  <si>
    <t>PROJECT #</t>
  </si>
  <si>
    <t>CUST INVOICE #</t>
  </si>
  <si>
    <t xml:space="preserve">MARKUP % </t>
  </si>
  <si>
    <t>BROKERAGE FEES</t>
  </si>
  <si>
    <t>TOTAL COST</t>
  </si>
  <si>
    <t>NET MARGIN</t>
  </si>
  <si>
    <t>NET MARGIN %</t>
  </si>
  <si>
    <t>TOTAL CUSTOMS/BROKERAGE</t>
  </si>
  <si>
    <t>TOTAL ORDER MARGIN</t>
  </si>
  <si>
    <t>TOTAL ORDER FREIGHT</t>
  </si>
  <si>
    <t>NET MARKUP %</t>
  </si>
  <si>
    <t>COST EACH</t>
  </si>
  <si>
    <t>MARGIN EACH</t>
  </si>
  <si>
    <t>EXTENDED COST</t>
  </si>
  <si>
    <t>EXTENDED MARGIN</t>
  </si>
  <si>
    <t>COMPLETED DEAL INFORMATION</t>
  </si>
  <si>
    <t>MARKUP LESS THAN 100% REQUIRES MANAGER APPROVAL</t>
  </si>
  <si>
    <t>TOTAL ITEM COST</t>
  </si>
  <si>
    <t>CUSTOMS AND BROKERAGE  %</t>
  </si>
  <si>
    <t>SHOW OEM MSRP ON QUOTE:</t>
  </si>
  <si>
    <t>TOTAL NUMBER PIECES</t>
  </si>
  <si>
    <t>CUSTOMER:</t>
  </si>
  <si>
    <t>PHONE:</t>
  </si>
  <si>
    <t>EMAIL:</t>
  </si>
  <si>
    <t>OEM Compareson Spreadsheet Instructions</t>
  </si>
  <si>
    <t>Customer Information Section</t>
  </si>
  <si>
    <t>Must be fully completed in OEM COMPARISON TAB.</t>
  </si>
  <si>
    <t>Machine Information Section</t>
  </si>
  <si>
    <t>Optional - depends on customer request.</t>
  </si>
  <si>
    <t>Machine Service Interval Section</t>
  </si>
  <si>
    <t>Parts Pricing and Cost Section</t>
  </si>
  <si>
    <t>Description - Description of Part</t>
  </si>
  <si>
    <t>Vendor - Name of the Vendor where we acquire parts from</t>
  </si>
  <si>
    <t>OEM Name - Name of OEM Manufacturer used for MSRP comparison</t>
  </si>
  <si>
    <t>NET MARGIN% for each quote must be over 50% otherwise need approval from Quinten.</t>
  </si>
  <si>
    <t>NET MARKUP% for each quote must be over 100% otherwise need approval from Quinten.</t>
  </si>
  <si>
    <t>1) Show or Hide OEM Comparison in Quote or Service Quote to cusomter.</t>
  </si>
  <si>
    <t>Select from drop down option at cell J13</t>
  </si>
  <si>
    <t>2) Enter OEM pricing in USD or CAD.</t>
  </si>
  <si>
    <t>3) Provide customer quotes in USD or CAD.</t>
  </si>
  <si>
    <t>Select from drop down option at cell G17</t>
  </si>
  <si>
    <t>FREIGHT TOTAL ORDER</t>
  </si>
  <si>
    <t>OEM NAME</t>
  </si>
  <si>
    <t>Select from drop down option at cell L17</t>
  </si>
  <si>
    <t>4) Enter Vendor pricing in USD or CAD.</t>
  </si>
  <si>
    <t>Select from drop down option at cell Q17</t>
  </si>
  <si>
    <t>Information entered will be automatically transferred to RFQ, QUOTE, and SERVICE QUOTE tab.</t>
  </si>
  <si>
    <t>Information entered will be automatically transferred to QUOTE, and SERVICE QUOTE tab.</t>
  </si>
  <si>
    <t>Customer Information will not be transferred to RFQ tab as we do not give out customer information to vendors.</t>
  </si>
  <si>
    <t>For internal use only. Information entered will not be transferred to RFQ, QUOTE, and SERVICE QUOTE tab.</t>
  </si>
  <si>
    <t>Part Number - OEM Part Number (with exception to UC and Tires)</t>
  </si>
  <si>
    <t>Freight Cost - Vendor shipping cost.</t>
  </si>
  <si>
    <t>Customizable Features</t>
  </si>
  <si>
    <t>CUSTOMER TYPE/TIER</t>
  </si>
  <si>
    <t>IE: VIP - Gold</t>
  </si>
  <si>
    <t>PRCING METHOD
%OEM / MARKUP</t>
  </si>
  <si>
    <t>OEM DISC % / MARKUP %</t>
  </si>
  <si>
    <t>OEM DISC %</t>
  </si>
  <si>
    <t>MARKUP %</t>
  </si>
  <si>
    <t>APRIL 10TH 2025</t>
  </si>
  <si>
    <t>LINCOLN COUNTY OILFIELD SERVICES</t>
  </si>
  <si>
    <t>DUSTIN MINNS</t>
  </si>
  <si>
    <t>780-609-0758</t>
  </si>
  <si>
    <t>D.MINNS@LCOS.CA</t>
  </si>
  <si>
    <t>CASEY GUAY</t>
  </si>
  <si>
    <t>CATERPILLAR</t>
  </si>
  <si>
    <t>ENGINE OIL FILTER</t>
  </si>
  <si>
    <t>CARRIER ROLLER</t>
  </si>
  <si>
    <t>9X-3404</t>
  </si>
  <si>
    <t>FUEL FILTER</t>
  </si>
  <si>
    <t>5P-8247</t>
  </si>
  <si>
    <t>1R-1807</t>
  </si>
  <si>
    <t>6K-9880</t>
  </si>
  <si>
    <t>1R-0751</t>
  </si>
  <si>
    <t>117-4089</t>
  </si>
  <si>
    <t>6I-2499</t>
  </si>
  <si>
    <t>6I-2500</t>
  </si>
  <si>
    <t>127-8216</t>
  </si>
  <si>
    <t>104-5857</t>
  </si>
  <si>
    <t>108-0946</t>
  </si>
  <si>
    <t>3S-8182</t>
  </si>
  <si>
    <t>7H-3607</t>
  </si>
  <si>
    <t>6V-4316</t>
  </si>
  <si>
    <t>190-1551</t>
  </si>
  <si>
    <t>108-0954</t>
  </si>
  <si>
    <t>9G-8592</t>
  </si>
  <si>
    <t>9G-3110</t>
  </si>
  <si>
    <t>1M-1408</t>
  </si>
  <si>
    <t>134-5276</t>
  </si>
  <si>
    <t>CAMSHAFT</t>
  </si>
  <si>
    <t>489-2731</t>
  </si>
  <si>
    <t>CRANKSHAFT</t>
  </si>
  <si>
    <t>TRACK SHOE</t>
  </si>
  <si>
    <t>INJECTOR</t>
  </si>
  <si>
    <t>8T-0282</t>
  </si>
  <si>
    <t>TURBOCHARGER</t>
  </si>
  <si>
    <t>357-6019</t>
  </si>
  <si>
    <t>PRIMARY AIR FILTER</t>
  </si>
  <si>
    <t>BOLT ROLLER</t>
  </si>
  <si>
    <t>WASHER ROLLER</t>
  </si>
  <si>
    <t>TRACK LINK AS</t>
  </si>
  <si>
    <t>BOLT TRACK SHOE</t>
  </si>
  <si>
    <t>NUT TRACK SHOE</t>
  </si>
  <si>
    <t>BOLT SPROCKET</t>
  </si>
  <si>
    <t>NUT SPROCKET</t>
  </si>
  <si>
    <t>561M</t>
  </si>
  <si>
    <t>1KW00240</t>
  </si>
  <si>
    <t>FUEL/WATER SEPERATOR</t>
  </si>
  <si>
    <t>SECONDARY AIR CLEANER</t>
  </si>
  <si>
    <t>132-8875</t>
  </si>
  <si>
    <t>TRANSMISSION FILTER</t>
  </si>
  <si>
    <t>BATTERY 12V 900 CCA</t>
  </si>
  <si>
    <t>IDLER</t>
  </si>
  <si>
    <t>108-1138</t>
  </si>
  <si>
    <t>CAP IDLER</t>
  </si>
  <si>
    <t>108-1136</t>
  </si>
  <si>
    <t>BLOCK IDLER</t>
  </si>
  <si>
    <t>BOLT IDLER</t>
  </si>
  <si>
    <t>WASHER IDLER</t>
  </si>
  <si>
    <t>125-4169</t>
  </si>
  <si>
    <t>125-4170</t>
  </si>
  <si>
    <t>8E-9812</t>
  </si>
  <si>
    <t>3T-8601</t>
  </si>
  <si>
    <t>BOLT MASTER LINK</t>
  </si>
  <si>
    <t xml:space="preserve">SPROCKET </t>
  </si>
  <si>
    <t>WASHER SPROCKET</t>
  </si>
  <si>
    <t>SINGLE FL ROLLER</t>
  </si>
  <si>
    <t xml:space="preserve">DOUBLE FL ROLLER </t>
  </si>
  <si>
    <t>EQUIPMENT TYPE</t>
  </si>
  <si>
    <t>Pipelayer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</si>
</sst>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* #,##0.00_-;\-&quot;$&quot;* #,##0.00_-;_-&quot;$&quot;* &quot;-&quot;??_-;_-@_-"/>
    <numFmt numFmtId="165" formatCode="_(&quot;$&quot;* #,##0.00_);_(&quot;$&quot;* \(#,##0.00\);_(&quot;$&quot;* &quot;-&quot;??_);_(@_)"/>
    <numFmt numFmtId="166" formatCode="[$-409]mmmm\ d\,\ yyyy;@"/>
    <numFmt numFmtId="167" formatCode="&quot;$&quot;#,##0.00"/>
  </numFmts>
  <fonts count="2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0"/>
      <name val="Calibri"/>
      <family val="2"/>
    </font>
    <font>
      <b/>
      <sz val="18"/>
      <name val="Calibri"/>
      <family val="2"/>
    </font>
    <font>
      <b/>
      <sz val="14"/>
      <name val="Calibri"/>
      <family val="2"/>
    </font>
    <font>
      <sz val="10"/>
      <name val="Calibri"/>
      <family val="2"/>
    </font>
    <font>
      <sz val="11"/>
      <color theme="10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b/>
      <sz val="18"/>
      <color theme="0"/>
      <name val="Calibri"/>
      <family val="2"/>
    </font>
    <font>
      <b/>
      <sz val="16"/>
      <color theme="0"/>
      <name val="Calibri"/>
      <family val="2"/>
    </font>
    <font>
      <b/>
      <sz val="10"/>
      <color theme="0"/>
      <name val="Calibri"/>
      <family val="2"/>
    </font>
    <font>
      <sz val="11"/>
      <color theme="0"/>
      <name val="Calibri"/>
      <family val="2"/>
    </font>
    <font>
      <b/>
      <sz val="10"/>
      <color rgb="FFFF0000"/>
      <name val="Calibri"/>
      <family val="2"/>
    </font>
    <font>
      <b/>
      <sz val="10"/>
      <color theme="6" tint="0.39997558519241921"/>
      <name val="Calibri"/>
      <family val="2"/>
    </font>
    <font>
      <b/>
      <sz val="8"/>
      <color theme="0"/>
      <name val="Calibri"/>
      <family val="2"/>
    </font>
    <font>
      <b/>
      <sz val="11"/>
      <color theme="2"/>
      <name val="Calibri"/>
      <family val="2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gray0625">
        <fgColor theme="2" tint="-9.9948118533890809E-2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indexed="64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ck">
        <color auto="1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99">
    <xf numFmtId="0" fontId="0" fillId="0" borderId="0" xfId="0"/>
    <xf numFmtId="0" fontId="3" fillId="3" borderId="1" xfId="0" applyFont="1" applyFill="1" applyBorder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left"/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3" fillId="3" borderId="3" xfId="0" applyFont="1" applyFill="1" applyBorder="1" applyAlignment="1" applyProtection="1">
      <alignment horizontal="left"/>
      <protection locked="0"/>
    </xf>
    <xf numFmtId="0" fontId="3" fillId="0" borderId="7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0" fontId="14" fillId="3" borderId="1" xfId="0" applyFont="1" applyFill="1" applyBorder="1" applyAlignment="1" applyProtection="1">
      <alignment horizontal="center" vertical="center"/>
      <protection locked="0"/>
    </xf>
    <xf numFmtId="165" fontId="7" fillId="0" borderId="2" xfId="1" applyFont="1" applyFill="1" applyBorder="1" applyProtection="1">
      <protection locked="0"/>
    </xf>
    <xf numFmtId="165" fontId="7" fillId="0" borderId="2" xfId="1" applyFont="1" applyFill="1" applyBorder="1" applyProtection="1"/>
    <xf numFmtId="165" fontId="7" fillId="0" borderId="7" xfId="1" applyFont="1" applyFill="1" applyBorder="1" applyProtection="1"/>
    <xf numFmtId="165" fontId="7" fillId="5" borderId="13" xfId="1" applyFont="1" applyFill="1" applyBorder="1" applyProtection="1"/>
    <xf numFmtId="9" fontId="7" fillId="0" borderId="3" xfId="2" applyFont="1" applyBorder="1" applyProtection="1">
      <protection locked="0"/>
    </xf>
    <xf numFmtId="165" fontId="7" fillId="0" borderId="1" xfId="1" applyFont="1" applyFill="1" applyBorder="1" applyProtection="1">
      <protection locked="0"/>
    </xf>
    <xf numFmtId="165" fontId="7" fillId="0" borderId="1" xfId="1" applyFont="1" applyFill="1" applyBorder="1" applyProtection="1"/>
    <xf numFmtId="165" fontId="7" fillId="3" borderId="1" xfId="1" applyFont="1" applyFill="1" applyBorder="1" applyProtection="1">
      <protection locked="0"/>
    </xf>
    <xf numFmtId="9" fontId="7" fillId="3" borderId="3" xfId="2" applyFont="1" applyFill="1" applyBorder="1" applyProtection="1">
      <protection locked="0"/>
    </xf>
    <xf numFmtId="0" fontId="3" fillId="3" borderId="13" xfId="0" applyFont="1" applyFill="1" applyBorder="1" applyProtection="1">
      <protection locked="0"/>
    </xf>
    <xf numFmtId="0" fontId="6" fillId="3" borderId="13" xfId="3" applyFill="1" applyBorder="1" applyAlignment="1" applyProtection="1">
      <protection locked="0"/>
    </xf>
    <xf numFmtId="0" fontId="15" fillId="0" borderId="4" xfId="0" applyFont="1" applyBorder="1" applyAlignment="1" applyProtection="1">
      <alignment vertical="center"/>
      <protection locked="0"/>
    </xf>
    <xf numFmtId="0" fontId="10" fillId="0" borderId="0" xfId="0" applyFont="1" applyAlignment="1" applyProtection="1">
      <alignment vertical="center" wrapText="1"/>
      <protection locked="0"/>
    </xf>
    <xf numFmtId="0" fontId="3" fillId="3" borderId="0" xfId="0" applyFont="1" applyFill="1" applyProtection="1">
      <protection locked="0"/>
    </xf>
    <xf numFmtId="0" fontId="13" fillId="0" borderId="17" xfId="0" applyFont="1" applyBorder="1" applyAlignment="1" applyProtection="1">
      <alignment vertical="center"/>
      <protection locked="0"/>
    </xf>
    <xf numFmtId="0" fontId="13" fillId="0" borderId="8" xfId="0" applyFont="1" applyBorder="1" applyAlignment="1" applyProtection="1">
      <alignment vertical="center"/>
      <protection locked="0"/>
    </xf>
    <xf numFmtId="0" fontId="13" fillId="0" borderId="9" xfId="0" applyFont="1" applyBorder="1" applyAlignment="1" applyProtection="1">
      <alignment vertical="center"/>
      <protection locked="0"/>
    </xf>
    <xf numFmtId="0" fontId="3" fillId="1" borderId="0" xfId="0" applyFont="1" applyFill="1" applyProtection="1"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10" fontId="7" fillId="0" borderId="0" xfId="2" applyNumberFormat="1" applyFont="1" applyBorder="1" applyProtection="1">
      <protection locked="0"/>
    </xf>
    <xf numFmtId="10" fontId="7" fillId="3" borderId="0" xfId="2" applyNumberFormat="1" applyFont="1" applyFill="1" applyBorder="1" applyProtection="1">
      <protection locked="0"/>
    </xf>
    <xf numFmtId="10" fontId="7" fillId="0" borderId="1" xfId="2" applyNumberFormat="1" applyFont="1" applyBorder="1" applyProtection="1"/>
    <xf numFmtId="1" fontId="16" fillId="3" borderId="3" xfId="3" applyNumberFormat="1" applyFont="1" applyFill="1" applyBorder="1" applyAlignment="1" applyProtection="1">
      <alignment horizontal="left"/>
      <protection locked="0"/>
    </xf>
    <xf numFmtId="0" fontId="7" fillId="3" borderId="3" xfId="3" applyFont="1" applyFill="1" applyBorder="1" applyAlignment="1" applyProtection="1">
      <alignment horizontal="left"/>
      <protection locked="0"/>
    </xf>
    <xf numFmtId="0" fontId="7" fillId="3" borderId="3" xfId="0" applyFont="1" applyFill="1" applyBorder="1" applyAlignment="1" applyProtection="1">
      <alignment horizontal="center"/>
      <protection locked="0"/>
    </xf>
    <xf numFmtId="166" fontId="3" fillId="3" borderId="7" xfId="0" applyNumberFormat="1" applyFont="1" applyFill="1" applyBorder="1" applyAlignment="1" applyProtection="1">
      <alignment horizontal="left"/>
      <protection locked="0"/>
    </xf>
    <xf numFmtId="0" fontId="7" fillId="3" borderId="7" xfId="0" applyFont="1" applyFill="1" applyBorder="1" applyAlignment="1" applyProtection="1">
      <alignment horizontal="center"/>
      <protection locked="0"/>
    </xf>
    <xf numFmtId="166" fontId="3" fillId="3" borderId="13" xfId="0" applyNumberFormat="1" applyFont="1" applyFill="1" applyBorder="1" applyProtection="1">
      <protection locked="0"/>
    </xf>
    <xf numFmtId="9" fontId="7" fillId="0" borderId="7" xfId="2" applyFont="1" applyBorder="1" applyProtection="1">
      <protection locked="0"/>
    </xf>
    <xf numFmtId="0" fontId="10" fillId="3" borderId="9" xfId="0" applyFont="1" applyFill="1" applyBorder="1" applyAlignment="1" applyProtection="1">
      <alignment horizontal="center" vertical="center" wrapText="1"/>
      <protection locked="0"/>
    </xf>
    <xf numFmtId="165" fontId="7" fillId="10" borderId="2" xfId="1" applyFont="1" applyFill="1" applyBorder="1" applyProtection="1"/>
    <xf numFmtId="165" fontId="7" fillId="10" borderId="7" xfId="1" applyFont="1" applyFill="1" applyBorder="1" applyProtection="1"/>
    <xf numFmtId="165" fontId="7" fillId="10" borderId="1" xfId="1" applyFont="1" applyFill="1" applyBorder="1" applyProtection="1"/>
    <xf numFmtId="10" fontId="7" fillId="10" borderId="1" xfId="2" applyNumberFormat="1" applyFont="1" applyFill="1" applyBorder="1" applyProtection="1"/>
    <xf numFmtId="165" fontId="7" fillId="6" borderId="13" xfId="1" applyFont="1" applyFill="1" applyBorder="1" applyProtection="1"/>
    <xf numFmtId="9" fontId="7" fillId="11" borderId="0" xfId="2" applyFont="1" applyFill="1" applyBorder="1" applyAlignment="1" applyProtection="1">
      <alignment horizontal="center"/>
    </xf>
    <xf numFmtId="0" fontId="10" fillId="3" borderId="22" xfId="0" applyFont="1" applyFill="1" applyBorder="1" applyAlignment="1" applyProtection="1">
      <alignment horizontal="center"/>
      <protection locked="0"/>
    </xf>
    <xf numFmtId="165" fontId="4" fillId="3" borderId="33" xfId="1" applyFont="1" applyFill="1" applyBorder="1" applyAlignment="1" applyProtection="1">
      <alignment horizontal="center" vertical="center"/>
      <protection locked="0"/>
    </xf>
    <xf numFmtId="10" fontId="5" fillId="3" borderId="33" xfId="2" applyNumberFormat="1" applyFont="1" applyFill="1" applyBorder="1" applyAlignment="1" applyProtection="1">
      <alignment horizontal="center" vertical="center"/>
      <protection locked="0"/>
    </xf>
    <xf numFmtId="0" fontId="6" fillId="6" borderId="0" xfId="3" applyFill="1" applyBorder="1" applyAlignment="1" applyProtection="1"/>
    <xf numFmtId="9" fontId="9" fillId="0" borderId="0" xfId="2" applyFont="1" applyFill="1" applyBorder="1" applyAlignment="1" applyProtection="1"/>
    <xf numFmtId="0" fontId="8" fillId="6" borderId="0" xfId="3" applyFont="1" applyFill="1" applyBorder="1" applyAlignment="1" applyProtection="1"/>
    <xf numFmtId="10" fontId="7" fillId="6" borderId="0" xfId="2" applyNumberFormat="1" applyFont="1" applyFill="1" applyBorder="1" applyProtection="1"/>
    <xf numFmtId="165" fontId="7" fillId="12" borderId="1" xfId="1" applyFont="1" applyFill="1" applyBorder="1" applyProtection="1"/>
    <xf numFmtId="3" fontId="7" fillId="0" borderId="2" xfId="0" applyNumberFormat="1" applyFont="1" applyBorder="1" applyAlignment="1" applyProtection="1">
      <alignment horizontal="center"/>
      <protection locked="0"/>
    </xf>
    <xf numFmtId="3" fontId="7" fillId="3" borderId="1" xfId="0" applyNumberFormat="1" applyFont="1" applyFill="1" applyBorder="1" applyAlignment="1" applyProtection="1">
      <alignment horizontal="center"/>
      <protection locked="0"/>
    </xf>
    <xf numFmtId="0" fontId="3" fillId="6" borderId="0" xfId="0" applyFont="1" applyFill="1"/>
    <xf numFmtId="0" fontId="3" fillId="6" borderId="0" xfId="0" applyFont="1" applyFill="1" applyAlignment="1">
      <alignment wrapText="1"/>
    </xf>
    <xf numFmtId="0" fontId="3" fillId="6" borderId="1" xfId="0" applyFont="1" applyFill="1" applyBorder="1"/>
    <xf numFmtId="0" fontId="3" fillId="0" borderId="0" xfId="0" applyFont="1"/>
    <xf numFmtId="0" fontId="4" fillId="6" borderId="0" xfId="0" applyFont="1" applyFill="1"/>
    <xf numFmtId="0" fontId="11" fillId="0" borderId="0" xfId="0" applyFont="1" applyAlignment="1">
      <alignment vertical="center"/>
    </xf>
    <xf numFmtId="0" fontId="7" fillId="0" borderId="0" xfId="0" applyFont="1"/>
    <xf numFmtId="166" fontId="3" fillId="6" borderId="0" xfId="0" applyNumberFormat="1" applyFont="1" applyFill="1"/>
    <xf numFmtId="167" fontId="9" fillId="0" borderId="0" xfId="0" applyNumberFormat="1" applyFont="1"/>
    <xf numFmtId="167" fontId="10" fillId="6" borderId="0" xfId="0" applyNumberFormat="1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7" fillId="0" borderId="0" xfId="0" applyFont="1" applyAlignment="1">
      <alignment wrapText="1"/>
    </xf>
    <xf numFmtId="0" fontId="3" fillId="0" borderId="0" xfId="0" applyFont="1" applyAlignment="1">
      <alignment wrapText="1"/>
    </xf>
    <xf numFmtId="165" fontId="7" fillId="0" borderId="0" xfId="0" applyNumberFormat="1" applyFont="1"/>
    <xf numFmtId="164" fontId="7" fillId="0" borderId="0" xfId="0" applyNumberFormat="1" applyFont="1"/>
    <xf numFmtId="3" fontId="7" fillId="0" borderId="0" xfId="0" applyNumberFormat="1" applyFont="1"/>
    <xf numFmtId="10" fontId="5" fillId="6" borderId="1" xfId="0" applyNumberFormat="1" applyFont="1" applyFill="1" applyBorder="1" applyAlignment="1">
      <alignment horizontal="center"/>
    </xf>
    <xf numFmtId="0" fontId="3" fillId="10" borderId="5" xfId="0" applyFont="1" applyFill="1" applyBorder="1"/>
    <xf numFmtId="0" fontId="5" fillId="10" borderId="5" xfId="0" applyFont="1" applyFill="1" applyBorder="1"/>
    <xf numFmtId="3" fontId="4" fillId="10" borderId="1" xfId="0" applyNumberFormat="1" applyFont="1" applyFill="1" applyBorder="1"/>
    <xf numFmtId="165" fontId="4" fillId="10" borderId="1" xfId="1" applyFont="1" applyFill="1" applyBorder="1" applyAlignment="1" applyProtection="1">
      <alignment horizontal="center"/>
    </xf>
    <xf numFmtId="165" fontId="4" fillId="10" borderId="1" xfId="0" applyNumberFormat="1" applyFont="1" applyFill="1" applyBorder="1" applyAlignment="1">
      <alignment horizontal="right"/>
    </xf>
    <xf numFmtId="165" fontId="4" fillId="10" borderId="1" xfId="0" applyNumberFormat="1" applyFont="1" applyFill="1" applyBorder="1"/>
    <xf numFmtId="165" fontId="26" fillId="6" borderId="1" xfId="0" applyNumberFormat="1" applyFont="1" applyFill="1" applyBorder="1"/>
    <xf numFmtId="3" fontId="4" fillId="10" borderId="1" xfId="0" applyNumberFormat="1" applyFont="1" applyFill="1" applyBorder="1" applyAlignment="1">
      <alignment horizontal="center"/>
    </xf>
    <xf numFmtId="10" fontId="4" fillId="10" borderId="1" xfId="0" applyNumberFormat="1" applyFont="1" applyFill="1" applyBorder="1" applyAlignment="1">
      <alignment horizontal="center"/>
    </xf>
    <xf numFmtId="10" fontId="5" fillId="10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/>
    <xf numFmtId="3" fontId="7" fillId="10" borderId="2" xfId="0" applyNumberFormat="1" applyFont="1" applyFill="1" applyBorder="1" applyAlignment="1">
      <alignment horizontal="center"/>
    </xf>
    <xf numFmtId="3" fontId="7" fillId="0" borderId="2" xfId="0" applyNumberFormat="1" applyFont="1" applyBorder="1" applyAlignment="1">
      <alignment horizontal="center"/>
    </xf>
    <xf numFmtId="0" fontId="13" fillId="5" borderId="14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/>
    </xf>
    <xf numFmtId="0" fontId="10" fillId="5" borderId="13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23" fillId="9" borderId="30" xfId="0" applyFont="1" applyFill="1" applyBorder="1" applyAlignment="1">
      <alignment horizontal="center" vertical="center" wrapText="1"/>
    </xf>
    <xf numFmtId="0" fontId="24" fillId="9" borderId="20" xfId="0" applyFont="1" applyFill="1" applyBorder="1" applyAlignment="1">
      <alignment horizontal="center" vertical="center" wrapText="1"/>
    </xf>
    <xf numFmtId="0" fontId="21" fillId="9" borderId="20" xfId="0" applyFont="1" applyFill="1" applyBorder="1" applyAlignment="1">
      <alignment horizontal="center" vertical="center" wrapText="1"/>
    </xf>
    <xf numFmtId="165" fontId="9" fillId="10" borderId="32" xfId="0" applyNumberFormat="1" applyFont="1" applyFill="1" applyBorder="1" applyAlignment="1">
      <alignment vertical="center"/>
    </xf>
    <xf numFmtId="0" fontId="12" fillId="4" borderId="33" xfId="0" applyFont="1" applyFill="1" applyBorder="1" applyAlignment="1">
      <alignment horizontal="center" vertical="center" wrapText="1"/>
    </xf>
    <xf numFmtId="0" fontId="17" fillId="9" borderId="20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7" fillId="9" borderId="27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4" borderId="35" xfId="0" applyFont="1" applyFill="1" applyBorder="1" applyAlignment="1">
      <alignment horizontal="center" vertical="center"/>
    </xf>
    <xf numFmtId="0" fontId="10" fillId="4" borderId="34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/>
    </xf>
    <xf numFmtId="0" fontId="17" fillId="2" borderId="18" xfId="0" applyFont="1" applyFill="1" applyBorder="1" applyAlignment="1">
      <alignment horizontal="center" vertical="center"/>
    </xf>
    <xf numFmtId="0" fontId="17" fillId="2" borderId="36" xfId="0" applyFont="1" applyFill="1" applyBorder="1" applyAlignment="1">
      <alignment horizontal="center" vertical="center"/>
    </xf>
    <xf numFmtId="0" fontId="7" fillId="11" borderId="0" xfId="0" applyFont="1" applyFill="1" applyAlignment="1">
      <alignment horizontal="left"/>
    </xf>
    <xf numFmtId="0" fontId="9" fillId="11" borderId="0" xfId="0" applyFont="1" applyFill="1" applyAlignment="1">
      <alignment horizontal="center"/>
    </xf>
    <xf numFmtId="0" fontId="10" fillId="11" borderId="0" xfId="0" applyFont="1" applyFill="1" applyAlignment="1">
      <alignment horizontal="right"/>
    </xf>
    <xf numFmtId="0" fontId="3" fillId="11" borderId="0" xfId="0" applyFont="1" applyFill="1"/>
    <xf numFmtId="0" fontId="4" fillId="11" borderId="6" xfId="0" applyFont="1" applyFill="1" applyBorder="1" applyAlignment="1">
      <alignment horizontal="right"/>
    </xf>
    <xf numFmtId="0" fontId="4" fillId="4" borderId="7" xfId="0" applyFont="1" applyFill="1" applyBorder="1" applyAlignment="1">
      <alignment horizontal="right"/>
    </xf>
    <xf numFmtId="0" fontId="4" fillId="4" borderId="3" xfId="0" applyFont="1" applyFill="1" applyBorder="1" applyAlignment="1">
      <alignment horizontal="right"/>
    </xf>
    <xf numFmtId="0" fontId="4" fillId="4" borderId="1" xfId="0" applyFont="1" applyFill="1" applyBorder="1" applyAlignment="1">
      <alignment horizontal="right"/>
    </xf>
    <xf numFmtId="2" fontId="14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28" fillId="0" borderId="0" xfId="0" applyFont="1"/>
    <xf numFmtId="0" fontId="27" fillId="0" borderId="0" xfId="0" applyFont="1"/>
    <xf numFmtId="0" fontId="7" fillId="0" borderId="64" xfId="0" applyFont="1" applyBorder="1" applyAlignment="1" applyProtection="1">
      <alignment horizontal="center"/>
      <protection locked="0"/>
    </xf>
    <xf numFmtId="0" fontId="7" fillId="3" borderId="65" xfId="0" applyFont="1" applyFill="1" applyBorder="1" applyAlignment="1" applyProtection="1">
      <alignment horizontal="center"/>
      <protection locked="0"/>
    </xf>
    <xf numFmtId="0" fontId="7" fillId="0" borderId="65" xfId="0" applyFont="1" applyBorder="1" applyAlignment="1" applyProtection="1">
      <alignment horizontal="center"/>
      <protection locked="0"/>
    </xf>
    <xf numFmtId="0" fontId="5" fillId="10" borderId="66" xfId="0" applyFont="1" applyFill="1" applyBorder="1" applyAlignment="1">
      <alignment horizontal="right"/>
    </xf>
    <xf numFmtId="165" fontId="7" fillId="10" borderId="2" xfId="1" applyFont="1" applyFill="1" applyBorder="1" applyProtection="1">
      <protection locked="0"/>
    </xf>
    <xf numFmtId="11" fontId="3" fillId="3" borderId="1" xfId="0" applyNumberFormat="1" applyFont="1" applyFill="1" applyBorder="1" applyAlignment="1" applyProtection="1">
      <alignment horizontal="left"/>
      <protection locked="0"/>
    </xf>
    <xf numFmtId="0" fontId="18" fillId="8" borderId="24" xfId="0" applyFont="1" applyFill="1" applyBorder="1" applyAlignment="1">
      <alignment horizontal="center"/>
    </xf>
    <xf numFmtId="0" fontId="18" fillId="8" borderId="63" xfId="0" applyFont="1" applyFill="1" applyBorder="1" applyAlignment="1">
      <alignment horizontal="center"/>
    </xf>
    <xf numFmtId="0" fontId="18" fillId="8" borderId="57" xfId="0" applyFont="1" applyFill="1" applyBorder="1" applyAlignment="1">
      <alignment horizontal="center"/>
    </xf>
    <xf numFmtId="0" fontId="18" fillId="8" borderId="28" xfId="0" applyFont="1" applyFill="1" applyBorder="1" applyAlignment="1">
      <alignment horizontal="center"/>
    </xf>
    <xf numFmtId="0" fontId="17" fillId="9" borderId="37" xfId="0" applyFont="1" applyFill="1" applyBorder="1" applyAlignment="1">
      <alignment horizontal="center" vertical="center"/>
    </xf>
    <xf numFmtId="0" fontId="17" fillId="9" borderId="38" xfId="0" applyFont="1" applyFill="1" applyBorder="1" applyAlignment="1">
      <alignment horizontal="center" vertical="center"/>
    </xf>
    <xf numFmtId="167" fontId="9" fillId="0" borderId="48" xfId="0" applyNumberFormat="1" applyFont="1" applyBorder="1" applyAlignment="1">
      <alignment horizontal="center"/>
    </xf>
    <xf numFmtId="167" fontId="9" fillId="0" borderId="46" xfId="0" applyNumberFormat="1" applyFont="1" applyBorder="1" applyAlignment="1">
      <alignment horizontal="center"/>
    </xf>
    <xf numFmtId="167" fontId="9" fillId="0" borderId="5" xfId="0" applyNumberFormat="1" applyFont="1" applyBorder="1" applyAlignment="1">
      <alignment horizontal="center"/>
    </xf>
    <xf numFmtId="167" fontId="9" fillId="0" borderId="4" xfId="0" applyNumberFormat="1" applyFont="1" applyBorder="1" applyAlignment="1">
      <alignment horizontal="center"/>
    </xf>
    <xf numFmtId="0" fontId="19" fillId="9" borderId="10" xfId="0" applyFont="1" applyFill="1" applyBorder="1" applyAlignment="1">
      <alignment horizontal="center" vertical="center"/>
    </xf>
    <xf numFmtId="0" fontId="19" fillId="9" borderId="6" xfId="0" applyFont="1" applyFill="1" applyBorder="1" applyAlignment="1">
      <alignment horizontal="center" vertical="center"/>
    </xf>
    <xf numFmtId="0" fontId="19" fillId="9" borderId="40" xfId="0" applyFont="1" applyFill="1" applyBorder="1" applyAlignment="1">
      <alignment horizontal="center" vertical="center"/>
    </xf>
    <xf numFmtId="0" fontId="19" fillId="9" borderId="12" xfId="0" applyFont="1" applyFill="1" applyBorder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0" fontId="19" fillId="9" borderId="41" xfId="0" applyFont="1" applyFill="1" applyBorder="1" applyAlignment="1">
      <alignment horizontal="center" vertical="center"/>
    </xf>
    <xf numFmtId="0" fontId="21" fillId="9" borderId="42" xfId="0" applyFont="1" applyFill="1" applyBorder="1" applyAlignment="1">
      <alignment horizontal="center" vertical="center"/>
    </xf>
    <xf numFmtId="0" fontId="21" fillId="9" borderId="39" xfId="0" applyFont="1" applyFill="1" applyBorder="1" applyAlignment="1">
      <alignment horizontal="center" vertical="center"/>
    </xf>
    <xf numFmtId="0" fontId="21" fillId="9" borderId="30" xfId="0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center"/>
    </xf>
    <xf numFmtId="0" fontId="4" fillId="13" borderId="5" xfId="0" applyFont="1" applyFill="1" applyBorder="1" applyAlignment="1">
      <alignment horizontal="center"/>
    </xf>
    <xf numFmtId="0" fontId="4" fillId="13" borderId="4" xfId="0" applyFont="1" applyFill="1" applyBorder="1" applyAlignment="1">
      <alignment horizontal="center"/>
    </xf>
    <xf numFmtId="3" fontId="4" fillId="0" borderId="5" xfId="0" applyNumberFormat="1" applyFont="1" applyBorder="1" applyAlignment="1">
      <alignment horizontal="center"/>
    </xf>
    <xf numFmtId="3" fontId="4" fillId="0" borderId="4" xfId="0" applyNumberFormat="1" applyFont="1" applyBorder="1" applyAlignment="1">
      <alignment horizontal="center"/>
    </xf>
    <xf numFmtId="0" fontId="18" fillId="8" borderId="22" xfId="0" applyFont="1" applyFill="1" applyBorder="1" applyAlignment="1">
      <alignment horizontal="center"/>
    </xf>
    <xf numFmtId="0" fontId="10" fillId="13" borderId="3" xfId="0" applyFont="1" applyFill="1" applyBorder="1" applyAlignment="1">
      <alignment horizontal="center" vertical="center"/>
    </xf>
    <xf numFmtId="0" fontId="10" fillId="13" borderId="5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167" fontId="4" fillId="0" borderId="5" xfId="0" applyNumberFormat="1" applyFont="1" applyBorder="1" applyAlignment="1">
      <alignment horizontal="center"/>
    </xf>
    <xf numFmtId="167" fontId="4" fillId="0" borderId="4" xfId="0" applyNumberFormat="1" applyFont="1" applyBorder="1" applyAlignment="1">
      <alignment horizontal="center"/>
    </xf>
    <xf numFmtId="167" fontId="4" fillId="7" borderId="60" xfId="0" applyNumberFormat="1" applyFont="1" applyFill="1" applyBorder="1" applyAlignment="1">
      <alignment horizontal="center" vertical="center"/>
    </xf>
    <xf numFmtId="167" fontId="4" fillId="7" borderId="2" xfId="0" applyNumberFormat="1" applyFont="1" applyFill="1" applyBorder="1" applyAlignment="1">
      <alignment horizontal="center" vertical="center"/>
    </xf>
    <xf numFmtId="9" fontId="5" fillId="0" borderId="60" xfId="2" applyFont="1" applyBorder="1" applyAlignment="1" applyProtection="1">
      <alignment horizontal="center" vertical="center"/>
    </xf>
    <xf numFmtId="9" fontId="5" fillId="0" borderId="2" xfId="2" applyFont="1" applyBorder="1" applyAlignment="1" applyProtection="1">
      <alignment horizontal="center" vertical="center"/>
    </xf>
    <xf numFmtId="0" fontId="3" fillId="3" borderId="12" xfId="0" applyFont="1" applyFill="1" applyBorder="1" applyAlignment="1" applyProtection="1">
      <alignment horizontal="center"/>
      <protection locked="0"/>
    </xf>
    <xf numFmtId="0" fontId="3" fillId="3" borderId="21" xfId="0" applyFont="1" applyFill="1" applyBorder="1" applyAlignment="1" applyProtection="1">
      <alignment horizontal="center"/>
      <protection locked="0"/>
    </xf>
    <xf numFmtId="0" fontId="4" fillId="3" borderId="47" xfId="0" applyFont="1" applyFill="1" applyBorder="1" applyAlignment="1" applyProtection="1">
      <alignment horizontal="left"/>
      <protection locked="0"/>
    </xf>
    <xf numFmtId="0" fontId="4" fillId="3" borderId="46" xfId="0" applyFont="1" applyFill="1" applyBorder="1" applyAlignment="1" applyProtection="1">
      <alignment horizontal="left"/>
      <protection locked="0"/>
    </xf>
    <xf numFmtId="0" fontId="17" fillId="9" borderId="51" xfId="0" applyFont="1" applyFill="1" applyBorder="1" applyAlignment="1">
      <alignment horizontal="center" vertical="center" wrapText="1"/>
    </xf>
    <xf numFmtId="0" fontId="17" fillId="9" borderId="50" xfId="0" applyFont="1" applyFill="1" applyBorder="1" applyAlignment="1">
      <alignment horizontal="center" vertical="center" wrapText="1"/>
    </xf>
    <xf numFmtId="0" fontId="10" fillId="3" borderId="45" xfId="0" applyFont="1" applyFill="1" applyBorder="1" applyAlignment="1" applyProtection="1">
      <alignment horizontal="center" vertical="center" wrapText="1"/>
      <protection locked="0"/>
    </xf>
    <xf numFmtId="0" fontId="10" fillId="3" borderId="46" xfId="0" applyFont="1" applyFill="1" applyBorder="1" applyAlignment="1" applyProtection="1">
      <alignment horizontal="center" vertical="center" wrapText="1"/>
      <protection locked="0"/>
    </xf>
    <xf numFmtId="0" fontId="20" fillId="9" borderId="10" xfId="0" applyFont="1" applyFill="1" applyBorder="1" applyAlignment="1">
      <alignment horizontal="center" vertical="center" wrapText="1"/>
    </xf>
    <xf numFmtId="0" fontId="20" fillId="9" borderId="6" xfId="0" applyFont="1" applyFill="1" applyBorder="1" applyAlignment="1">
      <alignment horizontal="center" vertical="center" wrapText="1"/>
    </xf>
    <xf numFmtId="0" fontId="20" fillId="9" borderId="11" xfId="0" applyFont="1" applyFill="1" applyBorder="1" applyAlignment="1">
      <alignment horizontal="center" vertical="center" wrapText="1"/>
    </xf>
    <xf numFmtId="0" fontId="20" fillId="9" borderId="12" xfId="0" applyFont="1" applyFill="1" applyBorder="1" applyAlignment="1">
      <alignment horizontal="center" vertical="center" wrapText="1"/>
    </xf>
    <xf numFmtId="0" fontId="20" fillId="9" borderId="0" xfId="0" applyFont="1" applyFill="1" applyAlignment="1">
      <alignment horizontal="center" vertical="center" wrapText="1"/>
    </xf>
    <xf numFmtId="0" fontId="20" fillId="9" borderId="8" xfId="0" applyFont="1" applyFill="1" applyBorder="1" applyAlignment="1">
      <alignment horizontal="center" vertical="center" wrapText="1"/>
    </xf>
    <xf numFmtId="0" fontId="20" fillId="9" borderId="42" xfId="0" applyFont="1" applyFill="1" applyBorder="1" applyAlignment="1">
      <alignment horizontal="center" vertical="center" wrapText="1"/>
    </xf>
    <xf numFmtId="0" fontId="20" fillId="9" borderId="39" xfId="0" applyFont="1" applyFill="1" applyBorder="1" applyAlignment="1">
      <alignment horizontal="center" vertical="center" wrapText="1"/>
    </xf>
    <xf numFmtId="0" fontId="20" fillId="9" borderId="52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right" vertical="center"/>
    </xf>
    <xf numFmtId="0" fontId="12" fillId="4" borderId="28" xfId="0" applyFont="1" applyFill="1" applyBorder="1" applyAlignment="1">
      <alignment horizontal="right" vertical="center"/>
    </xf>
    <xf numFmtId="0" fontId="18" fillId="9" borderId="54" xfId="0" applyFont="1" applyFill="1" applyBorder="1" applyAlignment="1">
      <alignment horizontal="center" vertical="center" wrapText="1"/>
    </xf>
    <xf numFmtId="0" fontId="18" fillId="9" borderId="55" xfId="0" applyFont="1" applyFill="1" applyBorder="1" applyAlignment="1">
      <alignment horizontal="center" vertical="center" wrapText="1"/>
    </xf>
    <xf numFmtId="0" fontId="18" fillId="9" borderId="42" xfId="0" applyFont="1" applyFill="1" applyBorder="1" applyAlignment="1">
      <alignment horizontal="center" vertical="center" wrapText="1"/>
    </xf>
    <xf numFmtId="0" fontId="18" fillId="9" borderId="30" xfId="0" applyFont="1" applyFill="1" applyBorder="1" applyAlignment="1">
      <alignment horizontal="center" vertical="center" wrapText="1"/>
    </xf>
    <xf numFmtId="0" fontId="19" fillId="9" borderId="45" xfId="0" applyFont="1" applyFill="1" applyBorder="1" applyAlignment="1">
      <alignment horizontal="center" vertical="center"/>
    </xf>
    <xf numFmtId="0" fontId="19" fillId="9" borderId="48" xfId="0" applyFont="1" applyFill="1" applyBorder="1" applyAlignment="1">
      <alignment horizontal="center" vertical="center"/>
    </xf>
    <xf numFmtId="0" fontId="19" fillId="9" borderId="46" xfId="0" applyFont="1" applyFill="1" applyBorder="1" applyAlignment="1">
      <alignment horizontal="center" vertical="center"/>
    </xf>
    <xf numFmtId="0" fontId="17" fillId="9" borderId="26" xfId="0" applyFont="1" applyFill="1" applyBorder="1" applyAlignment="1">
      <alignment horizontal="center" vertical="center" wrapText="1"/>
    </xf>
    <xf numFmtId="0" fontId="17" fillId="9" borderId="29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 applyProtection="1">
      <alignment horizontal="center" vertical="center"/>
      <protection locked="0"/>
    </xf>
    <xf numFmtId="0" fontId="14" fillId="3" borderId="5" xfId="0" applyFont="1" applyFill="1" applyBorder="1" applyAlignment="1" applyProtection="1">
      <alignment horizontal="center" vertical="center"/>
      <protection locked="0"/>
    </xf>
    <xf numFmtId="0" fontId="14" fillId="3" borderId="4" xfId="0" applyFont="1" applyFill="1" applyBorder="1" applyAlignment="1" applyProtection="1">
      <alignment horizontal="center" vertical="center"/>
      <protection locked="0"/>
    </xf>
    <xf numFmtId="0" fontId="25" fillId="9" borderId="8" xfId="0" applyFont="1" applyFill="1" applyBorder="1" applyAlignment="1">
      <alignment horizontal="center" vertical="center" wrapText="1"/>
    </xf>
    <xf numFmtId="0" fontId="25" fillId="9" borderId="52" xfId="0" applyFont="1" applyFill="1" applyBorder="1" applyAlignment="1">
      <alignment horizontal="center" vertical="center" wrapText="1"/>
    </xf>
    <xf numFmtId="9" fontId="11" fillId="3" borderId="24" xfId="2" applyFont="1" applyFill="1" applyBorder="1" applyAlignment="1" applyProtection="1">
      <alignment horizontal="center" vertical="center" wrapText="1"/>
      <protection locked="0"/>
    </xf>
    <xf numFmtId="9" fontId="11" fillId="3" borderId="63" xfId="2" applyFont="1" applyFill="1" applyBorder="1" applyAlignment="1" applyProtection="1">
      <alignment horizontal="center" vertical="center" wrapText="1"/>
      <protection locked="0"/>
    </xf>
    <xf numFmtId="9" fontId="11" fillId="3" borderId="67" xfId="2" applyFont="1" applyFill="1" applyBorder="1" applyAlignment="1" applyProtection="1">
      <alignment horizontal="center" vertical="center" wrapText="1"/>
      <protection locked="0"/>
    </xf>
    <xf numFmtId="9" fontId="11" fillId="3" borderId="68" xfId="2" applyFont="1" applyFill="1" applyBorder="1" applyAlignment="1" applyProtection="1">
      <alignment horizontal="center" vertical="center" wrapText="1"/>
      <protection locked="0"/>
    </xf>
    <xf numFmtId="9" fontId="11" fillId="3" borderId="0" xfId="2" applyFont="1" applyFill="1" applyBorder="1" applyAlignment="1" applyProtection="1">
      <alignment horizontal="center" vertical="center" wrapText="1"/>
      <protection locked="0"/>
    </xf>
    <xf numFmtId="9" fontId="11" fillId="3" borderId="8" xfId="2" applyFont="1" applyFill="1" applyBorder="1" applyAlignment="1" applyProtection="1">
      <alignment horizontal="center" vertical="center" wrapText="1"/>
      <protection locked="0"/>
    </xf>
    <xf numFmtId="0" fontId="4" fillId="13" borderId="47" xfId="0" applyFont="1" applyFill="1" applyBorder="1" applyAlignment="1">
      <alignment horizontal="center"/>
    </xf>
    <xf numFmtId="0" fontId="4" fillId="13" borderId="46" xfId="0" applyFont="1" applyFill="1" applyBorder="1" applyAlignment="1">
      <alignment horizontal="center"/>
    </xf>
    <xf numFmtId="0" fontId="10" fillId="0" borderId="47" xfId="0" applyFont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 wrapText="1"/>
    </xf>
    <xf numFmtId="0" fontId="10" fillId="0" borderId="46" xfId="0" applyFont="1" applyBorder="1" applyAlignment="1">
      <alignment horizontal="center" vertical="center" wrapText="1"/>
    </xf>
    <xf numFmtId="0" fontId="4" fillId="3" borderId="3" xfId="0" applyFont="1" applyFill="1" applyBorder="1" applyAlignment="1" applyProtection="1">
      <alignment horizontal="left"/>
      <protection locked="0"/>
    </xf>
    <xf numFmtId="0" fontId="4" fillId="3" borderId="4" xfId="0" applyFont="1" applyFill="1" applyBorder="1" applyAlignment="1" applyProtection="1">
      <alignment horizontal="left"/>
      <protection locked="0"/>
    </xf>
    <xf numFmtId="0" fontId="10" fillId="13" borderId="15" xfId="0" applyFont="1" applyFill="1" applyBorder="1" applyAlignment="1">
      <alignment horizontal="center" vertical="center"/>
    </xf>
    <xf numFmtId="0" fontId="10" fillId="13" borderId="59" xfId="0" applyFont="1" applyFill="1" applyBorder="1" applyAlignment="1">
      <alignment horizontal="center" vertical="center"/>
    </xf>
    <xf numFmtId="0" fontId="10" fillId="13" borderId="16" xfId="0" applyFont="1" applyFill="1" applyBorder="1" applyAlignment="1">
      <alignment horizontal="center" vertical="center"/>
    </xf>
    <xf numFmtId="167" fontId="10" fillId="0" borderId="59" xfId="0" applyNumberFormat="1" applyFont="1" applyBorder="1" applyAlignment="1">
      <alignment horizontal="center" vertical="center"/>
    </xf>
    <xf numFmtId="167" fontId="10" fillId="0" borderId="16" xfId="0" applyNumberFormat="1" applyFont="1" applyBorder="1" applyAlignment="1">
      <alignment horizontal="center" vertical="center"/>
    </xf>
    <xf numFmtId="9" fontId="9" fillId="0" borderId="44" xfId="2" applyFont="1" applyFill="1" applyBorder="1" applyAlignment="1" applyProtection="1">
      <alignment horizontal="center"/>
    </xf>
    <xf numFmtId="9" fontId="9" fillId="0" borderId="31" xfId="2" applyFont="1" applyFill="1" applyBorder="1" applyAlignment="1" applyProtection="1">
      <alignment horizontal="center"/>
    </xf>
    <xf numFmtId="0" fontId="4" fillId="13" borderId="61" xfId="0" applyFont="1" applyFill="1" applyBorder="1" applyAlignment="1">
      <alignment horizontal="center"/>
    </xf>
    <xf numFmtId="0" fontId="4" fillId="13" borderId="62" xfId="0" applyFont="1" applyFill="1" applyBorder="1" applyAlignment="1">
      <alignment horizontal="center"/>
    </xf>
    <xf numFmtId="0" fontId="4" fillId="3" borderId="61" xfId="0" applyFont="1" applyFill="1" applyBorder="1" applyAlignment="1" applyProtection="1">
      <alignment horizontal="left"/>
      <protection locked="0"/>
    </xf>
    <xf numFmtId="0" fontId="4" fillId="3" borderId="62" xfId="0" applyFont="1" applyFill="1" applyBorder="1" applyAlignment="1" applyProtection="1">
      <alignment horizontal="left"/>
      <protection locked="0"/>
    </xf>
    <xf numFmtId="167" fontId="10" fillId="0" borderId="5" xfId="0" applyNumberFormat="1" applyFont="1" applyBorder="1" applyAlignment="1">
      <alignment horizontal="center" vertical="center"/>
    </xf>
    <xf numFmtId="167" fontId="10" fillId="0" borderId="4" xfId="0" applyNumberFormat="1" applyFont="1" applyBorder="1" applyAlignment="1">
      <alignment horizontal="center" vertical="center"/>
    </xf>
    <xf numFmtId="0" fontId="10" fillId="13" borderId="47" xfId="0" applyFont="1" applyFill="1" applyBorder="1" applyAlignment="1">
      <alignment horizontal="center"/>
    </xf>
    <xf numFmtId="0" fontId="10" fillId="13" borderId="48" xfId="0" applyFont="1" applyFill="1" applyBorder="1" applyAlignment="1">
      <alignment horizontal="center"/>
    </xf>
    <xf numFmtId="0" fontId="10" fillId="13" borderId="46" xfId="0" applyFont="1" applyFill="1" applyBorder="1" applyAlignment="1">
      <alignment horizontal="center"/>
    </xf>
    <xf numFmtId="0" fontId="10" fillId="13" borderId="3" xfId="0" applyFont="1" applyFill="1" applyBorder="1" applyAlignment="1">
      <alignment horizontal="center"/>
    </xf>
    <xf numFmtId="0" fontId="10" fillId="13" borderId="5" xfId="0" applyFont="1" applyFill="1" applyBorder="1" applyAlignment="1">
      <alignment horizontal="center"/>
    </xf>
    <xf numFmtId="0" fontId="10" fillId="13" borderId="4" xfId="0" applyFont="1" applyFill="1" applyBorder="1" applyAlignment="1">
      <alignment horizontal="center"/>
    </xf>
    <xf numFmtId="0" fontId="10" fillId="13" borderId="43" xfId="0" applyFont="1" applyFill="1" applyBorder="1" applyAlignment="1">
      <alignment horizontal="center"/>
    </xf>
    <xf numFmtId="0" fontId="10" fillId="13" borderId="44" xfId="0" applyFont="1" applyFill="1" applyBorder="1" applyAlignment="1">
      <alignment horizontal="center"/>
    </xf>
    <xf numFmtId="0" fontId="10" fillId="13" borderId="3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right"/>
    </xf>
    <xf numFmtId="0" fontId="10" fillId="4" borderId="5" xfId="0" applyFont="1" applyFill="1" applyBorder="1" applyAlignment="1">
      <alignment horizontal="right"/>
    </xf>
    <xf numFmtId="0" fontId="10" fillId="4" borderId="4" xfId="0" applyFont="1" applyFill="1" applyBorder="1" applyAlignment="1">
      <alignment horizontal="right"/>
    </xf>
    <xf numFmtId="0" fontId="7" fillId="3" borderId="3" xfId="0" applyFont="1" applyFill="1" applyBorder="1" applyAlignment="1" applyProtection="1">
      <alignment horizontal="left"/>
      <protection locked="0"/>
    </xf>
    <xf numFmtId="0" fontId="7" fillId="3" borderId="4" xfId="0" applyFont="1" applyFill="1" applyBorder="1" applyAlignment="1" applyProtection="1">
      <alignment horizontal="left"/>
      <protection locked="0"/>
    </xf>
    <xf numFmtId="0" fontId="18" fillId="8" borderId="18" xfId="0" applyFont="1" applyFill="1" applyBorder="1" applyAlignment="1">
      <alignment horizontal="center"/>
    </xf>
    <xf numFmtId="0" fontId="10" fillId="4" borderId="47" xfId="0" applyFont="1" applyFill="1" applyBorder="1" applyAlignment="1">
      <alignment horizontal="right"/>
    </xf>
    <xf numFmtId="0" fontId="10" fillId="4" borderId="48" xfId="0" applyFont="1" applyFill="1" applyBorder="1" applyAlignment="1">
      <alignment horizontal="right"/>
    </xf>
    <xf numFmtId="0" fontId="10" fillId="4" borderId="46" xfId="0" applyFont="1" applyFill="1" applyBorder="1" applyAlignment="1">
      <alignment horizontal="right"/>
    </xf>
    <xf numFmtId="0" fontId="7" fillId="3" borderId="47" xfId="0" applyFont="1" applyFill="1" applyBorder="1" applyAlignment="1" applyProtection="1">
      <alignment horizontal="left"/>
      <protection locked="0"/>
    </xf>
    <xf numFmtId="0" fontId="7" fillId="3" borderId="46" xfId="0" applyFont="1" applyFill="1" applyBorder="1" applyAlignment="1" applyProtection="1">
      <alignment horizontal="left"/>
      <protection locked="0"/>
    </xf>
    <xf numFmtId="0" fontId="17" fillId="9" borderId="23" xfId="0" applyFont="1" applyFill="1" applyBorder="1" applyAlignment="1">
      <alignment horizontal="center" vertical="center" wrapText="1"/>
    </xf>
    <xf numFmtId="0" fontId="17" fillId="9" borderId="19" xfId="0" applyFont="1" applyFill="1" applyBorder="1" applyAlignment="1">
      <alignment horizontal="center" vertical="center" wrapText="1"/>
    </xf>
    <xf numFmtId="0" fontId="17" fillId="9" borderId="25" xfId="0" applyFont="1" applyFill="1" applyBorder="1" applyAlignment="1">
      <alignment horizontal="center" vertical="center" wrapText="1"/>
    </xf>
    <xf numFmtId="0" fontId="22" fillId="2" borderId="19" xfId="0" applyFont="1" applyFill="1" applyBorder="1" applyAlignment="1">
      <alignment horizontal="center"/>
    </xf>
    <xf numFmtId="0" fontId="22" fillId="2" borderId="26" xfId="0" applyFont="1" applyFill="1" applyBorder="1" applyAlignment="1">
      <alignment horizontal="center"/>
    </xf>
    <xf numFmtId="0" fontId="22" fillId="2" borderId="18" xfId="0" applyFont="1" applyFill="1" applyBorder="1" applyAlignment="1">
      <alignment horizontal="center"/>
    </xf>
    <xf numFmtId="0" fontId="22" fillId="2" borderId="22" xfId="0" applyFont="1" applyFill="1" applyBorder="1" applyAlignment="1">
      <alignment horizontal="center"/>
    </xf>
    <xf numFmtId="0" fontId="18" fillId="9" borderId="10" xfId="0" applyFont="1" applyFill="1" applyBorder="1" applyAlignment="1">
      <alignment horizontal="center" vertical="center" wrapText="1"/>
    </xf>
    <xf numFmtId="0" fontId="18" fillId="9" borderId="40" xfId="0" applyFont="1" applyFill="1" applyBorder="1" applyAlignment="1">
      <alignment horizontal="center" vertical="center" wrapText="1"/>
    </xf>
    <xf numFmtId="0" fontId="18" fillId="9" borderId="12" xfId="0" applyFont="1" applyFill="1" applyBorder="1" applyAlignment="1">
      <alignment horizontal="center" vertical="center" wrapText="1"/>
    </xf>
    <xf numFmtId="0" fontId="18" fillId="9" borderId="41" xfId="0" applyFont="1" applyFill="1" applyBorder="1" applyAlignment="1">
      <alignment horizontal="center" vertical="center" wrapText="1"/>
    </xf>
    <xf numFmtId="0" fontId="19" fillId="9" borderId="58" xfId="0" applyFont="1" applyFill="1" applyBorder="1" applyAlignment="1">
      <alignment horizontal="center" vertical="center"/>
    </xf>
    <xf numFmtId="0" fontId="19" fillId="9" borderId="11" xfId="0" applyFont="1" applyFill="1" applyBorder="1" applyAlignment="1">
      <alignment horizontal="center" vertical="center"/>
    </xf>
    <xf numFmtId="0" fontId="19" fillId="9" borderId="27" xfId="0" applyFont="1" applyFill="1" applyBorder="1" applyAlignment="1">
      <alignment horizontal="center" vertical="center"/>
    </xf>
    <xf numFmtId="0" fontId="19" fillId="9" borderId="39" xfId="0" applyFont="1" applyFill="1" applyBorder="1" applyAlignment="1">
      <alignment horizontal="center" vertical="center"/>
    </xf>
    <xf numFmtId="0" fontId="19" fillId="9" borderId="52" xfId="0" applyFont="1" applyFill="1" applyBorder="1" applyAlignment="1">
      <alignment horizontal="center" vertical="center"/>
    </xf>
    <xf numFmtId="0" fontId="21" fillId="9" borderId="49" xfId="0" applyFont="1" applyFill="1" applyBorder="1" applyAlignment="1">
      <alignment horizontal="center" vertical="center" wrapText="1"/>
    </xf>
    <xf numFmtId="0" fontId="21" fillId="9" borderId="50" xfId="0" applyFont="1" applyFill="1" applyBorder="1" applyAlignment="1">
      <alignment horizontal="center" vertical="center" wrapText="1"/>
    </xf>
    <xf numFmtId="0" fontId="17" fillId="9" borderId="53" xfId="0" applyFont="1" applyFill="1" applyBorder="1" applyAlignment="1">
      <alignment horizontal="center" vertical="center" wrapText="1"/>
    </xf>
    <xf numFmtId="0" fontId="17" fillId="9" borderId="20" xfId="0" applyFont="1" applyFill="1" applyBorder="1" applyAlignment="1">
      <alignment horizontal="center" vertical="center" wrapText="1"/>
    </xf>
    <xf numFmtId="0" fontId="18" fillId="8" borderId="56" xfId="0" applyFont="1" applyFill="1" applyBorder="1" applyAlignment="1">
      <alignment horizontal="center"/>
    </xf>
    <xf numFmtId="0" fontId="22" fillId="2" borderId="0" xfId="0" applyFont="1" applyFill="1" applyBorder="1" applyAlignment="1">
      <alignment horizontal="center"/>
    </xf>
    <xf numFmtId="0" fontId="17" fillId="9" borderId="0" xfId="0" applyFont="1" applyFill="1" applyBorder="1" applyAlignment="1">
      <alignment horizontal="center" vertical="center" wrapText="1"/>
    </xf>
    <xf numFmtId="0" fontId="10" fillId="4" borderId="47" xfId="0" applyFont="1" applyFill="1" applyBorder="1" applyAlignment="1">
      <alignment horizontal="center"/>
    </xf>
    <xf numFmtId="0" fontId="10" fillId="4" borderId="48" xfId="0" applyFont="1" applyFill="1" applyBorder="1" applyAlignment="1">
      <alignment horizontal="center"/>
    </xf>
    <xf numFmtId="0" fontId="10" fillId="4" borderId="46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10" fillId="4" borderId="5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/>
    </xf>
    <xf numFmtId="0" fontId="10" fillId="4" borderId="11" xfId="0" applyFont="1" applyFill="1" applyBorder="1" applyAlignment="1">
      <alignment horizontal="center"/>
    </xf>
    <xf numFmtId="0" fontId="10" fillId="4" borderId="0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7" fillId="3" borderId="0" xfId="0" applyFont="1" applyFill="1" applyBorder="1" applyAlignment="1" applyProtection="1">
      <alignment horizontal="left"/>
      <protection locked="0"/>
    </xf>
    <xf numFmtId="167" fontId="4" fillId="7" borderId="13" xfId="0" applyNumberFormat="1" applyFont="1" applyFill="1" applyBorder="1" applyAlignment="1">
      <alignment horizontal="center" vertical="center"/>
    </xf>
    <xf numFmtId="9" fontId="5" fillId="0" borderId="13" xfId="2" applyFont="1" applyBorder="1" applyAlignment="1" applyProtection="1">
      <alignment horizontal="center" vertical="center"/>
    </xf>
    <xf numFmtId="0" fontId="3" fillId="11" borderId="0" xfId="0" applyFont="1" applyFill="1" applyAlignment="1">
      <alignment horizontal="center"/>
    </xf>
    <xf numFmtId="9" fontId="7" fillId="11" borderId="0" xfId="2" applyFont="1" applyFill="1" applyBorder="1" applyAlignment="1" applyProtection="1">
      <alignment horizontal="center"/>
    </xf>
    <xf numFmtId="0" fontId="3" fillId="6" borderId="0" xfId="0" applyFont="1" applyFill="1"/>
    <xf numFmtId="0" fontId="3" fillId="0" borderId="0" xfId="0" applyFont="1"/>
    <xf numFmtId="0" fontId="7" fillId="0" borderId="0" xfId="0" applyFont="1"/>
    <xf numFmtId="167" fontId="10" fillId="6" borderId="0" xfId="0" applyNumberFormat="1" applyFont="1" applyFill="1" applyAlignment="1">
      <alignment horizontal="center" vertical="center"/>
    </xf>
    <xf numFmtId="0" fontId="3" fillId="10" borderId="5" xfId="0" applyFont="1" applyFill="1" applyBorder="1"/>
    <xf numFmtId="0" fontId="7" fillId="11" borderId="0" xfId="0" applyFont="1" applyFill="1" applyAlignment="1">
      <alignment horizontal="left"/>
    </xf>
    <xf numFmtId="0" fontId="9" fillId="11" borderId="0" xfId="0" applyFont="1" applyFill="1" applyAlignment="1">
      <alignment horizontal="center"/>
    </xf>
    <xf numFmtId="0" fontId="3" fillId="11" borderId="0" xfId="0" applyFont="1" applyFill="1"/>
    <xf numFmtId="0" fontId="18" fillId="8" borderId="57" xfId="0" applyFont="1" applyFill="1" applyBorder="1" applyAlignment="1">
      <alignment horizontal="center"/>
    </xf>
    <xf numFmtId="0" fontId="10" fillId="13" borderId="3" xfId="0" applyFont="1" applyFill="1" applyBorder="1" applyAlignment="1">
      <alignment horizontal="center" vertical="center"/>
    </xf>
    <xf numFmtId="0" fontId="10" fillId="13" borderId="5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167" fontId="10" fillId="0" borderId="5" xfId="0" applyNumberFormat="1" applyFont="1" applyBorder="1" applyAlignment="1">
      <alignment horizontal="center" vertical="center"/>
    </xf>
    <xf numFmtId="167" fontId="10" fillId="0" borderId="4" xfId="0" applyNumberFormat="1" applyFont="1" applyBorder="1" applyAlignment="1">
      <alignment horizontal="center" vertical="center"/>
    </xf>
    <xf numFmtId="0" fontId="22" fillId="2" borderId="6" xfId="0" applyFont="1" applyFill="1" applyBorder="1" applyAlignment="1">
      <alignment horizontal="center"/>
    </xf>
    <xf numFmtId="0" fontId="22" fillId="2" borderId="39" xfId="0" applyFont="1" applyFill="1" applyBorder="1" applyAlignment="1">
      <alignment horizontal="center"/>
    </xf>
    <xf numFmtId="0" fontId="22" fillId="2" borderId="63" xfId="0" applyFont="1" applyFill="1" applyBorder="1" applyAlignment="1">
      <alignment horizontal="center"/>
    </xf>
    <xf numFmtId="0" fontId="17" fillId="9" borderId="39" xfId="0" applyFont="1" applyFill="1" applyBorder="1" applyAlignment="1">
      <alignment horizontal="center" vertical="center" wrapText="1"/>
    </xf>
    <xf numFmtId="0" fontId="3" fillId="0" borderId="69" xfId="0" applyFont="1" applyBorder="1" applyAlignment="1" applyProtection="1">
      <alignment horizontal="left"/>
      <protection locked="0"/>
    </xf>
    <xf numFmtId="0" fontId="3" fillId="3" borderId="69" xfId="0" applyFont="1" applyFill="1" applyBorder="1" applyAlignment="1" applyProtection="1">
      <alignment horizontal="left"/>
      <protection locked="0"/>
    </xf>
    <xf numFmtId="0" fontId="7" fillId="3" borderId="0" xfId="0" applyFont="1" applyFill="1" applyAlignment="1" applyProtection="1">
      <alignment horizontal="left"/>
      <protection locked="0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4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6</xdr:col>
      <xdr:colOff>362426</xdr:colOff>
      <xdr:row>32</xdr:row>
      <xdr:rowOff>28659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5334000"/>
          <a:ext cx="3410426" cy="6001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6</xdr:col>
      <xdr:colOff>391005</xdr:colOff>
      <xdr:row>48</xdr:row>
      <xdr:rowOff>181160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950" y="7620000"/>
          <a:ext cx="3439005" cy="13241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6</xdr:col>
      <xdr:colOff>152847</xdr:colOff>
      <xdr:row>39</xdr:row>
      <xdr:rowOff>66791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950" y="6477000"/>
          <a:ext cx="3200847" cy="8287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4</xdr:col>
      <xdr:colOff>409887</xdr:colOff>
      <xdr:row>54</xdr:row>
      <xdr:rowOff>142948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1950" y="9715500"/>
          <a:ext cx="2238687" cy="5239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16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A24D6F-EF94-4E17-8E5F-FAC0447B2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2BDB3-9182-4455-91CA-01370F8D3277}">
  <sheetPr>
    <pageSetUpPr fitToPage="1"/>
  </sheetPr>
  <dimension ref="A1:B52"/>
  <sheetViews>
    <sheetView workbookViewId="0">
      <selection activeCell="E9" sqref="E9"/>
    </sheetView>
  </sheetViews>
  <sheetFormatPr defaultRowHeight="14.4" x14ac:dyDescent="0.3"/>
  <cols>
    <col min="1" max="1" width="5.44140625" customWidth="1"/>
  </cols>
  <sheetData>
    <row r="1" spans="1:2" x14ac:dyDescent="0.3">
      <c r="A1" s="118" t="s">
        <v>17</v>
      </c>
    </row>
    <row r="2" spans="1:2" x14ac:dyDescent="0.3">
      <c r="A2" s="118" t="s">
        <v>87</v>
      </c>
    </row>
    <row r="4" spans="1:2" x14ac:dyDescent="0.3">
      <c r="A4" s="119" t="s">
        <v>98</v>
      </c>
    </row>
    <row r="5" spans="1:2" x14ac:dyDescent="0.3">
      <c r="A5" s="119" t="s">
        <v>97</v>
      </c>
    </row>
    <row r="6" spans="1:2" x14ac:dyDescent="0.3">
      <c r="B6" s="119"/>
    </row>
    <row r="7" spans="1:2" x14ac:dyDescent="0.3">
      <c r="A7" s="120" t="s">
        <v>88</v>
      </c>
    </row>
    <row r="8" spans="1:2" x14ac:dyDescent="0.3">
      <c r="B8" s="119" t="s">
        <v>89</v>
      </c>
    </row>
    <row r="9" spans="1:2" x14ac:dyDescent="0.3">
      <c r="B9" t="s">
        <v>110</v>
      </c>
    </row>
    <row r="10" spans="1:2" x14ac:dyDescent="0.3">
      <c r="B10" t="s">
        <v>111</v>
      </c>
    </row>
    <row r="12" spans="1:2" x14ac:dyDescent="0.3">
      <c r="A12" s="120" t="s">
        <v>90</v>
      </c>
    </row>
    <row r="13" spans="1:2" x14ac:dyDescent="0.3">
      <c r="B13" t="s">
        <v>91</v>
      </c>
    </row>
    <row r="14" spans="1:2" x14ac:dyDescent="0.3">
      <c r="B14" t="s">
        <v>109</v>
      </c>
    </row>
    <row r="16" spans="1:2" x14ac:dyDescent="0.3">
      <c r="A16" s="120" t="s">
        <v>92</v>
      </c>
    </row>
    <row r="17" spans="1:2" x14ac:dyDescent="0.3">
      <c r="B17" t="s">
        <v>91</v>
      </c>
    </row>
    <row r="18" spans="1:2" x14ac:dyDescent="0.3">
      <c r="B18" t="s">
        <v>112</v>
      </c>
    </row>
    <row r="20" spans="1:2" x14ac:dyDescent="0.3">
      <c r="A20" s="120" t="s">
        <v>93</v>
      </c>
    </row>
    <row r="21" spans="1:2" x14ac:dyDescent="0.3">
      <c r="B21" t="s">
        <v>113</v>
      </c>
    </row>
    <row r="22" spans="1:2" x14ac:dyDescent="0.3">
      <c r="B22" t="s">
        <v>94</v>
      </c>
    </row>
    <row r="23" spans="1:2" x14ac:dyDescent="0.3">
      <c r="B23" t="s">
        <v>95</v>
      </c>
    </row>
    <row r="24" spans="1:2" x14ac:dyDescent="0.3">
      <c r="B24" t="s">
        <v>96</v>
      </c>
    </row>
    <row r="25" spans="1:2" x14ac:dyDescent="0.3">
      <c r="B25" t="s">
        <v>114</v>
      </c>
    </row>
    <row r="27" spans="1:2" x14ac:dyDescent="0.3">
      <c r="A27" s="120" t="s">
        <v>115</v>
      </c>
    </row>
    <row r="28" spans="1:2" x14ac:dyDescent="0.3">
      <c r="A28" t="s">
        <v>99</v>
      </c>
    </row>
    <row r="29" spans="1:2" x14ac:dyDescent="0.3">
      <c r="B29" t="s">
        <v>100</v>
      </c>
    </row>
    <row r="34" spans="1:2" x14ac:dyDescent="0.3">
      <c r="A34" t="s">
        <v>101</v>
      </c>
    </row>
    <row r="35" spans="1:2" x14ac:dyDescent="0.3">
      <c r="B35" t="s">
        <v>103</v>
      </c>
    </row>
    <row r="41" spans="1:2" x14ac:dyDescent="0.3">
      <c r="A41" t="s">
        <v>102</v>
      </c>
    </row>
    <row r="42" spans="1:2" x14ac:dyDescent="0.3">
      <c r="B42" t="s">
        <v>106</v>
      </c>
    </row>
    <row r="51" spans="1:2" x14ac:dyDescent="0.3">
      <c r="A51" t="s">
        <v>107</v>
      </c>
    </row>
    <row r="52" spans="1:2" x14ac:dyDescent="0.3">
      <c r="B52" t="s">
        <v>108</v>
      </c>
    </row>
  </sheetData>
  <sheetProtection algorithmName="SHA-512" hashValue="RzMNFt2jHuBHxsc2bs+8r9QTRU6j1KNBNEOzzVMNoTk7dFfl+R6ibxXxX7yIRiApi8XaE/loJrwAIDkweLRSXg==" saltValue="qmRQFLycjvgCdzgjGzesMA==" spinCount="100000" sheet="1" objects="1" scenarios="1"/>
  <pageMargins left="0.7" right="0.7" top="0.75" bottom="0.75" header="0.3" footer="0.3"/>
  <pageSetup scale="8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D71BF-C3F6-45C6-87EF-A1B7E55C1039}">
  <dimension ref="A1:AB64"/>
  <sheetViews>
    <sheetView tabSelected="1" workbookViewId="0">
      <selection activeCell="G5" sqref="G5:H5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3" width="43.33203125" style="57" customWidth="1"/>
    <col min="4" max="4" width="43.33203125" style="279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34" t="s">
        <v>42</v>
      </c>
      <c r="C1" s="151"/>
      <c r="D1" s="286"/>
      <c r="E1" s="260" t="s">
        <v>18</v>
      </c>
      <c r="F1" s="129"/>
      <c r="G1" s="129"/>
      <c r="H1" s="130"/>
      <c r="I1" s="151" t="s">
        <v>22</v>
      </c>
      <c r="J1" s="129"/>
      <c r="K1" s="129"/>
      <c r="L1" s="130"/>
      <c r="M1" s="127" t="s">
        <v>26</v>
      </c>
      <c r="N1" s="128"/>
      <c r="O1" s="128"/>
      <c r="P1" s="129" t="str">
        <f>L18</f>
        <v>CAD $</v>
      </c>
      <c r="Q1" s="129"/>
      <c r="R1" s="130"/>
      <c r="S1" s="151" t="s">
        <v>78</v>
      </c>
      <c r="T1" s="129"/>
      <c r="U1" s="129"/>
      <c r="V1" s="129"/>
      <c r="W1" s="130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63" t="s">
        <v>41</v>
      </c>
      <c r="E2" s="264"/>
      <c r="F2" s="265"/>
      <c r="G2" s="238" t="s">
        <v>169</v>
      </c>
      <c r="H2" s="239"/>
      <c r="I2" s="235" t="s">
        <v>21</v>
      </c>
      <c r="J2" s="236"/>
      <c r="K2" s="237"/>
      <c r="L2" s="34"/>
      <c r="M2" s="220" t="s">
        <v>19</v>
      </c>
      <c r="N2" s="221"/>
      <c r="O2" s="222"/>
      <c r="P2" s="133">
        <f>I62</f>
        <v>95424.660000000018</v>
      </c>
      <c r="Q2" s="133"/>
      <c r="R2" s="134"/>
      <c r="S2" s="200" t="s">
        <v>23</v>
      </c>
      <c r="T2" s="201"/>
      <c r="U2" s="163"/>
      <c r="V2" s="164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66" t="s">
        <v>13</v>
      </c>
      <c r="E3" s="267"/>
      <c r="F3" s="268"/>
      <c r="G3" s="232"/>
      <c r="H3" s="233"/>
      <c r="I3" s="229" t="s">
        <v>20</v>
      </c>
      <c r="J3" s="230"/>
      <c r="K3" s="231"/>
      <c r="L3" s="32"/>
      <c r="M3" s="223" t="s">
        <v>24</v>
      </c>
      <c r="N3" s="224"/>
      <c r="O3" s="225"/>
      <c r="P3" s="135">
        <f>M62</f>
        <v>47393.19</v>
      </c>
      <c r="Q3" s="135"/>
      <c r="R3" s="136"/>
      <c r="S3" s="146" t="s">
        <v>62</v>
      </c>
      <c r="T3" s="148"/>
      <c r="U3" s="205"/>
      <c r="V3" s="206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66" t="s">
        <v>14</v>
      </c>
      <c r="E4" s="267"/>
      <c r="F4" s="268"/>
      <c r="G4" s="232" t="s">
        <v>128</v>
      </c>
      <c r="H4" s="233"/>
      <c r="I4" s="229" t="s">
        <v>28</v>
      </c>
      <c r="J4" s="230"/>
      <c r="K4" s="231"/>
      <c r="L4" s="32"/>
      <c r="M4" s="223" t="s">
        <v>27</v>
      </c>
      <c r="N4" s="224"/>
      <c r="O4" s="225"/>
      <c r="P4" s="135">
        <f>P2-P3</f>
        <v>48031.470000000016</v>
      </c>
      <c r="Q4" s="135"/>
      <c r="R4" s="136"/>
      <c r="S4" s="146" t="s">
        <v>63</v>
      </c>
      <c r="T4" s="148"/>
      <c r="U4" s="205"/>
      <c r="V4" s="206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66" t="s">
        <v>15</v>
      </c>
      <c r="E5" s="267"/>
      <c r="F5" s="268"/>
      <c r="G5" s="232" t="s">
        <v>168</v>
      </c>
      <c r="H5" s="233"/>
      <c r="I5" s="229" t="s">
        <v>29</v>
      </c>
      <c r="J5" s="230"/>
      <c r="K5" s="231"/>
      <c r="L5" s="32"/>
      <c r="M5" s="226" t="s">
        <v>25</v>
      </c>
      <c r="N5" s="227"/>
      <c r="O5" s="228"/>
      <c r="P5" s="212">
        <f>IFERROR((P2-P3)/P2,"")</f>
        <v>0.5033444185182322</v>
      </c>
      <c r="Q5" s="212"/>
      <c r="R5" s="213"/>
      <c r="S5" s="146" t="s">
        <v>64</v>
      </c>
      <c r="T5" s="148"/>
      <c r="U5" s="205"/>
      <c r="V5" s="206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66" t="s">
        <v>16</v>
      </c>
      <c r="E6" s="267"/>
      <c r="F6" s="268"/>
      <c r="G6" s="232" t="s">
        <v>169</v>
      </c>
      <c r="H6" s="233"/>
      <c r="I6" s="229" t="s">
        <v>30</v>
      </c>
      <c r="J6" s="230"/>
      <c r="K6" s="231"/>
      <c r="L6" s="32"/>
      <c r="M6" s="207" t="s">
        <v>71</v>
      </c>
      <c r="N6" s="208"/>
      <c r="O6" s="209"/>
      <c r="P6" s="210">
        <f>T62</f>
        <v>47178.290000000008</v>
      </c>
      <c r="Q6" s="210"/>
      <c r="R6" s="211"/>
      <c r="S6" s="146" t="s">
        <v>60</v>
      </c>
      <c r="T6" s="148"/>
      <c r="U6" s="205"/>
      <c r="V6" s="206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66" t="s">
        <v>57</v>
      </c>
      <c r="E7" s="267"/>
      <c r="F7" s="268"/>
      <c r="G7" s="232"/>
      <c r="H7" s="233"/>
      <c r="I7" s="229" t="s">
        <v>31</v>
      </c>
      <c r="J7" s="230"/>
      <c r="K7" s="231"/>
      <c r="L7" s="32"/>
      <c r="M7" s="152" t="s">
        <v>80</v>
      </c>
      <c r="N7" s="153"/>
      <c r="O7" s="154"/>
      <c r="P7" s="155">
        <f>R62</f>
        <v>214.9</v>
      </c>
      <c r="Q7" s="155"/>
      <c r="R7" s="156"/>
      <c r="S7" s="214" t="s">
        <v>61</v>
      </c>
      <c r="T7" s="215"/>
      <c r="U7" s="216"/>
      <c r="V7" s="217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69" t="s">
        <v>32</v>
      </c>
      <c r="E8" s="269"/>
      <c r="F8" s="270"/>
      <c r="G8" s="232"/>
      <c r="H8" s="233"/>
      <c r="I8" s="229" t="s">
        <v>40</v>
      </c>
      <c r="J8" s="230"/>
      <c r="K8" s="231"/>
      <c r="L8" s="32"/>
      <c r="M8" s="152" t="s">
        <v>72</v>
      </c>
      <c r="N8" s="153"/>
      <c r="O8" s="154"/>
      <c r="P8" s="155">
        <f>IF(P1=Q15,R15,IF(Q15="CAD $",R15*E16,IF(Q15="USD $",R15*F16,0)))</f>
        <v>0</v>
      </c>
      <c r="Q8" s="155"/>
      <c r="R8" s="156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71" t="s">
        <v>58</v>
      </c>
      <c r="E9" s="271"/>
      <c r="F9" s="272"/>
      <c r="G9" s="232"/>
      <c r="H9" s="233"/>
      <c r="I9" s="109"/>
      <c r="J9" s="110"/>
      <c r="K9" s="110"/>
      <c r="L9" s="43"/>
      <c r="M9" s="152" t="s">
        <v>70</v>
      </c>
      <c r="N9" s="153"/>
      <c r="O9" s="154"/>
      <c r="P9" s="218">
        <f>V15</f>
        <v>5.37</v>
      </c>
      <c r="Q9" s="218"/>
      <c r="R9" s="219"/>
      <c r="S9" s="157">
        <f>P7+P8+P9</f>
        <v>220.27</v>
      </c>
      <c r="T9" s="157">
        <f>P3-S9</f>
        <v>47172.920000000006</v>
      </c>
      <c r="U9" s="159">
        <f>IFERROR(((P3-S9)/S9),0)</f>
        <v>214.15953148408772</v>
      </c>
      <c r="V9" s="159">
        <f>IFERROR(T9/P3,0)</f>
        <v>0.99535228584528712</v>
      </c>
      <c r="W9" s="161"/>
      <c r="X9" s="63"/>
      <c r="Y9" s="60"/>
      <c r="Z9" s="60"/>
      <c r="AA9" s="60"/>
      <c r="AB9" s="60"/>
    </row>
    <row r="10" spans="1:28" s="279" customFormat="1" ht="15" customHeight="1" x14ac:dyDescent="0.3">
      <c r="A10" s="278"/>
      <c r="B10" s="285"/>
      <c r="C10" s="285"/>
      <c r="D10" s="276" t="s">
        <v>191</v>
      </c>
      <c r="E10" s="276"/>
      <c r="F10" s="276"/>
      <c r="G10" s="298" t="s">
        <v>192</v>
      </c>
      <c r="H10" s="273"/>
      <c r="I10" s="283"/>
      <c r="J10" s="284"/>
      <c r="K10" s="284"/>
      <c r="L10" s="277"/>
      <c r="M10" s="287"/>
      <c r="N10" s="288"/>
      <c r="O10" s="289"/>
      <c r="P10" s="290"/>
      <c r="Q10" s="290"/>
      <c r="R10" s="291"/>
      <c r="S10" s="274"/>
      <c r="T10" s="274"/>
      <c r="U10" s="275"/>
      <c r="V10" s="275"/>
      <c r="W10" s="161"/>
      <c r="X10" s="281"/>
      <c r="Y10" s="280"/>
      <c r="Z10" s="280"/>
      <c r="AA10" s="280"/>
      <c r="AB10" s="280"/>
    </row>
    <row r="11" spans="1:28" ht="15" customHeight="1" thickBot="1" x14ac:dyDescent="0.35">
      <c r="A11" s="54"/>
      <c r="B11" s="112"/>
      <c r="C11" s="112"/>
      <c r="D11" s="285"/>
      <c r="E11" s="111"/>
      <c r="F11" s="111"/>
      <c r="G11" s="109"/>
      <c r="H11" s="109"/>
      <c r="I11" s="109"/>
      <c r="J11" s="110"/>
      <c r="K11" s="110"/>
      <c r="L11" s="43"/>
      <c r="M11" s="146" t="s">
        <v>83</v>
      </c>
      <c r="N11" s="147"/>
      <c r="O11" s="148"/>
      <c r="P11" s="149">
        <f>F62</f>
        <v>1114</v>
      </c>
      <c r="Q11" s="149"/>
      <c r="R11" s="150"/>
      <c r="S11" s="158"/>
      <c r="T11" s="158"/>
      <c r="U11" s="160"/>
      <c r="V11" s="160"/>
      <c r="W11" s="162"/>
      <c r="X11" s="63"/>
      <c r="Y11" s="60"/>
      <c r="Z11" s="60"/>
      <c r="AA11" s="60"/>
      <c r="AB11" s="60"/>
    </row>
    <row r="12" spans="1:28" ht="15" customHeight="1" x14ac:dyDescent="0.3">
      <c r="A12" s="54"/>
      <c r="B12" s="243"/>
      <c r="C12" s="244"/>
      <c r="D12" s="292"/>
      <c r="E12" s="247" t="s">
        <v>37</v>
      </c>
      <c r="F12" s="248"/>
      <c r="G12" s="251" t="s">
        <v>19</v>
      </c>
      <c r="H12" s="138"/>
      <c r="I12" s="252"/>
      <c r="J12" s="88"/>
      <c r="K12" s="169" t="s">
        <v>44</v>
      </c>
      <c r="L12" s="170"/>
      <c r="M12" s="170"/>
      <c r="N12" s="170"/>
      <c r="O12" s="171"/>
      <c r="P12" s="137" t="s">
        <v>43</v>
      </c>
      <c r="Q12" s="138"/>
      <c r="R12" s="138"/>
      <c r="S12" s="138"/>
      <c r="T12" s="138"/>
      <c r="U12" s="138"/>
      <c r="V12" s="139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45"/>
      <c r="C13" s="246"/>
      <c r="D13" s="261"/>
      <c r="E13" s="249"/>
      <c r="F13" s="250"/>
      <c r="G13" s="253"/>
      <c r="H13" s="254"/>
      <c r="I13" s="255"/>
      <c r="J13" s="89"/>
      <c r="K13" s="172"/>
      <c r="L13" s="173"/>
      <c r="M13" s="173"/>
      <c r="N13" s="173"/>
      <c r="O13" s="174"/>
      <c r="P13" s="140"/>
      <c r="Q13" s="141"/>
      <c r="R13" s="141"/>
      <c r="S13" s="141"/>
      <c r="T13" s="141"/>
      <c r="U13" s="141"/>
      <c r="V13" s="142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45"/>
      <c r="C14" s="246"/>
      <c r="D14" s="293"/>
      <c r="E14" s="182"/>
      <c r="F14" s="183"/>
      <c r="G14" s="178" t="s">
        <v>82</v>
      </c>
      <c r="H14" s="179"/>
      <c r="I14" s="44" t="s">
        <v>33</v>
      </c>
      <c r="J14" s="90"/>
      <c r="K14" s="175"/>
      <c r="L14" s="176"/>
      <c r="M14" s="176"/>
      <c r="N14" s="176"/>
      <c r="O14" s="177"/>
      <c r="P14" s="140"/>
      <c r="Q14" s="141"/>
      <c r="R14" s="141"/>
      <c r="S14" s="141"/>
      <c r="T14" s="141"/>
      <c r="U14" s="141"/>
      <c r="V14" s="142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45"/>
      <c r="C15" s="246"/>
      <c r="D15" s="294"/>
      <c r="E15" s="104" t="s">
        <v>35</v>
      </c>
      <c r="F15" s="105" t="s">
        <v>36</v>
      </c>
      <c r="G15" s="184" t="s">
        <v>105</v>
      </c>
      <c r="H15" s="185"/>
      <c r="I15" s="186"/>
      <c r="J15" s="91"/>
      <c r="K15" s="180" t="s">
        <v>116</v>
      </c>
      <c r="L15" s="181"/>
      <c r="M15" s="194" t="s">
        <v>117</v>
      </c>
      <c r="N15" s="195"/>
      <c r="O15" s="196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ROUND(R62*T15,2)</f>
        <v>5.37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45"/>
      <c r="C16" s="246"/>
      <c r="D16" s="261"/>
      <c r="E16" s="117">
        <f>1/F16</f>
        <v>0.68965517241379315</v>
      </c>
      <c r="F16" s="7">
        <v>1.45</v>
      </c>
      <c r="G16" s="189"/>
      <c r="H16" s="190"/>
      <c r="I16" s="191"/>
      <c r="J16" s="92"/>
      <c r="K16" s="182"/>
      <c r="L16" s="183"/>
      <c r="M16" s="197"/>
      <c r="N16" s="198"/>
      <c r="O16" s="199"/>
      <c r="P16" s="143" t="s">
        <v>79</v>
      </c>
      <c r="Q16" s="144"/>
      <c r="R16" s="144"/>
      <c r="S16" s="144"/>
      <c r="T16" s="144"/>
      <c r="U16" s="144"/>
      <c r="V16" s="145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0" t="s">
        <v>0</v>
      </c>
      <c r="C17" s="242" t="s">
        <v>1</v>
      </c>
      <c r="D17" s="262"/>
      <c r="E17" s="256" t="s">
        <v>38</v>
      </c>
      <c r="F17" s="258" t="s">
        <v>2</v>
      </c>
      <c r="G17" s="187" t="s">
        <v>3</v>
      </c>
      <c r="H17" s="188"/>
      <c r="I17" s="102" t="s">
        <v>9</v>
      </c>
      <c r="J17" s="93"/>
      <c r="K17" s="165" t="s">
        <v>2</v>
      </c>
      <c r="L17" s="100" t="s">
        <v>6</v>
      </c>
      <c r="M17" s="97" t="s">
        <v>4</v>
      </c>
      <c r="N17" s="192" t="s">
        <v>118</v>
      </c>
      <c r="O17" s="192" t="s">
        <v>119</v>
      </c>
      <c r="P17" s="131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1"/>
      <c r="C18" s="187"/>
      <c r="D18" s="295"/>
      <c r="E18" s="257"/>
      <c r="F18" s="259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66"/>
      <c r="L18" s="167" t="s">
        <v>7</v>
      </c>
      <c r="M18" s="168"/>
      <c r="N18" s="193"/>
      <c r="O18" s="193"/>
      <c r="P18" s="132"/>
      <c r="Q18" s="37" t="s">
        <v>7</v>
      </c>
      <c r="R18" s="202" t="str">
        <f>L18</f>
        <v>CAD $</v>
      </c>
      <c r="S18" s="203"/>
      <c r="T18" s="203"/>
      <c r="U18" s="203"/>
      <c r="V18" s="204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137</v>
      </c>
      <c r="C19" s="5" t="s">
        <v>170</v>
      </c>
      <c r="D19" s="296"/>
      <c r="E19" s="121"/>
      <c r="F19" s="52">
        <v>1</v>
      </c>
      <c r="G19" s="8">
        <v>52.82</v>
      </c>
      <c r="H19" s="9">
        <f>ROUND(IF($G$18="USD $", G19*$F$16,G19*$E$16),2)</f>
        <v>36.43</v>
      </c>
      <c r="I19" s="10">
        <f>ROUND(IF($I$18=$H$18,F19*H19,F19*G19),2)</f>
        <v>52.82</v>
      </c>
      <c r="J19" s="11"/>
      <c r="K19" s="87">
        <f t="shared" ref="K19:K61" si="0">F19</f>
        <v>1</v>
      </c>
      <c r="L19" s="9">
        <f>IFERROR(IF(N19="OEM DISC %",ROUND(IF($L$18=$G$18,G19*(1-O19),H19*(1-O19)),2),IF(N19="MARKUP %",ROUND(R19/K19*(1+O19),2))),0)</f>
        <v>20.07</v>
      </c>
      <c r="M19" s="9">
        <f>ROUND((K19*L19),2)</f>
        <v>20.07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20.07</v>
      </c>
      <c r="T19" s="14">
        <f>ROUND(M19-R19,2)</f>
        <v>20.07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138</v>
      </c>
      <c r="C20" s="4" t="s">
        <v>160</v>
      </c>
      <c r="D20" s="297"/>
      <c r="E20" s="122"/>
      <c r="F20" s="53">
        <v>1</v>
      </c>
      <c r="G20" s="15">
        <v>110.04</v>
      </c>
      <c r="H20" s="38">
        <f t="shared" ref="H20:H61" si="1">ROUND(IF($G$18="USD $", G20*$F$16,G20*$E$16),2)</f>
        <v>75.89</v>
      </c>
      <c r="I20" s="39">
        <f t="shared" ref="I20:I61" si="2">ROUND(IF($I$18=$H$18,F20*H20,F20*G20),2)</f>
        <v>110.04</v>
      </c>
      <c r="J20" s="42"/>
      <c r="K20" s="86">
        <f t="shared" si="0"/>
        <v>1</v>
      </c>
      <c r="L20" s="38">
        <f>IFERROR(IF(N20="OEM DISC %",ROUND(IF($L$18=$G$18,G20*(1-O20),H20*(1-O20)),2),IF(N20="MARKUP %",ROUND(R20/K20*(1+O20),2))),0)</f>
        <v>41.82</v>
      </c>
      <c r="M20" s="38">
        <f t="shared" ref="M20:M61" si="3">ROUND((K20*L20),2)</f>
        <v>41.82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41.82</v>
      </c>
      <c r="T20" s="51">
        <f>ROUND(M20-R20,2)</f>
        <v>41.82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139</v>
      </c>
      <c r="C21" s="6" t="s">
        <v>171</v>
      </c>
      <c r="D21" s="296"/>
      <c r="E21" s="123"/>
      <c r="F21" s="52">
        <v>1</v>
      </c>
      <c r="G21" s="8">
        <v>81.73</v>
      </c>
      <c r="H21" s="9">
        <f t="shared" si="1"/>
        <v>56.37</v>
      </c>
      <c r="I21" s="10">
        <f t="shared" si="2"/>
        <v>81.73</v>
      </c>
      <c r="J21" s="42"/>
      <c r="K21" s="87">
        <f t="shared" si="0"/>
        <v>1</v>
      </c>
      <c r="L21" s="9">
        <f>IFERROR(IF(N21="OEM DISC %",ROUND(IF($L$18=$G$18,G21*(1-O21),H21*(1-O21)),2),IF(N21="MARKUP %",ROUND(R21/K21*(1+O21),2))),0)</f>
        <v>31.06</v>
      </c>
      <c r="M21" s="9">
        <f t="shared" si="3"/>
        <v>31.06</v>
      </c>
      <c r="N21" s="8" t="s">
        <v>120</v>
      </c>
      <c r="O21" s="12">
        <v>0.62</v>
      </c>
      <c r="P21" s="3"/>
      <c r="Q21" s="13"/>
      <c r="R21" s="14">
        <f>ROUND(IF($R$18=$Q$18,Q21,IF($R$18="USD $",Q21*$E$16,Q21*$F$16))*F21,2)</f>
        <v>0</v>
      </c>
      <c r="S21" s="14">
        <f>IFERROR(ROUND(T21/F21,2),0)</f>
        <v>31.06</v>
      </c>
      <c r="T21" s="14">
        <f>ROUND(M21-R21,2)</f>
        <v>31.06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172</v>
      </c>
      <c r="C22" s="4" t="s">
        <v>173</v>
      </c>
      <c r="D22" s="297"/>
      <c r="E22" s="122"/>
      <c r="F22" s="53">
        <v>1</v>
      </c>
      <c r="G22" s="15">
        <v>113.9</v>
      </c>
      <c r="H22" s="38">
        <f t="shared" si="1"/>
        <v>78.55</v>
      </c>
      <c r="I22" s="39">
        <f t="shared" si="2"/>
        <v>113.9</v>
      </c>
      <c r="J22" s="42"/>
      <c r="K22" s="86">
        <f t="shared" si="0"/>
        <v>1</v>
      </c>
      <c r="L22" s="38">
        <f>IFERROR(IF(N22="OEM DISC %",ROUND(IF($L$18=$G$18,G22*(1-O22),H22*(1-O22)),2),IF(N22="MARKUP %",ROUND(R22/K22*(1+O22),2))),0)</f>
        <v>43.28</v>
      </c>
      <c r="M22" s="38">
        <f t="shared" si="3"/>
        <v>43.28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43.28</v>
      </c>
      <c r="T22" s="51">
        <f>ROUND(M22-R22,2)</f>
        <v>43.28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134</v>
      </c>
      <c r="C23" s="6" t="s">
        <v>129</v>
      </c>
      <c r="D23" s="296"/>
      <c r="E23" s="123"/>
      <c r="F23" s="52">
        <v>1</v>
      </c>
      <c r="G23" s="8">
        <v>44.09</v>
      </c>
      <c r="H23" s="9">
        <f t="shared" si="1"/>
        <v>30.41</v>
      </c>
      <c r="I23" s="10">
        <f t="shared" si="2"/>
        <v>44.09</v>
      </c>
      <c r="J23" s="42"/>
      <c r="K23" s="87">
        <f t="shared" si="0"/>
        <v>1</v>
      </c>
      <c r="L23" s="9">
        <f>IFERROR(IF(N23="OEM DISC %",ROUND(IF($L$18=$G$18,G23*(1-O23),H23*(1-O23)),2),IF(N23="MARKUP %",ROUND(R23/K23*(1+O23),2))),0)</f>
        <v>16.75</v>
      </c>
      <c r="M23" s="9">
        <f t="shared" si="3"/>
        <v>16.75</v>
      </c>
      <c r="N23" s="8" t="s">
        <v>120</v>
      </c>
      <c r="O23" s="12">
        <v>0.62</v>
      </c>
      <c r="P23" s="3"/>
      <c r="Q23" s="13"/>
      <c r="R23" s="14">
        <f>ROUND(IF($R$18=$Q$18,Q23,IF($R$18="USD $",Q23*$E$16,Q23*$F$16))*F23,2)</f>
        <v>0</v>
      </c>
      <c r="S23" s="14">
        <f>IFERROR(ROUND(T23/F23,2),0)</f>
        <v>16.75</v>
      </c>
      <c r="T23" s="14">
        <f>ROUND(M23-R23,2)</f>
        <v>16.75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136</v>
      </c>
      <c r="C24" s="4" t="s">
        <v>132</v>
      </c>
      <c r="D24" s="297"/>
      <c r="E24" s="122"/>
      <c r="F24" s="53">
        <v>2</v>
      </c>
      <c r="G24" s="15">
        <v>47.05</v>
      </c>
      <c r="H24" s="38">
        <f t="shared" si="1"/>
        <v>32.450000000000003</v>
      </c>
      <c r="I24" s="39">
        <f t="shared" si="2"/>
        <v>94.1</v>
      </c>
      <c r="J24" s="42"/>
      <c r="K24" s="86">
        <f t="shared" si="0"/>
        <v>2</v>
      </c>
      <c r="L24" s="38">
        <f>IFERROR(IF(N24="OEM DISC %",ROUND(IF($L$18=$G$18,G24*(1-O24),H24*(1-O24)),2),IF(N24="MARKUP %",ROUND(R24/K24*(1+O24),2))),0)</f>
        <v>17.88</v>
      </c>
      <c r="M24" s="38">
        <f t="shared" si="3"/>
        <v>35.76</v>
      </c>
      <c r="N24" s="125" t="s">
        <v>120</v>
      </c>
      <c r="O24" s="16">
        <v>0.62</v>
      </c>
      <c r="P24" s="1"/>
      <c r="Q24" s="15"/>
      <c r="R24" s="40">
        <f>ROUND(IF($R$18=$Q$18,Q24,IF($R$18="USD $",Q24*$E$16,Q24*$F$16))*F24,2)</f>
        <v>0</v>
      </c>
      <c r="S24" s="51">
        <f>IFERROR(ROUND(T24/F24,2),0)</f>
        <v>17.88</v>
      </c>
      <c r="T24" s="51">
        <f>ROUND(M24-R24,2)</f>
        <v>35.76</v>
      </c>
      <c r="U24" s="41">
        <f>IFERROR(((L24-(R24/K24))/(R24/K24)),0)</f>
        <v>0</v>
      </c>
      <c r="V24" s="41">
        <f>IFERROR(((L24-(R24/K24))/L24),0)</f>
        <v>1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141</v>
      </c>
      <c r="C25" s="6" t="s">
        <v>158</v>
      </c>
      <c r="D25" s="296"/>
      <c r="E25" s="123"/>
      <c r="F25" s="52">
        <v>1</v>
      </c>
      <c r="G25" s="8">
        <v>4677.47</v>
      </c>
      <c r="H25" s="9">
        <f t="shared" si="1"/>
        <v>3225.84</v>
      </c>
      <c r="I25" s="10">
        <f t="shared" si="2"/>
        <v>4677.47</v>
      </c>
      <c r="J25" s="42"/>
      <c r="K25" s="87">
        <f t="shared" si="0"/>
        <v>1</v>
      </c>
      <c r="L25" s="9">
        <f>IFERROR(IF(N25="OEM DISC %",ROUND(IF($L$18=$G$18,G25*(1-O25),H25*(1-O25)),2),IF(N25="MARKUP %",ROUND(R25/K25*(1+O25),2))),0)</f>
        <v>2338.7399999999998</v>
      </c>
      <c r="M25" s="9">
        <f t="shared" si="3"/>
        <v>2338.7399999999998</v>
      </c>
      <c r="N25" s="8" t="s">
        <v>120</v>
      </c>
      <c r="O25" s="12">
        <v>0.5</v>
      </c>
      <c r="P25" s="3"/>
      <c r="Q25" s="13"/>
      <c r="R25" s="14">
        <f>ROUND(IF($R$18=$Q$18,Q25,IF($R$18="USD $",Q25*$E$16,Q25*$F$16))*F25,2)</f>
        <v>0</v>
      </c>
      <c r="S25" s="14">
        <f>IFERROR(ROUND(T25/F25,2),0)</f>
        <v>2338.7399999999998</v>
      </c>
      <c r="T25" s="14">
        <f>ROUND(M25-R25,2)</f>
        <v>2338.7399999999998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 t="s">
        <v>131</v>
      </c>
      <c r="C26" s="4" t="s">
        <v>174</v>
      </c>
      <c r="D26" s="297"/>
      <c r="E26" s="122"/>
      <c r="F26" s="53">
        <v>2</v>
      </c>
      <c r="G26" s="15">
        <v>503.86</v>
      </c>
      <c r="H26" s="38">
        <f t="shared" si="1"/>
        <v>347.49</v>
      </c>
      <c r="I26" s="39">
        <f t="shared" si="2"/>
        <v>1007.72</v>
      </c>
      <c r="J26" s="42"/>
      <c r="K26" s="86">
        <f t="shared" si="0"/>
        <v>2</v>
      </c>
      <c r="L26" s="38">
        <f>IFERROR(IF(N26="OEM DISC %",ROUND(IF($L$18=$G$18,G26*(1-O26),H26*(1-O26)),2),IF(N26="MARKUP %",ROUND(R26/K26*(1+O26),2))),0)</f>
        <v>120.88</v>
      </c>
      <c r="M26" s="38">
        <f>ROUND((K26*L26),2)</f>
        <v>241.76</v>
      </c>
      <c r="N26" s="125" t="s">
        <v>121</v>
      </c>
      <c r="O26" s="16">
        <v>0.125</v>
      </c>
      <c r="P26" s="1"/>
      <c r="Q26" s="15">
        <v>107.45</v>
      </c>
      <c r="R26" s="40">
        <f>ROUND(IF($R$18=$Q$18,Q26,IF($R$18="USD $",Q26*$E$16,Q26*$F$16))*F26,2)</f>
        <v>214.9</v>
      </c>
      <c r="S26" s="51">
        <f>IFERROR(ROUND(T26/F26,2),0)</f>
        <v>13.43</v>
      </c>
      <c r="T26" s="51">
        <f>ROUND(M26-R26,2)</f>
        <v>26.86</v>
      </c>
      <c r="U26" s="41">
        <f>IFERROR(((L26-(R26/K26))/(R26/K26)),0)</f>
        <v>0.12498836668217768</v>
      </c>
      <c r="V26" s="41">
        <f>IFERROR(((L26-(R26/K26))/L26),0)</f>
        <v>0.11110191925876897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151</v>
      </c>
      <c r="C27" s="6" t="s">
        <v>152</v>
      </c>
      <c r="D27" s="296"/>
      <c r="E27" s="123"/>
      <c r="F27" s="52">
        <v>1</v>
      </c>
      <c r="G27" s="8">
        <v>4368</v>
      </c>
      <c r="H27" s="9">
        <f t="shared" si="1"/>
        <v>3012.41</v>
      </c>
      <c r="I27" s="10">
        <f t="shared" si="2"/>
        <v>4368</v>
      </c>
      <c r="J27" s="42"/>
      <c r="K27" s="87">
        <f t="shared" si="0"/>
        <v>1</v>
      </c>
      <c r="L27" s="9">
        <f>IFERROR(IF(N27="OEM DISC %",ROUND(IF($L$18=$G$18,G27*(1-O27),H27*(1-O27)),2),IF(N27="MARKUP %",ROUND(R27/K27*(1+O27),2))),0)</f>
        <v>2184</v>
      </c>
      <c r="M27" s="9">
        <f t="shared" si="3"/>
        <v>2184</v>
      </c>
      <c r="N27" s="8" t="s">
        <v>120</v>
      </c>
      <c r="O27" s="12">
        <v>0.5</v>
      </c>
      <c r="P27" s="3"/>
      <c r="Q27" s="13"/>
      <c r="R27" s="14">
        <f>ROUND(IF($R$18=$Q$18,Q27,IF($R$18="USD $",Q27*$E$16,Q27*$F$16))*F27,2)</f>
        <v>0</v>
      </c>
      <c r="S27" s="14">
        <f>IFERROR(ROUND(T27/F27,2),0)</f>
        <v>2184</v>
      </c>
      <c r="T27" s="14">
        <f>ROUND(M27-R27,2)</f>
        <v>2184</v>
      </c>
      <c r="U27" s="29">
        <f>IFERROR(((L27-(R27/K27))/(R27/K27)),0)</f>
        <v>0</v>
      </c>
      <c r="V27" s="29">
        <f>IFERROR(((L27-(R27/K27))/L27),0)</f>
        <v>1</v>
      </c>
      <c r="W27" s="27"/>
      <c r="X27" s="50"/>
      <c r="Y27" s="60" t="s">
        <v>50</v>
      </c>
      <c r="Z27" s="60">
        <v>8000</v>
      </c>
      <c r="AA27" s="60"/>
      <c r="AB27" s="60"/>
    </row>
    <row r="28" spans="1:28" x14ac:dyDescent="0.3">
      <c r="A28" s="54"/>
      <c r="B28" s="1" t="s">
        <v>153</v>
      </c>
      <c r="C28" s="4" t="s">
        <v>154</v>
      </c>
      <c r="D28" s="297"/>
      <c r="E28" s="122"/>
      <c r="F28" s="53">
        <v>1</v>
      </c>
      <c r="G28" s="15">
        <v>14944.09</v>
      </c>
      <c r="H28" s="38">
        <f t="shared" si="1"/>
        <v>10306.27</v>
      </c>
      <c r="I28" s="39">
        <f t="shared" si="2"/>
        <v>14944.09</v>
      </c>
      <c r="J28" s="42"/>
      <c r="K28" s="86">
        <f t="shared" si="0"/>
        <v>1</v>
      </c>
      <c r="L28" s="38">
        <f>IFERROR(IF(N28="OEM DISC %",ROUND(IF($L$18=$G$18,G28*(1-O28),H28*(1-O28)),2),IF(N28="MARKUP %",ROUND(R28/K28*(1+O28),2))),0)</f>
        <v>7472.05</v>
      </c>
      <c r="M28" s="38">
        <f t="shared" si="3"/>
        <v>7472.05</v>
      </c>
      <c r="N28" s="125" t="s">
        <v>120</v>
      </c>
      <c r="O28" s="16">
        <v>0.5</v>
      </c>
      <c r="P28" s="1"/>
      <c r="Q28" s="15"/>
      <c r="R28" s="40">
        <f>ROUND(IF($R$18=$Q$18,Q28,IF($R$18="USD $",Q28*$E$16,Q28*$F$16))*F28,2)</f>
        <v>0</v>
      </c>
      <c r="S28" s="51">
        <f>IFERROR(ROUND(T28/F28,2),0)</f>
        <v>7472.05</v>
      </c>
      <c r="T28" s="51">
        <f>ROUND(M28-R28,2)</f>
        <v>7472.05</v>
      </c>
      <c r="U28" s="41">
        <f>IFERROR(((L28-(R28/K28))/(R28/K28)),0)</f>
        <v>0</v>
      </c>
      <c r="V28" s="41">
        <f>IFERROR(((L28-(R28/K28))/L28),0)</f>
        <v>1</v>
      </c>
      <c r="W28" s="28"/>
      <c r="X28" s="50"/>
      <c r="Y28" s="60" t="s">
        <v>54</v>
      </c>
      <c r="Z28" s="72">
        <v>10000</v>
      </c>
      <c r="AA28" s="60"/>
      <c r="AB28" s="60"/>
    </row>
    <row r="29" spans="1:28" x14ac:dyDescent="0.3">
      <c r="A29" s="54"/>
      <c r="B29" s="2" t="s">
        <v>140</v>
      </c>
      <c r="C29" s="6" t="s">
        <v>156</v>
      </c>
      <c r="D29" s="296"/>
      <c r="E29" s="123"/>
      <c r="F29" s="52">
        <v>6</v>
      </c>
      <c r="G29" s="8">
        <v>914.54</v>
      </c>
      <c r="H29" s="9">
        <f t="shared" si="1"/>
        <v>630.72</v>
      </c>
      <c r="I29" s="10">
        <f t="shared" si="2"/>
        <v>5487.24</v>
      </c>
      <c r="J29" s="42"/>
      <c r="K29" s="87">
        <f t="shared" si="0"/>
        <v>6</v>
      </c>
      <c r="L29" s="9">
        <f>IFERROR(IF(N29="OEM DISC %",ROUND(IF($L$18=$G$18,G29*(1-O29),H29*(1-O29)),2),IF(N29="MARKUP %",ROUND(R29/K29*(1+O29),2))),0)</f>
        <v>457.27</v>
      </c>
      <c r="M29" s="9">
        <f t="shared" si="3"/>
        <v>2743.62</v>
      </c>
      <c r="N29" s="8" t="s">
        <v>120</v>
      </c>
      <c r="O29" s="12">
        <v>0.5</v>
      </c>
      <c r="P29" s="3"/>
      <c r="Q29" s="13"/>
      <c r="R29" s="14">
        <f>ROUND(IF($R$18=$Q$18,Q29,IF($R$18="USD $",Q29*$E$16,Q29*$F$16))*F29,2)</f>
        <v>0</v>
      </c>
      <c r="S29" s="14">
        <f>IFERROR(ROUND(T29/F29,2),0)</f>
        <v>457.27</v>
      </c>
      <c r="T29" s="14">
        <f>ROUND(M29-R29,2)</f>
        <v>2743.62</v>
      </c>
      <c r="U29" s="29">
        <f>IFERROR(((L29-(R29/K29))/(R29/K29)),0)</f>
        <v>0</v>
      </c>
      <c r="V29" s="29">
        <f>IFERROR(((L29-(R29/K29))/L29),0)</f>
        <v>1</v>
      </c>
      <c r="W29" s="27"/>
      <c r="X29" s="50"/>
      <c r="Y29" s="60" t="s">
        <v>55</v>
      </c>
      <c r="Z29" s="60" t="s">
        <v>51</v>
      </c>
      <c r="AA29" s="60"/>
      <c r="AB29" s="60"/>
    </row>
    <row r="30" spans="1:28" x14ac:dyDescent="0.3">
      <c r="A30" s="54"/>
      <c r="B30" s="1"/>
      <c r="C30" s="4"/>
      <c r="D30" s="297"/>
      <c r="E30" s="122"/>
      <c r="F30" s="53"/>
      <c r="G30" s="15"/>
      <c r="H30" s="38">
        <f>ROUND(IF($G$18="USD $", G30*$F$16,G30*$E$16),2)</f>
        <v>0</v>
      </c>
      <c r="I30" s="39">
        <f>ROUND(IF($I$18=$H$18,F30*H30,F30*G30),2)</f>
        <v>0</v>
      </c>
      <c r="J30" s="42"/>
      <c r="K30" s="86">
        <f t="shared" si="0"/>
        <v>0</v>
      </c>
      <c r="L30" s="38">
        <f>IFERROR(IF(N30="OEM DISC %",ROUND(IF($L$18=$G$18,G30*(1-O30),H30*(1-O30)),2),IF(N30="MARKUP %",ROUND(R30/K30*(1+O30),2))),0)</f>
        <v>0</v>
      </c>
      <c r="M30" s="38">
        <f>ROUND((K30*L30),2)</f>
        <v>0</v>
      </c>
      <c r="N30" s="125" t="s">
        <v>120</v>
      </c>
      <c r="O30" s="16"/>
      <c r="P30" s="1"/>
      <c r="Q30" s="15"/>
      <c r="R30" s="40">
        <f>ROUND(IF($R$18=$Q$18,Q30,IF($R$18="USD $",Q30*$E$16,Q30*$F$16))*F30,2)</f>
        <v>0</v>
      </c>
      <c r="S30" s="51">
        <f>IFERROR(ROUND(T30/F30,2),0)</f>
        <v>0</v>
      </c>
      <c r="T30" s="51">
        <f>ROUND(M30-R30,2)</f>
        <v>0</v>
      </c>
      <c r="U30" s="41">
        <f>IFERROR(((L30-(R30/K30))/(R30/K30)),0)</f>
        <v>0</v>
      </c>
      <c r="V30" s="41">
        <f>IFERROR(((L30-(R30/K30))/L30),0)</f>
        <v>0</v>
      </c>
      <c r="W30" s="28"/>
      <c r="X30" s="50"/>
      <c r="Y30" s="60" t="s">
        <v>56</v>
      </c>
      <c r="Z30" s="60"/>
      <c r="AA30" s="60"/>
      <c r="AB30" s="60"/>
    </row>
    <row r="31" spans="1:28" x14ac:dyDescent="0.3">
      <c r="A31" s="54"/>
      <c r="B31" s="2" t="s">
        <v>146</v>
      </c>
      <c r="C31" s="6" t="s">
        <v>175</v>
      </c>
      <c r="D31" s="296"/>
      <c r="E31" s="123"/>
      <c r="F31" s="52">
        <v>4</v>
      </c>
      <c r="G31" s="8">
        <v>3220.34</v>
      </c>
      <c r="H31" s="9">
        <f t="shared" si="1"/>
        <v>2220.92</v>
      </c>
      <c r="I31" s="10">
        <f t="shared" si="2"/>
        <v>12881.36</v>
      </c>
      <c r="J31" s="42"/>
      <c r="K31" s="87">
        <f t="shared" si="0"/>
        <v>4</v>
      </c>
      <c r="L31" s="9">
        <f>IFERROR(IF(N31="OEM DISC %",ROUND(IF($L$18=$G$18,G31*(1-O31),H31*(1-O31)),2),IF(N31="MARKUP %",ROUND(R31/K31*(1+O31),2))),0)</f>
        <v>1610.17</v>
      </c>
      <c r="M31" s="9">
        <f t="shared" si="3"/>
        <v>6440.68</v>
      </c>
      <c r="N31" s="8" t="s">
        <v>120</v>
      </c>
      <c r="O31" s="12">
        <v>0.5</v>
      </c>
      <c r="P31" s="3"/>
      <c r="Q31" s="13"/>
      <c r="R31" s="14">
        <f>ROUND(IF($R$18=$Q$18,Q31,IF($R$18="USD $",Q31*$E$16,Q31*$F$16))*F31,2)</f>
        <v>0</v>
      </c>
      <c r="S31" s="14">
        <f>IFERROR(ROUND(T31/F31,2),0)</f>
        <v>1610.17</v>
      </c>
      <c r="T31" s="14">
        <f>ROUND(M31-R31,2)</f>
        <v>6440.68</v>
      </c>
      <c r="U31" s="29">
        <f>IFERROR(((L31-(R31/K31))/(R31/K31)),0)</f>
        <v>0</v>
      </c>
      <c r="V31" s="29">
        <f>IFERROR(((L31-(R31/K31))/L31),0)</f>
        <v>1</v>
      </c>
      <c r="W31" s="27"/>
      <c r="X31" s="50"/>
      <c r="Y31" s="60"/>
      <c r="Z31" s="60"/>
      <c r="AA31" s="60"/>
      <c r="AB31" s="60"/>
    </row>
    <row r="32" spans="1:28" x14ac:dyDescent="0.3">
      <c r="A32" s="54"/>
      <c r="B32" s="1" t="s">
        <v>176</v>
      </c>
      <c r="C32" s="4" t="s">
        <v>177</v>
      </c>
      <c r="D32" s="297"/>
      <c r="E32" s="122"/>
      <c r="F32" s="53">
        <v>8</v>
      </c>
      <c r="G32" s="15">
        <v>166.52</v>
      </c>
      <c r="H32" s="38">
        <f t="shared" si="1"/>
        <v>114.84</v>
      </c>
      <c r="I32" s="39">
        <f t="shared" si="2"/>
        <v>1332.16</v>
      </c>
      <c r="J32" s="42"/>
      <c r="K32" s="86">
        <f t="shared" si="0"/>
        <v>8</v>
      </c>
      <c r="L32" s="38">
        <f>IFERROR(IF(N32="OEM DISC %",ROUND(IF($L$18=$G$18,G32*(1-O32),H32*(1-O32)),2),IF(N32="MARKUP %",ROUND(R32/K32*(1+O32),2))),0)</f>
        <v>83.26</v>
      </c>
      <c r="M32" s="38">
        <f t="shared" si="3"/>
        <v>666.08</v>
      </c>
      <c r="N32" s="125" t="s">
        <v>120</v>
      </c>
      <c r="O32" s="12">
        <v>0.5</v>
      </c>
      <c r="P32" s="1"/>
      <c r="Q32" s="15"/>
      <c r="R32" s="40">
        <f>ROUND(IF($R$18=$Q$18,Q32,IF($R$18="USD $",Q32*$E$16,Q32*$F$16))*F32,2)</f>
        <v>0</v>
      </c>
      <c r="S32" s="51">
        <f>IFERROR(ROUND(T32/F32,2),0)</f>
        <v>83.26</v>
      </c>
      <c r="T32" s="51">
        <f>ROUND(M32-R32,2)</f>
        <v>666.08</v>
      </c>
      <c r="U32" s="41">
        <f>IFERROR(((L32-(R32/K32))/(R32/K32)),0)</f>
        <v>0</v>
      </c>
      <c r="V32" s="41">
        <f>IFERROR(((L32-(R32/K32))/L32),0)</f>
        <v>1</v>
      </c>
      <c r="W32" s="28"/>
      <c r="X32" s="50"/>
      <c r="Y32" s="60" t="s">
        <v>120</v>
      </c>
      <c r="Z32" s="60"/>
      <c r="AA32" s="60"/>
      <c r="AB32" s="60"/>
    </row>
    <row r="33" spans="1:28" x14ac:dyDescent="0.3">
      <c r="A33" s="54"/>
      <c r="B33" s="2" t="s">
        <v>178</v>
      </c>
      <c r="C33" s="6" t="s">
        <v>179</v>
      </c>
      <c r="D33" s="296"/>
      <c r="E33" s="123"/>
      <c r="F33" s="52">
        <v>8</v>
      </c>
      <c r="G33" s="8">
        <v>229.89</v>
      </c>
      <c r="H33" s="9">
        <f t="shared" si="1"/>
        <v>158.54</v>
      </c>
      <c r="I33" s="10">
        <f t="shared" si="2"/>
        <v>1839.12</v>
      </c>
      <c r="J33" s="42"/>
      <c r="K33" s="87">
        <f t="shared" si="0"/>
        <v>8</v>
      </c>
      <c r="L33" s="9">
        <f>IFERROR(IF(N33="OEM DISC %",ROUND(IF($L$18=$G$18,G33*(1-O33),H33*(1-O33)),2),IF(N33="MARKUP %",ROUND(R33/K33*(1+O33),2))),0)</f>
        <v>114.95</v>
      </c>
      <c r="M33" s="9">
        <f t="shared" si="3"/>
        <v>919.6</v>
      </c>
      <c r="N33" s="8" t="s">
        <v>120</v>
      </c>
      <c r="O33" s="12">
        <v>0.5</v>
      </c>
      <c r="P33" s="3"/>
      <c r="Q33" s="13"/>
      <c r="R33" s="14">
        <f>ROUND(IF($R$18=$Q$18,Q33,IF($R$18="USD $",Q33*$E$16,Q33*$F$16))*F33,2)</f>
        <v>0</v>
      </c>
      <c r="S33" s="14">
        <f>IFERROR(ROUND(T33/F33,2),0)</f>
        <v>114.95</v>
      </c>
      <c r="T33" s="14">
        <f>ROUND(M33-R33,2)</f>
        <v>919.6</v>
      </c>
      <c r="U33" s="29">
        <f>IFERROR(((L33-(R33/K33))/(R33/K33)),0)</f>
        <v>0</v>
      </c>
      <c r="V33" s="29">
        <f>IFERROR(((L33-(R33/K33))/L33),0)</f>
        <v>1</v>
      </c>
      <c r="W33" s="27"/>
      <c r="X33" s="50"/>
      <c r="Y33" s="60" t="s">
        <v>121</v>
      </c>
      <c r="Z33" s="60"/>
      <c r="AA33" s="60"/>
      <c r="AB33" s="60"/>
    </row>
    <row r="34" spans="1:28" x14ac:dyDescent="0.3">
      <c r="A34" s="54"/>
      <c r="B34" s="1" t="s">
        <v>157</v>
      </c>
      <c r="C34" s="4" t="s">
        <v>180</v>
      </c>
      <c r="D34" s="297"/>
      <c r="E34" s="122"/>
      <c r="F34" s="53">
        <v>16</v>
      </c>
      <c r="G34" s="15">
        <v>12.9</v>
      </c>
      <c r="H34" s="38">
        <f t="shared" si="1"/>
        <v>8.9</v>
      </c>
      <c r="I34" s="39">
        <f t="shared" si="2"/>
        <v>206.4</v>
      </c>
      <c r="J34" s="42"/>
      <c r="K34" s="86">
        <f t="shared" si="0"/>
        <v>16</v>
      </c>
      <c r="L34" s="38">
        <f>IFERROR(IF(N34="OEM DISC %",ROUND(IF($L$18=$G$18,G34*(1-O34),H34*(1-O34)),2),IF(N34="MARKUP %",ROUND(R34/K34*(1+O34),2))),0)</f>
        <v>6.45</v>
      </c>
      <c r="M34" s="38">
        <f t="shared" si="3"/>
        <v>103.2</v>
      </c>
      <c r="N34" s="125" t="s">
        <v>120</v>
      </c>
      <c r="O34" s="12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6.45</v>
      </c>
      <c r="T34" s="51">
        <f>ROUND(M34-R34,2)</f>
        <v>103.2</v>
      </c>
      <c r="U34" s="41">
        <f>IFERROR(((L34-(R34/K34))/(R34/K34)),0)</f>
        <v>0</v>
      </c>
      <c r="V34" s="41">
        <f>IFERROR(((L34-(R34/K34))/L34),0)</f>
        <v>1</v>
      </c>
      <c r="W34" s="28"/>
      <c r="X34" s="50"/>
      <c r="Y34" s="60"/>
      <c r="Z34" s="60"/>
      <c r="AA34" s="60"/>
      <c r="AB34" s="60"/>
    </row>
    <row r="35" spans="1:28" x14ac:dyDescent="0.3">
      <c r="A35" s="54"/>
      <c r="B35" s="2" t="s">
        <v>133</v>
      </c>
      <c r="C35" s="6" t="s">
        <v>181</v>
      </c>
      <c r="D35" s="296"/>
      <c r="E35" s="123"/>
      <c r="F35" s="52">
        <v>16</v>
      </c>
      <c r="G35" s="8">
        <v>2.83</v>
      </c>
      <c r="H35" s="9">
        <f t="shared" si="1"/>
        <v>1.95</v>
      </c>
      <c r="I35" s="10">
        <f t="shared" si="2"/>
        <v>45.28</v>
      </c>
      <c r="J35" s="42"/>
      <c r="K35" s="87">
        <f t="shared" si="0"/>
        <v>16</v>
      </c>
      <c r="L35" s="9">
        <f>IFERROR(IF(N35="OEM DISC %",ROUND(IF($L$18=$G$18,G35*(1-O35),H35*(1-O35)),2),IF(N35="MARKUP %",ROUND(R35/K35*(1+O35),2))),0)</f>
        <v>1.42</v>
      </c>
      <c r="M35" s="9">
        <f t="shared" si="3"/>
        <v>22.72</v>
      </c>
      <c r="N35" s="8" t="s">
        <v>120</v>
      </c>
      <c r="O35" s="12">
        <v>0.5</v>
      </c>
      <c r="P35" s="3"/>
      <c r="Q35" s="13"/>
      <c r="R35" s="14">
        <f>ROUND(IF($R$18=$Q$18,Q35,IF($R$18="USD $",Q35*$E$16,Q35*$F$16))*F35,2)</f>
        <v>0</v>
      </c>
      <c r="S35" s="14">
        <f>IFERROR(ROUND(T35/F35,2),0)</f>
        <v>1.42</v>
      </c>
      <c r="T35" s="14">
        <f>ROUND(M35-R35,2)</f>
        <v>22.72</v>
      </c>
      <c r="U35" s="29">
        <f>IFERROR(((L35-(R35/K35))/(R35/K35)),0)</f>
        <v>0</v>
      </c>
      <c r="V35" s="29">
        <f>IFERROR(((L35-(R35/K35))/L35),0)</f>
        <v>1</v>
      </c>
      <c r="W35" s="27"/>
      <c r="X35" s="50"/>
      <c r="Y35" s="60"/>
      <c r="Z35" s="60"/>
      <c r="AA35" s="60"/>
      <c r="AB35" s="60"/>
    </row>
    <row r="36" spans="1:28" x14ac:dyDescent="0.3">
      <c r="A36" s="54"/>
      <c r="B36" s="1" t="s">
        <v>182</v>
      </c>
      <c r="C36" s="4" t="s">
        <v>189</v>
      </c>
      <c r="D36" s="297"/>
      <c r="E36" s="122"/>
      <c r="F36" s="53">
        <v>8</v>
      </c>
      <c r="G36" s="15">
        <v>868.38</v>
      </c>
      <c r="H36" s="38">
        <f t="shared" si="1"/>
        <v>598.88</v>
      </c>
      <c r="I36" s="39">
        <f t="shared" si="2"/>
        <v>6947.04</v>
      </c>
      <c r="J36" s="42"/>
      <c r="K36" s="86">
        <f t="shared" si="0"/>
        <v>8</v>
      </c>
      <c r="L36" s="38">
        <f>IFERROR(IF(N36="OEM DISC %",ROUND(IF($L$18=$G$18,G36*(1-O36),H36*(1-O36)),2),IF(N36="MARKUP %",ROUND(R36/K36*(1+O36),2))),0)</f>
        <v>434.19</v>
      </c>
      <c r="M36" s="38">
        <f t="shared" si="3"/>
        <v>3473.52</v>
      </c>
      <c r="N36" s="125" t="s">
        <v>120</v>
      </c>
      <c r="O36" s="12">
        <v>0.5</v>
      </c>
      <c r="P36" s="1"/>
      <c r="Q36" s="15"/>
      <c r="R36" s="40">
        <f>ROUND(IF($R$18=$Q$18,Q36,IF($R$18="USD $",Q36*$E$16,Q36*$F$16))*F36,2)</f>
        <v>0</v>
      </c>
      <c r="S36" s="51">
        <f>IFERROR(ROUND(T36/F36,2),0)</f>
        <v>434.19</v>
      </c>
      <c r="T36" s="51">
        <f>ROUND(M36-R36,2)</f>
        <v>3473.52</v>
      </c>
      <c r="U36" s="41">
        <f>IFERROR(((L36-(R36/K36))/(R36/K36)),0)</f>
        <v>0</v>
      </c>
      <c r="V36" s="41">
        <f>IFERROR(((L36-(R36/K36))/L36),0)</f>
        <v>1</v>
      </c>
      <c r="W36" s="28"/>
      <c r="X36" s="50"/>
      <c r="Y36" s="60"/>
      <c r="Z36" s="60"/>
      <c r="AA36" s="60"/>
      <c r="AB36" s="60"/>
    </row>
    <row r="37" spans="1:28" x14ac:dyDescent="0.3">
      <c r="A37" s="54"/>
      <c r="B37" s="2" t="s">
        <v>183</v>
      </c>
      <c r="C37" s="4" t="s">
        <v>190</v>
      </c>
      <c r="D37" s="297"/>
      <c r="E37" s="123"/>
      <c r="F37" s="52">
        <v>6</v>
      </c>
      <c r="G37" s="8">
        <v>629.14</v>
      </c>
      <c r="H37" s="9">
        <f t="shared" si="1"/>
        <v>433.89</v>
      </c>
      <c r="I37" s="10">
        <f t="shared" si="2"/>
        <v>3774.84</v>
      </c>
      <c r="J37" s="42"/>
      <c r="K37" s="87">
        <f t="shared" si="0"/>
        <v>6</v>
      </c>
      <c r="L37" s="9">
        <f>IFERROR(IF(N37="OEM DISC %",ROUND(IF($L$18=$G$18,G37*(1-O37),H37*(1-O37)),2),IF(N37="MARKUP %",ROUND(R37/K37*(1+O37),2))),0)</f>
        <v>314.57</v>
      </c>
      <c r="M37" s="9">
        <f t="shared" si="3"/>
        <v>1887.42</v>
      </c>
      <c r="N37" s="8" t="s">
        <v>120</v>
      </c>
      <c r="O37" s="12">
        <v>0.5</v>
      </c>
      <c r="P37" s="3"/>
      <c r="Q37" s="13"/>
      <c r="R37" s="14">
        <f>ROUND(IF($R$18=$Q$18,Q37,IF($R$18="USD $",Q37*$E$16,Q37*$F$16))*F37,2)</f>
        <v>0</v>
      </c>
      <c r="S37" s="14">
        <f>IFERROR(ROUND(T37/F37,2),0)</f>
        <v>314.57</v>
      </c>
      <c r="T37" s="14">
        <f>ROUND(M37-R37,2)</f>
        <v>1887.42</v>
      </c>
      <c r="U37" s="29">
        <f>IFERROR(((L37-(R37/K37))/(R37/K37)),0)</f>
        <v>0</v>
      </c>
      <c r="V37" s="29">
        <f>IFERROR(((L37-(R37/K37))/L37),0)</f>
        <v>1</v>
      </c>
      <c r="W37" s="27"/>
      <c r="X37" s="50"/>
      <c r="Y37" s="60"/>
      <c r="Z37" s="60"/>
      <c r="AA37" s="60"/>
      <c r="AB37" s="60"/>
    </row>
    <row r="38" spans="1:28" x14ac:dyDescent="0.3">
      <c r="A38" s="54"/>
      <c r="B38" s="1" t="s">
        <v>159</v>
      </c>
      <c r="C38" s="4" t="s">
        <v>161</v>
      </c>
      <c r="D38" s="297"/>
      <c r="E38" s="122"/>
      <c r="F38" s="53">
        <v>56</v>
      </c>
      <c r="G38" s="15">
        <v>8.76</v>
      </c>
      <c r="H38" s="38">
        <f t="shared" si="1"/>
        <v>6.04</v>
      </c>
      <c r="I38" s="39">
        <f t="shared" si="2"/>
        <v>490.56</v>
      </c>
      <c r="J38" s="42"/>
      <c r="K38" s="86">
        <f t="shared" si="0"/>
        <v>56</v>
      </c>
      <c r="L38" s="38">
        <f>IFERROR(IF(N38="OEM DISC %",ROUND(IF($L$18=$G$18,G38*(1-O38),H38*(1-O38)),2),IF(N38="MARKUP %",ROUND(R38/K38*(1+O38),2))),0)</f>
        <v>4.38</v>
      </c>
      <c r="M38" s="38">
        <f t="shared" si="3"/>
        <v>245.28</v>
      </c>
      <c r="N38" s="125" t="s">
        <v>120</v>
      </c>
      <c r="O38" s="12">
        <v>0.5</v>
      </c>
      <c r="P38" s="1"/>
      <c r="Q38" s="15"/>
      <c r="R38" s="40">
        <f>ROUND(IF($R$18=$Q$18,Q38,IF($R$18="USD $",Q38*$E$16,Q38*$F$16))*F38,2)</f>
        <v>0</v>
      </c>
      <c r="S38" s="51">
        <f>IFERROR(ROUND(T38/F38,2),0)</f>
        <v>4.38</v>
      </c>
      <c r="T38" s="51">
        <f>ROUND(M38-R38,2)</f>
        <v>245.28</v>
      </c>
      <c r="U38" s="41">
        <f>IFERROR(((L38-(R38/K38))/(R38/K38)),0)</f>
        <v>0</v>
      </c>
      <c r="V38" s="41">
        <f>IFERROR(((L38-(R38/K38))/L38),0)</f>
        <v>1</v>
      </c>
      <c r="W38" s="28"/>
      <c r="X38" s="50"/>
      <c r="Y38" s="60"/>
      <c r="Z38" s="60"/>
      <c r="AA38" s="60"/>
      <c r="AB38" s="60"/>
    </row>
    <row r="39" spans="1:28" x14ac:dyDescent="0.3">
      <c r="A39" s="54"/>
      <c r="B39" s="2" t="s">
        <v>133</v>
      </c>
      <c r="C39" s="6" t="s">
        <v>162</v>
      </c>
      <c r="D39" s="296"/>
      <c r="E39" s="123"/>
      <c r="F39" s="52">
        <v>56</v>
      </c>
      <c r="G39" s="8">
        <v>2.83</v>
      </c>
      <c r="H39" s="9">
        <f t="shared" si="1"/>
        <v>1.95</v>
      </c>
      <c r="I39" s="10">
        <f t="shared" si="2"/>
        <v>158.47999999999999</v>
      </c>
      <c r="J39" s="42"/>
      <c r="K39" s="87">
        <f t="shared" si="0"/>
        <v>56</v>
      </c>
      <c r="L39" s="9">
        <f>IFERROR(IF(N39="OEM DISC %",ROUND(IF($L$18=$G$18,G39*(1-O39),H39*(1-O39)),2),IF(N39="MARKUP %",ROUND(R39/K39*(1+O39),2))),0)</f>
        <v>1.42</v>
      </c>
      <c r="M39" s="9">
        <f t="shared" si="3"/>
        <v>79.52</v>
      </c>
      <c r="N39" s="8" t="s">
        <v>120</v>
      </c>
      <c r="O39" s="12">
        <v>0.5</v>
      </c>
      <c r="P39" s="3"/>
      <c r="Q39" s="13"/>
      <c r="R39" s="14">
        <f>ROUND(IF($R$18=$Q$18,Q39,IF($R$18="USD $",Q39*$E$16,Q39*$F$16))*F39,2)</f>
        <v>0</v>
      </c>
      <c r="S39" s="14">
        <f>IFERROR(ROUND(T39/F39,2),0)</f>
        <v>1.42</v>
      </c>
      <c r="T39" s="14">
        <f>ROUND(M39-R39,2)</f>
        <v>79.52</v>
      </c>
      <c r="U39" s="29">
        <f>IFERROR(((L39-(R39/K39))/(R39/K39)),0)</f>
        <v>0</v>
      </c>
      <c r="V39" s="29">
        <f>IFERROR(((L39-(R39/K39))/L39),0)</f>
        <v>1</v>
      </c>
      <c r="W39" s="28"/>
      <c r="X39" s="50"/>
      <c r="Y39" s="60"/>
      <c r="Z39" s="60"/>
      <c r="AA39" s="60"/>
      <c r="AB39" s="60"/>
    </row>
    <row r="40" spans="1:28" x14ac:dyDescent="0.3">
      <c r="A40" s="54"/>
      <c r="B40" s="1" t="s">
        <v>135</v>
      </c>
      <c r="C40" s="4" t="s">
        <v>130</v>
      </c>
      <c r="D40" s="297"/>
      <c r="E40" s="122"/>
      <c r="F40" s="53">
        <v>2</v>
      </c>
      <c r="G40" s="15">
        <v>520.11</v>
      </c>
      <c r="H40" s="38">
        <f t="shared" si="1"/>
        <v>358.7</v>
      </c>
      <c r="I40" s="39">
        <f t="shared" si="2"/>
        <v>1040.22</v>
      </c>
      <c r="J40" s="42"/>
      <c r="K40" s="86">
        <f t="shared" si="0"/>
        <v>2</v>
      </c>
      <c r="L40" s="38">
        <f>IFERROR(IF(N40="OEM DISC %",ROUND(IF($L$18=$G$18,G40*(1-O40),H40*(1-O40)),2),IF(N40="MARKUP %",ROUND(R40/K40*(1+O40),2))),0)</f>
        <v>260.06</v>
      </c>
      <c r="M40" s="38">
        <f t="shared" si="3"/>
        <v>520.12</v>
      </c>
      <c r="N40" s="125" t="s">
        <v>120</v>
      </c>
      <c r="O40" s="12">
        <v>0.5</v>
      </c>
      <c r="P40" s="1"/>
      <c r="Q40" s="15"/>
      <c r="R40" s="40">
        <f>ROUND(IF($R$18=$Q$18,Q40,IF($R$18="USD $",Q40*$E$16,Q40*$F$16))*F40,2)</f>
        <v>0</v>
      </c>
      <c r="S40" s="51">
        <f>IFERROR(ROUND(T40/F40,2),0)</f>
        <v>260.06</v>
      </c>
      <c r="T40" s="51">
        <f>ROUND(M40-R40,2)</f>
        <v>520.12</v>
      </c>
      <c r="U40" s="41">
        <f>IFERROR(((L40-(R40/K40))/(R40/K40)),0)</f>
        <v>0</v>
      </c>
      <c r="V40" s="41">
        <f>IFERROR(((L40-(R40/K40))/L40),0)</f>
        <v>1</v>
      </c>
      <c r="W40" s="28"/>
      <c r="X40" s="50"/>
      <c r="Y40" s="60"/>
      <c r="Z40" s="60"/>
      <c r="AA40" s="60"/>
      <c r="AB40" s="60"/>
    </row>
    <row r="41" spans="1:28" x14ac:dyDescent="0.3">
      <c r="A41" s="54"/>
      <c r="B41" s="2" t="s">
        <v>147</v>
      </c>
      <c r="C41" s="6" t="s">
        <v>163</v>
      </c>
      <c r="D41" s="296"/>
      <c r="E41" s="123"/>
      <c r="F41" s="52">
        <v>2</v>
      </c>
      <c r="G41" s="8">
        <v>11935.92</v>
      </c>
      <c r="H41" s="9">
        <f t="shared" si="1"/>
        <v>8231.67</v>
      </c>
      <c r="I41" s="10">
        <f t="shared" si="2"/>
        <v>23871.84</v>
      </c>
      <c r="J41" s="42"/>
      <c r="K41" s="87">
        <f t="shared" si="0"/>
        <v>2</v>
      </c>
      <c r="L41" s="9">
        <f>IFERROR(IF(N41="OEM DISC %",ROUND(IF($L$18=$G$18,G41*(1-O41),H41*(1-O41)),2),IF(N41="MARKUP %",ROUND(R41/K41*(1+O41),2))),0)</f>
        <v>5967.96</v>
      </c>
      <c r="M41" s="9">
        <f t="shared" si="3"/>
        <v>11935.92</v>
      </c>
      <c r="N41" s="8" t="s">
        <v>120</v>
      </c>
      <c r="O41" s="12">
        <v>0.5</v>
      </c>
      <c r="P41" s="3"/>
      <c r="Q41" s="13"/>
      <c r="R41" s="14">
        <f>ROUND(IF($R$18=$Q$18,Q41,IF($R$18="USD $",Q41*$E$16,Q41*$F$16))*F41,2)</f>
        <v>0</v>
      </c>
      <c r="S41" s="14">
        <f>IFERROR(ROUND(T41/F41,2),0)</f>
        <v>5967.96</v>
      </c>
      <c r="T41" s="14">
        <f>ROUND(M41-R41,2)</f>
        <v>11935.92</v>
      </c>
      <c r="U41" s="29">
        <f>IFERROR(((L41-(R41/K41))/(R41/K41)),0)</f>
        <v>0</v>
      </c>
      <c r="V41" s="29">
        <f>IFERROR(((L41-(R41/K41))/L41),0)</f>
        <v>1</v>
      </c>
      <c r="W41" s="28"/>
      <c r="X41" s="50"/>
      <c r="Y41" s="60"/>
      <c r="Z41" s="60"/>
      <c r="AA41" s="60"/>
      <c r="AB41" s="60"/>
    </row>
    <row r="42" spans="1:28" x14ac:dyDescent="0.3">
      <c r="A42" s="54"/>
      <c r="B42" s="126" t="s">
        <v>184</v>
      </c>
      <c r="C42" s="4" t="s">
        <v>155</v>
      </c>
      <c r="D42" s="297"/>
      <c r="E42" s="122"/>
      <c r="F42" s="53">
        <v>88</v>
      </c>
      <c r="G42" s="15">
        <v>89.36</v>
      </c>
      <c r="H42" s="38">
        <f t="shared" si="1"/>
        <v>61.63</v>
      </c>
      <c r="I42" s="39">
        <f t="shared" si="2"/>
        <v>7863.68</v>
      </c>
      <c r="J42" s="42"/>
      <c r="K42" s="86">
        <f t="shared" si="0"/>
        <v>88</v>
      </c>
      <c r="L42" s="38">
        <f>IFERROR(IF(N42="OEM DISC %",ROUND(IF($L$18=$G$18,G42*(1-O42),H42*(1-O42)),2),IF(N42="MARKUP %",ROUND(R42/K42*(1+O42),2))),0)</f>
        <v>44.68</v>
      </c>
      <c r="M42" s="38">
        <f t="shared" si="3"/>
        <v>3931.84</v>
      </c>
      <c r="N42" s="125" t="s">
        <v>120</v>
      </c>
      <c r="O42" s="12">
        <v>0.5</v>
      </c>
      <c r="P42" s="1"/>
      <c r="Q42" s="15"/>
      <c r="R42" s="40">
        <f>ROUND(IF($R$18=$Q$18,Q42,IF($R$18="USD $",Q42*$E$16,Q42*$F$16))*F42,2)</f>
        <v>0</v>
      </c>
      <c r="S42" s="51">
        <f>IFERROR(ROUND(T42/F42,2),0)</f>
        <v>44.68</v>
      </c>
      <c r="T42" s="51">
        <f>ROUND(M42-R42,2)</f>
        <v>3931.84</v>
      </c>
      <c r="U42" s="41">
        <f>IFERROR(((L42-(R42/K42))/(R42/K42)),0)</f>
        <v>0</v>
      </c>
      <c r="V42" s="41">
        <f>IFERROR(((L42-(R42/K42))/L42),0)</f>
        <v>1</v>
      </c>
      <c r="W42" s="28"/>
      <c r="X42" s="50"/>
      <c r="Y42" s="60"/>
      <c r="Z42" s="60"/>
      <c r="AA42" s="60"/>
      <c r="AB42" s="60"/>
    </row>
    <row r="43" spans="1:28" x14ac:dyDescent="0.3">
      <c r="A43" s="54"/>
      <c r="B43" s="2" t="s">
        <v>149</v>
      </c>
      <c r="C43" s="6" t="s">
        <v>164</v>
      </c>
      <c r="D43" s="296"/>
      <c r="E43" s="123"/>
      <c r="F43" s="52">
        <v>344</v>
      </c>
      <c r="G43" s="8">
        <v>3.12</v>
      </c>
      <c r="H43" s="9">
        <f t="shared" si="1"/>
        <v>2.15</v>
      </c>
      <c r="I43" s="10">
        <f t="shared" si="2"/>
        <v>1073.28</v>
      </c>
      <c r="J43" s="42"/>
      <c r="K43" s="87">
        <f t="shared" si="0"/>
        <v>344</v>
      </c>
      <c r="L43" s="9">
        <f>IFERROR(IF(N43="OEM DISC %",ROUND(IF($L$18=$G$18,G43*(1-O43),H43*(1-O43)),2),IF(N43="MARKUP %",ROUND(R43/K43*(1+O43),2))),0)</f>
        <v>1.56</v>
      </c>
      <c r="M43" s="9">
        <f t="shared" si="3"/>
        <v>536.64</v>
      </c>
      <c r="N43" s="8" t="s">
        <v>120</v>
      </c>
      <c r="O43" s="12">
        <v>0.5</v>
      </c>
      <c r="P43" s="3"/>
      <c r="Q43" s="13"/>
      <c r="R43" s="14">
        <f>ROUND(IF($R$18=$Q$18,Q43,IF($R$18="USD $",Q43*$E$16,Q43*$F$16))*F43,2)</f>
        <v>0</v>
      </c>
      <c r="S43" s="14">
        <f>IFERROR(ROUND(T43/F43,2),0)</f>
        <v>1.56</v>
      </c>
      <c r="T43" s="14">
        <f>ROUND(M43-R43,2)</f>
        <v>536.64</v>
      </c>
      <c r="U43" s="29">
        <f>IFERROR(((L43-(R43/K43))/(R43/K43)),0)</f>
        <v>0</v>
      </c>
      <c r="V43" s="29">
        <f>IFERROR(((L43-(R43/K43))/L43),0)</f>
        <v>1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 t="s">
        <v>150</v>
      </c>
      <c r="C44" s="4" t="s">
        <v>165</v>
      </c>
      <c r="D44" s="297"/>
      <c r="E44" s="122"/>
      <c r="F44" s="53">
        <v>344</v>
      </c>
      <c r="G44" s="15">
        <v>2.0699999999999998</v>
      </c>
      <c r="H44" s="38">
        <f t="shared" si="1"/>
        <v>1.43</v>
      </c>
      <c r="I44" s="39">
        <f t="shared" si="2"/>
        <v>712.08</v>
      </c>
      <c r="J44" s="42"/>
      <c r="K44" s="86">
        <f t="shared" si="0"/>
        <v>344</v>
      </c>
      <c r="L44" s="38">
        <f>IFERROR(IF(N44="OEM DISC %",ROUND(IF($L$18=$G$18,G44*(1-O44),H44*(1-O44)),2),IF(N44="MARKUP %",ROUND(R44/K44*(1+O44),2))),0)</f>
        <v>1.04</v>
      </c>
      <c r="M44" s="38">
        <f t="shared" si="3"/>
        <v>357.76</v>
      </c>
      <c r="N44" s="125" t="s">
        <v>120</v>
      </c>
      <c r="O44" s="12">
        <v>0.5</v>
      </c>
      <c r="P44" s="1"/>
      <c r="Q44" s="15"/>
      <c r="R44" s="40">
        <f>ROUND(IF($R$18=$Q$18,Q44,IF($R$18="USD $",Q44*$E$16,Q44*$F$16))*F44,2)</f>
        <v>0</v>
      </c>
      <c r="S44" s="51">
        <f>IFERROR(ROUND(T44/F44,2),0)</f>
        <v>1.04</v>
      </c>
      <c r="T44" s="51">
        <f>ROUND(M44-R44,2)</f>
        <v>357.76</v>
      </c>
      <c r="U44" s="41">
        <f>IFERROR(((L44-(R44/K44))/(R44/K44)),0)</f>
        <v>0</v>
      </c>
      <c r="V44" s="41">
        <f>IFERROR(((L44-(R44/K44))/L44),0)</f>
        <v>1</v>
      </c>
      <c r="W44" s="28"/>
      <c r="X44" s="50"/>
      <c r="Y44" s="60"/>
      <c r="Z44" s="60"/>
      <c r="AA44" s="60"/>
      <c r="AB44" s="60"/>
    </row>
    <row r="45" spans="1:28" x14ac:dyDescent="0.3">
      <c r="A45" s="54"/>
      <c r="B45" s="2" t="s">
        <v>185</v>
      </c>
      <c r="C45" s="6" t="s">
        <v>186</v>
      </c>
      <c r="D45" s="296"/>
      <c r="E45" s="123"/>
      <c r="F45" s="52">
        <v>4</v>
      </c>
      <c r="G45" s="8">
        <v>3.98</v>
      </c>
      <c r="H45" s="9">
        <f t="shared" si="1"/>
        <v>2.74</v>
      </c>
      <c r="I45" s="10">
        <f t="shared" si="2"/>
        <v>15.92</v>
      </c>
      <c r="J45" s="42"/>
      <c r="K45" s="87">
        <f t="shared" si="0"/>
        <v>4</v>
      </c>
      <c r="L45" s="9">
        <f>IFERROR(IF(N45="OEM DISC %",ROUND(IF($L$18=$G$18,G45*(1-O45),H45*(1-O45)),2),IF(N45="MARKUP %",ROUND(R45/K45*(1+O45),2))),0)</f>
        <v>1.99</v>
      </c>
      <c r="M45" s="9">
        <f t="shared" si="3"/>
        <v>7.96</v>
      </c>
      <c r="N45" s="8" t="s">
        <v>120</v>
      </c>
      <c r="O45" s="12">
        <v>0.5</v>
      </c>
      <c r="P45" s="3"/>
      <c r="Q45" s="13"/>
      <c r="R45" s="14">
        <f>ROUND(IF($R$18=$Q$18,Q45,IF($R$18="USD $",Q45*$E$16,Q45*$F$16))*F45,2)</f>
        <v>0</v>
      </c>
      <c r="S45" s="14">
        <f>IFERROR(ROUND(T45/F45,2),0)</f>
        <v>1.99</v>
      </c>
      <c r="T45" s="14">
        <f>ROUND(M45-R45,2)</f>
        <v>7.96</v>
      </c>
      <c r="U45" s="29">
        <f>IFERROR(((L45-(R45/K45))/(R45/K45)),0)</f>
        <v>0</v>
      </c>
      <c r="V45" s="29">
        <f>IFERROR(((L45-(R45/K45))/L45),0)</f>
        <v>1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 t="s">
        <v>148</v>
      </c>
      <c r="C46" s="4" t="s">
        <v>186</v>
      </c>
      <c r="D46" s="297"/>
      <c r="E46" s="122"/>
      <c r="F46" s="53">
        <v>4</v>
      </c>
      <c r="G46" s="15">
        <v>5.25</v>
      </c>
      <c r="H46" s="38">
        <f t="shared" si="1"/>
        <v>3.62</v>
      </c>
      <c r="I46" s="39">
        <f t="shared" si="2"/>
        <v>21</v>
      </c>
      <c r="J46" s="42"/>
      <c r="K46" s="86">
        <f t="shared" si="0"/>
        <v>4</v>
      </c>
      <c r="L46" s="38">
        <f>IFERROR(IF(N46="OEM DISC %",ROUND(IF($L$18=$G$18,G46*(1-O46),H46*(1-O46)),2),IF(N46="MARKUP %",ROUND(R46/K46*(1+O46),2))),0)</f>
        <v>2.63</v>
      </c>
      <c r="M46" s="38">
        <f t="shared" si="3"/>
        <v>10.52</v>
      </c>
      <c r="N46" s="125" t="s">
        <v>120</v>
      </c>
      <c r="O46" s="12">
        <v>0.5</v>
      </c>
      <c r="P46" s="1"/>
      <c r="Q46" s="15"/>
      <c r="R46" s="40">
        <f>ROUND(IF($R$18=$Q$18,Q46,IF($R$18="USD $",Q46*$E$16,Q46*$F$16))*F46,2)</f>
        <v>0</v>
      </c>
      <c r="S46" s="51">
        <f>IFERROR(ROUND(T46/F46,2),0)</f>
        <v>2.63</v>
      </c>
      <c r="T46" s="51">
        <f>ROUND(M46-R46,2)</f>
        <v>10.52</v>
      </c>
      <c r="U46" s="41">
        <f>IFERROR(((L46-(R46/K46))/(R46/K46)),0)</f>
        <v>0</v>
      </c>
      <c r="V46" s="41">
        <f>IFERROR(((L46-(R46/K46))/L46),0)</f>
        <v>1</v>
      </c>
      <c r="W46" s="28"/>
      <c r="X46" s="50"/>
      <c r="Y46" s="60"/>
      <c r="Z46" s="60"/>
      <c r="AA46" s="60"/>
      <c r="AB46" s="60"/>
    </row>
    <row r="47" spans="1:28" x14ac:dyDescent="0.3">
      <c r="A47" s="54"/>
      <c r="B47" s="2" t="s">
        <v>142</v>
      </c>
      <c r="C47" s="6" t="s">
        <v>187</v>
      </c>
      <c r="D47" s="296"/>
      <c r="E47" s="123"/>
      <c r="F47" s="52">
        <v>10</v>
      </c>
      <c r="G47" s="8">
        <v>177.98</v>
      </c>
      <c r="H47" s="9">
        <f t="shared" si="1"/>
        <v>122.74</v>
      </c>
      <c r="I47" s="10">
        <f t="shared" si="2"/>
        <v>1779.8</v>
      </c>
      <c r="J47" s="42"/>
      <c r="K47" s="87">
        <f t="shared" si="0"/>
        <v>10</v>
      </c>
      <c r="L47" s="9">
        <f>IFERROR(IF(N47="OEM DISC %",ROUND(IF($L$18=$G$18,G47*(1-O47),H47*(1-O47)),2),IF(N47="MARKUP %",ROUND(R47/K47*(1+O47),2))),0)</f>
        <v>88.99</v>
      </c>
      <c r="M47" s="9">
        <f t="shared" si="3"/>
        <v>889.9</v>
      </c>
      <c r="N47" s="8" t="s">
        <v>120</v>
      </c>
      <c r="O47" s="12">
        <v>0.5</v>
      </c>
      <c r="P47" s="3"/>
      <c r="Q47" s="13"/>
      <c r="R47" s="14">
        <f>ROUND(IF($R$18=$Q$18,Q47,IF($R$18="USD $",Q47*$E$16,Q47*$F$16))*F47,2)</f>
        <v>0</v>
      </c>
      <c r="S47" s="14">
        <f>IFERROR(ROUND(T47/F47,2),0)</f>
        <v>88.99</v>
      </c>
      <c r="T47" s="14">
        <f>ROUND(M47-R47,2)</f>
        <v>889.9</v>
      </c>
      <c r="U47" s="29">
        <f>IFERROR(((L47-(R47/K47))/(R47/K47)),0)</f>
        <v>0</v>
      </c>
      <c r="V47" s="29">
        <f>IFERROR(((L47-(R47/K47))/L47),0)</f>
        <v>1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 t="s">
        <v>143</v>
      </c>
      <c r="C48" s="4" t="s">
        <v>166</v>
      </c>
      <c r="D48" s="297"/>
      <c r="E48" s="122"/>
      <c r="F48" s="53">
        <v>40</v>
      </c>
      <c r="G48" s="15">
        <v>2.94</v>
      </c>
      <c r="H48" s="38">
        <f t="shared" si="1"/>
        <v>2.0299999999999998</v>
      </c>
      <c r="I48" s="39">
        <f t="shared" si="2"/>
        <v>117.6</v>
      </c>
      <c r="J48" s="42"/>
      <c r="K48" s="86">
        <f t="shared" si="0"/>
        <v>40</v>
      </c>
      <c r="L48" s="38">
        <f>IFERROR(IF(N48="OEM DISC %",ROUND(IF($L$18=$G$18,G48*(1-O48),H48*(1-O48)),2),IF(N48="MARKUP %",ROUND(R48/K48*(1+O48),2))),0)</f>
        <v>1.47</v>
      </c>
      <c r="M48" s="38">
        <f t="shared" si="3"/>
        <v>58.8</v>
      </c>
      <c r="N48" s="125" t="s">
        <v>120</v>
      </c>
      <c r="O48" s="12">
        <v>0.5</v>
      </c>
      <c r="P48" s="1"/>
      <c r="Q48" s="15"/>
      <c r="R48" s="40">
        <f>ROUND(IF($R$18=$Q$18,Q48,IF($R$18="USD $",Q48*$E$16,Q48*$F$16))*F48,2)</f>
        <v>0</v>
      </c>
      <c r="S48" s="51">
        <f>IFERROR(ROUND(T48/F48,2),0)</f>
        <v>1.47</v>
      </c>
      <c r="T48" s="51">
        <f>ROUND(M48-R48,2)</f>
        <v>58.8</v>
      </c>
      <c r="U48" s="41">
        <f>IFERROR(((L48-(R48/K48))/(R48/K48)),0)</f>
        <v>0</v>
      </c>
      <c r="V48" s="41">
        <f>IFERROR(((L48-(R48/K48))/L48),0)</f>
        <v>1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 t="s">
        <v>144</v>
      </c>
      <c r="C49" s="6" t="s">
        <v>167</v>
      </c>
      <c r="D49" s="296"/>
      <c r="E49" s="123"/>
      <c r="F49" s="52">
        <v>40</v>
      </c>
      <c r="G49" s="8">
        <v>3.41</v>
      </c>
      <c r="H49" s="9">
        <f t="shared" si="1"/>
        <v>2.35</v>
      </c>
      <c r="I49" s="10">
        <f t="shared" si="2"/>
        <v>136.4</v>
      </c>
      <c r="J49" s="42"/>
      <c r="K49" s="87">
        <f t="shared" si="0"/>
        <v>40</v>
      </c>
      <c r="L49" s="9">
        <f>IFERROR(IF(N49="OEM DISC %",ROUND(IF($L$18=$G$18,G49*(1-O49),H49*(1-O49)),2),IF(N49="MARKUP %",ROUND(R49/K49*(1+O49),2))),0)</f>
        <v>1.71</v>
      </c>
      <c r="M49" s="9">
        <f t="shared" si="3"/>
        <v>68.400000000000006</v>
      </c>
      <c r="N49" s="8" t="s">
        <v>120</v>
      </c>
      <c r="O49" s="12">
        <v>0.5</v>
      </c>
      <c r="P49" s="3"/>
      <c r="Q49" s="13"/>
      <c r="R49" s="14">
        <f>ROUND(IF($R$18=$Q$18,Q49,IF($R$18="USD $",Q49*$E$16,Q49*$F$16))*F49,2)</f>
        <v>0</v>
      </c>
      <c r="S49" s="14">
        <f>IFERROR(ROUND(T49/F49,2),0)</f>
        <v>1.71</v>
      </c>
      <c r="T49" s="14">
        <f>ROUND(M49-R49,2)</f>
        <v>68.400000000000006</v>
      </c>
      <c r="U49" s="29">
        <f>IFERROR(((L49-(R49/K49))/(R49/K49)),0)</f>
        <v>0</v>
      </c>
      <c r="V49" s="29">
        <f>IFERROR(((L49-(R49/K49))/L49),0)</f>
        <v>1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 t="s">
        <v>145</v>
      </c>
      <c r="C50" s="4" t="s">
        <v>188</v>
      </c>
      <c r="D50" s="297"/>
      <c r="E50" s="122"/>
      <c r="F50" s="53">
        <v>40</v>
      </c>
      <c r="G50" s="15">
        <v>3.41</v>
      </c>
      <c r="H50" s="38">
        <f t="shared" si="1"/>
        <v>2.35</v>
      </c>
      <c r="I50" s="39">
        <f t="shared" si="2"/>
        <v>136.4</v>
      </c>
      <c r="J50" s="42"/>
      <c r="K50" s="86">
        <f t="shared" si="0"/>
        <v>40</v>
      </c>
      <c r="L50" s="38">
        <f>IFERROR(IF(N50="OEM DISC %",ROUND(IF($L$18=$G$18,G50*(1-O50),H50*(1-O50)),2),IF(N50="MARKUP %",ROUND(R50/K50*(1+O50),2))),0)</f>
        <v>1.71</v>
      </c>
      <c r="M50" s="38">
        <f t="shared" si="3"/>
        <v>68.400000000000006</v>
      </c>
      <c r="N50" s="125" t="s">
        <v>120</v>
      </c>
      <c r="O50" s="12">
        <v>0.5</v>
      </c>
      <c r="P50" s="1"/>
      <c r="Q50" s="15"/>
      <c r="R50" s="40">
        <f>ROUND(IF($R$18=$Q$18,Q50,IF($R$18="USD $",Q50*$E$16,Q50*$F$16))*F50,2)</f>
        <v>0</v>
      </c>
      <c r="S50" s="51">
        <f>IFERROR(ROUND(T50/F50,2),0)</f>
        <v>1.71</v>
      </c>
      <c r="T50" s="51">
        <f>ROUND(M50-R50,2)</f>
        <v>68.400000000000006</v>
      </c>
      <c r="U50" s="41">
        <f>IFERROR(((L50-(R50/K50))/(R50/K50)),0)</f>
        <v>0</v>
      </c>
      <c r="V50" s="41">
        <f>IFERROR(((L50-(R50/K50))/L50),0)</f>
        <v>1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/>
      <c r="C51" s="6"/>
      <c r="D51" s="296"/>
      <c r="E51" s="123"/>
      <c r="F51" s="52"/>
      <c r="G51" s="8"/>
      <c r="H51" s="9">
        <f t="shared" si="1"/>
        <v>0</v>
      </c>
      <c r="I51" s="10">
        <f t="shared" si="2"/>
        <v>0</v>
      </c>
      <c r="J51" s="42"/>
      <c r="K51" s="87">
        <f t="shared" si="0"/>
        <v>0</v>
      </c>
      <c r="L51" s="9">
        <f>IFERROR(IF(N51="OEM DISC %",ROUND(IF($L$18=$G$18,G51*(1-O51),H51*(1-O51)),2),IF(N51="MARKUP %",ROUND(R51/K51*(1+O51),2))),0)</f>
        <v>0</v>
      </c>
      <c r="M51" s="9">
        <f t="shared" si="3"/>
        <v>0</v>
      </c>
      <c r="N51" s="8" t="s">
        <v>120</v>
      </c>
      <c r="O51" s="12"/>
      <c r="P51" s="3"/>
      <c r="Q51" s="13"/>
      <c r="R51" s="14">
        <f>ROUND(IF($R$18=$Q$18,Q51,IF($R$18="USD $",Q51*$E$16,Q51*$F$16))*F51,2)</f>
        <v>0</v>
      </c>
      <c r="S51" s="14">
        <f>IFERROR(ROUND(T51/F51,2),0)</f>
        <v>0</v>
      </c>
      <c r="T51" s="14">
        <f>ROUND(M51-R51,2)</f>
        <v>0</v>
      </c>
      <c r="U51" s="29">
        <f>IFERROR(((L51-(R51/K51))/(R51/K51)),0)</f>
        <v>0</v>
      </c>
      <c r="V51" s="29">
        <f>IFERROR(((L51-(R51/K51))/L51),0)</f>
        <v>0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/>
      <c r="C52" s="4"/>
      <c r="D52" s="297"/>
      <c r="E52" s="122"/>
      <c r="F52" s="53"/>
      <c r="G52" s="15"/>
      <c r="H52" s="38">
        <f t="shared" si="1"/>
        <v>0</v>
      </c>
      <c r="I52" s="39">
        <f t="shared" si="2"/>
        <v>0</v>
      </c>
      <c r="J52" s="42"/>
      <c r="K52" s="86">
        <f t="shared" si="0"/>
        <v>0</v>
      </c>
      <c r="L52" s="38">
        <f>IFERROR(IF(N52="OEM DISC %",ROUND(IF($L$18=$G$18,G52*(1-O52),H52*(1-O52)),2),IF(N52="MARKUP %",ROUND(R52/K52*(1+O52),2))),0)</f>
        <v>0</v>
      </c>
      <c r="M52" s="38">
        <f t="shared" si="3"/>
        <v>0</v>
      </c>
      <c r="N52" s="125" t="s">
        <v>120</v>
      </c>
      <c r="O52" s="16"/>
      <c r="P52" s="1"/>
      <c r="Q52" s="15"/>
      <c r="R52" s="40">
        <f>ROUND(IF($R$18=$Q$18,Q52,IF($R$18="USD $",Q52*$E$16,Q52*$F$16))*F52,2)</f>
        <v>0</v>
      </c>
      <c r="S52" s="51">
        <f>IFERROR(ROUND(T52/F52,2),0)</f>
        <v>0</v>
      </c>
      <c r="T52" s="51">
        <f>ROUND(M52-R52,2)</f>
        <v>0</v>
      </c>
      <c r="U52" s="41">
        <f>IFERROR(((L52-(R52/K52))/(R52/K52)),0)</f>
        <v>0</v>
      </c>
      <c r="V52" s="41">
        <f>IFERROR(((L52-(R52/K52))/L52),0)</f>
        <v>0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/>
      <c r="C53" s="6"/>
      <c r="D53" s="296"/>
      <c r="E53" s="123"/>
      <c r="F53" s="52"/>
      <c r="G53" s="8"/>
      <c r="H53" s="9">
        <f t="shared" si="1"/>
        <v>0</v>
      </c>
      <c r="I53" s="10">
        <f t="shared" si="2"/>
        <v>0</v>
      </c>
      <c r="J53" s="42"/>
      <c r="K53" s="87">
        <f t="shared" si="0"/>
        <v>0</v>
      </c>
      <c r="L53" s="9">
        <f>IFERROR(IF(N53="OEM DISC %",ROUND(IF($L$18=$G$18,G53*(1-O53),H53*(1-O53)),2),IF(N53="MARKUP %",ROUND(R53/K53*(1+O53),2))),0)</f>
        <v>0</v>
      </c>
      <c r="M53" s="9">
        <f t="shared" si="3"/>
        <v>0</v>
      </c>
      <c r="N53" s="8" t="s">
        <v>120</v>
      </c>
      <c r="O53" s="12"/>
      <c r="P53" s="3"/>
      <c r="Q53" s="13"/>
      <c r="R53" s="14">
        <f>ROUND(IF($R$18=$Q$18,Q53,IF($R$18="USD $",Q53*$E$16,Q53*$F$16))*F53,2)</f>
        <v>0</v>
      </c>
      <c r="S53" s="14">
        <f>IFERROR(ROUND(T53/F53,2),0)</f>
        <v>0</v>
      </c>
      <c r="T53" s="14">
        <f>ROUND(M53-R53,2)</f>
        <v>0</v>
      </c>
      <c r="U53" s="29">
        <f>IFERROR(((L53-(R53/K53))/(R53/K53)),0)</f>
        <v>0</v>
      </c>
      <c r="V53" s="29">
        <f>IFERROR(((L53-(R53/K53))/L53),0)</f>
        <v>0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/>
      <c r="C54" s="4"/>
      <c r="D54" s="297"/>
      <c r="E54" s="122"/>
      <c r="F54" s="53"/>
      <c r="G54" s="15"/>
      <c r="H54" s="38">
        <f t="shared" si="1"/>
        <v>0</v>
      </c>
      <c r="I54" s="39">
        <f t="shared" si="2"/>
        <v>0</v>
      </c>
      <c r="J54" s="42"/>
      <c r="K54" s="86">
        <f t="shared" si="0"/>
        <v>0</v>
      </c>
      <c r="L54" s="38">
        <f>IFERROR(IF(N54="OEM DISC %",ROUND(IF($L$18=$G$18,G54*(1-O54),H54*(1-O54)),2),IF(N54="MARKUP %",ROUND(R54/K54*(1+O54),2))),0)</f>
        <v>0</v>
      </c>
      <c r="M54" s="38">
        <f t="shared" si="3"/>
        <v>0</v>
      </c>
      <c r="N54" s="125" t="s">
        <v>120</v>
      </c>
      <c r="O54" s="16"/>
      <c r="P54" s="1"/>
      <c r="Q54" s="15"/>
      <c r="R54" s="40">
        <f>ROUND(IF($R$18=$Q$18,Q54,IF($R$18="USD $",Q54*$E$16,Q54*$F$16))*F54,2)</f>
        <v>0</v>
      </c>
      <c r="S54" s="51">
        <f>IFERROR(ROUND(T54/F54,2),0)</f>
        <v>0</v>
      </c>
      <c r="T54" s="51">
        <f>ROUND(M54-R54,2)</f>
        <v>0</v>
      </c>
      <c r="U54" s="41">
        <f>IFERROR(((L54-(R54/K54))/(R54/K54)),0)</f>
        <v>0</v>
      </c>
      <c r="V54" s="41">
        <f>IFERROR(((L54-(R54/K54))/L54),0)</f>
        <v>0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/>
      <c r="C55" s="6"/>
      <c r="D55" s="296"/>
      <c r="E55" s="123"/>
      <c r="F55" s="52"/>
      <c r="G55" s="8"/>
      <c r="H55" s="9">
        <f t="shared" si="1"/>
        <v>0</v>
      </c>
      <c r="I55" s="10">
        <f t="shared" si="2"/>
        <v>0</v>
      </c>
      <c r="J55" s="42"/>
      <c r="K55" s="87">
        <f t="shared" si="0"/>
        <v>0</v>
      </c>
      <c r="L55" s="9">
        <f>IFERROR(IF(N55="OEM DISC %",ROUND(IF($L$18=$G$18,G55*(1-O55),H55*(1-O55)),2),IF(N55="MARKUP %",ROUND(R55/K55*(1+O55),2))),0)</f>
        <v>0</v>
      </c>
      <c r="M55" s="9">
        <f t="shared" si="3"/>
        <v>0</v>
      </c>
      <c r="N55" s="8" t="s">
        <v>120</v>
      </c>
      <c r="O55" s="12"/>
      <c r="P55" s="3"/>
      <c r="Q55" s="13"/>
      <c r="R55" s="14">
        <f>ROUND(IF($R$18=$Q$18,Q55,IF($R$18="USD $",Q55*$E$16,Q55*$F$16))*F55,2)</f>
        <v>0</v>
      </c>
      <c r="S55" s="14">
        <f>IFERROR(ROUND(T55/F55,2),0)</f>
        <v>0</v>
      </c>
      <c r="T55" s="14">
        <f>ROUND(M55-R55,2)</f>
        <v>0</v>
      </c>
      <c r="U55" s="29">
        <f>IFERROR(((L55-(R55/K55))/(R55/K55)),0)</f>
        <v>0</v>
      </c>
      <c r="V55" s="29">
        <f>IFERROR(((L55-(R55/K55))/L55),0)</f>
        <v>0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/>
      <c r="C56" s="4"/>
      <c r="D56" s="297"/>
      <c r="E56" s="122"/>
      <c r="F56" s="53"/>
      <c r="G56" s="15"/>
      <c r="H56" s="38">
        <f t="shared" si="1"/>
        <v>0</v>
      </c>
      <c r="I56" s="39">
        <f t="shared" si="2"/>
        <v>0</v>
      </c>
      <c r="J56" s="42"/>
      <c r="K56" s="86">
        <f t="shared" si="0"/>
        <v>0</v>
      </c>
      <c r="L56" s="38">
        <f>IFERROR(IF(N56="OEM DISC %",ROUND(IF($L$18=$G$18,G56*(1-O56),H56*(1-O56)),2),IF(N56="MARKUP %",ROUND(R56/K56*(1+O56),2))),0)</f>
        <v>0</v>
      </c>
      <c r="M56" s="38">
        <f t="shared" si="3"/>
        <v>0</v>
      </c>
      <c r="N56" s="125" t="s">
        <v>120</v>
      </c>
      <c r="O56" s="16"/>
      <c r="P56" s="1"/>
      <c r="Q56" s="15"/>
      <c r="R56" s="40">
        <f>ROUND(IF($R$18=$Q$18,Q56,IF($R$18="USD $",Q56*$E$16,Q56*$F$16))*F56,2)</f>
        <v>0</v>
      </c>
      <c r="S56" s="51">
        <f>IFERROR(ROUND(T56/F56,2),0)</f>
        <v>0</v>
      </c>
      <c r="T56" s="51">
        <f>ROUND(M56-R56,2)</f>
        <v>0</v>
      </c>
      <c r="U56" s="41">
        <f>IFERROR(((L56-(R56/K56))/(R56/K56)),0)</f>
        <v>0</v>
      </c>
      <c r="V56" s="41">
        <f>IFERROR(((L56-(R56/K56))/L56),0)</f>
        <v>0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/>
      <c r="C57" s="6"/>
      <c r="D57" s="296"/>
      <c r="E57" s="123"/>
      <c r="F57" s="52"/>
      <c r="G57" s="8"/>
      <c r="H57" s="9">
        <f t="shared" si="1"/>
        <v>0</v>
      </c>
      <c r="I57" s="10">
        <f t="shared" si="2"/>
        <v>0</v>
      </c>
      <c r="J57" s="42"/>
      <c r="K57" s="87">
        <f t="shared" si="0"/>
        <v>0</v>
      </c>
      <c r="L57" s="9">
        <f>IFERROR(IF(N57="OEM DISC %",ROUND(IF($L$18=$G$18,G57*(1-O57),H57*(1-O57)),2),IF(N57="MARKUP %",ROUND(R57/K57*(1+O57),2))),0)</f>
        <v>0</v>
      </c>
      <c r="M57" s="9">
        <f t="shared" si="3"/>
        <v>0</v>
      </c>
      <c r="N57" s="8" t="s">
        <v>120</v>
      </c>
      <c r="O57" s="12"/>
      <c r="P57" s="3"/>
      <c r="Q57" s="13"/>
      <c r="R57" s="14">
        <f>ROUND(IF($R$18=$Q$18,Q57,IF($R$18="USD $",Q57*$E$16,Q57*$F$16))*F57,2)</f>
        <v>0</v>
      </c>
      <c r="S57" s="14">
        <f>IFERROR(ROUND(T57/F57,2),0)</f>
        <v>0</v>
      </c>
      <c r="T57" s="14">
        <f>ROUND(M57-R57,2)</f>
        <v>0</v>
      </c>
      <c r="U57" s="29">
        <f>IFERROR(((L57-(R57/K57))/(R57/K57)),0)</f>
        <v>0</v>
      </c>
      <c r="V57" s="29">
        <f>IFERROR(((L57-(R57/K57))/L57),0)</f>
        <v>0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/>
      <c r="C58" s="4"/>
      <c r="D58" s="297"/>
      <c r="E58" s="122"/>
      <c r="F58" s="53"/>
      <c r="G58" s="15"/>
      <c r="H58" s="38">
        <f t="shared" si="1"/>
        <v>0</v>
      </c>
      <c r="I58" s="39">
        <f t="shared" si="2"/>
        <v>0</v>
      </c>
      <c r="J58" s="42"/>
      <c r="K58" s="86">
        <f t="shared" si="0"/>
        <v>0</v>
      </c>
      <c r="L58" s="38">
        <f>IFERROR(IF(N58="OEM DISC %",ROUND(IF($L$18=$G$18,G58*(1-O58),H58*(1-O58)),2),IF(N58="MARKUP %",ROUND(R58/K58*(1+O58),2))),0)</f>
        <v>0</v>
      </c>
      <c r="M58" s="38">
        <f t="shared" si="3"/>
        <v>0</v>
      </c>
      <c r="N58" s="125" t="s">
        <v>120</v>
      </c>
      <c r="O58" s="16"/>
      <c r="P58" s="1"/>
      <c r="Q58" s="15"/>
      <c r="R58" s="40">
        <f>ROUND(IF($R$18=$Q$18,Q58,IF($R$18="USD $",Q58*$E$16,Q58*$F$16))*F58,2)</f>
        <v>0</v>
      </c>
      <c r="S58" s="51">
        <f>IFERROR(ROUND(T58/F58,2),0)</f>
        <v>0</v>
      </c>
      <c r="T58" s="51">
        <f>ROUND(M58-R58,2)</f>
        <v>0</v>
      </c>
      <c r="U58" s="41">
        <f>IFERROR(((L58-(R58/K58))/(R58/K58)),0)</f>
        <v>0</v>
      </c>
      <c r="V58" s="41">
        <f>IFERROR(((L58-(R58/K58))/L58),0)</f>
        <v>0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/>
      <c r="C59" s="6"/>
      <c r="D59" s="296"/>
      <c r="E59" s="123"/>
      <c r="F59" s="52"/>
      <c r="G59" s="8"/>
      <c r="H59" s="9">
        <f t="shared" si="1"/>
        <v>0</v>
      </c>
      <c r="I59" s="10">
        <f t="shared" si="2"/>
        <v>0</v>
      </c>
      <c r="J59" s="42"/>
      <c r="K59" s="87">
        <f t="shared" si="0"/>
        <v>0</v>
      </c>
      <c r="L59" s="9">
        <f>IFERROR(IF(N59="OEM DISC %",ROUND(IF($L$18=$G$18,G59*(1-O59),H59*(1-O59)),2),IF(N59="MARKUP %",ROUND(R59/K59*(1+O59),2))),0)</f>
        <v>0</v>
      </c>
      <c r="M59" s="9">
        <f t="shared" si="3"/>
        <v>0</v>
      </c>
      <c r="N59" s="8" t="s">
        <v>120</v>
      </c>
      <c r="O59" s="12"/>
      <c r="P59" s="3"/>
      <c r="Q59" s="13"/>
      <c r="R59" s="14">
        <f>ROUND(IF($R$18=$Q$18,Q59,IF($R$18="USD $",Q59*$E$16,Q59*$F$16))*F59,2)</f>
        <v>0</v>
      </c>
      <c r="S59" s="14">
        <f>IFERROR(ROUND(T59/F59,2),0)</f>
        <v>0</v>
      </c>
      <c r="T59" s="14">
        <f>ROUND(M59-R59,2)</f>
        <v>0</v>
      </c>
      <c r="U59" s="29">
        <f>IFERROR(((L59-(R59/K59))/(R59/K59)),0)</f>
        <v>0</v>
      </c>
      <c r="V59" s="29">
        <f>IFERROR(((L59-(R59/K59))/L59),0)</f>
        <v>0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/>
      <c r="C60" s="4"/>
      <c r="D60" s="297"/>
      <c r="E60" s="122"/>
      <c r="F60" s="53"/>
      <c r="G60" s="15"/>
      <c r="H60" s="38">
        <f t="shared" si="1"/>
        <v>0</v>
      </c>
      <c r="I60" s="39">
        <f t="shared" si="2"/>
        <v>0</v>
      </c>
      <c r="J60" s="42"/>
      <c r="K60" s="86">
        <f t="shared" si="0"/>
        <v>0</v>
      </c>
      <c r="L60" s="38">
        <f>IFERROR(IF(N60="OEM DISC %",ROUND(IF($L$18=$G$18,G60*(1-O60),H60*(1-O60)),2),IF(N60="MARKUP %",ROUND(R60/K60*(1+O60),2))),0)</f>
        <v>0</v>
      </c>
      <c r="M60" s="38">
        <f t="shared" si="3"/>
        <v>0</v>
      </c>
      <c r="N60" s="125" t="s">
        <v>120</v>
      </c>
      <c r="O60" s="16"/>
      <c r="P60" s="1"/>
      <c r="Q60" s="15"/>
      <c r="R60" s="40">
        <f>ROUND(IF($R$18=$Q$18,Q60,IF($R$18="USD $",Q60*$E$16,Q60*$F$16))*F60,2)</f>
        <v>0</v>
      </c>
      <c r="S60" s="51">
        <f>IFERROR(ROUND(T60/F60,2),0)</f>
        <v>0</v>
      </c>
      <c r="T60" s="51">
        <f>ROUND(M60-R60,2)</f>
        <v>0</v>
      </c>
      <c r="U60" s="41">
        <f>IFERROR(((L60-(R60/K60))/(R60/K60)),0)</f>
        <v>0</v>
      </c>
      <c r="V60" s="41">
        <f>IFERROR(((L60-(R60/K60))/L60),0)</f>
        <v>0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/>
      <c r="C61" s="6"/>
      <c r="D61" s="296"/>
      <c r="E61" s="123"/>
      <c r="F61" s="52"/>
      <c r="G61" s="8"/>
      <c r="H61" s="9">
        <f t="shared" si="1"/>
        <v>0</v>
      </c>
      <c r="I61" s="10">
        <f t="shared" si="2"/>
        <v>0</v>
      </c>
      <c r="J61" s="42"/>
      <c r="K61" s="87">
        <f t="shared" si="0"/>
        <v>0</v>
      </c>
      <c r="L61" s="9">
        <f>IFERROR(IF(N61="OEM DISC %",ROUND(IF($L$18=$G$18,G61*(1-O61),H61*(1-O61)),2),IF(N61="MARKUP %",ROUND(R61/K61*(1+O61),2))),0)</f>
        <v>0</v>
      </c>
      <c r="M61" s="9">
        <f t="shared" si="3"/>
        <v>0</v>
      </c>
      <c r="N61" s="8" t="s">
        <v>120</v>
      </c>
      <c r="O61" s="12"/>
      <c r="P61" s="3"/>
      <c r="Q61" s="13"/>
      <c r="R61" s="14">
        <f>ROUND(IF($R$18=$Q$18,Q61,IF($R$18="USD $",Q61*$E$16,Q61*$F$16))*F61,2)</f>
        <v>0</v>
      </c>
      <c r="S61" s="14">
        <f>IFERROR(ROUND(T61/F61,2),0)</f>
        <v>0</v>
      </c>
      <c r="T61" s="14">
        <f>ROUND(M61-R61,2)</f>
        <v>0</v>
      </c>
      <c r="U61" s="29">
        <f>IFERROR(((L61-(R61/K61))/(R61/K61)),0)</f>
        <v>0</v>
      </c>
      <c r="V61" s="29">
        <f>IFERROR(((L61-(R61/K61))/L61),0)</f>
        <v>0</v>
      </c>
      <c r="W61" s="28"/>
      <c r="X61" s="50"/>
      <c r="Y61" s="60"/>
      <c r="Z61" s="60"/>
      <c r="AA61" s="60"/>
      <c r="AB61" s="60"/>
    </row>
    <row r="62" spans="1:28" ht="20.25" customHeight="1" x14ac:dyDescent="0.3">
      <c r="A62" s="56"/>
      <c r="B62" s="74"/>
      <c r="C62" s="74"/>
      <c r="D62" s="282"/>
      <c r="E62" s="124" t="s">
        <v>39</v>
      </c>
      <c r="F62" s="76">
        <f>SUM(F19:F61)</f>
        <v>1114</v>
      </c>
      <c r="G62" s="77">
        <f>SUM(G19:G61)</f>
        <v>43746.730000000025</v>
      </c>
      <c r="H62" s="78">
        <f>SUM(H19:H61)</f>
        <v>30170.150000000009</v>
      </c>
      <c r="I62" s="79">
        <f>SUM(I19:I61)</f>
        <v>95424.660000000018</v>
      </c>
      <c r="J62" s="80"/>
      <c r="K62" s="81">
        <f>SUM(K19:K61)</f>
        <v>1114</v>
      </c>
      <c r="L62" s="78">
        <f>SUM(L19:L61)</f>
        <v>21688.410000000007</v>
      </c>
      <c r="M62" s="79">
        <f>SUM(M19:M61)</f>
        <v>47393.19</v>
      </c>
      <c r="N62" s="79"/>
      <c r="O62" s="79"/>
      <c r="P62" s="75"/>
      <c r="Q62" s="78">
        <f>SUM(Q19:Q61)</f>
        <v>107.45</v>
      </c>
      <c r="R62" s="78">
        <f>SUM(R19:R61)</f>
        <v>214.9</v>
      </c>
      <c r="S62" s="79">
        <f>SUM(S19:S61)</f>
        <v>21580.960000000006</v>
      </c>
      <c r="T62" s="79">
        <f>SUM(T19:T61)</f>
        <v>47178.290000000008</v>
      </c>
      <c r="U62" s="82"/>
      <c r="V62" s="82"/>
      <c r="W62" s="83"/>
      <c r="X62" s="73"/>
    </row>
    <row r="64" spans="1:28" ht="15" customHeight="1" x14ac:dyDescent="0.3">
      <c r="U64" s="85"/>
    </row>
  </sheetData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10:F10"/>
    <mergeCell ref="D9:F9"/>
    <mergeCell ref="D8:F8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7:F7"/>
    <mergeCell ref="D6:F6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5:F5"/>
    <mergeCell ref="D4:F4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3:F3"/>
    <mergeCell ref="D2:F2"/>
    <mergeCell ref="S1:W1"/>
    <mergeCell ref="B1:C1"/>
    <mergeCell ref="E1:H1"/>
    <mergeCell ref="I1:L1"/>
    <mergeCell ref="M1:O1"/>
    <mergeCell ref="P1:R1"/>
  </mergeCells>
  <conditionalFormatting sqref="U9:U11">
    <cfRule type="expression" dxfId="3" priority="3" stopIfTrue="1">
      <formula>$U$9&gt;100%</formula>
    </cfRule>
    <cfRule type="expression" dxfId="2" priority="4">
      <formula>$U$9&lt;50%</formula>
    </cfRule>
  </conditionalFormatting>
  <conditionalFormatting sqref="V9:V11">
    <cfRule type="expression" dxfId="1" priority="1">
      <formula>$V$9&lt;50%</formula>
    </cfRule>
    <cfRule type="expression" dxfId="0" priority="2">
      <formula>$V$9&gt;50%</formula>
    </cfRule>
  </conditionalFormatting>
  <dataValidations count="5">
    <dataValidation type="list" allowBlank="1" showInputMessage="1" showErrorMessage="1" sqref="N19:N61" xr:uid="{A238757E-3B1F-46E9-BA68-44ECAE4F6353}">
      <formula1>$Y$32:$Y$33</formula1>
    </dataValidation>
    <dataValidation type="list" showInputMessage="1" showErrorMessage="1" sqref="E19:E61" xr:uid="{AE4BE719-D643-4735-B6EC-1937F110DD0F}">
      <formula1>$Z$19:$Z$30</formula1>
    </dataValidation>
    <dataValidation type="list" allowBlank="1" showInputMessage="1" showErrorMessage="1" sqref="J14" xr:uid="{0BEC208E-4EE1-4C39-A551-91DC2895BBC6}">
      <formula1>$L$9:$L$9</formula1>
    </dataValidation>
    <dataValidation type="list" allowBlank="1" showInputMessage="1" showErrorMessage="1" sqref="I14" xr:uid="{F10AC3AB-C8A2-43BD-AFF1-31026B15899D}">
      <formula1>$Y$14:$Y$15</formula1>
    </dataValidation>
    <dataValidation type="list" allowBlank="1" showInputMessage="1" showErrorMessage="1" sqref="G18 Q15 Q18 L18" xr:uid="{5BC2C58B-676E-44BE-9F69-EC165F9EBDA4}">
      <formula1>$Y$12:$Y$13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116226-7DEA-43AC-8EC9-B677FF3792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CAT 561M (1KW)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Budgen</dc:creator>
  <cp:lastModifiedBy>Rushil Patel</cp:lastModifiedBy>
  <cp:lastPrinted>2024-08-01T22:01:56Z</cp:lastPrinted>
  <dcterms:created xsi:type="dcterms:W3CDTF">2024-03-27T02:49:14Z</dcterms:created>
  <dcterms:modified xsi:type="dcterms:W3CDTF">2025-09-14T19:58:05Z</dcterms:modified>
</cp:coreProperties>
</file>