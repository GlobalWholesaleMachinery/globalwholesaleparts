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Rushil\Downloads\"/>
    </mc:Choice>
  </mc:AlternateContent>
  <xr:revisionPtr revIDLastSave="0" documentId="13_ncr:1_{C577EB73-1867-48ED-B55F-1C4E59D9E27D}" xr6:coauthVersionLast="47" xr6:coauthVersionMax="47" xr10:uidLastSave="{00000000-0000-0000-0000-000000000000}"/>
  <bookViews>
    <workbookView xWindow="-108" yWindow="-108" windowWidth="23256" windowHeight="12456" tabRatio="897" activeTab="3" xr2:uid="{EAC116F2-D257-4308-B3E1-626B33CB1430}"/>
  </bookViews>
  <sheets>
    <sheet name="MOQ GET Parts" sheetId="60" r:id="rId1"/>
    <sheet name="MOQ Operator Seats" sheetId="53" r:id="rId2"/>
    <sheet name="MOQ Seats" sheetId="55" state="hidden" r:id="rId3"/>
    <sheet name="MOQ Undercarriages" sheetId="57" r:id="rId4"/>
    <sheet name="MOQ Grand Total" sheetId="58" r:id="rId5"/>
  </sheets>
  <externalReferences>
    <externalReference r:id="rId6"/>
  </externalReferences>
  <definedNames>
    <definedName name="_xlnm._FilterDatabase" localSheetId="0" hidden="1">'MOQ GET Parts'!$B$14:$I$65</definedName>
    <definedName name="_xlnm._FilterDatabase" localSheetId="1" hidden="1">'MOQ Operator Seats'!$B$14:$I$64</definedName>
    <definedName name="_xlnm._FilterDatabase" localSheetId="2" hidden="1">'MOQ Seats'!$B$14:$I$63</definedName>
    <definedName name="_xlnm._FilterDatabase" localSheetId="3" hidden="1">'MOQ Undercarriages'!$B$14:$I$212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2" i="57" l="1"/>
  <c r="C395" i="58"/>
  <c r="C386" i="58"/>
  <c r="C196" i="57"/>
  <c r="C396" i="58"/>
  <c r="C391" i="58"/>
  <c r="C399" i="58"/>
  <c r="C397" i="58"/>
  <c r="C191" i="57"/>
  <c r="C390" i="58"/>
  <c r="C400" i="58"/>
  <c r="C401" i="58"/>
  <c r="C402" i="58"/>
  <c r="C194" i="57"/>
  <c r="C193" i="57"/>
  <c r="C403" i="58"/>
  <c r="C404" i="58"/>
  <c r="C405" i="58"/>
  <c r="C195" i="57"/>
  <c r="C190" i="57"/>
  <c r="C392" i="58"/>
  <c r="C387" i="58"/>
  <c r="C388" i="58"/>
  <c r="C407" i="58"/>
  <c r="C406" i="58"/>
  <c r="C389" i="58"/>
  <c r="C398" i="58"/>
  <c r="C393" i="58"/>
  <c r="C408" i="58"/>
  <c r="C394" i="58"/>
  <c r="D191" i="57"/>
  <c r="D390" i="58"/>
  <c r="D400" i="58"/>
  <c r="D401" i="58"/>
  <c r="D402" i="58"/>
  <c r="D194" i="57"/>
  <c r="D193" i="57"/>
  <c r="D403" i="58"/>
  <c r="D404" i="58"/>
  <c r="D405" i="58"/>
  <c r="D195" i="57"/>
  <c r="D190" i="57"/>
  <c r="D392" i="58"/>
  <c r="D387" i="58"/>
  <c r="D388" i="58"/>
  <c r="D407" i="58"/>
  <c r="D406" i="58"/>
  <c r="D389" i="58"/>
  <c r="D398" i="58"/>
  <c r="D393" i="58"/>
  <c r="D408" i="58"/>
  <c r="D394" i="58"/>
  <c r="F191" i="57"/>
  <c r="F390" i="58"/>
  <c r="F400" i="58"/>
  <c r="F401" i="58"/>
  <c r="F402" i="58"/>
  <c r="F194" i="57"/>
  <c r="F193" i="57"/>
  <c r="F403" i="58"/>
  <c r="F404" i="58"/>
  <c r="F405" i="58"/>
  <c r="F195" i="57"/>
  <c r="F190" i="57"/>
  <c r="F392" i="58"/>
  <c r="F387" i="58"/>
  <c r="F388" i="58"/>
  <c r="F407" i="58"/>
  <c r="F406" i="58"/>
  <c r="F389" i="58"/>
  <c r="F398" i="58"/>
  <c r="F393" i="58"/>
  <c r="F408" i="58"/>
  <c r="F394" i="58"/>
  <c r="H191" i="57"/>
  <c r="H390" i="58"/>
  <c r="H400" i="58"/>
  <c r="H401" i="58"/>
  <c r="H402" i="58"/>
  <c r="H194" i="57"/>
  <c r="H193" i="57"/>
  <c r="H403" i="58"/>
  <c r="H404" i="58"/>
  <c r="H405" i="58"/>
  <c r="H195" i="57"/>
  <c r="H190" i="57"/>
  <c r="H392" i="58"/>
  <c r="H387" i="58"/>
  <c r="H388" i="58"/>
  <c r="H407" i="58"/>
  <c r="H406" i="58"/>
  <c r="H389" i="58"/>
  <c r="H398" i="58"/>
  <c r="H393" i="58"/>
  <c r="H408" i="58"/>
  <c r="H394" i="58"/>
  <c r="H203" i="57" l="1"/>
  <c r="C198" i="57"/>
  <c r="F202" i="57"/>
  <c r="D200" i="57"/>
  <c r="D199" i="57"/>
  <c r="C199" i="57"/>
  <c r="D203" i="57"/>
  <c r="C202" i="57"/>
  <c r="H200" i="57"/>
  <c r="H199" i="57"/>
  <c r="F198" i="57"/>
  <c r="D205" i="57"/>
  <c r="D204" i="57"/>
  <c r="C203" i="57"/>
  <c r="H201" i="57"/>
  <c r="F199" i="57"/>
  <c r="C205" i="57"/>
  <c r="C204" i="57"/>
  <c r="H202" i="57"/>
  <c r="F201" i="57"/>
  <c r="F200" i="57"/>
  <c r="D198" i="57"/>
  <c r="C197" i="57"/>
  <c r="H205" i="57"/>
  <c r="H204" i="57"/>
  <c r="F203" i="57"/>
  <c r="D201" i="57"/>
  <c r="F205" i="57"/>
  <c r="F204" i="57"/>
  <c r="D202" i="57"/>
  <c r="C201" i="57"/>
  <c r="C200" i="57"/>
  <c r="H198" i="57"/>
  <c r="H192" i="57"/>
  <c r="H395" i="58"/>
  <c r="H196" i="57"/>
  <c r="H396" i="58"/>
  <c r="H391" i="58"/>
  <c r="H397" i="58"/>
  <c r="F192" i="57"/>
  <c r="F395" i="58"/>
  <c r="F196" i="57"/>
  <c r="F396" i="58"/>
  <c r="F391" i="58"/>
  <c r="F397" i="58"/>
  <c r="D192" i="57"/>
  <c r="D395" i="58"/>
  <c r="D196" i="57"/>
  <c r="D396" i="58"/>
  <c r="D391" i="58"/>
  <c r="D397" i="58"/>
  <c r="H399" i="58" l="1"/>
  <c r="F399" i="58"/>
  <c r="D399" i="58"/>
  <c r="D386" i="58"/>
  <c r="D197" i="57"/>
  <c r="H386" i="58"/>
  <c r="H197" i="57"/>
  <c r="F386" i="58"/>
  <c r="F197" i="57"/>
  <c r="E394" i="58" l="1"/>
  <c r="E401" i="58"/>
  <c r="E198" i="57"/>
  <c r="E202" i="57"/>
  <c r="E205" i="57"/>
  <c r="E196" i="57"/>
  <c r="E395" i="58"/>
  <c r="E192" i="57"/>
  <c r="E396" i="58"/>
  <c r="G196" i="57" l="1"/>
  <c r="I196" i="57"/>
  <c r="I205" i="57"/>
  <c r="G205" i="57"/>
  <c r="I202" i="57"/>
  <c r="G202" i="57"/>
  <c r="E194" i="57"/>
  <c r="G192" i="57"/>
  <c r="I192" i="57"/>
  <c r="E195" i="57"/>
  <c r="I198" i="57"/>
  <c r="G198" i="57"/>
  <c r="E386" i="58"/>
  <c r="E197" i="57"/>
  <c r="E191" i="57"/>
  <c r="E404" i="58"/>
  <c r="E400" i="58"/>
  <c r="I396" i="58"/>
  <c r="G396" i="58"/>
  <c r="G386" i="58"/>
  <c r="I386" i="58"/>
  <c r="E393" i="58"/>
  <c r="E388" i="58"/>
  <c r="E403" i="58"/>
  <c r="E389" i="58"/>
  <c r="I401" i="58"/>
  <c r="G401" i="58"/>
  <c r="E402" i="58"/>
  <c r="E407" i="58"/>
  <c r="I394" i="58"/>
  <c r="G394" i="58"/>
  <c r="E408" i="58"/>
  <c r="I395" i="58"/>
  <c r="G395" i="58"/>
  <c r="E397" i="58"/>
  <c r="E204" i="57"/>
  <c r="E391" i="58"/>
  <c r="E200" i="57"/>
  <c r="E199" i="57"/>
  <c r="E201" i="57"/>
  <c r="E203" i="57"/>
  <c r="I203" i="57" l="1"/>
  <c r="G203" i="57"/>
  <c r="E190" i="57"/>
  <c r="G197" i="57"/>
  <c r="I197" i="57"/>
  <c r="G200" i="57"/>
  <c r="I200" i="57"/>
  <c r="I199" i="57"/>
  <c r="G199" i="57"/>
  <c r="I204" i="57"/>
  <c r="G204" i="57"/>
  <c r="E193" i="57"/>
  <c r="G194" i="57"/>
  <c r="I194" i="57"/>
  <c r="I201" i="57"/>
  <c r="G201" i="57"/>
  <c r="G191" i="57"/>
  <c r="I191" i="57"/>
  <c r="I195" i="57"/>
  <c r="G195" i="57"/>
  <c r="E387" i="58"/>
  <c r="E406" i="58"/>
  <c r="E392" i="58"/>
  <c r="I391" i="58"/>
  <c r="G391" i="58"/>
  <c r="G408" i="58"/>
  <c r="I408" i="58"/>
  <c r="I402" i="58"/>
  <c r="G402" i="58"/>
  <c r="I393" i="58"/>
  <c r="G393" i="58"/>
  <c r="G400" i="58"/>
  <c r="I400" i="58"/>
  <c r="E405" i="58"/>
  <c r="I397" i="58"/>
  <c r="G397" i="58"/>
  <c r="I403" i="58"/>
  <c r="G403" i="58"/>
  <c r="G404" i="58"/>
  <c r="I404" i="58"/>
  <c r="G388" i="58"/>
  <c r="I388" i="58"/>
  <c r="E398" i="58"/>
  <c r="E399" i="58"/>
  <c r="E390" i="58"/>
  <c r="I407" i="58"/>
  <c r="G407" i="58"/>
  <c r="G389" i="58"/>
  <c r="I389" i="58"/>
  <c r="G193" i="57" l="1"/>
  <c r="I193" i="57"/>
  <c r="I190" i="57"/>
  <c r="G190" i="57"/>
  <c r="G405" i="58"/>
  <c r="I405" i="58"/>
  <c r="G392" i="58"/>
  <c r="I392" i="58"/>
  <c r="G398" i="58"/>
  <c r="I398" i="58"/>
  <c r="G406" i="58"/>
  <c r="I406" i="58"/>
  <c r="I399" i="58"/>
  <c r="G399" i="58"/>
  <c r="I390" i="58"/>
  <c r="G390" i="58"/>
  <c r="I387" i="58"/>
  <c r="G387" i="58"/>
  <c r="I7" i="60"/>
  <c r="I7" i="53"/>
  <c r="I7" i="57"/>
  <c r="C12" i="60"/>
  <c r="C11" i="60"/>
  <c r="C10" i="60"/>
  <c r="C9" i="60"/>
  <c r="C8" i="60"/>
  <c r="C7" i="60"/>
  <c r="C12" i="53"/>
  <c r="C11" i="53"/>
  <c r="C10" i="53"/>
  <c r="C9" i="53"/>
  <c r="C8" i="53"/>
  <c r="C7" i="53"/>
  <c r="C11" i="57"/>
  <c r="C12" i="57"/>
  <c r="C10" i="57"/>
  <c r="C9" i="57"/>
  <c r="C8" i="57"/>
  <c r="C7" i="57"/>
  <c r="C16" i="57"/>
  <c r="D16" i="57"/>
  <c r="E16" i="57"/>
  <c r="F16" i="57"/>
  <c r="H16" i="57"/>
  <c r="C17" i="57"/>
  <c r="D17" i="57"/>
  <c r="E17" i="57"/>
  <c r="F17" i="57"/>
  <c r="H17" i="57"/>
  <c r="C18" i="57"/>
  <c r="D18" i="57"/>
  <c r="E18" i="57"/>
  <c r="F18" i="57"/>
  <c r="H18" i="57"/>
  <c r="C19" i="57"/>
  <c r="D19" i="57"/>
  <c r="E19" i="57"/>
  <c r="F19" i="57"/>
  <c r="H19" i="57"/>
  <c r="C20" i="57"/>
  <c r="D20" i="57"/>
  <c r="E20" i="57"/>
  <c r="F20" i="57"/>
  <c r="H20" i="57"/>
  <c r="C21" i="57"/>
  <c r="D21" i="57"/>
  <c r="E21" i="57"/>
  <c r="F21" i="57"/>
  <c r="H21" i="57"/>
  <c r="C22" i="57"/>
  <c r="D22" i="57"/>
  <c r="E22" i="57"/>
  <c r="F22" i="57"/>
  <c r="H22" i="57"/>
  <c r="C23" i="57"/>
  <c r="D23" i="57"/>
  <c r="E23" i="57"/>
  <c r="F23" i="57"/>
  <c r="H23" i="57"/>
  <c r="C24" i="57"/>
  <c r="D24" i="57"/>
  <c r="E24" i="57"/>
  <c r="F24" i="57"/>
  <c r="H24" i="57"/>
  <c r="C25" i="57"/>
  <c r="D25" i="57"/>
  <c r="E25" i="57"/>
  <c r="F25" i="57"/>
  <c r="H25" i="57"/>
  <c r="C26" i="57"/>
  <c r="D26" i="57"/>
  <c r="E26" i="57"/>
  <c r="F26" i="57"/>
  <c r="H26" i="57"/>
  <c r="C27" i="57"/>
  <c r="D27" i="57"/>
  <c r="E27" i="57"/>
  <c r="F27" i="57"/>
  <c r="H27" i="57"/>
  <c r="C28" i="57"/>
  <c r="D28" i="57"/>
  <c r="E28" i="57"/>
  <c r="F28" i="57"/>
  <c r="H28" i="57"/>
  <c r="C29" i="57"/>
  <c r="D29" i="57"/>
  <c r="E29" i="57"/>
  <c r="F29" i="57"/>
  <c r="H29" i="57"/>
  <c r="C30" i="57"/>
  <c r="D30" i="57"/>
  <c r="E30" i="57"/>
  <c r="F30" i="57"/>
  <c r="H30" i="57"/>
  <c r="C31" i="57"/>
  <c r="D31" i="57"/>
  <c r="E31" i="57"/>
  <c r="F31" i="57"/>
  <c r="H31" i="57"/>
  <c r="C32" i="57"/>
  <c r="D32" i="57"/>
  <c r="E32" i="57"/>
  <c r="F32" i="57"/>
  <c r="H32" i="57"/>
  <c r="C33" i="57"/>
  <c r="D33" i="57"/>
  <c r="E33" i="57"/>
  <c r="F33" i="57"/>
  <c r="H33" i="57"/>
  <c r="C34" i="57"/>
  <c r="D34" i="57"/>
  <c r="E34" i="57"/>
  <c r="F34" i="57"/>
  <c r="H34" i="57"/>
  <c r="C35" i="57"/>
  <c r="D35" i="57"/>
  <c r="E35" i="57"/>
  <c r="F35" i="57"/>
  <c r="H35" i="57"/>
  <c r="C36" i="57"/>
  <c r="D36" i="57"/>
  <c r="E36" i="57"/>
  <c r="F36" i="57"/>
  <c r="H36" i="57"/>
  <c r="C37" i="57"/>
  <c r="D37" i="57"/>
  <c r="E37" i="57"/>
  <c r="F37" i="57"/>
  <c r="H37" i="57"/>
  <c r="C38" i="57"/>
  <c r="D38" i="57"/>
  <c r="E38" i="57"/>
  <c r="F38" i="57"/>
  <c r="H38" i="57"/>
  <c r="C39" i="57"/>
  <c r="D39" i="57"/>
  <c r="E39" i="57"/>
  <c r="F39" i="57"/>
  <c r="H39" i="57"/>
  <c r="C40" i="57"/>
  <c r="D40" i="57"/>
  <c r="E40" i="57"/>
  <c r="F40" i="57"/>
  <c r="H40" i="57"/>
  <c r="C41" i="57"/>
  <c r="D41" i="57"/>
  <c r="E41" i="57"/>
  <c r="F41" i="57"/>
  <c r="H41" i="57"/>
  <c r="C42" i="57"/>
  <c r="D42" i="57"/>
  <c r="E42" i="57"/>
  <c r="F42" i="57"/>
  <c r="H42" i="57"/>
  <c r="C43" i="57"/>
  <c r="D43" i="57"/>
  <c r="E43" i="57"/>
  <c r="F43" i="57"/>
  <c r="H43" i="57"/>
  <c r="C44" i="57"/>
  <c r="D44" i="57"/>
  <c r="E44" i="57"/>
  <c r="F44" i="57"/>
  <c r="H44" i="57"/>
  <c r="C45" i="57"/>
  <c r="D45" i="57"/>
  <c r="E45" i="57"/>
  <c r="F45" i="57"/>
  <c r="H45" i="57"/>
  <c r="C46" i="57"/>
  <c r="D46" i="57"/>
  <c r="E46" i="57"/>
  <c r="F46" i="57"/>
  <c r="H46" i="57"/>
  <c r="C47" i="57"/>
  <c r="D47" i="57"/>
  <c r="E47" i="57"/>
  <c r="F47" i="57"/>
  <c r="H47" i="57"/>
  <c r="C48" i="57"/>
  <c r="D48" i="57"/>
  <c r="E48" i="57"/>
  <c r="F48" i="57"/>
  <c r="H48" i="57"/>
  <c r="C49" i="57"/>
  <c r="D49" i="57"/>
  <c r="E49" i="57"/>
  <c r="F49" i="57"/>
  <c r="H49" i="57"/>
  <c r="C50" i="57"/>
  <c r="D50" i="57"/>
  <c r="E50" i="57"/>
  <c r="F50" i="57"/>
  <c r="H50" i="57"/>
  <c r="C51" i="57"/>
  <c r="D51" i="57"/>
  <c r="E51" i="57"/>
  <c r="F51" i="57"/>
  <c r="H51" i="57"/>
  <c r="C52" i="57"/>
  <c r="D52" i="57"/>
  <c r="E52" i="57"/>
  <c r="F52" i="57"/>
  <c r="H52" i="57"/>
  <c r="C53" i="57"/>
  <c r="D53" i="57"/>
  <c r="E53" i="57"/>
  <c r="F53" i="57"/>
  <c r="H53" i="57"/>
  <c r="C54" i="57"/>
  <c r="D54" i="57"/>
  <c r="E54" i="57"/>
  <c r="F54" i="57"/>
  <c r="H54" i="57"/>
  <c r="C55" i="57"/>
  <c r="D55" i="57"/>
  <c r="E55" i="57"/>
  <c r="F55" i="57"/>
  <c r="H55" i="57"/>
  <c r="C56" i="57"/>
  <c r="D56" i="57"/>
  <c r="E56" i="57"/>
  <c r="F56" i="57"/>
  <c r="H56" i="57"/>
  <c r="C57" i="57"/>
  <c r="D57" i="57"/>
  <c r="E57" i="57"/>
  <c r="F57" i="57"/>
  <c r="H57" i="57"/>
  <c r="C58" i="57"/>
  <c r="D58" i="57"/>
  <c r="E58" i="57"/>
  <c r="F58" i="57"/>
  <c r="H58" i="57"/>
  <c r="C59" i="57"/>
  <c r="D59" i="57"/>
  <c r="E59" i="57"/>
  <c r="F59" i="57"/>
  <c r="H59" i="57"/>
  <c r="C60" i="57"/>
  <c r="D60" i="57"/>
  <c r="E60" i="57"/>
  <c r="F60" i="57"/>
  <c r="H60" i="57"/>
  <c r="C61" i="57"/>
  <c r="D61" i="57"/>
  <c r="E61" i="57"/>
  <c r="F61" i="57"/>
  <c r="H61" i="57"/>
  <c r="C62" i="57"/>
  <c r="D62" i="57"/>
  <c r="E62" i="57"/>
  <c r="F62" i="57"/>
  <c r="H62" i="57"/>
  <c r="C63" i="57"/>
  <c r="D63" i="57"/>
  <c r="E63" i="57"/>
  <c r="F63" i="57"/>
  <c r="H63" i="57"/>
  <c r="C64" i="57"/>
  <c r="D64" i="57"/>
  <c r="E64" i="57"/>
  <c r="F64" i="57"/>
  <c r="H64" i="57"/>
  <c r="C65" i="57"/>
  <c r="D65" i="57"/>
  <c r="E65" i="57"/>
  <c r="F65" i="57"/>
  <c r="H65" i="57"/>
  <c r="C66" i="57"/>
  <c r="D66" i="57"/>
  <c r="E66" i="57"/>
  <c r="F66" i="57"/>
  <c r="H66" i="57"/>
  <c r="C67" i="57"/>
  <c r="D67" i="57"/>
  <c r="E67" i="57"/>
  <c r="F67" i="57"/>
  <c r="H67" i="57"/>
  <c r="C68" i="57"/>
  <c r="D68" i="57"/>
  <c r="E68" i="57"/>
  <c r="F68" i="57"/>
  <c r="H68" i="57"/>
  <c r="C69" i="57"/>
  <c r="D69" i="57"/>
  <c r="E69" i="57"/>
  <c r="F69" i="57"/>
  <c r="H69" i="57"/>
  <c r="C70" i="57"/>
  <c r="D70" i="57"/>
  <c r="E70" i="57"/>
  <c r="F70" i="57"/>
  <c r="H70" i="57"/>
  <c r="C71" i="57"/>
  <c r="D71" i="57"/>
  <c r="E71" i="57"/>
  <c r="F71" i="57"/>
  <c r="H71" i="57"/>
  <c r="C72" i="57"/>
  <c r="D72" i="57"/>
  <c r="E72" i="57"/>
  <c r="F72" i="57"/>
  <c r="H72" i="57"/>
  <c r="C73" i="57"/>
  <c r="D73" i="57"/>
  <c r="E73" i="57"/>
  <c r="F73" i="57"/>
  <c r="H73" i="57"/>
  <c r="C74" i="57"/>
  <c r="D74" i="57"/>
  <c r="E74" i="57"/>
  <c r="F74" i="57"/>
  <c r="H74" i="57"/>
  <c r="C75" i="57"/>
  <c r="D75" i="57"/>
  <c r="E75" i="57"/>
  <c r="F75" i="57"/>
  <c r="H75" i="57"/>
  <c r="C76" i="57"/>
  <c r="D76" i="57"/>
  <c r="E76" i="57"/>
  <c r="F76" i="57"/>
  <c r="H76" i="57"/>
  <c r="C77" i="57"/>
  <c r="D77" i="57"/>
  <c r="E77" i="57"/>
  <c r="F77" i="57"/>
  <c r="H77" i="57"/>
  <c r="C78" i="57"/>
  <c r="D78" i="57"/>
  <c r="E78" i="57"/>
  <c r="F78" i="57"/>
  <c r="H78" i="57"/>
  <c r="C79" i="57"/>
  <c r="D79" i="57"/>
  <c r="E79" i="57"/>
  <c r="F79" i="57"/>
  <c r="H79" i="57"/>
  <c r="C80" i="57"/>
  <c r="D80" i="57"/>
  <c r="E80" i="57"/>
  <c r="F80" i="57"/>
  <c r="H80" i="57"/>
  <c r="C81" i="57"/>
  <c r="D81" i="57"/>
  <c r="E81" i="57"/>
  <c r="F81" i="57"/>
  <c r="H81" i="57"/>
  <c r="C82" i="57"/>
  <c r="D82" i="57"/>
  <c r="E82" i="57"/>
  <c r="F82" i="57"/>
  <c r="H82" i="57"/>
  <c r="C83" i="57"/>
  <c r="D83" i="57"/>
  <c r="E83" i="57"/>
  <c r="F83" i="57"/>
  <c r="H83" i="57"/>
  <c r="C84" i="57"/>
  <c r="D84" i="57"/>
  <c r="E84" i="57"/>
  <c r="F84" i="57"/>
  <c r="H84" i="57"/>
  <c r="C85" i="57"/>
  <c r="D85" i="57"/>
  <c r="E85" i="57"/>
  <c r="F85" i="57"/>
  <c r="H85" i="57"/>
  <c r="C86" i="57"/>
  <c r="D86" i="57"/>
  <c r="E86" i="57"/>
  <c r="F86" i="57"/>
  <c r="H86" i="57"/>
  <c r="C87" i="57"/>
  <c r="D87" i="57"/>
  <c r="E87" i="57"/>
  <c r="F87" i="57"/>
  <c r="H87" i="57"/>
  <c r="C88" i="57"/>
  <c r="D88" i="57"/>
  <c r="E88" i="57"/>
  <c r="F88" i="57"/>
  <c r="H88" i="57"/>
  <c r="C89" i="57"/>
  <c r="D89" i="57"/>
  <c r="E89" i="57"/>
  <c r="F89" i="57"/>
  <c r="H89" i="57"/>
  <c r="C90" i="57"/>
  <c r="D90" i="57"/>
  <c r="E90" i="57"/>
  <c r="F90" i="57"/>
  <c r="H90" i="57"/>
  <c r="C91" i="57"/>
  <c r="D91" i="57"/>
  <c r="E91" i="57"/>
  <c r="F91" i="57"/>
  <c r="H91" i="57"/>
  <c r="C92" i="57"/>
  <c r="D92" i="57"/>
  <c r="E92" i="57"/>
  <c r="F92" i="57"/>
  <c r="H92" i="57"/>
  <c r="C93" i="57"/>
  <c r="D93" i="57"/>
  <c r="E93" i="57"/>
  <c r="F93" i="57"/>
  <c r="H93" i="57"/>
  <c r="C94" i="57"/>
  <c r="D94" i="57"/>
  <c r="E94" i="57"/>
  <c r="F94" i="57"/>
  <c r="H94" i="57"/>
  <c r="C95" i="57"/>
  <c r="D95" i="57"/>
  <c r="E95" i="57"/>
  <c r="F95" i="57"/>
  <c r="H95" i="57"/>
  <c r="C96" i="57"/>
  <c r="D96" i="57"/>
  <c r="E96" i="57"/>
  <c r="F96" i="57"/>
  <c r="H96" i="57"/>
  <c r="C97" i="57"/>
  <c r="D97" i="57"/>
  <c r="E97" i="57"/>
  <c r="F97" i="57"/>
  <c r="H97" i="57"/>
  <c r="C98" i="57"/>
  <c r="D98" i="57"/>
  <c r="E98" i="57"/>
  <c r="F98" i="57"/>
  <c r="H98" i="57"/>
  <c r="C99" i="57"/>
  <c r="D99" i="57"/>
  <c r="E99" i="57"/>
  <c r="F99" i="57"/>
  <c r="H99" i="57"/>
  <c r="C100" i="57"/>
  <c r="D100" i="57"/>
  <c r="E100" i="57"/>
  <c r="F100" i="57"/>
  <c r="H100" i="57"/>
  <c r="C101" i="57"/>
  <c r="D101" i="57"/>
  <c r="E101" i="57"/>
  <c r="F101" i="57"/>
  <c r="H101" i="57"/>
  <c r="C102" i="57"/>
  <c r="D102" i="57"/>
  <c r="E102" i="57"/>
  <c r="F102" i="57"/>
  <c r="H102" i="57"/>
  <c r="C103" i="57"/>
  <c r="D103" i="57"/>
  <c r="E103" i="57"/>
  <c r="F103" i="57"/>
  <c r="H103" i="57"/>
  <c r="C104" i="57"/>
  <c r="D104" i="57"/>
  <c r="E104" i="57"/>
  <c r="F104" i="57"/>
  <c r="H104" i="57"/>
  <c r="C105" i="57"/>
  <c r="D105" i="57"/>
  <c r="E105" i="57"/>
  <c r="F105" i="57"/>
  <c r="H105" i="57"/>
  <c r="C106" i="57"/>
  <c r="D106" i="57"/>
  <c r="E106" i="57"/>
  <c r="F106" i="57"/>
  <c r="H106" i="57"/>
  <c r="C107" i="57"/>
  <c r="D107" i="57"/>
  <c r="E107" i="57"/>
  <c r="F107" i="57"/>
  <c r="H107" i="57"/>
  <c r="C108" i="57"/>
  <c r="D108" i="57"/>
  <c r="E108" i="57"/>
  <c r="F108" i="57"/>
  <c r="H108" i="57"/>
  <c r="C109" i="57"/>
  <c r="D109" i="57"/>
  <c r="E109" i="57"/>
  <c r="F109" i="57"/>
  <c r="H109" i="57"/>
  <c r="C110" i="57"/>
  <c r="D110" i="57"/>
  <c r="E110" i="57"/>
  <c r="F110" i="57"/>
  <c r="H110" i="57"/>
  <c r="C111" i="57"/>
  <c r="D111" i="57"/>
  <c r="E111" i="57"/>
  <c r="F111" i="57"/>
  <c r="H111" i="57"/>
  <c r="C112" i="57"/>
  <c r="D112" i="57"/>
  <c r="E112" i="57"/>
  <c r="F112" i="57"/>
  <c r="H112" i="57"/>
  <c r="C113" i="57"/>
  <c r="D113" i="57"/>
  <c r="E113" i="57"/>
  <c r="F113" i="57"/>
  <c r="H113" i="57"/>
  <c r="C114" i="57"/>
  <c r="D114" i="57"/>
  <c r="E114" i="57"/>
  <c r="F114" i="57"/>
  <c r="H114" i="57"/>
  <c r="C115" i="57"/>
  <c r="D115" i="57"/>
  <c r="E115" i="57"/>
  <c r="F115" i="57"/>
  <c r="H115" i="57"/>
  <c r="C116" i="57"/>
  <c r="D116" i="57"/>
  <c r="E116" i="57"/>
  <c r="F116" i="57"/>
  <c r="H116" i="57"/>
  <c r="C117" i="57"/>
  <c r="D117" i="57"/>
  <c r="E117" i="57"/>
  <c r="F117" i="57"/>
  <c r="H117" i="57"/>
  <c r="C118" i="57"/>
  <c r="D118" i="57"/>
  <c r="E118" i="57"/>
  <c r="F118" i="57"/>
  <c r="H118" i="57"/>
  <c r="C119" i="57"/>
  <c r="D119" i="57"/>
  <c r="E119" i="57"/>
  <c r="F119" i="57"/>
  <c r="H119" i="57"/>
  <c r="C120" i="57"/>
  <c r="D120" i="57"/>
  <c r="E120" i="57"/>
  <c r="F120" i="57"/>
  <c r="H120" i="57"/>
  <c r="C121" i="57"/>
  <c r="D121" i="57"/>
  <c r="E121" i="57"/>
  <c r="F121" i="57"/>
  <c r="H121" i="57"/>
  <c r="C122" i="57"/>
  <c r="D122" i="57"/>
  <c r="E122" i="57"/>
  <c r="F122" i="57"/>
  <c r="H122" i="57"/>
  <c r="C123" i="57"/>
  <c r="D123" i="57"/>
  <c r="E123" i="57"/>
  <c r="F123" i="57"/>
  <c r="H123" i="57"/>
  <c r="C124" i="57"/>
  <c r="D124" i="57"/>
  <c r="E124" i="57"/>
  <c r="F124" i="57"/>
  <c r="H124" i="57"/>
  <c r="C125" i="57"/>
  <c r="D125" i="57"/>
  <c r="E125" i="57"/>
  <c r="F125" i="57"/>
  <c r="H125" i="57"/>
  <c r="C126" i="57"/>
  <c r="D126" i="57"/>
  <c r="E126" i="57"/>
  <c r="F126" i="57"/>
  <c r="H126" i="57"/>
  <c r="C127" i="57"/>
  <c r="D127" i="57"/>
  <c r="E127" i="57"/>
  <c r="F127" i="57"/>
  <c r="H127" i="57"/>
  <c r="C128" i="57"/>
  <c r="D128" i="57"/>
  <c r="E128" i="57"/>
  <c r="F128" i="57"/>
  <c r="H128" i="57"/>
  <c r="C129" i="57"/>
  <c r="D129" i="57"/>
  <c r="E129" i="57"/>
  <c r="F129" i="57"/>
  <c r="H129" i="57"/>
  <c r="C130" i="57"/>
  <c r="D130" i="57"/>
  <c r="E130" i="57"/>
  <c r="F130" i="57"/>
  <c r="H130" i="57"/>
  <c r="C131" i="57"/>
  <c r="D131" i="57"/>
  <c r="E131" i="57"/>
  <c r="F131" i="57"/>
  <c r="H131" i="57"/>
  <c r="C132" i="57"/>
  <c r="D132" i="57"/>
  <c r="E132" i="57"/>
  <c r="F132" i="57"/>
  <c r="H132" i="57"/>
  <c r="C133" i="57"/>
  <c r="D133" i="57"/>
  <c r="E133" i="57"/>
  <c r="F133" i="57"/>
  <c r="H133" i="57"/>
  <c r="C134" i="57"/>
  <c r="D134" i="57"/>
  <c r="E134" i="57"/>
  <c r="F134" i="57"/>
  <c r="H134" i="57"/>
  <c r="C135" i="57"/>
  <c r="D135" i="57"/>
  <c r="E135" i="57"/>
  <c r="F135" i="57"/>
  <c r="H135" i="57"/>
  <c r="C136" i="57"/>
  <c r="D136" i="57"/>
  <c r="E136" i="57"/>
  <c r="F136" i="57"/>
  <c r="H136" i="57"/>
  <c r="C137" i="57"/>
  <c r="D137" i="57"/>
  <c r="E137" i="57"/>
  <c r="F137" i="57"/>
  <c r="H137" i="57"/>
  <c r="C138" i="57"/>
  <c r="D138" i="57"/>
  <c r="E138" i="57"/>
  <c r="F138" i="57"/>
  <c r="H138" i="57"/>
  <c r="C139" i="57"/>
  <c r="D139" i="57"/>
  <c r="E139" i="57"/>
  <c r="F139" i="57"/>
  <c r="H139" i="57"/>
  <c r="C140" i="57"/>
  <c r="D140" i="57"/>
  <c r="E140" i="57"/>
  <c r="F140" i="57"/>
  <c r="H140" i="57"/>
  <c r="C141" i="57"/>
  <c r="D141" i="57"/>
  <c r="E141" i="57"/>
  <c r="F141" i="57"/>
  <c r="H141" i="57"/>
  <c r="C142" i="57"/>
  <c r="D142" i="57"/>
  <c r="E142" i="57"/>
  <c r="F142" i="57"/>
  <c r="H142" i="57"/>
  <c r="C143" i="57"/>
  <c r="D143" i="57"/>
  <c r="E143" i="57"/>
  <c r="F143" i="57"/>
  <c r="H143" i="57"/>
  <c r="C144" i="57"/>
  <c r="D144" i="57"/>
  <c r="E144" i="57"/>
  <c r="F144" i="57"/>
  <c r="H144" i="57"/>
  <c r="C145" i="57"/>
  <c r="D145" i="57"/>
  <c r="E145" i="57"/>
  <c r="F145" i="57"/>
  <c r="H145" i="57"/>
  <c r="C146" i="57"/>
  <c r="D146" i="57"/>
  <c r="E146" i="57"/>
  <c r="F146" i="57"/>
  <c r="H146" i="57"/>
  <c r="C147" i="57"/>
  <c r="D147" i="57"/>
  <c r="E147" i="57"/>
  <c r="F147" i="57"/>
  <c r="H147" i="57"/>
  <c r="C148" i="57"/>
  <c r="D148" i="57"/>
  <c r="E148" i="57"/>
  <c r="F148" i="57"/>
  <c r="H148" i="57"/>
  <c r="C149" i="57"/>
  <c r="D149" i="57"/>
  <c r="E149" i="57"/>
  <c r="F149" i="57"/>
  <c r="H149" i="57"/>
  <c r="C150" i="57"/>
  <c r="D150" i="57"/>
  <c r="E150" i="57"/>
  <c r="F150" i="57"/>
  <c r="H150" i="57"/>
  <c r="C151" i="57"/>
  <c r="D151" i="57"/>
  <c r="E151" i="57"/>
  <c r="F151" i="57"/>
  <c r="H151" i="57"/>
  <c r="C152" i="57"/>
  <c r="D152" i="57"/>
  <c r="E152" i="57"/>
  <c r="F152" i="57"/>
  <c r="H152" i="57"/>
  <c r="C153" i="57"/>
  <c r="D153" i="57"/>
  <c r="E153" i="57"/>
  <c r="F153" i="57"/>
  <c r="H153" i="57"/>
  <c r="C154" i="57"/>
  <c r="D154" i="57"/>
  <c r="E154" i="57"/>
  <c r="F154" i="57"/>
  <c r="H154" i="57"/>
  <c r="C155" i="57"/>
  <c r="D155" i="57"/>
  <c r="E155" i="57"/>
  <c r="F155" i="57"/>
  <c r="H155" i="57"/>
  <c r="C156" i="57"/>
  <c r="D156" i="57"/>
  <c r="E156" i="57"/>
  <c r="F156" i="57"/>
  <c r="H156" i="57"/>
  <c r="C157" i="57"/>
  <c r="D157" i="57"/>
  <c r="E157" i="57"/>
  <c r="F157" i="57"/>
  <c r="H157" i="57"/>
  <c r="C158" i="57"/>
  <c r="D158" i="57"/>
  <c r="E158" i="57"/>
  <c r="F158" i="57"/>
  <c r="H158" i="57"/>
  <c r="C159" i="57"/>
  <c r="D159" i="57"/>
  <c r="E159" i="57"/>
  <c r="F159" i="57"/>
  <c r="H159" i="57"/>
  <c r="C160" i="57"/>
  <c r="D160" i="57"/>
  <c r="E160" i="57"/>
  <c r="F160" i="57"/>
  <c r="H160" i="57"/>
  <c r="C161" i="57"/>
  <c r="D161" i="57"/>
  <c r="E161" i="57"/>
  <c r="F161" i="57"/>
  <c r="H161" i="57"/>
  <c r="C162" i="57"/>
  <c r="D162" i="57"/>
  <c r="E162" i="57"/>
  <c r="F162" i="57"/>
  <c r="H162" i="57"/>
  <c r="C163" i="57"/>
  <c r="D163" i="57"/>
  <c r="E163" i="57"/>
  <c r="F163" i="57"/>
  <c r="H163" i="57"/>
  <c r="C164" i="57"/>
  <c r="D164" i="57"/>
  <c r="E164" i="57"/>
  <c r="F164" i="57"/>
  <c r="H164" i="57"/>
  <c r="C165" i="57"/>
  <c r="D165" i="57"/>
  <c r="E165" i="57"/>
  <c r="F165" i="57"/>
  <c r="H165" i="57"/>
  <c r="C166" i="57"/>
  <c r="D166" i="57"/>
  <c r="E166" i="57"/>
  <c r="F166" i="57"/>
  <c r="H166" i="57"/>
  <c r="C167" i="57"/>
  <c r="D167" i="57"/>
  <c r="E167" i="57"/>
  <c r="F167" i="57"/>
  <c r="H167" i="57"/>
  <c r="C168" i="57"/>
  <c r="D168" i="57"/>
  <c r="E168" i="57"/>
  <c r="F168" i="57"/>
  <c r="H168" i="57"/>
  <c r="C169" i="57"/>
  <c r="D169" i="57"/>
  <c r="E169" i="57"/>
  <c r="F169" i="57"/>
  <c r="H169" i="57"/>
  <c r="C170" i="57"/>
  <c r="D170" i="57"/>
  <c r="E170" i="57"/>
  <c r="F170" i="57"/>
  <c r="H170" i="57"/>
  <c r="C171" i="57"/>
  <c r="D171" i="57"/>
  <c r="E171" i="57"/>
  <c r="F171" i="57"/>
  <c r="H171" i="57"/>
  <c r="C172" i="57"/>
  <c r="D172" i="57"/>
  <c r="E172" i="57"/>
  <c r="F172" i="57"/>
  <c r="H172" i="57"/>
  <c r="C173" i="57"/>
  <c r="D173" i="57"/>
  <c r="E173" i="57"/>
  <c r="F173" i="57"/>
  <c r="H173" i="57"/>
  <c r="C174" i="57"/>
  <c r="D174" i="57"/>
  <c r="E174" i="57"/>
  <c r="F174" i="57"/>
  <c r="H174" i="57"/>
  <c r="C175" i="57"/>
  <c r="D175" i="57"/>
  <c r="E175" i="57"/>
  <c r="F175" i="57"/>
  <c r="H175" i="57"/>
  <c r="C176" i="57"/>
  <c r="D176" i="57"/>
  <c r="E176" i="57"/>
  <c r="F176" i="57"/>
  <c r="H176" i="57"/>
  <c r="C177" i="57"/>
  <c r="D177" i="57"/>
  <c r="E177" i="57"/>
  <c r="F177" i="57"/>
  <c r="H177" i="57"/>
  <c r="C178" i="57"/>
  <c r="D178" i="57"/>
  <c r="E178" i="57"/>
  <c r="F178" i="57"/>
  <c r="H178" i="57"/>
  <c r="C179" i="57"/>
  <c r="D179" i="57"/>
  <c r="E179" i="57"/>
  <c r="F179" i="57"/>
  <c r="H179" i="57"/>
  <c r="C180" i="57"/>
  <c r="D180" i="57"/>
  <c r="E180" i="57"/>
  <c r="F180" i="57"/>
  <c r="H180" i="57"/>
  <c r="C181" i="57"/>
  <c r="D181" i="57"/>
  <c r="E181" i="57"/>
  <c r="F181" i="57"/>
  <c r="H181" i="57"/>
  <c r="C182" i="57"/>
  <c r="D182" i="57"/>
  <c r="E182" i="57"/>
  <c r="F182" i="57"/>
  <c r="H182" i="57"/>
  <c r="C183" i="57"/>
  <c r="D183" i="57"/>
  <c r="E183" i="57"/>
  <c r="F183" i="57"/>
  <c r="H183" i="57"/>
  <c r="C184" i="57"/>
  <c r="D184" i="57"/>
  <c r="E184" i="57"/>
  <c r="F184" i="57"/>
  <c r="H184" i="57"/>
  <c r="C185" i="57"/>
  <c r="D185" i="57"/>
  <c r="E185" i="57"/>
  <c r="F185" i="57"/>
  <c r="H185" i="57"/>
  <c r="C186" i="57"/>
  <c r="D186" i="57"/>
  <c r="E186" i="57"/>
  <c r="F186" i="57"/>
  <c r="H186" i="57"/>
  <c r="C187" i="57"/>
  <c r="D187" i="57"/>
  <c r="E187" i="57"/>
  <c r="F187" i="57"/>
  <c r="H187" i="57"/>
  <c r="C188" i="57"/>
  <c r="D188" i="57"/>
  <c r="E188" i="57"/>
  <c r="F188" i="57"/>
  <c r="H188" i="57"/>
  <c r="C189" i="57"/>
  <c r="D189" i="57"/>
  <c r="E189" i="57"/>
  <c r="F189" i="57"/>
  <c r="H189" i="57"/>
  <c r="H15" i="57"/>
  <c r="F15" i="57"/>
  <c r="E15" i="57"/>
  <c r="D15" i="57"/>
  <c r="C15" i="57"/>
  <c r="G20" i="55"/>
  <c r="G21" i="55"/>
  <c r="I28" i="53"/>
  <c r="I21" i="55"/>
  <c r="G22" i="55"/>
  <c r="I56" i="55"/>
  <c r="I55" i="55"/>
  <c r="I54" i="55"/>
  <c r="I53" i="55"/>
  <c r="I52" i="55"/>
  <c r="I51" i="55"/>
  <c r="I50" i="55"/>
  <c r="I49" i="55"/>
  <c r="I48" i="55"/>
  <c r="I47" i="55"/>
  <c r="I46" i="55"/>
  <c r="I45" i="55"/>
  <c r="I44" i="55"/>
  <c r="I43" i="55"/>
  <c r="I42" i="55"/>
  <c r="I41" i="55"/>
  <c r="I40" i="55"/>
  <c r="I39" i="55"/>
  <c r="I38" i="55"/>
  <c r="I37" i="55"/>
  <c r="I36" i="55"/>
  <c r="I35" i="55"/>
  <c r="I34" i="55"/>
  <c r="I33" i="55"/>
  <c r="I32" i="55"/>
  <c r="I31" i="55"/>
  <c r="I30" i="55"/>
  <c r="I29" i="55"/>
  <c r="I28" i="55"/>
  <c r="I27" i="55"/>
  <c r="I26" i="55"/>
  <c r="I25" i="55"/>
  <c r="I24" i="55"/>
  <c r="I23" i="55"/>
  <c r="I22" i="55"/>
  <c r="I57" i="53"/>
  <c r="I56" i="53"/>
  <c r="I55" i="53"/>
  <c r="I54" i="53"/>
  <c r="I53" i="53"/>
  <c r="I52" i="53"/>
  <c r="I51" i="53"/>
  <c r="I50" i="53"/>
  <c r="I49" i="53"/>
  <c r="I48" i="53"/>
  <c r="I47" i="53"/>
  <c r="I46" i="53"/>
  <c r="I45" i="53"/>
  <c r="I44" i="53"/>
  <c r="I43" i="53"/>
  <c r="I42" i="53"/>
  <c r="I41" i="53"/>
  <c r="I40" i="53"/>
  <c r="I39" i="53"/>
  <c r="I38" i="53"/>
  <c r="I37" i="53"/>
  <c r="I36" i="53"/>
  <c r="I35" i="53"/>
  <c r="I34" i="53"/>
  <c r="I33" i="53"/>
  <c r="I32" i="53"/>
  <c r="I31" i="53"/>
  <c r="I30" i="53"/>
  <c r="I29" i="53"/>
  <c r="I27" i="53"/>
  <c r="G38" i="57" l="1"/>
  <c r="G47" i="57"/>
  <c r="I63" i="57"/>
  <c r="I48" i="57"/>
  <c r="I30" i="57"/>
  <c r="G113" i="57"/>
  <c r="G77" i="57"/>
  <c r="I65" i="57"/>
  <c r="G37" i="57"/>
  <c r="G31" i="57"/>
  <c r="I56" i="57"/>
  <c r="I104" i="57"/>
  <c r="I80" i="57"/>
  <c r="G19" i="57"/>
  <c r="I50" i="57"/>
  <c r="I44" i="57"/>
  <c r="G97" i="57"/>
  <c r="G112" i="57"/>
  <c r="I149" i="57"/>
  <c r="I161" i="57"/>
  <c r="G81" i="57"/>
  <c r="I128" i="57"/>
  <c r="I134" i="57"/>
  <c r="G183" i="57"/>
  <c r="G177" i="57"/>
  <c r="I173" i="57"/>
  <c r="I167" i="57"/>
  <c r="I141" i="57"/>
  <c r="I135" i="57"/>
  <c r="I59" i="57"/>
  <c r="I47" i="57"/>
  <c r="I17" i="57"/>
  <c r="G176" i="57"/>
  <c r="G184" i="57"/>
  <c r="G178" i="57"/>
  <c r="G173" i="57"/>
  <c r="G160" i="57"/>
  <c r="G130" i="57"/>
  <c r="G124" i="57"/>
  <c r="G118" i="57"/>
  <c r="G104" i="57"/>
  <c r="G86" i="57"/>
  <c r="G121" i="57"/>
  <c r="G115" i="57"/>
  <c r="G100" i="57"/>
  <c r="G82" i="57"/>
  <c r="G170" i="57"/>
  <c r="G142" i="57"/>
  <c r="I187" i="57"/>
  <c r="I166" i="57"/>
  <c r="I81" i="57"/>
  <c r="I34" i="57"/>
  <c r="I188" i="57"/>
  <c r="G182" i="57"/>
  <c r="I174" i="57"/>
  <c r="G167" i="57"/>
  <c r="G161" i="57"/>
  <c r="G152" i="57"/>
  <c r="G138" i="57"/>
  <c r="G131" i="57"/>
  <c r="I111" i="57"/>
  <c r="I105" i="57"/>
  <c r="I88" i="57"/>
  <c r="I86" i="57"/>
  <c r="I82" i="57"/>
  <c r="I74" i="57"/>
  <c r="G72" i="57"/>
  <c r="G66" i="57"/>
  <c r="G53" i="57"/>
  <c r="G29" i="57"/>
  <c r="G23" i="57"/>
  <c r="G164" i="57"/>
  <c r="G148" i="57"/>
  <c r="G141" i="57"/>
  <c r="I177" i="57"/>
  <c r="I176" i="57"/>
  <c r="I160" i="57"/>
  <c r="I110" i="57"/>
  <c r="I40" i="57"/>
  <c r="I93" i="57"/>
  <c r="G88" i="57"/>
  <c r="I87" i="57"/>
  <c r="I62" i="57"/>
  <c r="G30" i="57"/>
  <c r="G155" i="57"/>
  <c r="G89" i="57"/>
  <c r="G69" i="57"/>
  <c r="I129" i="57"/>
  <c r="G90" i="57"/>
  <c r="G76" i="57"/>
  <c r="G63" i="57"/>
  <c r="G45" i="57"/>
  <c r="I27" i="57"/>
  <c r="I170" i="57"/>
  <c r="I89" i="57"/>
  <c r="I83" i="57"/>
  <c r="I45" i="57"/>
  <c r="G179" i="57"/>
  <c r="I171" i="57"/>
  <c r="I158" i="57"/>
  <c r="G156" i="57"/>
  <c r="G150" i="57"/>
  <c r="G149" i="57"/>
  <c r="G143" i="57"/>
  <c r="G136" i="57"/>
  <c r="G135" i="57"/>
  <c r="I131" i="57"/>
  <c r="I130" i="57"/>
  <c r="G125" i="57"/>
  <c r="G119" i="57"/>
  <c r="G101" i="57"/>
  <c r="G94" i="57"/>
  <c r="G74" i="57"/>
  <c r="G59" i="57"/>
  <c r="G51" i="57"/>
  <c r="I41" i="57"/>
  <c r="G35" i="57"/>
  <c r="G21" i="57"/>
  <c r="I183" i="57"/>
  <c r="I182" i="57"/>
  <c r="G181" i="57"/>
  <c r="G180" i="57"/>
  <c r="I164" i="57"/>
  <c r="I159" i="57"/>
  <c r="G144" i="57"/>
  <c r="G137" i="57"/>
  <c r="G102" i="57"/>
  <c r="G96" i="57"/>
  <c r="G95" i="57"/>
  <c r="I58" i="57"/>
  <c r="I52" i="57"/>
  <c r="G36" i="57"/>
  <c r="I22" i="57"/>
  <c r="I18" i="57"/>
  <c r="G153" i="57"/>
  <c r="G146" i="57"/>
  <c r="I142" i="57"/>
  <c r="I116" i="57"/>
  <c r="G106" i="57"/>
  <c r="G98" i="57"/>
  <c r="G83" i="57"/>
  <c r="I77" i="57"/>
  <c r="I70" i="57"/>
  <c r="I66" i="57"/>
  <c r="G54" i="57"/>
  <c r="G48" i="57"/>
  <c r="I38" i="57"/>
  <c r="I32" i="57"/>
  <c r="I26" i="57"/>
  <c r="G24" i="57"/>
  <c r="G17" i="57"/>
  <c r="G185" i="57"/>
  <c r="I178" i="57"/>
  <c r="I186" i="57"/>
  <c r="I180" i="57"/>
  <c r="I179" i="57"/>
  <c r="I168" i="57"/>
  <c r="G154" i="57"/>
  <c r="G147" i="57"/>
  <c r="I143" i="57"/>
  <c r="G140" i="57"/>
  <c r="I136" i="57"/>
  <c r="G133" i="57"/>
  <c r="I117" i="57"/>
  <c r="I113" i="57"/>
  <c r="I112" i="57"/>
  <c r="G107" i="57"/>
  <c r="G99" i="57"/>
  <c r="I95" i="57"/>
  <c r="I92" i="57"/>
  <c r="G71" i="57"/>
  <c r="G65" i="57"/>
  <c r="G56" i="57"/>
  <c r="G55" i="57"/>
  <c r="G41" i="57"/>
  <c r="G33" i="57"/>
  <c r="I29" i="57"/>
  <c r="G26" i="57"/>
  <c r="G103" i="57"/>
  <c r="G60" i="57"/>
  <c r="G57" i="57"/>
  <c r="G42" i="57"/>
  <c r="G25" i="57"/>
  <c r="I185" i="57"/>
  <c r="I184" i="57"/>
  <c r="I172" i="57"/>
  <c r="G171" i="57"/>
  <c r="G169" i="57"/>
  <c r="G168" i="57"/>
  <c r="G159" i="57"/>
  <c r="G158" i="57"/>
  <c r="I148" i="57"/>
  <c r="I147" i="57"/>
  <c r="I140" i="57"/>
  <c r="G127" i="57"/>
  <c r="I119" i="57"/>
  <c r="I118" i="57"/>
  <c r="G109" i="57"/>
  <c r="I94" i="57"/>
  <c r="G84" i="57"/>
  <c r="G80" i="57"/>
  <c r="G79" i="57"/>
  <c r="G75" i="57"/>
  <c r="G62" i="57"/>
  <c r="G61" i="57"/>
  <c r="I53" i="57"/>
  <c r="I51" i="57"/>
  <c r="G44" i="57"/>
  <c r="G43" i="57"/>
  <c r="I35" i="57"/>
  <c r="I33" i="57"/>
  <c r="G18" i="57"/>
  <c r="G162" i="57"/>
  <c r="G126" i="57"/>
  <c r="G122" i="57"/>
  <c r="G78" i="57"/>
  <c r="G39" i="57"/>
  <c r="I189" i="57"/>
  <c r="G175" i="57"/>
  <c r="G174" i="57"/>
  <c r="I155" i="57"/>
  <c r="I154" i="57"/>
  <c r="I153" i="57"/>
  <c r="I152" i="57"/>
  <c r="I146" i="57"/>
  <c r="G132" i="57"/>
  <c r="G129" i="57"/>
  <c r="G128" i="57"/>
  <c r="G114" i="57"/>
  <c r="G111" i="57"/>
  <c r="G110" i="57"/>
  <c r="I101" i="57"/>
  <c r="I100" i="57"/>
  <c r="I99" i="57"/>
  <c r="I98" i="57"/>
  <c r="G85" i="57"/>
  <c r="I71" i="57"/>
  <c r="I69" i="57"/>
  <c r="I68" i="57"/>
  <c r="I64" i="57"/>
  <c r="I54" i="57"/>
  <c r="I46" i="57"/>
  <c r="I36" i="57"/>
  <c r="I28" i="57"/>
  <c r="G27" i="57"/>
  <c r="I23" i="57"/>
  <c r="I21" i="57"/>
  <c r="I20" i="57"/>
  <c r="I16" i="57"/>
  <c r="G165" i="57"/>
  <c r="G157" i="57"/>
  <c r="G123" i="57"/>
  <c r="G108" i="57"/>
  <c r="I165" i="57"/>
  <c r="I162" i="57"/>
  <c r="I137" i="57"/>
  <c r="I125" i="57"/>
  <c r="I124" i="57"/>
  <c r="I123" i="57"/>
  <c r="I122" i="57"/>
  <c r="I107" i="57"/>
  <c r="I106" i="57"/>
  <c r="G91" i="57"/>
  <c r="G87" i="57"/>
  <c r="I72" i="57"/>
  <c r="G68" i="57"/>
  <c r="G67" i="57"/>
  <c r="I57" i="57"/>
  <c r="G50" i="57"/>
  <c r="G49" i="57"/>
  <c r="I39" i="57"/>
  <c r="G32" i="57"/>
  <c r="I24" i="57"/>
  <c r="G20" i="57"/>
  <c r="G163" i="57"/>
  <c r="G105" i="57"/>
  <c r="G73" i="57"/>
  <c r="G189" i="57"/>
  <c r="G188" i="57"/>
  <c r="G187" i="57"/>
  <c r="G186" i="57"/>
  <c r="G151" i="57"/>
  <c r="G145" i="57"/>
  <c r="G139" i="57"/>
  <c r="G134" i="57"/>
  <c r="G120" i="57"/>
  <c r="G117" i="57"/>
  <c r="G116" i="57"/>
  <c r="G93" i="57"/>
  <c r="G92" i="57"/>
  <c r="I76" i="57"/>
  <c r="I75" i="57"/>
  <c r="I60" i="57"/>
  <c r="I42" i="57"/>
  <c r="G172" i="57"/>
  <c r="G166" i="57"/>
  <c r="G70" i="57"/>
  <c r="G64" i="57"/>
  <c r="G58" i="57"/>
  <c r="G52" i="57"/>
  <c r="G46" i="57"/>
  <c r="G40" i="57"/>
  <c r="G34" i="57"/>
  <c r="G28" i="57"/>
  <c r="G22" i="57"/>
  <c r="G16" i="57"/>
  <c r="I181" i="57"/>
  <c r="I175" i="57"/>
  <c r="I169" i="57"/>
  <c r="I163" i="57"/>
  <c r="I157" i="57"/>
  <c r="I151" i="57"/>
  <c r="I145" i="57"/>
  <c r="I139" i="57"/>
  <c r="I133" i="57"/>
  <c r="I127" i="57"/>
  <c r="I121" i="57"/>
  <c r="I115" i="57"/>
  <c r="I109" i="57"/>
  <c r="I103" i="57"/>
  <c r="I97" i="57"/>
  <c r="I91" i="57"/>
  <c r="I85" i="57"/>
  <c r="I79" i="57"/>
  <c r="I73" i="57"/>
  <c r="I67" i="57"/>
  <c r="I61" i="57"/>
  <c r="I55" i="57"/>
  <c r="I49" i="57"/>
  <c r="I43" i="57"/>
  <c r="I37" i="57"/>
  <c r="I31" i="57"/>
  <c r="I25" i="57"/>
  <c r="I19" i="57"/>
  <c r="I156" i="57"/>
  <c r="I150" i="57"/>
  <c r="I144" i="57"/>
  <c r="I138" i="57"/>
  <c r="I132" i="57"/>
  <c r="I126" i="57"/>
  <c r="I120" i="57"/>
  <c r="I114" i="57"/>
  <c r="I108" i="57"/>
  <c r="I102" i="57"/>
  <c r="I96" i="57"/>
  <c r="I90" i="57"/>
  <c r="I84" i="57"/>
  <c r="I78" i="57"/>
  <c r="I20" i="55"/>
  <c r="G16" i="55" l="1"/>
  <c r="G18" i="55"/>
  <c r="I18" i="55"/>
  <c r="G19" i="55"/>
  <c r="I19" i="55"/>
  <c r="I16" i="55" l="1"/>
  <c r="G17" i="55"/>
  <c r="I17" i="55"/>
  <c r="G15" i="55"/>
  <c r="I15" i="55"/>
  <c r="E59" i="55" l="1"/>
  <c r="I57" i="55"/>
  <c r="I60" i="55" s="1"/>
  <c r="I61" i="55" s="1"/>
  <c r="I63" i="55" s="1"/>
  <c r="E58" i="55"/>
  <c r="E60" i="55" l="1"/>
  <c r="I15" i="57" l="1"/>
  <c r="I206" i="57" s="1"/>
  <c r="G15" i="57"/>
  <c r="E208" i="57" l="1"/>
  <c r="E207" i="57"/>
  <c r="E209" i="57" l="1"/>
  <c r="I209" i="57"/>
  <c r="I210" i="57" s="1"/>
  <c r="I212" i="57" s="1"/>
  <c r="H16" i="58" l="1"/>
  <c r="H17" i="58"/>
  <c r="H19" i="58"/>
  <c r="H20" i="58"/>
  <c r="H21" i="58"/>
  <c r="H22" i="58"/>
  <c r="H23" i="58"/>
  <c r="H27" i="58"/>
  <c r="H29" i="58"/>
  <c r="H31" i="58"/>
  <c r="H32" i="58"/>
  <c r="H33" i="58"/>
  <c r="H34" i="58"/>
  <c r="H40" i="58"/>
  <c r="H47" i="58"/>
  <c r="H50" i="58"/>
  <c r="H54" i="58"/>
  <c r="H55" i="58"/>
  <c r="H56" i="58"/>
  <c r="H60" i="58"/>
  <c r="H61" i="58"/>
  <c r="H62" i="58"/>
  <c r="H64" i="58"/>
  <c r="H65" i="58"/>
  <c r="H66" i="58"/>
  <c r="H68" i="58"/>
  <c r="H69" i="58"/>
  <c r="H82" i="58"/>
  <c r="H83" i="58"/>
  <c r="H85" i="58"/>
  <c r="H87" i="58"/>
  <c r="H88" i="58"/>
  <c r="H89" i="58"/>
  <c r="H91" i="58"/>
  <c r="H92" i="58"/>
  <c r="H93" i="58"/>
  <c r="H94" i="58"/>
  <c r="H95" i="58"/>
  <c r="H97" i="58"/>
  <c r="H98" i="58"/>
  <c r="H99" i="58"/>
  <c r="H100" i="58"/>
  <c r="H103" i="58"/>
  <c r="H104" i="58"/>
  <c r="H105" i="58"/>
  <c r="H106" i="58"/>
  <c r="H107" i="58"/>
  <c r="H109" i="58"/>
  <c r="H112" i="58"/>
  <c r="H113" i="58"/>
  <c r="H115" i="58"/>
  <c r="H119" i="58"/>
  <c r="H120" i="58"/>
  <c r="H122" i="58"/>
  <c r="H124" i="58"/>
  <c r="H125" i="58"/>
  <c r="H126" i="58"/>
  <c r="H127" i="58"/>
  <c r="H132" i="58"/>
  <c r="H133" i="58"/>
  <c r="H138" i="58"/>
  <c r="H144" i="58"/>
  <c r="H146" i="58"/>
  <c r="H149" i="58"/>
  <c r="H150" i="58"/>
  <c r="H151" i="58"/>
  <c r="H152" i="58"/>
  <c r="H153" i="58"/>
  <c r="H154" i="58"/>
  <c r="H158" i="58"/>
  <c r="H159" i="58"/>
  <c r="H161" i="58"/>
  <c r="H162" i="58"/>
  <c r="H163" i="58"/>
  <c r="H165" i="58"/>
  <c r="H167" i="58"/>
  <c r="H168" i="58"/>
  <c r="H176" i="58"/>
  <c r="H182" i="58"/>
  <c r="H183" i="58"/>
  <c r="H184" i="58"/>
  <c r="H186" i="58"/>
  <c r="H188" i="58"/>
  <c r="H191" i="58"/>
  <c r="H192" i="58"/>
  <c r="H193" i="58"/>
  <c r="H194" i="58"/>
  <c r="H195" i="58"/>
  <c r="H196" i="58"/>
  <c r="H197" i="58"/>
  <c r="H198" i="58"/>
  <c r="H199" i="58"/>
  <c r="H200" i="58"/>
  <c r="H204" i="58"/>
  <c r="H211" i="58"/>
  <c r="H215" i="58"/>
  <c r="H216" i="58"/>
  <c r="H221" i="58"/>
  <c r="H222" i="58"/>
  <c r="H226" i="58"/>
  <c r="H227" i="58"/>
  <c r="H235" i="58"/>
  <c r="H238" i="58"/>
  <c r="H239" i="58"/>
  <c r="H242" i="58"/>
  <c r="H243" i="58"/>
  <c r="H249" i="58"/>
  <c r="H251" i="58"/>
  <c r="H252" i="58"/>
  <c r="H253" i="58"/>
  <c r="H254" i="58"/>
  <c r="H255" i="58"/>
  <c r="H257" i="58"/>
  <c r="H259" i="58"/>
  <c r="H260" i="58"/>
  <c r="H261" i="58"/>
  <c r="H270" i="58"/>
  <c r="H271" i="58"/>
  <c r="H272" i="58"/>
  <c r="H275" i="58"/>
  <c r="H278" i="58"/>
  <c r="H280" i="58"/>
  <c r="H282" i="58"/>
  <c r="H296" i="58"/>
  <c r="H297" i="58"/>
  <c r="H299" i="58"/>
  <c r="H300" i="58"/>
  <c r="H301" i="58"/>
  <c r="H302" i="58"/>
  <c r="H303" i="58"/>
  <c r="H304" i="58"/>
  <c r="H305" i="58"/>
  <c r="H306" i="58"/>
  <c r="H307" i="58"/>
  <c r="H311" i="58"/>
  <c r="H312" i="58"/>
  <c r="H313" i="58"/>
  <c r="H314" i="58"/>
  <c r="H315" i="58"/>
  <c r="H316" i="58"/>
  <c r="H317" i="58"/>
  <c r="H318" i="58"/>
  <c r="H320" i="58"/>
  <c r="H321" i="58"/>
  <c r="H322" i="58"/>
  <c r="H327" i="58"/>
  <c r="H328" i="58"/>
  <c r="H329" i="58"/>
  <c r="H334" i="58"/>
  <c r="H335" i="58"/>
  <c r="H341" i="58"/>
  <c r="H342" i="58"/>
  <c r="H343" i="58"/>
  <c r="H344" i="58"/>
  <c r="H345" i="58"/>
  <c r="H346" i="58"/>
  <c r="H347" i="58"/>
  <c r="H348" i="58"/>
  <c r="H349" i="58"/>
  <c r="H350" i="58"/>
  <c r="H351" i="58"/>
  <c r="H352" i="58"/>
  <c r="H353" i="58"/>
  <c r="H356" i="58"/>
  <c r="H357" i="58"/>
  <c r="H361" i="58"/>
  <c r="H364" i="58"/>
  <c r="H365" i="58"/>
  <c r="H368" i="58"/>
  <c r="H369" i="58"/>
  <c r="H371" i="58"/>
  <c r="H377" i="58"/>
  <c r="H383" i="58"/>
  <c r="H384" i="58"/>
  <c r="F16" i="58"/>
  <c r="F17" i="58"/>
  <c r="F19" i="58"/>
  <c r="F20" i="58"/>
  <c r="F21" i="58"/>
  <c r="F22" i="58"/>
  <c r="F23" i="58"/>
  <c r="F27" i="58"/>
  <c r="F29" i="58"/>
  <c r="F31" i="58"/>
  <c r="F32" i="58"/>
  <c r="F33" i="58"/>
  <c r="F34" i="58"/>
  <c r="F40" i="58"/>
  <c r="F47" i="58"/>
  <c r="F50" i="58"/>
  <c r="F54" i="58"/>
  <c r="F55" i="58"/>
  <c r="F56" i="58"/>
  <c r="F60" i="58"/>
  <c r="F61" i="58"/>
  <c r="F62" i="58"/>
  <c r="F64" i="58"/>
  <c r="F65" i="58"/>
  <c r="F66" i="58"/>
  <c r="F68" i="58"/>
  <c r="F69" i="58"/>
  <c r="F82" i="58"/>
  <c r="F83" i="58"/>
  <c r="F85" i="58"/>
  <c r="F87" i="58"/>
  <c r="F88" i="58"/>
  <c r="F89" i="58"/>
  <c r="F91" i="58"/>
  <c r="F92" i="58"/>
  <c r="F93" i="58"/>
  <c r="F94" i="58"/>
  <c r="F95" i="58"/>
  <c r="F97" i="58"/>
  <c r="F98" i="58"/>
  <c r="F99" i="58"/>
  <c r="F100" i="58"/>
  <c r="F103" i="58"/>
  <c r="F104" i="58"/>
  <c r="F105" i="58"/>
  <c r="F106" i="58"/>
  <c r="F107" i="58"/>
  <c r="F109" i="58"/>
  <c r="F112" i="58"/>
  <c r="F113" i="58"/>
  <c r="F115" i="58"/>
  <c r="F119" i="58"/>
  <c r="F120" i="58"/>
  <c r="F122" i="58"/>
  <c r="F124" i="58"/>
  <c r="F125" i="58"/>
  <c r="F126" i="58"/>
  <c r="F127" i="58"/>
  <c r="F132" i="58"/>
  <c r="F133" i="58"/>
  <c r="F138" i="58"/>
  <c r="F144" i="58"/>
  <c r="F146" i="58"/>
  <c r="F149" i="58"/>
  <c r="F150" i="58"/>
  <c r="F151" i="58"/>
  <c r="F152" i="58"/>
  <c r="F153" i="58"/>
  <c r="F154" i="58"/>
  <c r="F158" i="58"/>
  <c r="F159" i="58"/>
  <c r="F161" i="58"/>
  <c r="F162" i="58"/>
  <c r="F163" i="58"/>
  <c r="F165" i="58"/>
  <c r="F167" i="58"/>
  <c r="F168" i="58"/>
  <c r="F176" i="58"/>
  <c r="F182" i="58"/>
  <c r="F183" i="58"/>
  <c r="F184" i="58"/>
  <c r="F186" i="58"/>
  <c r="F188" i="58"/>
  <c r="F191" i="58"/>
  <c r="F192" i="58"/>
  <c r="F193" i="58"/>
  <c r="F194" i="58"/>
  <c r="F195" i="58"/>
  <c r="F196" i="58"/>
  <c r="F197" i="58"/>
  <c r="F198" i="58"/>
  <c r="F199" i="58"/>
  <c r="F200" i="58"/>
  <c r="F204" i="58"/>
  <c r="F211" i="58"/>
  <c r="F215" i="58"/>
  <c r="F216" i="58"/>
  <c r="F221" i="58"/>
  <c r="F222" i="58"/>
  <c r="F226" i="58"/>
  <c r="F227" i="58"/>
  <c r="F235" i="58"/>
  <c r="F238" i="58"/>
  <c r="F239" i="58"/>
  <c r="F242" i="58"/>
  <c r="F243" i="58"/>
  <c r="F249" i="58"/>
  <c r="F251" i="58"/>
  <c r="F252" i="58"/>
  <c r="F253" i="58"/>
  <c r="F254" i="58"/>
  <c r="F255" i="58"/>
  <c r="F257" i="58"/>
  <c r="F259" i="58"/>
  <c r="F260" i="58"/>
  <c r="F261" i="58"/>
  <c r="F270" i="58"/>
  <c r="F271" i="58"/>
  <c r="F272" i="58"/>
  <c r="F275" i="58"/>
  <c r="F278" i="58"/>
  <c r="F280" i="58"/>
  <c r="F282" i="58"/>
  <c r="F296" i="58"/>
  <c r="F297" i="58"/>
  <c r="F299" i="58"/>
  <c r="F300" i="58"/>
  <c r="F301" i="58"/>
  <c r="F302" i="58"/>
  <c r="F303" i="58"/>
  <c r="F304" i="58"/>
  <c r="F305" i="58"/>
  <c r="F306" i="58"/>
  <c r="F307" i="58"/>
  <c r="F311" i="58"/>
  <c r="F312" i="58"/>
  <c r="F313" i="58"/>
  <c r="F314" i="58"/>
  <c r="F315" i="58"/>
  <c r="F316" i="58"/>
  <c r="F317" i="58"/>
  <c r="F318" i="58"/>
  <c r="F320" i="58"/>
  <c r="F321" i="58"/>
  <c r="F322" i="58"/>
  <c r="F327" i="58"/>
  <c r="F328" i="58"/>
  <c r="F329" i="58"/>
  <c r="F334" i="58"/>
  <c r="F335" i="58"/>
  <c r="F341" i="58"/>
  <c r="F342" i="58"/>
  <c r="F343" i="58"/>
  <c r="F344" i="58"/>
  <c r="F345" i="58"/>
  <c r="F346" i="58"/>
  <c r="F347" i="58"/>
  <c r="F348" i="58"/>
  <c r="F349" i="58"/>
  <c r="F350" i="58"/>
  <c r="F351" i="58"/>
  <c r="F352" i="58"/>
  <c r="F353" i="58"/>
  <c r="F356" i="58"/>
  <c r="F357" i="58"/>
  <c r="F361" i="58"/>
  <c r="F364" i="58"/>
  <c r="F365" i="58"/>
  <c r="F368" i="58"/>
  <c r="F369" i="58"/>
  <c r="F371" i="58"/>
  <c r="F377" i="58"/>
  <c r="F383" i="58"/>
  <c r="F384" i="58"/>
  <c r="D16" i="58"/>
  <c r="D17" i="58"/>
  <c r="D19" i="58"/>
  <c r="D20" i="58"/>
  <c r="D21" i="58"/>
  <c r="D22" i="58"/>
  <c r="D23" i="58"/>
  <c r="D27" i="58"/>
  <c r="D29" i="58"/>
  <c r="D31" i="58"/>
  <c r="D32" i="58"/>
  <c r="D33" i="58"/>
  <c r="D34" i="58"/>
  <c r="D40" i="58"/>
  <c r="D47" i="58"/>
  <c r="D50" i="58"/>
  <c r="D54" i="58"/>
  <c r="D55" i="58"/>
  <c r="D56" i="58"/>
  <c r="D60" i="58"/>
  <c r="D61" i="58"/>
  <c r="D62" i="58"/>
  <c r="D64" i="58"/>
  <c r="D65" i="58"/>
  <c r="D66" i="58"/>
  <c r="D68" i="58"/>
  <c r="D69" i="58"/>
  <c r="D82" i="58"/>
  <c r="D83" i="58"/>
  <c r="D85" i="58"/>
  <c r="D87" i="58"/>
  <c r="D88" i="58"/>
  <c r="D89" i="58"/>
  <c r="D91" i="58"/>
  <c r="D92" i="58"/>
  <c r="D93" i="58"/>
  <c r="D94" i="58"/>
  <c r="D95" i="58"/>
  <c r="D97" i="58"/>
  <c r="D98" i="58"/>
  <c r="D99" i="58"/>
  <c r="D100" i="58"/>
  <c r="D103" i="58"/>
  <c r="D104" i="58"/>
  <c r="D105" i="58"/>
  <c r="D106" i="58"/>
  <c r="D107" i="58"/>
  <c r="D109" i="58"/>
  <c r="D112" i="58"/>
  <c r="D113" i="58"/>
  <c r="D115" i="58"/>
  <c r="D119" i="58"/>
  <c r="D120" i="58"/>
  <c r="D122" i="58"/>
  <c r="D124" i="58"/>
  <c r="D125" i="58"/>
  <c r="D126" i="58"/>
  <c r="D127" i="58"/>
  <c r="D132" i="58"/>
  <c r="D133" i="58"/>
  <c r="D138" i="58"/>
  <c r="D144" i="58"/>
  <c r="D146" i="58"/>
  <c r="D149" i="58"/>
  <c r="D150" i="58"/>
  <c r="D151" i="58"/>
  <c r="D152" i="58"/>
  <c r="D153" i="58"/>
  <c r="D154" i="58"/>
  <c r="D158" i="58"/>
  <c r="D159" i="58"/>
  <c r="D161" i="58"/>
  <c r="D162" i="58"/>
  <c r="D163" i="58"/>
  <c r="D165" i="58"/>
  <c r="D167" i="58"/>
  <c r="D168" i="58"/>
  <c r="D176" i="58"/>
  <c r="D182" i="58"/>
  <c r="D183" i="58"/>
  <c r="D184" i="58"/>
  <c r="D186" i="58"/>
  <c r="D188" i="58"/>
  <c r="D191" i="58"/>
  <c r="D192" i="58"/>
  <c r="D193" i="58"/>
  <c r="D194" i="58"/>
  <c r="D195" i="58"/>
  <c r="D196" i="58"/>
  <c r="D197" i="58"/>
  <c r="D198" i="58"/>
  <c r="D199" i="58"/>
  <c r="D200" i="58"/>
  <c r="D204" i="58"/>
  <c r="D211" i="58"/>
  <c r="D215" i="58"/>
  <c r="D216" i="58"/>
  <c r="D221" i="58"/>
  <c r="D222" i="58"/>
  <c r="D226" i="58"/>
  <c r="D227" i="58"/>
  <c r="D235" i="58"/>
  <c r="D238" i="58"/>
  <c r="D239" i="58"/>
  <c r="D242" i="58"/>
  <c r="D243" i="58"/>
  <c r="D249" i="58"/>
  <c r="D251" i="58"/>
  <c r="D252" i="58"/>
  <c r="D253" i="58"/>
  <c r="D254" i="58"/>
  <c r="D255" i="58"/>
  <c r="D257" i="58"/>
  <c r="D259" i="58"/>
  <c r="D260" i="58"/>
  <c r="D261" i="58"/>
  <c r="D270" i="58"/>
  <c r="D271" i="58"/>
  <c r="D272" i="58"/>
  <c r="D275" i="58"/>
  <c r="D278" i="58"/>
  <c r="D280" i="58"/>
  <c r="D282" i="58"/>
  <c r="D296" i="58"/>
  <c r="D297" i="58"/>
  <c r="D299" i="58"/>
  <c r="D300" i="58"/>
  <c r="D301" i="58"/>
  <c r="D302" i="58"/>
  <c r="D303" i="58"/>
  <c r="D304" i="58"/>
  <c r="D305" i="58"/>
  <c r="D306" i="58"/>
  <c r="D307" i="58"/>
  <c r="D311" i="58"/>
  <c r="D312" i="58"/>
  <c r="D313" i="58"/>
  <c r="D314" i="58"/>
  <c r="D315" i="58"/>
  <c r="D316" i="58"/>
  <c r="D317" i="58"/>
  <c r="D318" i="58"/>
  <c r="D320" i="58"/>
  <c r="D321" i="58"/>
  <c r="D322" i="58"/>
  <c r="D327" i="58"/>
  <c r="D328" i="58"/>
  <c r="D329" i="58"/>
  <c r="D334" i="58"/>
  <c r="D335" i="58"/>
  <c r="D341" i="58"/>
  <c r="D342" i="58"/>
  <c r="D343" i="58"/>
  <c r="D344" i="58"/>
  <c r="D345" i="58"/>
  <c r="D346" i="58"/>
  <c r="D347" i="58"/>
  <c r="D348" i="58"/>
  <c r="D349" i="58"/>
  <c r="D350" i="58"/>
  <c r="D351" i="58"/>
  <c r="D352" i="58"/>
  <c r="D353" i="58"/>
  <c r="D356" i="58"/>
  <c r="D357" i="58"/>
  <c r="D361" i="58"/>
  <c r="D364" i="58"/>
  <c r="D365" i="58"/>
  <c r="D368" i="58"/>
  <c r="D369" i="58"/>
  <c r="D371" i="58"/>
  <c r="D377" i="58"/>
  <c r="D383" i="58"/>
  <c r="D384" i="58"/>
  <c r="C16" i="58"/>
  <c r="C17" i="58"/>
  <c r="C19" i="58"/>
  <c r="C20" i="58"/>
  <c r="C21" i="58"/>
  <c r="C22" i="58"/>
  <c r="C23" i="58"/>
  <c r="C27" i="58"/>
  <c r="C29" i="58"/>
  <c r="C31" i="58"/>
  <c r="C32" i="58"/>
  <c r="C33" i="58"/>
  <c r="C34" i="58"/>
  <c r="C40" i="58"/>
  <c r="C47" i="58"/>
  <c r="C50" i="58"/>
  <c r="C54" i="58"/>
  <c r="C55" i="58"/>
  <c r="C56" i="58"/>
  <c r="C60" i="58"/>
  <c r="C61" i="58"/>
  <c r="C62" i="58"/>
  <c r="C64" i="58"/>
  <c r="C65" i="58"/>
  <c r="C66" i="58"/>
  <c r="C68" i="58"/>
  <c r="C69" i="58"/>
  <c r="C82" i="58"/>
  <c r="C83" i="58"/>
  <c r="C85" i="58"/>
  <c r="C87" i="58"/>
  <c r="C88" i="58"/>
  <c r="C89" i="58"/>
  <c r="C91" i="58"/>
  <c r="C92" i="58"/>
  <c r="C93" i="58"/>
  <c r="C94" i="58"/>
  <c r="C95" i="58"/>
  <c r="C97" i="58"/>
  <c r="C98" i="58"/>
  <c r="C99" i="58"/>
  <c r="C100" i="58"/>
  <c r="C103" i="58"/>
  <c r="C104" i="58"/>
  <c r="C105" i="58"/>
  <c r="C106" i="58"/>
  <c r="C107" i="58"/>
  <c r="C109" i="58"/>
  <c r="C112" i="58"/>
  <c r="C113" i="58"/>
  <c r="C115" i="58"/>
  <c r="C119" i="58"/>
  <c r="C120" i="58"/>
  <c r="C122" i="58"/>
  <c r="C124" i="58"/>
  <c r="C125" i="58"/>
  <c r="C126" i="58"/>
  <c r="C127" i="58"/>
  <c r="C132" i="58"/>
  <c r="C133" i="58"/>
  <c r="C138" i="58"/>
  <c r="C144" i="58"/>
  <c r="C146" i="58"/>
  <c r="C149" i="58"/>
  <c r="C150" i="58"/>
  <c r="C151" i="58"/>
  <c r="C152" i="58"/>
  <c r="C153" i="58"/>
  <c r="C154" i="58"/>
  <c r="C158" i="58"/>
  <c r="C159" i="58"/>
  <c r="C161" i="58"/>
  <c r="C162" i="58"/>
  <c r="C163" i="58"/>
  <c r="C165" i="58"/>
  <c r="C167" i="58"/>
  <c r="C168" i="58"/>
  <c r="C176" i="58"/>
  <c r="C182" i="58"/>
  <c r="C183" i="58"/>
  <c r="C184" i="58"/>
  <c r="C186" i="58"/>
  <c r="C188" i="58"/>
  <c r="C191" i="58"/>
  <c r="C192" i="58"/>
  <c r="C193" i="58"/>
  <c r="C194" i="58"/>
  <c r="C195" i="58"/>
  <c r="C196" i="58"/>
  <c r="C197" i="58"/>
  <c r="C198" i="58"/>
  <c r="C199" i="58"/>
  <c r="C200" i="58"/>
  <c r="C204" i="58"/>
  <c r="C211" i="58"/>
  <c r="C215" i="58"/>
  <c r="C216" i="58"/>
  <c r="C221" i="58"/>
  <c r="C222" i="58"/>
  <c r="C226" i="58"/>
  <c r="C227" i="58"/>
  <c r="C235" i="58"/>
  <c r="C238" i="58"/>
  <c r="C239" i="58"/>
  <c r="C242" i="58"/>
  <c r="C243" i="58"/>
  <c r="C249" i="58"/>
  <c r="C251" i="58"/>
  <c r="C252" i="58"/>
  <c r="C253" i="58"/>
  <c r="C254" i="58"/>
  <c r="C255" i="58"/>
  <c r="C257" i="58"/>
  <c r="C259" i="58"/>
  <c r="C260" i="58"/>
  <c r="C261" i="58"/>
  <c r="C270" i="58"/>
  <c r="C271" i="58"/>
  <c r="C272" i="58"/>
  <c r="C275" i="58"/>
  <c r="C278" i="58"/>
  <c r="C280" i="58"/>
  <c r="C282" i="58"/>
  <c r="C296" i="58"/>
  <c r="C297" i="58"/>
  <c r="C299" i="58"/>
  <c r="C300" i="58"/>
  <c r="C301" i="58"/>
  <c r="C302" i="58"/>
  <c r="C303" i="58"/>
  <c r="C304" i="58"/>
  <c r="C305" i="58"/>
  <c r="C306" i="58"/>
  <c r="C307" i="58"/>
  <c r="C311" i="58"/>
  <c r="C312" i="58"/>
  <c r="C313" i="58"/>
  <c r="C314" i="58"/>
  <c r="C315" i="58"/>
  <c r="C316" i="58"/>
  <c r="C317" i="58"/>
  <c r="C318" i="58"/>
  <c r="C320" i="58"/>
  <c r="C321" i="58"/>
  <c r="C322" i="58"/>
  <c r="C327" i="58"/>
  <c r="C328" i="58"/>
  <c r="C329" i="58"/>
  <c r="C334" i="58"/>
  <c r="C335" i="58"/>
  <c r="C341" i="58"/>
  <c r="C342" i="58"/>
  <c r="C343" i="58"/>
  <c r="C344" i="58"/>
  <c r="C345" i="58"/>
  <c r="C346" i="58"/>
  <c r="C347" i="58"/>
  <c r="C348" i="58"/>
  <c r="C349" i="58"/>
  <c r="C350" i="58"/>
  <c r="C351" i="58"/>
  <c r="C352" i="58"/>
  <c r="C353" i="58"/>
  <c r="C356" i="58"/>
  <c r="C357" i="58"/>
  <c r="C361" i="58"/>
  <c r="C364" i="58"/>
  <c r="C365" i="58"/>
  <c r="C368" i="58"/>
  <c r="C369" i="58"/>
  <c r="C371" i="58"/>
  <c r="C377" i="58"/>
  <c r="C383" i="58"/>
  <c r="C384" i="58"/>
  <c r="C129" i="58" l="1"/>
  <c r="C16" i="53"/>
  <c r="C63" i="58"/>
  <c r="C15" i="53"/>
  <c r="D354" i="58"/>
  <c r="D24" i="53"/>
  <c r="D246" i="58"/>
  <c r="D23" i="53"/>
  <c r="F354" i="58"/>
  <c r="F24" i="53"/>
  <c r="F246" i="58"/>
  <c r="F23" i="53"/>
  <c r="H355" i="58"/>
  <c r="H25" i="53"/>
  <c r="C355" i="58"/>
  <c r="C25" i="53"/>
  <c r="D131" i="58"/>
  <c r="D18" i="53"/>
  <c r="F131" i="58"/>
  <c r="F18" i="53"/>
  <c r="H354" i="58"/>
  <c r="H24" i="53"/>
  <c r="H246" i="58"/>
  <c r="H23" i="53"/>
  <c r="D355" i="58"/>
  <c r="D25" i="53"/>
  <c r="H212" i="58"/>
  <c r="H20" i="53"/>
  <c r="C380" i="58"/>
  <c r="C26" i="53"/>
  <c r="D172" i="58"/>
  <c r="D19" i="53"/>
  <c r="D130" i="58"/>
  <c r="D17" i="53"/>
  <c r="F214" i="58"/>
  <c r="F21" i="53"/>
  <c r="F130" i="58"/>
  <c r="F17" i="53"/>
  <c r="C131" i="58"/>
  <c r="C18" i="53"/>
  <c r="D129" i="58"/>
  <c r="D16" i="53"/>
  <c r="D63" i="58"/>
  <c r="D15" i="53"/>
  <c r="F129" i="58"/>
  <c r="F16" i="53"/>
  <c r="F63" i="58"/>
  <c r="F15" i="53"/>
  <c r="H214" i="58"/>
  <c r="H21" i="53"/>
  <c r="H172" i="58"/>
  <c r="H19" i="53"/>
  <c r="H130" i="58"/>
  <c r="H17" i="53"/>
  <c r="F355" i="58"/>
  <c r="F25" i="53"/>
  <c r="H380" i="58"/>
  <c r="H26" i="53"/>
  <c r="H218" i="58"/>
  <c r="H22" i="53"/>
  <c r="C218" i="58"/>
  <c r="C22" i="53"/>
  <c r="C212" i="58"/>
  <c r="C20" i="53"/>
  <c r="C354" i="58"/>
  <c r="C24" i="53"/>
  <c r="C246" i="58"/>
  <c r="C23" i="53"/>
  <c r="D214" i="58"/>
  <c r="D21" i="53"/>
  <c r="F172" i="58"/>
  <c r="F19" i="53"/>
  <c r="H131" i="58"/>
  <c r="H18" i="53"/>
  <c r="C214" i="58"/>
  <c r="C21" i="53"/>
  <c r="C172" i="58"/>
  <c r="C19" i="53"/>
  <c r="C130" i="58"/>
  <c r="C17" i="53"/>
  <c r="D380" i="58"/>
  <c r="D26" i="53"/>
  <c r="D218" i="58"/>
  <c r="D22" i="53"/>
  <c r="D212" i="58"/>
  <c r="D20" i="53"/>
  <c r="F380" i="58"/>
  <c r="F26" i="53"/>
  <c r="F218" i="58"/>
  <c r="F22" i="53"/>
  <c r="F212" i="58"/>
  <c r="F20" i="53"/>
  <c r="H129" i="58"/>
  <c r="H16" i="53"/>
  <c r="H63" i="58"/>
  <c r="H15" i="53"/>
  <c r="C231" i="58"/>
  <c r="C36" i="60"/>
  <c r="C189" i="58"/>
  <c r="C31" i="60"/>
  <c r="C177" i="58"/>
  <c r="C26" i="60"/>
  <c r="D283" i="58"/>
  <c r="D43" i="60"/>
  <c r="D277" i="58"/>
  <c r="D42" i="60"/>
  <c r="D223" i="58"/>
  <c r="D33" i="60"/>
  <c r="D181" i="58"/>
  <c r="D30" i="60"/>
  <c r="D169" i="58"/>
  <c r="D24" i="60"/>
  <c r="F367" i="58"/>
  <c r="F57" i="60"/>
  <c r="F337" i="58"/>
  <c r="F53" i="60"/>
  <c r="F331" i="58"/>
  <c r="F49" i="60"/>
  <c r="F181" i="58"/>
  <c r="F30" i="60"/>
  <c r="F25" i="58"/>
  <c r="F15" i="60"/>
  <c r="H332" i="58"/>
  <c r="H50" i="60"/>
  <c r="H230" i="58"/>
  <c r="H35" i="60"/>
  <c r="H116" i="58"/>
  <c r="H21" i="60"/>
  <c r="C332" i="58"/>
  <c r="C50" i="60"/>
  <c r="C230" i="58"/>
  <c r="C35" i="60"/>
  <c r="C170" i="58"/>
  <c r="C25" i="60"/>
  <c r="C164" i="58"/>
  <c r="C23" i="60"/>
  <c r="C116" i="58"/>
  <c r="C21" i="60"/>
  <c r="C26" i="58"/>
  <c r="C16" i="60"/>
  <c r="D366" i="58"/>
  <c r="D56" i="60"/>
  <c r="D336" i="58"/>
  <c r="D52" i="60"/>
  <c r="D330" i="58"/>
  <c r="D48" i="60"/>
  <c r="D276" i="58"/>
  <c r="D41" i="60"/>
  <c r="D234" i="58"/>
  <c r="D39" i="60"/>
  <c r="D228" i="58"/>
  <c r="D34" i="60"/>
  <c r="D210" i="58"/>
  <c r="D32" i="60"/>
  <c r="D180" i="58"/>
  <c r="D29" i="60"/>
  <c r="D114" i="58"/>
  <c r="D20" i="60"/>
  <c r="D96" i="58"/>
  <c r="D19" i="60"/>
  <c r="D84" i="58"/>
  <c r="D18" i="60"/>
  <c r="F366" i="58"/>
  <c r="F56" i="60"/>
  <c r="F336" i="58"/>
  <c r="F52" i="60"/>
  <c r="F330" i="58"/>
  <c r="F48" i="60"/>
  <c r="F276" i="58"/>
  <c r="F41" i="60"/>
  <c r="F234" i="58"/>
  <c r="F39" i="60"/>
  <c r="F228" i="58"/>
  <c r="F34" i="60"/>
  <c r="F210" i="58"/>
  <c r="F32" i="60"/>
  <c r="F180" i="58"/>
  <c r="F29" i="60"/>
  <c r="F114" i="58"/>
  <c r="F20" i="60"/>
  <c r="F96" i="58"/>
  <c r="F19" i="60"/>
  <c r="F84" i="58"/>
  <c r="F18" i="60"/>
  <c r="H367" i="58"/>
  <c r="H57" i="60"/>
  <c r="H337" i="58"/>
  <c r="H53" i="60"/>
  <c r="H331" i="58"/>
  <c r="H49" i="60"/>
  <c r="H283" i="58"/>
  <c r="H43" i="60"/>
  <c r="H277" i="58"/>
  <c r="H42" i="60"/>
  <c r="H223" i="58"/>
  <c r="H33" i="60"/>
  <c r="H181" i="58"/>
  <c r="H30" i="60"/>
  <c r="H169" i="58"/>
  <c r="H24" i="60"/>
  <c r="H25" i="58"/>
  <c r="H15" i="60"/>
  <c r="C333" i="58"/>
  <c r="C51" i="60"/>
  <c r="C309" i="58"/>
  <c r="C46" i="60"/>
  <c r="C147" i="58"/>
  <c r="C22" i="60"/>
  <c r="D367" i="58"/>
  <c r="D57" i="60"/>
  <c r="D337" i="58"/>
  <c r="D53" i="60"/>
  <c r="D331" i="58"/>
  <c r="D49" i="60"/>
  <c r="D25" i="58"/>
  <c r="D15" i="60"/>
  <c r="F283" i="58"/>
  <c r="F43" i="60"/>
  <c r="F277" i="58"/>
  <c r="F42" i="60"/>
  <c r="F223" i="58"/>
  <c r="F33" i="60"/>
  <c r="F169" i="58"/>
  <c r="F24" i="60"/>
  <c r="H308" i="58"/>
  <c r="H45" i="60"/>
  <c r="H290" i="58"/>
  <c r="H44" i="60"/>
  <c r="H170" i="58"/>
  <c r="H25" i="60"/>
  <c r="H164" i="58"/>
  <c r="H23" i="60"/>
  <c r="H26" i="58"/>
  <c r="H16" i="60"/>
  <c r="C308" i="58"/>
  <c r="C45" i="60"/>
  <c r="C290" i="58"/>
  <c r="C44" i="60"/>
  <c r="C367" i="58"/>
  <c r="C57" i="60"/>
  <c r="C337" i="58"/>
  <c r="C53" i="60"/>
  <c r="C331" i="58"/>
  <c r="C49" i="60"/>
  <c r="C283" i="58"/>
  <c r="C43" i="60"/>
  <c r="C277" i="58"/>
  <c r="C42" i="60"/>
  <c r="C223" i="58"/>
  <c r="C33" i="60"/>
  <c r="C181" i="58"/>
  <c r="C30" i="60"/>
  <c r="C169" i="58"/>
  <c r="C24" i="60"/>
  <c r="C25" i="58"/>
  <c r="C15" i="60"/>
  <c r="D359" i="58"/>
  <c r="D55" i="60"/>
  <c r="D233" i="58"/>
  <c r="D38" i="60"/>
  <c r="D179" i="58"/>
  <c r="D28" i="60"/>
  <c r="D41" i="58"/>
  <c r="D17" i="60"/>
  <c r="F359" i="58"/>
  <c r="F55" i="60"/>
  <c r="F233" i="58"/>
  <c r="F38" i="60"/>
  <c r="F179" i="58"/>
  <c r="F28" i="60"/>
  <c r="F41" i="58"/>
  <c r="F17" i="60"/>
  <c r="H366" i="58"/>
  <c r="H56" i="60"/>
  <c r="H336" i="58"/>
  <c r="H52" i="60"/>
  <c r="H330" i="58"/>
  <c r="H48" i="60"/>
  <c r="H276" i="58"/>
  <c r="H41" i="60"/>
  <c r="H234" i="58"/>
  <c r="H39" i="60"/>
  <c r="H228" i="58"/>
  <c r="H34" i="60"/>
  <c r="H210" i="58"/>
  <c r="H32" i="60"/>
  <c r="H180" i="58"/>
  <c r="H29" i="60"/>
  <c r="H114" i="58"/>
  <c r="H20" i="60"/>
  <c r="H96" i="58"/>
  <c r="H19" i="60"/>
  <c r="H84" i="58"/>
  <c r="H18" i="60"/>
  <c r="C336" i="58"/>
  <c r="C52" i="60"/>
  <c r="C276" i="58"/>
  <c r="C41" i="60"/>
  <c r="C228" i="58"/>
  <c r="C34" i="60"/>
  <c r="C210" i="58"/>
  <c r="C32" i="60"/>
  <c r="C114" i="58"/>
  <c r="C20" i="60"/>
  <c r="D381" i="58"/>
  <c r="D58" i="60"/>
  <c r="D274" i="58"/>
  <c r="D40" i="60"/>
  <c r="D232" i="58"/>
  <c r="D37" i="60"/>
  <c r="D178" i="58"/>
  <c r="D27" i="60"/>
  <c r="F358" i="58"/>
  <c r="F54" i="60"/>
  <c r="F310" i="58"/>
  <c r="F47" i="60"/>
  <c r="H233" i="58"/>
  <c r="H38" i="60"/>
  <c r="H179" i="58"/>
  <c r="H28" i="60"/>
  <c r="H41" i="58"/>
  <c r="H17" i="60"/>
  <c r="C233" i="58"/>
  <c r="C38" i="60"/>
  <c r="C179" i="58"/>
  <c r="C28" i="60"/>
  <c r="C41" i="58"/>
  <c r="C17" i="60"/>
  <c r="D333" i="58"/>
  <c r="D51" i="60"/>
  <c r="D309" i="58"/>
  <c r="D46" i="60"/>
  <c r="D231" i="58"/>
  <c r="D36" i="60"/>
  <c r="D189" i="58"/>
  <c r="D31" i="60"/>
  <c r="D177" i="58"/>
  <c r="D26" i="60"/>
  <c r="D147" i="58"/>
  <c r="D22" i="60"/>
  <c r="F333" i="58"/>
  <c r="F51" i="60"/>
  <c r="F309" i="58"/>
  <c r="F46" i="60"/>
  <c r="F231" i="58"/>
  <c r="F36" i="60"/>
  <c r="F189" i="58"/>
  <c r="F31" i="60"/>
  <c r="F177" i="58"/>
  <c r="F26" i="60"/>
  <c r="F147" i="58"/>
  <c r="F22" i="60"/>
  <c r="H381" i="58"/>
  <c r="H58" i="60"/>
  <c r="H358" i="58"/>
  <c r="H54" i="60"/>
  <c r="H310" i="58"/>
  <c r="H47" i="60"/>
  <c r="H274" i="58"/>
  <c r="H40" i="60"/>
  <c r="H232" i="58"/>
  <c r="H37" i="60"/>
  <c r="H178" i="58"/>
  <c r="H27" i="60"/>
  <c r="C366" i="58"/>
  <c r="C56" i="60"/>
  <c r="C330" i="58"/>
  <c r="C48" i="60"/>
  <c r="C234" i="58"/>
  <c r="C39" i="60"/>
  <c r="C180" i="58"/>
  <c r="C29" i="60"/>
  <c r="C96" i="58"/>
  <c r="C19" i="60"/>
  <c r="C84" i="58"/>
  <c r="C18" i="60"/>
  <c r="D358" i="58"/>
  <c r="D54" i="60"/>
  <c r="D310" i="58"/>
  <c r="D47" i="60"/>
  <c r="F381" i="58"/>
  <c r="F58" i="60"/>
  <c r="F274" i="58"/>
  <c r="F40" i="60"/>
  <c r="F232" i="58"/>
  <c r="F37" i="60"/>
  <c r="F178" i="58"/>
  <c r="F27" i="60"/>
  <c r="H359" i="58"/>
  <c r="H55" i="60"/>
  <c r="C359" i="58"/>
  <c r="C55" i="60"/>
  <c r="C381" i="58"/>
  <c r="C58" i="60"/>
  <c r="C358" i="58"/>
  <c r="C54" i="60"/>
  <c r="C310" i="58"/>
  <c r="C47" i="60"/>
  <c r="C274" i="58"/>
  <c r="C40" i="60"/>
  <c r="C232" i="58"/>
  <c r="C37" i="60"/>
  <c r="C178" i="58"/>
  <c r="C27" i="60"/>
  <c r="D332" i="58"/>
  <c r="D50" i="60"/>
  <c r="D308" i="58"/>
  <c r="D45" i="60"/>
  <c r="D290" i="58"/>
  <c r="D44" i="60"/>
  <c r="D230" i="58"/>
  <c r="D35" i="60"/>
  <c r="D170" i="58"/>
  <c r="D25" i="60"/>
  <c r="D164" i="58"/>
  <c r="D23" i="60"/>
  <c r="D116" i="58"/>
  <c r="D21" i="60"/>
  <c r="D26" i="58"/>
  <c r="D16" i="60"/>
  <c r="F332" i="58"/>
  <c r="F50" i="60"/>
  <c r="F308" i="58"/>
  <c r="F45" i="60"/>
  <c r="F290" i="58"/>
  <c r="F44" i="60"/>
  <c r="F230" i="58"/>
  <c r="F35" i="60"/>
  <c r="F170" i="58"/>
  <c r="F25" i="60"/>
  <c r="F164" i="58"/>
  <c r="F23" i="60"/>
  <c r="F116" i="58"/>
  <c r="F21" i="60"/>
  <c r="F26" i="58"/>
  <c r="F16" i="60"/>
  <c r="H333" i="58"/>
  <c r="H51" i="60"/>
  <c r="H309" i="58"/>
  <c r="H46" i="60"/>
  <c r="H231" i="58"/>
  <c r="H36" i="60"/>
  <c r="H189" i="58"/>
  <c r="H31" i="60"/>
  <c r="H177" i="58"/>
  <c r="H26" i="60"/>
  <c r="H147" i="58"/>
  <c r="H22" i="60"/>
  <c r="C24" i="58"/>
  <c r="D298" i="58"/>
  <c r="D148" i="58"/>
  <c r="D136" i="58"/>
  <c r="D58" i="58"/>
  <c r="F298" i="58"/>
  <c r="F148" i="58"/>
  <c r="F136" i="58"/>
  <c r="F70" i="58"/>
  <c r="H293" i="58"/>
  <c r="H137" i="58"/>
  <c r="C117" i="58"/>
  <c r="D325" i="58"/>
  <c r="D295" i="58"/>
  <c r="D265" i="58"/>
  <c r="D247" i="58"/>
  <c r="D241" i="58"/>
  <c r="D229" i="58"/>
  <c r="D217" i="58"/>
  <c r="D205" i="58"/>
  <c r="D157" i="58"/>
  <c r="D139" i="58"/>
  <c r="D121" i="58"/>
  <c r="D79" i="58"/>
  <c r="D73" i="58"/>
  <c r="D67" i="58"/>
  <c r="D43" i="58"/>
  <c r="D37" i="58"/>
  <c r="F325" i="58"/>
  <c r="F295" i="58"/>
  <c r="F265" i="58"/>
  <c r="F247" i="58"/>
  <c r="F241" i="58"/>
  <c r="F229" i="58"/>
  <c r="F217" i="58"/>
  <c r="F205" i="58"/>
  <c r="F157" i="58"/>
  <c r="F139" i="58"/>
  <c r="F121" i="58"/>
  <c r="F79" i="58"/>
  <c r="F73" i="58"/>
  <c r="F67" i="58"/>
  <c r="F43" i="58"/>
  <c r="F37" i="58"/>
  <c r="H362" i="58"/>
  <c r="H326" i="58"/>
  <c r="H248" i="58"/>
  <c r="H236" i="58"/>
  <c r="H224" i="58"/>
  <c r="H140" i="58"/>
  <c r="H110" i="58"/>
  <c r="H86" i="58"/>
  <c r="H80" i="58"/>
  <c r="H74" i="58"/>
  <c r="H44" i="58"/>
  <c r="C324" i="58"/>
  <c r="C294" i="58"/>
  <c r="C78" i="58"/>
  <c r="C36" i="58"/>
  <c r="D220" i="58"/>
  <c r="D142" i="58"/>
  <c r="D70" i="58"/>
  <c r="F340" i="58"/>
  <c r="F256" i="58"/>
  <c r="F166" i="58"/>
  <c r="F118" i="58"/>
  <c r="C363" i="58"/>
  <c r="C273" i="58"/>
  <c r="C237" i="58"/>
  <c r="C81" i="58"/>
  <c r="C75" i="58"/>
  <c r="C45" i="58"/>
  <c r="C39" i="58"/>
  <c r="C362" i="58"/>
  <c r="C236" i="58"/>
  <c r="C140" i="58"/>
  <c r="C110" i="58"/>
  <c r="C86" i="58"/>
  <c r="C80" i="58"/>
  <c r="C74" i="58"/>
  <c r="C44" i="58"/>
  <c r="D360" i="58"/>
  <c r="D324" i="58"/>
  <c r="D294" i="58"/>
  <c r="D240" i="58"/>
  <c r="D156" i="58"/>
  <c r="D102" i="58"/>
  <c r="D78" i="58"/>
  <c r="D72" i="58"/>
  <c r="D42" i="58"/>
  <c r="D36" i="58"/>
  <c r="D30" i="58"/>
  <c r="D24" i="58"/>
  <c r="F360" i="58"/>
  <c r="F324" i="58"/>
  <c r="F294" i="58"/>
  <c r="F240" i="58"/>
  <c r="F156" i="58"/>
  <c r="F102" i="58"/>
  <c r="F78" i="58"/>
  <c r="F72" i="58"/>
  <c r="F42" i="58"/>
  <c r="F36" i="58"/>
  <c r="F30" i="58"/>
  <c r="F24" i="58"/>
  <c r="H325" i="58"/>
  <c r="H295" i="58"/>
  <c r="H265" i="58"/>
  <c r="H247" i="58"/>
  <c r="H241" i="58"/>
  <c r="H229" i="58"/>
  <c r="H217" i="58"/>
  <c r="H205" i="58"/>
  <c r="H157" i="58"/>
  <c r="H139" i="58"/>
  <c r="H121" i="58"/>
  <c r="H79" i="58"/>
  <c r="H73" i="58"/>
  <c r="H67" i="58"/>
  <c r="H43" i="58"/>
  <c r="H37" i="58"/>
  <c r="C240" i="58"/>
  <c r="C102" i="58"/>
  <c r="C72" i="58"/>
  <c r="C42" i="58"/>
  <c r="C30" i="58"/>
  <c r="D340" i="58"/>
  <c r="D256" i="58"/>
  <c r="D244" i="58"/>
  <c r="D118" i="58"/>
  <c r="D76" i="58"/>
  <c r="F250" i="58"/>
  <c r="F244" i="58"/>
  <c r="F208" i="58"/>
  <c r="F142" i="58"/>
  <c r="F76" i="58"/>
  <c r="F58" i="58"/>
  <c r="F46" i="58"/>
  <c r="H269" i="58"/>
  <c r="H245" i="58"/>
  <c r="H203" i="58"/>
  <c r="C267" i="58"/>
  <c r="C225" i="58"/>
  <c r="C219" i="58"/>
  <c r="C207" i="58"/>
  <c r="C141" i="58"/>
  <c r="C123" i="58"/>
  <c r="C51" i="58"/>
  <c r="C15" i="58"/>
  <c r="C326" i="58"/>
  <c r="C248" i="58"/>
  <c r="C224" i="58"/>
  <c r="C325" i="58"/>
  <c r="C295" i="58"/>
  <c r="C265" i="58"/>
  <c r="C247" i="58"/>
  <c r="C241" i="58"/>
  <c r="C229" i="58"/>
  <c r="C217" i="58"/>
  <c r="C205" i="58"/>
  <c r="C157" i="58"/>
  <c r="C139" i="58"/>
  <c r="C121" i="58"/>
  <c r="C79" i="58"/>
  <c r="C73" i="58"/>
  <c r="C67" i="58"/>
  <c r="C43" i="58"/>
  <c r="C37" i="58"/>
  <c r="D293" i="58"/>
  <c r="D269" i="58"/>
  <c r="D245" i="58"/>
  <c r="D209" i="58"/>
  <c r="D203" i="58"/>
  <c r="D143" i="58"/>
  <c r="D137" i="58"/>
  <c r="D101" i="58"/>
  <c r="D77" i="58"/>
  <c r="D71" i="58"/>
  <c r="D53" i="58"/>
  <c r="F293" i="58"/>
  <c r="F269" i="58"/>
  <c r="F245" i="58"/>
  <c r="F209" i="58"/>
  <c r="F203" i="58"/>
  <c r="F143" i="58"/>
  <c r="F137" i="58"/>
  <c r="F101" i="58"/>
  <c r="F77" i="58"/>
  <c r="F71" i="58"/>
  <c r="F53" i="58"/>
  <c r="H360" i="58"/>
  <c r="H324" i="58"/>
  <c r="H294" i="58"/>
  <c r="H240" i="58"/>
  <c r="H156" i="58"/>
  <c r="H102" i="58"/>
  <c r="H78" i="58"/>
  <c r="H72" i="58"/>
  <c r="H42" i="58"/>
  <c r="H36" i="58"/>
  <c r="H30" i="58"/>
  <c r="H24" i="58"/>
  <c r="C203" i="58"/>
  <c r="C71" i="58"/>
  <c r="C53" i="58"/>
  <c r="D363" i="58"/>
  <c r="D273" i="58"/>
  <c r="D267" i="58"/>
  <c r="D237" i="58"/>
  <c r="D225" i="58"/>
  <c r="D219" i="58"/>
  <c r="D207" i="58"/>
  <c r="D141" i="58"/>
  <c r="D123" i="58"/>
  <c r="D117" i="58"/>
  <c r="D81" i="58"/>
  <c r="D75" i="58"/>
  <c r="D51" i="58"/>
  <c r="D45" i="58"/>
  <c r="D39" i="58"/>
  <c r="F363" i="58"/>
  <c r="F273" i="58"/>
  <c r="F267" i="58"/>
  <c r="F237" i="58"/>
  <c r="F225" i="58"/>
  <c r="F219" i="58"/>
  <c r="F207" i="58"/>
  <c r="F141" i="58"/>
  <c r="F123" i="58"/>
  <c r="F117" i="58"/>
  <c r="F81" i="58"/>
  <c r="F75" i="58"/>
  <c r="F51" i="58"/>
  <c r="F45" i="58"/>
  <c r="F39" i="58"/>
  <c r="F15" i="58"/>
  <c r="H340" i="58"/>
  <c r="H298" i="58"/>
  <c r="H292" i="58"/>
  <c r="H256" i="58"/>
  <c r="H250" i="58"/>
  <c r="H244" i="58"/>
  <c r="H220" i="58"/>
  <c r="H208" i="58"/>
  <c r="H166" i="58"/>
  <c r="H148" i="58"/>
  <c r="H142" i="58"/>
  <c r="H136" i="58"/>
  <c r="H118" i="58"/>
  <c r="H76" i="58"/>
  <c r="H70" i="58"/>
  <c r="H58" i="58"/>
  <c r="H46" i="58"/>
  <c r="C360" i="58"/>
  <c r="C156" i="58"/>
  <c r="D15" i="58"/>
  <c r="D292" i="58"/>
  <c r="D250" i="58"/>
  <c r="D208" i="58"/>
  <c r="D166" i="58"/>
  <c r="D46" i="58"/>
  <c r="F292" i="58"/>
  <c r="F220" i="58"/>
  <c r="H209" i="58"/>
  <c r="H143" i="58"/>
  <c r="H101" i="58"/>
  <c r="H77" i="58"/>
  <c r="H71" i="58"/>
  <c r="H53" i="58"/>
  <c r="C293" i="58"/>
  <c r="C269" i="58"/>
  <c r="C245" i="58"/>
  <c r="C209" i="58"/>
  <c r="C143" i="58"/>
  <c r="C137" i="58"/>
  <c r="C101" i="58"/>
  <c r="C77" i="58"/>
  <c r="C340" i="58"/>
  <c r="C298" i="58"/>
  <c r="C292" i="58"/>
  <c r="C256" i="58"/>
  <c r="C250" i="58"/>
  <c r="C244" i="58"/>
  <c r="C220" i="58"/>
  <c r="C208" i="58"/>
  <c r="C166" i="58"/>
  <c r="C148" i="58"/>
  <c r="C142" i="58"/>
  <c r="C136" i="58"/>
  <c r="C118" i="58"/>
  <c r="C76" i="58"/>
  <c r="C70" i="58"/>
  <c r="C58" i="58"/>
  <c r="C46" i="58"/>
  <c r="D362" i="58"/>
  <c r="D326" i="58"/>
  <c r="D248" i="58"/>
  <c r="D236" i="58"/>
  <c r="D224" i="58"/>
  <c r="D140" i="58"/>
  <c r="D110" i="58"/>
  <c r="D86" i="58"/>
  <c r="D80" i="58"/>
  <c r="D74" i="58"/>
  <c r="D44" i="58"/>
  <c r="F362" i="58"/>
  <c r="F326" i="58"/>
  <c r="F248" i="58"/>
  <c r="F236" i="58"/>
  <c r="F224" i="58"/>
  <c r="F140" i="58"/>
  <c r="F110" i="58"/>
  <c r="F86" i="58"/>
  <c r="F80" i="58"/>
  <c r="F74" i="58"/>
  <c r="F44" i="58"/>
  <c r="H363" i="58"/>
  <c r="H273" i="58"/>
  <c r="H267" i="58"/>
  <c r="H237" i="58"/>
  <c r="H225" i="58"/>
  <c r="H219" i="58"/>
  <c r="H207" i="58"/>
  <c r="H141" i="58"/>
  <c r="H123" i="58"/>
  <c r="H117" i="58"/>
  <c r="H81" i="58"/>
  <c r="H75" i="58"/>
  <c r="H51" i="58"/>
  <c r="H45" i="58"/>
  <c r="H39" i="58"/>
  <c r="H15" i="58"/>
  <c r="H128" i="58"/>
  <c r="H38" i="58"/>
  <c r="D289" i="58"/>
  <c r="D175" i="58"/>
  <c r="D145" i="58"/>
  <c r="F289" i="58"/>
  <c r="H374" i="58"/>
  <c r="H266" i="58"/>
  <c r="C284" i="58"/>
  <c r="D378" i="58"/>
  <c r="D372" i="58"/>
  <c r="D288" i="58"/>
  <c r="D264" i="58"/>
  <c r="D258" i="58"/>
  <c r="D174" i="58"/>
  <c r="D108" i="58"/>
  <c r="D90" i="58"/>
  <c r="D18" i="58"/>
  <c r="F378" i="58"/>
  <c r="F372" i="58"/>
  <c r="F288" i="58"/>
  <c r="F264" i="58"/>
  <c r="F258" i="58"/>
  <c r="F174" i="58"/>
  <c r="F108" i="58"/>
  <c r="F90" i="58"/>
  <c r="F18" i="58"/>
  <c r="H379" i="58"/>
  <c r="H373" i="58"/>
  <c r="H319" i="58"/>
  <c r="H289" i="58"/>
  <c r="H187" i="58"/>
  <c r="H175" i="58"/>
  <c r="H145" i="58"/>
  <c r="C379" i="58"/>
  <c r="C373" i="58"/>
  <c r="C319" i="58"/>
  <c r="C289" i="58"/>
  <c r="C187" i="58"/>
  <c r="C175" i="58"/>
  <c r="C145" i="58"/>
  <c r="D382" i="58"/>
  <c r="D323" i="58"/>
  <c r="D287" i="58"/>
  <c r="D281" i="58"/>
  <c r="D263" i="58"/>
  <c r="D185" i="58"/>
  <c r="D173" i="58"/>
  <c r="D155" i="58"/>
  <c r="D59" i="58"/>
  <c r="D35" i="58"/>
  <c r="F382" i="58"/>
  <c r="F323" i="58"/>
  <c r="F287" i="58"/>
  <c r="F281" i="58"/>
  <c r="F263" i="58"/>
  <c r="F185" i="58"/>
  <c r="F173" i="58"/>
  <c r="F155" i="58"/>
  <c r="F59" i="58"/>
  <c r="F35" i="58"/>
  <c r="H378" i="58"/>
  <c r="H372" i="58"/>
  <c r="H288" i="58"/>
  <c r="H264" i="58"/>
  <c r="H258" i="58"/>
  <c r="H174" i="58"/>
  <c r="H108" i="58"/>
  <c r="H90" i="58"/>
  <c r="H18" i="58"/>
  <c r="C339" i="58"/>
  <c r="C171" i="58"/>
  <c r="D373" i="58"/>
  <c r="C375" i="58"/>
  <c r="C285" i="58"/>
  <c r="C279" i="58"/>
  <c r="C201" i="58"/>
  <c r="C135" i="58"/>
  <c r="C111" i="58"/>
  <c r="D379" i="58"/>
  <c r="F319" i="58"/>
  <c r="F187" i="58"/>
  <c r="F175" i="58"/>
  <c r="F145" i="58"/>
  <c r="H385" i="58"/>
  <c r="H338" i="58"/>
  <c r="H206" i="58"/>
  <c r="H134" i="58"/>
  <c r="C385" i="58"/>
  <c r="C374" i="58"/>
  <c r="C338" i="58"/>
  <c r="C266" i="58"/>
  <c r="C206" i="58"/>
  <c r="C134" i="58"/>
  <c r="C128" i="58"/>
  <c r="C38" i="58"/>
  <c r="C378" i="58"/>
  <c r="C288" i="58"/>
  <c r="C174" i="58"/>
  <c r="C108" i="58"/>
  <c r="D202" i="58"/>
  <c r="C287" i="58"/>
  <c r="D375" i="58"/>
  <c r="D339" i="58"/>
  <c r="D291" i="58"/>
  <c r="D285" i="58"/>
  <c r="D279" i="58"/>
  <c r="D213" i="58"/>
  <c r="D201" i="58"/>
  <c r="D171" i="58"/>
  <c r="D135" i="58"/>
  <c r="D111" i="58"/>
  <c r="D57" i="58"/>
  <c r="F375" i="58"/>
  <c r="F339" i="58"/>
  <c r="F291" i="58"/>
  <c r="F285" i="58"/>
  <c r="F279" i="58"/>
  <c r="F213" i="58"/>
  <c r="F201" i="58"/>
  <c r="F171" i="58"/>
  <c r="F135" i="58"/>
  <c r="F111" i="58"/>
  <c r="F57" i="58"/>
  <c r="H376" i="58"/>
  <c r="H286" i="58"/>
  <c r="H268" i="58"/>
  <c r="H262" i="58"/>
  <c r="H202" i="58"/>
  <c r="H190" i="58"/>
  <c r="H160" i="58"/>
  <c r="H52" i="58"/>
  <c r="C291" i="58"/>
  <c r="C213" i="58"/>
  <c r="C57" i="58"/>
  <c r="D319" i="58"/>
  <c r="D187" i="58"/>
  <c r="F379" i="58"/>
  <c r="F373" i="58"/>
  <c r="H284" i="58"/>
  <c r="C372" i="58"/>
  <c r="C264" i="58"/>
  <c r="C258" i="58"/>
  <c r="C90" i="58"/>
  <c r="C18" i="58"/>
  <c r="D376" i="58"/>
  <c r="D286" i="58"/>
  <c r="D268" i="58"/>
  <c r="D262" i="58"/>
  <c r="D190" i="58"/>
  <c r="D160" i="58"/>
  <c r="D52" i="58"/>
  <c r="F376" i="58"/>
  <c r="F286" i="58"/>
  <c r="F268" i="58"/>
  <c r="F262" i="58"/>
  <c r="F202" i="58"/>
  <c r="F190" i="58"/>
  <c r="F160" i="58"/>
  <c r="F52" i="58"/>
  <c r="H382" i="58"/>
  <c r="H323" i="58"/>
  <c r="H287" i="58"/>
  <c r="H281" i="58"/>
  <c r="H263" i="58"/>
  <c r="H185" i="58"/>
  <c r="H173" i="58"/>
  <c r="H155" i="58"/>
  <c r="H59" i="58"/>
  <c r="H35" i="58"/>
  <c r="C382" i="58"/>
  <c r="C323" i="58"/>
  <c r="C281" i="58"/>
  <c r="C263" i="58"/>
  <c r="C185" i="58"/>
  <c r="C173" i="58"/>
  <c r="C155" i="58"/>
  <c r="C59" i="58"/>
  <c r="C35" i="58"/>
  <c r="C376" i="58"/>
  <c r="C286" i="58"/>
  <c r="C268" i="58"/>
  <c r="C262" i="58"/>
  <c r="C202" i="58"/>
  <c r="C190" i="58"/>
  <c r="C160" i="58"/>
  <c r="C52" i="58"/>
  <c r="D385" i="58"/>
  <c r="D374" i="58"/>
  <c r="D338" i="58"/>
  <c r="D284" i="58"/>
  <c r="D266" i="58"/>
  <c r="D206" i="58"/>
  <c r="D134" i="58"/>
  <c r="D128" i="58"/>
  <c r="D38" i="58"/>
  <c r="F385" i="58"/>
  <c r="F374" i="58"/>
  <c r="F338" i="58"/>
  <c r="F284" i="58"/>
  <c r="F266" i="58"/>
  <c r="F206" i="58"/>
  <c r="F134" i="58"/>
  <c r="F128" i="58"/>
  <c r="F38" i="58"/>
  <c r="H375" i="58"/>
  <c r="H339" i="58"/>
  <c r="H291" i="58"/>
  <c r="H285" i="58"/>
  <c r="H279" i="58"/>
  <c r="H213" i="58"/>
  <c r="H201" i="58"/>
  <c r="H171" i="58"/>
  <c r="H135" i="58"/>
  <c r="H111" i="58"/>
  <c r="H57" i="58"/>
  <c r="D49" i="58"/>
  <c r="F49" i="58"/>
  <c r="D48" i="58"/>
  <c r="F48" i="58"/>
  <c r="H49" i="58"/>
  <c r="C49" i="58"/>
  <c r="H48" i="58"/>
  <c r="H370" i="58"/>
  <c r="H28" i="58"/>
  <c r="C48" i="58"/>
  <c r="D370" i="58"/>
  <c r="D28" i="58"/>
  <c r="F370" i="58"/>
  <c r="F28" i="58"/>
  <c r="C370" i="58"/>
  <c r="C28" i="58"/>
  <c r="E19" i="53" l="1"/>
  <c r="E24" i="60"/>
  <c r="E48" i="60"/>
  <c r="E18" i="60"/>
  <c r="G19" i="53" l="1"/>
  <c r="I19" i="53"/>
  <c r="I18" i="60"/>
  <c r="G18" i="60"/>
  <c r="G48" i="60"/>
  <c r="I48" i="60"/>
  <c r="G24" i="60"/>
  <c r="I24" i="60"/>
  <c r="E84" i="58"/>
  <c r="E187" i="58"/>
  <c r="E253" i="58"/>
  <c r="E241" i="58"/>
  <c r="E172" i="58"/>
  <c r="E216" i="58"/>
  <c r="E56" i="58"/>
  <c r="E330" i="58"/>
  <c r="E169" i="58"/>
  <c r="E222" i="58"/>
  <c r="E53" i="58"/>
  <c r="E43" i="60"/>
  <c r="E33" i="60"/>
  <c r="E29" i="60"/>
  <c r="E21" i="60"/>
  <c r="E25" i="60"/>
  <c r="E56" i="60"/>
  <c r="E20" i="60"/>
  <c r="E31" i="60"/>
  <c r="E30" i="60"/>
  <c r="E24" i="53"/>
  <c r="E17" i="53"/>
  <c r="E17" i="60"/>
  <c r="E44" i="60"/>
  <c r="E32" i="60"/>
  <c r="E21" i="53"/>
  <c r="E35" i="60"/>
  <c r="E16" i="60"/>
  <c r="E58" i="60"/>
  <c r="E38" i="60"/>
  <c r="E51" i="60"/>
  <c r="E15" i="60"/>
  <c r="E15" i="53"/>
  <c r="E50" i="60"/>
  <c r="G15" i="53" l="1"/>
  <c r="I15" i="53"/>
  <c r="G24" i="53"/>
  <c r="I24" i="53"/>
  <c r="G21" i="53"/>
  <c r="I21" i="53"/>
  <c r="G17" i="53"/>
  <c r="I17" i="53"/>
  <c r="G50" i="60"/>
  <c r="I50" i="60"/>
  <c r="I15" i="60"/>
  <c r="G15" i="60"/>
  <c r="G35" i="60"/>
  <c r="I35" i="60"/>
  <c r="G44" i="60"/>
  <c r="I44" i="60"/>
  <c r="I30" i="60"/>
  <c r="G30" i="60"/>
  <c r="I29" i="60"/>
  <c r="G29" i="60"/>
  <c r="G43" i="60"/>
  <c r="I43" i="60"/>
  <c r="G17" i="60"/>
  <c r="I17" i="60"/>
  <c r="G56" i="60"/>
  <c r="I56" i="60"/>
  <c r="G51" i="60"/>
  <c r="I51" i="60"/>
  <c r="G32" i="60"/>
  <c r="I32" i="60"/>
  <c r="G25" i="60"/>
  <c r="I25" i="60"/>
  <c r="I16" i="60"/>
  <c r="G16" i="60"/>
  <c r="G20" i="60"/>
  <c r="I20" i="60"/>
  <c r="G38" i="60"/>
  <c r="I38" i="60"/>
  <c r="I33" i="60"/>
  <c r="G33" i="60"/>
  <c r="G58" i="60"/>
  <c r="I58" i="60"/>
  <c r="G31" i="60"/>
  <c r="I31" i="60"/>
  <c r="G21" i="60"/>
  <c r="I21" i="60"/>
  <c r="E248" i="58"/>
  <c r="E43" i="58"/>
  <c r="I43" i="58" s="1"/>
  <c r="E70" i="58"/>
  <c r="G70" i="58" s="1"/>
  <c r="E123" i="58"/>
  <c r="E45" i="58"/>
  <c r="E340" i="58"/>
  <c r="E323" i="58"/>
  <c r="E289" i="58"/>
  <c r="E149" i="58"/>
  <c r="E110" i="58"/>
  <c r="E27" i="58"/>
  <c r="E302" i="58"/>
  <c r="E87" i="58"/>
  <c r="E339" i="58"/>
  <c r="E208" i="58"/>
  <c r="E210" i="58"/>
  <c r="E18" i="58"/>
  <c r="E92" i="58"/>
  <c r="E81" i="58"/>
  <c r="E211" i="58"/>
  <c r="E272" i="58"/>
  <c r="E223" i="58"/>
  <c r="I222" i="58"/>
  <c r="G222" i="58"/>
  <c r="G187" i="58"/>
  <c r="I187" i="58"/>
  <c r="E117" i="58"/>
  <c r="E233" i="58"/>
  <c r="E42" i="58"/>
  <c r="E240" i="58"/>
  <c r="E372" i="58"/>
  <c r="E311" i="58"/>
  <c r="E17" i="58"/>
  <c r="E214" i="58"/>
  <c r="E245" i="58"/>
  <c r="E305" i="58"/>
  <c r="E52" i="58"/>
  <c r="E261" i="58"/>
  <c r="E382" i="58"/>
  <c r="E150" i="58"/>
  <c r="E97" i="58"/>
  <c r="E114" i="58"/>
  <c r="E312" i="58"/>
  <c r="E116" i="58"/>
  <c r="E200" i="58"/>
  <c r="E63" i="58"/>
  <c r="E333" i="58"/>
  <c r="E205" i="58"/>
  <c r="E291" i="58"/>
  <c r="E124" i="58"/>
  <c r="E361" i="58"/>
  <c r="E347" i="58"/>
  <c r="E135" i="58"/>
  <c r="E263" i="58"/>
  <c r="E379" i="58"/>
  <c r="E38" i="58"/>
  <c r="E115" i="58"/>
  <c r="E221" i="58"/>
  <c r="E174" i="58"/>
  <c r="I56" i="58"/>
  <c r="G56" i="58"/>
  <c r="G172" i="58"/>
  <c r="I172" i="58"/>
  <c r="E109" i="58"/>
  <c r="E188" i="58"/>
  <c r="E371" i="58"/>
  <c r="E36" i="58"/>
  <c r="E226" i="58"/>
  <c r="E287" i="58"/>
  <c r="E315" i="58"/>
  <c r="E93" i="58"/>
  <c r="E369" i="58"/>
  <c r="E146" i="58"/>
  <c r="E69" i="58"/>
  <c r="E51" i="58"/>
  <c r="E48" i="58"/>
  <c r="E259" i="58"/>
  <c r="E155" i="58"/>
  <c r="E49" i="58"/>
  <c r="E206" i="58"/>
  <c r="E61" i="58"/>
  <c r="E354" i="58"/>
  <c r="E34" i="60"/>
  <c r="E345" i="58"/>
  <c r="E85" i="58"/>
  <c r="E111" i="58"/>
  <c r="E366" i="58"/>
  <c r="E154" i="58"/>
  <c r="E113" i="58"/>
  <c r="E378" i="58"/>
  <c r="I169" i="58"/>
  <c r="G169" i="58"/>
  <c r="G43" i="58"/>
  <c r="G241" i="58"/>
  <c r="I241" i="58"/>
  <c r="E383" i="58"/>
  <c r="E318" i="58"/>
  <c r="E239" i="58"/>
  <c r="E285" i="58"/>
  <c r="E173" i="58"/>
  <c r="E194" i="58"/>
  <c r="E171" i="58"/>
  <c r="E251" i="58"/>
  <c r="E62" i="58"/>
  <c r="E317" i="58"/>
  <c r="E90" i="58"/>
  <c r="E95" i="58"/>
  <c r="E125" i="58"/>
  <c r="E353" i="58"/>
  <c r="E247" i="58"/>
  <c r="E34" i="58"/>
  <c r="E74" i="58"/>
  <c r="E230" i="58"/>
  <c r="E351" i="58"/>
  <c r="E71" i="58"/>
  <c r="E153" i="58"/>
  <c r="E65" i="58"/>
  <c r="E66" i="58"/>
  <c r="E151" i="58"/>
  <c r="E41" i="58"/>
  <c r="E94" i="58"/>
  <c r="E189" i="58"/>
  <c r="E106" i="58"/>
  <c r="E170" i="58"/>
  <c r="E325" i="58"/>
  <c r="E40" i="58"/>
  <c r="E180" i="58"/>
  <c r="E190" i="58"/>
  <c r="E283" i="58"/>
  <c r="I53" i="58"/>
  <c r="G53" i="58"/>
  <c r="G330" i="58"/>
  <c r="I330" i="58"/>
  <c r="I216" i="58"/>
  <c r="G216" i="58"/>
  <c r="I253" i="58"/>
  <c r="G253" i="58"/>
  <c r="G84" i="58"/>
  <c r="I84" i="58"/>
  <c r="E278" i="58"/>
  <c r="E304" i="58"/>
  <c r="E26" i="58"/>
  <c r="E199" i="58"/>
  <c r="E32" i="58"/>
  <c r="E198" i="58"/>
  <c r="E112" i="58"/>
  <c r="E252" i="58"/>
  <c r="E332" i="58"/>
  <c r="E25" i="58"/>
  <c r="E381" i="58"/>
  <c r="E262" i="58"/>
  <c r="E235" i="58"/>
  <c r="E329" i="58"/>
  <c r="E86" i="58"/>
  <c r="E229" i="58"/>
  <c r="E160" i="58"/>
  <c r="E128" i="58"/>
  <c r="E157" i="58"/>
  <c r="E299" i="58"/>
  <c r="E290" i="58"/>
  <c r="E343" i="58"/>
  <c r="E130" i="58"/>
  <c r="E181" i="58"/>
  <c r="E44" i="58"/>
  <c r="E314" i="58"/>
  <c r="E46" i="58"/>
  <c r="E133" i="58"/>
  <c r="E26" i="53"/>
  <c r="E54" i="60"/>
  <c r="E39" i="60"/>
  <c r="E16" i="53"/>
  <c r="E20" i="53"/>
  <c r="E41" i="60"/>
  <c r="E47" i="60"/>
  <c r="E55" i="60"/>
  <c r="E25" i="53"/>
  <c r="E53" i="60"/>
  <c r="E36" i="60"/>
  <c r="E22" i="60"/>
  <c r="E18" i="53"/>
  <c r="E22" i="53"/>
  <c r="E52" i="60"/>
  <c r="E23" i="60"/>
  <c r="E28" i="60"/>
  <c r="E49" i="60"/>
  <c r="E23" i="53"/>
  <c r="E27" i="60"/>
  <c r="E46" i="60"/>
  <c r="E57" i="60"/>
  <c r="E19" i="60"/>
  <c r="E42" i="60"/>
  <c r="E45" i="60"/>
  <c r="E26" i="60"/>
  <c r="E40" i="60"/>
  <c r="E37" i="60"/>
  <c r="I26" i="53" l="1"/>
  <c r="G26" i="53"/>
  <c r="G23" i="53"/>
  <c r="I23" i="53"/>
  <c r="I22" i="53"/>
  <c r="G22" i="53"/>
  <c r="E209" i="58"/>
  <c r="G209" i="58" s="1"/>
  <c r="G20" i="53"/>
  <c r="I20" i="53"/>
  <c r="G18" i="53"/>
  <c r="I18" i="53"/>
  <c r="I70" i="58"/>
  <c r="G25" i="53"/>
  <c r="I25" i="53"/>
  <c r="E143" i="58"/>
  <c r="G16" i="53"/>
  <c r="I16" i="53"/>
  <c r="I41" i="60"/>
  <c r="G41" i="60"/>
  <c r="I27" i="60"/>
  <c r="G27" i="60"/>
  <c r="I28" i="60"/>
  <c r="G28" i="60"/>
  <c r="G23" i="60"/>
  <c r="I23" i="60"/>
  <c r="G54" i="60"/>
  <c r="I54" i="60"/>
  <c r="E76" i="58"/>
  <c r="G76" i="58" s="1"/>
  <c r="G39" i="60"/>
  <c r="I39" i="60"/>
  <c r="I40" i="60"/>
  <c r="G40" i="60"/>
  <c r="G42" i="60"/>
  <c r="I42" i="60"/>
  <c r="I57" i="60"/>
  <c r="G57" i="60"/>
  <c r="I52" i="60"/>
  <c r="G52" i="60"/>
  <c r="I47" i="60"/>
  <c r="G47" i="60"/>
  <c r="I34" i="60"/>
  <c r="G34" i="60"/>
  <c r="G45" i="60"/>
  <c r="I45" i="60"/>
  <c r="I22" i="60"/>
  <c r="G22" i="60"/>
  <c r="G36" i="60"/>
  <c r="I36" i="60"/>
  <c r="E58" i="58"/>
  <c r="G58" i="58" s="1"/>
  <c r="G37" i="60"/>
  <c r="I37" i="60"/>
  <c r="G19" i="60"/>
  <c r="I19" i="60"/>
  <c r="I46" i="60"/>
  <c r="G46" i="60"/>
  <c r="G49" i="60"/>
  <c r="I49" i="60"/>
  <c r="G55" i="60"/>
  <c r="I55" i="60"/>
  <c r="G26" i="60"/>
  <c r="I26" i="60"/>
  <c r="I53" i="60"/>
  <c r="G53" i="60"/>
  <c r="E256" i="58"/>
  <c r="E250" i="58"/>
  <c r="I250" i="58" s="1"/>
  <c r="E294" i="58"/>
  <c r="I294" i="58" s="1"/>
  <c r="E75" i="58"/>
  <c r="I75" i="58" s="1"/>
  <c r="E274" i="58"/>
  <c r="E255" i="58"/>
  <c r="E279" i="58"/>
  <c r="E341" i="58"/>
  <c r="E88" i="58"/>
  <c r="E322" i="58"/>
  <c r="E296" i="58"/>
  <c r="E132" i="58"/>
  <c r="E293" i="58"/>
  <c r="E268" i="58"/>
  <c r="E281" i="58"/>
  <c r="E64" i="58"/>
  <c r="E120" i="58"/>
  <c r="E161" i="58"/>
  <c r="E276" i="58"/>
  <c r="E319" i="58"/>
  <c r="E83" i="58"/>
  <c r="E234" i="58"/>
  <c r="I314" i="58"/>
  <c r="G314" i="58"/>
  <c r="G194" i="58"/>
  <c r="I194" i="58"/>
  <c r="I383" i="58"/>
  <c r="G383" i="58"/>
  <c r="I113" i="58"/>
  <c r="G113" i="58"/>
  <c r="I116" i="58"/>
  <c r="G116" i="58"/>
  <c r="I97" i="58"/>
  <c r="G97" i="58"/>
  <c r="I305" i="58"/>
  <c r="G305" i="58"/>
  <c r="I17" i="58"/>
  <c r="G17" i="58"/>
  <c r="G117" i="58"/>
  <c r="I117" i="58"/>
  <c r="I339" i="58"/>
  <c r="G339" i="58"/>
  <c r="I149" i="58"/>
  <c r="G149" i="58"/>
  <c r="E260" i="58"/>
  <c r="E270" i="58"/>
  <c r="E163" i="58"/>
  <c r="E307" i="58"/>
  <c r="E292" i="58"/>
  <c r="E185" i="58"/>
  <c r="E217" i="58"/>
  <c r="E367" i="58"/>
  <c r="E101" i="58"/>
  <c r="E331" i="58"/>
  <c r="E175" i="58"/>
  <c r="E164" i="58"/>
  <c r="E357" i="58"/>
  <c r="E243" i="58"/>
  <c r="E183" i="58"/>
  <c r="E29" i="58"/>
  <c r="E237" i="58"/>
  <c r="E59" i="58"/>
  <c r="E15" i="58"/>
  <c r="E197" i="58"/>
  <c r="E348" i="58"/>
  <c r="E225" i="58"/>
  <c r="E219" i="58"/>
  <c r="E313" i="58"/>
  <c r="E192" i="58"/>
  <c r="E324" i="58"/>
  <c r="E140" i="58"/>
  <c r="E310" i="58"/>
  <c r="E358" i="58"/>
  <c r="E142" i="58"/>
  <c r="E374" i="58"/>
  <c r="I181" i="58"/>
  <c r="G181" i="58"/>
  <c r="G290" i="58"/>
  <c r="I290" i="58"/>
  <c r="G157" i="58"/>
  <c r="I157" i="58"/>
  <c r="I229" i="58"/>
  <c r="G229" i="58"/>
  <c r="G235" i="58"/>
  <c r="I235" i="58"/>
  <c r="G381" i="58"/>
  <c r="I381" i="58"/>
  <c r="G252" i="58"/>
  <c r="I252" i="58"/>
  <c r="I26" i="58"/>
  <c r="G26" i="58"/>
  <c r="G190" i="58"/>
  <c r="I190" i="58"/>
  <c r="G325" i="58"/>
  <c r="I325" i="58"/>
  <c r="I189" i="58"/>
  <c r="G189" i="58"/>
  <c r="G151" i="58"/>
  <c r="I151" i="58"/>
  <c r="I153" i="58"/>
  <c r="G153" i="58"/>
  <c r="I230" i="58"/>
  <c r="G230" i="58"/>
  <c r="I247" i="58"/>
  <c r="G247" i="58"/>
  <c r="G353" i="58"/>
  <c r="I353" i="58"/>
  <c r="G90" i="58"/>
  <c r="I90" i="58"/>
  <c r="G251" i="58"/>
  <c r="I251" i="58"/>
  <c r="I206" i="58"/>
  <c r="G206" i="58"/>
  <c r="G259" i="58"/>
  <c r="I259" i="58"/>
  <c r="I69" i="58"/>
  <c r="G69" i="58"/>
  <c r="G93" i="58"/>
  <c r="I93" i="58"/>
  <c r="G226" i="58"/>
  <c r="I226" i="58"/>
  <c r="I188" i="58"/>
  <c r="G188" i="58"/>
  <c r="G221" i="58"/>
  <c r="I221" i="58"/>
  <c r="G379" i="58"/>
  <c r="I379" i="58"/>
  <c r="G347" i="58"/>
  <c r="I347" i="58"/>
  <c r="G291" i="58"/>
  <c r="I291" i="58"/>
  <c r="G63" i="58"/>
  <c r="I63" i="58"/>
  <c r="E344" i="58"/>
  <c r="E282" i="58"/>
  <c r="E320" i="58"/>
  <c r="E277" i="58"/>
  <c r="E145" i="58"/>
  <c r="E368" i="58"/>
  <c r="E105" i="58"/>
  <c r="E204" i="58"/>
  <c r="E265" i="58"/>
  <c r="E148" i="58"/>
  <c r="E126" i="58"/>
  <c r="E359" i="58"/>
  <c r="E107" i="58"/>
  <c r="E328" i="58"/>
  <c r="E264" i="58"/>
  <c r="I239" i="58"/>
  <c r="G239" i="58"/>
  <c r="G345" i="58"/>
  <c r="I345" i="58"/>
  <c r="I261" i="58"/>
  <c r="G261" i="58"/>
  <c r="I240" i="58"/>
  <c r="G240" i="58"/>
  <c r="G223" i="58"/>
  <c r="I223" i="58"/>
  <c r="I81" i="58"/>
  <c r="G81" i="58"/>
  <c r="G18" i="58"/>
  <c r="I18" i="58"/>
  <c r="G27" i="58"/>
  <c r="I27" i="58"/>
  <c r="E168" i="58"/>
  <c r="E342" i="58"/>
  <c r="E232" i="58"/>
  <c r="E138" i="58"/>
  <c r="E55" i="58"/>
  <c r="E177" i="58"/>
  <c r="E96" i="58"/>
  <c r="E203" i="58"/>
  <c r="E54" i="58"/>
  <c r="E195" i="58"/>
  <c r="E338" i="58"/>
  <c r="E20" i="58"/>
  <c r="E218" i="58"/>
  <c r="E22" i="58"/>
  <c r="E202" i="58"/>
  <c r="E334" i="58"/>
  <c r="E147" i="58"/>
  <c r="E231" i="58"/>
  <c r="E60" i="58"/>
  <c r="E301" i="58"/>
  <c r="E284" i="58"/>
  <c r="E21" i="58"/>
  <c r="E89" i="58"/>
  <c r="E31" i="58"/>
  <c r="E47" i="58"/>
  <c r="E280" i="58"/>
  <c r="E28" i="58"/>
  <c r="E244" i="58"/>
  <c r="E306" i="58"/>
  <c r="E102" i="58"/>
  <c r="E158" i="58"/>
  <c r="E129" i="58"/>
  <c r="E82" i="58"/>
  <c r="E286" i="58"/>
  <c r="I133" i="58"/>
  <c r="G133" i="58"/>
  <c r="I44" i="58"/>
  <c r="G44" i="58"/>
  <c r="I173" i="58"/>
  <c r="G173" i="58"/>
  <c r="I143" i="58"/>
  <c r="G143" i="58"/>
  <c r="I154" i="58"/>
  <c r="G154" i="58"/>
  <c r="G111" i="58"/>
  <c r="I111" i="58"/>
  <c r="E228" i="58"/>
  <c r="G312" i="58"/>
  <c r="I312" i="58"/>
  <c r="I150" i="58"/>
  <c r="G150" i="58"/>
  <c r="G45" i="58"/>
  <c r="I45" i="58"/>
  <c r="G245" i="58"/>
  <c r="I245" i="58"/>
  <c r="I311" i="58"/>
  <c r="G311" i="58"/>
  <c r="G42" i="58"/>
  <c r="I42" i="58"/>
  <c r="G272" i="58"/>
  <c r="I272" i="58"/>
  <c r="I92" i="58"/>
  <c r="G92" i="58"/>
  <c r="I210" i="58"/>
  <c r="G210" i="58"/>
  <c r="I87" i="58"/>
  <c r="G87" i="58"/>
  <c r="G110" i="58"/>
  <c r="I110" i="58"/>
  <c r="I289" i="58"/>
  <c r="G289" i="58"/>
  <c r="E176" i="58"/>
  <c r="E321" i="58"/>
  <c r="E316" i="58"/>
  <c r="E384" i="58"/>
  <c r="E68" i="58"/>
  <c r="E152" i="58"/>
  <c r="E308" i="58"/>
  <c r="E336" i="58"/>
  <c r="E35" i="58"/>
  <c r="E350" i="58"/>
  <c r="E141" i="58"/>
  <c r="E19" i="58"/>
  <c r="G130" i="58"/>
  <c r="I130" i="58"/>
  <c r="I256" i="58"/>
  <c r="G256" i="58"/>
  <c r="G304" i="58"/>
  <c r="I304" i="58"/>
  <c r="I170" i="58"/>
  <c r="G170" i="58"/>
  <c r="I66" i="58"/>
  <c r="G66" i="58"/>
  <c r="G125" i="58"/>
  <c r="I125" i="58"/>
  <c r="I171" i="58"/>
  <c r="G171" i="58"/>
  <c r="G354" i="58"/>
  <c r="I354" i="58"/>
  <c r="I49" i="58"/>
  <c r="G49" i="58"/>
  <c r="I48" i="58"/>
  <c r="G48" i="58"/>
  <c r="I315" i="58"/>
  <c r="G315" i="58"/>
  <c r="I36" i="58"/>
  <c r="G36" i="58"/>
  <c r="G109" i="58"/>
  <c r="I109" i="58"/>
  <c r="G174" i="58"/>
  <c r="I174" i="58"/>
  <c r="I115" i="58"/>
  <c r="G115" i="58"/>
  <c r="I263" i="58"/>
  <c r="G263" i="58"/>
  <c r="I361" i="58"/>
  <c r="G361" i="58"/>
  <c r="G205" i="58"/>
  <c r="I205" i="58"/>
  <c r="E201" i="58"/>
  <c r="E159" i="58"/>
  <c r="E266" i="58"/>
  <c r="E207" i="58"/>
  <c r="E288" i="58"/>
  <c r="E119" i="58"/>
  <c r="E246" i="58"/>
  <c r="E220" i="58"/>
  <c r="E370" i="58"/>
  <c r="E349" i="58"/>
  <c r="E385" i="58"/>
  <c r="E362" i="58"/>
  <c r="E16" i="58"/>
  <c r="E236" i="58"/>
  <c r="E57" i="58"/>
  <c r="E91" i="58"/>
  <c r="E99" i="58"/>
  <c r="E300" i="58"/>
  <c r="E213" i="58"/>
  <c r="E238" i="58"/>
  <c r="E337" i="58"/>
  <c r="E257" i="58"/>
  <c r="E104" i="58"/>
  <c r="E73" i="58"/>
  <c r="E122" i="58"/>
  <c r="E376" i="58"/>
  <c r="E364" i="58"/>
  <c r="E50" i="58"/>
  <c r="E212" i="58"/>
  <c r="E360" i="58"/>
  <c r="E303" i="58"/>
  <c r="E365" i="58"/>
  <c r="I46" i="58"/>
  <c r="G46" i="58"/>
  <c r="I285" i="58"/>
  <c r="G285" i="58"/>
  <c r="G318" i="58"/>
  <c r="I318" i="58"/>
  <c r="I378" i="58"/>
  <c r="G378" i="58"/>
  <c r="G366" i="58"/>
  <c r="I366" i="58"/>
  <c r="G85" i="58"/>
  <c r="I85" i="58"/>
  <c r="G200" i="58"/>
  <c r="I200" i="58"/>
  <c r="G114" i="58"/>
  <c r="I114" i="58"/>
  <c r="G382" i="58"/>
  <c r="I382" i="58"/>
  <c r="G52" i="58"/>
  <c r="I52" i="58"/>
  <c r="G214" i="58"/>
  <c r="I214" i="58"/>
  <c r="I372" i="58"/>
  <c r="G372" i="58"/>
  <c r="I233" i="58"/>
  <c r="G233" i="58"/>
  <c r="I211" i="58"/>
  <c r="G211" i="58"/>
  <c r="G340" i="58"/>
  <c r="I340" i="58"/>
  <c r="I208" i="58"/>
  <c r="G208" i="58"/>
  <c r="G302" i="58"/>
  <c r="I302" i="58"/>
  <c r="G123" i="58"/>
  <c r="I123" i="58"/>
  <c r="I323" i="58"/>
  <c r="G323" i="58"/>
  <c r="E98" i="58"/>
  <c r="E346" i="58"/>
  <c r="E165" i="58"/>
  <c r="E227" i="58"/>
  <c r="E273" i="58"/>
  <c r="E178" i="58"/>
  <c r="E377" i="58"/>
  <c r="E131" i="58"/>
  <c r="E193" i="58"/>
  <c r="E167" i="58"/>
  <c r="E355" i="58"/>
  <c r="E191" i="58"/>
  <c r="E267" i="58"/>
  <c r="E33" i="58"/>
  <c r="E127" i="58"/>
  <c r="E182" i="58"/>
  <c r="G299" i="58"/>
  <c r="I299" i="58"/>
  <c r="G128" i="58"/>
  <c r="I128" i="58"/>
  <c r="I86" i="58"/>
  <c r="G86" i="58"/>
  <c r="I25" i="58"/>
  <c r="G25" i="58"/>
  <c r="I112" i="58"/>
  <c r="G112" i="58"/>
  <c r="I32" i="58"/>
  <c r="G32" i="58"/>
  <c r="G180" i="58"/>
  <c r="I180" i="58"/>
  <c r="G94" i="58"/>
  <c r="I94" i="58"/>
  <c r="G71" i="58"/>
  <c r="I71" i="58"/>
  <c r="G74" i="58"/>
  <c r="I74" i="58"/>
  <c r="G317" i="58"/>
  <c r="I317" i="58"/>
  <c r="G146" i="58"/>
  <c r="I146" i="58"/>
  <c r="E121" i="58"/>
  <c r="E254" i="58"/>
  <c r="E23" i="58"/>
  <c r="E373" i="58"/>
  <c r="E375" i="58"/>
  <c r="E100" i="58"/>
  <c r="E224" i="58"/>
  <c r="E103" i="58"/>
  <c r="E108" i="58"/>
  <c r="E356" i="58"/>
  <c r="E37" i="58"/>
  <c r="E258" i="58"/>
  <c r="E309" i="58"/>
  <c r="E249" i="58"/>
  <c r="E275" i="58"/>
  <c r="E179" i="58"/>
  <c r="E186" i="58"/>
  <c r="E144" i="58"/>
  <c r="E184" i="58"/>
  <c r="E166" i="58"/>
  <c r="E30" i="58"/>
  <c r="E295" i="58"/>
  <c r="E215" i="58"/>
  <c r="E196" i="58"/>
  <c r="E335" i="58"/>
  <c r="E327" i="58"/>
  <c r="E242" i="58"/>
  <c r="E162" i="58"/>
  <c r="E352" i="58"/>
  <c r="E78" i="58"/>
  <c r="E297" i="58"/>
  <c r="E139" i="58"/>
  <c r="E77" i="58"/>
  <c r="E134" i="58"/>
  <c r="E380" i="58"/>
  <c r="E271" i="58"/>
  <c r="G343" i="58"/>
  <c r="I343" i="58"/>
  <c r="G160" i="58"/>
  <c r="I160" i="58"/>
  <c r="G329" i="58"/>
  <c r="I329" i="58"/>
  <c r="I262" i="58"/>
  <c r="G262" i="58"/>
  <c r="I332" i="58"/>
  <c r="G332" i="58"/>
  <c r="G198" i="58"/>
  <c r="I198" i="58"/>
  <c r="I199" i="58"/>
  <c r="G199" i="58"/>
  <c r="I278" i="58"/>
  <c r="G278" i="58"/>
  <c r="G283" i="58"/>
  <c r="I283" i="58"/>
  <c r="I40" i="58"/>
  <c r="G40" i="58"/>
  <c r="I106" i="58"/>
  <c r="G106" i="58"/>
  <c r="I41" i="58"/>
  <c r="G41" i="58"/>
  <c r="G65" i="58"/>
  <c r="I65" i="58"/>
  <c r="G351" i="58"/>
  <c r="I351" i="58"/>
  <c r="I34" i="58"/>
  <c r="G34" i="58"/>
  <c r="I95" i="58"/>
  <c r="G95" i="58"/>
  <c r="I62" i="58"/>
  <c r="G62" i="58"/>
  <c r="G61" i="58"/>
  <c r="I61" i="58"/>
  <c r="I155" i="58"/>
  <c r="G155" i="58"/>
  <c r="G51" i="58"/>
  <c r="I51" i="58"/>
  <c r="G369" i="58"/>
  <c r="I369" i="58"/>
  <c r="I287" i="58"/>
  <c r="G287" i="58"/>
  <c r="G371" i="58"/>
  <c r="I371" i="58"/>
  <c r="I248" i="58"/>
  <c r="G248" i="58"/>
  <c r="I38" i="58"/>
  <c r="G38" i="58"/>
  <c r="I135" i="58"/>
  <c r="G135" i="58"/>
  <c r="G124" i="58"/>
  <c r="I124" i="58"/>
  <c r="I333" i="58"/>
  <c r="G333" i="58"/>
  <c r="G250" i="58" l="1"/>
  <c r="I58" i="58"/>
  <c r="I209" i="58"/>
  <c r="E60" i="53"/>
  <c r="E59" i="53"/>
  <c r="G294" i="58"/>
  <c r="I58" i="53"/>
  <c r="I61" i="53" s="1"/>
  <c r="I62" i="53" s="1"/>
  <c r="I64" i="53" s="1"/>
  <c r="E136" i="58"/>
  <c r="G136" i="58" s="1"/>
  <c r="G75" i="58"/>
  <c r="I76" i="58"/>
  <c r="E60" i="60"/>
  <c r="E363" i="58"/>
  <c r="I363" i="58" s="1"/>
  <c r="E156" i="58"/>
  <c r="I156" i="58" s="1"/>
  <c r="E61" i="60"/>
  <c r="I59" i="60"/>
  <c r="I62" i="60" s="1"/>
  <c r="I63" i="60" s="1"/>
  <c r="I65" i="60" s="1"/>
  <c r="E298" i="58"/>
  <c r="I298" i="58" s="1"/>
  <c r="E118" i="58"/>
  <c r="G118" i="58" s="1"/>
  <c r="E80" i="58"/>
  <c r="G80" i="58" s="1"/>
  <c r="E269" i="58"/>
  <c r="I269" i="58" s="1"/>
  <c r="E79" i="58"/>
  <c r="G79" i="58" s="1"/>
  <c r="E72" i="58"/>
  <c r="I72" i="58" s="1"/>
  <c r="E39" i="58"/>
  <c r="G39" i="58" s="1"/>
  <c r="E67" i="58"/>
  <c r="G67" i="58" s="1"/>
  <c r="E326" i="58"/>
  <c r="I326" i="58" s="1"/>
  <c r="E24" i="58"/>
  <c r="I24" i="58" s="1"/>
  <c r="E137" i="58"/>
  <c r="G137" i="58" s="1"/>
  <c r="G271" i="58"/>
  <c r="I271" i="58"/>
  <c r="G184" i="58"/>
  <c r="I184" i="58"/>
  <c r="G249" i="58"/>
  <c r="I249" i="58"/>
  <c r="G108" i="58"/>
  <c r="I108" i="58"/>
  <c r="G23" i="58"/>
  <c r="I23" i="58"/>
  <c r="G182" i="58"/>
  <c r="I182" i="58"/>
  <c r="I167" i="58"/>
  <c r="G167" i="58"/>
  <c r="I346" i="58"/>
  <c r="G346" i="58"/>
  <c r="G192" i="58"/>
  <c r="I192" i="58"/>
  <c r="G225" i="58"/>
  <c r="I225" i="58"/>
  <c r="I15" i="58"/>
  <c r="G15" i="58"/>
  <c r="I29" i="58"/>
  <c r="G29" i="58"/>
  <c r="G367" i="58"/>
  <c r="I367" i="58"/>
  <c r="I270" i="58"/>
  <c r="G270" i="58"/>
  <c r="G281" i="58"/>
  <c r="I281" i="58"/>
  <c r="I132" i="58"/>
  <c r="G132" i="58"/>
  <c r="G78" i="58"/>
  <c r="I78" i="58"/>
  <c r="I242" i="58"/>
  <c r="G242" i="58"/>
  <c r="G196" i="58"/>
  <c r="I196" i="58"/>
  <c r="I303" i="58"/>
  <c r="G303" i="58"/>
  <c r="G50" i="58"/>
  <c r="I50" i="58"/>
  <c r="I122" i="58"/>
  <c r="G122" i="58"/>
  <c r="G238" i="58"/>
  <c r="I238" i="58"/>
  <c r="G99" i="58"/>
  <c r="I99" i="58"/>
  <c r="G236" i="58"/>
  <c r="I236" i="58"/>
  <c r="I385" i="58"/>
  <c r="G385" i="58"/>
  <c r="G370" i="58"/>
  <c r="I370" i="58"/>
  <c r="G207" i="58"/>
  <c r="I207" i="58"/>
  <c r="G201" i="58"/>
  <c r="I201" i="58"/>
  <c r="G19" i="58"/>
  <c r="I19" i="58"/>
  <c r="I35" i="58"/>
  <c r="G35" i="58"/>
  <c r="I152" i="58"/>
  <c r="G152" i="58"/>
  <c r="G384" i="58"/>
  <c r="I384" i="58"/>
  <c r="G176" i="58"/>
  <c r="I176" i="58"/>
  <c r="G82" i="58"/>
  <c r="I82" i="58"/>
  <c r="I47" i="58"/>
  <c r="G47" i="58"/>
  <c r="I21" i="58"/>
  <c r="G21" i="58"/>
  <c r="G301" i="58"/>
  <c r="I301" i="58"/>
  <c r="I147" i="58"/>
  <c r="G147" i="58"/>
  <c r="G22" i="58"/>
  <c r="I22" i="58"/>
  <c r="I338" i="58"/>
  <c r="G338" i="58"/>
  <c r="G203" i="58"/>
  <c r="I203" i="58"/>
  <c r="I55" i="58"/>
  <c r="G55" i="58"/>
  <c r="G232" i="58"/>
  <c r="I232" i="58"/>
  <c r="I168" i="58"/>
  <c r="G168" i="58"/>
  <c r="G264" i="58"/>
  <c r="I264" i="58"/>
  <c r="G359" i="58"/>
  <c r="I359" i="58"/>
  <c r="G265" i="58"/>
  <c r="I265" i="58"/>
  <c r="I105" i="58"/>
  <c r="G105" i="58"/>
  <c r="I277" i="58"/>
  <c r="G277" i="58"/>
  <c r="G282" i="58"/>
  <c r="I282" i="58"/>
  <c r="G142" i="58"/>
  <c r="I142" i="58"/>
  <c r="I77" i="58"/>
  <c r="G77" i="58"/>
  <c r="I186" i="58"/>
  <c r="G186" i="58"/>
  <c r="G100" i="58"/>
  <c r="I100" i="58"/>
  <c r="G267" i="58"/>
  <c r="I267" i="58"/>
  <c r="G377" i="58"/>
  <c r="I377" i="58"/>
  <c r="G227" i="58"/>
  <c r="I227" i="58"/>
  <c r="G244" i="58"/>
  <c r="I244" i="58"/>
  <c r="I310" i="58"/>
  <c r="G310" i="58"/>
  <c r="I357" i="58"/>
  <c r="G357" i="58"/>
  <c r="I331" i="58"/>
  <c r="G331" i="58"/>
  <c r="I292" i="58"/>
  <c r="G292" i="58"/>
  <c r="I83" i="58"/>
  <c r="G83" i="58"/>
  <c r="I161" i="58"/>
  <c r="G161" i="58"/>
  <c r="G279" i="58"/>
  <c r="I279" i="58"/>
  <c r="G380" i="58"/>
  <c r="I380" i="58"/>
  <c r="G30" i="58"/>
  <c r="I30" i="58"/>
  <c r="G179" i="58"/>
  <c r="I179" i="58"/>
  <c r="G309" i="58"/>
  <c r="I309" i="58"/>
  <c r="I37" i="58"/>
  <c r="G37" i="58"/>
  <c r="G103" i="58"/>
  <c r="I103" i="58"/>
  <c r="I375" i="58"/>
  <c r="G375" i="58"/>
  <c r="I254" i="58"/>
  <c r="G254" i="58"/>
  <c r="G127" i="58"/>
  <c r="I127" i="58"/>
  <c r="I191" i="58"/>
  <c r="G191" i="58"/>
  <c r="G193" i="58"/>
  <c r="I193" i="58"/>
  <c r="G178" i="58"/>
  <c r="I178" i="58"/>
  <c r="I118" i="58"/>
  <c r="I80" i="58"/>
  <c r="G102" i="58"/>
  <c r="I102" i="58"/>
  <c r="G28" i="58"/>
  <c r="I28" i="58"/>
  <c r="G140" i="58"/>
  <c r="I140" i="58"/>
  <c r="I313" i="58"/>
  <c r="G313" i="58"/>
  <c r="G348" i="58"/>
  <c r="I348" i="58"/>
  <c r="I59" i="58"/>
  <c r="G59" i="58"/>
  <c r="I183" i="58"/>
  <c r="G183" i="58"/>
  <c r="G164" i="58"/>
  <c r="I164" i="58"/>
  <c r="I101" i="58"/>
  <c r="G101" i="58"/>
  <c r="G217" i="58"/>
  <c r="I217" i="58"/>
  <c r="I307" i="58"/>
  <c r="G307" i="58"/>
  <c r="I260" i="58"/>
  <c r="G260" i="58"/>
  <c r="G319" i="58"/>
  <c r="I319" i="58"/>
  <c r="G120" i="58"/>
  <c r="I120" i="58"/>
  <c r="G268" i="58"/>
  <c r="I268" i="58"/>
  <c r="G296" i="58"/>
  <c r="I296" i="58"/>
  <c r="G88" i="58"/>
  <c r="I88" i="58"/>
  <c r="G255" i="58"/>
  <c r="I255" i="58"/>
  <c r="G352" i="58"/>
  <c r="I352" i="58"/>
  <c r="I215" i="58"/>
  <c r="G215" i="58"/>
  <c r="G364" i="58"/>
  <c r="I364" i="58"/>
  <c r="G73" i="58"/>
  <c r="I73" i="58"/>
  <c r="I213" i="58"/>
  <c r="G213" i="58"/>
  <c r="I91" i="58"/>
  <c r="G91" i="58"/>
  <c r="G16" i="58"/>
  <c r="I16" i="58"/>
  <c r="I220" i="58"/>
  <c r="G220" i="58"/>
  <c r="G119" i="58"/>
  <c r="I119" i="58"/>
  <c r="I141" i="58"/>
  <c r="G141" i="58"/>
  <c r="G316" i="58"/>
  <c r="I316" i="58"/>
  <c r="G129" i="58"/>
  <c r="I129" i="58"/>
  <c r="G31" i="58"/>
  <c r="I31" i="58"/>
  <c r="G60" i="58"/>
  <c r="I60" i="58"/>
  <c r="G218" i="58"/>
  <c r="I218" i="58"/>
  <c r="G96" i="58"/>
  <c r="I96" i="58"/>
  <c r="G328" i="58"/>
  <c r="I328" i="58"/>
  <c r="G126" i="58"/>
  <c r="I126" i="58"/>
  <c r="I368" i="58"/>
  <c r="G368" i="58"/>
  <c r="I134" i="58"/>
  <c r="G134" i="58"/>
  <c r="G166" i="58"/>
  <c r="I166" i="58"/>
  <c r="G144" i="58"/>
  <c r="I144" i="58"/>
  <c r="I275" i="58"/>
  <c r="G275" i="58"/>
  <c r="G258" i="58"/>
  <c r="I258" i="58"/>
  <c r="I356" i="58"/>
  <c r="G356" i="58"/>
  <c r="G224" i="58"/>
  <c r="I224" i="58"/>
  <c r="I373" i="58"/>
  <c r="G373" i="58"/>
  <c r="G121" i="58"/>
  <c r="I121" i="58"/>
  <c r="I33" i="58"/>
  <c r="G33" i="58"/>
  <c r="I355" i="58"/>
  <c r="G355" i="58"/>
  <c r="I131" i="58"/>
  <c r="G131" i="58"/>
  <c r="G273" i="58"/>
  <c r="I273" i="58"/>
  <c r="G165" i="58"/>
  <c r="I165" i="58"/>
  <c r="I98" i="58"/>
  <c r="G98" i="58"/>
  <c r="G365" i="58"/>
  <c r="I365" i="58"/>
  <c r="G306" i="58"/>
  <c r="I306" i="58"/>
  <c r="G358" i="58"/>
  <c r="I358" i="58"/>
  <c r="G324" i="58"/>
  <c r="I324" i="58"/>
  <c r="G219" i="58"/>
  <c r="I219" i="58"/>
  <c r="G197" i="58"/>
  <c r="I197" i="58"/>
  <c r="G237" i="58"/>
  <c r="I237" i="58"/>
  <c r="I243" i="58"/>
  <c r="G243" i="58"/>
  <c r="G175" i="58"/>
  <c r="I175" i="58"/>
  <c r="I185" i="58"/>
  <c r="G185" i="58"/>
  <c r="G163" i="58"/>
  <c r="I163" i="58"/>
  <c r="G234" i="58"/>
  <c r="I234" i="58"/>
  <c r="G276" i="58"/>
  <c r="I276" i="58"/>
  <c r="G64" i="58"/>
  <c r="I64" i="58"/>
  <c r="I293" i="58"/>
  <c r="G293" i="58"/>
  <c r="G322" i="58"/>
  <c r="I322" i="58"/>
  <c r="G341" i="58"/>
  <c r="I341" i="58"/>
  <c r="G274" i="58"/>
  <c r="I274" i="58"/>
  <c r="G139" i="58"/>
  <c r="I139" i="58"/>
  <c r="G327" i="58"/>
  <c r="I327" i="58"/>
  <c r="G360" i="58"/>
  <c r="I360" i="58"/>
  <c r="I257" i="58"/>
  <c r="G257" i="58"/>
  <c r="I349" i="58"/>
  <c r="G349" i="58"/>
  <c r="I266" i="58"/>
  <c r="G266" i="58"/>
  <c r="I336" i="58"/>
  <c r="G336" i="58"/>
  <c r="I228" i="58"/>
  <c r="G228" i="58"/>
  <c r="G334" i="58"/>
  <c r="I334" i="58"/>
  <c r="G195" i="58"/>
  <c r="I195" i="58"/>
  <c r="G344" i="58"/>
  <c r="I344" i="58"/>
  <c r="I297" i="58"/>
  <c r="G297" i="58"/>
  <c r="G162" i="58"/>
  <c r="I162" i="58"/>
  <c r="G335" i="58"/>
  <c r="I335" i="58"/>
  <c r="I295" i="58"/>
  <c r="G295" i="58"/>
  <c r="G212" i="58"/>
  <c r="I212" i="58"/>
  <c r="G376" i="58"/>
  <c r="I376" i="58"/>
  <c r="I104" i="58"/>
  <c r="G104" i="58"/>
  <c r="G337" i="58"/>
  <c r="I337" i="58"/>
  <c r="I300" i="58"/>
  <c r="G300" i="58"/>
  <c r="G57" i="58"/>
  <c r="I57" i="58"/>
  <c r="I362" i="58"/>
  <c r="G362" i="58"/>
  <c r="G246" i="58"/>
  <c r="I246" i="58"/>
  <c r="G288" i="58"/>
  <c r="I288" i="58"/>
  <c r="G159" i="58"/>
  <c r="I159" i="58"/>
  <c r="G350" i="58"/>
  <c r="I350" i="58"/>
  <c r="G308" i="58"/>
  <c r="I308" i="58"/>
  <c r="I68" i="58"/>
  <c r="G68" i="58"/>
  <c r="I321" i="58"/>
  <c r="G321" i="58"/>
  <c r="G286" i="58"/>
  <c r="I286" i="58"/>
  <c r="G158" i="58"/>
  <c r="I158" i="58"/>
  <c r="G280" i="58"/>
  <c r="I280" i="58"/>
  <c r="I89" i="58"/>
  <c r="G89" i="58"/>
  <c r="G284" i="58"/>
  <c r="I284" i="58"/>
  <c r="G231" i="58"/>
  <c r="I231" i="58"/>
  <c r="G202" i="58"/>
  <c r="I202" i="58"/>
  <c r="I20" i="58"/>
  <c r="G20" i="58"/>
  <c r="G54" i="58"/>
  <c r="I54" i="58"/>
  <c r="I177" i="58"/>
  <c r="G177" i="58"/>
  <c r="G138" i="58"/>
  <c r="I138" i="58"/>
  <c r="I342" i="58"/>
  <c r="G342" i="58"/>
  <c r="I107" i="58"/>
  <c r="G107" i="58"/>
  <c r="I148" i="58"/>
  <c r="G148" i="58"/>
  <c r="G204" i="58"/>
  <c r="I204" i="58"/>
  <c r="I145" i="58"/>
  <c r="G145" i="58"/>
  <c r="G320" i="58"/>
  <c r="I320" i="58"/>
  <c r="I374" i="58"/>
  <c r="G374" i="58"/>
  <c r="E61" i="53" l="1"/>
  <c r="I39" i="58"/>
  <c r="G363" i="58"/>
  <c r="G156" i="58"/>
  <c r="G269" i="58"/>
  <c r="I67" i="58"/>
  <c r="I79" i="58"/>
  <c r="I136" i="58"/>
  <c r="I137" i="58"/>
  <c r="G72" i="58"/>
  <c r="E62" i="60"/>
  <c r="G24" i="58"/>
  <c r="G298" i="58"/>
  <c r="G326" i="58"/>
  <c r="I409" i="58" l="1"/>
  <c r="I412" i="58" s="1"/>
  <c r="I413" i="58" s="1"/>
  <c r="I415" i="58" s="1"/>
  <c r="E411" i="58"/>
  <c r="E410" i="58"/>
  <c r="E412" i="5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A9FD820-4C33-4BAF-B383-1DF1579F8026}" keepAlive="1" name="Query - County of Vermillion MOQ xlsx" description="Connection to the 'County of Vermillion MOQ xlsx' query in the workbook." type="5" refreshedVersion="8" background="1" saveData="1">
    <dbPr connection="Provider=Microsoft.Mashup.OleDb.1;Data Source=$Workbook$;Location=&quot;County of Vermillion MOQ xlsx&quot;;Extended Properties=&quot;&quot;" command="SELECT * FROM [County of Vermillion MOQ xlsx]"/>
  </connection>
</connections>
</file>

<file path=xl/sharedStrings.xml><?xml version="1.0" encoding="utf-8"?>
<sst xmlns="http://schemas.openxmlformats.org/spreadsheetml/2006/main" count="825" uniqueCount="444">
  <si>
    <t>PART NUMBER</t>
  </si>
  <si>
    <t>DESCRIPTION</t>
  </si>
  <si>
    <t>QTY</t>
  </si>
  <si>
    <t>CAD $</t>
  </si>
  <si>
    <t>OEM MSRP</t>
  </si>
  <si>
    <t>GQP PRICE</t>
  </si>
  <si>
    <t>Seats</t>
  </si>
  <si>
    <t>COMPANY:</t>
  </si>
  <si>
    <t>DATE:</t>
  </si>
  <si>
    <t>PO NUMBER:</t>
  </si>
  <si>
    <t>CONTACT NAME:</t>
  </si>
  <si>
    <t>PHONE NUMBER:</t>
  </si>
  <si>
    <t>BILLING ADDRESS:</t>
  </si>
  <si>
    <t>EMAIL ADDRESS:</t>
  </si>
  <si>
    <t>SHIPPING ADDRESS:</t>
  </si>
  <si>
    <t>Make &amp; Model</t>
  </si>
  <si>
    <t>TOTAL</t>
  </si>
  <si>
    <t>Subtotal</t>
  </si>
  <si>
    <t>OEM MSRP :</t>
  </si>
  <si>
    <t>Shipping</t>
  </si>
  <si>
    <t>GQP :</t>
  </si>
  <si>
    <t>Customs/Broker Fee</t>
  </si>
  <si>
    <t>GQP SAVINGS :</t>
  </si>
  <si>
    <t>Total</t>
  </si>
  <si>
    <t>GST</t>
  </si>
  <si>
    <t>PST / QST</t>
  </si>
  <si>
    <t>Quote valid for 14 days, shipping subject to delays in supply chain.</t>
  </si>
  <si>
    <t>GRAND TOTAL</t>
  </si>
  <si>
    <t>MOQ QUOTE</t>
  </si>
  <si>
    <t>Injectors</t>
  </si>
  <si>
    <t>Grand Total</t>
  </si>
  <si>
    <t>Undercarriages</t>
  </si>
  <si>
    <t>Enoch</t>
  </si>
  <si>
    <t>G.E.T.</t>
  </si>
  <si>
    <t>1R-0749</t>
  </si>
  <si>
    <t>1R-1808</t>
  </si>
  <si>
    <t>112-7448</t>
  </si>
  <si>
    <t>1R-0719</t>
  </si>
  <si>
    <t>326-1644</t>
  </si>
  <si>
    <t>1G-8878</t>
  </si>
  <si>
    <t>1R-0750</t>
  </si>
  <si>
    <t>328-3655</t>
  </si>
  <si>
    <t>326-1643</t>
  </si>
  <si>
    <t>5I-8670</t>
  </si>
  <si>
    <t>093-7521</t>
  </si>
  <si>
    <t>513-4490</t>
  </si>
  <si>
    <t>209-8217</t>
  </si>
  <si>
    <t>1R-0777</t>
  </si>
  <si>
    <t>447-1720</t>
  </si>
  <si>
    <t>520-7951</t>
  </si>
  <si>
    <t>2J-3506</t>
  </si>
  <si>
    <t>5P-8248</t>
  </si>
  <si>
    <t>LINCOLN COUNTY OILFIELD SERVICES</t>
  </si>
  <si>
    <t>DUSTIN MINNS</t>
  </si>
  <si>
    <t>780-609-0758</t>
  </si>
  <si>
    <t>D.MINNS@LCOS.CA</t>
  </si>
  <si>
    <t>577-8381</t>
  </si>
  <si>
    <t>CAT D7</t>
  </si>
  <si>
    <t>Seat Group</t>
  </si>
  <si>
    <t>6W-9744</t>
  </si>
  <si>
    <t>AT527707</t>
  </si>
  <si>
    <t>JD 624K, JD 624KXDW</t>
  </si>
  <si>
    <t>Seat</t>
  </si>
  <si>
    <t>AT522591</t>
  </si>
  <si>
    <t>JD 650K</t>
  </si>
  <si>
    <t>AT522601</t>
  </si>
  <si>
    <t>JD 770G, JD 772G</t>
  </si>
  <si>
    <t>0S-1585</t>
  </si>
  <si>
    <t>0S-1594</t>
  </si>
  <si>
    <t>104-5857</t>
  </si>
  <si>
    <t>106-1642</t>
  </si>
  <si>
    <t>107-0719</t>
  </si>
  <si>
    <t>108-0946</t>
  </si>
  <si>
    <t>108-0954</t>
  </si>
  <si>
    <t>110-2976</t>
  </si>
  <si>
    <t>114-0358</t>
  </si>
  <si>
    <t>114-0359</t>
  </si>
  <si>
    <t>114-6099</t>
  </si>
  <si>
    <t>115-2422</t>
  </si>
  <si>
    <t>115-3696</t>
  </si>
  <si>
    <t>117-4089</t>
  </si>
  <si>
    <t>118-1608</t>
  </si>
  <si>
    <t>118-1609</t>
  </si>
  <si>
    <t>124-8237</t>
  </si>
  <si>
    <t>124-8240</t>
  </si>
  <si>
    <t>127-8216</t>
  </si>
  <si>
    <t>131-8821</t>
  </si>
  <si>
    <t>131-8822</t>
  </si>
  <si>
    <t>134-5276</t>
  </si>
  <si>
    <t>134-8726</t>
  </si>
  <si>
    <t>136-2422</t>
  </si>
  <si>
    <t>136-8308</t>
  </si>
  <si>
    <t>140-2334</t>
  </si>
  <si>
    <t>142-1339</t>
  </si>
  <si>
    <t>142-1404</t>
  </si>
  <si>
    <t>146-6695</t>
  </si>
  <si>
    <t>151-0914</t>
  </si>
  <si>
    <t>153-5044</t>
  </si>
  <si>
    <t>153-5656</t>
  </si>
  <si>
    <t>153-5700</t>
  </si>
  <si>
    <t>154-3642</t>
  </si>
  <si>
    <t>156-1200</t>
  </si>
  <si>
    <t>160-5130</t>
  </si>
  <si>
    <t>169-4019</t>
  </si>
  <si>
    <t>173-0946</t>
  </si>
  <si>
    <t>177-2347</t>
  </si>
  <si>
    <t>177-2348</t>
  </si>
  <si>
    <t>178-6342</t>
  </si>
  <si>
    <t>179-9806</t>
  </si>
  <si>
    <t>187-1603</t>
  </si>
  <si>
    <t>190-1546</t>
  </si>
  <si>
    <t>190-1551</t>
  </si>
  <si>
    <t>190-7396</t>
  </si>
  <si>
    <t>191-2933</t>
  </si>
  <si>
    <t>192-4744</t>
  </si>
  <si>
    <t>196-7074</t>
  </si>
  <si>
    <t>196-7078</t>
  </si>
  <si>
    <t>1M-1408</t>
  </si>
  <si>
    <t>1M-8867</t>
  </si>
  <si>
    <t>1R-0713</t>
  </si>
  <si>
    <t>1R-0746</t>
  </si>
  <si>
    <t>1R0749</t>
  </si>
  <si>
    <t>1R0750</t>
  </si>
  <si>
    <t>1R-0751</t>
  </si>
  <si>
    <t>1R-0753</t>
  </si>
  <si>
    <t>1R-1807</t>
  </si>
  <si>
    <t>1S1860</t>
  </si>
  <si>
    <t>1S-1860</t>
  </si>
  <si>
    <t>1U-3202</t>
  </si>
  <si>
    <t>202-4296</t>
  </si>
  <si>
    <t>213-1971</t>
  </si>
  <si>
    <t>213-5007</t>
  </si>
  <si>
    <t>216-6286</t>
  </si>
  <si>
    <t>216-7921</t>
  </si>
  <si>
    <t>219-7569</t>
  </si>
  <si>
    <t>222-1796</t>
  </si>
  <si>
    <t>222-1797</t>
  </si>
  <si>
    <t>224-1311</t>
  </si>
  <si>
    <t>229-5446</t>
  </si>
  <si>
    <t>229-6958</t>
  </si>
  <si>
    <t>235-5974</t>
  </si>
  <si>
    <t>240-9557</t>
  </si>
  <si>
    <t>248-7143</t>
  </si>
  <si>
    <t>251-8601</t>
  </si>
  <si>
    <t>252-5001</t>
  </si>
  <si>
    <t>252-5002</t>
  </si>
  <si>
    <t>254-0225</t>
  </si>
  <si>
    <t>255-8095</t>
  </si>
  <si>
    <t>259-2627</t>
  </si>
  <si>
    <t>267-4829</t>
  </si>
  <si>
    <t>267-6099</t>
  </si>
  <si>
    <t>278-4843</t>
  </si>
  <si>
    <t>282-3655</t>
  </si>
  <si>
    <t>284-5686</t>
  </si>
  <si>
    <t>285-3414</t>
  </si>
  <si>
    <t>288-0934</t>
  </si>
  <si>
    <t>288-0936</t>
  </si>
  <si>
    <t>288-3462</t>
  </si>
  <si>
    <t>294-4813</t>
  </si>
  <si>
    <t>2P-4004</t>
  </si>
  <si>
    <t>2S-1285</t>
  </si>
  <si>
    <t>2S-5658</t>
  </si>
  <si>
    <t>300-4545</t>
  </si>
  <si>
    <t>304-7196</t>
  </si>
  <si>
    <t>306-2148</t>
  </si>
  <si>
    <t>308-1502</t>
  </si>
  <si>
    <t>310-4912</t>
  </si>
  <si>
    <t>310-4915</t>
  </si>
  <si>
    <t>310-4918</t>
  </si>
  <si>
    <t>311-8150</t>
  </si>
  <si>
    <t>314-9972</t>
  </si>
  <si>
    <t>316-8889</t>
  </si>
  <si>
    <t>316-8894</t>
  </si>
  <si>
    <t>316-8895</t>
  </si>
  <si>
    <t>318-2375</t>
  </si>
  <si>
    <t>318-2558</t>
  </si>
  <si>
    <t>320-0690</t>
  </si>
  <si>
    <t>321-3600</t>
  </si>
  <si>
    <t>322-3151</t>
  </si>
  <si>
    <t>322-3155</t>
  </si>
  <si>
    <t>323-1168</t>
  </si>
  <si>
    <t>329-3243</t>
  </si>
  <si>
    <t>331-8108</t>
  </si>
  <si>
    <t>332-8903</t>
  </si>
  <si>
    <t>334-8389</t>
  </si>
  <si>
    <t>341-1417</t>
  </si>
  <si>
    <t>341-2814</t>
  </si>
  <si>
    <t>346-6694</t>
  </si>
  <si>
    <t>353-2186</t>
  </si>
  <si>
    <t>353-2187</t>
  </si>
  <si>
    <t>356-3429</t>
  </si>
  <si>
    <t>356-3430</t>
  </si>
  <si>
    <t>357-6019</t>
  </si>
  <si>
    <t>358-8557</t>
  </si>
  <si>
    <t>359-0128</t>
  </si>
  <si>
    <t>360-8960</t>
  </si>
  <si>
    <t>363-9402</t>
  </si>
  <si>
    <t>365-0751</t>
  </si>
  <si>
    <t>365-0752</t>
  </si>
  <si>
    <t>370-7280</t>
  </si>
  <si>
    <t>375-6431</t>
  </si>
  <si>
    <t>376-1274</t>
  </si>
  <si>
    <t>376-1275</t>
  </si>
  <si>
    <t>376-2025</t>
  </si>
  <si>
    <t>377-2989</t>
  </si>
  <si>
    <t>377-6969</t>
  </si>
  <si>
    <t>379-8893</t>
  </si>
  <si>
    <t>379-8894</t>
  </si>
  <si>
    <t>383-0293</t>
  </si>
  <si>
    <t>383-0433</t>
  </si>
  <si>
    <t>383-0544</t>
  </si>
  <si>
    <t>384-5674</t>
  </si>
  <si>
    <t>386-6920</t>
  </si>
  <si>
    <t>386-6934</t>
  </si>
  <si>
    <t>386-6936</t>
  </si>
  <si>
    <t>3B4504 </t>
  </si>
  <si>
    <t>3B-4632</t>
  </si>
  <si>
    <t>3B-5325</t>
  </si>
  <si>
    <t>3F-5108</t>
  </si>
  <si>
    <t>3G-3424</t>
  </si>
  <si>
    <t>3j6571</t>
  </si>
  <si>
    <t>3S-8182</t>
  </si>
  <si>
    <t>3T-3884</t>
  </si>
  <si>
    <t>3T-3889</t>
  </si>
  <si>
    <t>421-3007</t>
  </si>
  <si>
    <t>422-0864</t>
  </si>
  <si>
    <t>424-3436</t>
  </si>
  <si>
    <t>428-0056</t>
  </si>
  <si>
    <t>433-3886</t>
  </si>
  <si>
    <t>443-0318</t>
  </si>
  <si>
    <t>447-1707</t>
  </si>
  <si>
    <t>447-1718</t>
  </si>
  <si>
    <t>447-1723</t>
  </si>
  <si>
    <t>447-1725</t>
  </si>
  <si>
    <t>447-1731</t>
  </si>
  <si>
    <t>451-2176</t>
  </si>
  <si>
    <t>451-2177</t>
  </si>
  <si>
    <t>453-2855</t>
  </si>
  <si>
    <t>456-1742</t>
  </si>
  <si>
    <t>456-3509</t>
  </si>
  <si>
    <t>457-3636</t>
  </si>
  <si>
    <t>462-1171</t>
  </si>
  <si>
    <t>468-7455</t>
  </si>
  <si>
    <t>472-7939</t>
  </si>
  <si>
    <t>476-1146</t>
  </si>
  <si>
    <t>479-4131</t>
  </si>
  <si>
    <t>479-8989</t>
  </si>
  <si>
    <t>479-8991</t>
  </si>
  <si>
    <t>484-8282</t>
  </si>
  <si>
    <t>487-8695</t>
  </si>
  <si>
    <t>488-6511</t>
  </si>
  <si>
    <t>489-2731</t>
  </si>
  <si>
    <t>489-6483</t>
  </si>
  <si>
    <t>490-6505</t>
  </si>
  <si>
    <t>491-4518</t>
  </si>
  <si>
    <t>491-6075</t>
  </si>
  <si>
    <t>494-0057</t>
  </si>
  <si>
    <t>496-9845</t>
  </si>
  <si>
    <t>496-9846</t>
  </si>
  <si>
    <t>499-9026</t>
  </si>
  <si>
    <t>499-9049</t>
  </si>
  <si>
    <t>4K-0367</t>
  </si>
  <si>
    <t>4N-0313</t>
  </si>
  <si>
    <t>4N-0326</t>
  </si>
  <si>
    <t>4N-2955</t>
  </si>
  <si>
    <t>4S9051 </t>
  </si>
  <si>
    <t>4T-2315</t>
  </si>
  <si>
    <t>4T-3132</t>
  </si>
  <si>
    <t>4T-5407</t>
  </si>
  <si>
    <t>4T-5408</t>
  </si>
  <si>
    <t>4T-6229</t>
  </si>
  <si>
    <t>4T-6230</t>
  </si>
  <si>
    <t>4T-8940</t>
  </si>
  <si>
    <t>4V-4106</t>
  </si>
  <si>
    <t>500-0483</t>
  </si>
  <si>
    <t>500-0957</t>
  </si>
  <si>
    <t>503-1353</t>
  </si>
  <si>
    <t>504-5774</t>
  </si>
  <si>
    <t>509-5694</t>
  </si>
  <si>
    <t>517-2065</t>
  </si>
  <si>
    <t>523-4987</t>
  </si>
  <si>
    <t>525-6205</t>
  </si>
  <si>
    <t>526-7416</t>
  </si>
  <si>
    <t>528-7222</t>
  </si>
  <si>
    <t>529-0132</t>
  </si>
  <si>
    <t>533-5536</t>
  </si>
  <si>
    <t>539-6920</t>
  </si>
  <si>
    <t>540-3825</t>
  </si>
  <si>
    <t>540-3826</t>
  </si>
  <si>
    <t>540-3827</t>
  </si>
  <si>
    <t>540-3828</t>
  </si>
  <si>
    <t>541-4630</t>
  </si>
  <si>
    <t>545-8339</t>
  </si>
  <si>
    <t>551-2067</t>
  </si>
  <si>
    <t>553-8167</t>
  </si>
  <si>
    <t>561-1069</t>
  </si>
  <si>
    <t>565-4423</t>
  </si>
  <si>
    <t>566-2975</t>
  </si>
  <si>
    <t>566-8180</t>
  </si>
  <si>
    <t>569-6097</t>
  </si>
  <si>
    <t>571-0940</t>
  </si>
  <si>
    <t>571-5253</t>
  </si>
  <si>
    <t>575-9942</t>
  </si>
  <si>
    <t>577-1435</t>
  </si>
  <si>
    <t>587-3239</t>
  </si>
  <si>
    <t>590-9787</t>
  </si>
  <si>
    <t>596-4526</t>
  </si>
  <si>
    <t>596-8460</t>
  </si>
  <si>
    <t>5A-3187</t>
  </si>
  <si>
    <t>5J-4773</t>
  </si>
  <si>
    <t>5P-8245</t>
  </si>
  <si>
    <t>5P-8247</t>
  </si>
  <si>
    <t>604-1761</t>
  </si>
  <si>
    <t>605-4657</t>
  </si>
  <si>
    <t>607-2263</t>
  </si>
  <si>
    <t>610-2300</t>
  </si>
  <si>
    <t>610-6264</t>
  </si>
  <si>
    <t>614-7778</t>
  </si>
  <si>
    <t>615-6119</t>
  </si>
  <si>
    <t>615-6123</t>
  </si>
  <si>
    <t>617-1913</t>
  </si>
  <si>
    <t>629-6309</t>
  </si>
  <si>
    <t>651-2584</t>
  </si>
  <si>
    <t>651-2600</t>
  </si>
  <si>
    <t>6B-5464</t>
  </si>
  <si>
    <t>6I-2378</t>
  </si>
  <si>
    <t>6I-2499</t>
  </si>
  <si>
    <t>6I-2500</t>
  </si>
  <si>
    <t>6I-2503</t>
  </si>
  <si>
    <t>6I-2504</t>
  </si>
  <si>
    <t>6I-8077</t>
  </si>
  <si>
    <t>6K-9880</t>
  </si>
  <si>
    <t>6P-6664</t>
  </si>
  <si>
    <t>6S3609</t>
  </si>
  <si>
    <t>6T-0232</t>
  </si>
  <si>
    <t>6T-2779</t>
  </si>
  <si>
    <t>6T-2780</t>
  </si>
  <si>
    <t>6V-0937</t>
  </si>
  <si>
    <t>6V-1792</t>
  </si>
  <si>
    <t>6V-3669</t>
  </si>
  <si>
    <t>6V-4316</t>
  </si>
  <si>
    <t>6V-9167</t>
  </si>
  <si>
    <t>6Y-0309</t>
  </si>
  <si>
    <t>6Y-0352</t>
  </si>
  <si>
    <t>6Y-0359</t>
  </si>
  <si>
    <t>6Y-0846</t>
  </si>
  <si>
    <t>6Y-2126</t>
  </si>
  <si>
    <t>6Y-4898</t>
  </si>
  <si>
    <t>6Y-5685</t>
  </si>
  <si>
    <t>6Y-6300</t>
  </si>
  <si>
    <t>6Y-8180</t>
  </si>
  <si>
    <t>6Y-8973</t>
  </si>
  <si>
    <t>6Y-9024</t>
  </si>
  <si>
    <t>7E-9980</t>
  </si>
  <si>
    <t>7h-3599</t>
  </si>
  <si>
    <t>7H-3607</t>
  </si>
  <si>
    <t>7K-2017</t>
  </si>
  <si>
    <t>7N-2515</t>
  </si>
  <si>
    <t>7W-5317</t>
  </si>
  <si>
    <t>7W-5389</t>
  </si>
  <si>
    <t>7W-8910</t>
  </si>
  <si>
    <t>7X-0515</t>
  </si>
  <si>
    <t>7X-2532</t>
  </si>
  <si>
    <t>8E-5600</t>
  </si>
  <si>
    <t>8E-6208</t>
  </si>
  <si>
    <t>8E-6209</t>
  </si>
  <si>
    <t>8E-9378</t>
  </si>
  <si>
    <t>8E-9379</t>
  </si>
  <si>
    <t>8E-9805</t>
  </si>
  <si>
    <t>8H-5724</t>
  </si>
  <si>
    <t>8J-2190</t>
  </si>
  <si>
    <t>8J-5299</t>
  </si>
  <si>
    <t>8N-1187</t>
  </si>
  <si>
    <t>8N-7005</t>
  </si>
  <si>
    <t>8N-9803</t>
  </si>
  <si>
    <t>8P-8174</t>
  </si>
  <si>
    <t>8T-0281</t>
  </si>
  <si>
    <t>8T-0282</t>
  </si>
  <si>
    <t>8T-0359</t>
  </si>
  <si>
    <t>8T-0656</t>
  </si>
  <si>
    <t>8T-3282</t>
  </si>
  <si>
    <t>8T-4123</t>
  </si>
  <si>
    <t>8T-4131</t>
  </si>
  <si>
    <t>8T-4132</t>
  </si>
  <si>
    <t>8T-4192</t>
  </si>
  <si>
    <t>8T-4223</t>
  </si>
  <si>
    <t>8T-6430</t>
  </si>
  <si>
    <t>8T-7338</t>
  </si>
  <si>
    <t>8Y-6179</t>
  </si>
  <si>
    <t>9C-3696</t>
  </si>
  <si>
    <t>9G-3110</t>
  </si>
  <si>
    <t>9G-8592</t>
  </si>
  <si>
    <t>9J-8913</t>
  </si>
  <si>
    <t>9J-8923</t>
  </si>
  <si>
    <t>9P-7121</t>
  </si>
  <si>
    <t>9S-1838</t>
  </si>
  <si>
    <t>9S-9972</t>
  </si>
  <si>
    <t>9T-8578</t>
  </si>
  <si>
    <t>9W-3361</t>
  </si>
  <si>
    <t>9W-3619</t>
  </si>
  <si>
    <t>9W-8874</t>
  </si>
  <si>
    <t>9W-8875</t>
  </si>
  <si>
    <t>9w-9058</t>
  </si>
  <si>
    <t>9W-9265</t>
  </si>
  <si>
    <t>9X-3404</t>
  </si>
  <si>
    <t>9X-8268</t>
  </si>
  <si>
    <t>CUSOTM-GQP-516NOK</t>
  </si>
  <si>
    <t>CUSOTM-GQPPL61OK</t>
  </si>
  <si>
    <t>CUSTOM-GQP303.5EOK</t>
  </si>
  <si>
    <t>CUSTOM-GQP320ELOK</t>
  </si>
  <si>
    <t>CUSTOM-GQP320RK</t>
  </si>
  <si>
    <t>CUSTOM-GQP-561N30"TG</t>
  </si>
  <si>
    <t>CUSTOM-GQPC4.4BRK</t>
  </si>
  <si>
    <t>CUSTOM-GQPD3OK</t>
  </si>
  <si>
    <t>CUSTOM-GQPD4SSA</t>
  </si>
  <si>
    <t>CUSTOM-GQPD5ABA</t>
  </si>
  <si>
    <t>CUSTOM-GQPD5OK</t>
  </si>
  <si>
    <t>CUSTOM-GQPD630"TG</t>
  </si>
  <si>
    <t>CUSTOM-GQPD7G30"TG</t>
  </si>
  <si>
    <t>CUSTOM-GQPD7GSOK</t>
  </si>
  <si>
    <t>CUSTOM-GQPPL6130"TG</t>
  </si>
  <si>
    <t xml:space="preserve"> </t>
  </si>
  <si>
    <t>0S-1601</t>
  </si>
  <si>
    <t>108-1136</t>
  </si>
  <si>
    <t>108-1138</t>
  </si>
  <si>
    <t>118-1611</t>
  </si>
  <si>
    <t>118-1612</t>
  </si>
  <si>
    <t>125-4169</t>
  </si>
  <si>
    <t>125-4170</t>
  </si>
  <si>
    <t>132-8875</t>
  </si>
  <si>
    <t>154-3672</t>
  </si>
  <si>
    <t>2S-1286</t>
  </si>
  <si>
    <t>3B-4510</t>
  </si>
  <si>
    <t>3T-8601</t>
  </si>
  <si>
    <t>4N7693</t>
  </si>
  <si>
    <t>4P-2942</t>
  </si>
  <si>
    <t>5S-0724</t>
  </si>
  <si>
    <t>5S-0822</t>
  </si>
  <si>
    <t>7H-3597</t>
  </si>
  <si>
    <t>7T-3501</t>
  </si>
  <si>
    <t>8E-9812</t>
  </si>
  <si>
    <t>8N-8796</t>
  </si>
  <si>
    <t>8S8039</t>
  </si>
  <si>
    <t>CUSTOM-GQPD530"TG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</si>
</sst>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quot;$&quot;* #,##0.00_-;_-&quot;$&quot;* &quot;-&quot;??_-;_-@_-"/>
    <numFmt numFmtId="165" formatCode="_-* #,##0.00_-;\-* #,##0.00_-;_-* &quot;-&quot;??_-;_-@_-"/>
    <numFmt numFmtId="166" formatCode="_(&quot;$&quot;* #,##0.00_);_(&quot;$&quot;* \(#,##0.00\);_(&quot;$&quot;* &quot;-&quot;??_);_(@_)"/>
    <numFmt numFmtId="167" formatCode="[$-409]mmmm\ d\,\ yyyy;@"/>
    <numFmt numFmtId="168" formatCode="&quot;$&quot;#,##0.00"/>
    <numFmt numFmtId="169" formatCode="0;\-0;;@"/>
    <numFmt numFmtId="170" formatCode="[$-F800]dddd\,\ mmmm\ dd\,\ yyyy"/>
    <numFmt numFmtId="171" formatCode="_-* #,##0_-;\-* #,##0_-;_-* &quot;-&quot;??_-;_-@_-"/>
  </numFmts>
  <fonts count="17" x14ac:knownFonts="1">
    <font>
      <sz val="11"/>
      <color theme="1"/>
      <name val="Aptos Narrow"/>
      <family val="2"/>
      <scheme val="minor"/>
    </font>
    <font>
      <sz val="11"/>
      <color theme="1"/>
      <name val="Aptos Narrow"/>
      <family val="2"/>
      <scheme val="minor"/>
    </font>
    <font>
      <b/>
      <sz val="28"/>
      <color theme="1"/>
      <name val="Bahnschrift SemiCondensed"/>
      <family val="2"/>
    </font>
    <font>
      <b/>
      <sz val="28"/>
      <color theme="1"/>
      <name val="Aptos Narrow"/>
      <family val="2"/>
      <scheme val="minor"/>
    </font>
    <font>
      <b/>
      <sz val="10"/>
      <color theme="1"/>
      <name val="Arial Nova Cond"/>
      <family val="2"/>
    </font>
    <font>
      <b/>
      <sz val="9"/>
      <color theme="1"/>
      <name val="Arial Nova Cond"/>
      <family val="2"/>
    </font>
    <font>
      <sz val="10"/>
      <color theme="1"/>
      <name val="Arial Nova Cond"/>
      <family val="2"/>
    </font>
    <font>
      <sz val="9"/>
      <color theme="1"/>
      <name val="Arial Nova Cond"/>
      <family val="2"/>
    </font>
    <font>
      <sz val="11"/>
      <color theme="1"/>
      <name val="Bahnschrift SemiCondensed"/>
      <family val="2"/>
    </font>
    <font>
      <b/>
      <sz val="11"/>
      <color theme="0"/>
      <name val="Arial Nova Cond"/>
      <family val="2"/>
    </font>
    <font>
      <b/>
      <sz val="11"/>
      <color theme="1"/>
      <name val="Bahnschrift SemiCondensed"/>
      <family val="2"/>
    </font>
    <font>
      <sz val="11"/>
      <color theme="1"/>
      <name val="Arial Nova Cond"/>
      <family val="2"/>
    </font>
    <font>
      <b/>
      <sz val="11"/>
      <color theme="1"/>
      <name val="Arial Nova Cond"/>
      <family val="2"/>
    </font>
    <font>
      <b/>
      <sz val="11"/>
      <color rgb="FFFF0000"/>
      <name val="Arial Nova Cond"/>
      <family val="2"/>
    </font>
    <font>
      <b/>
      <sz val="12"/>
      <color theme="1"/>
      <name val="Arial Nova Cond"/>
      <family val="2"/>
    </font>
    <font>
      <u/>
      <sz val="11"/>
      <color theme="10"/>
      <name val="Aptos Narrow"/>
      <family val="2"/>
      <scheme val="minor"/>
    </font>
    <font>
      <sz val="8"/>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s>
  <cellStyleXfs count="4">
    <xf numFmtId="0" fontId="0" fillId="0" borderId="0"/>
    <xf numFmtId="166" fontId="1" fillId="0" borderId="0" applyFont="0" applyFill="0" applyBorder="0" applyAlignment="0" applyProtection="0"/>
    <xf numFmtId="165" fontId="1" fillId="0" borderId="0" applyFont="0" applyFill="0" applyBorder="0" applyAlignment="0" applyProtection="0"/>
    <xf numFmtId="0" fontId="15" fillId="0" borderId="0" applyNumberFormat="0" applyFill="0" applyBorder="0" applyAlignment="0" applyProtection="0"/>
  </cellStyleXfs>
  <cellXfs count="203">
    <xf numFmtId="0" fontId="0" fillId="0" borderId="0" xfId="0"/>
    <xf numFmtId="0" fontId="0" fillId="0" borderId="6" xfId="0" applyBorder="1"/>
    <xf numFmtId="0" fontId="0" fillId="0" borderId="10" xfId="0" applyBorder="1"/>
    <xf numFmtId="0" fontId="0" fillId="0" borderId="5" xfId="0" applyBorder="1"/>
    <xf numFmtId="0" fontId="0" fillId="0" borderId="12" xfId="0" applyBorder="1"/>
    <xf numFmtId="0" fontId="0" fillId="0" borderId="7" xfId="0" applyBorder="1"/>
    <xf numFmtId="0" fontId="0" fillId="3" borderId="13" xfId="0" applyFill="1" applyBorder="1"/>
    <xf numFmtId="0" fontId="0" fillId="3" borderId="0" xfId="0" applyFill="1"/>
    <xf numFmtId="0" fontId="3" fillId="3" borderId="0" xfId="0" applyFont="1" applyFill="1" applyAlignment="1">
      <alignment horizontal="center" wrapText="1"/>
    </xf>
    <xf numFmtId="170" fontId="4" fillId="2" borderId="1" xfId="0" applyNumberFormat="1" applyFont="1" applyFill="1" applyBorder="1" applyAlignment="1">
      <alignment horizontal="right"/>
    </xf>
    <xf numFmtId="167" fontId="4" fillId="0" borderId="1" xfId="0" applyNumberFormat="1" applyFont="1" applyBorder="1" applyAlignment="1">
      <alignment horizontal="left" vertical="center"/>
    </xf>
    <xf numFmtId="167" fontId="4" fillId="2" borderId="1" xfId="0" applyNumberFormat="1" applyFont="1" applyFill="1" applyBorder="1" applyAlignment="1">
      <alignment horizontal="center"/>
    </xf>
    <xf numFmtId="167" fontId="4" fillId="0" borderId="1" xfId="0" applyNumberFormat="1" applyFont="1" applyBorder="1" applyAlignment="1">
      <alignment horizontal="left"/>
    </xf>
    <xf numFmtId="0" fontId="5" fillId="2" borderId="1" xfId="0" applyFont="1" applyFill="1" applyBorder="1" applyAlignment="1">
      <alignment horizontal="center"/>
    </xf>
    <xf numFmtId="0" fontId="5" fillId="2" borderId="1" xfId="0" applyFont="1" applyFill="1" applyBorder="1" applyAlignment="1" applyProtection="1">
      <alignment horizontal="center"/>
      <protection locked="0"/>
    </xf>
    <xf numFmtId="0" fontId="8" fillId="3" borderId="14" xfId="0" applyFont="1" applyFill="1" applyBorder="1"/>
    <xf numFmtId="0" fontId="8" fillId="3" borderId="15" xfId="0" applyFont="1" applyFill="1" applyBorder="1"/>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0" xfId="0" applyFont="1" applyBorder="1" applyAlignment="1">
      <alignment horizontal="center"/>
    </xf>
    <xf numFmtId="169" fontId="6" fillId="0" borderId="2" xfId="0" applyNumberFormat="1" applyFont="1" applyBorder="1" applyAlignment="1">
      <alignment horizontal="left"/>
    </xf>
    <xf numFmtId="171" fontId="6" fillId="0" borderId="2" xfId="2" applyNumberFormat="1" applyFont="1" applyBorder="1" applyAlignment="1">
      <alignment horizontal="center"/>
    </xf>
    <xf numFmtId="166" fontId="6" fillId="0" borderId="2" xfId="1" applyFont="1" applyBorder="1" applyAlignment="1">
      <alignment horizontal="center"/>
    </xf>
    <xf numFmtId="166" fontId="6" fillId="2" borderId="2" xfId="1" applyFont="1" applyFill="1" applyBorder="1" applyProtection="1"/>
    <xf numFmtId="166" fontId="6" fillId="0" borderId="2" xfId="1" applyFont="1" applyBorder="1" applyProtection="1"/>
    <xf numFmtId="0" fontId="11" fillId="2" borderId="11" xfId="0" applyFont="1" applyFill="1" applyBorder="1" applyAlignment="1">
      <alignment horizontal="center"/>
    </xf>
    <xf numFmtId="0" fontId="12" fillId="0" borderId="1" xfId="0" applyFont="1" applyBorder="1"/>
    <xf numFmtId="164" fontId="11" fillId="0" borderId="1" xfId="0" applyNumberFormat="1" applyFont="1" applyBorder="1"/>
    <xf numFmtId="0" fontId="11" fillId="2" borderId="12" xfId="0" applyFont="1" applyFill="1" applyBorder="1"/>
    <xf numFmtId="0" fontId="11" fillId="2" borderId="0" xfId="0" applyFont="1" applyFill="1"/>
    <xf numFmtId="0" fontId="11" fillId="2" borderId="0" xfId="0" applyFont="1" applyFill="1" applyAlignment="1">
      <alignment horizontal="right" vertical="center" wrapText="1"/>
    </xf>
    <xf numFmtId="168" fontId="11" fillId="2" borderId="8" xfId="0" applyNumberFormat="1" applyFont="1" applyFill="1" applyBorder="1" applyAlignment="1">
      <alignment horizontal="left" vertical="center" wrapText="1"/>
    </xf>
    <xf numFmtId="166" fontId="11" fillId="2" borderId="1" xfId="1" applyFont="1" applyFill="1" applyBorder="1" applyProtection="1">
      <protection locked="0"/>
    </xf>
    <xf numFmtId="0" fontId="5" fillId="0" borderId="1" xfId="0" applyFont="1" applyBorder="1"/>
    <xf numFmtId="168" fontId="13" fillId="2" borderId="8" xfId="0" applyNumberFormat="1" applyFont="1" applyFill="1" applyBorder="1" applyAlignment="1">
      <alignment horizontal="left" vertical="center" wrapText="1"/>
    </xf>
    <xf numFmtId="166" fontId="11" fillId="0" borderId="1" xfId="0" applyNumberFormat="1" applyFont="1" applyBorder="1"/>
    <xf numFmtId="0" fontId="11" fillId="2" borderId="8" xfId="0" applyFont="1" applyFill="1" applyBorder="1" applyAlignment="1">
      <alignment horizontal="left" vertical="center" wrapText="1"/>
    </xf>
    <xf numFmtId="0" fontId="11" fillId="2" borderId="0" xfId="0" applyFont="1" applyFill="1" applyAlignment="1">
      <alignment vertical="center" wrapText="1"/>
    </xf>
    <xf numFmtId="0" fontId="11" fillId="2" borderId="8" xfId="0" applyFont="1" applyFill="1" applyBorder="1" applyAlignment="1">
      <alignment vertical="center" wrapText="1"/>
    </xf>
    <xf numFmtId="0" fontId="7" fillId="2" borderId="9" xfId="0" applyFont="1" applyFill="1" applyBorder="1" applyAlignment="1">
      <alignment horizontal="center"/>
    </xf>
    <xf numFmtId="0" fontId="14" fillId="0" borderId="1" xfId="0" applyFont="1" applyBorder="1"/>
    <xf numFmtId="166" fontId="14" fillId="0" borderId="1" xfId="0" applyNumberFormat="1" applyFont="1" applyBorder="1"/>
    <xf numFmtId="0" fontId="2" fillId="0" borderId="5" xfId="0" applyFont="1" applyBorder="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164" fontId="0" fillId="0" borderId="0" xfId="0" applyNumberFormat="1"/>
    <xf numFmtId="0" fontId="4" fillId="2" borderId="3" xfId="0" applyFont="1" applyFill="1" applyBorder="1"/>
    <xf numFmtId="0" fontId="5" fillId="2" borderId="3" xfId="0" applyFont="1" applyFill="1" applyBorder="1"/>
    <xf numFmtId="0" fontId="7" fillId="2" borderId="3" xfId="0" applyFont="1" applyFill="1" applyBorder="1"/>
    <xf numFmtId="0" fontId="5" fillId="2" borderId="4" xfId="0" applyFont="1" applyFill="1" applyBorder="1" applyAlignment="1">
      <alignment horizontal="center"/>
    </xf>
    <xf numFmtId="0" fontId="10" fillId="0" borderId="21" xfId="0" applyFont="1" applyBorder="1" applyAlignment="1">
      <alignment horizontal="center"/>
    </xf>
    <xf numFmtId="0" fontId="0" fillId="0" borderId="0" xfId="0" applyAlignment="1">
      <alignment wrapText="1"/>
    </xf>
    <xf numFmtId="169" fontId="6" fillId="0" borderId="2" xfId="0" applyNumberFormat="1" applyFont="1" applyBorder="1" applyAlignment="1">
      <alignment horizontal="left" wrapText="1"/>
    </xf>
    <xf numFmtId="171" fontId="6" fillId="0" borderId="2" xfId="2" applyNumberFormat="1" applyFont="1" applyBorder="1" applyAlignment="1">
      <alignment horizontal="center" wrapText="1"/>
    </xf>
    <xf numFmtId="166" fontId="6" fillId="0" borderId="2" xfId="1" applyFont="1" applyBorder="1" applyAlignment="1">
      <alignment horizontal="center" wrapText="1"/>
    </xf>
    <xf numFmtId="166" fontId="6" fillId="2" borderId="2" xfId="1" applyFont="1" applyFill="1" applyBorder="1" applyAlignment="1" applyProtection="1">
      <alignment wrapText="1"/>
    </xf>
    <xf numFmtId="166" fontId="0" fillId="0" borderId="0" xfId="0" applyNumberFormat="1" applyAlignment="1">
      <alignment wrapText="1"/>
    </xf>
    <xf numFmtId="167" fontId="4" fillId="0" borderId="4" xfId="0" applyNumberFormat="1" applyFont="1" applyBorder="1" applyAlignment="1">
      <alignment horizontal="left" vertical="center"/>
    </xf>
    <xf numFmtId="0" fontId="5" fillId="2" borderId="4" xfId="0" applyFont="1" applyFill="1" applyBorder="1" applyAlignment="1" applyProtection="1">
      <alignment horizontal="center"/>
      <protection locked="0"/>
    </xf>
    <xf numFmtId="0" fontId="10" fillId="0" borderId="22" xfId="0" applyFont="1" applyBorder="1" applyAlignment="1">
      <alignment horizontal="center"/>
    </xf>
    <xf numFmtId="166" fontId="6" fillId="0" borderId="9" xfId="1" applyFont="1" applyBorder="1" applyAlignment="1">
      <alignment horizontal="center"/>
    </xf>
    <xf numFmtId="169" fontId="6" fillId="0" borderId="23" xfId="0" applyNumberFormat="1" applyFont="1" applyBorder="1" applyAlignment="1">
      <alignment horizontal="left"/>
    </xf>
    <xf numFmtId="171" fontId="6" fillId="0" borderId="23" xfId="2" applyNumberFormat="1" applyFont="1" applyBorder="1" applyAlignment="1">
      <alignment horizontal="center"/>
    </xf>
    <xf numFmtId="166" fontId="6" fillId="0" borderId="23" xfId="1" applyFont="1" applyBorder="1" applyAlignment="1">
      <alignment horizontal="center"/>
    </xf>
    <xf numFmtId="166" fontId="6" fillId="2" borderId="23" xfId="1" applyFont="1" applyFill="1" applyBorder="1" applyProtection="1"/>
    <xf numFmtId="166" fontId="6" fillId="0" borderId="23" xfId="1" applyFont="1" applyBorder="1" applyProtection="1"/>
    <xf numFmtId="0" fontId="0" fillId="0" borderId="24" xfId="0" applyBorder="1"/>
    <xf numFmtId="0" fontId="0" fillId="0" borderId="25" xfId="0" applyBorder="1"/>
    <xf numFmtId="0" fontId="0" fillId="0" borderId="13" xfId="0" applyBorder="1"/>
    <xf numFmtId="0" fontId="0" fillId="0" borderId="28" xfId="0" applyBorder="1"/>
    <xf numFmtId="0" fontId="3" fillId="3" borderId="27" xfId="0" applyFont="1" applyFill="1" applyBorder="1" applyAlignment="1">
      <alignment horizontal="center" wrapText="1"/>
    </xf>
    <xf numFmtId="0" fontId="4" fillId="2" borderId="30" xfId="0" applyFont="1" applyFill="1" applyBorder="1"/>
    <xf numFmtId="167" fontId="4" fillId="0" borderId="31" xfId="0" applyNumberFormat="1" applyFont="1" applyBorder="1" applyAlignment="1">
      <alignment horizontal="left" vertical="center"/>
    </xf>
    <xf numFmtId="0" fontId="5" fillId="2" borderId="30" xfId="0" applyFont="1" applyFill="1" applyBorder="1"/>
    <xf numFmtId="0" fontId="7" fillId="2" borderId="30" xfId="0" applyFont="1" applyFill="1" applyBorder="1"/>
    <xf numFmtId="0" fontId="10" fillId="0" borderId="33" xfId="0" applyFont="1" applyBorder="1" applyAlignment="1">
      <alignment horizontal="center"/>
    </xf>
    <xf numFmtId="0" fontId="0" fillId="0" borderId="34" xfId="0" applyBorder="1" applyAlignment="1">
      <alignment wrapText="1"/>
    </xf>
    <xf numFmtId="166" fontId="6" fillId="0" borderId="35" xfId="1" applyFont="1" applyBorder="1" applyAlignment="1">
      <alignment horizontal="center" wrapText="1"/>
    </xf>
    <xf numFmtId="169" fontId="6" fillId="0" borderId="37" xfId="0" applyNumberFormat="1" applyFont="1" applyBorder="1" applyAlignment="1">
      <alignment horizontal="left" wrapText="1"/>
    </xf>
    <xf numFmtId="171" fontId="6" fillId="0" borderId="37" xfId="2" applyNumberFormat="1" applyFont="1" applyBorder="1" applyAlignment="1">
      <alignment horizontal="center" wrapText="1"/>
    </xf>
    <xf numFmtId="166" fontId="6" fillId="0" borderId="38" xfId="1" applyFont="1" applyBorder="1" applyAlignment="1">
      <alignment horizontal="center" wrapText="1"/>
    </xf>
    <xf numFmtId="0" fontId="3" fillId="3" borderId="13" xfId="0" applyFont="1" applyFill="1" applyBorder="1" applyAlignment="1">
      <alignment horizontal="center" wrapText="1"/>
    </xf>
    <xf numFmtId="167" fontId="4" fillId="2" borderId="34" xfId="0" applyNumberFormat="1" applyFont="1" applyFill="1" applyBorder="1" applyAlignment="1">
      <alignment horizontal="center"/>
    </xf>
    <xf numFmtId="167" fontId="4" fillId="0" borderId="31" xfId="0" applyNumberFormat="1" applyFont="1" applyBorder="1" applyAlignment="1">
      <alignment horizontal="left"/>
    </xf>
    <xf numFmtId="0" fontId="10" fillId="0" borderId="40" xfId="0" applyFont="1" applyBorder="1" applyAlignment="1">
      <alignment horizontal="center"/>
    </xf>
    <xf numFmtId="166" fontId="6" fillId="2" borderId="41" xfId="1" applyFont="1" applyFill="1" applyBorder="1" applyAlignment="1" applyProtection="1">
      <alignment wrapText="1"/>
    </xf>
    <xf numFmtId="166" fontId="6" fillId="0" borderId="35" xfId="1" applyFont="1" applyBorder="1" applyAlignment="1" applyProtection="1">
      <alignment wrapText="1"/>
    </xf>
    <xf numFmtId="166" fontId="6" fillId="2" borderId="42" xfId="1" applyFont="1" applyFill="1" applyBorder="1" applyAlignment="1" applyProtection="1">
      <alignment wrapText="1"/>
    </xf>
    <xf numFmtId="0" fontId="11" fillId="2" borderId="13" xfId="0" applyFont="1" applyFill="1" applyBorder="1"/>
    <xf numFmtId="0" fontId="11" fillId="2" borderId="27" xfId="0" applyFont="1" applyFill="1" applyBorder="1" applyAlignment="1">
      <alignment vertical="center" wrapText="1"/>
    </xf>
    <xf numFmtId="0" fontId="12" fillId="0" borderId="44" xfId="0" applyFont="1" applyBorder="1"/>
    <xf numFmtId="164" fontId="11" fillId="0" borderId="45" xfId="0" applyNumberFormat="1" applyFont="1" applyBorder="1"/>
    <xf numFmtId="0" fontId="12" fillId="0" borderId="34" xfId="0" applyFont="1" applyBorder="1"/>
    <xf numFmtId="166" fontId="11" fillId="2" borderId="31" xfId="1" applyFont="1" applyFill="1" applyBorder="1" applyProtection="1">
      <protection locked="0"/>
    </xf>
    <xf numFmtId="0" fontId="5" fillId="0" borderId="34" xfId="0" applyFont="1" applyBorder="1"/>
    <xf numFmtId="166" fontId="11" fillId="0" borderId="31" xfId="0" applyNumberFormat="1" applyFont="1" applyBorder="1"/>
    <xf numFmtId="0" fontId="14" fillId="0" borderId="36" xfId="0" applyFont="1" applyBorder="1"/>
    <xf numFmtId="166" fontId="14" fillId="0" borderId="40" xfId="0" applyNumberFormat="1" applyFont="1" applyBorder="1"/>
    <xf numFmtId="0" fontId="0" fillId="0" borderId="34" xfId="0" applyBorder="1"/>
    <xf numFmtId="169" fontId="6" fillId="0" borderId="41" xfId="0" applyNumberFormat="1" applyFont="1" applyBorder="1" applyAlignment="1">
      <alignment horizontal="left"/>
    </xf>
    <xf numFmtId="169" fontId="6" fillId="0" borderId="42" xfId="0" applyNumberFormat="1" applyFont="1" applyBorder="1" applyAlignment="1">
      <alignment horizontal="left"/>
    </xf>
    <xf numFmtId="0" fontId="2" fillId="0" borderId="25" xfId="0" applyFont="1" applyBorder="1" applyAlignment="1">
      <alignment vertical="center" wrapText="1"/>
    </xf>
    <xf numFmtId="166" fontId="6" fillId="0" borderId="35" xfId="1" applyFont="1" applyBorder="1" applyProtection="1"/>
    <xf numFmtId="164" fontId="11" fillId="0" borderId="31" xfId="0" applyNumberFormat="1" applyFont="1" applyBorder="1"/>
    <xf numFmtId="0" fontId="7" fillId="2" borderId="46" xfId="0" applyFont="1" applyFill="1" applyBorder="1" applyAlignment="1">
      <alignment horizontal="center"/>
    </xf>
    <xf numFmtId="0" fontId="14" fillId="0" borderId="20" xfId="0" applyFont="1" applyBorder="1"/>
    <xf numFmtId="0" fontId="0" fillId="0" borderId="36" xfId="0" applyBorder="1"/>
    <xf numFmtId="166" fontId="6" fillId="0" borderId="38" xfId="1" applyFont="1" applyBorder="1" applyProtection="1"/>
    <xf numFmtId="0" fontId="10" fillId="0" borderId="25" xfId="0" applyFont="1" applyBorder="1" applyAlignment="1">
      <alignment horizontal="center"/>
    </xf>
    <xf numFmtId="0" fontId="10" fillId="0" borderId="47" xfId="0" applyFont="1" applyBorder="1" applyAlignment="1">
      <alignment horizontal="center"/>
    </xf>
    <xf numFmtId="0" fontId="10" fillId="0" borderId="48" xfId="0" applyFont="1" applyBorder="1" applyAlignment="1">
      <alignment horizontal="center"/>
    </xf>
    <xf numFmtId="0" fontId="10" fillId="0" borderId="49" xfId="0" applyFont="1" applyBorder="1" applyAlignment="1">
      <alignment horizontal="center"/>
    </xf>
    <xf numFmtId="0" fontId="10" fillId="0" borderId="50" xfId="0" applyFont="1" applyBorder="1" applyAlignment="1">
      <alignment horizontal="center"/>
    </xf>
    <xf numFmtId="0" fontId="10" fillId="0" borderId="51" xfId="0" applyFont="1" applyBorder="1" applyAlignment="1">
      <alignment horizontal="center"/>
    </xf>
    <xf numFmtId="0" fontId="11" fillId="2" borderId="8" xfId="0" applyFont="1" applyFill="1" applyBorder="1" applyAlignment="1">
      <alignment horizontal="center"/>
    </xf>
    <xf numFmtId="0" fontId="12" fillId="0" borderId="41" xfId="0" applyFont="1" applyBorder="1"/>
    <xf numFmtId="164" fontId="11" fillId="0" borderId="35" xfId="0" applyNumberFormat="1" applyFont="1" applyBorder="1"/>
    <xf numFmtId="169" fontId="6" fillId="0" borderId="1" xfId="0" applyNumberFormat="1" applyFont="1" applyBorder="1" applyAlignment="1">
      <alignment horizontal="left" wrapText="1"/>
    </xf>
    <xf numFmtId="171" fontId="6" fillId="0" borderId="1" xfId="2" applyNumberFormat="1" applyFont="1" applyBorder="1" applyAlignment="1">
      <alignment horizontal="center" wrapText="1"/>
    </xf>
    <xf numFmtId="166" fontId="6" fillId="0" borderId="1" xfId="1" applyFont="1" applyBorder="1" applyAlignment="1">
      <alignment horizontal="center" wrapText="1"/>
    </xf>
    <xf numFmtId="166" fontId="6" fillId="0" borderId="1" xfId="1" applyFont="1" applyBorder="1" applyAlignment="1">
      <alignment horizontal="center"/>
    </xf>
    <xf numFmtId="166" fontId="6" fillId="2" borderId="1" xfId="1" applyFont="1" applyFill="1" applyBorder="1" applyAlignment="1" applyProtection="1">
      <alignment wrapText="1"/>
    </xf>
    <xf numFmtId="0" fontId="0" fillId="0" borderId="44" xfId="0" applyBorder="1"/>
    <xf numFmtId="169" fontId="6" fillId="0" borderId="52" xfId="0" applyNumberFormat="1" applyFont="1" applyBorder="1" applyAlignment="1">
      <alignment horizontal="left" wrapText="1"/>
    </xf>
    <xf numFmtId="171" fontId="6" fillId="0" borderId="52" xfId="2" applyNumberFormat="1" applyFont="1" applyBorder="1" applyAlignment="1">
      <alignment horizontal="center" wrapText="1"/>
    </xf>
    <xf numFmtId="166" fontId="6" fillId="0" borderId="52" xfId="1" applyFont="1" applyBorder="1" applyAlignment="1">
      <alignment horizontal="center" wrapText="1"/>
    </xf>
    <xf numFmtId="166" fontId="6" fillId="0" borderId="52" xfId="1" applyFont="1" applyBorder="1" applyAlignment="1">
      <alignment horizontal="center"/>
    </xf>
    <xf numFmtId="166" fontId="6" fillId="2" borderId="52" xfId="1" applyFont="1" applyFill="1" applyBorder="1" applyAlignment="1" applyProtection="1">
      <alignment wrapText="1"/>
    </xf>
    <xf numFmtId="166" fontId="6" fillId="0" borderId="45" xfId="1" applyFont="1" applyBorder="1" applyProtection="1"/>
    <xf numFmtId="166" fontId="6" fillId="0" borderId="31" xfId="1" applyFont="1" applyBorder="1" applyProtection="1"/>
    <xf numFmtId="169" fontId="6" fillId="0" borderId="34" xfId="0" applyNumberFormat="1" applyFont="1" applyBorder="1" applyAlignment="1">
      <alignment horizontal="left"/>
    </xf>
    <xf numFmtId="169" fontId="6" fillId="0" borderId="36" xfId="0" applyNumberFormat="1" applyFont="1" applyBorder="1" applyAlignment="1">
      <alignment horizontal="left"/>
    </xf>
    <xf numFmtId="169" fontId="6" fillId="0" borderId="20" xfId="0" applyNumberFormat="1" applyFont="1" applyBorder="1" applyAlignment="1">
      <alignment horizontal="left" wrapText="1"/>
    </xf>
    <xf numFmtId="171" fontId="6" fillId="0" borderId="20" xfId="2" applyNumberFormat="1" applyFont="1" applyBorder="1" applyAlignment="1">
      <alignment horizontal="center" wrapText="1"/>
    </xf>
    <xf numFmtId="166" fontId="6" fillId="0" borderId="20" xfId="1" applyFont="1" applyBorder="1" applyAlignment="1">
      <alignment horizontal="center" wrapText="1"/>
    </xf>
    <xf numFmtId="166" fontId="6" fillId="0" borderId="20" xfId="1" applyFont="1" applyBorder="1" applyAlignment="1">
      <alignment horizontal="center"/>
    </xf>
    <xf numFmtId="166" fontId="6" fillId="2" borderId="20" xfId="1" applyFont="1" applyFill="1" applyBorder="1" applyAlignment="1" applyProtection="1">
      <alignment wrapText="1"/>
    </xf>
    <xf numFmtId="166" fontId="6" fillId="0" borderId="40" xfId="1" applyFont="1" applyBorder="1" applyProtection="1"/>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9" fillId="3" borderId="32" xfId="0" applyFont="1" applyFill="1" applyBorder="1" applyAlignment="1">
      <alignment horizontal="center"/>
    </xf>
    <xf numFmtId="0" fontId="9" fillId="3" borderId="5" xfId="0" applyFont="1" applyFill="1" applyBorder="1" applyAlignment="1">
      <alignment horizontal="center"/>
    </xf>
    <xf numFmtId="0" fontId="9" fillId="3" borderId="39" xfId="0" applyFont="1" applyFill="1" applyBorder="1" applyAlignment="1">
      <alignment horizontal="center"/>
    </xf>
    <xf numFmtId="0" fontId="11" fillId="2" borderId="24" xfId="0" applyFont="1" applyFill="1" applyBorder="1" applyAlignment="1">
      <alignment horizontal="center"/>
    </xf>
    <xf numFmtId="0" fontId="11" fillId="2" borderId="25" xfId="0" applyFont="1" applyFill="1" applyBorder="1" applyAlignment="1">
      <alignment horizontal="center"/>
    </xf>
    <xf numFmtId="0" fontId="11" fillId="2" borderId="26" xfId="0" applyFont="1" applyFill="1" applyBorder="1" applyAlignment="1">
      <alignment horizontal="center"/>
    </xf>
    <xf numFmtId="168" fontId="11" fillId="2" borderId="0" xfId="0" applyNumberFormat="1" applyFont="1" applyFill="1" applyAlignment="1">
      <alignment horizontal="left" vertical="center" wrapText="1"/>
    </xf>
    <xf numFmtId="168" fontId="11" fillId="2" borderId="27" xfId="0" applyNumberFormat="1" applyFont="1" applyFill="1" applyBorder="1" applyAlignment="1">
      <alignment horizontal="left" vertical="center" wrapText="1"/>
    </xf>
    <xf numFmtId="0" fontId="5" fillId="2" borderId="1" xfId="0" applyFont="1" applyFill="1" applyBorder="1" applyAlignment="1">
      <alignment horizontal="center"/>
    </xf>
    <xf numFmtId="0" fontId="5" fillId="2" borderId="31" xfId="0" applyFont="1" applyFill="1" applyBorder="1" applyAlignment="1">
      <alignment horizontal="center"/>
    </xf>
    <xf numFmtId="169" fontId="7" fillId="0" borderId="34" xfId="0" applyNumberFormat="1" applyFont="1" applyBorder="1"/>
    <xf numFmtId="169" fontId="7" fillId="0" borderId="31" xfId="0" applyNumberFormat="1" applyFont="1" applyBorder="1"/>
    <xf numFmtId="0" fontId="7" fillId="0" borderId="34" xfId="0" applyFont="1" applyBorder="1" applyProtection="1">
      <protection locked="0"/>
    </xf>
    <xf numFmtId="0" fontId="7" fillId="0" borderId="31" xfId="0" applyFont="1" applyBorder="1" applyProtection="1">
      <protection locked="0"/>
    </xf>
    <xf numFmtId="169" fontId="15" fillId="0" borderId="34" xfId="3" applyNumberFormat="1" applyBorder="1"/>
    <xf numFmtId="169" fontId="4" fillId="0" borderId="31" xfId="0" applyNumberFormat="1" applyFont="1" applyBorder="1"/>
    <xf numFmtId="0" fontId="4" fillId="0" borderId="34" xfId="0" applyFont="1" applyBorder="1"/>
    <xf numFmtId="0" fontId="4" fillId="0" borderId="31" xfId="0" applyFont="1" applyBorder="1"/>
    <xf numFmtId="0" fontId="7" fillId="2" borderId="14" xfId="0" applyFont="1" applyFill="1" applyBorder="1" applyAlignment="1">
      <alignment horizontal="center"/>
    </xf>
    <xf numFmtId="0" fontId="7" fillId="2" borderId="15" xfId="0" applyFont="1" applyFill="1" applyBorder="1" applyAlignment="1">
      <alignment horizontal="center"/>
    </xf>
    <xf numFmtId="0" fontId="7" fillId="2" borderId="43" xfId="0" applyFont="1" applyFill="1" applyBorder="1" applyAlignment="1">
      <alignment horizontal="center"/>
    </xf>
    <xf numFmtId="0" fontId="2" fillId="0" borderId="25" xfId="0" applyFont="1" applyBorder="1" applyAlignment="1">
      <alignment horizontal="center" vertical="center" wrapText="1"/>
    </xf>
    <xf numFmtId="0" fontId="2" fillId="0" borderId="0" xfId="0" applyFont="1" applyAlignment="1">
      <alignment horizontal="center" vertical="center" wrapText="1"/>
    </xf>
    <xf numFmtId="0" fontId="2" fillId="0" borderId="6" xfId="0" applyFont="1" applyBorder="1" applyAlignment="1">
      <alignment horizontal="center" vertical="center" wrapText="1"/>
    </xf>
    <xf numFmtId="168" fontId="13" fillId="2" borderId="0" xfId="0" applyNumberFormat="1" applyFont="1" applyFill="1" applyAlignment="1">
      <alignment horizontal="left" vertical="center" wrapText="1"/>
    </xf>
    <xf numFmtId="168" fontId="13" fillId="2" borderId="27" xfId="0" applyNumberFormat="1" applyFont="1" applyFill="1" applyBorder="1" applyAlignment="1">
      <alignment horizontal="left" vertical="center" wrapText="1"/>
    </xf>
    <xf numFmtId="0" fontId="11" fillId="2" borderId="0" xfId="0" applyFont="1" applyFill="1" applyAlignment="1">
      <alignment horizontal="left" vertical="center" wrapText="1"/>
    </xf>
    <xf numFmtId="0" fontId="11" fillId="2" borderId="27" xfId="0" applyFont="1" applyFill="1" applyBorder="1" applyAlignment="1">
      <alignment horizontal="left" vertical="center" wrapText="1"/>
    </xf>
    <xf numFmtId="169" fontId="4" fillId="0" borderId="1" xfId="0" applyNumberFormat="1" applyFont="1" applyBorder="1" applyAlignment="1">
      <alignment horizontal="left"/>
    </xf>
    <xf numFmtId="0" fontId="5" fillId="2" borderId="1" xfId="0" applyFont="1" applyFill="1" applyBorder="1" applyAlignment="1" applyProtection="1">
      <alignment horizontal="center"/>
      <protection locked="0"/>
    </xf>
    <xf numFmtId="0" fontId="5" fillId="2" borderId="31" xfId="0" applyFont="1" applyFill="1" applyBorder="1" applyAlignment="1" applyProtection="1">
      <alignment horizontal="center"/>
      <protection locked="0"/>
    </xf>
    <xf numFmtId="169" fontId="4" fillId="0" borderId="3" xfId="0" applyNumberFormat="1" applyFont="1" applyBorder="1" applyAlignment="1">
      <alignment horizontal="left"/>
    </xf>
    <xf numFmtId="169" fontId="4" fillId="0" borderId="4" xfId="0" applyNumberFormat="1" applyFont="1" applyBorder="1" applyAlignment="1">
      <alignment horizontal="left"/>
    </xf>
    <xf numFmtId="0" fontId="11" fillId="2" borderId="13" xfId="0" applyFont="1" applyFill="1" applyBorder="1" applyAlignment="1">
      <alignment horizontal="center"/>
    </xf>
    <xf numFmtId="0" fontId="11" fillId="2" borderId="0" xfId="0" applyFont="1" applyFill="1" applyAlignment="1">
      <alignment horizontal="center"/>
    </xf>
    <xf numFmtId="0" fontId="11" fillId="2" borderId="27" xfId="0" applyFont="1" applyFill="1" applyBorder="1" applyAlignment="1">
      <alignment horizontal="center"/>
    </xf>
    <xf numFmtId="0" fontId="11" fillId="2" borderId="39" xfId="0" applyFont="1" applyFill="1" applyBorder="1" applyAlignment="1">
      <alignment horizontal="center"/>
    </xf>
    <xf numFmtId="0" fontId="11" fillId="2" borderId="5" xfId="0" applyFont="1" applyFill="1" applyBorder="1" applyAlignment="1">
      <alignment horizontal="center"/>
    </xf>
    <xf numFmtId="0" fontId="11" fillId="2" borderId="11" xfId="0" applyFont="1" applyFill="1" applyBorder="1" applyAlignment="1">
      <alignment horizontal="center"/>
    </xf>
    <xf numFmtId="168" fontId="11" fillId="2" borderId="8" xfId="0" applyNumberFormat="1" applyFont="1" applyFill="1" applyBorder="1" applyAlignment="1">
      <alignment horizontal="left" vertical="center" wrapText="1"/>
    </xf>
    <xf numFmtId="169" fontId="7" fillId="0" borderId="1" xfId="0" applyNumberFormat="1" applyFont="1" applyBorder="1"/>
    <xf numFmtId="0" fontId="7" fillId="0" borderId="1" xfId="0" applyFont="1" applyBorder="1" applyProtection="1">
      <protection locked="0"/>
    </xf>
    <xf numFmtId="0" fontId="4" fillId="0" borderId="1" xfId="0" applyFont="1" applyBorder="1"/>
    <xf numFmtId="169" fontId="15" fillId="0" borderId="1" xfId="3" applyNumberFormat="1" applyBorder="1"/>
    <xf numFmtId="0" fontId="7" fillId="2" borderId="46" xfId="0" applyFont="1" applyFill="1" applyBorder="1" applyAlignment="1">
      <alignment horizontal="center"/>
    </xf>
    <xf numFmtId="168" fontId="13" fillId="2" borderId="8" xfId="0" applyNumberFormat="1" applyFont="1" applyFill="1" applyBorder="1" applyAlignment="1">
      <alignment horizontal="left" vertical="center" wrapText="1"/>
    </xf>
    <xf numFmtId="0" fontId="11" fillId="2" borderId="8" xfId="0" applyFont="1" applyFill="1" applyBorder="1" applyAlignment="1">
      <alignment horizontal="left" vertical="center" wrapText="1"/>
    </xf>
    <xf numFmtId="0" fontId="2" fillId="0" borderId="5"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9" fontId="4" fillId="0" borderId="1" xfId="0" applyNumberFormat="1" applyFont="1" applyBorder="1" applyAlignment="1">
      <alignment horizontal="center"/>
    </xf>
    <xf numFmtId="169" fontId="4" fillId="0" borderId="1" xfId="0" applyNumberFormat="1" applyFont="1" applyBorder="1"/>
    <xf numFmtId="0" fontId="7" fillId="2" borderId="7" xfId="0" applyFont="1" applyFill="1" applyBorder="1" applyAlignment="1">
      <alignment horizontal="center"/>
    </xf>
    <xf numFmtId="0" fontId="7" fillId="2" borderId="6" xfId="0" applyFont="1" applyFill="1" applyBorder="1" applyAlignment="1">
      <alignment horizontal="center"/>
    </xf>
    <xf numFmtId="0" fontId="7" fillId="2" borderId="9" xfId="0" applyFont="1" applyFill="1" applyBorder="1" applyAlignment="1">
      <alignment horizontal="center"/>
    </xf>
    <xf numFmtId="0" fontId="11" fillId="2" borderId="10" xfId="0" applyFont="1" applyFill="1" applyBorder="1" applyAlignment="1">
      <alignment horizontal="center"/>
    </xf>
  </cellXfs>
  <cellStyles count="4">
    <cellStyle name="Comma" xfId="2" builtinId="3"/>
    <cellStyle name="Currency" xfId="1"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2539197</xdr:colOff>
      <xdr:row>4</xdr:row>
      <xdr:rowOff>123825</xdr:rowOff>
    </xdr:to>
    <xdr:pic>
      <xdr:nvPicPr>
        <xdr:cNvPr id="2" name="Picture 1">
          <a:extLst>
            <a:ext uri="{FF2B5EF4-FFF2-40B4-BE49-F238E27FC236}">
              <a16:creationId xmlns:a16="http://schemas.microsoft.com/office/drawing/2014/main" id="{FD778E64-EB4F-40A6-BEF0-CF82F7A22C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3" name="Picture 2">
          <a:extLst>
            <a:ext uri="{FF2B5EF4-FFF2-40B4-BE49-F238E27FC236}">
              <a16:creationId xmlns:a16="http://schemas.microsoft.com/office/drawing/2014/main" id="{E466453A-E7A4-45BB-84B7-70373A2593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2624922</xdr:colOff>
      <xdr:row>4</xdr:row>
      <xdr:rowOff>123825</xdr:rowOff>
    </xdr:to>
    <xdr:pic>
      <xdr:nvPicPr>
        <xdr:cNvPr id="5" name="Picture 4">
          <a:extLst>
            <a:ext uri="{FF2B5EF4-FFF2-40B4-BE49-F238E27FC236}">
              <a16:creationId xmlns:a16="http://schemas.microsoft.com/office/drawing/2014/main" id="{4A409009-7E51-48CC-AAEC-6F79C08ECB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8E4D0BF9-6A1B-4B4E-8059-639343B242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2777322</xdr:colOff>
      <xdr:row>4</xdr:row>
      <xdr:rowOff>123825</xdr:rowOff>
    </xdr:to>
    <xdr:pic>
      <xdr:nvPicPr>
        <xdr:cNvPr id="5" name="Picture 4">
          <a:extLst>
            <a:ext uri="{FF2B5EF4-FFF2-40B4-BE49-F238E27FC236}">
              <a16:creationId xmlns:a16="http://schemas.microsoft.com/office/drawing/2014/main" id="{F1ACACD0-9BFA-47B7-B216-65C72AE1F24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629ADD4B-7844-4C9F-A57D-0D7A5ED7658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0</xdr:row>
      <xdr:rowOff>57151</xdr:rowOff>
    </xdr:from>
    <xdr:to>
      <xdr:col>2</xdr:col>
      <xdr:colOff>2377272</xdr:colOff>
      <xdr:row>4</xdr:row>
      <xdr:rowOff>123825</xdr:rowOff>
    </xdr:to>
    <xdr:pic>
      <xdr:nvPicPr>
        <xdr:cNvPr id="5" name="Picture 4">
          <a:extLst>
            <a:ext uri="{FF2B5EF4-FFF2-40B4-BE49-F238E27FC236}">
              <a16:creationId xmlns:a16="http://schemas.microsoft.com/office/drawing/2014/main" id="{79DE4775-91F7-4605-B92F-76B2CB7511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76225" y="57151"/>
          <a:ext cx="3710772" cy="828674"/>
        </a:xfrm>
        <a:prstGeom prst="rect">
          <a:avLst/>
        </a:prstGeom>
      </xdr:spPr>
    </xdr:pic>
    <xdr:clientData/>
  </xdr:twoCellAnchor>
  <xdr:twoCellAnchor editAs="oneCell">
    <xdr:from>
      <xdr:col>3</xdr:col>
      <xdr:colOff>133350</xdr:colOff>
      <xdr:row>0</xdr:row>
      <xdr:rowOff>19050</xdr:rowOff>
    </xdr:from>
    <xdr:to>
      <xdr:col>3</xdr:col>
      <xdr:colOff>2028825</xdr:colOff>
      <xdr:row>5</xdr:row>
      <xdr:rowOff>15265</xdr:rowOff>
    </xdr:to>
    <xdr:pic>
      <xdr:nvPicPr>
        <xdr:cNvPr id="6" name="Picture 5">
          <a:extLst>
            <a:ext uri="{FF2B5EF4-FFF2-40B4-BE49-F238E27FC236}">
              <a16:creationId xmlns:a16="http://schemas.microsoft.com/office/drawing/2014/main" id="{54195403-D30D-46CA-8DEA-F9B098C196B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4305300" y="19050"/>
          <a:ext cx="1895475" cy="9487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0</xdr:row>
      <xdr:rowOff>103245</xdr:rowOff>
    </xdr:from>
    <xdr:to>
      <xdr:col>2</xdr:col>
      <xdr:colOff>1800225</xdr:colOff>
      <xdr:row>1</xdr:row>
      <xdr:rowOff>409574</xdr:rowOff>
    </xdr:to>
    <xdr:pic>
      <xdr:nvPicPr>
        <xdr:cNvPr id="2" name="Picture 1">
          <a:extLst>
            <a:ext uri="{FF2B5EF4-FFF2-40B4-BE49-F238E27FC236}">
              <a16:creationId xmlns:a16="http://schemas.microsoft.com/office/drawing/2014/main" id="{EA97436D-8C8B-4833-B308-B24DE7F3A6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219075" y="103245"/>
          <a:ext cx="3333750" cy="744479"/>
        </a:xfrm>
        <a:prstGeom prst="rect">
          <a:avLst/>
        </a:prstGeom>
      </xdr:spPr>
    </xdr:pic>
    <xdr:clientData/>
  </xdr:twoCellAnchor>
  <xdr:twoCellAnchor editAs="oneCell">
    <xdr:from>
      <xdr:col>1</xdr:col>
      <xdr:colOff>190500</xdr:colOff>
      <xdr:row>408</xdr:row>
      <xdr:rowOff>178138</xdr:rowOff>
    </xdr:from>
    <xdr:to>
      <xdr:col>2</xdr:col>
      <xdr:colOff>427935</xdr:colOff>
      <xdr:row>414</xdr:row>
      <xdr:rowOff>9526</xdr:rowOff>
    </xdr:to>
    <xdr:pic>
      <xdr:nvPicPr>
        <xdr:cNvPr id="3" name="Picture 2">
          <a:extLst>
            <a:ext uri="{FF2B5EF4-FFF2-40B4-BE49-F238E27FC236}">
              <a16:creationId xmlns:a16="http://schemas.microsoft.com/office/drawing/2014/main" id="{817C4625-CF6E-4AAD-BC73-0A5D75A04F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1</xdr:col>
      <xdr:colOff>190500</xdr:colOff>
      <xdr:row>408</xdr:row>
      <xdr:rowOff>178138</xdr:rowOff>
    </xdr:from>
    <xdr:to>
      <xdr:col>2</xdr:col>
      <xdr:colOff>427935</xdr:colOff>
      <xdr:row>414</xdr:row>
      <xdr:rowOff>9526</xdr:rowOff>
    </xdr:to>
    <xdr:pic>
      <xdr:nvPicPr>
        <xdr:cNvPr id="4" name="Picture 3">
          <a:extLst>
            <a:ext uri="{FF2B5EF4-FFF2-40B4-BE49-F238E27FC236}">
              <a16:creationId xmlns:a16="http://schemas.microsoft.com/office/drawing/2014/main" id="{09594A22-23AF-429A-98BA-470E49EDFC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1475" y="25419388"/>
          <a:ext cx="1809060" cy="974388"/>
        </a:xfrm>
        <a:prstGeom prst="rect">
          <a:avLst/>
        </a:prstGeom>
      </xdr:spPr>
    </xdr:pic>
    <xdr:clientData/>
  </xdr:twoCellAnchor>
  <xdr:twoCellAnchor editAs="oneCell">
    <xdr:from>
      <xdr:col>3</xdr:col>
      <xdr:colOff>200025</xdr:colOff>
      <xdr:row>0</xdr:row>
      <xdr:rowOff>0</xdr:rowOff>
    </xdr:from>
    <xdr:to>
      <xdr:col>3</xdr:col>
      <xdr:colOff>2095500</xdr:colOff>
      <xdr:row>2</xdr:row>
      <xdr:rowOff>72415</xdr:rowOff>
    </xdr:to>
    <xdr:pic>
      <xdr:nvPicPr>
        <xdr:cNvPr id="5" name="Picture 4">
          <a:extLst>
            <a:ext uri="{FF2B5EF4-FFF2-40B4-BE49-F238E27FC236}">
              <a16:creationId xmlns:a16="http://schemas.microsoft.com/office/drawing/2014/main" id="{34ADF765-B130-4225-A228-50FF94CADA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4914900" y="0"/>
          <a:ext cx="1895475" cy="9487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wner\OneDrive%20-%20Global%20Machinery%20Auctions%20Inc\Desktop\MOQ%20Workbook\Lincoln%20Oilfield%20Services\LINCOLN%20COUNTY%20FLEET%20LIST%20MOQ%20AUG2025%20-%20DATA%20FILE.xlsx" TargetMode="External"/><Relationship Id="rId1" Type="http://schemas.openxmlformats.org/officeDocument/2006/relationships/externalLinkPath" Target="/Users/Owner/OneDrive%20-%20Global%20Machinery%20Auctions%20Inc/Desktop/MOQ%20Workbook/Lincoln%20Oilfield%20Services/LINCOLN%20COUNTY%20FLEET%20LIST%20MOQ%20AUG2025%20-%20DAT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Q DATA SHEET INSTRUCTIONS"/>
      <sheetName val="LINCOLN COUNTY FLEET LIST MOQ A"/>
      <sheetName val="Product by Machine"/>
      <sheetName val="Product by Part Number"/>
      <sheetName val="Vlookup Make and Model"/>
    </sheetNames>
    <sheetDataSet>
      <sheetData sheetId="0" refreshError="1"/>
      <sheetData sheetId="1" refreshError="1"/>
      <sheetData sheetId="2" refreshError="1"/>
      <sheetData sheetId="3">
        <row r="1">
          <cell r="A1" t="str">
            <v>Part Number</v>
          </cell>
          <cell r="B1" t="str">
            <v>Make and Model</v>
          </cell>
          <cell r="C1" t="str">
            <v>Part Description</v>
          </cell>
          <cell r="D1" t="str">
            <v>OEM CAD $</v>
          </cell>
          <cell r="E1" t="str">
            <v>GQP CAD $</v>
          </cell>
          <cell r="F1" t="str">
            <v>Product Type</v>
          </cell>
          <cell r="G1" t="str">
            <v>Q1 QTY</v>
          </cell>
          <cell r="H1" t="str">
            <v>Q2 QTY</v>
          </cell>
          <cell r="I1" t="str">
            <v>Q3 QTY</v>
          </cell>
          <cell r="J1" t="str">
            <v>Q4 QTY</v>
          </cell>
          <cell r="K1" t="str">
            <v>Annual</v>
          </cell>
        </row>
        <row r="2">
          <cell r="A2" t="str">
            <v>093-7521</v>
          </cell>
          <cell r="B2" t="str">
            <v xml:space="preserve">CAT 320F L (YBM) CAT 336F L (RKB)                                          </v>
          </cell>
          <cell r="C2" t="str">
            <v>HYDRAULIC OIL FILTER</v>
          </cell>
          <cell r="D2">
            <v>102.09</v>
          </cell>
          <cell r="E2">
            <v>38.79</v>
          </cell>
          <cell r="F2" t="str">
            <v>Filter</v>
          </cell>
          <cell r="G2">
            <v>4</v>
          </cell>
          <cell r="H2">
            <v>2</v>
          </cell>
          <cell r="I2">
            <v>2</v>
          </cell>
          <cell r="J2">
            <v>2</v>
          </cell>
          <cell r="K2">
            <v>10</v>
          </cell>
        </row>
        <row r="3">
          <cell r="A3" t="str">
            <v>0S-1585</v>
          </cell>
          <cell r="B3" t="str">
            <v xml:space="preserve">CAT D3 (1PJ)                                            </v>
          </cell>
          <cell r="C3" t="str">
            <v xml:space="preserve">HEX HEAD BOLT SF </v>
          </cell>
          <cell r="D3">
            <v>2.78</v>
          </cell>
          <cell r="E3">
            <v>1.39</v>
          </cell>
          <cell r="F3" t="str">
            <v>UC</v>
          </cell>
          <cell r="G3">
            <v>16</v>
          </cell>
          <cell r="H3">
            <v>0</v>
          </cell>
          <cell r="I3">
            <v>0</v>
          </cell>
          <cell r="J3">
            <v>0</v>
          </cell>
          <cell r="K3">
            <v>16</v>
          </cell>
        </row>
        <row r="4">
          <cell r="A4" t="str">
            <v>0S-1594</v>
          </cell>
          <cell r="B4" t="str">
            <v xml:space="preserve">CAT D7G (92V) CAT D7G (3ZD) CAT D7G (3ZD) (2)                                        </v>
          </cell>
          <cell r="C4" t="str">
            <v>CARRIER BOLT</v>
          </cell>
          <cell r="D4">
            <v>1.1599999999999999</v>
          </cell>
          <cell r="E4">
            <v>0.57999999999999996</v>
          </cell>
          <cell r="F4" t="str">
            <v>UC</v>
          </cell>
          <cell r="G4">
            <v>18</v>
          </cell>
          <cell r="H4">
            <v>0</v>
          </cell>
          <cell r="I4">
            <v>0</v>
          </cell>
          <cell r="J4">
            <v>0</v>
          </cell>
          <cell r="K4">
            <v>18</v>
          </cell>
        </row>
        <row r="5">
          <cell r="A5" t="str">
            <v>0S-1601</v>
          </cell>
          <cell r="B5" t="str">
            <v xml:space="preserve">CAT 561 (85H) CAT 561 (92J) CAT 561 (92J) (2)                                        </v>
          </cell>
          <cell r="C5" t="str">
            <v>BOLT ROLLER</v>
          </cell>
          <cell r="D5">
            <v>8.0500000000000007</v>
          </cell>
          <cell r="E5">
            <v>4.03</v>
          </cell>
          <cell r="F5" t="str">
            <v>UC</v>
          </cell>
          <cell r="G5">
            <v>144</v>
          </cell>
          <cell r="H5">
            <v>0</v>
          </cell>
          <cell r="I5">
            <v>0</v>
          </cell>
          <cell r="J5">
            <v>0</v>
          </cell>
          <cell r="K5">
            <v>144</v>
          </cell>
        </row>
        <row r="6">
          <cell r="A6" t="str">
            <v>104-5857</v>
          </cell>
          <cell r="B6" t="str">
            <v xml:space="preserve">CAT D5 (3CR) CAT D5 (3CR) (2) CAT 561M (1KW)                                        </v>
          </cell>
          <cell r="C6" t="str">
            <v>TURBOCHARGER ASSEMBLY</v>
          </cell>
          <cell r="D6">
            <v>4677.47</v>
          </cell>
          <cell r="E6">
            <v>2338.7399999999998</v>
          </cell>
          <cell r="F6" t="str">
            <v>ENGINE</v>
          </cell>
          <cell r="G6">
            <v>3</v>
          </cell>
          <cell r="H6">
            <v>0</v>
          </cell>
          <cell r="I6">
            <v>0</v>
          </cell>
          <cell r="J6">
            <v>0</v>
          </cell>
          <cell r="K6">
            <v>3</v>
          </cell>
        </row>
        <row r="7">
          <cell r="A7" t="str">
            <v>106-1642</v>
          </cell>
          <cell r="B7" t="str">
            <v xml:space="preserve">CAT D4 (66J) CAT D6N LGP (GHS) CAT D6N LGP (SGG) CAT D6N LGP (SGG) (2) CAT PL61 (WGS) CAT PL61 (WGS) (2) CAT PL61 (WGS) (3)                                </v>
          </cell>
          <cell r="C7" t="str">
            <v>TRACK BOLT MASTER</v>
          </cell>
          <cell r="D7">
            <v>6.66</v>
          </cell>
          <cell r="E7">
            <v>3.33</v>
          </cell>
          <cell r="F7" t="str">
            <v>UC</v>
          </cell>
          <cell r="G7">
            <v>28</v>
          </cell>
          <cell r="H7">
            <v>0</v>
          </cell>
          <cell r="I7">
            <v>0</v>
          </cell>
          <cell r="J7">
            <v>0</v>
          </cell>
          <cell r="K7">
            <v>28</v>
          </cell>
        </row>
        <row r="8">
          <cell r="A8" t="str">
            <v>107-0719</v>
          </cell>
          <cell r="B8" t="str">
            <v xml:space="preserve">CAT D4 (66J) CAT D6N LGP (GHS) CAT D6N LGP (SGG) CAT D6N LGP (SGG) (2) CAT PL61 (WGS) CAT PL61 (WGS) (2) CAT PL61 (WGS) (3)                                </v>
          </cell>
          <cell r="C8" t="str">
            <v>TRACK BOLT MASTER</v>
          </cell>
          <cell r="D8">
            <v>9.23</v>
          </cell>
          <cell r="E8">
            <v>4.62</v>
          </cell>
          <cell r="F8" t="str">
            <v>UC</v>
          </cell>
          <cell r="G8">
            <v>28</v>
          </cell>
          <cell r="H8">
            <v>0</v>
          </cell>
          <cell r="I8">
            <v>0</v>
          </cell>
          <cell r="J8">
            <v>0</v>
          </cell>
          <cell r="K8">
            <v>28</v>
          </cell>
        </row>
        <row r="9">
          <cell r="A9" t="str">
            <v>108-0946</v>
          </cell>
          <cell r="B9" t="str">
            <v xml:space="preserve">CAT D5 (3CR) CAT D5 (3CR) (2) CAT 561M (1KW) CAT 561N (CPH) CAT 561N (CPH) (2) CAT 561N (CPH) (3) CAT 561N (CPH) (4) CAT 561N (CPH) (5)                              </v>
          </cell>
          <cell r="C9" t="str">
            <v>SPROCKET SEGMENT</v>
          </cell>
          <cell r="D9">
            <v>177.98</v>
          </cell>
          <cell r="E9">
            <v>88.99</v>
          </cell>
          <cell r="F9" t="str">
            <v>UC</v>
          </cell>
          <cell r="G9">
            <v>80</v>
          </cell>
          <cell r="H9">
            <v>0</v>
          </cell>
          <cell r="I9">
            <v>0</v>
          </cell>
          <cell r="J9">
            <v>0</v>
          </cell>
          <cell r="K9">
            <v>80</v>
          </cell>
        </row>
        <row r="10">
          <cell r="A10" t="str">
            <v>108-0954</v>
          </cell>
          <cell r="B10" t="str">
            <v xml:space="preserve">CAT D5 (3CR) CAT D5 (3CR) (2) CAT 561M (1KW) CAT 561N (CPH) CAT 561N (CPH) (2) CAT 561N (CPH) (3) CAT 561N (CPH) (4) CAT 561N (CPH) (5)                              </v>
          </cell>
          <cell r="C10" t="str">
            <v>TRACK LINK ASSEMBLY</v>
          </cell>
          <cell r="D10">
            <v>11935.92</v>
          </cell>
          <cell r="E10">
            <v>5967.96</v>
          </cell>
          <cell r="F10" t="str">
            <v>UC</v>
          </cell>
          <cell r="G10">
            <v>16</v>
          </cell>
          <cell r="H10">
            <v>0</v>
          </cell>
          <cell r="I10">
            <v>0</v>
          </cell>
          <cell r="J10">
            <v>0</v>
          </cell>
          <cell r="K10">
            <v>16</v>
          </cell>
        </row>
        <row r="11">
          <cell r="A11" t="str">
            <v>108-1136</v>
          </cell>
          <cell r="B11" t="str">
            <v xml:space="preserve">CAT 561M (1KW)                                            </v>
          </cell>
          <cell r="C11" t="str">
            <v>BLOCK IDLER</v>
          </cell>
          <cell r="D11">
            <v>229.89</v>
          </cell>
          <cell r="E11">
            <v>114.95</v>
          </cell>
          <cell r="F11" t="str">
            <v>UC</v>
          </cell>
          <cell r="G11">
            <v>8</v>
          </cell>
          <cell r="H11">
            <v>0</v>
          </cell>
          <cell r="I11">
            <v>0</v>
          </cell>
          <cell r="J11">
            <v>0</v>
          </cell>
          <cell r="K11">
            <v>8</v>
          </cell>
        </row>
        <row r="12">
          <cell r="A12" t="str">
            <v>108-1138</v>
          </cell>
          <cell r="B12" t="str">
            <v xml:space="preserve">CAT 561M (1KW)                                            </v>
          </cell>
          <cell r="C12" t="str">
            <v>CAP IDLER</v>
          </cell>
          <cell r="D12">
            <v>166.52</v>
          </cell>
          <cell r="E12">
            <v>83.26</v>
          </cell>
          <cell r="F12" t="str">
            <v>UC</v>
          </cell>
          <cell r="G12">
            <v>8</v>
          </cell>
          <cell r="H12">
            <v>0</v>
          </cell>
          <cell r="I12">
            <v>0</v>
          </cell>
          <cell r="J12">
            <v>0</v>
          </cell>
          <cell r="K12">
            <v>8</v>
          </cell>
        </row>
        <row r="13">
          <cell r="A13" t="str">
            <v>110-2976</v>
          </cell>
          <cell r="B13" t="str">
            <v xml:space="preserve">CAT PL61 (WGS) CAT PL61 (WGS) (2) CAT PL61 (WGS) (3)                                        </v>
          </cell>
          <cell r="C13" t="str">
            <v>TRACK LINK 39 JOINT</v>
          </cell>
          <cell r="D13">
            <v>8654.5499999999993</v>
          </cell>
          <cell r="E13">
            <v>4327.28</v>
          </cell>
          <cell r="F13" t="str">
            <v>UC</v>
          </cell>
          <cell r="G13">
            <v>6</v>
          </cell>
          <cell r="H13">
            <v>0</v>
          </cell>
          <cell r="I13">
            <v>0</v>
          </cell>
          <cell r="J13">
            <v>0</v>
          </cell>
          <cell r="K13">
            <v>6</v>
          </cell>
        </row>
        <row r="14">
          <cell r="A14" t="str">
            <v>112-7448</v>
          </cell>
          <cell r="B14" t="str">
            <v xml:space="preserve">CAT D6T (MH7)                                            </v>
          </cell>
          <cell r="C14" t="str">
            <v>CABIN AIR FILTER ELEMENT</v>
          </cell>
          <cell r="D14">
            <v>43.37</v>
          </cell>
          <cell r="E14">
            <v>16.48</v>
          </cell>
          <cell r="F14" t="str">
            <v>FILTER</v>
          </cell>
          <cell r="G14">
            <v>1</v>
          </cell>
          <cell r="H14">
            <v>1</v>
          </cell>
          <cell r="I14">
            <v>0</v>
          </cell>
          <cell r="J14">
            <v>1</v>
          </cell>
          <cell r="K14">
            <v>3</v>
          </cell>
        </row>
        <row r="15">
          <cell r="A15" t="str">
            <v>114-0358</v>
          </cell>
          <cell r="B15" t="str">
            <v xml:space="preserve">CAT D6N LGP (PBA) CAT D6N LGP (PBA) (2) CAT D6N LGP (SGG) CAT D6N LGP (SGG) (2) CAT D6T (MH7) CAT D7G (92V) CAT D7G (3ZD) CAT D7G (3ZD) (2)                              </v>
          </cell>
          <cell r="C15" t="str">
            <v>GROOVED PIN</v>
          </cell>
          <cell r="D15">
            <v>12.96</v>
          </cell>
          <cell r="E15">
            <v>4.92</v>
          </cell>
          <cell r="F15" t="str">
            <v>GET</v>
          </cell>
          <cell r="G15">
            <v>18</v>
          </cell>
          <cell r="H15">
            <v>0</v>
          </cell>
          <cell r="I15">
            <v>0</v>
          </cell>
          <cell r="J15">
            <v>0</v>
          </cell>
          <cell r="K15">
            <v>18</v>
          </cell>
        </row>
        <row r="16">
          <cell r="A16" t="str">
            <v>114-0359</v>
          </cell>
          <cell r="B16" t="str">
            <v xml:space="preserve">CAT D5 (3CR) CAT D5 (3CR) (2) CAT D6N LGP (PBA) CAT D6N LGP (PBA) (2) CAT D6N LGP (SGG) CAT D6N LGP (SGG) (2) CAT D6T (MH7) CAT D7G (92V) CAT D7G (3ZD) CAT D7G (3ZD) (2)                          </v>
          </cell>
          <cell r="C16" t="str">
            <v>RETAINER</v>
          </cell>
          <cell r="D16">
            <v>22.39</v>
          </cell>
          <cell r="E16">
            <v>8.51</v>
          </cell>
          <cell r="F16" t="str">
            <v>GET</v>
          </cell>
          <cell r="G16">
            <v>20</v>
          </cell>
          <cell r="H16">
            <v>0</v>
          </cell>
          <cell r="I16">
            <v>0</v>
          </cell>
          <cell r="J16">
            <v>0</v>
          </cell>
          <cell r="K16">
            <v>20</v>
          </cell>
        </row>
        <row r="17">
          <cell r="A17" t="str">
            <v>114-6099</v>
          </cell>
          <cell r="B17" t="str">
            <v xml:space="preserve">CAT 329E L (ZCD)                                            </v>
          </cell>
          <cell r="C17" t="str">
            <v>CARRIER BOLT</v>
          </cell>
          <cell r="D17">
            <v>31.9</v>
          </cell>
          <cell r="E17">
            <v>15.95</v>
          </cell>
          <cell r="F17" t="str">
            <v>UC</v>
          </cell>
          <cell r="G17">
            <v>4</v>
          </cell>
          <cell r="H17">
            <v>0</v>
          </cell>
          <cell r="I17">
            <v>0</v>
          </cell>
          <cell r="J17">
            <v>0</v>
          </cell>
          <cell r="K17">
            <v>4</v>
          </cell>
        </row>
        <row r="18">
          <cell r="A18" t="str">
            <v>115-2422</v>
          </cell>
          <cell r="B18" t="str">
            <v xml:space="preserve">CAT 320E L (WBK) CAT 320E L (WBK) (2) CAT 320 (HEX) CAT 320 (MYK) CAT 320 (MYK) (2) CAT 329E L (ZCD) CAT 329F L (ERL) CAT 329F L (ERL) (2) CAT 330F L (MBX) CAT 330F L (HCK) CAT 330F L (HCK) (2)                        </v>
          </cell>
          <cell r="C18" t="str">
            <v>12V BATTERY 1000CCA</v>
          </cell>
          <cell r="D18">
            <v>523.07000000000005</v>
          </cell>
          <cell r="E18">
            <v>132.13</v>
          </cell>
          <cell r="F18" t="str">
            <v>BATTERY</v>
          </cell>
          <cell r="G18">
            <v>26</v>
          </cell>
          <cell r="H18">
            <v>0</v>
          </cell>
          <cell r="I18">
            <v>0</v>
          </cell>
          <cell r="J18">
            <v>0</v>
          </cell>
          <cell r="K18">
            <v>26</v>
          </cell>
        </row>
        <row r="19">
          <cell r="A19" t="str">
            <v>115-3696</v>
          </cell>
          <cell r="B19" t="str">
            <v xml:space="preserve">CAT 329E L (ZCD) CAT 329F L (ERL) CAT 329F L (ERL) (2) CAT 330F L (MBX) CAT 330F L (HCK) CAT 330F L (HCK) (2) CAT 330 (LHW) CAT 330 (LHW) (2) CAT 330 (LHW) (3) CAT 330 (LHW) (4) CAT 330 (WCH) CAT 330 (WCH) (2) CAT 330 (WCH) (3) CAT 330 (WCH) (4) CAT 330 (WCH) (5) CAT 330 (WCH) (6)              </v>
          </cell>
          <cell r="C19" t="str">
            <v>FRONT IDLER</v>
          </cell>
          <cell r="D19">
            <v>3159.07</v>
          </cell>
          <cell r="E19">
            <v>1579.54</v>
          </cell>
          <cell r="F19" t="str">
            <v>UC</v>
          </cell>
          <cell r="G19">
            <v>32</v>
          </cell>
          <cell r="H19">
            <v>0</v>
          </cell>
          <cell r="I19">
            <v>0</v>
          </cell>
          <cell r="J19">
            <v>0</v>
          </cell>
          <cell r="K19">
            <v>32</v>
          </cell>
        </row>
        <row r="20">
          <cell r="A20" t="str">
            <v>117-4089</v>
          </cell>
          <cell r="B20" t="str">
            <v xml:space="preserve">CAT D5 (3CR) CAT D5 (3CR) (2) CAT 561M (1KW)                                        </v>
          </cell>
          <cell r="C20" t="str">
            <v>FUEL WATER SEPARATOR</v>
          </cell>
          <cell r="D20">
            <v>52.82</v>
          </cell>
          <cell r="E20">
            <v>20.07</v>
          </cell>
          <cell r="F20" t="str">
            <v>FILTER</v>
          </cell>
          <cell r="G20">
            <v>9</v>
          </cell>
          <cell r="H20">
            <v>6</v>
          </cell>
          <cell r="I20">
            <v>9</v>
          </cell>
          <cell r="J20">
            <v>6</v>
          </cell>
          <cell r="K20">
            <v>30</v>
          </cell>
        </row>
        <row r="21">
          <cell r="A21" t="str">
            <v>118-1608</v>
          </cell>
          <cell r="B21" t="str">
            <v xml:space="preserve">CAT D4 (66J)                                            </v>
          </cell>
          <cell r="C21" t="str">
            <v>SINGLE FLANGE TRACK ROLLER</v>
          </cell>
          <cell r="D21">
            <v>1023.71</v>
          </cell>
          <cell r="E21">
            <v>511.86</v>
          </cell>
          <cell r="F21" t="str">
            <v>UC</v>
          </cell>
          <cell r="G21">
            <v>4</v>
          </cell>
          <cell r="H21">
            <v>0</v>
          </cell>
          <cell r="I21">
            <v>0</v>
          </cell>
          <cell r="J21">
            <v>0</v>
          </cell>
          <cell r="K21">
            <v>4</v>
          </cell>
        </row>
        <row r="22">
          <cell r="A22" t="str">
            <v>118-1609</v>
          </cell>
          <cell r="B22" t="str">
            <v xml:space="preserve">CAT D4 (66J)                                            </v>
          </cell>
          <cell r="C22" t="str">
            <v>DOUBLE FLANGE TRACK ROLLER (GUIDE AR)*</v>
          </cell>
          <cell r="D22">
            <v>1246.45</v>
          </cell>
          <cell r="E22">
            <v>623.23</v>
          </cell>
          <cell r="F22" t="str">
            <v>UC</v>
          </cell>
          <cell r="G22">
            <v>6</v>
          </cell>
          <cell r="H22">
            <v>0</v>
          </cell>
          <cell r="I22">
            <v>0</v>
          </cell>
          <cell r="J22">
            <v>0</v>
          </cell>
          <cell r="K22">
            <v>6</v>
          </cell>
        </row>
        <row r="23">
          <cell r="A23" t="str">
            <v>118-1611</v>
          </cell>
          <cell r="B23" t="str">
            <v xml:space="preserve">CAT 561 (85H) CAT 561 (92J) CAT 561 (92J) (2)                                        </v>
          </cell>
          <cell r="C23" t="str">
            <v>ROLLER SINGLE FLANGE</v>
          </cell>
          <cell r="D23">
            <v>545.21</v>
          </cell>
          <cell r="E23">
            <v>272.61</v>
          </cell>
          <cell r="F23" t="str">
            <v>UC</v>
          </cell>
          <cell r="G23">
            <v>18</v>
          </cell>
          <cell r="H23">
            <v>0</v>
          </cell>
          <cell r="I23">
            <v>0</v>
          </cell>
          <cell r="J23">
            <v>0</v>
          </cell>
          <cell r="K23">
            <v>18</v>
          </cell>
        </row>
        <row r="24">
          <cell r="A24" t="str">
            <v>118-1612</v>
          </cell>
          <cell r="B24" t="str">
            <v xml:space="preserve">CAT 561 (85H) CAT 561 (92J) CAT 561 (92J) (2)                                        </v>
          </cell>
          <cell r="C24" t="str">
            <v>ROLLER DOUBLE FLANGE</v>
          </cell>
          <cell r="D24">
            <v>561.72</v>
          </cell>
          <cell r="E24">
            <v>280.86</v>
          </cell>
          <cell r="F24" t="str">
            <v>UC</v>
          </cell>
          <cell r="G24">
            <v>18</v>
          </cell>
          <cell r="H24">
            <v>0</v>
          </cell>
          <cell r="I24">
            <v>0</v>
          </cell>
          <cell r="J24">
            <v>0</v>
          </cell>
          <cell r="K24">
            <v>18</v>
          </cell>
        </row>
        <row r="25">
          <cell r="A25" t="str">
            <v>124-8237</v>
          </cell>
          <cell r="B25" t="str">
            <v xml:space="preserve">CAT D5 (3CR) CAT D5 (3CR) (2) CAT 561N (CPH) CAT 561N (CPH) (2) CAT 561N (CPH) (3) CAT 561N (CPH) (4) CAT 561N (CPH) (5)                                </v>
          </cell>
          <cell r="C25" t="str">
            <v>SINGLE FLANGE TRACK ROLLER</v>
          </cell>
          <cell r="D25">
            <v>785.53</v>
          </cell>
          <cell r="E25">
            <v>392.77</v>
          </cell>
          <cell r="F25" t="str">
            <v>UC</v>
          </cell>
          <cell r="G25">
            <v>102</v>
          </cell>
          <cell r="H25">
            <v>0</v>
          </cell>
          <cell r="I25">
            <v>0</v>
          </cell>
          <cell r="J25">
            <v>0</v>
          </cell>
          <cell r="K25">
            <v>102</v>
          </cell>
        </row>
        <row r="26">
          <cell r="A26" t="str">
            <v>124-8240</v>
          </cell>
          <cell r="B26" t="str">
            <v xml:space="preserve">CAT D5 (3CR) CAT D5 (3CR) (2) CAT 561N (CPH) CAT 561N (CPH) (2) CAT 561N (CPH) (3) CAT 561N (CPH) (4) CAT 561N (CPH) (5)                                </v>
          </cell>
          <cell r="C26" t="str">
            <v>DOUBLE FLANGE TRACK ROLLER</v>
          </cell>
          <cell r="D26">
            <v>651.61</v>
          </cell>
          <cell r="E26">
            <v>325.81</v>
          </cell>
          <cell r="F26" t="str">
            <v>UC</v>
          </cell>
          <cell r="G26">
            <v>42</v>
          </cell>
          <cell r="H26">
            <v>0</v>
          </cell>
          <cell r="I26">
            <v>0</v>
          </cell>
          <cell r="J26">
            <v>0</v>
          </cell>
          <cell r="K26">
            <v>42</v>
          </cell>
        </row>
        <row r="27">
          <cell r="A27" t="str">
            <v>125-4169</v>
          </cell>
          <cell r="B27" t="str">
            <v xml:space="preserve">CAT 561M (1KW)                                            </v>
          </cell>
          <cell r="C27" t="str">
            <v>SINGLE FL ROLLER</v>
          </cell>
          <cell r="D27">
            <v>868.38</v>
          </cell>
          <cell r="E27">
            <v>434.19</v>
          </cell>
          <cell r="F27" t="str">
            <v>UC</v>
          </cell>
          <cell r="G27">
            <v>8</v>
          </cell>
          <cell r="H27">
            <v>0</v>
          </cell>
          <cell r="I27">
            <v>0</v>
          </cell>
          <cell r="J27">
            <v>0</v>
          </cell>
          <cell r="K27">
            <v>8</v>
          </cell>
        </row>
        <row r="28">
          <cell r="A28" t="str">
            <v>125-4170</v>
          </cell>
          <cell r="B28" t="str">
            <v xml:space="preserve">CAT 561M (1KW)                                            </v>
          </cell>
          <cell r="C28" t="str">
            <v xml:space="preserve">DOUBLE FL ROLLER </v>
          </cell>
          <cell r="D28">
            <v>629.14</v>
          </cell>
          <cell r="E28">
            <v>314.57</v>
          </cell>
          <cell r="F28" t="str">
            <v>UC</v>
          </cell>
          <cell r="G28">
            <v>6</v>
          </cell>
          <cell r="H28">
            <v>0</v>
          </cell>
          <cell r="I28">
            <v>0</v>
          </cell>
          <cell r="J28">
            <v>0</v>
          </cell>
          <cell r="K28">
            <v>6</v>
          </cell>
        </row>
        <row r="29">
          <cell r="A29" t="str">
            <v>127-8216</v>
          </cell>
          <cell r="B29" t="str">
            <v xml:space="preserve">CAT D5 (3CR) CAT D5 (3CR) (2) CAT 561M (1KW)                                        </v>
          </cell>
          <cell r="C29" t="str">
            <v>FUEL INJECTOR</v>
          </cell>
          <cell r="D29">
            <v>914.54</v>
          </cell>
          <cell r="E29">
            <v>457.27</v>
          </cell>
          <cell r="F29" t="str">
            <v>ENGINE</v>
          </cell>
          <cell r="G29">
            <v>18</v>
          </cell>
          <cell r="H29">
            <v>0</v>
          </cell>
          <cell r="I29">
            <v>0</v>
          </cell>
          <cell r="J29">
            <v>0</v>
          </cell>
          <cell r="K29">
            <v>18</v>
          </cell>
        </row>
        <row r="30">
          <cell r="A30" t="str">
            <v>131-8821</v>
          </cell>
          <cell r="B30" t="str">
            <v xml:space="preserve">CAT 320E L (WBK) CAT 320E L (WBK) (2) CAT 320F L (YBM)                                        </v>
          </cell>
          <cell r="C30" t="str">
            <v>SECONDARY AIR FILTER ELEMENT</v>
          </cell>
          <cell r="D30">
            <v>97.91</v>
          </cell>
          <cell r="E30">
            <v>37.21</v>
          </cell>
          <cell r="F30" t="str">
            <v>Filter</v>
          </cell>
          <cell r="G30">
            <v>3</v>
          </cell>
          <cell r="H30">
            <v>3</v>
          </cell>
          <cell r="I30">
            <v>0</v>
          </cell>
          <cell r="J30">
            <v>3</v>
          </cell>
          <cell r="K30">
            <v>9</v>
          </cell>
        </row>
        <row r="31">
          <cell r="A31" t="str">
            <v>131-8822</v>
          </cell>
          <cell r="B31" t="str">
            <v xml:space="preserve">CAT 320E L (WBK) CAT 320E L (WBK) (2) CAT 320F L (YBM)                                        </v>
          </cell>
          <cell r="C31" t="str">
            <v>PRIMARY AIR FILTER ELEMENT</v>
          </cell>
          <cell r="D31">
            <v>120.35</v>
          </cell>
          <cell r="E31">
            <v>45.73</v>
          </cell>
          <cell r="F31" t="str">
            <v>Filter</v>
          </cell>
          <cell r="G31">
            <v>3</v>
          </cell>
          <cell r="H31">
            <v>3</v>
          </cell>
          <cell r="I31">
            <v>0</v>
          </cell>
          <cell r="J31">
            <v>3</v>
          </cell>
          <cell r="K31">
            <v>9</v>
          </cell>
        </row>
        <row r="32">
          <cell r="A32" t="str">
            <v>132-8875</v>
          </cell>
          <cell r="B32" t="str">
            <v xml:space="preserve">CAT 561M (1KW)                                            </v>
          </cell>
          <cell r="C32" t="str">
            <v>TRANSMISSION FILTER</v>
          </cell>
          <cell r="D32">
            <v>113.9</v>
          </cell>
          <cell r="E32">
            <v>43.28</v>
          </cell>
          <cell r="F32" t="str">
            <v>FILTER</v>
          </cell>
          <cell r="G32">
            <v>2</v>
          </cell>
          <cell r="H32">
            <v>1</v>
          </cell>
          <cell r="I32">
            <v>1</v>
          </cell>
          <cell r="J32">
            <v>1</v>
          </cell>
          <cell r="K32">
            <v>5</v>
          </cell>
        </row>
        <row r="33">
          <cell r="A33" t="str">
            <v>134-5276</v>
          </cell>
          <cell r="B33" t="str">
            <v xml:space="preserve">CAT D5 (3CR) CAT D5 (3CR) (2) CAT 561M (1KW)                                        </v>
          </cell>
          <cell r="C33" t="str">
            <v>CAMSHAFT</v>
          </cell>
          <cell r="D33">
            <v>4368</v>
          </cell>
          <cell r="E33">
            <v>2184</v>
          </cell>
          <cell r="F33" t="str">
            <v>ENGINE</v>
          </cell>
          <cell r="G33">
            <v>3</v>
          </cell>
          <cell r="H33">
            <v>0</v>
          </cell>
          <cell r="I33">
            <v>0</v>
          </cell>
          <cell r="J33">
            <v>0</v>
          </cell>
          <cell r="K33">
            <v>3</v>
          </cell>
        </row>
        <row r="34">
          <cell r="A34" t="str">
            <v>134-8726</v>
          </cell>
          <cell r="B34" t="str">
            <v xml:space="preserve">CAT 303.5E                                            </v>
          </cell>
          <cell r="C34" t="str">
            <v>PRIMARY AIR FILTER ELEMENT</v>
          </cell>
          <cell r="D34">
            <v>67.33</v>
          </cell>
          <cell r="E34">
            <v>25.59</v>
          </cell>
          <cell r="F34" t="str">
            <v>Filter</v>
          </cell>
          <cell r="G34">
            <v>1</v>
          </cell>
          <cell r="H34">
            <v>1</v>
          </cell>
          <cell r="I34">
            <v>0</v>
          </cell>
          <cell r="J34">
            <v>1</v>
          </cell>
          <cell r="K34">
            <v>3</v>
          </cell>
        </row>
        <row r="35">
          <cell r="A35" t="str">
            <v>136-2422</v>
          </cell>
          <cell r="B35" t="str">
            <v xml:space="preserve">CAT 336F L (RKB)                                            </v>
          </cell>
          <cell r="C35" t="str">
            <v>FRONT IDLER</v>
          </cell>
          <cell r="D35">
            <v>4335.3599999999997</v>
          </cell>
          <cell r="E35">
            <v>2167.6799999999998</v>
          </cell>
          <cell r="F35" t="str">
            <v>UC</v>
          </cell>
          <cell r="G35">
            <v>2</v>
          </cell>
          <cell r="H35">
            <v>0</v>
          </cell>
          <cell r="I35">
            <v>0</v>
          </cell>
          <cell r="J35">
            <v>0</v>
          </cell>
          <cell r="K35">
            <v>2</v>
          </cell>
        </row>
        <row r="36">
          <cell r="A36" t="str">
            <v>136-8308</v>
          </cell>
          <cell r="B36" t="str">
            <v xml:space="preserve">CAT D5 (3CR) CAT D5 (3CR) (2)                                          </v>
          </cell>
          <cell r="C36" t="str">
            <v>RIPPER PIN</v>
          </cell>
          <cell r="D36">
            <v>10.35</v>
          </cell>
          <cell r="E36">
            <v>3.93</v>
          </cell>
          <cell r="F36" t="str">
            <v>GET</v>
          </cell>
          <cell r="G36">
            <v>2</v>
          </cell>
          <cell r="H36">
            <v>0</v>
          </cell>
          <cell r="I36">
            <v>0</v>
          </cell>
          <cell r="J36">
            <v>0</v>
          </cell>
          <cell r="K36">
            <v>2</v>
          </cell>
        </row>
        <row r="37">
          <cell r="A37" t="str">
            <v>140-2334</v>
          </cell>
          <cell r="B37" t="str">
            <v xml:space="preserve">CAT 303.5E                                            </v>
          </cell>
          <cell r="C37" t="str">
            <v>SECONDARY AIR FILTER ELEMENT</v>
          </cell>
          <cell r="D37">
            <v>61.69</v>
          </cell>
          <cell r="E37">
            <v>23.44</v>
          </cell>
          <cell r="F37" t="str">
            <v>Filter</v>
          </cell>
          <cell r="G37">
            <v>1</v>
          </cell>
          <cell r="H37">
            <v>1</v>
          </cell>
          <cell r="I37">
            <v>0</v>
          </cell>
          <cell r="J37">
            <v>1</v>
          </cell>
          <cell r="K37">
            <v>3</v>
          </cell>
        </row>
        <row r="38">
          <cell r="A38" t="str">
            <v>142-1339</v>
          </cell>
          <cell r="B38" t="str">
            <v xml:space="preserve">CAT 336F L (RKB)                                            </v>
          </cell>
          <cell r="C38" t="str">
            <v>PRIMARY AIR FILTER ELEMENT</v>
          </cell>
          <cell r="D38">
            <v>201.81</v>
          </cell>
          <cell r="E38">
            <v>76.69</v>
          </cell>
          <cell r="F38" t="str">
            <v>FILTER</v>
          </cell>
          <cell r="G38">
            <v>1</v>
          </cell>
          <cell r="H38">
            <v>1</v>
          </cell>
          <cell r="I38">
            <v>0</v>
          </cell>
          <cell r="J38">
            <v>1</v>
          </cell>
          <cell r="K38">
            <v>3</v>
          </cell>
        </row>
        <row r="39">
          <cell r="A39" t="str">
            <v>142-1404</v>
          </cell>
          <cell r="B39" t="str">
            <v xml:space="preserve">CAT 336F L (RKB)                                            </v>
          </cell>
          <cell r="C39" t="str">
            <v>SECONDARY AIR FILTER ELEMENT</v>
          </cell>
          <cell r="D39">
            <v>119.45</v>
          </cell>
          <cell r="E39">
            <v>45.39</v>
          </cell>
          <cell r="F39" t="str">
            <v>FILTER</v>
          </cell>
          <cell r="G39">
            <v>1</v>
          </cell>
          <cell r="H39">
            <v>1</v>
          </cell>
          <cell r="I39">
            <v>0</v>
          </cell>
          <cell r="J39">
            <v>1</v>
          </cell>
          <cell r="K39">
            <v>3</v>
          </cell>
        </row>
        <row r="40">
          <cell r="A40" t="str">
            <v>146-6695</v>
          </cell>
          <cell r="B40" t="str">
            <v xml:space="preserve">CAT 561N (CPH) CAT 561N (CPH) (2) CAT 561N (CPH) (3) CAT 561N (CPH) (4) CAT 561N (CPH) (5)                                    </v>
          </cell>
          <cell r="C40" t="str">
            <v>FUEL WATER SEPARATOR FILTER</v>
          </cell>
          <cell r="D40">
            <v>60.23</v>
          </cell>
          <cell r="E40">
            <v>22.89</v>
          </cell>
          <cell r="F40" t="str">
            <v>FILTER</v>
          </cell>
          <cell r="G40">
            <v>15</v>
          </cell>
          <cell r="H40">
            <v>10</v>
          </cell>
          <cell r="I40">
            <v>15</v>
          </cell>
          <cell r="J40">
            <v>10</v>
          </cell>
          <cell r="K40">
            <v>50</v>
          </cell>
        </row>
        <row r="41">
          <cell r="A41" t="str">
            <v>151-0914</v>
          </cell>
          <cell r="B41" t="str">
            <v xml:space="preserve">CAT D6N LGP (PBA) CAT D6N LGP (PBA) (2)                                          </v>
          </cell>
          <cell r="C41" t="str">
            <v>PRIMARY CABIN AIR FILTER ELEMENT</v>
          </cell>
          <cell r="D41">
            <v>112.48</v>
          </cell>
          <cell r="E41">
            <v>42.74</v>
          </cell>
          <cell r="F41" t="str">
            <v>FILTER</v>
          </cell>
          <cell r="G41">
            <v>2</v>
          </cell>
          <cell r="H41">
            <v>2</v>
          </cell>
          <cell r="I41">
            <v>0</v>
          </cell>
          <cell r="J41">
            <v>2</v>
          </cell>
          <cell r="K41">
            <v>6</v>
          </cell>
        </row>
        <row r="42">
          <cell r="A42" t="str">
            <v>153-5044</v>
          </cell>
          <cell r="B42" t="str">
            <v xml:space="preserve">CAT D6 (RDC)                                            </v>
          </cell>
          <cell r="C42" t="str">
            <v>FLAT WASHER</v>
          </cell>
          <cell r="D42">
            <v>8.75</v>
          </cell>
          <cell r="E42">
            <v>4.38</v>
          </cell>
          <cell r="F42" t="str">
            <v>UC</v>
          </cell>
          <cell r="G42">
            <v>16</v>
          </cell>
          <cell r="H42">
            <v>0</v>
          </cell>
          <cell r="I42">
            <v>0</v>
          </cell>
          <cell r="J42">
            <v>0</v>
          </cell>
          <cell r="K42">
            <v>16</v>
          </cell>
        </row>
        <row r="43">
          <cell r="A43" t="str">
            <v>153-5656</v>
          </cell>
          <cell r="B43" t="str">
            <v xml:space="preserve">CAT 303.5E                                            </v>
          </cell>
          <cell r="C43" t="str">
            <v>12V BATTERY - 650CCA</v>
          </cell>
          <cell r="D43">
            <v>356.29</v>
          </cell>
          <cell r="E43">
            <v>160.66999999999999</v>
          </cell>
          <cell r="F43" t="str">
            <v>BATTERY</v>
          </cell>
          <cell r="G43">
            <v>1</v>
          </cell>
          <cell r="H43">
            <v>0</v>
          </cell>
          <cell r="I43">
            <v>0</v>
          </cell>
          <cell r="J43">
            <v>0</v>
          </cell>
          <cell r="K43">
            <v>1</v>
          </cell>
        </row>
        <row r="44">
          <cell r="A44" t="str">
            <v>153-5700</v>
          </cell>
          <cell r="B44" t="str">
            <v xml:space="preserve">CAT D3 (1PJ) CAT D7G (92V) CAT D7G (3ZD) CAT D7G (3ZD) (2) CAT 561 (85H) CAT 561 (92J) CAT 561 (92J) (2)                                </v>
          </cell>
          <cell r="C44" t="str">
            <v>12V BATTERY - 1125CCA</v>
          </cell>
          <cell r="D44">
            <v>726.37</v>
          </cell>
          <cell r="E44">
            <v>292.44</v>
          </cell>
          <cell r="F44" t="str">
            <v>BATTERY</v>
          </cell>
          <cell r="G44">
            <v>10</v>
          </cell>
          <cell r="H44">
            <v>0</v>
          </cell>
          <cell r="I44">
            <v>0</v>
          </cell>
          <cell r="J44">
            <v>0</v>
          </cell>
          <cell r="K44">
            <v>10</v>
          </cell>
        </row>
        <row r="45">
          <cell r="A45" t="str">
            <v>154-3642</v>
          </cell>
          <cell r="B45" t="str">
            <v xml:space="preserve">CAT D3 (1PJ)                                            </v>
          </cell>
          <cell r="C45" t="str">
            <v>TRACK LINK ASSEMBLY</v>
          </cell>
          <cell r="D45">
            <v>3975.66</v>
          </cell>
          <cell r="E45">
            <v>1987.83</v>
          </cell>
          <cell r="F45" t="str">
            <v>UC</v>
          </cell>
          <cell r="G45">
            <v>2</v>
          </cell>
          <cell r="H45">
            <v>0</v>
          </cell>
          <cell r="I45">
            <v>0</v>
          </cell>
          <cell r="J45">
            <v>0</v>
          </cell>
          <cell r="K45">
            <v>2</v>
          </cell>
        </row>
        <row r="46">
          <cell r="A46" t="str">
            <v>154-3672</v>
          </cell>
          <cell r="B46" t="str">
            <v xml:space="preserve">CAT 561 (85H) CAT 561 (92J) CAT 561 (92J) (2)                                        </v>
          </cell>
          <cell r="C46" t="str">
            <v>TRACK LINK AS</v>
          </cell>
          <cell r="D46">
            <v>13482.38</v>
          </cell>
          <cell r="E46">
            <v>6741.19</v>
          </cell>
          <cell r="F46" t="str">
            <v>UC</v>
          </cell>
          <cell r="G46">
            <v>6</v>
          </cell>
          <cell r="H46">
            <v>0</v>
          </cell>
          <cell r="I46">
            <v>0</v>
          </cell>
          <cell r="J46">
            <v>0</v>
          </cell>
          <cell r="K46">
            <v>6</v>
          </cell>
        </row>
        <row r="47">
          <cell r="A47" t="str">
            <v>156-1200</v>
          </cell>
          <cell r="B47" t="str">
            <v xml:space="preserve">CAT 303.5E                                            </v>
          </cell>
          <cell r="C47" t="str">
            <v xml:space="preserve">FUEL WATER SEPARATOR </v>
          </cell>
          <cell r="D47">
            <v>57.5</v>
          </cell>
          <cell r="E47">
            <v>21.85</v>
          </cell>
          <cell r="F47" t="str">
            <v>Filter</v>
          </cell>
          <cell r="G47">
            <v>3</v>
          </cell>
          <cell r="H47">
            <v>2</v>
          </cell>
          <cell r="I47">
            <v>3</v>
          </cell>
          <cell r="J47">
            <v>2</v>
          </cell>
          <cell r="K47">
            <v>10</v>
          </cell>
        </row>
        <row r="48">
          <cell r="A48" t="str">
            <v>160-5130</v>
          </cell>
          <cell r="B48" t="str">
            <v xml:space="preserve">CAT D5 (3CR) CAT D5 (3CR) (2)                                          </v>
          </cell>
          <cell r="C48" t="str">
            <v>CYLINDER HEAD</v>
          </cell>
          <cell r="D48">
            <v>9139.2999999999993</v>
          </cell>
          <cell r="E48">
            <v>4569.6499999999996</v>
          </cell>
          <cell r="F48" t="str">
            <v>ENGINE</v>
          </cell>
          <cell r="G48">
            <v>2</v>
          </cell>
          <cell r="H48">
            <v>0</v>
          </cell>
          <cell r="I48">
            <v>0</v>
          </cell>
          <cell r="J48">
            <v>0</v>
          </cell>
          <cell r="K48">
            <v>2</v>
          </cell>
        </row>
        <row r="49">
          <cell r="A49" t="str">
            <v>169-4019</v>
          </cell>
          <cell r="B49" t="str">
            <v xml:space="preserve">CAT D4 (66J)                                            </v>
          </cell>
          <cell r="C49" t="str">
            <v>HYDRAULIC OIL FILTER</v>
          </cell>
          <cell r="D49">
            <v>703.78</v>
          </cell>
          <cell r="E49">
            <v>267.44</v>
          </cell>
          <cell r="F49" t="str">
            <v>FILTER</v>
          </cell>
          <cell r="G49">
            <v>2</v>
          </cell>
          <cell r="H49">
            <v>1</v>
          </cell>
          <cell r="I49">
            <v>1</v>
          </cell>
          <cell r="J49">
            <v>1</v>
          </cell>
          <cell r="K49">
            <v>5</v>
          </cell>
        </row>
        <row r="50">
          <cell r="A50" t="str">
            <v>173-0946</v>
          </cell>
          <cell r="B50" t="str">
            <v xml:space="preserve">CAT D6T (MH7)                                            </v>
          </cell>
          <cell r="C50" t="str">
            <v>SPROCKET SEGMENT</v>
          </cell>
          <cell r="D50">
            <v>292.60000000000002</v>
          </cell>
          <cell r="E50">
            <v>146.30000000000001</v>
          </cell>
          <cell r="F50" t="str">
            <v>UC</v>
          </cell>
          <cell r="G50">
            <v>10</v>
          </cell>
          <cell r="H50">
            <v>0</v>
          </cell>
          <cell r="I50">
            <v>0</v>
          </cell>
          <cell r="J50">
            <v>0</v>
          </cell>
          <cell r="K50">
            <v>10</v>
          </cell>
        </row>
        <row r="51">
          <cell r="A51" t="str">
            <v>177-2347</v>
          </cell>
          <cell r="B51" t="str">
            <v xml:space="preserve">CAT D4 (66J)                                            </v>
          </cell>
          <cell r="C51" t="str">
            <v>TRACK SHOE SINGLE GROUSER 860MM</v>
          </cell>
          <cell r="D51">
            <v>188.07</v>
          </cell>
          <cell r="E51">
            <v>94.04</v>
          </cell>
          <cell r="F51" t="str">
            <v>UC</v>
          </cell>
          <cell r="G51">
            <v>90</v>
          </cell>
          <cell r="H51">
            <v>0</v>
          </cell>
          <cell r="I51">
            <v>0</v>
          </cell>
          <cell r="J51">
            <v>0</v>
          </cell>
          <cell r="K51">
            <v>90</v>
          </cell>
        </row>
        <row r="52">
          <cell r="A52" t="str">
            <v>177-2348</v>
          </cell>
          <cell r="B52" t="str">
            <v xml:space="preserve">CAT D4 (66J)                                            </v>
          </cell>
          <cell r="C52" t="str">
            <v>TRACK SHOE MASTER</v>
          </cell>
          <cell r="D52">
            <v>200.07</v>
          </cell>
          <cell r="E52">
            <v>100.04</v>
          </cell>
          <cell r="F52" t="str">
            <v>UC</v>
          </cell>
          <cell r="G52">
            <v>2</v>
          </cell>
          <cell r="H52">
            <v>0</v>
          </cell>
          <cell r="I52">
            <v>0</v>
          </cell>
          <cell r="J52">
            <v>0</v>
          </cell>
          <cell r="K52">
            <v>2</v>
          </cell>
        </row>
        <row r="53">
          <cell r="A53" t="str">
            <v>178-6342</v>
          </cell>
          <cell r="B53" t="str">
            <v xml:space="preserve">CAT 561N (CPH) CAT 561N (CPH) (2) CAT 561N (CPH) (3) CAT 561N (CPH) (4) CAT 561N (CPH) (5)                                    </v>
          </cell>
          <cell r="C53" t="str">
            <v>INJECTROR</v>
          </cell>
          <cell r="D53">
            <v>1817.71</v>
          </cell>
          <cell r="E53">
            <v>908.86</v>
          </cell>
          <cell r="F53" t="str">
            <v>ENGINE</v>
          </cell>
          <cell r="G53">
            <v>30</v>
          </cell>
          <cell r="H53">
            <v>0</v>
          </cell>
          <cell r="I53">
            <v>0</v>
          </cell>
          <cell r="J53">
            <v>0</v>
          </cell>
          <cell r="K53">
            <v>30</v>
          </cell>
        </row>
        <row r="54">
          <cell r="A54" t="str">
            <v>179-9806</v>
          </cell>
          <cell r="B54" t="str">
            <v xml:space="preserve">CAT 320E L (WBK) CAT 320E L (WBK) (2) CAT 320F L (YBM) CAT 329E L (ZCD) CAT 329F L (ERL) CAT 329F L (ERL) (2) CAT 330F L (MBX) CAT 330F L (HCK) CAT 330F L (HCK) (2) CAT 336F L (RKB)                          </v>
          </cell>
          <cell r="C54" t="str">
            <v xml:space="preserve">HYDRAULIC OIL FILTER ELEMENT </v>
          </cell>
          <cell r="D54">
            <v>229</v>
          </cell>
          <cell r="E54">
            <v>87.02</v>
          </cell>
          <cell r="F54" t="str">
            <v>Filter</v>
          </cell>
          <cell r="G54">
            <v>24</v>
          </cell>
          <cell r="H54">
            <v>12</v>
          </cell>
          <cell r="I54">
            <v>12</v>
          </cell>
          <cell r="J54">
            <v>12</v>
          </cell>
          <cell r="K54">
            <v>60</v>
          </cell>
        </row>
        <row r="55">
          <cell r="A55" t="str">
            <v>187-1603</v>
          </cell>
          <cell r="B55" t="str">
            <v xml:space="preserve">CAT 561N (CPH) CAT 561N (CPH) (2) CAT 561N (CPH) (3) CAT 561N (CPH) (4) CAT 561N (CPH) (5)                                    </v>
          </cell>
          <cell r="C55" t="str">
            <v>TURBOCHARGER</v>
          </cell>
          <cell r="D55">
            <v>5839.53</v>
          </cell>
          <cell r="E55">
            <v>2919.77</v>
          </cell>
          <cell r="F55" t="str">
            <v>ENGINE</v>
          </cell>
          <cell r="G55">
            <v>5</v>
          </cell>
          <cell r="H55">
            <v>0</v>
          </cell>
          <cell r="I55">
            <v>0</v>
          </cell>
          <cell r="J55">
            <v>0</v>
          </cell>
          <cell r="K55">
            <v>5</v>
          </cell>
        </row>
        <row r="56">
          <cell r="A56" t="str">
            <v>190-1546</v>
          </cell>
          <cell r="B56" t="str">
            <v xml:space="preserve">CAT D6N LGP (GHS) CAT D6N LGP (SGG) CAT D6N LGP (SGG) (2)                                        </v>
          </cell>
          <cell r="C56" t="str">
            <v xml:space="preserve">TRACK IDLER </v>
          </cell>
          <cell r="D56">
            <v>2878.82</v>
          </cell>
          <cell r="E56">
            <v>1439.41</v>
          </cell>
          <cell r="F56" t="str">
            <v>UC</v>
          </cell>
          <cell r="G56">
            <v>12</v>
          </cell>
          <cell r="H56">
            <v>0</v>
          </cell>
          <cell r="I56">
            <v>0</v>
          </cell>
          <cell r="J56">
            <v>0</v>
          </cell>
          <cell r="K56">
            <v>12</v>
          </cell>
        </row>
        <row r="57">
          <cell r="A57" t="str">
            <v>190-1551</v>
          </cell>
          <cell r="B57" t="str">
            <v xml:space="preserve">CAT D5 (3CR) CAT D5 (3CR) (2) CAT 561M (1KW) CAT 561N (CPH) CAT 561N (CPH) (2) CAT 561N (CPH) (3) CAT 561N (CPH) (4) CAT 561N (CPH) (5)                              </v>
          </cell>
          <cell r="C57" t="str">
            <v xml:space="preserve">TRACK IDLER </v>
          </cell>
          <cell r="D57">
            <v>3220.34</v>
          </cell>
          <cell r="E57">
            <v>1610.17</v>
          </cell>
          <cell r="F57" t="str">
            <v>UC</v>
          </cell>
          <cell r="G57">
            <v>18</v>
          </cell>
          <cell r="H57">
            <v>0</v>
          </cell>
          <cell r="I57">
            <v>0</v>
          </cell>
          <cell r="J57">
            <v>0</v>
          </cell>
          <cell r="K57">
            <v>18</v>
          </cell>
        </row>
        <row r="58">
          <cell r="A58" t="str">
            <v>190-7396</v>
          </cell>
          <cell r="B58" t="str">
            <v xml:space="preserve">CAT D3 (1PJ)                                            </v>
          </cell>
          <cell r="C58" t="str">
            <v>SPROCKET SEGMENT</v>
          </cell>
          <cell r="D58">
            <v>134.41999999999999</v>
          </cell>
          <cell r="E58">
            <v>67.209999999999994</v>
          </cell>
          <cell r="F58" t="str">
            <v>UC</v>
          </cell>
          <cell r="G58">
            <v>10</v>
          </cell>
          <cell r="H58">
            <v>0</v>
          </cell>
          <cell r="I58">
            <v>0</v>
          </cell>
          <cell r="J58">
            <v>0</v>
          </cell>
          <cell r="K58">
            <v>10</v>
          </cell>
        </row>
        <row r="59">
          <cell r="A59" t="str">
            <v>191-2933</v>
          </cell>
          <cell r="B59" t="str">
            <v xml:space="preserve">CAT D6N LGP (GHS)                                            </v>
          </cell>
          <cell r="C59" t="str">
            <v>SEAT SUSPENSION ASSEMBLY</v>
          </cell>
          <cell r="D59">
            <v>3100.37</v>
          </cell>
          <cell r="E59">
            <v>1550.19</v>
          </cell>
          <cell r="F59" t="str">
            <v>SEAT</v>
          </cell>
          <cell r="G59">
            <v>1</v>
          </cell>
          <cell r="H59">
            <v>0</v>
          </cell>
          <cell r="I59">
            <v>0</v>
          </cell>
          <cell r="J59">
            <v>0</v>
          </cell>
          <cell r="K59">
            <v>1</v>
          </cell>
        </row>
        <row r="60">
          <cell r="A60" t="str">
            <v>192-4744</v>
          </cell>
          <cell r="B60" t="str">
            <v xml:space="preserve">CAT PL61 (WGS) CAT PL61 (WGS) (2) CAT PL61 (WGS) (3)                                        </v>
          </cell>
          <cell r="C60" t="str">
            <v>CARRIER BOLT</v>
          </cell>
          <cell r="D60">
            <v>1.31</v>
          </cell>
          <cell r="E60">
            <v>0.66</v>
          </cell>
          <cell r="F60" t="str">
            <v>UC</v>
          </cell>
          <cell r="G60">
            <v>12</v>
          </cell>
          <cell r="H60">
            <v>0</v>
          </cell>
          <cell r="I60">
            <v>0</v>
          </cell>
          <cell r="J60">
            <v>0</v>
          </cell>
          <cell r="K60">
            <v>12</v>
          </cell>
        </row>
        <row r="61">
          <cell r="A61" t="str">
            <v>196-7074</v>
          </cell>
          <cell r="B61" t="str">
            <v xml:space="preserve">CAT D6N LGP (GHS) CAT D6N LGP (SGG) CAT D6N LGP (SGG) (2)                                        </v>
          </cell>
          <cell r="C61" t="str">
            <v>REAR WEAR STRIP 16MM</v>
          </cell>
          <cell r="D61">
            <v>200.89</v>
          </cell>
          <cell r="E61">
            <v>100.45</v>
          </cell>
          <cell r="F61" t="str">
            <v>UC</v>
          </cell>
          <cell r="G61">
            <v>12</v>
          </cell>
          <cell r="H61">
            <v>0</v>
          </cell>
          <cell r="I61">
            <v>0</v>
          </cell>
          <cell r="J61">
            <v>0</v>
          </cell>
          <cell r="K61">
            <v>12</v>
          </cell>
        </row>
        <row r="62">
          <cell r="A62" t="str">
            <v>196-7078</v>
          </cell>
          <cell r="B62" t="str">
            <v xml:space="preserve">CAT D6N LGP (GHS) CAT D6N LGP (SGG) CAT D6N LGP (SGG) (2)                                        </v>
          </cell>
          <cell r="C62" t="str">
            <v>FRONT WEAR STRIP 16MM</v>
          </cell>
          <cell r="D62">
            <v>159.66</v>
          </cell>
          <cell r="E62">
            <v>79.83</v>
          </cell>
          <cell r="F62" t="str">
            <v>UC</v>
          </cell>
          <cell r="G62">
            <v>12</v>
          </cell>
          <cell r="H62">
            <v>0</v>
          </cell>
          <cell r="I62">
            <v>0</v>
          </cell>
          <cell r="J62">
            <v>0</v>
          </cell>
          <cell r="K62">
            <v>12</v>
          </cell>
        </row>
        <row r="63">
          <cell r="A63" t="str">
            <v>1G-8878</v>
          </cell>
          <cell r="B63" t="str">
            <v xml:space="preserve">CAT PL61 (WGS) CAT PL61 (WGS) (2) CAT PL61 (WGS) (3)                                        </v>
          </cell>
          <cell r="C63" t="str">
            <v>HYDRAULIC OIL FILTER ELEMENT</v>
          </cell>
          <cell r="D63">
            <v>150.47</v>
          </cell>
          <cell r="E63">
            <v>57.18</v>
          </cell>
          <cell r="F63" t="str">
            <v>FILTER</v>
          </cell>
          <cell r="G63">
            <v>6</v>
          </cell>
          <cell r="H63">
            <v>3</v>
          </cell>
          <cell r="I63">
            <v>3</v>
          </cell>
          <cell r="J63">
            <v>3</v>
          </cell>
          <cell r="K63">
            <v>15</v>
          </cell>
        </row>
        <row r="64">
          <cell r="A64" t="str">
            <v>1M-1408</v>
          </cell>
          <cell r="B64" t="str">
            <v xml:space="preserve">CAT D5 (3CR) CAT D5 (3CR) (2) CAT 561 (85H) CAT 561 (92J) CAT 561 (92J) (2) CAT 561M (1KW) CAT 561N (CPH) CAT 561N (CPH) (2) CAT 561N (CPH) (3) CAT 561N (CPH) (4) CAT 561N (CPH) (5)                        </v>
          </cell>
          <cell r="C64" t="str">
            <v>TRACK NUT</v>
          </cell>
          <cell r="D64">
            <v>2.0699999999999998</v>
          </cell>
          <cell r="E64">
            <v>1.04</v>
          </cell>
          <cell r="F64" t="str">
            <v>UC</v>
          </cell>
          <cell r="G64">
            <v>2634</v>
          </cell>
          <cell r="H64">
            <v>0</v>
          </cell>
          <cell r="I64">
            <v>0</v>
          </cell>
          <cell r="J64">
            <v>0</v>
          </cell>
          <cell r="K64">
            <v>2634</v>
          </cell>
        </row>
        <row r="65">
          <cell r="A65" t="str">
            <v>1M-8867</v>
          </cell>
          <cell r="B65" t="str">
            <v xml:space="preserve">CAT D4 (66J)                                            </v>
          </cell>
          <cell r="C65" t="str">
            <v xml:space="preserve">TRACK IDLER </v>
          </cell>
          <cell r="D65">
            <v>2233.12</v>
          </cell>
          <cell r="E65">
            <v>1116.56</v>
          </cell>
          <cell r="F65" t="str">
            <v>UC</v>
          </cell>
          <cell r="G65">
            <v>2</v>
          </cell>
          <cell r="H65">
            <v>0</v>
          </cell>
          <cell r="I65">
            <v>0</v>
          </cell>
          <cell r="J65">
            <v>0</v>
          </cell>
          <cell r="K65">
            <v>2</v>
          </cell>
        </row>
        <row r="66">
          <cell r="A66" t="str">
            <v>1R-0713</v>
          </cell>
          <cell r="B66" t="str">
            <v xml:space="preserve">CAT D3 (1PJ)                                            </v>
          </cell>
          <cell r="C66" t="str">
            <v>ENGINE OIL FILTER</v>
          </cell>
          <cell r="D66">
            <v>27.68</v>
          </cell>
          <cell r="E66">
            <v>10.52</v>
          </cell>
          <cell r="F66" t="str">
            <v>FILTER</v>
          </cell>
          <cell r="G66">
            <v>2</v>
          </cell>
          <cell r="H66">
            <v>1</v>
          </cell>
          <cell r="I66">
            <v>1</v>
          </cell>
          <cell r="J66">
            <v>1</v>
          </cell>
          <cell r="K66">
            <v>5</v>
          </cell>
        </row>
        <row r="67">
          <cell r="A67" t="str">
            <v>1R-0719</v>
          </cell>
          <cell r="B67" t="str">
            <v xml:space="preserve">CAT D3 (1PJ) CAT D5 (3CR) CAT D5 (3CR) (2)                                        </v>
          </cell>
          <cell r="C67" t="str">
            <v>HYDRAULIC OIL FILTER</v>
          </cell>
          <cell r="D67">
            <v>38.32</v>
          </cell>
          <cell r="E67">
            <v>14.56</v>
          </cell>
          <cell r="F67" t="str">
            <v>FILTER</v>
          </cell>
          <cell r="G67">
            <v>6</v>
          </cell>
          <cell r="H67">
            <v>3</v>
          </cell>
          <cell r="I67">
            <v>3</v>
          </cell>
          <cell r="J67">
            <v>3</v>
          </cell>
          <cell r="K67">
            <v>15</v>
          </cell>
        </row>
        <row r="68">
          <cell r="A68" t="str">
            <v>1R-0746</v>
          </cell>
          <cell r="B68" t="str">
            <v xml:space="preserve">CAT D3 (1PJ)                                            </v>
          </cell>
          <cell r="C68" t="str">
            <v xml:space="preserve">HYDRAULIC/TRANSMISSION OIL FILTER </v>
          </cell>
          <cell r="D68">
            <v>47.44</v>
          </cell>
          <cell r="E68">
            <v>18.03</v>
          </cell>
          <cell r="F68" t="str">
            <v>FILTER</v>
          </cell>
          <cell r="G68">
            <v>2</v>
          </cell>
          <cell r="H68">
            <v>1</v>
          </cell>
          <cell r="I68">
            <v>1</v>
          </cell>
          <cell r="J68">
            <v>1</v>
          </cell>
          <cell r="K68">
            <v>5</v>
          </cell>
        </row>
        <row r="69">
          <cell r="A69" t="str">
            <v>1R0749</v>
          </cell>
          <cell r="B69" t="str">
            <v xml:space="preserve">CAT 561N (CPH) CAT 561N (CPH) (2) CAT 561N (CPH) (3) CAT 561N (CPH) (4) CAT 561N (CPH) (5)                                    </v>
          </cell>
          <cell r="C69" t="str">
            <v>FUEL FILTER</v>
          </cell>
          <cell r="D69">
            <v>51.52</v>
          </cell>
          <cell r="E69">
            <v>19.579999999999998</v>
          </cell>
          <cell r="F69" t="str">
            <v>FILTER</v>
          </cell>
          <cell r="G69">
            <v>20</v>
          </cell>
          <cell r="H69">
            <v>10</v>
          </cell>
          <cell r="I69">
            <v>10</v>
          </cell>
          <cell r="J69">
            <v>10</v>
          </cell>
          <cell r="K69">
            <v>50</v>
          </cell>
        </row>
        <row r="70">
          <cell r="A70" t="str">
            <v>1R-0749</v>
          </cell>
          <cell r="B70" t="str">
            <v xml:space="preserve">CAT 336F L (RKB) CAT D6 (RDC) CAT D6T (MH7)                                        </v>
          </cell>
          <cell r="C70" t="str">
            <v xml:space="preserve">FUEL FILTER </v>
          </cell>
          <cell r="D70">
            <v>51.52</v>
          </cell>
          <cell r="E70">
            <v>19.579999999999998</v>
          </cell>
          <cell r="F70" t="str">
            <v>FILTER</v>
          </cell>
          <cell r="G70">
            <v>12</v>
          </cell>
          <cell r="H70">
            <v>6</v>
          </cell>
          <cell r="I70">
            <v>6</v>
          </cell>
          <cell r="J70">
            <v>6</v>
          </cell>
          <cell r="K70">
            <v>30</v>
          </cell>
        </row>
        <row r="71">
          <cell r="A71" t="str">
            <v>1R0750</v>
          </cell>
          <cell r="B71" t="str">
            <v xml:space="preserve">CAT D4 (66J)                                            </v>
          </cell>
          <cell r="C71" t="str">
            <v>SECONDARY FUEL FILTER</v>
          </cell>
          <cell r="D71">
            <v>42.69</v>
          </cell>
          <cell r="E71">
            <v>16.22</v>
          </cell>
          <cell r="F71" t="str">
            <v>FILTER</v>
          </cell>
          <cell r="G71">
            <v>2</v>
          </cell>
          <cell r="H71">
            <v>1</v>
          </cell>
          <cell r="I71">
            <v>1</v>
          </cell>
          <cell r="J71">
            <v>1</v>
          </cell>
          <cell r="K71">
            <v>5</v>
          </cell>
        </row>
        <row r="72">
          <cell r="A72" t="str">
            <v>1R-0750</v>
          </cell>
          <cell r="B72" t="str">
            <v xml:space="preserve">CAT D3 (1PJ) CAT D7G (92V) CAT D7G (3ZD) CAT D7G (3ZD) (2) CAT 561 (85H) CAT 561 (92J) CAT 561 (92J) (2)                                </v>
          </cell>
          <cell r="C72" t="str">
            <v>FUEL FILTER</v>
          </cell>
          <cell r="D72">
            <v>42.69</v>
          </cell>
          <cell r="E72">
            <v>16.22</v>
          </cell>
          <cell r="F72" t="str">
            <v>FILTER</v>
          </cell>
          <cell r="G72">
            <v>14</v>
          </cell>
          <cell r="H72">
            <v>7</v>
          </cell>
          <cell r="I72">
            <v>7</v>
          </cell>
          <cell r="J72">
            <v>7</v>
          </cell>
          <cell r="K72">
            <v>35</v>
          </cell>
        </row>
        <row r="73">
          <cell r="A73" t="str">
            <v>1R-0751</v>
          </cell>
          <cell r="B73" t="str">
            <v xml:space="preserve">CAT D5 (3CR) CAT D5 (3CR) (2) CAT D6N LGP (GHS) CAT 561M (1KW) CAT PL61 (WGS) CAT PL61 (WGS) (2) CAT PL61 (WGS) (3)                                </v>
          </cell>
          <cell r="C73" t="str">
            <v>PRIMARY FUEL FILTER</v>
          </cell>
          <cell r="D73">
            <v>47.05</v>
          </cell>
          <cell r="E73">
            <v>17.88</v>
          </cell>
          <cell r="F73" t="str">
            <v>FILTER</v>
          </cell>
          <cell r="G73">
            <v>16</v>
          </cell>
          <cell r="H73">
            <v>8</v>
          </cell>
          <cell r="I73">
            <v>8</v>
          </cell>
          <cell r="J73">
            <v>8</v>
          </cell>
          <cell r="K73">
            <v>40</v>
          </cell>
        </row>
        <row r="74">
          <cell r="A74" t="str">
            <v>1R-0753</v>
          </cell>
          <cell r="B74" t="str">
            <v xml:space="preserve">CAT D5 (3CR) CAT D5 (3CR) (2)                                          </v>
          </cell>
          <cell r="C74" t="str">
            <v>SECONDARY FUEL FILTER</v>
          </cell>
          <cell r="D74">
            <v>67.900000000000006</v>
          </cell>
          <cell r="E74">
            <v>25.8</v>
          </cell>
          <cell r="F74" t="str">
            <v>FILTER</v>
          </cell>
          <cell r="G74">
            <v>4</v>
          </cell>
          <cell r="H74">
            <v>2</v>
          </cell>
          <cell r="I74">
            <v>2</v>
          </cell>
          <cell r="J74">
            <v>2</v>
          </cell>
          <cell r="K74">
            <v>10</v>
          </cell>
        </row>
        <row r="75">
          <cell r="A75" t="str">
            <v>1R-0777</v>
          </cell>
          <cell r="B75" t="str">
            <v xml:space="preserve">CAT D4 (66J)                                            </v>
          </cell>
          <cell r="C75" t="str">
            <v xml:space="preserve">HYDRAULIC OIL FILTER ELEMENT </v>
          </cell>
          <cell r="D75">
            <v>93.49</v>
          </cell>
          <cell r="E75">
            <v>35.53</v>
          </cell>
          <cell r="F75" t="str">
            <v>FILTER</v>
          </cell>
          <cell r="G75">
            <v>2</v>
          </cell>
          <cell r="H75">
            <v>1</v>
          </cell>
          <cell r="I75">
            <v>1</v>
          </cell>
          <cell r="J75">
            <v>1</v>
          </cell>
          <cell r="K75">
            <v>5</v>
          </cell>
        </row>
        <row r="76">
          <cell r="A76" t="str">
            <v>1R-1807</v>
          </cell>
          <cell r="B76" t="str">
            <v xml:space="preserve">CAT D4 (66J) CAT D5 (3CR) CAT D5 (3CR) (2) CAT 561 (85H) CAT 561 (92J) CAT 561 (92J) (2) CAT 561M (1KW)                                </v>
          </cell>
          <cell r="C76" t="str">
            <v>ENGINE OIL FILTER</v>
          </cell>
          <cell r="D76">
            <v>44.09</v>
          </cell>
          <cell r="E76">
            <v>16.75</v>
          </cell>
          <cell r="F76" t="str">
            <v>FILTER</v>
          </cell>
          <cell r="G76">
            <v>14</v>
          </cell>
          <cell r="H76">
            <v>7</v>
          </cell>
          <cell r="I76">
            <v>7</v>
          </cell>
          <cell r="J76">
            <v>7</v>
          </cell>
          <cell r="K76">
            <v>35</v>
          </cell>
        </row>
        <row r="77">
          <cell r="A77" t="str">
            <v>1R-1808</v>
          </cell>
          <cell r="B77" t="str">
            <v xml:space="preserve">CAT 336F L (RKB) CAT D6 (RDC) CAT D6T (MH7)                                        </v>
          </cell>
          <cell r="C77" t="str">
            <v>ENGINE OIL FILTER</v>
          </cell>
          <cell r="D77">
            <v>82.08</v>
          </cell>
          <cell r="E77">
            <v>31.19</v>
          </cell>
          <cell r="F77" t="str">
            <v>FILTER</v>
          </cell>
          <cell r="G77">
            <v>6</v>
          </cell>
          <cell r="H77">
            <v>3</v>
          </cell>
          <cell r="I77">
            <v>3</v>
          </cell>
          <cell r="J77">
            <v>3</v>
          </cell>
          <cell r="K77">
            <v>15</v>
          </cell>
        </row>
        <row r="78">
          <cell r="A78" t="str">
            <v>1S1860</v>
          </cell>
          <cell r="B78" t="str">
            <v xml:space="preserve">CAT D4 (66J)                                            </v>
          </cell>
          <cell r="C78" t="str">
            <v>TRACK NUT</v>
          </cell>
          <cell r="D78">
            <v>2.94</v>
          </cell>
          <cell r="E78">
            <v>1.47</v>
          </cell>
          <cell r="F78" t="str">
            <v>UC</v>
          </cell>
          <cell r="G78">
            <v>360</v>
          </cell>
          <cell r="H78">
            <v>0</v>
          </cell>
          <cell r="I78">
            <v>0</v>
          </cell>
          <cell r="J78">
            <v>0</v>
          </cell>
          <cell r="K78">
            <v>360</v>
          </cell>
        </row>
        <row r="79">
          <cell r="A79" t="str">
            <v>1S-1860</v>
          </cell>
          <cell r="B79" t="str">
            <v xml:space="preserve">CAT D6 (RDC) CAT D6N LGP (GHS) CAT D6N LGP (SGG) CAT D6N LGP (SGG) (2) CAT D7G (92V) CAT D7G (3ZD) CAT D7G (3ZD) (2) CAT PL61 (WGS) CAT PL61 (WGS) (2) CAT PL61 (WGS) (3)                          </v>
          </cell>
          <cell r="C79" t="str">
            <v>TRACK NUT</v>
          </cell>
          <cell r="D79">
            <v>2.94</v>
          </cell>
          <cell r="E79">
            <v>1.47</v>
          </cell>
          <cell r="F79" t="str">
            <v>UC</v>
          </cell>
          <cell r="G79">
            <v>3264</v>
          </cell>
          <cell r="H79">
            <v>0</v>
          </cell>
          <cell r="I79">
            <v>0</v>
          </cell>
          <cell r="J79">
            <v>0</v>
          </cell>
          <cell r="K79">
            <v>3264</v>
          </cell>
        </row>
        <row r="80">
          <cell r="A80" t="str">
            <v>1U-3202</v>
          </cell>
          <cell r="B80" t="str">
            <v xml:space="preserve">CAT D3 (1PJ)                                            </v>
          </cell>
          <cell r="C80" t="str">
            <v>TIP SHORT</v>
          </cell>
          <cell r="D80">
            <v>37.42</v>
          </cell>
          <cell r="E80">
            <v>14.22</v>
          </cell>
          <cell r="F80" t="str">
            <v>GET</v>
          </cell>
          <cell r="G80">
            <v>1</v>
          </cell>
          <cell r="H80">
            <v>0</v>
          </cell>
          <cell r="I80">
            <v>0</v>
          </cell>
          <cell r="J80">
            <v>0</v>
          </cell>
          <cell r="K80">
            <v>1</v>
          </cell>
        </row>
        <row r="81">
          <cell r="A81" t="str">
            <v>202-4296</v>
          </cell>
          <cell r="B81" t="str">
            <v xml:space="preserve">CAT D6 (RDC) CAT D6T (MH7)                                          </v>
          </cell>
          <cell r="C81" t="str">
            <v>TRACK IDLER</v>
          </cell>
          <cell r="D81">
            <v>3032.3</v>
          </cell>
          <cell r="E81">
            <v>1516.15</v>
          </cell>
          <cell r="F81" t="str">
            <v>UC</v>
          </cell>
          <cell r="G81">
            <v>8</v>
          </cell>
          <cell r="H81">
            <v>0</v>
          </cell>
          <cell r="I81">
            <v>0</v>
          </cell>
          <cell r="J81">
            <v>0</v>
          </cell>
          <cell r="K81">
            <v>8</v>
          </cell>
        </row>
        <row r="82">
          <cell r="A82" t="str">
            <v>209-8217</v>
          </cell>
          <cell r="B82" t="str">
            <v xml:space="preserve">CAT PL61 (WGS) CAT PL61 (WGS) (2) CAT PL61 (WGS) (3)                                        </v>
          </cell>
          <cell r="C82" t="str">
            <v>CABIN AIR FILTER ELEMENT</v>
          </cell>
          <cell r="D82">
            <v>85.17</v>
          </cell>
          <cell r="E82">
            <v>32.36</v>
          </cell>
          <cell r="F82" t="str">
            <v>FILTER</v>
          </cell>
          <cell r="G82">
            <v>3</v>
          </cell>
          <cell r="H82">
            <v>3</v>
          </cell>
          <cell r="I82">
            <v>0</v>
          </cell>
          <cell r="J82">
            <v>3</v>
          </cell>
          <cell r="K82">
            <v>9</v>
          </cell>
        </row>
        <row r="83">
          <cell r="A83" t="str">
            <v>213-1971</v>
          </cell>
          <cell r="B83" t="str">
            <v xml:space="preserve">CAT 336F L (RKB)                                            </v>
          </cell>
          <cell r="C83" t="str">
            <v>TRACK LINK ASSEMBLY</v>
          </cell>
          <cell r="D83">
            <v>12083.08</v>
          </cell>
          <cell r="E83">
            <v>6041.54</v>
          </cell>
          <cell r="F83" t="str">
            <v>UC</v>
          </cell>
          <cell r="G83">
            <v>2</v>
          </cell>
          <cell r="H83">
            <v>0</v>
          </cell>
          <cell r="I83">
            <v>0</v>
          </cell>
          <cell r="J83">
            <v>0</v>
          </cell>
          <cell r="K83">
            <v>2</v>
          </cell>
        </row>
        <row r="84">
          <cell r="A84" t="str">
            <v>213-5007</v>
          </cell>
          <cell r="B84" t="str">
            <v xml:space="preserve">CAT D6 (RDC) CAT D6T (MH7)                                          </v>
          </cell>
          <cell r="C84" t="str">
            <v>CARRIER BOLT</v>
          </cell>
          <cell r="D84">
            <v>22.26</v>
          </cell>
          <cell r="E84">
            <v>11.13</v>
          </cell>
          <cell r="F84" t="str">
            <v>UC</v>
          </cell>
          <cell r="G84">
            <v>8</v>
          </cell>
          <cell r="H84">
            <v>0</v>
          </cell>
          <cell r="I84">
            <v>0</v>
          </cell>
          <cell r="J84">
            <v>0</v>
          </cell>
          <cell r="K84">
            <v>8</v>
          </cell>
        </row>
        <row r="85">
          <cell r="A85" t="str">
            <v>216-6286</v>
          </cell>
          <cell r="B85" t="str">
            <v xml:space="preserve">CAT D5 (3CR) CAT D5 (3CR) (2)                                          </v>
          </cell>
          <cell r="C85" t="str">
            <v>TRACK SHOE SINGLE GROUSER 760MM</v>
          </cell>
          <cell r="D85">
            <v>126.01</v>
          </cell>
          <cell r="E85">
            <v>63.01</v>
          </cell>
          <cell r="F85" t="str">
            <v>UC</v>
          </cell>
          <cell r="G85">
            <v>176</v>
          </cell>
          <cell r="H85">
            <v>0</v>
          </cell>
          <cell r="I85">
            <v>0</v>
          </cell>
          <cell r="J85">
            <v>0</v>
          </cell>
          <cell r="K85">
            <v>176</v>
          </cell>
        </row>
        <row r="86">
          <cell r="A86" t="str">
            <v>216-7921</v>
          </cell>
          <cell r="B86" t="str">
            <v xml:space="preserve">CAT 561N (CPH) CAT 561N (CPH) (2) CAT 561N (CPH) (3) CAT 561N (CPH) (4) CAT 561N (CPH) (5) CAT PL61 (WGS) CAT PL61 (WGS) (2) CAT PL61 (WGS) (3)                              </v>
          </cell>
          <cell r="C86" t="str">
            <v>CAMSHAFT</v>
          </cell>
          <cell r="D86">
            <v>4686.51</v>
          </cell>
          <cell r="E86">
            <v>2343.2600000000002</v>
          </cell>
          <cell r="F86" t="str">
            <v>ENGINE</v>
          </cell>
          <cell r="G86">
            <v>8</v>
          </cell>
          <cell r="H86">
            <v>0</v>
          </cell>
          <cell r="I86">
            <v>0</v>
          </cell>
          <cell r="J86">
            <v>0</v>
          </cell>
          <cell r="K86">
            <v>8</v>
          </cell>
        </row>
        <row r="87">
          <cell r="A87" t="str">
            <v>219-7569</v>
          </cell>
          <cell r="B87" t="str">
            <v xml:space="preserve">CAT 320E L (WBK) CAT 320E L (WBK) (2) CAT 320F L (YBM) CAT 320 (HEX) CAT 320 (MYK) CAT 320 (MYK) (2)                                  </v>
          </cell>
          <cell r="C87" t="str">
            <v>SPROCKET BOLT</v>
          </cell>
          <cell r="D87">
            <v>8.76</v>
          </cell>
          <cell r="E87">
            <v>4.38</v>
          </cell>
          <cell r="F87" t="str">
            <v>UC</v>
          </cell>
          <cell r="G87">
            <v>192</v>
          </cell>
          <cell r="H87">
            <v>0</v>
          </cell>
          <cell r="I87">
            <v>0</v>
          </cell>
          <cell r="J87">
            <v>0</v>
          </cell>
          <cell r="K87">
            <v>192</v>
          </cell>
        </row>
        <row r="88">
          <cell r="A88" t="str">
            <v>222-1796</v>
          </cell>
          <cell r="B88" t="str">
            <v xml:space="preserve">CAT D6N LGP (GHS)                                            </v>
          </cell>
          <cell r="C88" t="str">
            <v>TRACK SHOE SINGLE GROUSER 860MM</v>
          </cell>
          <cell r="D88">
            <v>206.6</v>
          </cell>
          <cell r="E88">
            <v>103.3</v>
          </cell>
          <cell r="F88" t="str">
            <v>UC</v>
          </cell>
          <cell r="G88">
            <v>90</v>
          </cell>
          <cell r="H88">
            <v>0</v>
          </cell>
          <cell r="I88">
            <v>0</v>
          </cell>
          <cell r="J88">
            <v>0</v>
          </cell>
          <cell r="K88">
            <v>90</v>
          </cell>
        </row>
        <row r="89">
          <cell r="A89" t="str">
            <v>222-1797</v>
          </cell>
          <cell r="B89" t="str">
            <v xml:space="preserve">CAT D6N LGP (GHS)                                            </v>
          </cell>
          <cell r="C89" t="str">
            <v>TRACK SHOE MASTER</v>
          </cell>
          <cell r="D89">
            <v>226.51</v>
          </cell>
          <cell r="E89">
            <v>113.26</v>
          </cell>
          <cell r="F89" t="str">
            <v>UC</v>
          </cell>
          <cell r="G89">
            <v>2</v>
          </cell>
          <cell r="H89">
            <v>0</v>
          </cell>
          <cell r="I89">
            <v>0</v>
          </cell>
          <cell r="J89">
            <v>0</v>
          </cell>
          <cell r="K89">
            <v>2</v>
          </cell>
        </row>
        <row r="90">
          <cell r="A90" t="str">
            <v>224-1311</v>
          </cell>
          <cell r="B90" t="str">
            <v xml:space="preserve">CAT D7G (92V) CAT D7G (3ZD) CAT D7G (3ZD) (2)                                        </v>
          </cell>
          <cell r="C90" t="str">
            <v>SPROCKET HUB</v>
          </cell>
          <cell r="D90">
            <v>3635.61</v>
          </cell>
          <cell r="E90">
            <v>1817.81</v>
          </cell>
          <cell r="F90" t="str">
            <v>UC</v>
          </cell>
          <cell r="G90">
            <v>6</v>
          </cell>
          <cell r="H90">
            <v>0</v>
          </cell>
          <cell r="I90">
            <v>0</v>
          </cell>
          <cell r="J90">
            <v>0</v>
          </cell>
          <cell r="K90">
            <v>6</v>
          </cell>
        </row>
        <row r="91">
          <cell r="A91" t="str">
            <v>229-5446</v>
          </cell>
          <cell r="B91" t="str">
            <v xml:space="preserve">CAT D6N LGP (GHS) CAT D6N LGP (PBA) CAT D6N LGP (PBA) (2) CAT D6N LGP (SGG) CAT D6N LGP (SGG) (2)                                    </v>
          </cell>
          <cell r="C91" t="str">
            <v>CARRIER ROLLER</v>
          </cell>
          <cell r="D91">
            <v>496.33</v>
          </cell>
          <cell r="E91">
            <v>248.17</v>
          </cell>
          <cell r="F91" t="str">
            <v>UC</v>
          </cell>
          <cell r="G91">
            <v>10</v>
          </cell>
          <cell r="H91">
            <v>0</v>
          </cell>
          <cell r="I91">
            <v>0</v>
          </cell>
          <cell r="J91">
            <v>0</v>
          </cell>
          <cell r="K91">
            <v>10</v>
          </cell>
        </row>
        <row r="92">
          <cell r="A92" t="str">
            <v>229-6958</v>
          </cell>
          <cell r="B92" t="str">
            <v xml:space="preserve">CAT D6T (MH7)                                            </v>
          </cell>
          <cell r="C92" t="str">
            <v>CUTTING EDGE</v>
          </cell>
          <cell r="D92">
            <v>559.01</v>
          </cell>
          <cell r="E92">
            <v>212.42</v>
          </cell>
          <cell r="F92" t="str">
            <v>GET</v>
          </cell>
          <cell r="G92">
            <v>2</v>
          </cell>
          <cell r="H92">
            <v>0</v>
          </cell>
          <cell r="I92">
            <v>0</v>
          </cell>
          <cell r="J92">
            <v>0</v>
          </cell>
          <cell r="K92">
            <v>2</v>
          </cell>
        </row>
        <row r="93">
          <cell r="A93" t="str">
            <v>235-5974</v>
          </cell>
          <cell r="B93" t="str">
            <v xml:space="preserve">CAT D6 (RDC) CAT D6T (MH7)                                          </v>
          </cell>
          <cell r="C93" t="str">
            <v>CARRIER ROLLER</v>
          </cell>
          <cell r="D93">
            <v>594.54</v>
          </cell>
          <cell r="E93">
            <v>297.27</v>
          </cell>
          <cell r="F93" t="str">
            <v>UC</v>
          </cell>
          <cell r="G93">
            <v>4</v>
          </cell>
          <cell r="H93">
            <v>0</v>
          </cell>
          <cell r="I93">
            <v>0</v>
          </cell>
          <cell r="J93">
            <v>0</v>
          </cell>
          <cell r="K93">
            <v>4</v>
          </cell>
        </row>
        <row r="94">
          <cell r="A94" t="str">
            <v>240-9557</v>
          </cell>
          <cell r="B94" t="str">
            <v xml:space="preserve">CAT D6N LGP (PBA) CAT D6N LGP (PBA) (2)                                          </v>
          </cell>
          <cell r="C94" t="str">
            <v>SINGLE FLANGE TRACK ROLLER</v>
          </cell>
          <cell r="D94">
            <v>866.99</v>
          </cell>
          <cell r="E94">
            <v>433.5</v>
          </cell>
          <cell r="F94" t="str">
            <v>UC</v>
          </cell>
          <cell r="G94">
            <v>32</v>
          </cell>
          <cell r="H94">
            <v>0</v>
          </cell>
          <cell r="I94">
            <v>0</v>
          </cell>
          <cell r="J94">
            <v>0</v>
          </cell>
          <cell r="K94">
            <v>32</v>
          </cell>
        </row>
        <row r="95">
          <cell r="A95" t="str">
            <v>248-7143</v>
          </cell>
          <cell r="B95" t="str">
            <v xml:space="preserve">CAT 320E L (WBK) CAT 320E L (WBK) (2) CAT 320F L (YBM) CAT 320 (HEX) CAT 320 (MYK) CAT 320 (MYK) (2)                                  </v>
          </cell>
          <cell r="C95" t="str">
            <v>TRACK IDLER</v>
          </cell>
          <cell r="D95">
            <v>2633.14</v>
          </cell>
          <cell r="E95">
            <v>1316.57</v>
          </cell>
          <cell r="F95" t="str">
            <v>UC</v>
          </cell>
          <cell r="G95">
            <v>16</v>
          </cell>
          <cell r="H95">
            <v>0</v>
          </cell>
          <cell r="I95">
            <v>0</v>
          </cell>
          <cell r="J95">
            <v>0</v>
          </cell>
          <cell r="K95">
            <v>16</v>
          </cell>
        </row>
        <row r="96">
          <cell r="A96" t="str">
            <v>251-8601</v>
          </cell>
          <cell r="B96" t="str">
            <v xml:space="preserve">CAT D6N LGP (GHS) CAT D6N LGP (SGG) CAT D6N LGP (SGG) (2)                                        </v>
          </cell>
          <cell r="C96" t="str">
            <v>IDLER SCRAPER</v>
          </cell>
          <cell r="D96">
            <v>113.29</v>
          </cell>
          <cell r="E96">
            <v>56.65</v>
          </cell>
          <cell r="F96" t="str">
            <v>UC</v>
          </cell>
          <cell r="G96">
            <v>6</v>
          </cell>
          <cell r="H96">
            <v>0</v>
          </cell>
          <cell r="I96">
            <v>0</v>
          </cell>
          <cell r="J96">
            <v>0</v>
          </cell>
          <cell r="K96">
            <v>6</v>
          </cell>
        </row>
        <row r="97">
          <cell r="A97" t="str">
            <v>252-5001</v>
          </cell>
          <cell r="B97" t="str">
            <v xml:space="preserve">CAT D6N LGP (GHS) CAT PL61 (WGS) CAT PL61 (WGS) (2) CAT PL61 (WGS) (3)                                      </v>
          </cell>
          <cell r="C97" t="str">
            <v>PRIMARY AIR FILTER ELEMENT</v>
          </cell>
          <cell r="D97">
            <v>221.03</v>
          </cell>
          <cell r="E97">
            <v>83.99</v>
          </cell>
          <cell r="F97" t="str">
            <v>FILTER</v>
          </cell>
          <cell r="G97">
            <v>4</v>
          </cell>
          <cell r="H97">
            <v>4</v>
          </cell>
          <cell r="I97">
            <v>0</v>
          </cell>
          <cell r="J97">
            <v>4</v>
          </cell>
          <cell r="K97">
            <v>12</v>
          </cell>
        </row>
        <row r="98">
          <cell r="A98" t="str">
            <v>252-5002</v>
          </cell>
          <cell r="B98" t="str">
            <v xml:space="preserve">CAT D6N LGP (GHS) CAT PL61 (WGS) CAT PL61 (WGS) (2) CAT PL61 (WGS) (3)                                      </v>
          </cell>
          <cell r="C98" t="str">
            <v>SECONDARY AIR FILTER ELEMENT</v>
          </cell>
          <cell r="D98">
            <v>152.66999999999999</v>
          </cell>
          <cell r="E98">
            <v>58.01</v>
          </cell>
          <cell r="F98" t="str">
            <v>FILTER</v>
          </cell>
          <cell r="G98">
            <v>4</v>
          </cell>
          <cell r="H98">
            <v>4</v>
          </cell>
          <cell r="I98">
            <v>0</v>
          </cell>
          <cell r="J98">
            <v>4</v>
          </cell>
          <cell r="K98">
            <v>12</v>
          </cell>
        </row>
        <row r="99">
          <cell r="A99" t="str">
            <v>254-0225</v>
          </cell>
          <cell r="B99" t="str">
            <v xml:space="preserve">CAT D6N LGP (PBA) CAT D6N LGP (PBA) (2)                                          </v>
          </cell>
          <cell r="C99" t="str">
            <v>TRACK BOLT MASTER</v>
          </cell>
          <cell r="D99">
            <v>10.72</v>
          </cell>
          <cell r="E99">
            <v>5.36</v>
          </cell>
          <cell r="F99" t="str">
            <v>UC</v>
          </cell>
          <cell r="G99">
            <v>16</v>
          </cell>
          <cell r="H99">
            <v>0</v>
          </cell>
          <cell r="I99">
            <v>0</v>
          </cell>
          <cell r="J99">
            <v>0</v>
          </cell>
          <cell r="K99">
            <v>16</v>
          </cell>
        </row>
        <row r="100">
          <cell r="A100" t="str">
            <v>255-8095</v>
          </cell>
          <cell r="B100" t="str">
            <v xml:space="preserve">CAT PL61 (WGS) CAT PL61 (WGS) (2) CAT PL61 (WGS) (3)                                        </v>
          </cell>
          <cell r="C100" t="str">
            <v>SPROCKET</v>
          </cell>
          <cell r="D100">
            <v>1650.99</v>
          </cell>
          <cell r="E100">
            <v>825.5</v>
          </cell>
          <cell r="F100" t="str">
            <v>UC</v>
          </cell>
          <cell r="G100">
            <v>6</v>
          </cell>
          <cell r="H100">
            <v>0</v>
          </cell>
          <cell r="I100">
            <v>0</v>
          </cell>
          <cell r="J100">
            <v>0</v>
          </cell>
          <cell r="K100">
            <v>6</v>
          </cell>
        </row>
        <row r="101">
          <cell r="A101" t="str">
            <v>259-2627</v>
          </cell>
          <cell r="B101" t="str">
            <v xml:space="preserve">CAT D6N LGP (GHS) CAT D6N LGP (SGG) CAT D6N LGP (SGG) (2)                                        </v>
          </cell>
          <cell r="C101" t="str">
            <v>HEX HEAD BOLT</v>
          </cell>
          <cell r="D101">
            <v>4.12</v>
          </cell>
          <cell r="E101">
            <v>2.06</v>
          </cell>
          <cell r="F101" t="str">
            <v>UC</v>
          </cell>
          <cell r="G101">
            <v>12</v>
          </cell>
          <cell r="H101">
            <v>0</v>
          </cell>
          <cell r="I101">
            <v>0</v>
          </cell>
          <cell r="J101">
            <v>0</v>
          </cell>
          <cell r="K101">
            <v>12</v>
          </cell>
        </row>
        <row r="102">
          <cell r="A102" t="str">
            <v>267-4829</v>
          </cell>
          <cell r="B102" t="str">
            <v xml:space="preserve">CAT 303.5E                                            </v>
          </cell>
          <cell r="C102" t="str">
            <v>IDLER-BEARING ASSY LH</v>
          </cell>
          <cell r="D102">
            <v>854.8</v>
          </cell>
          <cell r="E102">
            <v>427.4</v>
          </cell>
          <cell r="F102" t="str">
            <v>UC</v>
          </cell>
          <cell r="G102">
            <v>2</v>
          </cell>
          <cell r="H102">
            <v>0</v>
          </cell>
          <cell r="I102">
            <v>0</v>
          </cell>
          <cell r="J102">
            <v>0</v>
          </cell>
          <cell r="K102">
            <v>2</v>
          </cell>
        </row>
        <row r="103">
          <cell r="A103" t="str">
            <v>267-6099</v>
          </cell>
          <cell r="B103" t="str">
            <v xml:space="preserve">CAT D6N LGP (PBA) CAT D6N LGP (PBA) (2)                                          </v>
          </cell>
          <cell r="C103" t="str">
            <v>TRACK SHOE 860MM</v>
          </cell>
          <cell r="D103">
            <v>211.37</v>
          </cell>
          <cell r="E103">
            <v>105.69</v>
          </cell>
          <cell r="F103" t="str">
            <v>UC</v>
          </cell>
          <cell r="G103">
            <v>180</v>
          </cell>
          <cell r="H103">
            <v>0</v>
          </cell>
          <cell r="I103">
            <v>0</v>
          </cell>
          <cell r="J103">
            <v>0</v>
          </cell>
          <cell r="K103">
            <v>180</v>
          </cell>
        </row>
        <row r="104">
          <cell r="A104" t="str">
            <v>278-4843</v>
          </cell>
          <cell r="B104" t="str">
            <v xml:space="preserve">CAT 561N (CPH) CAT 561N (CPH) (2) CAT 561N (CPH) (3) CAT 561N (CPH) (4) CAT 561N (CPH) (5) CAT PL61 (WGS) CAT PL61 (WGS) (2) CAT PL61 (WGS) (3)                              </v>
          </cell>
          <cell r="C104" t="str">
            <v>CYLINDER HEAD</v>
          </cell>
          <cell r="D104">
            <v>12450.3</v>
          </cell>
          <cell r="E104">
            <v>6225.15</v>
          </cell>
          <cell r="F104" t="str">
            <v>ENGINE</v>
          </cell>
          <cell r="G104">
            <v>8</v>
          </cell>
          <cell r="H104">
            <v>0</v>
          </cell>
          <cell r="I104">
            <v>0</v>
          </cell>
          <cell r="J104">
            <v>0</v>
          </cell>
          <cell r="K104">
            <v>8</v>
          </cell>
        </row>
        <row r="105">
          <cell r="A105" t="str">
            <v>282-3655</v>
          </cell>
          <cell r="B105" t="str">
            <v xml:space="preserve">CAT D7G (92V) CAT D7G (3ZD) CAT D7G (3ZD) (2)                                        </v>
          </cell>
          <cell r="C105" t="str">
            <v>SPROCKET BOLT</v>
          </cell>
          <cell r="D105">
            <v>4.75</v>
          </cell>
          <cell r="E105">
            <v>2.38</v>
          </cell>
          <cell r="F105" t="str">
            <v>UC</v>
          </cell>
          <cell r="G105">
            <v>120</v>
          </cell>
          <cell r="H105">
            <v>0</v>
          </cell>
          <cell r="I105">
            <v>0</v>
          </cell>
          <cell r="J105">
            <v>0</v>
          </cell>
          <cell r="K105">
            <v>120</v>
          </cell>
        </row>
        <row r="106">
          <cell r="A106" t="str">
            <v>284-5686</v>
          </cell>
          <cell r="B106" t="str">
            <v xml:space="preserve">CAT 303.5E                                            </v>
          </cell>
          <cell r="C106" t="str">
            <v>CABIN AIR FILTER ELEMENT</v>
          </cell>
          <cell r="D106">
            <v>98.39</v>
          </cell>
          <cell r="E106">
            <v>37.39</v>
          </cell>
          <cell r="F106" t="str">
            <v>Filter</v>
          </cell>
          <cell r="G106">
            <v>1</v>
          </cell>
          <cell r="H106">
            <v>1</v>
          </cell>
          <cell r="I106">
            <v>0</v>
          </cell>
          <cell r="J106">
            <v>1</v>
          </cell>
          <cell r="K106">
            <v>3</v>
          </cell>
        </row>
        <row r="107">
          <cell r="A107" t="str">
            <v>285-3414</v>
          </cell>
          <cell r="B107" t="str">
            <v xml:space="preserve">CAT D4 (66J)                                            </v>
          </cell>
          <cell r="C107" t="str">
            <v>TURBOCHARGER ASSEMBLY</v>
          </cell>
          <cell r="D107">
            <v>3627.05</v>
          </cell>
          <cell r="E107">
            <v>1813.53</v>
          </cell>
          <cell r="F107" t="str">
            <v>ENGINE</v>
          </cell>
          <cell r="G107">
            <v>1</v>
          </cell>
          <cell r="H107">
            <v>0</v>
          </cell>
          <cell r="I107">
            <v>0</v>
          </cell>
          <cell r="J107">
            <v>0</v>
          </cell>
          <cell r="K107">
            <v>1</v>
          </cell>
        </row>
        <row r="108">
          <cell r="A108" t="str">
            <v>288-0934</v>
          </cell>
          <cell r="B108" t="str">
            <v xml:space="preserve">CAT D6T (MH7)                                            </v>
          </cell>
          <cell r="C108" t="str">
            <v>SINGLE FLANGE TRACK ROLLER</v>
          </cell>
          <cell r="D108">
            <v>936.48</v>
          </cell>
          <cell r="E108">
            <v>468.24</v>
          </cell>
          <cell r="F108" t="str">
            <v>UC</v>
          </cell>
          <cell r="G108">
            <v>4</v>
          </cell>
          <cell r="H108">
            <v>0</v>
          </cell>
          <cell r="I108">
            <v>0</v>
          </cell>
          <cell r="J108">
            <v>0</v>
          </cell>
          <cell r="K108">
            <v>4</v>
          </cell>
        </row>
        <row r="109">
          <cell r="A109" t="str">
            <v>288-0936</v>
          </cell>
          <cell r="B109" t="str">
            <v xml:space="preserve">CAT D6T (MH7)                                            </v>
          </cell>
          <cell r="C109" t="str">
            <v>DOUBLE FLANGE TRACK ROLLER</v>
          </cell>
          <cell r="D109">
            <v>1023.54</v>
          </cell>
          <cell r="E109">
            <v>511.77</v>
          </cell>
          <cell r="F109" t="str">
            <v>UC</v>
          </cell>
          <cell r="G109">
            <v>12</v>
          </cell>
          <cell r="H109">
            <v>0</v>
          </cell>
          <cell r="I109">
            <v>0</v>
          </cell>
          <cell r="J109">
            <v>0</v>
          </cell>
          <cell r="K109">
            <v>12</v>
          </cell>
        </row>
        <row r="110">
          <cell r="A110" t="str">
            <v>288-3462</v>
          </cell>
          <cell r="B110" t="str">
            <v xml:space="preserve">CAT 303.5E                                            </v>
          </cell>
          <cell r="C110" t="str">
            <v>FINAL DRIVE</v>
          </cell>
          <cell r="D110">
            <v>10089.31</v>
          </cell>
          <cell r="E110">
            <v>5044.66</v>
          </cell>
          <cell r="F110" t="str">
            <v>GET</v>
          </cell>
          <cell r="G110">
            <v>2</v>
          </cell>
          <cell r="H110">
            <v>0</v>
          </cell>
          <cell r="I110">
            <v>0</v>
          </cell>
          <cell r="J110">
            <v>0</v>
          </cell>
          <cell r="K110">
            <v>2</v>
          </cell>
        </row>
        <row r="111">
          <cell r="A111" t="str">
            <v>294-4813</v>
          </cell>
          <cell r="B111" t="str">
            <v xml:space="preserve">CAT D6N LGP (PBA) CAT D6N LGP (PBA) (2)                                          </v>
          </cell>
          <cell r="C111" t="str">
            <v>TRACK SHOE MASTER</v>
          </cell>
          <cell r="D111">
            <v>241.71</v>
          </cell>
          <cell r="E111">
            <v>120.86</v>
          </cell>
          <cell r="F111" t="str">
            <v>UC</v>
          </cell>
          <cell r="G111">
            <v>4</v>
          </cell>
          <cell r="H111">
            <v>0</v>
          </cell>
          <cell r="I111">
            <v>0</v>
          </cell>
          <cell r="J111">
            <v>0</v>
          </cell>
          <cell r="K111">
            <v>4</v>
          </cell>
        </row>
        <row r="112">
          <cell r="A112" t="str">
            <v>2J-3506</v>
          </cell>
          <cell r="B112" t="str">
            <v xml:space="preserve">CAT D5 (3CR) CAT D5 (3CR) (2) CAT D6N LGP (GHS) CAT D6N LGP (PBA) CAT D6N LGP (PBA) (2) CAT D6N LGP (SGG) CAT D6N LGP (SGG) (2) CAT D6T (MH7)                              </v>
          </cell>
          <cell r="C112" t="str">
            <v xml:space="preserve">HEX NUT </v>
          </cell>
          <cell r="D112">
            <v>3.65</v>
          </cell>
          <cell r="E112">
            <v>1.39</v>
          </cell>
          <cell r="F112" t="str">
            <v>GET</v>
          </cell>
          <cell r="G112">
            <v>222</v>
          </cell>
          <cell r="H112">
            <v>0</v>
          </cell>
          <cell r="I112">
            <v>0</v>
          </cell>
          <cell r="J112">
            <v>0</v>
          </cell>
          <cell r="K112">
            <v>222</v>
          </cell>
        </row>
        <row r="113">
          <cell r="A113" t="str">
            <v>2P-4004</v>
          </cell>
          <cell r="B113" t="str">
            <v xml:space="preserve">CAT D7G (92V) CAT D7G (3ZD) CAT D7G (3ZD) (2)                                        </v>
          </cell>
          <cell r="C113" t="str">
            <v>ENGINE OIL FILTER</v>
          </cell>
          <cell r="D113">
            <v>17.309999999999999</v>
          </cell>
          <cell r="E113">
            <v>6.58</v>
          </cell>
          <cell r="F113" t="str">
            <v>FILTER</v>
          </cell>
          <cell r="G113">
            <v>6</v>
          </cell>
          <cell r="H113">
            <v>3</v>
          </cell>
          <cell r="I113">
            <v>3</v>
          </cell>
          <cell r="J113">
            <v>3</v>
          </cell>
          <cell r="K113">
            <v>15</v>
          </cell>
        </row>
        <row r="114">
          <cell r="A114" t="str">
            <v>2S-1285</v>
          </cell>
          <cell r="B114" t="str">
            <v xml:space="preserve">CAT D4 (66J)                                            </v>
          </cell>
          <cell r="C114" t="str">
            <v>SECONDARY AIR FILTER ELEMENT</v>
          </cell>
          <cell r="D114">
            <v>111.66</v>
          </cell>
          <cell r="E114">
            <v>42.43</v>
          </cell>
          <cell r="F114" t="str">
            <v>FILTER</v>
          </cell>
          <cell r="G114">
            <v>1</v>
          </cell>
          <cell r="H114">
            <v>1</v>
          </cell>
          <cell r="I114">
            <v>0</v>
          </cell>
          <cell r="J114">
            <v>1</v>
          </cell>
          <cell r="K114">
            <v>3</v>
          </cell>
        </row>
        <row r="115">
          <cell r="A115" t="str">
            <v>2S-1286</v>
          </cell>
          <cell r="B115" t="str">
            <v xml:space="preserve">CAT 561 (85H) CAT 561 (92J) CAT 561 (92J) (2)                                        </v>
          </cell>
          <cell r="C115" t="str">
            <v>SECONDARY AIR FILTER</v>
          </cell>
          <cell r="D115">
            <v>160.44</v>
          </cell>
          <cell r="E115">
            <v>60.97</v>
          </cell>
          <cell r="F115" t="str">
            <v>FILTER</v>
          </cell>
          <cell r="G115">
            <v>3</v>
          </cell>
          <cell r="H115">
            <v>3</v>
          </cell>
          <cell r="I115">
            <v>0</v>
          </cell>
          <cell r="J115">
            <v>3</v>
          </cell>
          <cell r="K115">
            <v>9</v>
          </cell>
        </row>
        <row r="116">
          <cell r="A116" t="str">
            <v>2S-5658</v>
          </cell>
          <cell r="B116" t="str">
            <v xml:space="preserve">CAT D6N LGP (GHS) CAT D6N LGP (PBA) CAT D6N LGP (PBA) (2) CAT D6N LGP (SGG) CAT D6N LGP (SGG) (2) CAT D6T (MH7)                                  </v>
          </cell>
          <cell r="C116" t="str">
            <v>FLAT WASHER</v>
          </cell>
          <cell r="D116">
            <v>2.0499999999999998</v>
          </cell>
          <cell r="E116">
            <v>1.03</v>
          </cell>
          <cell r="F116" t="str">
            <v>UC</v>
          </cell>
          <cell r="G116">
            <v>300</v>
          </cell>
          <cell r="H116">
            <v>0</v>
          </cell>
          <cell r="I116">
            <v>0</v>
          </cell>
          <cell r="J116">
            <v>0</v>
          </cell>
          <cell r="K116">
            <v>300</v>
          </cell>
        </row>
        <row r="117">
          <cell r="A117" t="str">
            <v>300-4545</v>
          </cell>
          <cell r="B117" t="str">
            <v xml:space="preserve">CAT 329E L (ZCD) CAT 329F L (ERL) CAT 329F L (ERL) (2) CAT 330F L (MBX) CAT 330F L (HCK) CAT 330F L (HCK) (2) CAT 330 (LHW) CAT 330 (LHW) (2) CAT 330 (LHW) (3) CAT 330 (LHW) (4) CAT 330 (WCH) CAT 330 (WCH) (2) CAT 330 (WCH) (3) CAT 330 (WCH) (4) CAT 330 (WCH) (5) CAT 330 (WCH) (6) CAT 336F L (RKB)            </v>
          </cell>
          <cell r="C117" t="str">
            <v>CARRIER ROLLER</v>
          </cell>
          <cell r="D117">
            <v>635.41999999999996</v>
          </cell>
          <cell r="E117">
            <v>317.70999999999998</v>
          </cell>
          <cell r="F117" t="str">
            <v>UC</v>
          </cell>
          <cell r="G117">
            <v>68</v>
          </cell>
          <cell r="H117">
            <v>0</v>
          </cell>
          <cell r="I117">
            <v>0</v>
          </cell>
          <cell r="J117">
            <v>0</v>
          </cell>
          <cell r="K117">
            <v>68</v>
          </cell>
        </row>
        <row r="118">
          <cell r="A118" t="str">
            <v>304-7196</v>
          </cell>
          <cell r="B118" t="str">
            <v xml:space="preserve">CAT 303.5E                                            </v>
          </cell>
          <cell r="C118" t="str">
            <v>HYDRAULIC OIL FILTER</v>
          </cell>
          <cell r="D118">
            <v>130.47</v>
          </cell>
          <cell r="E118">
            <v>49.58</v>
          </cell>
          <cell r="F118" t="str">
            <v>Filter</v>
          </cell>
          <cell r="G118">
            <v>2</v>
          </cell>
          <cell r="H118">
            <v>1</v>
          </cell>
          <cell r="I118">
            <v>1</v>
          </cell>
          <cell r="J118">
            <v>1</v>
          </cell>
          <cell r="K118">
            <v>5</v>
          </cell>
        </row>
        <row r="119">
          <cell r="A119" t="str">
            <v>306-2148</v>
          </cell>
          <cell r="B119" t="str">
            <v xml:space="preserve">CAT 329E L (ZCD) CAT 329F L (ERL) CAT 329F L (ERL) (2) CAT 330F L (MBX) CAT 330F L (HCK) CAT 330F L (HCK) (2)                                  </v>
          </cell>
          <cell r="C119" t="str">
            <v>TRACK BOLT 68MM</v>
          </cell>
          <cell r="D119">
            <v>6.78</v>
          </cell>
          <cell r="E119">
            <v>3.39</v>
          </cell>
          <cell r="F119" t="str">
            <v>UC</v>
          </cell>
          <cell r="G119">
            <v>2400</v>
          </cell>
          <cell r="H119">
            <v>0</v>
          </cell>
          <cell r="I119">
            <v>0</v>
          </cell>
          <cell r="J119">
            <v>0</v>
          </cell>
          <cell r="K119">
            <v>2400</v>
          </cell>
        </row>
        <row r="120">
          <cell r="A120" t="str">
            <v>308-1502</v>
          </cell>
          <cell r="B120" t="str">
            <v xml:space="preserve">CAT D6N LGP (GHS) CAT PL61 (WGS) CAT PL61 (WGS) (2) CAT PL61 (WGS) (3)                                      </v>
          </cell>
          <cell r="C120" t="str">
            <v>PRIMARY FUEL FILTER</v>
          </cell>
          <cell r="D120">
            <v>62.25</v>
          </cell>
          <cell r="E120">
            <v>23.66</v>
          </cell>
          <cell r="F120" t="str">
            <v>FILTER</v>
          </cell>
          <cell r="G120">
            <v>11</v>
          </cell>
          <cell r="H120">
            <v>7</v>
          </cell>
          <cell r="I120">
            <v>10</v>
          </cell>
          <cell r="J120">
            <v>7</v>
          </cell>
          <cell r="K120">
            <v>35</v>
          </cell>
        </row>
        <row r="121">
          <cell r="A121" t="str">
            <v>310-4912</v>
          </cell>
          <cell r="B121" t="str">
            <v xml:space="preserve">CAT D6N LGP (GHS) CAT D6N LGP (SGG) CAT D6N LGP (SGG) (2)                                        </v>
          </cell>
          <cell r="C121" t="str">
            <v>SINGLE FLANGE TRACK ROLLER</v>
          </cell>
          <cell r="D121">
            <v>857.8</v>
          </cell>
          <cell r="E121">
            <v>428.9</v>
          </cell>
          <cell r="F121" t="str">
            <v>UC</v>
          </cell>
          <cell r="G121">
            <v>20</v>
          </cell>
          <cell r="H121">
            <v>0</v>
          </cell>
          <cell r="I121">
            <v>0</v>
          </cell>
          <cell r="J121">
            <v>0</v>
          </cell>
          <cell r="K121">
            <v>20</v>
          </cell>
        </row>
        <row r="122">
          <cell r="A122" t="str">
            <v>310-4915</v>
          </cell>
          <cell r="B122" t="str">
            <v xml:space="preserve">CAT D6N LGP (SGG) CAT D6N LGP (SGG) (2)                                          </v>
          </cell>
          <cell r="C122" t="str">
            <v>DOUBLE FLANGE TRACK ROLLER</v>
          </cell>
          <cell r="D122">
            <v>900.53</v>
          </cell>
          <cell r="E122">
            <v>450.27</v>
          </cell>
          <cell r="F122" t="str">
            <v>UC</v>
          </cell>
          <cell r="G122">
            <v>16</v>
          </cell>
          <cell r="H122">
            <v>0</v>
          </cell>
          <cell r="I122">
            <v>0</v>
          </cell>
          <cell r="J122">
            <v>0</v>
          </cell>
          <cell r="K122">
            <v>16</v>
          </cell>
        </row>
        <row r="123">
          <cell r="A123" t="str">
            <v>310-4918</v>
          </cell>
          <cell r="B123" t="str">
            <v xml:space="preserve">CAT D6N LGP (GHS)                                            </v>
          </cell>
          <cell r="C123" t="str">
            <v>DOUBLE FLANGE TRACK ROLLER (GUIDE AR)*</v>
          </cell>
          <cell r="D123">
            <v>1006.57</v>
          </cell>
          <cell r="E123">
            <v>503.29</v>
          </cell>
          <cell r="F123" t="str">
            <v>UC</v>
          </cell>
          <cell r="G123">
            <v>12</v>
          </cell>
          <cell r="H123">
            <v>0</v>
          </cell>
          <cell r="I123">
            <v>0</v>
          </cell>
          <cell r="J123">
            <v>0</v>
          </cell>
          <cell r="K123">
            <v>12</v>
          </cell>
        </row>
        <row r="124">
          <cell r="A124" t="str">
            <v>311-8150</v>
          </cell>
          <cell r="B124" t="str">
            <v xml:space="preserve">CAT 330 (LHW) CAT 330 (LHW) (2) CAT 330 (LHW) (3) CAT 330 (LHW) (4) CAT 330 (WCH) CAT 330 (WCH) (2) CAT 330 (WCH) (3) CAT 330 (WCH) (4) CAT 330 (WCH) (5) CAT 330 (WCH) (6) CAT 336F L (RKB)                        </v>
          </cell>
          <cell r="C124" t="str">
            <v>TRACK NUT</v>
          </cell>
          <cell r="D124">
            <v>3.94</v>
          </cell>
          <cell r="E124">
            <v>1.97</v>
          </cell>
          <cell r="F124" t="str">
            <v>UC</v>
          </cell>
          <cell r="G124">
            <v>4396</v>
          </cell>
          <cell r="H124">
            <v>0</v>
          </cell>
          <cell r="I124">
            <v>0</v>
          </cell>
          <cell r="J124">
            <v>0</v>
          </cell>
          <cell r="K124">
            <v>4396</v>
          </cell>
        </row>
        <row r="125">
          <cell r="A125" t="str">
            <v>314-9972</v>
          </cell>
          <cell r="B125" t="str">
            <v xml:space="preserve">CAT D3 (1PJ)                                            </v>
          </cell>
          <cell r="C125" t="str">
            <v>TURBOCHARGER ASSEMBLY</v>
          </cell>
          <cell r="D125">
            <v>4384.51</v>
          </cell>
          <cell r="E125">
            <v>2192.2600000000002</v>
          </cell>
          <cell r="F125" t="str">
            <v>ENGINE</v>
          </cell>
          <cell r="G125">
            <v>1</v>
          </cell>
          <cell r="H125">
            <v>0</v>
          </cell>
          <cell r="I125">
            <v>0</v>
          </cell>
          <cell r="J125">
            <v>0</v>
          </cell>
          <cell r="K125">
            <v>1</v>
          </cell>
        </row>
        <row r="126">
          <cell r="A126" t="str">
            <v>316-8889</v>
          </cell>
          <cell r="B126" t="str">
            <v xml:space="preserve">CAT 329F L (ERL) CAT 329F L (ERL) (2)                                          </v>
          </cell>
          <cell r="C126" t="str">
            <v xml:space="preserve">SEAT ASSEMBLY </v>
          </cell>
          <cell r="D126">
            <v>3384.84</v>
          </cell>
          <cell r="E126">
            <v>1692.42</v>
          </cell>
          <cell r="F126" t="str">
            <v>SEAT</v>
          </cell>
          <cell r="G126">
            <v>2</v>
          </cell>
          <cell r="H126">
            <v>0</v>
          </cell>
          <cell r="I126">
            <v>0</v>
          </cell>
          <cell r="J126">
            <v>0</v>
          </cell>
          <cell r="K126">
            <v>2</v>
          </cell>
        </row>
        <row r="127">
          <cell r="A127" t="str">
            <v>316-8894</v>
          </cell>
          <cell r="B127" t="str">
            <v xml:space="preserve">CAT 329F L (ERL) CAT 329F L (ERL) (2)                                          </v>
          </cell>
          <cell r="C127" t="str">
            <v>SEAT SUSPENSION ASSEMBLY</v>
          </cell>
          <cell r="D127">
            <v>3739.65</v>
          </cell>
          <cell r="E127">
            <v>1869.83</v>
          </cell>
          <cell r="F127" t="str">
            <v>SEAT</v>
          </cell>
          <cell r="G127">
            <v>2</v>
          </cell>
          <cell r="H127">
            <v>0</v>
          </cell>
          <cell r="I127">
            <v>0</v>
          </cell>
          <cell r="J127">
            <v>0</v>
          </cell>
          <cell r="K127">
            <v>2</v>
          </cell>
        </row>
        <row r="128">
          <cell r="A128" t="str">
            <v>316-8895</v>
          </cell>
          <cell r="B128" t="str">
            <v xml:space="preserve">CAT 320F L (YBM) CAT 329E L (ZCD) CAT 330F L (MBX) CAT 330F L (HCK) CAT 330F L (HCK) (2) CAT 336F L (RKB)                                  </v>
          </cell>
          <cell r="C128" t="str">
            <v>SEAT SUSPENSION ASSEMBLY</v>
          </cell>
          <cell r="D128">
            <v>4369.08</v>
          </cell>
          <cell r="E128">
            <v>2184.54</v>
          </cell>
          <cell r="F128" t="str">
            <v>SEAT</v>
          </cell>
          <cell r="G128">
            <v>6</v>
          </cell>
          <cell r="H128">
            <v>0</v>
          </cell>
          <cell r="I128">
            <v>0</v>
          </cell>
          <cell r="J128">
            <v>0</v>
          </cell>
          <cell r="K128">
            <v>6</v>
          </cell>
        </row>
        <row r="129">
          <cell r="A129" t="str">
            <v>318-2375</v>
          </cell>
          <cell r="B129" t="str">
            <v xml:space="preserve">CAT D6N LGP (PBA) CAT D6N LGP (PBA) (2)                                          </v>
          </cell>
          <cell r="C129" t="str">
            <v>TRACK LINK MASTER</v>
          </cell>
          <cell r="D129">
            <v>392.82</v>
          </cell>
          <cell r="E129">
            <v>196.41</v>
          </cell>
          <cell r="F129" t="str">
            <v>UC</v>
          </cell>
          <cell r="G129">
            <v>8</v>
          </cell>
          <cell r="H129">
            <v>0</v>
          </cell>
          <cell r="I129">
            <v>0</v>
          </cell>
          <cell r="J129">
            <v>0</v>
          </cell>
          <cell r="K129">
            <v>8</v>
          </cell>
        </row>
        <row r="130">
          <cell r="A130" t="str">
            <v>318-2558</v>
          </cell>
          <cell r="B130" t="str">
            <v xml:space="preserve">CAT 336F L (RKB)                                            </v>
          </cell>
          <cell r="C130" t="str">
            <v>TRACK BOLT</v>
          </cell>
          <cell r="D130">
            <v>9.11</v>
          </cell>
          <cell r="E130">
            <v>4.5599999999999996</v>
          </cell>
          <cell r="F130" t="str">
            <v>UC</v>
          </cell>
          <cell r="G130">
            <v>396</v>
          </cell>
          <cell r="H130">
            <v>0</v>
          </cell>
          <cell r="I130">
            <v>0</v>
          </cell>
          <cell r="J130">
            <v>0</v>
          </cell>
          <cell r="K130">
            <v>396</v>
          </cell>
        </row>
        <row r="131">
          <cell r="A131" t="str">
            <v>320-0690</v>
          </cell>
          <cell r="B131" t="str">
            <v xml:space="preserve">CAT D6N LGP (GHS)                                            </v>
          </cell>
          <cell r="C131" t="str">
            <v>FUEL INJECTOR</v>
          </cell>
          <cell r="D131">
            <v>1132.93</v>
          </cell>
          <cell r="E131">
            <v>566.47</v>
          </cell>
          <cell r="F131" t="str">
            <v>ENGINE</v>
          </cell>
          <cell r="G131">
            <v>6</v>
          </cell>
          <cell r="H131">
            <v>0</v>
          </cell>
          <cell r="I131">
            <v>0</v>
          </cell>
          <cell r="J131">
            <v>0</v>
          </cell>
          <cell r="K131">
            <v>6</v>
          </cell>
        </row>
        <row r="132">
          <cell r="A132" t="str">
            <v>321-3600</v>
          </cell>
          <cell r="B132" t="str">
            <v xml:space="preserve">CAT D4 (66J)                                            </v>
          </cell>
          <cell r="C132" t="str">
            <v>FUEL INJECTOR</v>
          </cell>
          <cell r="D132">
            <v>1138.5999999999999</v>
          </cell>
          <cell r="E132">
            <v>569.29999999999995</v>
          </cell>
          <cell r="F132" t="str">
            <v>ENGINE</v>
          </cell>
          <cell r="G132">
            <v>6</v>
          </cell>
          <cell r="H132">
            <v>0</v>
          </cell>
          <cell r="I132">
            <v>0</v>
          </cell>
          <cell r="J132">
            <v>0</v>
          </cell>
          <cell r="K132">
            <v>6</v>
          </cell>
        </row>
        <row r="133">
          <cell r="A133" t="str">
            <v>322-3151</v>
          </cell>
          <cell r="B133" t="str">
            <v xml:space="preserve">CAT 330 (WCH) CAT 330 (WCH) (2) CAT 330 (WCH) (3) CAT 330 (WCH) (4) CAT 330 (WCH) (5) CAT 330 (WCH) (6)                                  </v>
          </cell>
          <cell r="C133" t="str">
            <v>ENGINE OIL FILTER ELEMENT</v>
          </cell>
          <cell r="D133">
            <v>44.15</v>
          </cell>
          <cell r="E133">
            <v>16.78</v>
          </cell>
          <cell r="F133" t="str">
            <v>FILTER</v>
          </cell>
          <cell r="G133">
            <v>12</v>
          </cell>
          <cell r="H133">
            <v>6</v>
          </cell>
          <cell r="I133">
            <v>6</v>
          </cell>
          <cell r="J133">
            <v>6</v>
          </cell>
          <cell r="K133">
            <v>30</v>
          </cell>
        </row>
        <row r="134">
          <cell r="A134" t="str">
            <v>322-3155</v>
          </cell>
          <cell r="B134" t="str">
            <v xml:space="preserve">CAT 320E L (WBK) CAT 320E L (WBK) (2) CAT 320F L (YBM) CAT 320 (HEX) CAT 320 (MYK) CAT 320 (MYK) (2) CAT 329E L (ZCD) CAT 329F L (ERL) CAT 329F L (ERL) (2) CAT 330F L (MBX) CAT 330F L (HCK) CAT 330F L (HCK) (2) CAT 330 (LHW) CAT 330 (LHW) (2) CAT 330 (LHW) (3) CAT 330 (LHW) (4)              </v>
          </cell>
          <cell r="C134" t="str">
            <v xml:space="preserve">ENGINE OIL FILTER ELEMENT </v>
          </cell>
          <cell r="D134">
            <v>44.15</v>
          </cell>
          <cell r="E134">
            <v>16.78</v>
          </cell>
          <cell r="F134" t="str">
            <v>Filter</v>
          </cell>
          <cell r="G134">
            <v>32</v>
          </cell>
          <cell r="H134">
            <v>16</v>
          </cell>
          <cell r="I134">
            <v>16</v>
          </cell>
          <cell r="J134">
            <v>16</v>
          </cell>
          <cell r="K134">
            <v>80</v>
          </cell>
        </row>
        <row r="135">
          <cell r="A135" t="str">
            <v>323-1168</v>
          </cell>
          <cell r="B135" t="str">
            <v xml:space="preserve">CAT D6N LGP (PBA) CAT D6N LGP (PBA) (2)                                          </v>
          </cell>
          <cell r="C135" t="str">
            <v>TRACK IDLER</v>
          </cell>
          <cell r="D135">
            <v>4087.57</v>
          </cell>
          <cell r="E135">
            <v>2043.79</v>
          </cell>
          <cell r="F135" t="str">
            <v>UC</v>
          </cell>
          <cell r="G135">
            <v>8</v>
          </cell>
          <cell r="H135">
            <v>0</v>
          </cell>
          <cell r="I135">
            <v>0</v>
          </cell>
          <cell r="J135">
            <v>0</v>
          </cell>
          <cell r="K135">
            <v>8</v>
          </cell>
        </row>
        <row r="136">
          <cell r="A136" t="str">
            <v>326-1643</v>
          </cell>
          <cell r="B136" t="str">
            <v xml:space="preserve">CAT 336F L (RKB) CAT D6 (RDC) CAT D6T (MH7)                                        </v>
          </cell>
          <cell r="C136" t="str">
            <v xml:space="preserve">FUEL WATER SEPARATOR </v>
          </cell>
          <cell r="D136">
            <v>104.86</v>
          </cell>
          <cell r="E136">
            <v>39.85</v>
          </cell>
          <cell r="F136" t="str">
            <v>FILTER</v>
          </cell>
          <cell r="G136">
            <v>9</v>
          </cell>
          <cell r="H136">
            <v>6</v>
          </cell>
          <cell r="I136">
            <v>9</v>
          </cell>
          <cell r="J136">
            <v>6</v>
          </cell>
          <cell r="K136">
            <v>30</v>
          </cell>
        </row>
        <row r="137">
          <cell r="A137" t="str">
            <v>326-1644</v>
          </cell>
          <cell r="B137" t="str">
            <v xml:space="preserve">CAT D6N LGP (GHS)                                            </v>
          </cell>
          <cell r="C137" t="str">
            <v>FUEL WATER SEPARATOR</v>
          </cell>
          <cell r="D137">
            <v>85.6</v>
          </cell>
          <cell r="E137">
            <v>32.53</v>
          </cell>
          <cell r="F137" t="str">
            <v>FILTER</v>
          </cell>
          <cell r="G137">
            <v>3</v>
          </cell>
          <cell r="H137">
            <v>2</v>
          </cell>
          <cell r="I137">
            <v>3</v>
          </cell>
          <cell r="J137">
            <v>2</v>
          </cell>
          <cell r="K137">
            <v>10</v>
          </cell>
        </row>
        <row r="138">
          <cell r="A138" t="str">
            <v>328-3655</v>
          </cell>
          <cell r="B138" t="str">
            <v xml:space="preserve">CAT D6N LGP (GHS)                                            </v>
          </cell>
          <cell r="C138" t="str">
            <v xml:space="preserve">HYDRAULIC OIL FILTER ELEMENT </v>
          </cell>
          <cell r="D138">
            <v>204.36</v>
          </cell>
          <cell r="E138">
            <v>77.66</v>
          </cell>
          <cell r="F138" t="str">
            <v>FILTER</v>
          </cell>
          <cell r="G138">
            <v>2</v>
          </cell>
          <cell r="H138">
            <v>1</v>
          </cell>
          <cell r="I138">
            <v>1</v>
          </cell>
          <cell r="J138">
            <v>1</v>
          </cell>
          <cell r="K138">
            <v>5</v>
          </cell>
        </row>
        <row r="139">
          <cell r="A139" t="str">
            <v>329-3243</v>
          </cell>
          <cell r="B139" t="str">
            <v xml:space="preserve">CAT D6N LGP (PBA) CAT D6N LGP (PBA) (2) CAT D6N LGP (SGG) CAT D6N LGP (SGG) (2)                                      </v>
          </cell>
          <cell r="C139" t="str">
            <v>SECONDARY CABIN AIR FILTER ELEMENT</v>
          </cell>
          <cell r="D139">
            <v>79.09</v>
          </cell>
          <cell r="E139">
            <v>30.05</v>
          </cell>
          <cell r="F139" t="str">
            <v>FILTER</v>
          </cell>
          <cell r="G139">
            <v>6</v>
          </cell>
          <cell r="H139">
            <v>6</v>
          </cell>
          <cell r="I139">
            <v>0</v>
          </cell>
          <cell r="J139">
            <v>6</v>
          </cell>
          <cell r="K139">
            <v>18</v>
          </cell>
        </row>
        <row r="140">
          <cell r="A140" t="str">
            <v>331-8108</v>
          </cell>
          <cell r="B140" t="str">
            <v xml:space="preserve">CAT D6 (RDC) CAT D6T (MH7) CAT 561N (CPH) CAT 561N (CPH) (2) CAT 561N (CPH) (3) CAT 561N (CPH) (4) CAT 561N (CPH) (5)                                </v>
          </cell>
          <cell r="C140" t="str">
            <v>SECONDARY AIR FILTER ELEMENT</v>
          </cell>
          <cell r="D140">
            <v>109.02</v>
          </cell>
          <cell r="E140">
            <v>41.43</v>
          </cell>
          <cell r="F140" t="str">
            <v>FILTER</v>
          </cell>
          <cell r="G140">
            <v>7</v>
          </cell>
          <cell r="H140">
            <v>7</v>
          </cell>
          <cell r="I140">
            <v>0</v>
          </cell>
          <cell r="J140">
            <v>7</v>
          </cell>
          <cell r="K140">
            <v>21</v>
          </cell>
        </row>
        <row r="141">
          <cell r="A141" t="str">
            <v>332-8903</v>
          </cell>
          <cell r="B141" t="str">
            <v xml:space="preserve">CAT 320E L (WBK) CAT 320E L (WBK) (2) CAT 320F L (YBM) CAT 320 (HEX) CAT 320 (MYK) CAT 320 (MYK) (2)                                  </v>
          </cell>
          <cell r="C141" t="str">
            <v>TRACK SHOE 790MM</v>
          </cell>
          <cell r="D141">
            <v>179.13</v>
          </cell>
          <cell r="E141">
            <v>89.57</v>
          </cell>
          <cell r="F141" t="str">
            <v>UC</v>
          </cell>
          <cell r="G141">
            <v>588</v>
          </cell>
          <cell r="H141">
            <v>0</v>
          </cell>
          <cell r="I141">
            <v>0</v>
          </cell>
          <cell r="J141">
            <v>0</v>
          </cell>
          <cell r="K141">
            <v>588</v>
          </cell>
        </row>
        <row r="142">
          <cell r="A142" t="str">
            <v>334-8389</v>
          </cell>
          <cell r="B142" t="str">
            <v xml:space="preserve">CAT D7G (92V) CAT D7G (3ZD) CAT D7G (3ZD) (2)                                        </v>
          </cell>
          <cell r="C142" t="str">
            <v>CRANKSHAFT ASSY</v>
          </cell>
          <cell r="D142">
            <v>17640.77</v>
          </cell>
          <cell r="E142">
            <v>8820.39</v>
          </cell>
          <cell r="F142" t="str">
            <v>ENGINE</v>
          </cell>
          <cell r="G142">
            <v>3</v>
          </cell>
          <cell r="H142">
            <v>0</v>
          </cell>
          <cell r="I142">
            <v>0</v>
          </cell>
          <cell r="J142">
            <v>0</v>
          </cell>
          <cell r="K142">
            <v>3</v>
          </cell>
        </row>
        <row r="143">
          <cell r="A143" t="str">
            <v>341-1417</v>
          </cell>
          <cell r="B143" t="str">
            <v xml:space="preserve">CAT 329E L (ZCD) CAT 329F L (ERL) CAT 329F L (ERL) (2) CAT 330F L (MBX) CAT 330F L (HCK) CAT 330F L (HCK) (2)                                  </v>
          </cell>
          <cell r="C143" t="str">
            <v>TRACK LINK ASSEMBLY</v>
          </cell>
          <cell r="D143">
            <v>10788.51</v>
          </cell>
          <cell r="E143">
            <v>5394.26</v>
          </cell>
          <cell r="F143" t="str">
            <v>UC</v>
          </cell>
          <cell r="G143">
            <v>12</v>
          </cell>
          <cell r="H143">
            <v>0</v>
          </cell>
          <cell r="I143">
            <v>0</v>
          </cell>
          <cell r="J143">
            <v>0</v>
          </cell>
          <cell r="K143">
            <v>12</v>
          </cell>
        </row>
        <row r="144">
          <cell r="A144" t="str">
            <v>341-2814</v>
          </cell>
          <cell r="B144" t="str">
            <v xml:space="preserve">CAT 320F L (YBM) CAT 320 (HEX) CAT 320 (MYK) CAT 320 (MYK) (2)                                      </v>
          </cell>
          <cell r="C144" t="str">
            <v>BUCKET CYLINDER</v>
          </cell>
          <cell r="D144">
            <v>22869.96</v>
          </cell>
          <cell r="E144">
            <v>8690.58</v>
          </cell>
          <cell r="F144" t="str">
            <v>GET</v>
          </cell>
          <cell r="G144">
            <v>4</v>
          </cell>
          <cell r="H144">
            <v>0</v>
          </cell>
          <cell r="I144">
            <v>0</v>
          </cell>
          <cell r="J144">
            <v>0</v>
          </cell>
          <cell r="K144">
            <v>4</v>
          </cell>
        </row>
        <row r="145">
          <cell r="A145" t="str">
            <v>346-6694</v>
          </cell>
          <cell r="B145" t="str">
            <v xml:space="preserve">CAT D6N LGP (PBA) CAT D6N LGP (PBA) (2)                                          </v>
          </cell>
          <cell r="C145" t="str">
            <v>SECONDARY AIR FILTER ELEMENT</v>
          </cell>
          <cell r="D145">
            <v>137.53</v>
          </cell>
          <cell r="E145">
            <v>52.26</v>
          </cell>
          <cell r="F145" t="str">
            <v>FILTER</v>
          </cell>
          <cell r="G145">
            <v>2</v>
          </cell>
          <cell r="H145">
            <v>2</v>
          </cell>
          <cell r="I145">
            <v>0</v>
          </cell>
          <cell r="J145">
            <v>2</v>
          </cell>
          <cell r="K145">
            <v>6</v>
          </cell>
        </row>
        <row r="146">
          <cell r="A146" t="str">
            <v>353-2186</v>
          </cell>
          <cell r="B146" t="str">
            <v xml:space="preserve">CAT D6N LGP (PBA) CAT D6N LGP (PBA) (2)                                          </v>
          </cell>
          <cell r="C146" t="str">
            <v>FRONT WEAR PLATE</v>
          </cell>
          <cell r="D146">
            <v>317.01</v>
          </cell>
          <cell r="E146">
            <v>158.51</v>
          </cell>
          <cell r="F146" t="str">
            <v>UC</v>
          </cell>
          <cell r="G146">
            <v>8</v>
          </cell>
          <cell r="H146">
            <v>0</v>
          </cell>
          <cell r="I146">
            <v>0</v>
          </cell>
          <cell r="J146">
            <v>0</v>
          </cell>
          <cell r="K146">
            <v>8</v>
          </cell>
        </row>
        <row r="147">
          <cell r="A147" t="str">
            <v>353-2187</v>
          </cell>
          <cell r="B147" t="str">
            <v xml:space="preserve">CAT D6N LGP (PBA) CAT D6N LGP (PBA) (2)                                          </v>
          </cell>
          <cell r="C147" t="str">
            <v>REAR WEAR PLATE</v>
          </cell>
          <cell r="D147">
            <v>369.71</v>
          </cell>
          <cell r="E147">
            <v>184.86</v>
          </cell>
          <cell r="F147" t="str">
            <v>UC</v>
          </cell>
          <cell r="G147">
            <v>8</v>
          </cell>
          <cell r="H147">
            <v>0</v>
          </cell>
          <cell r="I147">
            <v>0</v>
          </cell>
          <cell r="J147">
            <v>0</v>
          </cell>
          <cell r="K147">
            <v>8</v>
          </cell>
        </row>
        <row r="148">
          <cell r="A148" t="str">
            <v>356-3429</v>
          </cell>
          <cell r="B148" t="str">
            <v xml:space="preserve">CAT D6N LGP (SGG) CAT D6N LGP (SGG) (2)                                          </v>
          </cell>
          <cell r="C148" t="str">
            <v>TRACK SHOE 835MM</v>
          </cell>
          <cell r="D148">
            <v>197.96</v>
          </cell>
          <cell r="E148">
            <v>98.98</v>
          </cell>
          <cell r="F148" t="str">
            <v>UC</v>
          </cell>
          <cell r="G148">
            <v>180</v>
          </cell>
          <cell r="H148">
            <v>0</v>
          </cell>
          <cell r="I148">
            <v>0</v>
          </cell>
          <cell r="J148">
            <v>0</v>
          </cell>
          <cell r="K148">
            <v>180</v>
          </cell>
        </row>
        <row r="149">
          <cell r="A149" t="str">
            <v>356-3430</v>
          </cell>
          <cell r="B149" t="str">
            <v xml:space="preserve">CAT D6N LGP (SGG) CAT D6N LGP (SGG) (2)                                          </v>
          </cell>
          <cell r="C149" t="str">
            <v>TRACK SHOE MASTER</v>
          </cell>
          <cell r="D149">
            <v>209.96</v>
          </cell>
          <cell r="E149">
            <v>104.98</v>
          </cell>
          <cell r="F149" t="str">
            <v>UC</v>
          </cell>
          <cell r="G149">
            <v>4</v>
          </cell>
          <cell r="H149">
            <v>0</v>
          </cell>
          <cell r="I149">
            <v>0</v>
          </cell>
          <cell r="J149">
            <v>0</v>
          </cell>
          <cell r="K149">
            <v>4</v>
          </cell>
        </row>
        <row r="150">
          <cell r="A150" t="str">
            <v>357-6019</v>
          </cell>
          <cell r="B150" t="str">
            <v xml:space="preserve">CAT 561M (1KW) CAT 561N (CPH) CAT 561N (CPH) CAT 561N (CPH) (2) CAT 561N (CPH) (2) CAT 561N (CPH) (3) CAT 561N (CPH) (3) CAT 561N (CPH) (4) CAT 561N (CPH) (4) CAT 561N (CPH) (5) CAT 561N (CPH) (5)                        </v>
          </cell>
          <cell r="C150" t="str">
            <v>BOLT ROLLER</v>
          </cell>
          <cell r="D150">
            <v>8.76</v>
          </cell>
          <cell r="E150">
            <v>4.38</v>
          </cell>
          <cell r="F150" t="str">
            <v>UC</v>
          </cell>
          <cell r="G150">
            <v>356</v>
          </cell>
          <cell r="H150">
            <v>0</v>
          </cell>
          <cell r="I150">
            <v>0</v>
          </cell>
          <cell r="J150">
            <v>0</v>
          </cell>
          <cell r="K150">
            <v>356</v>
          </cell>
        </row>
        <row r="151">
          <cell r="A151" t="str">
            <v>358-8557</v>
          </cell>
          <cell r="B151" t="str">
            <v xml:space="preserve">CAT PL61 (WGS) CAT PL61 (WGS) (2) CAT PL61 (WGS) (3)                                        </v>
          </cell>
          <cell r="C151" t="str">
            <v>TRACK IDLER</v>
          </cell>
          <cell r="D151">
            <v>3032.3</v>
          </cell>
          <cell r="E151">
            <v>1516.15</v>
          </cell>
          <cell r="F151" t="str">
            <v>UC</v>
          </cell>
          <cell r="G151">
            <v>6</v>
          </cell>
          <cell r="H151">
            <v>0</v>
          </cell>
          <cell r="I151">
            <v>0</v>
          </cell>
          <cell r="J151">
            <v>0</v>
          </cell>
          <cell r="K151">
            <v>6</v>
          </cell>
        </row>
        <row r="152">
          <cell r="A152" t="str">
            <v>359-0128</v>
          </cell>
          <cell r="B152" t="str">
            <v xml:space="preserve">CAT 329E L (ZCD)                                            </v>
          </cell>
          <cell r="C152" t="str">
            <v>SECONDARY TURBOCHARGER ASSEMBLY</v>
          </cell>
          <cell r="D152">
            <v>4722.29</v>
          </cell>
          <cell r="E152">
            <v>2361.15</v>
          </cell>
          <cell r="F152" t="str">
            <v>ENGINE</v>
          </cell>
          <cell r="G152">
            <v>1</v>
          </cell>
          <cell r="H152">
            <v>0</v>
          </cell>
          <cell r="I152">
            <v>0</v>
          </cell>
          <cell r="J152">
            <v>0</v>
          </cell>
          <cell r="K152">
            <v>1</v>
          </cell>
        </row>
        <row r="153">
          <cell r="A153" t="str">
            <v>360-8960</v>
          </cell>
          <cell r="B153" t="str">
            <v xml:space="preserve">CAT 320E L (WBK) CAT 320E L (WBK) (2) CAT 320F L (YBM) CAT 329E L (ZCD) CAT 329F L (ERL) CAT 329F L (ERL) (2) CAT 330F L (MBX) CAT 330F L (HCK) CAT 330F L (HCK) (2) CAT D6N LGP (PBA) CAT D6N LGP (PBA) (2) CAT D6N LGP (SGG) CAT D6N LGP (SGG) (2)                    </v>
          </cell>
          <cell r="C153" t="str">
            <v>FUEL FILTER ELEMENT</v>
          </cell>
          <cell r="D153">
            <v>51.88</v>
          </cell>
          <cell r="E153">
            <v>19.71</v>
          </cell>
          <cell r="F153" t="str">
            <v>Filter</v>
          </cell>
          <cell r="G153">
            <v>30</v>
          </cell>
          <cell r="H153">
            <v>15</v>
          </cell>
          <cell r="I153">
            <v>15</v>
          </cell>
          <cell r="J153">
            <v>15</v>
          </cell>
          <cell r="K153">
            <v>75</v>
          </cell>
        </row>
        <row r="154">
          <cell r="A154" t="str">
            <v>363-9402</v>
          </cell>
          <cell r="B154" t="str">
            <v xml:space="preserve">CAT 329E L (ZCD) CAT 329F L (ERL) CAT 329F L (ERL) (2) CAT 330F L (MBX) CAT 330F L (HCK) CAT 330F L (HCK) (2)                                  </v>
          </cell>
          <cell r="C154" t="str">
            <v>CABIN AIR FILTER ELEMENT</v>
          </cell>
          <cell r="D154">
            <v>94.42</v>
          </cell>
          <cell r="E154">
            <v>35.880000000000003</v>
          </cell>
          <cell r="F154" t="str">
            <v>Filter</v>
          </cell>
          <cell r="G154">
            <v>6</v>
          </cell>
          <cell r="H154">
            <v>6</v>
          </cell>
          <cell r="I154">
            <v>0</v>
          </cell>
          <cell r="J154">
            <v>6</v>
          </cell>
          <cell r="K154">
            <v>18</v>
          </cell>
        </row>
        <row r="155">
          <cell r="A155" t="str">
            <v>365-0751</v>
          </cell>
          <cell r="B155" t="str">
            <v xml:space="preserve">CAT PL61 (WGS) CAT PL61 (WGS) (2) CAT PL61 (WGS) (3)                                        </v>
          </cell>
          <cell r="C155" t="str">
            <v>DUAL FLANGE ROLLER</v>
          </cell>
          <cell r="D155">
            <v>564.07000000000005</v>
          </cell>
          <cell r="E155">
            <v>282.04000000000002</v>
          </cell>
          <cell r="F155" t="str">
            <v>UC</v>
          </cell>
          <cell r="G155">
            <v>48</v>
          </cell>
          <cell r="H155">
            <v>0</v>
          </cell>
          <cell r="I155">
            <v>0</v>
          </cell>
          <cell r="J155">
            <v>0</v>
          </cell>
          <cell r="K155">
            <v>48</v>
          </cell>
        </row>
        <row r="156">
          <cell r="A156" t="str">
            <v>365-0752</v>
          </cell>
          <cell r="B156" t="str">
            <v xml:space="preserve">CAT PL61 (WGS) CAT PL61 (WGS) (2) CAT PL61 (WGS) (3)                                        </v>
          </cell>
          <cell r="C156" t="str">
            <v>SINGLE FLANGE ROLLER</v>
          </cell>
          <cell r="D156">
            <v>537.23</v>
          </cell>
          <cell r="E156">
            <v>268.62</v>
          </cell>
          <cell r="F156" t="str">
            <v>UC</v>
          </cell>
          <cell r="G156">
            <v>48</v>
          </cell>
          <cell r="H156">
            <v>0</v>
          </cell>
          <cell r="I156">
            <v>0</v>
          </cell>
          <cell r="J156">
            <v>0</v>
          </cell>
          <cell r="K156">
            <v>48</v>
          </cell>
        </row>
        <row r="157">
          <cell r="A157" t="str">
            <v>370-7280</v>
          </cell>
          <cell r="B157" t="str">
            <v xml:space="preserve">CAT 320F L (YBM) CAT 320 (HEX) CAT 329E L (ZCD)                                        </v>
          </cell>
          <cell r="C157" t="str">
            <v>FUEL INJECTOR</v>
          </cell>
          <cell r="D157">
            <v>1474.09</v>
          </cell>
          <cell r="E157">
            <v>737.05</v>
          </cell>
          <cell r="F157" t="str">
            <v>ENGINE</v>
          </cell>
          <cell r="G157">
            <v>14</v>
          </cell>
          <cell r="H157">
            <v>0</v>
          </cell>
          <cell r="I157">
            <v>0</v>
          </cell>
          <cell r="J157">
            <v>0</v>
          </cell>
          <cell r="K157">
            <v>14</v>
          </cell>
        </row>
        <row r="158">
          <cell r="A158" t="str">
            <v>375-6431</v>
          </cell>
          <cell r="B158" t="str">
            <v xml:space="preserve">CAT PL61 (WGS) CAT PL61 (WGS) (2) CAT PL61 (WGS) (3)                                        </v>
          </cell>
          <cell r="C158" t="str">
            <v>CARRIER ROLLER</v>
          </cell>
          <cell r="D158">
            <v>558.77</v>
          </cell>
          <cell r="E158">
            <v>279.39</v>
          </cell>
          <cell r="F158" t="str">
            <v>UC</v>
          </cell>
          <cell r="G158">
            <v>6</v>
          </cell>
          <cell r="H158">
            <v>0</v>
          </cell>
          <cell r="I158">
            <v>0</v>
          </cell>
          <cell r="J158">
            <v>0</v>
          </cell>
          <cell r="K158">
            <v>6</v>
          </cell>
        </row>
        <row r="159">
          <cell r="A159" t="str">
            <v>376-1274</v>
          </cell>
          <cell r="B159" t="str">
            <v xml:space="preserve">CAT D7G (92V) CAT D7G (3ZD) CAT D7G (3ZD) (2)                                        </v>
          </cell>
          <cell r="C159" t="str">
            <v>TRACK SHOE</v>
          </cell>
          <cell r="D159">
            <v>250.75</v>
          </cell>
          <cell r="E159">
            <v>125.38</v>
          </cell>
          <cell r="F159" t="str">
            <v>UC</v>
          </cell>
          <cell r="G159">
            <v>222</v>
          </cell>
          <cell r="H159">
            <v>0</v>
          </cell>
          <cell r="I159">
            <v>0</v>
          </cell>
          <cell r="J159">
            <v>0</v>
          </cell>
          <cell r="K159">
            <v>222</v>
          </cell>
        </row>
        <row r="160">
          <cell r="A160" t="str">
            <v>376-1275</v>
          </cell>
          <cell r="B160" t="str">
            <v xml:space="preserve">CAT D7G (92V) CAT D7G (3ZD) CAT D7G (3ZD) (2)                                        </v>
          </cell>
          <cell r="C160" t="str">
            <v>MASTER SHOE</v>
          </cell>
          <cell r="D160">
            <v>199.65</v>
          </cell>
          <cell r="E160">
            <v>99.83</v>
          </cell>
          <cell r="F160" t="str">
            <v>UC</v>
          </cell>
          <cell r="G160">
            <v>6</v>
          </cell>
          <cell r="H160">
            <v>0</v>
          </cell>
          <cell r="I160">
            <v>0</v>
          </cell>
          <cell r="J160">
            <v>0</v>
          </cell>
          <cell r="K160">
            <v>6</v>
          </cell>
        </row>
        <row r="161">
          <cell r="A161" t="str">
            <v>376-2025</v>
          </cell>
          <cell r="B161" t="str">
            <v xml:space="preserve">CAT 303.5E                                            </v>
          </cell>
          <cell r="C161" t="str">
            <v>HYDRAULIC PUMP</v>
          </cell>
          <cell r="D161">
            <v>7622.73</v>
          </cell>
          <cell r="E161">
            <v>3811.37</v>
          </cell>
          <cell r="F161" t="str">
            <v>GET</v>
          </cell>
          <cell r="G161">
            <v>1</v>
          </cell>
          <cell r="H161">
            <v>0</v>
          </cell>
          <cell r="I161">
            <v>0</v>
          </cell>
          <cell r="J161">
            <v>0</v>
          </cell>
          <cell r="K161">
            <v>1</v>
          </cell>
        </row>
        <row r="162">
          <cell r="A162" t="str">
            <v>377-2989</v>
          </cell>
          <cell r="B162" t="str">
            <v xml:space="preserve">CAT D7G (92V) CAT D7G (3ZD) CAT D7G (3ZD) (2)                                        </v>
          </cell>
          <cell r="C162" t="str">
            <v>TRACK IDLER</v>
          </cell>
          <cell r="D162">
            <v>3497.04</v>
          </cell>
          <cell r="E162">
            <v>1748.52</v>
          </cell>
          <cell r="F162" t="str">
            <v>UC</v>
          </cell>
          <cell r="G162">
            <v>6</v>
          </cell>
          <cell r="H162">
            <v>0</v>
          </cell>
          <cell r="I162">
            <v>0</v>
          </cell>
          <cell r="J162">
            <v>0</v>
          </cell>
          <cell r="K162">
            <v>6</v>
          </cell>
        </row>
        <row r="163">
          <cell r="A163" t="str">
            <v>377-6969</v>
          </cell>
          <cell r="B163" t="str">
            <v xml:space="preserve">CAT 303.5E                                            </v>
          </cell>
          <cell r="C163" t="str">
            <v>ENGINE OIL FILTER</v>
          </cell>
          <cell r="D163">
            <v>40.69</v>
          </cell>
          <cell r="E163">
            <v>15.46</v>
          </cell>
          <cell r="F163" t="str">
            <v>Filter</v>
          </cell>
          <cell r="G163">
            <v>2</v>
          </cell>
          <cell r="H163">
            <v>1</v>
          </cell>
          <cell r="I163">
            <v>1</v>
          </cell>
          <cell r="J163">
            <v>1</v>
          </cell>
          <cell r="K163">
            <v>5</v>
          </cell>
        </row>
        <row r="164">
          <cell r="A164" t="str">
            <v>379-8893</v>
          </cell>
          <cell r="B164" t="str">
            <v xml:space="preserve">CAT PL61 (WGS) CAT PL61 (WGS) (2) CAT PL61 (WGS) (3)                                        </v>
          </cell>
          <cell r="C164" t="str">
            <v>TRACK SHOE</v>
          </cell>
          <cell r="D164">
            <v>131.6</v>
          </cell>
          <cell r="E164">
            <v>65.8</v>
          </cell>
          <cell r="F164" t="str">
            <v>UC</v>
          </cell>
          <cell r="G164">
            <v>234</v>
          </cell>
          <cell r="H164">
            <v>0</v>
          </cell>
          <cell r="I164">
            <v>0</v>
          </cell>
          <cell r="J164">
            <v>0</v>
          </cell>
          <cell r="K164">
            <v>234</v>
          </cell>
        </row>
        <row r="165">
          <cell r="A165" t="str">
            <v>379-8894</v>
          </cell>
          <cell r="B165" t="str">
            <v xml:space="preserve">CAT PL61 (WGS) CAT PL61 (WGS) (2) CAT PL61 (WGS) (3)                                        </v>
          </cell>
          <cell r="C165" t="str">
            <v>MASTER SHOE</v>
          </cell>
          <cell r="D165">
            <v>143.16999999999999</v>
          </cell>
          <cell r="E165">
            <v>71.59</v>
          </cell>
          <cell r="F165" t="str">
            <v>UC</v>
          </cell>
          <cell r="G165">
            <v>6</v>
          </cell>
          <cell r="H165">
            <v>0</v>
          </cell>
          <cell r="I165">
            <v>0</v>
          </cell>
          <cell r="J165">
            <v>0</v>
          </cell>
          <cell r="K165">
            <v>6</v>
          </cell>
        </row>
        <row r="166">
          <cell r="A166" t="str">
            <v>383-0293</v>
          </cell>
          <cell r="B166" t="str">
            <v xml:space="preserve">CAT 303.5E                                            </v>
          </cell>
          <cell r="C166" t="str">
            <v>OIL PUMP ENGINE</v>
          </cell>
          <cell r="D166">
            <v>831.44</v>
          </cell>
          <cell r="E166">
            <v>415.72</v>
          </cell>
          <cell r="F166" t="str">
            <v>GET</v>
          </cell>
          <cell r="G166">
            <v>1</v>
          </cell>
          <cell r="H166">
            <v>0</v>
          </cell>
          <cell r="I166">
            <v>0</v>
          </cell>
          <cell r="J166">
            <v>0</v>
          </cell>
          <cell r="K166">
            <v>1</v>
          </cell>
        </row>
        <row r="167">
          <cell r="A167" t="str">
            <v>383-0433</v>
          </cell>
          <cell r="B167" t="str">
            <v xml:space="preserve">CAT 303.5E                                            </v>
          </cell>
          <cell r="C167" t="str">
            <v>WATER PUMP</v>
          </cell>
          <cell r="D167">
            <v>512.79</v>
          </cell>
          <cell r="E167">
            <v>256.39999999999998</v>
          </cell>
          <cell r="F167" t="str">
            <v>GET</v>
          </cell>
          <cell r="G167">
            <v>1</v>
          </cell>
          <cell r="H167">
            <v>0</v>
          </cell>
          <cell r="I167">
            <v>0</v>
          </cell>
          <cell r="J167">
            <v>0</v>
          </cell>
          <cell r="K167">
            <v>1</v>
          </cell>
        </row>
        <row r="168">
          <cell r="A168" t="str">
            <v>383-0544</v>
          </cell>
          <cell r="B168" t="str">
            <v xml:space="preserve">CAT 303.5E                                            </v>
          </cell>
          <cell r="C168" t="str">
            <v xml:space="preserve">FUEL INJECTOR NOZZLE </v>
          </cell>
          <cell r="D168">
            <v>974.18</v>
          </cell>
          <cell r="E168">
            <v>487.09</v>
          </cell>
          <cell r="F168" t="str">
            <v>ENGINE</v>
          </cell>
          <cell r="G168">
            <v>3</v>
          </cell>
          <cell r="H168">
            <v>0</v>
          </cell>
          <cell r="I168">
            <v>0</v>
          </cell>
          <cell r="J168">
            <v>0</v>
          </cell>
          <cell r="K168">
            <v>3</v>
          </cell>
        </row>
        <row r="169">
          <cell r="A169" t="str">
            <v>384-5674</v>
          </cell>
          <cell r="B169" t="str">
            <v xml:space="preserve">CAT 303.5E                                            </v>
          </cell>
          <cell r="C169" t="str">
            <v xml:space="preserve">SUSPENSION SEAT ASSEMBLY </v>
          </cell>
          <cell r="D169">
            <v>3786.04</v>
          </cell>
          <cell r="E169">
            <v>1893.02</v>
          </cell>
          <cell r="F169" t="str">
            <v>SEAT</v>
          </cell>
          <cell r="G169">
            <v>1</v>
          </cell>
          <cell r="H169">
            <v>0</v>
          </cell>
          <cell r="I169">
            <v>0</v>
          </cell>
          <cell r="J169">
            <v>0</v>
          </cell>
          <cell r="K169">
            <v>1</v>
          </cell>
        </row>
        <row r="170">
          <cell r="A170" t="str">
            <v>386-6920</v>
          </cell>
          <cell r="B170" t="str">
            <v xml:space="preserve">CAT 303.5E                                            </v>
          </cell>
          <cell r="C170" t="str">
            <v>CYLINDER HEAD</v>
          </cell>
          <cell r="D170">
            <v>3744.05</v>
          </cell>
          <cell r="E170">
            <v>1872.03</v>
          </cell>
          <cell r="F170" t="str">
            <v>ENGINE</v>
          </cell>
          <cell r="G170">
            <v>1</v>
          </cell>
          <cell r="H170">
            <v>0</v>
          </cell>
          <cell r="I170">
            <v>0</v>
          </cell>
          <cell r="J170">
            <v>0</v>
          </cell>
          <cell r="K170">
            <v>1</v>
          </cell>
        </row>
        <row r="171">
          <cell r="A171" t="str">
            <v>386-6934</v>
          </cell>
          <cell r="B171" t="str">
            <v xml:space="preserve">CAT 303.5E                                            </v>
          </cell>
          <cell r="C171" t="str">
            <v>CAMSHAFT AS</v>
          </cell>
          <cell r="D171">
            <v>515.16999999999996</v>
          </cell>
          <cell r="E171">
            <v>257.58999999999997</v>
          </cell>
          <cell r="F171" t="str">
            <v>ENGINE</v>
          </cell>
          <cell r="G171">
            <v>1</v>
          </cell>
          <cell r="H171">
            <v>0</v>
          </cell>
          <cell r="I171">
            <v>0</v>
          </cell>
          <cell r="J171">
            <v>0</v>
          </cell>
          <cell r="K171">
            <v>1</v>
          </cell>
        </row>
        <row r="172">
          <cell r="A172" t="str">
            <v>386-6936</v>
          </cell>
          <cell r="B172" t="str">
            <v xml:space="preserve">CAT 303.5E                                            </v>
          </cell>
          <cell r="C172" t="str">
            <v>CRANKSHAFT ASSY</v>
          </cell>
          <cell r="D172">
            <v>4035.36</v>
          </cell>
          <cell r="E172">
            <v>2017.68</v>
          </cell>
          <cell r="F172" t="str">
            <v>ENGINE</v>
          </cell>
          <cell r="G172">
            <v>1</v>
          </cell>
          <cell r="H172">
            <v>0</v>
          </cell>
          <cell r="I172">
            <v>0</v>
          </cell>
          <cell r="J172">
            <v>0</v>
          </cell>
          <cell r="K172">
            <v>1</v>
          </cell>
        </row>
        <row r="173">
          <cell r="A173" t="str">
            <v>3B4504 </v>
          </cell>
          <cell r="B173" t="str">
            <v xml:space="preserve">CAT D4 (66J)                                            </v>
          </cell>
          <cell r="C173" t="str">
            <v>FLAT WASHER</v>
          </cell>
          <cell r="D173">
            <v>0.33</v>
          </cell>
          <cell r="E173">
            <v>0.17</v>
          </cell>
          <cell r="F173" t="str">
            <v>UC</v>
          </cell>
          <cell r="G173">
            <v>12</v>
          </cell>
          <cell r="H173">
            <v>0</v>
          </cell>
          <cell r="I173">
            <v>0</v>
          </cell>
          <cell r="J173">
            <v>0</v>
          </cell>
          <cell r="K173">
            <v>12</v>
          </cell>
        </row>
        <row r="174">
          <cell r="A174" t="str">
            <v>3B-4510</v>
          </cell>
          <cell r="B174" t="str">
            <v xml:space="preserve">CAT 561 (85H) CAT 561 (92J) CAT 561 (92J) (2)                                        </v>
          </cell>
          <cell r="C174" t="str">
            <v>WASHER ROLLER</v>
          </cell>
          <cell r="D174">
            <v>0.78</v>
          </cell>
          <cell r="E174">
            <v>0.39</v>
          </cell>
          <cell r="F174" t="str">
            <v>UC</v>
          </cell>
          <cell r="G174">
            <v>144</v>
          </cell>
          <cell r="H174">
            <v>0</v>
          </cell>
          <cell r="I174">
            <v>0</v>
          </cell>
          <cell r="J174">
            <v>0</v>
          </cell>
          <cell r="K174">
            <v>144</v>
          </cell>
        </row>
        <row r="175">
          <cell r="A175" t="str">
            <v>3B-4632</v>
          </cell>
          <cell r="B175" t="str">
            <v xml:space="preserve">CAT D3 (1PJ)                                            </v>
          </cell>
          <cell r="C175" t="str">
            <v>COTTER PIN</v>
          </cell>
          <cell r="D175">
            <v>1.18</v>
          </cell>
          <cell r="E175">
            <v>0.45</v>
          </cell>
          <cell r="F175" t="str">
            <v>GET</v>
          </cell>
          <cell r="G175">
            <v>1</v>
          </cell>
          <cell r="H175">
            <v>0</v>
          </cell>
          <cell r="I175">
            <v>0</v>
          </cell>
          <cell r="J175">
            <v>0</v>
          </cell>
          <cell r="K175">
            <v>1</v>
          </cell>
        </row>
        <row r="176">
          <cell r="A176" t="str">
            <v>3B-5325</v>
          </cell>
          <cell r="B176" t="str">
            <v xml:space="preserve">CAT D6N LGP (PBA) CAT D6N LGP (PBA) (2) CAT D6N LGP (SGG) CAT D6N LGP (SGG) (2) CAT D6T (MH7)                                    </v>
          </cell>
          <cell r="C176" t="str">
            <v>COTTER PIN</v>
          </cell>
          <cell r="D176">
            <v>7.67</v>
          </cell>
          <cell r="E176">
            <v>2.91</v>
          </cell>
          <cell r="F176" t="str">
            <v>GET</v>
          </cell>
          <cell r="G176">
            <v>30</v>
          </cell>
          <cell r="H176">
            <v>0</v>
          </cell>
          <cell r="I176">
            <v>0</v>
          </cell>
          <cell r="J176">
            <v>0</v>
          </cell>
          <cell r="K176">
            <v>30</v>
          </cell>
        </row>
        <row r="177">
          <cell r="A177" t="str">
            <v>3F-5108</v>
          </cell>
          <cell r="B177" t="str">
            <v xml:space="preserve">CAT D3 (1PJ)                                            </v>
          </cell>
          <cell r="C177" t="str">
            <v>BOLT</v>
          </cell>
          <cell r="D177">
            <v>3.22</v>
          </cell>
          <cell r="E177">
            <v>1.22</v>
          </cell>
          <cell r="F177" t="str">
            <v>GET</v>
          </cell>
          <cell r="G177">
            <v>18</v>
          </cell>
          <cell r="H177">
            <v>0</v>
          </cell>
          <cell r="I177">
            <v>0</v>
          </cell>
          <cell r="J177">
            <v>0</v>
          </cell>
          <cell r="K177">
            <v>18</v>
          </cell>
        </row>
        <row r="178">
          <cell r="A178" t="str">
            <v>3G-3424</v>
          </cell>
          <cell r="B178" t="str">
            <v xml:space="preserve">CAT D3 (1PJ)                                            </v>
          </cell>
          <cell r="C178" t="str">
            <v>BLADE AS</v>
          </cell>
          <cell r="D178">
            <v>11144.2</v>
          </cell>
          <cell r="E178">
            <v>4234.8</v>
          </cell>
          <cell r="F178" t="str">
            <v>GET</v>
          </cell>
          <cell r="G178">
            <v>1</v>
          </cell>
          <cell r="H178">
            <v>0</v>
          </cell>
          <cell r="I178">
            <v>0</v>
          </cell>
          <cell r="J178">
            <v>0</v>
          </cell>
          <cell r="K178">
            <v>1</v>
          </cell>
        </row>
        <row r="179">
          <cell r="A179" t="str">
            <v>3j6571</v>
          </cell>
          <cell r="B179" t="str">
            <v xml:space="preserve">CAT D7G (92V) CAT D7G (3ZD) CAT D7G (3ZD) (2)                                        </v>
          </cell>
          <cell r="C179" t="str">
            <v>BLADE ASSEMBLY</v>
          </cell>
          <cell r="D179">
            <v>27033.599999999999</v>
          </cell>
          <cell r="E179">
            <v>10272.77</v>
          </cell>
          <cell r="F179" t="str">
            <v>GET</v>
          </cell>
          <cell r="G179">
            <v>3</v>
          </cell>
          <cell r="H179">
            <v>0</v>
          </cell>
          <cell r="I179">
            <v>0</v>
          </cell>
          <cell r="J179">
            <v>0</v>
          </cell>
          <cell r="K179">
            <v>3</v>
          </cell>
        </row>
        <row r="180">
          <cell r="A180" t="str">
            <v>3S-8182</v>
          </cell>
          <cell r="B180" t="str">
            <v xml:space="preserve">CAT D5 (3CR) CAT D5 (3CR) (2) CAT 561 (85H) CAT 561 (92J) CAT 561 (92J) (2) CAT 561M (1KW) CAT 561N (CPH) CAT 561N (CPH) (2) CAT 561N (CPH) (3) CAT 561N (CPH) (4) CAT 561N (CPH) (5) CAT PL61 (WGS) CAT PL61 (WGS) (2) CAT PL61 (WGS) (3)                  </v>
          </cell>
          <cell r="C180" t="str">
            <v>SPROCKET BOLT</v>
          </cell>
          <cell r="D180">
            <v>2.94</v>
          </cell>
          <cell r="E180">
            <v>1.47</v>
          </cell>
          <cell r="F180" t="str">
            <v>UC</v>
          </cell>
          <cell r="G180">
            <v>644</v>
          </cell>
          <cell r="H180">
            <v>0</v>
          </cell>
          <cell r="I180">
            <v>0</v>
          </cell>
          <cell r="J180">
            <v>0</v>
          </cell>
          <cell r="K180">
            <v>644</v>
          </cell>
        </row>
        <row r="181">
          <cell r="A181" t="str">
            <v>3T-3884</v>
          </cell>
          <cell r="B181" t="str">
            <v xml:space="preserve">CAT D5 (3CR) CAT D5 (3CR) (2) CAT 561N (CPH) CAT 561N (CPH) (2) CAT 561N (CPH) (3) CAT 561N (CPH) (4) CAT 561N (CPH) (5)                                </v>
          </cell>
          <cell r="C181" t="str">
            <v>TRACK BOLT</v>
          </cell>
          <cell r="D181">
            <v>5.51</v>
          </cell>
          <cell r="E181">
            <v>2.76</v>
          </cell>
          <cell r="F181" t="str">
            <v>UC</v>
          </cell>
          <cell r="G181">
            <v>606</v>
          </cell>
          <cell r="H181">
            <v>0</v>
          </cell>
          <cell r="I181">
            <v>0</v>
          </cell>
          <cell r="J181">
            <v>0</v>
          </cell>
          <cell r="K181">
            <v>606</v>
          </cell>
        </row>
        <row r="182">
          <cell r="A182" t="str">
            <v>3T-3889</v>
          </cell>
          <cell r="B182" t="str">
            <v xml:space="preserve">CAT D5 (3CR) CAT D5 (3CR) (2) CAT 561N (CPH) CAT 561N (CPH) (2) CAT 561N (CPH) (3) CAT 561N (CPH) (4) CAT 561N (CPH) (5)                                </v>
          </cell>
          <cell r="C182" t="str">
            <v>TRACK BOLT MASTER</v>
          </cell>
          <cell r="D182">
            <v>6.45</v>
          </cell>
          <cell r="E182">
            <v>3.23</v>
          </cell>
          <cell r="F182" t="str">
            <v>UC</v>
          </cell>
          <cell r="G182">
            <v>14</v>
          </cell>
          <cell r="H182">
            <v>0</v>
          </cell>
          <cell r="I182">
            <v>0</v>
          </cell>
          <cell r="J182">
            <v>0</v>
          </cell>
          <cell r="K182">
            <v>14</v>
          </cell>
        </row>
        <row r="183">
          <cell r="A183" t="str">
            <v>3T-8601</v>
          </cell>
          <cell r="B183" t="str">
            <v xml:space="preserve">CAT 561M (1KW)                                            </v>
          </cell>
          <cell r="C183" t="str">
            <v>BOLT MASTER LINK</v>
          </cell>
          <cell r="D183">
            <v>3.98</v>
          </cell>
          <cell r="E183">
            <v>1.99</v>
          </cell>
          <cell r="F183" t="str">
            <v>UC</v>
          </cell>
          <cell r="G183">
            <v>4</v>
          </cell>
          <cell r="H183">
            <v>0</v>
          </cell>
          <cell r="I183">
            <v>0</v>
          </cell>
          <cell r="J183">
            <v>0</v>
          </cell>
          <cell r="K183">
            <v>4</v>
          </cell>
        </row>
        <row r="184">
          <cell r="A184" t="str">
            <v>421-3007</v>
          </cell>
          <cell r="B184" t="str">
            <v xml:space="preserve">CAT 320F L (YBM) CAT 320 (HEX)                                          </v>
          </cell>
          <cell r="C184" t="str">
            <v>PRIMARY TURBOCHARGER ASSEMBLY</v>
          </cell>
          <cell r="D184">
            <v>3725.79</v>
          </cell>
          <cell r="E184">
            <v>1862.9</v>
          </cell>
          <cell r="F184" t="str">
            <v>ENGINE</v>
          </cell>
          <cell r="G184">
            <v>2</v>
          </cell>
          <cell r="H184">
            <v>0</v>
          </cell>
          <cell r="I184">
            <v>0</v>
          </cell>
          <cell r="J184">
            <v>0</v>
          </cell>
          <cell r="K184">
            <v>2</v>
          </cell>
        </row>
        <row r="185">
          <cell r="A185" t="str">
            <v>422-0864</v>
          </cell>
          <cell r="B185" t="str">
            <v xml:space="preserve">CAT 303.5E                                            </v>
          </cell>
          <cell r="C185" t="str">
            <v>CARRIER ROLLER</v>
          </cell>
          <cell r="D185">
            <v>403.56</v>
          </cell>
          <cell r="E185">
            <v>201.78</v>
          </cell>
          <cell r="F185" t="str">
            <v>UC</v>
          </cell>
          <cell r="G185">
            <v>2</v>
          </cell>
          <cell r="H185">
            <v>0</v>
          </cell>
          <cell r="I185">
            <v>0</v>
          </cell>
          <cell r="J185">
            <v>0</v>
          </cell>
          <cell r="K185">
            <v>2</v>
          </cell>
        </row>
        <row r="186">
          <cell r="A186" t="str">
            <v>424-3436</v>
          </cell>
          <cell r="B186" t="str">
            <v xml:space="preserve">CAT 336F L (RKB)                                            </v>
          </cell>
          <cell r="C186" t="str">
            <v>TURBOCHARGER ASSEMBLY</v>
          </cell>
          <cell r="D186">
            <v>7358.86</v>
          </cell>
          <cell r="E186">
            <v>3679.43</v>
          </cell>
          <cell r="F186" t="str">
            <v>ENGINE</v>
          </cell>
          <cell r="G186">
            <v>1</v>
          </cell>
          <cell r="H186">
            <v>0</v>
          </cell>
          <cell r="I186">
            <v>0</v>
          </cell>
          <cell r="J186">
            <v>0</v>
          </cell>
          <cell r="K186">
            <v>1</v>
          </cell>
        </row>
        <row r="187">
          <cell r="A187" t="str">
            <v>428-0056</v>
          </cell>
          <cell r="B187" t="str">
            <v xml:space="preserve">CAT D7G (92V) CAT D7G (3ZD) CAT D7G (3ZD) (2)                                        </v>
          </cell>
          <cell r="C187" t="str">
            <v>CARRIER ROLLER</v>
          </cell>
          <cell r="D187">
            <v>722.36</v>
          </cell>
          <cell r="E187">
            <v>361.18</v>
          </cell>
          <cell r="F187" t="str">
            <v>UC</v>
          </cell>
          <cell r="G187">
            <v>6</v>
          </cell>
          <cell r="H187">
            <v>0</v>
          </cell>
          <cell r="I187">
            <v>0</v>
          </cell>
          <cell r="J187">
            <v>0</v>
          </cell>
          <cell r="K187">
            <v>6</v>
          </cell>
        </row>
        <row r="188">
          <cell r="A188" t="str">
            <v>433-3886</v>
          </cell>
          <cell r="B188" t="str">
            <v xml:space="preserve">CAT 303.5E                                            </v>
          </cell>
          <cell r="C188" t="str">
            <v>BLADE - PUSH REPLACMENT WELD ON EDGE</v>
          </cell>
          <cell r="D188">
            <v>147.55000000000001</v>
          </cell>
          <cell r="E188">
            <v>56.07</v>
          </cell>
          <cell r="F188" t="str">
            <v>GET</v>
          </cell>
          <cell r="G188">
            <v>1</v>
          </cell>
          <cell r="H188">
            <v>0</v>
          </cell>
          <cell r="I188">
            <v>0</v>
          </cell>
          <cell r="J188">
            <v>0</v>
          </cell>
          <cell r="K188">
            <v>1</v>
          </cell>
        </row>
        <row r="189">
          <cell r="A189" t="str">
            <v>443-0318</v>
          </cell>
          <cell r="B189" t="str">
            <v xml:space="preserve">CAT 329E L (ZCD)                                            </v>
          </cell>
          <cell r="C189" t="str">
            <v>PRIMARY TURBOCHARGER ASSEMBLY</v>
          </cell>
          <cell r="D189">
            <v>3927.73</v>
          </cell>
          <cell r="E189">
            <v>1963.87</v>
          </cell>
          <cell r="F189" t="str">
            <v>ENGINE</v>
          </cell>
          <cell r="G189">
            <v>1</v>
          </cell>
          <cell r="H189">
            <v>0</v>
          </cell>
          <cell r="I189">
            <v>0</v>
          </cell>
          <cell r="J189">
            <v>0</v>
          </cell>
          <cell r="K189">
            <v>1</v>
          </cell>
        </row>
        <row r="190">
          <cell r="A190" t="str">
            <v>447-1707</v>
          </cell>
          <cell r="B190" t="str">
            <v xml:space="preserve">CAT 320E L (WBK) CAT 320E L (WBK) (2) CAT 320F L (YBM) CAT 320 (HEX) CAT 320 (MYK) CAT 320 (MYK) (2)                                  </v>
          </cell>
          <cell r="C190" t="str">
            <v>IDLER BOLT</v>
          </cell>
          <cell r="D190">
            <v>7.85</v>
          </cell>
          <cell r="E190">
            <v>3.93</v>
          </cell>
          <cell r="F190" t="str">
            <v>UC</v>
          </cell>
          <cell r="G190">
            <v>48</v>
          </cell>
          <cell r="H190">
            <v>0</v>
          </cell>
          <cell r="I190">
            <v>0</v>
          </cell>
          <cell r="J190">
            <v>0</v>
          </cell>
          <cell r="K190">
            <v>48</v>
          </cell>
        </row>
        <row r="191">
          <cell r="A191" t="str">
            <v>447-1718</v>
          </cell>
          <cell r="B191" t="str">
            <v xml:space="preserve">CAT 329E L (ZCD) CAT 329F L (ERL) CAT 329F L (ERL) (2) CAT 330F L (MBX) CAT 330F L (HCK) CAT 330F L (HCK) (2)                                  </v>
          </cell>
          <cell r="C191" t="str">
            <v>IDLER BOLT</v>
          </cell>
          <cell r="D191">
            <v>10.24</v>
          </cell>
          <cell r="E191">
            <v>5.12</v>
          </cell>
          <cell r="F191" t="str">
            <v>UC</v>
          </cell>
          <cell r="G191">
            <v>48</v>
          </cell>
          <cell r="H191">
            <v>0</v>
          </cell>
          <cell r="I191">
            <v>0</v>
          </cell>
          <cell r="J191">
            <v>0</v>
          </cell>
          <cell r="K191">
            <v>48</v>
          </cell>
        </row>
        <row r="192">
          <cell r="A192" t="str">
            <v>447-1720</v>
          </cell>
          <cell r="B192" t="str">
            <v xml:space="preserve">CAT 330 (LHW) CAT 330 (LHW) (2) CAT 330 (LHW) (3) CAT 330 (LHW) (4) CAT 330 (WCH) CAT 330 (WCH) (2) CAT 330 (WCH) (3) CAT 330 (WCH) (4) CAT 330 (WCH) (5) CAT 330 (WCH) (6)                          </v>
          </cell>
          <cell r="C192" t="str">
            <v>IDLER BOLT</v>
          </cell>
          <cell r="D192">
            <v>14.28</v>
          </cell>
          <cell r="E192">
            <v>7.14</v>
          </cell>
          <cell r="F192" t="str">
            <v>UC</v>
          </cell>
          <cell r="G192">
            <v>80</v>
          </cell>
          <cell r="H192">
            <v>0</v>
          </cell>
          <cell r="I192">
            <v>0</v>
          </cell>
          <cell r="J192">
            <v>0</v>
          </cell>
          <cell r="K192">
            <v>80</v>
          </cell>
        </row>
        <row r="193">
          <cell r="A193" t="str">
            <v>447-1723</v>
          </cell>
          <cell r="B193" t="str">
            <v xml:space="preserve">CAT 336F L (RKB)                                            </v>
          </cell>
          <cell r="C193" t="str">
            <v>ROLLER BOLT</v>
          </cell>
          <cell r="D193">
            <v>31.86</v>
          </cell>
          <cell r="E193">
            <v>15.93</v>
          </cell>
          <cell r="F193" t="str">
            <v>UC</v>
          </cell>
          <cell r="G193">
            <v>72</v>
          </cell>
          <cell r="H193">
            <v>0</v>
          </cell>
          <cell r="I193">
            <v>0</v>
          </cell>
          <cell r="J193">
            <v>0</v>
          </cell>
          <cell r="K193">
            <v>72</v>
          </cell>
        </row>
        <row r="194">
          <cell r="A194" t="str">
            <v>447-1725</v>
          </cell>
          <cell r="B194" t="str">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ell>
          <cell r="C194" t="str">
            <v>HEX HEAD BOLT</v>
          </cell>
          <cell r="D194">
            <v>23.18</v>
          </cell>
          <cell r="E194">
            <v>11.59</v>
          </cell>
          <cell r="F194" t="str">
            <v>UC</v>
          </cell>
          <cell r="G194">
            <v>84</v>
          </cell>
          <cell r="H194">
            <v>0</v>
          </cell>
          <cell r="I194">
            <v>0</v>
          </cell>
          <cell r="J194">
            <v>0</v>
          </cell>
          <cell r="K194">
            <v>84</v>
          </cell>
        </row>
        <row r="195">
          <cell r="A195" t="str">
            <v>447-1731</v>
          </cell>
          <cell r="B195"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195" t="str">
            <v>HEX HEAD BOLT</v>
          </cell>
          <cell r="D195">
            <v>20.079999999999998</v>
          </cell>
          <cell r="E195">
            <v>10.039999999999999</v>
          </cell>
          <cell r="F195" t="str">
            <v>UC</v>
          </cell>
          <cell r="G195">
            <v>1536</v>
          </cell>
          <cell r="H195">
            <v>0</v>
          </cell>
          <cell r="I195">
            <v>0</v>
          </cell>
          <cell r="J195">
            <v>0</v>
          </cell>
          <cell r="K195">
            <v>1536</v>
          </cell>
        </row>
        <row r="196">
          <cell r="A196" t="str">
            <v>451-2176</v>
          </cell>
          <cell r="B196" t="str">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ell>
          <cell r="C196" t="str">
            <v>FLAT WASHER</v>
          </cell>
          <cell r="D196">
            <v>2.99</v>
          </cell>
          <cell r="E196">
            <v>1.5</v>
          </cell>
          <cell r="F196" t="str">
            <v>UC</v>
          </cell>
          <cell r="G196">
            <v>1536</v>
          </cell>
          <cell r="H196">
            <v>0</v>
          </cell>
          <cell r="I196">
            <v>0</v>
          </cell>
          <cell r="J196">
            <v>0</v>
          </cell>
          <cell r="K196">
            <v>1536</v>
          </cell>
        </row>
        <row r="197">
          <cell r="A197" t="str">
            <v>451-2177</v>
          </cell>
          <cell r="B197" t="str">
            <v xml:space="preserve">CAT 336F L (RKB)                                            </v>
          </cell>
          <cell r="C197" t="str">
            <v>FLAT WASHER</v>
          </cell>
          <cell r="D197">
            <v>4.9800000000000004</v>
          </cell>
          <cell r="E197">
            <v>2.4900000000000002</v>
          </cell>
          <cell r="F197" t="str">
            <v>UC</v>
          </cell>
          <cell r="G197">
            <v>72</v>
          </cell>
          <cell r="H197">
            <v>0</v>
          </cell>
          <cell r="I197">
            <v>0</v>
          </cell>
          <cell r="J197">
            <v>0</v>
          </cell>
          <cell r="K197">
            <v>72</v>
          </cell>
        </row>
        <row r="198">
          <cell r="A198" t="str">
            <v>453-2855</v>
          </cell>
          <cell r="B198" t="str">
            <v xml:space="preserve">CAT 336F L (RKB)                                            </v>
          </cell>
          <cell r="C198" t="str">
            <v>CARRIER BOLT</v>
          </cell>
          <cell r="D198">
            <v>26.18</v>
          </cell>
          <cell r="E198">
            <v>13.09</v>
          </cell>
          <cell r="F198" t="str">
            <v>UC</v>
          </cell>
          <cell r="G198">
            <v>4</v>
          </cell>
          <cell r="H198">
            <v>0</v>
          </cell>
          <cell r="I198">
            <v>0</v>
          </cell>
          <cell r="J198">
            <v>0</v>
          </cell>
          <cell r="K198">
            <v>4</v>
          </cell>
        </row>
        <row r="199">
          <cell r="A199" t="str">
            <v>456-1742</v>
          </cell>
          <cell r="B199" t="str">
            <v xml:space="preserve">CAT D7G (92V) CAT D7G (3ZD) CAT D7G (3ZD) (2)                                        </v>
          </cell>
          <cell r="C199" t="str">
            <v>TRACK LINK 38 JOINT</v>
          </cell>
          <cell r="D199">
            <v>8201.7900000000009</v>
          </cell>
          <cell r="E199">
            <v>4100.8999999999996</v>
          </cell>
          <cell r="F199" t="str">
            <v>UC</v>
          </cell>
          <cell r="G199">
            <v>6</v>
          </cell>
          <cell r="H199">
            <v>0</v>
          </cell>
          <cell r="I199">
            <v>0</v>
          </cell>
          <cell r="J199">
            <v>0</v>
          </cell>
          <cell r="K199">
            <v>6</v>
          </cell>
        </row>
        <row r="200">
          <cell r="A200" t="str">
            <v>456-3509</v>
          </cell>
          <cell r="B200" t="str">
            <v xml:space="preserve">CAT 336F L (RKB) CAT D6T (MH7)                                          </v>
          </cell>
          <cell r="C200" t="str">
            <v xml:space="preserve">FUEL INJECTOR </v>
          </cell>
          <cell r="D200">
            <v>1474.09</v>
          </cell>
          <cell r="E200">
            <v>737.05</v>
          </cell>
          <cell r="F200" t="str">
            <v>ENGINE</v>
          </cell>
          <cell r="G200">
            <v>12</v>
          </cell>
          <cell r="H200">
            <v>0</v>
          </cell>
          <cell r="I200">
            <v>0</v>
          </cell>
          <cell r="J200">
            <v>0</v>
          </cell>
          <cell r="K200">
            <v>12</v>
          </cell>
        </row>
        <row r="201">
          <cell r="A201" t="str">
            <v>457-3636</v>
          </cell>
          <cell r="B201" t="str">
            <v xml:space="preserve">CAT 329F L (ERL) CAT 329F L (ERL) (2) CAT 330F L (MBX) CAT 330F L (HCK) CAT 330F L (HCK) (2) CAT 330 (LHW) CAT 330 (LHW) (2) CAT 330 (LHW) (3) CAT 330 (LHW) (4) CAT 330 (WCH) CAT 330 (WCH) (2) CAT 330 (WCH) (3) CAT 330 (WCH) (4) CAT 330 (WCH) (5) CAT 330 (WCH) (6)                </v>
          </cell>
          <cell r="C201" t="str">
            <v>PRIMARY TURBOCHARGER ASSEMBLY</v>
          </cell>
          <cell r="D201">
            <v>4722.29</v>
          </cell>
          <cell r="E201">
            <v>2361.15</v>
          </cell>
          <cell r="F201" t="str">
            <v>ENGINE</v>
          </cell>
          <cell r="G201">
            <v>15</v>
          </cell>
          <cell r="H201">
            <v>0</v>
          </cell>
          <cell r="I201">
            <v>0</v>
          </cell>
          <cell r="J201">
            <v>0</v>
          </cell>
          <cell r="K201">
            <v>15</v>
          </cell>
        </row>
        <row r="202">
          <cell r="A202" t="str">
            <v>462-1171</v>
          </cell>
          <cell r="B202" t="str">
            <v xml:space="preserve">CAT D6N LGP (GHS) CAT D6N LGP (PBA) CAT D6N LGP (PBA) (2) CAT D6N LGP (SGG) CAT D6N LGP (SGG) (2)                                    </v>
          </cell>
          <cell r="C202" t="str">
            <v>ENGINE OIL FILTER</v>
          </cell>
          <cell r="D202">
            <v>36.51</v>
          </cell>
          <cell r="E202">
            <v>13.87</v>
          </cell>
          <cell r="F202" t="str">
            <v>FILTER</v>
          </cell>
          <cell r="G202">
            <v>10</v>
          </cell>
          <cell r="H202">
            <v>5</v>
          </cell>
          <cell r="I202">
            <v>5</v>
          </cell>
          <cell r="J202">
            <v>5</v>
          </cell>
          <cell r="K202">
            <v>25</v>
          </cell>
        </row>
        <row r="203">
          <cell r="A203" t="str">
            <v>468-7455</v>
          </cell>
          <cell r="B203" t="str">
            <v xml:space="preserve">CAT 303.5E                                            </v>
          </cell>
          <cell r="C203" t="str">
            <v>CENTRE FLANGE ROLLER</v>
          </cell>
          <cell r="D203">
            <v>498.61</v>
          </cell>
          <cell r="E203">
            <v>249.31</v>
          </cell>
          <cell r="F203" t="str">
            <v>UC</v>
          </cell>
          <cell r="G203">
            <v>4</v>
          </cell>
          <cell r="H203">
            <v>0</v>
          </cell>
          <cell r="I203">
            <v>0</v>
          </cell>
          <cell r="J203">
            <v>0</v>
          </cell>
          <cell r="K203">
            <v>4</v>
          </cell>
        </row>
        <row r="204">
          <cell r="A204" t="str">
            <v>472-7939</v>
          </cell>
          <cell r="B204" t="str">
            <v xml:space="preserve">CAT 561N (CPH) CAT 561N (CPH) (2) CAT 561N (CPH) (3) CAT 561N (CPH) (4) CAT 561N (CPH) (5)                                    </v>
          </cell>
          <cell r="C204" t="str">
            <v>CABIN AIR FILTER ELEMENT</v>
          </cell>
          <cell r="D204">
            <v>1076.32</v>
          </cell>
          <cell r="E204">
            <v>409</v>
          </cell>
          <cell r="F204" t="str">
            <v>FILTER</v>
          </cell>
          <cell r="G204">
            <v>5</v>
          </cell>
          <cell r="H204">
            <v>5</v>
          </cell>
          <cell r="I204">
            <v>0</v>
          </cell>
          <cell r="J204">
            <v>5</v>
          </cell>
          <cell r="K204">
            <v>15</v>
          </cell>
        </row>
        <row r="205">
          <cell r="A205" t="str">
            <v>476-1146</v>
          </cell>
          <cell r="B205" t="str">
            <v xml:space="preserve">CAT D6T (MH7)                                            </v>
          </cell>
          <cell r="C205" t="str">
            <v>TURBOCHARGER ASSEMBLY</v>
          </cell>
          <cell r="D205">
            <v>7083.49</v>
          </cell>
          <cell r="E205">
            <v>3541.75</v>
          </cell>
          <cell r="F205" t="str">
            <v>ENGINE</v>
          </cell>
          <cell r="G205">
            <v>1</v>
          </cell>
          <cell r="H205">
            <v>0</v>
          </cell>
          <cell r="I205">
            <v>0</v>
          </cell>
          <cell r="J205">
            <v>0</v>
          </cell>
          <cell r="K205">
            <v>1</v>
          </cell>
        </row>
        <row r="206">
          <cell r="A206" t="str">
            <v>479-4131</v>
          </cell>
          <cell r="B206" t="str">
            <v xml:space="preserve">CAT 320E L (WBK) CAT 320E L (WBK) (2) CAT 320F L (YBM) CAT 329E L (ZCD) CAT 329F L (ERL) CAT 329F L (ERL) (2) CAT 330F L (MBX) CAT 330F L (HCK) CAT 330F L (HCK) (2) CAT D6N LGP (PBA) CAT D6N LGP (PBA) (2) CAT D6N LGP (SGG) CAT D6N LGP (SGG) (2)                    </v>
          </cell>
          <cell r="C206" t="str">
            <v>FUEL WATER SEPARATOR</v>
          </cell>
          <cell r="D206">
            <v>78.87</v>
          </cell>
          <cell r="E206">
            <v>29.97</v>
          </cell>
          <cell r="F206" t="str">
            <v>Filter</v>
          </cell>
          <cell r="G206">
            <v>42</v>
          </cell>
          <cell r="H206">
            <v>28</v>
          </cell>
          <cell r="I206">
            <v>42</v>
          </cell>
          <cell r="J206">
            <v>28</v>
          </cell>
          <cell r="K206">
            <v>140</v>
          </cell>
        </row>
        <row r="207">
          <cell r="A207" t="str">
            <v>479-8989</v>
          </cell>
          <cell r="B207" t="str">
            <v xml:space="preserve">CAT 320 (HEX) CAT 320 (MYK) CAT 320 (MYK) (2)                                        </v>
          </cell>
          <cell r="C207" t="str">
            <v>PRIMARY AIR FILTER ELEMENT</v>
          </cell>
          <cell r="D207">
            <v>244.2</v>
          </cell>
          <cell r="E207">
            <v>92.8</v>
          </cell>
          <cell r="F207" t="str">
            <v>Filter</v>
          </cell>
          <cell r="G207">
            <v>3</v>
          </cell>
          <cell r="H207">
            <v>3</v>
          </cell>
          <cell r="I207">
            <v>0</v>
          </cell>
          <cell r="J207">
            <v>3</v>
          </cell>
          <cell r="K207">
            <v>9</v>
          </cell>
        </row>
        <row r="208">
          <cell r="A208" t="str">
            <v>479-8991</v>
          </cell>
          <cell r="B208" t="str">
            <v xml:space="preserve">CAT 320 (HEX) CAT 320 (MYK) CAT 320 (MYK) (2)                                        </v>
          </cell>
          <cell r="C208" t="str">
            <v>SECONDARY AIR FILTER ELEMENT</v>
          </cell>
          <cell r="D208">
            <v>133.28</v>
          </cell>
          <cell r="E208">
            <v>50.65</v>
          </cell>
          <cell r="F208" t="str">
            <v>Filter</v>
          </cell>
          <cell r="G208">
            <v>3</v>
          </cell>
          <cell r="H208">
            <v>3</v>
          </cell>
          <cell r="I208">
            <v>0</v>
          </cell>
          <cell r="J208">
            <v>3</v>
          </cell>
          <cell r="K208">
            <v>9</v>
          </cell>
        </row>
        <row r="209">
          <cell r="A209" t="str">
            <v>484-8282</v>
          </cell>
          <cell r="B209" t="str">
            <v xml:space="preserve">CAT D6T (MH7)                                            </v>
          </cell>
          <cell r="C209" t="str">
            <v>RIPPER SHANK</v>
          </cell>
          <cell r="D209">
            <v>2061.73</v>
          </cell>
          <cell r="E209">
            <v>783.46</v>
          </cell>
          <cell r="F209" t="str">
            <v>GET</v>
          </cell>
          <cell r="G209">
            <v>3</v>
          </cell>
          <cell r="H209">
            <v>0</v>
          </cell>
          <cell r="I209">
            <v>0</v>
          </cell>
          <cell r="J209">
            <v>0</v>
          </cell>
          <cell r="K209">
            <v>3</v>
          </cell>
        </row>
        <row r="210">
          <cell r="A210" t="str">
            <v>487-8695</v>
          </cell>
          <cell r="B210" t="str">
            <v xml:space="preserve">CAT 336F L (RKB)                                            </v>
          </cell>
          <cell r="C210" t="str">
            <v>SINGLE FLANGE TRACK ROLLER</v>
          </cell>
          <cell r="D210">
            <v>987.95</v>
          </cell>
          <cell r="E210">
            <v>493.98</v>
          </cell>
          <cell r="F210" t="str">
            <v>UC</v>
          </cell>
          <cell r="G210">
            <v>18</v>
          </cell>
          <cell r="H210">
            <v>0</v>
          </cell>
          <cell r="I210">
            <v>0</v>
          </cell>
          <cell r="J210">
            <v>0</v>
          </cell>
          <cell r="K210">
            <v>18</v>
          </cell>
        </row>
        <row r="211">
          <cell r="A211" t="str">
            <v>488-6511</v>
          </cell>
          <cell r="B211" t="str">
            <v xml:space="preserve">CAT 320 (HEX) CAT 320 (MYK) CAT 320 (MYK) (2) CAT 330 (LHW) CAT 330 (LHW) (2) CAT 330 (LHW) (3) CAT 330 (LHW) (4) CAT 330 (WCH) CAT 330 (WCH) (2) CAT 330 (WCH) (3) CAT 330 (WCH) (4) CAT 330 (WCH) (5) CAT 330 (WCH) (6)                    </v>
          </cell>
          <cell r="C211" t="str">
            <v>SUSPENSION SEAT ASSEMBLY</v>
          </cell>
          <cell r="D211">
            <v>8493.36</v>
          </cell>
          <cell r="E211">
            <v>4246.68</v>
          </cell>
          <cell r="F211" t="str">
            <v>SEAT</v>
          </cell>
          <cell r="G211">
            <v>13</v>
          </cell>
          <cell r="H211">
            <v>0</v>
          </cell>
          <cell r="I211">
            <v>0</v>
          </cell>
          <cell r="J211">
            <v>0</v>
          </cell>
          <cell r="K211">
            <v>13</v>
          </cell>
        </row>
        <row r="212">
          <cell r="A212" t="str">
            <v>489-2731</v>
          </cell>
          <cell r="B212" t="str">
            <v xml:space="preserve">CAT D5 (3CR) CAT D5 (3CR) (2) CAT 561M (1KW) CAT 561N (CPH) CAT 561N (CPH) (2) CAT 561N (CPH) (3) CAT 561N (CPH) (4) CAT 561N (CPH) (5) CAT PL61 (WGS) CAT PL61 (WGS) (2) CAT PL61 (WGS) (3)                        </v>
          </cell>
          <cell r="C212" t="str">
            <v>CRANKSHAFT</v>
          </cell>
          <cell r="D212">
            <v>14944.09</v>
          </cell>
          <cell r="E212">
            <v>7472.05</v>
          </cell>
          <cell r="F212" t="str">
            <v>ENGINE</v>
          </cell>
          <cell r="G212">
            <v>11</v>
          </cell>
          <cell r="H212">
            <v>0</v>
          </cell>
          <cell r="I212">
            <v>0</v>
          </cell>
          <cell r="J212">
            <v>0</v>
          </cell>
          <cell r="K212">
            <v>11</v>
          </cell>
        </row>
        <row r="213">
          <cell r="A213" t="str">
            <v>489-6483</v>
          </cell>
          <cell r="B213" t="str">
            <v xml:space="preserve">CAT D6N LGP (GHS)                                            </v>
          </cell>
          <cell r="C213" t="str">
            <v>SEAT ASSEMBLY</v>
          </cell>
          <cell r="D213">
            <v>3921.14</v>
          </cell>
          <cell r="E213">
            <v>1960.57</v>
          </cell>
          <cell r="F213" t="str">
            <v>SEAT</v>
          </cell>
          <cell r="G213">
            <v>1</v>
          </cell>
          <cell r="H213">
            <v>0</v>
          </cell>
          <cell r="I213">
            <v>0</v>
          </cell>
          <cell r="J213">
            <v>0</v>
          </cell>
          <cell r="K213">
            <v>1</v>
          </cell>
        </row>
        <row r="214">
          <cell r="A214" t="str">
            <v>490-6505</v>
          </cell>
          <cell r="B214" t="str">
            <v xml:space="preserve">CAT D6 (RDC)                                            </v>
          </cell>
          <cell r="C214" t="str">
            <v>SPROCKET SEGMENT</v>
          </cell>
          <cell r="D214">
            <v>293.17</v>
          </cell>
          <cell r="E214">
            <v>146.59</v>
          </cell>
          <cell r="F214" t="str">
            <v>UC</v>
          </cell>
          <cell r="G214">
            <v>10</v>
          </cell>
          <cell r="H214">
            <v>0</v>
          </cell>
          <cell r="I214">
            <v>0</v>
          </cell>
          <cell r="J214">
            <v>0</v>
          </cell>
          <cell r="K214">
            <v>10</v>
          </cell>
        </row>
        <row r="215">
          <cell r="A215" t="str">
            <v>491-4518</v>
          </cell>
          <cell r="B215" t="str">
            <v xml:space="preserve">CAT D6 (RDC)                                            </v>
          </cell>
          <cell r="C215" t="str">
            <v>SPROCKET BOLT</v>
          </cell>
          <cell r="D215">
            <v>9.4700000000000006</v>
          </cell>
          <cell r="E215">
            <v>4.74</v>
          </cell>
          <cell r="F215" t="str">
            <v>UC</v>
          </cell>
          <cell r="G215">
            <v>50</v>
          </cell>
          <cell r="H215">
            <v>0</v>
          </cell>
          <cell r="I215">
            <v>0</v>
          </cell>
          <cell r="J215">
            <v>0</v>
          </cell>
          <cell r="K215">
            <v>50</v>
          </cell>
        </row>
        <row r="216">
          <cell r="A216" t="str">
            <v>491-6075</v>
          </cell>
          <cell r="B216" t="str">
            <v xml:space="preserve">CAT 330 (LHW) CAT 330 (LHW) (2) CAT 330 (LHW) (3) CAT 330 (LHW) (4)                                      </v>
          </cell>
          <cell r="C216" t="str">
            <v>HYDRAULIC OIL FILTER</v>
          </cell>
          <cell r="D216">
            <v>159.19999999999999</v>
          </cell>
          <cell r="E216">
            <v>60.5</v>
          </cell>
          <cell r="F216" t="str">
            <v>FILTER</v>
          </cell>
          <cell r="G216">
            <v>8</v>
          </cell>
          <cell r="H216">
            <v>4</v>
          </cell>
          <cell r="I216">
            <v>4</v>
          </cell>
          <cell r="J216">
            <v>4</v>
          </cell>
          <cell r="K216">
            <v>20</v>
          </cell>
        </row>
        <row r="217">
          <cell r="A217" t="str">
            <v>494-0057</v>
          </cell>
          <cell r="B217" t="str">
            <v xml:space="preserve">CAT 320F L (YBM) CAT 329E L (ZCD) CAT 330F L (MBX) CAT 330F L (HCK) CAT 330F L (HCK) (2) CAT 336F L (RKB)                                  </v>
          </cell>
          <cell r="C217" t="str">
            <v xml:space="preserve">OPERATOR SEAT ASSEMBLY </v>
          </cell>
          <cell r="D217">
            <v>4161.4399999999996</v>
          </cell>
          <cell r="E217">
            <v>2080.7199999999998</v>
          </cell>
          <cell r="F217" t="str">
            <v>SEAT</v>
          </cell>
          <cell r="G217">
            <v>6</v>
          </cell>
          <cell r="H217">
            <v>0</v>
          </cell>
          <cell r="I217">
            <v>0</v>
          </cell>
          <cell r="J217">
            <v>0</v>
          </cell>
          <cell r="K217">
            <v>6</v>
          </cell>
        </row>
        <row r="218">
          <cell r="A218" t="str">
            <v>496-9845</v>
          </cell>
          <cell r="B218" t="str">
            <v xml:space="preserve">CAT 330 (LHW) CAT 330 (LHW) (2) CAT 330 (LHW) (3) CAT 330 (LHW) (4) CAT 330 (WCH) CAT 330 (WCH) (2) CAT 330 (WCH) (3) CAT 330 (WCH) (4) CAT 330 (WCH) (5) CAT 330 (WCH) (6)                          </v>
          </cell>
          <cell r="C218" t="str">
            <v>PRIMARY AIR FILTER ELEMENT</v>
          </cell>
          <cell r="D218">
            <v>307.85000000000002</v>
          </cell>
          <cell r="E218">
            <v>116.98</v>
          </cell>
          <cell r="F218" t="str">
            <v>FILTER</v>
          </cell>
          <cell r="G218">
            <v>10</v>
          </cell>
          <cell r="H218">
            <v>10</v>
          </cell>
          <cell r="I218">
            <v>0</v>
          </cell>
          <cell r="J218">
            <v>10</v>
          </cell>
          <cell r="K218">
            <v>30</v>
          </cell>
        </row>
        <row r="219">
          <cell r="A219" t="str">
            <v>496-9846</v>
          </cell>
          <cell r="B219" t="str">
            <v xml:space="preserve">CAT 330 (LHW) CAT 330 (LHW) (2) CAT 330 (LHW) (3) CAT 330 (LHW) (4) CAT 330 (WCH) CAT 330 (WCH) (2) CAT 330 (WCH) (3) CAT 330 (WCH) (4) CAT 330 (WCH) (5) CAT 330 (WCH) (6)                          </v>
          </cell>
          <cell r="C219" t="str">
            <v>SECONDAY AIR FILTER ELEMENT</v>
          </cell>
          <cell r="D219">
            <v>137.38</v>
          </cell>
          <cell r="E219">
            <v>52.2</v>
          </cell>
          <cell r="F219" t="str">
            <v>FILTER</v>
          </cell>
          <cell r="G219">
            <v>10</v>
          </cell>
          <cell r="H219">
            <v>10</v>
          </cell>
          <cell r="I219">
            <v>0</v>
          </cell>
          <cell r="J219">
            <v>10</v>
          </cell>
          <cell r="K219">
            <v>30</v>
          </cell>
        </row>
        <row r="220">
          <cell r="A220" t="str">
            <v>499-9026</v>
          </cell>
          <cell r="B220" t="str">
            <v xml:space="preserve">CAT D3 (1PJ)                                            </v>
          </cell>
          <cell r="C220" t="str">
            <v>SINGLE FLANGE TRACK ROLLER</v>
          </cell>
          <cell r="D220">
            <v>579.6</v>
          </cell>
          <cell r="E220">
            <v>289.8</v>
          </cell>
          <cell r="F220" t="str">
            <v>UC</v>
          </cell>
          <cell r="G220">
            <v>12</v>
          </cell>
          <cell r="H220">
            <v>0</v>
          </cell>
          <cell r="I220">
            <v>0</v>
          </cell>
          <cell r="J220">
            <v>0</v>
          </cell>
          <cell r="K220">
            <v>12</v>
          </cell>
        </row>
        <row r="221">
          <cell r="A221" t="str">
            <v>499-9049</v>
          </cell>
          <cell r="B221" t="str">
            <v xml:space="preserve">CAT D3 (1PJ)                                            </v>
          </cell>
          <cell r="C221" t="str">
            <v>DOUBLE FLANGE TRACK ROLLER (GUIDE AR)*</v>
          </cell>
          <cell r="D221">
            <v>623.29</v>
          </cell>
          <cell r="E221">
            <v>311.64999999999998</v>
          </cell>
          <cell r="F221" t="str">
            <v>UC</v>
          </cell>
          <cell r="G221">
            <v>8</v>
          </cell>
          <cell r="H221">
            <v>0</v>
          </cell>
          <cell r="I221">
            <v>0</v>
          </cell>
          <cell r="J221">
            <v>0</v>
          </cell>
          <cell r="K221">
            <v>8</v>
          </cell>
        </row>
        <row r="222">
          <cell r="A222" t="str">
            <v>4K-0367</v>
          </cell>
          <cell r="B222" t="str">
            <v xml:space="preserve">CAT D3 (1PJ)                                            </v>
          </cell>
          <cell r="C222" t="str">
            <v>NUT</v>
          </cell>
          <cell r="D222">
            <v>2.44</v>
          </cell>
          <cell r="E222">
            <v>0.93</v>
          </cell>
          <cell r="F222" t="str">
            <v>GET</v>
          </cell>
          <cell r="G222">
            <v>18</v>
          </cell>
          <cell r="H222">
            <v>0</v>
          </cell>
          <cell r="I222">
            <v>0</v>
          </cell>
          <cell r="J222">
            <v>0</v>
          </cell>
          <cell r="K222">
            <v>18</v>
          </cell>
        </row>
        <row r="223">
          <cell r="A223" t="str">
            <v>4N-0313</v>
          </cell>
          <cell r="B223" t="str">
            <v xml:space="preserve">CAT D3 (1PJ)                                            </v>
          </cell>
          <cell r="C223" t="str">
            <v>SECONDARY AIR FILTER ELEMENT</v>
          </cell>
          <cell r="D223">
            <v>77.260000000000005</v>
          </cell>
          <cell r="E223">
            <v>29.36</v>
          </cell>
          <cell r="F223" t="str">
            <v>FILTER</v>
          </cell>
          <cell r="G223">
            <v>1</v>
          </cell>
          <cell r="H223">
            <v>1</v>
          </cell>
          <cell r="I223">
            <v>0</v>
          </cell>
          <cell r="J223">
            <v>1</v>
          </cell>
          <cell r="K223">
            <v>3</v>
          </cell>
        </row>
        <row r="224">
          <cell r="A224" t="str">
            <v>4N-0326</v>
          </cell>
          <cell r="B224" t="str">
            <v xml:space="preserve">CAT D3 (1PJ)                                            </v>
          </cell>
          <cell r="C224" t="str">
            <v>PRIMARY AIR FILTER ELEMENT</v>
          </cell>
          <cell r="D224">
            <v>91.61</v>
          </cell>
          <cell r="E224">
            <v>34.81</v>
          </cell>
          <cell r="F224" t="str">
            <v>FILTER</v>
          </cell>
          <cell r="G224">
            <v>1</v>
          </cell>
          <cell r="H224">
            <v>1</v>
          </cell>
          <cell r="I224">
            <v>0</v>
          </cell>
          <cell r="J224">
            <v>1</v>
          </cell>
          <cell r="K224">
            <v>3</v>
          </cell>
        </row>
        <row r="225">
          <cell r="A225" t="str">
            <v>4N-2955</v>
          </cell>
          <cell r="B225" t="str">
            <v xml:space="preserve">CAT D4 (66J)                                            </v>
          </cell>
          <cell r="C225" t="str">
            <v>SPROCKET BOLT</v>
          </cell>
          <cell r="D225">
            <v>5.71</v>
          </cell>
          <cell r="E225">
            <v>2.86</v>
          </cell>
          <cell r="F225" t="str">
            <v>UC</v>
          </cell>
          <cell r="G225">
            <v>12</v>
          </cell>
          <cell r="H225">
            <v>0</v>
          </cell>
          <cell r="I225">
            <v>0</v>
          </cell>
          <cell r="J225">
            <v>0</v>
          </cell>
          <cell r="K225">
            <v>12</v>
          </cell>
        </row>
        <row r="226">
          <cell r="A226" t="str">
            <v>4N7693</v>
          </cell>
          <cell r="B226" t="str">
            <v xml:space="preserve">CAT 561 (85H) CAT 561 (92J) CAT 561 (92J) (2)                                        </v>
          </cell>
          <cell r="C226" t="str">
            <v>CRANKSHAFT</v>
          </cell>
          <cell r="D226">
            <v>17553.38</v>
          </cell>
          <cell r="E226">
            <v>8776.69</v>
          </cell>
          <cell r="F226" t="str">
            <v>ENGINE</v>
          </cell>
          <cell r="G226">
            <v>3</v>
          </cell>
          <cell r="H226">
            <v>0</v>
          </cell>
          <cell r="I226">
            <v>0</v>
          </cell>
          <cell r="J226">
            <v>0</v>
          </cell>
          <cell r="K226">
            <v>3</v>
          </cell>
        </row>
        <row r="227">
          <cell r="A227" t="str">
            <v>4P-2942</v>
          </cell>
          <cell r="B227" t="str">
            <v xml:space="preserve">CAT 561 (85H) CAT 561 (92J) CAT 561 (92J) (2)                                        </v>
          </cell>
          <cell r="C227" t="str">
            <v>CAMSHAFT</v>
          </cell>
          <cell r="D227">
            <v>4894.33</v>
          </cell>
          <cell r="E227">
            <v>2447.17</v>
          </cell>
          <cell r="F227" t="str">
            <v>ENGINE</v>
          </cell>
          <cell r="G227">
            <v>3</v>
          </cell>
          <cell r="H227">
            <v>0</v>
          </cell>
          <cell r="I227">
            <v>0</v>
          </cell>
          <cell r="J227">
            <v>0</v>
          </cell>
          <cell r="K227">
            <v>3</v>
          </cell>
        </row>
        <row r="228">
          <cell r="A228" t="str">
            <v>4S9051 </v>
          </cell>
          <cell r="B228" t="str">
            <v xml:space="preserve">CAT D7G (92V) CAT D7G (3ZD) CAT D7G (3ZD) (2)                                        </v>
          </cell>
          <cell r="C228" t="str">
            <v>SINGLE FLANGE ROLLER</v>
          </cell>
          <cell r="D228">
            <v>1122.06</v>
          </cell>
          <cell r="E228">
            <v>561.03</v>
          </cell>
          <cell r="F228" t="str">
            <v>UC</v>
          </cell>
          <cell r="G228">
            <v>36</v>
          </cell>
          <cell r="H228">
            <v>0</v>
          </cell>
          <cell r="I228">
            <v>0</v>
          </cell>
          <cell r="J228">
            <v>0</v>
          </cell>
          <cell r="K228">
            <v>36</v>
          </cell>
        </row>
        <row r="229">
          <cell r="A229" t="str">
            <v>4T-2315</v>
          </cell>
          <cell r="B229" t="str">
            <v xml:space="preserve">CAT D6N LGP (GHS) CAT D6N LGP (PBA) CAT D6N LGP (PBA) (2) CAT D6N LGP (SGG) CAT D6N LGP (SGG) (2)                                    </v>
          </cell>
          <cell r="C229" t="str">
            <v>CUTTING EDGE</v>
          </cell>
          <cell r="D229">
            <v>435.33</v>
          </cell>
          <cell r="E229">
            <v>165.43</v>
          </cell>
          <cell r="F229" t="str">
            <v>GET</v>
          </cell>
          <cell r="G229">
            <v>10</v>
          </cell>
          <cell r="H229">
            <v>0</v>
          </cell>
          <cell r="I229">
            <v>0</v>
          </cell>
          <cell r="J229">
            <v>0</v>
          </cell>
          <cell r="K229">
            <v>10</v>
          </cell>
        </row>
        <row r="230">
          <cell r="A230" t="str">
            <v>4T-3132</v>
          </cell>
          <cell r="B230" t="str">
            <v xml:space="preserve">CAT D7G (92V) CAT D7G (3ZD) CAT D7G (3ZD) (2)                                        </v>
          </cell>
          <cell r="C230" t="str">
            <v>HYDRAULIC OIL FILTER ELEMENT</v>
          </cell>
          <cell r="D230">
            <v>131.11000000000001</v>
          </cell>
          <cell r="E230">
            <v>49.82</v>
          </cell>
          <cell r="F230" t="str">
            <v>FILTER</v>
          </cell>
          <cell r="G230">
            <v>6</v>
          </cell>
          <cell r="H230">
            <v>3</v>
          </cell>
          <cell r="I230">
            <v>3</v>
          </cell>
          <cell r="J230">
            <v>3</v>
          </cell>
          <cell r="K230">
            <v>15</v>
          </cell>
        </row>
        <row r="231">
          <cell r="A231" t="str">
            <v>4T-5407</v>
          </cell>
          <cell r="B231" t="str">
            <v xml:space="preserve">CAT D5 (3CR) CAT D5 (3CR) (2)                                          </v>
          </cell>
          <cell r="C231" t="str">
            <v>END BIT RH</v>
          </cell>
          <cell r="D231">
            <v>273.04000000000002</v>
          </cell>
          <cell r="E231">
            <v>103.76</v>
          </cell>
          <cell r="F231" t="str">
            <v>GET</v>
          </cell>
          <cell r="G231">
            <v>2</v>
          </cell>
          <cell r="H231">
            <v>0</v>
          </cell>
          <cell r="I231">
            <v>0</v>
          </cell>
          <cell r="J231">
            <v>0</v>
          </cell>
          <cell r="K231">
            <v>2</v>
          </cell>
        </row>
        <row r="232">
          <cell r="A232" t="str">
            <v>4T-5408</v>
          </cell>
          <cell r="B232" t="str">
            <v xml:space="preserve">CAT D5 (3CR) CAT D5 (3CR) (2)                                          </v>
          </cell>
          <cell r="C232" t="str">
            <v>END BIT LH</v>
          </cell>
          <cell r="D232">
            <v>273.04000000000002</v>
          </cell>
          <cell r="E232">
            <v>103.76</v>
          </cell>
          <cell r="F232" t="str">
            <v>GET</v>
          </cell>
          <cell r="G232">
            <v>2</v>
          </cell>
          <cell r="H232">
            <v>0</v>
          </cell>
          <cell r="I232">
            <v>0</v>
          </cell>
          <cell r="J232">
            <v>0</v>
          </cell>
          <cell r="K232">
            <v>2</v>
          </cell>
        </row>
        <row r="233">
          <cell r="A233" t="str">
            <v>4T-6229</v>
          </cell>
          <cell r="B233" t="str">
            <v xml:space="preserve">CAT D3 (1PJ)                                            </v>
          </cell>
          <cell r="C233" t="str">
            <v>END BIT</v>
          </cell>
          <cell r="D233">
            <v>73.28</v>
          </cell>
          <cell r="E233">
            <v>27.85</v>
          </cell>
          <cell r="F233" t="str">
            <v>GET</v>
          </cell>
          <cell r="G233">
            <v>2</v>
          </cell>
          <cell r="H233">
            <v>0</v>
          </cell>
          <cell r="I233">
            <v>0</v>
          </cell>
          <cell r="J233">
            <v>0</v>
          </cell>
          <cell r="K233">
            <v>2</v>
          </cell>
        </row>
        <row r="234">
          <cell r="A234" t="str">
            <v>4T-6230</v>
          </cell>
          <cell r="B234" t="str">
            <v xml:space="preserve">CAT D3 (1PJ)                                            </v>
          </cell>
          <cell r="C234" t="str">
            <v>CUTTING EDGE</v>
          </cell>
          <cell r="D234">
            <v>195.02</v>
          </cell>
          <cell r="E234">
            <v>74.11</v>
          </cell>
          <cell r="F234" t="str">
            <v>GET</v>
          </cell>
          <cell r="G234">
            <v>2</v>
          </cell>
          <cell r="H234">
            <v>0</v>
          </cell>
          <cell r="I234">
            <v>0</v>
          </cell>
          <cell r="J234">
            <v>0</v>
          </cell>
          <cell r="K234">
            <v>2</v>
          </cell>
        </row>
        <row r="235">
          <cell r="A235" t="str">
            <v>4T-8940</v>
          </cell>
          <cell r="B235" t="str">
            <v xml:space="preserve">CAT D5 (3CR) CAT D5 (3CR) (2)                                          </v>
          </cell>
          <cell r="C235" t="str">
            <v>CUTTING EDGE</v>
          </cell>
          <cell r="D235">
            <v>296.41000000000003</v>
          </cell>
          <cell r="E235">
            <v>112.64</v>
          </cell>
          <cell r="F235" t="str">
            <v>GET</v>
          </cell>
          <cell r="G235">
            <v>4</v>
          </cell>
          <cell r="H235">
            <v>0</v>
          </cell>
          <cell r="I235">
            <v>0</v>
          </cell>
          <cell r="J235">
            <v>0</v>
          </cell>
          <cell r="K235">
            <v>4</v>
          </cell>
        </row>
        <row r="236">
          <cell r="A236" t="str">
            <v>4V-4106</v>
          </cell>
          <cell r="B236" t="str">
            <v xml:space="preserve">CAT D4 (66J)                                            </v>
          </cell>
          <cell r="C236" t="str">
            <v>SPROCKET SEGMENT</v>
          </cell>
          <cell r="D236">
            <v>1870.5</v>
          </cell>
          <cell r="E236">
            <v>935.25</v>
          </cell>
          <cell r="F236" t="str">
            <v>UC</v>
          </cell>
          <cell r="G236">
            <v>2</v>
          </cell>
          <cell r="H236">
            <v>0</v>
          </cell>
          <cell r="I236">
            <v>0</v>
          </cell>
          <cell r="J236">
            <v>0</v>
          </cell>
          <cell r="K236">
            <v>2</v>
          </cell>
        </row>
        <row r="237">
          <cell r="A237" t="str">
            <v>500-0483</v>
          </cell>
          <cell r="B237" t="str">
            <v xml:space="preserve">CAT 561N (CPH) CAT 561N (CPH) (2) CAT 561N (CPH) (3) CAT 561N (CPH) (4) CAT 561N (CPH) (5) CAT PL61 (WGS) CAT PL61 (WGS) (2) CAT PL61 (WGS) (3)                              </v>
          </cell>
          <cell r="C237" t="str">
            <v>ENGINE OIL FILTER</v>
          </cell>
          <cell r="D237">
            <v>78</v>
          </cell>
          <cell r="E237">
            <v>29.64</v>
          </cell>
          <cell r="F237" t="str">
            <v>FILTER</v>
          </cell>
          <cell r="G237">
            <v>16</v>
          </cell>
          <cell r="H237">
            <v>8</v>
          </cell>
          <cell r="I237">
            <v>8</v>
          </cell>
          <cell r="J237">
            <v>8</v>
          </cell>
          <cell r="K237">
            <v>40</v>
          </cell>
        </row>
        <row r="238">
          <cell r="A238" t="str">
            <v>500-0957</v>
          </cell>
          <cell r="B238" t="str">
            <v xml:space="preserve">CAT 320 (HEX) CAT 320 (MYK) CAT 320 (MYK) (2) CAT 330 (LHW) CAT 330 (LHW) (2) CAT 330 (LHW) (3) CAT 330 (LHW) (4) CAT 330 (WCH) CAT 330 (WCH) (2) CAT 330 (WCH) (3) CAT 330 (WCH) (4) CAT 330 (WCH) (5) CAT 330 (WCH) (6)                    </v>
          </cell>
          <cell r="C238" t="str">
            <v xml:space="preserve">CABIN AIR FILTER ELEMENT </v>
          </cell>
          <cell r="D238">
            <v>87.85</v>
          </cell>
          <cell r="E238">
            <v>33.380000000000003</v>
          </cell>
          <cell r="F238" t="str">
            <v>Filter</v>
          </cell>
          <cell r="G238">
            <v>13</v>
          </cell>
          <cell r="H238">
            <v>13</v>
          </cell>
          <cell r="I238">
            <v>0</v>
          </cell>
          <cell r="J238">
            <v>13</v>
          </cell>
          <cell r="K238">
            <v>39</v>
          </cell>
        </row>
        <row r="239">
          <cell r="A239" t="str">
            <v>503-1353</v>
          </cell>
          <cell r="B239" t="str">
            <v xml:space="preserve">CAT 329E L (ZCD) CAT 329F L (ERL) CAT 329F L (ERL) (2) CAT 330F L (MBX) CAT 330F L (HCK) CAT 330F L (HCK) (2) CAT 330 (LHW) CAT 330 (LHW) (2) CAT 330 (LHW) (3) CAT 330 (LHW) (4) CAT 330 (WCH) CAT 330 (WCH) (2) CAT 330 (WCH) (3) CAT 330 (WCH) (4) CAT 330 (WCH) (5) CAT 330 (WCH) (6)              </v>
          </cell>
          <cell r="C239" t="str">
            <v>SINGLE FLANGE TRACK ROLLER</v>
          </cell>
          <cell r="D239">
            <v>862.15</v>
          </cell>
          <cell r="E239">
            <v>431.08</v>
          </cell>
          <cell r="F239" t="str">
            <v>UC</v>
          </cell>
          <cell r="G239">
            <v>288</v>
          </cell>
          <cell r="H239">
            <v>0</v>
          </cell>
          <cell r="I239">
            <v>0</v>
          </cell>
          <cell r="J239">
            <v>0</v>
          </cell>
          <cell r="K239">
            <v>288</v>
          </cell>
        </row>
        <row r="240">
          <cell r="A240" t="str">
            <v>504-5774</v>
          </cell>
          <cell r="B240" t="str">
            <v xml:space="preserve">CAT D6 (RDC)                                            </v>
          </cell>
          <cell r="C240" t="str">
            <v>HEX NUT</v>
          </cell>
          <cell r="D240">
            <v>10.44</v>
          </cell>
          <cell r="E240">
            <v>5.22</v>
          </cell>
          <cell r="F240" t="str">
            <v>UC</v>
          </cell>
          <cell r="G240">
            <v>50</v>
          </cell>
          <cell r="H240">
            <v>0</v>
          </cell>
          <cell r="I240">
            <v>0</v>
          </cell>
          <cell r="J240">
            <v>0</v>
          </cell>
          <cell r="K240">
            <v>50</v>
          </cell>
        </row>
        <row r="241">
          <cell r="A241" t="str">
            <v>509-5694</v>
          </cell>
          <cell r="B241" t="str">
            <v xml:space="preserve">CAT 320 (HEX) CAT 320 (MYK) CAT 320 (MYK) (2) CAT 330 (LHW) CAT 330 (LHW) (2) CAT 330 (LHW) (3) CAT 330 (LHW) (4) CAT 330 (WCH) CAT 330 (WCH) (2) CAT 330 (WCH) (3) CAT 330 (WCH) (4) CAT 330 (WCH) (5) CAT 330 (WCH) (6)                    </v>
          </cell>
          <cell r="C241" t="str">
            <v>SECONDARY FUEL FILTER ELEMENT</v>
          </cell>
          <cell r="D241">
            <v>66.94</v>
          </cell>
          <cell r="E241">
            <v>25.44</v>
          </cell>
          <cell r="F241" t="str">
            <v>Filter</v>
          </cell>
          <cell r="G241">
            <v>26</v>
          </cell>
          <cell r="H241">
            <v>13</v>
          </cell>
          <cell r="I241">
            <v>13</v>
          </cell>
          <cell r="J241">
            <v>13</v>
          </cell>
          <cell r="K241">
            <v>65</v>
          </cell>
        </row>
        <row r="242">
          <cell r="A242" t="str">
            <v>513-4490</v>
          </cell>
          <cell r="B242" t="str">
            <v xml:space="preserve">CAT D7G (92V) CAT D7G (3ZD) CAT D7G (3ZD) (2)                                        </v>
          </cell>
          <cell r="C242" t="str">
            <v>FUEL WATER SEPARATOR FILTER</v>
          </cell>
          <cell r="D242">
            <v>104</v>
          </cell>
          <cell r="E242">
            <v>39.520000000000003</v>
          </cell>
          <cell r="F242" t="str">
            <v>FILTER</v>
          </cell>
          <cell r="G242">
            <v>9</v>
          </cell>
          <cell r="H242">
            <v>6</v>
          </cell>
          <cell r="I242">
            <v>9</v>
          </cell>
          <cell r="J242">
            <v>6</v>
          </cell>
          <cell r="K242">
            <v>30</v>
          </cell>
        </row>
        <row r="243">
          <cell r="A243" t="str">
            <v>517-2065</v>
          </cell>
          <cell r="B243" t="str">
            <v xml:space="preserve">CAT 330 (LHW) CAT 330 (LHW) (2) CAT 330 (LHW) (3) CAT 330 (LHW) (4) CAT 330 (WCH) CAT 330 (WCH) (2) CAT 330 (WCH) (3) CAT 330 (WCH) (4) CAT 330 (WCH) (5) CAT 330 (WCH) (6)                          </v>
          </cell>
          <cell r="C243" t="str">
            <v>TRACK SHOE 800MM</v>
          </cell>
          <cell r="D243">
            <v>230.91</v>
          </cell>
          <cell r="E243">
            <v>115.46</v>
          </cell>
          <cell r="F243" t="str">
            <v>UC</v>
          </cell>
          <cell r="G243">
            <v>1000</v>
          </cell>
          <cell r="H243">
            <v>0</v>
          </cell>
          <cell r="I243">
            <v>0</v>
          </cell>
          <cell r="J243">
            <v>0</v>
          </cell>
          <cell r="K243">
            <v>1000</v>
          </cell>
        </row>
        <row r="244">
          <cell r="A244" t="str">
            <v>520-7951</v>
          </cell>
          <cell r="B244" t="str">
            <v xml:space="preserve">CAT 336F L (RKB)                                            </v>
          </cell>
          <cell r="C244" t="str">
            <v>SPROCKET BOLT</v>
          </cell>
          <cell r="D244">
            <v>22.52</v>
          </cell>
          <cell r="E244">
            <v>11.26</v>
          </cell>
          <cell r="F244" t="str">
            <v>UC</v>
          </cell>
          <cell r="G244">
            <v>32</v>
          </cell>
          <cell r="H244">
            <v>0</v>
          </cell>
          <cell r="I244">
            <v>0</v>
          </cell>
          <cell r="J244">
            <v>0</v>
          </cell>
          <cell r="K244">
            <v>32</v>
          </cell>
        </row>
        <row r="245">
          <cell r="A245" t="str">
            <v>523-4987</v>
          </cell>
          <cell r="B245" t="str">
            <v xml:space="preserve">CAT 320 (HEX) CAT 320 (MYK) CAT 320 (MYK) (2) CAT 330 (LHW) CAT 330 (LHW) (2) CAT 330 (LHW) (3) CAT 330 (LHW) (4) CAT 330 (WCH) CAT 330 (WCH) (2) CAT 330 (WCH) (3) CAT 330 (WCH) (4) CAT 330 (WCH) (5) CAT 330 (WCH) (6)                    </v>
          </cell>
          <cell r="C245" t="str">
            <v>FUEL WATER SEPARATOR ELEMENT</v>
          </cell>
          <cell r="D245">
            <v>95.91</v>
          </cell>
          <cell r="E245">
            <v>36.450000000000003</v>
          </cell>
          <cell r="F245" t="str">
            <v>Filter</v>
          </cell>
          <cell r="G245">
            <v>39</v>
          </cell>
          <cell r="H245">
            <v>26</v>
          </cell>
          <cell r="I245">
            <v>39</v>
          </cell>
          <cell r="J245">
            <v>26</v>
          </cell>
          <cell r="K245">
            <v>130</v>
          </cell>
        </row>
        <row r="246">
          <cell r="A246" t="str">
            <v>525-6205</v>
          </cell>
          <cell r="B246" t="str">
            <v xml:space="preserve">CAT D6N LGP (SGG) CAT D6N LGP (SGG) (2)                                          </v>
          </cell>
          <cell r="C246" t="str">
            <v>IN-LINE FUEL FILTER</v>
          </cell>
          <cell r="D246">
            <v>81.27</v>
          </cell>
          <cell r="E246">
            <v>30.88</v>
          </cell>
          <cell r="F246" t="str">
            <v>FILTER</v>
          </cell>
          <cell r="G246">
            <v>4</v>
          </cell>
          <cell r="H246">
            <v>2</v>
          </cell>
          <cell r="I246">
            <v>2</v>
          </cell>
          <cell r="J246">
            <v>2</v>
          </cell>
          <cell r="K246">
            <v>10</v>
          </cell>
        </row>
        <row r="247">
          <cell r="A247" t="str">
            <v>526-7416</v>
          </cell>
          <cell r="B247" t="str">
            <v xml:space="preserve">CAT 561N (CPH) CAT 561N (CPH) (2) CAT 561N (CPH) (3) CAT 561N (CPH) (4) CAT 561N (CPH) (5)                                    </v>
          </cell>
          <cell r="C247" t="str">
            <v>SEAT ASSY</v>
          </cell>
          <cell r="D247">
            <v>2482.65</v>
          </cell>
          <cell r="E247">
            <v>1241.33</v>
          </cell>
          <cell r="F247" t="str">
            <v>SEAT</v>
          </cell>
          <cell r="G247">
            <v>5</v>
          </cell>
          <cell r="H247">
            <v>0</v>
          </cell>
          <cell r="I247">
            <v>0</v>
          </cell>
          <cell r="J247">
            <v>0</v>
          </cell>
          <cell r="K247">
            <v>5</v>
          </cell>
        </row>
        <row r="248">
          <cell r="A248" t="str">
            <v>528-7222</v>
          </cell>
          <cell r="B248" t="str">
            <v xml:space="preserve">CAT D6N LGP (SGG) CAT D6N LGP (SGG) (2)                                          </v>
          </cell>
          <cell r="C248" t="str">
            <v>PRIMARY AIR FILTER ELEMENT</v>
          </cell>
          <cell r="D248">
            <v>136.4</v>
          </cell>
          <cell r="E248">
            <v>51.83</v>
          </cell>
          <cell r="F248" t="str">
            <v>FILTER</v>
          </cell>
          <cell r="G248">
            <v>2</v>
          </cell>
          <cell r="H248">
            <v>2</v>
          </cell>
          <cell r="I248">
            <v>0</v>
          </cell>
          <cell r="J248">
            <v>2</v>
          </cell>
          <cell r="K248">
            <v>6</v>
          </cell>
        </row>
        <row r="249">
          <cell r="A249" t="str">
            <v>529-0132</v>
          </cell>
          <cell r="B249" t="str">
            <v xml:space="preserve">CAT D6N LGP (SGG) CAT D6N LGP (SGG) (2)                                          </v>
          </cell>
          <cell r="C249" t="str">
            <v>SECONDARY AIR FILTER ELEMENT</v>
          </cell>
          <cell r="D249">
            <v>103.4</v>
          </cell>
          <cell r="E249">
            <v>39.29</v>
          </cell>
          <cell r="F249" t="str">
            <v>FILTER</v>
          </cell>
          <cell r="G249">
            <v>2</v>
          </cell>
          <cell r="H249">
            <v>2</v>
          </cell>
          <cell r="I249">
            <v>0</v>
          </cell>
          <cell r="J249">
            <v>2</v>
          </cell>
          <cell r="K249">
            <v>6</v>
          </cell>
        </row>
        <row r="250">
          <cell r="A250" t="str">
            <v>533-5536</v>
          </cell>
          <cell r="B250" t="str">
            <v xml:space="preserve">CAT D3 (1PJ)                                            </v>
          </cell>
          <cell r="C250" t="str">
            <v>TRACK IDLER AND BEARING ASSY</v>
          </cell>
          <cell r="D250">
            <v>1859.1</v>
          </cell>
          <cell r="E250">
            <v>929.55</v>
          </cell>
          <cell r="F250" t="str">
            <v>UC</v>
          </cell>
          <cell r="G250">
            <v>2</v>
          </cell>
          <cell r="H250">
            <v>0</v>
          </cell>
          <cell r="I250">
            <v>0</v>
          </cell>
          <cell r="J250">
            <v>0</v>
          </cell>
          <cell r="K250">
            <v>2</v>
          </cell>
        </row>
        <row r="251">
          <cell r="A251" t="str">
            <v>539-6920</v>
          </cell>
          <cell r="B251" t="str">
            <v xml:space="preserve">CAT D6N LGP (PBA) CAT D6N LGP (PBA) (2)                                          </v>
          </cell>
          <cell r="C251" t="str">
            <v>PRIMARY AIR FILTER ELEMENT</v>
          </cell>
          <cell r="D251">
            <v>225.94</v>
          </cell>
          <cell r="E251">
            <v>85.86</v>
          </cell>
          <cell r="F251" t="str">
            <v>FILTER</v>
          </cell>
          <cell r="G251">
            <v>2</v>
          </cell>
          <cell r="H251">
            <v>2</v>
          </cell>
          <cell r="I251">
            <v>0</v>
          </cell>
          <cell r="J251">
            <v>2</v>
          </cell>
          <cell r="K251">
            <v>6</v>
          </cell>
        </row>
        <row r="252">
          <cell r="A252" t="str">
            <v>540-3825</v>
          </cell>
          <cell r="B252" t="str">
            <v xml:space="preserve">CAT D6T (MH7)                                            </v>
          </cell>
          <cell r="C252" t="str">
            <v>TRACK SHOE RH - 790MM - OFFSET</v>
          </cell>
          <cell r="D252">
            <v>223.22</v>
          </cell>
          <cell r="E252">
            <v>111.61</v>
          </cell>
          <cell r="F252" t="str">
            <v>UC</v>
          </cell>
          <cell r="G252">
            <v>44</v>
          </cell>
          <cell r="H252">
            <v>0</v>
          </cell>
          <cell r="I252">
            <v>0</v>
          </cell>
          <cell r="J252">
            <v>0</v>
          </cell>
          <cell r="K252">
            <v>44</v>
          </cell>
        </row>
        <row r="253">
          <cell r="A253" t="str">
            <v>540-3826</v>
          </cell>
          <cell r="B253" t="str">
            <v xml:space="preserve">CAT D6T (MH7)                                            </v>
          </cell>
          <cell r="C253" t="str">
            <v>TRACK SHOE MASTER RH</v>
          </cell>
          <cell r="D253">
            <v>242.72</v>
          </cell>
          <cell r="E253">
            <v>121.36</v>
          </cell>
          <cell r="F253" t="str">
            <v>UC</v>
          </cell>
          <cell r="G253">
            <v>1</v>
          </cell>
          <cell r="H253">
            <v>0</v>
          </cell>
          <cell r="I253">
            <v>0</v>
          </cell>
          <cell r="J253">
            <v>0</v>
          </cell>
          <cell r="K253">
            <v>1</v>
          </cell>
        </row>
        <row r="254">
          <cell r="A254" t="str">
            <v>540-3827</v>
          </cell>
          <cell r="B254" t="str">
            <v xml:space="preserve">CAT D6T (MH7)                                            </v>
          </cell>
          <cell r="C254" t="str">
            <v>TRACK SHOE LH - 790MM - OFFSET</v>
          </cell>
          <cell r="D254">
            <v>223.22</v>
          </cell>
          <cell r="E254">
            <v>111.61</v>
          </cell>
          <cell r="F254" t="str">
            <v>UC</v>
          </cell>
          <cell r="G254">
            <v>44</v>
          </cell>
          <cell r="H254">
            <v>0</v>
          </cell>
          <cell r="I254">
            <v>0</v>
          </cell>
          <cell r="J254">
            <v>0</v>
          </cell>
          <cell r="K254">
            <v>44</v>
          </cell>
        </row>
        <row r="255">
          <cell r="A255" t="str">
            <v>540-3828</v>
          </cell>
          <cell r="B255" t="str">
            <v xml:space="preserve">CAT D6T (MH7)                                            </v>
          </cell>
          <cell r="C255" t="str">
            <v>TRACK SHOE MASTER LH</v>
          </cell>
          <cell r="D255">
            <v>235.62</v>
          </cell>
          <cell r="E255">
            <v>117.81</v>
          </cell>
          <cell r="F255" t="str">
            <v>UC</v>
          </cell>
          <cell r="G255">
            <v>1</v>
          </cell>
          <cell r="H255">
            <v>0</v>
          </cell>
          <cell r="I255">
            <v>0</v>
          </cell>
          <cell r="J255">
            <v>0</v>
          </cell>
          <cell r="K255">
            <v>1</v>
          </cell>
        </row>
        <row r="256">
          <cell r="A256" t="str">
            <v>541-4630</v>
          </cell>
          <cell r="B256" t="str">
            <v xml:space="preserve">CAT D4 (66J) CAT D6N LGP (GHS) CAT D6N LGP (SGG) CAT D6N LGP (SGG) (2)                                      </v>
          </cell>
          <cell r="C256" t="str">
            <v>TRACK LINK ASSEMBLY</v>
          </cell>
          <cell r="D256">
            <v>13503.77</v>
          </cell>
          <cell r="E256">
            <v>6751.89</v>
          </cell>
          <cell r="F256" t="str">
            <v>UC</v>
          </cell>
          <cell r="G256">
            <v>8</v>
          </cell>
          <cell r="H256">
            <v>0</v>
          </cell>
          <cell r="I256">
            <v>0</v>
          </cell>
          <cell r="J256">
            <v>0</v>
          </cell>
          <cell r="K256">
            <v>8</v>
          </cell>
        </row>
        <row r="257">
          <cell r="A257" t="str">
            <v>545-8339</v>
          </cell>
          <cell r="B257" t="str">
            <v xml:space="preserve">CAT D6 (RDC)                                            </v>
          </cell>
          <cell r="C257" t="str">
            <v>CABIN AIR FILTER ELEMENT</v>
          </cell>
          <cell r="D257">
            <v>143.80000000000001</v>
          </cell>
          <cell r="E257">
            <v>54.64</v>
          </cell>
          <cell r="F257" t="str">
            <v>FILTER</v>
          </cell>
          <cell r="G257">
            <v>1</v>
          </cell>
          <cell r="H257">
            <v>1</v>
          </cell>
          <cell r="I257">
            <v>0</v>
          </cell>
          <cell r="J257">
            <v>1</v>
          </cell>
          <cell r="K257">
            <v>3</v>
          </cell>
        </row>
        <row r="258">
          <cell r="A258" t="str">
            <v>551-2067</v>
          </cell>
          <cell r="B258" t="str">
            <v xml:space="preserve">CAT D7G (92V) CAT D7G (3ZD) CAT D7G (3ZD) (2)                                        </v>
          </cell>
          <cell r="C258" t="str">
            <v>DUAL FLANGE ROLLER</v>
          </cell>
          <cell r="D258">
            <v>1169.26</v>
          </cell>
          <cell r="E258">
            <v>584.63</v>
          </cell>
          <cell r="F258" t="str">
            <v>UC</v>
          </cell>
          <cell r="G258">
            <v>36</v>
          </cell>
          <cell r="H258">
            <v>0</v>
          </cell>
          <cell r="I258">
            <v>0</v>
          </cell>
          <cell r="J258">
            <v>0</v>
          </cell>
          <cell r="K258">
            <v>36</v>
          </cell>
        </row>
        <row r="259">
          <cell r="A259" t="str">
            <v>553-8167</v>
          </cell>
          <cell r="B259" t="str">
            <v xml:space="preserve">CAT D3 (1PJ)                                            </v>
          </cell>
          <cell r="C259" t="str">
            <v>FUEL INJECTOR</v>
          </cell>
          <cell r="D259">
            <v>1132.93</v>
          </cell>
          <cell r="E259">
            <v>566.47</v>
          </cell>
          <cell r="F259" t="str">
            <v>ENGINE</v>
          </cell>
          <cell r="G259">
            <v>4</v>
          </cell>
          <cell r="H259">
            <v>0</v>
          </cell>
          <cell r="I259">
            <v>0</v>
          </cell>
          <cell r="J259">
            <v>0</v>
          </cell>
          <cell r="K259">
            <v>4</v>
          </cell>
        </row>
        <row r="260">
          <cell r="A260" t="str">
            <v>561-1069</v>
          </cell>
          <cell r="B260" t="str">
            <v xml:space="preserve">CAT D6N LGP (PBA) CAT D6N LGP (PBA) (2)                                          </v>
          </cell>
          <cell r="C260" t="str">
            <v xml:space="preserve">TRACK LINK ASSEMBLY </v>
          </cell>
          <cell r="D260">
            <v>17735.5</v>
          </cell>
          <cell r="E260">
            <v>8867.75</v>
          </cell>
          <cell r="F260" t="str">
            <v>UC</v>
          </cell>
          <cell r="G260">
            <v>4</v>
          </cell>
          <cell r="H260">
            <v>0</v>
          </cell>
          <cell r="I260">
            <v>0</v>
          </cell>
          <cell r="J260">
            <v>0</v>
          </cell>
          <cell r="K260">
            <v>4</v>
          </cell>
        </row>
        <row r="261">
          <cell r="A261" t="str">
            <v>565-4423</v>
          </cell>
          <cell r="B261" t="str">
            <v xml:space="preserve">CAT D6T (MH7)                                            </v>
          </cell>
          <cell r="C261" t="str">
            <v>TRACK LINK ASSEMBLY</v>
          </cell>
          <cell r="D261">
            <v>15772.81</v>
          </cell>
          <cell r="E261">
            <v>7886.41</v>
          </cell>
          <cell r="F261" t="str">
            <v>UC</v>
          </cell>
          <cell r="G261">
            <v>2</v>
          </cell>
          <cell r="H261">
            <v>0</v>
          </cell>
          <cell r="I261">
            <v>0</v>
          </cell>
          <cell r="J261">
            <v>0</v>
          </cell>
          <cell r="K261">
            <v>2</v>
          </cell>
        </row>
        <row r="262">
          <cell r="A262" t="str">
            <v>566-2975</v>
          </cell>
          <cell r="B262" t="str">
            <v xml:space="preserve">CAT 303.5E                                            </v>
          </cell>
          <cell r="C262" t="str">
            <v>RUBBER TRACKS</v>
          </cell>
          <cell r="D262">
            <v>2467.27</v>
          </cell>
          <cell r="E262">
            <v>1233.6400000000001</v>
          </cell>
          <cell r="F262" t="str">
            <v>UC</v>
          </cell>
          <cell r="G262">
            <v>2</v>
          </cell>
          <cell r="H262">
            <v>0</v>
          </cell>
          <cell r="I262">
            <v>0</v>
          </cell>
          <cell r="J262">
            <v>0</v>
          </cell>
          <cell r="K262">
            <v>2</v>
          </cell>
        </row>
        <row r="263">
          <cell r="A263" t="str">
            <v>566-8180</v>
          </cell>
          <cell r="B263" t="str">
            <v xml:space="preserve">CAT 320 (MYK) CAT 320 (MYK) (2)                                          </v>
          </cell>
          <cell r="C263" t="str">
            <v>SECONDARY TURBOCHARGER ASSEMBLY</v>
          </cell>
          <cell r="D263">
            <v>3756.87</v>
          </cell>
          <cell r="E263">
            <v>1878.44</v>
          </cell>
          <cell r="F263" t="str">
            <v>ENGINE</v>
          </cell>
          <cell r="G263">
            <v>2</v>
          </cell>
          <cell r="H263">
            <v>0</v>
          </cell>
          <cell r="I263">
            <v>0</v>
          </cell>
          <cell r="J263">
            <v>0</v>
          </cell>
          <cell r="K263">
            <v>2</v>
          </cell>
        </row>
        <row r="264">
          <cell r="A264" t="str">
            <v>569-6097</v>
          </cell>
          <cell r="B264" t="str">
            <v xml:space="preserve">CAT D6N LGP (GHS)                                            </v>
          </cell>
          <cell r="C264" t="str">
            <v>TURBOCHARGER ASSEMBLY</v>
          </cell>
          <cell r="D264">
            <v>6551.41</v>
          </cell>
          <cell r="E264">
            <v>3275.71</v>
          </cell>
          <cell r="F264" t="str">
            <v>ENGINE</v>
          </cell>
          <cell r="G264">
            <v>1</v>
          </cell>
          <cell r="H264">
            <v>0</v>
          </cell>
          <cell r="I264">
            <v>0</v>
          </cell>
          <cell r="J264">
            <v>0</v>
          </cell>
          <cell r="K264">
            <v>1</v>
          </cell>
        </row>
        <row r="265">
          <cell r="A265" t="str">
            <v>571-0940</v>
          </cell>
          <cell r="B265" t="str">
            <v xml:space="preserve">CAT 320 (MYK) CAT 320 (MYK) (2)                                          </v>
          </cell>
          <cell r="C265" t="str">
            <v>FUEL INJECTOR</v>
          </cell>
          <cell r="D265">
            <v>1132.8800000000001</v>
          </cell>
          <cell r="E265">
            <v>566.44000000000005</v>
          </cell>
          <cell r="F265" t="str">
            <v>ENGINE</v>
          </cell>
          <cell r="G265">
            <v>8</v>
          </cell>
          <cell r="H265">
            <v>0</v>
          </cell>
          <cell r="I265">
            <v>0</v>
          </cell>
          <cell r="J265">
            <v>0</v>
          </cell>
          <cell r="K265">
            <v>8</v>
          </cell>
        </row>
        <row r="266">
          <cell r="A266" t="str">
            <v>571-5253</v>
          </cell>
          <cell r="B266" t="str">
            <v xml:space="preserve">CAT D6 (RDC) CAT D6N LGP (PBA) CAT D6N LGP (PBA) (2) CAT D6N LGP (SGG) CAT D6N LGP (SGG) (2) CAT D6T (MH7) CAT 561N (CPH) CAT 561N (CPH) (2) CAT 561N (CPH) (3) CAT 561N (CPH) (4) CAT 561N (CPH) (5)                        </v>
          </cell>
          <cell r="C266" t="str">
            <v>HYDRAULIC OIL FILTER ELEMENT</v>
          </cell>
          <cell r="D266">
            <v>171.55</v>
          </cell>
          <cell r="E266">
            <v>65.19</v>
          </cell>
          <cell r="F266" t="str">
            <v>FILTER</v>
          </cell>
          <cell r="G266">
            <v>22</v>
          </cell>
          <cell r="H266">
            <v>11</v>
          </cell>
          <cell r="I266">
            <v>11</v>
          </cell>
          <cell r="J266">
            <v>11</v>
          </cell>
          <cell r="K266">
            <v>55</v>
          </cell>
        </row>
        <row r="267">
          <cell r="A267" t="str">
            <v>575-9942</v>
          </cell>
          <cell r="B267" t="str">
            <v xml:space="preserve">CAT D6 (RDC)                                            </v>
          </cell>
          <cell r="C267" t="str">
            <v>TURBO KIT</v>
          </cell>
          <cell r="D267">
            <v>6921.5</v>
          </cell>
          <cell r="E267">
            <v>3460.75</v>
          </cell>
          <cell r="F267" t="str">
            <v>ENGINE</v>
          </cell>
          <cell r="G267">
            <v>1</v>
          </cell>
          <cell r="H267">
            <v>0</v>
          </cell>
          <cell r="I267">
            <v>0</v>
          </cell>
          <cell r="J267">
            <v>0</v>
          </cell>
          <cell r="K267">
            <v>1</v>
          </cell>
        </row>
        <row r="268">
          <cell r="A268" t="str">
            <v>577-1435</v>
          </cell>
          <cell r="B268" t="str">
            <v xml:space="preserve">CAT D6 (RDC) CAT D6T (MH7) CAT 561N (CPH) CAT 561N (CPH) (2) CAT 561N (CPH) (3) CAT 561N (CPH) (4) CAT 561N (CPH) (5)                                </v>
          </cell>
          <cell r="C268" t="str">
            <v>PRIMARY AIR FILTER ELEMENT</v>
          </cell>
          <cell r="D268">
            <v>259.82</v>
          </cell>
          <cell r="E268">
            <v>98.73</v>
          </cell>
          <cell r="F268" t="str">
            <v>FILTER</v>
          </cell>
          <cell r="G268">
            <v>7</v>
          </cell>
          <cell r="H268">
            <v>7</v>
          </cell>
          <cell r="I268">
            <v>0</v>
          </cell>
          <cell r="J268">
            <v>7</v>
          </cell>
          <cell r="K268">
            <v>21</v>
          </cell>
        </row>
        <row r="269">
          <cell r="A269" t="str">
            <v>587-3239</v>
          </cell>
          <cell r="B269" t="str">
            <v xml:space="preserve">CAT 320F L (YBM) CAT 320 (HEX)                                          </v>
          </cell>
          <cell r="C269" t="str">
            <v>SECONDARY TURBOCHARGER ASSEMBLY</v>
          </cell>
          <cell r="D269">
            <v>3188.6</v>
          </cell>
          <cell r="E269">
            <v>1594.3</v>
          </cell>
          <cell r="F269" t="str">
            <v>ENGINE</v>
          </cell>
          <cell r="G269">
            <v>2</v>
          </cell>
          <cell r="H269">
            <v>0</v>
          </cell>
          <cell r="I269">
            <v>0</v>
          </cell>
          <cell r="J269">
            <v>0</v>
          </cell>
          <cell r="K269">
            <v>2</v>
          </cell>
        </row>
        <row r="270">
          <cell r="A270" t="str">
            <v>590-9787</v>
          </cell>
          <cell r="B270" t="str">
            <v xml:space="preserve">CAT 320 (HEX) CAT 320 (MYK) CAT 320 (MYK) (2) CAT 330 (LHW) CAT 330 (LHW) (2) CAT 330 (LHW) (3) CAT 330 (LHW) (4) CAT 330 (WCH) CAT 330 (WCH) (2) CAT 330 (WCH) (3) CAT 330 (WCH) (4) CAT 330 (WCH) (5) CAT 330 (WCH) (6)                    </v>
          </cell>
          <cell r="C270" t="str">
            <v>HYDRAULIC OIL FILTER ELEMENT</v>
          </cell>
          <cell r="D270">
            <v>283.86</v>
          </cell>
          <cell r="E270">
            <v>107.87</v>
          </cell>
          <cell r="F270" t="str">
            <v>Filter</v>
          </cell>
          <cell r="G270">
            <v>26</v>
          </cell>
          <cell r="H270">
            <v>13</v>
          </cell>
          <cell r="I270">
            <v>13</v>
          </cell>
          <cell r="J270">
            <v>13</v>
          </cell>
          <cell r="K270">
            <v>65</v>
          </cell>
        </row>
        <row r="271">
          <cell r="A271" t="str">
            <v>596-4526</v>
          </cell>
          <cell r="B271" t="str">
            <v xml:space="preserve">CAT D6 (RDC)                                            </v>
          </cell>
          <cell r="C271" t="str">
            <v>TRACK LINK 46 JOINT</v>
          </cell>
          <cell r="D271">
            <v>10339.93</v>
          </cell>
          <cell r="E271">
            <v>5169.97</v>
          </cell>
          <cell r="F271" t="str">
            <v>UC</v>
          </cell>
          <cell r="G271">
            <v>2</v>
          </cell>
          <cell r="H271">
            <v>0</v>
          </cell>
          <cell r="I271">
            <v>0</v>
          </cell>
          <cell r="J271">
            <v>0</v>
          </cell>
          <cell r="K271">
            <v>2</v>
          </cell>
        </row>
        <row r="272">
          <cell r="A272" t="str">
            <v>596-8460</v>
          </cell>
          <cell r="B272" t="str">
            <v xml:space="preserve">CAT 320E L (WBK) CAT 320E L (WBK) (2) CAT 320F L (YBM) CAT 320 (HEX) CAT 320 (MYK) CAT 320 (MYK) (2)                                  </v>
          </cell>
          <cell r="C272" t="str">
            <v xml:space="preserve">TRACK LINK ASSEMBLY </v>
          </cell>
          <cell r="D272">
            <v>8238.4699999999993</v>
          </cell>
          <cell r="E272">
            <v>4119.24</v>
          </cell>
          <cell r="F272" t="str">
            <v>UC</v>
          </cell>
          <cell r="G272">
            <v>12</v>
          </cell>
          <cell r="H272">
            <v>0</v>
          </cell>
          <cell r="I272">
            <v>0</v>
          </cell>
          <cell r="J272">
            <v>0</v>
          </cell>
          <cell r="K272">
            <v>12</v>
          </cell>
        </row>
        <row r="273">
          <cell r="A273" t="str">
            <v>5A-3187</v>
          </cell>
          <cell r="B273" t="str">
            <v xml:space="preserve">CAT D3 (1PJ)                                            </v>
          </cell>
          <cell r="C273" t="str">
            <v>TRACK BOLT</v>
          </cell>
          <cell r="D273">
            <v>3.73</v>
          </cell>
          <cell r="E273">
            <v>1.87</v>
          </cell>
          <cell r="F273" t="str">
            <v>UC</v>
          </cell>
          <cell r="G273">
            <v>344</v>
          </cell>
          <cell r="H273">
            <v>0</v>
          </cell>
          <cell r="I273">
            <v>0</v>
          </cell>
          <cell r="J273">
            <v>0</v>
          </cell>
          <cell r="K273">
            <v>344</v>
          </cell>
        </row>
        <row r="274">
          <cell r="A274" t="str">
            <v>5I-8670</v>
          </cell>
          <cell r="B274" t="str">
            <v xml:space="preserve">CAT 320F L (YBM) CAT 329E L (ZCD)                                          </v>
          </cell>
          <cell r="C274" t="str">
            <v>HYDRAULIC OIL FILTER</v>
          </cell>
          <cell r="D274">
            <v>106.56</v>
          </cell>
          <cell r="E274">
            <v>40.49</v>
          </cell>
          <cell r="F274" t="str">
            <v>Filter</v>
          </cell>
          <cell r="G274">
            <v>4</v>
          </cell>
          <cell r="H274">
            <v>2</v>
          </cell>
          <cell r="I274">
            <v>2</v>
          </cell>
          <cell r="J274">
            <v>2</v>
          </cell>
          <cell r="K274">
            <v>10</v>
          </cell>
        </row>
        <row r="275">
          <cell r="A275" t="str">
            <v>5J-4773</v>
          </cell>
          <cell r="B275" t="str">
            <v xml:space="preserve">CAT D5 (3CR) CAT D5 (3CR) (2) CAT D6N LGP (GHS) CAT D6N LGP (PBA) CAT D6N LGP (PBA) (2) CAT D6N LGP (SGG) CAT D6N LGP (SGG) (2) CAT D6T (MH7)                              </v>
          </cell>
          <cell r="C275" t="str">
            <v>PLOW BOLT</v>
          </cell>
          <cell r="D275">
            <v>4.51</v>
          </cell>
          <cell r="E275">
            <v>1.71</v>
          </cell>
          <cell r="F275" t="str">
            <v>GET</v>
          </cell>
          <cell r="G275">
            <v>222</v>
          </cell>
          <cell r="H275">
            <v>0</v>
          </cell>
          <cell r="I275">
            <v>0</v>
          </cell>
          <cell r="J275">
            <v>0</v>
          </cell>
          <cell r="K275">
            <v>222</v>
          </cell>
        </row>
        <row r="276">
          <cell r="A276" t="str">
            <v>5P-8245</v>
          </cell>
          <cell r="B276" t="str">
            <v xml:space="preserve">CAT D3 (1PJ)                                            </v>
          </cell>
          <cell r="C276" t="str">
            <v>FLAT WASHER</v>
          </cell>
          <cell r="D276">
            <v>1.86</v>
          </cell>
          <cell r="E276">
            <v>0.93</v>
          </cell>
          <cell r="F276" t="str">
            <v>UC</v>
          </cell>
          <cell r="G276">
            <v>50</v>
          </cell>
          <cell r="H276">
            <v>0</v>
          </cell>
          <cell r="I276">
            <v>0</v>
          </cell>
          <cell r="J276">
            <v>0</v>
          </cell>
          <cell r="K276">
            <v>50</v>
          </cell>
        </row>
        <row r="277">
          <cell r="A277" t="str">
            <v>5P-8247</v>
          </cell>
          <cell r="B277" t="str">
            <v xml:space="preserve">CAT D3 (1PJ) CAT D6N LGP (SGG) CAT D6N LGP (SGG) (2) CAT 561M (1KW) CAT 561M (1KW) CAT 561N (CPH) CAT 561N (CPH) CAT 561N (CPH) (2) CAT 561N (CPH) (2) CAT 561N (CPH) (3) CAT 561N (CPH) (3) CAT 561N (CPH) (4) CAT 561N (CPH) (4) CAT 561N (CPH) (5) CAT 561N (CPH) (5)                </v>
          </cell>
          <cell r="C277" t="str">
            <v>WASHER</v>
          </cell>
          <cell r="D277">
            <v>2.83</v>
          </cell>
          <cell r="E277">
            <v>1.42</v>
          </cell>
          <cell r="F277" t="str">
            <v>GET</v>
          </cell>
          <cell r="G277">
            <v>422</v>
          </cell>
          <cell r="H277">
            <v>0</v>
          </cell>
          <cell r="I277">
            <v>0</v>
          </cell>
          <cell r="J277">
            <v>0</v>
          </cell>
          <cell r="K277">
            <v>422</v>
          </cell>
        </row>
        <row r="278">
          <cell r="A278" t="str">
            <v>5P-8248</v>
          </cell>
          <cell r="B278" t="str">
            <v xml:space="preserve">CAT D5 (3CR) CAT D5 (3CR) (2) CAT D6 (RDC) CAT D6N LGP (GHS) CAT D6N LGP (PBA) CAT D6N LGP (PBA) (2) CAT D6N LGP (SGG) CAT D6N LGP (SGG) (2) CAT D6T (MH7)                            </v>
          </cell>
          <cell r="C278" t="str">
            <v>FLAT WASHER</v>
          </cell>
          <cell r="D278">
            <v>3.56</v>
          </cell>
          <cell r="E278">
            <v>1.35</v>
          </cell>
          <cell r="F278" t="str">
            <v>GET</v>
          </cell>
          <cell r="G278">
            <v>272</v>
          </cell>
          <cell r="H278">
            <v>0</v>
          </cell>
          <cell r="I278">
            <v>0</v>
          </cell>
          <cell r="J278">
            <v>0</v>
          </cell>
          <cell r="K278">
            <v>272</v>
          </cell>
        </row>
        <row r="279">
          <cell r="A279" t="str">
            <v>5S-0724</v>
          </cell>
          <cell r="B279" t="str">
            <v xml:space="preserve">CAT 561 (85H) CAT 561 (92J) CAT 561 (92J) (2)                                        </v>
          </cell>
          <cell r="C279" t="str">
            <v>SPROCKET</v>
          </cell>
          <cell r="D279">
            <v>566.69000000000005</v>
          </cell>
          <cell r="E279">
            <v>283.35000000000002</v>
          </cell>
          <cell r="F279" t="str">
            <v>UC</v>
          </cell>
          <cell r="G279">
            <v>54</v>
          </cell>
          <cell r="H279">
            <v>0</v>
          </cell>
          <cell r="I279">
            <v>0</v>
          </cell>
          <cell r="J279">
            <v>0</v>
          </cell>
          <cell r="K279">
            <v>54</v>
          </cell>
        </row>
        <row r="280">
          <cell r="A280" t="str">
            <v>5S-0822</v>
          </cell>
          <cell r="B280" t="str">
            <v xml:space="preserve">CAT 561 (85H) CAT 561 (92J) CAT 561 (92J) (2)                                        </v>
          </cell>
          <cell r="C280" t="str">
            <v>TRACK SHOE</v>
          </cell>
          <cell r="D280">
            <v>89.68</v>
          </cell>
          <cell r="E280">
            <v>44.84</v>
          </cell>
          <cell r="F280" t="str">
            <v>UC</v>
          </cell>
          <cell r="G280">
            <v>234</v>
          </cell>
          <cell r="H280">
            <v>0</v>
          </cell>
          <cell r="I280">
            <v>0</v>
          </cell>
          <cell r="J280">
            <v>0</v>
          </cell>
          <cell r="K280">
            <v>234</v>
          </cell>
        </row>
        <row r="281">
          <cell r="A281" t="str">
            <v>604-1761</v>
          </cell>
          <cell r="B281" t="str">
            <v xml:space="preserve">CAT 320E L (WBK) CAT 320E L (WBK) (2) CAT 320F L (YBM) CAT 320 (HEX) CAT 320 (MYK) CAT 320 (MYK) (2)                                  </v>
          </cell>
          <cell r="C281" t="str">
            <v>SINGLE FLANGE TRACK ROLLER</v>
          </cell>
          <cell r="D281">
            <v>748.26</v>
          </cell>
          <cell r="E281">
            <v>374.13</v>
          </cell>
          <cell r="F281" t="str">
            <v>UC</v>
          </cell>
          <cell r="G281">
            <v>96</v>
          </cell>
          <cell r="H281">
            <v>0</v>
          </cell>
          <cell r="I281">
            <v>0</v>
          </cell>
          <cell r="J281">
            <v>0</v>
          </cell>
          <cell r="K281">
            <v>96</v>
          </cell>
        </row>
        <row r="282">
          <cell r="A282" t="str">
            <v>605-4657</v>
          </cell>
          <cell r="B282" t="str">
            <v xml:space="preserve">CAT 320 (MYK) CAT 320 (MYK) (2)                                          </v>
          </cell>
          <cell r="C282" t="str">
            <v>PRIMARY TURBOCHARGER ASSEMBLY</v>
          </cell>
          <cell r="D282">
            <v>3256.94</v>
          </cell>
          <cell r="E282">
            <v>1628.47</v>
          </cell>
          <cell r="F282" t="str">
            <v>ENGINE</v>
          </cell>
          <cell r="G282">
            <v>2</v>
          </cell>
          <cell r="H282">
            <v>0</v>
          </cell>
          <cell r="I282">
            <v>0</v>
          </cell>
          <cell r="J282">
            <v>0</v>
          </cell>
          <cell r="K282">
            <v>2</v>
          </cell>
        </row>
        <row r="283">
          <cell r="A283" t="str">
            <v>607-2263</v>
          </cell>
          <cell r="B283" t="str">
            <v xml:space="preserve">CAT 329E L (ZCD) CAT 329F L (ERL) CAT 329F L (ERL) (2) CAT 330F L (MBX) CAT 330F L (HCK) CAT 330F L (HCK) (2) CAT 330 (LHW) CAT 330 (LHW) (2) CAT 330 (LHW) (3) CAT 330 (LHW) (4) CAT 330 (WCH) CAT 330 (WCH) (2) CAT 330 (WCH) (3) CAT 330 (WCH) (4) CAT 330 (WCH) (5) CAT 330 (WCH) (6)              </v>
          </cell>
          <cell r="C283" t="str">
            <v>SPROCKET BOLT</v>
          </cell>
          <cell r="D283">
            <v>10.72</v>
          </cell>
          <cell r="E283">
            <v>5.36</v>
          </cell>
          <cell r="F283" t="str">
            <v>UC</v>
          </cell>
          <cell r="G283">
            <v>576</v>
          </cell>
          <cell r="H283">
            <v>0</v>
          </cell>
          <cell r="I283">
            <v>0</v>
          </cell>
          <cell r="J283">
            <v>0</v>
          </cell>
          <cell r="K283">
            <v>576</v>
          </cell>
        </row>
        <row r="284">
          <cell r="A284" t="str">
            <v>610-2300</v>
          </cell>
          <cell r="B284" t="str">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ell>
          <cell r="C284" t="str">
            <v>FUEL INJECTOR</v>
          </cell>
          <cell r="D284">
            <v>1474.09</v>
          </cell>
          <cell r="E284">
            <v>737.05</v>
          </cell>
          <cell r="F284" t="str">
            <v>ENGINE</v>
          </cell>
          <cell r="G284">
            <v>126</v>
          </cell>
          <cell r="H284">
            <v>0</v>
          </cell>
          <cell r="I284">
            <v>0</v>
          </cell>
          <cell r="J284">
            <v>0</v>
          </cell>
          <cell r="K284">
            <v>126</v>
          </cell>
        </row>
        <row r="285">
          <cell r="A285" t="str">
            <v>610-6264</v>
          </cell>
          <cell r="B285" t="str">
            <v xml:space="preserve">CAT 330 (LHW) CAT 330 (LHW) (2) CAT 330 (LHW) (3) CAT 330 (LHW) (4) CAT 330 (WCH) CAT 330 (WCH) (2) CAT 330 (WCH) (3) CAT 330 (WCH) (4) CAT 330 (WCH) (5) CAT 330 (WCH) (6)                          </v>
          </cell>
          <cell r="C285" t="str">
            <v>TRACK LINK ASSEMBLY</v>
          </cell>
          <cell r="D285">
            <v>10788.51</v>
          </cell>
          <cell r="E285">
            <v>5394.26</v>
          </cell>
          <cell r="F285" t="str">
            <v>UC</v>
          </cell>
          <cell r="G285">
            <v>20</v>
          </cell>
          <cell r="H285">
            <v>0</v>
          </cell>
          <cell r="I285">
            <v>0</v>
          </cell>
          <cell r="J285">
            <v>0</v>
          </cell>
          <cell r="K285">
            <v>20</v>
          </cell>
        </row>
        <row r="286">
          <cell r="A286" t="str">
            <v>614-7778</v>
          </cell>
          <cell r="B286" t="str">
            <v xml:space="preserve">CAT D7G (92V) CAT D7G (3ZD) CAT D7G (3ZD) (2)                                        </v>
          </cell>
          <cell r="C286" t="str">
            <v>RIPPER SHANK</v>
          </cell>
          <cell r="D286">
            <v>6515.49</v>
          </cell>
          <cell r="E286">
            <v>2475.89</v>
          </cell>
          <cell r="F286" t="str">
            <v>GET</v>
          </cell>
          <cell r="G286">
            <v>3</v>
          </cell>
          <cell r="H286">
            <v>0</v>
          </cell>
          <cell r="I286">
            <v>0</v>
          </cell>
          <cell r="J286">
            <v>0</v>
          </cell>
          <cell r="K286">
            <v>3</v>
          </cell>
        </row>
        <row r="287">
          <cell r="A287" t="str">
            <v>615-6119</v>
          </cell>
          <cell r="B287" t="str">
            <v xml:space="preserve">CAT D6N LGP (PBA) CAT D6N LGP (PBA) (2) CAT D6N LGP (SGG) CAT D6N LGP (SGG) (2)                                      </v>
          </cell>
          <cell r="C287" t="str">
            <v>TURBOCHARGER ASSEMBLY</v>
          </cell>
          <cell r="D287">
            <v>4119.04</v>
          </cell>
          <cell r="E287">
            <v>2059.52</v>
          </cell>
          <cell r="F287" t="str">
            <v>ENGINE</v>
          </cell>
          <cell r="G287">
            <v>4</v>
          </cell>
          <cell r="H287">
            <v>0</v>
          </cell>
          <cell r="I287">
            <v>0</v>
          </cell>
          <cell r="J287">
            <v>0</v>
          </cell>
          <cell r="K287">
            <v>4</v>
          </cell>
        </row>
        <row r="288">
          <cell r="A288" t="str">
            <v>615-6123</v>
          </cell>
          <cell r="B288" t="str">
            <v xml:space="preserve">CAT 320E L (WBK) CAT 320E L (WBK) (2)                                          </v>
          </cell>
          <cell r="C288" t="str">
            <v>TURBOCHARGER ASSEMBLY</v>
          </cell>
          <cell r="D288">
            <v>5964.28</v>
          </cell>
          <cell r="E288">
            <v>2982.14</v>
          </cell>
          <cell r="F288" t="str">
            <v>ENGINE</v>
          </cell>
          <cell r="G288">
            <v>2</v>
          </cell>
          <cell r="H288">
            <v>0</v>
          </cell>
          <cell r="I288">
            <v>0</v>
          </cell>
          <cell r="J288">
            <v>0</v>
          </cell>
          <cell r="K288">
            <v>2</v>
          </cell>
        </row>
        <row r="289">
          <cell r="A289" t="str">
            <v>617-1913</v>
          </cell>
          <cell r="B289" t="str">
            <v xml:space="preserve">CAT D6 (RDC)                                            </v>
          </cell>
          <cell r="C289" t="str">
            <v>INJECTOR</v>
          </cell>
          <cell r="D289">
            <v>1423.26</v>
          </cell>
          <cell r="E289">
            <v>711.63</v>
          </cell>
          <cell r="F289" t="str">
            <v>ENGINE</v>
          </cell>
          <cell r="G289">
            <v>6</v>
          </cell>
          <cell r="H289">
            <v>0</v>
          </cell>
          <cell r="I289">
            <v>0</v>
          </cell>
          <cell r="J289">
            <v>0</v>
          </cell>
          <cell r="K289">
            <v>6</v>
          </cell>
        </row>
        <row r="290">
          <cell r="A290" t="str">
            <v>629-6309</v>
          </cell>
          <cell r="B290" t="str">
            <v xml:space="preserve">CAT 329F L (ERL) CAT 329F L (ERL) (2) CAT 330F L (MBX) CAT 330F L (HCK) CAT 330F L (HCK) (2) CAT 330 (LHW) CAT 330 (LHW) (2) CAT 330 (LHW) (3) CAT 330 (LHW) (4) CAT 330 (WCH) CAT 330 (WCH) (2) CAT 330 (WCH) (3) CAT 330 (WCH) (4) CAT 330 (WCH) (5) CAT 330 (WCH) (6)                </v>
          </cell>
          <cell r="C290" t="str">
            <v>SECONDARY TUBROCHARGER ASSEMBLY</v>
          </cell>
          <cell r="D290">
            <v>3634.22</v>
          </cell>
          <cell r="E290">
            <v>1817.11</v>
          </cell>
          <cell r="F290" t="str">
            <v>ENGINE</v>
          </cell>
          <cell r="G290">
            <v>15</v>
          </cell>
          <cell r="H290">
            <v>0</v>
          </cell>
          <cell r="I290">
            <v>0</v>
          </cell>
          <cell r="J290">
            <v>0</v>
          </cell>
          <cell r="K290">
            <v>15</v>
          </cell>
        </row>
        <row r="291">
          <cell r="A291" t="str">
            <v>651-2584</v>
          </cell>
          <cell r="B291" t="str">
            <v xml:space="preserve">CAT 329E L (ZCD)                                            </v>
          </cell>
          <cell r="C291" t="str">
            <v>ENGINE OVERHAUL KIT</v>
          </cell>
          <cell r="D291">
            <v>13595.74</v>
          </cell>
          <cell r="E291">
            <v>6797.87</v>
          </cell>
          <cell r="F291" t="str">
            <v>ENGINE</v>
          </cell>
          <cell r="G291">
            <v>1</v>
          </cell>
          <cell r="H291">
            <v>0</v>
          </cell>
          <cell r="I291">
            <v>0</v>
          </cell>
          <cell r="J291">
            <v>0</v>
          </cell>
          <cell r="K291">
            <v>1</v>
          </cell>
        </row>
        <row r="292">
          <cell r="A292" t="str">
            <v>651-2600</v>
          </cell>
          <cell r="B292" t="str">
            <v xml:space="preserve">CAT 329F L (ERL) CAT 329F L (ERL) (2) CAT 330F L (MBX) CAT 330F L (HCK) CAT 330F L (HCK) (2)                                    </v>
          </cell>
          <cell r="C292" t="str">
            <v>ENGINE OVERHAUL KIT</v>
          </cell>
          <cell r="D292">
            <v>13595.74</v>
          </cell>
          <cell r="E292">
            <v>6797.87</v>
          </cell>
          <cell r="F292" t="str">
            <v>ENGINE</v>
          </cell>
          <cell r="G292">
            <v>5</v>
          </cell>
          <cell r="H292">
            <v>0</v>
          </cell>
          <cell r="I292">
            <v>0</v>
          </cell>
          <cell r="J292">
            <v>0</v>
          </cell>
          <cell r="K292">
            <v>5</v>
          </cell>
        </row>
        <row r="293">
          <cell r="A293" t="str">
            <v>6B-5464</v>
          </cell>
          <cell r="B293" t="str">
            <v xml:space="preserve">CAT D3 (1PJ)                                            </v>
          </cell>
          <cell r="C293" t="str">
            <v>DOWEL PIN</v>
          </cell>
          <cell r="D293">
            <v>67.7</v>
          </cell>
          <cell r="E293">
            <v>25.73</v>
          </cell>
          <cell r="F293" t="str">
            <v>GET</v>
          </cell>
          <cell r="G293">
            <v>1</v>
          </cell>
          <cell r="H293">
            <v>0</v>
          </cell>
          <cell r="I293">
            <v>0</v>
          </cell>
          <cell r="J293">
            <v>0</v>
          </cell>
          <cell r="K293">
            <v>1</v>
          </cell>
        </row>
        <row r="294">
          <cell r="A294" t="str">
            <v>6I-2378</v>
          </cell>
          <cell r="B294" t="str">
            <v xml:space="preserve">CAT D3 (1PJ)                                            </v>
          </cell>
          <cell r="C294" t="str">
            <v>CYLINDER HEAD</v>
          </cell>
          <cell r="D294">
            <v>6130.36</v>
          </cell>
          <cell r="E294">
            <v>3065.18</v>
          </cell>
          <cell r="F294" t="str">
            <v>ENGINE</v>
          </cell>
          <cell r="G294">
            <v>1</v>
          </cell>
          <cell r="H294">
            <v>0</v>
          </cell>
          <cell r="I294">
            <v>0</v>
          </cell>
          <cell r="J294">
            <v>0</v>
          </cell>
          <cell r="K294">
            <v>1</v>
          </cell>
        </row>
        <row r="295">
          <cell r="A295" t="str">
            <v>6I-2499</v>
          </cell>
          <cell r="B295" t="str">
            <v xml:space="preserve">CAT D5 (3CR) CAT D5 (3CR) (2) CAT 561M (1KW)                                        </v>
          </cell>
          <cell r="C295" t="str">
            <v>PRIMARY AIR FILTER ELEMENT</v>
          </cell>
          <cell r="D295">
            <v>110.04</v>
          </cell>
          <cell r="E295">
            <v>41.82</v>
          </cell>
          <cell r="F295" t="str">
            <v>FILTER</v>
          </cell>
          <cell r="G295">
            <v>3</v>
          </cell>
          <cell r="H295">
            <v>3</v>
          </cell>
          <cell r="I295">
            <v>0</v>
          </cell>
          <cell r="J295">
            <v>3</v>
          </cell>
          <cell r="K295">
            <v>9</v>
          </cell>
        </row>
        <row r="296">
          <cell r="A296" t="str">
            <v>6I-2500</v>
          </cell>
          <cell r="B296" t="str">
            <v xml:space="preserve">CAT D5 (3CR) CAT D5 (3CR) (2) CAT 561M (1KW)                                        </v>
          </cell>
          <cell r="C296" t="str">
            <v>SECONDARY AIR FILTER ELEMENT</v>
          </cell>
          <cell r="D296">
            <v>81.73</v>
          </cell>
          <cell r="E296">
            <v>31.06</v>
          </cell>
          <cell r="F296" t="str">
            <v>FILTER</v>
          </cell>
          <cell r="G296">
            <v>3</v>
          </cell>
          <cell r="H296">
            <v>3</v>
          </cell>
          <cell r="I296">
            <v>0</v>
          </cell>
          <cell r="J296">
            <v>3</v>
          </cell>
          <cell r="K296">
            <v>9</v>
          </cell>
        </row>
        <row r="297">
          <cell r="A297" t="str">
            <v>6I-2503</v>
          </cell>
          <cell r="B297" t="str">
            <v xml:space="preserve">CAT 329E L (ZCD) CAT 329F L (ERL) CAT 329F L (ERL) (2) CAT 330F L (MBX) CAT 330F L (HCK) CAT 330F L (HCK) (2)                                  </v>
          </cell>
          <cell r="C297" t="str">
            <v>PRIMARY AIR FILTER ELEMENT</v>
          </cell>
          <cell r="D297">
            <v>165.83</v>
          </cell>
          <cell r="E297">
            <v>63.02</v>
          </cell>
          <cell r="F297" t="str">
            <v>Filter</v>
          </cell>
          <cell r="G297">
            <v>6</v>
          </cell>
          <cell r="H297">
            <v>6</v>
          </cell>
          <cell r="I297">
            <v>0</v>
          </cell>
          <cell r="J297">
            <v>6</v>
          </cell>
          <cell r="K297">
            <v>18</v>
          </cell>
        </row>
        <row r="298">
          <cell r="A298" t="str">
            <v>6I-2504</v>
          </cell>
          <cell r="B298" t="str">
            <v xml:space="preserve">CAT 329E L (ZCD) CAT 329F L (ERL) CAT 329F L (ERL) (2) CAT 330F L (MBX) CAT 330F L (HCK) CAT 330F L (HCK) (2)                                  </v>
          </cell>
          <cell r="C298" t="str">
            <v>SECONDARY AIR FILTER ELEMENT</v>
          </cell>
          <cell r="D298">
            <v>117.3</v>
          </cell>
          <cell r="E298">
            <v>44.57</v>
          </cell>
          <cell r="F298" t="str">
            <v>Filter</v>
          </cell>
          <cell r="G298">
            <v>6</v>
          </cell>
          <cell r="H298">
            <v>6</v>
          </cell>
          <cell r="I298">
            <v>0</v>
          </cell>
          <cell r="J298">
            <v>6</v>
          </cell>
          <cell r="K298">
            <v>18</v>
          </cell>
        </row>
        <row r="299">
          <cell r="A299" t="str">
            <v>6I-8077</v>
          </cell>
          <cell r="B299" t="str">
            <v xml:space="preserve">CAT D6N LGP (GHS) CAT D6N LGP (PBA) CAT D6N LGP (PBA) (2) CAT D6N LGP (SGG) CAT D6N LGP (SGG) (2)                                    </v>
          </cell>
          <cell r="C299" t="str">
            <v>SPROCKET SEGMENT</v>
          </cell>
          <cell r="D299">
            <v>204.05</v>
          </cell>
          <cell r="E299">
            <v>102.03</v>
          </cell>
          <cell r="F299" t="str">
            <v>UC</v>
          </cell>
          <cell r="G299">
            <v>50</v>
          </cell>
          <cell r="H299">
            <v>0</v>
          </cell>
          <cell r="I299">
            <v>0</v>
          </cell>
          <cell r="J299">
            <v>0</v>
          </cell>
          <cell r="K299">
            <v>50</v>
          </cell>
        </row>
        <row r="300">
          <cell r="A300" t="str">
            <v>6K-9880</v>
          </cell>
          <cell r="B300" t="str">
            <v xml:space="preserve">CAT D4 (66J) CAT D5 (3CR) CAT D5 (3CR) (2) CAT 561M (1KW) CAT 561N (CPH) CAT 561N (CPH) (2) CAT 561N (CPH) (3) CAT 561N (CPH) (4) CAT 561N (CPH) (5)                            </v>
          </cell>
          <cell r="C300" t="str">
            <v>CARRIER ROLLER</v>
          </cell>
          <cell r="D300">
            <v>520.11</v>
          </cell>
          <cell r="E300">
            <v>260.06</v>
          </cell>
          <cell r="F300" t="str">
            <v>UC</v>
          </cell>
          <cell r="G300">
            <v>18</v>
          </cell>
          <cell r="H300">
            <v>0</v>
          </cell>
          <cell r="I300">
            <v>0</v>
          </cell>
          <cell r="J300">
            <v>0</v>
          </cell>
          <cell r="K300">
            <v>18</v>
          </cell>
        </row>
        <row r="301">
          <cell r="A301" t="str">
            <v>6P-6664</v>
          </cell>
          <cell r="B301" t="str">
            <v xml:space="preserve">CAT D7G (92V) CAT D7G (3ZD) CAT D7G (3ZD) (2)                                        </v>
          </cell>
          <cell r="C301" t="str">
            <v>CABIN AIR FILTER ELEMENT</v>
          </cell>
          <cell r="D301">
            <v>121.67</v>
          </cell>
          <cell r="E301">
            <v>46.23</v>
          </cell>
          <cell r="F301" t="str">
            <v>FILTER</v>
          </cell>
          <cell r="G301">
            <v>3</v>
          </cell>
          <cell r="H301">
            <v>3</v>
          </cell>
          <cell r="I301">
            <v>0</v>
          </cell>
          <cell r="J301">
            <v>3</v>
          </cell>
          <cell r="K301">
            <v>9</v>
          </cell>
        </row>
        <row r="302">
          <cell r="A302" t="str">
            <v>6S3609</v>
          </cell>
          <cell r="B302" t="str">
            <v xml:space="preserve">CAT D3 (1PJ)                                            </v>
          </cell>
          <cell r="C302" t="str">
            <v>CARRIER ROLLER</v>
          </cell>
          <cell r="D302">
            <v>493.88</v>
          </cell>
          <cell r="E302">
            <v>246.94</v>
          </cell>
          <cell r="F302" t="str">
            <v>UC</v>
          </cell>
          <cell r="G302">
            <v>2</v>
          </cell>
          <cell r="H302">
            <v>0</v>
          </cell>
          <cell r="I302">
            <v>0</v>
          </cell>
          <cell r="J302">
            <v>0</v>
          </cell>
          <cell r="K302">
            <v>2</v>
          </cell>
        </row>
        <row r="303">
          <cell r="A303" t="str">
            <v>6T-0232</v>
          </cell>
          <cell r="B303" t="str">
            <v xml:space="preserve">CAT 561N (CPH) CAT 561N (CPH) (2) CAT 561N (CPH) (3) CAT 561N (CPH) (4) CAT 561N (CPH) (5)                                    </v>
          </cell>
          <cell r="C303" t="str">
            <v>TRACK SHOE</v>
          </cell>
          <cell r="D303">
            <v>655.30999999999995</v>
          </cell>
          <cell r="E303">
            <v>327.66000000000003</v>
          </cell>
          <cell r="F303" t="str">
            <v>UC</v>
          </cell>
          <cell r="G303">
            <v>440</v>
          </cell>
          <cell r="H303">
            <v>0</v>
          </cell>
          <cell r="I303">
            <v>0</v>
          </cell>
          <cell r="J303">
            <v>0</v>
          </cell>
          <cell r="K303">
            <v>440</v>
          </cell>
        </row>
        <row r="304">
          <cell r="A304" t="str">
            <v>6T-2779</v>
          </cell>
          <cell r="B304" t="str">
            <v xml:space="preserve">CAT D3 (1PJ)                                            </v>
          </cell>
          <cell r="C304" t="str">
            <v>TRACK SHOE MASTER</v>
          </cell>
          <cell r="D304">
            <v>729.52</v>
          </cell>
          <cell r="E304">
            <v>364.76</v>
          </cell>
          <cell r="F304" t="str">
            <v>UC</v>
          </cell>
          <cell r="G304">
            <v>2</v>
          </cell>
          <cell r="H304">
            <v>0</v>
          </cell>
          <cell r="I304">
            <v>0</v>
          </cell>
          <cell r="J304">
            <v>0</v>
          </cell>
          <cell r="K304">
            <v>2</v>
          </cell>
        </row>
        <row r="305">
          <cell r="A305" t="str">
            <v>6T-2780</v>
          </cell>
          <cell r="B305" t="str">
            <v xml:space="preserve">CAT D3 (1PJ)                                            </v>
          </cell>
          <cell r="C305" t="str">
            <v>TRACK SHOE SINGLE GROUSER 860MM</v>
          </cell>
          <cell r="D305">
            <v>693.26</v>
          </cell>
          <cell r="E305">
            <v>346.63</v>
          </cell>
          <cell r="F305" t="str">
            <v>UC</v>
          </cell>
          <cell r="G305">
            <v>86</v>
          </cell>
          <cell r="H305">
            <v>0</v>
          </cell>
          <cell r="I305">
            <v>0</v>
          </cell>
          <cell r="J305">
            <v>0</v>
          </cell>
          <cell r="K305">
            <v>86</v>
          </cell>
        </row>
        <row r="306">
          <cell r="A306" t="str">
            <v>6V-0937</v>
          </cell>
          <cell r="B306" t="str">
            <v xml:space="preserve">CAT D6N LGP (GHS) CAT D6N LGP (PBA) CAT D6N LGP (PBA) (2) CAT D6N LGP (SGG) CAT D6N LGP (SGG) (2) CAT D6T (MH7)                                  </v>
          </cell>
          <cell r="C306" t="str">
            <v>SPROCKET BOLT</v>
          </cell>
          <cell r="D306">
            <v>3.14</v>
          </cell>
          <cell r="E306">
            <v>1.57</v>
          </cell>
          <cell r="F306" t="str">
            <v>UC</v>
          </cell>
          <cell r="G306">
            <v>300</v>
          </cell>
          <cell r="H306">
            <v>0</v>
          </cell>
          <cell r="I306">
            <v>0</v>
          </cell>
          <cell r="J306">
            <v>0</v>
          </cell>
          <cell r="K306">
            <v>300</v>
          </cell>
        </row>
        <row r="307">
          <cell r="A307" t="str">
            <v>6V-1792</v>
          </cell>
          <cell r="B307" t="str">
            <v xml:space="preserve">CAT D4 (66J) CAT D6 (RDC) CAT D6N LGP (GHS) CAT D6N LGP (SGG) CAT D6N LGP (SGG) (2) CAT D6T (MH7) CAT PL61 (WGS) CAT PL61 (WGS) (2) CAT PL61 (WGS) (3)                            </v>
          </cell>
          <cell r="C307" t="str">
            <v>TRACK BOLT</v>
          </cell>
          <cell r="D307">
            <v>5.38</v>
          </cell>
          <cell r="E307">
            <v>2.69</v>
          </cell>
          <cell r="F307" t="str">
            <v>UC</v>
          </cell>
          <cell r="G307">
            <v>3088</v>
          </cell>
          <cell r="H307">
            <v>0</v>
          </cell>
          <cell r="I307">
            <v>0</v>
          </cell>
          <cell r="J307">
            <v>0</v>
          </cell>
          <cell r="K307">
            <v>3088</v>
          </cell>
        </row>
        <row r="308">
          <cell r="A308" t="str">
            <v>6V-3669</v>
          </cell>
          <cell r="B308" t="str">
            <v xml:space="preserve">CAT D6T (MH7)                                            </v>
          </cell>
          <cell r="C308" t="str">
            <v>ROLLER BOLT</v>
          </cell>
          <cell r="D308">
            <v>13.48</v>
          </cell>
          <cell r="E308">
            <v>6.74</v>
          </cell>
          <cell r="F308" t="str">
            <v>UC</v>
          </cell>
          <cell r="G308">
            <v>64</v>
          </cell>
          <cell r="H308">
            <v>0</v>
          </cell>
          <cell r="I308">
            <v>0</v>
          </cell>
          <cell r="J308">
            <v>0</v>
          </cell>
          <cell r="K308">
            <v>64</v>
          </cell>
        </row>
        <row r="309">
          <cell r="A309" t="str">
            <v>6V-4316</v>
          </cell>
          <cell r="B309" t="str">
            <v xml:space="preserve">CAT D5 (3CR) CAT D5 (3CR) (2) CAT 561M (1KW) CAT 561N (CPH) CAT 561N (CPH) (2) CAT 561N (CPH) (3) CAT 561N (CPH) (4) CAT 561N (CPH) (5)                              </v>
          </cell>
          <cell r="C309" t="str">
            <v>FLAT WASHER</v>
          </cell>
          <cell r="D309">
            <v>3.41</v>
          </cell>
          <cell r="E309">
            <v>1.71</v>
          </cell>
          <cell r="F309" t="str">
            <v>UC</v>
          </cell>
          <cell r="G309">
            <v>320</v>
          </cell>
          <cell r="H309">
            <v>0</v>
          </cell>
          <cell r="I309">
            <v>0</v>
          </cell>
          <cell r="J309">
            <v>0</v>
          </cell>
          <cell r="K309">
            <v>320</v>
          </cell>
        </row>
        <row r="310">
          <cell r="A310" t="str">
            <v>6V-9167</v>
          </cell>
          <cell r="B310" t="str">
            <v xml:space="preserve">CAT D6T (MH7)                                            </v>
          </cell>
          <cell r="C310" t="str">
            <v>IDLER CAP BOLT</v>
          </cell>
          <cell r="D310">
            <v>27.02</v>
          </cell>
          <cell r="E310">
            <v>13.51</v>
          </cell>
          <cell r="F310" t="str">
            <v>UC</v>
          </cell>
          <cell r="G310">
            <v>16</v>
          </cell>
          <cell r="H310">
            <v>0</v>
          </cell>
          <cell r="I310">
            <v>0</v>
          </cell>
          <cell r="J310">
            <v>0</v>
          </cell>
          <cell r="K310">
            <v>16</v>
          </cell>
        </row>
        <row r="311">
          <cell r="A311" t="str">
            <v>6Y-0309</v>
          </cell>
          <cell r="B311" t="str">
            <v xml:space="preserve">CAT D5 (3CR) CAT D5 (3CR) (2)                                          </v>
          </cell>
          <cell r="C311" t="str">
            <v>RIPPER</v>
          </cell>
          <cell r="D311">
            <v>144.57</v>
          </cell>
          <cell r="E311">
            <v>54.94</v>
          </cell>
          <cell r="F311" t="str">
            <v>GET</v>
          </cell>
          <cell r="G311">
            <v>2</v>
          </cell>
          <cell r="H311">
            <v>0</v>
          </cell>
          <cell r="I311">
            <v>0</v>
          </cell>
          <cell r="J311">
            <v>0</v>
          </cell>
          <cell r="K311">
            <v>2</v>
          </cell>
        </row>
        <row r="312">
          <cell r="A312" t="str">
            <v>6Y-0352</v>
          </cell>
          <cell r="B312" t="str">
            <v xml:space="preserve">CAT D6N LGP (PBA) CAT D6N LGP (PBA) (2) CAT D6N LGP (SGG) CAT D6N LGP (SGG) (2)                                      </v>
          </cell>
          <cell r="C312" t="str">
            <v>RIPPER TIP</v>
          </cell>
          <cell r="D312">
            <v>224.12</v>
          </cell>
          <cell r="E312">
            <v>85.17</v>
          </cell>
          <cell r="F312" t="str">
            <v>GET</v>
          </cell>
          <cell r="G312">
            <v>12</v>
          </cell>
          <cell r="H312">
            <v>0</v>
          </cell>
          <cell r="I312">
            <v>0</v>
          </cell>
          <cell r="J312">
            <v>0</v>
          </cell>
          <cell r="K312">
            <v>12</v>
          </cell>
        </row>
        <row r="313">
          <cell r="A313" t="str">
            <v>6Y-0359</v>
          </cell>
          <cell r="B313" t="str">
            <v xml:space="preserve">CAT D6T (MH7) CAT D7G (92V) CAT D7G (3ZD) CAT D7G (3ZD) (2)                                      </v>
          </cell>
          <cell r="C313" t="str">
            <v>RIPPER TOOTH</v>
          </cell>
          <cell r="D313">
            <v>224.15</v>
          </cell>
          <cell r="E313">
            <v>85.18</v>
          </cell>
          <cell r="F313" t="str">
            <v>GET</v>
          </cell>
          <cell r="G313">
            <v>6</v>
          </cell>
          <cell r="H313">
            <v>0</v>
          </cell>
          <cell r="I313">
            <v>0</v>
          </cell>
          <cell r="J313">
            <v>0</v>
          </cell>
          <cell r="K313">
            <v>6</v>
          </cell>
        </row>
        <row r="314">
          <cell r="A314" t="str">
            <v>6Y-0846</v>
          </cell>
          <cell r="B314" t="str">
            <v xml:space="preserve">CAT D6N LGP (PBA) CAT D6N LGP (PBA) (2)                                          </v>
          </cell>
          <cell r="C314" t="str">
            <v>TRACK BOLT</v>
          </cell>
          <cell r="D314">
            <v>6.32</v>
          </cell>
          <cell r="E314">
            <v>3.16</v>
          </cell>
          <cell r="F314" t="str">
            <v>UC</v>
          </cell>
          <cell r="G314">
            <v>720</v>
          </cell>
          <cell r="H314">
            <v>0</v>
          </cell>
          <cell r="I314">
            <v>0</v>
          </cell>
          <cell r="J314">
            <v>0</v>
          </cell>
          <cell r="K314">
            <v>720</v>
          </cell>
        </row>
        <row r="315">
          <cell r="A315" t="str">
            <v>6Y-2126</v>
          </cell>
          <cell r="B315" t="str">
            <v xml:space="preserve">CAT 329E L (ZCD) CAT 329F L (ERL) CAT 329F L (ERL) (2) CAT 330F L (MBX) CAT 330F L (HCK) CAT 330F L (HCK) (2)                                  </v>
          </cell>
          <cell r="C315" t="str">
            <v>TRACK SHOE 800MM</v>
          </cell>
          <cell r="D315">
            <v>230.39</v>
          </cell>
          <cell r="E315">
            <v>115.2</v>
          </cell>
          <cell r="F315" t="str">
            <v>UC</v>
          </cell>
          <cell r="G315">
            <v>600</v>
          </cell>
          <cell r="H315">
            <v>0</v>
          </cell>
          <cell r="I315">
            <v>0</v>
          </cell>
          <cell r="J315">
            <v>0</v>
          </cell>
          <cell r="K315">
            <v>600</v>
          </cell>
        </row>
        <row r="316">
          <cell r="A316" t="str">
            <v>6Y-4898</v>
          </cell>
          <cell r="B316" t="str">
            <v xml:space="preserve">CAT 329E L (ZCD) CAT 329F L (ERL) CAT 329F L (ERL) (2) CAT 330F L (MBX) CAT 330F L (HCK) CAT 330F L (HCK) (2) CAT 330 (LHW) CAT 330 (LHW) (2) CAT 330 (LHW) (3) CAT 330 (LHW) (4) CAT 330 (WCH) CAT 330 (WCH) (2) CAT 330 (WCH) (3) CAT 330 (WCH) (4) CAT 330 (WCH) (5) CAT 330 (WCH) (6)              </v>
          </cell>
          <cell r="C316" t="str">
            <v>TRACK SPROCKET</v>
          </cell>
          <cell r="D316">
            <v>1259.02</v>
          </cell>
          <cell r="E316">
            <v>629.51</v>
          </cell>
          <cell r="F316" t="str">
            <v>UC</v>
          </cell>
          <cell r="G316">
            <v>32</v>
          </cell>
          <cell r="H316">
            <v>0</v>
          </cell>
          <cell r="I316">
            <v>0</v>
          </cell>
          <cell r="J316">
            <v>0</v>
          </cell>
          <cell r="K316">
            <v>32</v>
          </cell>
        </row>
        <row r="317">
          <cell r="A317" t="str">
            <v>6Y-5685</v>
          </cell>
          <cell r="B317" t="str">
            <v xml:space="preserve">CAT 336F L (RKB)                                            </v>
          </cell>
          <cell r="C317" t="str">
            <v>TRACK SPROCKET</v>
          </cell>
          <cell r="D317">
            <v>1567.41</v>
          </cell>
          <cell r="E317">
            <v>783.71</v>
          </cell>
          <cell r="F317" t="str">
            <v>UC</v>
          </cell>
          <cell r="G317">
            <v>2</v>
          </cell>
          <cell r="H317">
            <v>0</v>
          </cell>
          <cell r="I317">
            <v>0</v>
          </cell>
          <cell r="J317">
            <v>0</v>
          </cell>
          <cell r="K317">
            <v>2</v>
          </cell>
        </row>
        <row r="318">
          <cell r="A318" t="str">
            <v>6Y-6300</v>
          </cell>
          <cell r="B318" t="str">
            <v xml:space="preserve">CAT D6 (RDC)                                            </v>
          </cell>
          <cell r="C318" t="str">
            <v>MASTER SHOE</v>
          </cell>
          <cell r="D318">
            <v>240.45</v>
          </cell>
          <cell r="E318">
            <v>120.23</v>
          </cell>
          <cell r="F318" t="str">
            <v>UC</v>
          </cell>
          <cell r="G318">
            <v>2</v>
          </cell>
          <cell r="H318">
            <v>0</v>
          </cell>
          <cell r="I318">
            <v>0</v>
          </cell>
          <cell r="J318">
            <v>0</v>
          </cell>
          <cell r="K318">
            <v>2</v>
          </cell>
        </row>
        <row r="319">
          <cell r="A319" t="str">
            <v>6Y-8180</v>
          </cell>
          <cell r="B319" t="str">
            <v xml:space="preserve">CAT 336F L (RKB)                                            </v>
          </cell>
          <cell r="C319" t="str">
            <v>TRACK SHOE 850MM</v>
          </cell>
          <cell r="D319">
            <v>260.58</v>
          </cell>
          <cell r="E319">
            <v>130.29</v>
          </cell>
          <cell r="F319" t="str">
            <v>UC</v>
          </cell>
          <cell r="G319">
            <v>98</v>
          </cell>
          <cell r="H319">
            <v>0</v>
          </cell>
          <cell r="I319">
            <v>0</v>
          </cell>
          <cell r="J319">
            <v>0</v>
          </cell>
          <cell r="K319">
            <v>98</v>
          </cell>
        </row>
        <row r="320">
          <cell r="A320" t="str">
            <v>6Y-8973</v>
          </cell>
          <cell r="B320" t="str">
            <v xml:space="preserve">CAT D6 (RDC)                                            </v>
          </cell>
          <cell r="C320" t="str">
            <v>TRACK SHOE</v>
          </cell>
          <cell r="D320">
            <v>185.5</v>
          </cell>
          <cell r="E320">
            <v>92.75</v>
          </cell>
          <cell r="F320" t="str">
            <v>UC</v>
          </cell>
          <cell r="G320">
            <v>90</v>
          </cell>
          <cell r="H320">
            <v>0</v>
          </cell>
          <cell r="I320">
            <v>0</v>
          </cell>
          <cell r="J320">
            <v>0</v>
          </cell>
          <cell r="K320">
            <v>90</v>
          </cell>
        </row>
        <row r="321">
          <cell r="A321" t="str">
            <v>6Y-9024</v>
          </cell>
          <cell r="B321" t="str">
            <v xml:space="preserve">CAT 330 (LHW) CAT 330 (LHW) (2) CAT 330 (LHW) (3) CAT 330 (LHW) (4) CAT 330 (WCH) CAT 330 (WCH) (2) CAT 330 (WCH) (3) CAT 330 (WCH) (4) CAT 330 (WCH) (5) CAT 330 (WCH) (6)                          </v>
          </cell>
          <cell r="C321" t="str">
            <v>TRACK BOLT</v>
          </cell>
          <cell r="D321">
            <v>8.3699999999999992</v>
          </cell>
          <cell r="E321">
            <v>4.1900000000000004</v>
          </cell>
          <cell r="F321" t="str">
            <v>UC</v>
          </cell>
          <cell r="G321">
            <v>4000</v>
          </cell>
          <cell r="H321">
            <v>0</v>
          </cell>
          <cell r="I321">
            <v>0</v>
          </cell>
          <cell r="J321">
            <v>0</v>
          </cell>
          <cell r="K321">
            <v>4000</v>
          </cell>
        </row>
        <row r="322">
          <cell r="A322" t="str">
            <v>7E-9980</v>
          </cell>
          <cell r="B322" t="str">
            <v xml:space="preserve">CAT D7G (92V) CAT D7G (3ZD) CAT D7G (3ZD) (2)                                        </v>
          </cell>
          <cell r="C322" t="str">
            <v>CAMSHAFT ASSY</v>
          </cell>
          <cell r="D322">
            <v>3141.67</v>
          </cell>
          <cell r="E322">
            <v>1570.84</v>
          </cell>
          <cell r="F322" t="str">
            <v>ENGINE</v>
          </cell>
          <cell r="G322">
            <v>3</v>
          </cell>
          <cell r="H322">
            <v>0</v>
          </cell>
          <cell r="I322">
            <v>0</v>
          </cell>
          <cell r="J322">
            <v>0</v>
          </cell>
          <cell r="K322">
            <v>3</v>
          </cell>
        </row>
        <row r="323">
          <cell r="A323" t="str">
            <v>7H-3597</v>
          </cell>
          <cell r="B323" t="str">
            <v xml:space="preserve">CAT 561 (85H) CAT 561 (92J) CAT 561 (92J) (2)                                        </v>
          </cell>
          <cell r="C323" t="str">
            <v>BOLT TRACK SHOE</v>
          </cell>
          <cell r="D323">
            <v>2.84</v>
          </cell>
          <cell r="E323">
            <v>1.42</v>
          </cell>
          <cell r="F323" t="str">
            <v>UC</v>
          </cell>
          <cell r="G323">
            <v>1086</v>
          </cell>
          <cell r="H323">
            <v>0</v>
          </cell>
          <cell r="I323">
            <v>0</v>
          </cell>
          <cell r="J323">
            <v>0</v>
          </cell>
          <cell r="K323">
            <v>1086</v>
          </cell>
        </row>
        <row r="324">
          <cell r="A324" t="str">
            <v>7h-3599</v>
          </cell>
          <cell r="B324" t="str">
            <v xml:space="preserve">CAT D7G (92V) CAT D7G (3ZD) CAT D7G (3ZD) (2)                                        </v>
          </cell>
          <cell r="C324" t="str">
            <v>TRACK BOLT</v>
          </cell>
          <cell r="D324">
            <v>4.01</v>
          </cell>
          <cell r="E324">
            <v>2.0099999999999998</v>
          </cell>
          <cell r="F324" t="str">
            <v>UC</v>
          </cell>
          <cell r="G324">
            <v>888</v>
          </cell>
          <cell r="H324">
            <v>0</v>
          </cell>
          <cell r="I324">
            <v>0</v>
          </cell>
          <cell r="J324">
            <v>0</v>
          </cell>
          <cell r="K324">
            <v>888</v>
          </cell>
        </row>
        <row r="325">
          <cell r="A325" t="str">
            <v>7H-3607</v>
          </cell>
          <cell r="B325" t="str">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ell>
          <cell r="C325" t="str">
            <v>SPROCKET NUT</v>
          </cell>
          <cell r="D325">
            <v>3.41</v>
          </cell>
          <cell r="E325">
            <v>1.71</v>
          </cell>
          <cell r="F325" t="str">
            <v>UC</v>
          </cell>
          <cell r="G325">
            <v>1064</v>
          </cell>
          <cell r="H325">
            <v>0</v>
          </cell>
          <cell r="I325">
            <v>0</v>
          </cell>
          <cell r="J325">
            <v>0</v>
          </cell>
          <cell r="K325">
            <v>1064</v>
          </cell>
        </row>
        <row r="326">
          <cell r="A326" t="str">
            <v>7K-2017</v>
          </cell>
          <cell r="B326" t="str">
            <v xml:space="preserve">CAT D3 (1PJ)                                            </v>
          </cell>
          <cell r="C326" t="str">
            <v>TRACK NUT</v>
          </cell>
          <cell r="D326">
            <v>1.47</v>
          </cell>
          <cell r="E326">
            <v>0.74</v>
          </cell>
          <cell r="F326" t="str">
            <v>UC</v>
          </cell>
          <cell r="G326">
            <v>344</v>
          </cell>
          <cell r="H326">
            <v>0</v>
          </cell>
          <cell r="I326">
            <v>0</v>
          </cell>
          <cell r="J326">
            <v>0</v>
          </cell>
          <cell r="K326">
            <v>344</v>
          </cell>
        </row>
        <row r="327">
          <cell r="A327" t="str">
            <v>7N-2515</v>
          </cell>
          <cell r="B327" t="str">
            <v xml:space="preserve">CAT D7G (92V) CAT D7G (3ZD) CAT D7G (3ZD) (2)                                        </v>
          </cell>
          <cell r="C327" t="str">
            <v>TURBOCHARGER</v>
          </cell>
          <cell r="D327">
            <v>6518.5</v>
          </cell>
          <cell r="E327">
            <v>3259.25</v>
          </cell>
          <cell r="F327" t="str">
            <v>ENGINE</v>
          </cell>
          <cell r="G327">
            <v>3</v>
          </cell>
          <cell r="H327">
            <v>0</v>
          </cell>
          <cell r="I327">
            <v>0</v>
          </cell>
          <cell r="J327">
            <v>0</v>
          </cell>
          <cell r="K327">
            <v>3</v>
          </cell>
        </row>
        <row r="328">
          <cell r="A328" t="str">
            <v>7T-3501</v>
          </cell>
          <cell r="B328" t="str">
            <v xml:space="preserve">CAT 561 (85H) CAT 561 (92J) CAT 561 (92J) (2)                                        </v>
          </cell>
          <cell r="C328" t="str">
            <v>IDLER AS</v>
          </cell>
          <cell r="D328">
            <v>2106.39</v>
          </cell>
          <cell r="E328">
            <v>1053.2</v>
          </cell>
          <cell r="F328" t="str">
            <v>UC</v>
          </cell>
          <cell r="G328">
            <v>12</v>
          </cell>
          <cell r="H328">
            <v>0</v>
          </cell>
          <cell r="I328">
            <v>0</v>
          </cell>
          <cell r="J328">
            <v>0</v>
          </cell>
          <cell r="K328">
            <v>12</v>
          </cell>
        </row>
        <row r="329">
          <cell r="A329" t="str">
            <v>7W-5317</v>
          </cell>
          <cell r="B329" t="str">
            <v xml:space="preserve">CAT D7G (92V) CAT D7G (3ZD) CAT D7G (3ZD) (2) CAT 561 (85H) CAT 561 (92J) CAT 561 (92J) (2)                                  </v>
          </cell>
          <cell r="C329" t="str">
            <v>PRIMARY AIR FILTER ELEMENT</v>
          </cell>
          <cell r="D329">
            <v>143.6</v>
          </cell>
          <cell r="E329">
            <v>54.57</v>
          </cell>
          <cell r="F329" t="str">
            <v>FILTER</v>
          </cell>
          <cell r="G329">
            <v>6</v>
          </cell>
          <cell r="H329">
            <v>6</v>
          </cell>
          <cell r="I329">
            <v>0</v>
          </cell>
          <cell r="J329">
            <v>6</v>
          </cell>
          <cell r="K329">
            <v>18</v>
          </cell>
        </row>
        <row r="330">
          <cell r="A330" t="str">
            <v>7W-5389</v>
          </cell>
          <cell r="B330" t="str">
            <v xml:space="preserve">CAT D4 (66J)                                            </v>
          </cell>
          <cell r="C330" t="str">
            <v>PRIMARY AIR FILTER ELEMENT</v>
          </cell>
          <cell r="D330">
            <v>125.6</v>
          </cell>
          <cell r="E330">
            <v>47.73</v>
          </cell>
          <cell r="F330" t="str">
            <v>FILTER</v>
          </cell>
          <cell r="G330">
            <v>1</v>
          </cell>
          <cell r="H330">
            <v>1</v>
          </cell>
          <cell r="I330">
            <v>0</v>
          </cell>
          <cell r="J330">
            <v>1</v>
          </cell>
          <cell r="K330">
            <v>3</v>
          </cell>
        </row>
        <row r="331">
          <cell r="A331" t="str">
            <v>7W-8910</v>
          </cell>
          <cell r="B331" t="str">
            <v xml:space="preserve">CAT D7G (92V) CAT D7G (3ZD) CAT D7G (3ZD) (2)                                        </v>
          </cell>
          <cell r="C331" t="str">
            <v>FUEL FILTER</v>
          </cell>
          <cell r="D331">
            <v>43.78</v>
          </cell>
          <cell r="E331">
            <v>16.64</v>
          </cell>
          <cell r="F331" t="str">
            <v>FILTER</v>
          </cell>
          <cell r="G331">
            <v>6</v>
          </cell>
          <cell r="H331">
            <v>3</v>
          </cell>
          <cell r="I331">
            <v>3</v>
          </cell>
          <cell r="J331">
            <v>3</v>
          </cell>
          <cell r="K331">
            <v>15</v>
          </cell>
        </row>
        <row r="332">
          <cell r="A332" t="str">
            <v>7X-0515</v>
          </cell>
          <cell r="B332" t="str">
            <v xml:space="preserve">CAT 303.5E                                            </v>
          </cell>
          <cell r="C332" t="str">
            <v>TRACK WASHER</v>
          </cell>
          <cell r="D332">
            <v>5.59</v>
          </cell>
          <cell r="E332">
            <v>2.8</v>
          </cell>
          <cell r="F332" t="str">
            <v>UC</v>
          </cell>
          <cell r="G332">
            <v>20</v>
          </cell>
          <cell r="H332">
            <v>0</v>
          </cell>
          <cell r="I332">
            <v>0</v>
          </cell>
          <cell r="J332">
            <v>0</v>
          </cell>
          <cell r="K332">
            <v>20</v>
          </cell>
        </row>
        <row r="333">
          <cell r="A333" t="str">
            <v>7X-2532</v>
          </cell>
          <cell r="B333" t="str">
            <v xml:space="preserve">CAT D6N LGP (PBA) CAT D6N LGP (PBA) (2) CAT D6N LGP (SGG) CAT D6N LGP (SGG) (2)                                      </v>
          </cell>
          <cell r="C333" t="str">
            <v>CARRIER BOLT</v>
          </cell>
          <cell r="D333">
            <v>31.3</v>
          </cell>
          <cell r="E333">
            <v>15.65</v>
          </cell>
          <cell r="F333" t="str">
            <v>UC</v>
          </cell>
          <cell r="G333">
            <v>16</v>
          </cell>
          <cell r="H333">
            <v>0</v>
          </cell>
          <cell r="I333">
            <v>0</v>
          </cell>
          <cell r="J333">
            <v>0</v>
          </cell>
          <cell r="K333">
            <v>16</v>
          </cell>
        </row>
        <row r="334">
          <cell r="A334" t="str">
            <v>8E-5600</v>
          </cell>
          <cell r="B334" t="str">
            <v xml:space="preserve">CAT 320E L (WBK) CAT 320E L (WBK) (2) CAT 320F L (YBM) CAT 320 (HEX) CAT 320 (MYK) CAT 320 (MYK) (2)                                  </v>
          </cell>
          <cell r="C334" t="str">
            <v>CARRIER ROLLER</v>
          </cell>
          <cell r="D334">
            <v>537.45000000000005</v>
          </cell>
          <cell r="E334">
            <v>268.73</v>
          </cell>
          <cell r="F334" t="str">
            <v>UC</v>
          </cell>
          <cell r="G334">
            <v>24</v>
          </cell>
          <cell r="H334">
            <v>0</v>
          </cell>
          <cell r="I334">
            <v>0</v>
          </cell>
          <cell r="J334">
            <v>0</v>
          </cell>
          <cell r="K334">
            <v>24</v>
          </cell>
        </row>
        <row r="335">
          <cell r="A335" t="str">
            <v>8E-6208</v>
          </cell>
          <cell r="B335" t="str">
            <v xml:space="preserve">CAT D3 (1PJ)                                            </v>
          </cell>
          <cell r="C335" t="str">
            <v>G.E.T PIN</v>
          </cell>
          <cell r="D335">
            <v>4.38</v>
          </cell>
          <cell r="E335">
            <v>1.66</v>
          </cell>
          <cell r="F335" t="str">
            <v>GET</v>
          </cell>
          <cell r="G335">
            <v>1</v>
          </cell>
          <cell r="H335">
            <v>0</v>
          </cell>
          <cell r="I335">
            <v>0</v>
          </cell>
          <cell r="J335">
            <v>0</v>
          </cell>
          <cell r="K335">
            <v>1</v>
          </cell>
        </row>
        <row r="336">
          <cell r="A336" t="str">
            <v>8E-6209</v>
          </cell>
          <cell r="B336" t="str">
            <v xml:space="preserve">CAT D3 (1PJ)                                            </v>
          </cell>
          <cell r="C336" t="str">
            <v>TIP PIN RETAINER</v>
          </cell>
          <cell r="D336">
            <v>9.4499999999999993</v>
          </cell>
          <cell r="E336">
            <v>3.59</v>
          </cell>
          <cell r="F336" t="str">
            <v>GET</v>
          </cell>
          <cell r="G336">
            <v>1</v>
          </cell>
          <cell r="H336">
            <v>0</v>
          </cell>
          <cell r="I336">
            <v>0</v>
          </cell>
          <cell r="J336">
            <v>0</v>
          </cell>
          <cell r="K336">
            <v>1</v>
          </cell>
        </row>
        <row r="337">
          <cell r="A337" t="str">
            <v>8E-9378</v>
          </cell>
          <cell r="B337" t="str">
            <v xml:space="preserve">CAT D6N LGP (GHS) CAT D6N LGP (PBA) CAT D6N LGP (PBA) (2) CAT D6N LGP (SGG) CAT D6N LGP (SGG) (2)                                    </v>
          </cell>
          <cell r="C337" t="str">
            <v>END BIT LH</v>
          </cell>
          <cell r="D337">
            <v>160.9</v>
          </cell>
          <cell r="E337">
            <v>61.14</v>
          </cell>
          <cell r="F337" t="str">
            <v>GET</v>
          </cell>
          <cell r="G337">
            <v>5</v>
          </cell>
          <cell r="H337">
            <v>0</v>
          </cell>
          <cell r="I337">
            <v>0</v>
          </cell>
          <cell r="J337">
            <v>0</v>
          </cell>
          <cell r="K337">
            <v>5</v>
          </cell>
        </row>
        <row r="338">
          <cell r="A338" t="str">
            <v>8E-9379</v>
          </cell>
          <cell r="B338" t="str">
            <v xml:space="preserve">CAT D6N LGP (GHS) CAT D6N LGP (PBA) CAT D6N LGP (PBA) (2) CAT D6N LGP (SGG) CAT D6N LGP (SGG) (2)                                    </v>
          </cell>
          <cell r="C338" t="str">
            <v>END BIT RH</v>
          </cell>
          <cell r="D338">
            <v>160.9</v>
          </cell>
          <cell r="E338">
            <v>61.14</v>
          </cell>
          <cell r="F338" t="str">
            <v>GET</v>
          </cell>
          <cell r="G338">
            <v>5</v>
          </cell>
          <cell r="H338">
            <v>0</v>
          </cell>
          <cell r="I338">
            <v>0</v>
          </cell>
          <cell r="J338">
            <v>0</v>
          </cell>
          <cell r="K338">
            <v>5</v>
          </cell>
        </row>
        <row r="339">
          <cell r="A339" t="str">
            <v>8E-9805</v>
          </cell>
          <cell r="B339" t="str">
            <v xml:space="preserve">CAT 320E L (WBK) CAT 320E L (WBK) (2) CAT 320F L (YBM) CAT 320 (HEX) CAT 320 (MYK) CAT 320 (MYK) (2)                                  </v>
          </cell>
          <cell r="C339" t="str">
            <v>TRACK SPROCKET</v>
          </cell>
          <cell r="D339">
            <v>1064.58</v>
          </cell>
          <cell r="E339">
            <v>532.29</v>
          </cell>
          <cell r="F339" t="str">
            <v>UC</v>
          </cell>
          <cell r="G339">
            <v>12</v>
          </cell>
          <cell r="H339">
            <v>0</v>
          </cell>
          <cell r="I339">
            <v>0</v>
          </cell>
          <cell r="J339">
            <v>0</v>
          </cell>
          <cell r="K339">
            <v>12</v>
          </cell>
        </row>
        <row r="340">
          <cell r="A340" t="str">
            <v>8E-9812</v>
          </cell>
          <cell r="B340" t="str">
            <v xml:space="preserve">CAT 561M (1KW)                                            </v>
          </cell>
          <cell r="C340" t="str">
            <v>TRACK SHOE</v>
          </cell>
          <cell r="D340">
            <v>89.36</v>
          </cell>
          <cell r="E340">
            <v>44.68</v>
          </cell>
          <cell r="F340" t="str">
            <v>UC</v>
          </cell>
          <cell r="G340">
            <v>88</v>
          </cell>
          <cell r="H340">
            <v>0</v>
          </cell>
          <cell r="I340">
            <v>0</v>
          </cell>
          <cell r="J340">
            <v>0</v>
          </cell>
          <cell r="K340">
            <v>88</v>
          </cell>
        </row>
        <row r="341">
          <cell r="A341" t="str">
            <v>8H-5724</v>
          </cell>
          <cell r="B341" t="str">
            <v xml:space="preserve">CAT D3 (1PJ)                                            </v>
          </cell>
          <cell r="C341" t="str">
            <v>SPROCKET NUT</v>
          </cell>
          <cell r="D341">
            <v>0.67</v>
          </cell>
          <cell r="E341">
            <v>0.34</v>
          </cell>
          <cell r="F341" t="str">
            <v>UC</v>
          </cell>
          <cell r="G341">
            <v>50</v>
          </cell>
          <cell r="H341">
            <v>0</v>
          </cell>
          <cell r="I341">
            <v>0</v>
          </cell>
          <cell r="J341">
            <v>0</v>
          </cell>
          <cell r="K341">
            <v>50</v>
          </cell>
        </row>
        <row r="342">
          <cell r="A342" t="str">
            <v>8J-2190</v>
          </cell>
          <cell r="B342" t="str">
            <v xml:space="preserve">CAT D6N LGP (PBA) CAT D6N LGP (PBA) (2) CAT D6N LGP (SGG) CAT D6N LGP (SGG) (2) CAT D6T (MH7)                                    </v>
          </cell>
          <cell r="C342" t="str">
            <v>RIPPER PIN</v>
          </cell>
          <cell r="D342">
            <v>164.9</v>
          </cell>
          <cell r="E342">
            <v>62.66</v>
          </cell>
          <cell r="F342" t="str">
            <v>GET</v>
          </cell>
          <cell r="G342">
            <v>15</v>
          </cell>
          <cell r="H342">
            <v>0</v>
          </cell>
          <cell r="I342">
            <v>0</v>
          </cell>
          <cell r="J342">
            <v>0</v>
          </cell>
          <cell r="K342">
            <v>15</v>
          </cell>
        </row>
        <row r="343">
          <cell r="A343" t="str">
            <v>8J-5299</v>
          </cell>
          <cell r="B343" t="str">
            <v xml:space="preserve">CAT D3 (1PJ)                                            </v>
          </cell>
          <cell r="C343" t="str">
            <v>RIPPER SHANK</v>
          </cell>
          <cell r="D343">
            <v>446.79</v>
          </cell>
          <cell r="E343">
            <v>169.78</v>
          </cell>
          <cell r="F343" t="str">
            <v>GET</v>
          </cell>
          <cell r="G343">
            <v>1</v>
          </cell>
          <cell r="H343">
            <v>0</v>
          </cell>
          <cell r="I343">
            <v>0</v>
          </cell>
          <cell r="J343">
            <v>0</v>
          </cell>
          <cell r="K343">
            <v>1</v>
          </cell>
        </row>
        <row r="344">
          <cell r="A344" t="str">
            <v>8N-1187</v>
          </cell>
          <cell r="B344" t="str">
            <v xml:space="preserve">CAT D7G (92V) CAT D7G (3ZD) CAT D7G (3ZD) (2)                                        </v>
          </cell>
          <cell r="C344" t="str">
            <v>CYLINDER HEAD</v>
          </cell>
          <cell r="D344">
            <v>7409.03</v>
          </cell>
          <cell r="E344">
            <v>3704.52</v>
          </cell>
          <cell r="F344" t="str">
            <v>ENGINE</v>
          </cell>
          <cell r="G344">
            <v>3</v>
          </cell>
          <cell r="H344">
            <v>0</v>
          </cell>
          <cell r="I344">
            <v>0</v>
          </cell>
          <cell r="J344">
            <v>0</v>
          </cell>
          <cell r="K344">
            <v>3</v>
          </cell>
        </row>
        <row r="345">
          <cell r="A345" t="str">
            <v>8N-7005</v>
          </cell>
          <cell r="B345" t="str">
            <v xml:space="preserve">CAT D7G (92V) CAT D7G (3ZD) CAT D7G (3ZD) (2)                                        </v>
          </cell>
          <cell r="C345" t="str">
            <v>INJECTORS</v>
          </cell>
          <cell r="D345">
            <v>500.81</v>
          </cell>
          <cell r="E345">
            <v>250.41</v>
          </cell>
          <cell r="F345" t="str">
            <v>ENGINE</v>
          </cell>
          <cell r="G345">
            <v>18</v>
          </cell>
          <cell r="H345">
            <v>0</v>
          </cell>
          <cell r="I345">
            <v>0</v>
          </cell>
          <cell r="J345">
            <v>0</v>
          </cell>
          <cell r="K345">
            <v>18</v>
          </cell>
        </row>
        <row r="346">
          <cell r="A346" t="str">
            <v>8N-8796</v>
          </cell>
          <cell r="B346" t="str">
            <v xml:space="preserve">CAT 561 (85H) CAT 561 (92J) CAT 561 (92J) (2)                                        </v>
          </cell>
          <cell r="C346" t="str">
            <v>FUEL INJECTOR</v>
          </cell>
          <cell r="D346">
            <v>167.77</v>
          </cell>
          <cell r="E346">
            <v>83.89</v>
          </cell>
          <cell r="F346" t="str">
            <v>ENGINE</v>
          </cell>
          <cell r="G346">
            <v>18</v>
          </cell>
          <cell r="H346">
            <v>0</v>
          </cell>
          <cell r="I346">
            <v>0</v>
          </cell>
          <cell r="J346">
            <v>0</v>
          </cell>
          <cell r="K346">
            <v>18</v>
          </cell>
        </row>
        <row r="347">
          <cell r="A347" t="str">
            <v>8N-9803</v>
          </cell>
          <cell r="B347" t="str">
            <v xml:space="preserve">CAT D4 (66J)                                            </v>
          </cell>
          <cell r="C347" t="str">
            <v>FUEL WATER SEPARATOR</v>
          </cell>
          <cell r="D347">
            <v>60.68</v>
          </cell>
          <cell r="E347">
            <v>23.06</v>
          </cell>
          <cell r="F347" t="str">
            <v>FILTER</v>
          </cell>
          <cell r="G347">
            <v>3</v>
          </cell>
          <cell r="H347">
            <v>2</v>
          </cell>
          <cell r="I347">
            <v>3</v>
          </cell>
          <cell r="J347">
            <v>2</v>
          </cell>
          <cell r="K347">
            <v>10</v>
          </cell>
        </row>
        <row r="348">
          <cell r="A348" t="str">
            <v>8P-8174</v>
          </cell>
          <cell r="B348" t="str">
            <v xml:space="preserve">CAT D7G (92V) CAT D7G (3ZD) CAT D7G (3ZD) (2)                                        </v>
          </cell>
          <cell r="C348" t="str">
            <v>SPROCKET SEGMENT</v>
          </cell>
          <cell r="D348">
            <v>111.66</v>
          </cell>
          <cell r="E348">
            <v>55.83</v>
          </cell>
          <cell r="F348" t="str">
            <v>UC</v>
          </cell>
          <cell r="G348">
            <v>30</v>
          </cell>
          <cell r="H348">
            <v>0</v>
          </cell>
          <cell r="I348">
            <v>0</v>
          </cell>
          <cell r="J348">
            <v>0</v>
          </cell>
          <cell r="K348">
            <v>30</v>
          </cell>
        </row>
        <row r="349">
          <cell r="A349" t="str">
            <v>8S8039</v>
          </cell>
          <cell r="B349" t="str">
            <v xml:space="preserve">CAT 561 (85H) CAT 561 (92J) CAT 561 (92J) (2)                                        </v>
          </cell>
          <cell r="C349" t="str">
            <v>TURBOCHARGER</v>
          </cell>
          <cell r="D349">
            <v>8878.77</v>
          </cell>
          <cell r="E349">
            <v>4439.3900000000003</v>
          </cell>
          <cell r="F349" t="str">
            <v>ENGINE</v>
          </cell>
          <cell r="G349">
            <v>3</v>
          </cell>
          <cell r="H349">
            <v>0</v>
          </cell>
          <cell r="I349">
            <v>0</v>
          </cell>
          <cell r="J349">
            <v>0</v>
          </cell>
          <cell r="K349">
            <v>3</v>
          </cell>
        </row>
        <row r="350">
          <cell r="A350" t="str">
            <v>8T-0281</v>
          </cell>
          <cell r="B350" t="str">
            <v xml:space="preserve">CAT D6N LGP (PBA) CAT D6N LGP (PBA) (2) CAT D6N LGP (SGG) CAT D6N LGP (SGG) (2)                                      </v>
          </cell>
          <cell r="C350" t="str">
            <v>ROLLER BOLT</v>
          </cell>
          <cell r="D350">
            <v>8.73</v>
          </cell>
          <cell r="E350">
            <v>4.37</v>
          </cell>
          <cell r="F350" t="str">
            <v>UC</v>
          </cell>
          <cell r="G350">
            <v>256</v>
          </cell>
          <cell r="H350">
            <v>0</v>
          </cell>
          <cell r="I350">
            <v>0</v>
          </cell>
          <cell r="J350">
            <v>0</v>
          </cell>
          <cell r="K350">
            <v>256</v>
          </cell>
        </row>
        <row r="351">
          <cell r="A351" t="str">
            <v>8T-0282</v>
          </cell>
          <cell r="B351" t="str">
            <v xml:space="preserve">CAT D6N LGP (SGG) CAT D6N LGP (SGG) (2) CAT 561M (1KW)                                        </v>
          </cell>
          <cell r="C351" t="str">
            <v>IDLER CAP BOLT - REAR</v>
          </cell>
          <cell r="D351">
            <v>12.9</v>
          </cell>
          <cell r="E351">
            <v>6.45</v>
          </cell>
          <cell r="F351" t="str">
            <v>UC</v>
          </cell>
          <cell r="G351">
            <v>32</v>
          </cell>
          <cell r="H351">
            <v>0</v>
          </cell>
          <cell r="I351">
            <v>0</v>
          </cell>
          <cell r="J351">
            <v>0</v>
          </cell>
          <cell r="K351">
            <v>32</v>
          </cell>
        </row>
        <row r="352">
          <cell r="A352" t="str">
            <v>8T-0359</v>
          </cell>
          <cell r="B352" t="str">
            <v xml:space="preserve">CAT D6N LGP (SGG) CAT D6N LGP (SGG) (2)                                          </v>
          </cell>
          <cell r="C352" t="str">
            <v xml:space="preserve">IDLER CAP BOLT - FRONT </v>
          </cell>
          <cell r="D352">
            <v>14.24</v>
          </cell>
          <cell r="E352">
            <v>7.12</v>
          </cell>
          <cell r="F352" t="str">
            <v>UC</v>
          </cell>
          <cell r="G352">
            <v>16</v>
          </cell>
          <cell r="H352">
            <v>0</v>
          </cell>
          <cell r="I352">
            <v>0</v>
          </cell>
          <cell r="J352">
            <v>0</v>
          </cell>
          <cell r="K352">
            <v>16</v>
          </cell>
        </row>
        <row r="353">
          <cell r="A353" t="str">
            <v>8T-0656</v>
          </cell>
          <cell r="B353" t="str">
            <v xml:space="preserve">CAT D6 (RDC)                                            </v>
          </cell>
          <cell r="C353" t="str">
            <v>IDLER BOLT</v>
          </cell>
          <cell r="D353">
            <v>25.19</v>
          </cell>
          <cell r="E353">
            <v>12.6</v>
          </cell>
          <cell r="F353" t="str">
            <v>UC</v>
          </cell>
          <cell r="G353">
            <v>16</v>
          </cell>
          <cell r="H353">
            <v>0</v>
          </cell>
          <cell r="I353">
            <v>0</v>
          </cell>
          <cell r="J353">
            <v>0</v>
          </cell>
          <cell r="K353">
            <v>16</v>
          </cell>
        </row>
        <row r="354">
          <cell r="A354" t="str">
            <v>8T-3282</v>
          </cell>
          <cell r="B354" t="str">
            <v xml:space="preserve">CAT 329E L (ZCD) CAT 329F L (ERL) CAT 329F L (ERL) (2) CAT 330F L (MBX) CAT 330F L (HCK) CAT 330F L (HCK) (2) CAT 330 (LHW) CAT 330 (LHW) (2) CAT 330 (LHW) (3) CAT 330 (LHW) (4) CAT 330 (WCH) CAT 330 (WCH) (2) CAT 330 (WCH) (3) CAT 330 (WCH) (4) CAT 330 (WCH) (5) CAT 330 (WCH) (6) CAT D6T (MH7) CAT D6T (MH7)          </v>
          </cell>
          <cell r="C354" t="str">
            <v>FLAT WASHER</v>
          </cell>
          <cell r="D354">
            <v>2.83</v>
          </cell>
          <cell r="E354">
            <v>1.42</v>
          </cell>
          <cell r="F354" t="str">
            <v>UC</v>
          </cell>
          <cell r="G354">
            <v>656</v>
          </cell>
          <cell r="H354">
            <v>0</v>
          </cell>
          <cell r="I354">
            <v>0</v>
          </cell>
          <cell r="J354">
            <v>0</v>
          </cell>
          <cell r="K354">
            <v>656</v>
          </cell>
        </row>
        <row r="355">
          <cell r="A355" t="str">
            <v>8T-4123</v>
          </cell>
          <cell r="B355" t="str">
            <v xml:space="preserve">CAT D6 (RDC) CAT D6N LGP (PBA) CAT D6N LGP (PBA) (2) CAT D6N LGP (SGG) CAT D6N LGP (SGG) (2) CAT D6T (MH7)                                  </v>
          </cell>
          <cell r="C355" t="str">
            <v>FLAT WASHER</v>
          </cell>
          <cell r="D355">
            <v>3.56</v>
          </cell>
          <cell r="E355">
            <v>1.78</v>
          </cell>
          <cell r="F355" t="str">
            <v>UC</v>
          </cell>
          <cell r="G355">
            <v>40</v>
          </cell>
          <cell r="H355">
            <v>0</v>
          </cell>
          <cell r="I355">
            <v>0</v>
          </cell>
          <cell r="J355">
            <v>0</v>
          </cell>
          <cell r="K355">
            <v>40</v>
          </cell>
        </row>
        <row r="356">
          <cell r="A356" t="str">
            <v>8T-4131</v>
          </cell>
          <cell r="B356" t="str">
            <v xml:space="preserve">CAT D6N LGP (PBA) CAT D6N LGP (PBA) (2) CAT D6N LGP (SGG) CAT D6N LGP (SGG) (2)                                      </v>
          </cell>
          <cell r="C356" t="str">
            <v>HEX NUT</v>
          </cell>
          <cell r="D356">
            <v>6.85</v>
          </cell>
          <cell r="E356">
            <v>3.43</v>
          </cell>
          <cell r="F356" t="str">
            <v>UC</v>
          </cell>
          <cell r="G356">
            <v>16</v>
          </cell>
          <cell r="H356">
            <v>0</v>
          </cell>
          <cell r="I356">
            <v>0</v>
          </cell>
          <cell r="J356">
            <v>0</v>
          </cell>
          <cell r="K356">
            <v>16</v>
          </cell>
        </row>
        <row r="357">
          <cell r="A357" t="str">
            <v>8T-4132</v>
          </cell>
          <cell r="B357" t="str">
            <v xml:space="preserve">CAT 303.5E                                            </v>
          </cell>
          <cell r="C357" t="str">
            <v>CARIER NUT</v>
          </cell>
          <cell r="D357">
            <v>3.77</v>
          </cell>
          <cell r="E357">
            <v>1.89</v>
          </cell>
          <cell r="F357" t="str">
            <v>UC</v>
          </cell>
          <cell r="G357">
            <v>4</v>
          </cell>
          <cell r="H357">
            <v>0</v>
          </cell>
          <cell r="I357">
            <v>0</v>
          </cell>
          <cell r="J357">
            <v>0</v>
          </cell>
          <cell r="K357">
            <v>4</v>
          </cell>
        </row>
        <row r="358">
          <cell r="A358" t="str">
            <v>8T-4192</v>
          </cell>
          <cell r="B358" t="str">
            <v xml:space="preserve">CAT D6N LGP (GHS) CAT D6N LGP (PBA) CAT D6N LGP (PBA) (2) CAT D6N LGP (SGG) CAT D6N LGP (SGG) (2)                                    </v>
          </cell>
          <cell r="C358" t="str">
            <v>HEX HEAD BOLT</v>
          </cell>
          <cell r="D358">
            <v>2.42</v>
          </cell>
          <cell r="E358">
            <v>1.21</v>
          </cell>
          <cell r="F358" t="str">
            <v>UC</v>
          </cell>
          <cell r="G358">
            <v>120</v>
          </cell>
          <cell r="H358">
            <v>0</v>
          </cell>
          <cell r="I358">
            <v>0</v>
          </cell>
          <cell r="J358">
            <v>0</v>
          </cell>
          <cell r="K358">
            <v>120</v>
          </cell>
        </row>
        <row r="359">
          <cell r="A359" t="str">
            <v>8T-4223</v>
          </cell>
          <cell r="B359" t="str">
            <v xml:space="preserve">CAT D6N LGP (GHS) CAT D6N LGP (PBA) CAT D6N LGP (PBA) (2) CAT D6N LGP (SGG) CAT D6N LGP (SGG) (2)                                    </v>
          </cell>
          <cell r="C359" t="str">
            <v>FLAT WASHER</v>
          </cell>
          <cell r="D359">
            <v>2.15</v>
          </cell>
          <cell r="E359">
            <v>1.08</v>
          </cell>
          <cell r="F359" t="str">
            <v>UC</v>
          </cell>
          <cell r="G359">
            <v>132</v>
          </cell>
          <cell r="H359">
            <v>0</v>
          </cell>
          <cell r="I359">
            <v>0</v>
          </cell>
          <cell r="J359">
            <v>0</v>
          </cell>
          <cell r="K359">
            <v>132</v>
          </cell>
        </row>
        <row r="360">
          <cell r="A360" t="str">
            <v>8T-6430</v>
          </cell>
          <cell r="B360" t="str">
            <v xml:space="preserve">CAT 336F L (RKB)                                            </v>
          </cell>
          <cell r="C360" t="str">
            <v>IDLER BOLT</v>
          </cell>
          <cell r="D360">
            <v>12.21</v>
          </cell>
          <cell r="E360">
            <v>6.11</v>
          </cell>
          <cell r="F360" t="str">
            <v>UC</v>
          </cell>
          <cell r="G360">
            <v>8</v>
          </cell>
          <cell r="H360">
            <v>0</v>
          </cell>
          <cell r="I360">
            <v>0</v>
          </cell>
          <cell r="J360">
            <v>0</v>
          </cell>
          <cell r="K360">
            <v>8</v>
          </cell>
        </row>
        <row r="361">
          <cell r="A361" t="str">
            <v>8T-7338</v>
          </cell>
          <cell r="B361" t="str">
            <v xml:space="preserve">CAT 303.5E CAT 303.5E                                          </v>
          </cell>
          <cell r="C361" t="str">
            <v>CARRIER BOLT</v>
          </cell>
          <cell r="D361">
            <v>7.14</v>
          </cell>
          <cell r="E361">
            <v>3.57</v>
          </cell>
          <cell r="F361" t="str">
            <v>UC</v>
          </cell>
          <cell r="G361">
            <v>18</v>
          </cell>
          <cell r="H361">
            <v>0</v>
          </cell>
          <cell r="I361">
            <v>0</v>
          </cell>
          <cell r="J361">
            <v>0</v>
          </cell>
          <cell r="K361">
            <v>18</v>
          </cell>
        </row>
        <row r="362">
          <cell r="A362" t="str">
            <v>8Y-6179</v>
          </cell>
          <cell r="B362" t="str">
            <v xml:space="preserve">CAT D5 (3CR) CAT D5 (3CR) (2)                                          </v>
          </cell>
          <cell r="C362" t="str">
            <v>SEAT/SUSPENSION ASSEMBLY</v>
          </cell>
          <cell r="D362">
            <v>9424.19</v>
          </cell>
          <cell r="E362">
            <v>4712.1000000000004</v>
          </cell>
          <cell r="F362" t="str">
            <v>SEAT</v>
          </cell>
          <cell r="G362">
            <v>2</v>
          </cell>
          <cell r="H362">
            <v>0</v>
          </cell>
          <cell r="I362">
            <v>0</v>
          </cell>
          <cell r="J362">
            <v>0</v>
          </cell>
          <cell r="K362">
            <v>2</v>
          </cell>
        </row>
        <row r="363">
          <cell r="A363" t="str">
            <v>9C-3696</v>
          </cell>
          <cell r="B363" t="str">
            <v xml:space="preserve">CAT D3 (1PJ)                                            </v>
          </cell>
          <cell r="C363" t="str">
            <v>SEAT ASSEMBLY</v>
          </cell>
          <cell r="D363">
            <v>5796.13</v>
          </cell>
          <cell r="E363">
            <v>2898.07</v>
          </cell>
          <cell r="F363" t="str">
            <v>SEAT</v>
          </cell>
          <cell r="G363">
            <v>1</v>
          </cell>
          <cell r="H363">
            <v>0</v>
          </cell>
          <cell r="I363">
            <v>0</v>
          </cell>
          <cell r="J363">
            <v>0</v>
          </cell>
          <cell r="K363">
            <v>1</v>
          </cell>
        </row>
        <row r="364">
          <cell r="A364" t="str">
            <v>9G-3110</v>
          </cell>
          <cell r="B364" t="str">
            <v xml:space="preserve">CAT D5 (3CR) CAT D5 (3CR) (2) CAT 561M (1KW) CAT 561N (CPH) CAT 561N (CPH) (2) CAT 561N (CPH) (3) CAT 561N (CPH) (4) CAT 561N (CPH) (5)                              </v>
          </cell>
          <cell r="C364" t="str">
            <v>TRACK BOLT</v>
          </cell>
          <cell r="D364">
            <v>3.12</v>
          </cell>
          <cell r="E364">
            <v>1.56</v>
          </cell>
          <cell r="F364" t="str">
            <v>UC</v>
          </cell>
          <cell r="G364">
            <v>950</v>
          </cell>
          <cell r="H364">
            <v>0</v>
          </cell>
          <cell r="I364">
            <v>0</v>
          </cell>
          <cell r="J364">
            <v>0</v>
          </cell>
          <cell r="K364">
            <v>950</v>
          </cell>
        </row>
        <row r="365">
          <cell r="A365" t="str">
            <v>9G-8592</v>
          </cell>
          <cell r="B365" t="str">
            <v xml:space="preserve">CAT D5 (3CR) CAT D5 (3CR) (2) CAT 561M (1KW) CAT 561N (CPH) CAT 561N (CPH) (2) CAT 561N (CPH) (3) CAT 561N (CPH) (4) CAT 561N (CPH) (5)                              </v>
          </cell>
          <cell r="C365" t="str">
            <v>TRACK BOLT MASTER</v>
          </cell>
          <cell r="D365">
            <v>5.25</v>
          </cell>
          <cell r="E365">
            <v>2.63</v>
          </cell>
          <cell r="F365" t="str">
            <v>UC</v>
          </cell>
          <cell r="G365">
            <v>18</v>
          </cell>
          <cell r="H365">
            <v>0</v>
          </cell>
          <cell r="I365">
            <v>0</v>
          </cell>
          <cell r="J365">
            <v>0</v>
          </cell>
          <cell r="K365">
            <v>18</v>
          </cell>
        </row>
        <row r="366">
          <cell r="A366" t="str">
            <v>9J-8913</v>
          </cell>
          <cell r="B366" t="str">
            <v xml:space="preserve">CAT D5 (3CR) CAT D5 (3CR) (2)                                          </v>
          </cell>
          <cell r="C366" t="str">
            <v>RIPPER SHANK</v>
          </cell>
          <cell r="D366">
            <v>1095.81</v>
          </cell>
          <cell r="E366">
            <v>416.41</v>
          </cell>
          <cell r="F366" t="str">
            <v>GET</v>
          </cell>
          <cell r="G366">
            <v>2</v>
          </cell>
          <cell r="H366">
            <v>0</v>
          </cell>
          <cell r="I366">
            <v>0</v>
          </cell>
          <cell r="J366">
            <v>0</v>
          </cell>
          <cell r="K366">
            <v>2</v>
          </cell>
        </row>
        <row r="367">
          <cell r="A367" t="str">
            <v>9J-8923</v>
          </cell>
          <cell r="B367" t="str">
            <v xml:space="preserve">CAT D6N LGP (PBA) CAT D6N LGP (PBA) (2) CAT D6N LGP (SGG) CAT D6N LGP (SGG) (2)                                      </v>
          </cell>
          <cell r="C367" t="str">
            <v>RIPPER SHANK</v>
          </cell>
          <cell r="D367">
            <v>2053.06</v>
          </cell>
          <cell r="E367">
            <v>780.16</v>
          </cell>
          <cell r="F367" t="str">
            <v>GET</v>
          </cell>
          <cell r="G367">
            <v>12</v>
          </cell>
          <cell r="H367">
            <v>0</v>
          </cell>
          <cell r="I367">
            <v>0</v>
          </cell>
          <cell r="J367">
            <v>0</v>
          </cell>
          <cell r="K367">
            <v>12</v>
          </cell>
        </row>
        <row r="368">
          <cell r="A368" t="str">
            <v>9P-7121</v>
          </cell>
          <cell r="B368" t="str">
            <v xml:space="preserve">CAT D3 (1PJ)                                            </v>
          </cell>
          <cell r="C368" t="str">
            <v>**FUEL TANK STRAINER**</v>
          </cell>
          <cell r="D368">
            <v>127.92</v>
          </cell>
          <cell r="E368">
            <v>48.61</v>
          </cell>
          <cell r="F368" t="str">
            <v>FILTER</v>
          </cell>
          <cell r="G368">
            <v>2</v>
          </cell>
          <cell r="H368">
            <v>1</v>
          </cell>
          <cell r="I368">
            <v>1</v>
          </cell>
          <cell r="J368">
            <v>1</v>
          </cell>
          <cell r="K368">
            <v>5</v>
          </cell>
        </row>
        <row r="369">
          <cell r="A369" t="str">
            <v>9S-1838</v>
          </cell>
          <cell r="B369" t="str">
            <v xml:space="preserve">CAT D6 (RDC) CAT D6T (MH7)                                          </v>
          </cell>
          <cell r="C369" t="str">
            <v>MASTER TRACK BOLT</v>
          </cell>
          <cell r="D369">
            <v>9.9600000000000009</v>
          </cell>
          <cell r="E369">
            <v>4.9800000000000004</v>
          </cell>
          <cell r="F369" t="str">
            <v>UC</v>
          </cell>
          <cell r="G369">
            <v>16</v>
          </cell>
          <cell r="H369">
            <v>0</v>
          </cell>
          <cell r="I369">
            <v>0</v>
          </cell>
          <cell r="J369">
            <v>0</v>
          </cell>
          <cell r="K369">
            <v>16</v>
          </cell>
        </row>
        <row r="370">
          <cell r="A370" t="str">
            <v>9S-9972</v>
          </cell>
          <cell r="B370" t="str">
            <v xml:space="preserve">CAT D7G (92V) CAT D7G (3ZD) CAT D7G (3ZD) (2)                                        </v>
          </cell>
          <cell r="C370" t="str">
            <v>SECONDARY AIR FILTER ELEMENT</v>
          </cell>
          <cell r="D370">
            <v>115.44</v>
          </cell>
          <cell r="E370">
            <v>43.87</v>
          </cell>
          <cell r="F370" t="str">
            <v>FILTER</v>
          </cell>
          <cell r="G370">
            <v>3</v>
          </cell>
          <cell r="H370">
            <v>3</v>
          </cell>
          <cell r="I370">
            <v>0</v>
          </cell>
          <cell r="J370">
            <v>3</v>
          </cell>
          <cell r="K370">
            <v>9</v>
          </cell>
        </row>
        <row r="371">
          <cell r="A371" t="str">
            <v>9T-8578</v>
          </cell>
          <cell r="B371" t="str">
            <v xml:space="preserve">CAT D6N LGP (GHS) CAT D6N LGP (PBA) CAT D6N LGP (PBA) (2) CAT D6N LGP (SGG) CAT D6N LGP (SGG) (2)                                    </v>
          </cell>
          <cell r="C371" t="str">
            <v>HYDRAULIC OIL FILTER</v>
          </cell>
          <cell r="D371">
            <v>123.35</v>
          </cell>
          <cell r="E371">
            <v>46.87</v>
          </cell>
          <cell r="F371" t="str">
            <v>FILTER</v>
          </cell>
          <cell r="G371">
            <v>10</v>
          </cell>
          <cell r="H371">
            <v>5</v>
          </cell>
          <cell r="I371">
            <v>5</v>
          </cell>
          <cell r="J371">
            <v>5</v>
          </cell>
          <cell r="K371">
            <v>25</v>
          </cell>
        </row>
        <row r="372">
          <cell r="A372" t="str">
            <v>9W-3361</v>
          </cell>
          <cell r="B372" t="str">
            <v xml:space="preserve">CAT 320E L (WBK) CAT 320E L (WBK) (2) CAT 320F L (YBM) CAT 320 (HEX) CAT 320 (MYK) CAT 320 (MYK) (2) CAT 329E L (ZCD) CAT 329F L (ERL) CAT 329F L (ERL) (2) CAT 330F L (MBX) CAT 330F L (HCK) CAT 330F L (HCK) (2) CAT D6N LGP (PBA) CAT D6N LGP (PBA) (2)                  </v>
          </cell>
          <cell r="C372" t="str">
            <v xml:space="preserve">TRACK NUT </v>
          </cell>
          <cell r="D372">
            <v>3.14</v>
          </cell>
          <cell r="E372">
            <v>1.57</v>
          </cell>
          <cell r="F372" t="str">
            <v>UC</v>
          </cell>
          <cell r="G372">
            <v>5472</v>
          </cell>
          <cell r="H372">
            <v>0</v>
          </cell>
          <cell r="I372">
            <v>0</v>
          </cell>
          <cell r="J372">
            <v>0</v>
          </cell>
          <cell r="K372">
            <v>5472</v>
          </cell>
        </row>
        <row r="373">
          <cell r="A373" t="str">
            <v>9W-3619</v>
          </cell>
          <cell r="B373" t="str">
            <v xml:space="preserve">CAT 320E L (WBK) CAT 320E L (WBK) (2) CAT 320F L (YBM) CAT 320 (HEX) CAT 320 (MYK) CAT 320 (MYK) (2)                                  </v>
          </cell>
          <cell r="C373" t="str">
            <v xml:space="preserve">TRACK BOLT </v>
          </cell>
          <cell r="D373">
            <v>4.25</v>
          </cell>
          <cell r="E373">
            <v>2.13</v>
          </cell>
          <cell r="F373" t="str">
            <v>UC</v>
          </cell>
          <cell r="G373">
            <v>2352</v>
          </cell>
          <cell r="H373">
            <v>0</v>
          </cell>
          <cell r="I373">
            <v>0</v>
          </cell>
          <cell r="J373">
            <v>0</v>
          </cell>
          <cell r="K373">
            <v>2352</v>
          </cell>
        </row>
        <row r="374">
          <cell r="A374" t="str">
            <v>9W-8874</v>
          </cell>
          <cell r="B374" t="str">
            <v xml:space="preserve">CAT D6T (MH7)                                            </v>
          </cell>
          <cell r="C374" t="str">
            <v>END BIT RH</v>
          </cell>
          <cell r="D374">
            <v>219.63</v>
          </cell>
          <cell r="E374">
            <v>83.46</v>
          </cell>
          <cell r="F374" t="str">
            <v>GET</v>
          </cell>
          <cell r="G374">
            <v>1</v>
          </cell>
          <cell r="H374">
            <v>0</v>
          </cell>
          <cell r="I374">
            <v>0</v>
          </cell>
          <cell r="J374">
            <v>0</v>
          </cell>
          <cell r="K374">
            <v>1</v>
          </cell>
        </row>
        <row r="375">
          <cell r="A375" t="str">
            <v>9W-8875</v>
          </cell>
          <cell r="B375" t="str">
            <v xml:space="preserve">CAT D6T (MH7)                                            </v>
          </cell>
          <cell r="C375" t="str">
            <v>END BIT LH</v>
          </cell>
          <cell r="D375">
            <v>219.63</v>
          </cell>
          <cell r="E375">
            <v>83.46</v>
          </cell>
          <cell r="F375" t="str">
            <v>GET</v>
          </cell>
          <cell r="G375">
            <v>1</v>
          </cell>
          <cell r="H375">
            <v>0</v>
          </cell>
          <cell r="I375">
            <v>0</v>
          </cell>
          <cell r="J375">
            <v>0</v>
          </cell>
          <cell r="K375">
            <v>1</v>
          </cell>
        </row>
        <row r="376">
          <cell r="A376" t="str">
            <v>9w-9058</v>
          </cell>
          <cell r="B376" t="str">
            <v xml:space="preserve">CAT D7G (92V) CAT D7G (3ZD) CAT D7G (3ZD) (2)                                        </v>
          </cell>
          <cell r="C376" t="str">
            <v>MASTER TRACK BOLT</v>
          </cell>
          <cell r="D376">
            <v>15.58</v>
          </cell>
          <cell r="E376">
            <v>7.79</v>
          </cell>
          <cell r="F376" t="str">
            <v>UC</v>
          </cell>
          <cell r="G376">
            <v>12</v>
          </cell>
          <cell r="H376">
            <v>0</v>
          </cell>
          <cell r="I376">
            <v>0</v>
          </cell>
          <cell r="J376">
            <v>0</v>
          </cell>
          <cell r="K376">
            <v>12</v>
          </cell>
        </row>
        <row r="377">
          <cell r="A377" t="str">
            <v>9W-9265</v>
          </cell>
          <cell r="B377" t="str">
            <v xml:space="preserve">CAT D3 (1PJ)                                            </v>
          </cell>
          <cell r="C377" t="str">
            <v>SPROCKET BOLT</v>
          </cell>
          <cell r="D377">
            <v>1.46</v>
          </cell>
          <cell r="E377">
            <v>0.73</v>
          </cell>
          <cell r="F377" t="str">
            <v>UC</v>
          </cell>
          <cell r="G377">
            <v>50</v>
          </cell>
          <cell r="H377">
            <v>0</v>
          </cell>
          <cell r="I377">
            <v>0</v>
          </cell>
          <cell r="J377">
            <v>0</v>
          </cell>
          <cell r="K377">
            <v>50</v>
          </cell>
        </row>
        <row r="378">
          <cell r="A378" t="str">
            <v>9X-3404</v>
          </cell>
          <cell r="B378" t="str">
            <v xml:space="preserve">CAT 320F L (YBM) CAT 330 (LHW) CAT 330 (LHW) (2) CAT 330 (LHW) (3) CAT 330 (LHW) (4) CAT 330 (WCH) CAT 330 (WCH) (2) CAT 330 (WCH) (3) CAT 330 (WCH) (4) CAT 330 (WCH) (5) CAT 330 (WCH) (6) CAT 561M (1KW) CAT 561N (CPH) CAT 561N (CPH) (2) CAT 561N (CPH) (3) CAT 561N (CPH) (4) CAT 561N (CPH) (5)            </v>
          </cell>
          <cell r="C378" t="str">
            <v>12V BATTERY - 900CCA</v>
          </cell>
          <cell r="D378">
            <v>503.86</v>
          </cell>
          <cell r="E378">
            <v>120.88</v>
          </cell>
          <cell r="F378" t="str">
            <v>BATTERY</v>
          </cell>
          <cell r="G378">
            <v>54</v>
          </cell>
          <cell r="H378">
            <v>0</v>
          </cell>
          <cell r="I378">
            <v>0</v>
          </cell>
          <cell r="J378">
            <v>0</v>
          </cell>
          <cell r="K378">
            <v>54</v>
          </cell>
        </row>
        <row r="379">
          <cell r="A379" t="str">
            <v>9X-8268</v>
          </cell>
          <cell r="B379" t="str">
            <v xml:space="preserve">CAT D6N LGP (PBA) CAT D6N LGP (PBA) (2) CAT D6N LGP (SGG) CAT D6N LGP (SGG) (2)                                      </v>
          </cell>
          <cell r="C379" t="str">
            <v>FLAT WASHER</v>
          </cell>
          <cell r="D379">
            <v>2.4700000000000002</v>
          </cell>
          <cell r="E379">
            <v>1.24</v>
          </cell>
          <cell r="F379" t="str">
            <v>UC</v>
          </cell>
          <cell r="G379">
            <v>256</v>
          </cell>
          <cell r="H379">
            <v>0</v>
          </cell>
          <cell r="I379">
            <v>0</v>
          </cell>
          <cell r="J379">
            <v>0</v>
          </cell>
          <cell r="K379">
            <v>256</v>
          </cell>
        </row>
        <row r="380">
          <cell r="A380" t="str">
            <v>CUSOTM-GQP-516NOK</v>
          </cell>
          <cell r="B380" t="str">
            <v xml:space="preserve">CAT 561N (CPH) CAT 561N (CPH) (2) CAT 561N (CPH) (3) CAT 561N (CPH) (4) CAT 561N (CPH) (5)                                    </v>
          </cell>
          <cell r="C380" t="str">
            <v>GQP ENGINE OVERHAUL KIT</v>
          </cell>
          <cell r="D380">
            <v>6826.34</v>
          </cell>
          <cell r="E380">
            <v>3413.17</v>
          </cell>
          <cell r="F380" t="str">
            <v>ENGINE</v>
          </cell>
          <cell r="G380">
            <v>5</v>
          </cell>
          <cell r="H380">
            <v>0</v>
          </cell>
          <cell r="I380">
            <v>0</v>
          </cell>
          <cell r="J380">
            <v>0</v>
          </cell>
          <cell r="K380">
            <v>5</v>
          </cell>
        </row>
        <row r="381">
          <cell r="A381" t="str">
            <v>CUSOTM-GQPPL61OK</v>
          </cell>
          <cell r="B381" t="str">
            <v xml:space="preserve">CAT PL61 (WGS) CAT PL61 (WGS) (2) CAT PL61 (WGS) (3)                                        </v>
          </cell>
          <cell r="C381" t="str">
            <v>GQP ENGINE OVERHAUL KIT</v>
          </cell>
          <cell r="D381">
            <v>6826.34</v>
          </cell>
          <cell r="E381">
            <v>3413.17</v>
          </cell>
          <cell r="F381" t="str">
            <v>ENGINE</v>
          </cell>
          <cell r="G381">
            <v>3</v>
          </cell>
          <cell r="H381">
            <v>0</v>
          </cell>
          <cell r="I381">
            <v>0</v>
          </cell>
          <cell r="J381">
            <v>0</v>
          </cell>
          <cell r="K381">
            <v>3</v>
          </cell>
        </row>
        <row r="382">
          <cell r="A382" t="str">
            <v>CUSTOM-GQP303.5EOK</v>
          </cell>
          <cell r="B382" t="str">
            <v xml:space="preserve">CAT 303.5E                                            </v>
          </cell>
          <cell r="C382" t="str">
            <v>GQP ENGINE OVERHAUL KIT</v>
          </cell>
          <cell r="D382">
            <v>3156.78</v>
          </cell>
          <cell r="E382">
            <v>1578.39</v>
          </cell>
          <cell r="F382" t="str">
            <v>ENGINE</v>
          </cell>
          <cell r="G382">
            <v>1</v>
          </cell>
          <cell r="H382">
            <v>0</v>
          </cell>
          <cell r="I382">
            <v>0</v>
          </cell>
          <cell r="J382">
            <v>0</v>
          </cell>
          <cell r="K382">
            <v>1</v>
          </cell>
        </row>
        <row r="383">
          <cell r="A383" t="str">
            <v>CUSTOM-GQP320ELOK</v>
          </cell>
          <cell r="B383" t="str">
            <v xml:space="preserve">CAT 320E L (WBK) CAT 320E L (WBK) (2)                                          </v>
          </cell>
          <cell r="C383" t="str">
            <v>ENGINE OVERHAUL KIT</v>
          </cell>
          <cell r="D383">
            <v>3792.79</v>
          </cell>
          <cell r="E383">
            <v>1896.4</v>
          </cell>
          <cell r="F383" t="str">
            <v>ENGINE</v>
          </cell>
          <cell r="G383">
            <v>2</v>
          </cell>
          <cell r="H383">
            <v>0</v>
          </cell>
          <cell r="I383">
            <v>0</v>
          </cell>
          <cell r="J383">
            <v>0</v>
          </cell>
          <cell r="K383">
            <v>2</v>
          </cell>
        </row>
        <row r="384">
          <cell r="A384" t="str">
            <v>CUSTOM-GQP320RK</v>
          </cell>
          <cell r="B384" t="str">
            <v xml:space="preserve">CAT 320 (MYK) CAT 320 (MYK) (2)                                          </v>
          </cell>
          <cell r="C384" t="str">
            <v>ENGINE REBUILD KIT</v>
          </cell>
          <cell r="D384">
            <v>2889.4</v>
          </cell>
          <cell r="E384">
            <v>1444.7</v>
          </cell>
          <cell r="F384" t="str">
            <v>ENGINE</v>
          </cell>
          <cell r="G384">
            <v>2</v>
          </cell>
          <cell r="H384">
            <v>0</v>
          </cell>
          <cell r="I384">
            <v>0</v>
          </cell>
          <cell r="J384">
            <v>0</v>
          </cell>
          <cell r="K384">
            <v>2</v>
          </cell>
        </row>
        <row r="385">
          <cell r="A385" t="str">
            <v>CUSTOM-GQP-561N30"TG</v>
          </cell>
          <cell r="B385" t="str">
            <v xml:space="preserve">CAT 561N (CPH) CAT 561N (CPH) (2) CAT 561N (CPH) (3) CAT 561N (CPH) (4) CAT 561N (CPH) (5)                                    </v>
          </cell>
          <cell r="C385" t="str">
            <v>30" GQP TRACK GROUP</v>
          </cell>
          <cell r="D385">
            <v>12613.63</v>
          </cell>
          <cell r="E385">
            <v>6306.82</v>
          </cell>
          <cell r="F385" t="str">
            <v>UC</v>
          </cell>
          <cell r="G385">
            <v>10</v>
          </cell>
          <cell r="H385">
            <v>0</v>
          </cell>
          <cell r="I385">
            <v>0</v>
          </cell>
          <cell r="J385">
            <v>0</v>
          </cell>
          <cell r="K385">
            <v>10</v>
          </cell>
        </row>
        <row r="386">
          <cell r="A386" t="str">
            <v>CUSTOM-GQPC4.4BRK</v>
          </cell>
          <cell r="B386" t="str">
            <v xml:space="preserve">CAT 320F L (YBM) CAT 320 (HEX)                                          </v>
          </cell>
          <cell r="C386" t="str">
            <v>C4.4B REBUILD KIT</v>
          </cell>
          <cell r="D386">
            <v>2512.7199999999998</v>
          </cell>
          <cell r="E386">
            <v>1256.3599999999999</v>
          </cell>
          <cell r="F386" t="str">
            <v>ENGINE</v>
          </cell>
          <cell r="G386">
            <v>2</v>
          </cell>
          <cell r="H386">
            <v>0</v>
          </cell>
          <cell r="I386">
            <v>0</v>
          </cell>
          <cell r="J386">
            <v>0</v>
          </cell>
          <cell r="K386">
            <v>2</v>
          </cell>
        </row>
        <row r="387">
          <cell r="A387" t="str">
            <v>CUSTOM-GQPD3OK</v>
          </cell>
          <cell r="B387" t="str">
            <v xml:space="preserve">CAT D3 (1PJ)                                            </v>
          </cell>
          <cell r="C387" t="str">
            <v>GQP OVERHAUL KIT</v>
          </cell>
          <cell r="D387">
            <v>4182.34</v>
          </cell>
          <cell r="E387">
            <v>2091.17</v>
          </cell>
          <cell r="F387" t="str">
            <v>ENGINE</v>
          </cell>
          <cell r="G387">
            <v>1</v>
          </cell>
          <cell r="H387">
            <v>0</v>
          </cell>
          <cell r="I387">
            <v>0</v>
          </cell>
          <cell r="J387">
            <v>0</v>
          </cell>
          <cell r="K387">
            <v>1</v>
          </cell>
        </row>
        <row r="388">
          <cell r="A388" t="str">
            <v>CUSTOM-GQPD4SSA</v>
          </cell>
          <cell r="B388" t="str">
            <v xml:space="preserve">CAT D4 (66J)                                            </v>
          </cell>
          <cell r="C388" t="str">
            <v>SEAT SUSPENSION ASSEMBLY</v>
          </cell>
          <cell r="D388">
            <v>1021.54</v>
          </cell>
          <cell r="E388">
            <v>510.77</v>
          </cell>
          <cell r="F388" t="str">
            <v>SEAT</v>
          </cell>
          <cell r="G388">
            <v>1</v>
          </cell>
          <cell r="H388">
            <v>0</v>
          </cell>
          <cell r="I388">
            <v>0</v>
          </cell>
          <cell r="J388">
            <v>0</v>
          </cell>
          <cell r="K388">
            <v>1</v>
          </cell>
        </row>
        <row r="389">
          <cell r="A389" t="str">
            <v>CUSTOM-GQPD530"TG</v>
          </cell>
          <cell r="B389" t="str">
            <v xml:space="preserve">CAT D5 (3CR) CAT D5 (3CR) (2)                                          </v>
          </cell>
          <cell r="C389" t="str">
            <v>TRACK GROUP</v>
          </cell>
          <cell r="D389">
            <v>0</v>
          </cell>
          <cell r="E389">
            <v>0</v>
          </cell>
          <cell r="F389" t="str">
            <v>UC</v>
          </cell>
          <cell r="G389">
            <v>4</v>
          </cell>
          <cell r="H389">
            <v>0</v>
          </cell>
          <cell r="I389">
            <v>0</v>
          </cell>
          <cell r="J389">
            <v>0</v>
          </cell>
          <cell r="K389">
            <v>4</v>
          </cell>
        </row>
        <row r="390">
          <cell r="A390" t="str">
            <v>CUSTOM-GQPD5ABA</v>
          </cell>
          <cell r="B390" t="str">
            <v xml:space="preserve">CAT D5 (3CR) CAT D5 (3CR) (2)                                          </v>
          </cell>
          <cell r="C390" t="str">
            <v>ANGLING BLADE ASSY</v>
          </cell>
          <cell r="D390">
            <v>16888.900000000001</v>
          </cell>
          <cell r="E390">
            <v>6417.78</v>
          </cell>
          <cell r="F390" t="str">
            <v>GET</v>
          </cell>
          <cell r="G390">
            <v>2</v>
          </cell>
          <cell r="H390">
            <v>0</v>
          </cell>
          <cell r="I390">
            <v>0</v>
          </cell>
          <cell r="J390">
            <v>0</v>
          </cell>
          <cell r="K390">
            <v>2</v>
          </cell>
        </row>
        <row r="391">
          <cell r="A391" t="str">
            <v>CUSTOM-GQPD5OK</v>
          </cell>
          <cell r="B391" t="str">
            <v xml:space="preserve">CAT D5 (3CR) CAT D5 (3CR) (2)                                          </v>
          </cell>
          <cell r="C391" t="str">
            <v xml:space="preserve">GQP ENGINE OVERHAUL KIT </v>
          </cell>
          <cell r="D391">
            <v>5134.55</v>
          </cell>
          <cell r="E391">
            <v>2567.2800000000002</v>
          </cell>
          <cell r="F391" t="str">
            <v>ENGINE</v>
          </cell>
          <cell r="G391">
            <v>2</v>
          </cell>
          <cell r="H391">
            <v>0</v>
          </cell>
          <cell r="I391">
            <v>0</v>
          </cell>
          <cell r="J391">
            <v>0</v>
          </cell>
          <cell r="K391">
            <v>2</v>
          </cell>
        </row>
        <row r="392">
          <cell r="A392" t="str">
            <v>CUSTOM-GQPD630"TG</v>
          </cell>
          <cell r="B392" t="str">
            <v xml:space="preserve">CAT D6 (RDC)                                            </v>
          </cell>
          <cell r="C392" t="str">
            <v>30" GQP TRACK GROUP</v>
          </cell>
          <cell r="D392">
            <v>10784.168</v>
          </cell>
          <cell r="E392">
            <v>5392.08</v>
          </cell>
          <cell r="F392" t="str">
            <v>UC</v>
          </cell>
          <cell r="G392">
            <v>2</v>
          </cell>
          <cell r="H392">
            <v>0</v>
          </cell>
          <cell r="I392">
            <v>0</v>
          </cell>
          <cell r="J392">
            <v>0</v>
          </cell>
          <cell r="K392">
            <v>2</v>
          </cell>
        </row>
        <row r="393">
          <cell r="A393" t="str">
            <v>CUSTOM-GQPD7G30"TG</v>
          </cell>
          <cell r="B393" t="str">
            <v xml:space="preserve">CAT D7G (92V) CAT D7G (3ZD) CAT D7G (3ZD) (2)                                        </v>
          </cell>
          <cell r="C393" t="str">
            <v>30" GQP TRACK GROUP</v>
          </cell>
          <cell r="D393">
            <v>8674.7200000000012</v>
          </cell>
          <cell r="E393">
            <v>4337.3599999999997</v>
          </cell>
          <cell r="F393" t="str">
            <v>UC</v>
          </cell>
          <cell r="G393">
            <v>6</v>
          </cell>
          <cell r="H393">
            <v>0</v>
          </cell>
          <cell r="I393">
            <v>0</v>
          </cell>
          <cell r="J393">
            <v>0</v>
          </cell>
          <cell r="K393">
            <v>6</v>
          </cell>
        </row>
        <row r="394">
          <cell r="A394" t="str">
            <v>CUSTOM-GQPD7GSOK</v>
          </cell>
          <cell r="B394" t="str">
            <v xml:space="preserve">CAT D7G (92V) CAT D7G (3ZD) CAT D7G (3ZD) (2)                                        </v>
          </cell>
          <cell r="C394" t="str">
            <v>SILVER ENGINE OVERHAUL KIT</v>
          </cell>
          <cell r="D394">
            <v>6725.5</v>
          </cell>
          <cell r="E394">
            <v>3362.75</v>
          </cell>
          <cell r="F394" t="str">
            <v>ENGINE</v>
          </cell>
          <cell r="G394">
            <v>3</v>
          </cell>
          <cell r="H394">
            <v>0</v>
          </cell>
          <cell r="I394">
            <v>0</v>
          </cell>
          <cell r="J394">
            <v>0</v>
          </cell>
          <cell r="K394">
            <v>3</v>
          </cell>
        </row>
        <row r="395">
          <cell r="A395" t="str">
            <v>CUSTOM-GQPPL6130"TG</v>
          </cell>
          <cell r="B395" t="str">
            <v xml:space="preserve">CAT PL61 (WGS) CAT PL61 (WGS) (2) CAT PL61 (WGS) (3)                                        </v>
          </cell>
          <cell r="C395" t="str">
            <v>30" GQP TRACK GROUP</v>
          </cell>
          <cell r="D395">
            <v>8945.7099999999991</v>
          </cell>
          <cell r="E395">
            <v>4472.8599999999997</v>
          </cell>
          <cell r="F395" t="str">
            <v>UC</v>
          </cell>
          <cell r="G395">
            <v>6</v>
          </cell>
          <cell r="H395">
            <v>0</v>
          </cell>
          <cell r="I395">
            <v>0</v>
          </cell>
          <cell r="J395">
            <v>0</v>
          </cell>
          <cell r="K395">
            <v>6</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MINNS@LCOS.CA"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D.MINNS@LCOS.C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mailto:D.MINNS@LCOS.CA"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mailto:D.MINNS@LCOS.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EAAF-E9D4-4F41-920A-F55BC0791038}">
  <dimension ref="B1:I65"/>
  <sheetViews>
    <sheetView workbookViewId="0">
      <selection activeCell="I59" sqref="I59"/>
    </sheetView>
  </sheetViews>
  <sheetFormatPr defaultRowHeight="14.4" x14ac:dyDescent="0.3"/>
  <cols>
    <col min="1" max="1" width="2.6640625" customWidth="1"/>
    <col min="2" max="2" width="19"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8"/>
      <c r="C1" s="69"/>
      <c r="D1" s="69"/>
      <c r="E1" s="167" t="s">
        <v>28</v>
      </c>
      <c r="F1" s="141"/>
      <c r="G1" s="44"/>
      <c r="H1" s="140" t="s">
        <v>33</v>
      </c>
      <c r="I1" s="141"/>
    </row>
    <row r="2" spans="2:9" ht="15" customHeight="1" x14ac:dyDescent="0.3">
      <c r="B2" s="70"/>
      <c r="E2" s="168"/>
      <c r="F2" s="143"/>
      <c r="G2" s="45"/>
      <c r="H2" s="142"/>
      <c r="I2" s="143"/>
    </row>
    <row r="3" spans="2:9" ht="15" customHeight="1" x14ac:dyDescent="0.3">
      <c r="B3" s="70"/>
      <c r="E3" s="168"/>
      <c r="F3" s="143"/>
      <c r="G3" s="45"/>
      <c r="H3" s="142"/>
      <c r="I3" s="143"/>
    </row>
    <row r="4" spans="2:9" ht="15" customHeight="1" x14ac:dyDescent="0.3">
      <c r="B4" s="70"/>
      <c r="E4" s="168"/>
      <c r="F4" s="143"/>
      <c r="G4" s="45"/>
      <c r="H4" s="142"/>
      <c r="I4" s="143"/>
    </row>
    <row r="5" spans="2:9" ht="15" customHeight="1" x14ac:dyDescent="0.3">
      <c r="B5" s="71"/>
      <c r="C5" s="1"/>
      <c r="D5" s="1"/>
      <c r="E5" s="169"/>
      <c r="F5" s="145"/>
      <c r="G5" s="46"/>
      <c r="H5" s="144"/>
      <c r="I5" s="145"/>
    </row>
    <row r="6" spans="2:9" ht="36.6" x14ac:dyDescent="0.7">
      <c r="B6" s="6"/>
      <c r="C6" s="7"/>
      <c r="D6" s="7"/>
      <c r="E6" s="8"/>
      <c r="F6" s="72"/>
      <c r="G6" s="8"/>
      <c r="H6" s="83"/>
      <c r="I6" s="72"/>
    </row>
    <row r="7" spans="2:9" x14ac:dyDescent="0.3">
      <c r="B7" s="73" t="s">
        <v>7</v>
      </c>
      <c r="C7" s="177" t="str">
        <f>'MOQ Grand Total'!C7</f>
        <v>LINCOLN COUNTY OILFIELD SERVICES</v>
      </c>
      <c r="D7" s="178"/>
      <c r="E7" s="9" t="s">
        <v>8</v>
      </c>
      <c r="F7" s="74">
        <v>45748</v>
      </c>
      <c r="G7" s="59"/>
      <c r="H7" s="84" t="s">
        <v>9</v>
      </c>
      <c r="I7" s="85" t="str">
        <f>'MOQ Grand Total'!I7</f>
        <v xml:space="preserve"> </v>
      </c>
    </row>
    <row r="8" spans="2:9" x14ac:dyDescent="0.3">
      <c r="B8" s="75" t="s">
        <v>10</v>
      </c>
      <c r="C8" s="174" t="str">
        <f>'MOQ Grand Total'!C8</f>
        <v>DUSTIN MINNS</v>
      </c>
      <c r="D8" s="174"/>
      <c r="E8" s="154" t="s">
        <v>11</v>
      </c>
      <c r="F8" s="155"/>
      <c r="G8" s="51"/>
      <c r="H8" s="162" t="s">
        <v>54</v>
      </c>
      <c r="I8" s="163"/>
    </row>
    <row r="9" spans="2:9" x14ac:dyDescent="0.3">
      <c r="B9" s="75" t="s">
        <v>12</v>
      </c>
      <c r="C9" s="174">
        <f>'MOQ Grand Total'!C9</f>
        <v>0</v>
      </c>
      <c r="D9" s="174"/>
      <c r="E9" s="154" t="s">
        <v>13</v>
      </c>
      <c r="F9" s="155"/>
      <c r="G9" s="51"/>
      <c r="H9" s="160" t="s">
        <v>55</v>
      </c>
      <c r="I9" s="161"/>
    </row>
    <row r="10" spans="2:9" x14ac:dyDescent="0.3">
      <c r="B10" s="75"/>
      <c r="C10" s="174">
        <f>'MOQ Grand Total'!C10</f>
        <v>0</v>
      </c>
      <c r="D10" s="174"/>
      <c r="E10" s="154" t="s">
        <v>14</v>
      </c>
      <c r="F10" s="155"/>
      <c r="G10" s="51"/>
      <c r="H10" s="156" t="s">
        <v>421</v>
      </c>
      <c r="I10" s="157"/>
    </row>
    <row r="11" spans="2:9" x14ac:dyDescent="0.3">
      <c r="B11" s="75"/>
      <c r="C11" s="174">
        <f>'MOQ Grand Total'!C11</f>
        <v>0</v>
      </c>
      <c r="D11" s="174"/>
      <c r="E11" s="154"/>
      <c r="F11" s="155"/>
      <c r="G11" s="51"/>
      <c r="H11" s="156" t="s">
        <v>421</v>
      </c>
      <c r="I11" s="157"/>
    </row>
    <row r="12" spans="2:9" x14ac:dyDescent="0.3">
      <c r="B12" s="76"/>
      <c r="C12" s="174">
        <f>'MOQ Grand Total'!C12</f>
        <v>0</v>
      </c>
      <c r="D12" s="174"/>
      <c r="E12" s="175"/>
      <c r="F12" s="176"/>
      <c r="G12" s="60"/>
      <c r="H12" s="158" t="s">
        <v>421</v>
      </c>
      <c r="I12" s="159"/>
    </row>
    <row r="13" spans="2:9" ht="15" thickBot="1" x14ac:dyDescent="0.35">
      <c r="B13" s="15"/>
      <c r="C13" s="16"/>
      <c r="D13" s="16"/>
      <c r="E13" s="16"/>
      <c r="F13" s="146" t="s">
        <v>3</v>
      </c>
      <c r="G13" s="147"/>
      <c r="H13" s="148"/>
      <c r="I13" s="146"/>
    </row>
    <row r="14" spans="2:9" ht="15" thickBot="1" x14ac:dyDescent="0.35">
      <c r="B14" s="52" t="s">
        <v>0</v>
      </c>
      <c r="C14" s="18" t="s">
        <v>15</v>
      </c>
      <c r="D14" s="19" t="s">
        <v>1</v>
      </c>
      <c r="E14" s="20" t="s">
        <v>2</v>
      </c>
      <c r="F14" s="77" t="s">
        <v>4</v>
      </c>
      <c r="G14" s="61"/>
      <c r="H14" s="17" t="s">
        <v>5</v>
      </c>
      <c r="I14" s="86" t="s">
        <v>16</v>
      </c>
    </row>
    <row r="15" spans="2:9" ht="40.200000000000003" x14ac:dyDescent="0.3">
      <c r="B15" s="100" t="s">
        <v>75</v>
      </c>
      <c r="C15" s="54" t="str">
        <f>VLOOKUP(B15,'[1]Product by Part Number'!$A:$K,2,0)</f>
        <v xml:space="preserve">CAT D6N LGP (PBA) CAT D6N LGP (PBA) (2) CAT D6N LGP (SGG) CAT D6N LGP (SGG) (2) CAT D6T (MH7) CAT D7G (92V) CAT D7G (3ZD) CAT D7G (3ZD) (2)                              </v>
      </c>
      <c r="D15" s="54" t="str">
        <f>VLOOKUP(B15,'[1]Product by Part Number'!$A:$K,3,0)</f>
        <v>GROOVED PIN</v>
      </c>
      <c r="E15" s="55">
        <f>VLOOKUP(B15,'[1]Product by Part Number'!$A:$K,11,0)</f>
        <v>18</v>
      </c>
      <c r="F15" s="79">
        <f>VLOOKUP(B15,'[1]Product by Part Number'!$A:$K,4,0)</f>
        <v>12.96</v>
      </c>
      <c r="G15" s="62">
        <f>E15*F15</f>
        <v>233.28000000000003</v>
      </c>
      <c r="H15" s="87">
        <f>VLOOKUP(B15,'[1]Product by Part Number'!$A:$K,5,0)</f>
        <v>4.92</v>
      </c>
      <c r="I15" s="104">
        <f t="shared" ref="I15" si="0">ROUND(E15*H15,2)</f>
        <v>88.56</v>
      </c>
    </row>
    <row r="16" spans="2:9" ht="53.4" x14ac:dyDescent="0.3">
      <c r="B16" s="100" t="s">
        <v>76</v>
      </c>
      <c r="C16" s="54" t="str">
        <f>VLOOKUP(B16,'[1]Product by Part Number'!$A:$K,2,0)</f>
        <v xml:space="preserve">CAT D5 (3CR) CAT D5 (3CR) (2) CAT D6N LGP (PBA) CAT D6N LGP (PBA) (2) CAT D6N LGP (SGG) CAT D6N LGP (SGG) (2) CAT D6T (MH7) CAT D7G (92V) CAT D7G (3ZD) CAT D7G (3ZD) (2)                          </v>
      </c>
      <c r="D16" s="54" t="str">
        <f>VLOOKUP(B16,'[1]Product by Part Number'!$A:$K,3,0)</f>
        <v>RETAINER</v>
      </c>
      <c r="E16" s="55">
        <f>VLOOKUP(B16,'[1]Product by Part Number'!$A:$K,11,0)</f>
        <v>20</v>
      </c>
      <c r="F16" s="79">
        <f>VLOOKUP(B16,'[1]Product by Part Number'!$A:$K,4,0)</f>
        <v>22.39</v>
      </c>
      <c r="G16" s="62">
        <f t="shared" ref="G16:G58" si="1">E16*F16</f>
        <v>447.8</v>
      </c>
      <c r="H16" s="87">
        <f>VLOOKUP(B16,'[1]Product by Part Number'!$A:$K,5,0)</f>
        <v>8.51</v>
      </c>
      <c r="I16" s="104">
        <f t="shared" ref="I16:I58" si="2">ROUND(E16*H16,2)</f>
        <v>170.2</v>
      </c>
    </row>
    <row r="17" spans="2:9" x14ac:dyDescent="0.3">
      <c r="B17" s="100" t="s">
        <v>91</v>
      </c>
      <c r="C17" s="54" t="str">
        <f>VLOOKUP(B17,'[1]Product by Part Number'!$A:$K,2,0)</f>
        <v xml:space="preserve">CAT D5 (3CR) CAT D5 (3CR) (2)                                          </v>
      </c>
      <c r="D17" s="54" t="str">
        <f>VLOOKUP(B17,'[1]Product by Part Number'!$A:$K,3,0)</f>
        <v>RIPPER PIN</v>
      </c>
      <c r="E17" s="55">
        <f>VLOOKUP(B17,'[1]Product by Part Number'!$A:$K,11,0)</f>
        <v>2</v>
      </c>
      <c r="F17" s="79">
        <f>VLOOKUP(B17,'[1]Product by Part Number'!$A:$K,4,0)</f>
        <v>10.35</v>
      </c>
      <c r="G17" s="62">
        <f t="shared" si="1"/>
        <v>20.7</v>
      </c>
      <c r="H17" s="87">
        <f>VLOOKUP(B17,'[1]Product by Part Number'!$A:$K,5,0)</f>
        <v>3.93</v>
      </c>
      <c r="I17" s="104">
        <f t="shared" si="2"/>
        <v>7.86</v>
      </c>
    </row>
    <row r="18" spans="2:9" x14ac:dyDescent="0.3">
      <c r="B18" s="100" t="s">
        <v>128</v>
      </c>
      <c r="C18" s="54" t="str">
        <f>VLOOKUP(B18,'[1]Product by Part Number'!$A:$K,2,0)</f>
        <v xml:space="preserve">CAT D3 (1PJ)                                            </v>
      </c>
      <c r="D18" s="54" t="str">
        <f>VLOOKUP(B18,'[1]Product by Part Number'!$A:$K,3,0)</f>
        <v>TIP SHORT</v>
      </c>
      <c r="E18" s="55">
        <f>VLOOKUP(B18,'[1]Product by Part Number'!$A:$K,11,0)</f>
        <v>1</v>
      </c>
      <c r="F18" s="79">
        <f>VLOOKUP(B18,'[1]Product by Part Number'!$A:$K,4,0)</f>
        <v>37.42</v>
      </c>
      <c r="G18" s="62">
        <f t="shared" si="1"/>
        <v>37.42</v>
      </c>
      <c r="H18" s="87">
        <f>VLOOKUP(B18,'[1]Product by Part Number'!$A:$K,5,0)</f>
        <v>14.22</v>
      </c>
      <c r="I18" s="104">
        <f t="shared" si="2"/>
        <v>14.22</v>
      </c>
    </row>
    <row r="19" spans="2:9" x14ac:dyDescent="0.3">
      <c r="B19" s="100" t="s">
        <v>139</v>
      </c>
      <c r="C19" s="54" t="str">
        <f>VLOOKUP(B19,'[1]Product by Part Number'!$A:$K,2,0)</f>
        <v xml:space="preserve">CAT D6T (MH7)                                            </v>
      </c>
      <c r="D19" s="54" t="str">
        <f>VLOOKUP(B19,'[1]Product by Part Number'!$A:$K,3,0)</f>
        <v>CUTTING EDGE</v>
      </c>
      <c r="E19" s="55">
        <f>VLOOKUP(B19,'[1]Product by Part Number'!$A:$K,11,0)</f>
        <v>2</v>
      </c>
      <c r="F19" s="79">
        <f>VLOOKUP(B19,'[1]Product by Part Number'!$A:$K,4,0)</f>
        <v>559.01</v>
      </c>
      <c r="G19" s="62">
        <f t="shared" si="1"/>
        <v>1118.02</v>
      </c>
      <c r="H19" s="87">
        <f>VLOOKUP(B19,'[1]Product by Part Number'!$A:$K,5,0)</f>
        <v>212.42</v>
      </c>
      <c r="I19" s="104">
        <f t="shared" si="2"/>
        <v>424.84</v>
      </c>
    </row>
    <row r="20" spans="2:9" x14ac:dyDescent="0.3">
      <c r="B20" s="100" t="s">
        <v>157</v>
      </c>
      <c r="C20" s="54" t="str">
        <f>VLOOKUP(B20,'[1]Product by Part Number'!$A:$K,2,0)</f>
        <v xml:space="preserve">CAT 303.5E                                            </v>
      </c>
      <c r="D20" s="54" t="str">
        <f>VLOOKUP(B20,'[1]Product by Part Number'!$A:$K,3,0)</f>
        <v>FINAL DRIVE</v>
      </c>
      <c r="E20" s="55">
        <f>VLOOKUP(B20,'[1]Product by Part Number'!$A:$K,11,0)</f>
        <v>2</v>
      </c>
      <c r="F20" s="79">
        <f>VLOOKUP(B20,'[1]Product by Part Number'!$A:$K,4,0)</f>
        <v>10089.31</v>
      </c>
      <c r="G20" s="62">
        <f t="shared" si="1"/>
        <v>20178.62</v>
      </c>
      <c r="H20" s="87">
        <f>VLOOKUP(B20,'[1]Product by Part Number'!$A:$K,5,0)</f>
        <v>5044.66</v>
      </c>
      <c r="I20" s="104">
        <f t="shared" si="2"/>
        <v>10089.32</v>
      </c>
    </row>
    <row r="21" spans="2:9" ht="40.200000000000003" x14ac:dyDescent="0.3">
      <c r="B21" s="100" t="s">
        <v>50</v>
      </c>
      <c r="C21" s="54" t="str">
        <f>VLOOKUP(B21,'[1]Product by Part Number'!$A:$K,2,0)</f>
        <v xml:space="preserve">CAT D5 (3CR) CAT D5 (3CR) (2) CAT D6N LGP (GHS) CAT D6N LGP (PBA) CAT D6N LGP (PBA) (2) CAT D6N LGP (SGG) CAT D6N LGP (SGG) (2) CAT D6T (MH7)                              </v>
      </c>
      <c r="D21" s="54" t="str">
        <f>VLOOKUP(B21,'[1]Product by Part Number'!$A:$K,3,0)</f>
        <v xml:space="preserve">HEX NUT </v>
      </c>
      <c r="E21" s="55">
        <f>VLOOKUP(B21,'[1]Product by Part Number'!$A:$K,11,0)</f>
        <v>222</v>
      </c>
      <c r="F21" s="79">
        <f>VLOOKUP(B21,'[1]Product by Part Number'!$A:$K,4,0)</f>
        <v>3.65</v>
      </c>
      <c r="G21" s="62">
        <f t="shared" si="1"/>
        <v>810.3</v>
      </c>
      <c r="H21" s="87">
        <f>VLOOKUP(B21,'[1]Product by Part Number'!$A:$K,5,0)</f>
        <v>1.39</v>
      </c>
      <c r="I21" s="104">
        <f t="shared" si="2"/>
        <v>308.58</v>
      </c>
    </row>
    <row r="22" spans="2:9" ht="27" x14ac:dyDescent="0.3">
      <c r="B22" s="100" t="s">
        <v>186</v>
      </c>
      <c r="C22" s="54" t="str">
        <f>VLOOKUP(B22,'[1]Product by Part Number'!$A:$K,2,0)</f>
        <v xml:space="preserve">CAT 320F L (YBM) CAT 320 (HEX) CAT 320 (MYK) CAT 320 (MYK) (2)                                      </v>
      </c>
      <c r="D22" s="54" t="str">
        <f>VLOOKUP(B22,'[1]Product by Part Number'!$A:$K,3,0)</f>
        <v>BUCKET CYLINDER</v>
      </c>
      <c r="E22" s="55">
        <f>VLOOKUP(B22,'[1]Product by Part Number'!$A:$K,11,0)</f>
        <v>4</v>
      </c>
      <c r="F22" s="79">
        <f>VLOOKUP(B22,'[1]Product by Part Number'!$A:$K,4,0)</f>
        <v>22869.96</v>
      </c>
      <c r="G22" s="62">
        <f t="shared" si="1"/>
        <v>91479.84</v>
      </c>
      <c r="H22" s="87">
        <f>VLOOKUP(B22,'[1]Product by Part Number'!$A:$K,5,0)</f>
        <v>8690.58</v>
      </c>
      <c r="I22" s="104">
        <f t="shared" si="2"/>
        <v>34762.32</v>
      </c>
    </row>
    <row r="23" spans="2:9" x14ac:dyDescent="0.3">
      <c r="B23" s="100" t="s">
        <v>203</v>
      </c>
      <c r="C23" s="54" t="str">
        <f>VLOOKUP(B23,'[1]Product by Part Number'!$A:$K,2,0)</f>
        <v xml:space="preserve">CAT 303.5E                                            </v>
      </c>
      <c r="D23" s="54" t="str">
        <f>VLOOKUP(B23,'[1]Product by Part Number'!$A:$K,3,0)</f>
        <v>HYDRAULIC PUMP</v>
      </c>
      <c r="E23" s="55">
        <f>VLOOKUP(B23,'[1]Product by Part Number'!$A:$K,11,0)</f>
        <v>1</v>
      </c>
      <c r="F23" s="79">
        <f>VLOOKUP(B23,'[1]Product by Part Number'!$A:$K,4,0)</f>
        <v>7622.73</v>
      </c>
      <c r="G23" s="62">
        <f t="shared" si="1"/>
        <v>7622.73</v>
      </c>
      <c r="H23" s="87">
        <f>VLOOKUP(B23,'[1]Product by Part Number'!$A:$K,5,0)</f>
        <v>3811.37</v>
      </c>
      <c r="I23" s="104">
        <f t="shared" si="2"/>
        <v>3811.37</v>
      </c>
    </row>
    <row r="24" spans="2:9" x14ac:dyDescent="0.3">
      <c r="B24" s="100" t="s">
        <v>208</v>
      </c>
      <c r="C24" s="54" t="str">
        <f>VLOOKUP(B24,'[1]Product by Part Number'!$A:$K,2,0)</f>
        <v xml:space="preserve">CAT 303.5E                                            </v>
      </c>
      <c r="D24" s="54" t="str">
        <f>VLOOKUP(B24,'[1]Product by Part Number'!$A:$K,3,0)</f>
        <v>OIL PUMP ENGINE</v>
      </c>
      <c r="E24" s="55">
        <f>VLOOKUP(B24,'[1]Product by Part Number'!$A:$K,11,0)</f>
        <v>1</v>
      </c>
      <c r="F24" s="79">
        <f>VLOOKUP(B24,'[1]Product by Part Number'!$A:$K,4,0)</f>
        <v>831.44</v>
      </c>
      <c r="G24" s="62">
        <f t="shared" si="1"/>
        <v>831.44</v>
      </c>
      <c r="H24" s="87">
        <f>VLOOKUP(B24,'[1]Product by Part Number'!$A:$K,5,0)</f>
        <v>415.72</v>
      </c>
      <c r="I24" s="104">
        <f t="shared" si="2"/>
        <v>415.72</v>
      </c>
    </row>
    <row r="25" spans="2:9" x14ac:dyDescent="0.3">
      <c r="B25" s="100" t="s">
        <v>209</v>
      </c>
      <c r="C25" s="54" t="str">
        <f>VLOOKUP(B25,'[1]Product by Part Number'!$A:$K,2,0)</f>
        <v xml:space="preserve">CAT 303.5E                                            </v>
      </c>
      <c r="D25" s="54" t="str">
        <f>VLOOKUP(B25,'[1]Product by Part Number'!$A:$K,3,0)</f>
        <v>WATER PUMP</v>
      </c>
      <c r="E25" s="55">
        <f>VLOOKUP(B25,'[1]Product by Part Number'!$A:$K,11,0)</f>
        <v>1</v>
      </c>
      <c r="F25" s="79">
        <f>VLOOKUP(B25,'[1]Product by Part Number'!$A:$K,4,0)</f>
        <v>512.79</v>
      </c>
      <c r="G25" s="62">
        <f t="shared" si="1"/>
        <v>512.79</v>
      </c>
      <c r="H25" s="87">
        <f>VLOOKUP(B25,'[1]Product by Part Number'!$A:$K,5,0)</f>
        <v>256.39999999999998</v>
      </c>
      <c r="I25" s="104">
        <f t="shared" si="2"/>
        <v>256.39999999999998</v>
      </c>
    </row>
    <row r="26" spans="2:9" x14ac:dyDescent="0.3">
      <c r="B26" s="100" t="s">
        <v>216</v>
      </c>
      <c r="C26" s="54" t="str">
        <f>VLOOKUP(B26,'[1]Product by Part Number'!$A:$K,2,0)</f>
        <v xml:space="preserve">CAT D3 (1PJ)                                            </v>
      </c>
      <c r="D26" s="54" t="str">
        <f>VLOOKUP(B26,'[1]Product by Part Number'!$A:$K,3,0)</f>
        <v>COTTER PIN</v>
      </c>
      <c r="E26" s="55">
        <f>VLOOKUP(B26,'[1]Product by Part Number'!$A:$K,11,0)</f>
        <v>1</v>
      </c>
      <c r="F26" s="79">
        <f>VLOOKUP(B26,'[1]Product by Part Number'!$A:$K,4,0)</f>
        <v>1.18</v>
      </c>
      <c r="G26" s="62">
        <f t="shared" si="1"/>
        <v>1.18</v>
      </c>
      <c r="H26" s="87">
        <f>VLOOKUP(B26,'[1]Product by Part Number'!$A:$K,5,0)</f>
        <v>0.45</v>
      </c>
      <c r="I26" s="104">
        <f t="shared" si="2"/>
        <v>0.45</v>
      </c>
    </row>
    <row r="27" spans="2:9" ht="27" x14ac:dyDescent="0.3">
      <c r="B27" s="100" t="s">
        <v>217</v>
      </c>
      <c r="C27" s="54" t="str">
        <f>VLOOKUP(B27,'[1]Product by Part Number'!$A:$K,2,0)</f>
        <v xml:space="preserve">CAT D6N LGP (PBA) CAT D6N LGP (PBA) (2) CAT D6N LGP (SGG) CAT D6N LGP (SGG) (2) CAT D6T (MH7)                                    </v>
      </c>
      <c r="D27" s="54" t="str">
        <f>VLOOKUP(B27,'[1]Product by Part Number'!$A:$K,3,0)</f>
        <v>COTTER PIN</v>
      </c>
      <c r="E27" s="55">
        <f>VLOOKUP(B27,'[1]Product by Part Number'!$A:$K,11,0)</f>
        <v>30</v>
      </c>
      <c r="F27" s="79">
        <f>VLOOKUP(B27,'[1]Product by Part Number'!$A:$K,4,0)</f>
        <v>7.67</v>
      </c>
      <c r="G27" s="62">
        <f t="shared" si="1"/>
        <v>230.1</v>
      </c>
      <c r="H27" s="87">
        <f>VLOOKUP(B27,'[1]Product by Part Number'!$A:$K,5,0)</f>
        <v>2.91</v>
      </c>
      <c r="I27" s="104">
        <f t="shared" si="2"/>
        <v>87.3</v>
      </c>
    </row>
    <row r="28" spans="2:9" x14ac:dyDescent="0.3">
      <c r="B28" s="100" t="s">
        <v>218</v>
      </c>
      <c r="C28" s="54" t="str">
        <f>VLOOKUP(B28,'[1]Product by Part Number'!$A:$K,2,0)</f>
        <v xml:space="preserve">CAT D3 (1PJ)                                            </v>
      </c>
      <c r="D28" s="54" t="str">
        <f>VLOOKUP(B28,'[1]Product by Part Number'!$A:$K,3,0)</f>
        <v>BOLT</v>
      </c>
      <c r="E28" s="55">
        <f>VLOOKUP(B28,'[1]Product by Part Number'!$A:$K,11,0)</f>
        <v>18</v>
      </c>
      <c r="F28" s="79">
        <f>VLOOKUP(B28,'[1]Product by Part Number'!$A:$K,4,0)</f>
        <v>3.22</v>
      </c>
      <c r="G28" s="62">
        <f t="shared" si="1"/>
        <v>57.96</v>
      </c>
      <c r="H28" s="87">
        <f>VLOOKUP(B28,'[1]Product by Part Number'!$A:$K,5,0)</f>
        <v>1.22</v>
      </c>
      <c r="I28" s="104">
        <f t="shared" si="2"/>
        <v>21.96</v>
      </c>
    </row>
    <row r="29" spans="2:9" x14ac:dyDescent="0.3">
      <c r="B29" s="100" t="s">
        <v>219</v>
      </c>
      <c r="C29" s="54" t="str">
        <f>VLOOKUP(B29,'[1]Product by Part Number'!$A:$K,2,0)</f>
        <v xml:space="preserve">CAT D3 (1PJ)                                            </v>
      </c>
      <c r="D29" s="54" t="str">
        <f>VLOOKUP(B29,'[1]Product by Part Number'!$A:$K,3,0)</f>
        <v>BLADE AS</v>
      </c>
      <c r="E29" s="55">
        <f>VLOOKUP(B29,'[1]Product by Part Number'!$A:$K,11,0)</f>
        <v>1</v>
      </c>
      <c r="F29" s="79">
        <f>VLOOKUP(B29,'[1]Product by Part Number'!$A:$K,4,0)</f>
        <v>11144.2</v>
      </c>
      <c r="G29" s="62">
        <f t="shared" si="1"/>
        <v>11144.2</v>
      </c>
      <c r="H29" s="87">
        <f>VLOOKUP(B29,'[1]Product by Part Number'!$A:$K,5,0)</f>
        <v>4234.8</v>
      </c>
      <c r="I29" s="104">
        <f t="shared" si="2"/>
        <v>4234.8</v>
      </c>
    </row>
    <row r="30" spans="2:9" x14ac:dyDescent="0.3">
      <c r="B30" s="100" t="s">
        <v>220</v>
      </c>
      <c r="C30" s="54" t="str">
        <f>VLOOKUP(B30,'[1]Product by Part Number'!$A:$K,2,0)</f>
        <v xml:space="preserve">CAT D7G (92V) CAT D7G (3ZD) CAT D7G (3ZD) (2)                                        </v>
      </c>
      <c r="D30" s="54" t="str">
        <f>VLOOKUP(B30,'[1]Product by Part Number'!$A:$K,3,0)</f>
        <v>BLADE ASSEMBLY</v>
      </c>
      <c r="E30" s="55">
        <f>VLOOKUP(B30,'[1]Product by Part Number'!$A:$K,11,0)</f>
        <v>3</v>
      </c>
      <c r="F30" s="79">
        <f>VLOOKUP(B30,'[1]Product by Part Number'!$A:$K,4,0)</f>
        <v>27033.599999999999</v>
      </c>
      <c r="G30" s="62">
        <f t="shared" si="1"/>
        <v>81100.799999999988</v>
      </c>
      <c r="H30" s="87">
        <f>VLOOKUP(B30,'[1]Product by Part Number'!$A:$K,5,0)</f>
        <v>10272.77</v>
      </c>
      <c r="I30" s="104">
        <f t="shared" si="2"/>
        <v>30818.31</v>
      </c>
    </row>
    <row r="31" spans="2:9" ht="27" x14ac:dyDescent="0.3">
      <c r="B31" s="100" t="s">
        <v>228</v>
      </c>
      <c r="C31" s="54" t="str">
        <f>VLOOKUP(B31,'[1]Product by Part Number'!$A:$K,2,0)</f>
        <v xml:space="preserve">CAT 303.5E                                            </v>
      </c>
      <c r="D31" s="54" t="str">
        <f>VLOOKUP(B31,'[1]Product by Part Number'!$A:$K,3,0)</f>
        <v>BLADE - PUSH REPLACMENT WELD ON EDGE</v>
      </c>
      <c r="E31" s="55">
        <f>VLOOKUP(B31,'[1]Product by Part Number'!$A:$K,11,0)</f>
        <v>1</v>
      </c>
      <c r="F31" s="79">
        <f>VLOOKUP(B31,'[1]Product by Part Number'!$A:$K,4,0)</f>
        <v>147.55000000000001</v>
      </c>
      <c r="G31" s="62">
        <f t="shared" si="1"/>
        <v>147.55000000000001</v>
      </c>
      <c r="H31" s="87">
        <f>VLOOKUP(B31,'[1]Product by Part Number'!$A:$K,5,0)</f>
        <v>56.07</v>
      </c>
      <c r="I31" s="104">
        <f t="shared" si="2"/>
        <v>56.07</v>
      </c>
    </row>
    <row r="32" spans="2:9" x14ac:dyDescent="0.3">
      <c r="B32" s="100" t="s">
        <v>248</v>
      </c>
      <c r="C32" s="54" t="str">
        <f>VLOOKUP(B32,'[1]Product by Part Number'!$A:$K,2,0)</f>
        <v xml:space="preserve">CAT D6T (MH7)                                            </v>
      </c>
      <c r="D32" s="54" t="str">
        <f>VLOOKUP(B32,'[1]Product by Part Number'!$A:$K,3,0)</f>
        <v>RIPPER SHANK</v>
      </c>
      <c r="E32" s="55">
        <f>VLOOKUP(B32,'[1]Product by Part Number'!$A:$K,11,0)</f>
        <v>3</v>
      </c>
      <c r="F32" s="79">
        <f>VLOOKUP(B32,'[1]Product by Part Number'!$A:$K,4,0)</f>
        <v>2061.73</v>
      </c>
      <c r="G32" s="62">
        <f t="shared" si="1"/>
        <v>6185.1900000000005</v>
      </c>
      <c r="H32" s="87">
        <f>VLOOKUP(B32,'[1]Product by Part Number'!$A:$K,5,0)</f>
        <v>783.46</v>
      </c>
      <c r="I32" s="104">
        <f t="shared" si="2"/>
        <v>2350.38</v>
      </c>
    </row>
    <row r="33" spans="2:9" x14ac:dyDescent="0.3">
      <c r="B33" s="100" t="s">
        <v>261</v>
      </c>
      <c r="C33" s="54" t="str">
        <f>VLOOKUP(B33,'[1]Product by Part Number'!$A:$K,2,0)</f>
        <v xml:space="preserve">CAT D3 (1PJ)                                            </v>
      </c>
      <c r="D33" s="54" t="str">
        <f>VLOOKUP(B33,'[1]Product by Part Number'!$A:$K,3,0)</f>
        <v>NUT</v>
      </c>
      <c r="E33" s="55">
        <f>VLOOKUP(B33,'[1]Product by Part Number'!$A:$K,11,0)</f>
        <v>18</v>
      </c>
      <c r="F33" s="79">
        <f>VLOOKUP(B33,'[1]Product by Part Number'!$A:$K,4,0)</f>
        <v>2.44</v>
      </c>
      <c r="G33" s="62">
        <f t="shared" si="1"/>
        <v>43.92</v>
      </c>
      <c r="H33" s="87">
        <f>VLOOKUP(B33,'[1]Product by Part Number'!$A:$K,5,0)</f>
        <v>0.93</v>
      </c>
      <c r="I33" s="104">
        <f t="shared" si="2"/>
        <v>16.739999999999998</v>
      </c>
    </row>
    <row r="34" spans="2:9" ht="27" x14ac:dyDescent="0.3">
      <c r="B34" s="100" t="s">
        <v>266</v>
      </c>
      <c r="C34" s="54" t="str">
        <f>VLOOKUP(B34,'[1]Product by Part Number'!$A:$K,2,0)</f>
        <v xml:space="preserve">CAT D6N LGP (GHS) CAT D6N LGP (PBA) CAT D6N LGP (PBA) (2) CAT D6N LGP (SGG) CAT D6N LGP (SGG) (2)                                    </v>
      </c>
      <c r="D34" s="54" t="str">
        <f>VLOOKUP(B34,'[1]Product by Part Number'!$A:$K,3,0)</f>
        <v>CUTTING EDGE</v>
      </c>
      <c r="E34" s="55">
        <f>VLOOKUP(B34,'[1]Product by Part Number'!$A:$K,11,0)</f>
        <v>10</v>
      </c>
      <c r="F34" s="79">
        <f>VLOOKUP(B34,'[1]Product by Part Number'!$A:$K,4,0)</f>
        <v>435.33</v>
      </c>
      <c r="G34" s="62">
        <f t="shared" si="1"/>
        <v>4353.3</v>
      </c>
      <c r="H34" s="87">
        <f>VLOOKUP(B34,'[1]Product by Part Number'!$A:$K,5,0)</f>
        <v>165.43</v>
      </c>
      <c r="I34" s="104">
        <f t="shared" si="2"/>
        <v>1654.3</v>
      </c>
    </row>
    <row r="35" spans="2:9" x14ac:dyDescent="0.3">
      <c r="B35" s="100" t="s">
        <v>268</v>
      </c>
      <c r="C35" s="54" t="str">
        <f>VLOOKUP(B35,'[1]Product by Part Number'!$A:$K,2,0)</f>
        <v xml:space="preserve">CAT D5 (3CR) CAT D5 (3CR) (2)                                          </v>
      </c>
      <c r="D35" s="54" t="str">
        <f>VLOOKUP(B35,'[1]Product by Part Number'!$A:$K,3,0)</f>
        <v>END BIT RH</v>
      </c>
      <c r="E35" s="55">
        <f>VLOOKUP(B35,'[1]Product by Part Number'!$A:$K,11,0)</f>
        <v>2</v>
      </c>
      <c r="F35" s="79">
        <f>VLOOKUP(B35,'[1]Product by Part Number'!$A:$K,4,0)</f>
        <v>273.04000000000002</v>
      </c>
      <c r="G35" s="62">
        <f t="shared" si="1"/>
        <v>546.08000000000004</v>
      </c>
      <c r="H35" s="87">
        <f>VLOOKUP(B35,'[1]Product by Part Number'!$A:$K,5,0)</f>
        <v>103.76</v>
      </c>
      <c r="I35" s="104">
        <f t="shared" si="2"/>
        <v>207.52</v>
      </c>
    </row>
    <row r="36" spans="2:9" x14ac:dyDescent="0.3">
      <c r="B36" s="100" t="s">
        <v>269</v>
      </c>
      <c r="C36" s="54" t="str">
        <f>VLOOKUP(B36,'[1]Product by Part Number'!$A:$K,2,0)</f>
        <v xml:space="preserve">CAT D5 (3CR) CAT D5 (3CR) (2)                                          </v>
      </c>
      <c r="D36" s="54" t="str">
        <f>VLOOKUP(B36,'[1]Product by Part Number'!$A:$K,3,0)</f>
        <v>END BIT LH</v>
      </c>
      <c r="E36" s="55">
        <f>VLOOKUP(B36,'[1]Product by Part Number'!$A:$K,11,0)</f>
        <v>2</v>
      </c>
      <c r="F36" s="79">
        <f>VLOOKUP(B36,'[1]Product by Part Number'!$A:$K,4,0)</f>
        <v>273.04000000000002</v>
      </c>
      <c r="G36" s="62">
        <f t="shared" si="1"/>
        <v>546.08000000000004</v>
      </c>
      <c r="H36" s="87">
        <f>VLOOKUP(B36,'[1]Product by Part Number'!$A:$K,5,0)</f>
        <v>103.76</v>
      </c>
      <c r="I36" s="104">
        <f t="shared" si="2"/>
        <v>207.52</v>
      </c>
    </row>
    <row r="37" spans="2:9" x14ac:dyDescent="0.3">
      <c r="B37" s="100" t="s">
        <v>270</v>
      </c>
      <c r="C37" s="54" t="str">
        <f>VLOOKUP(B37,'[1]Product by Part Number'!$A:$K,2,0)</f>
        <v xml:space="preserve">CAT D3 (1PJ)                                            </v>
      </c>
      <c r="D37" s="54" t="str">
        <f>VLOOKUP(B37,'[1]Product by Part Number'!$A:$K,3,0)</f>
        <v>END BIT</v>
      </c>
      <c r="E37" s="55">
        <f>VLOOKUP(B37,'[1]Product by Part Number'!$A:$K,11,0)</f>
        <v>2</v>
      </c>
      <c r="F37" s="79">
        <f>VLOOKUP(B37,'[1]Product by Part Number'!$A:$K,4,0)</f>
        <v>73.28</v>
      </c>
      <c r="G37" s="62">
        <f t="shared" si="1"/>
        <v>146.56</v>
      </c>
      <c r="H37" s="87">
        <f>VLOOKUP(B37,'[1]Product by Part Number'!$A:$K,5,0)</f>
        <v>27.85</v>
      </c>
      <c r="I37" s="104">
        <f t="shared" si="2"/>
        <v>55.7</v>
      </c>
    </row>
    <row r="38" spans="2:9" x14ac:dyDescent="0.3">
      <c r="B38" s="100" t="s">
        <v>271</v>
      </c>
      <c r="C38" s="54" t="str">
        <f>VLOOKUP(B38,'[1]Product by Part Number'!$A:$K,2,0)</f>
        <v xml:space="preserve">CAT D3 (1PJ)                                            </v>
      </c>
      <c r="D38" s="54" t="str">
        <f>VLOOKUP(B38,'[1]Product by Part Number'!$A:$K,3,0)</f>
        <v>CUTTING EDGE</v>
      </c>
      <c r="E38" s="55">
        <f>VLOOKUP(B38,'[1]Product by Part Number'!$A:$K,11,0)</f>
        <v>2</v>
      </c>
      <c r="F38" s="79">
        <f>VLOOKUP(B38,'[1]Product by Part Number'!$A:$K,4,0)</f>
        <v>195.02</v>
      </c>
      <c r="G38" s="62">
        <f t="shared" si="1"/>
        <v>390.04</v>
      </c>
      <c r="H38" s="87">
        <f>VLOOKUP(B38,'[1]Product by Part Number'!$A:$K,5,0)</f>
        <v>74.11</v>
      </c>
      <c r="I38" s="104">
        <f t="shared" si="2"/>
        <v>148.22</v>
      </c>
    </row>
    <row r="39" spans="2:9" x14ac:dyDescent="0.3">
      <c r="B39" s="100" t="s">
        <v>272</v>
      </c>
      <c r="C39" s="54" t="str">
        <f>VLOOKUP(B39,'[1]Product by Part Number'!$A:$K,2,0)</f>
        <v xml:space="preserve">CAT D5 (3CR) CAT D5 (3CR) (2)                                          </v>
      </c>
      <c r="D39" s="54" t="str">
        <f>VLOOKUP(B39,'[1]Product by Part Number'!$A:$K,3,0)</f>
        <v>CUTTING EDGE</v>
      </c>
      <c r="E39" s="55">
        <f>VLOOKUP(B39,'[1]Product by Part Number'!$A:$K,11,0)</f>
        <v>4</v>
      </c>
      <c r="F39" s="79">
        <f>VLOOKUP(B39,'[1]Product by Part Number'!$A:$K,4,0)</f>
        <v>296.41000000000003</v>
      </c>
      <c r="G39" s="62">
        <f t="shared" si="1"/>
        <v>1185.6400000000001</v>
      </c>
      <c r="H39" s="87">
        <f>VLOOKUP(B39,'[1]Product by Part Number'!$A:$K,5,0)</f>
        <v>112.64</v>
      </c>
      <c r="I39" s="104">
        <f t="shared" si="2"/>
        <v>450.56</v>
      </c>
    </row>
    <row r="40" spans="2:9" ht="40.200000000000003" x14ac:dyDescent="0.3">
      <c r="B40" s="100" t="s">
        <v>309</v>
      </c>
      <c r="C40" s="54" t="str">
        <f>VLOOKUP(B40,'[1]Product by Part Number'!$A:$K,2,0)</f>
        <v xml:space="preserve">CAT D5 (3CR) CAT D5 (3CR) (2) CAT D6N LGP (GHS) CAT D6N LGP (PBA) CAT D6N LGP (PBA) (2) CAT D6N LGP (SGG) CAT D6N LGP (SGG) (2) CAT D6T (MH7)                              </v>
      </c>
      <c r="D40" s="54" t="str">
        <f>VLOOKUP(B40,'[1]Product by Part Number'!$A:$K,3,0)</f>
        <v>PLOW BOLT</v>
      </c>
      <c r="E40" s="55">
        <f>VLOOKUP(B40,'[1]Product by Part Number'!$A:$K,11,0)</f>
        <v>222</v>
      </c>
      <c r="F40" s="79">
        <f>VLOOKUP(B40,'[1]Product by Part Number'!$A:$K,4,0)</f>
        <v>4.51</v>
      </c>
      <c r="G40" s="62">
        <f t="shared" si="1"/>
        <v>1001.2199999999999</v>
      </c>
      <c r="H40" s="87">
        <f>VLOOKUP(B40,'[1]Product by Part Number'!$A:$K,5,0)</f>
        <v>1.71</v>
      </c>
      <c r="I40" s="104">
        <f t="shared" si="2"/>
        <v>379.62</v>
      </c>
    </row>
    <row r="41" spans="2:9" ht="79.8" x14ac:dyDescent="0.3">
      <c r="B41" s="100" t="s">
        <v>311</v>
      </c>
      <c r="C41" s="54" t="str">
        <f>VLOOKUP(B41,'[1]Product by Part Number'!$A:$K,2,0)</f>
        <v xml:space="preserve">CAT D3 (1PJ) CAT D6N LGP (SGG) CAT D6N LGP (SGG) (2) CAT 561M (1KW) CAT 561M (1KW) CAT 561N (CPH) CAT 561N (CPH) CAT 561N (CPH) (2) CAT 561N (CPH) (2) CAT 561N (CPH) (3) CAT 561N (CPH) (3) CAT 561N (CPH) (4) CAT 561N (CPH) (4) CAT 561N (CPH) (5) CAT 561N (CPH) (5)                </v>
      </c>
      <c r="D41" s="54" t="str">
        <f>VLOOKUP(B41,'[1]Product by Part Number'!$A:$K,3,0)</f>
        <v>WASHER</v>
      </c>
      <c r="E41" s="55">
        <f>VLOOKUP(B41,'[1]Product by Part Number'!$A:$K,11,0)</f>
        <v>422</v>
      </c>
      <c r="F41" s="79">
        <f>VLOOKUP(B41,'[1]Product by Part Number'!$A:$K,4,0)</f>
        <v>2.83</v>
      </c>
      <c r="G41" s="62">
        <f t="shared" si="1"/>
        <v>1194.26</v>
      </c>
      <c r="H41" s="87">
        <f>VLOOKUP(B41,'[1]Product by Part Number'!$A:$K,5,0)</f>
        <v>1.42</v>
      </c>
      <c r="I41" s="104">
        <f t="shared" si="2"/>
        <v>599.24</v>
      </c>
    </row>
    <row r="42" spans="2:9" ht="53.4" x14ac:dyDescent="0.3">
      <c r="B42" s="100" t="s">
        <v>51</v>
      </c>
      <c r="C42" s="54" t="str">
        <f>VLOOKUP(B42,'[1]Product by Part Number'!$A:$K,2,0)</f>
        <v xml:space="preserve">CAT D5 (3CR) CAT D5 (3CR) (2) CAT D6 (RDC) CAT D6N LGP (GHS) CAT D6N LGP (PBA) CAT D6N LGP (PBA) (2) CAT D6N LGP (SGG) CAT D6N LGP (SGG) (2) CAT D6T (MH7)                            </v>
      </c>
      <c r="D42" s="54" t="str">
        <f>VLOOKUP(B42,'[1]Product by Part Number'!$A:$K,3,0)</f>
        <v>FLAT WASHER</v>
      </c>
      <c r="E42" s="55">
        <f>VLOOKUP(B42,'[1]Product by Part Number'!$A:$K,11,0)</f>
        <v>272</v>
      </c>
      <c r="F42" s="79">
        <f>VLOOKUP(B42,'[1]Product by Part Number'!$A:$K,4,0)</f>
        <v>3.56</v>
      </c>
      <c r="G42" s="62">
        <f t="shared" si="1"/>
        <v>968.32</v>
      </c>
      <c r="H42" s="87">
        <f>VLOOKUP(B42,'[1]Product by Part Number'!$A:$K,5,0)</f>
        <v>1.35</v>
      </c>
      <c r="I42" s="104">
        <f t="shared" si="2"/>
        <v>367.2</v>
      </c>
    </row>
    <row r="43" spans="2:9" x14ac:dyDescent="0.3">
      <c r="B43" s="100" t="s">
        <v>317</v>
      </c>
      <c r="C43" s="54" t="str">
        <f>VLOOKUP(B43,'[1]Product by Part Number'!$A:$K,2,0)</f>
        <v xml:space="preserve">CAT D7G (92V) CAT D7G (3ZD) CAT D7G (3ZD) (2)                                        </v>
      </c>
      <c r="D43" s="54" t="str">
        <f>VLOOKUP(B43,'[1]Product by Part Number'!$A:$K,3,0)</f>
        <v>RIPPER SHANK</v>
      </c>
      <c r="E43" s="55">
        <f>VLOOKUP(B43,'[1]Product by Part Number'!$A:$K,11,0)</f>
        <v>3</v>
      </c>
      <c r="F43" s="79">
        <f>VLOOKUP(B43,'[1]Product by Part Number'!$A:$K,4,0)</f>
        <v>6515.49</v>
      </c>
      <c r="G43" s="62">
        <f t="shared" si="1"/>
        <v>19546.47</v>
      </c>
      <c r="H43" s="87">
        <f>VLOOKUP(B43,'[1]Product by Part Number'!$A:$K,5,0)</f>
        <v>2475.89</v>
      </c>
      <c r="I43" s="104">
        <f t="shared" si="2"/>
        <v>7427.67</v>
      </c>
    </row>
    <row r="44" spans="2:9" x14ac:dyDescent="0.3">
      <c r="B44" s="100" t="s">
        <v>324</v>
      </c>
      <c r="C44" s="54" t="str">
        <f>VLOOKUP(B44,'[1]Product by Part Number'!$A:$K,2,0)</f>
        <v xml:space="preserve">CAT D3 (1PJ)                                            </v>
      </c>
      <c r="D44" s="54" t="str">
        <f>VLOOKUP(B44,'[1]Product by Part Number'!$A:$K,3,0)</f>
        <v>DOWEL PIN</v>
      </c>
      <c r="E44" s="55">
        <f>VLOOKUP(B44,'[1]Product by Part Number'!$A:$K,11,0)</f>
        <v>1</v>
      </c>
      <c r="F44" s="79">
        <f>VLOOKUP(B44,'[1]Product by Part Number'!$A:$K,4,0)</f>
        <v>67.7</v>
      </c>
      <c r="G44" s="62">
        <f t="shared" si="1"/>
        <v>67.7</v>
      </c>
      <c r="H44" s="87">
        <f>VLOOKUP(B44,'[1]Product by Part Number'!$A:$K,5,0)</f>
        <v>25.73</v>
      </c>
      <c r="I44" s="104">
        <f t="shared" si="2"/>
        <v>25.73</v>
      </c>
    </row>
    <row r="45" spans="2:9" x14ac:dyDescent="0.3">
      <c r="B45" s="100" t="s">
        <v>342</v>
      </c>
      <c r="C45" s="54" t="str">
        <f>VLOOKUP(B45,'[1]Product by Part Number'!$A:$K,2,0)</f>
        <v xml:space="preserve">CAT D5 (3CR) CAT D5 (3CR) (2)                                          </v>
      </c>
      <c r="D45" s="54" t="str">
        <f>VLOOKUP(B45,'[1]Product by Part Number'!$A:$K,3,0)</f>
        <v>RIPPER</v>
      </c>
      <c r="E45" s="55">
        <f>VLOOKUP(B45,'[1]Product by Part Number'!$A:$K,11,0)</f>
        <v>2</v>
      </c>
      <c r="F45" s="79">
        <f>VLOOKUP(B45,'[1]Product by Part Number'!$A:$K,4,0)</f>
        <v>144.57</v>
      </c>
      <c r="G45" s="62">
        <f t="shared" si="1"/>
        <v>289.14</v>
      </c>
      <c r="H45" s="87">
        <f>VLOOKUP(B45,'[1]Product by Part Number'!$A:$K,5,0)</f>
        <v>54.94</v>
      </c>
      <c r="I45" s="104">
        <f t="shared" si="2"/>
        <v>109.88</v>
      </c>
    </row>
    <row r="46" spans="2:9" ht="27" x14ac:dyDescent="0.3">
      <c r="B46" s="100" t="s">
        <v>343</v>
      </c>
      <c r="C46" s="54" t="str">
        <f>VLOOKUP(B46,'[1]Product by Part Number'!$A:$K,2,0)</f>
        <v xml:space="preserve">CAT D6N LGP (PBA) CAT D6N LGP (PBA) (2) CAT D6N LGP (SGG) CAT D6N LGP (SGG) (2)                                      </v>
      </c>
      <c r="D46" s="54" t="str">
        <f>VLOOKUP(B46,'[1]Product by Part Number'!$A:$K,3,0)</f>
        <v>RIPPER TIP</v>
      </c>
      <c r="E46" s="55">
        <f>VLOOKUP(B46,'[1]Product by Part Number'!$A:$K,11,0)</f>
        <v>12</v>
      </c>
      <c r="F46" s="79">
        <f>VLOOKUP(B46,'[1]Product by Part Number'!$A:$K,4,0)</f>
        <v>224.12</v>
      </c>
      <c r="G46" s="62">
        <f t="shared" si="1"/>
        <v>2689.44</v>
      </c>
      <c r="H46" s="87">
        <f>VLOOKUP(B46,'[1]Product by Part Number'!$A:$K,5,0)</f>
        <v>85.17</v>
      </c>
      <c r="I46" s="104">
        <f t="shared" si="2"/>
        <v>1022.04</v>
      </c>
    </row>
    <row r="47" spans="2:9" ht="27" x14ac:dyDescent="0.3">
      <c r="B47" s="100" t="s">
        <v>344</v>
      </c>
      <c r="C47" s="54" t="str">
        <f>VLOOKUP(B47,'[1]Product by Part Number'!$A:$K,2,0)</f>
        <v xml:space="preserve">CAT D6T (MH7) CAT D7G (92V) CAT D7G (3ZD) CAT D7G (3ZD) (2)                                      </v>
      </c>
      <c r="D47" s="54" t="str">
        <f>VLOOKUP(B47,'[1]Product by Part Number'!$A:$K,3,0)</f>
        <v>RIPPER TOOTH</v>
      </c>
      <c r="E47" s="55">
        <f>VLOOKUP(B47,'[1]Product by Part Number'!$A:$K,11,0)</f>
        <v>6</v>
      </c>
      <c r="F47" s="79">
        <f>VLOOKUP(B47,'[1]Product by Part Number'!$A:$K,4,0)</f>
        <v>224.15</v>
      </c>
      <c r="G47" s="62">
        <f t="shared" si="1"/>
        <v>1344.9</v>
      </c>
      <c r="H47" s="87">
        <f>VLOOKUP(B47,'[1]Product by Part Number'!$A:$K,5,0)</f>
        <v>85.18</v>
      </c>
      <c r="I47" s="104">
        <f t="shared" si="2"/>
        <v>511.08</v>
      </c>
    </row>
    <row r="48" spans="2:9" x14ac:dyDescent="0.3">
      <c r="B48" s="100" t="s">
        <v>364</v>
      </c>
      <c r="C48" s="54" t="str">
        <f>VLOOKUP(B48,'[1]Product by Part Number'!$A:$K,2,0)</f>
        <v xml:space="preserve">CAT D3 (1PJ)                                            </v>
      </c>
      <c r="D48" s="54" t="str">
        <f>VLOOKUP(B48,'[1]Product by Part Number'!$A:$K,3,0)</f>
        <v>G.E.T PIN</v>
      </c>
      <c r="E48" s="55">
        <f>VLOOKUP(B48,'[1]Product by Part Number'!$A:$K,11,0)</f>
        <v>1</v>
      </c>
      <c r="F48" s="79">
        <f>VLOOKUP(B48,'[1]Product by Part Number'!$A:$K,4,0)</f>
        <v>4.38</v>
      </c>
      <c r="G48" s="62">
        <f t="shared" si="1"/>
        <v>4.38</v>
      </c>
      <c r="H48" s="87">
        <f>VLOOKUP(B48,'[1]Product by Part Number'!$A:$K,5,0)</f>
        <v>1.66</v>
      </c>
      <c r="I48" s="104">
        <f t="shared" si="2"/>
        <v>1.66</v>
      </c>
    </row>
    <row r="49" spans="2:9" x14ac:dyDescent="0.3">
      <c r="B49" s="100" t="s">
        <v>365</v>
      </c>
      <c r="C49" s="54" t="str">
        <f>VLOOKUP(B49,'[1]Product by Part Number'!$A:$K,2,0)</f>
        <v xml:space="preserve">CAT D3 (1PJ)                                            </v>
      </c>
      <c r="D49" s="54" t="str">
        <f>VLOOKUP(B49,'[1]Product by Part Number'!$A:$K,3,0)</f>
        <v>TIP PIN RETAINER</v>
      </c>
      <c r="E49" s="55">
        <f>VLOOKUP(B49,'[1]Product by Part Number'!$A:$K,11,0)</f>
        <v>1</v>
      </c>
      <c r="F49" s="79">
        <f>VLOOKUP(B49,'[1]Product by Part Number'!$A:$K,4,0)</f>
        <v>9.4499999999999993</v>
      </c>
      <c r="G49" s="62">
        <f t="shared" si="1"/>
        <v>9.4499999999999993</v>
      </c>
      <c r="H49" s="87">
        <f>VLOOKUP(B49,'[1]Product by Part Number'!$A:$K,5,0)</f>
        <v>3.59</v>
      </c>
      <c r="I49" s="104">
        <f t="shared" si="2"/>
        <v>3.59</v>
      </c>
    </row>
    <row r="50" spans="2:9" ht="27" x14ac:dyDescent="0.3">
      <c r="B50" s="100" t="s">
        <v>366</v>
      </c>
      <c r="C50" s="54" t="str">
        <f>VLOOKUP(B50,'[1]Product by Part Number'!$A:$K,2,0)</f>
        <v xml:space="preserve">CAT D6N LGP (GHS) CAT D6N LGP (PBA) CAT D6N LGP (PBA) (2) CAT D6N LGP (SGG) CAT D6N LGP (SGG) (2)                                    </v>
      </c>
      <c r="D50" s="54" t="str">
        <f>VLOOKUP(B50,'[1]Product by Part Number'!$A:$K,3,0)</f>
        <v>END BIT LH</v>
      </c>
      <c r="E50" s="55">
        <f>VLOOKUP(B50,'[1]Product by Part Number'!$A:$K,11,0)</f>
        <v>5</v>
      </c>
      <c r="F50" s="79">
        <f>VLOOKUP(B50,'[1]Product by Part Number'!$A:$K,4,0)</f>
        <v>160.9</v>
      </c>
      <c r="G50" s="62">
        <f t="shared" si="1"/>
        <v>804.5</v>
      </c>
      <c r="H50" s="87">
        <f>VLOOKUP(B50,'[1]Product by Part Number'!$A:$K,5,0)</f>
        <v>61.14</v>
      </c>
      <c r="I50" s="104">
        <f t="shared" si="2"/>
        <v>305.7</v>
      </c>
    </row>
    <row r="51" spans="2:9" ht="27" x14ac:dyDescent="0.3">
      <c r="B51" s="100" t="s">
        <v>367</v>
      </c>
      <c r="C51" s="54" t="str">
        <f>VLOOKUP(B51,'[1]Product by Part Number'!$A:$K,2,0)</f>
        <v xml:space="preserve">CAT D6N LGP (GHS) CAT D6N LGP (PBA) CAT D6N LGP (PBA) (2) CAT D6N LGP (SGG) CAT D6N LGP (SGG) (2)                                    </v>
      </c>
      <c r="D51" s="54" t="str">
        <f>VLOOKUP(B51,'[1]Product by Part Number'!$A:$K,3,0)</f>
        <v>END BIT RH</v>
      </c>
      <c r="E51" s="55">
        <f>VLOOKUP(B51,'[1]Product by Part Number'!$A:$K,11,0)</f>
        <v>5</v>
      </c>
      <c r="F51" s="79">
        <f>VLOOKUP(B51,'[1]Product by Part Number'!$A:$K,4,0)</f>
        <v>160.9</v>
      </c>
      <c r="G51" s="62">
        <f t="shared" si="1"/>
        <v>804.5</v>
      </c>
      <c r="H51" s="87">
        <f>VLOOKUP(B51,'[1]Product by Part Number'!$A:$K,5,0)</f>
        <v>61.14</v>
      </c>
      <c r="I51" s="104">
        <f t="shared" si="2"/>
        <v>305.7</v>
      </c>
    </row>
    <row r="52" spans="2:9" ht="27" x14ac:dyDescent="0.3">
      <c r="B52" s="100" t="s">
        <v>370</v>
      </c>
      <c r="C52" s="54" t="str">
        <f>VLOOKUP(B52,'[1]Product by Part Number'!$A:$K,2,0)</f>
        <v xml:space="preserve">CAT D6N LGP (PBA) CAT D6N LGP (PBA) (2) CAT D6N LGP (SGG) CAT D6N LGP (SGG) (2) CAT D6T (MH7)                                    </v>
      </c>
      <c r="D52" s="54" t="str">
        <f>VLOOKUP(B52,'[1]Product by Part Number'!$A:$K,3,0)</f>
        <v>RIPPER PIN</v>
      </c>
      <c r="E52" s="55">
        <f>VLOOKUP(B52,'[1]Product by Part Number'!$A:$K,11,0)</f>
        <v>15</v>
      </c>
      <c r="F52" s="79">
        <f>VLOOKUP(B52,'[1]Product by Part Number'!$A:$K,4,0)</f>
        <v>164.9</v>
      </c>
      <c r="G52" s="62">
        <f t="shared" si="1"/>
        <v>2473.5</v>
      </c>
      <c r="H52" s="87">
        <f>VLOOKUP(B52,'[1]Product by Part Number'!$A:$K,5,0)</f>
        <v>62.66</v>
      </c>
      <c r="I52" s="104">
        <f t="shared" si="2"/>
        <v>939.9</v>
      </c>
    </row>
    <row r="53" spans="2:9" x14ac:dyDescent="0.3">
      <c r="B53" s="100" t="s">
        <v>371</v>
      </c>
      <c r="C53" s="54" t="str">
        <f>VLOOKUP(B53,'[1]Product by Part Number'!$A:$K,2,0)</f>
        <v xml:space="preserve">CAT D3 (1PJ)                                            </v>
      </c>
      <c r="D53" s="54" t="str">
        <f>VLOOKUP(B53,'[1]Product by Part Number'!$A:$K,3,0)</f>
        <v>RIPPER SHANK</v>
      </c>
      <c r="E53" s="55">
        <f>VLOOKUP(B53,'[1]Product by Part Number'!$A:$K,11,0)</f>
        <v>1</v>
      </c>
      <c r="F53" s="79">
        <f>VLOOKUP(B53,'[1]Product by Part Number'!$A:$K,4,0)</f>
        <v>446.79</v>
      </c>
      <c r="G53" s="62">
        <f t="shared" si="1"/>
        <v>446.79</v>
      </c>
      <c r="H53" s="87">
        <f>VLOOKUP(B53,'[1]Product by Part Number'!$A:$K,5,0)</f>
        <v>169.78</v>
      </c>
      <c r="I53" s="104">
        <f t="shared" si="2"/>
        <v>169.78</v>
      </c>
    </row>
    <row r="54" spans="2:9" x14ac:dyDescent="0.3">
      <c r="B54" s="100" t="s">
        <v>392</v>
      </c>
      <c r="C54" s="54" t="str">
        <f>VLOOKUP(B54,'[1]Product by Part Number'!$A:$K,2,0)</f>
        <v xml:space="preserve">CAT D5 (3CR) CAT D5 (3CR) (2)                                          </v>
      </c>
      <c r="D54" s="54" t="str">
        <f>VLOOKUP(B54,'[1]Product by Part Number'!$A:$K,3,0)</f>
        <v>RIPPER SHANK</v>
      </c>
      <c r="E54" s="55">
        <f>VLOOKUP(B54,'[1]Product by Part Number'!$A:$K,11,0)</f>
        <v>2</v>
      </c>
      <c r="F54" s="79">
        <f>VLOOKUP(B54,'[1]Product by Part Number'!$A:$K,4,0)</f>
        <v>1095.81</v>
      </c>
      <c r="G54" s="62">
        <f t="shared" si="1"/>
        <v>2191.62</v>
      </c>
      <c r="H54" s="87">
        <f>VLOOKUP(B54,'[1]Product by Part Number'!$A:$K,5,0)</f>
        <v>416.41</v>
      </c>
      <c r="I54" s="104">
        <f t="shared" si="2"/>
        <v>832.82</v>
      </c>
    </row>
    <row r="55" spans="2:9" ht="27" x14ac:dyDescent="0.3">
      <c r="B55" s="100" t="s">
        <v>393</v>
      </c>
      <c r="C55" s="54" t="str">
        <f>VLOOKUP(B55,'[1]Product by Part Number'!$A:$K,2,0)</f>
        <v xml:space="preserve">CAT D6N LGP (PBA) CAT D6N LGP (PBA) (2) CAT D6N LGP (SGG) CAT D6N LGP (SGG) (2)                                      </v>
      </c>
      <c r="D55" s="54" t="str">
        <f>VLOOKUP(B55,'[1]Product by Part Number'!$A:$K,3,0)</f>
        <v>RIPPER SHANK</v>
      </c>
      <c r="E55" s="55">
        <f>VLOOKUP(B55,'[1]Product by Part Number'!$A:$K,11,0)</f>
        <v>12</v>
      </c>
      <c r="F55" s="79">
        <f>VLOOKUP(B55,'[1]Product by Part Number'!$A:$K,4,0)</f>
        <v>2053.06</v>
      </c>
      <c r="G55" s="62">
        <f t="shared" si="1"/>
        <v>24636.720000000001</v>
      </c>
      <c r="H55" s="87">
        <f>VLOOKUP(B55,'[1]Product by Part Number'!$A:$K,5,0)</f>
        <v>780.16</v>
      </c>
      <c r="I55" s="104">
        <f t="shared" si="2"/>
        <v>9361.92</v>
      </c>
    </row>
    <row r="56" spans="2:9" x14ac:dyDescent="0.3">
      <c r="B56" s="100" t="s">
        <v>400</v>
      </c>
      <c r="C56" s="54" t="str">
        <f>VLOOKUP(B56,'[1]Product by Part Number'!$A:$K,2,0)</f>
        <v xml:space="preserve">CAT D6T (MH7)                                            </v>
      </c>
      <c r="D56" s="54" t="str">
        <f>VLOOKUP(B56,'[1]Product by Part Number'!$A:$K,3,0)</f>
        <v>END BIT RH</v>
      </c>
      <c r="E56" s="55">
        <f>VLOOKUP(B56,'[1]Product by Part Number'!$A:$K,11,0)</f>
        <v>1</v>
      </c>
      <c r="F56" s="79">
        <f>VLOOKUP(B56,'[1]Product by Part Number'!$A:$K,4,0)</f>
        <v>219.63</v>
      </c>
      <c r="G56" s="62">
        <f t="shared" si="1"/>
        <v>219.63</v>
      </c>
      <c r="H56" s="87">
        <f>VLOOKUP(B56,'[1]Product by Part Number'!$A:$K,5,0)</f>
        <v>83.46</v>
      </c>
      <c r="I56" s="104">
        <f t="shared" si="2"/>
        <v>83.46</v>
      </c>
    </row>
    <row r="57" spans="2:9" x14ac:dyDescent="0.3">
      <c r="B57" s="100" t="s">
        <v>401</v>
      </c>
      <c r="C57" s="54" t="str">
        <f>VLOOKUP(B57,'[1]Product by Part Number'!$A:$K,2,0)</f>
        <v xml:space="preserve">CAT D6T (MH7)                                            </v>
      </c>
      <c r="D57" s="54" t="str">
        <f>VLOOKUP(B57,'[1]Product by Part Number'!$A:$K,3,0)</f>
        <v>END BIT LH</v>
      </c>
      <c r="E57" s="55">
        <f>VLOOKUP(B57,'[1]Product by Part Number'!$A:$K,11,0)</f>
        <v>1</v>
      </c>
      <c r="F57" s="79">
        <f>VLOOKUP(B57,'[1]Product by Part Number'!$A:$K,4,0)</f>
        <v>219.63</v>
      </c>
      <c r="G57" s="62">
        <f t="shared" si="1"/>
        <v>219.63</v>
      </c>
      <c r="H57" s="87">
        <f>VLOOKUP(B57,'[1]Product by Part Number'!$A:$K,5,0)</f>
        <v>83.46</v>
      </c>
      <c r="I57" s="104">
        <f t="shared" si="2"/>
        <v>83.46</v>
      </c>
    </row>
    <row r="58" spans="2:9" ht="15" thickBot="1" x14ac:dyDescent="0.35">
      <c r="B58" s="108" t="s">
        <v>415</v>
      </c>
      <c r="C58" s="80" t="str">
        <f>VLOOKUP(B58,'[1]Product by Part Number'!$A:$K,2,0)</f>
        <v xml:space="preserve">CAT D5 (3CR) CAT D5 (3CR) (2)                                          </v>
      </c>
      <c r="D58" s="80" t="str">
        <f>VLOOKUP(B58,'[1]Product by Part Number'!$A:$K,3,0)</f>
        <v>ANGLING BLADE ASSY</v>
      </c>
      <c r="E58" s="81">
        <f>VLOOKUP(B58,'[1]Product by Part Number'!$A:$K,11,0)</f>
        <v>2</v>
      </c>
      <c r="F58" s="82">
        <f>VLOOKUP(B58,'[1]Product by Part Number'!$A:$K,4,0)</f>
        <v>16888.900000000001</v>
      </c>
      <c r="G58" s="62">
        <f t="shared" si="1"/>
        <v>33777.800000000003</v>
      </c>
      <c r="H58" s="89">
        <f>VLOOKUP(B58,'[1]Product by Part Number'!$A:$K,5,0)</f>
        <v>6417.78</v>
      </c>
      <c r="I58" s="109">
        <f t="shared" si="2"/>
        <v>12835.56</v>
      </c>
    </row>
    <row r="59" spans="2:9" x14ac:dyDescent="0.3">
      <c r="B59" s="149"/>
      <c r="C59" s="150"/>
      <c r="D59" s="150"/>
      <c r="E59" s="150"/>
      <c r="F59" s="151"/>
      <c r="G59" s="27"/>
      <c r="H59" s="92" t="s">
        <v>17</v>
      </c>
      <c r="I59" s="93">
        <f>SUM(I15:I58)</f>
        <v>126025.23000000003</v>
      </c>
    </row>
    <row r="60" spans="2:9" x14ac:dyDescent="0.3">
      <c r="B60" s="90"/>
      <c r="C60" s="31"/>
      <c r="D60" s="32" t="s">
        <v>18</v>
      </c>
      <c r="E60" s="152">
        <f>SUM(G15:G58)</f>
        <v>322061.51000000007</v>
      </c>
      <c r="F60" s="153"/>
      <c r="G60" s="33"/>
      <c r="H60" s="94" t="s">
        <v>19</v>
      </c>
      <c r="I60" s="95">
        <v>0</v>
      </c>
    </row>
    <row r="61" spans="2:9" x14ac:dyDescent="0.3">
      <c r="B61" s="90"/>
      <c r="C61" s="31"/>
      <c r="D61" s="32" t="s">
        <v>20</v>
      </c>
      <c r="E61" s="152">
        <f>SUM(I15:I58)</f>
        <v>126025.23000000003</v>
      </c>
      <c r="F61" s="153"/>
      <c r="G61" s="33"/>
      <c r="H61" s="96" t="s">
        <v>21</v>
      </c>
      <c r="I61" s="95">
        <v>0</v>
      </c>
    </row>
    <row r="62" spans="2:9" x14ac:dyDescent="0.3">
      <c r="B62" s="90"/>
      <c r="C62" s="31"/>
      <c r="D62" s="32" t="s">
        <v>22</v>
      </c>
      <c r="E62" s="170">
        <f>E60-E61</f>
        <v>196036.28000000003</v>
      </c>
      <c r="F62" s="171"/>
      <c r="G62" s="36"/>
      <c r="H62" s="94" t="s">
        <v>23</v>
      </c>
      <c r="I62" s="97">
        <f>SUM(I59:I61)</f>
        <v>126025.23000000003</v>
      </c>
    </row>
    <row r="63" spans="2:9" x14ac:dyDescent="0.3">
      <c r="B63" s="90"/>
      <c r="C63" s="31"/>
      <c r="D63" s="32"/>
      <c r="E63" s="172"/>
      <c r="F63" s="173"/>
      <c r="G63" s="38"/>
      <c r="H63" s="94" t="s">
        <v>24</v>
      </c>
      <c r="I63" s="97">
        <f>I62*0.05</f>
        <v>6301.2615000000014</v>
      </c>
    </row>
    <row r="64" spans="2:9" x14ac:dyDescent="0.3">
      <c r="B64" s="90"/>
      <c r="C64" s="31"/>
      <c r="D64" s="39"/>
      <c r="E64" s="39"/>
      <c r="F64" s="91"/>
      <c r="G64" s="40"/>
      <c r="H64" s="94" t="s">
        <v>25</v>
      </c>
      <c r="I64" s="95"/>
    </row>
    <row r="65" spans="2:9" ht="16.2" thickBot="1" x14ac:dyDescent="0.35">
      <c r="B65" s="164" t="s">
        <v>26</v>
      </c>
      <c r="C65" s="165"/>
      <c r="D65" s="165"/>
      <c r="E65" s="165"/>
      <c r="F65" s="166"/>
      <c r="G65" s="41"/>
      <c r="H65" s="98" t="s">
        <v>27</v>
      </c>
      <c r="I65" s="99">
        <f>SUM(I62:I64)</f>
        <v>132326.49150000003</v>
      </c>
    </row>
  </sheetData>
  <autoFilter ref="B14:I65" xr:uid="{627AEAAF-E9D4-4F41-920A-F55BC0791038}"/>
  <mergeCells count="25">
    <mergeCell ref="E1:F5"/>
    <mergeCell ref="H1:I5"/>
    <mergeCell ref="C7:D7"/>
    <mergeCell ref="C8:D8"/>
    <mergeCell ref="E8:F8"/>
    <mergeCell ref="H8:I8"/>
    <mergeCell ref="C9:D9"/>
    <mergeCell ref="E9:F9"/>
    <mergeCell ref="H9:I9"/>
    <mergeCell ref="C10:D10"/>
    <mergeCell ref="E10:F10"/>
    <mergeCell ref="H10:I10"/>
    <mergeCell ref="C11:D11"/>
    <mergeCell ref="E11:F11"/>
    <mergeCell ref="H11:I11"/>
    <mergeCell ref="C12:D12"/>
    <mergeCell ref="E12:F12"/>
    <mergeCell ref="H12:I12"/>
    <mergeCell ref="B65:F65"/>
    <mergeCell ref="F13:I13"/>
    <mergeCell ref="B59:F59"/>
    <mergeCell ref="E60:F60"/>
    <mergeCell ref="E61:F61"/>
    <mergeCell ref="E62:F62"/>
    <mergeCell ref="E63:F63"/>
  </mergeCells>
  <hyperlinks>
    <hyperlink ref="H9" r:id="rId1" xr:uid="{9D562A3B-9141-41A4-B052-CAFE0EF0F5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775C-C777-482C-B3DD-888A06E506C2}">
  <sheetPr filterMode="1"/>
  <dimension ref="B1:I64"/>
  <sheetViews>
    <sheetView topLeftCell="A15" workbookViewId="0">
      <selection activeCell="C72" sqref="C72"/>
    </sheetView>
  </sheetViews>
  <sheetFormatPr defaultRowHeight="14.4" x14ac:dyDescent="0.3"/>
  <cols>
    <col min="1" max="1" width="2.6640625" customWidth="1"/>
    <col min="2" max="2" width="17.664062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8"/>
      <c r="C1" s="69"/>
      <c r="D1" s="69"/>
      <c r="E1" s="167" t="s">
        <v>28</v>
      </c>
      <c r="F1" s="141"/>
      <c r="G1" s="44"/>
      <c r="H1" s="140" t="s">
        <v>29</v>
      </c>
      <c r="I1" s="141"/>
    </row>
    <row r="2" spans="2:9" ht="15" customHeight="1" x14ac:dyDescent="0.3">
      <c r="B2" s="70"/>
      <c r="E2" s="168"/>
      <c r="F2" s="143"/>
      <c r="G2" s="45"/>
      <c r="H2" s="142"/>
      <c r="I2" s="143"/>
    </row>
    <row r="3" spans="2:9" ht="15" customHeight="1" x14ac:dyDescent="0.3">
      <c r="B3" s="70"/>
      <c r="E3" s="168"/>
      <c r="F3" s="143"/>
      <c r="G3" s="45"/>
      <c r="H3" s="142"/>
      <c r="I3" s="143"/>
    </row>
    <row r="4" spans="2:9" ht="15" customHeight="1" x14ac:dyDescent="0.3">
      <c r="B4" s="70"/>
      <c r="E4" s="168"/>
      <c r="F4" s="143"/>
      <c r="G4" s="45"/>
      <c r="H4" s="142"/>
      <c r="I4" s="143"/>
    </row>
    <row r="5" spans="2:9" ht="15" customHeight="1" x14ac:dyDescent="0.3">
      <c r="B5" s="71"/>
      <c r="C5" s="1"/>
      <c r="D5" s="1"/>
      <c r="E5" s="169"/>
      <c r="F5" s="145"/>
      <c r="G5" s="46"/>
      <c r="H5" s="144"/>
      <c r="I5" s="145"/>
    </row>
    <row r="6" spans="2:9" ht="36.6" x14ac:dyDescent="0.7">
      <c r="B6" s="6"/>
      <c r="C6" s="7"/>
      <c r="D6" s="7"/>
      <c r="E6" s="8"/>
      <c r="F6" s="72"/>
      <c r="G6" s="8"/>
      <c r="H6" s="83"/>
      <c r="I6" s="72"/>
    </row>
    <row r="7" spans="2:9" x14ac:dyDescent="0.3">
      <c r="B7" s="73" t="s">
        <v>7</v>
      </c>
      <c r="C7" s="177" t="str">
        <f>'MOQ Grand Total'!C7</f>
        <v>LINCOLN COUNTY OILFIELD SERVICES</v>
      </c>
      <c r="D7" s="178"/>
      <c r="E7" s="9" t="s">
        <v>8</v>
      </c>
      <c r="F7" s="74">
        <v>45748</v>
      </c>
      <c r="G7" s="59"/>
      <c r="H7" s="84" t="s">
        <v>9</v>
      </c>
      <c r="I7" s="85" t="str">
        <f>'MOQ Grand Total'!I7</f>
        <v xml:space="preserve"> </v>
      </c>
    </row>
    <row r="8" spans="2:9" x14ac:dyDescent="0.3">
      <c r="B8" s="75" t="s">
        <v>10</v>
      </c>
      <c r="C8" s="174" t="str">
        <f>'MOQ Grand Total'!C8</f>
        <v>DUSTIN MINNS</v>
      </c>
      <c r="D8" s="174"/>
      <c r="E8" s="154" t="s">
        <v>11</v>
      </c>
      <c r="F8" s="155"/>
      <c r="G8" s="51"/>
      <c r="H8" s="162" t="s">
        <v>54</v>
      </c>
      <c r="I8" s="163"/>
    </row>
    <row r="9" spans="2:9" x14ac:dyDescent="0.3">
      <c r="B9" s="75" t="s">
        <v>12</v>
      </c>
      <c r="C9" s="174">
        <f>'MOQ Grand Total'!C9</f>
        <v>0</v>
      </c>
      <c r="D9" s="174"/>
      <c r="E9" s="154" t="s">
        <v>13</v>
      </c>
      <c r="F9" s="155"/>
      <c r="G9" s="51"/>
      <c r="H9" s="160" t="s">
        <v>55</v>
      </c>
      <c r="I9" s="161"/>
    </row>
    <row r="10" spans="2:9" x14ac:dyDescent="0.3">
      <c r="B10" s="75"/>
      <c r="C10" s="174">
        <f>'MOQ Grand Total'!C10</f>
        <v>0</v>
      </c>
      <c r="D10" s="174"/>
      <c r="E10" s="154" t="s">
        <v>14</v>
      </c>
      <c r="F10" s="155"/>
      <c r="G10" s="51"/>
      <c r="H10" s="156" t="s">
        <v>421</v>
      </c>
      <c r="I10" s="157"/>
    </row>
    <row r="11" spans="2:9" x14ac:dyDescent="0.3">
      <c r="B11" s="75"/>
      <c r="C11" s="174">
        <f>'MOQ Grand Total'!C11</f>
        <v>0</v>
      </c>
      <c r="D11" s="174"/>
      <c r="E11" s="154"/>
      <c r="F11" s="155"/>
      <c r="G11" s="51"/>
      <c r="H11" s="156" t="s">
        <v>421</v>
      </c>
      <c r="I11" s="157"/>
    </row>
    <row r="12" spans="2:9" x14ac:dyDescent="0.3">
      <c r="B12" s="76"/>
      <c r="C12" s="174">
        <f>'MOQ Grand Total'!C12</f>
        <v>0</v>
      </c>
      <c r="D12" s="174"/>
      <c r="E12" s="175"/>
      <c r="F12" s="176"/>
      <c r="G12" s="60"/>
      <c r="H12" s="158" t="s">
        <v>421</v>
      </c>
      <c r="I12" s="159"/>
    </row>
    <row r="13" spans="2:9" ht="15" thickBot="1" x14ac:dyDescent="0.35">
      <c r="B13" s="15"/>
      <c r="C13" s="16"/>
      <c r="D13" s="16"/>
      <c r="E13" s="16"/>
      <c r="F13" s="146" t="s">
        <v>3</v>
      </c>
      <c r="G13" s="147"/>
      <c r="H13" s="148"/>
      <c r="I13" s="146"/>
    </row>
    <row r="14" spans="2:9" ht="15" thickBot="1" x14ac:dyDescent="0.35">
      <c r="B14" s="52" t="s">
        <v>0</v>
      </c>
      <c r="C14" s="18" t="s">
        <v>15</v>
      </c>
      <c r="D14" s="19" t="s">
        <v>1</v>
      </c>
      <c r="E14" s="20" t="s">
        <v>2</v>
      </c>
      <c r="F14" s="77" t="s">
        <v>4</v>
      </c>
      <c r="G14" s="61"/>
      <c r="H14" s="17" t="s">
        <v>5</v>
      </c>
      <c r="I14" s="86" t="s">
        <v>16</v>
      </c>
    </row>
    <row r="15" spans="2:9" x14ac:dyDescent="0.3">
      <c r="B15" s="100" t="s">
        <v>113</v>
      </c>
      <c r="C15" s="54" t="str">
        <f>VLOOKUP(B15,'[1]Product by Part Number'!$A:$K,2,0)</f>
        <v xml:space="preserve">CAT D6N LGP (GHS)                                            </v>
      </c>
      <c r="D15" s="54" t="str">
        <f>VLOOKUP(B15,'[1]Product by Part Number'!$A:$K,3,0)</f>
        <v>SEAT SUSPENSION ASSEMBLY</v>
      </c>
      <c r="E15" s="55">
        <f>VLOOKUP(B15,'[1]Product by Part Number'!$A:$K,11,0)</f>
        <v>1</v>
      </c>
      <c r="F15" s="79">
        <f>VLOOKUP(B15,'[1]Product by Part Number'!$A:$K,4,0)</f>
        <v>3100.37</v>
      </c>
      <c r="G15" s="62">
        <f>E15*F15</f>
        <v>3100.37</v>
      </c>
      <c r="H15" s="87">
        <f>VLOOKUP(B15,'[1]Product by Part Number'!$A:$K,5,0)</f>
        <v>1550.19</v>
      </c>
      <c r="I15" s="104">
        <f t="shared" ref="I15:I57" si="0">ROUND(E15*H15,2)</f>
        <v>1550.19</v>
      </c>
    </row>
    <row r="16" spans="2:9" x14ac:dyDescent="0.3">
      <c r="B16" s="100" t="s">
        <v>171</v>
      </c>
      <c r="C16" s="54" t="str">
        <f>VLOOKUP(B16,'[1]Product by Part Number'!$A:$K,2,0)</f>
        <v xml:space="preserve">CAT 329F L (ERL) CAT 329F L (ERL) (2)                                          </v>
      </c>
      <c r="D16" s="54" t="str">
        <f>VLOOKUP(B16,'[1]Product by Part Number'!$A:$K,3,0)</f>
        <v xml:space="preserve">SEAT ASSEMBLY </v>
      </c>
      <c r="E16" s="55">
        <f>VLOOKUP(B16,'[1]Product by Part Number'!$A:$K,11,0)</f>
        <v>2</v>
      </c>
      <c r="F16" s="79">
        <f>VLOOKUP(B16,'[1]Product by Part Number'!$A:$K,4,0)</f>
        <v>3384.84</v>
      </c>
      <c r="G16" s="62">
        <f t="shared" ref="G16:G26" si="1">E16*F16</f>
        <v>6769.68</v>
      </c>
      <c r="H16" s="87">
        <f>VLOOKUP(B16,'[1]Product by Part Number'!$A:$K,5,0)</f>
        <v>1692.42</v>
      </c>
      <c r="I16" s="104">
        <f t="shared" ref="I16:I26" si="2">ROUND(E16*H16,2)</f>
        <v>3384.84</v>
      </c>
    </row>
    <row r="17" spans="2:9" x14ac:dyDescent="0.3">
      <c r="B17" s="100" t="s">
        <v>172</v>
      </c>
      <c r="C17" s="54" t="str">
        <f>VLOOKUP(B17,'[1]Product by Part Number'!$A:$K,2,0)</f>
        <v xml:space="preserve">CAT 329F L (ERL) CAT 329F L (ERL) (2)                                          </v>
      </c>
      <c r="D17" s="54" t="str">
        <f>VLOOKUP(B17,'[1]Product by Part Number'!$A:$K,3,0)</f>
        <v>SEAT SUSPENSION ASSEMBLY</v>
      </c>
      <c r="E17" s="55">
        <f>VLOOKUP(B17,'[1]Product by Part Number'!$A:$K,11,0)</f>
        <v>2</v>
      </c>
      <c r="F17" s="79">
        <f>VLOOKUP(B17,'[1]Product by Part Number'!$A:$K,4,0)</f>
        <v>3739.65</v>
      </c>
      <c r="G17" s="62">
        <f t="shared" si="1"/>
        <v>7479.3</v>
      </c>
      <c r="H17" s="87">
        <f>VLOOKUP(B17,'[1]Product by Part Number'!$A:$K,5,0)</f>
        <v>1869.83</v>
      </c>
      <c r="I17" s="104">
        <f t="shared" si="2"/>
        <v>3739.66</v>
      </c>
    </row>
    <row r="18" spans="2:9" ht="40.200000000000003" x14ac:dyDescent="0.3">
      <c r="B18" s="100" t="s">
        <v>173</v>
      </c>
      <c r="C18" s="54" t="str">
        <f>VLOOKUP(B18,'[1]Product by Part Number'!$A:$K,2,0)</f>
        <v xml:space="preserve">CAT 320F L (YBM) CAT 329E L (ZCD) CAT 330F L (MBX) CAT 330F L (HCK) CAT 330F L (HCK) (2) CAT 336F L (RKB)                                  </v>
      </c>
      <c r="D18" s="54" t="str">
        <f>VLOOKUP(B18,'[1]Product by Part Number'!$A:$K,3,0)</f>
        <v>SEAT SUSPENSION ASSEMBLY</v>
      </c>
      <c r="E18" s="55">
        <f>VLOOKUP(B18,'[1]Product by Part Number'!$A:$K,11,0)</f>
        <v>6</v>
      </c>
      <c r="F18" s="79">
        <f>VLOOKUP(B18,'[1]Product by Part Number'!$A:$K,4,0)</f>
        <v>4369.08</v>
      </c>
      <c r="G18" s="62">
        <f t="shared" si="1"/>
        <v>26214.48</v>
      </c>
      <c r="H18" s="87">
        <f>VLOOKUP(B18,'[1]Product by Part Number'!$A:$K,5,0)</f>
        <v>2184.54</v>
      </c>
      <c r="I18" s="104">
        <f t="shared" si="2"/>
        <v>13107.24</v>
      </c>
    </row>
    <row r="19" spans="2:9" x14ac:dyDescent="0.3">
      <c r="B19" s="100" t="s">
        <v>211</v>
      </c>
      <c r="C19" s="54" t="str">
        <f>VLOOKUP(B19,'[1]Product by Part Number'!$A:$K,2,0)</f>
        <v xml:space="preserve">CAT 303.5E                                            </v>
      </c>
      <c r="D19" s="54" t="str">
        <f>VLOOKUP(B19,'[1]Product by Part Number'!$A:$K,3,0)</f>
        <v xml:space="preserve">SUSPENSION SEAT ASSEMBLY </v>
      </c>
      <c r="E19" s="55">
        <f>VLOOKUP(B19,'[1]Product by Part Number'!$A:$K,11,0)</f>
        <v>1</v>
      </c>
      <c r="F19" s="79">
        <f>VLOOKUP(B19,'[1]Product by Part Number'!$A:$K,4,0)</f>
        <v>3786.04</v>
      </c>
      <c r="G19" s="62">
        <f t="shared" si="1"/>
        <v>3786.04</v>
      </c>
      <c r="H19" s="87">
        <f>VLOOKUP(B19,'[1]Product by Part Number'!$A:$K,5,0)</f>
        <v>1893.02</v>
      </c>
      <c r="I19" s="104">
        <f t="shared" si="2"/>
        <v>1893.02</v>
      </c>
    </row>
    <row r="20" spans="2:9" ht="66.599999999999994" x14ac:dyDescent="0.3">
      <c r="B20" s="100" t="s">
        <v>250</v>
      </c>
      <c r="C20" s="54" t="str">
        <f>VLOOKUP(B20,'[1]Product by Part Number'!$A:$K,2,0)</f>
        <v xml:space="preserve">CAT 320 (HEX) CAT 320 (MYK) CAT 320 (MYK) (2) CAT 330 (LHW) CAT 330 (LHW) (2) CAT 330 (LHW) (3) CAT 330 (LHW) (4) CAT 330 (WCH) CAT 330 (WCH) (2) CAT 330 (WCH) (3) CAT 330 (WCH) (4) CAT 330 (WCH) (5) CAT 330 (WCH) (6)                    </v>
      </c>
      <c r="D20" s="54" t="str">
        <f>VLOOKUP(B20,'[1]Product by Part Number'!$A:$K,3,0)</f>
        <v>SUSPENSION SEAT ASSEMBLY</v>
      </c>
      <c r="E20" s="55">
        <f>VLOOKUP(B20,'[1]Product by Part Number'!$A:$K,11,0)</f>
        <v>13</v>
      </c>
      <c r="F20" s="79">
        <f>VLOOKUP(B20,'[1]Product by Part Number'!$A:$K,4,0)</f>
        <v>8493.36</v>
      </c>
      <c r="G20" s="62">
        <f t="shared" si="1"/>
        <v>110413.68000000001</v>
      </c>
      <c r="H20" s="87">
        <f>VLOOKUP(B20,'[1]Product by Part Number'!$A:$K,5,0)</f>
        <v>4246.68</v>
      </c>
      <c r="I20" s="104">
        <f t="shared" si="2"/>
        <v>55206.84</v>
      </c>
    </row>
    <row r="21" spans="2:9" x14ac:dyDescent="0.3">
      <c r="B21" s="100" t="s">
        <v>252</v>
      </c>
      <c r="C21" s="54" t="str">
        <f>VLOOKUP(B21,'[1]Product by Part Number'!$A:$K,2,0)</f>
        <v xml:space="preserve">CAT D6N LGP (GHS)                                            </v>
      </c>
      <c r="D21" s="54" t="str">
        <f>VLOOKUP(B21,'[1]Product by Part Number'!$A:$K,3,0)</f>
        <v>SEAT ASSEMBLY</v>
      </c>
      <c r="E21" s="55">
        <f>VLOOKUP(B21,'[1]Product by Part Number'!$A:$K,11,0)</f>
        <v>1</v>
      </c>
      <c r="F21" s="79">
        <f>VLOOKUP(B21,'[1]Product by Part Number'!$A:$K,4,0)</f>
        <v>3921.14</v>
      </c>
      <c r="G21" s="62">
        <f t="shared" si="1"/>
        <v>3921.14</v>
      </c>
      <c r="H21" s="87">
        <f>VLOOKUP(B21,'[1]Product by Part Number'!$A:$K,5,0)</f>
        <v>1960.57</v>
      </c>
      <c r="I21" s="104">
        <f t="shared" si="2"/>
        <v>1960.57</v>
      </c>
    </row>
    <row r="22" spans="2:9" ht="40.200000000000003" x14ac:dyDescent="0.3">
      <c r="B22" s="101" t="s">
        <v>256</v>
      </c>
      <c r="C22" s="54" t="str">
        <f>VLOOKUP(B22,'[1]Product by Part Number'!$A:$K,2,0)</f>
        <v xml:space="preserve">CAT 320F L (YBM) CAT 329E L (ZCD) CAT 330F L (MBX) CAT 330F L (HCK) CAT 330F L (HCK) (2) CAT 336F L (RKB)                                  </v>
      </c>
      <c r="D22" s="54" t="str">
        <f>VLOOKUP(B22,'[1]Product by Part Number'!$A:$K,3,0)</f>
        <v xml:space="preserve">OPERATOR SEAT ASSEMBLY </v>
      </c>
      <c r="E22" s="55">
        <f>VLOOKUP(B22,'[1]Product by Part Number'!$A:$K,11,0)</f>
        <v>6</v>
      </c>
      <c r="F22" s="79">
        <f>VLOOKUP(B22,'[1]Product by Part Number'!$A:$K,4,0)</f>
        <v>4161.4399999999996</v>
      </c>
      <c r="G22" s="62">
        <f t="shared" si="1"/>
        <v>24968.639999999999</v>
      </c>
      <c r="H22" s="87">
        <f>VLOOKUP(B22,'[1]Product by Part Number'!$A:$K,5,0)</f>
        <v>2080.7199999999998</v>
      </c>
      <c r="I22" s="104">
        <f t="shared" si="2"/>
        <v>12484.32</v>
      </c>
    </row>
    <row r="23" spans="2:9" ht="27" x14ac:dyDescent="0.3">
      <c r="B23" s="101" t="s">
        <v>282</v>
      </c>
      <c r="C23" s="54" t="str">
        <f>VLOOKUP(B23,'[1]Product by Part Number'!$A:$K,2,0)</f>
        <v xml:space="preserve">CAT 561N (CPH) CAT 561N (CPH) (2) CAT 561N (CPH) (3) CAT 561N (CPH) (4) CAT 561N (CPH) (5)                                    </v>
      </c>
      <c r="D23" s="54" t="str">
        <f>VLOOKUP(B23,'[1]Product by Part Number'!$A:$K,3,0)</f>
        <v>SEAT ASSY</v>
      </c>
      <c r="E23" s="55">
        <f>VLOOKUP(B23,'[1]Product by Part Number'!$A:$K,11,0)</f>
        <v>5</v>
      </c>
      <c r="F23" s="79">
        <f>VLOOKUP(B23,'[1]Product by Part Number'!$A:$K,4,0)</f>
        <v>2482.65</v>
      </c>
      <c r="G23" s="62">
        <f t="shared" si="1"/>
        <v>12413.25</v>
      </c>
      <c r="H23" s="87">
        <f>VLOOKUP(B23,'[1]Product by Part Number'!$A:$K,5,0)</f>
        <v>1241.33</v>
      </c>
      <c r="I23" s="104">
        <f t="shared" si="2"/>
        <v>6206.65</v>
      </c>
    </row>
    <row r="24" spans="2:9" x14ac:dyDescent="0.3">
      <c r="B24" s="101" t="s">
        <v>388</v>
      </c>
      <c r="C24" s="54" t="str">
        <f>VLOOKUP(B24,'[1]Product by Part Number'!$A:$K,2,0)</f>
        <v xml:space="preserve">CAT D5 (3CR) CAT D5 (3CR) (2)                                          </v>
      </c>
      <c r="D24" s="54" t="str">
        <f>VLOOKUP(B24,'[1]Product by Part Number'!$A:$K,3,0)</f>
        <v>SEAT/SUSPENSION ASSEMBLY</v>
      </c>
      <c r="E24" s="55">
        <f>VLOOKUP(B24,'[1]Product by Part Number'!$A:$K,11,0)</f>
        <v>2</v>
      </c>
      <c r="F24" s="79">
        <f>VLOOKUP(B24,'[1]Product by Part Number'!$A:$K,4,0)</f>
        <v>9424.19</v>
      </c>
      <c r="G24" s="62">
        <f t="shared" si="1"/>
        <v>18848.38</v>
      </c>
      <c r="H24" s="87">
        <f>VLOOKUP(B24,'[1]Product by Part Number'!$A:$K,5,0)</f>
        <v>4712.1000000000004</v>
      </c>
      <c r="I24" s="104">
        <f t="shared" si="2"/>
        <v>9424.2000000000007</v>
      </c>
    </row>
    <row r="25" spans="2:9" x14ac:dyDescent="0.3">
      <c r="B25" s="101" t="s">
        <v>389</v>
      </c>
      <c r="C25" s="54" t="str">
        <f>VLOOKUP(B25,'[1]Product by Part Number'!$A:$K,2,0)</f>
        <v xml:space="preserve">CAT D3 (1PJ)                                            </v>
      </c>
      <c r="D25" s="54" t="str">
        <f>VLOOKUP(B25,'[1]Product by Part Number'!$A:$K,3,0)</f>
        <v>SEAT ASSEMBLY</v>
      </c>
      <c r="E25" s="55">
        <f>VLOOKUP(B25,'[1]Product by Part Number'!$A:$K,11,0)</f>
        <v>1</v>
      </c>
      <c r="F25" s="79">
        <f>VLOOKUP(B25,'[1]Product by Part Number'!$A:$K,4,0)</f>
        <v>5796.13</v>
      </c>
      <c r="G25" s="62">
        <f t="shared" si="1"/>
        <v>5796.13</v>
      </c>
      <c r="H25" s="87">
        <f>VLOOKUP(B25,'[1]Product by Part Number'!$A:$K,5,0)</f>
        <v>2898.07</v>
      </c>
      <c r="I25" s="104">
        <f t="shared" si="2"/>
        <v>2898.07</v>
      </c>
    </row>
    <row r="26" spans="2:9" ht="15" thickBot="1" x14ac:dyDescent="0.35">
      <c r="B26" s="102" t="s">
        <v>414</v>
      </c>
      <c r="C26" s="80" t="str">
        <f>VLOOKUP(B26,'[1]Product by Part Number'!$A:$K,2,0)</f>
        <v xml:space="preserve">CAT D4 (66J)                                            </v>
      </c>
      <c r="D26" s="80" t="str">
        <f>VLOOKUP(B26,'[1]Product by Part Number'!$A:$K,3,0)</f>
        <v>SEAT SUSPENSION ASSEMBLY</v>
      </c>
      <c r="E26" s="81">
        <f>VLOOKUP(B26,'[1]Product by Part Number'!$A:$K,11,0)</f>
        <v>1</v>
      </c>
      <c r="F26" s="82">
        <f>VLOOKUP(B26,'[1]Product by Part Number'!$A:$K,4,0)</f>
        <v>1021.54</v>
      </c>
      <c r="G26" s="62">
        <f t="shared" si="1"/>
        <v>1021.54</v>
      </c>
      <c r="H26" s="89">
        <f>VLOOKUP(B26,'[1]Product by Part Number'!$A:$K,5,0)</f>
        <v>510.77</v>
      </c>
      <c r="I26" s="109">
        <f t="shared" si="2"/>
        <v>510.77</v>
      </c>
    </row>
    <row r="27" spans="2:9" hidden="1" x14ac:dyDescent="0.3">
      <c r="B27" s="22"/>
      <c r="C27" s="22"/>
      <c r="D27" s="22"/>
      <c r="E27" s="23"/>
      <c r="F27" s="24"/>
      <c r="G27" s="24"/>
      <c r="H27" s="25"/>
      <c r="I27" s="26">
        <f t="shared" si="0"/>
        <v>0</v>
      </c>
    </row>
    <row r="28" spans="2:9" hidden="1" x14ac:dyDescent="0.3">
      <c r="B28" s="22"/>
      <c r="C28" s="22"/>
      <c r="D28" s="22"/>
      <c r="E28" s="23"/>
      <c r="F28" s="24"/>
      <c r="G28" s="24"/>
      <c r="H28" s="25"/>
      <c r="I28" s="26">
        <f t="shared" si="0"/>
        <v>0</v>
      </c>
    </row>
    <row r="29" spans="2:9" hidden="1" x14ac:dyDescent="0.3">
      <c r="B29" s="22"/>
      <c r="C29" s="22"/>
      <c r="D29" s="22"/>
      <c r="E29" s="23"/>
      <c r="F29" s="24"/>
      <c r="G29" s="24"/>
      <c r="H29" s="25"/>
      <c r="I29" s="26">
        <f t="shared" si="0"/>
        <v>0</v>
      </c>
    </row>
    <row r="30" spans="2:9" hidden="1" x14ac:dyDescent="0.3">
      <c r="B30" s="22"/>
      <c r="C30" s="22"/>
      <c r="D30" s="22"/>
      <c r="E30" s="23"/>
      <c r="F30" s="24"/>
      <c r="G30" s="24"/>
      <c r="H30" s="25"/>
      <c r="I30" s="26">
        <f t="shared" si="0"/>
        <v>0</v>
      </c>
    </row>
    <row r="31" spans="2:9" hidden="1" x14ac:dyDescent="0.3">
      <c r="B31" s="22"/>
      <c r="C31" s="22"/>
      <c r="D31" s="22"/>
      <c r="E31" s="23"/>
      <c r="F31" s="24"/>
      <c r="G31" s="24"/>
      <c r="H31" s="25"/>
      <c r="I31" s="26">
        <f t="shared" si="0"/>
        <v>0</v>
      </c>
    </row>
    <row r="32" spans="2:9" hidden="1" x14ac:dyDescent="0.3">
      <c r="B32" s="22"/>
      <c r="C32" s="22"/>
      <c r="D32" s="22"/>
      <c r="E32" s="23"/>
      <c r="F32" s="24"/>
      <c r="G32" s="24"/>
      <c r="H32" s="25"/>
      <c r="I32" s="26">
        <f t="shared" si="0"/>
        <v>0</v>
      </c>
    </row>
    <row r="33" spans="2:9" hidden="1" x14ac:dyDescent="0.3">
      <c r="B33" s="22"/>
      <c r="C33" s="22"/>
      <c r="D33" s="22"/>
      <c r="E33" s="23"/>
      <c r="F33" s="24"/>
      <c r="G33" s="24"/>
      <c r="H33" s="25"/>
      <c r="I33" s="26">
        <f t="shared" si="0"/>
        <v>0</v>
      </c>
    </row>
    <row r="34" spans="2:9" hidden="1" x14ac:dyDescent="0.3">
      <c r="B34" s="22"/>
      <c r="C34" s="22"/>
      <c r="D34" s="22"/>
      <c r="E34" s="23"/>
      <c r="F34" s="24"/>
      <c r="G34" s="24"/>
      <c r="H34" s="25"/>
      <c r="I34" s="26">
        <f t="shared" si="0"/>
        <v>0</v>
      </c>
    </row>
    <row r="35" spans="2:9" hidden="1" x14ac:dyDescent="0.3">
      <c r="B35" s="22"/>
      <c r="C35" s="22"/>
      <c r="D35" s="22"/>
      <c r="E35" s="23"/>
      <c r="F35" s="24"/>
      <c r="G35" s="24"/>
      <c r="H35" s="25"/>
      <c r="I35" s="26">
        <f t="shared" si="0"/>
        <v>0</v>
      </c>
    </row>
    <row r="36" spans="2:9" hidden="1" x14ac:dyDescent="0.3">
      <c r="B36" s="22"/>
      <c r="C36" s="22"/>
      <c r="D36" s="22"/>
      <c r="E36" s="23"/>
      <c r="F36" s="24"/>
      <c r="G36" s="24"/>
      <c r="H36" s="25"/>
      <c r="I36" s="26">
        <f t="shared" si="0"/>
        <v>0</v>
      </c>
    </row>
    <row r="37" spans="2:9" hidden="1" x14ac:dyDescent="0.3">
      <c r="B37" s="22"/>
      <c r="C37" s="22"/>
      <c r="D37" s="22"/>
      <c r="E37" s="23"/>
      <c r="F37" s="24"/>
      <c r="G37" s="24"/>
      <c r="H37" s="25"/>
      <c r="I37" s="26">
        <f t="shared" si="0"/>
        <v>0</v>
      </c>
    </row>
    <row r="38" spans="2:9" hidden="1" x14ac:dyDescent="0.3">
      <c r="B38" s="22"/>
      <c r="C38" s="22"/>
      <c r="D38" s="22"/>
      <c r="E38" s="23"/>
      <c r="F38" s="24"/>
      <c r="G38" s="24"/>
      <c r="H38" s="25"/>
      <c r="I38" s="26">
        <f t="shared" si="0"/>
        <v>0</v>
      </c>
    </row>
    <row r="39" spans="2:9" hidden="1" x14ac:dyDescent="0.3">
      <c r="B39" s="22"/>
      <c r="C39" s="22"/>
      <c r="D39" s="22"/>
      <c r="E39" s="23"/>
      <c r="F39" s="24"/>
      <c r="G39" s="24"/>
      <c r="H39" s="25"/>
      <c r="I39" s="26">
        <f t="shared" si="0"/>
        <v>0</v>
      </c>
    </row>
    <row r="40" spans="2:9" hidden="1" x14ac:dyDescent="0.3">
      <c r="B40" s="22"/>
      <c r="C40" s="22"/>
      <c r="D40" s="22"/>
      <c r="E40" s="23"/>
      <c r="F40" s="24"/>
      <c r="G40" s="24"/>
      <c r="H40" s="25"/>
      <c r="I40" s="26">
        <f t="shared" si="0"/>
        <v>0</v>
      </c>
    </row>
    <row r="41" spans="2:9" hidden="1" x14ac:dyDescent="0.3">
      <c r="B41" s="22"/>
      <c r="C41" s="22"/>
      <c r="D41" s="22"/>
      <c r="E41" s="23"/>
      <c r="F41" s="24"/>
      <c r="G41" s="24"/>
      <c r="H41" s="25"/>
      <c r="I41" s="26">
        <f t="shared" si="0"/>
        <v>0</v>
      </c>
    </row>
    <row r="42" spans="2:9" hidden="1" x14ac:dyDescent="0.3">
      <c r="B42" s="22"/>
      <c r="C42" s="22"/>
      <c r="D42" s="22"/>
      <c r="E42" s="23"/>
      <c r="F42" s="24"/>
      <c r="G42" s="24"/>
      <c r="H42" s="25"/>
      <c r="I42" s="26">
        <f t="shared" si="0"/>
        <v>0</v>
      </c>
    </row>
    <row r="43" spans="2:9" hidden="1" x14ac:dyDescent="0.3">
      <c r="B43" s="22"/>
      <c r="C43" s="22"/>
      <c r="D43" s="22"/>
      <c r="E43" s="23"/>
      <c r="F43" s="24"/>
      <c r="G43" s="24"/>
      <c r="H43" s="25"/>
      <c r="I43" s="26">
        <f t="shared" si="0"/>
        <v>0</v>
      </c>
    </row>
    <row r="44" spans="2:9" hidden="1" x14ac:dyDescent="0.3">
      <c r="B44" s="22"/>
      <c r="C44" s="22"/>
      <c r="D44" s="22"/>
      <c r="E44" s="23"/>
      <c r="F44" s="24"/>
      <c r="G44" s="24"/>
      <c r="H44" s="25"/>
      <c r="I44" s="26">
        <f t="shared" si="0"/>
        <v>0</v>
      </c>
    </row>
    <row r="45" spans="2:9" hidden="1" x14ac:dyDescent="0.3">
      <c r="B45" s="22"/>
      <c r="C45" s="22"/>
      <c r="D45" s="22"/>
      <c r="E45" s="23"/>
      <c r="F45" s="24"/>
      <c r="G45" s="24"/>
      <c r="H45" s="25"/>
      <c r="I45" s="26">
        <f t="shared" si="0"/>
        <v>0</v>
      </c>
    </row>
    <row r="46" spans="2:9" hidden="1" x14ac:dyDescent="0.3">
      <c r="B46" s="22"/>
      <c r="C46" s="22"/>
      <c r="D46" s="22"/>
      <c r="E46" s="23"/>
      <c r="F46" s="24"/>
      <c r="G46" s="24"/>
      <c r="H46" s="25"/>
      <c r="I46" s="26">
        <f t="shared" si="0"/>
        <v>0</v>
      </c>
    </row>
    <row r="47" spans="2:9" hidden="1" x14ac:dyDescent="0.3">
      <c r="B47" s="22"/>
      <c r="C47" s="22"/>
      <c r="D47" s="22"/>
      <c r="E47" s="23"/>
      <c r="F47" s="24"/>
      <c r="G47" s="24"/>
      <c r="H47" s="25"/>
      <c r="I47" s="26">
        <f t="shared" si="0"/>
        <v>0</v>
      </c>
    </row>
    <row r="48" spans="2:9" hidden="1" x14ac:dyDescent="0.3">
      <c r="B48" s="22"/>
      <c r="C48" s="22"/>
      <c r="D48" s="22"/>
      <c r="E48" s="23"/>
      <c r="F48" s="24"/>
      <c r="G48" s="24"/>
      <c r="H48" s="25"/>
      <c r="I48" s="26">
        <f t="shared" si="0"/>
        <v>0</v>
      </c>
    </row>
    <row r="49" spans="2:9" hidden="1" x14ac:dyDescent="0.3">
      <c r="B49" s="22"/>
      <c r="C49" s="22"/>
      <c r="D49" s="22"/>
      <c r="E49" s="23"/>
      <c r="F49" s="24"/>
      <c r="G49" s="24"/>
      <c r="H49" s="25"/>
      <c r="I49" s="26">
        <f t="shared" si="0"/>
        <v>0</v>
      </c>
    </row>
    <row r="50" spans="2:9" hidden="1" x14ac:dyDescent="0.3">
      <c r="B50" s="22"/>
      <c r="C50" s="22"/>
      <c r="D50" s="22"/>
      <c r="E50" s="23"/>
      <c r="F50" s="24"/>
      <c r="G50" s="24"/>
      <c r="H50" s="25"/>
      <c r="I50" s="26">
        <f t="shared" si="0"/>
        <v>0</v>
      </c>
    </row>
    <row r="51" spans="2:9" hidden="1" x14ac:dyDescent="0.3">
      <c r="B51" s="22"/>
      <c r="C51" s="22"/>
      <c r="D51" s="22"/>
      <c r="E51" s="23"/>
      <c r="F51" s="24"/>
      <c r="G51" s="24"/>
      <c r="H51" s="25"/>
      <c r="I51" s="26">
        <f t="shared" si="0"/>
        <v>0</v>
      </c>
    </row>
    <row r="52" spans="2:9" hidden="1" x14ac:dyDescent="0.3">
      <c r="B52" s="22"/>
      <c r="C52" s="22"/>
      <c r="D52" s="22"/>
      <c r="E52" s="23"/>
      <c r="F52" s="24"/>
      <c r="G52" s="24"/>
      <c r="H52" s="25"/>
      <c r="I52" s="26">
        <f t="shared" si="0"/>
        <v>0</v>
      </c>
    </row>
    <row r="53" spans="2:9" hidden="1" x14ac:dyDescent="0.3">
      <c r="B53" s="22"/>
      <c r="C53" s="22"/>
      <c r="D53" s="22"/>
      <c r="E53" s="23"/>
      <c r="F53" s="24"/>
      <c r="G53" s="24"/>
      <c r="H53" s="25"/>
      <c r="I53" s="26">
        <f t="shared" si="0"/>
        <v>0</v>
      </c>
    </row>
    <row r="54" spans="2:9" hidden="1" x14ac:dyDescent="0.3">
      <c r="B54" s="22"/>
      <c r="C54" s="22"/>
      <c r="D54" s="22"/>
      <c r="E54" s="23"/>
      <c r="F54" s="24"/>
      <c r="G54" s="24"/>
      <c r="H54" s="25"/>
      <c r="I54" s="26">
        <f t="shared" si="0"/>
        <v>0</v>
      </c>
    </row>
    <row r="55" spans="2:9" hidden="1" x14ac:dyDescent="0.3">
      <c r="B55" s="22"/>
      <c r="C55" s="22"/>
      <c r="D55" s="22"/>
      <c r="E55" s="23"/>
      <c r="F55" s="24"/>
      <c r="G55" s="24"/>
      <c r="H55" s="25"/>
      <c r="I55" s="26">
        <f t="shared" si="0"/>
        <v>0</v>
      </c>
    </row>
    <row r="56" spans="2:9" hidden="1" x14ac:dyDescent="0.3">
      <c r="B56" s="22"/>
      <c r="C56" s="22"/>
      <c r="D56" s="22"/>
      <c r="E56" s="23"/>
      <c r="F56" s="24"/>
      <c r="G56" s="24"/>
      <c r="H56" s="25"/>
      <c r="I56" s="26">
        <f t="shared" si="0"/>
        <v>0</v>
      </c>
    </row>
    <row r="57" spans="2:9" hidden="1" x14ac:dyDescent="0.3">
      <c r="B57" s="63"/>
      <c r="C57" s="63"/>
      <c r="D57" s="63"/>
      <c r="E57" s="64"/>
      <c r="F57" s="65"/>
      <c r="G57" s="24"/>
      <c r="H57" s="66"/>
      <c r="I57" s="67">
        <f t="shared" si="0"/>
        <v>0</v>
      </c>
    </row>
    <row r="58" spans="2:9" x14ac:dyDescent="0.3">
      <c r="B58" s="149"/>
      <c r="C58" s="150"/>
      <c r="D58" s="150"/>
      <c r="E58" s="150"/>
      <c r="F58" s="151"/>
      <c r="G58" s="27"/>
      <c r="H58" s="92" t="s">
        <v>17</v>
      </c>
      <c r="I58" s="93">
        <f>SUM(I15:I57)</f>
        <v>112366.37</v>
      </c>
    </row>
    <row r="59" spans="2:9" x14ac:dyDescent="0.3">
      <c r="B59" s="90"/>
      <c r="C59" s="31"/>
      <c r="D59" s="32" t="s">
        <v>18</v>
      </c>
      <c r="E59" s="152">
        <f>SUM(G15:G57)</f>
        <v>224732.63000000003</v>
      </c>
      <c r="F59" s="153"/>
      <c r="G59" s="33"/>
      <c r="H59" s="94" t="s">
        <v>19</v>
      </c>
      <c r="I59" s="95">
        <v>0</v>
      </c>
    </row>
    <row r="60" spans="2:9" x14ac:dyDescent="0.3">
      <c r="B60" s="90"/>
      <c r="C60" s="31"/>
      <c r="D60" s="32" t="s">
        <v>20</v>
      </c>
      <c r="E60" s="152">
        <f>SUM(I15:I57)</f>
        <v>112366.37</v>
      </c>
      <c r="F60" s="153"/>
      <c r="G60" s="33"/>
      <c r="H60" s="96" t="s">
        <v>21</v>
      </c>
      <c r="I60" s="95">
        <v>0</v>
      </c>
    </row>
    <row r="61" spans="2:9" x14ac:dyDescent="0.3">
      <c r="B61" s="90"/>
      <c r="C61" s="31"/>
      <c r="D61" s="32" t="s">
        <v>22</v>
      </c>
      <c r="E61" s="170">
        <f>E59-E60</f>
        <v>112366.26000000004</v>
      </c>
      <c r="F61" s="171"/>
      <c r="G61" s="36"/>
      <c r="H61" s="94" t="s">
        <v>23</v>
      </c>
      <c r="I61" s="97">
        <f>SUM(I58:I60)</f>
        <v>112366.37</v>
      </c>
    </row>
    <row r="62" spans="2:9" x14ac:dyDescent="0.3">
      <c r="B62" s="90"/>
      <c r="C62" s="31"/>
      <c r="D62" s="32"/>
      <c r="E62" s="172"/>
      <c r="F62" s="173"/>
      <c r="G62" s="38"/>
      <c r="H62" s="94" t="s">
        <v>24</v>
      </c>
      <c r="I62" s="97">
        <f>I61*0.05</f>
        <v>5618.3185000000003</v>
      </c>
    </row>
    <row r="63" spans="2:9" x14ac:dyDescent="0.3">
      <c r="B63" s="90"/>
      <c r="C63" s="31"/>
      <c r="D63" s="39"/>
      <c r="E63" s="39"/>
      <c r="F63" s="91"/>
      <c r="G63" s="40"/>
      <c r="H63" s="94" t="s">
        <v>25</v>
      </c>
      <c r="I63" s="95"/>
    </row>
    <row r="64" spans="2:9" ht="16.2" thickBot="1" x14ac:dyDescent="0.35">
      <c r="B64" s="164" t="s">
        <v>26</v>
      </c>
      <c r="C64" s="165"/>
      <c r="D64" s="165"/>
      <c r="E64" s="165"/>
      <c r="F64" s="166"/>
      <c r="G64" s="41"/>
      <c r="H64" s="98" t="s">
        <v>27</v>
      </c>
      <c r="I64" s="99">
        <f>SUM(I61:I63)</f>
        <v>117984.68849999999</v>
      </c>
    </row>
  </sheetData>
  <autoFilter ref="B14:I64" xr:uid="{667D775C-C777-482C-B3DD-888A06E506C2}">
    <filterColumn colId="6">
      <customFilters>
        <customFilter operator="notEqual" val=" "/>
      </customFilters>
    </filterColumn>
  </autoFilter>
  <mergeCells count="25">
    <mergeCell ref="B64:F64"/>
    <mergeCell ref="F13:I13"/>
    <mergeCell ref="B58:F58"/>
    <mergeCell ref="E59:F59"/>
    <mergeCell ref="E60:F60"/>
    <mergeCell ref="E61:F61"/>
    <mergeCell ref="E62:F62"/>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244311AD-6968-4476-9CBF-2A4C399578D3}"/>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13445-FB78-418E-9CD4-AFF919FEA4DA}">
  <sheetPr filterMode="1"/>
  <dimension ref="B1:I63"/>
  <sheetViews>
    <sheetView workbookViewId="0">
      <selection activeCell="I66" sqref="I66"/>
    </sheetView>
  </sheetViews>
  <sheetFormatPr defaultRowHeight="14.4" x14ac:dyDescent="0.3"/>
  <cols>
    <col min="1" max="1" width="2.6640625" customWidth="1"/>
    <col min="2" max="2" width="15.44140625"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2"/>
      <c r="C1" s="3"/>
      <c r="D1" s="3"/>
      <c r="E1" s="193" t="s">
        <v>28</v>
      </c>
      <c r="F1" s="193"/>
      <c r="G1" s="44"/>
      <c r="H1" s="193" t="s">
        <v>6</v>
      </c>
      <c r="I1" s="194"/>
    </row>
    <row r="2" spans="2:9" ht="15" customHeight="1" x14ac:dyDescent="0.3">
      <c r="B2" s="4"/>
      <c r="E2" s="168"/>
      <c r="F2" s="168"/>
      <c r="G2" s="45"/>
      <c r="H2" s="168"/>
      <c r="I2" s="195"/>
    </row>
    <row r="3" spans="2:9" ht="15" customHeight="1" x14ac:dyDescent="0.3">
      <c r="B3" s="4"/>
      <c r="E3" s="168"/>
      <c r="F3" s="168"/>
      <c r="G3" s="45"/>
      <c r="H3" s="168"/>
      <c r="I3" s="195"/>
    </row>
    <row r="4" spans="2:9" ht="15" customHeight="1" x14ac:dyDescent="0.3">
      <c r="B4" s="4"/>
      <c r="E4" s="168"/>
      <c r="F4" s="168"/>
      <c r="G4" s="45"/>
      <c r="H4" s="168"/>
      <c r="I4" s="195"/>
    </row>
    <row r="5" spans="2:9" ht="15" customHeight="1" x14ac:dyDescent="0.3">
      <c r="B5" s="5"/>
      <c r="C5" s="1"/>
      <c r="D5" s="1"/>
      <c r="E5" s="169"/>
      <c r="F5" s="169"/>
      <c r="G5" s="46"/>
      <c r="H5" s="169"/>
      <c r="I5" s="196"/>
    </row>
    <row r="6" spans="2:9" ht="36.6" x14ac:dyDescent="0.7">
      <c r="B6" s="6"/>
      <c r="C6" s="7"/>
      <c r="D6" s="7"/>
      <c r="E6" s="8"/>
      <c r="F6" s="8"/>
      <c r="G6" s="8"/>
      <c r="H6" s="8"/>
      <c r="I6" s="8"/>
    </row>
    <row r="7" spans="2:9" x14ac:dyDescent="0.3">
      <c r="B7" s="48" t="s">
        <v>7</v>
      </c>
      <c r="C7" s="177" t="s">
        <v>32</v>
      </c>
      <c r="D7" s="178"/>
      <c r="E7" s="9" t="s">
        <v>8</v>
      </c>
      <c r="F7" s="10">
        <v>45444</v>
      </c>
      <c r="G7" s="10"/>
      <c r="H7" s="11" t="s">
        <v>9</v>
      </c>
      <c r="I7" s="12"/>
    </row>
    <row r="8" spans="2:9" x14ac:dyDescent="0.3">
      <c r="B8" s="49" t="s">
        <v>10</v>
      </c>
      <c r="C8" s="197">
        <v>0</v>
      </c>
      <c r="D8" s="197"/>
      <c r="E8" s="154" t="s">
        <v>11</v>
      </c>
      <c r="F8" s="154"/>
      <c r="G8" s="13"/>
      <c r="H8" s="188"/>
      <c r="I8" s="188"/>
    </row>
    <row r="9" spans="2:9" x14ac:dyDescent="0.3">
      <c r="B9" s="49" t="s">
        <v>12</v>
      </c>
      <c r="C9" s="197">
        <v>0</v>
      </c>
      <c r="D9" s="197"/>
      <c r="E9" s="154" t="s">
        <v>13</v>
      </c>
      <c r="F9" s="154"/>
      <c r="G9" s="13"/>
      <c r="H9" s="198"/>
      <c r="I9" s="198"/>
    </row>
    <row r="10" spans="2:9" x14ac:dyDescent="0.3">
      <c r="B10" s="49"/>
      <c r="C10" s="197">
        <v>0</v>
      </c>
      <c r="D10" s="197"/>
      <c r="E10" s="154" t="s">
        <v>14</v>
      </c>
      <c r="F10" s="154"/>
      <c r="G10" s="13"/>
      <c r="H10" s="186"/>
      <c r="I10" s="186"/>
    </row>
    <row r="11" spans="2:9" x14ac:dyDescent="0.3">
      <c r="B11" s="49"/>
      <c r="C11" s="197">
        <v>0</v>
      </c>
      <c r="D11" s="197"/>
      <c r="E11" s="154"/>
      <c r="F11" s="154"/>
      <c r="G11" s="13"/>
      <c r="H11" s="186"/>
      <c r="I11" s="186"/>
    </row>
    <row r="12" spans="2:9" x14ac:dyDescent="0.3">
      <c r="B12" s="50"/>
      <c r="C12" s="197">
        <v>0</v>
      </c>
      <c r="D12" s="197"/>
      <c r="E12" s="175"/>
      <c r="F12" s="175"/>
      <c r="G12" s="14"/>
      <c r="H12" s="187"/>
      <c r="I12" s="187"/>
    </row>
    <row r="13" spans="2:9" ht="15" thickBot="1" x14ac:dyDescent="0.35">
      <c r="B13" s="15"/>
      <c r="C13" s="16"/>
      <c r="D13" s="16"/>
      <c r="E13" s="16"/>
      <c r="F13" s="147" t="s">
        <v>3</v>
      </c>
      <c r="G13" s="147"/>
      <c r="H13" s="147"/>
      <c r="I13" s="147"/>
    </row>
    <row r="14" spans="2:9" ht="15" thickBot="1" x14ac:dyDescent="0.35">
      <c r="B14" s="17" t="s">
        <v>0</v>
      </c>
      <c r="C14" s="18" t="s">
        <v>15</v>
      </c>
      <c r="D14" s="19" t="s">
        <v>1</v>
      </c>
      <c r="E14" s="20" t="s">
        <v>2</v>
      </c>
      <c r="F14" s="20" t="s">
        <v>4</v>
      </c>
      <c r="G14" s="20"/>
      <c r="H14" s="20" t="s">
        <v>5</v>
      </c>
      <c r="I14" s="21" t="s">
        <v>16</v>
      </c>
    </row>
    <row r="15" spans="2:9" x14ac:dyDescent="0.3">
      <c r="B15" s="22" t="s">
        <v>56</v>
      </c>
      <c r="C15" s="22" t="s">
        <v>57</v>
      </c>
      <c r="D15" s="22" t="s">
        <v>58</v>
      </c>
      <c r="E15" s="23">
        <v>1</v>
      </c>
      <c r="F15" s="24">
        <v>4801.95</v>
      </c>
      <c r="G15" s="24">
        <f>E15*F15</f>
        <v>4801.95</v>
      </c>
      <c r="H15" s="25">
        <v>2400.98</v>
      </c>
      <c r="I15" s="26">
        <f t="shared" ref="I15:I56" si="0">ROUND(E15*H15,2)</f>
        <v>2400.98</v>
      </c>
    </row>
    <row r="16" spans="2:9" x14ac:dyDescent="0.3">
      <c r="B16" s="22" t="s">
        <v>59</v>
      </c>
      <c r="C16" s="22" t="s">
        <v>57</v>
      </c>
      <c r="D16" s="22" t="s">
        <v>58</v>
      </c>
      <c r="E16" s="23">
        <v>1</v>
      </c>
      <c r="F16" s="24">
        <v>3996.4</v>
      </c>
      <c r="G16" s="24">
        <f t="shared" ref="G16:G21" si="1">E16*F16</f>
        <v>3996.4</v>
      </c>
      <c r="H16" s="25">
        <v>1998.2</v>
      </c>
      <c r="I16" s="26">
        <f t="shared" si="0"/>
        <v>1998.2</v>
      </c>
    </row>
    <row r="17" spans="2:9" x14ac:dyDescent="0.3">
      <c r="B17" s="22" t="s">
        <v>60</v>
      </c>
      <c r="C17" s="22" t="s">
        <v>61</v>
      </c>
      <c r="D17" s="22" t="s">
        <v>62</v>
      </c>
      <c r="E17" s="23">
        <v>3</v>
      </c>
      <c r="F17" s="24">
        <v>4614.62</v>
      </c>
      <c r="G17" s="24">
        <f t="shared" si="1"/>
        <v>13843.86</v>
      </c>
      <c r="H17" s="25">
        <v>2307.31</v>
      </c>
      <c r="I17" s="26">
        <f t="shared" si="0"/>
        <v>6921.93</v>
      </c>
    </row>
    <row r="18" spans="2:9" x14ac:dyDescent="0.3">
      <c r="B18" s="22" t="s">
        <v>63</v>
      </c>
      <c r="C18" s="22" t="s">
        <v>64</v>
      </c>
      <c r="D18" s="22" t="s">
        <v>58</v>
      </c>
      <c r="E18" s="23">
        <v>1</v>
      </c>
      <c r="F18" s="24">
        <v>5739.32</v>
      </c>
      <c r="G18" s="24">
        <f t="shared" si="1"/>
        <v>5739.32</v>
      </c>
      <c r="H18" s="25">
        <v>2869.66</v>
      </c>
      <c r="I18" s="26">
        <f t="shared" si="0"/>
        <v>2869.66</v>
      </c>
    </row>
    <row r="19" spans="2:9" x14ac:dyDescent="0.3">
      <c r="B19" s="22" t="s">
        <v>65</v>
      </c>
      <c r="C19" s="22" t="s">
        <v>66</v>
      </c>
      <c r="D19" s="22" t="s">
        <v>58</v>
      </c>
      <c r="E19" s="23">
        <v>2</v>
      </c>
      <c r="F19" s="24">
        <v>12791.1</v>
      </c>
      <c r="G19" s="24">
        <f t="shared" si="1"/>
        <v>25582.2</v>
      </c>
      <c r="H19" s="25">
        <v>6395.55</v>
      </c>
      <c r="I19" s="26">
        <f t="shared" si="0"/>
        <v>12791.1</v>
      </c>
    </row>
    <row r="20" spans="2:9" hidden="1" x14ac:dyDescent="0.3">
      <c r="B20" s="22"/>
      <c r="C20" s="22"/>
      <c r="D20" s="22"/>
      <c r="E20" s="23"/>
      <c r="F20" s="24"/>
      <c r="G20" s="24">
        <f t="shared" si="1"/>
        <v>0</v>
      </c>
      <c r="H20" s="25"/>
      <c r="I20" s="26">
        <f t="shared" si="0"/>
        <v>0</v>
      </c>
    </row>
    <row r="21" spans="2:9" hidden="1" x14ac:dyDescent="0.3">
      <c r="B21" s="22"/>
      <c r="C21" s="22"/>
      <c r="D21" s="22"/>
      <c r="E21" s="23"/>
      <c r="F21" s="24"/>
      <c r="G21" s="24">
        <f t="shared" si="1"/>
        <v>0</v>
      </c>
      <c r="H21" s="25"/>
      <c r="I21" s="26">
        <f t="shared" si="0"/>
        <v>0</v>
      </c>
    </row>
    <row r="22" spans="2:9" hidden="1" x14ac:dyDescent="0.3">
      <c r="B22" s="22"/>
      <c r="C22" s="22"/>
      <c r="D22" s="22"/>
      <c r="E22" s="23"/>
      <c r="F22" s="24"/>
      <c r="G22" s="24">
        <f t="shared" ref="G22" si="2">E22*F22</f>
        <v>0</v>
      </c>
      <c r="H22" s="25"/>
      <c r="I22" s="26">
        <f t="shared" si="0"/>
        <v>0</v>
      </c>
    </row>
    <row r="23" spans="2:9" hidden="1" x14ac:dyDescent="0.3">
      <c r="B23" s="22"/>
      <c r="C23" s="22"/>
      <c r="D23" s="22"/>
      <c r="E23" s="23"/>
      <c r="F23" s="24"/>
      <c r="G23" s="24"/>
      <c r="H23" s="25"/>
      <c r="I23" s="26">
        <f t="shared" si="0"/>
        <v>0</v>
      </c>
    </row>
    <row r="24" spans="2:9" hidden="1" x14ac:dyDescent="0.3">
      <c r="B24" s="22"/>
      <c r="C24" s="22"/>
      <c r="D24" s="22"/>
      <c r="E24" s="23"/>
      <c r="F24" s="24"/>
      <c r="G24" s="24"/>
      <c r="H24" s="25"/>
      <c r="I24" s="26">
        <f t="shared" si="0"/>
        <v>0</v>
      </c>
    </row>
    <row r="25" spans="2:9" hidden="1" x14ac:dyDescent="0.3">
      <c r="B25" s="22"/>
      <c r="C25" s="22"/>
      <c r="D25" s="22"/>
      <c r="E25" s="23"/>
      <c r="F25" s="24"/>
      <c r="G25" s="24"/>
      <c r="H25" s="25"/>
      <c r="I25" s="26">
        <f t="shared" si="0"/>
        <v>0</v>
      </c>
    </row>
    <row r="26" spans="2:9" hidden="1" x14ac:dyDescent="0.3">
      <c r="B26" s="22"/>
      <c r="C26" s="22"/>
      <c r="D26" s="22"/>
      <c r="E26" s="23"/>
      <c r="F26" s="24"/>
      <c r="G26" s="24"/>
      <c r="H26" s="25"/>
      <c r="I26" s="26">
        <f t="shared" si="0"/>
        <v>0</v>
      </c>
    </row>
    <row r="27" spans="2:9" hidden="1" x14ac:dyDescent="0.3">
      <c r="B27" s="22"/>
      <c r="C27" s="22"/>
      <c r="D27" s="22"/>
      <c r="E27" s="23"/>
      <c r="F27" s="24"/>
      <c r="G27" s="24"/>
      <c r="H27" s="25"/>
      <c r="I27" s="26">
        <f t="shared" si="0"/>
        <v>0</v>
      </c>
    </row>
    <row r="28" spans="2:9" hidden="1" x14ac:dyDescent="0.3">
      <c r="B28" s="22"/>
      <c r="C28" s="22"/>
      <c r="D28" s="22"/>
      <c r="E28" s="23"/>
      <c r="F28" s="24"/>
      <c r="G28" s="24"/>
      <c r="H28" s="25"/>
      <c r="I28" s="26">
        <f t="shared" si="0"/>
        <v>0</v>
      </c>
    </row>
    <row r="29" spans="2:9" hidden="1" x14ac:dyDescent="0.3">
      <c r="B29" s="22"/>
      <c r="C29" s="22"/>
      <c r="D29" s="22"/>
      <c r="E29" s="23"/>
      <c r="F29" s="24"/>
      <c r="G29" s="24"/>
      <c r="H29" s="25"/>
      <c r="I29" s="26">
        <f t="shared" si="0"/>
        <v>0</v>
      </c>
    </row>
    <row r="30" spans="2:9" hidden="1" x14ac:dyDescent="0.3">
      <c r="B30" s="22"/>
      <c r="C30" s="22"/>
      <c r="D30" s="22"/>
      <c r="E30" s="23"/>
      <c r="F30" s="24"/>
      <c r="G30" s="24"/>
      <c r="H30" s="25"/>
      <c r="I30" s="26">
        <f t="shared" si="0"/>
        <v>0</v>
      </c>
    </row>
    <row r="31" spans="2:9" hidden="1" x14ac:dyDescent="0.3">
      <c r="B31" s="22"/>
      <c r="C31" s="22"/>
      <c r="D31" s="22"/>
      <c r="E31" s="23"/>
      <c r="F31" s="24"/>
      <c r="G31" s="24"/>
      <c r="H31" s="25"/>
      <c r="I31" s="26">
        <f t="shared" si="0"/>
        <v>0</v>
      </c>
    </row>
    <row r="32" spans="2:9" hidden="1" x14ac:dyDescent="0.3">
      <c r="B32" s="22"/>
      <c r="C32" s="22"/>
      <c r="D32" s="22"/>
      <c r="E32" s="23"/>
      <c r="F32" s="24"/>
      <c r="G32" s="24"/>
      <c r="H32" s="25"/>
      <c r="I32" s="26">
        <f t="shared" si="0"/>
        <v>0</v>
      </c>
    </row>
    <row r="33" spans="2:9" hidden="1" x14ac:dyDescent="0.3">
      <c r="B33" s="22"/>
      <c r="C33" s="22"/>
      <c r="D33" s="22"/>
      <c r="E33" s="23"/>
      <c r="F33" s="24"/>
      <c r="G33" s="24"/>
      <c r="H33" s="25"/>
      <c r="I33" s="26">
        <f t="shared" si="0"/>
        <v>0</v>
      </c>
    </row>
    <row r="34" spans="2:9" hidden="1" x14ac:dyDescent="0.3">
      <c r="B34" s="22"/>
      <c r="C34" s="22"/>
      <c r="D34" s="22"/>
      <c r="E34" s="23"/>
      <c r="F34" s="24"/>
      <c r="G34" s="24"/>
      <c r="H34" s="25"/>
      <c r="I34" s="26">
        <f t="shared" si="0"/>
        <v>0</v>
      </c>
    </row>
    <row r="35" spans="2:9" hidden="1" x14ac:dyDescent="0.3">
      <c r="B35" s="22"/>
      <c r="C35" s="22"/>
      <c r="D35" s="22"/>
      <c r="E35" s="23"/>
      <c r="F35" s="24"/>
      <c r="G35" s="24"/>
      <c r="H35" s="25"/>
      <c r="I35" s="26">
        <f t="shared" si="0"/>
        <v>0</v>
      </c>
    </row>
    <row r="36" spans="2:9" hidden="1" x14ac:dyDescent="0.3">
      <c r="B36" s="22"/>
      <c r="C36" s="22"/>
      <c r="D36" s="22"/>
      <c r="E36" s="23"/>
      <c r="F36" s="24"/>
      <c r="G36" s="24"/>
      <c r="H36" s="25"/>
      <c r="I36" s="26">
        <f t="shared" si="0"/>
        <v>0</v>
      </c>
    </row>
    <row r="37" spans="2:9" hidden="1" x14ac:dyDescent="0.3">
      <c r="B37" s="22"/>
      <c r="C37" s="22"/>
      <c r="D37" s="22"/>
      <c r="E37" s="23"/>
      <c r="F37" s="24"/>
      <c r="G37" s="24"/>
      <c r="H37" s="25"/>
      <c r="I37" s="26">
        <f t="shared" si="0"/>
        <v>0</v>
      </c>
    </row>
    <row r="38" spans="2:9" hidden="1" x14ac:dyDescent="0.3">
      <c r="B38" s="22"/>
      <c r="C38" s="22"/>
      <c r="D38" s="22"/>
      <c r="E38" s="23"/>
      <c r="F38" s="24"/>
      <c r="G38" s="24"/>
      <c r="H38" s="25"/>
      <c r="I38" s="26">
        <f t="shared" si="0"/>
        <v>0</v>
      </c>
    </row>
    <row r="39" spans="2:9" hidden="1" x14ac:dyDescent="0.3">
      <c r="B39" s="22"/>
      <c r="C39" s="22"/>
      <c r="D39" s="22"/>
      <c r="E39" s="23"/>
      <c r="F39" s="24"/>
      <c r="G39" s="24"/>
      <c r="H39" s="25"/>
      <c r="I39" s="26">
        <f t="shared" si="0"/>
        <v>0</v>
      </c>
    </row>
    <row r="40" spans="2:9" hidden="1" x14ac:dyDescent="0.3">
      <c r="B40" s="22"/>
      <c r="C40" s="22"/>
      <c r="D40" s="22"/>
      <c r="E40" s="23"/>
      <c r="F40" s="24"/>
      <c r="G40" s="24"/>
      <c r="H40" s="25"/>
      <c r="I40" s="26">
        <f t="shared" si="0"/>
        <v>0</v>
      </c>
    </row>
    <row r="41" spans="2:9" hidden="1" x14ac:dyDescent="0.3">
      <c r="B41" s="22"/>
      <c r="C41" s="22"/>
      <c r="D41" s="22"/>
      <c r="E41" s="23"/>
      <c r="F41" s="24"/>
      <c r="G41" s="24"/>
      <c r="H41" s="25"/>
      <c r="I41" s="26">
        <f t="shared" si="0"/>
        <v>0</v>
      </c>
    </row>
    <row r="42" spans="2:9" hidden="1" x14ac:dyDescent="0.3">
      <c r="B42" s="22"/>
      <c r="C42" s="22"/>
      <c r="D42" s="22"/>
      <c r="E42" s="23"/>
      <c r="F42" s="24"/>
      <c r="G42" s="24"/>
      <c r="H42" s="25"/>
      <c r="I42" s="26">
        <f t="shared" si="0"/>
        <v>0</v>
      </c>
    </row>
    <row r="43" spans="2:9" hidden="1" x14ac:dyDescent="0.3">
      <c r="B43" s="22"/>
      <c r="C43" s="22"/>
      <c r="D43" s="22"/>
      <c r="E43" s="23"/>
      <c r="F43" s="24"/>
      <c r="G43" s="24"/>
      <c r="H43" s="25"/>
      <c r="I43" s="26">
        <f t="shared" si="0"/>
        <v>0</v>
      </c>
    </row>
    <row r="44" spans="2:9" hidden="1" x14ac:dyDescent="0.3">
      <c r="B44" s="22"/>
      <c r="C44" s="22"/>
      <c r="D44" s="22"/>
      <c r="E44" s="23"/>
      <c r="F44" s="24"/>
      <c r="G44" s="24"/>
      <c r="H44" s="25"/>
      <c r="I44" s="26">
        <f t="shared" si="0"/>
        <v>0</v>
      </c>
    </row>
    <row r="45" spans="2:9" hidden="1" x14ac:dyDescent="0.3">
      <c r="B45" s="22"/>
      <c r="C45" s="22"/>
      <c r="D45" s="22"/>
      <c r="E45" s="23"/>
      <c r="F45" s="24"/>
      <c r="G45" s="24"/>
      <c r="H45" s="25"/>
      <c r="I45" s="26">
        <f t="shared" si="0"/>
        <v>0</v>
      </c>
    </row>
    <row r="46" spans="2:9" hidden="1" x14ac:dyDescent="0.3">
      <c r="B46" s="22"/>
      <c r="C46" s="22"/>
      <c r="D46" s="22"/>
      <c r="E46" s="23"/>
      <c r="F46" s="24"/>
      <c r="G46" s="24"/>
      <c r="H46" s="25"/>
      <c r="I46" s="26">
        <f t="shared" si="0"/>
        <v>0</v>
      </c>
    </row>
    <row r="47" spans="2:9" hidden="1" x14ac:dyDescent="0.3">
      <c r="B47" s="22"/>
      <c r="C47" s="22"/>
      <c r="D47" s="22"/>
      <c r="E47" s="23"/>
      <c r="F47" s="24"/>
      <c r="G47" s="24"/>
      <c r="H47" s="25"/>
      <c r="I47" s="26">
        <f t="shared" si="0"/>
        <v>0</v>
      </c>
    </row>
    <row r="48" spans="2:9" hidden="1" x14ac:dyDescent="0.3">
      <c r="B48" s="22"/>
      <c r="C48" s="22"/>
      <c r="D48" s="22"/>
      <c r="E48" s="23"/>
      <c r="F48" s="24"/>
      <c r="G48" s="24"/>
      <c r="H48" s="25"/>
      <c r="I48" s="26">
        <f t="shared" si="0"/>
        <v>0</v>
      </c>
    </row>
    <row r="49" spans="2:9" hidden="1" x14ac:dyDescent="0.3">
      <c r="B49" s="22"/>
      <c r="C49" s="22"/>
      <c r="D49" s="22"/>
      <c r="E49" s="23"/>
      <c r="F49" s="24"/>
      <c r="G49" s="24"/>
      <c r="H49" s="25"/>
      <c r="I49" s="26">
        <f t="shared" si="0"/>
        <v>0</v>
      </c>
    </row>
    <row r="50" spans="2:9" hidden="1" x14ac:dyDescent="0.3">
      <c r="B50" s="22"/>
      <c r="C50" s="22"/>
      <c r="D50" s="22"/>
      <c r="E50" s="23"/>
      <c r="F50" s="24"/>
      <c r="G50" s="24"/>
      <c r="H50" s="25"/>
      <c r="I50" s="26">
        <f t="shared" si="0"/>
        <v>0</v>
      </c>
    </row>
    <row r="51" spans="2:9" hidden="1" x14ac:dyDescent="0.3">
      <c r="B51" s="22"/>
      <c r="C51" s="22"/>
      <c r="D51" s="22"/>
      <c r="E51" s="23"/>
      <c r="F51" s="24"/>
      <c r="G51" s="24"/>
      <c r="H51" s="25"/>
      <c r="I51" s="26">
        <f t="shared" si="0"/>
        <v>0</v>
      </c>
    </row>
    <row r="52" spans="2:9" hidden="1" x14ac:dyDescent="0.3">
      <c r="B52" s="22"/>
      <c r="C52" s="22"/>
      <c r="D52" s="22"/>
      <c r="E52" s="23"/>
      <c r="F52" s="24"/>
      <c r="G52" s="24"/>
      <c r="H52" s="25"/>
      <c r="I52" s="26">
        <f t="shared" si="0"/>
        <v>0</v>
      </c>
    </row>
    <row r="53" spans="2:9" hidden="1" x14ac:dyDescent="0.3">
      <c r="B53" s="22"/>
      <c r="C53" s="22"/>
      <c r="D53" s="22"/>
      <c r="E53" s="23"/>
      <c r="F53" s="24"/>
      <c r="G53" s="24"/>
      <c r="H53" s="25"/>
      <c r="I53" s="26">
        <f t="shared" si="0"/>
        <v>0</v>
      </c>
    </row>
    <row r="54" spans="2:9" hidden="1" x14ac:dyDescent="0.3">
      <c r="B54" s="22"/>
      <c r="C54" s="22"/>
      <c r="D54" s="22"/>
      <c r="E54" s="23"/>
      <c r="F54" s="24"/>
      <c r="G54" s="24"/>
      <c r="H54" s="25"/>
      <c r="I54" s="26">
        <f t="shared" si="0"/>
        <v>0</v>
      </c>
    </row>
    <row r="55" spans="2:9" hidden="1" x14ac:dyDescent="0.3">
      <c r="B55" s="22"/>
      <c r="C55" s="22"/>
      <c r="D55" s="22"/>
      <c r="E55" s="23"/>
      <c r="F55" s="24"/>
      <c r="G55" s="24"/>
      <c r="H55" s="25"/>
      <c r="I55" s="26">
        <f t="shared" si="0"/>
        <v>0</v>
      </c>
    </row>
    <row r="56" spans="2:9" hidden="1" x14ac:dyDescent="0.3">
      <c r="B56" s="22"/>
      <c r="C56" s="22"/>
      <c r="D56" s="22"/>
      <c r="E56" s="23"/>
      <c r="F56" s="24"/>
      <c r="G56" s="24"/>
      <c r="H56" s="25"/>
      <c r="I56" s="26">
        <f t="shared" si="0"/>
        <v>0</v>
      </c>
    </row>
    <row r="57" spans="2:9" x14ac:dyDescent="0.3">
      <c r="B57" s="202"/>
      <c r="C57" s="183"/>
      <c r="D57" s="183"/>
      <c r="E57" s="183"/>
      <c r="F57" s="184"/>
      <c r="G57" s="27"/>
      <c r="H57" s="28" t="s">
        <v>17</v>
      </c>
      <c r="I57" s="29">
        <f>SUM(I15:I56)</f>
        <v>26981.870000000003</v>
      </c>
    </row>
    <row r="58" spans="2:9" x14ac:dyDescent="0.3">
      <c r="B58" s="30"/>
      <c r="C58" s="31"/>
      <c r="D58" s="32" t="s">
        <v>18</v>
      </c>
      <c r="E58" s="152">
        <f>SUM(G15:G56)</f>
        <v>53963.729999999996</v>
      </c>
      <c r="F58" s="185"/>
      <c r="G58" s="33"/>
      <c r="H58" s="28" t="s">
        <v>19</v>
      </c>
      <c r="I58" s="34">
        <v>0</v>
      </c>
    </row>
    <row r="59" spans="2:9" x14ac:dyDescent="0.3">
      <c r="B59" s="30"/>
      <c r="C59" s="31"/>
      <c r="D59" s="32" t="s">
        <v>20</v>
      </c>
      <c r="E59" s="152">
        <f>SUM(I15:I56)</f>
        <v>26981.870000000003</v>
      </c>
      <c r="F59" s="185"/>
      <c r="G59" s="33"/>
      <c r="H59" s="35" t="s">
        <v>21</v>
      </c>
      <c r="I59" s="34">
        <v>0</v>
      </c>
    </row>
    <row r="60" spans="2:9" x14ac:dyDescent="0.3">
      <c r="B60" s="30"/>
      <c r="C60" s="31"/>
      <c r="D60" s="32" t="s">
        <v>22</v>
      </c>
      <c r="E60" s="170">
        <f>E58-E59</f>
        <v>26981.859999999993</v>
      </c>
      <c r="F60" s="191"/>
      <c r="G60" s="36"/>
      <c r="H60" s="28" t="s">
        <v>23</v>
      </c>
      <c r="I60" s="37">
        <f>SUM(I57:I59)</f>
        <v>26981.870000000003</v>
      </c>
    </row>
    <row r="61" spans="2:9" x14ac:dyDescent="0.3">
      <c r="B61" s="30"/>
      <c r="C61" s="31"/>
      <c r="D61" s="32"/>
      <c r="E61" s="172"/>
      <c r="F61" s="192"/>
      <c r="G61" s="38"/>
      <c r="H61" s="28" t="s">
        <v>24</v>
      </c>
      <c r="I61" s="37">
        <f>I60*0.05</f>
        <v>1349.0935000000002</v>
      </c>
    </row>
    <row r="62" spans="2:9" x14ac:dyDescent="0.3">
      <c r="B62" s="30"/>
      <c r="C62" s="31"/>
      <c r="D62" s="39"/>
      <c r="E62" s="39"/>
      <c r="F62" s="40"/>
      <c r="G62" s="40"/>
      <c r="H62" s="28" t="s">
        <v>25</v>
      </c>
      <c r="I62" s="34"/>
    </row>
    <row r="63" spans="2:9" ht="15.6" x14ac:dyDescent="0.3">
      <c r="B63" s="199" t="s">
        <v>26</v>
      </c>
      <c r="C63" s="200"/>
      <c r="D63" s="200"/>
      <c r="E63" s="200"/>
      <c r="F63" s="201"/>
      <c r="G63" s="41"/>
      <c r="H63" s="42" t="s">
        <v>27</v>
      </c>
      <c r="I63" s="43">
        <f>SUM(I60:I62)</f>
        <v>28330.963500000002</v>
      </c>
    </row>
  </sheetData>
  <autoFilter ref="B14:I63" xr:uid="{A4513445-FB78-418E-9CD4-AFF919FEA4DA}">
    <filterColumn colId="6">
      <customFilters>
        <customFilter operator="notEqual" val=" "/>
      </customFilters>
    </filterColumn>
  </autoFilter>
  <mergeCells count="25">
    <mergeCell ref="B63:F63"/>
    <mergeCell ref="F13:I13"/>
    <mergeCell ref="B57:F57"/>
    <mergeCell ref="E58:F58"/>
    <mergeCell ref="E59:F59"/>
    <mergeCell ref="E60:F60"/>
    <mergeCell ref="E61:F61"/>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E224B-BC2F-465F-81CA-F8BD556D9C19}">
  <dimension ref="B1:I212"/>
  <sheetViews>
    <sheetView tabSelected="1" workbookViewId="0">
      <selection activeCell="F220" sqref="F220"/>
    </sheetView>
  </sheetViews>
  <sheetFormatPr defaultRowHeight="14.4" x14ac:dyDescent="0.3"/>
  <cols>
    <col min="1" max="1" width="2.6640625" customWidth="1"/>
    <col min="2" max="2" width="21.4414062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s>
  <sheetData>
    <row r="1" spans="2:9" ht="15" customHeight="1" x14ac:dyDescent="0.3">
      <c r="B1" s="68"/>
      <c r="C1" s="69"/>
      <c r="D1" s="69"/>
      <c r="E1" s="167" t="s">
        <v>28</v>
      </c>
      <c r="F1" s="141"/>
      <c r="G1" s="44"/>
      <c r="H1" s="140" t="s">
        <v>31</v>
      </c>
      <c r="I1" s="141"/>
    </row>
    <row r="2" spans="2:9" ht="15" customHeight="1" x14ac:dyDescent="0.3">
      <c r="B2" s="70"/>
      <c r="E2" s="168"/>
      <c r="F2" s="143"/>
      <c r="G2" s="45"/>
      <c r="H2" s="142"/>
      <c r="I2" s="143"/>
    </row>
    <row r="3" spans="2:9" ht="15" customHeight="1" x14ac:dyDescent="0.3">
      <c r="B3" s="70"/>
      <c r="E3" s="168"/>
      <c r="F3" s="143"/>
      <c r="G3" s="45"/>
      <c r="H3" s="142"/>
      <c r="I3" s="143"/>
    </row>
    <row r="4" spans="2:9" ht="15" customHeight="1" x14ac:dyDescent="0.3">
      <c r="B4" s="70"/>
      <c r="E4" s="168"/>
      <c r="F4" s="143"/>
      <c r="G4" s="45"/>
      <c r="H4" s="142"/>
      <c r="I4" s="143"/>
    </row>
    <row r="5" spans="2:9" ht="15" customHeight="1" x14ac:dyDescent="0.3">
      <c r="B5" s="71"/>
      <c r="C5" s="1"/>
      <c r="D5" s="1"/>
      <c r="E5" s="169"/>
      <c r="F5" s="145"/>
      <c r="G5" s="46"/>
      <c r="H5" s="144"/>
      <c r="I5" s="145"/>
    </row>
    <row r="6" spans="2:9" ht="36.6" x14ac:dyDescent="0.7">
      <c r="B6" s="6"/>
      <c r="C6" s="7"/>
      <c r="D6" s="7"/>
      <c r="E6" s="8"/>
      <c r="F6" s="72"/>
      <c r="G6" s="8"/>
      <c r="H6" s="83"/>
      <c r="I6" s="72"/>
    </row>
    <row r="7" spans="2:9" x14ac:dyDescent="0.3">
      <c r="B7" s="73" t="s">
        <v>7</v>
      </c>
      <c r="C7" s="177" t="str">
        <f>'MOQ Grand Total'!C7</f>
        <v>LINCOLN COUNTY OILFIELD SERVICES</v>
      </c>
      <c r="D7" s="178"/>
      <c r="E7" s="9" t="s">
        <v>8</v>
      </c>
      <c r="F7" s="74">
        <v>45748</v>
      </c>
      <c r="G7" s="59"/>
      <c r="H7" s="84" t="s">
        <v>9</v>
      </c>
      <c r="I7" s="85" t="str">
        <f>'MOQ Grand Total'!I7</f>
        <v xml:space="preserve"> </v>
      </c>
    </row>
    <row r="8" spans="2:9" x14ac:dyDescent="0.3">
      <c r="B8" s="75" t="s">
        <v>10</v>
      </c>
      <c r="C8" s="174" t="str">
        <f>'MOQ Grand Total'!C8</f>
        <v>DUSTIN MINNS</v>
      </c>
      <c r="D8" s="174"/>
      <c r="E8" s="154" t="s">
        <v>11</v>
      </c>
      <c r="F8" s="155"/>
      <c r="G8" s="51"/>
      <c r="H8" s="162" t="s">
        <v>54</v>
      </c>
      <c r="I8" s="163"/>
    </row>
    <row r="9" spans="2:9" x14ac:dyDescent="0.3">
      <c r="B9" s="75" t="s">
        <v>12</v>
      </c>
      <c r="C9" s="174">
        <f>'MOQ Grand Total'!C9</f>
        <v>0</v>
      </c>
      <c r="D9" s="174"/>
      <c r="E9" s="154" t="s">
        <v>13</v>
      </c>
      <c r="F9" s="155"/>
      <c r="G9" s="51"/>
      <c r="H9" s="160" t="s">
        <v>55</v>
      </c>
      <c r="I9" s="161"/>
    </row>
    <row r="10" spans="2:9" x14ac:dyDescent="0.3">
      <c r="B10" s="75"/>
      <c r="C10" s="174">
        <f>'MOQ Grand Total'!C10</f>
        <v>0</v>
      </c>
      <c r="D10" s="174"/>
      <c r="E10" s="154" t="s">
        <v>14</v>
      </c>
      <c r="F10" s="155"/>
      <c r="G10" s="51"/>
      <c r="H10" s="156" t="s">
        <v>421</v>
      </c>
      <c r="I10" s="157"/>
    </row>
    <row r="11" spans="2:9" x14ac:dyDescent="0.3">
      <c r="B11" s="75"/>
      <c r="C11" s="174">
        <f>'MOQ Grand Total'!C11</f>
        <v>0</v>
      </c>
      <c r="D11" s="174"/>
      <c r="E11" s="154"/>
      <c r="F11" s="155"/>
      <c r="G11" s="51"/>
      <c r="H11" s="156" t="s">
        <v>421</v>
      </c>
      <c r="I11" s="157"/>
    </row>
    <row r="12" spans="2:9" x14ac:dyDescent="0.3">
      <c r="B12" s="76"/>
      <c r="C12" s="174">
        <f>'MOQ Grand Total'!C12</f>
        <v>0</v>
      </c>
      <c r="D12" s="174"/>
      <c r="E12" s="175"/>
      <c r="F12" s="176"/>
      <c r="G12" s="60"/>
      <c r="H12" s="158" t="s">
        <v>421</v>
      </c>
      <c r="I12" s="159"/>
    </row>
    <row r="13" spans="2:9" ht="15" thickBot="1" x14ac:dyDescent="0.35">
      <c r="B13" s="15"/>
      <c r="C13" s="16"/>
      <c r="D13" s="16"/>
      <c r="E13" s="16"/>
      <c r="F13" s="146" t="s">
        <v>3</v>
      </c>
      <c r="G13" s="147"/>
      <c r="H13" s="148"/>
      <c r="I13" s="146"/>
    </row>
    <row r="14" spans="2:9" ht="15" thickBot="1" x14ac:dyDescent="0.35">
      <c r="B14" s="52" t="s">
        <v>0</v>
      </c>
      <c r="C14" s="110" t="s">
        <v>15</v>
      </c>
      <c r="D14" s="111" t="s">
        <v>1</v>
      </c>
      <c r="E14" s="112" t="s">
        <v>2</v>
      </c>
      <c r="F14" s="113" t="s">
        <v>4</v>
      </c>
      <c r="G14" s="114"/>
      <c r="H14" s="52" t="s">
        <v>5</v>
      </c>
      <c r="I14" s="115" t="s">
        <v>16</v>
      </c>
    </row>
    <row r="15" spans="2:9" x14ac:dyDescent="0.3">
      <c r="B15" s="124" t="s">
        <v>67</v>
      </c>
      <c r="C15" s="125" t="str">
        <f>VLOOKUP(B15,'[1]Product by Part Number'!$A:$K,2,0)</f>
        <v xml:space="preserve">CAT D3 (1PJ)                                            </v>
      </c>
      <c r="D15" s="125" t="str">
        <f>VLOOKUP(B15,'[1]Product by Part Number'!$A:$K,3,0)</f>
        <v xml:space="preserve">HEX HEAD BOLT SF </v>
      </c>
      <c r="E15" s="126">
        <f>VLOOKUP(B15,'[1]Product by Part Number'!$A:$K,11,0)</f>
        <v>16</v>
      </c>
      <c r="F15" s="127">
        <f>VLOOKUP(B15,'[1]Product by Part Number'!$A:$K,4,0)</f>
        <v>2.78</v>
      </c>
      <c r="G15" s="128">
        <f t="shared" ref="G15" si="0">E15*F15</f>
        <v>44.48</v>
      </c>
      <c r="H15" s="129">
        <f>VLOOKUP(B15,'[1]Product by Part Number'!$A:$K,5,0)</f>
        <v>1.39</v>
      </c>
      <c r="I15" s="130">
        <f t="shared" ref="I15" si="1">ROUND(E15*H15,2)</f>
        <v>22.24</v>
      </c>
    </row>
    <row r="16" spans="2:9" x14ac:dyDescent="0.3">
      <c r="B16" s="100" t="s">
        <v>68</v>
      </c>
      <c r="C16" s="119" t="str">
        <f>VLOOKUP(B16,'[1]Product by Part Number'!$A:$K,2,0)</f>
        <v xml:space="preserve">CAT D7G (92V) CAT D7G (3ZD) CAT D7G (3ZD) (2)                                        </v>
      </c>
      <c r="D16" s="119" t="str">
        <f>VLOOKUP(B16,'[1]Product by Part Number'!$A:$K,3,0)</f>
        <v>CARRIER BOLT</v>
      </c>
      <c r="E16" s="120">
        <f>VLOOKUP(B16,'[1]Product by Part Number'!$A:$K,11,0)</f>
        <v>18</v>
      </c>
      <c r="F16" s="121">
        <f>VLOOKUP(B16,'[1]Product by Part Number'!$A:$K,4,0)</f>
        <v>1.1599999999999999</v>
      </c>
      <c r="G16" s="122">
        <f t="shared" ref="G16:G79" si="2">E16*F16</f>
        <v>20.88</v>
      </c>
      <c r="H16" s="123">
        <f>VLOOKUP(B16,'[1]Product by Part Number'!$A:$K,5,0)</f>
        <v>0.57999999999999996</v>
      </c>
      <c r="I16" s="131">
        <f t="shared" ref="I16:I79" si="3">ROUND(E16*H16,2)</f>
        <v>10.44</v>
      </c>
    </row>
    <row r="17" spans="2:9" x14ac:dyDescent="0.3">
      <c r="B17" s="132" t="s">
        <v>422</v>
      </c>
      <c r="C17" s="119" t="str">
        <f>VLOOKUP(B17,'[1]Product by Part Number'!$A:$K,2,0)</f>
        <v xml:space="preserve">CAT 561 (85H) CAT 561 (92J) CAT 561 (92J) (2)                                        </v>
      </c>
      <c r="D17" s="119" t="str">
        <f>VLOOKUP(B17,'[1]Product by Part Number'!$A:$K,3,0)</f>
        <v>BOLT ROLLER</v>
      </c>
      <c r="E17" s="120">
        <f>VLOOKUP(B17,'[1]Product by Part Number'!$A:$K,11,0)</f>
        <v>144</v>
      </c>
      <c r="F17" s="121">
        <f>VLOOKUP(B17,'[1]Product by Part Number'!$A:$K,4,0)</f>
        <v>8.0500000000000007</v>
      </c>
      <c r="G17" s="122">
        <f t="shared" si="2"/>
        <v>1159.2</v>
      </c>
      <c r="H17" s="123">
        <f>VLOOKUP(B17,'[1]Product by Part Number'!$A:$K,5,0)</f>
        <v>4.03</v>
      </c>
      <c r="I17" s="131">
        <f t="shared" si="3"/>
        <v>580.32000000000005</v>
      </c>
    </row>
    <row r="18" spans="2:9" ht="40.200000000000003" x14ac:dyDescent="0.3">
      <c r="B18" s="132" t="s">
        <v>70</v>
      </c>
      <c r="C18" s="119" t="str">
        <f>VLOOKUP(B18,'[1]Product by Part Number'!$A:$K,2,0)</f>
        <v xml:space="preserve">CAT D4 (66J) CAT D6N LGP (GHS) CAT D6N LGP (SGG) CAT D6N LGP (SGG) (2) CAT PL61 (WGS) CAT PL61 (WGS) (2) CAT PL61 (WGS) (3)                                </v>
      </c>
      <c r="D18" s="119" t="str">
        <f>VLOOKUP(B18,'[1]Product by Part Number'!$A:$K,3,0)</f>
        <v>TRACK BOLT MASTER</v>
      </c>
      <c r="E18" s="120">
        <f>VLOOKUP(B18,'[1]Product by Part Number'!$A:$K,11,0)</f>
        <v>28</v>
      </c>
      <c r="F18" s="121">
        <f>VLOOKUP(B18,'[1]Product by Part Number'!$A:$K,4,0)</f>
        <v>6.66</v>
      </c>
      <c r="G18" s="122">
        <f t="shared" si="2"/>
        <v>186.48000000000002</v>
      </c>
      <c r="H18" s="123">
        <f>VLOOKUP(B18,'[1]Product by Part Number'!$A:$K,5,0)</f>
        <v>3.33</v>
      </c>
      <c r="I18" s="131">
        <f t="shared" si="3"/>
        <v>93.24</v>
      </c>
    </row>
    <row r="19" spans="2:9" ht="40.200000000000003" x14ac:dyDescent="0.3">
      <c r="B19" s="132" t="s">
        <v>71</v>
      </c>
      <c r="C19" s="119" t="str">
        <f>VLOOKUP(B19,'[1]Product by Part Number'!$A:$K,2,0)</f>
        <v xml:space="preserve">CAT D4 (66J) CAT D6N LGP (GHS) CAT D6N LGP (SGG) CAT D6N LGP (SGG) (2) CAT PL61 (WGS) CAT PL61 (WGS) (2) CAT PL61 (WGS) (3)                                </v>
      </c>
      <c r="D19" s="119" t="str">
        <f>VLOOKUP(B19,'[1]Product by Part Number'!$A:$K,3,0)</f>
        <v>TRACK BOLT MASTER</v>
      </c>
      <c r="E19" s="120">
        <f>VLOOKUP(B19,'[1]Product by Part Number'!$A:$K,11,0)</f>
        <v>28</v>
      </c>
      <c r="F19" s="121">
        <f>VLOOKUP(B19,'[1]Product by Part Number'!$A:$K,4,0)</f>
        <v>9.23</v>
      </c>
      <c r="G19" s="122">
        <f t="shared" si="2"/>
        <v>258.44</v>
      </c>
      <c r="H19" s="123">
        <f>VLOOKUP(B19,'[1]Product by Part Number'!$A:$K,5,0)</f>
        <v>4.62</v>
      </c>
      <c r="I19" s="131">
        <f t="shared" si="3"/>
        <v>129.36000000000001</v>
      </c>
    </row>
    <row r="20" spans="2:9" ht="40.200000000000003" x14ac:dyDescent="0.3">
      <c r="B20" s="132" t="s">
        <v>72</v>
      </c>
      <c r="C20" s="119" t="str">
        <f>VLOOKUP(B20,'[1]Product by Part Number'!$A:$K,2,0)</f>
        <v xml:space="preserve">CAT D5 (3CR) CAT D5 (3CR) (2) CAT 561M (1KW) CAT 561N (CPH) CAT 561N (CPH) (2) CAT 561N (CPH) (3) CAT 561N (CPH) (4) CAT 561N (CPH) (5)                              </v>
      </c>
      <c r="D20" s="119" t="str">
        <f>VLOOKUP(B20,'[1]Product by Part Number'!$A:$K,3,0)</f>
        <v>SPROCKET SEGMENT</v>
      </c>
      <c r="E20" s="120">
        <f>VLOOKUP(B20,'[1]Product by Part Number'!$A:$K,11,0)</f>
        <v>80</v>
      </c>
      <c r="F20" s="121">
        <f>VLOOKUP(B20,'[1]Product by Part Number'!$A:$K,4,0)</f>
        <v>177.98</v>
      </c>
      <c r="G20" s="122">
        <f t="shared" si="2"/>
        <v>14238.4</v>
      </c>
      <c r="H20" s="123">
        <f>VLOOKUP(B20,'[1]Product by Part Number'!$A:$K,5,0)</f>
        <v>88.99</v>
      </c>
      <c r="I20" s="131">
        <f t="shared" si="3"/>
        <v>7119.2</v>
      </c>
    </row>
    <row r="21" spans="2:9" ht="40.200000000000003" x14ac:dyDescent="0.3">
      <c r="B21" s="132" t="s">
        <v>73</v>
      </c>
      <c r="C21" s="119" t="str">
        <f>VLOOKUP(B21,'[1]Product by Part Number'!$A:$K,2,0)</f>
        <v xml:space="preserve">CAT D5 (3CR) CAT D5 (3CR) (2) CAT 561M (1KW) CAT 561N (CPH) CAT 561N (CPH) (2) CAT 561N (CPH) (3) CAT 561N (CPH) (4) CAT 561N (CPH) (5)                              </v>
      </c>
      <c r="D21" s="119" t="str">
        <f>VLOOKUP(B21,'[1]Product by Part Number'!$A:$K,3,0)</f>
        <v>TRACK LINK ASSEMBLY</v>
      </c>
      <c r="E21" s="120">
        <f>VLOOKUP(B21,'[1]Product by Part Number'!$A:$K,11,0)</f>
        <v>16</v>
      </c>
      <c r="F21" s="121">
        <f>VLOOKUP(B21,'[1]Product by Part Number'!$A:$K,4,0)</f>
        <v>11935.92</v>
      </c>
      <c r="G21" s="122">
        <f t="shared" si="2"/>
        <v>190974.72</v>
      </c>
      <c r="H21" s="123">
        <f>VLOOKUP(B21,'[1]Product by Part Number'!$A:$K,5,0)</f>
        <v>5967.96</v>
      </c>
      <c r="I21" s="131">
        <f t="shared" si="3"/>
        <v>95487.360000000001</v>
      </c>
    </row>
    <row r="22" spans="2:9" x14ac:dyDescent="0.3">
      <c r="B22" s="132" t="s">
        <v>423</v>
      </c>
      <c r="C22" s="119" t="str">
        <f>VLOOKUP(B22,'[1]Product by Part Number'!$A:$K,2,0)</f>
        <v xml:space="preserve">CAT 561M (1KW)                                            </v>
      </c>
      <c r="D22" s="119" t="str">
        <f>VLOOKUP(B22,'[1]Product by Part Number'!$A:$K,3,0)</f>
        <v>BLOCK IDLER</v>
      </c>
      <c r="E22" s="120">
        <f>VLOOKUP(B22,'[1]Product by Part Number'!$A:$K,11,0)</f>
        <v>8</v>
      </c>
      <c r="F22" s="121">
        <f>VLOOKUP(B22,'[1]Product by Part Number'!$A:$K,4,0)</f>
        <v>229.89</v>
      </c>
      <c r="G22" s="122">
        <f t="shared" si="2"/>
        <v>1839.12</v>
      </c>
      <c r="H22" s="123">
        <f>VLOOKUP(B22,'[1]Product by Part Number'!$A:$K,5,0)</f>
        <v>114.95</v>
      </c>
      <c r="I22" s="131">
        <f t="shared" si="3"/>
        <v>919.6</v>
      </c>
    </row>
    <row r="23" spans="2:9" x14ac:dyDescent="0.3">
      <c r="B23" s="132" t="s">
        <v>424</v>
      </c>
      <c r="C23" s="119" t="str">
        <f>VLOOKUP(B23,'[1]Product by Part Number'!$A:$K,2,0)</f>
        <v xml:space="preserve">CAT 561M (1KW)                                            </v>
      </c>
      <c r="D23" s="119" t="str">
        <f>VLOOKUP(B23,'[1]Product by Part Number'!$A:$K,3,0)</f>
        <v>CAP IDLER</v>
      </c>
      <c r="E23" s="120">
        <f>VLOOKUP(B23,'[1]Product by Part Number'!$A:$K,11,0)</f>
        <v>8</v>
      </c>
      <c r="F23" s="121">
        <f>VLOOKUP(B23,'[1]Product by Part Number'!$A:$K,4,0)</f>
        <v>166.52</v>
      </c>
      <c r="G23" s="122">
        <f t="shared" si="2"/>
        <v>1332.16</v>
      </c>
      <c r="H23" s="123">
        <f>VLOOKUP(B23,'[1]Product by Part Number'!$A:$K,5,0)</f>
        <v>83.26</v>
      </c>
      <c r="I23" s="131">
        <f t="shared" si="3"/>
        <v>666.08</v>
      </c>
    </row>
    <row r="24" spans="2:9" ht="27" x14ac:dyDescent="0.3">
      <c r="B24" s="132" t="s">
        <v>74</v>
      </c>
      <c r="C24" s="119" t="str">
        <f>VLOOKUP(B24,'[1]Product by Part Number'!$A:$K,2,0)</f>
        <v xml:space="preserve">CAT PL61 (WGS) CAT PL61 (WGS) (2) CAT PL61 (WGS) (3)                                        </v>
      </c>
      <c r="D24" s="119" t="str">
        <f>VLOOKUP(B24,'[1]Product by Part Number'!$A:$K,3,0)</f>
        <v>TRACK LINK 39 JOINT</v>
      </c>
      <c r="E24" s="120">
        <f>VLOOKUP(B24,'[1]Product by Part Number'!$A:$K,11,0)</f>
        <v>6</v>
      </c>
      <c r="F24" s="121">
        <f>VLOOKUP(B24,'[1]Product by Part Number'!$A:$K,4,0)</f>
        <v>8654.5499999999993</v>
      </c>
      <c r="G24" s="122">
        <f t="shared" si="2"/>
        <v>51927.299999999996</v>
      </c>
      <c r="H24" s="123">
        <f>VLOOKUP(B24,'[1]Product by Part Number'!$A:$K,5,0)</f>
        <v>4327.28</v>
      </c>
      <c r="I24" s="131">
        <f t="shared" si="3"/>
        <v>25963.68</v>
      </c>
    </row>
    <row r="25" spans="2:9" x14ac:dyDescent="0.3">
      <c r="B25" s="132" t="s">
        <v>77</v>
      </c>
      <c r="C25" s="119" t="str">
        <f>VLOOKUP(B25,'[1]Product by Part Number'!$A:$K,2,0)</f>
        <v xml:space="preserve">CAT 329E L (ZCD)                                            </v>
      </c>
      <c r="D25" s="119" t="str">
        <f>VLOOKUP(B25,'[1]Product by Part Number'!$A:$K,3,0)</f>
        <v>CARRIER BOLT</v>
      </c>
      <c r="E25" s="120">
        <f>VLOOKUP(B25,'[1]Product by Part Number'!$A:$K,11,0)</f>
        <v>4</v>
      </c>
      <c r="F25" s="121">
        <f>VLOOKUP(B25,'[1]Product by Part Number'!$A:$K,4,0)</f>
        <v>31.9</v>
      </c>
      <c r="G25" s="122">
        <f t="shared" si="2"/>
        <v>127.6</v>
      </c>
      <c r="H25" s="123">
        <f>VLOOKUP(B25,'[1]Product by Part Number'!$A:$K,5,0)</f>
        <v>15.95</v>
      </c>
      <c r="I25" s="131">
        <f t="shared" si="3"/>
        <v>63.8</v>
      </c>
    </row>
    <row r="26" spans="2:9" ht="79.8" x14ac:dyDescent="0.3">
      <c r="B26" s="132" t="s">
        <v>79</v>
      </c>
      <c r="C26" s="119" t="str">
        <f>VLOOKUP(B26,'[1]Product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6" s="119" t="str">
        <f>VLOOKUP(B26,'[1]Product by Part Number'!$A:$K,3,0)</f>
        <v>FRONT IDLER</v>
      </c>
      <c r="E26" s="120">
        <f>VLOOKUP(B26,'[1]Product by Part Number'!$A:$K,11,0)</f>
        <v>32</v>
      </c>
      <c r="F26" s="121">
        <f>VLOOKUP(B26,'[1]Product by Part Number'!$A:$K,4,0)</f>
        <v>3159.07</v>
      </c>
      <c r="G26" s="122">
        <f t="shared" si="2"/>
        <v>101090.24000000001</v>
      </c>
      <c r="H26" s="123">
        <f>VLOOKUP(B26,'[1]Product by Part Number'!$A:$K,5,0)</f>
        <v>1579.54</v>
      </c>
      <c r="I26" s="131">
        <f t="shared" si="3"/>
        <v>50545.279999999999</v>
      </c>
    </row>
    <row r="27" spans="2:9" x14ac:dyDescent="0.3">
      <c r="B27" s="132" t="s">
        <v>81</v>
      </c>
      <c r="C27" s="119" t="str">
        <f>VLOOKUP(B27,'[1]Product by Part Number'!$A:$K,2,0)</f>
        <v xml:space="preserve">CAT D4 (66J)                                            </v>
      </c>
      <c r="D27" s="119" t="str">
        <f>VLOOKUP(B27,'[1]Product by Part Number'!$A:$K,3,0)</f>
        <v>SINGLE FLANGE TRACK ROLLER</v>
      </c>
      <c r="E27" s="120">
        <f>VLOOKUP(B27,'[1]Product by Part Number'!$A:$K,11,0)</f>
        <v>4</v>
      </c>
      <c r="F27" s="121">
        <f>VLOOKUP(B27,'[1]Product by Part Number'!$A:$K,4,0)</f>
        <v>1023.71</v>
      </c>
      <c r="G27" s="122">
        <f t="shared" si="2"/>
        <v>4094.84</v>
      </c>
      <c r="H27" s="123">
        <f>VLOOKUP(B27,'[1]Product by Part Number'!$A:$K,5,0)</f>
        <v>511.86</v>
      </c>
      <c r="I27" s="131">
        <f t="shared" si="3"/>
        <v>2047.44</v>
      </c>
    </row>
    <row r="28" spans="2:9" ht="27" x14ac:dyDescent="0.3">
      <c r="B28" s="132" t="s">
        <v>82</v>
      </c>
      <c r="C28" s="119" t="str">
        <f>VLOOKUP(B28,'[1]Product by Part Number'!$A:$K,2,0)</f>
        <v xml:space="preserve">CAT D4 (66J)                                            </v>
      </c>
      <c r="D28" s="119" t="str">
        <f>VLOOKUP(B28,'[1]Product by Part Number'!$A:$K,3,0)</f>
        <v>DOUBLE FLANGE TRACK ROLLER (GUIDE AR)*</v>
      </c>
      <c r="E28" s="120">
        <f>VLOOKUP(B28,'[1]Product by Part Number'!$A:$K,11,0)</f>
        <v>6</v>
      </c>
      <c r="F28" s="121">
        <f>VLOOKUP(B28,'[1]Product by Part Number'!$A:$K,4,0)</f>
        <v>1246.45</v>
      </c>
      <c r="G28" s="122">
        <f t="shared" si="2"/>
        <v>7478.7000000000007</v>
      </c>
      <c r="H28" s="123">
        <f>VLOOKUP(B28,'[1]Product by Part Number'!$A:$K,5,0)</f>
        <v>623.23</v>
      </c>
      <c r="I28" s="131">
        <f t="shared" si="3"/>
        <v>3739.38</v>
      </c>
    </row>
    <row r="29" spans="2:9" x14ac:dyDescent="0.3">
      <c r="B29" s="132" t="s">
        <v>425</v>
      </c>
      <c r="C29" s="119" t="str">
        <f>VLOOKUP(B29,'[1]Product by Part Number'!$A:$K,2,0)</f>
        <v xml:space="preserve">CAT 561 (85H) CAT 561 (92J) CAT 561 (92J) (2)                                        </v>
      </c>
      <c r="D29" s="119" t="str">
        <f>VLOOKUP(B29,'[1]Product by Part Number'!$A:$K,3,0)</f>
        <v>ROLLER SINGLE FLANGE</v>
      </c>
      <c r="E29" s="120">
        <f>VLOOKUP(B29,'[1]Product by Part Number'!$A:$K,11,0)</f>
        <v>18</v>
      </c>
      <c r="F29" s="121">
        <f>VLOOKUP(B29,'[1]Product by Part Number'!$A:$K,4,0)</f>
        <v>545.21</v>
      </c>
      <c r="G29" s="122">
        <f t="shared" si="2"/>
        <v>9813.7800000000007</v>
      </c>
      <c r="H29" s="123">
        <f>VLOOKUP(B29,'[1]Product by Part Number'!$A:$K,5,0)</f>
        <v>272.61</v>
      </c>
      <c r="I29" s="131">
        <f t="shared" si="3"/>
        <v>4906.9799999999996</v>
      </c>
    </row>
    <row r="30" spans="2:9" x14ac:dyDescent="0.3">
      <c r="B30" s="132" t="s">
        <v>426</v>
      </c>
      <c r="C30" s="119" t="str">
        <f>VLOOKUP(B30,'[1]Product by Part Number'!$A:$K,2,0)</f>
        <v xml:space="preserve">CAT 561 (85H) CAT 561 (92J) CAT 561 (92J) (2)                                        </v>
      </c>
      <c r="D30" s="119" t="str">
        <f>VLOOKUP(B30,'[1]Product by Part Number'!$A:$K,3,0)</f>
        <v>ROLLER DOUBLE FLANGE</v>
      </c>
      <c r="E30" s="120">
        <f>VLOOKUP(B30,'[1]Product by Part Number'!$A:$K,11,0)</f>
        <v>18</v>
      </c>
      <c r="F30" s="121">
        <f>VLOOKUP(B30,'[1]Product by Part Number'!$A:$K,4,0)</f>
        <v>561.72</v>
      </c>
      <c r="G30" s="122">
        <f t="shared" si="2"/>
        <v>10110.960000000001</v>
      </c>
      <c r="H30" s="123">
        <f>VLOOKUP(B30,'[1]Product by Part Number'!$A:$K,5,0)</f>
        <v>280.86</v>
      </c>
      <c r="I30" s="131">
        <f t="shared" si="3"/>
        <v>5055.4799999999996</v>
      </c>
    </row>
    <row r="31" spans="2:9" ht="40.200000000000003" x14ac:dyDescent="0.3">
      <c r="B31" s="132" t="s">
        <v>83</v>
      </c>
      <c r="C31" s="119" t="str">
        <f>VLOOKUP(B31,'[1]Product by Part Number'!$A:$K,2,0)</f>
        <v xml:space="preserve">CAT D5 (3CR) CAT D5 (3CR) (2) CAT 561N (CPH) CAT 561N (CPH) (2) CAT 561N (CPH) (3) CAT 561N (CPH) (4) CAT 561N (CPH) (5)                                </v>
      </c>
      <c r="D31" s="119" t="str">
        <f>VLOOKUP(B31,'[1]Product by Part Number'!$A:$K,3,0)</f>
        <v>SINGLE FLANGE TRACK ROLLER</v>
      </c>
      <c r="E31" s="120">
        <f>VLOOKUP(B31,'[1]Product by Part Number'!$A:$K,11,0)</f>
        <v>102</v>
      </c>
      <c r="F31" s="121">
        <f>VLOOKUP(B31,'[1]Product by Part Number'!$A:$K,4,0)</f>
        <v>785.53</v>
      </c>
      <c r="G31" s="122">
        <f t="shared" si="2"/>
        <v>80124.06</v>
      </c>
      <c r="H31" s="123">
        <f>VLOOKUP(B31,'[1]Product by Part Number'!$A:$K,5,0)</f>
        <v>392.77</v>
      </c>
      <c r="I31" s="131">
        <f t="shared" si="3"/>
        <v>40062.54</v>
      </c>
    </row>
    <row r="32" spans="2:9" ht="40.200000000000003" x14ac:dyDescent="0.3">
      <c r="B32" s="132" t="s">
        <v>84</v>
      </c>
      <c r="C32" s="119" t="str">
        <f>VLOOKUP(B32,'[1]Product by Part Number'!$A:$K,2,0)</f>
        <v xml:space="preserve">CAT D5 (3CR) CAT D5 (3CR) (2) CAT 561N (CPH) CAT 561N (CPH) (2) CAT 561N (CPH) (3) CAT 561N (CPH) (4) CAT 561N (CPH) (5)                                </v>
      </c>
      <c r="D32" s="119" t="str">
        <f>VLOOKUP(B32,'[1]Product by Part Number'!$A:$K,3,0)</f>
        <v>DOUBLE FLANGE TRACK ROLLER</v>
      </c>
      <c r="E32" s="120">
        <f>VLOOKUP(B32,'[1]Product by Part Number'!$A:$K,11,0)</f>
        <v>42</v>
      </c>
      <c r="F32" s="121">
        <f>VLOOKUP(B32,'[1]Product by Part Number'!$A:$K,4,0)</f>
        <v>651.61</v>
      </c>
      <c r="G32" s="122">
        <f t="shared" si="2"/>
        <v>27367.62</v>
      </c>
      <c r="H32" s="123">
        <f>VLOOKUP(B32,'[1]Product by Part Number'!$A:$K,5,0)</f>
        <v>325.81</v>
      </c>
      <c r="I32" s="131">
        <f t="shared" si="3"/>
        <v>13684.02</v>
      </c>
    </row>
    <row r="33" spans="2:9" x14ac:dyDescent="0.3">
      <c r="B33" s="132" t="s">
        <v>427</v>
      </c>
      <c r="C33" s="119" t="str">
        <f>VLOOKUP(B33,'[1]Product by Part Number'!$A:$K,2,0)</f>
        <v xml:space="preserve">CAT 561M (1KW)                                            </v>
      </c>
      <c r="D33" s="119" t="str">
        <f>VLOOKUP(B33,'[1]Product by Part Number'!$A:$K,3,0)</f>
        <v>SINGLE FL ROLLER</v>
      </c>
      <c r="E33" s="120">
        <f>VLOOKUP(B33,'[1]Product by Part Number'!$A:$K,11,0)</f>
        <v>8</v>
      </c>
      <c r="F33" s="121">
        <f>VLOOKUP(B33,'[1]Product by Part Number'!$A:$K,4,0)</f>
        <v>868.38</v>
      </c>
      <c r="G33" s="122">
        <f t="shared" si="2"/>
        <v>6947.04</v>
      </c>
      <c r="H33" s="123">
        <f>VLOOKUP(B33,'[1]Product by Part Number'!$A:$K,5,0)</f>
        <v>434.19</v>
      </c>
      <c r="I33" s="131">
        <f t="shared" si="3"/>
        <v>3473.52</v>
      </c>
    </row>
    <row r="34" spans="2:9" x14ac:dyDescent="0.3">
      <c r="B34" s="132" t="s">
        <v>428</v>
      </c>
      <c r="C34" s="119" t="str">
        <f>VLOOKUP(B34,'[1]Product by Part Number'!$A:$K,2,0)</f>
        <v xml:space="preserve">CAT 561M (1KW)                                            </v>
      </c>
      <c r="D34" s="119" t="str">
        <f>VLOOKUP(B34,'[1]Product by Part Number'!$A:$K,3,0)</f>
        <v xml:space="preserve">DOUBLE FL ROLLER </v>
      </c>
      <c r="E34" s="120">
        <f>VLOOKUP(B34,'[1]Product by Part Number'!$A:$K,11,0)</f>
        <v>6</v>
      </c>
      <c r="F34" s="121">
        <f>VLOOKUP(B34,'[1]Product by Part Number'!$A:$K,4,0)</f>
        <v>629.14</v>
      </c>
      <c r="G34" s="122">
        <f t="shared" si="2"/>
        <v>3774.84</v>
      </c>
      <c r="H34" s="123">
        <f>VLOOKUP(B34,'[1]Product by Part Number'!$A:$K,5,0)</f>
        <v>314.57</v>
      </c>
      <c r="I34" s="131">
        <f t="shared" si="3"/>
        <v>1887.42</v>
      </c>
    </row>
    <row r="35" spans="2:9" x14ac:dyDescent="0.3">
      <c r="B35" s="132" t="s">
        <v>90</v>
      </c>
      <c r="C35" s="119" t="str">
        <f>VLOOKUP(B35,'[1]Product by Part Number'!$A:$K,2,0)</f>
        <v xml:space="preserve">CAT 336F L (RKB)                                            </v>
      </c>
      <c r="D35" s="119" t="str">
        <f>VLOOKUP(B35,'[1]Product by Part Number'!$A:$K,3,0)</f>
        <v>FRONT IDLER</v>
      </c>
      <c r="E35" s="120">
        <f>VLOOKUP(B35,'[1]Product by Part Number'!$A:$K,11,0)</f>
        <v>2</v>
      </c>
      <c r="F35" s="121">
        <f>VLOOKUP(B35,'[1]Product by Part Number'!$A:$K,4,0)</f>
        <v>4335.3599999999997</v>
      </c>
      <c r="G35" s="122">
        <f t="shared" si="2"/>
        <v>8670.7199999999993</v>
      </c>
      <c r="H35" s="123">
        <f>VLOOKUP(B35,'[1]Product by Part Number'!$A:$K,5,0)</f>
        <v>2167.6799999999998</v>
      </c>
      <c r="I35" s="131">
        <f t="shared" si="3"/>
        <v>4335.3599999999997</v>
      </c>
    </row>
    <row r="36" spans="2:9" x14ac:dyDescent="0.3">
      <c r="B36" s="132" t="s">
        <v>97</v>
      </c>
      <c r="C36" s="119" t="str">
        <f>VLOOKUP(B36,'[1]Product by Part Number'!$A:$K,2,0)</f>
        <v xml:space="preserve">CAT D6 (RDC)                                            </v>
      </c>
      <c r="D36" s="119" t="str">
        <f>VLOOKUP(B36,'[1]Product by Part Number'!$A:$K,3,0)</f>
        <v>FLAT WASHER</v>
      </c>
      <c r="E36" s="120">
        <f>VLOOKUP(B36,'[1]Product by Part Number'!$A:$K,11,0)</f>
        <v>16</v>
      </c>
      <c r="F36" s="121">
        <f>VLOOKUP(B36,'[1]Product by Part Number'!$A:$K,4,0)</f>
        <v>8.75</v>
      </c>
      <c r="G36" s="122">
        <f t="shared" si="2"/>
        <v>140</v>
      </c>
      <c r="H36" s="123">
        <f>VLOOKUP(B36,'[1]Product by Part Number'!$A:$K,5,0)</f>
        <v>4.38</v>
      </c>
      <c r="I36" s="131">
        <f t="shared" si="3"/>
        <v>70.08</v>
      </c>
    </row>
    <row r="37" spans="2:9" x14ac:dyDescent="0.3">
      <c r="B37" s="132" t="s">
        <v>100</v>
      </c>
      <c r="C37" s="119" t="str">
        <f>VLOOKUP(B37,'[1]Product by Part Number'!$A:$K,2,0)</f>
        <v xml:space="preserve">CAT D3 (1PJ)                                            </v>
      </c>
      <c r="D37" s="119" t="str">
        <f>VLOOKUP(B37,'[1]Product by Part Number'!$A:$K,3,0)</f>
        <v>TRACK LINK ASSEMBLY</v>
      </c>
      <c r="E37" s="120">
        <f>VLOOKUP(B37,'[1]Product by Part Number'!$A:$K,11,0)</f>
        <v>2</v>
      </c>
      <c r="F37" s="121">
        <f>VLOOKUP(B37,'[1]Product by Part Number'!$A:$K,4,0)</f>
        <v>3975.66</v>
      </c>
      <c r="G37" s="122">
        <f t="shared" si="2"/>
        <v>7951.32</v>
      </c>
      <c r="H37" s="123">
        <f>VLOOKUP(B37,'[1]Product by Part Number'!$A:$K,5,0)</f>
        <v>1987.83</v>
      </c>
      <c r="I37" s="131">
        <f t="shared" si="3"/>
        <v>3975.66</v>
      </c>
    </row>
    <row r="38" spans="2:9" x14ac:dyDescent="0.3">
      <c r="B38" s="132" t="s">
        <v>430</v>
      </c>
      <c r="C38" s="119" t="str">
        <f>VLOOKUP(B38,'[1]Product by Part Number'!$A:$K,2,0)</f>
        <v xml:space="preserve">CAT 561 (85H) CAT 561 (92J) CAT 561 (92J) (2)                                        </v>
      </c>
      <c r="D38" s="119" t="str">
        <f>VLOOKUP(B38,'[1]Product by Part Number'!$A:$K,3,0)</f>
        <v>TRACK LINK AS</v>
      </c>
      <c r="E38" s="120">
        <f>VLOOKUP(B38,'[1]Product by Part Number'!$A:$K,11,0)</f>
        <v>6</v>
      </c>
      <c r="F38" s="121">
        <f>VLOOKUP(B38,'[1]Product by Part Number'!$A:$K,4,0)</f>
        <v>13482.38</v>
      </c>
      <c r="G38" s="122">
        <f t="shared" si="2"/>
        <v>80894.28</v>
      </c>
      <c r="H38" s="123">
        <f>VLOOKUP(B38,'[1]Product by Part Number'!$A:$K,5,0)</f>
        <v>6741.19</v>
      </c>
      <c r="I38" s="131">
        <f t="shared" si="3"/>
        <v>40447.14</v>
      </c>
    </row>
    <row r="39" spans="2:9" x14ac:dyDescent="0.3">
      <c r="B39" s="132" t="s">
        <v>104</v>
      </c>
      <c r="C39" s="119" t="str">
        <f>VLOOKUP(B39,'[1]Product by Part Number'!$A:$K,2,0)</f>
        <v xml:space="preserve">CAT D6T (MH7)                                            </v>
      </c>
      <c r="D39" s="119" t="str">
        <f>VLOOKUP(B39,'[1]Product by Part Number'!$A:$K,3,0)</f>
        <v>SPROCKET SEGMENT</v>
      </c>
      <c r="E39" s="120">
        <f>VLOOKUP(B39,'[1]Product by Part Number'!$A:$K,11,0)</f>
        <v>10</v>
      </c>
      <c r="F39" s="121">
        <f>VLOOKUP(B39,'[1]Product by Part Number'!$A:$K,4,0)</f>
        <v>292.60000000000002</v>
      </c>
      <c r="G39" s="122">
        <f t="shared" si="2"/>
        <v>2926</v>
      </c>
      <c r="H39" s="123">
        <f>VLOOKUP(B39,'[1]Product by Part Number'!$A:$K,5,0)</f>
        <v>146.30000000000001</v>
      </c>
      <c r="I39" s="131">
        <f t="shared" si="3"/>
        <v>1463</v>
      </c>
    </row>
    <row r="40" spans="2:9" x14ac:dyDescent="0.3">
      <c r="B40" s="132" t="s">
        <v>105</v>
      </c>
      <c r="C40" s="119" t="str">
        <f>VLOOKUP(B40,'[1]Product by Part Number'!$A:$K,2,0)</f>
        <v xml:space="preserve">CAT D4 (66J)                                            </v>
      </c>
      <c r="D40" s="119" t="str">
        <f>VLOOKUP(B40,'[1]Product by Part Number'!$A:$K,3,0)</f>
        <v>TRACK SHOE SINGLE GROUSER 860MM</v>
      </c>
      <c r="E40" s="120">
        <f>VLOOKUP(B40,'[1]Product by Part Number'!$A:$K,11,0)</f>
        <v>90</v>
      </c>
      <c r="F40" s="121">
        <f>VLOOKUP(B40,'[1]Product by Part Number'!$A:$K,4,0)</f>
        <v>188.07</v>
      </c>
      <c r="G40" s="122">
        <f t="shared" si="2"/>
        <v>16926.3</v>
      </c>
      <c r="H40" s="123">
        <f>VLOOKUP(B40,'[1]Product by Part Number'!$A:$K,5,0)</f>
        <v>94.04</v>
      </c>
      <c r="I40" s="131">
        <f t="shared" si="3"/>
        <v>8463.6</v>
      </c>
    </row>
    <row r="41" spans="2:9" x14ac:dyDescent="0.3">
      <c r="B41" s="132" t="s">
        <v>106</v>
      </c>
      <c r="C41" s="119" t="str">
        <f>VLOOKUP(B41,'[1]Product by Part Number'!$A:$K,2,0)</f>
        <v xml:space="preserve">CAT D4 (66J)                                            </v>
      </c>
      <c r="D41" s="119" t="str">
        <f>VLOOKUP(B41,'[1]Product by Part Number'!$A:$K,3,0)</f>
        <v>TRACK SHOE MASTER</v>
      </c>
      <c r="E41" s="120">
        <f>VLOOKUP(B41,'[1]Product by Part Number'!$A:$K,11,0)</f>
        <v>2</v>
      </c>
      <c r="F41" s="121">
        <f>VLOOKUP(B41,'[1]Product by Part Number'!$A:$K,4,0)</f>
        <v>200.07</v>
      </c>
      <c r="G41" s="122">
        <f t="shared" si="2"/>
        <v>400.14</v>
      </c>
      <c r="H41" s="123">
        <f>VLOOKUP(B41,'[1]Product by Part Number'!$A:$K,5,0)</f>
        <v>100.04</v>
      </c>
      <c r="I41" s="131">
        <f t="shared" si="3"/>
        <v>200.08</v>
      </c>
    </row>
    <row r="42" spans="2:9" ht="27" x14ac:dyDescent="0.3">
      <c r="B42" s="132" t="s">
        <v>110</v>
      </c>
      <c r="C42" s="119" t="str">
        <f>VLOOKUP(B42,'[1]Product by Part Number'!$A:$K,2,0)</f>
        <v xml:space="preserve">CAT D6N LGP (GHS) CAT D6N LGP (SGG) CAT D6N LGP (SGG) (2)                                        </v>
      </c>
      <c r="D42" s="119" t="str">
        <f>VLOOKUP(B42,'[1]Product by Part Number'!$A:$K,3,0)</f>
        <v xml:space="preserve">TRACK IDLER </v>
      </c>
      <c r="E42" s="120">
        <f>VLOOKUP(B42,'[1]Product by Part Number'!$A:$K,11,0)</f>
        <v>12</v>
      </c>
      <c r="F42" s="121">
        <f>VLOOKUP(B42,'[1]Product by Part Number'!$A:$K,4,0)</f>
        <v>2878.82</v>
      </c>
      <c r="G42" s="122">
        <f t="shared" si="2"/>
        <v>34545.840000000004</v>
      </c>
      <c r="H42" s="123">
        <f>VLOOKUP(B42,'[1]Product by Part Number'!$A:$K,5,0)</f>
        <v>1439.41</v>
      </c>
      <c r="I42" s="131">
        <f t="shared" si="3"/>
        <v>17272.919999999998</v>
      </c>
    </row>
    <row r="43" spans="2:9" ht="40.200000000000003" x14ac:dyDescent="0.3">
      <c r="B43" s="132" t="s">
        <v>111</v>
      </c>
      <c r="C43" s="119" t="str">
        <f>VLOOKUP(B43,'[1]Product by Part Number'!$A:$K,2,0)</f>
        <v xml:space="preserve">CAT D5 (3CR) CAT D5 (3CR) (2) CAT 561M (1KW) CAT 561N (CPH) CAT 561N (CPH) (2) CAT 561N (CPH) (3) CAT 561N (CPH) (4) CAT 561N (CPH) (5)                              </v>
      </c>
      <c r="D43" s="119" t="str">
        <f>VLOOKUP(B43,'[1]Product by Part Number'!$A:$K,3,0)</f>
        <v xml:space="preserve">TRACK IDLER </v>
      </c>
      <c r="E43" s="120">
        <f>VLOOKUP(B43,'[1]Product by Part Number'!$A:$K,11,0)</f>
        <v>18</v>
      </c>
      <c r="F43" s="121">
        <f>VLOOKUP(B43,'[1]Product by Part Number'!$A:$K,4,0)</f>
        <v>3220.34</v>
      </c>
      <c r="G43" s="122">
        <f t="shared" si="2"/>
        <v>57966.12</v>
      </c>
      <c r="H43" s="123">
        <f>VLOOKUP(B43,'[1]Product by Part Number'!$A:$K,5,0)</f>
        <v>1610.17</v>
      </c>
      <c r="I43" s="131">
        <f t="shared" si="3"/>
        <v>28983.06</v>
      </c>
    </row>
    <row r="44" spans="2:9" x14ac:dyDescent="0.3">
      <c r="B44" s="132" t="s">
        <v>112</v>
      </c>
      <c r="C44" s="119" t="str">
        <f>VLOOKUP(B44,'[1]Product by Part Number'!$A:$K,2,0)</f>
        <v xml:space="preserve">CAT D3 (1PJ)                                            </v>
      </c>
      <c r="D44" s="119" t="str">
        <f>VLOOKUP(B44,'[1]Product by Part Number'!$A:$K,3,0)</f>
        <v>SPROCKET SEGMENT</v>
      </c>
      <c r="E44" s="120">
        <f>VLOOKUP(B44,'[1]Product by Part Number'!$A:$K,11,0)</f>
        <v>10</v>
      </c>
      <c r="F44" s="121">
        <f>VLOOKUP(B44,'[1]Product by Part Number'!$A:$K,4,0)</f>
        <v>134.41999999999999</v>
      </c>
      <c r="G44" s="122">
        <f t="shared" si="2"/>
        <v>1344.1999999999998</v>
      </c>
      <c r="H44" s="123">
        <f>VLOOKUP(B44,'[1]Product by Part Number'!$A:$K,5,0)</f>
        <v>67.209999999999994</v>
      </c>
      <c r="I44" s="131">
        <f t="shared" si="3"/>
        <v>672.1</v>
      </c>
    </row>
    <row r="45" spans="2:9" ht="27" x14ac:dyDescent="0.3">
      <c r="B45" s="132" t="s">
        <v>114</v>
      </c>
      <c r="C45" s="119" t="str">
        <f>VLOOKUP(B45,'[1]Product by Part Number'!$A:$K,2,0)</f>
        <v xml:space="preserve">CAT PL61 (WGS) CAT PL61 (WGS) (2) CAT PL61 (WGS) (3)                                        </v>
      </c>
      <c r="D45" s="119" t="str">
        <f>VLOOKUP(B45,'[1]Product by Part Number'!$A:$K,3,0)</f>
        <v>CARRIER BOLT</v>
      </c>
      <c r="E45" s="120">
        <f>VLOOKUP(B45,'[1]Product by Part Number'!$A:$K,11,0)</f>
        <v>12</v>
      </c>
      <c r="F45" s="121">
        <f>VLOOKUP(B45,'[1]Product by Part Number'!$A:$K,4,0)</f>
        <v>1.31</v>
      </c>
      <c r="G45" s="122">
        <f t="shared" si="2"/>
        <v>15.72</v>
      </c>
      <c r="H45" s="123">
        <f>VLOOKUP(B45,'[1]Product by Part Number'!$A:$K,5,0)</f>
        <v>0.66</v>
      </c>
      <c r="I45" s="131">
        <f t="shared" si="3"/>
        <v>7.92</v>
      </c>
    </row>
    <row r="46" spans="2:9" ht="27" x14ac:dyDescent="0.3">
      <c r="B46" s="132" t="s">
        <v>115</v>
      </c>
      <c r="C46" s="119" t="str">
        <f>VLOOKUP(B46,'[1]Product by Part Number'!$A:$K,2,0)</f>
        <v xml:space="preserve">CAT D6N LGP (GHS) CAT D6N LGP (SGG) CAT D6N LGP (SGG) (2)                                        </v>
      </c>
      <c r="D46" s="119" t="str">
        <f>VLOOKUP(B46,'[1]Product by Part Number'!$A:$K,3,0)</f>
        <v>REAR WEAR STRIP 16MM</v>
      </c>
      <c r="E46" s="120">
        <f>VLOOKUP(B46,'[1]Product by Part Number'!$A:$K,11,0)</f>
        <v>12</v>
      </c>
      <c r="F46" s="121">
        <f>VLOOKUP(B46,'[1]Product by Part Number'!$A:$K,4,0)</f>
        <v>200.89</v>
      </c>
      <c r="G46" s="122">
        <f t="shared" si="2"/>
        <v>2410.6799999999998</v>
      </c>
      <c r="H46" s="123">
        <f>VLOOKUP(B46,'[1]Product by Part Number'!$A:$K,5,0)</f>
        <v>100.45</v>
      </c>
      <c r="I46" s="131">
        <f t="shared" si="3"/>
        <v>1205.4000000000001</v>
      </c>
    </row>
    <row r="47" spans="2:9" ht="27" x14ac:dyDescent="0.3">
      <c r="B47" s="132" t="s">
        <v>116</v>
      </c>
      <c r="C47" s="119" t="str">
        <f>VLOOKUP(B47,'[1]Product by Part Number'!$A:$K,2,0)</f>
        <v xml:space="preserve">CAT D6N LGP (GHS) CAT D6N LGP (SGG) CAT D6N LGP (SGG) (2)                                        </v>
      </c>
      <c r="D47" s="119" t="str">
        <f>VLOOKUP(B47,'[1]Product by Part Number'!$A:$K,3,0)</f>
        <v>FRONT WEAR STRIP 16MM</v>
      </c>
      <c r="E47" s="120">
        <f>VLOOKUP(B47,'[1]Product by Part Number'!$A:$K,11,0)</f>
        <v>12</v>
      </c>
      <c r="F47" s="121">
        <f>VLOOKUP(B47,'[1]Product by Part Number'!$A:$K,4,0)</f>
        <v>159.66</v>
      </c>
      <c r="G47" s="122">
        <f t="shared" si="2"/>
        <v>1915.92</v>
      </c>
      <c r="H47" s="123">
        <f>VLOOKUP(B47,'[1]Product by Part Number'!$A:$K,5,0)</f>
        <v>79.83</v>
      </c>
      <c r="I47" s="131">
        <f t="shared" si="3"/>
        <v>957.96</v>
      </c>
    </row>
    <row r="48" spans="2:9" ht="53.4" x14ac:dyDescent="0.3">
      <c r="B48" s="132" t="s">
        <v>117</v>
      </c>
      <c r="C48" s="119" t="str">
        <f>VLOOKUP(B48,'[1]Product by Part Number'!$A:$K,2,0)</f>
        <v xml:space="preserve">CAT D5 (3CR) CAT D5 (3CR) (2) CAT 561 (85H) CAT 561 (92J) CAT 561 (92J) (2) CAT 561M (1KW) CAT 561N (CPH) CAT 561N (CPH) (2) CAT 561N (CPH) (3) CAT 561N (CPH) (4) CAT 561N (CPH) (5)                        </v>
      </c>
      <c r="D48" s="119" t="str">
        <f>VLOOKUP(B48,'[1]Product by Part Number'!$A:$K,3,0)</f>
        <v>TRACK NUT</v>
      </c>
      <c r="E48" s="120">
        <f>VLOOKUP(B48,'[1]Product by Part Number'!$A:$K,11,0)</f>
        <v>2634</v>
      </c>
      <c r="F48" s="121">
        <f>VLOOKUP(B48,'[1]Product by Part Number'!$A:$K,4,0)</f>
        <v>2.0699999999999998</v>
      </c>
      <c r="G48" s="122">
        <f t="shared" si="2"/>
        <v>5452.3799999999992</v>
      </c>
      <c r="H48" s="123">
        <f>VLOOKUP(B48,'[1]Product by Part Number'!$A:$K,5,0)</f>
        <v>1.04</v>
      </c>
      <c r="I48" s="131">
        <f t="shared" si="3"/>
        <v>2739.36</v>
      </c>
    </row>
    <row r="49" spans="2:9" x14ac:dyDescent="0.3">
      <c r="B49" s="132" t="s">
        <v>118</v>
      </c>
      <c r="C49" s="119" t="str">
        <f>VLOOKUP(B49,'[1]Product by Part Number'!$A:$K,2,0)</f>
        <v xml:space="preserve">CAT D4 (66J)                                            </v>
      </c>
      <c r="D49" s="119" t="str">
        <f>VLOOKUP(B49,'[1]Product by Part Number'!$A:$K,3,0)</f>
        <v xml:space="preserve">TRACK IDLER </v>
      </c>
      <c r="E49" s="120">
        <f>VLOOKUP(B49,'[1]Product by Part Number'!$A:$K,11,0)</f>
        <v>2</v>
      </c>
      <c r="F49" s="121">
        <f>VLOOKUP(B49,'[1]Product by Part Number'!$A:$K,4,0)</f>
        <v>2233.12</v>
      </c>
      <c r="G49" s="122">
        <f t="shared" si="2"/>
        <v>4466.24</v>
      </c>
      <c r="H49" s="123">
        <f>VLOOKUP(B49,'[1]Product by Part Number'!$A:$K,5,0)</f>
        <v>1116.56</v>
      </c>
      <c r="I49" s="131">
        <f t="shared" si="3"/>
        <v>2233.12</v>
      </c>
    </row>
    <row r="50" spans="2:9" x14ac:dyDescent="0.3">
      <c r="B50" s="132" t="s">
        <v>126</v>
      </c>
      <c r="C50" s="119" t="str">
        <f>VLOOKUP(B50,'[1]Product by Part Number'!$A:$K,2,0)</f>
        <v xml:space="preserve">CAT D4 (66J)                                            </v>
      </c>
      <c r="D50" s="119" t="str">
        <f>VLOOKUP(B50,'[1]Product by Part Number'!$A:$K,3,0)</f>
        <v>TRACK NUT</v>
      </c>
      <c r="E50" s="120">
        <f>VLOOKUP(B50,'[1]Product by Part Number'!$A:$K,11,0)</f>
        <v>360</v>
      </c>
      <c r="F50" s="121">
        <f>VLOOKUP(B50,'[1]Product by Part Number'!$A:$K,4,0)</f>
        <v>2.94</v>
      </c>
      <c r="G50" s="122">
        <f t="shared" si="2"/>
        <v>1058.4000000000001</v>
      </c>
      <c r="H50" s="123">
        <f>VLOOKUP(B50,'[1]Product by Part Number'!$A:$K,5,0)</f>
        <v>1.47</v>
      </c>
      <c r="I50" s="131">
        <f t="shared" si="3"/>
        <v>529.20000000000005</v>
      </c>
    </row>
    <row r="51" spans="2:9" ht="53.4" x14ac:dyDescent="0.3">
      <c r="B51" s="132" t="s">
        <v>127</v>
      </c>
      <c r="C51" s="119" t="str">
        <f>VLOOKUP(B51,'[1]Product by Part Number'!$A:$K,2,0)</f>
        <v xml:space="preserve">CAT D6 (RDC) CAT D6N LGP (GHS) CAT D6N LGP (SGG) CAT D6N LGP (SGG) (2) CAT D7G (92V) CAT D7G (3ZD) CAT D7G (3ZD) (2) CAT PL61 (WGS) CAT PL61 (WGS) (2) CAT PL61 (WGS) (3)                          </v>
      </c>
      <c r="D51" s="119" t="str">
        <f>VLOOKUP(B51,'[1]Product by Part Number'!$A:$K,3,0)</f>
        <v>TRACK NUT</v>
      </c>
      <c r="E51" s="120">
        <f>VLOOKUP(B51,'[1]Product by Part Number'!$A:$K,11,0)</f>
        <v>3264</v>
      </c>
      <c r="F51" s="121">
        <f>VLOOKUP(B51,'[1]Product by Part Number'!$A:$K,4,0)</f>
        <v>2.94</v>
      </c>
      <c r="G51" s="122">
        <f t="shared" si="2"/>
        <v>9596.16</v>
      </c>
      <c r="H51" s="123">
        <f>VLOOKUP(B51,'[1]Product by Part Number'!$A:$K,5,0)</f>
        <v>1.47</v>
      </c>
      <c r="I51" s="131">
        <f t="shared" si="3"/>
        <v>4798.08</v>
      </c>
    </row>
    <row r="52" spans="2:9" x14ac:dyDescent="0.3">
      <c r="B52" s="132" t="s">
        <v>129</v>
      </c>
      <c r="C52" s="119" t="str">
        <f>VLOOKUP(B52,'[1]Product by Part Number'!$A:$K,2,0)</f>
        <v xml:space="preserve">CAT D6 (RDC) CAT D6T (MH7)                                          </v>
      </c>
      <c r="D52" s="119" t="str">
        <f>VLOOKUP(B52,'[1]Product by Part Number'!$A:$K,3,0)</f>
        <v>TRACK IDLER</v>
      </c>
      <c r="E52" s="120">
        <f>VLOOKUP(B52,'[1]Product by Part Number'!$A:$K,11,0)</f>
        <v>8</v>
      </c>
      <c r="F52" s="121">
        <f>VLOOKUP(B52,'[1]Product by Part Number'!$A:$K,4,0)</f>
        <v>3032.3</v>
      </c>
      <c r="G52" s="122">
        <f t="shared" si="2"/>
        <v>24258.400000000001</v>
      </c>
      <c r="H52" s="123">
        <f>VLOOKUP(B52,'[1]Product by Part Number'!$A:$K,5,0)</f>
        <v>1516.15</v>
      </c>
      <c r="I52" s="131">
        <f t="shared" si="3"/>
        <v>12129.2</v>
      </c>
    </row>
    <row r="53" spans="2:9" x14ac:dyDescent="0.3">
      <c r="B53" s="132" t="s">
        <v>130</v>
      </c>
      <c r="C53" s="119" t="str">
        <f>VLOOKUP(B53,'[1]Product by Part Number'!$A:$K,2,0)</f>
        <v xml:space="preserve">CAT 336F L (RKB)                                            </v>
      </c>
      <c r="D53" s="119" t="str">
        <f>VLOOKUP(B53,'[1]Product by Part Number'!$A:$K,3,0)</f>
        <v>TRACK LINK ASSEMBLY</v>
      </c>
      <c r="E53" s="120">
        <f>VLOOKUP(B53,'[1]Product by Part Number'!$A:$K,11,0)</f>
        <v>2</v>
      </c>
      <c r="F53" s="121">
        <f>VLOOKUP(B53,'[1]Product by Part Number'!$A:$K,4,0)</f>
        <v>12083.08</v>
      </c>
      <c r="G53" s="122">
        <f t="shared" si="2"/>
        <v>24166.16</v>
      </c>
      <c r="H53" s="123">
        <f>VLOOKUP(B53,'[1]Product by Part Number'!$A:$K,5,0)</f>
        <v>6041.54</v>
      </c>
      <c r="I53" s="131">
        <f t="shared" si="3"/>
        <v>12083.08</v>
      </c>
    </row>
    <row r="54" spans="2:9" x14ac:dyDescent="0.3">
      <c r="B54" s="132" t="s">
        <v>131</v>
      </c>
      <c r="C54" s="119" t="str">
        <f>VLOOKUP(B54,'[1]Product by Part Number'!$A:$K,2,0)</f>
        <v xml:space="preserve">CAT D6 (RDC) CAT D6T (MH7)                                          </v>
      </c>
      <c r="D54" s="119" t="str">
        <f>VLOOKUP(B54,'[1]Product by Part Number'!$A:$K,3,0)</f>
        <v>CARRIER BOLT</v>
      </c>
      <c r="E54" s="120">
        <f>VLOOKUP(B54,'[1]Product by Part Number'!$A:$K,11,0)</f>
        <v>8</v>
      </c>
      <c r="F54" s="121">
        <f>VLOOKUP(B54,'[1]Product by Part Number'!$A:$K,4,0)</f>
        <v>22.26</v>
      </c>
      <c r="G54" s="122">
        <f t="shared" si="2"/>
        <v>178.08</v>
      </c>
      <c r="H54" s="123">
        <f>VLOOKUP(B54,'[1]Product by Part Number'!$A:$K,5,0)</f>
        <v>11.13</v>
      </c>
      <c r="I54" s="131">
        <f t="shared" si="3"/>
        <v>89.04</v>
      </c>
    </row>
    <row r="55" spans="2:9" x14ac:dyDescent="0.3">
      <c r="B55" s="132" t="s">
        <v>132</v>
      </c>
      <c r="C55" s="119" t="str">
        <f>VLOOKUP(B55,'[1]Product by Part Number'!$A:$K,2,0)</f>
        <v xml:space="preserve">CAT D5 (3CR) CAT D5 (3CR) (2)                                          </v>
      </c>
      <c r="D55" s="119" t="str">
        <f>VLOOKUP(B55,'[1]Product by Part Number'!$A:$K,3,0)</f>
        <v>TRACK SHOE SINGLE GROUSER 760MM</v>
      </c>
      <c r="E55" s="120">
        <f>VLOOKUP(B55,'[1]Product by Part Number'!$A:$K,11,0)</f>
        <v>176</v>
      </c>
      <c r="F55" s="121">
        <f>VLOOKUP(B55,'[1]Product by Part Number'!$A:$K,4,0)</f>
        <v>126.01</v>
      </c>
      <c r="G55" s="122">
        <f t="shared" si="2"/>
        <v>22177.760000000002</v>
      </c>
      <c r="H55" s="123">
        <f>VLOOKUP(B55,'[1]Product by Part Number'!$A:$K,5,0)</f>
        <v>63.01</v>
      </c>
      <c r="I55" s="131">
        <f t="shared" si="3"/>
        <v>11089.76</v>
      </c>
    </row>
    <row r="56" spans="2:9" ht="40.200000000000003" x14ac:dyDescent="0.3">
      <c r="B56" s="132" t="s">
        <v>134</v>
      </c>
      <c r="C56" s="119" t="str">
        <f>VLOOKUP(B56,'[1]Product by Part Number'!$A:$K,2,0)</f>
        <v xml:space="preserve">CAT 320E L (WBK) CAT 320E L (WBK) (2) CAT 320F L (YBM) CAT 320 (HEX) CAT 320 (MYK) CAT 320 (MYK) (2)                                  </v>
      </c>
      <c r="D56" s="119" t="str">
        <f>VLOOKUP(B56,'[1]Product by Part Number'!$A:$K,3,0)</f>
        <v>SPROCKET BOLT</v>
      </c>
      <c r="E56" s="120">
        <f>VLOOKUP(B56,'[1]Product by Part Number'!$A:$K,11,0)</f>
        <v>192</v>
      </c>
      <c r="F56" s="121">
        <f>VLOOKUP(B56,'[1]Product by Part Number'!$A:$K,4,0)</f>
        <v>8.76</v>
      </c>
      <c r="G56" s="122">
        <f t="shared" si="2"/>
        <v>1681.92</v>
      </c>
      <c r="H56" s="123">
        <f>VLOOKUP(B56,'[1]Product by Part Number'!$A:$K,5,0)</f>
        <v>4.38</v>
      </c>
      <c r="I56" s="131">
        <f t="shared" si="3"/>
        <v>840.96</v>
      </c>
    </row>
    <row r="57" spans="2:9" x14ac:dyDescent="0.3">
      <c r="B57" s="132" t="s">
        <v>135</v>
      </c>
      <c r="C57" s="119" t="str">
        <f>VLOOKUP(B57,'[1]Product by Part Number'!$A:$K,2,0)</f>
        <v xml:space="preserve">CAT D6N LGP (GHS)                                            </v>
      </c>
      <c r="D57" s="119" t="str">
        <f>VLOOKUP(B57,'[1]Product by Part Number'!$A:$K,3,0)</f>
        <v>TRACK SHOE SINGLE GROUSER 860MM</v>
      </c>
      <c r="E57" s="120">
        <f>VLOOKUP(B57,'[1]Product by Part Number'!$A:$K,11,0)</f>
        <v>90</v>
      </c>
      <c r="F57" s="121">
        <f>VLOOKUP(B57,'[1]Product by Part Number'!$A:$K,4,0)</f>
        <v>206.6</v>
      </c>
      <c r="G57" s="122">
        <f t="shared" si="2"/>
        <v>18594</v>
      </c>
      <c r="H57" s="123">
        <f>VLOOKUP(B57,'[1]Product by Part Number'!$A:$K,5,0)</f>
        <v>103.3</v>
      </c>
      <c r="I57" s="131">
        <f t="shared" si="3"/>
        <v>9297</v>
      </c>
    </row>
    <row r="58" spans="2:9" x14ac:dyDescent="0.3">
      <c r="B58" s="132" t="s">
        <v>136</v>
      </c>
      <c r="C58" s="119" t="str">
        <f>VLOOKUP(B58,'[1]Product by Part Number'!$A:$K,2,0)</f>
        <v xml:space="preserve">CAT D6N LGP (GHS)                                            </v>
      </c>
      <c r="D58" s="119" t="str">
        <f>VLOOKUP(B58,'[1]Product by Part Number'!$A:$K,3,0)</f>
        <v>TRACK SHOE MASTER</v>
      </c>
      <c r="E58" s="120">
        <f>VLOOKUP(B58,'[1]Product by Part Number'!$A:$K,11,0)</f>
        <v>2</v>
      </c>
      <c r="F58" s="121">
        <f>VLOOKUP(B58,'[1]Product by Part Number'!$A:$K,4,0)</f>
        <v>226.51</v>
      </c>
      <c r="G58" s="122">
        <f t="shared" si="2"/>
        <v>453.02</v>
      </c>
      <c r="H58" s="123">
        <f>VLOOKUP(B58,'[1]Product by Part Number'!$A:$K,5,0)</f>
        <v>113.26</v>
      </c>
      <c r="I58" s="131">
        <f t="shared" si="3"/>
        <v>226.52</v>
      </c>
    </row>
    <row r="59" spans="2:9" x14ac:dyDescent="0.3">
      <c r="B59" s="132" t="s">
        <v>137</v>
      </c>
      <c r="C59" s="119" t="str">
        <f>VLOOKUP(B59,'[1]Product by Part Number'!$A:$K,2,0)</f>
        <v xml:space="preserve">CAT D7G (92V) CAT D7G (3ZD) CAT D7G (3ZD) (2)                                        </v>
      </c>
      <c r="D59" s="119" t="str">
        <f>VLOOKUP(B59,'[1]Product by Part Number'!$A:$K,3,0)</f>
        <v>SPROCKET HUB</v>
      </c>
      <c r="E59" s="120">
        <f>VLOOKUP(B59,'[1]Product by Part Number'!$A:$K,11,0)</f>
        <v>6</v>
      </c>
      <c r="F59" s="121">
        <f>VLOOKUP(B59,'[1]Product by Part Number'!$A:$K,4,0)</f>
        <v>3635.61</v>
      </c>
      <c r="G59" s="122">
        <f t="shared" si="2"/>
        <v>21813.66</v>
      </c>
      <c r="H59" s="123">
        <f>VLOOKUP(B59,'[1]Product by Part Number'!$A:$K,5,0)</f>
        <v>1817.81</v>
      </c>
      <c r="I59" s="131">
        <f t="shared" si="3"/>
        <v>10906.86</v>
      </c>
    </row>
    <row r="60" spans="2:9" ht="27" x14ac:dyDescent="0.3">
      <c r="B60" s="132" t="s">
        <v>138</v>
      </c>
      <c r="C60" s="119" t="str">
        <f>VLOOKUP(B60,'[1]Product by Part Number'!$A:$K,2,0)</f>
        <v xml:space="preserve">CAT D6N LGP (GHS) CAT D6N LGP (PBA) CAT D6N LGP (PBA) (2) CAT D6N LGP (SGG) CAT D6N LGP (SGG) (2)                                    </v>
      </c>
      <c r="D60" s="119" t="str">
        <f>VLOOKUP(B60,'[1]Product by Part Number'!$A:$K,3,0)</f>
        <v>CARRIER ROLLER</v>
      </c>
      <c r="E60" s="120">
        <f>VLOOKUP(B60,'[1]Product by Part Number'!$A:$K,11,0)</f>
        <v>10</v>
      </c>
      <c r="F60" s="121">
        <f>VLOOKUP(B60,'[1]Product by Part Number'!$A:$K,4,0)</f>
        <v>496.33</v>
      </c>
      <c r="G60" s="122">
        <f t="shared" si="2"/>
        <v>4963.3</v>
      </c>
      <c r="H60" s="123">
        <f>VLOOKUP(B60,'[1]Product by Part Number'!$A:$K,5,0)</f>
        <v>248.17</v>
      </c>
      <c r="I60" s="131">
        <f t="shared" si="3"/>
        <v>2481.6999999999998</v>
      </c>
    </row>
    <row r="61" spans="2:9" x14ac:dyDescent="0.3">
      <c r="B61" s="132" t="s">
        <v>140</v>
      </c>
      <c r="C61" s="119" t="str">
        <f>VLOOKUP(B61,'[1]Product by Part Number'!$A:$K,2,0)</f>
        <v xml:space="preserve">CAT D6 (RDC) CAT D6T (MH7)                                          </v>
      </c>
      <c r="D61" s="119" t="str">
        <f>VLOOKUP(B61,'[1]Product by Part Number'!$A:$K,3,0)</f>
        <v>CARRIER ROLLER</v>
      </c>
      <c r="E61" s="120">
        <f>VLOOKUP(B61,'[1]Product by Part Number'!$A:$K,11,0)</f>
        <v>4</v>
      </c>
      <c r="F61" s="121">
        <f>VLOOKUP(B61,'[1]Product by Part Number'!$A:$K,4,0)</f>
        <v>594.54</v>
      </c>
      <c r="G61" s="122">
        <f t="shared" si="2"/>
        <v>2378.16</v>
      </c>
      <c r="H61" s="123">
        <f>VLOOKUP(B61,'[1]Product by Part Number'!$A:$K,5,0)</f>
        <v>297.27</v>
      </c>
      <c r="I61" s="131">
        <f t="shared" si="3"/>
        <v>1189.08</v>
      </c>
    </row>
    <row r="62" spans="2:9" x14ac:dyDescent="0.3">
      <c r="B62" s="132" t="s">
        <v>141</v>
      </c>
      <c r="C62" s="119" t="str">
        <f>VLOOKUP(B62,'[1]Product by Part Number'!$A:$K,2,0)</f>
        <v xml:space="preserve">CAT D6N LGP (PBA) CAT D6N LGP (PBA) (2)                                          </v>
      </c>
      <c r="D62" s="119" t="str">
        <f>VLOOKUP(B62,'[1]Product by Part Number'!$A:$K,3,0)</f>
        <v>SINGLE FLANGE TRACK ROLLER</v>
      </c>
      <c r="E62" s="120">
        <f>VLOOKUP(B62,'[1]Product by Part Number'!$A:$K,11,0)</f>
        <v>32</v>
      </c>
      <c r="F62" s="121">
        <f>VLOOKUP(B62,'[1]Product by Part Number'!$A:$K,4,0)</f>
        <v>866.99</v>
      </c>
      <c r="G62" s="122">
        <f t="shared" si="2"/>
        <v>27743.68</v>
      </c>
      <c r="H62" s="123">
        <f>VLOOKUP(B62,'[1]Product by Part Number'!$A:$K,5,0)</f>
        <v>433.5</v>
      </c>
      <c r="I62" s="131">
        <f t="shared" si="3"/>
        <v>13872</v>
      </c>
    </row>
    <row r="63" spans="2:9" ht="40.200000000000003" x14ac:dyDescent="0.3">
      <c r="B63" s="132" t="s">
        <v>142</v>
      </c>
      <c r="C63" s="119" t="str">
        <f>VLOOKUP(B63,'[1]Product by Part Number'!$A:$K,2,0)</f>
        <v xml:space="preserve">CAT 320E L (WBK) CAT 320E L (WBK) (2) CAT 320F L (YBM) CAT 320 (HEX) CAT 320 (MYK) CAT 320 (MYK) (2)                                  </v>
      </c>
      <c r="D63" s="119" t="str">
        <f>VLOOKUP(B63,'[1]Product by Part Number'!$A:$K,3,0)</f>
        <v>TRACK IDLER</v>
      </c>
      <c r="E63" s="120">
        <f>VLOOKUP(B63,'[1]Product by Part Number'!$A:$K,11,0)</f>
        <v>16</v>
      </c>
      <c r="F63" s="121">
        <f>VLOOKUP(B63,'[1]Product by Part Number'!$A:$K,4,0)</f>
        <v>2633.14</v>
      </c>
      <c r="G63" s="122">
        <f t="shared" si="2"/>
        <v>42130.239999999998</v>
      </c>
      <c r="H63" s="123">
        <f>VLOOKUP(B63,'[1]Product by Part Number'!$A:$K,5,0)</f>
        <v>1316.57</v>
      </c>
      <c r="I63" s="131">
        <f t="shared" si="3"/>
        <v>21065.119999999999</v>
      </c>
    </row>
    <row r="64" spans="2:9" ht="27" x14ac:dyDescent="0.3">
      <c r="B64" s="132" t="s">
        <v>143</v>
      </c>
      <c r="C64" s="119" t="str">
        <f>VLOOKUP(B64,'[1]Product by Part Number'!$A:$K,2,0)</f>
        <v xml:space="preserve">CAT D6N LGP (GHS) CAT D6N LGP (SGG) CAT D6N LGP (SGG) (2)                                        </v>
      </c>
      <c r="D64" s="119" t="str">
        <f>VLOOKUP(B64,'[1]Product by Part Number'!$A:$K,3,0)</f>
        <v>IDLER SCRAPER</v>
      </c>
      <c r="E64" s="120">
        <f>VLOOKUP(B64,'[1]Product by Part Number'!$A:$K,11,0)</f>
        <v>6</v>
      </c>
      <c r="F64" s="121">
        <f>VLOOKUP(B64,'[1]Product by Part Number'!$A:$K,4,0)</f>
        <v>113.29</v>
      </c>
      <c r="G64" s="122">
        <f t="shared" si="2"/>
        <v>679.74</v>
      </c>
      <c r="H64" s="123">
        <f>VLOOKUP(B64,'[1]Product by Part Number'!$A:$K,5,0)</f>
        <v>56.65</v>
      </c>
      <c r="I64" s="131">
        <f t="shared" si="3"/>
        <v>339.9</v>
      </c>
    </row>
    <row r="65" spans="2:9" x14ac:dyDescent="0.3">
      <c r="B65" s="132" t="s">
        <v>146</v>
      </c>
      <c r="C65" s="119" t="str">
        <f>VLOOKUP(B65,'[1]Product by Part Number'!$A:$K,2,0)</f>
        <v xml:space="preserve">CAT D6N LGP (PBA) CAT D6N LGP (PBA) (2)                                          </v>
      </c>
      <c r="D65" s="119" t="str">
        <f>VLOOKUP(B65,'[1]Product by Part Number'!$A:$K,3,0)</f>
        <v>TRACK BOLT MASTER</v>
      </c>
      <c r="E65" s="120">
        <f>VLOOKUP(B65,'[1]Product by Part Number'!$A:$K,11,0)</f>
        <v>16</v>
      </c>
      <c r="F65" s="121">
        <f>VLOOKUP(B65,'[1]Product by Part Number'!$A:$K,4,0)</f>
        <v>10.72</v>
      </c>
      <c r="G65" s="122">
        <f t="shared" si="2"/>
        <v>171.52</v>
      </c>
      <c r="H65" s="123">
        <f>VLOOKUP(B65,'[1]Product by Part Number'!$A:$K,5,0)</f>
        <v>5.36</v>
      </c>
      <c r="I65" s="131">
        <f t="shared" si="3"/>
        <v>85.76</v>
      </c>
    </row>
    <row r="66" spans="2:9" ht="27" x14ac:dyDescent="0.3">
      <c r="B66" s="132" t="s">
        <v>147</v>
      </c>
      <c r="C66" s="119" t="str">
        <f>VLOOKUP(B66,'[1]Product by Part Number'!$A:$K,2,0)</f>
        <v xml:space="preserve">CAT PL61 (WGS) CAT PL61 (WGS) (2) CAT PL61 (WGS) (3)                                        </v>
      </c>
      <c r="D66" s="119" t="str">
        <f>VLOOKUP(B66,'[1]Product by Part Number'!$A:$K,3,0)</f>
        <v>SPROCKET</v>
      </c>
      <c r="E66" s="120">
        <f>VLOOKUP(B66,'[1]Product by Part Number'!$A:$K,11,0)</f>
        <v>6</v>
      </c>
      <c r="F66" s="121">
        <f>VLOOKUP(B66,'[1]Product by Part Number'!$A:$K,4,0)</f>
        <v>1650.99</v>
      </c>
      <c r="G66" s="122">
        <f t="shared" si="2"/>
        <v>9905.94</v>
      </c>
      <c r="H66" s="123">
        <f>VLOOKUP(B66,'[1]Product by Part Number'!$A:$K,5,0)</f>
        <v>825.5</v>
      </c>
      <c r="I66" s="131">
        <f t="shared" si="3"/>
        <v>4953</v>
      </c>
    </row>
    <row r="67" spans="2:9" ht="27" x14ac:dyDescent="0.3">
      <c r="B67" s="132" t="s">
        <v>148</v>
      </c>
      <c r="C67" s="119" t="str">
        <f>VLOOKUP(B67,'[1]Product by Part Number'!$A:$K,2,0)</f>
        <v xml:space="preserve">CAT D6N LGP (GHS) CAT D6N LGP (SGG) CAT D6N LGP (SGG) (2)                                        </v>
      </c>
      <c r="D67" s="119" t="str">
        <f>VLOOKUP(B67,'[1]Product by Part Number'!$A:$K,3,0)</f>
        <v>HEX HEAD BOLT</v>
      </c>
      <c r="E67" s="120">
        <f>VLOOKUP(B67,'[1]Product by Part Number'!$A:$K,11,0)</f>
        <v>12</v>
      </c>
      <c r="F67" s="121">
        <f>VLOOKUP(B67,'[1]Product by Part Number'!$A:$K,4,0)</f>
        <v>4.12</v>
      </c>
      <c r="G67" s="122">
        <f t="shared" si="2"/>
        <v>49.44</v>
      </c>
      <c r="H67" s="123">
        <f>VLOOKUP(B67,'[1]Product by Part Number'!$A:$K,5,0)</f>
        <v>2.06</v>
      </c>
      <c r="I67" s="131">
        <f t="shared" si="3"/>
        <v>24.72</v>
      </c>
    </row>
    <row r="68" spans="2:9" x14ac:dyDescent="0.3">
      <c r="B68" s="132" t="s">
        <v>149</v>
      </c>
      <c r="C68" s="119" t="str">
        <f>VLOOKUP(B68,'[1]Product by Part Number'!$A:$K,2,0)</f>
        <v xml:space="preserve">CAT 303.5E                                            </v>
      </c>
      <c r="D68" s="119" t="str">
        <f>VLOOKUP(B68,'[1]Product by Part Number'!$A:$K,3,0)</f>
        <v>IDLER-BEARING ASSY LH</v>
      </c>
      <c r="E68" s="120">
        <f>VLOOKUP(B68,'[1]Product by Part Number'!$A:$K,11,0)</f>
        <v>2</v>
      </c>
      <c r="F68" s="121">
        <f>VLOOKUP(B68,'[1]Product by Part Number'!$A:$K,4,0)</f>
        <v>854.8</v>
      </c>
      <c r="G68" s="122">
        <f t="shared" si="2"/>
        <v>1709.6</v>
      </c>
      <c r="H68" s="123">
        <f>VLOOKUP(B68,'[1]Product by Part Number'!$A:$K,5,0)</f>
        <v>427.4</v>
      </c>
      <c r="I68" s="131">
        <f t="shared" si="3"/>
        <v>854.8</v>
      </c>
    </row>
    <row r="69" spans="2:9" x14ac:dyDescent="0.3">
      <c r="B69" s="132" t="s">
        <v>150</v>
      </c>
      <c r="C69" s="119" t="str">
        <f>VLOOKUP(B69,'[1]Product by Part Number'!$A:$K,2,0)</f>
        <v xml:space="preserve">CAT D6N LGP (PBA) CAT D6N LGP (PBA) (2)                                          </v>
      </c>
      <c r="D69" s="119" t="str">
        <f>VLOOKUP(B69,'[1]Product by Part Number'!$A:$K,3,0)</f>
        <v>TRACK SHOE 860MM</v>
      </c>
      <c r="E69" s="120">
        <f>VLOOKUP(B69,'[1]Product by Part Number'!$A:$K,11,0)</f>
        <v>180</v>
      </c>
      <c r="F69" s="121">
        <f>VLOOKUP(B69,'[1]Product by Part Number'!$A:$K,4,0)</f>
        <v>211.37</v>
      </c>
      <c r="G69" s="122">
        <f t="shared" si="2"/>
        <v>38046.6</v>
      </c>
      <c r="H69" s="123">
        <f>VLOOKUP(B69,'[1]Product by Part Number'!$A:$K,5,0)</f>
        <v>105.69</v>
      </c>
      <c r="I69" s="131">
        <f t="shared" si="3"/>
        <v>19024.2</v>
      </c>
    </row>
    <row r="70" spans="2:9" x14ac:dyDescent="0.3">
      <c r="B70" s="132" t="s">
        <v>152</v>
      </c>
      <c r="C70" s="119" t="str">
        <f>VLOOKUP(B70,'[1]Product by Part Number'!$A:$K,2,0)</f>
        <v xml:space="preserve">CAT D7G (92V) CAT D7G (3ZD) CAT D7G (3ZD) (2)                                        </v>
      </c>
      <c r="D70" s="119" t="str">
        <f>VLOOKUP(B70,'[1]Product by Part Number'!$A:$K,3,0)</f>
        <v>SPROCKET BOLT</v>
      </c>
      <c r="E70" s="120">
        <f>VLOOKUP(B70,'[1]Product by Part Number'!$A:$K,11,0)</f>
        <v>120</v>
      </c>
      <c r="F70" s="121">
        <f>VLOOKUP(B70,'[1]Product by Part Number'!$A:$K,4,0)</f>
        <v>4.75</v>
      </c>
      <c r="G70" s="122">
        <f t="shared" si="2"/>
        <v>570</v>
      </c>
      <c r="H70" s="123">
        <f>VLOOKUP(B70,'[1]Product by Part Number'!$A:$K,5,0)</f>
        <v>2.38</v>
      </c>
      <c r="I70" s="131">
        <f t="shared" si="3"/>
        <v>285.60000000000002</v>
      </c>
    </row>
    <row r="71" spans="2:9" x14ac:dyDescent="0.3">
      <c r="B71" s="132" t="s">
        <v>155</v>
      </c>
      <c r="C71" s="119" t="str">
        <f>VLOOKUP(B71,'[1]Product by Part Number'!$A:$K,2,0)</f>
        <v xml:space="preserve">CAT D6T (MH7)                                            </v>
      </c>
      <c r="D71" s="119" t="str">
        <f>VLOOKUP(B71,'[1]Product by Part Number'!$A:$K,3,0)</f>
        <v>SINGLE FLANGE TRACK ROLLER</v>
      </c>
      <c r="E71" s="120">
        <f>VLOOKUP(B71,'[1]Product by Part Number'!$A:$K,11,0)</f>
        <v>4</v>
      </c>
      <c r="F71" s="121">
        <f>VLOOKUP(B71,'[1]Product by Part Number'!$A:$K,4,0)</f>
        <v>936.48</v>
      </c>
      <c r="G71" s="122">
        <f t="shared" si="2"/>
        <v>3745.92</v>
      </c>
      <c r="H71" s="123">
        <f>VLOOKUP(B71,'[1]Product by Part Number'!$A:$K,5,0)</f>
        <v>468.24</v>
      </c>
      <c r="I71" s="131">
        <f t="shared" si="3"/>
        <v>1872.96</v>
      </c>
    </row>
    <row r="72" spans="2:9" x14ac:dyDescent="0.3">
      <c r="B72" s="132" t="s">
        <v>156</v>
      </c>
      <c r="C72" s="119" t="str">
        <f>VLOOKUP(B72,'[1]Product by Part Number'!$A:$K,2,0)</f>
        <v xml:space="preserve">CAT D6T (MH7)                                            </v>
      </c>
      <c r="D72" s="119" t="str">
        <f>VLOOKUP(B72,'[1]Product by Part Number'!$A:$K,3,0)</f>
        <v>DOUBLE FLANGE TRACK ROLLER</v>
      </c>
      <c r="E72" s="120">
        <f>VLOOKUP(B72,'[1]Product by Part Number'!$A:$K,11,0)</f>
        <v>12</v>
      </c>
      <c r="F72" s="121">
        <f>VLOOKUP(B72,'[1]Product by Part Number'!$A:$K,4,0)</f>
        <v>1023.54</v>
      </c>
      <c r="G72" s="122">
        <f t="shared" si="2"/>
        <v>12282.48</v>
      </c>
      <c r="H72" s="123">
        <f>VLOOKUP(B72,'[1]Product by Part Number'!$A:$K,5,0)</f>
        <v>511.77</v>
      </c>
      <c r="I72" s="131">
        <f t="shared" si="3"/>
        <v>6141.24</v>
      </c>
    </row>
    <row r="73" spans="2:9" x14ac:dyDescent="0.3">
      <c r="B73" s="132" t="s">
        <v>158</v>
      </c>
      <c r="C73" s="119" t="str">
        <f>VLOOKUP(B73,'[1]Product by Part Number'!$A:$K,2,0)</f>
        <v xml:space="preserve">CAT D6N LGP (PBA) CAT D6N LGP (PBA) (2)                                          </v>
      </c>
      <c r="D73" s="119" t="str">
        <f>VLOOKUP(B73,'[1]Product by Part Number'!$A:$K,3,0)</f>
        <v>TRACK SHOE MASTER</v>
      </c>
      <c r="E73" s="120">
        <f>VLOOKUP(B73,'[1]Product by Part Number'!$A:$K,11,0)</f>
        <v>4</v>
      </c>
      <c r="F73" s="121">
        <f>VLOOKUP(B73,'[1]Product by Part Number'!$A:$K,4,0)</f>
        <v>241.71</v>
      </c>
      <c r="G73" s="122">
        <f t="shared" si="2"/>
        <v>966.84</v>
      </c>
      <c r="H73" s="123">
        <f>VLOOKUP(B73,'[1]Product by Part Number'!$A:$K,5,0)</f>
        <v>120.86</v>
      </c>
      <c r="I73" s="131">
        <f t="shared" si="3"/>
        <v>483.44</v>
      </c>
    </row>
    <row r="74" spans="2:9" ht="40.200000000000003" x14ac:dyDescent="0.3">
      <c r="B74" s="132" t="s">
        <v>161</v>
      </c>
      <c r="C74" s="119" t="str">
        <f>VLOOKUP(B74,'[1]Product by Part Number'!$A:$K,2,0)</f>
        <v xml:space="preserve">CAT D6N LGP (GHS) CAT D6N LGP (PBA) CAT D6N LGP (PBA) (2) CAT D6N LGP (SGG) CAT D6N LGP (SGG) (2) CAT D6T (MH7)                                  </v>
      </c>
      <c r="D74" s="119" t="str">
        <f>VLOOKUP(B74,'[1]Product by Part Number'!$A:$K,3,0)</f>
        <v>FLAT WASHER</v>
      </c>
      <c r="E74" s="120">
        <f>VLOOKUP(B74,'[1]Product by Part Number'!$A:$K,11,0)</f>
        <v>300</v>
      </c>
      <c r="F74" s="121">
        <f>VLOOKUP(B74,'[1]Product by Part Number'!$A:$K,4,0)</f>
        <v>2.0499999999999998</v>
      </c>
      <c r="G74" s="122">
        <f t="shared" si="2"/>
        <v>615</v>
      </c>
      <c r="H74" s="123">
        <f>VLOOKUP(B74,'[1]Product by Part Number'!$A:$K,5,0)</f>
        <v>1.03</v>
      </c>
      <c r="I74" s="131">
        <f t="shared" si="3"/>
        <v>309</v>
      </c>
    </row>
    <row r="75" spans="2:9" ht="93" x14ac:dyDescent="0.3">
      <c r="B75" s="132" t="s">
        <v>162</v>
      </c>
      <c r="C75" s="119" t="str">
        <f>VLOOKUP(B75,'[1]Product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336F L (RKB)            </v>
      </c>
      <c r="D75" s="119" t="str">
        <f>VLOOKUP(B75,'[1]Product by Part Number'!$A:$K,3,0)</f>
        <v>CARRIER ROLLER</v>
      </c>
      <c r="E75" s="120">
        <f>VLOOKUP(B75,'[1]Product by Part Number'!$A:$K,11,0)</f>
        <v>68</v>
      </c>
      <c r="F75" s="121">
        <f>VLOOKUP(B75,'[1]Product by Part Number'!$A:$K,4,0)</f>
        <v>635.41999999999996</v>
      </c>
      <c r="G75" s="122">
        <f t="shared" si="2"/>
        <v>43208.56</v>
      </c>
      <c r="H75" s="123">
        <f>VLOOKUP(B75,'[1]Product by Part Number'!$A:$K,5,0)</f>
        <v>317.70999999999998</v>
      </c>
      <c r="I75" s="131">
        <f t="shared" si="3"/>
        <v>21604.28</v>
      </c>
    </row>
    <row r="76" spans="2:9" ht="40.200000000000003" x14ac:dyDescent="0.3">
      <c r="B76" s="132" t="s">
        <v>164</v>
      </c>
      <c r="C76" s="119" t="str">
        <f>VLOOKUP(B76,'[1]Product by Part Number'!$A:$K,2,0)</f>
        <v xml:space="preserve">CAT 329E L (ZCD) CAT 329F L (ERL) CAT 329F L (ERL) (2) CAT 330F L (MBX) CAT 330F L (HCK) CAT 330F L (HCK) (2)                                  </v>
      </c>
      <c r="D76" s="119" t="str">
        <f>VLOOKUP(B76,'[1]Product by Part Number'!$A:$K,3,0)</f>
        <v>TRACK BOLT 68MM</v>
      </c>
      <c r="E76" s="120">
        <f>VLOOKUP(B76,'[1]Product by Part Number'!$A:$K,11,0)</f>
        <v>2400</v>
      </c>
      <c r="F76" s="121">
        <f>VLOOKUP(B76,'[1]Product by Part Number'!$A:$K,4,0)</f>
        <v>6.78</v>
      </c>
      <c r="G76" s="122">
        <f t="shared" si="2"/>
        <v>16272</v>
      </c>
      <c r="H76" s="123">
        <f>VLOOKUP(B76,'[1]Product by Part Number'!$A:$K,5,0)</f>
        <v>3.39</v>
      </c>
      <c r="I76" s="131">
        <f t="shared" si="3"/>
        <v>8136</v>
      </c>
    </row>
    <row r="77" spans="2:9" ht="27" x14ac:dyDescent="0.3">
      <c r="B77" s="132" t="s">
        <v>166</v>
      </c>
      <c r="C77" s="119" t="str">
        <f>VLOOKUP(B77,'[1]Product by Part Number'!$A:$K,2,0)</f>
        <v xml:space="preserve">CAT D6N LGP (GHS) CAT D6N LGP (SGG) CAT D6N LGP (SGG) (2)                                        </v>
      </c>
      <c r="D77" s="119" t="str">
        <f>VLOOKUP(B77,'[1]Product by Part Number'!$A:$K,3,0)</f>
        <v>SINGLE FLANGE TRACK ROLLER</v>
      </c>
      <c r="E77" s="120">
        <f>VLOOKUP(B77,'[1]Product by Part Number'!$A:$K,11,0)</f>
        <v>20</v>
      </c>
      <c r="F77" s="121">
        <f>VLOOKUP(B77,'[1]Product by Part Number'!$A:$K,4,0)</f>
        <v>857.8</v>
      </c>
      <c r="G77" s="122">
        <f t="shared" si="2"/>
        <v>17156</v>
      </c>
      <c r="H77" s="123">
        <f>VLOOKUP(B77,'[1]Product by Part Number'!$A:$K,5,0)</f>
        <v>428.9</v>
      </c>
      <c r="I77" s="131">
        <f t="shared" si="3"/>
        <v>8578</v>
      </c>
    </row>
    <row r="78" spans="2:9" x14ac:dyDescent="0.3">
      <c r="B78" s="132" t="s">
        <v>167</v>
      </c>
      <c r="C78" s="119" t="str">
        <f>VLOOKUP(B78,'[1]Product by Part Number'!$A:$K,2,0)</f>
        <v xml:space="preserve">CAT D6N LGP (SGG) CAT D6N LGP (SGG) (2)                                          </v>
      </c>
      <c r="D78" s="119" t="str">
        <f>VLOOKUP(B78,'[1]Product by Part Number'!$A:$K,3,0)</f>
        <v>DOUBLE FLANGE TRACK ROLLER</v>
      </c>
      <c r="E78" s="120">
        <f>VLOOKUP(B78,'[1]Product by Part Number'!$A:$K,11,0)</f>
        <v>16</v>
      </c>
      <c r="F78" s="121">
        <f>VLOOKUP(B78,'[1]Product by Part Number'!$A:$K,4,0)</f>
        <v>900.53</v>
      </c>
      <c r="G78" s="122">
        <f t="shared" si="2"/>
        <v>14408.48</v>
      </c>
      <c r="H78" s="123">
        <f>VLOOKUP(B78,'[1]Product by Part Number'!$A:$K,5,0)</f>
        <v>450.27</v>
      </c>
      <c r="I78" s="131">
        <f t="shared" si="3"/>
        <v>7204.32</v>
      </c>
    </row>
    <row r="79" spans="2:9" ht="27" x14ac:dyDescent="0.3">
      <c r="B79" s="132" t="s">
        <v>168</v>
      </c>
      <c r="C79" s="119" t="str">
        <f>VLOOKUP(B79,'[1]Product by Part Number'!$A:$K,2,0)</f>
        <v xml:space="preserve">CAT D6N LGP (GHS)                                            </v>
      </c>
      <c r="D79" s="119" t="str">
        <f>VLOOKUP(B79,'[1]Product by Part Number'!$A:$K,3,0)</f>
        <v>DOUBLE FLANGE TRACK ROLLER (GUIDE AR)*</v>
      </c>
      <c r="E79" s="120">
        <f>VLOOKUP(B79,'[1]Product by Part Number'!$A:$K,11,0)</f>
        <v>12</v>
      </c>
      <c r="F79" s="121">
        <f>VLOOKUP(B79,'[1]Product by Part Number'!$A:$K,4,0)</f>
        <v>1006.57</v>
      </c>
      <c r="G79" s="122">
        <f t="shared" si="2"/>
        <v>12078.84</v>
      </c>
      <c r="H79" s="123">
        <f>VLOOKUP(B79,'[1]Product by Part Number'!$A:$K,5,0)</f>
        <v>503.29</v>
      </c>
      <c r="I79" s="131">
        <f t="shared" si="3"/>
        <v>6039.48</v>
      </c>
    </row>
    <row r="80" spans="2:9" ht="53.4" x14ac:dyDescent="0.3">
      <c r="B80" s="132" t="s">
        <v>169</v>
      </c>
      <c r="C80" s="119" t="str">
        <f>VLOOKUP(B80,'[1]Product by Part Number'!$A:$K,2,0)</f>
        <v xml:space="preserve">CAT 330 (LHW) CAT 330 (LHW) (2) CAT 330 (LHW) (3) CAT 330 (LHW) (4) CAT 330 (WCH) CAT 330 (WCH) (2) CAT 330 (WCH) (3) CAT 330 (WCH) (4) CAT 330 (WCH) (5) CAT 330 (WCH) (6) CAT 336F L (RKB)                        </v>
      </c>
      <c r="D80" s="119" t="str">
        <f>VLOOKUP(B80,'[1]Product by Part Number'!$A:$K,3,0)</f>
        <v>TRACK NUT</v>
      </c>
      <c r="E80" s="120">
        <f>VLOOKUP(B80,'[1]Product by Part Number'!$A:$K,11,0)</f>
        <v>4396</v>
      </c>
      <c r="F80" s="121">
        <f>VLOOKUP(B80,'[1]Product by Part Number'!$A:$K,4,0)</f>
        <v>3.94</v>
      </c>
      <c r="G80" s="122">
        <f t="shared" ref="G80:G143" si="4">E80*F80</f>
        <v>17320.239999999998</v>
      </c>
      <c r="H80" s="123">
        <f>VLOOKUP(B80,'[1]Product by Part Number'!$A:$K,5,0)</f>
        <v>1.97</v>
      </c>
      <c r="I80" s="131">
        <f t="shared" ref="I80:I143" si="5">ROUND(E80*H80,2)</f>
        <v>8660.1200000000008</v>
      </c>
    </row>
    <row r="81" spans="2:9" x14ac:dyDescent="0.3">
      <c r="B81" s="132" t="s">
        <v>174</v>
      </c>
      <c r="C81" s="119" t="str">
        <f>VLOOKUP(B81,'[1]Product by Part Number'!$A:$K,2,0)</f>
        <v xml:space="preserve">CAT D6N LGP (PBA) CAT D6N LGP (PBA) (2)                                          </v>
      </c>
      <c r="D81" s="119" t="str">
        <f>VLOOKUP(B81,'[1]Product by Part Number'!$A:$K,3,0)</f>
        <v>TRACK LINK MASTER</v>
      </c>
      <c r="E81" s="120">
        <f>VLOOKUP(B81,'[1]Product by Part Number'!$A:$K,11,0)</f>
        <v>8</v>
      </c>
      <c r="F81" s="121">
        <f>VLOOKUP(B81,'[1]Product by Part Number'!$A:$K,4,0)</f>
        <v>392.82</v>
      </c>
      <c r="G81" s="122">
        <f t="shared" si="4"/>
        <v>3142.56</v>
      </c>
      <c r="H81" s="123">
        <f>VLOOKUP(B81,'[1]Product by Part Number'!$A:$K,5,0)</f>
        <v>196.41</v>
      </c>
      <c r="I81" s="131">
        <f t="shared" si="5"/>
        <v>1571.28</v>
      </c>
    </row>
    <row r="82" spans="2:9" x14ac:dyDescent="0.3">
      <c r="B82" s="132" t="s">
        <v>175</v>
      </c>
      <c r="C82" s="119" t="str">
        <f>VLOOKUP(B82,'[1]Product by Part Number'!$A:$K,2,0)</f>
        <v xml:space="preserve">CAT 336F L (RKB)                                            </v>
      </c>
      <c r="D82" s="119" t="str">
        <f>VLOOKUP(B82,'[1]Product by Part Number'!$A:$K,3,0)</f>
        <v>TRACK BOLT</v>
      </c>
      <c r="E82" s="120">
        <f>VLOOKUP(B82,'[1]Product by Part Number'!$A:$K,11,0)</f>
        <v>396</v>
      </c>
      <c r="F82" s="121">
        <f>VLOOKUP(B82,'[1]Product by Part Number'!$A:$K,4,0)</f>
        <v>9.11</v>
      </c>
      <c r="G82" s="122">
        <f t="shared" si="4"/>
        <v>3607.56</v>
      </c>
      <c r="H82" s="123">
        <f>VLOOKUP(B82,'[1]Product by Part Number'!$A:$K,5,0)</f>
        <v>4.5599999999999996</v>
      </c>
      <c r="I82" s="131">
        <f t="shared" si="5"/>
        <v>1805.76</v>
      </c>
    </row>
    <row r="83" spans="2:9" x14ac:dyDescent="0.3">
      <c r="B83" s="132" t="s">
        <v>180</v>
      </c>
      <c r="C83" s="119" t="str">
        <f>VLOOKUP(B83,'[1]Product by Part Number'!$A:$K,2,0)</f>
        <v xml:space="preserve">CAT D6N LGP (PBA) CAT D6N LGP (PBA) (2)                                          </v>
      </c>
      <c r="D83" s="119" t="str">
        <f>VLOOKUP(B83,'[1]Product by Part Number'!$A:$K,3,0)</f>
        <v>TRACK IDLER</v>
      </c>
      <c r="E83" s="120">
        <f>VLOOKUP(B83,'[1]Product by Part Number'!$A:$K,11,0)</f>
        <v>8</v>
      </c>
      <c r="F83" s="121">
        <f>VLOOKUP(B83,'[1]Product by Part Number'!$A:$K,4,0)</f>
        <v>4087.57</v>
      </c>
      <c r="G83" s="122">
        <f t="shared" si="4"/>
        <v>32700.560000000001</v>
      </c>
      <c r="H83" s="123">
        <f>VLOOKUP(B83,'[1]Product by Part Number'!$A:$K,5,0)</f>
        <v>2043.79</v>
      </c>
      <c r="I83" s="131">
        <f t="shared" si="5"/>
        <v>16350.32</v>
      </c>
    </row>
    <row r="84" spans="2:9" ht="40.200000000000003" x14ac:dyDescent="0.3">
      <c r="B84" s="132" t="s">
        <v>183</v>
      </c>
      <c r="C84" s="119" t="str">
        <f>VLOOKUP(B84,'[1]Product by Part Number'!$A:$K,2,0)</f>
        <v xml:space="preserve">CAT 320E L (WBK) CAT 320E L (WBK) (2) CAT 320F L (YBM) CAT 320 (HEX) CAT 320 (MYK) CAT 320 (MYK) (2)                                  </v>
      </c>
      <c r="D84" s="119" t="str">
        <f>VLOOKUP(B84,'[1]Product by Part Number'!$A:$K,3,0)</f>
        <v>TRACK SHOE 790MM</v>
      </c>
      <c r="E84" s="120">
        <f>VLOOKUP(B84,'[1]Product by Part Number'!$A:$K,11,0)</f>
        <v>588</v>
      </c>
      <c r="F84" s="121">
        <f>VLOOKUP(B84,'[1]Product by Part Number'!$A:$K,4,0)</f>
        <v>179.13</v>
      </c>
      <c r="G84" s="122">
        <f t="shared" si="4"/>
        <v>105328.44</v>
      </c>
      <c r="H84" s="123">
        <f>VLOOKUP(B84,'[1]Product by Part Number'!$A:$K,5,0)</f>
        <v>89.57</v>
      </c>
      <c r="I84" s="131">
        <f t="shared" si="5"/>
        <v>52667.16</v>
      </c>
    </row>
    <row r="85" spans="2:9" ht="40.200000000000003" x14ac:dyDescent="0.3">
      <c r="B85" s="132" t="s">
        <v>185</v>
      </c>
      <c r="C85" s="119" t="str">
        <f>VLOOKUP(B85,'[1]Product by Part Number'!$A:$K,2,0)</f>
        <v xml:space="preserve">CAT 329E L (ZCD) CAT 329F L (ERL) CAT 329F L (ERL) (2) CAT 330F L (MBX) CAT 330F L (HCK) CAT 330F L (HCK) (2)                                  </v>
      </c>
      <c r="D85" s="119" t="str">
        <f>VLOOKUP(B85,'[1]Product by Part Number'!$A:$K,3,0)</f>
        <v>TRACK LINK ASSEMBLY</v>
      </c>
      <c r="E85" s="120">
        <f>VLOOKUP(B85,'[1]Product by Part Number'!$A:$K,11,0)</f>
        <v>12</v>
      </c>
      <c r="F85" s="121">
        <f>VLOOKUP(B85,'[1]Product by Part Number'!$A:$K,4,0)</f>
        <v>10788.51</v>
      </c>
      <c r="G85" s="122">
        <f t="shared" si="4"/>
        <v>129462.12</v>
      </c>
      <c r="H85" s="123">
        <f>VLOOKUP(B85,'[1]Product by Part Number'!$A:$K,5,0)</f>
        <v>5394.26</v>
      </c>
      <c r="I85" s="131">
        <f t="shared" si="5"/>
        <v>64731.12</v>
      </c>
    </row>
    <row r="86" spans="2:9" x14ac:dyDescent="0.3">
      <c r="B86" s="132" t="s">
        <v>188</v>
      </c>
      <c r="C86" s="119" t="str">
        <f>VLOOKUP(B86,'[1]Product by Part Number'!$A:$K,2,0)</f>
        <v xml:space="preserve">CAT D6N LGP (PBA) CAT D6N LGP (PBA) (2)                                          </v>
      </c>
      <c r="D86" s="119" t="str">
        <f>VLOOKUP(B86,'[1]Product by Part Number'!$A:$K,3,0)</f>
        <v>FRONT WEAR PLATE</v>
      </c>
      <c r="E86" s="120">
        <f>VLOOKUP(B86,'[1]Product by Part Number'!$A:$K,11,0)</f>
        <v>8</v>
      </c>
      <c r="F86" s="121">
        <f>VLOOKUP(B86,'[1]Product by Part Number'!$A:$K,4,0)</f>
        <v>317.01</v>
      </c>
      <c r="G86" s="122">
        <f t="shared" si="4"/>
        <v>2536.08</v>
      </c>
      <c r="H86" s="123">
        <f>VLOOKUP(B86,'[1]Product by Part Number'!$A:$K,5,0)</f>
        <v>158.51</v>
      </c>
      <c r="I86" s="131">
        <f t="shared" si="5"/>
        <v>1268.08</v>
      </c>
    </row>
    <row r="87" spans="2:9" x14ac:dyDescent="0.3">
      <c r="B87" s="132" t="s">
        <v>189</v>
      </c>
      <c r="C87" s="119" t="str">
        <f>VLOOKUP(B87,'[1]Product by Part Number'!$A:$K,2,0)</f>
        <v xml:space="preserve">CAT D6N LGP (PBA) CAT D6N LGP (PBA) (2)                                          </v>
      </c>
      <c r="D87" s="119" t="str">
        <f>VLOOKUP(B87,'[1]Product by Part Number'!$A:$K,3,0)</f>
        <v>REAR WEAR PLATE</v>
      </c>
      <c r="E87" s="120">
        <f>VLOOKUP(B87,'[1]Product by Part Number'!$A:$K,11,0)</f>
        <v>8</v>
      </c>
      <c r="F87" s="121">
        <f>VLOOKUP(B87,'[1]Product by Part Number'!$A:$K,4,0)</f>
        <v>369.71</v>
      </c>
      <c r="G87" s="122">
        <f t="shared" si="4"/>
        <v>2957.68</v>
      </c>
      <c r="H87" s="123">
        <f>VLOOKUP(B87,'[1]Product by Part Number'!$A:$K,5,0)</f>
        <v>184.86</v>
      </c>
      <c r="I87" s="131">
        <f t="shared" si="5"/>
        <v>1478.88</v>
      </c>
    </row>
    <row r="88" spans="2:9" x14ac:dyDescent="0.3">
      <c r="B88" s="132" t="s">
        <v>190</v>
      </c>
      <c r="C88" s="119" t="str">
        <f>VLOOKUP(B88,'[1]Product by Part Number'!$A:$K,2,0)</f>
        <v xml:space="preserve">CAT D6N LGP (SGG) CAT D6N LGP (SGG) (2)                                          </v>
      </c>
      <c r="D88" s="119" t="str">
        <f>VLOOKUP(B88,'[1]Product by Part Number'!$A:$K,3,0)</f>
        <v>TRACK SHOE 835MM</v>
      </c>
      <c r="E88" s="120">
        <f>VLOOKUP(B88,'[1]Product by Part Number'!$A:$K,11,0)</f>
        <v>180</v>
      </c>
      <c r="F88" s="121">
        <f>VLOOKUP(B88,'[1]Product by Part Number'!$A:$K,4,0)</f>
        <v>197.96</v>
      </c>
      <c r="G88" s="122">
        <f t="shared" si="4"/>
        <v>35632.800000000003</v>
      </c>
      <c r="H88" s="123">
        <f>VLOOKUP(B88,'[1]Product by Part Number'!$A:$K,5,0)</f>
        <v>98.98</v>
      </c>
      <c r="I88" s="131">
        <f t="shared" si="5"/>
        <v>17816.400000000001</v>
      </c>
    </row>
    <row r="89" spans="2:9" x14ac:dyDescent="0.3">
      <c r="B89" s="132" t="s">
        <v>191</v>
      </c>
      <c r="C89" s="119" t="str">
        <f>VLOOKUP(B89,'[1]Product by Part Number'!$A:$K,2,0)</f>
        <v xml:space="preserve">CAT D6N LGP (SGG) CAT D6N LGP (SGG) (2)                                          </v>
      </c>
      <c r="D89" s="119" t="str">
        <f>VLOOKUP(B89,'[1]Product by Part Number'!$A:$K,3,0)</f>
        <v>TRACK SHOE MASTER</v>
      </c>
      <c r="E89" s="120">
        <f>VLOOKUP(B89,'[1]Product by Part Number'!$A:$K,11,0)</f>
        <v>4</v>
      </c>
      <c r="F89" s="121">
        <f>VLOOKUP(B89,'[1]Product by Part Number'!$A:$K,4,0)</f>
        <v>209.96</v>
      </c>
      <c r="G89" s="122">
        <f t="shared" si="4"/>
        <v>839.84</v>
      </c>
      <c r="H89" s="123">
        <f>VLOOKUP(B89,'[1]Product by Part Number'!$A:$K,5,0)</f>
        <v>104.98</v>
      </c>
      <c r="I89" s="131">
        <f t="shared" si="5"/>
        <v>419.92</v>
      </c>
    </row>
    <row r="90" spans="2:9" ht="66.599999999999994" x14ac:dyDescent="0.3">
      <c r="B90" s="132" t="s">
        <v>192</v>
      </c>
      <c r="C90" s="119" t="str">
        <f>VLOOKUP(B90,'[1]Product by Part Number'!$A:$K,2,0)</f>
        <v xml:space="preserve">CAT 561M (1KW) CAT 561N (CPH) CAT 561N (CPH) CAT 561N (CPH) (2) CAT 561N (CPH) (2) CAT 561N (CPH) (3) CAT 561N (CPH) (3) CAT 561N (CPH) (4) CAT 561N (CPH) (4) CAT 561N (CPH) (5) CAT 561N (CPH) (5)                        </v>
      </c>
      <c r="D90" s="119" t="str">
        <f>VLOOKUP(B90,'[1]Product by Part Number'!$A:$K,3,0)</f>
        <v>BOLT ROLLER</v>
      </c>
      <c r="E90" s="120">
        <f>VLOOKUP(B90,'[1]Product by Part Number'!$A:$K,11,0)</f>
        <v>356</v>
      </c>
      <c r="F90" s="121">
        <f>VLOOKUP(B90,'[1]Product by Part Number'!$A:$K,4,0)</f>
        <v>8.76</v>
      </c>
      <c r="G90" s="122">
        <f t="shared" si="4"/>
        <v>3118.56</v>
      </c>
      <c r="H90" s="123">
        <f>VLOOKUP(B90,'[1]Product by Part Number'!$A:$K,5,0)</f>
        <v>4.38</v>
      </c>
      <c r="I90" s="131">
        <f t="shared" si="5"/>
        <v>1559.28</v>
      </c>
    </row>
    <row r="91" spans="2:9" ht="27" x14ac:dyDescent="0.3">
      <c r="B91" s="132" t="s">
        <v>193</v>
      </c>
      <c r="C91" s="119" t="str">
        <f>VLOOKUP(B91,'[1]Product by Part Number'!$A:$K,2,0)</f>
        <v xml:space="preserve">CAT PL61 (WGS) CAT PL61 (WGS) (2) CAT PL61 (WGS) (3)                                        </v>
      </c>
      <c r="D91" s="119" t="str">
        <f>VLOOKUP(B91,'[1]Product by Part Number'!$A:$K,3,0)</f>
        <v>TRACK IDLER</v>
      </c>
      <c r="E91" s="120">
        <f>VLOOKUP(B91,'[1]Product by Part Number'!$A:$K,11,0)</f>
        <v>6</v>
      </c>
      <c r="F91" s="121">
        <f>VLOOKUP(B91,'[1]Product by Part Number'!$A:$K,4,0)</f>
        <v>3032.3</v>
      </c>
      <c r="G91" s="122">
        <f t="shared" si="4"/>
        <v>18193.800000000003</v>
      </c>
      <c r="H91" s="123">
        <f>VLOOKUP(B91,'[1]Product by Part Number'!$A:$K,5,0)</f>
        <v>1516.15</v>
      </c>
      <c r="I91" s="131">
        <f t="shared" si="5"/>
        <v>9096.9</v>
      </c>
    </row>
    <row r="92" spans="2:9" ht="27" x14ac:dyDescent="0.3">
      <c r="B92" s="132" t="s">
        <v>197</v>
      </c>
      <c r="C92" s="119" t="str">
        <f>VLOOKUP(B92,'[1]Product by Part Number'!$A:$K,2,0)</f>
        <v xml:space="preserve">CAT PL61 (WGS) CAT PL61 (WGS) (2) CAT PL61 (WGS) (3)                                        </v>
      </c>
      <c r="D92" s="119" t="str">
        <f>VLOOKUP(B92,'[1]Product by Part Number'!$A:$K,3,0)</f>
        <v>DUAL FLANGE ROLLER</v>
      </c>
      <c r="E92" s="120">
        <f>VLOOKUP(B92,'[1]Product by Part Number'!$A:$K,11,0)</f>
        <v>48</v>
      </c>
      <c r="F92" s="121">
        <f>VLOOKUP(B92,'[1]Product by Part Number'!$A:$K,4,0)</f>
        <v>564.07000000000005</v>
      </c>
      <c r="G92" s="122">
        <f t="shared" si="4"/>
        <v>27075.360000000001</v>
      </c>
      <c r="H92" s="123">
        <f>VLOOKUP(B92,'[1]Product by Part Number'!$A:$K,5,0)</f>
        <v>282.04000000000002</v>
      </c>
      <c r="I92" s="131">
        <f t="shared" si="5"/>
        <v>13537.92</v>
      </c>
    </row>
    <row r="93" spans="2:9" ht="27" x14ac:dyDescent="0.3">
      <c r="B93" s="132" t="s">
        <v>198</v>
      </c>
      <c r="C93" s="119" t="str">
        <f>VLOOKUP(B93,'[1]Product by Part Number'!$A:$K,2,0)</f>
        <v xml:space="preserve">CAT PL61 (WGS) CAT PL61 (WGS) (2) CAT PL61 (WGS) (3)                                        </v>
      </c>
      <c r="D93" s="119" t="str">
        <f>VLOOKUP(B93,'[1]Product by Part Number'!$A:$K,3,0)</f>
        <v>SINGLE FLANGE ROLLER</v>
      </c>
      <c r="E93" s="120">
        <f>VLOOKUP(B93,'[1]Product by Part Number'!$A:$K,11,0)</f>
        <v>48</v>
      </c>
      <c r="F93" s="121">
        <f>VLOOKUP(B93,'[1]Product by Part Number'!$A:$K,4,0)</f>
        <v>537.23</v>
      </c>
      <c r="G93" s="122">
        <f t="shared" si="4"/>
        <v>25787.040000000001</v>
      </c>
      <c r="H93" s="123">
        <f>VLOOKUP(B93,'[1]Product by Part Number'!$A:$K,5,0)</f>
        <v>268.62</v>
      </c>
      <c r="I93" s="131">
        <f t="shared" si="5"/>
        <v>12893.76</v>
      </c>
    </row>
    <row r="94" spans="2:9" ht="27" x14ac:dyDescent="0.3">
      <c r="B94" s="132" t="s">
        <v>200</v>
      </c>
      <c r="C94" s="119" t="str">
        <f>VLOOKUP(B94,'[1]Product by Part Number'!$A:$K,2,0)</f>
        <v xml:space="preserve">CAT PL61 (WGS) CAT PL61 (WGS) (2) CAT PL61 (WGS) (3)                                        </v>
      </c>
      <c r="D94" s="119" t="str">
        <f>VLOOKUP(B94,'[1]Product by Part Number'!$A:$K,3,0)</f>
        <v>CARRIER ROLLER</v>
      </c>
      <c r="E94" s="120">
        <f>VLOOKUP(B94,'[1]Product by Part Number'!$A:$K,11,0)</f>
        <v>6</v>
      </c>
      <c r="F94" s="121">
        <f>VLOOKUP(B94,'[1]Product by Part Number'!$A:$K,4,0)</f>
        <v>558.77</v>
      </c>
      <c r="G94" s="122">
        <f t="shared" si="4"/>
        <v>3352.62</v>
      </c>
      <c r="H94" s="123">
        <f>VLOOKUP(B94,'[1]Product by Part Number'!$A:$K,5,0)</f>
        <v>279.39</v>
      </c>
      <c r="I94" s="131">
        <f t="shared" si="5"/>
        <v>1676.34</v>
      </c>
    </row>
    <row r="95" spans="2:9" x14ac:dyDescent="0.3">
      <c r="B95" s="132" t="s">
        <v>201</v>
      </c>
      <c r="C95" s="119" t="str">
        <f>VLOOKUP(B95,'[1]Product by Part Number'!$A:$K,2,0)</f>
        <v xml:space="preserve">CAT D7G (92V) CAT D7G (3ZD) CAT D7G (3ZD) (2)                                        </v>
      </c>
      <c r="D95" s="119" t="str">
        <f>VLOOKUP(B95,'[1]Product by Part Number'!$A:$K,3,0)</f>
        <v>TRACK SHOE</v>
      </c>
      <c r="E95" s="120">
        <f>VLOOKUP(B95,'[1]Product by Part Number'!$A:$K,11,0)</f>
        <v>222</v>
      </c>
      <c r="F95" s="121">
        <f>VLOOKUP(B95,'[1]Product by Part Number'!$A:$K,4,0)</f>
        <v>250.75</v>
      </c>
      <c r="G95" s="122">
        <f t="shared" si="4"/>
        <v>55666.5</v>
      </c>
      <c r="H95" s="123">
        <f>VLOOKUP(B95,'[1]Product by Part Number'!$A:$K,5,0)</f>
        <v>125.38</v>
      </c>
      <c r="I95" s="131">
        <f t="shared" si="5"/>
        <v>27834.36</v>
      </c>
    </row>
    <row r="96" spans="2:9" x14ac:dyDescent="0.3">
      <c r="B96" s="132" t="s">
        <v>202</v>
      </c>
      <c r="C96" s="119" t="str">
        <f>VLOOKUP(B96,'[1]Product by Part Number'!$A:$K,2,0)</f>
        <v xml:space="preserve">CAT D7G (92V) CAT D7G (3ZD) CAT D7G (3ZD) (2)                                        </v>
      </c>
      <c r="D96" s="119" t="str">
        <f>VLOOKUP(B96,'[1]Product by Part Number'!$A:$K,3,0)</f>
        <v>MASTER SHOE</v>
      </c>
      <c r="E96" s="120">
        <f>VLOOKUP(B96,'[1]Product by Part Number'!$A:$K,11,0)</f>
        <v>6</v>
      </c>
      <c r="F96" s="121">
        <f>VLOOKUP(B96,'[1]Product by Part Number'!$A:$K,4,0)</f>
        <v>199.65</v>
      </c>
      <c r="G96" s="122">
        <f t="shared" si="4"/>
        <v>1197.9000000000001</v>
      </c>
      <c r="H96" s="123">
        <f>VLOOKUP(B96,'[1]Product by Part Number'!$A:$K,5,0)</f>
        <v>99.83</v>
      </c>
      <c r="I96" s="131">
        <f t="shared" si="5"/>
        <v>598.98</v>
      </c>
    </row>
    <row r="97" spans="2:9" x14ac:dyDescent="0.3">
      <c r="B97" s="132" t="s">
        <v>204</v>
      </c>
      <c r="C97" s="119" t="str">
        <f>VLOOKUP(B97,'[1]Product by Part Number'!$A:$K,2,0)</f>
        <v xml:space="preserve">CAT D7G (92V) CAT D7G (3ZD) CAT D7G (3ZD) (2)                                        </v>
      </c>
      <c r="D97" s="119" t="str">
        <f>VLOOKUP(B97,'[1]Product by Part Number'!$A:$K,3,0)</f>
        <v>TRACK IDLER</v>
      </c>
      <c r="E97" s="120">
        <f>VLOOKUP(B97,'[1]Product by Part Number'!$A:$K,11,0)</f>
        <v>6</v>
      </c>
      <c r="F97" s="121">
        <f>VLOOKUP(B97,'[1]Product by Part Number'!$A:$K,4,0)</f>
        <v>3497.04</v>
      </c>
      <c r="G97" s="122">
        <f t="shared" si="4"/>
        <v>20982.239999999998</v>
      </c>
      <c r="H97" s="123">
        <f>VLOOKUP(B97,'[1]Product by Part Number'!$A:$K,5,0)</f>
        <v>1748.52</v>
      </c>
      <c r="I97" s="131">
        <f t="shared" si="5"/>
        <v>10491.12</v>
      </c>
    </row>
    <row r="98" spans="2:9" ht="27" x14ac:dyDescent="0.3">
      <c r="B98" s="132" t="s">
        <v>206</v>
      </c>
      <c r="C98" s="119" t="str">
        <f>VLOOKUP(B98,'[1]Product by Part Number'!$A:$K,2,0)</f>
        <v xml:space="preserve">CAT PL61 (WGS) CAT PL61 (WGS) (2) CAT PL61 (WGS) (3)                                        </v>
      </c>
      <c r="D98" s="119" t="str">
        <f>VLOOKUP(B98,'[1]Product by Part Number'!$A:$K,3,0)</f>
        <v>TRACK SHOE</v>
      </c>
      <c r="E98" s="120">
        <f>VLOOKUP(B98,'[1]Product by Part Number'!$A:$K,11,0)</f>
        <v>234</v>
      </c>
      <c r="F98" s="121">
        <f>VLOOKUP(B98,'[1]Product by Part Number'!$A:$K,4,0)</f>
        <v>131.6</v>
      </c>
      <c r="G98" s="122">
        <f t="shared" si="4"/>
        <v>30794.399999999998</v>
      </c>
      <c r="H98" s="123">
        <f>VLOOKUP(B98,'[1]Product by Part Number'!$A:$K,5,0)</f>
        <v>65.8</v>
      </c>
      <c r="I98" s="131">
        <f t="shared" si="5"/>
        <v>15397.2</v>
      </c>
    </row>
    <row r="99" spans="2:9" ht="27" x14ac:dyDescent="0.3">
      <c r="B99" s="132" t="s">
        <v>207</v>
      </c>
      <c r="C99" s="119" t="str">
        <f>VLOOKUP(B99,'[1]Product by Part Number'!$A:$K,2,0)</f>
        <v xml:space="preserve">CAT PL61 (WGS) CAT PL61 (WGS) (2) CAT PL61 (WGS) (3)                                        </v>
      </c>
      <c r="D99" s="119" t="str">
        <f>VLOOKUP(B99,'[1]Product by Part Number'!$A:$K,3,0)</f>
        <v>MASTER SHOE</v>
      </c>
      <c r="E99" s="120">
        <f>VLOOKUP(B99,'[1]Product by Part Number'!$A:$K,11,0)</f>
        <v>6</v>
      </c>
      <c r="F99" s="121">
        <f>VLOOKUP(B99,'[1]Product by Part Number'!$A:$K,4,0)</f>
        <v>143.16999999999999</v>
      </c>
      <c r="G99" s="122">
        <f t="shared" si="4"/>
        <v>859.02</v>
      </c>
      <c r="H99" s="123">
        <f>VLOOKUP(B99,'[1]Product by Part Number'!$A:$K,5,0)</f>
        <v>71.59</v>
      </c>
      <c r="I99" s="131">
        <f t="shared" si="5"/>
        <v>429.54</v>
      </c>
    </row>
    <row r="100" spans="2:9" x14ac:dyDescent="0.3">
      <c r="B100" s="132" t="s">
        <v>215</v>
      </c>
      <c r="C100" s="119" t="str">
        <f>VLOOKUP(B100,'[1]Product by Part Number'!$A:$K,2,0)</f>
        <v xml:space="preserve">CAT D4 (66J)                                            </v>
      </c>
      <c r="D100" s="119" t="str">
        <f>VLOOKUP(B100,'[1]Product by Part Number'!$A:$K,3,0)</f>
        <v>FLAT WASHER</v>
      </c>
      <c r="E100" s="120">
        <f>VLOOKUP(B100,'[1]Product by Part Number'!$A:$K,11,0)</f>
        <v>12</v>
      </c>
      <c r="F100" s="121">
        <f>VLOOKUP(B100,'[1]Product by Part Number'!$A:$K,4,0)</f>
        <v>0.33</v>
      </c>
      <c r="G100" s="122">
        <f t="shared" si="4"/>
        <v>3.96</v>
      </c>
      <c r="H100" s="123">
        <f>VLOOKUP(B100,'[1]Product by Part Number'!$A:$K,5,0)</f>
        <v>0.17</v>
      </c>
      <c r="I100" s="131">
        <f t="shared" si="5"/>
        <v>2.04</v>
      </c>
    </row>
    <row r="101" spans="2:9" x14ac:dyDescent="0.3">
      <c r="B101" s="132" t="s">
        <v>432</v>
      </c>
      <c r="C101" s="119" t="str">
        <f>VLOOKUP(B101,'[1]Product by Part Number'!$A:$K,2,0)</f>
        <v xml:space="preserve">CAT 561 (85H) CAT 561 (92J) CAT 561 (92J) (2)                                        </v>
      </c>
      <c r="D101" s="119" t="str">
        <f>VLOOKUP(B101,'[1]Product by Part Number'!$A:$K,3,0)</f>
        <v>WASHER ROLLER</v>
      </c>
      <c r="E101" s="120">
        <f>VLOOKUP(B101,'[1]Product by Part Number'!$A:$K,11,0)</f>
        <v>144</v>
      </c>
      <c r="F101" s="121">
        <f>VLOOKUP(B101,'[1]Product by Part Number'!$A:$K,4,0)</f>
        <v>0.78</v>
      </c>
      <c r="G101" s="122">
        <f t="shared" si="4"/>
        <v>112.32000000000001</v>
      </c>
      <c r="H101" s="123">
        <f>VLOOKUP(B101,'[1]Product by Part Number'!$A:$K,5,0)</f>
        <v>0.39</v>
      </c>
      <c r="I101" s="131">
        <f t="shared" si="5"/>
        <v>56.16</v>
      </c>
    </row>
    <row r="102" spans="2:9" ht="66.599999999999994" x14ac:dyDescent="0.3">
      <c r="B102" s="132" t="s">
        <v>221</v>
      </c>
      <c r="C102" s="119" t="str">
        <f>VLOOKUP(B102,'[1]Product by Part Number'!$A:$K,2,0)</f>
        <v xml:space="preserve">CAT D5 (3CR) CAT D5 (3CR) (2) CAT 561 (85H) CAT 561 (92J) CAT 561 (92J) (2) CAT 561M (1KW) CAT 561N (CPH) CAT 561N (CPH) (2) CAT 561N (CPH) (3) CAT 561N (CPH) (4) CAT 561N (CPH) (5) CAT PL61 (WGS) CAT PL61 (WGS) (2) CAT PL61 (WGS) (3)                  </v>
      </c>
      <c r="D102" s="119" t="str">
        <f>VLOOKUP(B102,'[1]Product by Part Number'!$A:$K,3,0)</f>
        <v>SPROCKET BOLT</v>
      </c>
      <c r="E102" s="120">
        <f>VLOOKUP(B102,'[1]Product by Part Number'!$A:$K,11,0)</f>
        <v>644</v>
      </c>
      <c r="F102" s="121">
        <f>VLOOKUP(B102,'[1]Product by Part Number'!$A:$K,4,0)</f>
        <v>2.94</v>
      </c>
      <c r="G102" s="122">
        <f t="shared" si="4"/>
        <v>1893.36</v>
      </c>
      <c r="H102" s="123">
        <f>VLOOKUP(B102,'[1]Product by Part Number'!$A:$K,5,0)</f>
        <v>1.47</v>
      </c>
      <c r="I102" s="131">
        <f t="shared" si="5"/>
        <v>946.68</v>
      </c>
    </row>
    <row r="103" spans="2:9" ht="40.200000000000003" x14ac:dyDescent="0.3">
      <c r="B103" s="132" t="s">
        <v>222</v>
      </c>
      <c r="C103" s="119" t="str">
        <f>VLOOKUP(B103,'[1]Product by Part Number'!$A:$K,2,0)</f>
        <v xml:space="preserve">CAT D5 (3CR) CAT D5 (3CR) (2) CAT 561N (CPH) CAT 561N (CPH) (2) CAT 561N (CPH) (3) CAT 561N (CPH) (4) CAT 561N (CPH) (5)                                </v>
      </c>
      <c r="D103" s="119" t="str">
        <f>VLOOKUP(B103,'[1]Product by Part Number'!$A:$K,3,0)</f>
        <v>TRACK BOLT</v>
      </c>
      <c r="E103" s="120">
        <f>VLOOKUP(B103,'[1]Product by Part Number'!$A:$K,11,0)</f>
        <v>606</v>
      </c>
      <c r="F103" s="121">
        <f>VLOOKUP(B103,'[1]Product by Part Number'!$A:$K,4,0)</f>
        <v>5.51</v>
      </c>
      <c r="G103" s="122">
        <f t="shared" si="4"/>
        <v>3339.06</v>
      </c>
      <c r="H103" s="123">
        <f>VLOOKUP(B103,'[1]Product by Part Number'!$A:$K,5,0)</f>
        <v>2.76</v>
      </c>
      <c r="I103" s="131">
        <f t="shared" si="5"/>
        <v>1672.56</v>
      </c>
    </row>
    <row r="104" spans="2:9" ht="40.200000000000003" x14ac:dyDescent="0.3">
      <c r="B104" s="132" t="s">
        <v>223</v>
      </c>
      <c r="C104" s="119" t="str">
        <f>VLOOKUP(B104,'[1]Product by Part Number'!$A:$K,2,0)</f>
        <v xml:space="preserve">CAT D5 (3CR) CAT D5 (3CR) (2) CAT 561N (CPH) CAT 561N (CPH) (2) CAT 561N (CPH) (3) CAT 561N (CPH) (4) CAT 561N (CPH) (5)                                </v>
      </c>
      <c r="D104" s="119" t="str">
        <f>VLOOKUP(B104,'[1]Product by Part Number'!$A:$K,3,0)</f>
        <v>TRACK BOLT MASTER</v>
      </c>
      <c r="E104" s="120">
        <f>VLOOKUP(B104,'[1]Product by Part Number'!$A:$K,11,0)</f>
        <v>14</v>
      </c>
      <c r="F104" s="121">
        <f>VLOOKUP(B104,'[1]Product by Part Number'!$A:$K,4,0)</f>
        <v>6.45</v>
      </c>
      <c r="G104" s="122">
        <f t="shared" si="4"/>
        <v>90.3</v>
      </c>
      <c r="H104" s="123">
        <f>VLOOKUP(B104,'[1]Product by Part Number'!$A:$K,5,0)</f>
        <v>3.23</v>
      </c>
      <c r="I104" s="131">
        <f t="shared" si="5"/>
        <v>45.22</v>
      </c>
    </row>
    <row r="105" spans="2:9" x14ac:dyDescent="0.3">
      <c r="B105" s="132" t="s">
        <v>433</v>
      </c>
      <c r="C105" s="119" t="str">
        <f>VLOOKUP(B105,'[1]Product by Part Number'!$A:$K,2,0)</f>
        <v xml:space="preserve">CAT 561M (1KW)                                            </v>
      </c>
      <c r="D105" s="119" t="str">
        <f>VLOOKUP(B105,'[1]Product by Part Number'!$A:$K,3,0)</f>
        <v>BOLT MASTER LINK</v>
      </c>
      <c r="E105" s="120">
        <f>VLOOKUP(B105,'[1]Product by Part Number'!$A:$K,11,0)</f>
        <v>4</v>
      </c>
      <c r="F105" s="121">
        <f>VLOOKUP(B105,'[1]Product by Part Number'!$A:$K,4,0)</f>
        <v>3.98</v>
      </c>
      <c r="G105" s="122">
        <f t="shared" si="4"/>
        <v>15.92</v>
      </c>
      <c r="H105" s="123">
        <f>VLOOKUP(B105,'[1]Product by Part Number'!$A:$K,5,0)</f>
        <v>1.99</v>
      </c>
      <c r="I105" s="131">
        <f t="shared" si="5"/>
        <v>7.96</v>
      </c>
    </row>
    <row r="106" spans="2:9" x14ac:dyDescent="0.3">
      <c r="B106" s="132" t="s">
        <v>225</v>
      </c>
      <c r="C106" s="119" t="str">
        <f>VLOOKUP(B106,'[1]Product by Part Number'!$A:$K,2,0)</f>
        <v xml:space="preserve">CAT 303.5E                                            </v>
      </c>
      <c r="D106" s="119" t="str">
        <f>VLOOKUP(B106,'[1]Product by Part Number'!$A:$K,3,0)</f>
        <v>CARRIER ROLLER</v>
      </c>
      <c r="E106" s="120">
        <f>VLOOKUP(B106,'[1]Product by Part Number'!$A:$K,11,0)</f>
        <v>2</v>
      </c>
      <c r="F106" s="121">
        <f>VLOOKUP(B106,'[1]Product by Part Number'!$A:$K,4,0)</f>
        <v>403.56</v>
      </c>
      <c r="G106" s="122">
        <f t="shared" si="4"/>
        <v>807.12</v>
      </c>
      <c r="H106" s="123">
        <f>VLOOKUP(B106,'[1]Product by Part Number'!$A:$K,5,0)</f>
        <v>201.78</v>
      </c>
      <c r="I106" s="131">
        <f t="shared" si="5"/>
        <v>403.56</v>
      </c>
    </row>
    <row r="107" spans="2:9" x14ac:dyDescent="0.3">
      <c r="B107" s="132" t="s">
        <v>227</v>
      </c>
      <c r="C107" s="119" t="str">
        <f>VLOOKUP(B107,'[1]Product by Part Number'!$A:$K,2,0)</f>
        <v xml:space="preserve">CAT D7G (92V) CAT D7G (3ZD) CAT D7G (3ZD) (2)                                        </v>
      </c>
      <c r="D107" s="119" t="str">
        <f>VLOOKUP(B107,'[1]Product by Part Number'!$A:$K,3,0)</f>
        <v>CARRIER ROLLER</v>
      </c>
      <c r="E107" s="120">
        <f>VLOOKUP(B107,'[1]Product by Part Number'!$A:$K,11,0)</f>
        <v>6</v>
      </c>
      <c r="F107" s="121">
        <f>VLOOKUP(B107,'[1]Product by Part Number'!$A:$K,4,0)</f>
        <v>722.36</v>
      </c>
      <c r="G107" s="122">
        <f t="shared" si="4"/>
        <v>4334.16</v>
      </c>
      <c r="H107" s="123">
        <f>VLOOKUP(B107,'[1]Product by Part Number'!$A:$K,5,0)</f>
        <v>361.18</v>
      </c>
      <c r="I107" s="131">
        <f t="shared" si="5"/>
        <v>2167.08</v>
      </c>
    </row>
    <row r="108" spans="2:9" ht="40.200000000000003" x14ac:dyDescent="0.3">
      <c r="B108" s="132" t="s">
        <v>230</v>
      </c>
      <c r="C108" s="119" t="str">
        <f>VLOOKUP(B108,'[1]Product by Part Number'!$A:$K,2,0)</f>
        <v xml:space="preserve">CAT 320E L (WBK) CAT 320E L (WBK) (2) CAT 320F L (YBM) CAT 320 (HEX) CAT 320 (MYK) CAT 320 (MYK) (2)                                  </v>
      </c>
      <c r="D108" s="119" t="str">
        <f>VLOOKUP(B108,'[1]Product by Part Number'!$A:$K,3,0)</f>
        <v>IDLER BOLT</v>
      </c>
      <c r="E108" s="120">
        <f>VLOOKUP(B108,'[1]Product by Part Number'!$A:$K,11,0)</f>
        <v>48</v>
      </c>
      <c r="F108" s="121">
        <f>VLOOKUP(B108,'[1]Product by Part Number'!$A:$K,4,0)</f>
        <v>7.85</v>
      </c>
      <c r="G108" s="122">
        <f t="shared" si="4"/>
        <v>376.79999999999995</v>
      </c>
      <c r="H108" s="123">
        <f>VLOOKUP(B108,'[1]Product by Part Number'!$A:$K,5,0)</f>
        <v>3.93</v>
      </c>
      <c r="I108" s="131">
        <f t="shared" si="5"/>
        <v>188.64</v>
      </c>
    </row>
    <row r="109" spans="2:9" ht="40.200000000000003" x14ac:dyDescent="0.3">
      <c r="B109" s="132" t="s">
        <v>231</v>
      </c>
      <c r="C109" s="119" t="str">
        <f>VLOOKUP(B109,'[1]Product by Part Number'!$A:$K,2,0)</f>
        <v xml:space="preserve">CAT 329E L (ZCD) CAT 329F L (ERL) CAT 329F L (ERL) (2) CAT 330F L (MBX) CAT 330F L (HCK) CAT 330F L (HCK) (2)                                  </v>
      </c>
      <c r="D109" s="119" t="str">
        <f>VLOOKUP(B109,'[1]Product by Part Number'!$A:$K,3,0)</f>
        <v>IDLER BOLT</v>
      </c>
      <c r="E109" s="120">
        <f>VLOOKUP(B109,'[1]Product by Part Number'!$A:$K,11,0)</f>
        <v>48</v>
      </c>
      <c r="F109" s="121">
        <f>VLOOKUP(B109,'[1]Product by Part Number'!$A:$K,4,0)</f>
        <v>10.24</v>
      </c>
      <c r="G109" s="122">
        <f t="shared" si="4"/>
        <v>491.52</v>
      </c>
      <c r="H109" s="123">
        <f>VLOOKUP(B109,'[1]Product by Part Number'!$A:$K,5,0)</f>
        <v>5.12</v>
      </c>
      <c r="I109" s="131">
        <f t="shared" si="5"/>
        <v>245.76</v>
      </c>
    </row>
    <row r="110" spans="2:9" ht="53.4" x14ac:dyDescent="0.3">
      <c r="B110" s="132" t="s">
        <v>48</v>
      </c>
      <c r="C110" s="119" t="str">
        <f>VLOOKUP(B110,'[1]Product by Part Number'!$A:$K,2,0)</f>
        <v xml:space="preserve">CAT 330 (LHW) CAT 330 (LHW) (2) CAT 330 (LHW) (3) CAT 330 (LHW) (4) CAT 330 (WCH) CAT 330 (WCH) (2) CAT 330 (WCH) (3) CAT 330 (WCH) (4) CAT 330 (WCH) (5) CAT 330 (WCH) (6)                          </v>
      </c>
      <c r="D110" s="119" t="str">
        <f>VLOOKUP(B110,'[1]Product by Part Number'!$A:$K,3,0)</f>
        <v>IDLER BOLT</v>
      </c>
      <c r="E110" s="120">
        <f>VLOOKUP(B110,'[1]Product by Part Number'!$A:$K,11,0)</f>
        <v>80</v>
      </c>
      <c r="F110" s="121">
        <f>VLOOKUP(B110,'[1]Product by Part Number'!$A:$K,4,0)</f>
        <v>14.28</v>
      </c>
      <c r="G110" s="122">
        <f t="shared" si="4"/>
        <v>1142.3999999999999</v>
      </c>
      <c r="H110" s="123">
        <f>VLOOKUP(B110,'[1]Product by Part Number'!$A:$K,5,0)</f>
        <v>7.14</v>
      </c>
      <c r="I110" s="131">
        <f t="shared" si="5"/>
        <v>571.20000000000005</v>
      </c>
    </row>
    <row r="111" spans="2:9" x14ac:dyDescent="0.3">
      <c r="B111" s="132" t="s">
        <v>232</v>
      </c>
      <c r="C111" s="119" t="str">
        <f>VLOOKUP(B111,'[1]Product by Part Number'!$A:$K,2,0)</f>
        <v xml:space="preserve">CAT 336F L (RKB)                                            </v>
      </c>
      <c r="D111" s="119" t="str">
        <f>VLOOKUP(B111,'[1]Product by Part Number'!$A:$K,3,0)</f>
        <v>ROLLER BOLT</v>
      </c>
      <c r="E111" s="120">
        <f>VLOOKUP(B111,'[1]Product by Part Number'!$A:$K,11,0)</f>
        <v>72</v>
      </c>
      <c r="F111" s="121">
        <f>VLOOKUP(B111,'[1]Product by Part Number'!$A:$K,4,0)</f>
        <v>31.86</v>
      </c>
      <c r="G111" s="122">
        <f t="shared" si="4"/>
        <v>2293.92</v>
      </c>
      <c r="H111" s="123">
        <f>VLOOKUP(B111,'[1]Product by Part Number'!$A:$K,5,0)</f>
        <v>15.93</v>
      </c>
      <c r="I111" s="131">
        <f t="shared" si="5"/>
        <v>1146.96</v>
      </c>
    </row>
    <row r="112" spans="2:9" ht="106.2" x14ac:dyDescent="0.3">
      <c r="B112" s="132" t="s">
        <v>233</v>
      </c>
      <c r="C112" s="119" t="str">
        <f>VLOOKUP(B112,'[1]Product by Part Number'!$A:$K,2,0)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112" s="119" t="str">
        <f>VLOOKUP(B112,'[1]Product by Part Number'!$A:$K,3,0)</f>
        <v>HEX HEAD BOLT</v>
      </c>
      <c r="E112" s="120">
        <f>VLOOKUP(B112,'[1]Product by Part Number'!$A:$K,11,0)</f>
        <v>84</v>
      </c>
      <c r="F112" s="121">
        <f>VLOOKUP(B112,'[1]Product by Part Number'!$A:$K,4,0)</f>
        <v>23.18</v>
      </c>
      <c r="G112" s="122">
        <f t="shared" si="4"/>
        <v>1947.12</v>
      </c>
      <c r="H112" s="123">
        <f>VLOOKUP(B112,'[1]Product by Part Number'!$A:$K,5,0)</f>
        <v>11.59</v>
      </c>
      <c r="I112" s="131">
        <f t="shared" si="5"/>
        <v>973.56</v>
      </c>
    </row>
    <row r="113" spans="2:9" ht="106.2" x14ac:dyDescent="0.3">
      <c r="B113" s="132" t="s">
        <v>234</v>
      </c>
      <c r="C113" s="119" t="str">
        <f>VLOOKUP(B113,'[1]Product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13" s="119" t="str">
        <f>VLOOKUP(B113,'[1]Product by Part Number'!$A:$K,3,0)</f>
        <v>HEX HEAD BOLT</v>
      </c>
      <c r="E113" s="120">
        <f>VLOOKUP(B113,'[1]Product by Part Number'!$A:$K,11,0)</f>
        <v>1536</v>
      </c>
      <c r="F113" s="121">
        <f>VLOOKUP(B113,'[1]Product by Part Number'!$A:$K,4,0)</f>
        <v>20.079999999999998</v>
      </c>
      <c r="G113" s="122">
        <f t="shared" si="4"/>
        <v>30842.879999999997</v>
      </c>
      <c r="H113" s="123">
        <f>VLOOKUP(B113,'[1]Product by Part Number'!$A:$K,5,0)</f>
        <v>10.039999999999999</v>
      </c>
      <c r="I113" s="131">
        <f t="shared" si="5"/>
        <v>15421.44</v>
      </c>
    </row>
    <row r="114" spans="2:9" ht="106.2" x14ac:dyDescent="0.3">
      <c r="B114" s="132" t="s">
        <v>235</v>
      </c>
      <c r="C114" s="119" t="str">
        <f>VLOOKUP(B114,'[1]Product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114" s="119" t="str">
        <f>VLOOKUP(B114,'[1]Product by Part Number'!$A:$K,3,0)</f>
        <v>FLAT WASHER</v>
      </c>
      <c r="E114" s="120">
        <f>VLOOKUP(B114,'[1]Product by Part Number'!$A:$K,11,0)</f>
        <v>1536</v>
      </c>
      <c r="F114" s="121">
        <f>VLOOKUP(B114,'[1]Product by Part Number'!$A:$K,4,0)</f>
        <v>2.99</v>
      </c>
      <c r="G114" s="122">
        <f t="shared" si="4"/>
        <v>4592.6400000000003</v>
      </c>
      <c r="H114" s="123">
        <f>VLOOKUP(B114,'[1]Product by Part Number'!$A:$K,5,0)</f>
        <v>1.5</v>
      </c>
      <c r="I114" s="131">
        <f t="shared" si="5"/>
        <v>2304</v>
      </c>
    </row>
    <row r="115" spans="2:9" x14ac:dyDescent="0.3">
      <c r="B115" s="132" t="s">
        <v>236</v>
      </c>
      <c r="C115" s="119" t="str">
        <f>VLOOKUP(B115,'[1]Product by Part Number'!$A:$K,2,0)</f>
        <v xml:space="preserve">CAT 336F L (RKB)                                            </v>
      </c>
      <c r="D115" s="119" t="str">
        <f>VLOOKUP(B115,'[1]Product by Part Number'!$A:$K,3,0)</f>
        <v>FLAT WASHER</v>
      </c>
      <c r="E115" s="120">
        <f>VLOOKUP(B115,'[1]Product by Part Number'!$A:$K,11,0)</f>
        <v>72</v>
      </c>
      <c r="F115" s="121">
        <f>VLOOKUP(B115,'[1]Product by Part Number'!$A:$K,4,0)</f>
        <v>4.9800000000000004</v>
      </c>
      <c r="G115" s="122">
        <f t="shared" si="4"/>
        <v>358.56000000000006</v>
      </c>
      <c r="H115" s="123">
        <f>VLOOKUP(B115,'[1]Product by Part Number'!$A:$K,5,0)</f>
        <v>2.4900000000000002</v>
      </c>
      <c r="I115" s="131">
        <f t="shared" si="5"/>
        <v>179.28</v>
      </c>
    </row>
    <row r="116" spans="2:9" x14ac:dyDescent="0.3">
      <c r="B116" s="132" t="s">
        <v>237</v>
      </c>
      <c r="C116" s="119" t="str">
        <f>VLOOKUP(B116,'[1]Product by Part Number'!$A:$K,2,0)</f>
        <v xml:space="preserve">CAT 336F L (RKB)                                            </v>
      </c>
      <c r="D116" s="119" t="str">
        <f>VLOOKUP(B116,'[1]Product by Part Number'!$A:$K,3,0)</f>
        <v>CARRIER BOLT</v>
      </c>
      <c r="E116" s="120">
        <f>VLOOKUP(B116,'[1]Product by Part Number'!$A:$K,11,0)</f>
        <v>4</v>
      </c>
      <c r="F116" s="121">
        <f>VLOOKUP(B116,'[1]Product by Part Number'!$A:$K,4,0)</f>
        <v>26.18</v>
      </c>
      <c r="G116" s="122">
        <f t="shared" si="4"/>
        <v>104.72</v>
      </c>
      <c r="H116" s="123">
        <f>VLOOKUP(B116,'[1]Product by Part Number'!$A:$K,5,0)</f>
        <v>13.09</v>
      </c>
      <c r="I116" s="131">
        <f t="shared" si="5"/>
        <v>52.36</v>
      </c>
    </row>
    <row r="117" spans="2:9" x14ac:dyDescent="0.3">
      <c r="B117" s="132" t="s">
        <v>238</v>
      </c>
      <c r="C117" s="119" t="str">
        <f>VLOOKUP(B117,'[1]Product by Part Number'!$A:$K,2,0)</f>
        <v xml:space="preserve">CAT D7G (92V) CAT D7G (3ZD) CAT D7G (3ZD) (2)                                        </v>
      </c>
      <c r="D117" s="119" t="str">
        <f>VLOOKUP(B117,'[1]Product by Part Number'!$A:$K,3,0)</f>
        <v>TRACK LINK 38 JOINT</v>
      </c>
      <c r="E117" s="120">
        <f>VLOOKUP(B117,'[1]Product by Part Number'!$A:$K,11,0)</f>
        <v>6</v>
      </c>
      <c r="F117" s="121">
        <f>VLOOKUP(B117,'[1]Product by Part Number'!$A:$K,4,0)</f>
        <v>8201.7900000000009</v>
      </c>
      <c r="G117" s="122">
        <f t="shared" si="4"/>
        <v>49210.740000000005</v>
      </c>
      <c r="H117" s="123">
        <f>VLOOKUP(B117,'[1]Product by Part Number'!$A:$K,5,0)</f>
        <v>4100.8999999999996</v>
      </c>
      <c r="I117" s="131">
        <f t="shared" si="5"/>
        <v>24605.4</v>
      </c>
    </row>
    <row r="118" spans="2:9" x14ac:dyDescent="0.3">
      <c r="B118" s="132" t="s">
        <v>242</v>
      </c>
      <c r="C118" s="119" t="str">
        <f>VLOOKUP(B118,'[1]Product by Part Number'!$A:$K,2,0)</f>
        <v xml:space="preserve">CAT 303.5E                                            </v>
      </c>
      <c r="D118" s="119" t="str">
        <f>VLOOKUP(B118,'[1]Product by Part Number'!$A:$K,3,0)</f>
        <v>CENTRE FLANGE ROLLER</v>
      </c>
      <c r="E118" s="120">
        <f>VLOOKUP(B118,'[1]Product by Part Number'!$A:$K,11,0)</f>
        <v>4</v>
      </c>
      <c r="F118" s="121">
        <f>VLOOKUP(B118,'[1]Product by Part Number'!$A:$K,4,0)</f>
        <v>498.61</v>
      </c>
      <c r="G118" s="122">
        <f t="shared" si="4"/>
        <v>1994.44</v>
      </c>
      <c r="H118" s="123">
        <f>VLOOKUP(B118,'[1]Product by Part Number'!$A:$K,5,0)</f>
        <v>249.31</v>
      </c>
      <c r="I118" s="131">
        <f t="shared" si="5"/>
        <v>997.24</v>
      </c>
    </row>
    <row r="119" spans="2:9" x14ac:dyDescent="0.3">
      <c r="B119" s="132" t="s">
        <v>249</v>
      </c>
      <c r="C119" s="119" t="str">
        <f>VLOOKUP(B119,'[1]Product by Part Number'!$A:$K,2,0)</f>
        <v xml:space="preserve">CAT 336F L (RKB)                                            </v>
      </c>
      <c r="D119" s="119" t="str">
        <f>VLOOKUP(B119,'[1]Product by Part Number'!$A:$K,3,0)</f>
        <v>SINGLE FLANGE TRACK ROLLER</v>
      </c>
      <c r="E119" s="120">
        <f>VLOOKUP(B119,'[1]Product by Part Number'!$A:$K,11,0)</f>
        <v>18</v>
      </c>
      <c r="F119" s="121">
        <f>VLOOKUP(B119,'[1]Product by Part Number'!$A:$K,4,0)</f>
        <v>987.95</v>
      </c>
      <c r="G119" s="122">
        <f t="shared" si="4"/>
        <v>17783.100000000002</v>
      </c>
      <c r="H119" s="123">
        <f>VLOOKUP(B119,'[1]Product by Part Number'!$A:$K,5,0)</f>
        <v>493.98</v>
      </c>
      <c r="I119" s="131">
        <f t="shared" si="5"/>
        <v>8891.64</v>
      </c>
    </row>
    <row r="120" spans="2:9" x14ac:dyDescent="0.3">
      <c r="B120" s="132" t="s">
        <v>253</v>
      </c>
      <c r="C120" s="119" t="str">
        <f>VLOOKUP(B120,'[1]Product by Part Number'!$A:$K,2,0)</f>
        <v xml:space="preserve">CAT D6 (RDC)                                            </v>
      </c>
      <c r="D120" s="119" t="str">
        <f>VLOOKUP(B120,'[1]Product by Part Number'!$A:$K,3,0)</f>
        <v>SPROCKET SEGMENT</v>
      </c>
      <c r="E120" s="120">
        <f>VLOOKUP(B120,'[1]Product by Part Number'!$A:$K,11,0)</f>
        <v>10</v>
      </c>
      <c r="F120" s="121">
        <f>VLOOKUP(B120,'[1]Product by Part Number'!$A:$K,4,0)</f>
        <v>293.17</v>
      </c>
      <c r="G120" s="122">
        <f t="shared" si="4"/>
        <v>2931.7000000000003</v>
      </c>
      <c r="H120" s="123">
        <f>VLOOKUP(B120,'[1]Product by Part Number'!$A:$K,5,0)</f>
        <v>146.59</v>
      </c>
      <c r="I120" s="131">
        <f t="shared" si="5"/>
        <v>1465.9</v>
      </c>
    </row>
    <row r="121" spans="2:9" x14ac:dyDescent="0.3">
      <c r="B121" s="132" t="s">
        <v>254</v>
      </c>
      <c r="C121" s="119" t="str">
        <f>VLOOKUP(B121,'[1]Product by Part Number'!$A:$K,2,0)</f>
        <v xml:space="preserve">CAT D6 (RDC)                                            </v>
      </c>
      <c r="D121" s="119" t="str">
        <f>VLOOKUP(B121,'[1]Product by Part Number'!$A:$K,3,0)</f>
        <v>SPROCKET BOLT</v>
      </c>
      <c r="E121" s="120">
        <f>VLOOKUP(B121,'[1]Product by Part Number'!$A:$K,11,0)</f>
        <v>50</v>
      </c>
      <c r="F121" s="121">
        <f>VLOOKUP(B121,'[1]Product by Part Number'!$A:$K,4,0)</f>
        <v>9.4700000000000006</v>
      </c>
      <c r="G121" s="122">
        <f t="shared" si="4"/>
        <v>473.50000000000006</v>
      </c>
      <c r="H121" s="123">
        <f>VLOOKUP(B121,'[1]Product by Part Number'!$A:$K,5,0)</f>
        <v>4.74</v>
      </c>
      <c r="I121" s="131">
        <f t="shared" si="5"/>
        <v>237</v>
      </c>
    </row>
    <row r="122" spans="2:9" x14ac:dyDescent="0.3">
      <c r="B122" s="132" t="s">
        <v>259</v>
      </c>
      <c r="C122" s="119" t="str">
        <f>VLOOKUP(B122,'[1]Product by Part Number'!$A:$K,2,0)</f>
        <v xml:space="preserve">CAT D3 (1PJ)                                            </v>
      </c>
      <c r="D122" s="119" t="str">
        <f>VLOOKUP(B122,'[1]Product by Part Number'!$A:$K,3,0)</f>
        <v>SINGLE FLANGE TRACK ROLLER</v>
      </c>
      <c r="E122" s="120">
        <f>VLOOKUP(B122,'[1]Product by Part Number'!$A:$K,11,0)</f>
        <v>12</v>
      </c>
      <c r="F122" s="121">
        <f>VLOOKUP(B122,'[1]Product by Part Number'!$A:$K,4,0)</f>
        <v>579.6</v>
      </c>
      <c r="G122" s="122">
        <f t="shared" si="4"/>
        <v>6955.2000000000007</v>
      </c>
      <c r="H122" s="123">
        <f>VLOOKUP(B122,'[1]Product by Part Number'!$A:$K,5,0)</f>
        <v>289.8</v>
      </c>
      <c r="I122" s="131">
        <f t="shared" si="5"/>
        <v>3477.6</v>
      </c>
    </row>
    <row r="123" spans="2:9" ht="27" x14ac:dyDescent="0.3">
      <c r="B123" s="132" t="s">
        <v>260</v>
      </c>
      <c r="C123" s="119" t="str">
        <f>VLOOKUP(B123,'[1]Product by Part Number'!$A:$K,2,0)</f>
        <v xml:space="preserve">CAT D3 (1PJ)                                            </v>
      </c>
      <c r="D123" s="119" t="str">
        <f>VLOOKUP(B123,'[1]Product by Part Number'!$A:$K,3,0)</f>
        <v>DOUBLE FLANGE TRACK ROLLER (GUIDE AR)*</v>
      </c>
      <c r="E123" s="120">
        <f>VLOOKUP(B123,'[1]Product by Part Number'!$A:$K,11,0)</f>
        <v>8</v>
      </c>
      <c r="F123" s="121">
        <f>VLOOKUP(B123,'[1]Product by Part Number'!$A:$K,4,0)</f>
        <v>623.29</v>
      </c>
      <c r="G123" s="122">
        <f t="shared" si="4"/>
        <v>4986.32</v>
      </c>
      <c r="H123" s="123">
        <f>VLOOKUP(B123,'[1]Product by Part Number'!$A:$K,5,0)</f>
        <v>311.64999999999998</v>
      </c>
      <c r="I123" s="131">
        <f t="shared" si="5"/>
        <v>2493.1999999999998</v>
      </c>
    </row>
    <row r="124" spans="2:9" x14ac:dyDescent="0.3">
      <c r="B124" s="132" t="s">
        <v>264</v>
      </c>
      <c r="C124" s="119" t="str">
        <f>VLOOKUP(B124,'[1]Product by Part Number'!$A:$K,2,0)</f>
        <v xml:space="preserve">CAT D4 (66J)                                            </v>
      </c>
      <c r="D124" s="119" t="str">
        <f>VLOOKUP(B124,'[1]Product by Part Number'!$A:$K,3,0)</f>
        <v>SPROCKET BOLT</v>
      </c>
      <c r="E124" s="120">
        <f>VLOOKUP(B124,'[1]Product by Part Number'!$A:$K,11,0)</f>
        <v>12</v>
      </c>
      <c r="F124" s="121">
        <f>VLOOKUP(B124,'[1]Product by Part Number'!$A:$K,4,0)</f>
        <v>5.71</v>
      </c>
      <c r="G124" s="122">
        <f t="shared" si="4"/>
        <v>68.52</v>
      </c>
      <c r="H124" s="123">
        <f>VLOOKUP(B124,'[1]Product by Part Number'!$A:$K,5,0)</f>
        <v>2.86</v>
      </c>
      <c r="I124" s="131">
        <f t="shared" si="5"/>
        <v>34.32</v>
      </c>
    </row>
    <row r="125" spans="2:9" x14ac:dyDescent="0.3">
      <c r="B125" s="132" t="s">
        <v>265</v>
      </c>
      <c r="C125" s="119" t="str">
        <f>VLOOKUP(B125,'[1]Product by Part Number'!$A:$K,2,0)</f>
        <v xml:space="preserve">CAT D7G (92V) CAT D7G (3ZD) CAT D7G (3ZD) (2)                                        </v>
      </c>
      <c r="D125" s="119" t="str">
        <f>VLOOKUP(B125,'[1]Product by Part Number'!$A:$K,3,0)</f>
        <v>SINGLE FLANGE ROLLER</v>
      </c>
      <c r="E125" s="120">
        <f>VLOOKUP(B125,'[1]Product by Part Number'!$A:$K,11,0)</f>
        <v>36</v>
      </c>
      <c r="F125" s="121">
        <f>VLOOKUP(B125,'[1]Product by Part Number'!$A:$K,4,0)</f>
        <v>1122.06</v>
      </c>
      <c r="G125" s="122">
        <f t="shared" si="4"/>
        <v>40394.159999999996</v>
      </c>
      <c r="H125" s="123">
        <f>VLOOKUP(B125,'[1]Product by Part Number'!$A:$K,5,0)</f>
        <v>561.03</v>
      </c>
      <c r="I125" s="131">
        <f t="shared" si="5"/>
        <v>20197.080000000002</v>
      </c>
    </row>
    <row r="126" spans="2:9" x14ac:dyDescent="0.3">
      <c r="B126" s="132" t="s">
        <v>273</v>
      </c>
      <c r="C126" s="119" t="str">
        <f>VLOOKUP(B126,'[1]Product by Part Number'!$A:$K,2,0)</f>
        <v xml:space="preserve">CAT D4 (66J)                                            </v>
      </c>
      <c r="D126" s="119" t="str">
        <f>VLOOKUP(B126,'[1]Product by Part Number'!$A:$K,3,0)</f>
        <v>SPROCKET SEGMENT</v>
      </c>
      <c r="E126" s="120">
        <f>VLOOKUP(B126,'[1]Product by Part Number'!$A:$K,11,0)</f>
        <v>2</v>
      </c>
      <c r="F126" s="121">
        <f>VLOOKUP(B126,'[1]Product by Part Number'!$A:$K,4,0)</f>
        <v>1870.5</v>
      </c>
      <c r="G126" s="122">
        <f t="shared" si="4"/>
        <v>3741</v>
      </c>
      <c r="H126" s="123">
        <f>VLOOKUP(B126,'[1]Product by Part Number'!$A:$K,5,0)</f>
        <v>935.25</v>
      </c>
      <c r="I126" s="131">
        <f t="shared" si="5"/>
        <v>1870.5</v>
      </c>
    </row>
    <row r="127" spans="2:9" ht="79.8" x14ac:dyDescent="0.3">
      <c r="B127" s="132" t="s">
        <v>276</v>
      </c>
      <c r="C127" s="119" t="str">
        <f>VLOOKUP(B127,'[1]Product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27" s="119" t="str">
        <f>VLOOKUP(B127,'[1]Product by Part Number'!$A:$K,3,0)</f>
        <v>SINGLE FLANGE TRACK ROLLER</v>
      </c>
      <c r="E127" s="120">
        <f>VLOOKUP(B127,'[1]Product by Part Number'!$A:$K,11,0)</f>
        <v>288</v>
      </c>
      <c r="F127" s="121">
        <f>VLOOKUP(B127,'[1]Product by Part Number'!$A:$K,4,0)</f>
        <v>862.15</v>
      </c>
      <c r="G127" s="122">
        <f t="shared" si="4"/>
        <v>248299.19999999998</v>
      </c>
      <c r="H127" s="123">
        <f>VLOOKUP(B127,'[1]Product by Part Number'!$A:$K,5,0)</f>
        <v>431.08</v>
      </c>
      <c r="I127" s="131">
        <f t="shared" si="5"/>
        <v>124151.03999999999</v>
      </c>
    </row>
    <row r="128" spans="2:9" x14ac:dyDescent="0.3">
      <c r="B128" s="132" t="s">
        <v>277</v>
      </c>
      <c r="C128" s="119" t="str">
        <f>VLOOKUP(B128,'[1]Product by Part Number'!$A:$K,2,0)</f>
        <v xml:space="preserve">CAT D6 (RDC)                                            </v>
      </c>
      <c r="D128" s="119" t="str">
        <f>VLOOKUP(B128,'[1]Product by Part Number'!$A:$K,3,0)</f>
        <v>HEX NUT</v>
      </c>
      <c r="E128" s="120">
        <f>VLOOKUP(B128,'[1]Product by Part Number'!$A:$K,11,0)</f>
        <v>50</v>
      </c>
      <c r="F128" s="121">
        <f>VLOOKUP(B128,'[1]Product by Part Number'!$A:$K,4,0)</f>
        <v>10.44</v>
      </c>
      <c r="G128" s="122">
        <f t="shared" si="4"/>
        <v>522</v>
      </c>
      <c r="H128" s="123">
        <f>VLOOKUP(B128,'[1]Product by Part Number'!$A:$K,5,0)</f>
        <v>5.22</v>
      </c>
      <c r="I128" s="131">
        <f t="shared" si="5"/>
        <v>261</v>
      </c>
    </row>
    <row r="129" spans="2:9" ht="53.4" x14ac:dyDescent="0.3">
      <c r="B129" s="132" t="s">
        <v>279</v>
      </c>
      <c r="C129" s="119" t="str">
        <f>VLOOKUP(B129,'[1]Product by Part Number'!$A:$K,2,0)</f>
        <v xml:space="preserve">CAT 330 (LHW) CAT 330 (LHW) (2) CAT 330 (LHW) (3) CAT 330 (LHW) (4) CAT 330 (WCH) CAT 330 (WCH) (2) CAT 330 (WCH) (3) CAT 330 (WCH) (4) CAT 330 (WCH) (5) CAT 330 (WCH) (6)                          </v>
      </c>
      <c r="D129" s="119" t="str">
        <f>VLOOKUP(B129,'[1]Product by Part Number'!$A:$K,3,0)</f>
        <v>TRACK SHOE 800MM</v>
      </c>
      <c r="E129" s="120">
        <f>VLOOKUP(B129,'[1]Product by Part Number'!$A:$K,11,0)</f>
        <v>1000</v>
      </c>
      <c r="F129" s="121">
        <f>VLOOKUP(B129,'[1]Product by Part Number'!$A:$K,4,0)</f>
        <v>230.91</v>
      </c>
      <c r="G129" s="122">
        <f t="shared" si="4"/>
        <v>230910</v>
      </c>
      <c r="H129" s="123">
        <f>VLOOKUP(B129,'[1]Product by Part Number'!$A:$K,5,0)</f>
        <v>115.46</v>
      </c>
      <c r="I129" s="131">
        <f t="shared" si="5"/>
        <v>115460</v>
      </c>
    </row>
    <row r="130" spans="2:9" x14ac:dyDescent="0.3">
      <c r="B130" s="132" t="s">
        <v>49</v>
      </c>
      <c r="C130" s="119" t="str">
        <f>VLOOKUP(B130,'[1]Product by Part Number'!$A:$K,2,0)</f>
        <v xml:space="preserve">CAT 336F L (RKB)                                            </v>
      </c>
      <c r="D130" s="119" t="str">
        <f>VLOOKUP(B130,'[1]Product by Part Number'!$A:$K,3,0)</f>
        <v>SPROCKET BOLT</v>
      </c>
      <c r="E130" s="120">
        <f>VLOOKUP(B130,'[1]Product by Part Number'!$A:$K,11,0)</f>
        <v>32</v>
      </c>
      <c r="F130" s="121">
        <f>VLOOKUP(B130,'[1]Product by Part Number'!$A:$K,4,0)</f>
        <v>22.52</v>
      </c>
      <c r="G130" s="122">
        <f t="shared" si="4"/>
        <v>720.64</v>
      </c>
      <c r="H130" s="123">
        <f>VLOOKUP(B130,'[1]Product by Part Number'!$A:$K,5,0)</f>
        <v>11.26</v>
      </c>
      <c r="I130" s="131">
        <f t="shared" si="5"/>
        <v>360.32</v>
      </c>
    </row>
    <row r="131" spans="2:9" x14ac:dyDescent="0.3">
      <c r="B131" s="132" t="s">
        <v>285</v>
      </c>
      <c r="C131" s="119" t="str">
        <f>VLOOKUP(B131,'[1]Product by Part Number'!$A:$K,2,0)</f>
        <v xml:space="preserve">CAT D3 (1PJ)                                            </v>
      </c>
      <c r="D131" s="119" t="str">
        <f>VLOOKUP(B131,'[1]Product by Part Number'!$A:$K,3,0)</f>
        <v>TRACK IDLER AND BEARING ASSY</v>
      </c>
      <c r="E131" s="120">
        <f>VLOOKUP(B131,'[1]Product by Part Number'!$A:$K,11,0)</f>
        <v>2</v>
      </c>
      <c r="F131" s="121">
        <f>VLOOKUP(B131,'[1]Product by Part Number'!$A:$K,4,0)</f>
        <v>1859.1</v>
      </c>
      <c r="G131" s="122">
        <f t="shared" si="4"/>
        <v>3718.2</v>
      </c>
      <c r="H131" s="123">
        <f>VLOOKUP(B131,'[1]Product by Part Number'!$A:$K,5,0)</f>
        <v>929.55</v>
      </c>
      <c r="I131" s="131">
        <f t="shared" si="5"/>
        <v>1859.1</v>
      </c>
    </row>
    <row r="132" spans="2:9" x14ac:dyDescent="0.3">
      <c r="B132" s="132" t="s">
        <v>287</v>
      </c>
      <c r="C132" s="119" t="str">
        <f>VLOOKUP(B132,'[1]Product by Part Number'!$A:$K,2,0)</f>
        <v xml:space="preserve">CAT D6T (MH7)                                            </v>
      </c>
      <c r="D132" s="119" t="str">
        <f>VLOOKUP(B132,'[1]Product by Part Number'!$A:$K,3,0)</f>
        <v>TRACK SHOE RH - 790MM - OFFSET</v>
      </c>
      <c r="E132" s="120">
        <f>VLOOKUP(B132,'[1]Product by Part Number'!$A:$K,11,0)</f>
        <v>44</v>
      </c>
      <c r="F132" s="121">
        <f>VLOOKUP(B132,'[1]Product by Part Number'!$A:$K,4,0)</f>
        <v>223.22</v>
      </c>
      <c r="G132" s="122">
        <f t="shared" si="4"/>
        <v>9821.68</v>
      </c>
      <c r="H132" s="123">
        <f>VLOOKUP(B132,'[1]Product by Part Number'!$A:$K,5,0)</f>
        <v>111.61</v>
      </c>
      <c r="I132" s="131">
        <f t="shared" si="5"/>
        <v>4910.84</v>
      </c>
    </row>
    <row r="133" spans="2:9" x14ac:dyDescent="0.3">
      <c r="B133" s="132" t="s">
        <v>288</v>
      </c>
      <c r="C133" s="119" t="str">
        <f>VLOOKUP(B133,'[1]Product by Part Number'!$A:$K,2,0)</f>
        <v xml:space="preserve">CAT D6T (MH7)                                            </v>
      </c>
      <c r="D133" s="119" t="str">
        <f>VLOOKUP(B133,'[1]Product by Part Number'!$A:$K,3,0)</f>
        <v>TRACK SHOE MASTER RH</v>
      </c>
      <c r="E133" s="120">
        <f>VLOOKUP(B133,'[1]Product by Part Number'!$A:$K,11,0)</f>
        <v>1</v>
      </c>
      <c r="F133" s="121">
        <f>VLOOKUP(B133,'[1]Product by Part Number'!$A:$K,4,0)</f>
        <v>242.72</v>
      </c>
      <c r="G133" s="122">
        <f t="shared" si="4"/>
        <v>242.72</v>
      </c>
      <c r="H133" s="123">
        <f>VLOOKUP(B133,'[1]Product by Part Number'!$A:$K,5,0)</f>
        <v>121.36</v>
      </c>
      <c r="I133" s="131">
        <f t="shared" si="5"/>
        <v>121.36</v>
      </c>
    </row>
    <row r="134" spans="2:9" x14ac:dyDescent="0.3">
      <c r="B134" s="132" t="s">
        <v>289</v>
      </c>
      <c r="C134" s="119" t="str">
        <f>VLOOKUP(B134,'[1]Product by Part Number'!$A:$K,2,0)</f>
        <v xml:space="preserve">CAT D6T (MH7)                                            </v>
      </c>
      <c r="D134" s="119" t="str">
        <f>VLOOKUP(B134,'[1]Product by Part Number'!$A:$K,3,0)</f>
        <v>TRACK SHOE LH - 790MM - OFFSET</v>
      </c>
      <c r="E134" s="120">
        <f>VLOOKUP(B134,'[1]Product by Part Number'!$A:$K,11,0)</f>
        <v>44</v>
      </c>
      <c r="F134" s="121">
        <f>VLOOKUP(B134,'[1]Product by Part Number'!$A:$K,4,0)</f>
        <v>223.22</v>
      </c>
      <c r="G134" s="122">
        <f t="shared" si="4"/>
        <v>9821.68</v>
      </c>
      <c r="H134" s="123">
        <f>VLOOKUP(B134,'[1]Product by Part Number'!$A:$K,5,0)</f>
        <v>111.61</v>
      </c>
      <c r="I134" s="131">
        <f t="shared" si="5"/>
        <v>4910.84</v>
      </c>
    </row>
    <row r="135" spans="2:9" x14ac:dyDescent="0.3">
      <c r="B135" s="132" t="s">
        <v>290</v>
      </c>
      <c r="C135" s="119" t="str">
        <f>VLOOKUP(B135,'[1]Product by Part Number'!$A:$K,2,0)</f>
        <v xml:space="preserve">CAT D6T (MH7)                                            </v>
      </c>
      <c r="D135" s="119" t="str">
        <f>VLOOKUP(B135,'[1]Product by Part Number'!$A:$K,3,0)</f>
        <v>TRACK SHOE MASTER LH</v>
      </c>
      <c r="E135" s="120">
        <f>VLOOKUP(B135,'[1]Product by Part Number'!$A:$K,11,0)</f>
        <v>1</v>
      </c>
      <c r="F135" s="121">
        <f>VLOOKUP(B135,'[1]Product by Part Number'!$A:$K,4,0)</f>
        <v>235.62</v>
      </c>
      <c r="G135" s="122">
        <f t="shared" si="4"/>
        <v>235.62</v>
      </c>
      <c r="H135" s="123">
        <f>VLOOKUP(B135,'[1]Product by Part Number'!$A:$K,5,0)</f>
        <v>117.81</v>
      </c>
      <c r="I135" s="131">
        <f t="shared" si="5"/>
        <v>117.81</v>
      </c>
    </row>
    <row r="136" spans="2:9" ht="27" x14ac:dyDescent="0.3">
      <c r="B136" s="132" t="s">
        <v>291</v>
      </c>
      <c r="C136" s="119" t="str">
        <f>VLOOKUP(B136,'[1]Product by Part Number'!$A:$K,2,0)</f>
        <v xml:space="preserve">CAT D4 (66J) CAT D6N LGP (GHS) CAT D6N LGP (SGG) CAT D6N LGP (SGG) (2)                                      </v>
      </c>
      <c r="D136" s="119" t="str">
        <f>VLOOKUP(B136,'[1]Product by Part Number'!$A:$K,3,0)</f>
        <v>TRACK LINK ASSEMBLY</v>
      </c>
      <c r="E136" s="120">
        <f>VLOOKUP(B136,'[1]Product by Part Number'!$A:$K,11,0)</f>
        <v>8</v>
      </c>
      <c r="F136" s="121">
        <f>VLOOKUP(B136,'[1]Product by Part Number'!$A:$K,4,0)</f>
        <v>13503.77</v>
      </c>
      <c r="G136" s="122">
        <f t="shared" si="4"/>
        <v>108030.16</v>
      </c>
      <c r="H136" s="123">
        <f>VLOOKUP(B136,'[1]Product by Part Number'!$A:$K,5,0)</f>
        <v>6751.89</v>
      </c>
      <c r="I136" s="131">
        <f t="shared" si="5"/>
        <v>54015.12</v>
      </c>
    </row>
    <row r="137" spans="2:9" x14ac:dyDescent="0.3">
      <c r="B137" s="132" t="s">
        <v>293</v>
      </c>
      <c r="C137" s="119" t="str">
        <f>VLOOKUP(B137,'[1]Product by Part Number'!$A:$K,2,0)</f>
        <v xml:space="preserve">CAT D7G (92V) CAT D7G (3ZD) CAT D7G (3ZD) (2)                                        </v>
      </c>
      <c r="D137" s="119" t="str">
        <f>VLOOKUP(B137,'[1]Product by Part Number'!$A:$K,3,0)</f>
        <v>DUAL FLANGE ROLLER</v>
      </c>
      <c r="E137" s="120">
        <f>VLOOKUP(B137,'[1]Product by Part Number'!$A:$K,11,0)</f>
        <v>36</v>
      </c>
      <c r="F137" s="121">
        <f>VLOOKUP(B137,'[1]Product by Part Number'!$A:$K,4,0)</f>
        <v>1169.26</v>
      </c>
      <c r="G137" s="122">
        <f t="shared" si="4"/>
        <v>42093.36</v>
      </c>
      <c r="H137" s="123">
        <f>VLOOKUP(B137,'[1]Product by Part Number'!$A:$K,5,0)</f>
        <v>584.63</v>
      </c>
      <c r="I137" s="131">
        <f t="shared" si="5"/>
        <v>21046.68</v>
      </c>
    </row>
    <row r="138" spans="2:9" x14ac:dyDescent="0.3">
      <c r="B138" s="132" t="s">
        <v>295</v>
      </c>
      <c r="C138" s="119" t="str">
        <f>VLOOKUP(B138,'[1]Product by Part Number'!$A:$K,2,0)</f>
        <v xml:space="preserve">CAT D6N LGP (PBA) CAT D6N LGP (PBA) (2)                                          </v>
      </c>
      <c r="D138" s="119" t="str">
        <f>VLOOKUP(B138,'[1]Product by Part Number'!$A:$K,3,0)</f>
        <v xml:space="preserve">TRACK LINK ASSEMBLY </v>
      </c>
      <c r="E138" s="120">
        <f>VLOOKUP(B138,'[1]Product by Part Number'!$A:$K,11,0)</f>
        <v>4</v>
      </c>
      <c r="F138" s="121">
        <f>VLOOKUP(B138,'[1]Product by Part Number'!$A:$K,4,0)</f>
        <v>17735.5</v>
      </c>
      <c r="G138" s="122">
        <f t="shared" si="4"/>
        <v>70942</v>
      </c>
      <c r="H138" s="123">
        <f>VLOOKUP(B138,'[1]Product by Part Number'!$A:$K,5,0)</f>
        <v>8867.75</v>
      </c>
      <c r="I138" s="131">
        <f t="shared" si="5"/>
        <v>35471</v>
      </c>
    </row>
    <row r="139" spans="2:9" x14ac:dyDescent="0.3">
      <c r="B139" s="132" t="s">
        <v>296</v>
      </c>
      <c r="C139" s="119" t="str">
        <f>VLOOKUP(B139,'[1]Product by Part Number'!$A:$K,2,0)</f>
        <v xml:space="preserve">CAT D6T (MH7)                                            </v>
      </c>
      <c r="D139" s="119" t="str">
        <f>VLOOKUP(B139,'[1]Product by Part Number'!$A:$K,3,0)</f>
        <v>TRACK LINK ASSEMBLY</v>
      </c>
      <c r="E139" s="120">
        <f>VLOOKUP(B139,'[1]Product by Part Number'!$A:$K,11,0)</f>
        <v>2</v>
      </c>
      <c r="F139" s="121">
        <f>VLOOKUP(B139,'[1]Product by Part Number'!$A:$K,4,0)</f>
        <v>15772.81</v>
      </c>
      <c r="G139" s="122">
        <f t="shared" si="4"/>
        <v>31545.62</v>
      </c>
      <c r="H139" s="123">
        <f>VLOOKUP(B139,'[1]Product by Part Number'!$A:$K,5,0)</f>
        <v>7886.41</v>
      </c>
      <c r="I139" s="131">
        <f t="shared" si="5"/>
        <v>15772.82</v>
      </c>
    </row>
    <row r="140" spans="2:9" x14ac:dyDescent="0.3">
      <c r="B140" s="132" t="s">
        <v>297</v>
      </c>
      <c r="C140" s="119" t="str">
        <f>VLOOKUP(B140,'[1]Product by Part Number'!$A:$K,2,0)</f>
        <v xml:space="preserve">CAT 303.5E                                            </v>
      </c>
      <c r="D140" s="119" t="str">
        <f>VLOOKUP(B140,'[1]Product by Part Number'!$A:$K,3,0)</f>
        <v>RUBBER TRACKS</v>
      </c>
      <c r="E140" s="120">
        <f>VLOOKUP(B140,'[1]Product by Part Number'!$A:$K,11,0)</f>
        <v>2</v>
      </c>
      <c r="F140" s="121">
        <f>VLOOKUP(B140,'[1]Product by Part Number'!$A:$K,4,0)</f>
        <v>2467.27</v>
      </c>
      <c r="G140" s="122">
        <f t="shared" si="4"/>
        <v>4934.54</v>
      </c>
      <c r="H140" s="123">
        <f>VLOOKUP(B140,'[1]Product by Part Number'!$A:$K,5,0)</f>
        <v>1233.6400000000001</v>
      </c>
      <c r="I140" s="131">
        <f t="shared" si="5"/>
        <v>2467.2800000000002</v>
      </c>
    </row>
    <row r="141" spans="2:9" x14ac:dyDescent="0.3">
      <c r="B141" s="132" t="s">
        <v>306</v>
      </c>
      <c r="C141" s="119" t="str">
        <f>VLOOKUP(B141,'[1]Product by Part Number'!$A:$K,2,0)</f>
        <v xml:space="preserve">CAT D6 (RDC)                                            </v>
      </c>
      <c r="D141" s="119" t="str">
        <f>VLOOKUP(B141,'[1]Product by Part Number'!$A:$K,3,0)</f>
        <v>TRACK LINK 46 JOINT</v>
      </c>
      <c r="E141" s="120">
        <f>VLOOKUP(B141,'[1]Product by Part Number'!$A:$K,11,0)</f>
        <v>2</v>
      </c>
      <c r="F141" s="121">
        <f>VLOOKUP(B141,'[1]Product by Part Number'!$A:$K,4,0)</f>
        <v>10339.93</v>
      </c>
      <c r="G141" s="122">
        <f t="shared" si="4"/>
        <v>20679.86</v>
      </c>
      <c r="H141" s="123">
        <f>VLOOKUP(B141,'[1]Product by Part Number'!$A:$K,5,0)</f>
        <v>5169.97</v>
      </c>
      <c r="I141" s="131">
        <f t="shared" si="5"/>
        <v>10339.94</v>
      </c>
    </row>
    <row r="142" spans="2:9" ht="40.200000000000003" x14ac:dyDescent="0.3">
      <c r="B142" s="132" t="s">
        <v>307</v>
      </c>
      <c r="C142" s="119" t="str">
        <f>VLOOKUP(B142,'[1]Product by Part Number'!$A:$K,2,0)</f>
        <v xml:space="preserve">CAT 320E L (WBK) CAT 320E L (WBK) (2) CAT 320F L (YBM) CAT 320 (HEX) CAT 320 (MYK) CAT 320 (MYK) (2)                                  </v>
      </c>
      <c r="D142" s="119" t="str">
        <f>VLOOKUP(B142,'[1]Product by Part Number'!$A:$K,3,0)</f>
        <v xml:space="preserve">TRACK LINK ASSEMBLY </v>
      </c>
      <c r="E142" s="120">
        <f>VLOOKUP(B142,'[1]Product by Part Number'!$A:$K,11,0)</f>
        <v>12</v>
      </c>
      <c r="F142" s="121">
        <f>VLOOKUP(B142,'[1]Product by Part Number'!$A:$K,4,0)</f>
        <v>8238.4699999999993</v>
      </c>
      <c r="G142" s="122">
        <f t="shared" si="4"/>
        <v>98861.639999999985</v>
      </c>
      <c r="H142" s="123">
        <f>VLOOKUP(B142,'[1]Product by Part Number'!$A:$K,5,0)</f>
        <v>4119.24</v>
      </c>
      <c r="I142" s="131">
        <f t="shared" si="5"/>
        <v>49430.879999999997</v>
      </c>
    </row>
    <row r="143" spans="2:9" x14ac:dyDescent="0.3">
      <c r="B143" s="132" t="s">
        <v>308</v>
      </c>
      <c r="C143" s="119" t="str">
        <f>VLOOKUP(B143,'[1]Product by Part Number'!$A:$K,2,0)</f>
        <v xml:space="preserve">CAT D3 (1PJ)                                            </v>
      </c>
      <c r="D143" s="119" t="str">
        <f>VLOOKUP(B143,'[1]Product by Part Number'!$A:$K,3,0)</f>
        <v>TRACK BOLT</v>
      </c>
      <c r="E143" s="120">
        <f>VLOOKUP(B143,'[1]Product by Part Number'!$A:$K,11,0)</f>
        <v>344</v>
      </c>
      <c r="F143" s="121">
        <f>VLOOKUP(B143,'[1]Product by Part Number'!$A:$K,4,0)</f>
        <v>3.73</v>
      </c>
      <c r="G143" s="122">
        <f t="shared" si="4"/>
        <v>1283.1199999999999</v>
      </c>
      <c r="H143" s="123">
        <f>VLOOKUP(B143,'[1]Product by Part Number'!$A:$K,5,0)</f>
        <v>1.87</v>
      </c>
      <c r="I143" s="131">
        <f t="shared" si="5"/>
        <v>643.28</v>
      </c>
    </row>
    <row r="144" spans="2:9" x14ac:dyDescent="0.3">
      <c r="B144" s="132" t="s">
        <v>310</v>
      </c>
      <c r="C144" s="119" t="str">
        <f>VLOOKUP(B144,'[1]Product by Part Number'!$A:$K,2,0)</f>
        <v xml:space="preserve">CAT D3 (1PJ)                                            </v>
      </c>
      <c r="D144" s="119" t="str">
        <f>VLOOKUP(B144,'[1]Product by Part Number'!$A:$K,3,0)</f>
        <v>FLAT WASHER</v>
      </c>
      <c r="E144" s="120">
        <f>VLOOKUP(B144,'[1]Product by Part Number'!$A:$K,11,0)</f>
        <v>50</v>
      </c>
      <c r="F144" s="121">
        <f>VLOOKUP(B144,'[1]Product by Part Number'!$A:$K,4,0)</f>
        <v>1.86</v>
      </c>
      <c r="G144" s="122">
        <f t="shared" ref="G144:G189" si="6">E144*F144</f>
        <v>93</v>
      </c>
      <c r="H144" s="123">
        <f>VLOOKUP(B144,'[1]Product by Part Number'!$A:$K,5,0)</f>
        <v>0.93</v>
      </c>
      <c r="I144" s="131">
        <f t="shared" ref="I144:I189" si="7">ROUND(E144*H144,2)</f>
        <v>46.5</v>
      </c>
    </row>
    <row r="145" spans="2:9" x14ac:dyDescent="0.3">
      <c r="B145" s="132" t="s">
        <v>436</v>
      </c>
      <c r="C145" s="119" t="str">
        <f>VLOOKUP(B145,'[1]Product by Part Number'!$A:$K,2,0)</f>
        <v xml:space="preserve">CAT 561 (85H) CAT 561 (92J) CAT 561 (92J) (2)                                        </v>
      </c>
      <c r="D145" s="119" t="str">
        <f>VLOOKUP(B145,'[1]Product by Part Number'!$A:$K,3,0)</f>
        <v>SPROCKET</v>
      </c>
      <c r="E145" s="120">
        <f>VLOOKUP(B145,'[1]Product by Part Number'!$A:$K,11,0)</f>
        <v>54</v>
      </c>
      <c r="F145" s="121">
        <f>VLOOKUP(B145,'[1]Product by Part Number'!$A:$K,4,0)</f>
        <v>566.69000000000005</v>
      </c>
      <c r="G145" s="122">
        <f t="shared" si="6"/>
        <v>30601.260000000002</v>
      </c>
      <c r="H145" s="123">
        <f>VLOOKUP(B145,'[1]Product by Part Number'!$A:$K,5,0)</f>
        <v>283.35000000000002</v>
      </c>
      <c r="I145" s="131">
        <f t="shared" si="7"/>
        <v>15300.9</v>
      </c>
    </row>
    <row r="146" spans="2:9" x14ac:dyDescent="0.3">
      <c r="B146" s="132" t="s">
        <v>437</v>
      </c>
      <c r="C146" s="119" t="str">
        <f>VLOOKUP(B146,'[1]Product by Part Number'!$A:$K,2,0)</f>
        <v xml:space="preserve">CAT 561 (85H) CAT 561 (92J) CAT 561 (92J) (2)                                        </v>
      </c>
      <c r="D146" s="119" t="str">
        <f>VLOOKUP(B146,'[1]Product by Part Number'!$A:$K,3,0)</f>
        <v>TRACK SHOE</v>
      </c>
      <c r="E146" s="120">
        <f>VLOOKUP(B146,'[1]Product by Part Number'!$A:$K,11,0)</f>
        <v>234</v>
      </c>
      <c r="F146" s="121">
        <f>VLOOKUP(B146,'[1]Product by Part Number'!$A:$K,4,0)</f>
        <v>89.68</v>
      </c>
      <c r="G146" s="122">
        <f t="shared" si="6"/>
        <v>20985.120000000003</v>
      </c>
      <c r="H146" s="123">
        <f>VLOOKUP(B146,'[1]Product by Part Number'!$A:$K,5,0)</f>
        <v>44.84</v>
      </c>
      <c r="I146" s="131">
        <f t="shared" si="7"/>
        <v>10492.56</v>
      </c>
    </row>
    <row r="147" spans="2:9" ht="40.200000000000003" x14ac:dyDescent="0.3">
      <c r="B147" s="132" t="s">
        <v>312</v>
      </c>
      <c r="C147" s="119" t="str">
        <f>VLOOKUP(B147,'[1]Product by Part Number'!$A:$K,2,0)</f>
        <v xml:space="preserve">CAT 320E L (WBK) CAT 320E L (WBK) (2) CAT 320F L (YBM) CAT 320 (HEX) CAT 320 (MYK) CAT 320 (MYK) (2)                                  </v>
      </c>
      <c r="D147" s="119" t="str">
        <f>VLOOKUP(B147,'[1]Product by Part Number'!$A:$K,3,0)</f>
        <v>SINGLE FLANGE TRACK ROLLER</v>
      </c>
      <c r="E147" s="120">
        <f>VLOOKUP(B147,'[1]Product by Part Number'!$A:$K,11,0)</f>
        <v>96</v>
      </c>
      <c r="F147" s="121">
        <f>VLOOKUP(B147,'[1]Product by Part Number'!$A:$K,4,0)</f>
        <v>748.26</v>
      </c>
      <c r="G147" s="122">
        <f t="shared" si="6"/>
        <v>71832.959999999992</v>
      </c>
      <c r="H147" s="123">
        <f>VLOOKUP(B147,'[1]Product by Part Number'!$A:$K,5,0)</f>
        <v>374.13</v>
      </c>
      <c r="I147" s="131">
        <f t="shared" si="7"/>
        <v>35916.480000000003</v>
      </c>
    </row>
    <row r="148" spans="2:9" ht="79.8" x14ac:dyDescent="0.3">
      <c r="B148" s="132" t="s">
        <v>314</v>
      </c>
      <c r="C148" s="119" t="str">
        <f>VLOOKUP(B148,'[1]Product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48" s="119" t="str">
        <f>VLOOKUP(B148,'[1]Product by Part Number'!$A:$K,3,0)</f>
        <v>SPROCKET BOLT</v>
      </c>
      <c r="E148" s="120">
        <f>VLOOKUP(B148,'[1]Product by Part Number'!$A:$K,11,0)</f>
        <v>576</v>
      </c>
      <c r="F148" s="121">
        <f>VLOOKUP(B148,'[1]Product by Part Number'!$A:$K,4,0)</f>
        <v>10.72</v>
      </c>
      <c r="G148" s="122">
        <f t="shared" si="6"/>
        <v>6174.72</v>
      </c>
      <c r="H148" s="123">
        <f>VLOOKUP(B148,'[1]Product by Part Number'!$A:$K,5,0)</f>
        <v>5.36</v>
      </c>
      <c r="I148" s="131">
        <f t="shared" si="7"/>
        <v>3087.36</v>
      </c>
    </row>
    <row r="149" spans="2:9" ht="53.4" x14ac:dyDescent="0.3">
      <c r="B149" s="132" t="s">
        <v>316</v>
      </c>
      <c r="C149" s="119" t="str">
        <f>VLOOKUP(B149,'[1]Product by Part Number'!$A:$K,2,0)</f>
        <v xml:space="preserve">CAT 330 (LHW) CAT 330 (LHW) (2) CAT 330 (LHW) (3) CAT 330 (LHW) (4) CAT 330 (WCH) CAT 330 (WCH) (2) CAT 330 (WCH) (3) CAT 330 (WCH) (4) CAT 330 (WCH) (5) CAT 330 (WCH) (6)                          </v>
      </c>
      <c r="D149" s="119" t="str">
        <f>VLOOKUP(B149,'[1]Product by Part Number'!$A:$K,3,0)</f>
        <v>TRACK LINK ASSEMBLY</v>
      </c>
      <c r="E149" s="120">
        <f>VLOOKUP(B149,'[1]Product by Part Number'!$A:$K,11,0)</f>
        <v>20</v>
      </c>
      <c r="F149" s="121">
        <f>VLOOKUP(B149,'[1]Product by Part Number'!$A:$K,4,0)</f>
        <v>10788.51</v>
      </c>
      <c r="G149" s="122">
        <f t="shared" si="6"/>
        <v>215770.2</v>
      </c>
      <c r="H149" s="123">
        <f>VLOOKUP(B149,'[1]Product by Part Number'!$A:$K,5,0)</f>
        <v>5394.26</v>
      </c>
      <c r="I149" s="131">
        <f t="shared" si="7"/>
        <v>107885.2</v>
      </c>
    </row>
    <row r="150" spans="2:9" ht="27" x14ac:dyDescent="0.3">
      <c r="B150" s="132" t="s">
        <v>330</v>
      </c>
      <c r="C150" s="119" t="str">
        <f>VLOOKUP(B150,'[1]Product by Part Number'!$A:$K,2,0)</f>
        <v xml:space="preserve">CAT D6N LGP (GHS) CAT D6N LGP (PBA) CAT D6N LGP (PBA) (2) CAT D6N LGP (SGG) CAT D6N LGP (SGG) (2)                                    </v>
      </c>
      <c r="D150" s="119" t="str">
        <f>VLOOKUP(B150,'[1]Product by Part Number'!$A:$K,3,0)</f>
        <v>SPROCKET SEGMENT</v>
      </c>
      <c r="E150" s="120">
        <f>VLOOKUP(B150,'[1]Product by Part Number'!$A:$K,11,0)</f>
        <v>50</v>
      </c>
      <c r="F150" s="121">
        <f>VLOOKUP(B150,'[1]Product by Part Number'!$A:$K,4,0)</f>
        <v>204.05</v>
      </c>
      <c r="G150" s="122">
        <f t="shared" si="6"/>
        <v>10202.5</v>
      </c>
      <c r="H150" s="123">
        <f>VLOOKUP(B150,'[1]Product by Part Number'!$A:$K,5,0)</f>
        <v>102.03</v>
      </c>
      <c r="I150" s="131">
        <f t="shared" si="7"/>
        <v>5101.5</v>
      </c>
    </row>
    <row r="151" spans="2:9" ht="53.4" x14ac:dyDescent="0.3">
      <c r="B151" s="132" t="s">
        <v>331</v>
      </c>
      <c r="C151" s="119" t="str">
        <f>VLOOKUP(B151,'[1]Product by Part Number'!$A:$K,2,0)</f>
        <v xml:space="preserve">CAT D4 (66J) CAT D5 (3CR) CAT D5 (3CR) (2) CAT 561M (1KW) CAT 561N (CPH) CAT 561N (CPH) (2) CAT 561N (CPH) (3) CAT 561N (CPH) (4) CAT 561N (CPH) (5)                            </v>
      </c>
      <c r="D151" s="119" t="str">
        <f>VLOOKUP(B151,'[1]Product by Part Number'!$A:$K,3,0)</f>
        <v>CARRIER ROLLER</v>
      </c>
      <c r="E151" s="120">
        <f>VLOOKUP(B151,'[1]Product by Part Number'!$A:$K,11,0)</f>
        <v>18</v>
      </c>
      <c r="F151" s="121">
        <f>VLOOKUP(B151,'[1]Product by Part Number'!$A:$K,4,0)</f>
        <v>520.11</v>
      </c>
      <c r="G151" s="122">
        <f t="shared" si="6"/>
        <v>9361.98</v>
      </c>
      <c r="H151" s="123">
        <f>VLOOKUP(B151,'[1]Product by Part Number'!$A:$K,5,0)</f>
        <v>260.06</v>
      </c>
      <c r="I151" s="131">
        <f t="shared" si="7"/>
        <v>4681.08</v>
      </c>
    </row>
    <row r="152" spans="2:9" x14ac:dyDescent="0.3">
      <c r="B152" s="132" t="s">
        <v>333</v>
      </c>
      <c r="C152" s="119" t="str">
        <f>VLOOKUP(B152,'[1]Product by Part Number'!$A:$K,2,0)</f>
        <v xml:space="preserve">CAT D3 (1PJ)                                            </v>
      </c>
      <c r="D152" s="119" t="str">
        <f>VLOOKUP(B152,'[1]Product by Part Number'!$A:$K,3,0)</f>
        <v>CARRIER ROLLER</v>
      </c>
      <c r="E152" s="120">
        <f>VLOOKUP(B152,'[1]Product by Part Number'!$A:$K,11,0)</f>
        <v>2</v>
      </c>
      <c r="F152" s="121">
        <f>VLOOKUP(B152,'[1]Product by Part Number'!$A:$K,4,0)</f>
        <v>493.88</v>
      </c>
      <c r="G152" s="122">
        <f t="shared" si="6"/>
        <v>987.76</v>
      </c>
      <c r="H152" s="123">
        <f>VLOOKUP(B152,'[1]Product by Part Number'!$A:$K,5,0)</f>
        <v>246.94</v>
      </c>
      <c r="I152" s="131">
        <f t="shared" si="7"/>
        <v>493.88</v>
      </c>
    </row>
    <row r="153" spans="2:9" ht="27" x14ac:dyDescent="0.3">
      <c r="B153" s="132" t="s">
        <v>334</v>
      </c>
      <c r="C153" s="119" t="str">
        <f>VLOOKUP(B153,'[1]Product by Part Number'!$A:$K,2,0)</f>
        <v xml:space="preserve">CAT 561N (CPH) CAT 561N (CPH) (2) CAT 561N (CPH) (3) CAT 561N (CPH) (4) CAT 561N (CPH) (5)                                    </v>
      </c>
      <c r="D153" s="119" t="str">
        <f>VLOOKUP(B153,'[1]Product by Part Number'!$A:$K,3,0)</f>
        <v>TRACK SHOE</v>
      </c>
      <c r="E153" s="120">
        <f>VLOOKUP(B153,'[1]Product by Part Number'!$A:$K,11,0)</f>
        <v>440</v>
      </c>
      <c r="F153" s="121">
        <f>VLOOKUP(B153,'[1]Product by Part Number'!$A:$K,4,0)</f>
        <v>655.30999999999995</v>
      </c>
      <c r="G153" s="122">
        <f t="shared" si="6"/>
        <v>288336.39999999997</v>
      </c>
      <c r="H153" s="123">
        <f>VLOOKUP(B153,'[1]Product by Part Number'!$A:$K,5,0)</f>
        <v>327.66000000000003</v>
      </c>
      <c r="I153" s="131">
        <f t="shared" si="7"/>
        <v>144170.4</v>
      </c>
    </row>
    <row r="154" spans="2:9" x14ac:dyDescent="0.3">
      <c r="B154" s="132" t="s">
        <v>335</v>
      </c>
      <c r="C154" s="119" t="str">
        <f>VLOOKUP(B154,'[1]Product by Part Number'!$A:$K,2,0)</f>
        <v xml:space="preserve">CAT D3 (1PJ)                                            </v>
      </c>
      <c r="D154" s="119" t="str">
        <f>VLOOKUP(B154,'[1]Product by Part Number'!$A:$K,3,0)</f>
        <v>TRACK SHOE MASTER</v>
      </c>
      <c r="E154" s="120">
        <f>VLOOKUP(B154,'[1]Product by Part Number'!$A:$K,11,0)</f>
        <v>2</v>
      </c>
      <c r="F154" s="121">
        <f>VLOOKUP(B154,'[1]Product by Part Number'!$A:$K,4,0)</f>
        <v>729.52</v>
      </c>
      <c r="G154" s="122">
        <f t="shared" si="6"/>
        <v>1459.04</v>
      </c>
      <c r="H154" s="123">
        <f>VLOOKUP(B154,'[1]Product by Part Number'!$A:$K,5,0)</f>
        <v>364.76</v>
      </c>
      <c r="I154" s="131">
        <f t="shared" si="7"/>
        <v>729.52</v>
      </c>
    </row>
    <row r="155" spans="2:9" x14ac:dyDescent="0.3">
      <c r="B155" s="132" t="s">
        <v>336</v>
      </c>
      <c r="C155" s="119" t="str">
        <f>VLOOKUP(B155,'[1]Product by Part Number'!$A:$K,2,0)</f>
        <v xml:space="preserve">CAT D3 (1PJ)                                            </v>
      </c>
      <c r="D155" s="119" t="str">
        <f>VLOOKUP(B155,'[1]Product by Part Number'!$A:$K,3,0)</f>
        <v>TRACK SHOE SINGLE GROUSER 860MM</v>
      </c>
      <c r="E155" s="120">
        <f>VLOOKUP(B155,'[1]Product by Part Number'!$A:$K,11,0)</f>
        <v>86</v>
      </c>
      <c r="F155" s="121">
        <f>VLOOKUP(B155,'[1]Product by Part Number'!$A:$K,4,0)</f>
        <v>693.26</v>
      </c>
      <c r="G155" s="122">
        <f t="shared" si="6"/>
        <v>59620.36</v>
      </c>
      <c r="H155" s="123">
        <f>VLOOKUP(B155,'[1]Product by Part Number'!$A:$K,5,0)</f>
        <v>346.63</v>
      </c>
      <c r="I155" s="131">
        <f t="shared" si="7"/>
        <v>29810.18</v>
      </c>
    </row>
    <row r="156" spans="2:9" ht="40.200000000000003" x14ac:dyDescent="0.3">
      <c r="B156" s="132" t="s">
        <v>337</v>
      </c>
      <c r="C156" s="119" t="str">
        <f>VLOOKUP(B156,'[1]Product by Part Number'!$A:$K,2,0)</f>
        <v xml:space="preserve">CAT D6N LGP (GHS) CAT D6N LGP (PBA) CAT D6N LGP (PBA) (2) CAT D6N LGP (SGG) CAT D6N LGP (SGG) (2) CAT D6T (MH7)                                  </v>
      </c>
      <c r="D156" s="119" t="str">
        <f>VLOOKUP(B156,'[1]Product by Part Number'!$A:$K,3,0)</f>
        <v>SPROCKET BOLT</v>
      </c>
      <c r="E156" s="120">
        <f>VLOOKUP(B156,'[1]Product by Part Number'!$A:$K,11,0)</f>
        <v>300</v>
      </c>
      <c r="F156" s="121">
        <f>VLOOKUP(B156,'[1]Product by Part Number'!$A:$K,4,0)</f>
        <v>3.14</v>
      </c>
      <c r="G156" s="122">
        <f t="shared" si="6"/>
        <v>942</v>
      </c>
      <c r="H156" s="123">
        <f>VLOOKUP(B156,'[1]Product by Part Number'!$A:$K,5,0)</f>
        <v>1.57</v>
      </c>
      <c r="I156" s="131">
        <f t="shared" si="7"/>
        <v>471</v>
      </c>
    </row>
    <row r="157" spans="2:9" ht="53.4" x14ac:dyDescent="0.3">
      <c r="B157" s="132" t="s">
        <v>338</v>
      </c>
      <c r="C157" s="119" t="str">
        <f>VLOOKUP(B157,'[1]Product by Part Number'!$A:$K,2,0)</f>
        <v xml:space="preserve">CAT D4 (66J) CAT D6 (RDC) CAT D6N LGP (GHS) CAT D6N LGP (SGG) CAT D6N LGP (SGG) (2) CAT D6T (MH7) CAT PL61 (WGS) CAT PL61 (WGS) (2) CAT PL61 (WGS) (3)                            </v>
      </c>
      <c r="D157" s="119" t="str">
        <f>VLOOKUP(B157,'[1]Product by Part Number'!$A:$K,3,0)</f>
        <v>TRACK BOLT</v>
      </c>
      <c r="E157" s="120">
        <f>VLOOKUP(B157,'[1]Product by Part Number'!$A:$K,11,0)</f>
        <v>3088</v>
      </c>
      <c r="F157" s="121">
        <f>VLOOKUP(B157,'[1]Product by Part Number'!$A:$K,4,0)</f>
        <v>5.38</v>
      </c>
      <c r="G157" s="122">
        <f t="shared" si="6"/>
        <v>16613.439999999999</v>
      </c>
      <c r="H157" s="123">
        <f>VLOOKUP(B157,'[1]Product by Part Number'!$A:$K,5,0)</f>
        <v>2.69</v>
      </c>
      <c r="I157" s="131">
        <f t="shared" si="7"/>
        <v>8306.7199999999993</v>
      </c>
    </row>
    <row r="158" spans="2:9" x14ac:dyDescent="0.3">
      <c r="B158" s="132" t="s">
        <v>339</v>
      </c>
      <c r="C158" s="119" t="str">
        <f>VLOOKUP(B158,'[1]Product by Part Number'!$A:$K,2,0)</f>
        <v xml:space="preserve">CAT D6T (MH7)                                            </v>
      </c>
      <c r="D158" s="119" t="str">
        <f>VLOOKUP(B158,'[1]Product by Part Number'!$A:$K,3,0)</f>
        <v>ROLLER BOLT</v>
      </c>
      <c r="E158" s="120">
        <f>VLOOKUP(B158,'[1]Product by Part Number'!$A:$K,11,0)</f>
        <v>64</v>
      </c>
      <c r="F158" s="121">
        <f>VLOOKUP(B158,'[1]Product by Part Number'!$A:$K,4,0)</f>
        <v>13.48</v>
      </c>
      <c r="G158" s="122">
        <f t="shared" si="6"/>
        <v>862.72</v>
      </c>
      <c r="H158" s="123">
        <f>VLOOKUP(B158,'[1]Product by Part Number'!$A:$K,5,0)</f>
        <v>6.74</v>
      </c>
      <c r="I158" s="131">
        <f t="shared" si="7"/>
        <v>431.36</v>
      </c>
    </row>
    <row r="159" spans="2:9" ht="40.200000000000003" x14ac:dyDescent="0.3">
      <c r="B159" s="132" t="s">
        <v>340</v>
      </c>
      <c r="C159" s="119" t="str">
        <f>VLOOKUP(B159,'[1]Product by Part Number'!$A:$K,2,0)</f>
        <v xml:space="preserve">CAT D5 (3CR) CAT D5 (3CR) (2) CAT 561M (1KW) CAT 561N (CPH) CAT 561N (CPH) (2) CAT 561N (CPH) (3) CAT 561N (CPH) (4) CAT 561N (CPH) (5)                              </v>
      </c>
      <c r="D159" s="119" t="str">
        <f>VLOOKUP(B159,'[1]Product by Part Number'!$A:$K,3,0)</f>
        <v>FLAT WASHER</v>
      </c>
      <c r="E159" s="120">
        <f>VLOOKUP(B159,'[1]Product by Part Number'!$A:$K,11,0)</f>
        <v>320</v>
      </c>
      <c r="F159" s="121">
        <f>VLOOKUP(B159,'[1]Product by Part Number'!$A:$K,4,0)</f>
        <v>3.41</v>
      </c>
      <c r="G159" s="122">
        <f t="shared" si="6"/>
        <v>1091.2</v>
      </c>
      <c r="H159" s="123">
        <f>VLOOKUP(B159,'[1]Product by Part Number'!$A:$K,5,0)</f>
        <v>1.71</v>
      </c>
      <c r="I159" s="131">
        <f t="shared" si="7"/>
        <v>547.20000000000005</v>
      </c>
    </row>
    <row r="160" spans="2:9" x14ac:dyDescent="0.3">
      <c r="B160" s="132" t="s">
        <v>341</v>
      </c>
      <c r="C160" s="119" t="str">
        <f>VLOOKUP(B160,'[1]Product by Part Number'!$A:$K,2,0)</f>
        <v xml:space="preserve">CAT D6T (MH7)                                            </v>
      </c>
      <c r="D160" s="119" t="str">
        <f>VLOOKUP(B160,'[1]Product by Part Number'!$A:$K,3,0)</f>
        <v>IDLER CAP BOLT</v>
      </c>
      <c r="E160" s="120">
        <f>VLOOKUP(B160,'[1]Product by Part Number'!$A:$K,11,0)</f>
        <v>16</v>
      </c>
      <c r="F160" s="121">
        <f>VLOOKUP(B160,'[1]Product by Part Number'!$A:$K,4,0)</f>
        <v>27.02</v>
      </c>
      <c r="G160" s="122">
        <f t="shared" si="6"/>
        <v>432.32</v>
      </c>
      <c r="H160" s="123">
        <f>VLOOKUP(B160,'[1]Product by Part Number'!$A:$K,5,0)</f>
        <v>13.51</v>
      </c>
      <c r="I160" s="131">
        <f t="shared" si="7"/>
        <v>216.16</v>
      </c>
    </row>
    <row r="161" spans="2:9" x14ac:dyDescent="0.3">
      <c r="B161" s="132" t="s">
        <v>345</v>
      </c>
      <c r="C161" s="119" t="str">
        <f>VLOOKUP(B161,'[1]Product by Part Number'!$A:$K,2,0)</f>
        <v xml:space="preserve">CAT D6N LGP (PBA) CAT D6N LGP (PBA) (2)                                          </v>
      </c>
      <c r="D161" s="119" t="str">
        <f>VLOOKUP(B161,'[1]Product by Part Number'!$A:$K,3,0)</f>
        <v>TRACK BOLT</v>
      </c>
      <c r="E161" s="120">
        <f>VLOOKUP(B161,'[1]Product by Part Number'!$A:$K,11,0)</f>
        <v>720</v>
      </c>
      <c r="F161" s="121">
        <f>VLOOKUP(B161,'[1]Product by Part Number'!$A:$K,4,0)</f>
        <v>6.32</v>
      </c>
      <c r="G161" s="122">
        <f t="shared" si="6"/>
        <v>4550.4000000000005</v>
      </c>
      <c r="H161" s="123">
        <f>VLOOKUP(B161,'[1]Product by Part Number'!$A:$K,5,0)</f>
        <v>3.16</v>
      </c>
      <c r="I161" s="131">
        <f t="shared" si="7"/>
        <v>2275.1999999999998</v>
      </c>
    </row>
    <row r="162" spans="2:9" ht="40.200000000000003" x14ac:dyDescent="0.3">
      <c r="B162" s="132" t="s">
        <v>346</v>
      </c>
      <c r="C162" s="119" t="str">
        <f>VLOOKUP(B162,'[1]Product by Part Number'!$A:$K,2,0)</f>
        <v xml:space="preserve">CAT 329E L (ZCD) CAT 329F L (ERL) CAT 329F L (ERL) (2) CAT 330F L (MBX) CAT 330F L (HCK) CAT 330F L (HCK) (2)                                  </v>
      </c>
      <c r="D162" s="119" t="str">
        <f>VLOOKUP(B162,'[1]Product by Part Number'!$A:$K,3,0)</f>
        <v>TRACK SHOE 800MM</v>
      </c>
      <c r="E162" s="120">
        <f>VLOOKUP(B162,'[1]Product by Part Number'!$A:$K,11,0)</f>
        <v>600</v>
      </c>
      <c r="F162" s="121">
        <f>VLOOKUP(B162,'[1]Product by Part Number'!$A:$K,4,0)</f>
        <v>230.39</v>
      </c>
      <c r="G162" s="122">
        <f t="shared" si="6"/>
        <v>138234</v>
      </c>
      <c r="H162" s="123">
        <f>VLOOKUP(B162,'[1]Product by Part Number'!$A:$K,5,0)</f>
        <v>115.2</v>
      </c>
      <c r="I162" s="131">
        <f t="shared" si="7"/>
        <v>69120</v>
      </c>
    </row>
    <row r="163" spans="2:9" ht="79.8" x14ac:dyDescent="0.3">
      <c r="B163" s="132" t="s">
        <v>347</v>
      </c>
      <c r="C163" s="119" t="str">
        <f>VLOOKUP(B163,'[1]Product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163" s="119" t="str">
        <f>VLOOKUP(B163,'[1]Product by Part Number'!$A:$K,3,0)</f>
        <v>TRACK SPROCKET</v>
      </c>
      <c r="E163" s="120">
        <f>VLOOKUP(B163,'[1]Product by Part Number'!$A:$K,11,0)</f>
        <v>32</v>
      </c>
      <c r="F163" s="121">
        <f>VLOOKUP(B163,'[1]Product by Part Number'!$A:$K,4,0)</f>
        <v>1259.02</v>
      </c>
      <c r="G163" s="122">
        <f t="shared" si="6"/>
        <v>40288.639999999999</v>
      </c>
      <c r="H163" s="123">
        <f>VLOOKUP(B163,'[1]Product by Part Number'!$A:$K,5,0)</f>
        <v>629.51</v>
      </c>
      <c r="I163" s="131">
        <f t="shared" si="7"/>
        <v>20144.32</v>
      </c>
    </row>
    <row r="164" spans="2:9" x14ac:dyDescent="0.3">
      <c r="B164" s="132" t="s">
        <v>348</v>
      </c>
      <c r="C164" s="119" t="str">
        <f>VLOOKUP(B164,'[1]Product by Part Number'!$A:$K,2,0)</f>
        <v xml:space="preserve">CAT 336F L (RKB)                                            </v>
      </c>
      <c r="D164" s="119" t="str">
        <f>VLOOKUP(B164,'[1]Product by Part Number'!$A:$K,3,0)</f>
        <v>TRACK SPROCKET</v>
      </c>
      <c r="E164" s="120">
        <f>VLOOKUP(B164,'[1]Product by Part Number'!$A:$K,11,0)</f>
        <v>2</v>
      </c>
      <c r="F164" s="121">
        <f>VLOOKUP(B164,'[1]Product by Part Number'!$A:$K,4,0)</f>
        <v>1567.41</v>
      </c>
      <c r="G164" s="122">
        <f t="shared" si="6"/>
        <v>3134.82</v>
      </c>
      <c r="H164" s="123">
        <f>VLOOKUP(B164,'[1]Product by Part Number'!$A:$K,5,0)</f>
        <v>783.71</v>
      </c>
      <c r="I164" s="131">
        <f t="shared" si="7"/>
        <v>1567.42</v>
      </c>
    </row>
    <row r="165" spans="2:9" x14ac:dyDescent="0.3">
      <c r="B165" s="132" t="s">
        <v>349</v>
      </c>
      <c r="C165" s="119" t="str">
        <f>VLOOKUP(B165,'[1]Product by Part Number'!$A:$K,2,0)</f>
        <v xml:space="preserve">CAT D6 (RDC)                                            </v>
      </c>
      <c r="D165" s="119" t="str">
        <f>VLOOKUP(B165,'[1]Product by Part Number'!$A:$K,3,0)</f>
        <v>MASTER SHOE</v>
      </c>
      <c r="E165" s="120">
        <f>VLOOKUP(B165,'[1]Product by Part Number'!$A:$K,11,0)</f>
        <v>2</v>
      </c>
      <c r="F165" s="121">
        <f>VLOOKUP(B165,'[1]Product by Part Number'!$A:$K,4,0)</f>
        <v>240.45</v>
      </c>
      <c r="G165" s="122">
        <f t="shared" si="6"/>
        <v>480.9</v>
      </c>
      <c r="H165" s="123">
        <f>VLOOKUP(B165,'[1]Product by Part Number'!$A:$K,5,0)</f>
        <v>120.23</v>
      </c>
      <c r="I165" s="131">
        <f t="shared" si="7"/>
        <v>240.46</v>
      </c>
    </row>
    <row r="166" spans="2:9" x14ac:dyDescent="0.3">
      <c r="B166" s="132" t="s">
        <v>350</v>
      </c>
      <c r="C166" s="119" t="str">
        <f>VLOOKUP(B166,'[1]Product by Part Number'!$A:$K,2,0)</f>
        <v xml:space="preserve">CAT 336F L (RKB)                                            </v>
      </c>
      <c r="D166" s="119" t="str">
        <f>VLOOKUP(B166,'[1]Product by Part Number'!$A:$K,3,0)</f>
        <v>TRACK SHOE 850MM</v>
      </c>
      <c r="E166" s="120">
        <f>VLOOKUP(B166,'[1]Product by Part Number'!$A:$K,11,0)</f>
        <v>98</v>
      </c>
      <c r="F166" s="121">
        <f>VLOOKUP(B166,'[1]Product by Part Number'!$A:$K,4,0)</f>
        <v>260.58</v>
      </c>
      <c r="G166" s="122">
        <f t="shared" si="6"/>
        <v>25536.84</v>
      </c>
      <c r="H166" s="123">
        <f>VLOOKUP(B166,'[1]Product by Part Number'!$A:$K,5,0)</f>
        <v>130.29</v>
      </c>
      <c r="I166" s="131">
        <f t="shared" si="7"/>
        <v>12768.42</v>
      </c>
    </row>
    <row r="167" spans="2:9" x14ac:dyDescent="0.3">
      <c r="B167" s="132" t="s">
        <v>351</v>
      </c>
      <c r="C167" s="119" t="str">
        <f>VLOOKUP(B167,'[1]Product by Part Number'!$A:$K,2,0)</f>
        <v xml:space="preserve">CAT D6 (RDC)                                            </v>
      </c>
      <c r="D167" s="119" t="str">
        <f>VLOOKUP(B167,'[1]Product by Part Number'!$A:$K,3,0)</f>
        <v>TRACK SHOE</v>
      </c>
      <c r="E167" s="120">
        <f>VLOOKUP(B167,'[1]Product by Part Number'!$A:$K,11,0)</f>
        <v>90</v>
      </c>
      <c r="F167" s="121">
        <f>VLOOKUP(B167,'[1]Product by Part Number'!$A:$K,4,0)</f>
        <v>185.5</v>
      </c>
      <c r="G167" s="122">
        <f t="shared" si="6"/>
        <v>16695</v>
      </c>
      <c r="H167" s="123">
        <f>VLOOKUP(B167,'[1]Product by Part Number'!$A:$K,5,0)</f>
        <v>92.75</v>
      </c>
      <c r="I167" s="131">
        <f t="shared" si="7"/>
        <v>8347.5</v>
      </c>
    </row>
    <row r="168" spans="2:9" ht="53.4" x14ac:dyDescent="0.3">
      <c r="B168" s="132" t="s">
        <v>352</v>
      </c>
      <c r="C168" s="119" t="str">
        <f>VLOOKUP(B168,'[1]Product by Part Number'!$A:$K,2,0)</f>
        <v xml:space="preserve">CAT 330 (LHW) CAT 330 (LHW) (2) CAT 330 (LHW) (3) CAT 330 (LHW) (4) CAT 330 (WCH) CAT 330 (WCH) (2) CAT 330 (WCH) (3) CAT 330 (WCH) (4) CAT 330 (WCH) (5) CAT 330 (WCH) (6)                          </v>
      </c>
      <c r="D168" s="119" t="str">
        <f>VLOOKUP(B168,'[1]Product by Part Number'!$A:$K,3,0)</f>
        <v>TRACK BOLT</v>
      </c>
      <c r="E168" s="120">
        <f>VLOOKUP(B168,'[1]Product by Part Number'!$A:$K,11,0)</f>
        <v>4000</v>
      </c>
      <c r="F168" s="121">
        <f>VLOOKUP(B168,'[1]Product by Part Number'!$A:$K,4,0)</f>
        <v>8.3699999999999992</v>
      </c>
      <c r="G168" s="122">
        <f t="shared" si="6"/>
        <v>33480</v>
      </c>
      <c r="H168" s="123">
        <f>VLOOKUP(B168,'[1]Product by Part Number'!$A:$K,5,0)</f>
        <v>4.1900000000000004</v>
      </c>
      <c r="I168" s="131">
        <f t="shared" si="7"/>
        <v>16760</v>
      </c>
    </row>
    <row r="169" spans="2:9" x14ac:dyDescent="0.3">
      <c r="B169" s="132" t="s">
        <v>438</v>
      </c>
      <c r="C169" s="119" t="str">
        <f>VLOOKUP(B169,'[1]Product by Part Number'!$A:$K,2,0)</f>
        <v xml:space="preserve">CAT 561 (85H) CAT 561 (92J) CAT 561 (92J) (2)                                        </v>
      </c>
      <c r="D169" s="119" t="str">
        <f>VLOOKUP(B169,'[1]Product by Part Number'!$A:$K,3,0)</f>
        <v>BOLT TRACK SHOE</v>
      </c>
      <c r="E169" s="120">
        <f>VLOOKUP(B169,'[1]Product by Part Number'!$A:$K,11,0)</f>
        <v>1086</v>
      </c>
      <c r="F169" s="121">
        <f>VLOOKUP(B169,'[1]Product by Part Number'!$A:$K,4,0)</f>
        <v>2.84</v>
      </c>
      <c r="G169" s="122">
        <f t="shared" si="6"/>
        <v>3084.24</v>
      </c>
      <c r="H169" s="123">
        <f>VLOOKUP(B169,'[1]Product by Part Number'!$A:$K,5,0)</f>
        <v>1.42</v>
      </c>
      <c r="I169" s="131">
        <f t="shared" si="7"/>
        <v>1542.12</v>
      </c>
    </row>
    <row r="170" spans="2:9" x14ac:dyDescent="0.3">
      <c r="B170" s="132" t="s">
        <v>354</v>
      </c>
      <c r="C170" s="119" t="str">
        <f>VLOOKUP(B170,'[1]Product by Part Number'!$A:$K,2,0)</f>
        <v xml:space="preserve">CAT D7G (92V) CAT D7G (3ZD) CAT D7G (3ZD) (2)                                        </v>
      </c>
      <c r="D170" s="119" t="str">
        <f>VLOOKUP(B170,'[1]Product by Part Number'!$A:$K,3,0)</f>
        <v>TRACK BOLT</v>
      </c>
      <c r="E170" s="120">
        <f>VLOOKUP(B170,'[1]Product by Part Number'!$A:$K,11,0)</f>
        <v>888</v>
      </c>
      <c r="F170" s="121">
        <f>VLOOKUP(B170,'[1]Product by Part Number'!$A:$K,4,0)</f>
        <v>4.01</v>
      </c>
      <c r="G170" s="122">
        <f t="shared" si="6"/>
        <v>3560.8799999999997</v>
      </c>
      <c r="H170" s="123">
        <f>VLOOKUP(B170,'[1]Product by Part Number'!$A:$K,5,0)</f>
        <v>2.0099999999999998</v>
      </c>
      <c r="I170" s="131">
        <f t="shared" si="7"/>
        <v>1784.88</v>
      </c>
    </row>
    <row r="171" spans="2:9" ht="119.4" x14ac:dyDescent="0.3">
      <c r="B171" s="132" t="s">
        <v>355</v>
      </c>
      <c r="C171" s="119" t="str">
        <f>VLOOKUP(B171,'[1]Product by Part Number'!$A:$K,2,0)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171" s="119" t="str">
        <f>VLOOKUP(B171,'[1]Product by Part Number'!$A:$K,3,0)</f>
        <v>SPROCKET NUT</v>
      </c>
      <c r="E171" s="120">
        <f>VLOOKUP(B171,'[1]Product by Part Number'!$A:$K,11,0)</f>
        <v>1064</v>
      </c>
      <c r="F171" s="121">
        <f>VLOOKUP(B171,'[1]Product by Part Number'!$A:$K,4,0)</f>
        <v>3.41</v>
      </c>
      <c r="G171" s="122">
        <f t="shared" si="6"/>
        <v>3628.2400000000002</v>
      </c>
      <c r="H171" s="123">
        <f>VLOOKUP(B171,'[1]Product by Part Number'!$A:$K,5,0)</f>
        <v>1.71</v>
      </c>
      <c r="I171" s="131">
        <f t="shared" si="7"/>
        <v>1819.44</v>
      </c>
    </row>
    <row r="172" spans="2:9" x14ac:dyDescent="0.3">
      <c r="B172" s="132" t="s">
        <v>356</v>
      </c>
      <c r="C172" s="119" t="str">
        <f>VLOOKUP(B172,'[1]Product by Part Number'!$A:$K,2,0)</f>
        <v xml:space="preserve">CAT D3 (1PJ)                                            </v>
      </c>
      <c r="D172" s="119" t="str">
        <f>VLOOKUP(B172,'[1]Product by Part Number'!$A:$K,3,0)</f>
        <v>TRACK NUT</v>
      </c>
      <c r="E172" s="120">
        <f>VLOOKUP(B172,'[1]Product by Part Number'!$A:$K,11,0)</f>
        <v>344</v>
      </c>
      <c r="F172" s="121">
        <f>VLOOKUP(B172,'[1]Product by Part Number'!$A:$K,4,0)</f>
        <v>1.47</v>
      </c>
      <c r="G172" s="122">
        <f t="shared" si="6"/>
        <v>505.68</v>
      </c>
      <c r="H172" s="123">
        <f>VLOOKUP(B172,'[1]Product by Part Number'!$A:$K,5,0)</f>
        <v>0.74</v>
      </c>
      <c r="I172" s="131">
        <f t="shared" si="7"/>
        <v>254.56</v>
      </c>
    </row>
    <row r="173" spans="2:9" x14ac:dyDescent="0.3">
      <c r="B173" s="132" t="s">
        <v>439</v>
      </c>
      <c r="C173" s="119" t="str">
        <f>VLOOKUP(B173,'[1]Product by Part Number'!$A:$K,2,0)</f>
        <v xml:space="preserve">CAT 561 (85H) CAT 561 (92J) CAT 561 (92J) (2)                                        </v>
      </c>
      <c r="D173" s="119" t="str">
        <f>VLOOKUP(B173,'[1]Product by Part Number'!$A:$K,3,0)</f>
        <v>IDLER AS</v>
      </c>
      <c r="E173" s="120">
        <f>VLOOKUP(B173,'[1]Product by Part Number'!$A:$K,11,0)</f>
        <v>12</v>
      </c>
      <c r="F173" s="121">
        <f>VLOOKUP(B173,'[1]Product by Part Number'!$A:$K,4,0)</f>
        <v>2106.39</v>
      </c>
      <c r="G173" s="122">
        <f t="shared" si="6"/>
        <v>25276.68</v>
      </c>
      <c r="H173" s="123">
        <f>VLOOKUP(B173,'[1]Product by Part Number'!$A:$K,5,0)</f>
        <v>1053.2</v>
      </c>
      <c r="I173" s="131">
        <f t="shared" si="7"/>
        <v>12638.4</v>
      </c>
    </row>
    <row r="174" spans="2:9" x14ac:dyDescent="0.3">
      <c r="B174" s="132" t="s">
        <v>361</v>
      </c>
      <c r="C174" s="119" t="str">
        <f>VLOOKUP(B174,'[1]Product by Part Number'!$A:$K,2,0)</f>
        <v xml:space="preserve">CAT 303.5E                                            </v>
      </c>
      <c r="D174" s="119" t="str">
        <f>VLOOKUP(B174,'[1]Product by Part Number'!$A:$K,3,0)</f>
        <v>TRACK WASHER</v>
      </c>
      <c r="E174" s="120">
        <f>VLOOKUP(B174,'[1]Product by Part Number'!$A:$K,11,0)</f>
        <v>20</v>
      </c>
      <c r="F174" s="121">
        <f>VLOOKUP(B174,'[1]Product by Part Number'!$A:$K,4,0)</f>
        <v>5.59</v>
      </c>
      <c r="G174" s="122">
        <f t="shared" si="6"/>
        <v>111.8</v>
      </c>
      <c r="H174" s="123">
        <f>VLOOKUP(B174,'[1]Product by Part Number'!$A:$K,5,0)</f>
        <v>2.8</v>
      </c>
      <c r="I174" s="131">
        <f t="shared" si="7"/>
        <v>56</v>
      </c>
    </row>
    <row r="175" spans="2:9" ht="27" x14ac:dyDescent="0.3">
      <c r="B175" s="132" t="s">
        <v>362</v>
      </c>
      <c r="C175" s="119" t="str">
        <f>VLOOKUP(B175,'[1]Product by Part Number'!$A:$K,2,0)</f>
        <v xml:space="preserve">CAT D6N LGP (PBA) CAT D6N LGP (PBA) (2) CAT D6N LGP (SGG) CAT D6N LGP (SGG) (2)                                      </v>
      </c>
      <c r="D175" s="119" t="str">
        <f>VLOOKUP(B175,'[1]Product by Part Number'!$A:$K,3,0)</f>
        <v>CARRIER BOLT</v>
      </c>
      <c r="E175" s="120">
        <f>VLOOKUP(B175,'[1]Product by Part Number'!$A:$K,11,0)</f>
        <v>16</v>
      </c>
      <c r="F175" s="121">
        <f>VLOOKUP(B175,'[1]Product by Part Number'!$A:$K,4,0)</f>
        <v>31.3</v>
      </c>
      <c r="G175" s="122">
        <f t="shared" si="6"/>
        <v>500.8</v>
      </c>
      <c r="H175" s="123">
        <f>VLOOKUP(B175,'[1]Product by Part Number'!$A:$K,5,0)</f>
        <v>15.65</v>
      </c>
      <c r="I175" s="131">
        <f t="shared" si="7"/>
        <v>250.4</v>
      </c>
    </row>
    <row r="176" spans="2:9" ht="40.200000000000003" x14ac:dyDescent="0.3">
      <c r="B176" s="132" t="s">
        <v>363</v>
      </c>
      <c r="C176" s="119" t="str">
        <f>VLOOKUP(B176,'[1]Product by Part Number'!$A:$K,2,0)</f>
        <v xml:space="preserve">CAT 320E L (WBK) CAT 320E L (WBK) (2) CAT 320F L (YBM) CAT 320 (HEX) CAT 320 (MYK) CAT 320 (MYK) (2)                                  </v>
      </c>
      <c r="D176" s="119" t="str">
        <f>VLOOKUP(B176,'[1]Product by Part Number'!$A:$K,3,0)</f>
        <v>CARRIER ROLLER</v>
      </c>
      <c r="E176" s="120">
        <f>VLOOKUP(B176,'[1]Product by Part Number'!$A:$K,11,0)</f>
        <v>24</v>
      </c>
      <c r="F176" s="121">
        <f>VLOOKUP(B176,'[1]Product by Part Number'!$A:$K,4,0)</f>
        <v>537.45000000000005</v>
      </c>
      <c r="G176" s="122">
        <f t="shared" si="6"/>
        <v>12898.800000000001</v>
      </c>
      <c r="H176" s="123">
        <f>VLOOKUP(B176,'[1]Product by Part Number'!$A:$K,5,0)</f>
        <v>268.73</v>
      </c>
      <c r="I176" s="131">
        <f t="shared" si="7"/>
        <v>6449.52</v>
      </c>
    </row>
    <row r="177" spans="2:9" ht="40.200000000000003" x14ac:dyDescent="0.3">
      <c r="B177" s="132" t="s">
        <v>368</v>
      </c>
      <c r="C177" s="119" t="str">
        <f>VLOOKUP(B177,'[1]Product by Part Number'!$A:$K,2,0)</f>
        <v xml:space="preserve">CAT 320E L (WBK) CAT 320E L (WBK) (2) CAT 320F L (YBM) CAT 320 (HEX) CAT 320 (MYK) CAT 320 (MYK) (2)                                  </v>
      </c>
      <c r="D177" s="119" t="str">
        <f>VLOOKUP(B177,'[1]Product by Part Number'!$A:$K,3,0)</f>
        <v>TRACK SPROCKET</v>
      </c>
      <c r="E177" s="120">
        <f>VLOOKUP(B177,'[1]Product by Part Number'!$A:$K,11,0)</f>
        <v>12</v>
      </c>
      <c r="F177" s="121">
        <f>VLOOKUP(B177,'[1]Product by Part Number'!$A:$K,4,0)</f>
        <v>1064.58</v>
      </c>
      <c r="G177" s="122">
        <f t="shared" si="6"/>
        <v>12774.96</v>
      </c>
      <c r="H177" s="123">
        <f>VLOOKUP(B177,'[1]Product by Part Number'!$A:$K,5,0)</f>
        <v>532.29</v>
      </c>
      <c r="I177" s="131">
        <f t="shared" si="7"/>
        <v>6387.48</v>
      </c>
    </row>
    <row r="178" spans="2:9" x14ac:dyDescent="0.3">
      <c r="B178" s="132" t="s">
        <v>440</v>
      </c>
      <c r="C178" s="119" t="str">
        <f>VLOOKUP(B178,'[1]Product by Part Number'!$A:$K,2,0)</f>
        <v xml:space="preserve">CAT 561M (1KW)                                            </v>
      </c>
      <c r="D178" s="119" t="str">
        <f>VLOOKUP(B178,'[1]Product by Part Number'!$A:$K,3,0)</f>
        <v>TRACK SHOE</v>
      </c>
      <c r="E178" s="120">
        <f>VLOOKUP(B178,'[1]Product by Part Number'!$A:$K,11,0)</f>
        <v>88</v>
      </c>
      <c r="F178" s="121">
        <f>VLOOKUP(B178,'[1]Product by Part Number'!$A:$K,4,0)</f>
        <v>89.36</v>
      </c>
      <c r="G178" s="122">
        <f t="shared" si="6"/>
        <v>7863.68</v>
      </c>
      <c r="H178" s="123">
        <f>VLOOKUP(B178,'[1]Product by Part Number'!$A:$K,5,0)</f>
        <v>44.68</v>
      </c>
      <c r="I178" s="131">
        <f t="shared" si="7"/>
        <v>3931.84</v>
      </c>
    </row>
    <row r="179" spans="2:9" x14ac:dyDescent="0.3">
      <c r="B179" s="132" t="s">
        <v>369</v>
      </c>
      <c r="C179" s="119" t="str">
        <f>VLOOKUP(B179,'[1]Product by Part Number'!$A:$K,2,0)</f>
        <v xml:space="preserve">CAT D3 (1PJ)                                            </v>
      </c>
      <c r="D179" s="119" t="str">
        <f>VLOOKUP(B179,'[1]Product by Part Number'!$A:$K,3,0)</f>
        <v>SPROCKET NUT</v>
      </c>
      <c r="E179" s="120">
        <f>VLOOKUP(B179,'[1]Product by Part Number'!$A:$K,11,0)</f>
        <v>50</v>
      </c>
      <c r="F179" s="121">
        <f>VLOOKUP(B179,'[1]Product by Part Number'!$A:$K,4,0)</f>
        <v>0.67</v>
      </c>
      <c r="G179" s="122">
        <f t="shared" si="6"/>
        <v>33.5</v>
      </c>
      <c r="H179" s="123">
        <f>VLOOKUP(B179,'[1]Product by Part Number'!$A:$K,5,0)</f>
        <v>0.34</v>
      </c>
      <c r="I179" s="131">
        <f t="shared" si="7"/>
        <v>17</v>
      </c>
    </row>
    <row r="180" spans="2:9" x14ac:dyDescent="0.3">
      <c r="B180" s="132" t="s">
        <v>375</v>
      </c>
      <c r="C180" s="119" t="str">
        <f>VLOOKUP(B180,'[1]Product by Part Number'!$A:$K,2,0)</f>
        <v xml:space="preserve">CAT D7G (92V) CAT D7G (3ZD) CAT D7G (3ZD) (2)                                        </v>
      </c>
      <c r="D180" s="119" t="str">
        <f>VLOOKUP(B180,'[1]Product by Part Number'!$A:$K,3,0)</f>
        <v>SPROCKET SEGMENT</v>
      </c>
      <c r="E180" s="120">
        <f>VLOOKUP(B180,'[1]Product by Part Number'!$A:$K,11,0)</f>
        <v>30</v>
      </c>
      <c r="F180" s="121">
        <f>VLOOKUP(B180,'[1]Product by Part Number'!$A:$K,4,0)</f>
        <v>111.66</v>
      </c>
      <c r="G180" s="122">
        <f t="shared" si="6"/>
        <v>3349.7999999999997</v>
      </c>
      <c r="H180" s="123">
        <f>VLOOKUP(B180,'[1]Product by Part Number'!$A:$K,5,0)</f>
        <v>55.83</v>
      </c>
      <c r="I180" s="131">
        <f t="shared" si="7"/>
        <v>1674.9</v>
      </c>
    </row>
    <row r="181" spans="2:9" ht="27" x14ac:dyDescent="0.3">
      <c r="B181" s="132" t="s">
        <v>376</v>
      </c>
      <c r="C181" s="119" t="str">
        <f>VLOOKUP(B181,'[1]Product by Part Number'!$A:$K,2,0)</f>
        <v xml:space="preserve">CAT D6N LGP (PBA) CAT D6N LGP (PBA) (2) CAT D6N LGP (SGG) CAT D6N LGP (SGG) (2)                                      </v>
      </c>
      <c r="D181" s="119" t="str">
        <f>VLOOKUP(B181,'[1]Product by Part Number'!$A:$K,3,0)</f>
        <v>ROLLER BOLT</v>
      </c>
      <c r="E181" s="120">
        <f>VLOOKUP(B181,'[1]Product by Part Number'!$A:$K,11,0)</f>
        <v>256</v>
      </c>
      <c r="F181" s="121">
        <f>VLOOKUP(B181,'[1]Product by Part Number'!$A:$K,4,0)</f>
        <v>8.73</v>
      </c>
      <c r="G181" s="122">
        <f t="shared" si="6"/>
        <v>2234.88</v>
      </c>
      <c r="H181" s="123">
        <f>VLOOKUP(B181,'[1]Product by Part Number'!$A:$K,5,0)</f>
        <v>4.37</v>
      </c>
      <c r="I181" s="131">
        <f t="shared" si="7"/>
        <v>1118.72</v>
      </c>
    </row>
    <row r="182" spans="2:9" ht="27" x14ac:dyDescent="0.3">
      <c r="B182" s="132" t="s">
        <v>377</v>
      </c>
      <c r="C182" s="119" t="str">
        <f>VLOOKUP(B182,'[1]Product by Part Number'!$A:$K,2,0)</f>
        <v xml:space="preserve">CAT D6N LGP (SGG) CAT D6N LGP (SGG) (2) CAT 561M (1KW)                                        </v>
      </c>
      <c r="D182" s="119" t="str">
        <f>VLOOKUP(B182,'[1]Product by Part Number'!$A:$K,3,0)</f>
        <v>IDLER CAP BOLT - REAR</v>
      </c>
      <c r="E182" s="120">
        <f>VLOOKUP(B182,'[1]Product by Part Number'!$A:$K,11,0)</f>
        <v>32</v>
      </c>
      <c r="F182" s="121">
        <f>VLOOKUP(B182,'[1]Product by Part Number'!$A:$K,4,0)</f>
        <v>12.9</v>
      </c>
      <c r="G182" s="122">
        <f t="shared" si="6"/>
        <v>412.8</v>
      </c>
      <c r="H182" s="123">
        <f>VLOOKUP(B182,'[1]Product by Part Number'!$A:$K,5,0)</f>
        <v>6.45</v>
      </c>
      <c r="I182" s="131">
        <f t="shared" si="7"/>
        <v>206.4</v>
      </c>
    </row>
    <row r="183" spans="2:9" x14ac:dyDescent="0.3">
      <c r="B183" s="132" t="s">
        <v>378</v>
      </c>
      <c r="C183" s="119" t="str">
        <f>VLOOKUP(B183,'[1]Product by Part Number'!$A:$K,2,0)</f>
        <v xml:space="preserve">CAT D6N LGP (SGG) CAT D6N LGP (SGG) (2)                                          </v>
      </c>
      <c r="D183" s="119" t="str">
        <f>VLOOKUP(B183,'[1]Product by Part Number'!$A:$K,3,0)</f>
        <v xml:space="preserve">IDLER CAP BOLT - FRONT </v>
      </c>
      <c r="E183" s="120">
        <f>VLOOKUP(B183,'[1]Product by Part Number'!$A:$K,11,0)</f>
        <v>16</v>
      </c>
      <c r="F183" s="121">
        <f>VLOOKUP(B183,'[1]Product by Part Number'!$A:$K,4,0)</f>
        <v>14.24</v>
      </c>
      <c r="G183" s="122">
        <f t="shared" si="6"/>
        <v>227.84</v>
      </c>
      <c r="H183" s="123">
        <f>VLOOKUP(B183,'[1]Product by Part Number'!$A:$K,5,0)</f>
        <v>7.12</v>
      </c>
      <c r="I183" s="131">
        <f t="shared" si="7"/>
        <v>113.92</v>
      </c>
    </row>
    <row r="184" spans="2:9" x14ac:dyDescent="0.3">
      <c r="B184" s="132" t="s">
        <v>379</v>
      </c>
      <c r="C184" s="119" t="str">
        <f>VLOOKUP(B184,'[1]Product by Part Number'!$A:$K,2,0)</f>
        <v xml:space="preserve">CAT D6 (RDC)                                            </v>
      </c>
      <c r="D184" s="119" t="str">
        <f>VLOOKUP(B184,'[1]Product by Part Number'!$A:$K,3,0)</f>
        <v>IDLER BOLT</v>
      </c>
      <c r="E184" s="120">
        <f>VLOOKUP(B184,'[1]Product by Part Number'!$A:$K,11,0)</f>
        <v>16</v>
      </c>
      <c r="F184" s="121">
        <f>VLOOKUP(B184,'[1]Product by Part Number'!$A:$K,4,0)</f>
        <v>25.19</v>
      </c>
      <c r="G184" s="122">
        <f t="shared" si="6"/>
        <v>403.04</v>
      </c>
      <c r="H184" s="123">
        <f>VLOOKUP(B184,'[1]Product by Part Number'!$A:$K,5,0)</f>
        <v>12.6</v>
      </c>
      <c r="I184" s="131">
        <f t="shared" si="7"/>
        <v>201.6</v>
      </c>
    </row>
    <row r="185" spans="2:9" ht="93" x14ac:dyDescent="0.3">
      <c r="B185" s="132" t="s">
        <v>380</v>
      </c>
      <c r="C185" s="119" t="str">
        <f>VLOOKUP(B185,'[1]Product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185" s="119" t="str">
        <f>VLOOKUP(B185,'[1]Product by Part Number'!$A:$K,3,0)</f>
        <v>FLAT WASHER</v>
      </c>
      <c r="E185" s="120">
        <f>VLOOKUP(B185,'[1]Product by Part Number'!$A:$K,11,0)</f>
        <v>656</v>
      </c>
      <c r="F185" s="121">
        <f>VLOOKUP(B185,'[1]Product by Part Number'!$A:$K,4,0)</f>
        <v>2.83</v>
      </c>
      <c r="G185" s="122">
        <f t="shared" si="6"/>
        <v>1856.48</v>
      </c>
      <c r="H185" s="123">
        <f>VLOOKUP(B185,'[1]Product by Part Number'!$A:$K,5,0)</f>
        <v>1.42</v>
      </c>
      <c r="I185" s="131">
        <f t="shared" si="7"/>
        <v>931.52</v>
      </c>
    </row>
    <row r="186" spans="2:9" ht="40.200000000000003" x14ac:dyDescent="0.3">
      <c r="B186" s="132" t="s">
        <v>381</v>
      </c>
      <c r="C186" s="119" t="str">
        <f>VLOOKUP(B186,'[1]Product by Part Number'!$A:$K,2,0)</f>
        <v xml:space="preserve">CAT D6 (RDC) CAT D6N LGP (PBA) CAT D6N LGP (PBA) (2) CAT D6N LGP (SGG) CAT D6N LGP (SGG) (2) CAT D6T (MH7)                                  </v>
      </c>
      <c r="D186" s="119" t="str">
        <f>VLOOKUP(B186,'[1]Product by Part Number'!$A:$K,3,0)</f>
        <v>FLAT WASHER</v>
      </c>
      <c r="E186" s="120">
        <f>VLOOKUP(B186,'[1]Product by Part Number'!$A:$K,11,0)</f>
        <v>40</v>
      </c>
      <c r="F186" s="121">
        <f>VLOOKUP(B186,'[1]Product by Part Number'!$A:$K,4,0)</f>
        <v>3.56</v>
      </c>
      <c r="G186" s="122">
        <f t="shared" si="6"/>
        <v>142.4</v>
      </c>
      <c r="H186" s="123">
        <f>VLOOKUP(B186,'[1]Product by Part Number'!$A:$K,5,0)</f>
        <v>1.78</v>
      </c>
      <c r="I186" s="131">
        <f t="shared" si="7"/>
        <v>71.2</v>
      </c>
    </row>
    <row r="187" spans="2:9" ht="27" x14ac:dyDescent="0.3">
      <c r="B187" s="132" t="s">
        <v>382</v>
      </c>
      <c r="C187" s="119" t="str">
        <f>VLOOKUP(B187,'[1]Product by Part Number'!$A:$K,2,0)</f>
        <v xml:space="preserve">CAT D6N LGP (PBA) CAT D6N LGP (PBA) (2) CAT D6N LGP (SGG) CAT D6N LGP (SGG) (2)                                      </v>
      </c>
      <c r="D187" s="119" t="str">
        <f>VLOOKUP(B187,'[1]Product by Part Number'!$A:$K,3,0)</f>
        <v>HEX NUT</v>
      </c>
      <c r="E187" s="120">
        <f>VLOOKUP(B187,'[1]Product by Part Number'!$A:$K,11,0)</f>
        <v>16</v>
      </c>
      <c r="F187" s="121">
        <f>VLOOKUP(B187,'[1]Product by Part Number'!$A:$K,4,0)</f>
        <v>6.85</v>
      </c>
      <c r="G187" s="122">
        <f t="shared" si="6"/>
        <v>109.6</v>
      </c>
      <c r="H187" s="123">
        <f>VLOOKUP(B187,'[1]Product by Part Number'!$A:$K,5,0)</f>
        <v>3.43</v>
      </c>
      <c r="I187" s="131">
        <f t="shared" si="7"/>
        <v>54.88</v>
      </c>
    </row>
    <row r="188" spans="2:9" x14ac:dyDescent="0.3">
      <c r="B188" s="132" t="s">
        <v>383</v>
      </c>
      <c r="C188" s="119" t="str">
        <f>VLOOKUP(B188,'[1]Product by Part Number'!$A:$K,2,0)</f>
        <v xml:space="preserve">CAT 303.5E                                            </v>
      </c>
      <c r="D188" s="119" t="str">
        <f>VLOOKUP(B188,'[1]Product by Part Number'!$A:$K,3,0)</f>
        <v>CARIER NUT</v>
      </c>
      <c r="E188" s="120">
        <f>VLOOKUP(B188,'[1]Product by Part Number'!$A:$K,11,0)</f>
        <v>4</v>
      </c>
      <c r="F188" s="121">
        <f>VLOOKUP(B188,'[1]Product by Part Number'!$A:$K,4,0)</f>
        <v>3.77</v>
      </c>
      <c r="G188" s="122">
        <f t="shared" si="6"/>
        <v>15.08</v>
      </c>
      <c r="H188" s="123">
        <f>VLOOKUP(B188,'[1]Product by Part Number'!$A:$K,5,0)</f>
        <v>1.89</v>
      </c>
      <c r="I188" s="131">
        <f t="shared" si="7"/>
        <v>7.56</v>
      </c>
    </row>
    <row r="189" spans="2:9" ht="27" x14ac:dyDescent="0.3">
      <c r="B189" s="132" t="s">
        <v>384</v>
      </c>
      <c r="C189" s="119" t="str">
        <f>VLOOKUP(B189,'[1]Product by Part Number'!$A:$K,2,0)</f>
        <v xml:space="preserve">CAT D6N LGP (GHS) CAT D6N LGP (PBA) CAT D6N LGP (PBA) (2) CAT D6N LGP (SGG) CAT D6N LGP (SGG) (2)                                    </v>
      </c>
      <c r="D189" s="119" t="str">
        <f>VLOOKUP(B189,'[1]Product by Part Number'!$A:$K,3,0)</f>
        <v>HEX HEAD BOLT</v>
      </c>
      <c r="E189" s="120">
        <f>VLOOKUP(B189,'[1]Product by Part Number'!$A:$K,11,0)</f>
        <v>120</v>
      </c>
      <c r="F189" s="121">
        <f>VLOOKUP(B189,'[1]Product by Part Number'!$A:$K,4,0)</f>
        <v>2.42</v>
      </c>
      <c r="G189" s="122">
        <f t="shared" si="6"/>
        <v>290.39999999999998</v>
      </c>
      <c r="H189" s="123">
        <f>VLOOKUP(B189,'[1]Product by Part Number'!$A:$K,5,0)</f>
        <v>1.21</v>
      </c>
      <c r="I189" s="131">
        <f t="shared" si="7"/>
        <v>145.19999999999999</v>
      </c>
    </row>
    <row r="190" spans="2:9" ht="27" x14ac:dyDescent="0.3">
      <c r="B190" s="132" t="s">
        <v>385</v>
      </c>
      <c r="C190" s="119" t="str">
        <f>VLOOKUP(B190,'[1]Product by Part Number'!$A:$K,2,0)</f>
        <v xml:space="preserve">CAT D6N LGP (GHS) CAT D6N LGP (PBA) CAT D6N LGP (PBA) (2) CAT D6N LGP (SGG) CAT D6N LGP (SGG) (2)                                    </v>
      </c>
      <c r="D190" s="119" t="str">
        <f>VLOOKUP(B190,'[1]Product by Part Number'!$A:$K,3,0)</f>
        <v>FLAT WASHER</v>
      </c>
      <c r="E190" s="120">
        <f>VLOOKUP(B190,'[1]Product by Part Number'!$A:$K,11,0)</f>
        <v>132</v>
      </c>
      <c r="F190" s="121">
        <f>VLOOKUP(B190,'[1]Product by Part Number'!$A:$K,4,0)</f>
        <v>2.15</v>
      </c>
      <c r="G190" s="122">
        <f t="shared" ref="G190:G205" si="8">E190*F190</f>
        <v>283.8</v>
      </c>
      <c r="H190" s="123">
        <f>VLOOKUP(B190,'[1]Product by Part Number'!$A:$K,5,0)</f>
        <v>1.08</v>
      </c>
      <c r="I190" s="131">
        <f t="shared" ref="I190:I205" si="9">ROUND(E190*H190,2)</f>
        <v>142.56</v>
      </c>
    </row>
    <row r="191" spans="2:9" x14ac:dyDescent="0.3">
      <c r="B191" s="132" t="s">
        <v>386</v>
      </c>
      <c r="C191" s="119" t="str">
        <f>VLOOKUP(B191,'[1]Product by Part Number'!$A:$K,2,0)</f>
        <v xml:space="preserve">CAT 336F L (RKB)                                            </v>
      </c>
      <c r="D191" s="119" t="str">
        <f>VLOOKUP(B191,'[1]Product by Part Number'!$A:$K,3,0)</f>
        <v>IDLER BOLT</v>
      </c>
      <c r="E191" s="120">
        <f>VLOOKUP(B191,'[1]Product by Part Number'!$A:$K,11,0)</f>
        <v>8</v>
      </c>
      <c r="F191" s="121">
        <f>VLOOKUP(B191,'[1]Product by Part Number'!$A:$K,4,0)</f>
        <v>12.21</v>
      </c>
      <c r="G191" s="122">
        <f t="shared" si="8"/>
        <v>97.68</v>
      </c>
      <c r="H191" s="123">
        <f>VLOOKUP(B191,'[1]Product by Part Number'!$A:$K,5,0)</f>
        <v>6.11</v>
      </c>
      <c r="I191" s="131">
        <f t="shared" si="9"/>
        <v>48.88</v>
      </c>
    </row>
    <row r="192" spans="2:9" x14ac:dyDescent="0.3">
      <c r="B192" s="132" t="s">
        <v>387</v>
      </c>
      <c r="C192" s="119" t="str">
        <f>VLOOKUP(B192,'[1]Product by Part Number'!$A:$K,2,0)</f>
        <v xml:space="preserve">CAT 303.5E CAT 303.5E                                          </v>
      </c>
      <c r="D192" s="119" t="str">
        <f>VLOOKUP(B192,'[1]Product by Part Number'!$A:$K,3,0)</f>
        <v>CARRIER BOLT</v>
      </c>
      <c r="E192" s="120">
        <f>VLOOKUP(B192,'[1]Product by Part Number'!$A:$K,11,0)</f>
        <v>18</v>
      </c>
      <c r="F192" s="121">
        <f>VLOOKUP(B192,'[1]Product by Part Number'!$A:$K,4,0)</f>
        <v>7.14</v>
      </c>
      <c r="G192" s="122">
        <f t="shared" si="8"/>
        <v>128.51999999999998</v>
      </c>
      <c r="H192" s="123">
        <f>VLOOKUP(B192,'[1]Product by Part Number'!$A:$K,5,0)</f>
        <v>3.57</v>
      </c>
      <c r="I192" s="131">
        <f t="shared" si="9"/>
        <v>64.260000000000005</v>
      </c>
    </row>
    <row r="193" spans="2:9" ht="40.200000000000003" x14ac:dyDescent="0.3">
      <c r="B193" s="132" t="s">
        <v>390</v>
      </c>
      <c r="C193" s="119" t="str">
        <f>VLOOKUP(B193,'[1]Product by Part Number'!$A:$K,2,0)</f>
        <v xml:space="preserve">CAT D5 (3CR) CAT D5 (3CR) (2) CAT 561M (1KW) CAT 561N (CPH) CAT 561N (CPH) (2) CAT 561N (CPH) (3) CAT 561N (CPH) (4) CAT 561N (CPH) (5)                              </v>
      </c>
      <c r="D193" s="119" t="str">
        <f>VLOOKUP(B193,'[1]Product by Part Number'!$A:$K,3,0)</f>
        <v>TRACK BOLT</v>
      </c>
      <c r="E193" s="120">
        <f>VLOOKUP(B193,'[1]Product by Part Number'!$A:$K,11,0)</f>
        <v>950</v>
      </c>
      <c r="F193" s="121">
        <f>VLOOKUP(B193,'[1]Product by Part Number'!$A:$K,4,0)</f>
        <v>3.12</v>
      </c>
      <c r="G193" s="122">
        <f t="shared" si="8"/>
        <v>2964</v>
      </c>
      <c r="H193" s="123">
        <f>VLOOKUP(B193,'[1]Product by Part Number'!$A:$K,5,0)</f>
        <v>1.56</v>
      </c>
      <c r="I193" s="131">
        <f t="shared" si="9"/>
        <v>1482</v>
      </c>
    </row>
    <row r="194" spans="2:9" ht="40.200000000000003" x14ac:dyDescent="0.3">
      <c r="B194" s="132" t="s">
        <v>391</v>
      </c>
      <c r="C194" s="119" t="str">
        <f>VLOOKUP(B194,'[1]Product by Part Number'!$A:$K,2,0)</f>
        <v xml:space="preserve">CAT D5 (3CR) CAT D5 (3CR) (2) CAT 561M (1KW) CAT 561N (CPH) CAT 561N (CPH) (2) CAT 561N (CPH) (3) CAT 561N (CPH) (4) CAT 561N (CPH) (5)                              </v>
      </c>
      <c r="D194" s="119" t="str">
        <f>VLOOKUP(B194,'[1]Product by Part Number'!$A:$K,3,0)</f>
        <v>TRACK BOLT MASTER</v>
      </c>
      <c r="E194" s="120">
        <f>VLOOKUP(B194,'[1]Product by Part Number'!$A:$K,11,0)</f>
        <v>18</v>
      </c>
      <c r="F194" s="121">
        <f>VLOOKUP(B194,'[1]Product by Part Number'!$A:$K,4,0)</f>
        <v>5.25</v>
      </c>
      <c r="G194" s="122">
        <f t="shared" si="8"/>
        <v>94.5</v>
      </c>
      <c r="H194" s="123">
        <f>VLOOKUP(B194,'[1]Product by Part Number'!$A:$K,5,0)</f>
        <v>2.63</v>
      </c>
      <c r="I194" s="131">
        <f t="shared" si="9"/>
        <v>47.34</v>
      </c>
    </row>
    <row r="195" spans="2:9" x14ac:dyDescent="0.3">
      <c r="B195" s="132" t="s">
        <v>395</v>
      </c>
      <c r="C195" s="119" t="str">
        <f>VLOOKUP(B195,'[1]Product by Part Number'!$A:$K,2,0)</f>
        <v xml:space="preserve">CAT D6 (RDC) CAT D6T (MH7)                                          </v>
      </c>
      <c r="D195" s="119" t="str">
        <f>VLOOKUP(B195,'[1]Product by Part Number'!$A:$K,3,0)</f>
        <v>MASTER TRACK BOLT</v>
      </c>
      <c r="E195" s="120">
        <f>VLOOKUP(B195,'[1]Product by Part Number'!$A:$K,11,0)</f>
        <v>16</v>
      </c>
      <c r="F195" s="121">
        <f>VLOOKUP(B195,'[1]Product by Part Number'!$A:$K,4,0)</f>
        <v>9.9600000000000009</v>
      </c>
      <c r="G195" s="122">
        <f t="shared" si="8"/>
        <v>159.36000000000001</v>
      </c>
      <c r="H195" s="123">
        <f>VLOOKUP(B195,'[1]Product by Part Number'!$A:$K,5,0)</f>
        <v>4.9800000000000004</v>
      </c>
      <c r="I195" s="131">
        <f t="shared" si="9"/>
        <v>79.680000000000007</v>
      </c>
    </row>
    <row r="196" spans="2:9" ht="79.8" x14ac:dyDescent="0.3">
      <c r="B196" s="132" t="s">
        <v>398</v>
      </c>
      <c r="C196" s="119" t="str">
        <f>VLOOKUP(B196,'[1]Product by Part Number'!$A:$K,2,0)</f>
        <v xml:space="preserve">CAT 320E L (WBK) CAT 320E L (WBK) (2) CAT 320F L (YBM) CAT 320 (HEX) CAT 320 (MYK) CAT 320 (MYK) (2) CAT 329E L (ZCD) CAT 329F L (ERL) CAT 329F L (ERL) (2) CAT 330F L (MBX) CAT 330F L (HCK) CAT 330F L (HCK) (2) CAT D6N LGP (PBA) CAT D6N LGP (PBA) (2)                  </v>
      </c>
      <c r="D196" s="119" t="str">
        <f>VLOOKUP(B196,'[1]Product by Part Number'!$A:$K,3,0)</f>
        <v xml:space="preserve">TRACK NUT </v>
      </c>
      <c r="E196" s="120">
        <f>VLOOKUP(B196,'[1]Product by Part Number'!$A:$K,11,0)</f>
        <v>5472</v>
      </c>
      <c r="F196" s="121">
        <f>VLOOKUP(B196,'[1]Product by Part Number'!$A:$K,4,0)</f>
        <v>3.14</v>
      </c>
      <c r="G196" s="122">
        <f t="shared" si="8"/>
        <v>17182.080000000002</v>
      </c>
      <c r="H196" s="123">
        <f>VLOOKUP(B196,'[1]Product by Part Number'!$A:$K,5,0)</f>
        <v>1.57</v>
      </c>
      <c r="I196" s="131">
        <f t="shared" si="9"/>
        <v>8591.0400000000009</v>
      </c>
    </row>
    <row r="197" spans="2:9" ht="40.200000000000003" x14ac:dyDescent="0.3">
      <c r="B197" s="132" t="s">
        <v>399</v>
      </c>
      <c r="C197" s="119" t="str">
        <f>VLOOKUP(B197,'[1]Product by Part Number'!$A:$K,2,0)</f>
        <v xml:space="preserve">CAT 320E L (WBK) CAT 320E L (WBK) (2) CAT 320F L (YBM) CAT 320 (HEX) CAT 320 (MYK) CAT 320 (MYK) (2)                                  </v>
      </c>
      <c r="D197" s="119" t="str">
        <f>VLOOKUP(B197,'[1]Product by Part Number'!$A:$K,3,0)</f>
        <v xml:space="preserve">TRACK BOLT </v>
      </c>
      <c r="E197" s="120">
        <f>VLOOKUP(B197,'[1]Product by Part Number'!$A:$K,11,0)</f>
        <v>2352</v>
      </c>
      <c r="F197" s="121">
        <f>VLOOKUP(B197,'[1]Product by Part Number'!$A:$K,4,0)</f>
        <v>4.25</v>
      </c>
      <c r="G197" s="122">
        <f t="shared" si="8"/>
        <v>9996</v>
      </c>
      <c r="H197" s="123">
        <f>VLOOKUP(B197,'[1]Product by Part Number'!$A:$K,5,0)</f>
        <v>2.13</v>
      </c>
      <c r="I197" s="131">
        <f t="shared" si="9"/>
        <v>5009.76</v>
      </c>
    </row>
    <row r="198" spans="2:9" x14ac:dyDescent="0.3">
      <c r="B198" s="132" t="s">
        <v>402</v>
      </c>
      <c r="C198" s="119" t="str">
        <f>VLOOKUP(B198,'[1]Product by Part Number'!$A:$K,2,0)</f>
        <v xml:space="preserve">CAT D7G (92V) CAT D7G (3ZD) CAT D7G (3ZD) (2)                                        </v>
      </c>
      <c r="D198" s="119" t="str">
        <f>VLOOKUP(B198,'[1]Product by Part Number'!$A:$K,3,0)</f>
        <v>MASTER TRACK BOLT</v>
      </c>
      <c r="E198" s="120">
        <f>VLOOKUP(B198,'[1]Product by Part Number'!$A:$K,11,0)</f>
        <v>12</v>
      </c>
      <c r="F198" s="121">
        <f>VLOOKUP(B198,'[1]Product by Part Number'!$A:$K,4,0)</f>
        <v>15.58</v>
      </c>
      <c r="G198" s="122">
        <f t="shared" si="8"/>
        <v>186.96</v>
      </c>
      <c r="H198" s="123">
        <f>VLOOKUP(B198,'[1]Product by Part Number'!$A:$K,5,0)</f>
        <v>7.79</v>
      </c>
      <c r="I198" s="131">
        <f t="shared" si="9"/>
        <v>93.48</v>
      </c>
    </row>
    <row r="199" spans="2:9" x14ac:dyDescent="0.3">
      <c r="B199" s="132" t="s">
        <v>403</v>
      </c>
      <c r="C199" s="119" t="str">
        <f>VLOOKUP(B199,'[1]Product by Part Number'!$A:$K,2,0)</f>
        <v xml:space="preserve">CAT D3 (1PJ)                                            </v>
      </c>
      <c r="D199" s="119" t="str">
        <f>VLOOKUP(B199,'[1]Product by Part Number'!$A:$K,3,0)</f>
        <v>SPROCKET BOLT</v>
      </c>
      <c r="E199" s="120">
        <f>VLOOKUP(B199,'[1]Product by Part Number'!$A:$K,11,0)</f>
        <v>50</v>
      </c>
      <c r="F199" s="121">
        <f>VLOOKUP(B199,'[1]Product by Part Number'!$A:$K,4,0)</f>
        <v>1.46</v>
      </c>
      <c r="G199" s="122">
        <f t="shared" si="8"/>
        <v>73</v>
      </c>
      <c r="H199" s="123">
        <f>VLOOKUP(B199,'[1]Product by Part Number'!$A:$K,5,0)</f>
        <v>0.73</v>
      </c>
      <c r="I199" s="131">
        <f t="shared" si="9"/>
        <v>36.5</v>
      </c>
    </row>
    <row r="200" spans="2:9" ht="27" x14ac:dyDescent="0.3">
      <c r="B200" s="132" t="s">
        <v>405</v>
      </c>
      <c r="C200" s="119" t="str">
        <f>VLOOKUP(B200,'[1]Product by Part Number'!$A:$K,2,0)</f>
        <v xml:space="preserve">CAT D6N LGP (PBA) CAT D6N LGP (PBA) (2) CAT D6N LGP (SGG) CAT D6N LGP (SGG) (2)                                      </v>
      </c>
      <c r="D200" s="119" t="str">
        <f>VLOOKUP(B200,'[1]Product by Part Number'!$A:$K,3,0)</f>
        <v>FLAT WASHER</v>
      </c>
      <c r="E200" s="120">
        <f>VLOOKUP(B200,'[1]Product by Part Number'!$A:$K,11,0)</f>
        <v>256</v>
      </c>
      <c r="F200" s="121">
        <f>VLOOKUP(B200,'[1]Product by Part Number'!$A:$K,4,0)</f>
        <v>2.4700000000000002</v>
      </c>
      <c r="G200" s="122">
        <f t="shared" si="8"/>
        <v>632.32000000000005</v>
      </c>
      <c r="H200" s="123">
        <f>VLOOKUP(B200,'[1]Product by Part Number'!$A:$K,5,0)</f>
        <v>1.24</v>
      </c>
      <c r="I200" s="131">
        <f t="shared" si="9"/>
        <v>317.44</v>
      </c>
    </row>
    <row r="201" spans="2:9" ht="27" x14ac:dyDescent="0.3">
      <c r="B201" s="132" t="s">
        <v>411</v>
      </c>
      <c r="C201" s="119" t="str">
        <f>VLOOKUP(B201,'[1]Product by Part Number'!$A:$K,2,0)</f>
        <v xml:space="preserve">CAT 561N (CPH) CAT 561N (CPH) (2) CAT 561N (CPH) (3) CAT 561N (CPH) (4) CAT 561N (CPH) (5)                                    </v>
      </c>
      <c r="D201" s="119" t="str">
        <f>VLOOKUP(B201,'[1]Product by Part Number'!$A:$K,3,0)</f>
        <v>30" GQP TRACK GROUP</v>
      </c>
      <c r="E201" s="120">
        <f>VLOOKUP(B201,'[1]Product by Part Number'!$A:$K,11,0)</f>
        <v>10</v>
      </c>
      <c r="F201" s="121">
        <f>VLOOKUP(B201,'[1]Product by Part Number'!$A:$K,4,0)</f>
        <v>12613.63</v>
      </c>
      <c r="G201" s="122">
        <f t="shared" si="8"/>
        <v>126136.29999999999</v>
      </c>
      <c r="H201" s="123">
        <f>VLOOKUP(B201,'[1]Product by Part Number'!$A:$K,5,0)</f>
        <v>6306.82</v>
      </c>
      <c r="I201" s="131">
        <f t="shared" si="9"/>
        <v>63068.2</v>
      </c>
    </row>
    <row r="202" spans="2:9" x14ac:dyDescent="0.3">
      <c r="B202" s="132" t="s">
        <v>443</v>
      </c>
      <c r="C202" s="119" t="str">
        <f>VLOOKUP(B202,'[1]Product by Part Number'!$A:$K,2,0)</f>
        <v xml:space="preserve">CAT D5 (3CR) CAT D5 (3CR) (2)                                          </v>
      </c>
      <c r="D202" s="119" t="str">
        <f>VLOOKUP(B202,'[1]Product by Part Number'!$A:$K,3,0)</f>
        <v>TRACK GROUP</v>
      </c>
      <c r="E202" s="120">
        <f>VLOOKUP(B202,'[1]Product by Part Number'!$A:$K,11,0)</f>
        <v>4</v>
      </c>
      <c r="F202" s="121">
        <f>VLOOKUP(B202,'[1]Product by Part Number'!$A:$K,4,0)</f>
        <v>0</v>
      </c>
      <c r="G202" s="122">
        <f t="shared" si="8"/>
        <v>0</v>
      </c>
      <c r="H202" s="123">
        <f>VLOOKUP(B202,'[1]Product by Part Number'!$A:$K,5,0)</f>
        <v>0</v>
      </c>
      <c r="I202" s="131">
        <f t="shared" si="9"/>
        <v>0</v>
      </c>
    </row>
    <row r="203" spans="2:9" x14ac:dyDescent="0.3">
      <c r="B203" s="132" t="s">
        <v>417</v>
      </c>
      <c r="C203" s="119" t="str">
        <f>VLOOKUP(B203,'[1]Product by Part Number'!$A:$K,2,0)</f>
        <v xml:space="preserve">CAT D6 (RDC)                                            </v>
      </c>
      <c r="D203" s="119" t="str">
        <f>VLOOKUP(B203,'[1]Product by Part Number'!$A:$K,3,0)</f>
        <v>30" GQP TRACK GROUP</v>
      </c>
      <c r="E203" s="120">
        <f>VLOOKUP(B203,'[1]Product by Part Number'!$A:$K,11,0)</f>
        <v>2</v>
      </c>
      <c r="F203" s="121">
        <f>VLOOKUP(B203,'[1]Product by Part Number'!$A:$K,4,0)</f>
        <v>10784.168</v>
      </c>
      <c r="G203" s="122">
        <f t="shared" si="8"/>
        <v>21568.335999999999</v>
      </c>
      <c r="H203" s="123">
        <f>VLOOKUP(B203,'[1]Product by Part Number'!$A:$K,5,0)</f>
        <v>5392.08</v>
      </c>
      <c r="I203" s="131">
        <f t="shared" si="9"/>
        <v>10784.16</v>
      </c>
    </row>
    <row r="204" spans="2:9" x14ac:dyDescent="0.3">
      <c r="B204" s="132" t="s">
        <v>418</v>
      </c>
      <c r="C204" s="119" t="str">
        <f>VLOOKUP(B204,'[1]Product by Part Number'!$A:$K,2,0)</f>
        <v xml:space="preserve">CAT D7G (92V) CAT D7G (3ZD) CAT D7G (3ZD) (2)                                        </v>
      </c>
      <c r="D204" s="119" t="str">
        <f>VLOOKUP(B204,'[1]Product by Part Number'!$A:$K,3,0)</f>
        <v>30" GQP TRACK GROUP</v>
      </c>
      <c r="E204" s="120">
        <f>VLOOKUP(B204,'[1]Product by Part Number'!$A:$K,11,0)</f>
        <v>6</v>
      </c>
      <c r="F204" s="121">
        <f>VLOOKUP(B204,'[1]Product by Part Number'!$A:$K,4,0)</f>
        <v>8674.7200000000012</v>
      </c>
      <c r="G204" s="122">
        <f t="shared" si="8"/>
        <v>52048.320000000007</v>
      </c>
      <c r="H204" s="123">
        <f>VLOOKUP(B204,'[1]Product by Part Number'!$A:$K,5,0)</f>
        <v>4337.3599999999997</v>
      </c>
      <c r="I204" s="131">
        <f t="shared" si="9"/>
        <v>26024.16</v>
      </c>
    </row>
    <row r="205" spans="2:9" ht="27.6" thickBot="1" x14ac:dyDescent="0.35">
      <c r="B205" s="133" t="s">
        <v>420</v>
      </c>
      <c r="C205" s="134" t="str">
        <f>VLOOKUP(B205,'[1]Product by Part Number'!$A:$K,2,0)</f>
        <v xml:space="preserve">CAT PL61 (WGS) CAT PL61 (WGS) (2) CAT PL61 (WGS) (3)                                        </v>
      </c>
      <c r="D205" s="134" t="str">
        <f>VLOOKUP(B205,'[1]Product by Part Number'!$A:$K,3,0)</f>
        <v>30" GQP TRACK GROUP</v>
      </c>
      <c r="E205" s="135">
        <f>VLOOKUP(B205,'[1]Product by Part Number'!$A:$K,11,0)</f>
        <v>6</v>
      </c>
      <c r="F205" s="136">
        <f>VLOOKUP(B205,'[1]Product by Part Number'!$A:$K,4,0)</f>
        <v>8945.7099999999991</v>
      </c>
      <c r="G205" s="137">
        <f t="shared" si="8"/>
        <v>53674.259999999995</v>
      </c>
      <c r="H205" s="138">
        <f>VLOOKUP(B205,'[1]Product by Part Number'!$A:$K,5,0)</f>
        <v>4472.8599999999997</v>
      </c>
      <c r="I205" s="139">
        <f t="shared" si="9"/>
        <v>26837.16</v>
      </c>
    </row>
    <row r="206" spans="2:9" x14ac:dyDescent="0.3">
      <c r="B206" s="179"/>
      <c r="C206" s="180"/>
      <c r="D206" s="180"/>
      <c r="E206" s="180"/>
      <c r="F206" s="181"/>
      <c r="G206" s="116"/>
      <c r="H206" s="117" t="s">
        <v>17</v>
      </c>
      <c r="I206" s="118">
        <f>SUM(I15:I205)</f>
        <v>2029492.0099999995</v>
      </c>
    </row>
    <row r="207" spans="2:9" x14ac:dyDescent="0.3">
      <c r="B207" s="90"/>
      <c r="C207" s="31"/>
      <c r="D207" s="32" t="s">
        <v>18</v>
      </c>
      <c r="E207" s="152">
        <f>SUM(G15:G205)</f>
        <v>4058774.0160000008</v>
      </c>
      <c r="F207" s="153"/>
      <c r="G207" s="33"/>
      <c r="H207" s="94" t="s">
        <v>19</v>
      </c>
      <c r="I207" s="95">
        <v>0</v>
      </c>
    </row>
    <row r="208" spans="2:9" x14ac:dyDescent="0.3">
      <c r="B208" s="90"/>
      <c r="C208" s="31"/>
      <c r="D208" s="32" t="s">
        <v>20</v>
      </c>
      <c r="E208" s="152">
        <f>SUM(I15:I205)</f>
        <v>2029492.0099999995</v>
      </c>
      <c r="F208" s="153"/>
      <c r="G208" s="33"/>
      <c r="H208" s="96" t="s">
        <v>21</v>
      </c>
      <c r="I208" s="95">
        <v>0</v>
      </c>
    </row>
    <row r="209" spans="2:9" x14ac:dyDescent="0.3">
      <c r="B209" s="90"/>
      <c r="C209" s="31"/>
      <c r="D209" s="32" t="s">
        <v>22</v>
      </c>
      <c r="E209" s="170">
        <f>E207-E208</f>
        <v>2029282.0060000012</v>
      </c>
      <c r="F209" s="171"/>
      <c r="G209" s="36"/>
      <c r="H209" s="94" t="s">
        <v>23</v>
      </c>
      <c r="I209" s="97">
        <f>SUM(I206:I208)</f>
        <v>2029492.0099999995</v>
      </c>
    </row>
    <row r="210" spans="2:9" x14ac:dyDescent="0.3">
      <c r="B210" s="90"/>
      <c r="C210" s="31"/>
      <c r="D210" s="32"/>
      <c r="E210" s="172"/>
      <c r="F210" s="173"/>
      <c r="G210" s="38"/>
      <c r="H210" s="94" t="s">
        <v>24</v>
      </c>
      <c r="I210" s="97">
        <f>I209*0.05</f>
        <v>101474.60049999999</v>
      </c>
    </row>
    <row r="211" spans="2:9" x14ac:dyDescent="0.3">
      <c r="B211" s="90"/>
      <c r="C211" s="31"/>
      <c r="D211" s="39"/>
      <c r="E211" s="39"/>
      <c r="F211" s="91"/>
      <c r="G211" s="40"/>
      <c r="H211" s="94" t="s">
        <v>25</v>
      </c>
      <c r="I211" s="95"/>
    </row>
    <row r="212" spans="2:9" ht="16.2" thickBot="1" x14ac:dyDescent="0.35">
      <c r="B212" s="164" t="s">
        <v>26</v>
      </c>
      <c r="C212" s="165"/>
      <c r="D212" s="165"/>
      <c r="E212" s="165"/>
      <c r="F212" s="166"/>
      <c r="G212" s="41"/>
      <c r="H212" s="98" t="s">
        <v>27</v>
      </c>
      <c r="I212" s="99">
        <f>SUM(I209:I211)</f>
        <v>2130966.6104999995</v>
      </c>
    </row>
  </sheetData>
  <autoFilter ref="B14:I212" xr:uid="{066E224B-BC2F-465F-81CA-F8BD556D9C19}"/>
  <mergeCells count="25">
    <mergeCell ref="B212:F212"/>
    <mergeCell ref="F13:I13"/>
    <mergeCell ref="B206:F206"/>
    <mergeCell ref="E207:F207"/>
    <mergeCell ref="E208:F208"/>
    <mergeCell ref="E209:F209"/>
    <mergeCell ref="E210:F210"/>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hyperlinks>
    <hyperlink ref="H9" r:id="rId1" xr:uid="{917B8A1E-BF67-4726-9837-280179307428}"/>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9A5F-9A85-49B2-A032-166145993CC7}">
  <dimension ref="B1:K429"/>
  <sheetViews>
    <sheetView topLeftCell="A408" zoomScaleNormal="100" workbookViewId="0">
      <selection activeCell="C421" sqref="C421"/>
    </sheetView>
  </sheetViews>
  <sheetFormatPr defaultRowHeight="14.4" x14ac:dyDescent="0.3"/>
  <cols>
    <col min="1" max="1" width="2.6640625" customWidth="1"/>
    <col min="2" max="2" width="23.5546875" bestFit="1" customWidth="1"/>
    <col min="3" max="3" width="44.44140625" bestFit="1" customWidth="1"/>
    <col min="4" max="4" width="36" customWidth="1"/>
    <col min="5" max="5" width="7.33203125" customWidth="1"/>
    <col min="6" max="6" width="14.6640625" customWidth="1"/>
    <col min="7" max="7" width="14.6640625" hidden="1" customWidth="1"/>
    <col min="8" max="8" width="14.6640625" customWidth="1"/>
    <col min="9" max="9" width="20.44140625" bestFit="1" customWidth="1"/>
    <col min="11" max="11" width="12.5546875" bestFit="1" customWidth="1"/>
  </cols>
  <sheetData>
    <row r="1" spans="2:9" ht="34.799999999999997" x14ac:dyDescent="0.3">
      <c r="B1" s="68"/>
      <c r="C1" s="69"/>
      <c r="D1" s="69"/>
      <c r="E1" s="167" t="s">
        <v>28</v>
      </c>
      <c r="F1" s="167"/>
      <c r="G1" s="103"/>
      <c r="H1" s="167" t="s">
        <v>30</v>
      </c>
      <c r="I1" s="141"/>
    </row>
    <row r="2" spans="2:9" ht="34.799999999999997" x14ac:dyDescent="0.3">
      <c r="B2" s="70"/>
      <c r="E2" s="168"/>
      <c r="F2" s="168"/>
      <c r="G2" s="45"/>
      <c r="H2" s="168"/>
      <c r="I2" s="143"/>
    </row>
    <row r="3" spans="2:9" ht="34.799999999999997" x14ac:dyDescent="0.3">
      <c r="B3" s="70"/>
      <c r="E3" s="168"/>
      <c r="F3" s="168"/>
      <c r="G3" s="45"/>
      <c r="H3" s="168"/>
      <c r="I3" s="143"/>
    </row>
    <row r="4" spans="2:9" ht="34.799999999999997" x14ac:dyDescent="0.3">
      <c r="B4" s="70"/>
      <c r="E4" s="168"/>
      <c r="F4" s="168"/>
      <c r="G4" s="45"/>
      <c r="H4" s="168"/>
      <c r="I4" s="143"/>
    </row>
    <row r="5" spans="2:9" ht="34.799999999999997" x14ac:dyDescent="0.3">
      <c r="B5" s="71"/>
      <c r="C5" s="1"/>
      <c r="D5" s="1"/>
      <c r="E5" s="169"/>
      <c r="F5" s="169"/>
      <c r="G5" s="46"/>
      <c r="H5" s="169"/>
      <c r="I5" s="145"/>
    </row>
    <row r="6" spans="2:9" ht="36.6" x14ac:dyDescent="0.7">
      <c r="B6" s="6"/>
      <c r="C6" s="7"/>
      <c r="D6" s="7"/>
      <c r="E6" s="8"/>
      <c r="F6" s="8"/>
      <c r="G6" s="8"/>
      <c r="H6" s="8"/>
      <c r="I6" s="72"/>
    </row>
    <row r="7" spans="2:9" x14ac:dyDescent="0.3">
      <c r="B7" s="73" t="s">
        <v>7</v>
      </c>
      <c r="C7" s="177" t="s">
        <v>52</v>
      </c>
      <c r="D7" s="178"/>
      <c r="E7" s="9" t="s">
        <v>8</v>
      </c>
      <c r="F7" s="10">
        <v>45748</v>
      </c>
      <c r="G7" s="10"/>
      <c r="H7" s="11" t="s">
        <v>9</v>
      </c>
      <c r="I7" s="85" t="s">
        <v>421</v>
      </c>
    </row>
    <row r="8" spans="2:9" x14ac:dyDescent="0.3">
      <c r="B8" s="75" t="s">
        <v>10</v>
      </c>
      <c r="C8" s="198" t="s">
        <v>53</v>
      </c>
      <c r="D8" s="198"/>
      <c r="E8" s="154" t="s">
        <v>11</v>
      </c>
      <c r="F8" s="154"/>
      <c r="G8" s="13"/>
      <c r="H8" s="188" t="s">
        <v>54</v>
      </c>
      <c r="I8" s="163"/>
    </row>
    <row r="9" spans="2:9" x14ac:dyDescent="0.3">
      <c r="B9" s="75" t="s">
        <v>12</v>
      </c>
      <c r="C9" s="197">
        <v>0</v>
      </c>
      <c r="D9" s="197"/>
      <c r="E9" s="154" t="s">
        <v>13</v>
      </c>
      <c r="F9" s="154"/>
      <c r="G9" s="13"/>
      <c r="H9" s="189" t="s">
        <v>55</v>
      </c>
      <c r="I9" s="161"/>
    </row>
    <row r="10" spans="2:9" x14ac:dyDescent="0.3">
      <c r="B10" s="75"/>
      <c r="C10" s="197">
        <v>0</v>
      </c>
      <c r="D10" s="197"/>
      <c r="E10" s="154" t="s">
        <v>14</v>
      </c>
      <c r="F10" s="154"/>
      <c r="G10" s="13"/>
      <c r="H10" s="186" t="s">
        <v>421</v>
      </c>
      <c r="I10" s="157"/>
    </row>
    <row r="11" spans="2:9" x14ac:dyDescent="0.3">
      <c r="B11" s="75"/>
      <c r="C11" s="197">
        <v>0</v>
      </c>
      <c r="D11" s="197"/>
      <c r="E11" s="154"/>
      <c r="F11" s="154"/>
      <c r="G11" s="13"/>
      <c r="H11" s="186" t="s">
        <v>421</v>
      </c>
      <c r="I11" s="157"/>
    </row>
    <row r="12" spans="2:9" x14ac:dyDescent="0.3">
      <c r="B12" s="76"/>
      <c r="C12" s="197">
        <v>0</v>
      </c>
      <c r="D12" s="197"/>
      <c r="E12" s="175"/>
      <c r="F12" s="175"/>
      <c r="G12" s="14"/>
      <c r="H12" s="187" t="s">
        <v>421</v>
      </c>
      <c r="I12" s="159"/>
    </row>
    <row r="13" spans="2:9" ht="15" thickBot="1" x14ac:dyDescent="0.35">
      <c r="B13" s="15"/>
      <c r="C13" s="16"/>
      <c r="D13" s="16"/>
      <c r="E13" s="16"/>
      <c r="F13" s="147" t="s">
        <v>3</v>
      </c>
      <c r="G13" s="147"/>
      <c r="H13" s="147"/>
      <c r="I13" s="146"/>
    </row>
    <row r="14" spans="2:9" ht="15" thickBot="1" x14ac:dyDescent="0.35">
      <c r="B14" s="52" t="s">
        <v>0</v>
      </c>
      <c r="C14" s="18" t="s">
        <v>15</v>
      </c>
      <c r="D14" s="19" t="s">
        <v>1</v>
      </c>
      <c r="E14" s="20" t="s">
        <v>2</v>
      </c>
      <c r="F14" s="20" t="s">
        <v>4</v>
      </c>
      <c r="G14" s="20"/>
      <c r="H14" s="20" t="s">
        <v>5</v>
      </c>
      <c r="I14" s="86" t="s">
        <v>16</v>
      </c>
    </row>
    <row r="15" spans="2:9" s="53" customFormat="1" x14ac:dyDescent="0.3">
      <c r="B15" s="78" t="s">
        <v>44</v>
      </c>
      <c r="C15" s="54" t="str">
        <f>VLOOKUP(B15,'[1]Product by Part Number'!$A:$K,2,0)</f>
        <v xml:space="preserve">CAT 320F L (YBM) CAT 336F L (RKB)                                          </v>
      </c>
      <c r="D15" s="54" t="str">
        <f>VLOOKUP(B15,'[1]Product by Part Number'!$A:$K,3,0)</f>
        <v>HYDRAULIC OIL FILTER</v>
      </c>
      <c r="E15" s="55">
        <f>VLOOKUP(B15,'[1]Product by Part Number'!$A:$K,11,0)</f>
        <v>10</v>
      </c>
      <c r="F15" s="56">
        <f>VLOOKUP(B15,'[1]Product by Part Number'!$A:$K,4,0)</f>
        <v>102.09</v>
      </c>
      <c r="G15" s="56">
        <f t="shared" ref="G15" si="0">E15*F15</f>
        <v>1020.9000000000001</v>
      </c>
      <c r="H15" s="57">
        <f>VLOOKUP(B15,'[1]Product by Part Number'!$A:$K,5,0)</f>
        <v>38.79</v>
      </c>
      <c r="I15" s="88">
        <f t="shared" ref="I15" si="1">ROUND(E15*H15,2)</f>
        <v>387.9</v>
      </c>
    </row>
    <row r="16" spans="2:9" s="53" customFormat="1" x14ac:dyDescent="0.3">
      <c r="B16" s="78" t="s">
        <v>67</v>
      </c>
      <c r="C16" s="54" t="str">
        <f>VLOOKUP(B16,'[1]Product by Part Number'!$A:$K,2,0)</f>
        <v xml:space="preserve">CAT D3 (1PJ)                                            </v>
      </c>
      <c r="D16" s="54" t="str">
        <f>VLOOKUP(B16,'[1]Product by Part Number'!$A:$K,3,0)</f>
        <v xml:space="preserve">HEX HEAD BOLT SF </v>
      </c>
      <c r="E16" s="55">
        <f>VLOOKUP(B16,'[1]Product by Part Number'!$A:$K,11,0)</f>
        <v>16</v>
      </c>
      <c r="F16" s="56">
        <f>VLOOKUP(B16,'[1]Product by Part Number'!$A:$K,4,0)</f>
        <v>2.78</v>
      </c>
      <c r="G16" s="56">
        <f t="shared" ref="G16:G79" si="2">E16*F16</f>
        <v>44.48</v>
      </c>
      <c r="H16" s="57">
        <f>VLOOKUP(B16,'[1]Product by Part Number'!$A:$K,5,0)</f>
        <v>1.39</v>
      </c>
      <c r="I16" s="88">
        <f t="shared" ref="I16:I79" si="3">ROUND(E16*H16,2)</f>
        <v>22.24</v>
      </c>
    </row>
    <row r="17" spans="2:11" s="53" customFormat="1" x14ac:dyDescent="0.3">
      <c r="B17" s="78" t="s">
        <v>68</v>
      </c>
      <c r="C17" s="54" t="str">
        <f>VLOOKUP(B17,'[1]Product by Part Number'!$A:$K,2,0)</f>
        <v xml:space="preserve">CAT D7G (92V) CAT D7G (3ZD) CAT D7G (3ZD) (2)                                        </v>
      </c>
      <c r="D17" s="54" t="str">
        <f>VLOOKUP(B17,'[1]Product by Part Number'!$A:$K,3,0)</f>
        <v>CARRIER BOLT</v>
      </c>
      <c r="E17" s="55">
        <f>VLOOKUP(B17,'[1]Product by Part Number'!$A:$K,11,0)</f>
        <v>18</v>
      </c>
      <c r="F17" s="56">
        <f>VLOOKUP(B17,'[1]Product by Part Number'!$A:$K,4,0)</f>
        <v>1.1599999999999999</v>
      </c>
      <c r="G17" s="56">
        <f t="shared" si="2"/>
        <v>20.88</v>
      </c>
      <c r="H17" s="57">
        <f>VLOOKUP(B17,'[1]Product by Part Number'!$A:$K,5,0)</f>
        <v>0.57999999999999996</v>
      </c>
      <c r="I17" s="88">
        <f t="shared" si="3"/>
        <v>10.44</v>
      </c>
    </row>
    <row r="18" spans="2:11" s="53" customFormat="1" x14ac:dyDescent="0.3">
      <c r="B18" s="78" t="s">
        <v>422</v>
      </c>
      <c r="C18" s="54" t="str">
        <f>VLOOKUP(B18,'[1]Product by Part Number'!$A:$K,2,0)</f>
        <v xml:space="preserve">CAT 561 (85H) CAT 561 (92J) CAT 561 (92J) (2)                                        </v>
      </c>
      <c r="D18" s="54" t="str">
        <f>VLOOKUP(B18,'[1]Product by Part Number'!$A:$K,3,0)</f>
        <v>BOLT ROLLER</v>
      </c>
      <c r="E18" s="55">
        <f>VLOOKUP(B18,'[1]Product by Part Number'!$A:$K,11,0)</f>
        <v>144</v>
      </c>
      <c r="F18" s="56">
        <f>VLOOKUP(B18,'[1]Product by Part Number'!$A:$K,4,0)</f>
        <v>8.0500000000000007</v>
      </c>
      <c r="G18" s="56">
        <f t="shared" si="2"/>
        <v>1159.2</v>
      </c>
      <c r="H18" s="57">
        <f>VLOOKUP(B18,'[1]Product by Part Number'!$A:$K,5,0)</f>
        <v>4.03</v>
      </c>
      <c r="I18" s="88">
        <f t="shared" si="3"/>
        <v>580.32000000000005</v>
      </c>
    </row>
    <row r="19" spans="2:11" s="53" customFormat="1" x14ac:dyDescent="0.3">
      <c r="B19" s="78" t="s">
        <v>69</v>
      </c>
      <c r="C19" s="54" t="str">
        <f>VLOOKUP(B19,'[1]Product by Part Number'!$A:$K,2,0)</f>
        <v xml:space="preserve">CAT D5 (3CR) CAT D5 (3CR) (2) CAT 561M (1KW)                                        </v>
      </c>
      <c r="D19" s="54" t="str">
        <f>VLOOKUP(B19,'[1]Product by Part Number'!$A:$K,3,0)</f>
        <v>TURBOCHARGER ASSEMBLY</v>
      </c>
      <c r="E19" s="55">
        <f>VLOOKUP(B19,'[1]Product by Part Number'!$A:$K,11,0)</f>
        <v>3</v>
      </c>
      <c r="F19" s="56">
        <f>VLOOKUP(B19,'[1]Product by Part Number'!$A:$K,4,0)</f>
        <v>4677.47</v>
      </c>
      <c r="G19" s="56">
        <f t="shared" si="2"/>
        <v>14032.41</v>
      </c>
      <c r="H19" s="57">
        <f>VLOOKUP(B19,'[1]Product by Part Number'!$A:$K,5,0)</f>
        <v>2338.7399999999998</v>
      </c>
      <c r="I19" s="88">
        <f t="shared" si="3"/>
        <v>7016.22</v>
      </c>
    </row>
    <row r="20" spans="2:11" s="53" customFormat="1" ht="40.200000000000003" x14ac:dyDescent="0.3">
      <c r="B20" s="78" t="s">
        <v>70</v>
      </c>
      <c r="C20" s="54" t="str">
        <f>VLOOKUP(B20,'[1]Product by Part Number'!$A:$K,2,0)</f>
        <v xml:space="preserve">CAT D4 (66J) CAT D6N LGP (GHS) CAT D6N LGP (SGG) CAT D6N LGP (SGG) (2) CAT PL61 (WGS) CAT PL61 (WGS) (2) CAT PL61 (WGS) (3)                                </v>
      </c>
      <c r="D20" s="54" t="str">
        <f>VLOOKUP(B20,'[1]Product by Part Number'!$A:$K,3,0)</f>
        <v>TRACK BOLT MASTER</v>
      </c>
      <c r="E20" s="55">
        <f>VLOOKUP(B20,'[1]Product by Part Number'!$A:$K,11,0)</f>
        <v>28</v>
      </c>
      <c r="F20" s="56">
        <f>VLOOKUP(B20,'[1]Product by Part Number'!$A:$K,4,0)</f>
        <v>6.66</v>
      </c>
      <c r="G20" s="56">
        <f t="shared" si="2"/>
        <v>186.48000000000002</v>
      </c>
      <c r="H20" s="57">
        <f>VLOOKUP(B20,'[1]Product by Part Number'!$A:$K,5,0)</f>
        <v>3.33</v>
      </c>
      <c r="I20" s="88">
        <f t="shared" si="3"/>
        <v>93.24</v>
      </c>
    </row>
    <row r="21" spans="2:11" s="53" customFormat="1" ht="40.200000000000003" x14ac:dyDescent="0.3">
      <c r="B21" s="78" t="s">
        <v>71</v>
      </c>
      <c r="C21" s="54" t="str">
        <f>VLOOKUP(B21,'[1]Product by Part Number'!$A:$K,2,0)</f>
        <v xml:space="preserve">CAT D4 (66J) CAT D6N LGP (GHS) CAT D6N LGP (SGG) CAT D6N LGP (SGG) (2) CAT PL61 (WGS) CAT PL61 (WGS) (2) CAT PL61 (WGS) (3)                                </v>
      </c>
      <c r="D21" s="54" t="str">
        <f>VLOOKUP(B21,'[1]Product by Part Number'!$A:$K,3,0)</f>
        <v>TRACK BOLT MASTER</v>
      </c>
      <c r="E21" s="55">
        <f>VLOOKUP(B21,'[1]Product by Part Number'!$A:$K,11,0)</f>
        <v>28</v>
      </c>
      <c r="F21" s="56">
        <f>VLOOKUP(B21,'[1]Product by Part Number'!$A:$K,4,0)</f>
        <v>9.23</v>
      </c>
      <c r="G21" s="56">
        <f t="shared" si="2"/>
        <v>258.44</v>
      </c>
      <c r="H21" s="57">
        <f>VLOOKUP(B21,'[1]Product by Part Number'!$A:$K,5,0)</f>
        <v>4.62</v>
      </c>
      <c r="I21" s="88">
        <f t="shared" si="3"/>
        <v>129.36000000000001</v>
      </c>
      <c r="K21" s="58"/>
    </row>
    <row r="22" spans="2:11" s="53" customFormat="1" ht="40.200000000000003" x14ac:dyDescent="0.3">
      <c r="B22" s="78" t="s">
        <v>72</v>
      </c>
      <c r="C22" s="54" t="str">
        <f>VLOOKUP(B22,'[1]Product by Part Number'!$A:$K,2,0)</f>
        <v xml:space="preserve">CAT D5 (3CR) CAT D5 (3CR) (2) CAT 561M (1KW) CAT 561N (CPH) CAT 561N (CPH) (2) CAT 561N (CPH) (3) CAT 561N (CPH) (4) CAT 561N (CPH) (5)                              </v>
      </c>
      <c r="D22" s="54" t="str">
        <f>VLOOKUP(B22,'[1]Product by Part Number'!$A:$K,3,0)</f>
        <v>SPROCKET SEGMENT</v>
      </c>
      <c r="E22" s="55">
        <f>VLOOKUP(B22,'[1]Product by Part Number'!$A:$K,11,0)</f>
        <v>80</v>
      </c>
      <c r="F22" s="56">
        <f>VLOOKUP(B22,'[1]Product by Part Number'!$A:$K,4,0)</f>
        <v>177.98</v>
      </c>
      <c r="G22" s="56">
        <f t="shared" si="2"/>
        <v>14238.4</v>
      </c>
      <c r="H22" s="57">
        <f>VLOOKUP(B22,'[1]Product by Part Number'!$A:$K,5,0)</f>
        <v>88.99</v>
      </c>
      <c r="I22" s="88">
        <f t="shared" si="3"/>
        <v>7119.2</v>
      </c>
    </row>
    <row r="23" spans="2:11" s="53" customFormat="1" ht="40.200000000000003" x14ac:dyDescent="0.3">
      <c r="B23" s="78" t="s">
        <v>73</v>
      </c>
      <c r="C23" s="54" t="str">
        <f>VLOOKUP(B23,'[1]Product by Part Number'!$A:$K,2,0)</f>
        <v xml:space="preserve">CAT D5 (3CR) CAT D5 (3CR) (2) CAT 561M (1KW) CAT 561N (CPH) CAT 561N (CPH) (2) CAT 561N (CPH) (3) CAT 561N (CPH) (4) CAT 561N (CPH) (5)                              </v>
      </c>
      <c r="D23" s="54" t="str">
        <f>VLOOKUP(B23,'[1]Product by Part Number'!$A:$K,3,0)</f>
        <v>TRACK LINK ASSEMBLY</v>
      </c>
      <c r="E23" s="55">
        <f>VLOOKUP(B23,'[1]Product by Part Number'!$A:$K,11,0)</f>
        <v>16</v>
      </c>
      <c r="F23" s="56">
        <f>VLOOKUP(B23,'[1]Product by Part Number'!$A:$K,4,0)</f>
        <v>11935.92</v>
      </c>
      <c r="G23" s="56">
        <f t="shared" si="2"/>
        <v>190974.72</v>
      </c>
      <c r="H23" s="57">
        <f>VLOOKUP(B23,'[1]Product by Part Number'!$A:$K,5,0)</f>
        <v>5967.96</v>
      </c>
      <c r="I23" s="88">
        <f t="shared" si="3"/>
        <v>95487.360000000001</v>
      </c>
    </row>
    <row r="24" spans="2:11" s="53" customFormat="1" x14ac:dyDescent="0.3">
      <c r="B24" s="78" t="s">
        <v>423</v>
      </c>
      <c r="C24" s="54" t="str">
        <f>VLOOKUP(B24,'[1]Product by Part Number'!$A:$K,2,0)</f>
        <v xml:space="preserve">CAT 561M (1KW)                                            </v>
      </c>
      <c r="D24" s="54" t="str">
        <f>VLOOKUP(B24,'[1]Product by Part Number'!$A:$K,3,0)</f>
        <v>BLOCK IDLER</v>
      </c>
      <c r="E24" s="55">
        <f>VLOOKUP(B24,'[1]Product by Part Number'!$A:$K,11,0)</f>
        <v>8</v>
      </c>
      <c r="F24" s="56">
        <f>VLOOKUP(B24,'[1]Product by Part Number'!$A:$K,4,0)</f>
        <v>229.89</v>
      </c>
      <c r="G24" s="56">
        <f t="shared" si="2"/>
        <v>1839.12</v>
      </c>
      <c r="H24" s="57">
        <f>VLOOKUP(B24,'[1]Product by Part Number'!$A:$K,5,0)</f>
        <v>114.95</v>
      </c>
      <c r="I24" s="88">
        <f t="shared" si="3"/>
        <v>919.6</v>
      </c>
    </row>
    <row r="25" spans="2:11" s="53" customFormat="1" x14ac:dyDescent="0.3">
      <c r="B25" s="78" t="s">
        <v>424</v>
      </c>
      <c r="C25" s="54" t="str">
        <f>VLOOKUP(B25,'[1]Product by Part Number'!$A:$K,2,0)</f>
        <v xml:space="preserve">CAT 561M (1KW)                                            </v>
      </c>
      <c r="D25" s="54" t="str">
        <f>VLOOKUP(B25,'[1]Product by Part Number'!$A:$K,3,0)</f>
        <v>CAP IDLER</v>
      </c>
      <c r="E25" s="55">
        <f>VLOOKUP(B25,'[1]Product by Part Number'!$A:$K,11,0)</f>
        <v>8</v>
      </c>
      <c r="F25" s="56">
        <f>VLOOKUP(B25,'[1]Product by Part Number'!$A:$K,4,0)</f>
        <v>166.52</v>
      </c>
      <c r="G25" s="56">
        <f t="shared" si="2"/>
        <v>1332.16</v>
      </c>
      <c r="H25" s="57">
        <f>VLOOKUP(B25,'[1]Product by Part Number'!$A:$K,5,0)</f>
        <v>83.26</v>
      </c>
      <c r="I25" s="88">
        <f t="shared" si="3"/>
        <v>666.08</v>
      </c>
    </row>
    <row r="26" spans="2:11" s="53" customFormat="1" ht="27" x14ac:dyDescent="0.3">
      <c r="B26" s="78" t="s">
        <v>74</v>
      </c>
      <c r="C26" s="54" t="str">
        <f>VLOOKUP(B26,'[1]Product by Part Number'!$A:$K,2,0)</f>
        <v xml:space="preserve">CAT PL61 (WGS) CAT PL61 (WGS) (2) CAT PL61 (WGS) (3)                                        </v>
      </c>
      <c r="D26" s="54" t="str">
        <f>VLOOKUP(B26,'[1]Product by Part Number'!$A:$K,3,0)</f>
        <v>TRACK LINK 39 JOINT</v>
      </c>
      <c r="E26" s="55">
        <f>VLOOKUP(B26,'[1]Product by Part Number'!$A:$K,11,0)</f>
        <v>6</v>
      </c>
      <c r="F26" s="56">
        <f>VLOOKUP(B26,'[1]Product by Part Number'!$A:$K,4,0)</f>
        <v>8654.5499999999993</v>
      </c>
      <c r="G26" s="56">
        <f t="shared" si="2"/>
        <v>51927.299999999996</v>
      </c>
      <c r="H26" s="57">
        <f>VLOOKUP(B26,'[1]Product by Part Number'!$A:$K,5,0)</f>
        <v>4327.28</v>
      </c>
      <c r="I26" s="88">
        <f t="shared" si="3"/>
        <v>25963.68</v>
      </c>
    </row>
    <row r="27" spans="2:11" s="53" customFormat="1" x14ac:dyDescent="0.3">
      <c r="B27" s="78" t="s">
        <v>36</v>
      </c>
      <c r="C27" s="54" t="str">
        <f>VLOOKUP(B27,'[1]Product by Part Number'!$A:$K,2,0)</f>
        <v xml:space="preserve">CAT D6T (MH7)                                            </v>
      </c>
      <c r="D27" s="54" t="str">
        <f>VLOOKUP(B27,'[1]Product by Part Number'!$A:$K,3,0)</f>
        <v>CABIN AIR FILTER ELEMENT</v>
      </c>
      <c r="E27" s="55">
        <f>VLOOKUP(B27,'[1]Product by Part Number'!$A:$K,11,0)</f>
        <v>3</v>
      </c>
      <c r="F27" s="56">
        <f>VLOOKUP(B27,'[1]Product by Part Number'!$A:$K,4,0)</f>
        <v>43.37</v>
      </c>
      <c r="G27" s="56">
        <f t="shared" si="2"/>
        <v>130.10999999999999</v>
      </c>
      <c r="H27" s="57">
        <f>VLOOKUP(B27,'[1]Product by Part Number'!$A:$K,5,0)</f>
        <v>16.48</v>
      </c>
      <c r="I27" s="88">
        <f t="shared" si="3"/>
        <v>49.44</v>
      </c>
    </row>
    <row r="28" spans="2:11" s="53" customFormat="1" ht="40.200000000000003" x14ac:dyDescent="0.3">
      <c r="B28" s="78" t="s">
        <v>75</v>
      </c>
      <c r="C28" s="54" t="str">
        <f>VLOOKUP(B28,'[1]Product by Part Number'!$A:$K,2,0)</f>
        <v xml:space="preserve">CAT D6N LGP (PBA) CAT D6N LGP (PBA) (2) CAT D6N LGP (SGG) CAT D6N LGP (SGG) (2) CAT D6T (MH7) CAT D7G (92V) CAT D7G (3ZD) CAT D7G (3ZD) (2)                              </v>
      </c>
      <c r="D28" s="54" t="str">
        <f>VLOOKUP(B28,'[1]Product by Part Number'!$A:$K,3,0)</f>
        <v>GROOVED PIN</v>
      </c>
      <c r="E28" s="55">
        <f>VLOOKUP(B28,'[1]Product by Part Number'!$A:$K,11,0)</f>
        <v>18</v>
      </c>
      <c r="F28" s="56">
        <f>VLOOKUP(B28,'[1]Product by Part Number'!$A:$K,4,0)</f>
        <v>12.96</v>
      </c>
      <c r="G28" s="56">
        <f t="shared" si="2"/>
        <v>233.28000000000003</v>
      </c>
      <c r="H28" s="57">
        <f>VLOOKUP(B28,'[1]Product by Part Number'!$A:$K,5,0)</f>
        <v>4.92</v>
      </c>
      <c r="I28" s="88">
        <f t="shared" si="3"/>
        <v>88.56</v>
      </c>
    </row>
    <row r="29" spans="2:11" s="53" customFormat="1" ht="53.4" x14ac:dyDescent="0.3">
      <c r="B29" s="78" t="s">
        <v>76</v>
      </c>
      <c r="C29" s="54" t="str">
        <f>VLOOKUP(B29,'[1]Product by Part Number'!$A:$K,2,0)</f>
        <v xml:space="preserve">CAT D5 (3CR) CAT D5 (3CR) (2) CAT D6N LGP (PBA) CAT D6N LGP (PBA) (2) CAT D6N LGP (SGG) CAT D6N LGP (SGG) (2) CAT D6T (MH7) CAT D7G (92V) CAT D7G (3ZD) CAT D7G (3ZD) (2)                          </v>
      </c>
      <c r="D29" s="54" t="str">
        <f>VLOOKUP(B29,'[1]Product by Part Number'!$A:$K,3,0)</f>
        <v>RETAINER</v>
      </c>
      <c r="E29" s="55">
        <f>VLOOKUP(B29,'[1]Product by Part Number'!$A:$K,11,0)</f>
        <v>20</v>
      </c>
      <c r="F29" s="56">
        <f>VLOOKUP(B29,'[1]Product by Part Number'!$A:$K,4,0)</f>
        <v>22.39</v>
      </c>
      <c r="G29" s="56">
        <f t="shared" si="2"/>
        <v>447.8</v>
      </c>
      <c r="H29" s="57">
        <f>VLOOKUP(B29,'[1]Product by Part Number'!$A:$K,5,0)</f>
        <v>8.51</v>
      </c>
      <c r="I29" s="88">
        <f t="shared" si="3"/>
        <v>170.2</v>
      </c>
    </row>
    <row r="30" spans="2:11" s="53" customFormat="1" x14ac:dyDescent="0.3">
      <c r="B30" s="78" t="s">
        <v>77</v>
      </c>
      <c r="C30" s="54" t="str">
        <f>VLOOKUP(B30,'[1]Product by Part Number'!$A:$K,2,0)</f>
        <v xml:space="preserve">CAT 329E L (ZCD)                                            </v>
      </c>
      <c r="D30" s="54" t="str">
        <f>VLOOKUP(B30,'[1]Product by Part Number'!$A:$K,3,0)</f>
        <v>CARRIER BOLT</v>
      </c>
      <c r="E30" s="55">
        <f>VLOOKUP(B30,'[1]Product by Part Number'!$A:$K,11,0)</f>
        <v>4</v>
      </c>
      <c r="F30" s="56">
        <f>VLOOKUP(B30,'[1]Product by Part Number'!$A:$K,4,0)</f>
        <v>31.9</v>
      </c>
      <c r="G30" s="56">
        <f t="shared" si="2"/>
        <v>127.6</v>
      </c>
      <c r="H30" s="57">
        <f>VLOOKUP(B30,'[1]Product by Part Number'!$A:$K,5,0)</f>
        <v>15.95</v>
      </c>
      <c r="I30" s="88">
        <f t="shared" si="3"/>
        <v>63.8</v>
      </c>
    </row>
    <row r="31" spans="2:11" s="53" customFormat="1" ht="66.599999999999994" x14ac:dyDescent="0.3">
      <c r="B31" s="78" t="s">
        <v>78</v>
      </c>
      <c r="C31" s="54" t="str">
        <f>VLOOKUP(B31,'[1]Product by Part Number'!$A:$K,2,0)</f>
        <v xml:space="preserve">CAT 320E L (WBK) CAT 320E L (WBK) (2) CAT 320 (HEX) CAT 320 (MYK) CAT 320 (MYK) (2) CAT 329E L (ZCD) CAT 329F L (ERL) CAT 329F L (ERL) (2) CAT 330F L (MBX) CAT 330F L (HCK) CAT 330F L (HCK) (2)                        </v>
      </c>
      <c r="D31" s="54" t="str">
        <f>VLOOKUP(B31,'[1]Product by Part Number'!$A:$K,3,0)</f>
        <v>12V BATTERY 1000CCA</v>
      </c>
      <c r="E31" s="55">
        <f>VLOOKUP(B31,'[1]Product by Part Number'!$A:$K,11,0)</f>
        <v>26</v>
      </c>
      <c r="F31" s="56">
        <f>VLOOKUP(B31,'[1]Product by Part Number'!$A:$K,4,0)</f>
        <v>523.07000000000005</v>
      </c>
      <c r="G31" s="56">
        <f t="shared" si="2"/>
        <v>13599.820000000002</v>
      </c>
      <c r="H31" s="57">
        <f>VLOOKUP(B31,'[1]Product by Part Number'!$A:$K,5,0)</f>
        <v>132.13</v>
      </c>
      <c r="I31" s="88">
        <f t="shared" si="3"/>
        <v>3435.38</v>
      </c>
    </row>
    <row r="32" spans="2:11" s="53" customFormat="1" ht="79.8" x14ac:dyDescent="0.3">
      <c r="B32" s="78" t="s">
        <v>79</v>
      </c>
      <c r="C32" s="54" t="str">
        <f>VLOOKUP(B32,'[1]Product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32" s="54" t="str">
        <f>VLOOKUP(B32,'[1]Product by Part Number'!$A:$K,3,0)</f>
        <v>FRONT IDLER</v>
      </c>
      <c r="E32" s="55">
        <f>VLOOKUP(B32,'[1]Product by Part Number'!$A:$K,11,0)</f>
        <v>32</v>
      </c>
      <c r="F32" s="56">
        <f>VLOOKUP(B32,'[1]Product by Part Number'!$A:$K,4,0)</f>
        <v>3159.07</v>
      </c>
      <c r="G32" s="56">
        <f t="shared" si="2"/>
        <v>101090.24000000001</v>
      </c>
      <c r="H32" s="57">
        <f>VLOOKUP(B32,'[1]Product by Part Number'!$A:$K,5,0)</f>
        <v>1579.54</v>
      </c>
      <c r="I32" s="88">
        <f t="shared" si="3"/>
        <v>50545.279999999999</v>
      </c>
    </row>
    <row r="33" spans="2:9" s="53" customFormat="1" x14ac:dyDescent="0.3">
      <c r="B33" s="78" t="s">
        <v>80</v>
      </c>
      <c r="C33" s="54" t="str">
        <f>VLOOKUP(B33,'[1]Product by Part Number'!$A:$K,2,0)</f>
        <v xml:space="preserve">CAT D5 (3CR) CAT D5 (3CR) (2) CAT 561M (1KW)                                        </v>
      </c>
      <c r="D33" s="54" t="str">
        <f>VLOOKUP(B33,'[1]Product by Part Number'!$A:$K,3,0)</f>
        <v>FUEL WATER SEPARATOR</v>
      </c>
      <c r="E33" s="55">
        <f>VLOOKUP(B33,'[1]Product by Part Number'!$A:$K,11,0)</f>
        <v>30</v>
      </c>
      <c r="F33" s="56">
        <f>VLOOKUP(B33,'[1]Product by Part Number'!$A:$K,4,0)</f>
        <v>52.82</v>
      </c>
      <c r="G33" s="56">
        <f t="shared" si="2"/>
        <v>1584.6</v>
      </c>
      <c r="H33" s="57">
        <f>VLOOKUP(B33,'[1]Product by Part Number'!$A:$K,5,0)</f>
        <v>20.07</v>
      </c>
      <c r="I33" s="88">
        <f t="shared" si="3"/>
        <v>602.1</v>
      </c>
    </row>
    <row r="34" spans="2:9" s="53" customFormat="1" x14ac:dyDescent="0.3">
      <c r="B34" s="78" t="s">
        <v>81</v>
      </c>
      <c r="C34" s="54" t="str">
        <f>VLOOKUP(B34,'[1]Product by Part Number'!$A:$K,2,0)</f>
        <v xml:space="preserve">CAT D4 (66J)                                            </v>
      </c>
      <c r="D34" s="54" t="str">
        <f>VLOOKUP(B34,'[1]Product by Part Number'!$A:$K,3,0)</f>
        <v>SINGLE FLANGE TRACK ROLLER</v>
      </c>
      <c r="E34" s="55">
        <f>VLOOKUP(B34,'[1]Product by Part Number'!$A:$K,11,0)</f>
        <v>4</v>
      </c>
      <c r="F34" s="56">
        <f>VLOOKUP(B34,'[1]Product by Part Number'!$A:$K,4,0)</f>
        <v>1023.71</v>
      </c>
      <c r="G34" s="56">
        <f t="shared" si="2"/>
        <v>4094.84</v>
      </c>
      <c r="H34" s="57">
        <f>VLOOKUP(B34,'[1]Product by Part Number'!$A:$K,5,0)</f>
        <v>511.86</v>
      </c>
      <c r="I34" s="88">
        <f t="shared" si="3"/>
        <v>2047.44</v>
      </c>
    </row>
    <row r="35" spans="2:9" s="53" customFormat="1" ht="27" x14ac:dyDescent="0.3">
      <c r="B35" s="78" t="s">
        <v>82</v>
      </c>
      <c r="C35" s="54" t="str">
        <f>VLOOKUP(B35,'[1]Product by Part Number'!$A:$K,2,0)</f>
        <v xml:space="preserve">CAT D4 (66J)                                            </v>
      </c>
      <c r="D35" s="54" t="str">
        <f>VLOOKUP(B35,'[1]Product by Part Number'!$A:$K,3,0)</f>
        <v>DOUBLE FLANGE TRACK ROLLER (GUIDE AR)*</v>
      </c>
      <c r="E35" s="55">
        <f>VLOOKUP(B35,'[1]Product by Part Number'!$A:$K,11,0)</f>
        <v>6</v>
      </c>
      <c r="F35" s="56">
        <f>VLOOKUP(B35,'[1]Product by Part Number'!$A:$K,4,0)</f>
        <v>1246.45</v>
      </c>
      <c r="G35" s="56">
        <f t="shared" si="2"/>
        <v>7478.7000000000007</v>
      </c>
      <c r="H35" s="57">
        <f>VLOOKUP(B35,'[1]Product by Part Number'!$A:$K,5,0)</f>
        <v>623.23</v>
      </c>
      <c r="I35" s="88">
        <f t="shared" si="3"/>
        <v>3739.38</v>
      </c>
    </row>
    <row r="36" spans="2:9" s="53" customFormat="1" x14ac:dyDescent="0.3">
      <c r="B36" s="78" t="s">
        <v>425</v>
      </c>
      <c r="C36" s="54" t="str">
        <f>VLOOKUP(B36,'[1]Product by Part Number'!$A:$K,2,0)</f>
        <v xml:space="preserve">CAT 561 (85H) CAT 561 (92J) CAT 561 (92J) (2)                                        </v>
      </c>
      <c r="D36" s="54" t="str">
        <f>VLOOKUP(B36,'[1]Product by Part Number'!$A:$K,3,0)</f>
        <v>ROLLER SINGLE FLANGE</v>
      </c>
      <c r="E36" s="55">
        <f>VLOOKUP(B36,'[1]Product by Part Number'!$A:$K,11,0)</f>
        <v>18</v>
      </c>
      <c r="F36" s="56">
        <f>VLOOKUP(B36,'[1]Product by Part Number'!$A:$K,4,0)</f>
        <v>545.21</v>
      </c>
      <c r="G36" s="56">
        <f t="shared" si="2"/>
        <v>9813.7800000000007</v>
      </c>
      <c r="H36" s="57">
        <f>VLOOKUP(B36,'[1]Product by Part Number'!$A:$K,5,0)</f>
        <v>272.61</v>
      </c>
      <c r="I36" s="88">
        <f t="shared" si="3"/>
        <v>4906.9799999999996</v>
      </c>
    </row>
    <row r="37" spans="2:9" s="53" customFormat="1" x14ac:dyDescent="0.3">
      <c r="B37" s="78" t="s">
        <v>426</v>
      </c>
      <c r="C37" s="54" t="str">
        <f>VLOOKUP(B37,'[1]Product by Part Number'!$A:$K,2,0)</f>
        <v xml:space="preserve">CAT 561 (85H) CAT 561 (92J) CAT 561 (92J) (2)                                        </v>
      </c>
      <c r="D37" s="54" t="str">
        <f>VLOOKUP(B37,'[1]Product by Part Number'!$A:$K,3,0)</f>
        <v>ROLLER DOUBLE FLANGE</v>
      </c>
      <c r="E37" s="55">
        <f>VLOOKUP(B37,'[1]Product by Part Number'!$A:$K,11,0)</f>
        <v>18</v>
      </c>
      <c r="F37" s="56">
        <f>VLOOKUP(B37,'[1]Product by Part Number'!$A:$K,4,0)</f>
        <v>561.72</v>
      </c>
      <c r="G37" s="56">
        <f t="shared" si="2"/>
        <v>10110.960000000001</v>
      </c>
      <c r="H37" s="57">
        <f>VLOOKUP(B37,'[1]Product by Part Number'!$A:$K,5,0)</f>
        <v>280.86</v>
      </c>
      <c r="I37" s="88">
        <f t="shared" si="3"/>
        <v>5055.4799999999996</v>
      </c>
    </row>
    <row r="38" spans="2:9" s="53" customFormat="1" ht="40.200000000000003" x14ac:dyDescent="0.3">
      <c r="B38" s="78" t="s">
        <v>83</v>
      </c>
      <c r="C38" s="54" t="str">
        <f>VLOOKUP(B38,'[1]Product by Part Number'!$A:$K,2,0)</f>
        <v xml:space="preserve">CAT D5 (3CR) CAT D5 (3CR) (2) CAT 561N (CPH) CAT 561N (CPH) (2) CAT 561N (CPH) (3) CAT 561N (CPH) (4) CAT 561N (CPH) (5)                                </v>
      </c>
      <c r="D38" s="54" t="str">
        <f>VLOOKUP(B38,'[1]Product by Part Number'!$A:$K,3,0)</f>
        <v>SINGLE FLANGE TRACK ROLLER</v>
      </c>
      <c r="E38" s="55">
        <f>VLOOKUP(B38,'[1]Product by Part Number'!$A:$K,11,0)</f>
        <v>102</v>
      </c>
      <c r="F38" s="56">
        <f>VLOOKUP(B38,'[1]Product by Part Number'!$A:$K,4,0)</f>
        <v>785.53</v>
      </c>
      <c r="G38" s="56">
        <f t="shared" si="2"/>
        <v>80124.06</v>
      </c>
      <c r="H38" s="57">
        <f>VLOOKUP(B38,'[1]Product by Part Number'!$A:$K,5,0)</f>
        <v>392.77</v>
      </c>
      <c r="I38" s="88">
        <f t="shared" si="3"/>
        <v>40062.54</v>
      </c>
    </row>
    <row r="39" spans="2:9" s="53" customFormat="1" ht="40.200000000000003" x14ac:dyDescent="0.3">
      <c r="B39" s="78" t="s">
        <v>84</v>
      </c>
      <c r="C39" s="54" t="str">
        <f>VLOOKUP(B39,'[1]Product by Part Number'!$A:$K,2,0)</f>
        <v xml:space="preserve">CAT D5 (3CR) CAT D5 (3CR) (2) CAT 561N (CPH) CAT 561N (CPH) (2) CAT 561N (CPH) (3) CAT 561N (CPH) (4) CAT 561N (CPH) (5)                                </v>
      </c>
      <c r="D39" s="54" t="str">
        <f>VLOOKUP(B39,'[1]Product by Part Number'!$A:$K,3,0)</f>
        <v>DOUBLE FLANGE TRACK ROLLER</v>
      </c>
      <c r="E39" s="55">
        <f>VLOOKUP(B39,'[1]Product by Part Number'!$A:$K,11,0)</f>
        <v>42</v>
      </c>
      <c r="F39" s="56">
        <f>VLOOKUP(B39,'[1]Product by Part Number'!$A:$K,4,0)</f>
        <v>651.61</v>
      </c>
      <c r="G39" s="56">
        <f t="shared" si="2"/>
        <v>27367.62</v>
      </c>
      <c r="H39" s="57">
        <f>VLOOKUP(B39,'[1]Product by Part Number'!$A:$K,5,0)</f>
        <v>325.81</v>
      </c>
      <c r="I39" s="88">
        <f t="shared" si="3"/>
        <v>13684.02</v>
      </c>
    </row>
    <row r="40" spans="2:9" s="53" customFormat="1" x14ac:dyDescent="0.3">
      <c r="B40" s="78" t="s">
        <v>427</v>
      </c>
      <c r="C40" s="54" t="str">
        <f>VLOOKUP(B40,'[1]Product by Part Number'!$A:$K,2,0)</f>
        <v xml:space="preserve">CAT 561M (1KW)                                            </v>
      </c>
      <c r="D40" s="54" t="str">
        <f>VLOOKUP(B40,'[1]Product by Part Number'!$A:$K,3,0)</f>
        <v>SINGLE FL ROLLER</v>
      </c>
      <c r="E40" s="55">
        <f>VLOOKUP(B40,'[1]Product by Part Number'!$A:$K,11,0)</f>
        <v>8</v>
      </c>
      <c r="F40" s="56">
        <f>VLOOKUP(B40,'[1]Product by Part Number'!$A:$K,4,0)</f>
        <v>868.38</v>
      </c>
      <c r="G40" s="56">
        <f t="shared" si="2"/>
        <v>6947.04</v>
      </c>
      <c r="H40" s="57">
        <f>VLOOKUP(B40,'[1]Product by Part Number'!$A:$K,5,0)</f>
        <v>434.19</v>
      </c>
      <c r="I40" s="88">
        <f t="shared" si="3"/>
        <v>3473.52</v>
      </c>
    </row>
    <row r="41" spans="2:9" s="53" customFormat="1" x14ac:dyDescent="0.3">
      <c r="B41" s="78" t="s">
        <v>428</v>
      </c>
      <c r="C41" s="54" t="str">
        <f>VLOOKUP(B41,'[1]Product by Part Number'!$A:$K,2,0)</f>
        <v xml:space="preserve">CAT 561M (1KW)                                            </v>
      </c>
      <c r="D41" s="54" t="str">
        <f>VLOOKUP(B41,'[1]Product by Part Number'!$A:$K,3,0)</f>
        <v xml:space="preserve">DOUBLE FL ROLLER </v>
      </c>
      <c r="E41" s="55">
        <f>VLOOKUP(B41,'[1]Product by Part Number'!$A:$K,11,0)</f>
        <v>6</v>
      </c>
      <c r="F41" s="56">
        <f>VLOOKUP(B41,'[1]Product by Part Number'!$A:$K,4,0)</f>
        <v>629.14</v>
      </c>
      <c r="G41" s="56">
        <f t="shared" si="2"/>
        <v>3774.84</v>
      </c>
      <c r="H41" s="57">
        <f>VLOOKUP(B41,'[1]Product by Part Number'!$A:$K,5,0)</f>
        <v>314.57</v>
      </c>
      <c r="I41" s="88">
        <f t="shared" si="3"/>
        <v>1887.42</v>
      </c>
    </row>
    <row r="42" spans="2:9" s="53" customFormat="1" x14ac:dyDescent="0.3">
      <c r="B42" s="78" t="s">
        <v>85</v>
      </c>
      <c r="C42" s="54" t="str">
        <f>VLOOKUP(B42,'[1]Product by Part Number'!$A:$K,2,0)</f>
        <v xml:space="preserve">CAT D5 (3CR) CAT D5 (3CR) (2) CAT 561M (1KW)                                        </v>
      </c>
      <c r="D42" s="54" t="str">
        <f>VLOOKUP(B42,'[1]Product by Part Number'!$A:$K,3,0)</f>
        <v>FUEL INJECTOR</v>
      </c>
      <c r="E42" s="55">
        <f>VLOOKUP(B42,'[1]Product by Part Number'!$A:$K,11,0)</f>
        <v>18</v>
      </c>
      <c r="F42" s="56">
        <f>VLOOKUP(B42,'[1]Product by Part Number'!$A:$K,4,0)</f>
        <v>914.54</v>
      </c>
      <c r="G42" s="56">
        <f t="shared" si="2"/>
        <v>16461.72</v>
      </c>
      <c r="H42" s="57">
        <f>VLOOKUP(B42,'[1]Product by Part Number'!$A:$K,5,0)</f>
        <v>457.27</v>
      </c>
      <c r="I42" s="88">
        <f t="shared" si="3"/>
        <v>8230.86</v>
      </c>
    </row>
    <row r="43" spans="2:9" s="53" customFormat="1" ht="27" x14ac:dyDescent="0.3">
      <c r="B43" s="78" t="s">
        <v>86</v>
      </c>
      <c r="C43" s="54" t="str">
        <f>VLOOKUP(B43,'[1]Product by Part Number'!$A:$K,2,0)</f>
        <v xml:space="preserve">CAT 320E L (WBK) CAT 320E L (WBK) (2) CAT 320F L (YBM)                                        </v>
      </c>
      <c r="D43" s="54" t="str">
        <f>VLOOKUP(B43,'[1]Product by Part Number'!$A:$K,3,0)</f>
        <v>SECONDARY AIR FILTER ELEMENT</v>
      </c>
      <c r="E43" s="55">
        <f>VLOOKUP(B43,'[1]Product by Part Number'!$A:$K,11,0)</f>
        <v>9</v>
      </c>
      <c r="F43" s="56">
        <f>VLOOKUP(B43,'[1]Product by Part Number'!$A:$K,4,0)</f>
        <v>97.91</v>
      </c>
      <c r="G43" s="56">
        <f t="shared" si="2"/>
        <v>881.18999999999994</v>
      </c>
      <c r="H43" s="57">
        <f>VLOOKUP(B43,'[1]Product by Part Number'!$A:$K,5,0)</f>
        <v>37.21</v>
      </c>
      <c r="I43" s="88">
        <f t="shared" si="3"/>
        <v>334.89</v>
      </c>
    </row>
    <row r="44" spans="2:9" s="53" customFormat="1" ht="27" x14ac:dyDescent="0.3">
      <c r="B44" s="78" t="s">
        <v>87</v>
      </c>
      <c r="C44" s="54" t="str">
        <f>VLOOKUP(B44,'[1]Product by Part Number'!$A:$K,2,0)</f>
        <v xml:space="preserve">CAT 320E L (WBK) CAT 320E L (WBK) (2) CAT 320F L (YBM)                                        </v>
      </c>
      <c r="D44" s="54" t="str">
        <f>VLOOKUP(B44,'[1]Product by Part Number'!$A:$K,3,0)</f>
        <v>PRIMARY AIR FILTER ELEMENT</v>
      </c>
      <c r="E44" s="55">
        <f>VLOOKUP(B44,'[1]Product by Part Number'!$A:$K,11,0)</f>
        <v>9</v>
      </c>
      <c r="F44" s="56">
        <f>VLOOKUP(B44,'[1]Product by Part Number'!$A:$K,4,0)</f>
        <v>120.35</v>
      </c>
      <c r="G44" s="56">
        <f t="shared" si="2"/>
        <v>1083.1499999999999</v>
      </c>
      <c r="H44" s="57">
        <f>VLOOKUP(B44,'[1]Product by Part Number'!$A:$K,5,0)</f>
        <v>45.73</v>
      </c>
      <c r="I44" s="88">
        <f t="shared" si="3"/>
        <v>411.57</v>
      </c>
    </row>
    <row r="45" spans="2:9" s="53" customFormat="1" x14ac:dyDescent="0.3">
      <c r="B45" s="78" t="s">
        <v>429</v>
      </c>
      <c r="C45" s="54" t="str">
        <f>VLOOKUP(B45,'[1]Product by Part Number'!$A:$K,2,0)</f>
        <v xml:space="preserve">CAT 561M (1KW)                                            </v>
      </c>
      <c r="D45" s="54" t="str">
        <f>VLOOKUP(B45,'[1]Product by Part Number'!$A:$K,3,0)</f>
        <v>TRANSMISSION FILTER</v>
      </c>
      <c r="E45" s="55">
        <f>VLOOKUP(B45,'[1]Product by Part Number'!$A:$K,11,0)</f>
        <v>5</v>
      </c>
      <c r="F45" s="56">
        <f>VLOOKUP(B45,'[1]Product by Part Number'!$A:$K,4,0)</f>
        <v>113.9</v>
      </c>
      <c r="G45" s="56">
        <f t="shared" si="2"/>
        <v>569.5</v>
      </c>
      <c r="H45" s="57">
        <f>VLOOKUP(B45,'[1]Product by Part Number'!$A:$K,5,0)</f>
        <v>43.28</v>
      </c>
      <c r="I45" s="88">
        <f t="shared" si="3"/>
        <v>216.4</v>
      </c>
    </row>
    <row r="46" spans="2:9" s="53" customFormat="1" x14ac:dyDescent="0.3">
      <c r="B46" s="78" t="s">
        <v>88</v>
      </c>
      <c r="C46" s="54" t="str">
        <f>VLOOKUP(B46,'[1]Product by Part Number'!$A:$K,2,0)</f>
        <v xml:space="preserve">CAT D5 (3CR) CAT D5 (3CR) (2) CAT 561M (1KW)                                        </v>
      </c>
      <c r="D46" s="54" t="str">
        <f>VLOOKUP(B46,'[1]Product by Part Number'!$A:$K,3,0)</f>
        <v>CAMSHAFT</v>
      </c>
      <c r="E46" s="55">
        <f>VLOOKUP(B46,'[1]Product by Part Number'!$A:$K,11,0)</f>
        <v>3</v>
      </c>
      <c r="F46" s="56">
        <f>VLOOKUP(B46,'[1]Product by Part Number'!$A:$K,4,0)</f>
        <v>4368</v>
      </c>
      <c r="G46" s="56">
        <f t="shared" si="2"/>
        <v>13104</v>
      </c>
      <c r="H46" s="57">
        <f>VLOOKUP(B46,'[1]Product by Part Number'!$A:$K,5,0)</f>
        <v>2184</v>
      </c>
      <c r="I46" s="88">
        <f t="shared" si="3"/>
        <v>6552</v>
      </c>
    </row>
    <row r="47" spans="2:9" s="53" customFormat="1" x14ac:dyDescent="0.3">
      <c r="B47" s="78" t="s">
        <v>89</v>
      </c>
      <c r="C47" s="54" t="str">
        <f>VLOOKUP(B47,'[1]Product by Part Number'!$A:$K,2,0)</f>
        <v xml:space="preserve">CAT 303.5E                                            </v>
      </c>
      <c r="D47" s="54" t="str">
        <f>VLOOKUP(B47,'[1]Product by Part Number'!$A:$K,3,0)</f>
        <v>PRIMARY AIR FILTER ELEMENT</v>
      </c>
      <c r="E47" s="55">
        <f>VLOOKUP(B47,'[1]Product by Part Number'!$A:$K,11,0)</f>
        <v>3</v>
      </c>
      <c r="F47" s="56">
        <f>VLOOKUP(B47,'[1]Product by Part Number'!$A:$K,4,0)</f>
        <v>67.33</v>
      </c>
      <c r="G47" s="56">
        <f t="shared" si="2"/>
        <v>201.99</v>
      </c>
      <c r="H47" s="57">
        <f>VLOOKUP(B47,'[1]Product by Part Number'!$A:$K,5,0)</f>
        <v>25.59</v>
      </c>
      <c r="I47" s="88">
        <f t="shared" si="3"/>
        <v>76.77</v>
      </c>
    </row>
    <row r="48" spans="2:9" s="53" customFormat="1" x14ac:dyDescent="0.3">
      <c r="B48" s="78" t="s">
        <v>90</v>
      </c>
      <c r="C48" s="54" t="str">
        <f>VLOOKUP(B48,'[1]Product by Part Number'!$A:$K,2,0)</f>
        <v xml:space="preserve">CAT 336F L (RKB)                                            </v>
      </c>
      <c r="D48" s="54" t="str">
        <f>VLOOKUP(B48,'[1]Product by Part Number'!$A:$K,3,0)</f>
        <v>FRONT IDLER</v>
      </c>
      <c r="E48" s="55">
        <f>VLOOKUP(B48,'[1]Product by Part Number'!$A:$K,11,0)</f>
        <v>2</v>
      </c>
      <c r="F48" s="56">
        <f>VLOOKUP(B48,'[1]Product by Part Number'!$A:$K,4,0)</f>
        <v>4335.3599999999997</v>
      </c>
      <c r="G48" s="56">
        <f t="shared" si="2"/>
        <v>8670.7199999999993</v>
      </c>
      <c r="H48" s="57">
        <f>VLOOKUP(B48,'[1]Product by Part Number'!$A:$K,5,0)</f>
        <v>2167.6799999999998</v>
      </c>
      <c r="I48" s="88">
        <f t="shared" si="3"/>
        <v>4335.3599999999997</v>
      </c>
    </row>
    <row r="49" spans="2:9" s="53" customFormat="1" x14ac:dyDescent="0.3">
      <c r="B49" s="78" t="s">
        <v>91</v>
      </c>
      <c r="C49" s="54" t="str">
        <f>VLOOKUP(B49,'[1]Product by Part Number'!$A:$K,2,0)</f>
        <v xml:space="preserve">CAT D5 (3CR) CAT D5 (3CR) (2)                                          </v>
      </c>
      <c r="D49" s="54" t="str">
        <f>VLOOKUP(B49,'[1]Product by Part Number'!$A:$K,3,0)</f>
        <v>RIPPER PIN</v>
      </c>
      <c r="E49" s="55">
        <f>VLOOKUP(B49,'[1]Product by Part Number'!$A:$K,11,0)</f>
        <v>2</v>
      </c>
      <c r="F49" s="56">
        <f>VLOOKUP(B49,'[1]Product by Part Number'!$A:$K,4,0)</f>
        <v>10.35</v>
      </c>
      <c r="G49" s="56">
        <f t="shared" si="2"/>
        <v>20.7</v>
      </c>
      <c r="H49" s="57">
        <f>VLOOKUP(B49,'[1]Product by Part Number'!$A:$K,5,0)</f>
        <v>3.93</v>
      </c>
      <c r="I49" s="88">
        <f t="shared" si="3"/>
        <v>7.86</v>
      </c>
    </row>
    <row r="50" spans="2:9" s="53" customFormat="1" x14ac:dyDescent="0.3">
      <c r="B50" s="78" t="s">
        <v>92</v>
      </c>
      <c r="C50" s="54" t="str">
        <f>VLOOKUP(B50,'[1]Product by Part Number'!$A:$K,2,0)</f>
        <v xml:space="preserve">CAT 303.5E                                            </v>
      </c>
      <c r="D50" s="54" t="str">
        <f>VLOOKUP(B50,'[1]Product by Part Number'!$A:$K,3,0)</f>
        <v>SECONDARY AIR FILTER ELEMENT</v>
      </c>
      <c r="E50" s="55">
        <f>VLOOKUP(B50,'[1]Product by Part Number'!$A:$K,11,0)</f>
        <v>3</v>
      </c>
      <c r="F50" s="56">
        <f>VLOOKUP(B50,'[1]Product by Part Number'!$A:$K,4,0)</f>
        <v>61.69</v>
      </c>
      <c r="G50" s="56">
        <f t="shared" si="2"/>
        <v>185.07</v>
      </c>
      <c r="H50" s="57">
        <f>VLOOKUP(B50,'[1]Product by Part Number'!$A:$K,5,0)</f>
        <v>23.44</v>
      </c>
      <c r="I50" s="88">
        <f t="shared" si="3"/>
        <v>70.319999999999993</v>
      </c>
    </row>
    <row r="51" spans="2:9" s="53" customFormat="1" x14ac:dyDescent="0.3">
      <c r="B51" s="78" t="s">
        <v>93</v>
      </c>
      <c r="C51" s="54" t="str">
        <f>VLOOKUP(B51,'[1]Product by Part Number'!$A:$K,2,0)</f>
        <v xml:space="preserve">CAT 336F L (RKB)                                            </v>
      </c>
      <c r="D51" s="54" t="str">
        <f>VLOOKUP(B51,'[1]Product by Part Number'!$A:$K,3,0)</f>
        <v>PRIMARY AIR FILTER ELEMENT</v>
      </c>
      <c r="E51" s="55">
        <f>VLOOKUP(B51,'[1]Product by Part Number'!$A:$K,11,0)</f>
        <v>3</v>
      </c>
      <c r="F51" s="56">
        <f>VLOOKUP(B51,'[1]Product by Part Number'!$A:$K,4,0)</f>
        <v>201.81</v>
      </c>
      <c r="G51" s="56">
        <f t="shared" si="2"/>
        <v>605.43000000000006</v>
      </c>
      <c r="H51" s="57">
        <f>VLOOKUP(B51,'[1]Product by Part Number'!$A:$K,5,0)</f>
        <v>76.69</v>
      </c>
      <c r="I51" s="88">
        <f t="shared" si="3"/>
        <v>230.07</v>
      </c>
    </row>
    <row r="52" spans="2:9" s="53" customFormat="1" x14ac:dyDescent="0.3">
      <c r="B52" s="78" t="s">
        <v>94</v>
      </c>
      <c r="C52" s="54" t="str">
        <f>VLOOKUP(B52,'[1]Product by Part Number'!$A:$K,2,0)</f>
        <v xml:space="preserve">CAT 336F L (RKB)                                            </v>
      </c>
      <c r="D52" s="54" t="str">
        <f>VLOOKUP(B52,'[1]Product by Part Number'!$A:$K,3,0)</f>
        <v>SECONDARY AIR FILTER ELEMENT</v>
      </c>
      <c r="E52" s="55">
        <f>VLOOKUP(B52,'[1]Product by Part Number'!$A:$K,11,0)</f>
        <v>3</v>
      </c>
      <c r="F52" s="56">
        <f>VLOOKUP(B52,'[1]Product by Part Number'!$A:$K,4,0)</f>
        <v>119.45</v>
      </c>
      <c r="G52" s="56">
        <f t="shared" si="2"/>
        <v>358.35</v>
      </c>
      <c r="H52" s="57">
        <f>VLOOKUP(B52,'[1]Product by Part Number'!$A:$K,5,0)</f>
        <v>45.39</v>
      </c>
      <c r="I52" s="88">
        <f t="shared" si="3"/>
        <v>136.16999999999999</v>
      </c>
    </row>
    <row r="53" spans="2:9" s="53" customFormat="1" ht="27" x14ac:dyDescent="0.3">
      <c r="B53" s="78" t="s">
        <v>95</v>
      </c>
      <c r="C53" s="54" t="str">
        <f>VLOOKUP(B53,'[1]Product by Part Number'!$A:$K,2,0)</f>
        <v xml:space="preserve">CAT 561N (CPH) CAT 561N (CPH) (2) CAT 561N (CPH) (3) CAT 561N (CPH) (4) CAT 561N (CPH) (5)                                    </v>
      </c>
      <c r="D53" s="54" t="str">
        <f>VLOOKUP(B53,'[1]Product by Part Number'!$A:$K,3,0)</f>
        <v>FUEL WATER SEPARATOR FILTER</v>
      </c>
      <c r="E53" s="55">
        <f>VLOOKUP(B53,'[1]Product by Part Number'!$A:$K,11,0)</f>
        <v>50</v>
      </c>
      <c r="F53" s="56">
        <f>VLOOKUP(B53,'[1]Product by Part Number'!$A:$K,4,0)</f>
        <v>60.23</v>
      </c>
      <c r="G53" s="56">
        <f t="shared" si="2"/>
        <v>3011.5</v>
      </c>
      <c r="H53" s="57">
        <f>VLOOKUP(B53,'[1]Product by Part Number'!$A:$K,5,0)</f>
        <v>22.89</v>
      </c>
      <c r="I53" s="88">
        <f t="shared" si="3"/>
        <v>1144.5</v>
      </c>
    </row>
    <row r="54" spans="2:9" s="53" customFormat="1" x14ac:dyDescent="0.3">
      <c r="B54" s="78" t="s">
        <v>96</v>
      </c>
      <c r="C54" s="54" t="str">
        <f>VLOOKUP(B54,'[1]Product by Part Number'!$A:$K,2,0)</f>
        <v xml:space="preserve">CAT D6N LGP (PBA) CAT D6N LGP (PBA) (2)                                          </v>
      </c>
      <c r="D54" s="54" t="str">
        <f>VLOOKUP(B54,'[1]Product by Part Number'!$A:$K,3,0)</f>
        <v>PRIMARY CABIN AIR FILTER ELEMENT</v>
      </c>
      <c r="E54" s="55">
        <f>VLOOKUP(B54,'[1]Product by Part Number'!$A:$K,11,0)</f>
        <v>6</v>
      </c>
      <c r="F54" s="56">
        <f>VLOOKUP(B54,'[1]Product by Part Number'!$A:$K,4,0)</f>
        <v>112.48</v>
      </c>
      <c r="G54" s="56">
        <f t="shared" si="2"/>
        <v>674.88</v>
      </c>
      <c r="H54" s="57">
        <f>VLOOKUP(B54,'[1]Product by Part Number'!$A:$K,5,0)</f>
        <v>42.74</v>
      </c>
      <c r="I54" s="88">
        <f t="shared" si="3"/>
        <v>256.44</v>
      </c>
    </row>
    <row r="55" spans="2:9" s="53" customFormat="1" x14ac:dyDescent="0.3">
      <c r="B55" s="78" t="s">
        <v>97</v>
      </c>
      <c r="C55" s="54" t="str">
        <f>VLOOKUP(B55,'[1]Product by Part Number'!$A:$K,2,0)</f>
        <v xml:space="preserve">CAT D6 (RDC)                                            </v>
      </c>
      <c r="D55" s="54" t="str">
        <f>VLOOKUP(B55,'[1]Product by Part Number'!$A:$K,3,0)</f>
        <v>FLAT WASHER</v>
      </c>
      <c r="E55" s="55">
        <f>VLOOKUP(B55,'[1]Product by Part Number'!$A:$K,11,0)</f>
        <v>16</v>
      </c>
      <c r="F55" s="56">
        <f>VLOOKUP(B55,'[1]Product by Part Number'!$A:$K,4,0)</f>
        <v>8.75</v>
      </c>
      <c r="G55" s="56">
        <f t="shared" si="2"/>
        <v>140</v>
      </c>
      <c r="H55" s="57">
        <f>VLOOKUP(B55,'[1]Product by Part Number'!$A:$K,5,0)</f>
        <v>4.38</v>
      </c>
      <c r="I55" s="88">
        <f t="shared" si="3"/>
        <v>70.08</v>
      </c>
    </row>
    <row r="56" spans="2:9" s="53" customFormat="1" x14ac:dyDescent="0.3">
      <c r="B56" s="78" t="s">
        <v>98</v>
      </c>
      <c r="C56" s="54" t="str">
        <f>VLOOKUP(B56,'[1]Product by Part Number'!$A:$K,2,0)</f>
        <v xml:space="preserve">CAT 303.5E                                            </v>
      </c>
      <c r="D56" s="54" t="str">
        <f>VLOOKUP(B56,'[1]Product by Part Number'!$A:$K,3,0)</f>
        <v>12V BATTERY - 650CCA</v>
      </c>
      <c r="E56" s="55">
        <f>VLOOKUP(B56,'[1]Product by Part Number'!$A:$K,11,0)</f>
        <v>1</v>
      </c>
      <c r="F56" s="56">
        <f>VLOOKUP(B56,'[1]Product by Part Number'!$A:$K,4,0)</f>
        <v>356.29</v>
      </c>
      <c r="G56" s="56">
        <f t="shared" si="2"/>
        <v>356.29</v>
      </c>
      <c r="H56" s="57">
        <f>VLOOKUP(B56,'[1]Product by Part Number'!$A:$K,5,0)</f>
        <v>160.66999999999999</v>
      </c>
      <c r="I56" s="88">
        <f t="shared" si="3"/>
        <v>160.66999999999999</v>
      </c>
    </row>
    <row r="57" spans="2:9" s="53" customFormat="1" ht="40.200000000000003" x14ac:dyDescent="0.3">
      <c r="B57" s="78" t="s">
        <v>99</v>
      </c>
      <c r="C57" s="54" t="str">
        <f>VLOOKUP(B57,'[1]Product by Part Number'!$A:$K,2,0)</f>
        <v xml:space="preserve">CAT D3 (1PJ) CAT D7G (92V) CAT D7G (3ZD) CAT D7G (3ZD) (2) CAT 561 (85H) CAT 561 (92J) CAT 561 (92J) (2)                                </v>
      </c>
      <c r="D57" s="54" t="str">
        <f>VLOOKUP(B57,'[1]Product by Part Number'!$A:$K,3,0)</f>
        <v>12V BATTERY - 1125CCA</v>
      </c>
      <c r="E57" s="55">
        <f>VLOOKUP(B57,'[1]Product by Part Number'!$A:$K,11,0)</f>
        <v>10</v>
      </c>
      <c r="F57" s="56">
        <f>VLOOKUP(B57,'[1]Product by Part Number'!$A:$K,4,0)</f>
        <v>726.37</v>
      </c>
      <c r="G57" s="56">
        <f t="shared" si="2"/>
        <v>7263.7</v>
      </c>
      <c r="H57" s="57">
        <f>VLOOKUP(B57,'[1]Product by Part Number'!$A:$K,5,0)</f>
        <v>292.44</v>
      </c>
      <c r="I57" s="88">
        <f t="shared" si="3"/>
        <v>2924.4</v>
      </c>
    </row>
    <row r="58" spans="2:9" s="53" customFormat="1" x14ac:dyDescent="0.3">
      <c r="B58" s="78" t="s">
        <v>100</v>
      </c>
      <c r="C58" s="54" t="str">
        <f>VLOOKUP(B58,'[1]Product by Part Number'!$A:$K,2,0)</f>
        <v xml:space="preserve">CAT D3 (1PJ)                                            </v>
      </c>
      <c r="D58" s="54" t="str">
        <f>VLOOKUP(B58,'[1]Product by Part Number'!$A:$K,3,0)</f>
        <v>TRACK LINK ASSEMBLY</v>
      </c>
      <c r="E58" s="55">
        <f>VLOOKUP(B58,'[1]Product by Part Number'!$A:$K,11,0)</f>
        <v>2</v>
      </c>
      <c r="F58" s="56">
        <f>VLOOKUP(B58,'[1]Product by Part Number'!$A:$K,4,0)</f>
        <v>3975.66</v>
      </c>
      <c r="G58" s="56">
        <f t="shared" si="2"/>
        <v>7951.32</v>
      </c>
      <c r="H58" s="57">
        <f>VLOOKUP(B58,'[1]Product by Part Number'!$A:$K,5,0)</f>
        <v>1987.83</v>
      </c>
      <c r="I58" s="88">
        <f t="shared" si="3"/>
        <v>3975.66</v>
      </c>
    </row>
    <row r="59" spans="2:9" s="53" customFormat="1" x14ac:dyDescent="0.3">
      <c r="B59" s="78" t="s">
        <v>430</v>
      </c>
      <c r="C59" s="54" t="str">
        <f>VLOOKUP(B59,'[1]Product by Part Number'!$A:$K,2,0)</f>
        <v xml:space="preserve">CAT 561 (85H) CAT 561 (92J) CAT 561 (92J) (2)                                        </v>
      </c>
      <c r="D59" s="54" t="str">
        <f>VLOOKUP(B59,'[1]Product by Part Number'!$A:$K,3,0)</f>
        <v>TRACK LINK AS</v>
      </c>
      <c r="E59" s="55">
        <f>VLOOKUP(B59,'[1]Product by Part Number'!$A:$K,11,0)</f>
        <v>6</v>
      </c>
      <c r="F59" s="56">
        <f>VLOOKUP(B59,'[1]Product by Part Number'!$A:$K,4,0)</f>
        <v>13482.38</v>
      </c>
      <c r="G59" s="56">
        <f t="shared" si="2"/>
        <v>80894.28</v>
      </c>
      <c r="H59" s="57">
        <f>VLOOKUP(B59,'[1]Product by Part Number'!$A:$K,5,0)</f>
        <v>6741.19</v>
      </c>
      <c r="I59" s="88">
        <f t="shared" si="3"/>
        <v>40447.14</v>
      </c>
    </row>
    <row r="60" spans="2:9" s="53" customFormat="1" x14ac:dyDescent="0.3">
      <c r="B60" s="78" t="s">
        <v>101</v>
      </c>
      <c r="C60" s="54" t="str">
        <f>VLOOKUP(B60,'[1]Product by Part Number'!$A:$K,2,0)</f>
        <v xml:space="preserve">CAT 303.5E                                            </v>
      </c>
      <c r="D60" s="54" t="str">
        <f>VLOOKUP(B60,'[1]Product by Part Number'!$A:$K,3,0)</f>
        <v xml:space="preserve">FUEL WATER SEPARATOR </v>
      </c>
      <c r="E60" s="55">
        <f>VLOOKUP(B60,'[1]Product by Part Number'!$A:$K,11,0)</f>
        <v>10</v>
      </c>
      <c r="F60" s="56">
        <f>VLOOKUP(B60,'[1]Product by Part Number'!$A:$K,4,0)</f>
        <v>57.5</v>
      </c>
      <c r="G60" s="56">
        <f t="shared" si="2"/>
        <v>575</v>
      </c>
      <c r="H60" s="57">
        <f>VLOOKUP(B60,'[1]Product by Part Number'!$A:$K,5,0)</f>
        <v>21.85</v>
      </c>
      <c r="I60" s="88">
        <f t="shared" si="3"/>
        <v>218.5</v>
      </c>
    </row>
    <row r="61" spans="2:9" s="53" customFormat="1" x14ac:dyDescent="0.3">
      <c r="B61" s="78" t="s">
        <v>102</v>
      </c>
      <c r="C61" s="54" t="str">
        <f>VLOOKUP(B61,'[1]Product by Part Number'!$A:$K,2,0)</f>
        <v xml:space="preserve">CAT D5 (3CR) CAT D5 (3CR) (2)                                          </v>
      </c>
      <c r="D61" s="54" t="str">
        <f>VLOOKUP(B61,'[1]Product by Part Number'!$A:$K,3,0)</f>
        <v>CYLINDER HEAD</v>
      </c>
      <c r="E61" s="55">
        <f>VLOOKUP(B61,'[1]Product by Part Number'!$A:$K,11,0)</f>
        <v>2</v>
      </c>
      <c r="F61" s="56">
        <f>VLOOKUP(B61,'[1]Product by Part Number'!$A:$K,4,0)</f>
        <v>9139.2999999999993</v>
      </c>
      <c r="G61" s="56">
        <f t="shared" si="2"/>
        <v>18278.599999999999</v>
      </c>
      <c r="H61" s="57">
        <f>VLOOKUP(B61,'[1]Product by Part Number'!$A:$K,5,0)</f>
        <v>4569.6499999999996</v>
      </c>
      <c r="I61" s="88">
        <f t="shared" si="3"/>
        <v>9139.2999999999993</v>
      </c>
    </row>
    <row r="62" spans="2:9" s="53" customFormat="1" x14ac:dyDescent="0.3">
      <c r="B62" s="78" t="s">
        <v>103</v>
      </c>
      <c r="C62" s="54" t="str">
        <f>VLOOKUP(B62,'[1]Product by Part Number'!$A:$K,2,0)</f>
        <v xml:space="preserve">CAT D4 (66J)                                            </v>
      </c>
      <c r="D62" s="54" t="str">
        <f>VLOOKUP(B62,'[1]Product by Part Number'!$A:$K,3,0)</f>
        <v>HYDRAULIC OIL FILTER</v>
      </c>
      <c r="E62" s="55">
        <f>VLOOKUP(B62,'[1]Product by Part Number'!$A:$K,11,0)</f>
        <v>5</v>
      </c>
      <c r="F62" s="56">
        <f>VLOOKUP(B62,'[1]Product by Part Number'!$A:$K,4,0)</f>
        <v>703.78</v>
      </c>
      <c r="G62" s="56">
        <f t="shared" si="2"/>
        <v>3518.8999999999996</v>
      </c>
      <c r="H62" s="57">
        <f>VLOOKUP(B62,'[1]Product by Part Number'!$A:$K,5,0)</f>
        <v>267.44</v>
      </c>
      <c r="I62" s="88">
        <f t="shared" si="3"/>
        <v>1337.2</v>
      </c>
    </row>
    <row r="63" spans="2:9" s="53" customFormat="1" x14ac:dyDescent="0.3">
      <c r="B63" s="78" t="s">
        <v>104</v>
      </c>
      <c r="C63" s="54" t="str">
        <f>VLOOKUP(B63,'[1]Product by Part Number'!$A:$K,2,0)</f>
        <v xml:space="preserve">CAT D6T (MH7)                                            </v>
      </c>
      <c r="D63" s="54" t="str">
        <f>VLOOKUP(B63,'[1]Product by Part Number'!$A:$K,3,0)</f>
        <v>SPROCKET SEGMENT</v>
      </c>
      <c r="E63" s="55">
        <f>VLOOKUP(B63,'[1]Product by Part Number'!$A:$K,11,0)</f>
        <v>10</v>
      </c>
      <c r="F63" s="56">
        <f>VLOOKUP(B63,'[1]Product by Part Number'!$A:$K,4,0)</f>
        <v>292.60000000000002</v>
      </c>
      <c r="G63" s="56">
        <f t="shared" si="2"/>
        <v>2926</v>
      </c>
      <c r="H63" s="57">
        <f>VLOOKUP(B63,'[1]Product by Part Number'!$A:$K,5,0)</f>
        <v>146.30000000000001</v>
      </c>
      <c r="I63" s="88">
        <f t="shared" si="3"/>
        <v>1463</v>
      </c>
    </row>
    <row r="64" spans="2:9" s="53" customFormat="1" x14ac:dyDescent="0.3">
      <c r="B64" s="78" t="s">
        <v>105</v>
      </c>
      <c r="C64" s="54" t="str">
        <f>VLOOKUP(B64,'[1]Product by Part Number'!$A:$K,2,0)</f>
        <v xml:space="preserve">CAT D4 (66J)                                            </v>
      </c>
      <c r="D64" s="54" t="str">
        <f>VLOOKUP(B64,'[1]Product by Part Number'!$A:$K,3,0)</f>
        <v>TRACK SHOE SINGLE GROUSER 860MM</v>
      </c>
      <c r="E64" s="55">
        <f>VLOOKUP(B64,'[1]Product by Part Number'!$A:$K,11,0)</f>
        <v>90</v>
      </c>
      <c r="F64" s="56">
        <f>VLOOKUP(B64,'[1]Product by Part Number'!$A:$K,4,0)</f>
        <v>188.07</v>
      </c>
      <c r="G64" s="56">
        <f t="shared" si="2"/>
        <v>16926.3</v>
      </c>
      <c r="H64" s="57">
        <f>VLOOKUP(B64,'[1]Product by Part Number'!$A:$K,5,0)</f>
        <v>94.04</v>
      </c>
      <c r="I64" s="88">
        <f t="shared" si="3"/>
        <v>8463.6</v>
      </c>
    </row>
    <row r="65" spans="2:9" s="53" customFormat="1" x14ac:dyDescent="0.3">
      <c r="B65" s="78" t="s">
        <v>106</v>
      </c>
      <c r="C65" s="54" t="str">
        <f>VLOOKUP(B65,'[1]Product by Part Number'!$A:$K,2,0)</f>
        <v xml:space="preserve">CAT D4 (66J)                                            </v>
      </c>
      <c r="D65" s="54" t="str">
        <f>VLOOKUP(B65,'[1]Product by Part Number'!$A:$K,3,0)</f>
        <v>TRACK SHOE MASTER</v>
      </c>
      <c r="E65" s="55">
        <f>VLOOKUP(B65,'[1]Product by Part Number'!$A:$K,11,0)</f>
        <v>2</v>
      </c>
      <c r="F65" s="56">
        <f>VLOOKUP(B65,'[1]Product by Part Number'!$A:$K,4,0)</f>
        <v>200.07</v>
      </c>
      <c r="G65" s="56">
        <f t="shared" si="2"/>
        <v>400.14</v>
      </c>
      <c r="H65" s="57">
        <f>VLOOKUP(B65,'[1]Product by Part Number'!$A:$K,5,0)</f>
        <v>100.04</v>
      </c>
      <c r="I65" s="88">
        <f t="shared" si="3"/>
        <v>200.08</v>
      </c>
    </row>
    <row r="66" spans="2:9" s="53" customFormat="1" ht="27" x14ac:dyDescent="0.3">
      <c r="B66" s="78" t="s">
        <v>107</v>
      </c>
      <c r="C66" s="54" t="str">
        <f>VLOOKUP(B66,'[1]Product by Part Number'!$A:$K,2,0)</f>
        <v xml:space="preserve">CAT 561N (CPH) CAT 561N (CPH) (2) CAT 561N (CPH) (3) CAT 561N (CPH) (4) CAT 561N (CPH) (5)                                    </v>
      </c>
      <c r="D66" s="54" t="str">
        <f>VLOOKUP(B66,'[1]Product by Part Number'!$A:$K,3,0)</f>
        <v>INJECTROR</v>
      </c>
      <c r="E66" s="55">
        <f>VLOOKUP(B66,'[1]Product by Part Number'!$A:$K,11,0)</f>
        <v>30</v>
      </c>
      <c r="F66" s="56">
        <f>VLOOKUP(B66,'[1]Product by Part Number'!$A:$K,4,0)</f>
        <v>1817.71</v>
      </c>
      <c r="G66" s="56">
        <f t="shared" si="2"/>
        <v>54531.3</v>
      </c>
      <c r="H66" s="57">
        <f>VLOOKUP(B66,'[1]Product by Part Number'!$A:$K,5,0)</f>
        <v>908.86</v>
      </c>
      <c r="I66" s="88">
        <f t="shared" si="3"/>
        <v>27265.8</v>
      </c>
    </row>
    <row r="67" spans="2:9" s="53" customFormat="1" ht="53.4" x14ac:dyDescent="0.3">
      <c r="B67" s="78" t="s">
        <v>108</v>
      </c>
      <c r="C67" s="54" t="str">
        <f>VLOOKUP(B67,'[1]Product by Part Number'!$A:$K,2,0)</f>
        <v xml:space="preserve">CAT 320E L (WBK) CAT 320E L (WBK) (2) CAT 320F L (YBM) CAT 329E L (ZCD) CAT 329F L (ERL) CAT 329F L (ERL) (2) CAT 330F L (MBX) CAT 330F L (HCK) CAT 330F L (HCK) (2) CAT 336F L (RKB)                          </v>
      </c>
      <c r="D67" s="54" t="str">
        <f>VLOOKUP(B67,'[1]Product by Part Number'!$A:$K,3,0)</f>
        <v xml:space="preserve">HYDRAULIC OIL FILTER ELEMENT </v>
      </c>
      <c r="E67" s="55">
        <f>VLOOKUP(B67,'[1]Product by Part Number'!$A:$K,11,0)</f>
        <v>60</v>
      </c>
      <c r="F67" s="56">
        <f>VLOOKUP(B67,'[1]Product by Part Number'!$A:$K,4,0)</f>
        <v>229</v>
      </c>
      <c r="G67" s="56">
        <f t="shared" si="2"/>
        <v>13740</v>
      </c>
      <c r="H67" s="57">
        <f>VLOOKUP(B67,'[1]Product by Part Number'!$A:$K,5,0)</f>
        <v>87.02</v>
      </c>
      <c r="I67" s="88">
        <f t="shared" si="3"/>
        <v>5221.2</v>
      </c>
    </row>
    <row r="68" spans="2:9" s="53" customFormat="1" ht="27" x14ac:dyDescent="0.3">
      <c r="B68" s="78" t="s">
        <v>109</v>
      </c>
      <c r="C68" s="54" t="str">
        <f>VLOOKUP(B68,'[1]Product by Part Number'!$A:$K,2,0)</f>
        <v xml:space="preserve">CAT 561N (CPH) CAT 561N (CPH) (2) CAT 561N (CPH) (3) CAT 561N (CPH) (4) CAT 561N (CPH) (5)                                    </v>
      </c>
      <c r="D68" s="54" t="str">
        <f>VLOOKUP(B68,'[1]Product by Part Number'!$A:$K,3,0)</f>
        <v>TURBOCHARGER</v>
      </c>
      <c r="E68" s="55">
        <f>VLOOKUP(B68,'[1]Product by Part Number'!$A:$K,11,0)</f>
        <v>5</v>
      </c>
      <c r="F68" s="56">
        <f>VLOOKUP(B68,'[1]Product by Part Number'!$A:$K,4,0)</f>
        <v>5839.53</v>
      </c>
      <c r="G68" s="56">
        <f t="shared" si="2"/>
        <v>29197.649999999998</v>
      </c>
      <c r="H68" s="57">
        <f>VLOOKUP(B68,'[1]Product by Part Number'!$A:$K,5,0)</f>
        <v>2919.77</v>
      </c>
      <c r="I68" s="88">
        <f t="shared" si="3"/>
        <v>14598.85</v>
      </c>
    </row>
    <row r="69" spans="2:9" s="53" customFormat="1" ht="27" x14ac:dyDescent="0.3">
      <c r="B69" s="78" t="s">
        <v>110</v>
      </c>
      <c r="C69" s="54" t="str">
        <f>VLOOKUP(B69,'[1]Product by Part Number'!$A:$K,2,0)</f>
        <v xml:space="preserve">CAT D6N LGP (GHS) CAT D6N LGP (SGG) CAT D6N LGP (SGG) (2)                                        </v>
      </c>
      <c r="D69" s="54" t="str">
        <f>VLOOKUP(B69,'[1]Product by Part Number'!$A:$K,3,0)</f>
        <v xml:space="preserve">TRACK IDLER </v>
      </c>
      <c r="E69" s="55">
        <f>VLOOKUP(B69,'[1]Product by Part Number'!$A:$K,11,0)</f>
        <v>12</v>
      </c>
      <c r="F69" s="56">
        <f>VLOOKUP(B69,'[1]Product by Part Number'!$A:$K,4,0)</f>
        <v>2878.82</v>
      </c>
      <c r="G69" s="56">
        <f t="shared" si="2"/>
        <v>34545.840000000004</v>
      </c>
      <c r="H69" s="57">
        <f>VLOOKUP(B69,'[1]Product by Part Number'!$A:$K,5,0)</f>
        <v>1439.41</v>
      </c>
      <c r="I69" s="88">
        <f t="shared" si="3"/>
        <v>17272.919999999998</v>
      </c>
    </row>
    <row r="70" spans="2:9" s="53" customFormat="1" ht="40.200000000000003" x14ac:dyDescent="0.3">
      <c r="B70" s="78" t="s">
        <v>111</v>
      </c>
      <c r="C70" s="54" t="str">
        <f>VLOOKUP(B70,'[1]Product by Part Number'!$A:$K,2,0)</f>
        <v xml:space="preserve">CAT D5 (3CR) CAT D5 (3CR) (2) CAT 561M (1KW) CAT 561N (CPH) CAT 561N (CPH) (2) CAT 561N (CPH) (3) CAT 561N (CPH) (4) CAT 561N (CPH) (5)                              </v>
      </c>
      <c r="D70" s="54" t="str">
        <f>VLOOKUP(B70,'[1]Product by Part Number'!$A:$K,3,0)</f>
        <v xml:space="preserve">TRACK IDLER </v>
      </c>
      <c r="E70" s="55">
        <f>VLOOKUP(B70,'[1]Product by Part Number'!$A:$K,11,0)</f>
        <v>18</v>
      </c>
      <c r="F70" s="56">
        <f>VLOOKUP(B70,'[1]Product by Part Number'!$A:$K,4,0)</f>
        <v>3220.34</v>
      </c>
      <c r="G70" s="56">
        <f t="shared" si="2"/>
        <v>57966.12</v>
      </c>
      <c r="H70" s="57">
        <f>VLOOKUP(B70,'[1]Product by Part Number'!$A:$K,5,0)</f>
        <v>1610.17</v>
      </c>
      <c r="I70" s="88">
        <f t="shared" si="3"/>
        <v>28983.06</v>
      </c>
    </row>
    <row r="71" spans="2:9" s="53" customFormat="1" x14ac:dyDescent="0.3">
      <c r="B71" s="78" t="s">
        <v>112</v>
      </c>
      <c r="C71" s="54" t="str">
        <f>VLOOKUP(B71,'[1]Product by Part Number'!$A:$K,2,0)</f>
        <v xml:space="preserve">CAT D3 (1PJ)                                            </v>
      </c>
      <c r="D71" s="54" t="str">
        <f>VLOOKUP(B71,'[1]Product by Part Number'!$A:$K,3,0)</f>
        <v>SPROCKET SEGMENT</v>
      </c>
      <c r="E71" s="55">
        <f>VLOOKUP(B71,'[1]Product by Part Number'!$A:$K,11,0)</f>
        <v>10</v>
      </c>
      <c r="F71" s="56">
        <f>VLOOKUP(B71,'[1]Product by Part Number'!$A:$K,4,0)</f>
        <v>134.41999999999999</v>
      </c>
      <c r="G71" s="56">
        <f t="shared" si="2"/>
        <v>1344.1999999999998</v>
      </c>
      <c r="H71" s="57">
        <f>VLOOKUP(B71,'[1]Product by Part Number'!$A:$K,5,0)</f>
        <v>67.209999999999994</v>
      </c>
      <c r="I71" s="88">
        <f t="shared" si="3"/>
        <v>672.1</v>
      </c>
    </row>
    <row r="72" spans="2:9" s="53" customFormat="1" x14ac:dyDescent="0.3">
      <c r="B72" s="78" t="s">
        <v>113</v>
      </c>
      <c r="C72" s="54" t="str">
        <f>VLOOKUP(B72,'[1]Product by Part Number'!$A:$K,2,0)</f>
        <v xml:space="preserve">CAT D6N LGP (GHS)                                            </v>
      </c>
      <c r="D72" s="54" t="str">
        <f>VLOOKUP(B72,'[1]Product by Part Number'!$A:$K,3,0)</f>
        <v>SEAT SUSPENSION ASSEMBLY</v>
      </c>
      <c r="E72" s="55">
        <f>VLOOKUP(B72,'[1]Product by Part Number'!$A:$K,11,0)</f>
        <v>1</v>
      </c>
      <c r="F72" s="56">
        <f>VLOOKUP(B72,'[1]Product by Part Number'!$A:$K,4,0)</f>
        <v>3100.37</v>
      </c>
      <c r="G72" s="56">
        <f t="shared" si="2"/>
        <v>3100.37</v>
      </c>
      <c r="H72" s="57">
        <f>VLOOKUP(B72,'[1]Product by Part Number'!$A:$K,5,0)</f>
        <v>1550.19</v>
      </c>
      <c r="I72" s="88">
        <f t="shared" si="3"/>
        <v>1550.19</v>
      </c>
    </row>
    <row r="73" spans="2:9" s="53" customFormat="1" ht="27" x14ac:dyDescent="0.3">
      <c r="B73" s="78" t="s">
        <v>114</v>
      </c>
      <c r="C73" s="54" t="str">
        <f>VLOOKUP(B73,'[1]Product by Part Number'!$A:$K,2,0)</f>
        <v xml:space="preserve">CAT PL61 (WGS) CAT PL61 (WGS) (2) CAT PL61 (WGS) (3)                                        </v>
      </c>
      <c r="D73" s="54" t="str">
        <f>VLOOKUP(B73,'[1]Product by Part Number'!$A:$K,3,0)</f>
        <v>CARRIER BOLT</v>
      </c>
      <c r="E73" s="55">
        <f>VLOOKUP(B73,'[1]Product by Part Number'!$A:$K,11,0)</f>
        <v>12</v>
      </c>
      <c r="F73" s="56">
        <f>VLOOKUP(B73,'[1]Product by Part Number'!$A:$K,4,0)</f>
        <v>1.31</v>
      </c>
      <c r="G73" s="56">
        <f t="shared" si="2"/>
        <v>15.72</v>
      </c>
      <c r="H73" s="57">
        <f>VLOOKUP(B73,'[1]Product by Part Number'!$A:$K,5,0)</f>
        <v>0.66</v>
      </c>
      <c r="I73" s="88">
        <f t="shared" si="3"/>
        <v>7.92</v>
      </c>
    </row>
    <row r="74" spans="2:9" s="53" customFormat="1" ht="27" x14ac:dyDescent="0.3">
      <c r="B74" s="78" t="s">
        <v>115</v>
      </c>
      <c r="C74" s="54" t="str">
        <f>VLOOKUP(B74,'[1]Product by Part Number'!$A:$K,2,0)</f>
        <v xml:space="preserve">CAT D6N LGP (GHS) CAT D6N LGP (SGG) CAT D6N LGP (SGG) (2)                                        </v>
      </c>
      <c r="D74" s="54" t="str">
        <f>VLOOKUP(B74,'[1]Product by Part Number'!$A:$K,3,0)</f>
        <v>REAR WEAR STRIP 16MM</v>
      </c>
      <c r="E74" s="55">
        <f>VLOOKUP(B74,'[1]Product by Part Number'!$A:$K,11,0)</f>
        <v>12</v>
      </c>
      <c r="F74" s="56">
        <f>VLOOKUP(B74,'[1]Product by Part Number'!$A:$K,4,0)</f>
        <v>200.89</v>
      </c>
      <c r="G74" s="56">
        <f t="shared" si="2"/>
        <v>2410.6799999999998</v>
      </c>
      <c r="H74" s="57">
        <f>VLOOKUP(B74,'[1]Product by Part Number'!$A:$K,5,0)</f>
        <v>100.45</v>
      </c>
      <c r="I74" s="88">
        <f t="shared" si="3"/>
        <v>1205.4000000000001</v>
      </c>
    </row>
    <row r="75" spans="2:9" s="53" customFormat="1" ht="27" x14ac:dyDescent="0.3">
      <c r="B75" s="78" t="s">
        <v>116</v>
      </c>
      <c r="C75" s="54" t="str">
        <f>VLOOKUP(B75,'[1]Product by Part Number'!$A:$K,2,0)</f>
        <v xml:space="preserve">CAT D6N LGP (GHS) CAT D6N LGP (SGG) CAT D6N LGP (SGG) (2)                                        </v>
      </c>
      <c r="D75" s="54" t="str">
        <f>VLOOKUP(B75,'[1]Product by Part Number'!$A:$K,3,0)</f>
        <v>FRONT WEAR STRIP 16MM</v>
      </c>
      <c r="E75" s="55">
        <f>VLOOKUP(B75,'[1]Product by Part Number'!$A:$K,11,0)</f>
        <v>12</v>
      </c>
      <c r="F75" s="56">
        <f>VLOOKUP(B75,'[1]Product by Part Number'!$A:$K,4,0)</f>
        <v>159.66</v>
      </c>
      <c r="G75" s="56">
        <f t="shared" si="2"/>
        <v>1915.92</v>
      </c>
      <c r="H75" s="57">
        <f>VLOOKUP(B75,'[1]Product by Part Number'!$A:$K,5,0)</f>
        <v>79.83</v>
      </c>
      <c r="I75" s="88">
        <f t="shared" si="3"/>
        <v>957.96</v>
      </c>
    </row>
    <row r="76" spans="2:9" s="53" customFormat="1" ht="27" x14ac:dyDescent="0.3">
      <c r="B76" s="78" t="s">
        <v>39</v>
      </c>
      <c r="C76" s="54" t="str">
        <f>VLOOKUP(B76,'[1]Product by Part Number'!$A:$K,2,0)</f>
        <v xml:space="preserve">CAT PL61 (WGS) CAT PL61 (WGS) (2) CAT PL61 (WGS) (3)                                        </v>
      </c>
      <c r="D76" s="54" t="str">
        <f>VLOOKUP(B76,'[1]Product by Part Number'!$A:$K,3,0)</f>
        <v>HYDRAULIC OIL FILTER ELEMENT</v>
      </c>
      <c r="E76" s="55">
        <f>VLOOKUP(B76,'[1]Product by Part Number'!$A:$K,11,0)</f>
        <v>15</v>
      </c>
      <c r="F76" s="56">
        <f>VLOOKUP(B76,'[1]Product by Part Number'!$A:$K,4,0)</f>
        <v>150.47</v>
      </c>
      <c r="G76" s="56">
        <f t="shared" si="2"/>
        <v>2257.0500000000002</v>
      </c>
      <c r="H76" s="57">
        <f>VLOOKUP(B76,'[1]Product by Part Number'!$A:$K,5,0)</f>
        <v>57.18</v>
      </c>
      <c r="I76" s="88">
        <f t="shared" si="3"/>
        <v>857.7</v>
      </c>
    </row>
    <row r="77" spans="2:9" s="53" customFormat="1" ht="53.4" x14ac:dyDescent="0.3">
      <c r="B77" s="78" t="s">
        <v>117</v>
      </c>
      <c r="C77" s="54" t="str">
        <f>VLOOKUP(B77,'[1]Product by Part Number'!$A:$K,2,0)</f>
        <v xml:space="preserve">CAT D5 (3CR) CAT D5 (3CR) (2) CAT 561 (85H) CAT 561 (92J) CAT 561 (92J) (2) CAT 561M (1KW) CAT 561N (CPH) CAT 561N (CPH) (2) CAT 561N (CPH) (3) CAT 561N (CPH) (4) CAT 561N (CPH) (5)                        </v>
      </c>
      <c r="D77" s="54" t="str">
        <f>VLOOKUP(B77,'[1]Product by Part Number'!$A:$K,3,0)</f>
        <v>TRACK NUT</v>
      </c>
      <c r="E77" s="55">
        <f>VLOOKUP(B77,'[1]Product by Part Number'!$A:$K,11,0)</f>
        <v>2634</v>
      </c>
      <c r="F77" s="56">
        <f>VLOOKUP(B77,'[1]Product by Part Number'!$A:$K,4,0)</f>
        <v>2.0699999999999998</v>
      </c>
      <c r="G77" s="56">
        <f t="shared" si="2"/>
        <v>5452.3799999999992</v>
      </c>
      <c r="H77" s="57">
        <f>VLOOKUP(B77,'[1]Product by Part Number'!$A:$K,5,0)</f>
        <v>1.04</v>
      </c>
      <c r="I77" s="88">
        <f t="shared" si="3"/>
        <v>2739.36</v>
      </c>
    </row>
    <row r="78" spans="2:9" s="53" customFormat="1" x14ac:dyDescent="0.3">
      <c r="B78" s="78" t="s">
        <v>118</v>
      </c>
      <c r="C78" s="54" t="str">
        <f>VLOOKUP(B78,'[1]Product by Part Number'!$A:$K,2,0)</f>
        <v xml:space="preserve">CAT D4 (66J)                                            </v>
      </c>
      <c r="D78" s="54" t="str">
        <f>VLOOKUP(B78,'[1]Product by Part Number'!$A:$K,3,0)</f>
        <v xml:space="preserve">TRACK IDLER </v>
      </c>
      <c r="E78" s="55">
        <f>VLOOKUP(B78,'[1]Product by Part Number'!$A:$K,11,0)</f>
        <v>2</v>
      </c>
      <c r="F78" s="56">
        <f>VLOOKUP(B78,'[1]Product by Part Number'!$A:$K,4,0)</f>
        <v>2233.12</v>
      </c>
      <c r="G78" s="56">
        <f t="shared" si="2"/>
        <v>4466.24</v>
      </c>
      <c r="H78" s="57">
        <f>VLOOKUP(B78,'[1]Product by Part Number'!$A:$K,5,0)</f>
        <v>1116.56</v>
      </c>
      <c r="I78" s="88">
        <f t="shared" si="3"/>
        <v>2233.12</v>
      </c>
    </row>
    <row r="79" spans="2:9" s="53" customFormat="1" x14ac:dyDescent="0.3">
      <c r="B79" s="78" t="s">
        <v>119</v>
      </c>
      <c r="C79" s="54" t="str">
        <f>VLOOKUP(B79,'[1]Product by Part Number'!$A:$K,2,0)</f>
        <v xml:space="preserve">CAT D3 (1PJ)                                            </v>
      </c>
      <c r="D79" s="54" t="str">
        <f>VLOOKUP(B79,'[1]Product by Part Number'!$A:$K,3,0)</f>
        <v>ENGINE OIL FILTER</v>
      </c>
      <c r="E79" s="55">
        <f>VLOOKUP(B79,'[1]Product by Part Number'!$A:$K,11,0)</f>
        <v>5</v>
      </c>
      <c r="F79" s="56">
        <f>VLOOKUP(B79,'[1]Product by Part Number'!$A:$K,4,0)</f>
        <v>27.68</v>
      </c>
      <c r="G79" s="56">
        <f t="shared" si="2"/>
        <v>138.4</v>
      </c>
      <c r="H79" s="57">
        <f>VLOOKUP(B79,'[1]Product by Part Number'!$A:$K,5,0)</f>
        <v>10.52</v>
      </c>
      <c r="I79" s="88">
        <f t="shared" si="3"/>
        <v>52.6</v>
      </c>
    </row>
    <row r="80" spans="2:9" s="53" customFormat="1" x14ac:dyDescent="0.3">
      <c r="B80" s="78" t="s">
        <v>37</v>
      </c>
      <c r="C80" s="54" t="str">
        <f>VLOOKUP(B80,'[1]Product by Part Number'!$A:$K,2,0)</f>
        <v xml:space="preserve">CAT D3 (1PJ) CAT D5 (3CR) CAT D5 (3CR) (2)                                        </v>
      </c>
      <c r="D80" s="54" t="str">
        <f>VLOOKUP(B80,'[1]Product by Part Number'!$A:$K,3,0)</f>
        <v>HYDRAULIC OIL FILTER</v>
      </c>
      <c r="E80" s="55">
        <f>VLOOKUP(B80,'[1]Product by Part Number'!$A:$K,11,0)</f>
        <v>15</v>
      </c>
      <c r="F80" s="56">
        <f>VLOOKUP(B80,'[1]Product by Part Number'!$A:$K,4,0)</f>
        <v>38.32</v>
      </c>
      <c r="G80" s="56">
        <f t="shared" ref="G80:G143" si="4">E80*F80</f>
        <v>574.79999999999995</v>
      </c>
      <c r="H80" s="57">
        <f>VLOOKUP(B80,'[1]Product by Part Number'!$A:$K,5,0)</f>
        <v>14.56</v>
      </c>
      <c r="I80" s="88">
        <f t="shared" ref="I80:I143" si="5">ROUND(E80*H80,2)</f>
        <v>218.4</v>
      </c>
    </row>
    <row r="81" spans="2:9" s="53" customFormat="1" x14ac:dyDescent="0.3">
      <c r="B81" s="78" t="s">
        <v>120</v>
      </c>
      <c r="C81" s="54" t="str">
        <f>VLOOKUP(B81,'[1]Product by Part Number'!$A:$K,2,0)</f>
        <v xml:space="preserve">CAT D3 (1PJ)                                            </v>
      </c>
      <c r="D81" s="54" t="str">
        <f>VLOOKUP(B81,'[1]Product by Part Number'!$A:$K,3,0)</f>
        <v xml:space="preserve">HYDRAULIC/TRANSMISSION OIL FILTER </v>
      </c>
      <c r="E81" s="55">
        <f>VLOOKUP(B81,'[1]Product by Part Number'!$A:$K,11,0)</f>
        <v>5</v>
      </c>
      <c r="F81" s="56">
        <f>VLOOKUP(B81,'[1]Product by Part Number'!$A:$K,4,0)</f>
        <v>47.44</v>
      </c>
      <c r="G81" s="56">
        <f t="shared" si="4"/>
        <v>237.2</v>
      </c>
      <c r="H81" s="57">
        <f>VLOOKUP(B81,'[1]Product by Part Number'!$A:$K,5,0)</f>
        <v>18.03</v>
      </c>
      <c r="I81" s="88">
        <f t="shared" si="5"/>
        <v>90.15</v>
      </c>
    </row>
    <row r="82" spans="2:9" s="53" customFormat="1" ht="27" x14ac:dyDescent="0.3">
      <c r="B82" s="78" t="s">
        <v>121</v>
      </c>
      <c r="C82" s="54" t="str">
        <f>VLOOKUP(B82,'[1]Product by Part Number'!$A:$K,2,0)</f>
        <v xml:space="preserve">CAT 561N (CPH) CAT 561N (CPH) (2) CAT 561N (CPH) (3) CAT 561N (CPH) (4) CAT 561N (CPH) (5)                                    </v>
      </c>
      <c r="D82" s="54" t="str">
        <f>VLOOKUP(B82,'[1]Product by Part Number'!$A:$K,3,0)</f>
        <v>FUEL FILTER</v>
      </c>
      <c r="E82" s="55">
        <f>VLOOKUP(B82,'[1]Product by Part Number'!$A:$K,11,0)</f>
        <v>50</v>
      </c>
      <c r="F82" s="56">
        <f>VLOOKUP(B82,'[1]Product by Part Number'!$A:$K,4,0)</f>
        <v>51.52</v>
      </c>
      <c r="G82" s="56">
        <f t="shared" si="4"/>
        <v>2576</v>
      </c>
      <c r="H82" s="57">
        <f>VLOOKUP(B82,'[1]Product by Part Number'!$A:$K,5,0)</f>
        <v>19.579999999999998</v>
      </c>
      <c r="I82" s="88">
        <f t="shared" si="5"/>
        <v>979</v>
      </c>
    </row>
    <row r="83" spans="2:9" s="53" customFormat="1" x14ac:dyDescent="0.3">
      <c r="B83" s="78" t="s">
        <v>34</v>
      </c>
      <c r="C83" s="54" t="str">
        <f>VLOOKUP(B83,'[1]Product by Part Number'!$A:$K,2,0)</f>
        <v xml:space="preserve">CAT 336F L (RKB) CAT D6 (RDC) CAT D6T (MH7)                                        </v>
      </c>
      <c r="D83" s="54" t="str">
        <f>VLOOKUP(B83,'[1]Product by Part Number'!$A:$K,3,0)</f>
        <v xml:space="preserve">FUEL FILTER </v>
      </c>
      <c r="E83" s="55">
        <f>VLOOKUP(B83,'[1]Product by Part Number'!$A:$K,11,0)</f>
        <v>30</v>
      </c>
      <c r="F83" s="56">
        <f>VLOOKUP(B83,'[1]Product by Part Number'!$A:$K,4,0)</f>
        <v>51.52</v>
      </c>
      <c r="G83" s="56">
        <f t="shared" si="4"/>
        <v>1545.6000000000001</v>
      </c>
      <c r="H83" s="57">
        <f>VLOOKUP(B83,'[1]Product by Part Number'!$A:$K,5,0)</f>
        <v>19.579999999999998</v>
      </c>
      <c r="I83" s="88">
        <f t="shared" si="5"/>
        <v>587.4</v>
      </c>
    </row>
    <row r="84" spans="2:9" s="53" customFormat="1" x14ac:dyDescent="0.3">
      <c r="B84" s="78" t="s">
        <v>122</v>
      </c>
      <c r="C84" s="54" t="str">
        <f>VLOOKUP(B84,'[1]Product by Part Number'!$A:$K,2,0)</f>
        <v xml:space="preserve">CAT D4 (66J)                                            </v>
      </c>
      <c r="D84" s="54" t="str">
        <f>VLOOKUP(B84,'[1]Product by Part Number'!$A:$K,3,0)</f>
        <v>SECONDARY FUEL FILTER</v>
      </c>
      <c r="E84" s="55">
        <f>VLOOKUP(B84,'[1]Product by Part Number'!$A:$K,11,0)</f>
        <v>5</v>
      </c>
      <c r="F84" s="56">
        <f>VLOOKUP(B84,'[1]Product by Part Number'!$A:$K,4,0)</f>
        <v>42.69</v>
      </c>
      <c r="G84" s="56">
        <f t="shared" si="4"/>
        <v>213.45</v>
      </c>
      <c r="H84" s="57">
        <f>VLOOKUP(B84,'[1]Product by Part Number'!$A:$K,5,0)</f>
        <v>16.22</v>
      </c>
      <c r="I84" s="88">
        <f t="shared" si="5"/>
        <v>81.099999999999994</v>
      </c>
    </row>
    <row r="85" spans="2:9" s="53" customFormat="1" ht="40.200000000000003" x14ac:dyDescent="0.3">
      <c r="B85" s="78" t="s">
        <v>40</v>
      </c>
      <c r="C85" s="54" t="str">
        <f>VLOOKUP(B85,'[1]Product by Part Number'!$A:$K,2,0)</f>
        <v xml:space="preserve">CAT D3 (1PJ) CAT D7G (92V) CAT D7G (3ZD) CAT D7G (3ZD) (2) CAT 561 (85H) CAT 561 (92J) CAT 561 (92J) (2)                                </v>
      </c>
      <c r="D85" s="54" t="str">
        <f>VLOOKUP(B85,'[1]Product by Part Number'!$A:$K,3,0)</f>
        <v>FUEL FILTER</v>
      </c>
      <c r="E85" s="55">
        <f>VLOOKUP(B85,'[1]Product by Part Number'!$A:$K,11,0)</f>
        <v>35</v>
      </c>
      <c r="F85" s="56">
        <f>VLOOKUP(B85,'[1]Product by Part Number'!$A:$K,4,0)</f>
        <v>42.69</v>
      </c>
      <c r="G85" s="56">
        <f t="shared" si="4"/>
        <v>1494.1499999999999</v>
      </c>
      <c r="H85" s="57">
        <f>VLOOKUP(B85,'[1]Product by Part Number'!$A:$K,5,0)</f>
        <v>16.22</v>
      </c>
      <c r="I85" s="88">
        <f t="shared" si="5"/>
        <v>567.70000000000005</v>
      </c>
    </row>
    <row r="86" spans="2:9" s="53" customFormat="1" ht="40.200000000000003" x14ac:dyDescent="0.3">
      <c r="B86" s="78" t="s">
        <v>123</v>
      </c>
      <c r="C86" s="54" t="str">
        <f>VLOOKUP(B86,'[1]Product by Part Number'!$A:$K,2,0)</f>
        <v xml:space="preserve">CAT D5 (3CR) CAT D5 (3CR) (2) CAT D6N LGP (GHS) CAT 561M (1KW) CAT PL61 (WGS) CAT PL61 (WGS) (2) CAT PL61 (WGS) (3)                                </v>
      </c>
      <c r="D86" s="54" t="str">
        <f>VLOOKUP(B86,'[1]Product by Part Number'!$A:$K,3,0)</f>
        <v>PRIMARY FUEL FILTER</v>
      </c>
      <c r="E86" s="55">
        <f>VLOOKUP(B86,'[1]Product by Part Number'!$A:$K,11,0)</f>
        <v>40</v>
      </c>
      <c r="F86" s="56">
        <f>VLOOKUP(B86,'[1]Product by Part Number'!$A:$K,4,0)</f>
        <v>47.05</v>
      </c>
      <c r="G86" s="56">
        <f t="shared" si="4"/>
        <v>1882</v>
      </c>
      <c r="H86" s="57">
        <f>VLOOKUP(B86,'[1]Product by Part Number'!$A:$K,5,0)</f>
        <v>17.88</v>
      </c>
      <c r="I86" s="88">
        <f t="shared" si="5"/>
        <v>715.2</v>
      </c>
    </row>
    <row r="87" spans="2:9" s="53" customFormat="1" x14ac:dyDescent="0.3">
      <c r="B87" s="78" t="s">
        <v>124</v>
      </c>
      <c r="C87" s="54" t="str">
        <f>VLOOKUP(B87,'[1]Product by Part Number'!$A:$K,2,0)</f>
        <v xml:space="preserve">CAT D5 (3CR) CAT D5 (3CR) (2)                                          </v>
      </c>
      <c r="D87" s="54" t="str">
        <f>VLOOKUP(B87,'[1]Product by Part Number'!$A:$K,3,0)</f>
        <v>SECONDARY FUEL FILTER</v>
      </c>
      <c r="E87" s="55">
        <f>VLOOKUP(B87,'[1]Product by Part Number'!$A:$K,11,0)</f>
        <v>10</v>
      </c>
      <c r="F87" s="56">
        <f>VLOOKUP(B87,'[1]Product by Part Number'!$A:$K,4,0)</f>
        <v>67.900000000000006</v>
      </c>
      <c r="G87" s="56">
        <f t="shared" si="4"/>
        <v>679</v>
      </c>
      <c r="H87" s="57">
        <f>VLOOKUP(B87,'[1]Product by Part Number'!$A:$K,5,0)</f>
        <v>25.8</v>
      </c>
      <c r="I87" s="88">
        <f t="shared" si="5"/>
        <v>258</v>
      </c>
    </row>
    <row r="88" spans="2:9" s="53" customFormat="1" x14ac:dyDescent="0.3">
      <c r="B88" s="78" t="s">
        <v>47</v>
      </c>
      <c r="C88" s="54" t="str">
        <f>VLOOKUP(B88,'[1]Product by Part Number'!$A:$K,2,0)</f>
        <v xml:space="preserve">CAT D4 (66J)                                            </v>
      </c>
      <c r="D88" s="54" t="str">
        <f>VLOOKUP(B88,'[1]Product by Part Number'!$A:$K,3,0)</f>
        <v xml:space="preserve">HYDRAULIC OIL FILTER ELEMENT </v>
      </c>
      <c r="E88" s="55">
        <f>VLOOKUP(B88,'[1]Product by Part Number'!$A:$K,11,0)</f>
        <v>5</v>
      </c>
      <c r="F88" s="56">
        <f>VLOOKUP(B88,'[1]Product by Part Number'!$A:$K,4,0)</f>
        <v>93.49</v>
      </c>
      <c r="G88" s="56">
        <f t="shared" si="4"/>
        <v>467.45</v>
      </c>
      <c r="H88" s="57">
        <f>VLOOKUP(B88,'[1]Product by Part Number'!$A:$K,5,0)</f>
        <v>35.53</v>
      </c>
      <c r="I88" s="88">
        <f t="shared" si="5"/>
        <v>177.65</v>
      </c>
    </row>
    <row r="89" spans="2:9" s="53" customFormat="1" ht="40.200000000000003" x14ac:dyDescent="0.3">
      <c r="B89" s="78" t="s">
        <v>125</v>
      </c>
      <c r="C89" s="54" t="str">
        <f>VLOOKUP(B89,'[1]Product by Part Number'!$A:$K,2,0)</f>
        <v xml:space="preserve">CAT D4 (66J) CAT D5 (3CR) CAT D5 (3CR) (2) CAT 561 (85H) CAT 561 (92J) CAT 561 (92J) (2) CAT 561M (1KW)                                </v>
      </c>
      <c r="D89" s="54" t="str">
        <f>VLOOKUP(B89,'[1]Product by Part Number'!$A:$K,3,0)</f>
        <v>ENGINE OIL FILTER</v>
      </c>
      <c r="E89" s="55">
        <f>VLOOKUP(B89,'[1]Product by Part Number'!$A:$K,11,0)</f>
        <v>35</v>
      </c>
      <c r="F89" s="56">
        <f>VLOOKUP(B89,'[1]Product by Part Number'!$A:$K,4,0)</f>
        <v>44.09</v>
      </c>
      <c r="G89" s="56">
        <f t="shared" si="4"/>
        <v>1543.15</v>
      </c>
      <c r="H89" s="57">
        <f>VLOOKUP(B89,'[1]Product by Part Number'!$A:$K,5,0)</f>
        <v>16.75</v>
      </c>
      <c r="I89" s="88">
        <f t="shared" si="5"/>
        <v>586.25</v>
      </c>
    </row>
    <row r="90" spans="2:9" s="53" customFormat="1" x14ac:dyDescent="0.3">
      <c r="B90" s="78" t="s">
        <v>35</v>
      </c>
      <c r="C90" s="54" t="str">
        <f>VLOOKUP(B90,'[1]Product by Part Number'!$A:$K,2,0)</f>
        <v xml:space="preserve">CAT 336F L (RKB) CAT D6 (RDC) CAT D6T (MH7)                                        </v>
      </c>
      <c r="D90" s="54" t="str">
        <f>VLOOKUP(B90,'[1]Product by Part Number'!$A:$K,3,0)</f>
        <v>ENGINE OIL FILTER</v>
      </c>
      <c r="E90" s="55">
        <f>VLOOKUP(B90,'[1]Product by Part Number'!$A:$K,11,0)</f>
        <v>15</v>
      </c>
      <c r="F90" s="56">
        <f>VLOOKUP(B90,'[1]Product by Part Number'!$A:$K,4,0)</f>
        <v>82.08</v>
      </c>
      <c r="G90" s="56">
        <f t="shared" si="4"/>
        <v>1231.2</v>
      </c>
      <c r="H90" s="57">
        <f>VLOOKUP(B90,'[1]Product by Part Number'!$A:$K,5,0)</f>
        <v>31.19</v>
      </c>
      <c r="I90" s="88">
        <f t="shared" si="5"/>
        <v>467.85</v>
      </c>
    </row>
    <row r="91" spans="2:9" s="53" customFormat="1" x14ac:dyDescent="0.3">
      <c r="B91" s="78" t="s">
        <v>126</v>
      </c>
      <c r="C91" s="54" t="str">
        <f>VLOOKUP(B91,'[1]Product by Part Number'!$A:$K,2,0)</f>
        <v xml:space="preserve">CAT D4 (66J)                                            </v>
      </c>
      <c r="D91" s="54" t="str">
        <f>VLOOKUP(B91,'[1]Product by Part Number'!$A:$K,3,0)</f>
        <v>TRACK NUT</v>
      </c>
      <c r="E91" s="55">
        <f>VLOOKUP(B91,'[1]Product by Part Number'!$A:$K,11,0)</f>
        <v>360</v>
      </c>
      <c r="F91" s="56">
        <f>VLOOKUP(B91,'[1]Product by Part Number'!$A:$K,4,0)</f>
        <v>2.94</v>
      </c>
      <c r="G91" s="56">
        <f t="shared" si="4"/>
        <v>1058.4000000000001</v>
      </c>
      <c r="H91" s="57">
        <f>VLOOKUP(B91,'[1]Product by Part Number'!$A:$K,5,0)</f>
        <v>1.47</v>
      </c>
      <c r="I91" s="88">
        <f t="shared" si="5"/>
        <v>529.20000000000005</v>
      </c>
    </row>
    <row r="92" spans="2:9" s="53" customFormat="1" ht="53.4" x14ac:dyDescent="0.3">
      <c r="B92" s="78" t="s">
        <v>127</v>
      </c>
      <c r="C92" s="54" t="str">
        <f>VLOOKUP(B92,'[1]Product by Part Number'!$A:$K,2,0)</f>
        <v xml:space="preserve">CAT D6 (RDC) CAT D6N LGP (GHS) CAT D6N LGP (SGG) CAT D6N LGP (SGG) (2) CAT D7G (92V) CAT D7G (3ZD) CAT D7G (3ZD) (2) CAT PL61 (WGS) CAT PL61 (WGS) (2) CAT PL61 (WGS) (3)                          </v>
      </c>
      <c r="D92" s="54" t="str">
        <f>VLOOKUP(B92,'[1]Product by Part Number'!$A:$K,3,0)</f>
        <v>TRACK NUT</v>
      </c>
      <c r="E92" s="55">
        <f>VLOOKUP(B92,'[1]Product by Part Number'!$A:$K,11,0)</f>
        <v>3264</v>
      </c>
      <c r="F92" s="56">
        <f>VLOOKUP(B92,'[1]Product by Part Number'!$A:$K,4,0)</f>
        <v>2.94</v>
      </c>
      <c r="G92" s="56">
        <f t="shared" si="4"/>
        <v>9596.16</v>
      </c>
      <c r="H92" s="57">
        <f>VLOOKUP(B92,'[1]Product by Part Number'!$A:$K,5,0)</f>
        <v>1.47</v>
      </c>
      <c r="I92" s="88">
        <f t="shared" si="5"/>
        <v>4798.08</v>
      </c>
    </row>
    <row r="93" spans="2:9" s="53" customFormat="1" x14ac:dyDescent="0.3">
      <c r="B93" s="78" t="s">
        <v>128</v>
      </c>
      <c r="C93" s="54" t="str">
        <f>VLOOKUP(B93,'[1]Product by Part Number'!$A:$K,2,0)</f>
        <v xml:space="preserve">CAT D3 (1PJ)                                            </v>
      </c>
      <c r="D93" s="54" t="str">
        <f>VLOOKUP(B93,'[1]Product by Part Number'!$A:$K,3,0)</f>
        <v>TIP SHORT</v>
      </c>
      <c r="E93" s="55">
        <f>VLOOKUP(B93,'[1]Product by Part Number'!$A:$K,11,0)</f>
        <v>1</v>
      </c>
      <c r="F93" s="56">
        <f>VLOOKUP(B93,'[1]Product by Part Number'!$A:$K,4,0)</f>
        <v>37.42</v>
      </c>
      <c r="G93" s="56">
        <f t="shared" si="4"/>
        <v>37.42</v>
      </c>
      <c r="H93" s="57">
        <f>VLOOKUP(B93,'[1]Product by Part Number'!$A:$K,5,0)</f>
        <v>14.22</v>
      </c>
      <c r="I93" s="88">
        <f t="shared" si="5"/>
        <v>14.22</v>
      </c>
    </row>
    <row r="94" spans="2:9" s="53" customFormat="1" x14ac:dyDescent="0.3">
      <c r="B94" s="78" t="s">
        <v>129</v>
      </c>
      <c r="C94" s="54" t="str">
        <f>VLOOKUP(B94,'[1]Product by Part Number'!$A:$K,2,0)</f>
        <v xml:space="preserve">CAT D6 (RDC) CAT D6T (MH7)                                          </v>
      </c>
      <c r="D94" s="54" t="str">
        <f>VLOOKUP(B94,'[1]Product by Part Number'!$A:$K,3,0)</f>
        <v>TRACK IDLER</v>
      </c>
      <c r="E94" s="55">
        <f>VLOOKUP(B94,'[1]Product by Part Number'!$A:$K,11,0)</f>
        <v>8</v>
      </c>
      <c r="F94" s="56">
        <f>VLOOKUP(B94,'[1]Product by Part Number'!$A:$K,4,0)</f>
        <v>3032.3</v>
      </c>
      <c r="G94" s="56">
        <f t="shared" si="4"/>
        <v>24258.400000000001</v>
      </c>
      <c r="H94" s="57">
        <f>VLOOKUP(B94,'[1]Product by Part Number'!$A:$K,5,0)</f>
        <v>1516.15</v>
      </c>
      <c r="I94" s="88">
        <f t="shared" si="5"/>
        <v>12129.2</v>
      </c>
    </row>
    <row r="95" spans="2:9" s="53" customFormat="1" ht="27" x14ac:dyDescent="0.3">
      <c r="B95" s="78" t="s">
        <v>46</v>
      </c>
      <c r="C95" s="54" t="str">
        <f>VLOOKUP(B95,'[1]Product by Part Number'!$A:$K,2,0)</f>
        <v xml:space="preserve">CAT PL61 (WGS) CAT PL61 (WGS) (2) CAT PL61 (WGS) (3)                                        </v>
      </c>
      <c r="D95" s="54" t="str">
        <f>VLOOKUP(B95,'[1]Product by Part Number'!$A:$K,3,0)</f>
        <v>CABIN AIR FILTER ELEMENT</v>
      </c>
      <c r="E95" s="55">
        <f>VLOOKUP(B95,'[1]Product by Part Number'!$A:$K,11,0)</f>
        <v>9</v>
      </c>
      <c r="F95" s="56">
        <f>VLOOKUP(B95,'[1]Product by Part Number'!$A:$K,4,0)</f>
        <v>85.17</v>
      </c>
      <c r="G95" s="56">
        <f t="shared" si="4"/>
        <v>766.53</v>
      </c>
      <c r="H95" s="57">
        <f>VLOOKUP(B95,'[1]Product by Part Number'!$A:$K,5,0)</f>
        <v>32.36</v>
      </c>
      <c r="I95" s="88">
        <f t="shared" si="5"/>
        <v>291.24</v>
      </c>
    </row>
    <row r="96" spans="2:9" s="53" customFormat="1" x14ac:dyDescent="0.3">
      <c r="B96" s="78" t="s">
        <v>130</v>
      </c>
      <c r="C96" s="54" t="str">
        <f>VLOOKUP(B96,'[1]Product by Part Number'!$A:$K,2,0)</f>
        <v xml:space="preserve">CAT 336F L (RKB)                                            </v>
      </c>
      <c r="D96" s="54" t="str">
        <f>VLOOKUP(B96,'[1]Product by Part Number'!$A:$K,3,0)</f>
        <v>TRACK LINK ASSEMBLY</v>
      </c>
      <c r="E96" s="55">
        <f>VLOOKUP(B96,'[1]Product by Part Number'!$A:$K,11,0)</f>
        <v>2</v>
      </c>
      <c r="F96" s="56">
        <f>VLOOKUP(B96,'[1]Product by Part Number'!$A:$K,4,0)</f>
        <v>12083.08</v>
      </c>
      <c r="G96" s="56">
        <f t="shared" si="4"/>
        <v>24166.16</v>
      </c>
      <c r="H96" s="57">
        <f>VLOOKUP(B96,'[1]Product by Part Number'!$A:$K,5,0)</f>
        <v>6041.54</v>
      </c>
      <c r="I96" s="88">
        <f t="shared" si="5"/>
        <v>12083.08</v>
      </c>
    </row>
    <row r="97" spans="2:9" s="53" customFormat="1" x14ac:dyDescent="0.3">
      <c r="B97" s="78" t="s">
        <v>131</v>
      </c>
      <c r="C97" s="54" t="str">
        <f>VLOOKUP(B97,'[1]Product by Part Number'!$A:$K,2,0)</f>
        <v xml:space="preserve">CAT D6 (RDC) CAT D6T (MH7)                                          </v>
      </c>
      <c r="D97" s="54" t="str">
        <f>VLOOKUP(B97,'[1]Product by Part Number'!$A:$K,3,0)</f>
        <v>CARRIER BOLT</v>
      </c>
      <c r="E97" s="55">
        <f>VLOOKUP(B97,'[1]Product by Part Number'!$A:$K,11,0)</f>
        <v>8</v>
      </c>
      <c r="F97" s="56">
        <f>VLOOKUP(B97,'[1]Product by Part Number'!$A:$K,4,0)</f>
        <v>22.26</v>
      </c>
      <c r="G97" s="56">
        <f t="shared" si="4"/>
        <v>178.08</v>
      </c>
      <c r="H97" s="57">
        <f>VLOOKUP(B97,'[1]Product by Part Number'!$A:$K,5,0)</f>
        <v>11.13</v>
      </c>
      <c r="I97" s="88">
        <f t="shared" si="5"/>
        <v>89.04</v>
      </c>
    </row>
    <row r="98" spans="2:9" s="53" customFormat="1" x14ac:dyDescent="0.3">
      <c r="B98" s="78" t="s">
        <v>132</v>
      </c>
      <c r="C98" s="54" t="str">
        <f>VLOOKUP(B98,'[1]Product by Part Number'!$A:$K,2,0)</f>
        <v xml:space="preserve">CAT D5 (3CR) CAT D5 (3CR) (2)                                          </v>
      </c>
      <c r="D98" s="54" t="str">
        <f>VLOOKUP(B98,'[1]Product by Part Number'!$A:$K,3,0)</f>
        <v>TRACK SHOE SINGLE GROUSER 760MM</v>
      </c>
      <c r="E98" s="55">
        <f>VLOOKUP(B98,'[1]Product by Part Number'!$A:$K,11,0)</f>
        <v>176</v>
      </c>
      <c r="F98" s="56">
        <f>VLOOKUP(B98,'[1]Product by Part Number'!$A:$K,4,0)</f>
        <v>126.01</v>
      </c>
      <c r="G98" s="56">
        <f t="shared" si="4"/>
        <v>22177.760000000002</v>
      </c>
      <c r="H98" s="57">
        <f>VLOOKUP(B98,'[1]Product by Part Number'!$A:$K,5,0)</f>
        <v>63.01</v>
      </c>
      <c r="I98" s="88">
        <f t="shared" si="5"/>
        <v>11089.76</v>
      </c>
    </row>
    <row r="99" spans="2:9" s="53" customFormat="1" ht="53.4" x14ac:dyDescent="0.3">
      <c r="B99" s="78" t="s">
        <v>133</v>
      </c>
      <c r="C99" s="54" t="str">
        <f>VLOOKUP(B99,'[1]Product by Part Number'!$A:$K,2,0)</f>
        <v xml:space="preserve">CAT 561N (CPH) CAT 561N (CPH) (2) CAT 561N (CPH) (3) CAT 561N (CPH) (4) CAT 561N (CPH) (5) CAT PL61 (WGS) CAT PL61 (WGS) (2) CAT PL61 (WGS) (3)                              </v>
      </c>
      <c r="D99" s="54" t="str">
        <f>VLOOKUP(B99,'[1]Product by Part Number'!$A:$K,3,0)</f>
        <v>CAMSHAFT</v>
      </c>
      <c r="E99" s="55">
        <f>VLOOKUP(B99,'[1]Product by Part Number'!$A:$K,11,0)</f>
        <v>8</v>
      </c>
      <c r="F99" s="56">
        <f>VLOOKUP(B99,'[1]Product by Part Number'!$A:$K,4,0)</f>
        <v>4686.51</v>
      </c>
      <c r="G99" s="56">
        <f t="shared" si="4"/>
        <v>37492.080000000002</v>
      </c>
      <c r="H99" s="57">
        <f>VLOOKUP(B99,'[1]Product by Part Number'!$A:$K,5,0)</f>
        <v>2343.2600000000002</v>
      </c>
      <c r="I99" s="88">
        <f t="shared" si="5"/>
        <v>18746.080000000002</v>
      </c>
    </row>
    <row r="100" spans="2:9" s="53" customFormat="1" ht="40.200000000000003" x14ac:dyDescent="0.3">
      <c r="B100" s="78" t="s">
        <v>134</v>
      </c>
      <c r="C100" s="54" t="str">
        <f>VLOOKUP(B100,'[1]Product by Part Number'!$A:$K,2,0)</f>
        <v xml:space="preserve">CAT 320E L (WBK) CAT 320E L (WBK) (2) CAT 320F L (YBM) CAT 320 (HEX) CAT 320 (MYK) CAT 320 (MYK) (2)                                  </v>
      </c>
      <c r="D100" s="54" t="str">
        <f>VLOOKUP(B100,'[1]Product by Part Number'!$A:$K,3,0)</f>
        <v>SPROCKET BOLT</v>
      </c>
      <c r="E100" s="55">
        <f>VLOOKUP(B100,'[1]Product by Part Number'!$A:$K,11,0)</f>
        <v>192</v>
      </c>
      <c r="F100" s="56">
        <f>VLOOKUP(B100,'[1]Product by Part Number'!$A:$K,4,0)</f>
        <v>8.76</v>
      </c>
      <c r="G100" s="56">
        <f t="shared" si="4"/>
        <v>1681.92</v>
      </c>
      <c r="H100" s="57">
        <f>VLOOKUP(B100,'[1]Product by Part Number'!$A:$K,5,0)</f>
        <v>4.38</v>
      </c>
      <c r="I100" s="88">
        <f t="shared" si="5"/>
        <v>840.96</v>
      </c>
    </row>
    <row r="101" spans="2:9" s="53" customFormat="1" x14ac:dyDescent="0.3">
      <c r="B101" s="78" t="s">
        <v>135</v>
      </c>
      <c r="C101" s="54" t="str">
        <f>VLOOKUP(B101,'[1]Product by Part Number'!$A:$K,2,0)</f>
        <v xml:space="preserve">CAT D6N LGP (GHS)                                            </v>
      </c>
      <c r="D101" s="54" t="str">
        <f>VLOOKUP(B101,'[1]Product by Part Number'!$A:$K,3,0)</f>
        <v>TRACK SHOE SINGLE GROUSER 860MM</v>
      </c>
      <c r="E101" s="55">
        <f>VLOOKUP(B101,'[1]Product by Part Number'!$A:$K,11,0)</f>
        <v>90</v>
      </c>
      <c r="F101" s="56">
        <f>VLOOKUP(B101,'[1]Product by Part Number'!$A:$K,4,0)</f>
        <v>206.6</v>
      </c>
      <c r="G101" s="56">
        <f t="shared" si="4"/>
        <v>18594</v>
      </c>
      <c r="H101" s="57">
        <f>VLOOKUP(B101,'[1]Product by Part Number'!$A:$K,5,0)</f>
        <v>103.3</v>
      </c>
      <c r="I101" s="88">
        <f t="shared" si="5"/>
        <v>9297</v>
      </c>
    </row>
    <row r="102" spans="2:9" s="53" customFormat="1" x14ac:dyDescent="0.3">
      <c r="B102" s="78" t="s">
        <v>136</v>
      </c>
      <c r="C102" s="54" t="str">
        <f>VLOOKUP(B102,'[1]Product by Part Number'!$A:$K,2,0)</f>
        <v xml:space="preserve">CAT D6N LGP (GHS)                                            </v>
      </c>
      <c r="D102" s="54" t="str">
        <f>VLOOKUP(B102,'[1]Product by Part Number'!$A:$K,3,0)</f>
        <v>TRACK SHOE MASTER</v>
      </c>
      <c r="E102" s="55">
        <f>VLOOKUP(B102,'[1]Product by Part Number'!$A:$K,11,0)</f>
        <v>2</v>
      </c>
      <c r="F102" s="56">
        <f>VLOOKUP(B102,'[1]Product by Part Number'!$A:$K,4,0)</f>
        <v>226.51</v>
      </c>
      <c r="G102" s="56">
        <f t="shared" si="4"/>
        <v>453.02</v>
      </c>
      <c r="H102" s="57">
        <f>VLOOKUP(B102,'[1]Product by Part Number'!$A:$K,5,0)</f>
        <v>113.26</v>
      </c>
      <c r="I102" s="88">
        <f t="shared" si="5"/>
        <v>226.52</v>
      </c>
    </row>
    <row r="103" spans="2:9" s="53" customFormat="1" x14ac:dyDescent="0.3">
      <c r="B103" s="78" t="s">
        <v>137</v>
      </c>
      <c r="C103" s="54" t="str">
        <f>VLOOKUP(B103,'[1]Product by Part Number'!$A:$K,2,0)</f>
        <v xml:space="preserve">CAT D7G (92V) CAT D7G (3ZD) CAT D7G (3ZD) (2)                                        </v>
      </c>
      <c r="D103" s="54" t="str">
        <f>VLOOKUP(B103,'[1]Product by Part Number'!$A:$K,3,0)</f>
        <v>SPROCKET HUB</v>
      </c>
      <c r="E103" s="55">
        <f>VLOOKUP(B103,'[1]Product by Part Number'!$A:$K,11,0)</f>
        <v>6</v>
      </c>
      <c r="F103" s="56">
        <f>VLOOKUP(B103,'[1]Product by Part Number'!$A:$K,4,0)</f>
        <v>3635.61</v>
      </c>
      <c r="G103" s="56">
        <f t="shared" si="4"/>
        <v>21813.66</v>
      </c>
      <c r="H103" s="57">
        <f>VLOOKUP(B103,'[1]Product by Part Number'!$A:$K,5,0)</f>
        <v>1817.81</v>
      </c>
      <c r="I103" s="88">
        <f t="shared" si="5"/>
        <v>10906.86</v>
      </c>
    </row>
    <row r="104" spans="2:9" s="53" customFormat="1" ht="27" x14ac:dyDescent="0.3">
      <c r="B104" s="78" t="s">
        <v>138</v>
      </c>
      <c r="C104" s="54" t="str">
        <f>VLOOKUP(B104,'[1]Product by Part Number'!$A:$K,2,0)</f>
        <v xml:space="preserve">CAT D6N LGP (GHS) CAT D6N LGP (PBA) CAT D6N LGP (PBA) (2) CAT D6N LGP (SGG) CAT D6N LGP (SGG) (2)                                    </v>
      </c>
      <c r="D104" s="54" t="str">
        <f>VLOOKUP(B104,'[1]Product by Part Number'!$A:$K,3,0)</f>
        <v>CARRIER ROLLER</v>
      </c>
      <c r="E104" s="55">
        <f>VLOOKUP(B104,'[1]Product by Part Number'!$A:$K,11,0)</f>
        <v>10</v>
      </c>
      <c r="F104" s="56">
        <f>VLOOKUP(B104,'[1]Product by Part Number'!$A:$K,4,0)</f>
        <v>496.33</v>
      </c>
      <c r="G104" s="56">
        <f t="shared" si="4"/>
        <v>4963.3</v>
      </c>
      <c r="H104" s="57">
        <f>VLOOKUP(B104,'[1]Product by Part Number'!$A:$K,5,0)</f>
        <v>248.17</v>
      </c>
      <c r="I104" s="88">
        <f t="shared" si="5"/>
        <v>2481.6999999999998</v>
      </c>
    </row>
    <row r="105" spans="2:9" s="53" customFormat="1" x14ac:dyDescent="0.3">
      <c r="B105" s="78" t="s">
        <v>139</v>
      </c>
      <c r="C105" s="54" t="str">
        <f>VLOOKUP(B105,'[1]Product by Part Number'!$A:$K,2,0)</f>
        <v xml:space="preserve">CAT D6T (MH7)                                            </v>
      </c>
      <c r="D105" s="54" t="str">
        <f>VLOOKUP(B105,'[1]Product by Part Number'!$A:$K,3,0)</f>
        <v>CUTTING EDGE</v>
      </c>
      <c r="E105" s="55">
        <f>VLOOKUP(B105,'[1]Product by Part Number'!$A:$K,11,0)</f>
        <v>2</v>
      </c>
      <c r="F105" s="56">
        <f>VLOOKUP(B105,'[1]Product by Part Number'!$A:$K,4,0)</f>
        <v>559.01</v>
      </c>
      <c r="G105" s="56">
        <f t="shared" si="4"/>
        <v>1118.02</v>
      </c>
      <c r="H105" s="57">
        <f>VLOOKUP(B105,'[1]Product by Part Number'!$A:$K,5,0)</f>
        <v>212.42</v>
      </c>
      <c r="I105" s="88">
        <f t="shared" si="5"/>
        <v>424.84</v>
      </c>
    </row>
    <row r="106" spans="2:9" s="53" customFormat="1" x14ac:dyDescent="0.3">
      <c r="B106" s="78" t="s">
        <v>140</v>
      </c>
      <c r="C106" s="54" t="str">
        <f>VLOOKUP(B106,'[1]Product by Part Number'!$A:$K,2,0)</f>
        <v xml:space="preserve">CAT D6 (RDC) CAT D6T (MH7)                                          </v>
      </c>
      <c r="D106" s="54" t="str">
        <f>VLOOKUP(B106,'[1]Product by Part Number'!$A:$K,3,0)</f>
        <v>CARRIER ROLLER</v>
      </c>
      <c r="E106" s="55">
        <f>VLOOKUP(B106,'[1]Product by Part Number'!$A:$K,11,0)</f>
        <v>4</v>
      </c>
      <c r="F106" s="56">
        <f>VLOOKUP(B106,'[1]Product by Part Number'!$A:$K,4,0)</f>
        <v>594.54</v>
      </c>
      <c r="G106" s="56">
        <f t="shared" si="4"/>
        <v>2378.16</v>
      </c>
      <c r="H106" s="57">
        <f>VLOOKUP(B106,'[1]Product by Part Number'!$A:$K,5,0)</f>
        <v>297.27</v>
      </c>
      <c r="I106" s="88">
        <f t="shared" si="5"/>
        <v>1189.08</v>
      </c>
    </row>
    <row r="107" spans="2:9" s="53" customFormat="1" x14ac:dyDescent="0.3">
      <c r="B107" s="78" t="s">
        <v>141</v>
      </c>
      <c r="C107" s="54" t="str">
        <f>VLOOKUP(B107,'[1]Product by Part Number'!$A:$K,2,0)</f>
        <v xml:space="preserve">CAT D6N LGP (PBA) CAT D6N LGP (PBA) (2)                                          </v>
      </c>
      <c r="D107" s="54" t="str">
        <f>VLOOKUP(B107,'[1]Product by Part Number'!$A:$K,3,0)</f>
        <v>SINGLE FLANGE TRACK ROLLER</v>
      </c>
      <c r="E107" s="55">
        <f>VLOOKUP(B107,'[1]Product by Part Number'!$A:$K,11,0)</f>
        <v>32</v>
      </c>
      <c r="F107" s="56">
        <f>VLOOKUP(B107,'[1]Product by Part Number'!$A:$K,4,0)</f>
        <v>866.99</v>
      </c>
      <c r="G107" s="56">
        <f t="shared" si="4"/>
        <v>27743.68</v>
      </c>
      <c r="H107" s="57">
        <f>VLOOKUP(B107,'[1]Product by Part Number'!$A:$K,5,0)</f>
        <v>433.5</v>
      </c>
      <c r="I107" s="88">
        <f t="shared" si="5"/>
        <v>13872</v>
      </c>
    </row>
    <row r="108" spans="2:9" s="53" customFormat="1" ht="40.200000000000003" x14ac:dyDescent="0.3">
      <c r="B108" s="78" t="s">
        <v>142</v>
      </c>
      <c r="C108" s="54" t="str">
        <f>VLOOKUP(B108,'[1]Product by Part Number'!$A:$K,2,0)</f>
        <v xml:space="preserve">CAT 320E L (WBK) CAT 320E L (WBK) (2) CAT 320F L (YBM) CAT 320 (HEX) CAT 320 (MYK) CAT 320 (MYK) (2)                                  </v>
      </c>
      <c r="D108" s="54" t="str">
        <f>VLOOKUP(B108,'[1]Product by Part Number'!$A:$K,3,0)</f>
        <v>TRACK IDLER</v>
      </c>
      <c r="E108" s="55">
        <f>VLOOKUP(B108,'[1]Product by Part Number'!$A:$K,11,0)</f>
        <v>16</v>
      </c>
      <c r="F108" s="56">
        <f>VLOOKUP(B108,'[1]Product by Part Number'!$A:$K,4,0)</f>
        <v>2633.14</v>
      </c>
      <c r="G108" s="56">
        <f t="shared" si="4"/>
        <v>42130.239999999998</v>
      </c>
      <c r="H108" s="57">
        <f>VLOOKUP(B108,'[1]Product by Part Number'!$A:$K,5,0)</f>
        <v>1316.57</v>
      </c>
      <c r="I108" s="88">
        <f t="shared" si="5"/>
        <v>21065.119999999999</v>
      </c>
    </row>
    <row r="109" spans="2:9" s="53" customFormat="1" ht="27" x14ac:dyDescent="0.3">
      <c r="B109" s="78" t="s">
        <v>143</v>
      </c>
      <c r="C109" s="54" t="str">
        <f>VLOOKUP(B109,'[1]Product by Part Number'!$A:$K,2,0)</f>
        <v xml:space="preserve">CAT D6N LGP (GHS) CAT D6N LGP (SGG) CAT D6N LGP (SGG) (2)                                        </v>
      </c>
      <c r="D109" s="54" t="str">
        <f>VLOOKUP(B109,'[1]Product by Part Number'!$A:$K,3,0)</f>
        <v>IDLER SCRAPER</v>
      </c>
      <c r="E109" s="55">
        <f>VLOOKUP(B109,'[1]Product by Part Number'!$A:$K,11,0)</f>
        <v>6</v>
      </c>
      <c r="F109" s="56">
        <f>VLOOKUP(B109,'[1]Product by Part Number'!$A:$K,4,0)</f>
        <v>113.29</v>
      </c>
      <c r="G109" s="56">
        <f t="shared" si="4"/>
        <v>679.74</v>
      </c>
      <c r="H109" s="57">
        <f>VLOOKUP(B109,'[1]Product by Part Number'!$A:$K,5,0)</f>
        <v>56.65</v>
      </c>
      <c r="I109" s="88">
        <f t="shared" si="5"/>
        <v>339.9</v>
      </c>
    </row>
    <row r="110" spans="2:9" s="53" customFormat="1" ht="27" x14ac:dyDescent="0.3">
      <c r="B110" s="78" t="s">
        <v>144</v>
      </c>
      <c r="C110" s="54" t="str">
        <f>VLOOKUP(B110,'[1]Product by Part Number'!$A:$K,2,0)</f>
        <v xml:space="preserve">CAT D6N LGP (GHS) CAT PL61 (WGS) CAT PL61 (WGS) (2) CAT PL61 (WGS) (3)                                      </v>
      </c>
      <c r="D110" s="54" t="str">
        <f>VLOOKUP(B110,'[1]Product by Part Number'!$A:$K,3,0)</f>
        <v>PRIMARY AIR FILTER ELEMENT</v>
      </c>
      <c r="E110" s="55">
        <f>VLOOKUP(B110,'[1]Product by Part Number'!$A:$K,11,0)</f>
        <v>12</v>
      </c>
      <c r="F110" s="56">
        <f>VLOOKUP(B110,'[1]Product by Part Number'!$A:$K,4,0)</f>
        <v>221.03</v>
      </c>
      <c r="G110" s="56">
        <f t="shared" si="4"/>
        <v>2652.36</v>
      </c>
      <c r="H110" s="57">
        <f>VLOOKUP(B110,'[1]Product by Part Number'!$A:$K,5,0)</f>
        <v>83.99</v>
      </c>
      <c r="I110" s="88">
        <f t="shared" si="5"/>
        <v>1007.88</v>
      </c>
    </row>
    <row r="111" spans="2:9" s="53" customFormat="1" ht="27" x14ac:dyDescent="0.3">
      <c r="B111" s="78" t="s">
        <v>145</v>
      </c>
      <c r="C111" s="54" t="str">
        <f>VLOOKUP(B111,'[1]Product by Part Number'!$A:$K,2,0)</f>
        <v xml:space="preserve">CAT D6N LGP (GHS) CAT PL61 (WGS) CAT PL61 (WGS) (2) CAT PL61 (WGS) (3)                                      </v>
      </c>
      <c r="D111" s="54" t="str">
        <f>VLOOKUP(B111,'[1]Product by Part Number'!$A:$K,3,0)</f>
        <v>SECONDARY AIR FILTER ELEMENT</v>
      </c>
      <c r="E111" s="55">
        <f>VLOOKUP(B111,'[1]Product by Part Number'!$A:$K,11,0)</f>
        <v>12</v>
      </c>
      <c r="F111" s="56">
        <f>VLOOKUP(B111,'[1]Product by Part Number'!$A:$K,4,0)</f>
        <v>152.66999999999999</v>
      </c>
      <c r="G111" s="56">
        <f t="shared" si="4"/>
        <v>1832.04</v>
      </c>
      <c r="H111" s="57">
        <f>VLOOKUP(B111,'[1]Product by Part Number'!$A:$K,5,0)</f>
        <v>58.01</v>
      </c>
      <c r="I111" s="88">
        <f t="shared" si="5"/>
        <v>696.12</v>
      </c>
    </row>
    <row r="112" spans="2:9" s="53" customFormat="1" x14ac:dyDescent="0.3">
      <c r="B112" s="78" t="s">
        <v>146</v>
      </c>
      <c r="C112" s="54" t="str">
        <f>VLOOKUP(B112,'[1]Product by Part Number'!$A:$K,2,0)</f>
        <v xml:space="preserve">CAT D6N LGP (PBA) CAT D6N LGP (PBA) (2)                                          </v>
      </c>
      <c r="D112" s="54" t="str">
        <f>VLOOKUP(B112,'[1]Product by Part Number'!$A:$K,3,0)</f>
        <v>TRACK BOLT MASTER</v>
      </c>
      <c r="E112" s="55">
        <f>VLOOKUP(B112,'[1]Product by Part Number'!$A:$K,11,0)</f>
        <v>16</v>
      </c>
      <c r="F112" s="56">
        <f>VLOOKUP(B112,'[1]Product by Part Number'!$A:$K,4,0)</f>
        <v>10.72</v>
      </c>
      <c r="G112" s="56">
        <f t="shared" si="4"/>
        <v>171.52</v>
      </c>
      <c r="H112" s="57">
        <f>VLOOKUP(B112,'[1]Product by Part Number'!$A:$K,5,0)</f>
        <v>5.36</v>
      </c>
      <c r="I112" s="88">
        <f t="shared" si="5"/>
        <v>85.76</v>
      </c>
    </row>
    <row r="113" spans="2:9" s="53" customFormat="1" ht="27" x14ac:dyDescent="0.3">
      <c r="B113" s="78" t="s">
        <v>147</v>
      </c>
      <c r="C113" s="54" t="str">
        <f>VLOOKUP(B113,'[1]Product by Part Number'!$A:$K,2,0)</f>
        <v xml:space="preserve">CAT PL61 (WGS) CAT PL61 (WGS) (2) CAT PL61 (WGS) (3)                                        </v>
      </c>
      <c r="D113" s="54" t="str">
        <f>VLOOKUP(B113,'[1]Product by Part Number'!$A:$K,3,0)</f>
        <v>SPROCKET</v>
      </c>
      <c r="E113" s="55">
        <f>VLOOKUP(B113,'[1]Product by Part Number'!$A:$K,11,0)</f>
        <v>6</v>
      </c>
      <c r="F113" s="56">
        <f>VLOOKUP(B113,'[1]Product by Part Number'!$A:$K,4,0)</f>
        <v>1650.99</v>
      </c>
      <c r="G113" s="56">
        <f t="shared" si="4"/>
        <v>9905.94</v>
      </c>
      <c r="H113" s="57">
        <f>VLOOKUP(B113,'[1]Product by Part Number'!$A:$K,5,0)</f>
        <v>825.5</v>
      </c>
      <c r="I113" s="88">
        <f t="shared" si="5"/>
        <v>4953</v>
      </c>
    </row>
    <row r="114" spans="2:9" s="53" customFormat="1" ht="27" x14ac:dyDescent="0.3">
      <c r="B114" s="78" t="s">
        <v>148</v>
      </c>
      <c r="C114" s="54" t="str">
        <f>VLOOKUP(B114,'[1]Product by Part Number'!$A:$K,2,0)</f>
        <v xml:space="preserve">CAT D6N LGP (GHS) CAT D6N LGP (SGG) CAT D6N LGP (SGG) (2)                                        </v>
      </c>
      <c r="D114" s="54" t="str">
        <f>VLOOKUP(B114,'[1]Product by Part Number'!$A:$K,3,0)</f>
        <v>HEX HEAD BOLT</v>
      </c>
      <c r="E114" s="55">
        <f>VLOOKUP(B114,'[1]Product by Part Number'!$A:$K,11,0)</f>
        <v>12</v>
      </c>
      <c r="F114" s="56">
        <f>VLOOKUP(B114,'[1]Product by Part Number'!$A:$K,4,0)</f>
        <v>4.12</v>
      </c>
      <c r="G114" s="56">
        <f t="shared" si="4"/>
        <v>49.44</v>
      </c>
      <c r="H114" s="57">
        <f>VLOOKUP(B114,'[1]Product by Part Number'!$A:$K,5,0)</f>
        <v>2.06</v>
      </c>
      <c r="I114" s="88">
        <f t="shared" si="5"/>
        <v>24.72</v>
      </c>
    </row>
    <row r="115" spans="2:9" s="53" customFormat="1" x14ac:dyDescent="0.3">
      <c r="B115" s="78" t="s">
        <v>149</v>
      </c>
      <c r="C115" s="54" t="str">
        <f>VLOOKUP(B115,'[1]Product by Part Number'!$A:$K,2,0)</f>
        <v xml:space="preserve">CAT 303.5E                                            </v>
      </c>
      <c r="D115" s="54" t="str">
        <f>VLOOKUP(B115,'[1]Product by Part Number'!$A:$K,3,0)</f>
        <v>IDLER-BEARING ASSY LH</v>
      </c>
      <c r="E115" s="55">
        <f>VLOOKUP(B115,'[1]Product by Part Number'!$A:$K,11,0)</f>
        <v>2</v>
      </c>
      <c r="F115" s="56">
        <f>VLOOKUP(B115,'[1]Product by Part Number'!$A:$K,4,0)</f>
        <v>854.8</v>
      </c>
      <c r="G115" s="56">
        <f t="shared" si="4"/>
        <v>1709.6</v>
      </c>
      <c r="H115" s="57">
        <f>VLOOKUP(B115,'[1]Product by Part Number'!$A:$K,5,0)</f>
        <v>427.4</v>
      </c>
      <c r="I115" s="88">
        <f t="shared" si="5"/>
        <v>854.8</v>
      </c>
    </row>
    <row r="116" spans="2:9" s="53" customFormat="1" x14ac:dyDescent="0.3">
      <c r="B116" s="78" t="s">
        <v>150</v>
      </c>
      <c r="C116" s="54" t="str">
        <f>VLOOKUP(B116,'[1]Product by Part Number'!$A:$K,2,0)</f>
        <v xml:space="preserve">CAT D6N LGP (PBA) CAT D6N LGP (PBA) (2)                                          </v>
      </c>
      <c r="D116" s="54" t="str">
        <f>VLOOKUP(B116,'[1]Product by Part Number'!$A:$K,3,0)</f>
        <v>TRACK SHOE 860MM</v>
      </c>
      <c r="E116" s="55">
        <f>VLOOKUP(B116,'[1]Product by Part Number'!$A:$K,11,0)</f>
        <v>180</v>
      </c>
      <c r="F116" s="56">
        <f>VLOOKUP(B116,'[1]Product by Part Number'!$A:$K,4,0)</f>
        <v>211.37</v>
      </c>
      <c r="G116" s="56">
        <f t="shared" si="4"/>
        <v>38046.6</v>
      </c>
      <c r="H116" s="57">
        <f>VLOOKUP(B116,'[1]Product by Part Number'!$A:$K,5,0)</f>
        <v>105.69</v>
      </c>
      <c r="I116" s="88">
        <f t="shared" si="5"/>
        <v>19024.2</v>
      </c>
    </row>
    <row r="117" spans="2:9" s="53" customFormat="1" ht="53.4" x14ac:dyDescent="0.3">
      <c r="B117" s="78" t="s">
        <v>151</v>
      </c>
      <c r="C117" s="54" t="str">
        <f>VLOOKUP(B117,'[1]Product by Part Number'!$A:$K,2,0)</f>
        <v xml:space="preserve">CAT 561N (CPH) CAT 561N (CPH) (2) CAT 561N (CPH) (3) CAT 561N (CPH) (4) CAT 561N (CPH) (5) CAT PL61 (WGS) CAT PL61 (WGS) (2) CAT PL61 (WGS) (3)                              </v>
      </c>
      <c r="D117" s="54" t="str">
        <f>VLOOKUP(B117,'[1]Product by Part Number'!$A:$K,3,0)</f>
        <v>CYLINDER HEAD</v>
      </c>
      <c r="E117" s="55">
        <f>VLOOKUP(B117,'[1]Product by Part Number'!$A:$K,11,0)</f>
        <v>8</v>
      </c>
      <c r="F117" s="56">
        <f>VLOOKUP(B117,'[1]Product by Part Number'!$A:$K,4,0)</f>
        <v>12450.3</v>
      </c>
      <c r="G117" s="56">
        <f t="shared" si="4"/>
        <v>99602.4</v>
      </c>
      <c r="H117" s="57">
        <f>VLOOKUP(B117,'[1]Product by Part Number'!$A:$K,5,0)</f>
        <v>6225.15</v>
      </c>
      <c r="I117" s="88">
        <f t="shared" si="5"/>
        <v>49801.2</v>
      </c>
    </row>
    <row r="118" spans="2:9" s="53" customFormat="1" x14ac:dyDescent="0.3">
      <c r="B118" s="78" t="s">
        <v>152</v>
      </c>
      <c r="C118" s="54" t="str">
        <f>VLOOKUP(B118,'[1]Product by Part Number'!$A:$K,2,0)</f>
        <v xml:space="preserve">CAT D7G (92V) CAT D7G (3ZD) CAT D7G (3ZD) (2)                                        </v>
      </c>
      <c r="D118" s="54" t="str">
        <f>VLOOKUP(B118,'[1]Product by Part Number'!$A:$K,3,0)</f>
        <v>SPROCKET BOLT</v>
      </c>
      <c r="E118" s="55">
        <f>VLOOKUP(B118,'[1]Product by Part Number'!$A:$K,11,0)</f>
        <v>120</v>
      </c>
      <c r="F118" s="56">
        <f>VLOOKUP(B118,'[1]Product by Part Number'!$A:$K,4,0)</f>
        <v>4.75</v>
      </c>
      <c r="G118" s="56">
        <f t="shared" si="4"/>
        <v>570</v>
      </c>
      <c r="H118" s="57">
        <f>VLOOKUP(B118,'[1]Product by Part Number'!$A:$K,5,0)</f>
        <v>2.38</v>
      </c>
      <c r="I118" s="88">
        <f t="shared" si="5"/>
        <v>285.60000000000002</v>
      </c>
    </row>
    <row r="119" spans="2:9" s="53" customFormat="1" x14ac:dyDescent="0.3">
      <c r="B119" s="78" t="s">
        <v>153</v>
      </c>
      <c r="C119" s="54" t="str">
        <f>VLOOKUP(B119,'[1]Product by Part Number'!$A:$K,2,0)</f>
        <v xml:space="preserve">CAT 303.5E                                            </v>
      </c>
      <c r="D119" s="54" t="str">
        <f>VLOOKUP(B119,'[1]Product by Part Number'!$A:$K,3,0)</f>
        <v>CABIN AIR FILTER ELEMENT</v>
      </c>
      <c r="E119" s="55">
        <f>VLOOKUP(B119,'[1]Product by Part Number'!$A:$K,11,0)</f>
        <v>3</v>
      </c>
      <c r="F119" s="56">
        <f>VLOOKUP(B119,'[1]Product by Part Number'!$A:$K,4,0)</f>
        <v>98.39</v>
      </c>
      <c r="G119" s="56">
        <f t="shared" si="4"/>
        <v>295.17</v>
      </c>
      <c r="H119" s="57">
        <f>VLOOKUP(B119,'[1]Product by Part Number'!$A:$K,5,0)</f>
        <v>37.39</v>
      </c>
      <c r="I119" s="88">
        <f t="shared" si="5"/>
        <v>112.17</v>
      </c>
    </row>
    <row r="120" spans="2:9" s="53" customFormat="1" x14ac:dyDescent="0.3">
      <c r="B120" s="78" t="s">
        <v>154</v>
      </c>
      <c r="C120" s="54" t="str">
        <f>VLOOKUP(B120,'[1]Product by Part Number'!$A:$K,2,0)</f>
        <v xml:space="preserve">CAT D4 (66J)                                            </v>
      </c>
      <c r="D120" s="54" t="str">
        <f>VLOOKUP(B120,'[1]Product by Part Number'!$A:$K,3,0)</f>
        <v>TURBOCHARGER ASSEMBLY</v>
      </c>
      <c r="E120" s="55">
        <f>VLOOKUP(B120,'[1]Product by Part Number'!$A:$K,11,0)</f>
        <v>1</v>
      </c>
      <c r="F120" s="56">
        <f>VLOOKUP(B120,'[1]Product by Part Number'!$A:$K,4,0)</f>
        <v>3627.05</v>
      </c>
      <c r="G120" s="56">
        <f t="shared" si="4"/>
        <v>3627.05</v>
      </c>
      <c r="H120" s="57">
        <f>VLOOKUP(B120,'[1]Product by Part Number'!$A:$K,5,0)</f>
        <v>1813.53</v>
      </c>
      <c r="I120" s="88">
        <f t="shared" si="5"/>
        <v>1813.53</v>
      </c>
    </row>
    <row r="121" spans="2:9" s="53" customFormat="1" x14ac:dyDescent="0.3">
      <c r="B121" s="78" t="s">
        <v>155</v>
      </c>
      <c r="C121" s="54" t="str">
        <f>VLOOKUP(B121,'[1]Product by Part Number'!$A:$K,2,0)</f>
        <v xml:space="preserve">CAT D6T (MH7)                                            </v>
      </c>
      <c r="D121" s="54" t="str">
        <f>VLOOKUP(B121,'[1]Product by Part Number'!$A:$K,3,0)</f>
        <v>SINGLE FLANGE TRACK ROLLER</v>
      </c>
      <c r="E121" s="55">
        <f>VLOOKUP(B121,'[1]Product by Part Number'!$A:$K,11,0)</f>
        <v>4</v>
      </c>
      <c r="F121" s="56">
        <f>VLOOKUP(B121,'[1]Product by Part Number'!$A:$K,4,0)</f>
        <v>936.48</v>
      </c>
      <c r="G121" s="56">
        <f t="shared" si="4"/>
        <v>3745.92</v>
      </c>
      <c r="H121" s="57">
        <f>VLOOKUP(B121,'[1]Product by Part Number'!$A:$K,5,0)</f>
        <v>468.24</v>
      </c>
      <c r="I121" s="88">
        <f t="shared" si="5"/>
        <v>1872.96</v>
      </c>
    </row>
    <row r="122" spans="2:9" s="53" customFormat="1" x14ac:dyDescent="0.3">
      <c r="B122" s="78" t="s">
        <v>156</v>
      </c>
      <c r="C122" s="54" t="str">
        <f>VLOOKUP(B122,'[1]Product by Part Number'!$A:$K,2,0)</f>
        <v xml:space="preserve">CAT D6T (MH7)                                            </v>
      </c>
      <c r="D122" s="54" t="str">
        <f>VLOOKUP(B122,'[1]Product by Part Number'!$A:$K,3,0)</f>
        <v>DOUBLE FLANGE TRACK ROLLER</v>
      </c>
      <c r="E122" s="55">
        <f>VLOOKUP(B122,'[1]Product by Part Number'!$A:$K,11,0)</f>
        <v>12</v>
      </c>
      <c r="F122" s="56">
        <f>VLOOKUP(B122,'[1]Product by Part Number'!$A:$K,4,0)</f>
        <v>1023.54</v>
      </c>
      <c r="G122" s="56">
        <f t="shared" si="4"/>
        <v>12282.48</v>
      </c>
      <c r="H122" s="57">
        <f>VLOOKUP(B122,'[1]Product by Part Number'!$A:$K,5,0)</f>
        <v>511.77</v>
      </c>
      <c r="I122" s="88">
        <f t="shared" si="5"/>
        <v>6141.24</v>
      </c>
    </row>
    <row r="123" spans="2:9" s="53" customFormat="1" x14ac:dyDescent="0.3">
      <c r="B123" s="78" t="s">
        <v>157</v>
      </c>
      <c r="C123" s="54" t="str">
        <f>VLOOKUP(B123,'[1]Product by Part Number'!$A:$K,2,0)</f>
        <v xml:space="preserve">CAT 303.5E                                            </v>
      </c>
      <c r="D123" s="54" t="str">
        <f>VLOOKUP(B123,'[1]Product by Part Number'!$A:$K,3,0)</f>
        <v>FINAL DRIVE</v>
      </c>
      <c r="E123" s="55">
        <f>VLOOKUP(B123,'[1]Product by Part Number'!$A:$K,11,0)</f>
        <v>2</v>
      </c>
      <c r="F123" s="56">
        <f>VLOOKUP(B123,'[1]Product by Part Number'!$A:$K,4,0)</f>
        <v>10089.31</v>
      </c>
      <c r="G123" s="56">
        <f t="shared" si="4"/>
        <v>20178.62</v>
      </c>
      <c r="H123" s="57">
        <f>VLOOKUP(B123,'[1]Product by Part Number'!$A:$K,5,0)</f>
        <v>5044.66</v>
      </c>
      <c r="I123" s="88">
        <f t="shared" si="5"/>
        <v>10089.32</v>
      </c>
    </row>
    <row r="124" spans="2:9" s="53" customFormat="1" x14ac:dyDescent="0.3">
      <c r="B124" s="78" t="s">
        <v>158</v>
      </c>
      <c r="C124" s="54" t="str">
        <f>VLOOKUP(B124,'[1]Product by Part Number'!$A:$K,2,0)</f>
        <v xml:space="preserve">CAT D6N LGP (PBA) CAT D6N LGP (PBA) (2)                                          </v>
      </c>
      <c r="D124" s="54" t="str">
        <f>VLOOKUP(B124,'[1]Product by Part Number'!$A:$K,3,0)</f>
        <v>TRACK SHOE MASTER</v>
      </c>
      <c r="E124" s="55">
        <f>VLOOKUP(B124,'[1]Product by Part Number'!$A:$K,11,0)</f>
        <v>4</v>
      </c>
      <c r="F124" s="56">
        <f>VLOOKUP(B124,'[1]Product by Part Number'!$A:$K,4,0)</f>
        <v>241.71</v>
      </c>
      <c r="G124" s="56">
        <f t="shared" si="4"/>
        <v>966.84</v>
      </c>
      <c r="H124" s="57">
        <f>VLOOKUP(B124,'[1]Product by Part Number'!$A:$K,5,0)</f>
        <v>120.86</v>
      </c>
      <c r="I124" s="88">
        <f t="shared" si="5"/>
        <v>483.44</v>
      </c>
    </row>
    <row r="125" spans="2:9" s="53" customFormat="1" ht="40.200000000000003" x14ac:dyDescent="0.3">
      <c r="B125" s="78" t="s">
        <v>50</v>
      </c>
      <c r="C125" s="54" t="str">
        <f>VLOOKUP(B125,'[1]Product by Part Number'!$A:$K,2,0)</f>
        <v xml:space="preserve">CAT D5 (3CR) CAT D5 (3CR) (2) CAT D6N LGP (GHS) CAT D6N LGP (PBA) CAT D6N LGP (PBA) (2) CAT D6N LGP (SGG) CAT D6N LGP (SGG) (2) CAT D6T (MH7)                              </v>
      </c>
      <c r="D125" s="54" t="str">
        <f>VLOOKUP(B125,'[1]Product by Part Number'!$A:$K,3,0)</f>
        <v xml:space="preserve">HEX NUT </v>
      </c>
      <c r="E125" s="55">
        <f>VLOOKUP(B125,'[1]Product by Part Number'!$A:$K,11,0)</f>
        <v>222</v>
      </c>
      <c r="F125" s="56">
        <f>VLOOKUP(B125,'[1]Product by Part Number'!$A:$K,4,0)</f>
        <v>3.65</v>
      </c>
      <c r="G125" s="56">
        <f t="shared" si="4"/>
        <v>810.3</v>
      </c>
      <c r="H125" s="57">
        <f>VLOOKUP(B125,'[1]Product by Part Number'!$A:$K,5,0)</f>
        <v>1.39</v>
      </c>
      <c r="I125" s="88">
        <f t="shared" si="5"/>
        <v>308.58</v>
      </c>
    </row>
    <row r="126" spans="2:9" s="53" customFormat="1" x14ac:dyDescent="0.3">
      <c r="B126" s="78" t="s">
        <v>159</v>
      </c>
      <c r="C126" s="54" t="str">
        <f>VLOOKUP(B126,'[1]Product by Part Number'!$A:$K,2,0)</f>
        <v xml:space="preserve">CAT D7G (92V) CAT D7G (3ZD) CAT D7G (3ZD) (2)                                        </v>
      </c>
      <c r="D126" s="54" t="str">
        <f>VLOOKUP(B126,'[1]Product by Part Number'!$A:$K,3,0)</f>
        <v>ENGINE OIL FILTER</v>
      </c>
      <c r="E126" s="55">
        <f>VLOOKUP(B126,'[1]Product by Part Number'!$A:$K,11,0)</f>
        <v>15</v>
      </c>
      <c r="F126" s="56">
        <f>VLOOKUP(B126,'[1]Product by Part Number'!$A:$K,4,0)</f>
        <v>17.309999999999999</v>
      </c>
      <c r="G126" s="56">
        <f t="shared" si="4"/>
        <v>259.64999999999998</v>
      </c>
      <c r="H126" s="57">
        <f>VLOOKUP(B126,'[1]Product by Part Number'!$A:$K,5,0)</f>
        <v>6.58</v>
      </c>
      <c r="I126" s="88">
        <f t="shared" si="5"/>
        <v>98.7</v>
      </c>
    </row>
    <row r="127" spans="2:9" s="53" customFormat="1" x14ac:dyDescent="0.3">
      <c r="B127" s="78" t="s">
        <v>160</v>
      </c>
      <c r="C127" s="54" t="str">
        <f>VLOOKUP(B127,'[1]Product by Part Number'!$A:$K,2,0)</f>
        <v xml:space="preserve">CAT D4 (66J)                                            </v>
      </c>
      <c r="D127" s="54" t="str">
        <f>VLOOKUP(B127,'[1]Product by Part Number'!$A:$K,3,0)</f>
        <v>SECONDARY AIR FILTER ELEMENT</v>
      </c>
      <c r="E127" s="55">
        <f>VLOOKUP(B127,'[1]Product by Part Number'!$A:$K,11,0)</f>
        <v>3</v>
      </c>
      <c r="F127" s="56">
        <f>VLOOKUP(B127,'[1]Product by Part Number'!$A:$K,4,0)</f>
        <v>111.66</v>
      </c>
      <c r="G127" s="56">
        <f t="shared" si="4"/>
        <v>334.98</v>
      </c>
      <c r="H127" s="57">
        <f>VLOOKUP(B127,'[1]Product by Part Number'!$A:$K,5,0)</f>
        <v>42.43</v>
      </c>
      <c r="I127" s="88">
        <f t="shared" si="5"/>
        <v>127.29</v>
      </c>
    </row>
    <row r="128" spans="2:9" s="53" customFormat="1" x14ac:dyDescent="0.3">
      <c r="B128" s="78" t="s">
        <v>431</v>
      </c>
      <c r="C128" s="54" t="str">
        <f>VLOOKUP(B128,'[1]Product by Part Number'!$A:$K,2,0)</f>
        <v xml:space="preserve">CAT 561 (85H) CAT 561 (92J) CAT 561 (92J) (2)                                        </v>
      </c>
      <c r="D128" s="54" t="str">
        <f>VLOOKUP(B128,'[1]Product by Part Number'!$A:$K,3,0)</f>
        <v>SECONDARY AIR FILTER</v>
      </c>
      <c r="E128" s="55">
        <f>VLOOKUP(B128,'[1]Product by Part Number'!$A:$K,11,0)</f>
        <v>9</v>
      </c>
      <c r="F128" s="56">
        <f>VLOOKUP(B128,'[1]Product by Part Number'!$A:$K,4,0)</f>
        <v>160.44</v>
      </c>
      <c r="G128" s="56">
        <f t="shared" si="4"/>
        <v>1443.96</v>
      </c>
      <c r="H128" s="57">
        <f>VLOOKUP(B128,'[1]Product by Part Number'!$A:$K,5,0)</f>
        <v>60.97</v>
      </c>
      <c r="I128" s="88">
        <f t="shared" si="5"/>
        <v>548.73</v>
      </c>
    </row>
    <row r="129" spans="2:9" s="53" customFormat="1" ht="40.200000000000003" x14ac:dyDescent="0.3">
      <c r="B129" s="78" t="s">
        <v>161</v>
      </c>
      <c r="C129" s="54" t="str">
        <f>VLOOKUP(B129,'[1]Product by Part Number'!$A:$K,2,0)</f>
        <v xml:space="preserve">CAT D6N LGP (GHS) CAT D6N LGP (PBA) CAT D6N LGP (PBA) (2) CAT D6N LGP (SGG) CAT D6N LGP (SGG) (2) CAT D6T (MH7)                                  </v>
      </c>
      <c r="D129" s="54" t="str">
        <f>VLOOKUP(B129,'[1]Product by Part Number'!$A:$K,3,0)</f>
        <v>FLAT WASHER</v>
      </c>
      <c r="E129" s="55">
        <f>VLOOKUP(B129,'[1]Product by Part Number'!$A:$K,11,0)</f>
        <v>300</v>
      </c>
      <c r="F129" s="56">
        <f>VLOOKUP(B129,'[1]Product by Part Number'!$A:$K,4,0)</f>
        <v>2.0499999999999998</v>
      </c>
      <c r="G129" s="56">
        <f t="shared" si="4"/>
        <v>615</v>
      </c>
      <c r="H129" s="57">
        <f>VLOOKUP(B129,'[1]Product by Part Number'!$A:$K,5,0)</f>
        <v>1.03</v>
      </c>
      <c r="I129" s="88">
        <f t="shared" si="5"/>
        <v>309</v>
      </c>
    </row>
    <row r="130" spans="2:9" s="53" customFormat="1" ht="93" x14ac:dyDescent="0.3">
      <c r="B130" s="78" t="s">
        <v>162</v>
      </c>
      <c r="C130" s="54" t="str">
        <f>VLOOKUP(B130,'[1]Product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336F L (RKB)            </v>
      </c>
      <c r="D130" s="54" t="str">
        <f>VLOOKUP(B130,'[1]Product by Part Number'!$A:$K,3,0)</f>
        <v>CARRIER ROLLER</v>
      </c>
      <c r="E130" s="55">
        <f>VLOOKUP(B130,'[1]Product by Part Number'!$A:$K,11,0)</f>
        <v>68</v>
      </c>
      <c r="F130" s="56">
        <f>VLOOKUP(B130,'[1]Product by Part Number'!$A:$K,4,0)</f>
        <v>635.41999999999996</v>
      </c>
      <c r="G130" s="56">
        <f t="shared" si="4"/>
        <v>43208.56</v>
      </c>
      <c r="H130" s="57">
        <f>VLOOKUP(B130,'[1]Product by Part Number'!$A:$K,5,0)</f>
        <v>317.70999999999998</v>
      </c>
      <c r="I130" s="88">
        <f t="shared" si="5"/>
        <v>21604.28</v>
      </c>
    </row>
    <row r="131" spans="2:9" s="53" customFormat="1" x14ac:dyDescent="0.3">
      <c r="B131" s="78" t="s">
        <v>163</v>
      </c>
      <c r="C131" s="54" t="str">
        <f>VLOOKUP(B131,'[1]Product by Part Number'!$A:$K,2,0)</f>
        <v xml:space="preserve">CAT 303.5E                                            </v>
      </c>
      <c r="D131" s="54" t="str">
        <f>VLOOKUP(B131,'[1]Product by Part Number'!$A:$K,3,0)</f>
        <v>HYDRAULIC OIL FILTER</v>
      </c>
      <c r="E131" s="55">
        <f>VLOOKUP(B131,'[1]Product by Part Number'!$A:$K,11,0)</f>
        <v>5</v>
      </c>
      <c r="F131" s="56">
        <f>VLOOKUP(B131,'[1]Product by Part Number'!$A:$K,4,0)</f>
        <v>130.47</v>
      </c>
      <c r="G131" s="56">
        <f t="shared" si="4"/>
        <v>652.35</v>
      </c>
      <c r="H131" s="57">
        <f>VLOOKUP(B131,'[1]Product by Part Number'!$A:$K,5,0)</f>
        <v>49.58</v>
      </c>
      <c r="I131" s="88">
        <f t="shared" si="5"/>
        <v>247.9</v>
      </c>
    </row>
    <row r="132" spans="2:9" s="53" customFormat="1" ht="40.200000000000003" x14ac:dyDescent="0.3">
      <c r="B132" s="78" t="s">
        <v>164</v>
      </c>
      <c r="C132" s="54" t="str">
        <f>VLOOKUP(B132,'[1]Product by Part Number'!$A:$K,2,0)</f>
        <v xml:space="preserve">CAT 329E L (ZCD) CAT 329F L (ERL) CAT 329F L (ERL) (2) CAT 330F L (MBX) CAT 330F L (HCK) CAT 330F L (HCK) (2)                                  </v>
      </c>
      <c r="D132" s="54" t="str">
        <f>VLOOKUP(B132,'[1]Product by Part Number'!$A:$K,3,0)</f>
        <v>TRACK BOLT 68MM</v>
      </c>
      <c r="E132" s="55">
        <f>VLOOKUP(B132,'[1]Product by Part Number'!$A:$K,11,0)</f>
        <v>2400</v>
      </c>
      <c r="F132" s="56">
        <f>VLOOKUP(B132,'[1]Product by Part Number'!$A:$K,4,0)</f>
        <v>6.78</v>
      </c>
      <c r="G132" s="56">
        <f t="shared" si="4"/>
        <v>16272</v>
      </c>
      <c r="H132" s="57">
        <f>VLOOKUP(B132,'[1]Product by Part Number'!$A:$K,5,0)</f>
        <v>3.39</v>
      </c>
      <c r="I132" s="88">
        <f t="shared" si="5"/>
        <v>8136</v>
      </c>
    </row>
    <row r="133" spans="2:9" s="53" customFormat="1" ht="27" x14ac:dyDescent="0.3">
      <c r="B133" s="78" t="s">
        <v>165</v>
      </c>
      <c r="C133" s="54" t="str">
        <f>VLOOKUP(B133,'[1]Product by Part Number'!$A:$K,2,0)</f>
        <v xml:space="preserve">CAT D6N LGP (GHS) CAT PL61 (WGS) CAT PL61 (WGS) (2) CAT PL61 (WGS) (3)                                      </v>
      </c>
      <c r="D133" s="54" t="str">
        <f>VLOOKUP(B133,'[1]Product by Part Number'!$A:$K,3,0)</f>
        <v>PRIMARY FUEL FILTER</v>
      </c>
      <c r="E133" s="55">
        <f>VLOOKUP(B133,'[1]Product by Part Number'!$A:$K,11,0)</f>
        <v>35</v>
      </c>
      <c r="F133" s="56">
        <f>VLOOKUP(B133,'[1]Product by Part Number'!$A:$K,4,0)</f>
        <v>62.25</v>
      </c>
      <c r="G133" s="56">
        <f t="shared" si="4"/>
        <v>2178.75</v>
      </c>
      <c r="H133" s="57">
        <f>VLOOKUP(B133,'[1]Product by Part Number'!$A:$K,5,0)</f>
        <v>23.66</v>
      </c>
      <c r="I133" s="88">
        <f t="shared" si="5"/>
        <v>828.1</v>
      </c>
    </row>
    <row r="134" spans="2:9" s="53" customFormat="1" ht="27" x14ac:dyDescent="0.3">
      <c r="B134" s="78" t="s">
        <v>166</v>
      </c>
      <c r="C134" s="54" t="str">
        <f>VLOOKUP(B134,'[1]Product by Part Number'!$A:$K,2,0)</f>
        <v xml:space="preserve">CAT D6N LGP (GHS) CAT D6N LGP (SGG) CAT D6N LGP (SGG) (2)                                        </v>
      </c>
      <c r="D134" s="54" t="str">
        <f>VLOOKUP(B134,'[1]Product by Part Number'!$A:$K,3,0)</f>
        <v>SINGLE FLANGE TRACK ROLLER</v>
      </c>
      <c r="E134" s="55">
        <f>VLOOKUP(B134,'[1]Product by Part Number'!$A:$K,11,0)</f>
        <v>20</v>
      </c>
      <c r="F134" s="56">
        <f>VLOOKUP(B134,'[1]Product by Part Number'!$A:$K,4,0)</f>
        <v>857.8</v>
      </c>
      <c r="G134" s="56">
        <f t="shared" si="4"/>
        <v>17156</v>
      </c>
      <c r="H134" s="57">
        <f>VLOOKUP(B134,'[1]Product by Part Number'!$A:$K,5,0)</f>
        <v>428.9</v>
      </c>
      <c r="I134" s="88">
        <f t="shared" si="5"/>
        <v>8578</v>
      </c>
    </row>
    <row r="135" spans="2:9" s="53" customFormat="1" x14ac:dyDescent="0.3">
      <c r="B135" s="78" t="s">
        <v>167</v>
      </c>
      <c r="C135" s="54" t="str">
        <f>VLOOKUP(B135,'[1]Product by Part Number'!$A:$K,2,0)</f>
        <v xml:space="preserve">CAT D6N LGP (SGG) CAT D6N LGP (SGG) (2)                                          </v>
      </c>
      <c r="D135" s="54" t="str">
        <f>VLOOKUP(B135,'[1]Product by Part Number'!$A:$K,3,0)</f>
        <v>DOUBLE FLANGE TRACK ROLLER</v>
      </c>
      <c r="E135" s="55">
        <f>VLOOKUP(B135,'[1]Product by Part Number'!$A:$K,11,0)</f>
        <v>16</v>
      </c>
      <c r="F135" s="56">
        <f>VLOOKUP(B135,'[1]Product by Part Number'!$A:$K,4,0)</f>
        <v>900.53</v>
      </c>
      <c r="G135" s="56">
        <f t="shared" si="4"/>
        <v>14408.48</v>
      </c>
      <c r="H135" s="57">
        <f>VLOOKUP(B135,'[1]Product by Part Number'!$A:$K,5,0)</f>
        <v>450.27</v>
      </c>
      <c r="I135" s="88">
        <f t="shared" si="5"/>
        <v>7204.32</v>
      </c>
    </row>
    <row r="136" spans="2:9" s="53" customFormat="1" ht="27" x14ac:dyDescent="0.3">
      <c r="B136" s="78" t="s">
        <v>168</v>
      </c>
      <c r="C136" s="54" t="str">
        <f>VLOOKUP(B136,'[1]Product by Part Number'!$A:$K,2,0)</f>
        <v xml:space="preserve">CAT D6N LGP (GHS)                                            </v>
      </c>
      <c r="D136" s="54" t="str">
        <f>VLOOKUP(B136,'[1]Product by Part Number'!$A:$K,3,0)</f>
        <v>DOUBLE FLANGE TRACK ROLLER (GUIDE AR)*</v>
      </c>
      <c r="E136" s="55">
        <f>VLOOKUP(B136,'[1]Product by Part Number'!$A:$K,11,0)</f>
        <v>12</v>
      </c>
      <c r="F136" s="56">
        <f>VLOOKUP(B136,'[1]Product by Part Number'!$A:$K,4,0)</f>
        <v>1006.57</v>
      </c>
      <c r="G136" s="56">
        <f t="shared" si="4"/>
        <v>12078.84</v>
      </c>
      <c r="H136" s="57">
        <f>VLOOKUP(B136,'[1]Product by Part Number'!$A:$K,5,0)</f>
        <v>503.29</v>
      </c>
      <c r="I136" s="88">
        <f t="shared" si="5"/>
        <v>6039.48</v>
      </c>
    </row>
    <row r="137" spans="2:9" s="53" customFormat="1" ht="53.4" x14ac:dyDescent="0.3">
      <c r="B137" s="78" t="s">
        <v>169</v>
      </c>
      <c r="C137" s="54" t="str">
        <f>VLOOKUP(B137,'[1]Product by Part Number'!$A:$K,2,0)</f>
        <v xml:space="preserve">CAT 330 (LHW) CAT 330 (LHW) (2) CAT 330 (LHW) (3) CAT 330 (LHW) (4) CAT 330 (WCH) CAT 330 (WCH) (2) CAT 330 (WCH) (3) CAT 330 (WCH) (4) CAT 330 (WCH) (5) CAT 330 (WCH) (6) CAT 336F L (RKB)                        </v>
      </c>
      <c r="D137" s="54" t="str">
        <f>VLOOKUP(B137,'[1]Product by Part Number'!$A:$K,3,0)</f>
        <v>TRACK NUT</v>
      </c>
      <c r="E137" s="55">
        <f>VLOOKUP(B137,'[1]Product by Part Number'!$A:$K,11,0)</f>
        <v>4396</v>
      </c>
      <c r="F137" s="56">
        <f>VLOOKUP(B137,'[1]Product by Part Number'!$A:$K,4,0)</f>
        <v>3.94</v>
      </c>
      <c r="G137" s="56">
        <f t="shared" si="4"/>
        <v>17320.239999999998</v>
      </c>
      <c r="H137" s="57">
        <f>VLOOKUP(B137,'[1]Product by Part Number'!$A:$K,5,0)</f>
        <v>1.97</v>
      </c>
      <c r="I137" s="88">
        <f t="shared" si="5"/>
        <v>8660.1200000000008</v>
      </c>
    </row>
    <row r="138" spans="2:9" s="53" customFormat="1" x14ac:dyDescent="0.3">
      <c r="B138" s="78" t="s">
        <v>170</v>
      </c>
      <c r="C138" s="54" t="str">
        <f>VLOOKUP(B138,'[1]Product by Part Number'!$A:$K,2,0)</f>
        <v xml:space="preserve">CAT D3 (1PJ)                                            </v>
      </c>
      <c r="D138" s="54" t="str">
        <f>VLOOKUP(B138,'[1]Product by Part Number'!$A:$K,3,0)</f>
        <v>TURBOCHARGER ASSEMBLY</v>
      </c>
      <c r="E138" s="55">
        <f>VLOOKUP(B138,'[1]Product by Part Number'!$A:$K,11,0)</f>
        <v>1</v>
      </c>
      <c r="F138" s="56">
        <f>VLOOKUP(B138,'[1]Product by Part Number'!$A:$K,4,0)</f>
        <v>4384.51</v>
      </c>
      <c r="G138" s="56">
        <f t="shared" si="4"/>
        <v>4384.51</v>
      </c>
      <c r="H138" s="57">
        <f>VLOOKUP(B138,'[1]Product by Part Number'!$A:$K,5,0)</f>
        <v>2192.2600000000002</v>
      </c>
      <c r="I138" s="88">
        <f t="shared" si="5"/>
        <v>2192.2600000000002</v>
      </c>
    </row>
    <row r="139" spans="2:9" s="53" customFormat="1" x14ac:dyDescent="0.3">
      <c r="B139" s="78" t="s">
        <v>171</v>
      </c>
      <c r="C139" s="54" t="str">
        <f>VLOOKUP(B139,'[1]Product by Part Number'!$A:$K,2,0)</f>
        <v xml:space="preserve">CAT 329F L (ERL) CAT 329F L (ERL) (2)                                          </v>
      </c>
      <c r="D139" s="54" t="str">
        <f>VLOOKUP(B139,'[1]Product by Part Number'!$A:$K,3,0)</f>
        <v xml:space="preserve">SEAT ASSEMBLY </v>
      </c>
      <c r="E139" s="55">
        <f>VLOOKUP(B139,'[1]Product by Part Number'!$A:$K,11,0)</f>
        <v>2</v>
      </c>
      <c r="F139" s="56">
        <f>VLOOKUP(B139,'[1]Product by Part Number'!$A:$K,4,0)</f>
        <v>3384.84</v>
      </c>
      <c r="G139" s="56">
        <f t="shared" si="4"/>
        <v>6769.68</v>
      </c>
      <c r="H139" s="57">
        <f>VLOOKUP(B139,'[1]Product by Part Number'!$A:$K,5,0)</f>
        <v>1692.42</v>
      </c>
      <c r="I139" s="88">
        <f t="shared" si="5"/>
        <v>3384.84</v>
      </c>
    </row>
    <row r="140" spans="2:9" s="53" customFormat="1" x14ac:dyDescent="0.3">
      <c r="B140" s="78" t="s">
        <v>172</v>
      </c>
      <c r="C140" s="54" t="str">
        <f>VLOOKUP(B140,'[1]Product by Part Number'!$A:$K,2,0)</f>
        <v xml:space="preserve">CAT 329F L (ERL) CAT 329F L (ERL) (2)                                          </v>
      </c>
      <c r="D140" s="54" t="str">
        <f>VLOOKUP(B140,'[1]Product by Part Number'!$A:$K,3,0)</f>
        <v>SEAT SUSPENSION ASSEMBLY</v>
      </c>
      <c r="E140" s="55">
        <f>VLOOKUP(B140,'[1]Product by Part Number'!$A:$K,11,0)</f>
        <v>2</v>
      </c>
      <c r="F140" s="56">
        <f>VLOOKUP(B140,'[1]Product by Part Number'!$A:$K,4,0)</f>
        <v>3739.65</v>
      </c>
      <c r="G140" s="56">
        <f t="shared" si="4"/>
        <v>7479.3</v>
      </c>
      <c r="H140" s="57">
        <f>VLOOKUP(B140,'[1]Product by Part Number'!$A:$K,5,0)</f>
        <v>1869.83</v>
      </c>
      <c r="I140" s="88">
        <f t="shared" si="5"/>
        <v>3739.66</v>
      </c>
    </row>
    <row r="141" spans="2:9" s="53" customFormat="1" ht="40.200000000000003" x14ac:dyDescent="0.3">
      <c r="B141" s="78" t="s">
        <v>173</v>
      </c>
      <c r="C141" s="54" t="str">
        <f>VLOOKUP(B141,'[1]Product by Part Number'!$A:$K,2,0)</f>
        <v xml:space="preserve">CAT 320F L (YBM) CAT 329E L (ZCD) CAT 330F L (MBX) CAT 330F L (HCK) CAT 330F L (HCK) (2) CAT 336F L (RKB)                                  </v>
      </c>
      <c r="D141" s="54" t="str">
        <f>VLOOKUP(B141,'[1]Product by Part Number'!$A:$K,3,0)</f>
        <v>SEAT SUSPENSION ASSEMBLY</v>
      </c>
      <c r="E141" s="55">
        <f>VLOOKUP(B141,'[1]Product by Part Number'!$A:$K,11,0)</f>
        <v>6</v>
      </c>
      <c r="F141" s="56">
        <f>VLOOKUP(B141,'[1]Product by Part Number'!$A:$K,4,0)</f>
        <v>4369.08</v>
      </c>
      <c r="G141" s="56">
        <f t="shared" si="4"/>
        <v>26214.48</v>
      </c>
      <c r="H141" s="57">
        <f>VLOOKUP(B141,'[1]Product by Part Number'!$A:$K,5,0)</f>
        <v>2184.54</v>
      </c>
      <c r="I141" s="88">
        <f t="shared" si="5"/>
        <v>13107.24</v>
      </c>
    </row>
    <row r="142" spans="2:9" s="53" customFormat="1" x14ac:dyDescent="0.3">
      <c r="B142" s="78" t="s">
        <v>174</v>
      </c>
      <c r="C142" s="54" t="str">
        <f>VLOOKUP(B142,'[1]Product by Part Number'!$A:$K,2,0)</f>
        <v xml:space="preserve">CAT D6N LGP (PBA) CAT D6N LGP (PBA) (2)                                          </v>
      </c>
      <c r="D142" s="54" t="str">
        <f>VLOOKUP(B142,'[1]Product by Part Number'!$A:$K,3,0)</f>
        <v>TRACK LINK MASTER</v>
      </c>
      <c r="E142" s="55">
        <f>VLOOKUP(B142,'[1]Product by Part Number'!$A:$K,11,0)</f>
        <v>8</v>
      </c>
      <c r="F142" s="56">
        <f>VLOOKUP(B142,'[1]Product by Part Number'!$A:$K,4,0)</f>
        <v>392.82</v>
      </c>
      <c r="G142" s="56">
        <f t="shared" si="4"/>
        <v>3142.56</v>
      </c>
      <c r="H142" s="57">
        <f>VLOOKUP(B142,'[1]Product by Part Number'!$A:$K,5,0)</f>
        <v>196.41</v>
      </c>
      <c r="I142" s="88">
        <f t="shared" si="5"/>
        <v>1571.28</v>
      </c>
    </row>
    <row r="143" spans="2:9" s="53" customFormat="1" x14ac:dyDescent="0.3">
      <c r="B143" s="78" t="s">
        <v>175</v>
      </c>
      <c r="C143" s="54" t="str">
        <f>VLOOKUP(B143,'[1]Product by Part Number'!$A:$K,2,0)</f>
        <v xml:space="preserve">CAT 336F L (RKB)                                            </v>
      </c>
      <c r="D143" s="54" t="str">
        <f>VLOOKUP(B143,'[1]Product by Part Number'!$A:$K,3,0)</f>
        <v>TRACK BOLT</v>
      </c>
      <c r="E143" s="55">
        <f>VLOOKUP(B143,'[1]Product by Part Number'!$A:$K,11,0)</f>
        <v>396</v>
      </c>
      <c r="F143" s="56">
        <f>VLOOKUP(B143,'[1]Product by Part Number'!$A:$K,4,0)</f>
        <v>9.11</v>
      </c>
      <c r="G143" s="56">
        <f t="shared" si="4"/>
        <v>3607.56</v>
      </c>
      <c r="H143" s="57">
        <f>VLOOKUP(B143,'[1]Product by Part Number'!$A:$K,5,0)</f>
        <v>4.5599999999999996</v>
      </c>
      <c r="I143" s="88">
        <f t="shared" si="5"/>
        <v>1805.76</v>
      </c>
    </row>
    <row r="144" spans="2:9" s="53" customFormat="1" x14ac:dyDescent="0.3">
      <c r="B144" s="78" t="s">
        <v>176</v>
      </c>
      <c r="C144" s="54" t="str">
        <f>VLOOKUP(B144,'[1]Product by Part Number'!$A:$K,2,0)</f>
        <v xml:space="preserve">CAT D6N LGP (GHS)                                            </v>
      </c>
      <c r="D144" s="54" t="str">
        <f>VLOOKUP(B144,'[1]Product by Part Number'!$A:$K,3,0)</f>
        <v>FUEL INJECTOR</v>
      </c>
      <c r="E144" s="55">
        <f>VLOOKUP(B144,'[1]Product by Part Number'!$A:$K,11,0)</f>
        <v>6</v>
      </c>
      <c r="F144" s="56">
        <f>VLOOKUP(B144,'[1]Product by Part Number'!$A:$K,4,0)</f>
        <v>1132.93</v>
      </c>
      <c r="G144" s="56">
        <f t="shared" ref="G144:G207" si="6">E144*F144</f>
        <v>6797.58</v>
      </c>
      <c r="H144" s="57">
        <f>VLOOKUP(B144,'[1]Product by Part Number'!$A:$K,5,0)</f>
        <v>566.47</v>
      </c>
      <c r="I144" s="88">
        <f t="shared" ref="I144:I207" si="7">ROUND(E144*H144,2)</f>
        <v>3398.82</v>
      </c>
    </row>
    <row r="145" spans="2:9" s="53" customFormat="1" x14ac:dyDescent="0.3">
      <c r="B145" s="78" t="s">
        <v>177</v>
      </c>
      <c r="C145" s="54" t="str">
        <f>VLOOKUP(B145,'[1]Product by Part Number'!$A:$K,2,0)</f>
        <v xml:space="preserve">CAT D4 (66J)                                            </v>
      </c>
      <c r="D145" s="54" t="str">
        <f>VLOOKUP(B145,'[1]Product by Part Number'!$A:$K,3,0)</f>
        <v>FUEL INJECTOR</v>
      </c>
      <c r="E145" s="55">
        <f>VLOOKUP(B145,'[1]Product by Part Number'!$A:$K,11,0)</f>
        <v>6</v>
      </c>
      <c r="F145" s="56">
        <f>VLOOKUP(B145,'[1]Product by Part Number'!$A:$K,4,0)</f>
        <v>1138.5999999999999</v>
      </c>
      <c r="G145" s="56">
        <f t="shared" si="6"/>
        <v>6831.5999999999995</v>
      </c>
      <c r="H145" s="57">
        <f>VLOOKUP(B145,'[1]Product by Part Number'!$A:$K,5,0)</f>
        <v>569.29999999999995</v>
      </c>
      <c r="I145" s="88">
        <f t="shared" si="7"/>
        <v>3415.8</v>
      </c>
    </row>
    <row r="146" spans="2:9" s="53" customFormat="1" ht="40.200000000000003" x14ac:dyDescent="0.3">
      <c r="B146" s="78" t="s">
        <v>178</v>
      </c>
      <c r="C146" s="54" t="str">
        <f>VLOOKUP(B146,'[1]Product by Part Number'!$A:$K,2,0)</f>
        <v xml:space="preserve">CAT 330 (WCH) CAT 330 (WCH) (2) CAT 330 (WCH) (3) CAT 330 (WCH) (4) CAT 330 (WCH) (5) CAT 330 (WCH) (6)                                  </v>
      </c>
      <c r="D146" s="54" t="str">
        <f>VLOOKUP(B146,'[1]Product by Part Number'!$A:$K,3,0)</f>
        <v>ENGINE OIL FILTER ELEMENT</v>
      </c>
      <c r="E146" s="55">
        <f>VLOOKUP(B146,'[1]Product by Part Number'!$A:$K,11,0)</f>
        <v>30</v>
      </c>
      <c r="F146" s="56">
        <f>VLOOKUP(B146,'[1]Product by Part Number'!$A:$K,4,0)</f>
        <v>44.15</v>
      </c>
      <c r="G146" s="56">
        <f t="shared" si="6"/>
        <v>1324.5</v>
      </c>
      <c r="H146" s="57">
        <f>VLOOKUP(B146,'[1]Product by Part Number'!$A:$K,5,0)</f>
        <v>16.78</v>
      </c>
      <c r="I146" s="88">
        <f t="shared" si="7"/>
        <v>503.4</v>
      </c>
    </row>
    <row r="147" spans="2:9" s="53" customFormat="1" ht="79.8" x14ac:dyDescent="0.3">
      <c r="B147" s="78" t="s">
        <v>179</v>
      </c>
      <c r="C147" s="54" t="str">
        <f>VLOOKUP(B147,'[1]Product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v>
      </c>
      <c r="D147" s="54" t="str">
        <f>VLOOKUP(B147,'[1]Product by Part Number'!$A:$K,3,0)</f>
        <v xml:space="preserve">ENGINE OIL FILTER ELEMENT </v>
      </c>
      <c r="E147" s="55">
        <f>VLOOKUP(B147,'[1]Product by Part Number'!$A:$K,11,0)</f>
        <v>80</v>
      </c>
      <c r="F147" s="56">
        <f>VLOOKUP(B147,'[1]Product by Part Number'!$A:$K,4,0)</f>
        <v>44.15</v>
      </c>
      <c r="G147" s="56">
        <f t="shared" si="6"/>
        <v>3532</v>
      </c>
      <c r="H147" s="57">
        <f>VLOOKUP(B147,'[1]Product by Part Number'!$A:$K,5,0)</f>
        <v>16.78</v>
      </c>
      <c r="I147" s="88">
        <f t="shared" si="7"/>
        <v>1342.4</v>
      </c>
    </row>
    <row r="148" spans="2:9" s="53" customFormat="1" x14ac:dyDescent="0.3">
      <c r="B148" s="78" t="s">
        <v>180</v>
      </c>
      <c r="C148" s="54" t="str">
        <f>VLOOKUP(B148,'[1]Product by Part Number'!$A:$K,2,0)</f>
        <v xml:space="preserve">CAT D6N LGP (PBA) CAT D6N LGP (PBA) (2)                                          </v>
      </c>
      <c r="D148" s="54" t="str">
        <f>VLOOKUP(B148,'[1]Product by Part Number'!$A:$K,3,0)</f>
        <v>TRACK IDLER</v>
      </c>
      <c r="E148" s="55">
        <f>VLOOKUP(B148,'[1]Product by Part Number'!$A:$K,11,0)</f>
        <v>8</v>
      </c>
      <c r="F148" s="56">
        <f>VLOOKUP(B148,'[1]Product by Part Number'!$A:$K,4,0)</f>
        <v>4087.57</v>
      </c>
      <c r="G148" s="56">
        <f t="shared" si="6"/>
        <v>32700.560000000001</v>
      </c>
      <c r="H148" s="57">
        <f>VLOOKUP(B148,'[1]Product by Part Number'!$A:$K,5,0)</f>
        <v>2043.79</v>
      </c>
      <c r="I148" s="88">
        <f t="shared" si="7"/>
        <v>16350.32</v>
      </c>
    </row>
    <row r="149" spans="2:9" s="53" customFormat="1" x14ac:dyDescent="0.3">
      <c r="B149" s="78" t="s">
        <v>42</v>
      </c>
      <c r="C149" s="54" t="str">
        <f>VLOOKUP(B149,'[1]Product by Part Number'!$A:$K,2,0)</f>
        <v xml:space="preserve">CAT 336F L (RKB) CAT D6 (RDC) CAT D6T (MH7)                                        </v>
      </c>
      <c r="D149" s="54" t="str">
        <f>VLOOKUP(B149,'[1]Product by Part Number'!$A:$K,3,0)</f>
        <v xml:space="preserve">FUEL WATER SEPARATOR </v>
      </c>
      <c r="E149" s="55">
        <f>VLOOKUP(B149,'[1]Product by Part Number'!$A:$K,11,0)</f>
        <v>30</v>
      </c>
      <c r="F149" s="56">
        <f>VLOOKUP(B149,'[1]Product by Part Number'!$A:$K,4,0)</f>
        <v>104.86</v>
      </c>
      <c r="G149" s="56">
        <f t="shared" si="6"/>
        <v>3145.8</v>
      </c>
      <c r="H149" s="57">
        <f>VLOOKUP(B149,'[1]Product by Part Number'!$A:$K,5,0)</f>
        <v>39.85</v>
      </c>
      <c r="I149" s="88">
        <f t="shared" si="7"/>
        <v>1195.5</v>
      </c>
    </row>
    <row r="150" spans="2:9" s="53" customFormat="1" x14ac:dyDescent="0.3">
      <c r="B150" s="78" t="s">
        <v>38</v>
      </c>
      <c r="C150" s="54" t="str">
        <f>VLOOKUP(B150,'[1]Product by Part Number'!$A:$K,2,0)</f>
        <v xml:space="preserve">CAT D6N LGP (GHS)                                            </v>
      </c>
      <c r="D150" s="54" t="str">
        <f>VLOOKUP(B150,'[1]Product by Part Number'!$A:$K,3,0)</f>
        <v>FUEL WATER SEPARATOR</v>
      </c>
      <c r="E150" s="55">
        <f>VLOOKUP(B150,'[1]Product by Part Number'!$A:$K,11,0)</f>
        <v>10</v>
      </c>
      <c r="F150" s="56">
        <f>VLOOKUP(B150,'[1]Product by Part Number'!$A:$K,4,0)</f>
        <v>85.6</v>
      </c>
      <c r="G150" s="56">
        <f t="shared" si="6"/>
        <v>856</v>
      </c>
      <c r="H150" s="57">
        <f>VLOOKUP(B150,'[1]Product by Part Number'!$A:$K,5,0)</f>
        <v>32.53</v>
      </c>
      <c r="I150" s="88">
        <f t="shared" si="7"/>
        <v>325.3</v>
      </c>
    </row>
    <row r="151" spans="2:9" s="53" customFormat="1" x14ac:dyDescent="0.3">
      <c r="B151" s="78" t="s">
        <v>41</v>
      </c>
      <c r="C151" s="54" t="str">
        <f>VLOOKUP(B151,'[1]Product by Part Number'!$A:$K,2,0)</f>
        <v xml:space="preserve">CAT D6N LGP (GHS)                                            </v>
      </c>
      <c r="D151" s="54" t="str">
        <f>VLOOKUP(B151,'[1]Product by Part Number'!$A:$K,3,0)</f>
        <v xml:space="preserve">HYDRAULIC OIL FILTER ELEMENT </v>
      </c>
      <c r="E151" s="55">
        <f>VLOOKUP(B151,'[1]Product by Part Number'!$A:$K,11,0)</f>
        <v>5</v>
      </c>
      <c r="F151" s="56">
        <f>VLOOKUP(B151,'[1]Product by Part Number'!$A:$K,4,0)</f>
        <v>204.36</v>
      </c>
      <c r="G151" s="56">
        <f t="shared" si="6"/>
        <v>1021.8000000000001</v>
      </c>
      <c r="H151" s="57">
        <f>VLOOKUP(B151,'[1]Product by Part Number'!$A:$K,5,0)</f>
        <v>77.66</v>
      </c>
      <c r="I151" s="88">
        <f t="shared" si="7"/>
        <v>388.3</v>
      </c>
    </row>
    <row r="152" spans="2:9" s="53" customFormat="1" ht="27" x14ac:dyDescent="0.3">
      <c r="B152" s="78" t="s">
        <v>181</v>
      </c>
      <c r="C152" s="54" t="str">
        <f>VLOOKUP(B152,'[1]Product by Part Number'!$A:$K,2,0)</f>
        <v xml:space="preserve">CAT D6N LGP (PBA) CAT D6N LGP (PBA) (2) CAT D6N LGP (SGG) CAT D6N LGP (SGG) (2)                                      </v>
      </c>
      <c r="D152" s="54" t="str">
        <f>VLOOKUP(B152,'[1]Product by Part Number'!$A:$K,3,0)</f>
        <v>SECONDARY CABIN AIR FILTER ELEMENT</v>
      </c>
      <c r="E152" s="55">
        <f>VLOOKUP(B152,'[1]Product by Part Number'!$A:$K,11,0)</f>
        <v>18</v>
      </c>
      <c r="F152" s="56">
        <f>VLOOKUP(B152,'[1]Product by Part Number'!$A:$K,4,0)</f>
        <v>79.09</v>
      </c>
      <c r="G152" s="56">
        <f t="shared" si="6"/>
        <v>1423.6200000000001</v>
      </c>
      <c r="H152" s="57">
        <f>VLOOKUP(B152,'[1]Product by Part Number'!$A:$K,5,0)</f>
        <v>30.05</v>
      </c>
      <c r="I152" s="88">
        <f t="shared" si="7"/>
        <v>540.9</v>
      </c>
    </row>
    <row r="153" spans="2:9" s="53" customFormat="1" ht="40.200000000000003" x14ac:dyDescent="0.3">
      <c r="B153" s="78" t="s">
        <v>182</v>
      </c>
      <c r="C153" s="54" t="str">
        <f>VLOOKUP(B153,'[1]Product by Part Number'!$A:$K,2,0)</f>
        <v xml:space="preserve">CAT D6 (RDC) CAT D6T (MH7) CAT 561N (CPH) CAT 561N (CPH) (2) CAT 561N (CPH) (3) CAT 561N (CPH) (4) CAT 561N (CPH) (5)                                </v>
      </c>
      <c r="D153" s="54" t="str">
        <f>VLOOKUP(B153,'[1]Product by Part Number'!$A:$K,3,0)</f>
        <v>SECONDARY AIR FILTER ELEMENT</v>
      </c>
      <c r="E153" s="55">
        <f>VLOOKUP(B153,'[1]Product by Part Number'!$A:$K,11,0)</f>
        <v>21</v>
      </c>
      <c r="F153" s="56">
        <f>VLOOKUP(B153,'[1]Product by Part Number'!$A:$K,4,0)</f>
        <v>109.02</v>
      </c>
      <c r="G153" s="56">
        <f t="shared" si="6"/>
        <v>2289.42</v>
      </c>
      <c r="H153" s="57">
        <f>VLOOKUP(B153,'[1]Product by Part Number'!$A:$K,5,0)</f>
        <v>41.43</v>
      </c>
      <c r="I153" s="88">
        <f t="shared" si="7"/>
        <v>870.03</v>
      </c>
    </row>
    <row r="154" spans="2:9" s="53" customFormat="1" ht="40.200000000000003" x14ac:dyDescent="0.3">
      <c r="B154" s="78" t="s">
        <v>183</v>
      </c>
      <c r="C154" s="54" t="str">
        <f>VLOOKUP(B154,'[1]Product by Part Number'!$A:$K,2,0)</f>
        <v xml:space="preserve">CAT 320E L (WBK) CAT 320E L (WBK) (2) CAT 320F L (YBM) CAT 320 (HEX) CAT 320 (MYK) CAT 320 (MYK) (2)                                  </v>
      </c>
      <c r="D154" s="54" t="str">
        <f>VLOOKUP(B154,'[1]Product by Part Number'!$A:$K,3,0)</f>
        <v>TRACK SHOE 790MM</v>
      </c>
      <c r="E154" s="55">
        <f>VLOOKUP(B154,'[1]Product by Part Number'!$A:$K,11,0)</f>
        <v>588</v>
      </c>
      <c r="F154" s="56">
        <f>VLOOKUP(B154,'[1]Product by Part Number'!$A:$K,4,0)</f>
        <v>179.13</v>
      </c>
      <c r="G154" s="56">
        <f t="shared" si="6"/>
        <v>105328.44</v>
      </c>
      <c r="H154" s="57">
        <f>VLOOKUP(B154,'[1]Product by Part Number'!$A:$K,5,0)</f>
        <v>89.57</v>
      </c>
      <c r="I154" s="88">
        <f t="shared" si="7"/>
        <v>52667.16</v>
      </c>
    </row>
    <row r="155" spans="2:9" s="53" customFormat="1" x14ac:dyDescent="0.3">
      <c r="B155" s="78" t="s">
        <v>184</v>
      </c>
      <c r="C155" s="54" t="str">
        <f>VLOOKUP(B155,'[1]Product by Part Number'!$A:$K,2,0)</f>
        <v xml:space="preserve">CAT D7G (92V) CAT D7G (3ZD) CAT D7G (3ZD) (2)                                        </v>
      </c>
      <c r="D155" s="54" t="str">
        <f>VLOOKUP(B155,'[1]Product by Part Number'!$A:$K,3,0)</f>
        <v>CRANKSHAFT ASSY</v>
      </c>
      <c r="E155" s="55">
        <f>VLOOKUP(B155,'[1]Product by Part Number'!$A:$K,11,0)</f>
        <v>3</v>
      </c>
      <c r="F155" s="56">
        <f>VLOOKUP(B155,'[1]Product by Part Number'!$A:$K,4,0)</f>
        <v>17640.77</v>
      </c>
      <c r="G155" s="56">
        <f t="shared" si="6"/>
        <v>52922.31</v>
      </c>
      <c r="H155" s="57">
        <f>VLOOKUP(B155,'[1]Product by Part Number'!$A:$K,5,0)</f>
        <v>8820.39</v>
      </c>
      <c r="I155" s="88">
        <f t="shared" si="7"/>
        <v>26461.17</v>
      </c>
    </row>
    <row r="156" spans="2:9" s="53" customFormat="1" ht="40.200000000000003" x14ac:dyDescent="0.3">
      <c r="B156" s="78" t="s">
        <v>185</v>
      </c>
      <c r="C156" s="54" t="str">
        <f>VLOOKUP(B156,'[1]Product by Part Number'!$A:$K,2,0)</f>
        <v xml:space="preserve">CAT 329E L (ZCD) CAT 329F L (ERL) CAT 329F L (ERL) (2) CAT 330F L (MBX) CAT 330F L (HCK) CAT 330F L (HCK) (2)                                  </v>
      </c>
      <c r="D156" s="54" t="str">
        <f>VLOOKUP(B156,'[1]Product by Part Number'!$A:$K,3,0)</f>
        <v>TRACK LINK ASSEMBLY</v>
      </c>
      <c r="E156" s="55">
        <f>VLOOKUP(B156,'[1]Product by Part Number'!$A:$K,11,0)</f>
        <v>12</v>
      </c>
      <c r="F156" s="56">
        <f>VLOOKUP(B156,'[1]Product by Part Number'!$A:$K,4,0)</f>
        <v>10788.51</v>
      </c>
      <c r="G156" s="56">
        <f t="shared" si="6"/>
        <v>129462.12</v>
      </c>
      <c r="H156" s="57">
        <f>VLOOKUP(B156,'[1]Product by Part Number'!$A:$K,5,0)</f>
        <v>5394.26</v>
      </c>
      <c r="I156" s="88">
        <f t="shared" si="7"/>
        <v>64731.12</v>
      </c>
    </row>
    <row r="157" spans="2:9" s="53" customFormat="1" ht="27" x14ac:dyDescent="0.3">
      <c r="B157" s="78" t="s">
        <v>186</v>
      </c>
      <c r="C157" s="54" t="str">
        <f>VLOOKUP(B157,'[1]Product by Part Number'!$A:$K,2,0)</f>
        <v xml:space="preserve">CAT 320F L (YBM) CAT 320 (HEX) CAT 320 (MYK) CAT 320 (MYK) (2)                                      </v>
      </c>
      <c r="D157" s="54" t="str">
        <f>VLOOKUP(B157,'[1]Product by Part Number'!$A:$K,3,0)</f>
        <v>BUCKET CYLINDER</v>
      </c>
      <c r="E157" s="55">
        <f>VLOOKUP(B157,'[1]Product by Part Number'!$A:$K,11,0)</f>
        <v>4</v>
      </c>
      <c r="F157" s="56">
        <f>VLOOKUP(B157,'[1]Product by Part Number'!$A:$K,4,0)</f>
        <v>22869.96</v>
      </c>
      <c r="G157" s="56">
        <f t="shared" si="6"/>
        <v>91479.84</v>
      </c>
      <c r="H157" s="57">
        <f>VLOOKUP(B157,'[1]Product by Part Number'!$A:$K,5,0)</f>
        <v>8690.58</v>
      </c>
      <c r="I157" s="88">
        <f t="shared" si="7"/>
        <v>34762.32</v>
      </c>
    </row>
    <row r="158" spans="2:9" s="53" customFormat="1" x14ac:dyDescent="0.3">
      <c r="B158" s="78" t="s">
        <v>187</v>
      </c>
      <c r="C158" s="54" t="str">
        <f>VLOOKUP(B158,'[1]Product by Part Number'!$A:$K,2,0)</f>
        <v xml:space="preserve">CAT D6N LGP (PBA) CAT D6N LGP (PBA) (2)                                          </v>
      </c>
      <c r="D158" s="54" t="str">
        <f>VLOOKUP(B158,'[1]Product by Part Number'!$A:$K,3,0)</f>
        <v>SECONDARY AIR FILTER ELEMENT</v>
      </c>
      <c r="E158" s="55">
        <f>VLOOKUP(B158,'[1]Product by Part Number'!$A:$K,11,0)</f>
        <v>6</v>
      </c>
      <c r="F158" s="56">
        <f>VLOOKUP(B158,'[1]Product by Part Number'!$A:$K,4,0)</f>
        <v>137.53</v>
      </c>
      <c r="G158" s="56">
        <f t="shared" si="6"/>
        <v>825.18000000000006</v>
      </c>
      <c r="H158" s="57">
        <f>VLOOKUP(B158,'[1]Product by Part Number'!$A:$K,5,0)</f>
        <v>52.26</v>
      </c>
      <c r="I158" s="88">
        <f t="shared" si="7"/>
        <v>313.56</v>
      </c>
    </row>
    <row r="159" spans="2:9" s="53" customFormat="1" x14ac:dyDescent="0.3">
      <c r="B159" s="78" t="s">
        <v>188</v>
      </c>
      <c r="C159" s="54" t="str">
        <f>VLOOKUP(B159,'[1]Product by Part Number'!$A:$K,2,0)</f>
        <v xml:space="preserve">CAT D6N LGP (PBA) CAT D6N LGP (PBA) (2)                                          </v>
      </c>
      <c r="D159" s="54" t="str">
        <f>VLOOKUP(B159,'[1]Product by Part Number'!$A:$K,3,0)</f>
        <v>FRONT WEAR PLATE</v>
      </c>
      <c r="E159" s="55">
        <f>VLOOKUP(B159,'[1]Product by Part Number'!$A:$K,11,0)</f>
        <v>8</v>
      </c>
      <c r="F159" s="56">
        <f>VLOOKUP(B159,'[1]Product by Part Number'!$A:$K,4,0)</f>
        <v>317.01</v>
      </c>
      <c r="G159" s="56">
        <f t="shared" si="6"/>
        <v>2536.08</v>
      </c>
      <c r="H159" s="57">
        <f>VLOOKUP(B159,'[1]Product by Part Number'!$A:$K,5,0)</f>
        <v>158.51</v>
      </c>
      <c r="I159" s="88">
        <f t="shared" si="7"/>
        <v>1268.08</v>
      </c>
    </row>
    <row r="160" spans="2:9" s="53" customFormat="1" x14ac:dyDescent="0.3">
      <c r="B160" s="78" t="s">
        <v>189</v>
      </c>
      <c r="C160" s="54" t="str">
        <f>VLOOKUP(B160,'[1]Product by Part Number'!$A:$K,2,0)</f>
        <v xml:space="preserve">CAT D6N LGP (PBA) CAT D6N LGP (PBA) (2)                                          </v>
      </c>
      <c r="D160" s="54" t="str">
        <f>VLOOKUP(B160,'[1]Product by Part Number'!$A:$K,3,0)</f>
        <v>REAR WEAR PLATE</v>
      </c>
      <c r="E160" s="55">
        <f>VLOOKUP(B160,'[1]Product by Part Number'!$A:$K,11,0)</f>
        <v>8</v>
      </c>
      <c r="F160" s="56">
        <f>VLOOKUP(B160,'[1]Product by Part Number'!$A:$K,4,0)</f>
        <v>369.71</v>
      </c>
      <c r="G160" s="56">
        <f t="shared" si="6"/>
        <v>2957.68</v>
      </c>
      <c r="H160" s="57">
        <f>VLOOKUP(B160,'[1]Product by Part Number'!$A:$K,5,0)</f>
        <v>184.86</v>
      </c>
      <c r="I160" s="88">
        <f t="shared" si="7"/>
        <v>1478.88</v>
      </c>
    </row>
    <row r="161" spans="2:9" s="53" customFormat="1" x14ac:dyDescent="0.3">
      <c r="B161" s="78" t="s">
        <v>190</v>
      </c>
      <c r="C161" s="54" t="str">
        <f>VLOOKUP(B161,'[1]Product by Part Number'!$A:$K,2,0)</f>
        <v xml:space="preserve">CAT D6N LGP (SGG) CAT D6N LGP (SGG) (2)                                          </v>
      </c>
      <c r="D161" s="54" t="str">
        <f>VLOOKUP(B161,'[1]Product by Part Number'!$A:$K,3,0)</f>
        <v>TRACK SHOE 835MM</v>
      </c>
      <c r="E161" s="55">
        <f>VLOOKUP(B161,'[1]Product by Part Number'!$A:$K,11,0)</f>
        <v>180</v>
      </c>
      <c r="F161" s="56">
        <f>VLOOKUP(B161,'[1]Product by Part Number'!$A:$K,4,0)</f>
        <v>197.96</v>
      </c>
      <c r="G161" s="56">
        <f t="shared" si="6"/>
        <v>35632.800000000003</v>
      </c>
      <c r="H161" s="57">
        <f>VLOOKUP(B161,'[1]Product by Part Number'!$A:$K,5,0)</f>
        <v>98.98</v>
      </c>
      <c r="I161" s="88">
        <f t="shared" si="7"/>
        <v>17816.400000000001</v>
      </c>
    </row>
    <row r="162" spans="2:9" s="53" customFormat="1" x14ac:dyDescent="0.3">
      <c r="B162" s="78" t="s">
        <v>191</v>
      </c>
      <c r="C162" s="54" t="str">
        <f>VLOOKUP(B162,'[1]Product by Part Number'!$A:$K,2,0)</f>
        <v xml:space="preserve">CAT D6N LGP (SGG) CAT D6N LGP (SGG) (2)                                          </v>
      </c>
      <c r="D162" s="54" t="str">
        <f>VLOOKUP(B162,'[1]Product by Part Number'!$A:$K,3,0)</f>
        <v>TRACK SHOE MASTER</v>
      </c>
      <c r="E162" s="55">
        <f>VLOOKUP(B162,'[1]Product by Part Number'!$A:$K,11,0)</f>
        <v>4</v>
      </c>
      <c r="F162" s="56">
        <f>VLOOKUP(B162,'[1]Product by Part Number'!$A:$K,4,0)</f>
        <v>209.96</v>
      </c>
      <c r="G162" s="56">
        <f t="shared" si="6"/>
        <v>839.84</v>
      </c>
      <c r="H162" s="57">
        <f>VLOOKUP(B162,'[1]Product by Part Number'!$A:$K,5,0)</f>
        <v>104.98</v>
      </c>
      <c r="I162" s="88">
        <f t="shared" si="7"/>
        <v>419.92</v>
      </c>
    </row>
    <row r="163" spans="2:9" s="53" customFormat="1" ht="66.599999999999994" x14ac:dyDescent="0.3">
      <c r="B163" s="78" t="s">
        <v>192</v>
      </c>
      <c r="C163" s="54" t="str">
        <f>VLOOKUP(B163,'[1]Product by Part Number'!$A:$K,2,0)</f>
        <v xml:space="preserve">CAT 561M (1KW) CAT 561N (CPH) CAT 561N (CPH) CAT 561N (CPH) (2) CAT 561N (CPH) (2) CAT 561N (CPH) (3) CAT 561N (CPH) (3) CAT 561N (CPH) (4) CAT 561N (CPH) (4) CAT 561N (CPH) (5) CAT 561N (CPH) (5)                        </v>
      </c>
      <c r="D163" s="54" t="str">
        <f>VLOOKUP(B163,'[1]Product by Part Number'!$A:$K,3,0)</f>
        <v>BOLT ROLLER</v>
      </c>
      <c r="E163" s="55">
        <f>VLOOKUP(B163,'[1]Product by Part Number'!$A:$K,11,0)</f>
        <v>356</v>
      </c>
      <c r="F163" s="56">
        <f>VLOOKUP(B163,'[1]Product by Part Number'!$A:$K,4,0)</f>
        <v>8.76</v>
      </c>
      <c r="G163" s="56">
        <f t="shared" si="6"/>
        <v>3118.56</v>
      </c>
      <c r="H163" s="57">
        <f>VLOOKUP(B163,'[1]Product by Part Number'!$A:$K,5,0)</f>
        <v>4.38</v>
      </c>
      <c r="I163" s="88">
        <f t="shared" si="7"/>
        <v>1559.28</v>
      </c>
    </row>
    <row r="164" spans="2:9" s="53" customFormat="1" ht="27" x14ac:dyDescent="0.3">
      <c r="B164" s="78" t="s">
        <v>193</v>
      </c>
      <c r="C164" s="54" t="str">
        <f>VLOOKUP(B164,'[1]Product by Part Number'!$A:$K,2,0)</f>
        <v xml:space="preserve">CAT PL61 (WGS) CAT PL61 (WGS) (2) CAT PL61 (WGS) (3)                                        </v>
      </c>
      <c r="D164" s="54" t="str">
        <f>VLOOKUP(B164,'[1]Product by Part Number'!$A:$K,3,0)</f>
        <v>TRACK IDLER</v>
      </c>
      <c r="E164" s="55">
        <f>VLOOKUP(B164,'[1]Product by Part Number'!$A:$K,11,0)</f>
        <v>6</v>
      </c>
      <c r="F164" s="56">
        <f>VLOOKUP(B164,'[1]Product by Part Number'!$A:$K,4,0)</f>
        <v>3032.3</v>
      </c>
      <c r="G164" s="56">
        <f t="shared" si="6"/>
        <v>18193.800000000003</v>
      </c>
      <c r="H164" s="57">
        <f>VLOOKUP(B164,'[1]Product by Part Number'!$A:$K,5,0)</f>
        <v>1516.15</v>
      </c>
      <c r="I164" s="88">
        <f t="shared" si="7"/>
        <v>9096.9</v>
      </c>
    </row>
    <row r="165" spans="2:9" s="53" customFormat="1" x14ac:dyDescent="0.3">
      <c r="B165" s="78" t="s">
        <v>194</v>
      </c>
      <c r="C165" s="54" t="str">
        <f>VLOOKUP(B165,'[1]Product by Part Number'!$A:$K,2,0)</f>
        <v xml:space="preserve">CAT 329E L (ZCD)                                            </v>
      </c>
      <c r="D165" s="54" t="str">
        <f>VLOOKUP(B165,'[1]Product by Part Number'!$A:$K,3,0)</f>
        <v>SECONDARY TURBOCHARGER ASSEMBLY</v>
      </c>
      <c r="E165" s="55">
        <f>VLOOKUP(B165,'[1]Product by Part Number'!$A:$K,11,0)</f>
        <v>1</v>
      </c>
      <c r="F165" s="56">
        <f>VLOOKUP(B165,'[1]Product by Part Number'!$A:$K,4,0)</f>
        <v>4722.29</v>
      </c>
      <c r="G165" s="56">
        <f t="shared" si="6"/>
        <v>4722.29</v>
      </c>
      <c r="H165" s="57">
        <f>VLOOKUP(B165,'[1]Product by Part Number'!$A:$K,5,0)</f>
        <v>2361.15</v>
      </c>
      <c r="I165" s="88">
        <f t="shared" si="7"/>
        <v>2361.15</v>
      </c>
    </row>
    <row r="166" spans="2:9" s="53" customFormat="1" ht="66.599999999999994" x14ac:dyDescent="0.3">
      <c r="B166" s="78" t="s">
        <v>195</v>
      </c>
      <c r="C166" s="54" t="str">
        <f>VLOOKUP(B166,'[1]Product by Part Number'!$A:$K,2,0)</f>
        <v xml:space="preserve">CAT 320E L (WBK) CAT 320E L (WBK) (2) CAT 320F L (YBM) CAT 329E L (ZCD) CAT 329F L (ERL) CAT 329F L (ERL) (2) CAT 330F L (MBX) CAT 330F L (HCK) CAT 330F L (HCK) (2) CAT D6N LGP (PBA) CAT D6N LGP (PBA) (2) CAT D6N LGP (SGG) CAT D6N LGP (SGG) (2)                    </v>
      </c>
      <c r="D166" s="54" t="str">
        <f>VLOOKUP(B166,'[1]Product by Part Number'!$A:$K,3,0)</f>
        <v>FUEL FILTER ELEMENT</v>
      </c>
      <c r="E166" s="55">
        <f>VLOOKUP(B166,'[1]Product by Part Number'!$A:$K,11,0)</f>
        <v>75</v>
      </c>
      <c r="F166" s="56">
        <f>VLOOKUP(B166,'[1]Product by Part Number'!$A:$K,4,0)</f>
        <v>51.88</v>
      </c>
      <c r="G166" s="56">
        <f t="shared" si="6"/>
        <v>3891</v>
      </c>
      <c r="H166" s="57">
        <f>VLOOKUP(B166,'[1]Product by Part Number'!$A:$K,5,0)</f>
        <v>19.71</v>
      </c>
      <c r="I166" s="88">
        <f t="shared" si="7"/>
        <v>1478.25</v>
      </c>
    </row>
    <row r="167" spans="2:9" s="53" customFormat="1" ht="40.200000000000003" x14ac:dyDescent="0.3">
      <c r="B167" s="78" t="s">
        <v>196</v>
      </c>
      <c r="C167" s="54" t="str">
        <f>VLOOKUP(B167,'[1]Product by Part Number'!$A:$K,2,0)</f>
        <v xml:space="preserve">CAT 329E L (ZCD) CAT 329F L (ERL) CAT 329F L (ERL) (2) CAT 330F L (MBX) CAT 330F L (HCK) CAT 330F L (HCK) (2)                                  </v>
      </c>
      <c r="D167" s="54" t="str">
        <f>VLOOKUP(B167,'[1]Product by Part Number'!$A:$K,3,0)</f>
        <v>CABIN AIR FILTER ELEMENT</v>
      </c>
      <c r="E167" s="55">
        <f>VLOOKUP(B167,'[1]Product by Part Number'!$A:$K,11,0)</f>
        <v>18</v>
      </c>
      <c r="F167" s="56">
        <f>VLOOKUP(B167,'[1]Product by Part Number'!$A:$K,4,0)</f>
        <v>94.42</v>
      </c>
      <c r="G167" s="56">
        <f t="shared" si="6"/>
        <v>1699.56</v>
      </c>
      <c r="H167" s="57">
        <f>VLOOKUP(B167,'[1]Product by Part Number'!$A:$K,5,0)</f>
        <v>35.880000000000003</v>
      </c>
      <c r="I167" s="88">
        <f t="shared" si="7"/>
        <v>645.84</v>
      </c>
    </row>
    <row r="168" spans="2:9" s="53" customFormat="1" ht="27" x14ac:dyDescent="0.3">
      <c r="B168" s="78" t="s">
        <v>197</v>
      </c>
      <c r="C168" s="54" t="str">
        <f>VLOOKUP(B168,'[1]Product by Part Number'!$A:$K,2,0)</f>
        <v xml:space="preserve">CAT PL61 (WGS) CAT PL61 (WGS) (2) CAT PL61 (WGS) (3)                                        </v>
      </c>
      <c r="D168" s="54" t="str">
        <f>VLOOKUP(B168,'[1]Product by Part Number'!$A:$K,3,0)</f>
        <v>DUAL FLANGE ROLLER</v>
      </c>
      <c r="E168" s="55">
        <f>VLOOKUP(B168,'[1]Product by Part Number'!$A:$K,11,0)</f>
        <v>48</v>
      </c>
      <c r="F168" s="56">
        <f>VLOOKUP(B168,'[1]Product by Part Number'!$A:$K,4,0)</f>
        <v>564.07000000000005</v>
      </c>
      <c r="G168" s="56">
        <f t="shared" si="6"/>
        <v>27075.360000000001</v>
      </c>
      <c r="H168" s="57">
        <f>VLOOKUP(B168,'[1]Product by Part Number'!$A:$K,5,0)</f>
        <v>282.04000000000002</v>
      </c>
      <c r="I168" s="88">
        <f t="shared" si="7"/>
        <v>13537.92</v>
      </c>
    </row>
    <row r="169" spans="2:9" s="53" customFormat="1" ht="27" x14ac:dyDescent="0.3">
      <c r="B169" s="78" t="s">
        <v>198</v>
      </c>
      <c r="C169" s="54" t="str">
        <f>VLOOKUP(B169,'[1]Product by Part Number'!$A:$K,2,0)</f>
        <v xml:space="preserve">CAT PL61 (WGS) CAT PL61 (WGS) (2) CAT PL61 (WGS) (3)                                        </v>
      </c>
      <c r="D169" s="54" t="str">
        <f>VLOOKUP(B169,'[1]Product by Part Number'!$A:$K,3,0)</f>
        <v>SINGLE FLANGE ROLLER</v>
      </c>
      <c r="E169" s="55">
        <f>VLOOKUP(B169,'[1]Product by Part Number'!$A:$K,11,0)</f>
        <v>48</v>
      </c>
      <c r="F169" s="56">
        <f>VLOOKUP(B169,'[1]Product by Part Number'!$A:$K,4,0)</f>
        <v>537.23</v>
      </c>
      <c r="G169" s="56">
        <f t="shared" si="6"/>
        <v>25787.040000000001</v>
      </c>
      <c r="H169" s="57">
        <f>VLOOKUP(B169,'[1]Product by Part Number'!$A:$K,5,0)</f>
        <v>268.62</v>
      </c>
      <c r="I169" s="88">
        <f t="shared" si="7"/>
        <v>12893.76</v>
      </c>
    </row>
    <row r="170" spans="2:9" s="53" customFormat="1" x14ac:dyDescent="0.3">
      <c r="B170" s="78" t="s">
        <v>199</v>
      </c>
      <c r="C170" s="54" t="str">
        <f>VLOOKUP(B170,'[1]Product by Part Number'!$A:$K,2,0)</f>
        <v xml:space="preserve">CAT 320F L (YBM) CAT 320 (HEX) CAT 329E L (ZCD)                                        </v>
      </c>
      <c r="D170" s="54" t="str">
        <f>VLOOKUP(B170,'[1]Product by Part Number'!$A:$K,3,0)</f>
        <v>FUEL INJECTOR</v>
      </c>
      <c r="E170" s="55">
        <f>VLOOKUP(B170,'[1]Product by Part Number'!$A:$K,11,0)</f>
        <v>14</v>
      </c>
      <c r="F170" s="56">
        <f>VLOOKUP(B170,'[1]Product by Part Number'!$A:$K,4,0)</f>
        <v>1474.09</v>
      </c>
      <c r="G170" s="56">
        <f t="shared" si="6"/>
        <v>20637.259999999998</v>
      </c>
      <c r="H170" s="57">
        <f>VLOOKUP(B170,'[1]Product by Part Number'!$A:$K,5,0)</f>
        <v>737.05</v>
      </c>
      <c r="I170" s="88">
        <f t="shared" si="7"/>
        <v>10318.700000000001</v>
      </c>
    </row>
    <row r="171" spans="2:9" s="53" customFormat="1" ht="27" x14ac:dyDescent="0.3">
      <c r="B171" s="78" t="s">
        <v>200</v>
      </c>
      <c r="C171" s="54" t="str">
        <f>VLOOKUP(B171,'[1]Product by Part Number'!$A:$K,2,0)</f>
        <v xml:space="preserve">CAT PL61 (WGS) CAT PL61 (WGS) (2) CAT PL61 (WGS) (3)                                        </v>
      </c>
      <c r="D171" s="54" t="str">
        <f>VLOOKUP(B171,'[1]Product by Part Number'!$A:$K,3,0)</f>
        <v>CARRIER ROLLER</v>
      </c>
      <c r="E171" s="55">
        <f>VLOOKUP(B171,'[1]Product by Part Number'!$A:$K,11,0)</f>
        <v>6</v>
      </c>
      <c r="F171" s="56">
        <f>VLOOKUP(B171,'[1]Product by Part Number'!$A:$K,4,0)</f>
        <v>558.77</v>
      </c>
      <c r="G171" s="56">
        <f t="shared" si="6"/>
        <v>3352.62</v>
      </c>
      <c r="H171" s="57">
        <f>VLOOKUP(B171,'[1]Product by Part Number'!$A:$K,5,0)</f>
        <v>279.39</v>
      </c>
      <c r="I171" s="88">
        <f t="shared" si="7"/>
        <v>1676.34</v>
      </c>
    </row>
    <row r="172" spans="2:9" s="53" customFormat="1" x14ac:dyDescent="0.3">
      <c r="B172" s="78" t="s">
        <v>201</v>
      </c>
      <c r="C172" s="54" t="str">
        <f>VLOOKUP(B172,'[1]Product by Part Number'!$A:$K,2,0)</f>
        <v xml:space="preserve">CAT D7G (92V) CAT D7G (3ZD) CAT D7G (3ZD) (2)                                        </v>
      </c>
      <c r="D172" s="54" t="str">
        <f>VLOOKUP(B172,'[1]Product by Part Number'!$A:$K,3,0)</f>
        <v>TRACK SHOE</v>
      </c>
      <c r="E172" s="55">
        <f>VLOOKUP(B172,'[1]Product by Part Number'!$A:$K,11,0)</f>
        <v>222</v>
      </c>
      <c r="F172" s="56">
        <f>VLOOKUP(B172,'[1]Product by Part Number'!$A:$K,4,0)</f>
        <v>250.75</v>
      </c>
      <c r="G172" s="56">
        <f t="shared" si="6"/>
        <v>55666.5</v>
      </c>
      <c r="H172" s="57">
        <f>VLOOKUP(B172,'[1]Product by Part Number'!$A:$K,5,0)</f>
        <v>125.38</v>
      </c>
      <c r="I172" s="88">
        <f t="shared" si="7"/>
        <v>27834.36</v>
      </c>
    </row>
    <row r="173" spans="2:9" s="53" customFormat="1" x14ac:dyDescent="0.3">
      <c r="B173" s="78" t="s">
        <v>202</v>
      </c>
      <c r="C173" s="54" t="str">
        <f>VLOOKUP(B173,'[1]Product by Part Number'!$A:$K,2,0)</f>
        <v xml:space="preserve">CAT D7G (92V) CAT D7G (3ZD) CAT D7G (3ZD) (2)                                        </v>
      </c>
      <c r="D173" s="54" t="str">
        <f>VLOOKUP(B173,'[1]Product by Part Number'!$A:$K,3,0)</f>
        <v>MASTER SHOE</v>
      </c>
      <c r="E173" s="55">
        <f>VLOOKUP(B173,'[1]Product by Part Number'!$A:$K,11,0)</f>
        <v>6</v>
      </c>
      <c r="F173" s="56">
        <f>VLOOKUP(B173,'[1]Product by Part Number'!$A:$K,4,0)</f>
        <v>199.65</v>
      </c>
      <c r="G173" s="56">
        <f t="shared" si="6"/>
        <v>1197.9000000000001</v>
      </c>
      <c r="H173" s="57">
        <f>VLOOKUP(B173,'[1]Product by Part Number'!$A:$K,5,0)</f>
        <v>99.83</v>
      </c>
      <c r="I173" s="88">
        <f t="shared" si="7"/>
        <v>598.98</v>
      </c>
    </row>
    <row r="174" spans="2:9" s="53" customFormat="1" x14ac:dyDescent="0.3">
      <c r="B174" s="78" t="s">
        <v>203</v>
      </c>
      <c r="C174" s="54" t="str">
        <f>VLOOKUP(B174,'[1]Product by Part Number'!$A:$K,2,0)</f>
        <v xml:space="preserve">CAT 303.5E                                            </v>
      </c>
      <c r="D174" s="54" t="str">
        <f>VLOOKUP(B174,'[1]Product by Part Number'!$A:$K,3,0)</f>
        <v>HYDRAULIC PUMP</v>
      </c>
      <c r="E174" s="55">
        <f>VLOOKUP(B174,'[1]Product by Part Number'!$A:$K,11,0)</f>
        <v>1</v>
      </c>
      <c r="F174" s="56">
        <f>VLOOKUP(B174,'[1]Product by Part Number'!$A:$K,4,0)</f>
        <v>7622.73</v>
      </c>
      <c r="G174" s="56">
        <f t="shared" si="6"/>
        <v>7622.73</v>
      </c>
      <c r="H174" s="57">
        <f>VLOOKUP(B174,'[1]Product by Part Number'!$A:$K,5,0)</f>
        <v>3811.37</v>
      </c>
      <c r="I174" s="88">
        <f t="shared" si="7"/>
        <v>3811.37</v>
      </c>
    </row>
    <row r="175" spans="2:9" s="53" customFormat="1" x14ac:dyDescent="0.3">
      <c r="B175" s="78" t="s">
        <v>204</v>
      </c>
      <c r="C175" s="54" t="str">
        <f>VLOOKUP(B175,'[1]Product by Part Number'!$A:$K,2,0)</f>
        <v xml:space="preserve">CAT D7G (92V) CAT D7G (3ZD) CAT D7G (3ZD) (2)                                        </v>
      </c>
      <c r="D175" s="54" t="str">
        <f>VLOOKUP(B175,'[1]Product by Part Number'!$A:$K,3,0)</f>
        <v>TRACK IDLER</v>
      </c>
      <c r="E175" s="55">
        <f>VLOOKUP(B175,'[1]Product by Part Number'!$A:$K,11,0)</f>
        <v>6</v>
      </c>
      <c r="F175" s="56">
        <f>VLOOKUP(B175,'[1]Product by Part Number'!$A:$K,4,0)</f>
        <v>3497.04</v>
      </c>
      <c r="G175" s="56">
        <f t="shared" si="6"/>
        <v>20982.239999999998</v>
      </c>
      <c r="H175" s="57">
        <f>VLOOKUP(B175,'[1]Product by Part Number'!$A:$K,5,0)</f>
        <v>1748.52</v>
      </c>
      <c r="I175" s="88">
        <f t="shared" si="7"/>
        <v>10491.12</v>
      </c>
    </row>
    <row r="176" spans="2:9" s="53" customFormat="1" x14ac:dyDescent="0.3">
      <c r="B176" s="78" t="s">
        <v>205</v>
      </c>
      <c r="C176" s="54" t="str">
        <f>VLOOKUP(B176,'[1]Product by Part Number'!$A:$K,2,0)</f>
        <v xml:space="preserve">CAT 303.5E                                            </v>
      </c>
      <c r="D176" s="54" t="str">
        <f>VLOOKUP(B176,'[1]Product by Part Number'!$A:$K,3,0)</f>
        <v>ENGINE OIL FILTER</v>
      </c>
      <c r="E176" s="55">
        <f>VLOOKUP(B176,'[1]Product by Part Number'!$A:$K,11,0)</f>
        <v>5</v>
      </c>
      <c r="F176" s="56">
        <f>VLOOKUP(B176,'[1]Product by Part Number'!$A:$K,4,0)</f>
        <v>40.69</v>
      </c>
      <c r="G176" s="56">
        <f t="shared" si="6"/>
        <v>203.45</v>
      </c>
      <c r="H176" s="57">
        <f>VLOOKUP(B176,'[1]Product by Part Number'!$A:$K,5,0)</f>
        <v>15.46</v>
      </c>
      <c r="I176" s="88">
        <f t="shared" si="7"/>
        <v>77.3</v>
      </c>
    </row>
    <row r="177" spans="2:9" s="53" customFormat="1" ht="27" x14ac:dyDescent="0.3">
      <c r="B177" s="78" t="s">
        <v>206</v>
      </c>
      <c r="C177" s="54" t="str">
        <f>VLOOKUP(B177,'[1]Product by Part Number'!$A:$K,2,0)</f>
        <v xml:space="preserve">CAT PL61 (WGS) CAT PL61 (WGS) (2) CAT PL61 (WGS) (3)                                        </v>
      </c>
      <c r="D177" s="54" t="str">
        <f>VLOOKUP(B177,'[1]Product by Part Number'!$A:$K,3,0)</f>
        <v>TRACK SHOE</v>
      </c>
      <c r="E177" s="55">
        <f>VLOOKUP(B177,'[1]Product by Part Number'!$A:$K,11,0)</f>
        <v>234</v>
      </c>
      <c r="F177" s="56">
        <f>VLOOKUP(B177,'[1]Product by Part Number'!$A:$K,4,0)</f>
        <v>131.6</v>
      </c>
      <c r="G177" s="56">
        <f t="shared" si="6"/>
        <v>30794.399999999998</v>
      </c>
      <c r="H177" s="57">
        <f>VLOOKUP(B177,'[1]Product by Part Number'!$A:$K,5,0)</f>
        <v>65.8</v>
      </c>
      <c r="I177" s="88">
        <f t="shared" si="7"/>
        <v>15397.2</v>
      </c>
    </row>
    <row r="178" spans="2:9" s="53" customFormat="1" ht="27" x14ac:dyDescent="0.3">
      <c r="B178" s="78" t="s">
        <v>207</v>
      </c>
      <c r="C178" s="54" t="str">
        <f>VLOOKUP(B178,'[1]Product by Part Number'!$A:$K,2,0)</f>
        <v xml:space="preserve">CAT PL61 (WGS) CAT PL61 (WGS) (2) CAT PL61 (WGS) (3)                                        </v>
      </c>
      <c r="D178" s="54" t="str">
        <f>VLOOKUP(B178,'[1]Product by Part Number'!$A:$K,3,0)</f>
        <v>MASTER SHOE</v>
      </c>
      <c r="E178" s="55">
        <f>VLOOKUP(B178,'[1]Product by Part Number'!$A:$K,11,0)</f>
        <v>6</v>
      </c>
      <c r="F178" s="56">
        <f>VLOOKUP(B178,'[1]Product by Part Number'!$A:$K,4,0)</f>
        <v>143.16999999999999</v>
      </c>
      <c r="G178" s="56">
        <f t="shared" si="6"/>
        <v>859.02</v>
      </c>
      <c r="H178" s="57">
        <f>VLOOKUP(B178,'[1]Product by Part Number'!$A:$K,5,0)</f>
        <v>71.59</v>
      </c>
      <c r="I178" s="88">
        <f t="shared" si="7"/>
        <v>429.54</v>
      </c>
    </row>
    <row r="179" spans="2:9" s="53" customFormat="1" x14ac:dyDescent="0.3">
      <c r="B179" s="78" t="s">
        <v>208</v>
      </c>
      <c r="C179" s="54" t="str">
        <f>VLOOKUP(B179,'[1]Product by Part Number'!$A:$K,2,0)</f>
        <v xml:space="preserve">CAT 303.5E                                            </v>
      </c>
      <c r="D179" s="54" t="str">
        <f>VLOOKUP(B179,'[1]Product by Part Number'!$A:$K,3,0)</f>
        <v>OIL PUMP ENGINE</v>
      </c>
      <c r="E179" s="55">
        <f>VLOOKUP(B179,'[1]Product by Part Number'!$A:$K,11,0)</f>
        <v>1</v>
      </c>
      <c r="F179" s="56">
        <f>VLOOKUP(B179,'[1]Product by Part Number'!$A:$K,4,0)</f>
        <v>831.44</v>
      </c>
      <c r="G179" s="56">
        <f t="shared" si="6"/>
        <v>831.44</v>
      </c>
      <c r="H179" s="57">
        <f>VLOOKUP(B179,'[1]Product by Part Number'!$A:$K,5,0)</f>
        <v>415.72</v>
      </c>
      <c r="I179" s="88">
        <f t="shared" si="7"/>
        <v>415.72</v>
      </c>
    </row>
    <row r="180" spans="2:9" s="53" customFormat="1" x14ac:dyDescent="0.3">
      <c r="B180" s="78" t="s">
        <v>209</v>
      </c>
      <c r="C180" s="54" t="str">
        <f>VLOOKUP(B180,'[1]Product by Part Number'!$A:$K,2,0)</f>
        <v xml:space="preserve">CAT 303.5E                                            </v>
      </c>
      <c r="D180" s="54" t="str">
        <f>VLOOKUP(B180,'[1]Product by Part Number'!$A:$K,3,0)</f>
        <v>WATER PUMP</v>
      </c>
      <c r="E180" s="55">
        <f>VLOOKUP(B180,'[1]Product by Part Number'!$A:$K,11,0)</f>
        <v>1</v>
      </c>
      <c r="F180" s="56">
        <f>VLOOKUP(B180,'[1]Product by Part Number'!$A:$K,4,0)</f>
        <v>512.79</v>
      </c>
      <c r="G180" s="56">
        <f t="shared" si="6"/>
        <v>512.79</v>
      </c>
      <c r="H180" s="57">
        <f>VLOOKUP(B180,'[1]Product by Part Number'!$A:$K,5,0)</f>
        <v>256.39999999999998</v>
      </c>
      <c r="I180" s="88">
        <f t="shared" si="7"/>
        <v>256.39999999999998</v>
      </c>
    </row>
    <row r="181" spans="2:9" s="53" customFormat="1" x14ac:dyDescent="0.3">
      <c r="B181" s="78" t="s">
        <v>210</v>
      </c>
      <c r="C181" s="54" t="str">
        <f>VLOOKUP(B181,'[1]Product by Part Number'!$A:$K,2,0)</f>
        <v xml:space="preserve">CAT 303.5E                                            </v>
      </c>
      <c r="D181" s="54" t="str">
        <f>VLOOKUP(B181,'[1]Product by Part Number'!$A:$K,3,0)</f>
        <v xml:space="preserve">FUEL INJECTOR NOZZLE </v>
      </c>
      <c r="E181" s="55">
        <f>VLOOKUP(B181,'[1]Product by Part Number'!$A:$K,11,0)</f>
        <v>3</v>
      </c>
      <c r="F181" s="56">
        <f>VLOOKUP(B181,'[1]Product by Part Number'!$A:$K,4,0)</f>
        <v>974.18</v>
      </c>
      <c r="G181" s="56">
        <f t="shared" si="6"/>
        <v>2922.54</v>
      </c>
      <c r="H181" s="57">
        <f>VLOOKUP(B181,'[1]Product by Part Number'!$A:$K,5,0)</f>
        <v>487.09</v>
      </c>
      <c r="I181" s="88">
        <f t="shared" si="7"/>
        <v>1461.27</v>
      </c>
    </row>
    <row r="182" spans="2:9" s="53" customFormat="1" x14ac:dyDescent="0.3">
      <c r="B182" s="78" t="s">
        <v>211</v>
      </c>
      <c r="C182" s="54" t="str">
        <f>VLOOKUP(B182,'[1]Product by Part Number'!$A:$K,2,0)</f>
        <v xml:space="preserve">CAT 303.5E                                            </v>
      </c>
      <c r="D182" s="54" t="str">
        <f>VLOOKUP(B182,'[1]Product by Part Number'!$A:$K,3,0)</f>
        <v xml:space="preserve">SUSPENSION SEAT ASSEMBLY </v>
      </c>
      <c r="E182" s="55">
        <f>VLOOKUP(B182,'[1]Product by Part Number'!$A:$K,11,0)</f>
        <v>1</v>
      </c>
      <c r="F182" s="56">
        <f>VLOOKUP(B182,'[1]Product by Part Number'!$A:$K,4,0)</f>
        <v>3786.04</v>
      </c>
      <c r="G182" s="56">
        <f t="shared" si="6"/>
        <v>3786.04</v>
      </c>
      <c r="H182" s="57">
        <f>VLOOKUP(B182,'[1]Product by Part Number'!$A:$K,5,0)</f>
        <v>1893.02</v>
      </c>
      <c r="I182" s="88">
        <f t="shared" si="7"/>
        <v>1893.02</v>
      </c>
    </row>
    <row r="183" spans="2:9" s="53" customFormat="1" x14ac:dyDescent="0.3">
      <c r="B183" s="78" t="s">
        <v>212</v>
      </c>
      <c r="C183" s="54" t="str">
        <f>VLOOKUP(B183,'[1]Product by Part Number'!$A:$K,2,0)</f>
        <v xml:space="preserve">CAT 303.5E                                            </v>
      </c>
      <c r="D183" s="54" t="str">
        <f>VLOOKUP(B183,'[1]Product by Part Number'!$A:$K,3,0)</f>
        <v>CYLINDER HEAD</v>
      </c>
      <c r="E183" s="55">
        <f>VLOOKUP(B183,'[1]Product by Part Number'!$A:$K,11,0)</f>
        <v>1</v>
      </c>
      <c r="F183" s="56">
        <f>VLOOKUP(B183,'[1]Product by Part Number'!$A:$K,4,0)</f>
        <v>3744.05</v>
      </c>
      <c r="G183" s="56">
        <f t="shared" si="6"/>
        <v>3744.05</v>
      </c>
      <c r="H183" s="57">
        <f>VLOOKUP(B183,'[1]Product by Part Number'!$A:$K,5,0)</f>
        <v>1872.03</v>
      </c>
      <c r="I183" s="88">
        <f t="shared" si="7"/>
        <v>1872.03</v>
      </c>
    </row>
    <row r="184" spans="2:9" s="53" customFormat="1" x14ac:dyDescent="0.3">
      <c r="B184" s="78" t="s">
        <v>213</v>
      </c>
      <c r="C184" s="54" t="str">
        <f>VLOOKUP(B184,'[1]Product by Part Number'!$A:$K,2,0)</f>
        <v xml:space="preserve">CAT 303.5E                                            </v>
      </c>
      <c r="D184" s="54" t="str">
        <f>VLOOKUP(B184,'[1]Product by Part Number'!$A:$K,3,0)</f>
        <v>CAMSHAFT AS</v>
      </c>
      <c r="E184" s="55">
        <f>VLOOKUP(B184,'[1]Product by Part Number'!$A:$K,11,0)</f>
        <v>1</v>
      </c>
      <c r="F184" s="56">
        <f>VLOOKUP(B184,'[1]Product by Part Number'!$A:$K,4,0)</f>
        <v>515.16999999999996</v>
      </c>
      <c r="G184" s="56">
        <f t="shared" si="6"/>
        <v>515.16999999999996</v>
      </c>
      <c r="H184" s="57">
        <f>VLOOKUP(B184,'[1]Product by Part Number'!$A:$K,5,0)</f>
        <v>257.58999999999997</v>
      </c>
      <c r="I184" s="88">
        <f t="shared" si="7"/>
        <v>257.58999999999997</v>
      </c>
    </row>
    <row r="185" spans="2:9" s="53" customFormat="1" x14ac:dyDescent="0.3">
      <c r="B185" s="78" t="s">
        <v>214</v>
      </c>
      <c r="C185" s="54" t="str">
        <f>VLOOKUP(B185,'[1]Product by Part Number'!$A:$K,2,0)</f>
        <v xml:space="preserve">CAT 303.5E                                            </v>
      </c>
      <c r="D185" s="54" t="str">
        <f>VLOOKUP(B185,'[1]Product by Part Number'!$A:$K,3,0)</f>
        <v>CRANKSHAFT ASSY</v>
      </c>
      <c r="E185" s="55">
        <f>VLOOKUP(B185,'[1]Product by Part Number'!$A:$K,11,0)</f>
        <v>1</v>
      </c>
      <c r="F185" s="56">
        <f>VLOOKUP(B185,'[1]Product by Part Number'!$A:$K,4,0)</f>
        <v>4035.36</v>
      </c>
      <c r="G185" s="56">
        <f t="shared" si="6"/>
        <v>4035.36</v>
      </c>
      <c r="H185" s="57">
        <f>VLOOKUP(B185,'[1]Product by Part Number'!$A:$K,5,0)</f>
        <v>2017.68</v>
      </c>
      <c r="I185" s="88">
        <f t="shared" si="7"/>
        <v>2017.68</v>
      </c>
    </row>
    <row r="186" spans="2:9" s="53" customFormat="1" x14ac:dyDescent="0.3">
      <c r="B186" s="78" t="s">
        <v>215</v>
      </c>
      <c r="C186" s="54" t="str">
        <f>VLOOKUP(B186,'[1]Product by Part Number'!$A:$K,2,0)</f>
        <v xml:space="preserve">CAT D4 (66J)                                            </v>
      </c>
      <c r="D186" s="54" t="str">
        <f>VLOOKUP(B186,'[1]Product by Part Number'!$A:$K,3,0)</f>
        <v>FLAT WASHER</v>
      </c>
      <c r="E186" s="55">
        <f>VLOOKUP(B186,'[1]Product by Part Number'!$A:$K,11,0)</f>
        <v>12</v>
      </c>
      <c r="F186" s="56">
        <f>VLOOKUP(B186,'[1]Product by Part Number'!$A:$K,4,0)</f>
        <v>0.33</v>
      </c>
      <c r="G186" s="56">
        <f t="shared" si="6"/>
        <v>3.96</v>
      </c>
      <c r="H186" s="57">
        <f>VLOOKUP(B186,'[1]Product by Part Number'!$A:$K,5,0)</f>
        <v>0.17</v>
      </c>
      <c r="I186" s="88">
        <f t="shared" si="7"/>
        <v>2.04</v>
      </c>
    </row>
    <row r="187" spans="2:9" s="53" customFormat="1" x14ac:dyDescent="0.3">
      <c r="B187" s="78" t="s">
        <v>432</v>
      </c>
      <c r="C187" s="54" t="str">
        <f>VLOOKUP(B187,'[1]Product by Part Number'!$A:$K,2,0)</f>
        <v xml:space="preserve">CAT 561 (85H) CAT 561 (92J) CAT 561 (92J) (2)                                        </v>
      </c>
      <c r="D187" s="54" t="str">
        <f>VLOOKUP(B187,'[1]Product by Part Number'!$A:$K,3,0)</f>
        <v>WASHER ROLLER</v>
      </c>
      <c r="E187" s="55">
        <f>VLOOKUP(B187,'[1]Product by Part Number'!$A:$K,11,0)</f>
        <v>144</v>
      </c>
      <c r="F187" s="56">
        <f>VLOOKUP(B187,'[1]Product by Part Number'!$A:$K,4,0)</f>
        <v>0.78</v>
      </c>
      <c r="G187" s="56">
        <f t="shared" si="6"/>
        <v>112.32000000000001</v>
      </c>
      <c r="H187" s="57">
        <f>VLOOKUP(B187,'[1]Product by Part Number'!$A:$K,5,0)</f>
        <v>0.39</v>
      </c>
      <c r="I187" s="88">
        <f t="shared" si="7"/>
        <v>56.16</v>
      </c>
    </row>
    <row r="188" spans="2:9" s="53" customFormat="1" x14ac:dyDescent="0.3">
      <c r="B188" s="78" t="s">
        <v>216</v>
      </c>
      <c r="C188" s="54" t="str">
        <f>VLOOKUP(B188,'[1]Product by Part Number'!$A:$K,2,0)</f>
        <v xml:space="preserve">CAT D3 (1PJ)                                            </v>
      </c>
      <c r="D188" s="54" t="str">
        <f>VLOOKUP(B188,'[1]Product by Part Number'!$A:$K,3,0)</f>
        <v>COTTER PIN</v>
      </c>
      <c r="E188" s="55">
        <f>VLOOKUP(B188,'[1]Product by Part Number'!$A:$K,11,0)</f>
        <v>1</v>
      </c>
      <c r="F188" s="56">
        <f>VLOOKUP(B188,'[1]Product by Part Number'!$A:$K,4,0)</f>
        <v>1.18</v>
      </c>
      <c r="G188" s="56">
        <f t="shared" si="6"/>
        <v>1.18</v>
      </c>
      <c r="H188" s="57">
        <f>VLOOKUP(B188,'[1]Product by Part Number'!$A:$K,5,0)</f>
        <v>0.45</v>
      </c>
      <c r="I188" s="88">
        <f t="shared" si="7"/>
        <v>0.45</v>
      </c>
    </row>
    <row r="189" spans="2:9" s="53" customFormat="1" ht="27" x14ac:dyDescent="0.3">
      <c r="B189" s="78" t="s">
        <v>217</v>
      </c>
      <c r="C189" s="54" t="str">
        <f>VLOOKUP(B189,'[1]Product by Part Number'!$A:$K,2,0)</f>
        <v xml:space="preserve">CAT D6N LGP (PBA) CAT D6N LGP (PBA) (2) CAT D6N LGP (SGG) CAT D6N LGP (SGG) (2) CAT D6T (MH7)                                    </v>
      </c>
      <c r="D189" s="54" t="str">
        <f>VLOOKUP(B189,'[1]Product by Part Number'!$A:$K,3,0)</f>
        <v>COTTER PIN</v>
      </c>
      <c r="E189" s="55">
        <f>VLOOKUP(B189,'[1]Product by Part Number'!$A:$K,11,0)</f>
        <v>30</v>
      </c>
      <c r="F189" s="56">
        <f>VLOOKUP(B189,'[1]Product by Part Number'!$A:$K,4,0)</f>
        <v>7.67</v>
      </c>
      <c r="G189" s="56">
        <f t="shared" si="6"/>
        <v>230.1</v>
      </c>
      <c r="H189" s="57">
        <f>VLOOKUP(B189,'[1]Product by Part Number'!$A:$K,5,0)</f>
        <v>2.91</v>
      </c>
      <c r="I189" s="88">
        <f t="shared" si="7"/>
        <v>87.3</v>
      </c>
    </row>
    <row r="190" spans="2:9" s="53" customFormat="1" x14ac:dyDescent="0.3">
      <c r="B190" s="78" t="s">
        <v>218</v>
      </c>
      <c r="C190" s="54" t="str">
        <f>VLOOKUP(B190,'[1]Product by Part Number'!$A:$K,2,0)</f>
        <v xml:space="preserve">CAT D3 (1PJ)                                            </v>
      </c>
      <c r="D190" s="54" t="str">
        <f>VLOOKUP(B190,'[1]Product by Part Number'!$A:$K,3,0)</f>
        <v>BOLT</v>
      </c>
      <c r="E190" s="55">
        <f>VLOOKUP(B190,'[1]Product by Part Number'!$A:$K,11,0)</f>
        <v>18</v>
      </c>
      <c r="F190" s="56">
        <f>VLOOKUP(B190,'[1]Product by Part Number'!$A:$K,4,0)</f>
        <v>3.22</v>
      </c>
      <c r="G190" s="56">
        <f t="shared" si="6"/>
        <v>57.96</v>
      </c>
      <c r="H190" s="57">
        <f>VLOOKUP(B190,'[1]Product by Part Number'!$A:$K,5,0)</f>
        <v>1.22</v>
      </c>
      <c r="I190" s="88">
        <f t="shared" si="7"/>
        <v>21.96</v>
      </c>
    </row>
    <row r="191" spans="2:9" s="53" customFormat="1" x14ac:dyDescent="0.3">
      <c r="B191" s="78" t="s">
        <v>219</v>
      </c>
      <c r="C191" s="54" t="str">
        <f>VLOOKUP(B191,'[1]Product by Part Number'!$A:$K,2,0)</f>
        <v xml:space="preserve">CAT D3 (1PJ)                                            </v>
      </c>
      <c r="D191" s="54" t="str">
        <f>VLOOKUP(B191,'[1]Product by Part Number'!$A:$K,3,0)</f>
        <v>BLADE AS</v>
      </c>
      <c r="E191" s="55">
        <f>VLOOKUP(B191,'[1]Product by Part Number'!$A:$K,11,0)</f>
        <v>1</v>
      </c>
      <c r="F191" s="56">
        <f>VLOOKUP(B191,'[1]Product by Part Number'!$A:$K,4,0)</f>
        <v>11144.2</v>
      </c>
      <c r="G191" s="56">
        <f t="shared" si="6"/>
        <v>11144.2</v>
      </c>
      <c r="H191" s="57">
        <f>VLOOKUP(B191,'[1]Product by Part Number'!$A:$K,5,0)</f>
        <v>4234.8</v>
      </c>
      <c r="I191" s="88">
        <f t="shared" si="7"/>
        <v>4234.8</v>
      </c>
    </row>
    <row r="192" spans="2:9" s="53" customFormat="1" x14ac:dyDescent="0.3">
      <c r="B192" s="78" t="s">
        <v>220</v>
      </c>
      <c r="C192" s="54" t="str">
        <f>VLOOKUP(B192,'[1]Product by Part Number'!$A:$K,2,0)</f>
        <v xml:space="preserve">CAT D7G (92V) CAT D7G (3ZD) CAT D7G (3ZD) (2)                                        </v>
      </c>
      <c r="D192" s="54" t="str">
        <f>VLOOKUP(B192,'[1]Product by Part Number'!$A:$K,3,0)</f>
        <v>BLADE ASSEMBLY</v>
      </c>
      <c r="E192" s="55">
        <f>VLOOKUP(B192,'[1]Product by Part Number'!$A:$K,11,0)</f>
        <v>3</v>
      </c>
      <c r="F192" s="56">
        <f>VLOOKUP(B192,'[1]Product by Part Number'!$A:$K,4,0)</f>
        <v>27033.599999999999</v>
      </c>
      <c r="G192" s="56">
        <f t="shared" si="6"/>
        <v>81100.799999999988</v>
      </c>
      <c r="H192" s="57">
        <f>VLOOKUP(B192,'[1]Product by Part Number'!$A:$K,5,0)</f>
        <v>10272.77</v>
      </c>
      <c r="I192" s="88">
        <f t="shared" si="7"/>
        <v>30818.31</v>
      </c>
    </row>
    <row r="193" spans="2:9" s="53" customFormat="1" ht="66.599999999999994" x14ac:dyDescent="0.3">
      <c r="B193" s="78" t="s">
        <v>221</v>
      </c>
      <c r="C193" s="54" t="str">
        <f>VLOOKUP(B193,'[1]Product by Part Number'!$A:$K,2,0)</f>
        <v xml:space="preserve">CAT D5 (3CR) CAT D5 (3CR) (2) CAT 561 (85H) CAT 561 (92J) CAT 561 (92J) (2) CAT 561M (1KW) CAT 561N (CPH) CAT 561N (CPH) (2) CAT 561N (CPH) (3) CAT 561N (CPH) (4) CAT 561N (CPH) (5) CAT PL61 (WGS) CAT PL61 (WGS) (2) CAT PL61 (WGS) (3)                  </v>
      </c>
      <c r="D193" s="54" t="str">
        <f>VLOOKUP(B193,'[1]Product by Part Number'!$A:$K,3,0)</f>
        <v>SPROCKET BOLT</v>
      </c>
      <c r="E193" s="55">
        <f>VLOOKUP(B193,'[1]Product by Part Number'!$A:$K,11,0)</f>
        <v>644</v>
      </c>
      <c r="F193" s="56">
        <f>VLOOKUP(B193,'[1]Product by Part Number'!$A:$K,4,0)</f>
        <v>2.94</v>
      </c>
      <c r="G193" s="56">
        <f t="shared" si="6"/>
        <v>1893.36</v>
      </c>
      <c r="H193" s="57">
        <f>VLOOKUP(B193,'[1]Product by Part Number'!$A:$K,5,0)</f>
        <v>1.47</v>
      </c>
      <c r="I193" s="88">
        <f t="shared" si="7"/>
        <v>946.68</v>
      </c>
    </row>
    <row r="194" spans="2:9" s="53" customFormat="1" ht="40.200000000000003" x14ac:dyDescent="0.3">
      <c r="B194" s="78" t="s">
        <v>222</v>
      </c>
      <c r="C194" s="54" t="str">
        <f>VLOOKUP(B194,'[1]Product by Part Number'!$A:$K,2,0)</f>
        <v xml:space="preserve">CAT D5 (3CR) CAT D5 (3CR) (2) CAT 561N (CPH) CAT 561N (CPH) (2) CAT 561N (CPH) (3) CAT 561N (CPH) (4) CAT 561N (CPH) (5)                                </v>
      </c>
      <c r="D194" s="54" t="str">
        <f>VLOOKUP(B194,'[1]Product by Part Number'!$A:$K,3,0)</f>
        <v>TRACK BOLT</v>
      </c>
      <c r="E194" s="55">
        <f>VLOOKUP(B194,'[1]Product by Part Number'!$A:$K,11,0)</f>
        <v>606</v>
      </c>
      <c r="F194" s="56">
        <f>VLOOKUP(B194,'[1]Product by Part Number'!$A:$K,4,0)</f>
        <v>5.51</v>
      </c>
      <c r="G194" s="56">
        <f t="shared" si="6"/>
        <v>3339.06</v>
      </c>
      <c r="H194" s="57">
        <f>VLOOKUP(B194,'[1]Product by Part Number'!$A:$K,5,0)</f>
        <v>2.76</v>
      </c>
      <c r="I194" s="88">
        <f t="shared" si="7"/>
        <v>1672.56</v>
      </c>
    </row>
    <row r="195" spans="2:9" s="53" customFormat="1" ht="40.200000000000003" x14ac:dyDescent="0.3">
      <c r="B195" s="78" t="s">
        <v>223</v>
      </c>
      <c r="C195" s="54" t="str">
        <f>VLOOKUP(B195,'[1]Product by Part Number'!$A:$K,2,0)</f>
        <v xml:space="preserve">CAT D5 (3CR) CAT D5 (3CR) (2) CAT 561N (CPH) CAT 561N (CPH) (2) CAT 561N (CPH) (3) CAT 561N (CPH) (4) CAT 561N (CPH) (5)                                </v>
      </c>
      <c r="D195" s="54" t="str">
        <f>VLOOKUP(B195,'[1]Product by Part Number'!$A:$K,3,0)</f>
        <v>TRACK BOLT MASTER</v>
      </c>
      <c r="E195" s="55">
        <f>VLOOKUP(B195,'[1]Product by Part Number'!$A:$K,11,0)</f>
        <v>14</v>
      </c>
      <c r="F195" s="56">
        <f>VLOOKUP(B195,'[1]Product by Part Number'!$A:$K,4,0)</f>
        <v>6.45</v>
      </c>
      <c r="G195" s="56">
        <f t="shared" si="6"/>
        <v>90.3</v>
      </c>
      <c r="H195" s="57">
        <f>VLOOKUP(B195,'[1]Product by Part Number'!$A:$K,5,0)</f>
        <v>3.23</v>
      </c>
      <c r="I195" s="88">
        <f t="shared" si="7"/>
        <v>45.22</v>
      </c>
    </row>
    <row r="196" spans="2:9" s="53" customFormat="1" x14ac:dyDescent="0.3">
      <c r="B196" s="78" t="s">
        <v>433</v>
      </c>
      <c r="C196" s="54" t="str">
        <f>VLOOKUP(B196,'[1]Product by Part Number'!$A:$K,2,0)</f>
        <v xml:space="preserve">CAT 561M (1KW)                                            </v>
      </c>
      <c r="D196" s="54" t="str">
        <f>VLOOKUP(B196,'[1]Product by Part Number'!$A:$K,3,0)</f>
        <v>BOLT MASTER LINK</v>
      </c>
      <c r="E196" s="55">
        <f>VLOOKUP(B196,'[1]Product by Part Number'!$A:$K,11,0)</f>
        <v>4</v>
      </c>
      <c r="F196" s="56">
        <f>VLOOKUP(B196,'[1]Product by Part Number'!$A:$K,4,0)</f>
        <v>3.98</v>
      </c>
      <c r="G196" s="56">
        <f t="shared" si="6"/>
        <v>15.92</v>
      </c>
      <c r="H196" s="57">
        <f>VLOOKUP(B196,'[1]Product by Part Number'!$A:$K,5,0)</f>
        <v>1.99</v>
      </c>
      <c r="I196" s="88">
        <f t="shared" si="7"/>
        <v>7.96</v>
      </c>
    </row>
    <row r="197" spans="2:9" s="53" customFormat="1" x14ac:dyDescent="0.3">
      <c r="B197" s="78" t="s">
        <v>224</v>
      </c>
      <c r="C197" s="54" t="str">
        <f>VLOOKUP(B197,'[1]Product by Part Number'!$A:$K,2,0)</f>
        <v xml:space="preserve">CAT 320F L (YBM) CAT 320 (HEX)                                          </v>
      </c>
      <c r="D197" s="54" t="str">
        <f>VLOOKUP(B197,'[1]Product by Part Number'!$A:$K,3,0)</f>
        <v>PRIMARY TURBOCHARGER ASSEMBLY</v>
      </c>
      <c r="E197" s="55">
        <f>VLOOKUP(B197,'[1]Product by Part Number'!$A:$K,11,0)</f>
        <v>2</v>
      </c>
      <c r="F197" s="56">
        <f>VLOOKUP(B197,'[1]Product by Part Number'!$A:$K,4,0)</f>
        <v>3725.79</v>
      </c>
      <c r="G197" s="56">
        <f t="shared" si="6"/>
        <v>7451.58</v>
      </c>
      <c r="H197" s="57">
        <f>VLOOKUP(B197,'[1]Product by Part Number'!$A:$K,5,0)</f>
        <v>1862.9</v>
      </c>
      <c r="I197" s="88">
        <f t="shared" si="7"/>
        <v>3725.8</v>
      </c>
    </row>
    <row r="198" spans="2:9" s="53" customFormat="1" x14ac:dyDescent="0.3">
      <c r="B198" s="78" t="s">
        <v>225</v>
      </c>
      <c r="C198" s="54" t="str">
        <f>VLOOKUP(B198,'[1]Product by Part Number'!$A:$K,2,0)</f>
        <v xml:space="preserve">CAT 303.5E                                            </v>
      </c>
      <c r="D198" s="54" t="str">
        <f>VLOOKUP(B198,'[1]Product by Part Number'!$A:$K,3,0)</f>
        <v>CARRIER ROLLER</v>
      </c>
      <c r="E198" s="55">
        <f>VLOOKUP(B198,'[1]Product by Part Number'!$A:$K,11,0)</f>
        <v>2</v>
      </c>
      <c r="F198" s="56">
        <f>VLOOKUP(B198,'[1]Product by Part Number'!$A:$K,4,0)</f>
        <v>403.56</v>
      </c>
      <c r="G198" s="56">
        <f t="shared" si="6"/>
        <v>807.12</v>
      </c>
      <c r="H198" s="57">
        <f>VLOOKUP(B198,'[1]Product by Part Number'!$A:$K,5,0)</f>
        <v>201.78</v>
      </c>
      <c r="I198" s="88">
        <f t="shared" si="7"/>
        <v>403.56</v>
      </c>
    </row>
    <row r="199" spans="2:9" s="53" customFormat="1" x14ac:dyDescent="0.3">
      <c r="B199" s="78" t="s">
        <v>226</v>
      </c>
      <c r="C199" s="54" t="str">
        <f>VLOOKUP(B199,'[1]Product by Part Number'!$A:$K,2,0)</f>
        <v xml:space="preserve">CAT 336F L (RKB)                                            </v>
      </c>
      <c r="D199" s="54" t="str">
        <f>VLOOKUP(B199,'[1]Product by Part Number'!$A:$K,3,0)</f>
        <v>TURBOCHARGER ASSEMBLY</v>
      </c>
      <c r="E199" s="55">
        <f>VLOOKUP(B199,'[1]Product by Part Number'!$A:$K,11,0)</f>
        <v>1</v>
      </c>
      <c r="F199" s="56">
        <f>VLOOKUP(B199,'[1]Product by Part Number'!$A:$K,4,0)</f>
        <v>7358.86</v>
      </c>
      <c r="G199" s="56">
        <f t="shared" si="6"/>
        <v>7358.86</v>
      </c>
      <c r="H199" s="57">
        <f>VLOOKUP(B199,'[1]Product by Part Number'!$A:$K,5,0)</f>
        <v>3679.43</v>
      </c>
      <c r="I199" s="88">
        <f t="shared" si="7"/>
        <v>3679.43</v>
      </c>
    </row>
    <row r="200" spans="2:9" s="53" customFormat="1" x14ac:dyDescent="0.3">
      <c r="B200" s="78" t="s">
        <v>227</v>
      </c>
      <c r="C200" s="54" t="str">
        <f>VLOOKUP(B200,'[1]Product by Part Number'!$A:$K,2,0)</f>
        <v xml:space="preserve">CAT D7G (92V) CAT D7G (3ZD) CAT D7G (3ZD) (2)                                        </v>
      </c>
      <c r="D200" s="54" t="str">
        <f>VLOOKUP(B200,'[1]Product by Part Number'!$A:$K,3,0)</f>
        <v>CARRIER ROLLER</v>
      </c>
      <c r="E200" s="55">
        <f>VLOOKUP(B200,'[1]Product by Part Number'!$A:$K,11,0)</f>
        <v>6</v>
      </c>
      <c r="F200" s="56">
        <f>VLOOKUP(B200,'[1]Product by Part Number'!$A:$K,4,0)</f>
        <v>722.36</v>
      </c>
      <c r="G200" s="56">
        <f t="shared" si="6"/>
        <v>4334.16</v>
      </c>
      <c r="H200" s="57">
        <f>VLOOKUP(B200,'[1]Product by Part Number'!$A:$K,5,0)</f>
        <v>361.18</v>
      </c>
      <c r="I200" s="88">
        <f t="shared" si="7"/>
        <v>2167.08</v>
      </c>
    </row>
    <row r="201" spans="2:9" s="53" customFormat="1" ht="27" x14ac:dyDescent="0.3">
      <c r="B201" s="78" t="s">
        <v>228</v>
      </c>
      <c r="C201" s="54" t="str">
        <f>VLOOKUP(B201,'[1]Product by Part Number'!$A:$K,2,0)</f>
        <v xml:space="preserve">CAT 303.5E                                            </v>
      </c>
      <c r="D201" s="54" t="str">
        <f>VLOOKUP(B201,'[1]Product by Part Number'!$A:$K,3,0)</f>
        <v>BLADE - PUSH REPLACMENT WELD ON EDGE</v>
      </c>
      <c r="E201" s="55">
        <f>VLOOKUP(B201,'[1]Product by Part Number'!$A:$K,11,0)</f>
        <v>1</v>
      </c>
      <c r="F201" s="56">
        <f>VLOOKUP(B201,'[1]Product by Part Number'!$A:$K,4,0)</f>
        <v>147.55000000000001</v>
      </c>
      <c r="G201" s="56">
        <f t="shared" si="6"/>
        <v>147.55000000000001</v>
      </c>
      <c r="H201" s="57">
        <f>VLOOKUP(B201,'[1]Product by Part Number'!$A:$K,5,0)</f>
        <v>56.07</v>
      </c>
      <c r="I201" s="88">
        <f t="shared" si="7"/>
        <v>56.07</v>
      </c>
    </row>
    <row r="202" spans="2:9" s="53" customFormat="1" x14ac:dyDescent="0.3">
      <c r="B202" s="78" t="s">
        <v>229</v>
      </c>
      <c r="C202" s="54" t="str">
        <f>VLOOKUP(B202,'[1]Product by Part Number'!$A:$K,2,0)</f>
        <v xml:space="preserve">CAT 329E L (ZCD)                                            </v>
      </c>
      <c r="D202" s="54" t="str">
        <f>VLOOKUP(B202,'[1]Product by Part Number'!$A:$K,3,0)</f>
        <v>PRIMARY TURBOCHARGER ASSEMBLY</v>
      </c>
      <c r="E202" s="55">
        <f>VLOOKUP(B202,'[1]Product by Part Number'!$A:$K,11,0)</f>
        <v>1</v>
      </c>
      <c r="F202" s="56">
        <f>VLOOKUP(B202,'[1]Product by Part Number'!$A:$K,4,0)</f>
        <v>3927.73</v>
      </c>
      <c r="G202" s="56">
        <f t="shared" si="6"/>
        <v>3927.73</v>
      </c>
      <c r="H202" s="57">
        <f>VLOOKUP(B202,'[1]Product by Part Number'!$A:$K,5,0)</f>
        <v>1963.87</v>
      </c>
      <c r="I202" s="88">
        <f t="shared" si="7"/>
        <v>1963.87</v>
      </c>
    </row>
    <row r="203" spans="2:9" s="53" customFormat="1" ht="40.200000000000003" x14ac:dyDescent="0.3">
      <c r="B203" s="78" t="s">
        <v>230</v>
      </c>
      <c r="C203" s="54" t="str">
        <f>VLOOKUP(B203,'[1]Product by Part Number'!$A:$K,2,0)</f>
        <v xml:space="preserve">CAT 320E L (WBK) CAT 320E L (WBK) (2) CAT 320F L (YBM) CAT 320 (HEX) CAT 320 (MYK) CAT 320 (MYK) (2)                                  </v>
      </c>
      <c r="D203" s="54" t="str">
        <f>VLOOKUP(B203,'[1]Product by Part Number'!$A:$K,3,0)</f>
        <v>IDLER BOLT</v>
      </c>
      <c r="E203" s="55">
        <f>VLOOKUP(B203,'[1]Product by Part Number'!$A:$K,11,0)</f>
        <v>48</v>
      </c>
      <c r="F203" s="56">
        <f>VLOOKUP(B203,'[1]Product by Part Number'!$A:$K,4,0)</f>
        <v>7.85</v>
      </c>
      <c r="G203" s="56">
        <f t="shared" si="6"/>
        <v>376.79999999999995</v>
      </c>
      <c r="H203" s="57">
        <f>VLOOKUP(B203,'[1]Product by Part Number'!$A:$K,5,0)</f>
        <v>3.93</v>
      </c>
      <c r="I203" s="88">
        <f t="shared" si="7"/>
        <v>188.64</v>
      </c>
    </row>
    <row r="204" spans="2:9" s="53" customFormat="1" ht="40.200000000000003" x14ac:dyDescent="0.3">
      <c r="B204" s="78" t="s">
        <v>231</v>
      </c>
      <c r="C204" s="54" t="str">
        <f>VLOOKUP(B204,'[1]Product by Part Number'!$A:$K,2,0)</f>
        <v xml:space="preserve">CAT 329E L (ZCD) CAT 329F L (ERL) CAT 329F L (ERL) (2) CAT 330F L (MBX) CAT 330F L (HCK) CAT 330F L (HCK) (2)                                  </v>
      </c>
      <c r="D204" s="54" t="str">
        <f>VLOOKUP(B204,'[1]Product by Part Number'!$A:$K,3,0)</f>
        <v>IDLER BOLT</v>
      </c>
      <c r="E204" s="55">
        <f>VLOOKUP(B204,'[1]Product by Part Number'!$A:$K,11,0)</f>
        <v>48</v>
      </c>
      <c r="F204" s="56">
        <f>VLOOKUP(B204,'[1]Product by Part Number'!$A:$K,4,0)</f>
        <v>10.24</v>
      </c>
      <c r="G204" s="56">
        <f t="shared" si="6"/>
        <v>491.52</v>
      </c>
      <c r="H204" s="57">
        <f>VLOOKUP(B204,'[1]Product by Part Number'!$A:$K,5,0)</f>
        <v>5.12</v>
      </c>
      <c r="I204" s="88">
        <f t="shared" si="7"/>
        <v>245.76</v>
      </c>
    </row>
    <row r="205" spans="2:9" s="53" customFormat="1" ht="53.4" x14ac:dyDescent="0.3">
      <c r="B205" s="78" t="s">
        <v>48</v>
      </c>
      <c r="C205" s="54" t="str">
        <f>VLOOKUP(B205,'[1]Product by Part Number'!$A:$K,2,0)</f>
        <v xml:space="preserve">CAT 330 (LHW) CAT 330 (LHW) (2) CAT 330 (LHW) (3) CAT 330 (LHW) (4) CAT 330 (WCH) CAT 330 (WCH) (2) CAT 330 (WCH) (3) CAT 330 (WCH) (4) CAT 330 (WCH) (5) CAT 330 (WCH) (6)                          </v>
      </c>
      <c r="D205" s="54" t="str">
        <f>VLOOKUP(B205,'[1]Product by Part Number'!$A:$K,3,0)</f>
        <v>IDLER BOLT</v>
      </c>
      <c r="E205" s="55">
        <f>VLOOKUP(B205,'[1]Product by Part Number'!$A:$K,11,0)</f>
        <v>80</v>
      </c>
      <c r="F205" s="56">
        <f>VLOOKUP(B205,'[1]Product by Part Number'!$A:$K,4,0)</f>
        <v>14.28</v>
      </c>
      <c r="G205" s="56">
        <f t="shared" si="6"/>
        <v>1142.3999999999999</v>
      </c>
      <c r="H205" s="57">
        <f>VLOOKUP(B205,'[1]Product by Part Number'!$A:$K,5,0)</f>
        <v>7.14</v>
      </c>
      <c r="I205" s="88">
        <f t="shared" si="7"/>
        <v>571.20000000000005</v>
      </c>
    </row>
    <row r="206" spans="2:9" s="53" customFormat="1" x14ac:dyDescent="0.3">
      <c r="B206" s="78" t="s">
        <v>232</v>
      </c>
      <c r="C206" s="54" t="str">
        <f>VLOOKUP(B206,'[1]Product by Part Number'!$A:$K,2,0)</f>
        <v xml:space="preserve">CAT 336F L (RKB)                                            </v>
      </c>
      <c r="D206" s="54" t="str">
        <f>VLOOKUP(B206,'[1]Product by Part Number'!$A:$K,3,0)</f>
        <v>ROLLER BOLT</v>
      </c>
      <c r="E206" s="55">
        <f>VLOOKUP(B206,'[1]Product by Part Number'!$A:$K,11,0)</f>
        <v>72</v>
      </c>
      <c r="F206" s="56">
        <f>VLOOKUP(B206,'[1]Product by Part Number'!$A:$K,4,0)</f>
        <v>31.86</v>
      </c>
      <c r="G206" s="56">
        <f t="shared" si="6"/>
        <v>2293.92</v>
      </c>
      <c r="H206" s="57">
        <f>VLOOKUP(B206,'[1]Product by Part Number'!$A:$K,5,0)</f>
        <v>15.93</v>
      </c>
      <c r="I206" s="88">
        <f t="shared" si="7"/>
        <v>1146.96</v>
      </c>
    </row>
    <row r="207" spans="2:9" s="53" customFormat="1" ht="106.2" x14ac:dyDescent="0.3">
      <c r="B207" s="78" t="s">
        <v>233</v>
      </c>
      <c r="C207" s="54" t="str">
        <f>VLOOKUP(B207,'[1]Product by Part Number'!$A:$K,2,0)</f>
        <v xml:space="preserve">CAT 320E L (WBK) CAT 320E L (WBK) (2) CAT 320F L (YBM) CAT 320 (HEX) CAT 320 (MYK) CAT 320 (MYK) (2) CAT 329F L (ERL) CAT 329F L (ERL) (2) CAT 330F L (MBX) CAT 330F L (HCK) CAT 330F L (HCK) (2) CAT 330 (LHW) CAT 330 (LHW) (2) CAT 330 (LHW) (3) CAT 330 (LHW) (4) CAT 330 (WCH) CAT 330 (WCH) (2) CAT 330 (WCH) (3) CAT 330 (WCH) (4) CAT 330 (WCH) (5) CAT 330 (WCH) (6)    </v>
      </c>
      <c r="D207" s="54" t="str">
        <f>VLOOKUP(B207,'[1]Product by Part Number'!$A:$K,3,0)</f>
        <v>HEX HEAD BOLT</v>
      </c>
      <c r="E207" s="55">
        <f>VLOOKUP(B207,'[1]Product by Part Number'!$A:$K,11,0)</f>
        <v>84</v>
      </c>
      <c r="F207" s="56">
        <f>VLOOKUP(B207,'[1]Product by Part Number'!$A:$K,4,0)</f>
        <v>23.18</v>
      </c>
      <c r="G207" s="56">
        <f t="shared" si="6"/>
        <v>1947.12</v>
      </c>
      <c r="H207" s="57">
        <f>VLOOKUP(B207,'[1]Product by Part Number'!$A:$K,5,0)</f>
        <v>11.59</v>
      </c>
      <c r="I207" s="88">
        <f t="shared" si="7"/>
        <v>973.56</v>
      </c>
    </row>
    <row r="208" spans="2:9" s="53" customFormat="1" ht="106.2" x14ac:dyDescent="0.3">
      <c r="B208" s="78" t="s">
        <v>234</v>
      </c>
      <c r="C208" s="54" t="str">
        <f>VLOOKUP(B208,'[1]Product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208" s="54" t="str">
        <f>VLOOKUP(B208,'[1]Product by Part Number'!$A:$K,3,0)</f>
        <v>HEX HEAD BOLT</v>
      </c>
      <c r="E208" s="55">
        <f>VLOOKUP(B208,'[1]Product by Part Number'!$A:$K,11,0)</f>
        <v>1536</v>
      </c>
      <c r="F208" s="56">
        <f>VLOOKUP(B208,'[1]Product by Part Number'!$A:$K,4,0)</f>
        <v>20.079999999999998</v>
      </c>
      <c r="G208" s="56">
        <f t="shared" ref="G208:G271" si="8">E208*F208</f>
        <v>30842.879999999997</v>
      </c>
      <c r="H208" s="57">
        <f>VLOOKUP(B208,'[1]Product by Part Number'!$A:$K,5,0)</f>
        <v>10.039999999999999</v>
      </c>
      <c r="I208" s="88">
        <f t="shared" ref="I208:I271" si="9">ROUND(E208*H208,2)</f>
        <v>15421.44</v>
      </c>
    </row>
    <row r="209" spans="2:9" s="53" customFormat="1" ht="106.2" x14ac:dyDescent="0.3">
      <c r="B209" s="78" t="s">
        <v>235</v>
      </c>
      <c r="C209" s="54" t="str">
        <f>VLOOKUP(B209,'[1]Product by Part Number'!$A:$K,2,0)</f>
        <v xml:space="preserve">CAT 320E L (WBK) CAT 320E L (WBK) (2) CAT 320F L (YBM) CAT 320 (HEX) CAT 320 (MYK) CAT 320 (MYK) (2) CAT 329E L (ZCD) CAT 329F L (ERL) CAT 329F L (ERL) (2) CAT 330F L (MBX) CAT 330F L (HCK) CAT 330F L (HCK) (2) CAT 330 (LHW) CAT 330 (LHW) (2) CAT 330 (LHW) (3) CAT 330 (LHW) (4) CAT 330 (WCH) CAT 330 (WCH) (2) CAT 330 (WCH) (3) CAT 330 (WCH) (4) CAT 330 (WCH) (5) CAT 330 (WCH) (6)  </v>
      </c>
      <c r="D209" s="54" t="str">
        <f>VLOOKUP(B209,'[1]Product by Part Number'!$A:$K,3,0)</f>
        <v>FLAT WASHER</v>
      </c>
      <c r="E209" s="55">
        <f>VLOOKUP(B209,'[1]Product by Part Number'!$A:$K,11,0)</f>
        <v>1536</v>
      </c>
      <c r="F209" s="56">
        <f>VLOOKUP(B209,'[1]Product by Part Number'!$A:$K,4,0)</f>
        <v>2.99</v>
      </c>
      <c r="G209" s="56">
        <f t="shared" si="8"/>
        <v>4592.6400000000003</v>
      </c>
      <c r="H209" s="57">
        <f>VLOOKUP(B209,'[1]Product by Part Number'!$A:$K,5,0)</f>
        <v>1.5</v>
      </c>
      <c r="I209" s="88">
        <f t="shared" si="9"/>
        <v>2304</v>
      </c>
    </row>
    <row r="210" spans="2:9" s="53" customFormat="1" x14ac:dyDescent="0.3">
      <c r="B210" s="78" t="s">
        <v>236</v>
      </c>
      <c r="C210" s="54" t="str">
        <f>VLOOKUP(B210,'[1]Product by Part Number'!$A:$K,2,0)</f>
        <v xml:space="preserve">CAT 336F L (RKB)                                            </v>
      </c>
      <c r="D210" s="54" t="str">
        <f>VLOOKUP(B210,'[1]Product by Part Number'!$A:$K,3,0)</f>
        <v>FLAT WASHER</v>
      </c>
      <c r="E210" s="55">
        <f>VLOOKUP(B210,'[1]Product by Part Number'!$A:$K,11,0)</f>
        <v>72</v>
      </c>
      <c r="F210" s="56">
        <f>VLOOKUP(B210,'[1]Product by Part Number'!$A:$K,4,0)</f>
        <v>4.9800000000000004</v>
      </c>
      <c r="G210" s="56">
        <f t="shared" si="8"/>
        <v>358.56000000000006</v>
      </c>
      <c r="H210" s="57">
        <f>VLOOKUP(B210,'[1]Product by Part Number'!$A:$K,5,0)</f>
        <v>2.4900000000000002</v>
      </c>
      <c r="I210" s="88">
        <f t="shared" si="9"/>
        <v>179.28</v>
      </c>
    </row>
    <row r="211" spans="2:9" s="53" customFormat="1" x14ac:dyDescent="0.3">
      <c r="B211" s="78" t="s">
        <v>237</v>
      </c>
      <c r="C211" s="54" t="str">
        <f>VLOOKUP(B211,'[1]Product by Part Number'!$A:$K,2,0)</f>
        <v xml:space="preserve">CAT 336F L (RKB)                                            </v>
      </c>
      <c r="D211" s="54" t="str">
        <f>VLOOKUP(B211,'[1]Product by Part Number'!$A:$K,3,0)</f>
        <v>CARRIER BOLT</v>
      </c>
      <c r="E211" s="55">
        <f>VLOOKUP(B211,'[1]Product by Part Number'!$A:$K,11,0)</f>
        <v>4</v>
      </c>
      <c r="F211" s="56">
        <f>VLOOKUP(B211,'[1]Product by Part Number'!$A:$K,4,0)</f>
        <v>26.18</v>
      </c>
      <c r="G211" s="56">
        <f t="shared" si="8"/>
        <v>104.72</v>
      </c>
      <c r="H211" s="57">
        <f>VLOOKUP(B211,'[1]Product by Part Number'!$A:$K,5,0)</f>
        <v>13.09</v>
      </c>
      <c r="I211" s="88">
        <f t="shared" si="9"/>
        <v>52.36</v>
      </c>
    </row>
    <row r="212" spans="2:9" s="53" customFormat="1" x14ac:dyDescent="0.3">
      <c r="B212" s="78" t="s">
        <v>238</v>
      </c>
      <c r="C212" s="54" t="str">
        <f>VLOOKUP(B212,'[1]Product by Part Number'!$A:$K,2,0)</f>
        <v xml:space="preserve">CAT D7G (92V) CAT D7G (3ZD) CAT D7G (3ZD) (2)                                        </v>
      </c>
      <c r="D212" s="54" t="str">
        <f>VLOOKUP(B212,'[1]Product by Part Number'!$A:$K,3,0)</f>
        <v>TRACK LINK 38 JOINT</v>
      </c>
      <c r="E212" s="55">
        <f>VLOOKUP(B212,'[1]Product by Part Number'!$A:$K,11,0)</f>
        <v>6</v>
      </c>
      <c r="F212" s="56">
        <f>VLOOKUP(B212,'[1]Product by Part Number'!$A:$K,4,0)</f>
        <v>8201.7900000000009</v>
      </c>
      <c r="G212" s="56">
        <f t="shared" si="8"/>
        <v>49210.740000000005</v>
      </c>
      <c r="H212" s="57">
        <f>VLOOKUP(B212,'[1]Product by Part Number'!$A:$K,5,0)</f>
        <v>4100.8999999999996</v>
      </c>
      <c r="I212" s="88">
        <f t="shared" si="9"/>
        <v>24605.4</v>
      </c>
    </row>
    <row r="213" spans="2:9" s="53" customFormat="1" x14ac:dyDescent="0.3">
      <c r="B213" s="78" t="s">
        <v>239</v>
      </c>
      <c r="C213" s="54" t="str">
        <f>VLOOKUP(B213,'[1]Product by Part Number'!$A:$K,2,0)</f>
        <v xml:space="preserve">CAT 336F L (RKB) CAT D6T (MH7)                                          </v>
      </c>
      <c r="D213" s="54" t="str">
        <f>VLOOKUP(B213,'[1]Product by Part Number'!$A:$K,3,0)</f>
        <v xml:space="preserve">FUEL INJECTOR </v>
      </c>
      <c r="E213" s="55">
        <f>VLOOKUP(B213,'[1]Product by Part Number'!$A:$K,11,0)</f>
        <v>12</v>
      </c>
      <c r="F213" s="56">
        <f>VLOOKUP(B213,'[1]Product by Part Number'!$A:$K,4,0)</f>
        <v>1474.09</v>
      </c>
      <c r="G213" s="56">
        <f t="shared" si="8"/>
        <v>17689.079999999998</v>
      </c>
      <c r="H213" s="57">
        <f>VLOOKUP(B213,'[1]Product by Part Number'!$A:$K,5,0)</f>
        <v>737.05</v>
      </c>
      <c r="I213" s="88">
        <f t="shared" si="9"/>
        <v>8844.6</v>
      </c>
    </row>
    <row r="214" spans="2:9" s="53" customFormat="1" ht="79.8" x14ac:dyDescent="0.3">
      <c r="B214" s="78" t="s">
        <v>240</v>
      </c>
      <c r="C214" s="54" t="str">
        <f>VLOOKUP(B214,'[1]Product by Part Number'!$A:$K,2,0)</f>
        <v xml:space="preserve">CAT 329F L (ERL) CAT 329F L (ERL) (2) CAT 330F L (MBX) CAT 330F L (HCK) CAT 330F L (HCK) (2) CAT 330 (LHW) CAT 330 (LHW) (2) CAT 330 (LHW) (3) CAT 330 (LHW) (4) CAT 330 (WCH) CAT 330 (WCH) (2) CAT 330 (WCH) (3) CAT 330 (WCH) (4) CAT 330 (WCH) (5) CAT 330 (WCH) (6)                </v>
      </c>
      <c r="D214" s="54" t="str">
        <f>VLOOKUP(B214,'[1]Product by Part Number'!$A:$K,3,0)</f>
        <v>PRIMARY TURBOCHARGER ASSEMBLY</v>
      </c>
      <c r="E214" s="55">
        <f>VLOOKUP(B214,'[1]Product by Part Number'!$A:$K,11,0)</f>
        <v>15</v>
      </c>
      <c r="F214" s="56">
        <f>VLOOKUP(B214,'[1]Product by Part Number'!$A:$K,4,0)</f>
        <v>4722.29</v>
      </c>
      <c r="G214" s="56">
        <f t="shared" si="8"/>
        <v>70834.350000000006</v>
      </c>
      <c r="H214" s="57">
        <f>VLOOKUP(B214,'[1]Product by Part Number'!$A:$K,5,0)</f>
        <v>2361.15</v>
      </c>
      <c r="I214" s="88">
        <f t="shared" si="9"/>
        <v>35417.25</v>
      </c>
    </row>
    <row r="215" spans="2:9" s="53" customFormat="1" ht="27" x14ac:dyDescent="0.3">
      <c r="B215" s="78" t="s">
        <v>241</v>
      </c>
      <c r="C215" s="54" t="str">
        <f>VLOOKUP(B215,'[1]Product by Part Number'!$A:$K,2,0)</f>
        <v xml:space="preserve">CAT D6N LGP (GHS) CAT D6N LGP (PBA) CAT D6N LGP (PBA) (2) CAT D6N LGP (SGG) CAT D6N LGP (SGG) (2)                                    </v>
      </c>
      <c r="D215" s="54" t="str">
        <f>VLOOKUP(B215,'[1]Product by Part Number'!$A:$K,3,0)</f>
        <v>ENGINE OIL FILTER</v>
      </c>
      <c r="E215" s="55">
        <f>VLOOKUP(B215,'[1]Product by Part Number'!$A:$K,11,0)</f>
        <v>25</v>
      </c>
      <c r="F215" s="56">
        <f>VLOOKUP(B215,'[1]Product by Part Number'!$A:$K,4,0)</f>
        <v>36.51</v>
      </c>
      <c r="G215" s="56">
        <f t="shared" si="8"/>
        <v>912.75</v>
      </c>
      <c r="H215" s="57">
        <f>VLOOKUP(B215,'[1]Product by Part Number'!$A:$K,5,0)</f>
        <v>13.87</v>
      </c>
      <c r="I215" s="88">
        <f t="shared" si="9"/>
        <v>346.75</v>
      </c>
    </row>
    <row r="216" spans="2:9" s="53" customFormat="1" x14ac:dyDescent="0.3">
      <c r="B216" s="78" t="s">
        <v>242</v>
      </c>
      <c r="C216" s="54" t="str">
        <f>VLOOKUP(B216,'[1]Product by Part Number'!$A:$K,2,0)</f>
        <v xml:space="preserve">CAT 303.5E                                            </v>
      </c>
      <c r="D216" s="54" t="str">
        <f>VLOOKUP(B216,'[1]Product by Part Number'!$A:$K,3,0)</f>
        <v>CENTRE FLANGE ROLLER</v>
      </c>
      <c r="E216" s="55">
        <f>VLOOKUP(B216,'[1]Product by Part Number'!$A:$K,11,0)</f>
        <v>4</v>
      </c>
      <c r="F216" s="56">
        <f>VLOOKUP(B216,'[1]Product by Part Number'!$A:$K,4,0)</f>
        <v>498.61</v>
      </c>
      <c r="G216" s="56">
        <f t="shared" si="8"/>
        <v>1994.44</v>
      </c>
      <c r="H216" s="57">
        <f>VLOOKUP(B216,'[1]Product by Part Number'!$A:$K,5,0)</f>
        <v>249.31</v>
      </c>
      <c r="I216" s="88">
        <f t="shared" si="9"/>
        <v>997.24</v>
      </c>
    </row>
    <row r="217" spans="2:9" s="53" customFormat="1" ht="27" x14ac:dyDescent="0.3">
      <c r="B217" s="78" t="s">
        <v>243</v>
      </c>
      <c r="C217" s="54" t="str">
        <f>VLOOKUP(B217,'[1]Product by Part Number'!$A:$K,2,0)</f>
        <v xml:space="preserve">CAT 561N (CPH) CAT 561N (CPH) (2) CAT 561N (CPH) (3) CAT 561N (CPH) (4) CAT 561N (CPH) (5)                                    </v>
      </c>
      <c r="D217" s="54" t="str">
        <f>VLOOKUP(B217,'[1]Product by Part Number'!$A:$K,3,0)</f>
        <v>CABIN AIR FILTER ELEMENT</v>
      </c>
      <c r="E217" s="55">
        <f>VLOOKUP(B217,'[1]Product by Part Number'!$A:$K,11,0)</f>
        <v>15</v>
      </c>
      <c r="F217" s="56">
        <f>VLOOKUP(B217,'[1]Product by Part Number'!$A:$K,4,0)</f>
        <v>1076.32</v>
      </c>
      <c r="G217" s="56">
        <f t="shared" si="8"/>
        <v>16144.8</v>
      </c>
      <c r="H217" s="57">
        <f>VLOOKUP(B217,'[1]Product by Part Number'!$A:$K,5,0)</f>
        <v>409</v>
      </c>
      <c r="I217" s="88">
        <f t="shared" si="9"/>
        <v>6135</v>
      </c>
    </row>
    <row r="218" spans="2:9" s="53" customFormat="1" x14ac:dyDescent="0.3">
      <c r="B218" s="78" t="s">
        <v>244</v>
      </c>
      <c r="C218" s="54" t="str">
        <f>VLOOKUP(B218,'[1]Product by Part Number'!$A:$K,2,0)</f>
        <v xml:space="preserve">CAT D6T (MH7)                                            </v>
      </c>
      <c r="D218" s="54" t="str">
        <f>VLOOKUP(B218,'[1]Product by Part Number'!$A:$K,3,0)</f>
        <v>TURBOCHARGER ASSEMBLY</v>
      </c>
      <c r="E218" s="55">
        <f>VLOOKUP(B218,'[1]Product by Part Number'!$A:$K,11,0)</f>
        <v>1</v>
      </c>
      <c r="F218" s="56">
        <f>VLOOKUP(B218,'[1]Product by Part Number'!$A:$K,4,0)</f>
        <v>7083.49</v>
      </c>
      <c r="G218" s="56">
        <f t="shared" si="8"/>
        <v>7083.49</v>
      </c>
      <c r="H218" s="57">
        <f>VLOOKUP(B218,'[1]Product by Part Number'!$A:$K,5,0)</f>
        <v>3541.75</v>
      </c>
      <c r="I218" s="88">
        <f t="shared" si="9"/>
        <v>3541.75</v>
      </c>
    </row>
    <row r="219" spans="2:9" s="53" customFormat="1" ht="66.599999999999994" x14ac:dyDescent="0.3">
      <c r="B219" s="78" t="s">
        <v>245</v>
      </c>
      <c r="C219" s="54" t="str">
        <f>VLOOKUP(B219,'[1]Product by Part Number'!$A:$K,2,0)</f>
        <v xml:space="preserve">CAT 320E L (WBK) CAT 320E L (WBK) (2) CAT 320F L (YBM) CAT 329E L (ZCD) CAT 329F L (ERL) CAT 329F L (ERL) (2) CAT 330F L (MBX) CAT 330F L (HCK) CAT 330F L (HCK) (2) CAT D6N LGP (PBA) CAT D6N LGP (PBA) (2) CAT D6N LGP (SGG) CAT D6N LGP (SGG) (2)                    </v>
      </c>
      <c r="D219" s="54" t="str">
        <f>VLOOKUP(B219,'[1]Product by Part Number'!$A:$K,3,0)</f>
        <v>FUEL WATER SEPARATOR</v>
      </c>
      <c r="E219" s="55">
        <f>VLOOKUP(B219,'[1]Product by Part Number'!$A:$K,11,0)</f>
        <v>140</v>
      </c>
      <c r="F219" s="56">
        <f>VLOOKUP(B219,'[1]Product by Part Number'!$A:$K,4,0)</f>
        <v>78.87</v>
      </c>
      <c r="G219" s="56">
        <f t="shared" si="8"/>
        <v>11041.800000000001</v>
      </c>
      <c r="H219" s="57">
        <f>VLOOKUP(B219,'[1]Product by Part Number'!$A:$K,5,0)</f>
        <v>29.97</v>
      </c>
      <c r="I219" s="88">
        <f t="shared" si="9"/>
        <v>4195.8</v>
      </c>
    </row>
    <row r="220" spans="2:9" s="53" customFormat="1" x14ac:dyDescent="0.3">
      <c r="B220" s="78" t="s">
        <v>246</v>
      </c>
      <c r="C220" s="54" t="str">
        <f>VLOOKUP(B220,'[1]Product by Part Number'!$A:$K,2,0)</f>
        <v xml:space="preserve">CAT 320 (HEX) CAT 320 (MYK) CAT 320 (MYK) (2)                                        </v>
      </c>
      <c r="D220" s="54" t="str">
        <f>VLOOKUP(B220,'[1]Product by Part Number'!$A:$K,3,0)</f>
        <v>PRIMARY AIR FILTER ELEMENT</v>
      </c>
      <c r="E220" s="55">
        <f>VLOOKUP(B220,'[1]Product by Part Number'!$A:$K,11,0)</f>
        <v>9</v>
      </c>
      <c r="F220" s="56">
        <f>VLOOKUP(B220,'[1]Product by Part Number'!$A:$K,4,0)</f>
        <v>244.2</v>
      </c>
      <c r="G220" s="56">
        <f t="shared" si="8"/>
        <v>2197.7999999999997</v>
      </c>
      <c r="H220" s="57">
        <f>VLOOKUP(B220,'[1]Product by Part Number'!$A:$K,5,0)</f>
        <v>92.8</v>
      </c>
      <c r="I220" s="88">
        <f t="shared" si="9"/>
        <v>835.2</v>
      </c>
    </row>
    <row r="221" spans="2:9" s="53" customFormat="1" x14ac:dyDescent="0.3">
      <c r="B221" s="78" t="s">
        <v>247</v>
      </c>
      <c r="C221" s="54" t="str">
        <f>VLOOKUP(B221,'[1]Product by Part Number'!$A:$K,2,0)</f>
        <v xml:space="preserve">CAT 320 (HEX) CAT 320 (MYK) CAT 320 (MYK) (2)                                        </v>
      </c>
      <c r="D221" s="54" t="str">
        <f>VLOOKUP(B221,'[1]Product by Part Number'!$A:$K,3,0)</f>
        <v>SECONDARY AIR FILTER ELEMENT</v>
      </c>
      <c r="E221" s="55">
        <f>VLOOKUP(B221,'[1]Product by Part Number'!$A:$K,11,0)</f>
        <v>9</v>
      </c>
      <c r="F221" s="56">
        <f>VLOOKUP(B221,'[1]Product by Part Number'!$A:$K,4,0)</f>
        <v>133.28</v>
      </c>
      <c r="G221" s="56">
        <f t="shared" si="8"/>
        <v>1199.52</v>
      </c>
      <c r="H221" s="57">
        <f>VLOOKUP(B221,'[1]Product by Part Number'!$A:$K,5,0)</f>
        <v>50.65</v>
      </c>
      <c r="I221" s="88">
        <f t="shared" si="9"/>
        <v>455.85</v>
      </c>
    </row>
    <row r="222" spans="2:9" s="53" customFormat="1" x14ac:dyDescent="0.3">
      <c r="B222" s="78" t="s">
        <v>248</v>
      </c>
      <c r="C222" s="54" t="str">
        <f>VLOOKUP(B222,'[1]Product by Part Number'!$A:$K,2,0)</f>
        <v xml:space="preserve">CAT D6T (MH7)                                            </v>
      </c>
      <c r="D222" s="54" t="str">
        <f>VLOOKUP(B222,'[1]Product by Part Number'!$A:$K,3,0)</f>
        <v>RIPPER SHANK</v>
      </c>
      <c r="E222" s="55">
        <f>VLOOKUP(B222,'[1]Product by Part Number'!$A:$K,11,0)</f>
        <v>3</v>
      </c>
      <c r="F222" s="56">
        <f>VLOOKUP(B222,'[1]Product by Part Number'!$A:$K,4,0)</f>
        <v>2061.73</v>
      </c>
      <c r="G222" s="56">
        <f t="shared" si="8"/>
        <v>6185.1900000000005</v>
      </c>
      <c r="H222" s="57">
        <f>VLOOKUP(B222,'[1]Product by Part Number'!$A:$K,5,0)</f>
        <v>783.46</v>
      </c>
      <c r="I222" s="88">
        <f t="shared" si="9"/>
        <v>2350.38</v>
      </c>
    </row>
    <row r="223" spans="2:9" s="53" customFormat="1" x14ac:dyDescent="0.3">
      <c r="B223" s="78" t="s">
        <v>249</v>
      </c>
      <c r="C223" s="54" t="str">
        <f>VLOOKUP(B223,'[1]Product by Part Number'!$A:$K,2,0)</f>
        <v xml:space="preserve">CAT 336F L (RKB)                                            </v>
      </c>
      <c r="D223" s="54" t="str">
        <f>VLOOKUP(B223,'[1]Product by Part Number'!$A:$K,3,0)</f>
        <v>SINGLE FLANGE TRACK ROLLER</v>
      </c>
      <c r="E223" s="55">
        <f>VLOOKUP(B223,'[1]Product by Part Number'!$A:$K,11,0)</f>
        <v>18</v>
      </c>
      <c r="F223" s="56">
        <f>VLOOKUP(B223,'[1]Product by Part Number'!$A:$K,4,0)</f>
        <v>987.95</v>
      </c>
      <c r="G223" s="56">
        <f t="shared" si="8"/>
        <v>17783.100000000002</v>
      </c>
      <c r="H223" s="57">
        <f>VLOOKUP(B223,'[1]Product by Part Number'!$A:$K,5,0)</f>
        <v>493.98</v>
      </c>
      <c r="I223" s="88">
        <f t="shared" si="9"/>
        <v>8891.64</v>
      </c>
    </row>
    <row r="224" spans="2:9" s="53" customFormat="1" ht="66.599999999999994" x14ac:dyDescent="0.3">
      <c r="B224" s="78" t="s">
        <v>250</v>
      </c>
      <c r="C224" s="54" t="str">
        <f>VLOOKUP(B224,'[1]Product by Part Number'!$A:$K,2,0)</f>
        <v xml:space="preserve">CAT 320 (HEX) CAT 320 (MYK) CAT 320 (MYK) (2) CAT 330 (LHW) CAT 330 (LHW) (2) CAT 330 (LHW) (3) CAT 330 (LHW) (4) CAT 330 (WCH) CAT 330 (WCH) (2) CAT 330 (WCH) (3) CAT 330 (WCH) (4) CAT 330 (WCH) (5) CAT 330 (WCH) (6)                    </v>
      </c>
      <c r="D224" s="54" t="str">
        <f>VLOOKUP(B224,'[1]Product by Part Number'!$A:$K,3,0)</f>
        <v>SUSPENSION SEAT ASSEMBLY</v>
      </c>
      <c r="E224" s="55">
        <f>VLOOKUP(B224,'[1]Product by Part Number'!$A:$K,11,0)</f>
        <v>13</v>
      </c>
      <c r="F224" s="56">
        <f>VLOOKUP(B224,'[1]Product by Part Number'!$A:$K,4,0)</f>
        <v>8493.36</v>
      </c>
      <c r="G224" s="56">
        <f t="shared" si="8"/>
        <v>110413.68000000001</v>
      </c>
      <c r="H224" s="57">
        <f>VLOOKUP(B224,'[1]Product by Part Number'!$A:$K,5,0)</f>
        <v>4246.68</v>
      </c>
      <c r="I224" s="88">
        <f t="shared" si="9"/>
        <v>55206.84</v>
      </c>
    </row>
    <row r="225" spans="2:9" s="53" customFormat="1" ht="53.4" x14ac:dyDescent="0.3">
      <c r="B225" s="78" t="s">
        <v>251</v>
      </c>
      <c r="C225" s="54" t="str">
        <f>VLOOKUP(B225,'[1]Product by Part Number'!$A:$K,2,0)</f>
        <v xml:space="preserve">CAT D5 (3CR) CAT D5 (3CR) (2) CAT 561M (1KW) CAT 561N (CPH) CAT 561N (CPH) (2) CAT 561N (CPH) (3) CAT 561N (CPH) (4) CAT 561N (CPH) (5) CAT PL61 (WGS) CAT PL61 (WGS) (2) CAT PL61 (WGS) (3)                        </v>
      </c>
      <c r="D225" s="54" t="str">
        <f>VLOOKUP(B225,'[1]Product by Part Number'!$A:$K,3,0)</f>
        <v>CRANKSHAFT</v>
      </c>
      <c r="E225" s="55">
        <f>VLOOKUP(B225,'[1]Product by Part Number'!$A:$K,11,0)</f>
        <v>11</v>
      </c>
      <c r="F225" s="56">
        <f>VLOOKUP(B225,'[1]Product by Part Number'!$A:$K,4,0)</f>
        <v>14944.09</v>
      </c>
      <c r="G225" s="56">
        <f t="shared" si="8"/>
        <v>164384.99</v>
      </c>
      <c r="H225" s="57">
        <f>VLOOKUP(B225,'[1]Product by Part Number'!$A:$K,5,0)</f>
        <v>7472.05</v>
      </c>
      <c r="I225" s="88">
        <f t="shared" si="9"/>
        <v>82192.55</v>
      </c>
    </row>
    <row r="226" spans="2:9" s="53" customFormat="1" x14ac:dyDescent="0.3">
      <c r="B226" s="78" t="s">
        <v>252</v>
      </c>
      <c r="C226" s="54" t="str">
        <f>VLOOKUP(B226,'[1]Product by Part Number'!$A:$K,2,0)</f>
        <v xml:space="preserve">CAT D6N LGP (GHS)                                            </v>
      </c>
      <c r="D226" s="54" t="str">
        <f>VLOOKUP(B226,'[1]Product by Part Number'!$A:$K,3,0)</f>
        <v>SEAT ASSEMBLY</v>
      </c>
      <c r="E226" s="55">
        <f>VLOOKUP(B226,'[1]Product by Part Number'!$A:$K,11,0)</f>
        <v>1</v>
      </c>
      <c r="F226" s="56">
        <f>VLOOKUP(B226,'[1]Product by Part Number'!$A:$K,4,0)</f>
        <v>3921.14</v>
      </c>
      <c r="G226" s="56">
        <f t="shared" si="8"/>
        <v>3921.14</v>
      </c>
      <c r="H226" s="57">
        <f>VLOOKUP(B226,'[1]Product by Part Number'!$A:$K,5,0)</f>
        <v>1960.57</v>
      </c>
      <c r="I226" s="88">
        <f t="shared" si="9"/>
        <v>1960.57</v>
      </c>
    </row>
    <row r="227" spans="2:9" s="53" customFormat="1" x14ac:dyDescent="0.3">
      <c r="B227" s="78" t="s">
        <v>253</v>
      </c>
      <c r="C227" s="54" t="str">
        <f>VLOOKUP(B227,'[1]Product by Part Number'!$A:$K,2,0)</f>
        <v xml:space="preserve">CAT D6 (RDC)                                            </v>
      </c>
      <c r="D227" s="54" t="str">
        <f>VLOOKUP(B227,'[1]Product by Part Number'!$A:$K,3,0)</f>
        <v>SPROCKET SEGMENT</v>
      </c>
      <c r="E227" s="55">
        <f>VLOOKUP(B227,'[1]Product by Part Number'!$A:$K,11,0)</f>
        <v>10</v>
      </c>
      <c r="F227" s="56">
        <f>VLOOKUP(B227,'[1]Product by Part Number'!$A:$K,4,0)</f>
        <v>293.17</v>
      </c>
      <c r="G227" s="56">
        <f t="shared" si="8"/>
        <v>2931.7000000000003</v>
      </c>
      <c r="H227" s="57">
        <f>VLOOKUP(B227,'[1]Product by Part Number'!$A:$K,5,0)</f>
        <v>146.59</v>
      </c>
      <c r="I227" s="88">
        <f t="shared" si="9"/>
        <v>1465.9</v>
      </c>
    </row>
    <row r="228" spans="2:9" s="53" customFormat="1" x14ac:dyDescent="0.3">
      <c r="B228" s="78" t="s">
        <v>254</v>
      </c>
      <c r="C228" s="54" t="str">
        <f>VLOOKUP(B228,'[1]Product by Part Number'!$A:$K,2,0)</f>
        <v xml:space="preserve">CAT D6 (RDC)                                            </v>
      </c>
      <c r="D228" s="54" t="str">
        <f>VLOOKUP(B228,'[1]Product by Part Number'!$A:$K,3,0)</f>
        <v>SPROCKET BOLT</v>
      </c>
      <c r="E228" s="55">
        <f>VLOOKUP(B228,'[1]Product by Part Number'!$A:$K,11,0)</f>
        <v>50</v>
      </c>
      <c r="F228" s="56">
        <f>VLOOKUP(B228,'[1]Product by Part Number'!$A:$K,4,0)</f>
        <v>9.4700000000000006</v>
      </c>
      <c r="G228" s="56">
        <f t="shared" si="8"/>
        <v>473.50000000000006</v>
      </c>
      <c r="H228" s="57">
        <f>VLOOKUP(B228,'[1]Product by Part Number'!$A:$K,5,0)</f>
        <v>4.74</v>
      </c>
      <c r="I228" s="88">
        <f t="shared" si="9"/>
        <v>237</v>
      </c>
    </row>
    <row r="229" spans="2:9" s="53" customFormat="1" ht="27" x14ac:dyDescent="0.3">
      <c r="B229" s="78" t="s">
        <v>255</v>
      </c>
      <c r="C229" s="54" t="str">
        <f>VLOOKUP(B229,'[1]Product by Part Number'!$A:$K,2,0)</f>
        <v xml:space="preserve">CAT 330 (LHW) CAT 330 (LHW) (2) CAT 330 (LHW) (3) CAT 330 (LHW) (4)                                      </v>
      </c>
      <c r="D229" s="54" t="str">
        <f>VLOOKUP(B229,'[1]Product by Part Number'!$A:$K,3,0)</f>
        <v>HYDRAULIC OIL FILTER</v>
      </c>
      <c r="E229" s="55">
        <f>VLOOKUP(B229,'[1]Product by Part Number'!$A:$K,11,0)</f>
        <v>20</v>
      </c>
      <c r="F229" s="56">
        <f>VLOOKUP(B229,'[1]Product by Part Number'!$A:$K,4,0)</f>
        <v>159.19999999999999</v>
      </c>
      <c r="G229" s="56">
        <f t="shared" si="8"/>
        <v>3184</v>
      </c>
      <c r="H229" s="57">
        <f>VLOOKUP(B229,'[1]Product by Part Number'!$A:$K,5,0)</f>
        <v>60.5</v>
      </c>
      <c r="I229" s="88">
        <f t="shared" si="9"/>
        <v>1210</v>
      </c>
    </row>
    <row r="230" spans="2:9" s="53" customFormat="1" ht="40.200000000000003" x14ac:dyDescent="0.3">
      <c r="B230" s="78" t="s">
        <v>256</v>
      </c>
      <c r="C230" s="54" t="str">
        <f>VLOOKUP(B230,'[1]Product by Part Number'!$A:$K,2,0)</f>
        <v xml:space="preserve">CAT 320F L (YBM) CAT 329E L (ZCD) CAT 330F L (MBX) CAT 330F L (HCK) CAT 330F L (HCK) (2) CAT 336F L (RKB)                                  </v>
      </c>
      <c r="D230" s="54" t="str">
        <f>VLOOKUP(B230,'[1]Product by Part Number'!$A:$K,3,0)</f>
        <v xml:space="preserve">OPERATOR SEAT ASSEMBLY </v>
      </c>
      <c r="E230" s="55">
        <f>VLOOKUP(B230,'[1]Product by Part Number'!$A:$K,11,0)</f>
        <v>6</v>
      </c>
      <c r="F230" s="56">
        <f>VLOOKUP(B230,'[1]Product by Part Number'!$A:$K,4,0)</f>
        <v>4161.4399999999996</v>
      </c>
      <c r="G230" s="56">
        <f t="shared" si="8"/>
        <v>24968.639999999999</v>
      </c>
      <c r="H230" s="57">
        <f>VLOOKUP(B230,'[1]Product by Part Number'!$A:$K,5,0)</f>
        <v>2080.7199999999998</v>
      </c>
      <c r="I230" s="88">
        <f t="shared" si="9"/>
        <v>12484.32</v>
      </c>
    </row>
    <row r="231" spans="2:9" s="53" customFormat="1" ht="53.4" x14ac:dyDescent="0.3">
      <c r="B231" s="78" t="s">
        <v>257</v>
      </c>
      <c r="C231" s="54" t="str">
        <f>VLOOKUP(B231,'[1]Product by Part Number'!$A:$K,2,0)</f>
        <v xml:space="preserve">CAT 330 (LHW) CAT 330 (LHW) (2) CAT 330 (LHW) (3) CAT 330 (LHW) (4) CAT 330 (WCH) CAT 330 (WCH) (2) CAT 330 (WCH) (3) CAT 330 (WCH) (4) CAT 330 (WCH) (5) CAT 330 (WCH) (6)                          </v>
      </c>
      <c r="D231" s="54" t="str">
        <f>VLOOKUP(B231,'[1]Product by Part Number'!$A:$K,3,0)</f>
        <v>PRIMARY AIR FILTER ELEMENT</v>
      </c>
      <c r="E231" s="55">
        <f>VLOOKUP(B231,'[1]Product by Part Number'!$A:$K,11,0)</f>
        <v>30</v>
      </c>
      <c r="F231" s="56">
        <f>VLOOKUP(B231,'[1]Product by Part Number'!$A:$K,4,0)</f>
        <v>307.85000000000002</v>
      </c>
      <c r="G231" s="56">
        <f t="shared" si="8"/>
        <v>9235.5</v>
      </c>
      <c r="H231" s="57">
        <f>VLOOKUP(B231,'[1]Product by Part Number'!$A:$K,5,0)</f>
        <v>116.98</v>
      </c>
      <c r="I231" s="88">
        <f t="shared" si="9"/>
        <v>3509.4</v>
      </c>
    </row>
    <row r="232" spans="2:9" s="53" customFormat="1" ht="53.4" x14ac:dyDescent="0.3">
      <c r="B232" s="78" t="s">
        <v>258</v>
      </c>
      <c r="C232" s="54" t="str">
        <f>VLOOKUP(B232,'[1]Product by Part Number'!$A:$K,2,0)</f>
        <v xml:space="preserve">CAT 330 (LHW) CAT 330 (LHW) (2) CAT 330 (LHW) (3) CAT 330 (LHW) (4) CAT 330 (WCH) CAT 330 (WCH) (2) CAT 330 (WCH) (3) CAT 330 (WCH) (4) CAT 330 (WCH) (5) CAT 330 (WCH) (6)                          </v>
      </c>
      <c r="D232" s="54" t="str">
        <f>VLOOKUP(B232,'[1]Product by Part Number'!$A:$K,3,0)</f>
        <v>SECONDAY AIR FILTER ELEMENT</v>
      </c>
      <c r="E232" s="55">
        <f>VLOOKUP(B232,'[1]Product by Part Number'!$A:$K,11,0)</f>
        <v>30</v>
      </c>
      <c r="F232" s="56">
        <f>VLOOKUP(B232,'[1]Product by Part Number'!$A:$K,4,0)</f>
        <v>137.38</v>
      </c>
      <c r="G232" s="56">
        <f t="shared" si="8"/>
        <v>4121.3999999999996</v>
      </c>
      <c r="H232" s="57">
        <f>VLOOKUP(B232,'[1]Product by Part Number'!$A:$K,5,0)</f>
        <v>52.2</v>
      </c>
      <c r="I232" s="88">
        <f t="shared" si="9"/>
        <v>1566</v>
      </c>
    </row>
    <row r="233" spans="2:9" s="53" customFormat="1" x14ac:dyDescent="0.3">
      <c r="B233" s="78" t="s">
        <v>259</v>
      </c>
      <c r="C233" s="54" t="str">
        <f>VLOOKUP(B233,'[1]Product by Part Number'!$A:$K,2,0)</f>
        <v xml:space="preserve">CAT D3 (1PJ)                                            </v>
      </c>
      <c r="D233" s="54" t="str">
        <f>VLOOKUP(B233,'[1]Product by Part Number'!$A:$K,3,0)</f>
        <v>SINGLE FLANGE TRACK ROLLER</v>
      </c>
      <c r="E233" s="55">
        <f>VLOOKUP(B233,'[1]Product by Part Number'!$A:$K,11,0)</f>
        <v>12</v>
      </c>
      <c r="F233" s="56">
        <f>VLOOKUP(B233,'[1]Product by Part Number'!$A:$K,4,0)</f>
        <v>579.6</v>
      </c>
      <c r="G233" s="56">
        <f t="shared" si="8"/>
        <v>6955.2000000000007</v>
      </c>
      <c r="H233" s="57">
        <f>VLOOKUP(B233,'[1]Product by Part Number'!$A:$K,5,0)</f>
        <v>289.8</v>
      </c>
      <c r="I233" s="88">
        <f t="shared" si="9"/>
        <v>3477.6</v>
      </c>
    </row>
    <row r="234" spans="2:9" s="53" customFormat="1" ht="27" x14ac:dyDescent="0.3">
      <c r="B234" s="78" t="s">
        <v>260</v>
      </c>
      <c r="C234" s="54" t="str">
        <f>VLOOKUP(B234,'[1]Product by Part Number'!$A:$K,2,0)</f>
        <v xml:space="preserve">CAT D3 (1PJ)                                            </v>
      </c>
      <c r="D234" s="54" t="str">
        <f>VLOOKUP(B234,'[1]Product by Part Number'!$A:$K,3,0)</f>
        <v>DOUBLE FLANGE TRACK ROLLER (GUIDE AR)*</v>
      </c>
      <c r="E234" s="55">
        <f>VLOOKUP(B234,'[1]Product by Part Number'!$A:$K,11,0)</f>
        <v>8</v>
      </c>
      <c r="F234" s="56">
        <f>VLOOKUP(B234,'[1]Product by Part Number'!$A:$K,4,0)</f>
        <v>623.29</v>
      </c>
      <c r="G234" s="56">
        <f t="shared" si="8"/>
        <v>4986.32</v>
      </c>
      <c r="H234" s="57">
        <f>VLOOKUP(B234,'[1]Product by Part Number'!$A:$K,5,0)</f>
        <v>311.64999999999998</v>
      </c>
      <c r="I234" s="88">
        <f t="shared" si="9"/>
        <v>2493.1999999999998</v>
      </c>
    </row>
    <row r="235" spans="2:9" s="53" customFormat="1" x14ac:dyDescent="0.3">
      <c r="B235" s="78" t="s">
        <v>261</v>
      </c>
      <c r="C235" s="54" t="str">
        <f>VLOOKUP(B235,'[1]Product by Part Number'!$A:$K,2,0)</f>
        <v xml:space="preserve">CAT D3 (1PJ)                                            </v>
      </c>
      <c r="D235" s="54" t="str">
        <f>VLOOKUP(B235,'[1]Product by Part Number'!$A:$K,3,0)</f>
        <v>NUT</v>
      </c>
      <c r="E235" s="55">
        <f>VLOOKUP(B235,'[1]Product by Part Number'!$A:$K,11,0)</f>
        <v>18</v>
      </c>
      <c r="F235" s="56">
        <f>VLOOKUP(B235,'[1]Product by Part Number'!$A:$K,4,0)</f>
        <v>2.44</v>
      </c>
      <c r="G235" s="56">
        <f t="shared" si="8"/>
        <v>43.92</v>
      </c>
      <c r="H235" s="57">
        <f>VLOOKUP(B235,'[1]Product by Part Number'!$A:$K,5,0)</f>
        <v>0.93</v>
      </c>
      <c r="I235" s="88">
        <f t="shared" si="9"/>
        <v>16.739999999999998</v>
      </c>
    </row>
    <row r="236" spans="2:9" s="53" customFormat="1" x14ac:dyDescent="0.3">
      <c r="B236" s="78" t="s">
        <v>262</v>
      </c>
      <c r="C236" s="54" t="str">
        <f>VLOOKUP(B236,'[1]Product by Part Number'!$A:$K,2,0)</f>
        <v xml:space="preserve">CAT D3 (1PJ)                                            </v>
      </c>
      <c r="D236" s="54" t="str">
        <f>VLOOKUP(B236,'[1]Product by Part Number'!$A:$K,3,0)</f>
        <v>SECONDARY AIR FILTER ELEMENT</v>
      </c>
      <c r="E236" s="55">
        <f>VLOOKUP(B236,'[1]Product by Part Number'!$A:$K,11,0)</f>
        <v>3</v>
      </c>
      <c r="F236" s="56">
        <f>VLOOKUP(B236,'[1]Product by Part Number'!$A:$K,4,0)</f>
        <v>77.260000000000005</v>
      </c>
      <c r="G236" s="56">
        <f t="shared" si="8"/>
        <v>231.78000000000003</v>
      </c>
      <c r="H236" s="57">
        <f>VLOOKUP(B236,'[1]Product by Part Number'!$A:$K,5,0)</f>
        <v>29.36</v>
      </c>
      <c r="I236" s="88">
        <f t="shared" si="9"/>
        <v>88.08</v>
      </c>
    </row>
    <row r="237" spans="2:9" s="53" customFormat="1" x14ac:dyDescent="0.3">
      <c r="B237" s="78" t="s">
        <v>263</v>
      </c>
      <c r="C237" s="54" t="str">
        <f>VLOOKUP(B237,'[1]Product by Part Number'!$A:$K,2,0)</f>
        <v xml:space="preserve">CAT D3 (1PJ)                                            </v>
      </c>
      <c r="D237" s="54" t="str">
        <f>VLOOKUP(B237,'[1]Product by Part Number'!$A:$K,3,0)</f>
        <v>PRIMARY AIR FILTER ELEMENT</v>
      </c>
      <c r="E237" s="55">
        <f>VLOOKUP(B237,'[1]Product by Part Number'!$A:$K,11,0)</f>
        <v>3</v>
      </c>
      <c r="F237" s="56">
        <f>VLOOKUP(B237,'[1]Product by Part Number'!$A:$K,4,0)</f>
        <v>91.61</v>
      </c>
      <c r="G237" s="56">
        <f t="shared" si="8"/>
        <v>274.83</v>
      </c>
      <c r="H237" s="57">
        <f>VLOOKUP(B237,'[1]Product by Part Number'!$A:$K,5,0)</f>
        <v>34.81</v>
      </c>
      <c r="I237" s="88">
        <f t="shared" si="9"/>
        <v>104.43</v>
      </c>
    </row>
    <row r="238" spans="2:9" s="53" customFormat="1" x14ac:dyDescent="0.3">
      <c r="B238" s="78" t="s">
        <v>264</v>
      </c>
      <c r="C238" s="54" t="str">
        <f>VLOOKUP(B238,'[1]Product by Part Number'!$A:$K,2,0)</f>
        <v xml:space="preserve">CAT D4 (66J)                                            </v>
      </c>
      <c r="D238" s="54" t="str">
        <f>VLOOKUP(B238,'[1]Product by Part Number'!$A:$K,3,0)</f>
        <v>SPROCKET BOLT</v>
      </c>
      <c r="E238" s="55">
        <f>VLOOKUP(B238,'[1]Product by Part Number'!$A:$K,11,0)</f>
        <v>12</v>
      </c>
      <c r="F238" s="56">
        <f>VLOOKUP(B238,'[1]Product by Part Number'!$A:$K,4,0)</f>
        <v>5.71</v>
      </c>
      <c r="G238" s="56">
        <f t="shared" si="8"/>
        <v>68.52</v>
      </c>
      <c r="H238" s="57">
        <f>VLOOKUP(B238,'[1]Product by Part Number'!$A:$K,5,0)</f>
        <v>2.86</v>
      </c>
      <c r="I238" s="88">
        <f t="shared" si="9"/>
        <v>34.32</v>
      </c>
    </row>
    <row r="239" spans="2:9" s="53" customFormat="1" x14ac:dyDescent="0.3">
      <c r="B239" s="78" t="s">
        <v>434</v>
      </c>
      <c r="C239" s="54" t="str">
        <f>VLOOKUP(B239,'[1]Product by Part Number'!$A:$K,2,0)</f>
        <v xml:space="preserve">CAT 561 (85H) CAT 561 (92J) CAT 561 (92J) (2)                                        </v>
      </c>
      <c r="D239" s="54" t="str">
        <f>VLOOKUP(B239,'[1]Product by Part Number'!$A:$K,3,0)</f>
        <v>CRANKSHAFT</v>
      </c>
      <c r="E239" s="55">
        <f>VLOOKUP(B239,'[1]Product by Part Number'!$A:$K,11,0)</f>
        <v>3</v>
      </c>
      <c r="F239" s="56">
        <f>VLOOKUP(B239,'[1]Product by Part Number'!$A:$K,4,0)</f>
        <v>17553.38</v>
      </c>
      <c r="G239" s="56">
        <f t="shared" si="8"/>
        <v>52660.14</v>
      </c>
      <c r="H239" s="57">
        <f>VLOOKUP(B239,'[1]Product by Part Number'!$A:$K,5,0)</f>
        <v>8776.69</v>
      </c>
      <c r="I239" s="88">
        <f t="shared" si="9"/>
        <v>26330.07</v>
      </c>
    </row>
    <row r="240" spans="2:9" s="53" customFormat="1" x14ac:dyDescent="0.3">
      <c r="B240" s="78" t="s">
        <v>435</v>
      </c>
      <c r="C240" s="54" t="str">
        <f>VLOOKUP(B240,'[1]Product by Part Number'!$A:$K,2,0)</f>
        <v xml:space="preserve">CAT 561 (85H) CAT 561 (92J) CAT 561 (92J) (2)                                        </v>
      </c>
      <c r="D240" s="54" t="str">
        <f>VLOOKUP(B240,'[1]Product by Part Number'!$A:$K,3,0)</f>
        <v>CAMSHAFT</v>
      </c>
      <c r="E240" s="55">
        <f>VLOOKUP(B240,'[1]Product by Part Number'!$A:$K,11,0)</f>
        <v>3</v>
      </c>
      <c r="F240" s="56">
        <f>VLOOKUP(B240,'[1]Product by Part Number'!$A:$K,4,0)</f>
        <v>4894.33</v>
      </c>
      <c r="G240" s="56">
        <f t="shared" si="8"/>
        <v>14682.99</v>
      </c>
      <c r="H240" s="57">
        <f>VLOOKUP(B240,'[1]Product by Part Number'!$A:$K,5,0)</f>
        <v>2447.17</v>
      </c>
      <c r="I240" s="88">
        <f t="shared" si="9"/>
        <v>7341.51</v>
      </c>
    </row>
    <row r="241" spans="2:9" s="53" customFormat="1" x14ac:dyDescent="0.3">
      <c r="B241" s="78" t="s">
        <v>265</v>
      </c>
      <c r="C241" s="54" t="str">
        <f>VLOOKUP(B241,'[1]Product by Part Number'!$A:$K,2,0)</f>
        <v xml:space="preserve">CAT D7G (92V) CAT D7G (3ZD) CAT D7G (3ZD) (2)                                        </v>
      </c>
      <c r="D241" s="54" t="str">
        <f>VLOOKUP(B241,'[1]Product by Part Number'!$A:$K,3,0)</f>
        <v>SINGLE FLANGE ROLLER</v>
      </c>
      <c r="E241" s="55">
        <f>VLOOKUP(B241,'[1]Product by Part Number'!$A:$K,11,0)</f>
        <v>36</v>
      </c>
      <c r="F241" s="56">
        <f>VLOOKUP(B241,'[1]Product by Part Number'!$A:$K,4,0)</f>
        <v>1122.06</v>
      </c>
      <c r="G241" s="56">
        <f t="shared" si="8"/>
        <v>40394.159999999996</v>
      </c>
      <c r="H241" s="57">
        <f>VLOOKUP(B241,'[1]Product by Part Number'!$A:$K,5,0)</f>
        <v>561.03</v>
      </c>
      <c r="I241" s="88">
        <f t="shared" si="9"/>
        <v>20197.080000000002</v>
      </c>
    </row>
    <row r="242" spans="2:9" s="53" customFormat="1" ht="27" x14ac:dyDescent="0.3">
      <c r="B242" s="78" t="s">
        <v>266</v>
      </c>
      <c r="C242" s="54" t="str">
        <f>VLOOKUP(B242,'[1]Product by Part Number'!$A:$K,2,0)</f>
        <v xml:space="preserve">CAT D6N LGP (GHS) CAT D6N LGP (PBA) CAT D6N LGP (PBA) (2) CAT D6N LGP (SGG) CAT D6N LGP (SGG) (2)                                    </v>
      </c>
      <c r="D242" s="54" t="str">
        <f>VLOOKUP(B242,'[1]Product by Part Number'!$A:$K,3,0)</f>
        <v>CUTTING EDGE</v>
      </c>
      <c r="E242" s="55">
        <f>VLOOKUP(B242,'[1]Product by Part Number'!$A:$K,11,0)</f>
        <v>10</v>
      </c>
      <c r="F242" s="56">
        <f>VLOOKUP(B242,'[1]Product by Part Number'!$A:$K,4,0)</f>
        <v>435.33</v>
      </c>
      <c r="G242" s="56">
        <f t="shared" si="8"/>
        <v>4353.3</v>
      </c>
      <c r="H242" s="57">
        <f>VLOOKUP(B242,'[1]Product by Part Number'!$A:$K,5,0)</f>
        <v>165.43</v>
      </c>
      <c r="I242" s="88">
        <f t="shared" si="9"/>
        <v>1654.3</v>
      </c>
    </row>
    <row r="243" spans="2:9" s="53" customFormat="1" x14ac:dyDescent="0.3">
      <c r="B243" s="78" t="s">
        <v>267</v>
      </c>
      <c r="C243" s="54" t="str">
        <f>VLOOKUP(B243,'[1]Product by Part Number'!$A:$K,2,0)</f>
        <v xml:space="preserve">CAT D7G (92V) CAT D7G (3ZD) CAT D7G (3ZD) (2)                                        </v>
      </c>
      <c r="D243" s="54" t="str">
        <f>VLOOKUP(B243,'[1]Product by Part Number'!$A:$K,3,0)</f>
        <v>HYDRAULIC OIL FILTER ELEMENT</v>
      </c>
      <c r="E243" s="55">
        <f>VLOOKUP(B243,'[1]Product by Part Number'!$A:$K,11,0)</f>
        <v>15</v>
      </c>
      <c r="F243" s="56">
        <f>VLOOKUP(B243,'[1]Product by Part Number'!$A:$K,4,0)</f>
        <v>131.11000000000001</v>
      </c>
      <c r="G243" s="56">
        <f t="shared" si="8"/>
        <v>1966.65</v>
      </c>
      <c r="H243" s="57">
        <f>VLOOKUP(B243,'[1]Product by Part Number'!$A:$K,5,0)</f>
        <v>49.82</v>
      </c>
      <c r="I243" s="88">
        <f t="shared" si="9"/>
        <v>747.3</v>
      </c>
    </row>
    <row r="244" spans="2:9" s="53" customFormat="1" x14ac:dyDescent="0.3">
      <c r="B244" s="78" t="s">
        <v>268</v>
      </c>
      <c r="C244" s="54" t="str">
        <f>VLOOKUP(B244,'[1]Product by Part Number'!$A:$K,2,0)</f>
        <v xml:space="preserve">CAT D5 (3CR) CAT D5 (3CR) (2)                                          </v>
      </c>
      <c r="D244" s="54" t="str">
        <f>VLOOKUP(B244,'[1]Product by Part Number'!$A:$K,3,0)</f>
        <v>END BIT RH</v>
      </c>
      <c r="E244" s="55">
        <f>VLOOKUP(B244,'[1]Product by Part Number'!$A:$K,11,0)</f>
        <v>2</v>
      </c>
      <c r="F244" s="56">
        <f>VLOOKUP(B244,'[1]Product by Part Number'!$A:$K,4,0)</f>
        <v>273.04000000000002</v>
      </c>
      <c r="G244" s="56">
        <f t="shared" si="8"/>
        <v>546.08000000000004</v>
      </c>
      <c r="H244" s="57">
        <f>VLOOKUP(B244,'[1]Product by Part Number'!$A:$K,5,0)</f>
        <v>103.76</v>
      </c>
      <c r="I244" s="88">
        <f t="shared" si="9"/>
        <v>207.52</v>
      </c>
    </row>
    <row r="245" spans="2:9" s="53" customFormat="1" x14ac:dyDescent="0.3">
      <c r="B245" s="78" t="s">
        <v>269</v>
      </c>
      <c r="C245" s="54" t="str">
        <f>VLOOKUP(B245,'[1]Product by Part Number'!$A:$K,2,0)</f>
        <v xml:space="preserve">CAT D5 (3CR) CAT D5 (3CR) (2)                                          </v>
      </c>
      <c r="D245" s="54" t="str">
        <f>VLOOKUP(B245,'[1]Product by Part Number'!$A:$K,3,0)</f>
        <v>END BIT LH</v>
      </c>
      <c r="E245" s="55">
        <f>VLOOKUP(B245,'[1]Product by Part Number'!$A:$K,11,0)</f>
        <v>2</v>
      </c>
      <c r="F245" s="56">
        <f>VLOOKUP(B245,'[1]Product by Part Number'!$A:$K,4,0)</f>
        <v>273.04000000000002</v>
      </c>
      <c r="G245" s="56">
        <f t="shared" si="8"/>
        <v>546.08000000000004</v>
      </c>
      <c r="H245" s="57">
        <f>VLOOKUP(B245,'[1]Product by Part Number'!$A:$K,5,0)</f>
        <v>103.76</v>
      </c>
      <c r="I245" s="88">
        <f t="shared" si="9"/>
        <v>207.52</v>
      </c>
    </row>
    <row r="246" spans="2:9" s="53" customFormat="1" x14ac:dyDescent="0.3">
      <c r="B246" s="78" t="s">
        <v>270</v>
      </c>
      <c r="C246" s="54" t="str">
        <f>VLOOKUP(B246,'[1]Product by Part Number'!$A:$K,2,0)</f>
        <v xml:space="preserve">CAT D3 (1PJ)                                            </v>
      </c>
      <c r="D246" s="54" t="str">
        <f>VLOOKUP(B246,'[1]Product by Part Number'!$A:$K,3,0)</f>
        <v>END BIT</v>
      </c>
      <c r="E246" s="55">
        <f>VLOOKUP(B246,'[1]Product by Part Number'!$A:$K,11,0)</f>
        <v>2</v>
      </c>
      <c r="F246" s="56">
        <f>VLOOKUP(B246,'[1]Product by Part Number'!$A:$K,4,0)</f>
        <v>73.28</v>
      </c>
      <c r="G246" s="56">
        <f t="shared" si="8"/>
        <v>146.56</v>
      </c>
      <c r="H246" s="57">
        <f>VLOOKUP(B246,'[1]Product by Part Number'!$A:$K,5,0)</f>
        <v>27.85</v>
      </c>
      <c r="I246" s="88">
        <f t="shared" si="9"/>
        <v>55.7</v>
      </c>
    </row>
    <row r="247" spans="2:9" s="53" customFormat="1" x14ac:dyDescent="0.3">
      <c r="B247" s="78" t="s">
        <v>271</v>
      </c>
      <c r="C247" s="54" t="str">
        <f>VLOOKUP(B247,'[1]Product by Part Number'!$A:$K,2,0)</f>
        <v xml:space="preserve">CAT D3 (1PJ)                                            </v>
      </c>
      <c r="D247" s="54" t="str">
        <f>VLOOKUP(B247,'[1]Product by Part Number'!$A:$K,3,0)</f>
        <v>CUTTING EDGE</v>
      </c>
      <c r="E247" s="55">
        <f>VLOOKUP(B247,'[1]Product by Part Number'!$A:$K,11,0)</f>
        <v>2</v>
      </c>
      <c r="F247" s="56">
        <f>VLOOKUP(B247,'[1]Product by Part Number'!$A:$K,4,0)</f>
        <v>195.02</v>
      </c>
      <c r="G247" s="56">
        <f t="shared" si="8"/>
        <v>390.04</v>
      </c>
      <c r="H247" s="57">
        <f>VLOOKUP(B247,'[1]Product by Part Number'!$A:$K,5,0)</f>
        <v>74.11</v>
      </c>
      <c r="I247" s="88">
        <f t="shared" si="9"/>
        <v>148.22</v>
      </c>
    </row>
    <row r="248" spans="2:9" s="53" customFormat="1" x14ac:dyDescent="0.3">
      <c r="B248" s="78" t="s">
        <v>272</v>
      </c>
      <c r="C248" s="54" t="str">
        <f>VLOOKUP(B248,'[1]Product by Part Number'!$A:$K,2,0)</f>
        <v xml:space="preserve">CAT D5 (3CR) CAT D5 (3CR) (2)                                          </v>
      </c>
      <c r="D248" s="54" t="str">
        <f>VLOOKUP(B248,'[1]Product by Part Number'!$A:$K,3,0)</f>
        <v>CUTTING EDGE</v>
      </c>
      <c r="E248" s="55">
        <f>VLOOKUP(B248,'[1]Product by Part Number'!$A:$K,11,0)</f>
        <v>4</v>
      </c>
      <c r="F248" s="56">
        <f>VLOOKUP(B248,'[1]Product by Part Number'!$A:$K,4,0)</f>
        <v>296.41000000000003</v>
      </c>
      <c r="G248" s="56">
        <f t="shared" si="8"/>
        <v>1185.6400000000001</v>
      </c>
      <c r="H248" s="57">
        <f>VLOOKUP(B248,'[1]Product by Part Number'!$A:$K,5,0)</f>
        <v>112.64</v>
      </c>
      <c r="I248" s="88">
        <f t="shared" si="9"/>
        <v>450.56</v>
      </c>
    </row>
    <row r="249" spans="2:9" s="53" customFormat="1" x14ac:dyDescent="0.3">
      <c r="B249" s="78" t="s">
        <v>273</v>
      </c>
      <c r="C249" s="54" t="str">
        <f>VLOOKUP(B249,'[1]Product by Part Number'!$A:$K,2,0)</f>
        <v xml:space="preserve">CAT D4 (66J)                                            </v>
      </c>
      <c r="D249" s="54" t="str">
        <f>VLOOKUP(B249,'[1]Product by Part Number'!$A:$K,3,0)</f>
        <v>SPROCKET SEGMENT</v>
      </c>
      <c r="E249" s="55">
        <f>VLOOKUP(B249,'[1]Product by Part Number'!$A:$K,11,0)</f>
        <v>2</v>
      </c>
      <c r="F249" s="56">
        <f>VLOOKUP(B249,'[1]Product by Part Number'!$A:$K,4,0)</f>
        <v>1870.5</v>
      </c>
      <c r="G249" s="56">
        <f t="shared" si="8"/>
        <v>3741</v>
      </c>
      <c r="H249" s="57">
        <f>VLOOKUP(B249,'[1]Product by Part Number'!$A:$K,5,0)</f>
        <v>935.25</v>
      </c>
      <c r="I249" s="88">
        <f t="shared" si="9"/>
        <v>1870.5</v>
      </c>
    </row>
    <row r="250" spans="2:9" s="53" customFormat="1" ht="53.4" x14ac:dyDescent="0.3">
      <c r="B250" s="78" t="s">
        <v>274</v>
      </c>
      <c r="C250" s="54" t="str">
        <f>VLOOKUP(B250,'[1]Product by Part Number'!$A:$K,2,0)</f>
        <v xml:space="preserve">CAT 561N (CPH) CAT 561N (CPH) (2) CAT 561N (CPH) (3) CAT 561N (CPH) (4) CAT 561N (CPH) (5) CAT PL61 (WGS) CAT PL61 (WGS) (2) CAT PL61 (WGS) (3)                              </v>
      </c>
      <c r="D250" s="54" t="str">
        <f>VLOOKUP(B250,'[1]Product by Part Number'!$A:$K,3,0)</f>
        <v>ENGINE OIL FILTER</v>
      </c>
      <c r="E250" s="55">
        <f>VLOOKUP(B250,'[1]Product by Part Number'!$A:$K,11,0)</f>
        <v>40</v>
      </c>
      <c r="F250" s="56">
        <f>VLOOKUP(B250,'[1]Product by Part Number'!$A:$K,4,0)</f>
        <v>78</v>
      </c>
      <c r="G250" s="56">
        <f t="shared" si="8"/>
        <v>3120</v>
      </c>
      <c r="H250" s="57">
        <f>VLOOKUP(B250,'[1]Product by Part Number'!$A:$K,5,0)</f>
        <v>29.64</v>
      </c>
      <c r="I250" s="88">
        <f t="shared" si="9"/>
        <v>1185.5999999999999</v>
      </c>
    </row>
    <row r="251" spans="2:9" s="53" customFormat="1" ht="66.599999999999994" x14ac:dyDescent="0.3">
      <c r="B251" s="78" t="s">
        <v>275</v>
      </c>
      <c r="C251" s="54" t="str">
        <f>VLOOKUP(B251,'[1]Product by Part Number'!$A:$K,2,0)</f>
        <v xml:space="preserve">CAT 320 (HEX) CAT 320 (MYK) CAT 320 (MYK) (2) CAT 330 (LHW) CAT 330 (LHW) (2) CAT 330 (LHW) (3) CAT 330 (LHW) (4) CAT 330 (WCH) CAT 330 (WCH) (2) CAT 330 (WCH) (3) CAT 330 (WCH) (4) CAT 330 (WCH) (5) CAT 330 (WCH) (6)                    </v>
      </c>
      <c r="D251" s="54" t="str">
        <f>VLOOKUP(B251,'[1]Product by Part Number'!$A:$K,3,0)</f>
        <v xml:space="preserve">CABIN AIR FILTER ELEMENT </v>
      </c>
      <c r="E251" s="55">
        <f>VLOOKUP(B251,'[1]Product by Part Number'!$A:$K,11,0)</f>
        <v>39</v>
      </c>
      <c r="F251" s="56">
        <f>VLOOKUP(B251,'[1]Product by Part Number'!$A:$K,4,0)</f>
        <v>87.85</v>
      </c>
      <c r="G251" s="56">
        <f t="shared" si="8"/>
        <v>3426.1499999999996</v>
      </c>
      <c r="H251" s="57">
        <f>VLOOKUP(B251,'[1]Product by Part Number'!$A:$K,5,0)</f>
        <v>33.380000000000003</v>
      </c>
      <c r="I251" s="88">
        <f t="shared" si="9"/>
        <v>1301.82</v>
      </c>
    </row>
    <row r="252" spans="2:9" s="53" customFormat="1" ht="79.8" x14ac:dyDescent="0.3">
      <c r="B252" s="78" t="s">
        <v>276</v>
      </c>
      <c r="C252" s="54" t="str">
        <f>VLOOKUP(B252,'[1]Product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52" s="54" t="str">
        <f>VLOOKUP(B252,'[1]Product by Part Number'!$A:$K,3,0)</f>
        <v>SINGLE FLANGE TRACK ROLLER</v>
      </c>
      <c r="E252" s="55">
        <f>VLOOKUP(B252,'[1]Product by Part Number'!$A:$K,11,0)</f>
        <v>288</v>
      </c>
      <c r="F252" s="56">
        <f>VLOOKUP(B252,'[1]Product by Part Number'!$A:$K,4,0)</f>
        <v>862.15</v>
      </c>
      <c r="G252" s="56">
        <f t="shared" si="8"/>
        <v>248299.19999999998</v>
      </c>
      <c r="H252" s="57">
        <f>VLOOKUP(B252,'[1]Product by Part Number'!$A:$K,5,0)</f>
        <v>431.08</v>
      </c>
      <c r="I252" s="88">
        <f t="shared" si="9"/>
        <v>124151.03999999999</v>
      </c>
    </row>
    <row r="253" spans="2:9" s="53" customFormat="1" x14ac:dyDescent="0.3">
      <c r="B253" s="78" t="s">
        <v>277</v>
      </c>
      <c r="C253" s="54" t="str">
        <f>VLOOKUP(B253,'[1]Product by Part Number'!$A:$K,2,0)</f>
        <v xml:space="preserve">CAT D6 (RDC)                                            </v>
      </c>
      <c r="D253" s="54" t="str">
        <f>VLOOKUP(B253,'[1]Product by Part Number'!$A:$K,3,0)</f>
        <v>HEX NUT</v>
      </c>
      <c r="E253" s="55">
        <f>VLOOKUP(B253,'[1]Product by Part Number'!$A:$K,11,0)</f>
        <v>50</v>
      </c>
      <c r="F253" s="56">
        <f>VLOOKUP(B253,'[1]Product by Part Number'!$A:$K,4,0)</f>
        <v>10.44</v>
      </c>
      <c r="G253" s="56">
        <f t="shared" si="8"/>
        <v>522</v>
      </c>
      <c r="H253" s="57">
        <f>VLOOKUP(B253,'[1]Product by Part Number'!$A:$K,5,0)</f>
        <v>5.22</v>
      </c>
      <c r="I253" s="88">
        <f t="shared" si="9"/>
        <v>261</v>
      </c>
    </row>
    <row r="254" spans="2:9" s="53" customFormat="1" ht="66.599999999999994" x14ac:dyDescent="0.3">
      <c r="B254" s="78" t="s">
        <v>278</v>
      </c>
      <c r="C254" s="54" t="str">
        <f>VLOOKUP(B254,'[1]Product by Part Number'!$A:$K,2,0)</f>
        <v xml:space="preserve">CAT 320 (HEX) CAT 320 (MYK) CAT 320 (MYK) (2) CAT 330 (LHW) CAT 330 (LHW) (2) CAT 330 (LHW) (3) CAT 330 (LHW) (4) CAT 330 (WCH) CAT 330 (WCH) (2) CAT 330 (WCH) (3) CAT 330 (WCH) (4) CAT 330 (WCH) (5) CAT 330 (WCH) (6)                    </v>
      </c>
      <c r="D254" s="54" t="str">
        <f>VLOOKUP(B254,'[1]Product by Part Number'!$A:$K,3,0)</f>
        <v>SECONDARY FUEL FILTER ELEMENT</v>
      </c>
      <c r="E254" s="55">
        <f>VLOOKUP(B254,'[1]Product by Part Number'!$A:$K,11,0)</f>
        <v>65</v>
      </c>
      <c r="F254" s="56">
        <f>VLOOKUP(B254,'[1]Product by Part Number'!$A:$K,4,0)</f>
        <v>66.94</v>
      </c>
      <c r="G254" s="56">
        <f t="shared" si="8"/>
        <v>4351.0999999999995</v>
      </c>
      <c r="H254" s="57">
        <f>VLOOKUP(B254,'[1]Product by Part Number'!$A:$K,5,0)</f>
        <v>25.44</v>
      </c>
      <c r="I254" s="88">
        <f t="shared" si="9"/>
        <v>1653.6</v>
      </c>
    </row>
    <row r="255" spans="2:9" s="53" customFormat="1" x14ac:dyDescent="0.3">
      <c r="B255" s="78" t="s">
        <v>45</v>
      </c>
      <c r="C255" s="54" t="str">
        <f>VLOOKUP(B255,'[1]Product by Part Number'!$A:$K,2,0)</f>
        <v xml:space="preserve">CAT D7G (92V) CAT D7G (3ZD) CAT D7G (3ZD) (2)                                        </v>
      </c>
      <c r="D255" s="54" t="str">
        <f>VLOOKUP(B255,'[1]Product by Part Number'!$A:$K,3,0)</f>
        <v>FUEL WATER SEPARATOR FILTER</v>
      </c>
      <c r="E255" s="55">
        <f>VLOOKUP(B255,'[1]Product by Part Number'!$A:$K,11,0)</f>
        <v>30</v>
      </c>
      <c r="F255" s="56">
        <f>VLOOKUP(B255,'[1]Product by Part Number'!$A:$K,4,0)</f>
        <v>104</v>
      </c>
      <c r="G255" s="56">
        <f t="shared" si="8"/>
        <v>3120</v>
      </c>
      <c r="H255" s="57">
        <f>VLOOKUP(B255,'[1]Product by Part Number'!$A:$K,5,0)</f>
        <v>39.520000000000003</v>
      </c>
      <c r="I255" s="88">
        <f t="shared" si="9"/>
        <v>1185.5999999999999</v>
      </c>
    </row>
    <row r="256" spans="2:9" s="53" customFormat="1" ht="53.4" x14ac:dyDescent="0.3">
      <c r="B256" s="78" t="s">
        <v>279</v>
      </c>
      <c r="C256" s="54" t="str">
        <f>VLOOKUP(B256,'[1]Product by Part Number'!$A:$K,2,0)</f>
        <v xml:space="preserve">CAT 330 (LHW) CAT 330 (LHW) (2) CAT 330 (LHW) (3) CAT 330 (LHW) (4) CAT 330 (WCH) CAT 330 (WCH) (2) CAT 330 (WCH) (3) CAT 330 (WCH) (4) CAT 330 (WCH) (5) CAT 330 (WCH) (6)                          </v>
      </c>
      <c r="D256" s="54" t="str">
        <f>VLOOKUP(B256,'[1]Product by Part Number'!$A:$K,3,0)</f>
        <v>TRACK SHOE 800MM</v>
      </c>
      <c r="E256" s="55">
        <f>VLOOKUP(B256,'[1]Product by Part Number'!$A:$K,11,0)</f>
        <v>1000</v>
      </c>
      <c r="F256" s="56">
        <f>VLOOKUP(B256,'[1]Product by Part Number'!$A:$K,4,0)</f>
        <v>230.91</v>
      </c>
      <c r="G256" s="56">
        <f t="shared" si="8"/>
        <v>230910</v>
      </c>
      <c r="H256" s="57">
        <f>VLOOKUP(B256,'[1]Product by Part Number'!$A:$K,5,0)</f>
        <v>115.46</v>
      </c>
      <c r="I256" s="88">
        <f t="shared" si="9"/>
        <v>115460</v>
      </c>
    </row>
    <row r="257" spans="2:9" s="53" customFormat="1" x14ac:dyDescent="0.3">
      <c r="B257" s="78" t="s">
        <v>49</v>
      </c>
      <c r="C257" s="54" t="str">
        <f>VLOOKUP(B257,'[1]Product by Part Number'!$A:$K,2,0)</f>
        <v xml:space="preserve">CAT 336F L (RKB)                                            </v>
      </c>
      <c r="D257" s="54" t="str">
        <f>VLOOKUP(B257,'[1]Product by Part Number'!$A:$K,3,0)</f>
        <v>SPROCKET BOLT</v>
      </c>
      <c r="E257" s="55">
        <f>VLOOKUP(B257,'[1]Product by Part Number'!$A:$K,11,0)</f>
        <v>32</v>
      </c>
      <c r="F257" s="56">
        <f>VLOOKUP(B257,'[1]Product by Part Number'!$A:$K,4,0)</f>
        <v>22.52</v>
      </c>
      <c r="G257" s="56">
        <f t="shared" si="8"/>
        <v>720.64</v>
      </c>
      <c r="H257" s="57">
        <f>VLOOKUP(B257,'[1]Product by Part Number'!$A:$K,5,0)</f>
        <v>11.26</v>
      </c>
      <c r="I257" s="88">
        <f t="shared" si="9"/>
        <v>360.32</v>
      </c>
    </row>
    <row r="258" spans="2:9" s="53" customFormat="1" ht="66.599999999999994" x14ac:dyDescent="0.3">
      <c r="B258" s="78" t="s">
        <v>280</v>
      </c>
      <c r="C258" s="54" t="str">
        <f>VLOOKUP(B258,'[1]Product by Part Number'!$A:$K,2,0)</f>
        <v xml:space="preserve">CAT 320 (HEX) CAT 320 (MYK) CAT 320 (MYK) (2) CAT 330 (LHW) CAT 330 (LHW) (2) CAT 330 (LHW) (3) CAT 330 (LHW) (4) CAT 330 (WCH) CAT 330 (WCH) (2) CAT 330 (WCH) (3) CAT 330 (WCH) (4) CAT 330 (WCH) (5) CAT 330 (WCH) (6)                    </v>
      </c>
      <c r="D258" s="54" t="str">
        <f>VLOOKUP(B258,'[1]Product by Part Number'!$A:$K,3,0)</f>
        <v>FUEL WATER SEPARATOR ELEMENT</v>
      </c>
      <c r="E258" s="55">
        <f>VLOOKUP(B258,'[1]Product by Part Number'!$A:$K,11,0)</f>
        <v>130</v>
      </c>
      <c r="F258" s="56">
        <f>VLOOKUP(B258,'[1]Product by Part Number'!$A:$K,4,0)</f>
        <v>95.91</v>
      </c>
      <c r="G258" s="56">
        <f t="shared" si="8"/>
        <v>12468.3</v>
      </c>
      <c r="H258" s="57">
        <f>VLOOKUP(B258,'[1]Product by Part Number'!$A:$K,5,0)</f>
        <v>36.450000000000003</v>
      </c>
      <c r="I258" s="88">
        <f t="shared" si="9"/>
        <v>4738.5</v>
      </c>
    </row>
    <row r="259" spans="2:9" s="53" customFormat="1" x14ac:dyDescent="0.3">
      <c r="B259" s="78" t="s">
        <v>281</v>
      </c>
      <c r="C259" s="54" t="str">
        <f>VLOOKUP(B259,'[1]Product by Part Number'!$A:$K,2,0)</f>
        <v xml:space="preserve">CAT D6N LGP (SGG) CAT D6N LGP (SGG) (2)                                          </v>
      </c>
      <c r="D259" s="54" t="str">
        <f>VLOOKUP(B259,'[1]Product by Part Number'!$A:$K,3,0)</f>
        <v>IN-LINE FUEL FILTER</v>
      </c>
      <c r="E259" s="55">
        <f>VLOOKUP(B259,'[1]Product by Part Number'!$A:$K,11,0)</f>
        <v>10</v>
      </c>
      <c r="F259" s="56">
        <f>VLOOKUP(B259,'[1]Product by Part Number'!$A:$K,4,0)</f>
        <v>81.27</v>
      </c>
      <c r="G259" s="56">
        <f t="shared" si="8"/>
        <v>812.69999999999993</v>
      </c>
      <c r="H259" s="57">
        <f>VLOOKUP(B259,'[1]Product by Part Number'!$A:$K,5,0)</f>
        <v>30.88</v>
      </c>
      <c r="I259" s="88">
        <f t="shared" si="9"/>
        <v>308.8</v>
      </c>
    </row>
    <row r="260" spans="2:9" s="53" customFormat="1" ht="27" x14ac:dyDescent="0.3">
      <c r="B260" s="78" t="s">
        <v>282</v>
      </c>
      <c r="C260" s="54" t="str">
        <f>VLOOKUP(B260,'[1]Product by Part Number'!$A:$K,2,0)</f>
        <v xml:space="preserve">CAT 561N (CPH) CAT 561N (CPH) (2) CAT 561N (CPH) (3) CAT 561N (CPH) (4) CAT 561N (CPH) (5)                                    </v>
      </c>
      <c r="D260" s="54" t="str">
        <f>VLOOKUP(B260,'[1]Product by Part Number'!$A:$K,3,0)</f>
        <v>SEAT ASSY</v>
      </c>
      <c r="E260" s="55">
        <f>VLOOKUP(B260,'[1]Product by Part Number'!$A:$K,11,0)</f>
        <v>5</v>
      </c>
      <c r="F260" s="56">
        <f>VLOOKUP(B260,'[1]Product by Part Number'!$A:$K,4,0)</f>
        <v>2482.65</v>
      </c>
      <c r="G260" s="56">
        <f t="shared" si="8"/>
        <v>12413.25</v>
      </c>
      <c r="H260" s="57">
        <f>VLOOKUP(B260,'[1]Product by Part Number'!$A:$K,5,0)</f>
        <v>1241.33</v>
      </c>
      <c r="I260" s="88">
        <f t="shared" si="9"/>
        <v>6206.65</v>
      </c>
    </row>
    <row r="261" spans="2:9" s="53" customFormat="1" x14ac:dyDescent="0.3">
      <c r="B261" s="78" t="s">
        <v>283</v>
      </c>
      <c r="C261" s="54" t="str">
        <f>VLOOKUP(B261,'[1]Product by Part Number'!$A:$K,2,0)</f>
        <v xml:space="preserve">CAT D6N LGP (SGG) CAT D6N LGP (SGG) (2)                                          </v>
      </c>
      <c r="D261" s="54" t="str">
        <f>VLOOKUP(B261,'[1]Product by Part Number'!$A:$K,3,0)</f>
        <v>PRIMARY AIR FILTER ELEMENT</v>
      </c>
      <c r="E261" s="55">
        <f>VLOOKUP(B261,'[1]Product by Part Number'!$A:$K,11,0)</f>
        <v>6</v>
      </c>
      <c r="F261" s="56">
        <f>VLOOKUP(B261,'[1]Product by Part Number'!$A:$K,4,0)</f>
        <v>136.4</v>
      </c>
      <c r="G261" s="56">
        <f t="shared" si="8"/>
        <v>818.40000000000009</v>
      </c>
      <c r="H261" s="57">
        <f>VLOOKUP(B261,'[1]Product by Part Number'!$A:$K,5,0)</f>
        <v>51.83</v>
      </c>
      <c r="I261" s="88">
        <f t="shared" si="9"/>
        <v>310.98</v>
      </c>
    </row>
    <row r="262" spans="2:9" s="53" customFormat="1" x14ac:dyDescent="0.3">
      <c r="B262" s="78" t="s">
        <v>284</v>
      </c>
      <c r="C262" s="54" t="str">
        <f>VLOOKUP(B262,'[1]Product by Part Number'!$A:$K,2,0)</f>
        <v xml:space="preserve">CAT D6N LGP (SGG) CAT D6N LGP (SGG) (2)                                          </v>
      </c>
      <c r="D262" s="54" t="str">
        <f>VLOOKUP(B262,'[1]Product by Part Number'!$A:$K,3,0)</f>
        <v>SECONDARY AIR FILTER ELEMENT</v>
      </c>
      <c r="E262" s="55">
        <f>VLOOKUP(B262,'[1]Product by Part Number'!$A:$K,11,0)</f>
        <v>6</v>
      </c>
      <c r="F262" s="56">
        <f>VLOOKUP(B262,'[1]Product by Part Number'!$A:$K,4,0)</f>
        <v>103.4</v>
      </c>
      <c r="G262" s="56">
        <f t="shared" si="8"/>
        <v>620.40000000000009</v>
      </c>
      <c r="H262" s="57">
        <f>VLOOKUP(B262,'[1]Product by Part Number'!$A:$K,5,0)</f>
        <v>39.29</v>
      </c>
      <c r="I262" s="88">
        <f t="shared" si="9"/>
        <v>235.74</v>
      </c>
    </row>
    <row r="263" spans="2:9" s="53" customFormat="1" x14ac:dyDescent="0.3">
      <c r="B263" s="78" t="s">
        <v>285</v>
      </c>
      <c r="C263" s="54" t="str">
        <f>VLOOKUP(B263,'[1]Product by Part Number'!$A:$K,2,0)</f>
        <v xml:space="preserve">CAT D3 (1PJ)                                            </v>
      </c>
      <c r="D263" s="54" t="str">
        <f>VLOOKUP(B263,'[1]Product by Part Number'!$A:$K,3,0)</f>
        <v>TRACK IDLER AND BEARING ASSY</v>
      </c>
      <c r="E263" s="55">
        <f>VLOOKUP(B263,'[1]Product by Part Number'!$A:$K,11,0)</f>
        <v>2</v>
      </c>
      <c r="F263" s="56">
        <f>VLOOKUP(B263,'[1]Product by Part Number'!$A:$K,4,0)</f>
        <v>1859.1</v>
      </c>
      <c r="G263" s="56">
        <f t="shared" si="8"/>
        <v>3718.2</v>
      </c>
      <c r="H263" s="57">
        <f>VLOOKUP(B263,'[1]Product by Part Number'!$A:$K,5,0)</f>
        <v>929.55</v>
      </c>
      <c r="I263" s="88">
        <f t="shared" si="9"/>
        <v>1859.1</v>
      </c>
    </row>
    <row r="264" spans="2:9" s="53" customFormat="1" x14ac:dyDescent="0.3">
      <c r="B264" s="78" t="s">
        <v>286</v>
      </c>
      <c r="C264" s="54" t="str">
        <f>VLOOKUP(B264,'[1]Product by Part Number'!$A:$K,2,0)</f>
        <v xml:space="preserve">CAT D6N LGP (PBA) CAT D6N LGP (PBA) (2)                                          </v>
      </c>
      <c r="D264" s="54" t="str">
        <f>VLOOKUP(B264,'[1]Product by Part Number'!$A:$K,3,0)</f>
        <v>PRIMARY AIR FILTER ELEMENT</v>
      </c>
      <c r="E264" s="55">
        <f>VLOOKUP(B264,'[1]Product by Part Number'!$A:$K,11,0)</f>
        <v>6</v>
      </c>
      <c r="F264" s="56">
        <f>VLOOKUP(B264,'[1]Product by Part Number'!$A:$K,4,0)</f>
        <v>225.94</v>
      </c>
      <c r="G264" s="56">
        <f t="shared" si="8"/>
        <v>1355.6399999999999</v>
      </c>
      <c r="H264" s="57">
        <f>VLOOKUP(B264,'[1]Product by Part Number'!$A:$K,5,0)</f>
        <v>85.86</v>
      </c>
      <c r="I264" s="88">
        <f t="shared" si="9"/>
        <v>515.16</v>
      </c>
    </row>
    <row r="265" spans="2:9" s="53" customFormat="1" x14ac:dyDescent="0.3">
      <c r="B265" s="78" t="s">
        <v>287</v>
      </c>
      <c r="C265" s="54" t="str">
        <f>VLOOKUP(B265,'[1]Product by Part Number'!$A:$K,2,0)</f>
        <v xml:space="preserve">CAT D6T (MH7)                                            </v>
      </c>
      <c r="D265" s="54" t="str">
        <f>VLOOKUP(B265,'[1]Product by Part Number'!$A:$K,3,0)</f>
        <v>TRACK SHOE RH - 790MM - OFFSET</v>
      </c>
      <c r="E265" s="55">
        <f>VLOOKUP(B265,'[1]Product by Part Number'!$A:$K,11,0)</f>
        <v>44</v>
      </c>
      <c r="F265" s="56">
        <f>VLOOKUP(B265,'[1]Product by Part Number'!$A:$K,4,0)</f>
        <v>223.22</v>
      </c>
      <c r="G265" s="56">
        <f t="shared" si="8"/>
        <v>9821.68</v>
      </c>
      <c r="H265" s="57">
        <f>VLOOKUP(B265,'[1]Product by Part Number'!$A:$K,5,0)</f>
        <v>111.61</v>
      </c>
      <c r="I265" s="88">
        <f t="shared" si="9"/>
        <v>4910.84</v>
      </c>
    </row>
    <row r="266" spans="2:9" s="53" customFormat="1" x14ac:dyDescent="0.3">
      <c r="B266" s="78" t="s">
        <v>288</v>
      </c>
      <c r="C266" s="54" t="str">
        <f>VLOOKUP(B266,'[1]Product by Part Number'!$A:$K,2,0)</f>
        <v xml:space="preserve">CAT D6T (MH7)                                            </v>
      </c>
      <c r="D266" s="54" t="str">
        <f>VLOOKUP(B266,'[1]Product by Part Number'!$A:$K,3,0)</f>
        <v>TRACK SHOE MASTER RH</v>
      </c>
      <c r="E266" s="55">
        <f>VLOOKUP(B266,'[1]Product by Part Number'!$A:$K,11,0)</f>
        <v>1</v>
      </c>
      <c r="F266" s="56">
        <f>VLOOKUP(B266,'[1]Product by Part Number'!$A:$K,4,0)</f>
        <v>242.72</v>
      </c>
      <c r="G266" s="56">
        <f t="shared" si="8"/>
        <v>242.72</v>
      </c>
      <c r="H266" s="57">
        <f>VLOOKUP(B266,'[1]Product by Part Number'!$A:$K,5,0)</f>
        <v>121.36</v>
      </c>
      <c r="I266" s="88">
        <f t="shared" si="9"/>
        <v>121.36</v>
      </c>
    </row>
    <row r="267" spans="2:9" s="53" customFormat="1" x14ac:dyDescent="0.3">
      <c r="B267" s="78" t="s">
        <v>289</v>
      </c>
      <c r="C267" s="54" t="str">
        <f>VLOOKUP(B267,'[1]Product by Part Number'!$A:$K,2,0)</f>
        <v xml:space="preserve">CAT D6T (MH7)                                            </v>
      </c>
      <c r="D267" s="54" t="str">
        <f>VLOOKUP(B267,'[1]Product by Part Number'!$A:$K,3,0)</f>
        <v>TRACK SHOE LH - 790MM - OFFSET</v>
      </c>
      <c r="E267" s="55">
        <f>VLOOKUP(B267,'[1]Product by Part Number'!$A:$K,11,0)</f>
        <v>44</v>
      </c>
      <c r="F267" s="56">
        <f>VLOOKUP(B267,'[1]Product by Part Number'!$A:$K,4,0)</f>
        <v>223.22</v>
      </c>
      <c r="G267" s="56">
        <f t="shared" si="8"/>
        <v>9821.68</v>
      </c>
      <c r="H267" s="57">
        <f>VLOOKUP(B267,'[1]Product by Part Number'!$A:$K,5,0)</f>
        <v>111.61</v>
      </c>
      <c r="I267" s="88">
        <f t="shared" si="9"/>
        <v>4910.84</v>
      </c>
    </row>
    <row r="268" spans="2:9" s="53" customFormat="1" x14ac:dyDescent="0.3">
      <c r="B268" s="78" t="s">
        <v>290</v>
      </c>
      <c r="C268" s="54" t="str">
        <f>VLOOKUP(B268,'[1]Product by Part Number'!$A:$K,2,0)</f>
        <v xml:space="preserve">CAT D6T (MH7)                                            </v>
      </c>
      <c r="D268" s="54" t="str">
        <f>VLOOKUP(B268,'[1]Product by Part Number'!$A:$K,3,0)</f>
        <v>TRACK SHOE MASTER LH</v>
      </c>
      <c r="E268" s="55">
        <f>VLOOKUP(B268,'[1]Product by Part Number'!$A:$K,11,0)</f>
        <v>1</v>
      </c>
      <c r="F268" s="56">
        <f>VLOOKUP(B268,'[1]Product by Part Number'!$A:$K,4,0)</f>
        <v>235.62</v>
      </c>
      <c r="G268" s="56">
        <f t="shared" si="8"/>
        <v>235.62</v>
      </c>
      <c r="H268" s="57">
        <f>VLOOKUP(B268,'[1]Product by Part Number'!$A:$K,5,0)</f>
        <v>117.81</v>
      </c>
      <c r="I268" s="88">
        <f t="shared" si="9"/>
        <v>117.81</v>
      </c>
    </row>
    <row r="269" spans="2:9" s="53" customFormat="1" ht="27" x14ac:dyDescent="0.3">
      <c r="B269" s="78" t="s">
        <v>291</v>
      </c>
      <c r="C269" s="54" t="str">
        <f>VLOOKUP(B269,'[1]Product by Part Number'!$A:$K,2,0)</f>
        <v xml:space="preserve">CAT D4 (66J) CAT D6N LGP (GHS) CAT D6N LGP (SGG) CAT D6N LGP (SGG) (2)                                      </v>
      </c>
      <c r="D269" s="54" t="str">
        <f>VLOOKUP(B269,'[1]Product by Part Number'!$A:$K,3,0)</f>
        <v>TRACK LINK ASSEMBLY</v>
      </c>
      <c r="E269" s="55">
        <f>VLOOKUP(B269,'[1]Product by Part Number'!$A:$K,11,0)</f>
        <v>8</v>
      </c>
      <c r="F269" s="56">
        <f>VLOOKUP(B269,'[1]Product by Part Number'!$A:$K,4,0)</f>
        <v>13503.77</v>
      </c>
      <c r="G269" s="56">
        <f t="shared" si="8"/>
        <v>108030.16</v>
      </c>
      <c r="H269" s="57">
        <f>VLOOKUP(B269,'[1]Product by Part Number'!$A:$K,5,0)</f>
        <v>6751.89</v>
      </c>
      <c r="I269" s="88">
        <f t="shared" si="9"/>
        <v>54015.12</v>
      </c>
    </row>
    <row r="270" spans="2:9" s="53" customFormat="1" x14ac:dyDescent="0.3">
      <c r="B270" s="78" t="s">
        <v>292</v>
      </c>
      <c r="C270" s="54" t="str">
        <f>VLOOKUP(B270,'[1]Product by Part Number'!$A:$K,2,0)</f>
        <v xml:space="preserve">CAT D6 (RDC)                                            </v>
      </c>
      <c r="D270" s="54" t="str">
        <f>VLOOKUP(B270,'[1]Product by Part Number'!$A:$K,3,0)</f>
        <v>CABIN AIR FILTER ELEMENT</v>
      </c>
      <c r="E270" s="55">
        <f>VLOOKUP(B270,'[1]Product by Part Number'!$A:$K,11,0)</f>
        <v>3</v>
      </c>
      <c r="F270" s="56">
        <f>VLOOKUP(B270,'[1]Product by Part Number'!$A:$K,4,0)</f>
        <v>143.80000000000001</v>
      </c>
      <c r="G270" s="56">
        <f t="shared" si="8"/>
        <v>431.40000000000003</v>
      </c>
      <c r="H270" s="57">
        <f>VLOOKUP(B270,'[1]Product by Part Number'!$A:$K,5,0)</f>
        <v>54.64</v>
      </c>
      <c r="I270" s="88">
        <f t="shared" si="9"/>
        <v>163.92</v>
      </c>
    </row>
    <row r="271" spans="2:9" s="53" customFormat="1" x14ac:dyDescent="0.3">
      <c r="B271" s="78" t="s">
        <v>293</v>
      </c>
      <c r="C271" s="54" t="str">
        <f>VLOOKUP(B271,'[1]Product by Part Number'!$A:$K,2,0)</f>
        <v xml:space="preserve">CAT D7G (92V) CAT D7G (3ZD) CAT D7G (3ZD) (2)                                        </v>
      </c>
      <c r="D271" s="54" t="str">
        <f>VLOOKUP(B271,'[1]Product by Part Number'!$A:$K,3,0)</f>
        <v>DUAL FLANGE ROLLER</v>
      </c>
      <c r="E271" s="55">
        <f>VLOOKUP(B271,'[1]Product by Part Number'!$A:$K,11,0)</f>
        <v>36</v>
      </c>
      <c r="F271" s="56">
        <f>VLOOKUP(B271,'[1]Product by Part Number'!$A:$K,4,0)</f>
        <v>1169.26</v>
      </c>
      <c r="G271" s="56">
        <f t="shared" si="8"/>
        <v>42093.36</v>
      </c>
      <c r="H271" s="57">
        <f>VLOOKUP(B271,'[1]Product by Part Number'!$A:$K,5,0)</f>
        <v>584.63</v>
      </c>
      <c r="I271" s="88">
        <f t="shared" si="9"/>
        <v>21046.68</v>
      </c>
    </row>
    <row r="272" spans="2:9" s="53" customFormat="1" x14ac:dyDescent="0.3">
      <c r="B272" s="78" t="s">
        <v>294</v>
      </c>
      <c r="C272" s="54" t="str">
        <f>VLOOKUP(B272,'[1]Product by Part Number'!$A:$K,2,0)</f>
        <v xml:space="preserve">CAT D3 (1PJ)                                            </v>
      </c>
      <c r="D272" s="54" t="str">
        <f>VLOOKUP(B272,'[1]Product by Part Number'!$A:$K,3,0)</f>
        <v>FUEL INJECTOR</v>
      </c>
      <c r="E272" s="55">
        <f>VLOOKUP(B272,'[1]Product by Part Number'!$A:$K,11,0)</f>
        <v>4</v>
      </c>
      <c r="F272" s="56">
        <f>VLOOKUP(B272,'[1]Product by Part Number'!$A:$K,4,0)</f>
        <v>1132.93</v>
      </c>
      <c r="G272" s="56">
        <f t="shared" ref="G272:G335" si="10">E272*F272</f>
        <v>4531.72</v>
      </c>
      <c r="H272" s="57">
        <f>VLOOKUP(B272,'[1]Product by Part Number'!$A:$K,5,0)</f>
        <v>566.47</v>
      </c>
      <c r="I272" s="88">
        <f t="shared" ref="I272:I335" si="11">ROUND(E272*H272,2)</f>
        <v>2265.88</v>
      </c>
    </row>
    <row r="273" spans="2:9" s="53" customFormat="1" x14ac:dyDescent="0.3">
      <c r="B273" s="78" t="s">
        <v>295</v>
      </c>
      <c r="C273" s="54" t="str">
        <f>VLOOKUP(B273,'[1]Product by Part Number'!$A:$K,2,0)</f>
        <v xml:space="preserve">CAT D6N LGP (PBA) CAT D6N LGP (PBA) (2)                                          </v>
      </c>
      <c r="D273" s="54" t="str">
        <f>VLOOKUP(B273,'[1]Product by Part Number'!$A:$K,3,0)</f>
        <v xml:space="preserve">TRACK LINK ASSEMBLY </v>
      </c>
      <c r="E273" s="55">
        <f>VLOOKUP(B273,'[1]Product by Part Number'!$A:$K,11,0)</f>
        <v>4</v>
      </c>
      <c r="F273" s="56">
        <f>VLOOKUP(B273,'[1]Product by Part Number'!$A:$K,4,0)</f>
        <v>17735.5</v>
      </c>
      <c r="G273" s="56">
        <f t="shared" si="10"/>
        <v>70942</v>
      </c>
      <c r="H273" s="57">
        <f>VLOOKUP(B273,'[1]Product by Part Number'!$A:$K,5,0)</f>
        <v>8867.75</v>
      </c>
      <c r="I273" s="88">
        <f t="shared" si="11"/>
        <v>35471</v>
      </c>
    </row>
    <row r="274" spans="2:9" s="53" customFormat="1" x14ac:dyDescent="0.3">
      <c r="B274" s="78" t="s">
        <v>296</v>
      </c>
      <c r="C274" s="54" t="str">
        <f>VLOOKUP(B274,'[1]Product by Part Number'!$A:$K,2,0)</f>
        <v xml:space="preserve">CAT D6T (MH7)                                            </v>
      </c>
      <c r="D274" s="54" t="str">
        <f>VLOOKUP(B274,'[1]Product by Part Number'!$A:$K,3,0)</f>
        <v>TRACK LINK ASSEMBLY</v>
      </c>
      <c r="E274" s="55">
        <f>VLOOKUP(B274,'[1]Product by Part Number'!$A:$K,11,0)</f>
        <v>2</v>
      </c>
      <c r="F274" s="56">
        <f>VLOOKUP(B274,'[1]Product by Part Number'!$A:$K,4,0)</f>
        <v>15772.81</v>
      </c>
      <c r="G274" s="56">
        <f t="shared" si="10"/>
        <v>31545.62</v>
      </c>
      <c r="H274" s="57">
        <f>VLOOKUP(B274,'[1]Product by Part Number'!$A:$K,5,0)</f>
        <v>7886.41</v>
      </c>
      <c r="I274" s="88">
        <f t="shared" si="11"/>
        <v>15772.82</v>
      </c>
    </row>
    <row r="275" spans="2:9" s="53" customFormat="1" x14ac:dyDescent="0.3">
      <c r="B275" s="78" t="s">
        <v>297</v>
      </c>
      <c r="C275" s="54" t="str">
        <f>VLOOKUP(B275,'[1]Product by Part Number'!$A:$K,2,0)</f>
        <v xml:space="preserve">CAT 303.5E                                            </v>
      </c>
      <c r="D275" s="54" t="str">
        <f>VLOOKUP(B275,'[1]Product by Part Number'!$A:$K,3,0)</f>
        <v>RUBBER TRACKS</v>
      </c>
      <c r="E275" s="55">
        <f>VLOOKUP(B275,'[1]Product by Part Number'!$A:$K,11,0)</f>
        <v>2</v>
      </c>
      <c r="F275" s="56">
        <f>VLOOKUP(B275,'[1]Product by Part Number'!$A:$K,4,0)</f>
        <v>2467.27</v>
      </c>
      <c r="G275" s="56">
        <f t="shared" si="10"/>
        <v>4934.54</v>
      </c>
      <c r="H275" s="57">
        <f>VLOOKUP(B275,'[1]Product by Part Number'!$A:$K,5,0)</f>
        <v>1233.6400000000001</v>
      </c>
      <c r="I275" s="88">
        <f t="shared" si="11"/>
        <v>2467.2800000000002</v>
      </c>
    </row>
    <row r="276" spans="2:9" s="53" customFormat="1" x14ac:dyDescent="0.3">
      <c r="B276" s="78" t="s">
        <v>298</v>
      </c>
      <c r="C276" s="54" t="str">
        <f>VLOOKUP(B276,'[1]Product by Part Number'!$A:$K,2,0)</f>
        <v xml:space="preserve">CAT 320 (MYK) CAT 320 (MYK) (2)                                          </v>
      </c>
      <c r="D276" s="54" t="str">
        <f>VLOOKUP(B276,'[1]Product by Part Number'!$A:$K,3,0)</f>
        <v>SECONDARY TURBOCHARGER ASSEMBLY</v>
      </c>
      <c r="E276" s="55">
        <f>VLOOKUP(B276,'[1]Product by Part Number'!$A:$K,11,0)</f>
        <v>2</v>
      </c>
      <c r="F276" s="56">
        <f>VLOOKUP(B276,'[1]Product by Part Number'!$A:$K,4,0)</f>
        <v>3756.87</v>
      </c>
      <c r="G276" s="56">
        <f t="shared" si="10"/>
        <v>7513.74</v>
      </c>
      <c r="H276" s="57">
        <f>VLOOKUP(B276,'[1]Product by Part Number'!$A:$K,5,0)</f>
        <v>1878.44</v>
      </c>
      <c r="I276" s="88">
        <f t="shared" si="11"/>
        <v>3756.88</v>
      </c>
    </row>
    <row r="277" spans="2:9" s="53" customFormat="1" x14ac:dyDescent="0.3">
      <c r="B277" s="78" t="s">
        <v>299</v>
      </c>
      <c r="C277" s="54" t="str">
        <f>VLOOKUP(B277,'[1]Product by Part Number'!$A:$K,2,0)</f>
        <v xml:space="preserve">CAT D6N LGP (GHS)                                            </v>
      </c>
      <c r="D277" s="54" t="str">
        <f>VLOOKUP(B277,'[1]Product by Part Number'!$A:$K,3,0)</f>
        <v>TURBOCHARGER ASSEMBLY</v>
      </c>
      <c r="E277" s="55">
        <f>VLOOKUP(B277,'[1]Product by Part Number'!$A:$K,11,0)</f>
        <v>1</v>
      </c>
      <c r="F277" s="56">
        <f>VLOOKUP(B277,'[1]Product by Part Number'!$A:$K,4,0)</f>
        <v>6551.41</v>
      </c>
      <c r="G277" s="56">
        <f t="shared" si="10"/>
        <v>6551.41</v>
      </c>
      <c r="H277" s="57">
        <f>VLOOKUP(B277,'[1]Product by Part Number'!$A:$K,5,0)</f>
        <v>3275.71</v>
      </c>
      <c r="I277" s="88">
        <f t="shared" si="11"/>
        <v>3275.71</v>
      </c>
    </row>
    <row r="278" spans="2:9" s="53" customFormat="1" x14ac:dyDescent="0.3">
      <c r="B278" s="78" t="s">
        <v>300</v>
      </c>
      <c r="C278" s="54" t="str">
        <f>VLOOKUP(B278,'[1]Product by Part Number'!$A:$K,2,0)</f>
        <v xml:space="preserve">CAT 320 (MYK) CAT 320 (MYK) (2)                                          </v>
      </c>
      <c r="D278" s="54" t="str">
        <f>VLOOKUP(B278,'[1]Product by Part Number'!$A:$K,3,0)</f>
        <v>FUEL INJECTOR</v>
      </c>
      <c r="E278" s="55">
        <f>VLOOKUP(B278,'[1]Product by Part Number'!$A:$K,11,0)</f>
        <v>8</v>
      </c>
      <c r="F278" s="56">
        <f>VLOOKUP(B278,'[1]Product by Part Number'!$A:$K,4,0)</f>
        <v>1132.8800000000001</v>
      </c>
      <c r="G278" s="56">
        <f t="shared" si="10"/>
        <v>9063.0400000000009</v>
      </c>
      <c r="H278" s="57">
        <f>VLOOKUP(B278,'[1]Product by Part Number'!$A:$K,5,0)</f>
        <v>566.44000000000005</v>
      </c>
      <c r="I278" s="88">
        <f t="shared" si="11"/>
        <v>4531.5200000000004</v>
      </c>
    </row>
    <row r="279" spans="2:9" s="53" customFormat="1" ht="66.599999999999994" x14ac:dyDescent="0.3">
      <c r="B279" s="78" t="s">
        <v>301</v>
      </c>
      <c r="C279" s="54" t="str">
        <f>VLOOKUP(B279,'[1]Product by Part Number'!$A:$K,2,0)</f>
        <v xml:space="preserve">CAT D6 (RDC) CAT D6N LGP (PBA) CAT D6N LGP (PBA) (2) CAT D6N LGP (SGG) CAT D6N LGP (SGG) (2) CAT D6T (MH7) CAT 561N (CPH) CAT 561N (CPH) (2) CAT 561N (CPH) (3) CAT 561N (CPH) (4) CAT 561N (CPH) (5)                        </v>
      </c>
      <c r="D279" s="54" t="str">
        <f>VLOOKUP(B279,'[1]Product by Part Number'!$A:$K,3,0)</f>
        <v>HYDRAULIC OIL FILTER ELEMENT</v>
      </c>
      <c r="E279" s="55">
        <f>VLOOKUP(B279,'[1]Product by Part Number'!$A:$K,11,0)</f>
        <v>55</v>
      </c>
      <c r="F279" s="56">
        <f>VLOOKUP(B279,'[1]Product by Part Number'!$A:$K,4,0)</f>
        <v>171.55</v>
      </c>
      <c r="G279" s="56">
        <f t="shared" si="10"/>
        <v>9435.25</v>
      </c>
      <c r="H279" s="57">
        <f>VLOOKUP(B279,'[1]Product by Part Number'!$A:$K,5,0)</f>
        <v>65.19</v>
      </c>
      <c r="I279" s="88">
        <f t="shared" si="11"/>
        <v>3585.45</v>
      </c>
    </row>
    <row r="280" spans="2:9" s="53" customFormat="1" x14ac:dyDescent="0.3">
      <c r="B280" s="78" t="s">
        <v>302</v>
      </c>
      <c r="C280" s="54" t="str">
        <f>VLOOKUP(B280,'[1]Product by Part Number'!$A:$K,2,0)</f>
        <v xml:space="preserve">CAT D6 (RDC)                                            </v>
      </c>
      <c r="D280" s="54" t="str">
        <f>VLOOKUP(B280,'[1]Product by Part Number'!$A:$K,3,0)</f>
        <v>TURBO KIT</v>
      </c>
      <c r="E280" s="55">
        <f>VLOOKUP(B280,'[1]Product by Part Number'!$A:$K,11,0)</f>
        <v>1</v>
      </c>
      <c r="F280" s="56">
        <f>VLOOKUP(B280,'[1]Product by Part Number'!$A:$K,4,0)</f>
        <v>6921.5</v>
      </c>
      <c r="G280" s="56">
        <f t="shared" si="10"/>
        <v>6921.5</v>
      </c>
      <c r="H280" s="57">
        <f>VLOOKUP(B280,'[1]Product by Part Number'!$A:$K,5,0)</f>
        <v>3460.75</v>
      </c>
      <c r="I280" s="88">
        <f t="shared" si="11"/>
        <v>3460.75</v>
      </c>
    </row>
    <row r="281" spans="2:9" s="53" customFormat="1" ht="40.200000000000003" x14ac:dyDescent="0.3">
      <c r="B281" s="78" t="s">
        <v>303</v>
      </c>
      <c r="C281" s="54" t="str">
        <f>VLOOKUP(B281,'[1]Product by Part Number'!$A:$K,2,0)</f>
        <v xml:space="preserve">CAT D6 (RDC) CAT D6T (MH7) CAT 561N (CPH) CAT 561N (CPH) (2) CAT 561N (CPH) (3) CAT 561N (CPH) (4) CAT 561N (CPH) (5)                                </v>
      </c>
      <c r="D281" s="54" t="str">
        <f>VLOOKUP(B281,'[1]Product by Part Number'!$A:$K,3,0)</f>
        <v>PRIMARY AIR FILTER ELEMENT</v>
      </c>
      <c r="E281" s="55">
        <f>VLOOKUP(B281,'[1]Product by Part Number'!$A:$K,11,0)</f>
        <v>21</v>
      </c>
      <c r="F281" s="56">
        <f>VLOOKUP(B281,'[1]Product by Part Number'!$A:$K,4,0)</f>
        <v>259.82</v>
      </c>
      <c r="G281" s="56">
        <f t="shared" si="10"/>
        <v>5456.22</v>
      </c>
      <c r="H281" s="57">
        <f>VLOOKUP(B281,'[1]Product by Part Number'!$A:$K,5,0)</f>
        <v>98.73</v>
      </c>
      <c r="I281" s="88">
        <f t="shared" si="11"/>
        <v>2073.33</v>
      </c>
    </row>
    <row r="282" spans="2:9" s="53" customFormat="1" x14ac:dyDescent="0.3">
      <c r="B282" s="78" t="s">
        <v>304</v>
      </c>
      <c r="C282" s="54" t="str">
        <f>VLOOKUP(B282,'[1]Product by Part Number'!$A:$K,2,0)</f>
        <v xml:space="preserve">CAT 320F L (YBM) CAT 320 (HEX)                                          </v>
      </c>
      <c r="D282" s="54" t="str">
        <f>VLOOKUP(B282,'[1]Product by Part Number'!$A:$K,3,0)</f>
        <v>SECONDARY TURBOCHARGER ASSEMBLY</v>
      </c>
      <c r="E282" s="55">
        <f>VLOOKUP(B282,'[1]Product by Part Number'!$A:$K,11,0)</f>
        <v>2</v>
      </c>
      <c r="F282" s="56">
        <f>VLOOKUP(B282,'[1]Product by Part Number'!$A:$K,4,0)</f>
        <v>3188.6</v>
      </c>
      <c r="G282" s="56">
        <f t="shared" si="10"/>
        <v>6377.2</v>
      </c>
      <c r="H282" s="57">
        <f>VLOOKUP(B282,'[1]Product by Part Number'!$A:$K,5,0)</f>
        <v>1594.3</v>
      </c>
      <c r="I282" s="88">
        <f t="shared" si="11"/>
        <v>3188.6</v>
      </c>
    </row>
    <row r="283" spans="2:9" s="53" customFormat="1" ht="66.599999999999994" x14ac:dyDescent="0.3">
      <c r="B283" s="78" t="s">
        <v>305</v>
      </c>
      <c r="C283" s="54" t="str">
        <f>VLOOKUP(B283,'[1]Product by Part Number'!$A:$K,2,0)</f>
        <v xml:space="preserve">CAT 320 (HEX) CAT 320 (MYK) CAT 320 (MYK) (2) CAT 330 (LHW) CAT 330 (LHW) (2) CAT 330 (LHW) (3) CAT 330 (LHW) (4) CAT 330 (WCH) CAT 330 (WCH) (2) CAT 330 (WCH) (3) CAT 330 (WCH) (4) CAT 330 (WCH) (5) CAT 330 (WCH) (6)                    </v>
      </c>
      <c r="D283" s="54" t="str">
        <f>VLOOKUP(B283,'[1]Product by Part Number'!$A:$K,3,0)</f>
        <v>HYDRAULIC OIL FILTER ELEMENT</v>
      </c>
      <c r="E283" s="55">
        <f>VLOOKUP(B283,'[1]Product by Part Number'!$A:$K,11,0)</f>
        <v>65</v>
      </c>
      <c r="F283" s="56">
        <f>VLOOKUP(B283,'[1]Product by Part Number'!$A:$K,4,0)</f>
        <v>283.86</v>
      </c>
      <c r="G283" s="56">
        <f t="shared" si="10"/>
        <v>18450.900000000001</v>
      </c>
      <c r="H283" s="57">
        <f>VLOOKUP(B283,'[1]Product by Part Number'!$A:$K,5,0)</f>
        <v>107.87</v>
      </c>
      <c r="I283" s="88">
        <f t="shared" si="11"/>
        <v>7011.55</v>
      </c>
    </row>
    <row r="284" spans="2:9" s="53" customFormat="1" x14ac:dyDescent="0.3">
      <c r="B284" s="78" t="s">
        <v>306</v>
      </c>
      <c r="C284" s="54" t="str">
        <f>VLOOKUP(B284,'[1]Product by Part Number'!$A:$K,2,0)</f>
        <v xml:space="preserve">CAT D6 (RDC)                                            </v>
      </c>
      <c r="D284" s="54" t="str">
        <f>VLOOKUP(B284,'[1]Product by Part Number'!$A:$K,3,0)</f>
        <v>TRACK LINK 46 JOINT</v>
      </c>
      <c r="E284" s="55">
        <f>VLOOKUP(B284,'[1]Product by Part Number'!$A:$K,11,0)</f>
        <v>2</v>
      </c>
      <c r="F284" s="56">
        <f>VLOOKUP(B284,'[1]Product by Part Number'!$A:$K,4,0)</f>
        <v>10339.93</v>
      </c>
      <c r="G284" s="56">
        <f t="shared" si="10"/>
        <v>20679.86</v>
      </c>
      <c r="H284" s="57">
        <f>VLOOKUP(B284,'[1]Product by Part Number'!$A:$K,5,0)</f>
        <v>5169.97</v>
      </c>
      <c r="I284" s="88">
        <f t="shared" si="11"/>
        <v>10339.94</v>
      </c>
    </row>
    <row r="285" spans="2:9" s="53" customFormat="1" ht="40.200000000000003" x14ac:dyDescent="0.3">
      <c r="B285" s="78" t="s">
        <v>307</v>
      </c>
      <c r="C285" s="54" t="str">
        <f>VLOOKUP(B285,'[1]Product by Part Number'!$A:$K,2,0)</f>
        <v xml:space="preserve">CAT 320E L (WBK) CAT 320E L (WBK) (2) CAT 320F L (YBM) CAT 320 (HEX) CAT 320 (MYK) CAT 320 (MYK) (2)                                  </v>
      </c>
      <c r="D285" s="54" t="str">
        <f>VLOOKUP(B285,'[1]Product by Part Number'!$A:$K,3,0)</f>
        <v xml:space="preserve">TRACK LINK ASSEMBLY </v>
      </c>
      <c r="E285" s="55">
        <f>VLOOKUP(B285,'[1]Product by Part Number'!$A:$K,11,0)</f>
        <v>12</v>
      </c>
      <c r="F285" s="56">
        <f>VLOOKUP(B285,'[1]Product by Part Number'!$A:$K,4,0)</f>
        <v>8238.4699999999993</v>
      </c>
      <c r="G285" s="56">
        <f t="shared" si="10"/>
        <v>98861.639999999985</v>
      </c>
      <c r="H285" s="57">
        <f>VLOOKUP(B285,'[1]Product by Part Number'!$A:$K,5,0)</f>
        <v>4119.24</v>
      </c>
      <c r="I285" s="88">
        <f t="shared" si="11"/>
        <v>49430.879999999997</v>
      </c>
    </row>
    <row r="286" spans="2:9" s="53" customFormat="1" x14ac:dyDescent="0.3">
      <c r="B286" s="78" t="s">
        <v>308</v>
      </c>
      <c r="C286" s="54" t="str">
        <f>VLOOKUP(B286,'[1]Product by Part Number'!$A:$K,2,0)</f>
        <v xml:space="preserve">CAT D3 (1PJ)                                            </v>
      </c>
      <c r="D286" s="54" t="str">
        <f>VLOOKUP(B286,'[1]Product by Part Number'!$A:$K,3,0)</f>
        <v>TRACK BOLT</v>
      </c>
      <c r="E286" s="55">
        <f>VLOOKUP(B286,'[1]Product by Part Number'!$A:$K,11,0)</f>
        <v>344</v>
      </c>
      <c r="F286" s="56">
        <f>VLOOKUP(B286,'[1]Product by Part Number'!$A:$K,4,0)</f>
        <v>3.73</v>
      </c>
      <c r="G286" s="56">
        <f t="shared" si="10"/>
        <v>1283.1199999999999</v>
      </c>
      <c r="H286" s="57">
        <f>VLOOKUP(B286,'[1]Product by Part Number'!$A:$K,5,0)</f>
        <v>1.87</v>
      </c>
      <c r="I286" s="88">
        <f t="shared" si="11"/>
        <v>643.28</v>
      </c>
    </row>
    <row r="287" spans="2:9" s="53" customFormat="1" x14ac:dyDescent="0.3">
      <c r="B287" s="78" t="s">
        <v>43</v>
      </c>
      <c r="C287" s="54" t="str">
        <f>VLOOKUP(B287,'[1]Product by Part Number'!$A:$K,2,0)</f>
        <v xml:space="preserve">CAT 320F L (YBM) CAT 329E L (ZCD)                                          </v>
      </c>
      <c r="D287" s="54" t="str">
        <f>VLOOKUP(B287,'[1]Product by Part Number'!$A:$K,3,0)</f>
        <v>HYDRAULIC OIL FILTER</v>
      </c>
      <c r="E287" s="55">
        <f>VLOOKUP(B287,'[1]Product by Part Number'!$A:$K,11,0)</f>
        <v>10</v>
      </c>
      <c r="F287" s="56">
        <f>VLOOKUP(B287,'[1]Product by Part Number'!$A:$K,4,0)</f>
        <v>106.56</v>
      </c>
      <c r="G287" s="56">
        <f t="shared" si="10"/>
        <v>1065.5999999999999</v>
      </c>
      <c r="H287" s="57">
        <f>VLOOKUP(B287,'[1]Product by Part Number'!$A:$K,5,0)</f>
        <v>40.49</v>
      </c>
      <c r="I287" s="88">
        <f t="shared" si="11"/>
        <v>404.9</v>
      </c>
    </row>
    <row r="288" spans="2:9" s="53" customFormat="1" ht="40.200000000000003" x14ac:dyDescent="0.3">
      <c r="B288" s="78" t="s">
        <v>309</v>
      </c>
      <c r="C288" s="54" t="str">
        <f>VLOOKUP(B288,'[1]Product by Part Number'!$A:$K,2,0)</f>
        <v xml:space="preserve">CAT D5 (3CR) CAT D5 (3CR) (2) CAT D6N LGP (GHS) CAT D6N LGP (PBA) CAT D6N LGP (PBA) (2) CAT D6N LGP (SGG) CAT D6N LGP (SGG) (2) CAT D6T (MH7)                              </v>
      </c>
      <c r="D288" s="54" t="str">
        <f>VLOOKUP(B288,'[1]Product by Part Number'!$A:$K,3,0)</f>
        <v>PLOW BOLT</v>
      </c>
      <c r="E288" s="55">
        <f>VLOOKUP(B288,'[1]Product by Part Number'!$A:$K,11,0)</f>
        <v>222</v>
      </c>
      <c r="F288" s="56">
        <f>VLOOKUP(B288,'[1]Product by Part Number'!$A:$K,4,0)</f>
        <v>4.51</v>
      </c>
      <c r="G288" s="56">
        <f t="shared" si="10"/>
        <v>1001.2199999999999</v>
      </c>
      <c r="H288" s="57">
        <f>VLOOKUP(B288,'[1]Product by Part Number'!$A:$K,5,0)</f>
        <v>1.71</v>
      </c>
      <c r="I288" s="88">
        <f t="shared" si="11"/>
        <v>379.62</v>
      </c>
    </row>
    <row r="289" spans="2:9" s="53" customFormat="1" x14ac:dyDescent="0.3">
      <c r="B289" s="78" t="s">
        <v>310</v>
      </c>
      <c r="C289" s="54" t="str">
        <f>VLOOKUP(B289,'[1]Product by Part Number'!$A:$K,2,0)</f>
        <v xml:space="preserve">CAT D3 (1PJ)                                            </v>
      </c>
      <c r="D289" s="54" t="str">
        <f>VLOOKUP(B289,'[1]Product by Part Number'!$A:$K,3,0)</f>
        <v>FLAT WASHER</v>
      </c>
      <c r="E289" s="55">
        <f>VLOOKUP(B289,'[1]Product by Part Number'!$A:$K,11,0)</f>
        <v>50</v>
      </c>
      <c r="F289" s="56">
        <f>VLOOKUP(B289,'[1]Product by Part Number'!$A:$K,4,0)</f>
        <v>1.86</v>
      </c>
      <c r="G289" s="56">
        <f t="shared" si="10"/>
        <v>93</v>
      </c>
      <c r="H289" s="57">
        <f>VLOOKUP(B289,'[1]Product by Part Number'!$A:$K,5,0)</f>
        <v>0.93</v>
      </c>
      <c r="I289" s="88">
        <f t="shared" si="11"/>
        <v>46.5</v>
      </c>
    </row>
    <row r="290" spans="2:9" s="53" customFormat="1" ht="79.8" x14ac:dyDescent="0.3">
      <c r="B290" s="78" t="s">
        <v>311</v>
      </c>
      <c r="C290" s="54" t="str">
        <f>VLOOKUP(B290,'[1]Product by Part Number'!$A:$K,2,0)</f>
        <v xml:space="preserve">CAT D3 (1PJ) CAT D6N LGP (SGG) CAT D6N LGP (SGG) (2) CAT 561M (1KW) CAT 561M (1KW) CAT 561N (CPH) CAT 561N (CPH) CAT 561N (CPH) (2) CAT 561N (CPH) (2) CAT 561N (CPH) (3) CAT 561N (CPH) (3) CAT 561N (CPH) (4) CAT 561N (CPH) (4) CAT 561N (CPH) (5) CAT 561N (CPH) (5)                </v>
      </c>
      <c r="D290" s="54" t="str">
        <f>VLOOKUP(B290,'[1]Product by Part Number'!$A:$K,3,0)</f>
        <v>WASHER</v>
      </c>
      <c r="E290" s="55">
        <f>VLOOKUP(B290,'[1]Product by Part Number'!$A:$K,11,0)</f>
        <v>422</v>
      </c>
      <c r="F290" s="56">
        <f>VLOOKUP(B290,'[1]Product by Part Number'!$A:$K,4,0)</f>
        <v>2.83</v>
      </c>
      <c r="G290" s="56">
        <f t="shared" si="10"/>
        <v>1194.26</v>
      </c>
      <c r="H290" s="57">
        <f>VLOOKUP(B290,'[1]Product by Part Number'!$A:$K,5,0)</f>
        <v>1.42</v>
      </c>
      <c r="I290" s="88">
        <f t="shared" si="11"/>
        <v>599.24</v>
      </c>
    </row>
    <row r="291" spans="2:9" s="53" customFormat="1" ht="53.4" x14ac:dyDescent="0.3">
      <c r="B291" s="78" t="s">
        <v>51</v>
      </c>
      <c r="C291" s="54" t="str">
        <f>VLOOKUP(B291,'[1]Product by Part Number'!$A:$K,2,0)</f>
        <v xml:space="preserve">CAT D5 (3CR) CAT D5 (3CR) (2) CAT D6 (RDC) CAT D6N LGP (GHS) CAT D6N LGP (PBA) CAT D6N LGP (PBA) (2) CAT D6N LGP (SGG) CAT D6N LGP (SGG) (2) CAT D6T (MH7)                            </v>
      </c>
      <c r="D291" s="54" t="str">
        <f>VLOOKUP(B291,'[1]Product by Part Number'!$A:$K,3,0)</f>
        <v>FLAT WASHER</v>
      </c>
      <c r="E291" s="55">
        <f>VLOOKUP(B291,'[1]Product by Part Number'!$A:$K,11,0)</f>
        <v>272</v>
      </c>
      <c r="F291" s="56">
        <f>VLOOKUP(B291,'[1]Product by Part Number'!$A:$K,4,0)</f>
        <v>3.56</v>
      </c>
      <c r="G291" s="56">
        <f t="shared" si="10"/>
        <v>968.32</v>
      </c>
      <c r="H291" s="57">
        <f>VLOOKUP(B291,'[1]Product by Part Number'!$A:$K,5,0)</f>
        <v>1.35</v>
      </c>
      <c r="I291" s="88">
        <f t="shared" si="11"/>
        <v>367.2</v>
      </c>
    </row>
    <row r="292" spans="2:9" s="53" customFormat="1" x14ac:dyDescent="0.3">
      <c r="B292" s="78" t="s">
        <v>436</v>
      </c>
      <c r="C292" s="54" t="str">
        <f>VLOOKUP(B292,'[1]Product by Part Number'!$A:$K,2,0)</f>
        <v xml:space="preserve">CAT 561 (85H) CAT 561 (92J) CAT 561 (92J) (2)                                        </v>
      </c>
      <c r="D292" s="54" t="str">
        <f>VLOOKUP(B292,'[1]Product by Part Number'!$A:$K,3,0)</f>
        <v>SPROCKET</v>
      </c>
      <c r="E292" s="55">
        <f>VLOOKUP(B292,'[1]Product by Part Number'!$A:$K,11,0)</f>
        <v>54</v>
      </c>
      <c r="F292" s="56">
        <f>VLOOKUP(B292,'[1]Product by Part Number'!$A:$K,4,0)</f>
        <v>566.69000000000005</v>
      </c>
      <c r="G292" s="56">
        <f t="shared" si="10"/>
        <v>30601.260000000002</v>
      </c>
      <c r="H292" s="57">
        <f>VLOOKUP(B292,'[1]Product by Part Number'!$A:$K,5,0)</f>
        <v>283.35000000000002</v>
      </c>
      <c r="I292" s="88">
        <f t="shared" si="11"/>
        <v>15300.9</v>
      </c>
    </row>
    <row r="293" spans="2:9" s="53" customFormat="1" x14ac:dyDescent="0.3">
      <c r="B293" s="78" t="s">
        <v>437</v>
      </c>
      <c r="C293" s="54" t="str">
        <f>VLOOKUP(B293,'[1]Product by Part Number'!$A:$K,2,0)</f>
        <v xml:space="preserve">CAT 561 (85H) CAT 561 (92J) CAT 561 (92J) (2)                                        </v>
      </c>
      <c r="D293" s="54" t="str">
        <f>VLOOKUP(B293,'[1]Product by Part Number'!$A:$K,3,0)</f>
        <v>TRACK SHOE</v>
      </c>
      <c r="E293" s="55">
        <f>VLOOKUP(B293,'[1]Product by Part Number'!$A:$K,11,0)</f>
        <v>234</v>
      </c>
      <c r="F293" s="56">
        <f>VLOOKUP(B293,'[1]Product by Part Number'!$A:$K,4,0)</f>
        <v>89.68</v>
      </c>
      <c r="G293" s="56">
        <f t="shared" si="10"/>
        <v>20985.120000000003</v>
      </c>
      <c r="H293" s="57">
        <f>VLOOKUP(B293,'[1]Product by Part Number'!$A:$K,5,0)</f>
        <v>44.84</v>
      </c>
      <c r="I293" s="88">
        <f t="shared" si="11"/>
        <v>10492.56</v>
      </c>
    </row>
    <row r="294" spans="2:9" s="53" customFormat="1" ht="40.200000000000003" x14ac:dyDescent="0.3">
      <c r="B294" s="78" t="s">
        <v>312</v>
      </c>
      <c r="C294" s="54" t="str">
        <f>VLOOKUP(B294,'[1]Product by Part Number'!$A:$K,2,0)</f>
        <v xml:space="preserve">CAT 320E L (WBK) CAT 320E L (WBK) (2) CAT 320F L (YBM) CAT 320 (HEX) CAT 320 (MYK) CAT 320 (MYK) (2)                                  </v>
      </c>
      <c r="D294" s="54" t="str">
        <f>VLOOKUP(B294,'[1]Product by Part Number'!$A:$K,3,0)</f>
        <v>SINGLE FLANGE TRACK ROLLER</v>
      </c>
      <c r="E294" s="55">
        <f>VLOOKUP(B294,'[1]Product by Part Number'!$A:$K,11,0)</f>
        <v>96</v>
      </c>
      <c r="F294" s="56">
        <f>VLOOKUP(B294,'[1]Product by Part Number'!$A:$K,4,0)</f>
        <v>748.26</v>
      </c>
      <c r="G294" s="56">
        <f t="shared" si="10"/>
        <v>71832.959999999992</v>
      </c>
      <c r="H294" s="57">
        <f>VLOOKUP(B294,'[1]Product by Part Number'!$A:$K,5,0)</f>
        <v>374.13</v>
      </c>
      <c r="I294" s="88">
        <f t="shared" si="11"/>
        <v>35916.480000000003</v>
      </c>
    </row>
    <row r="295" spans="2:9" s="53" customFormat="1" x14ac:dyDescent="0.3">
      <c r="B295" s="78" t="s">
        <v>313</v>
      </c>
      <c r="C295" s="54" t="str">
        <f>VLOOKUP(B295,'[1]Product by Part Number'!$A:$K,2,0)</f>
        <v xml:space="preserve">CAT 320 (MYK) CAT 320 (MYK) (2)                                          </v>
      </c>
      <c r="D295" s="54" t="str">
        <f>VLOOKUP(B295,'[1]Product by Part Number'!$A:$K,3,0)</f>
        <v>PRIMARY TURBOCHARGER ASSEMBLY</v>
      </c>
      <c r="E295" s="55">
        <f>VLOOKUP(B295,'[1]Product by Part Number'!$A:$K,11,0)</f>
        <v>2</v>
      </c>
      <c r="F295" s="56">
        <f>VLOOKUP(B295,'[1]Product by Part Number'!$A:$K,4,0)</f>
        <v>3256.94</v>
      </c>
      <c r="G295" s="56">
        <f t="shared" si="10"/>
        <v>6513.88</v>
      </c>
      <c r="H295" s="57">
        <f>VLOOKUP(B295,'[1]Product by Part Number'!$A:$K,5,0)</f>
        <v>1628.47</v>
      </c>
      <c r="I295" s="88">
        <f t="shared" si="11"/>
        <v>3256.94</v>
      </c>
    </row>
    <row r="296" spans="2:9" s="53" customFormat="1" ht="79.8" x14ac:dyDescent="0.3">
      <c r="B296" s="78" t="s">
        <v>314</v>
      </c>
      <c r="C296" s="54" t="str">
        <f>VLOOKUP(B296,'[1]Product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296" s="54" t="str">
        <f>VLOOKUP(B296,'[1]Product by Part Number'!$A:$K,3,0)</f>
        <v>SPROCKET BOLT</v>
      </c>
      <c r="E296" s="55">
        <f>VLOOKUP(B296,'[1]Product by Part Number'!$A:$K,11,0)</f>
        <v>576</v>
      </c>
      <c r="F296" s="56">
        <f>VLOOKUP(B296,'[1]Product by Part Number'!$A:$K,4,0)</f>
        <v>10.72</v>
      </c>
      <c r="G296" s="56">
        <f t="shared" si="10"/>
        <v>6174.72</v>
      </c>
      <c r="H296" s="57">
        <f>VLOOKUP(B296,'[1]Product by Part Number'!$A:$K,5,0)</f>
        <v>5.36</v>
      </c>
      <c r="I296" s="88">
        <f t="shared" si="11"/>
        <v>3087.36</v>
      </c>
    </row>
    <row r="297" spans="2:9" s="53" customFormat="1" ht="106.2" x14ac:dyDescent="0.3">
      <c r="B297" s="78" t="s">
        <v>315</v>
      </c>
      <c r="C297" s="54" t="str">
        <f>VLOOKUP(B297,'[1]Product by Part Number'!$A:$K,2,0)</f>
        <v xml:space="preserve">CAT 320E L (WBK) CAT 320E L (WBK) (2) CAT 329F L (ERL) CAT 329F L (ERL) (2) CAT 330F L (MBX) CAT 330F L (HCK) CAT 330F L (HCK) (2) CAT 330 (LHW) CAT 330 (LHW) (2) CAT 330 (LHW) (3) CAT 330 (LHW) (4) CAT 330 (WCH) CAT 330 (WCH) (2) CAT 330 (WCH) (3) CAT 330 (WCH) (4) CAT 330 (WCH) (5) CAT 330 (WCH) (6) CAT D6N LGP (PBA) CAT D6N LGP (PBA) (2) CAT D6N LGP (SGG) CAT D6N LGP (SGG) (2)    </v>
      </c>
      <c r="D297" s="54" t="str">
        <f>VLOOKUP(B297,'[1]Product by Part Number'!$A:$K,3,0)</f>
        <v>FUEL INJECTOR</v>
      </c>
      <c r="E297" s="55">
        <f>VLOOKUP(B297,'[1]Product by Part Number'!$A:$K,11,0)</f>
        <v>126</v>
      </c>
      <c r="F297" s="56">
        <f>VLOOKUP(B297,'[1]Product by Part Number'!$A:$K,4,0)</f>
        <v>1474.09</v>
      </c>
      <c r="G297" s="56">
        <f t="shared" si="10"/>
        <v>185735.34</v>
      </c>
      <c r="H297" s="57">
        <f>VLOOKUP(B297,'[1]Product by Part Number'!$A:$K,5,0)</f>
        <v>737.05</v>
      </c>
      <c r="I297" s="88">
        <f t="shared" si="11"/>
        <v>92868.3</v>
      </c>
    </row>
    <row r="298" spans="2:9" s="53" customFormat="1" ht="53.4" x14ac:dyDescent="0.3">
      <c r="B298" s="78" t="s">
        <v>316</v>
      </c>
      <c r="C298" s="54" t="str">
        <f>VLOOKUP(B298,'[1]Product by Part Number'!$A:$K,2,0)</f>
        <v xml:space="preserve">CAT 330 (LHW) CAT 330 (LHW) (2) CAT 330 (LHW) (3) CAT 330 (LHW) (4) CAT 330 (WCH) CAT 330 (WCH) (2) CAT 330 (WCH) (3) CAT 330 (WCH) (4) CAT 330 (WCH) (5) CAT 330 (WCH) (6)                          </v>
      </c>
      <c r="D298" s="54" t="str">
        <f>VLOOKUP(B298,'[1]Product by Part Number'!$A:$K,3,0)</f>
        <v>TRACK LINK ASSEMBLY</v>
      </c>
      <c r="E298" s="55">
        <f>VLOOKUP(B298,'[1]Product by Part Number'!$A:$K,11,0)</f>
        <v>20</v>
      </c>
      <c r="F298" s="56">
        <f>VLOOKUP(B298,'[1]Product by Part Number'!$A:$K,4,0)</f>
        <v>10788.51</v>
      </c>
      <c r="G298" s="56">
        <f t="shared" si="10"/>
        <v>215770.2</v>
      </c>
      <c r="H298" s="57">
        <f>VLOOKUP(B298,'[1]Product by Part Number'!$A:$K,5,0)</f>
        <v>5394.26</v>
      </c>
      <c r="I298" s="88">
        <f t="shared" si="11"/>
        <v>107885.2</v>
      </c>
    </row>
    <row r="299" spans="2:9" s="53" customFormat="1" x14ac:dyDescent="0.3">
      <c r="B299" s="78" t="s">
        <v>317</v>
      </c>
      <c r="C299" s="54" t="str">
        <f>VLOOKUP(B299,'[1]Product by Part Number'!$A:$K,2,0)</f>
        <v xml:space="preserve">CAT D7G (92V) CAT D7G (3ZD) CAT D7G (3ZD) (2)                                        </v>
      </c>
      <c r="D299" s="54" t="str">
        <f>VLOOKUP(B299,'[1]Product by Part Number'!$A:$K,3,0)</f>
        <v>RIPPER SHANK</v>
      </c>
      <c r="E299" s="55">
        <f>VLOOKUP(B299,'[1]Product by Part Number'!$A:$K,11,0)</f>
        <v>3</v>
      </c>
      <c r="F299" s="56">
        <f>VLOOKUP(B299,'[1]Product by Part Number'!$A:$K,4,0)</f>
        <v>6515.49</v>
      </c>
      <c r="G299" s="56">
        <f t="shared" si="10"/>
        <v>19546.47</v>
      </c>
      <c r="H299" s="57">
        <f>VLOOKUP(B299,'[1]Product by Part Number'!$A:$K,5,0)</f>
        <v>2475.89</v>
      </c>
      <c r="I299" s="88">
        <f t="shared" si="11"/>
        <v>7427.67</v>
      </c>
    </row>
    <row r="300" spans="2:9" s="53" customFormat="1" ht="27" x14ac:dyDescent="0.3">
      <c r="B300" s="78" t="s">
        <v>318</v>
      </c>
      <c r="C300" s="54" t="str">
        <f>VLOOKUP(B300,'[1]Product by Part Number'!$A:$K,2,0)</f>
        <v xml:space="preserve">CAT D6N LGP (PBA) CAT D6N LGP (PBA) (2) CAT D6N LGP (SGG) CAT D6N LGP (SGG) (2)                                      </v>
      </c>
      <c r="D300" s="54" t="str">
        <f>VLOOKUP(B300,'[1]Product by Part Number'!$A:$K,3,0)</f>
        <v>TURBOCHARGER ASSEMBLY</v>
      </c>
      <c r="E300" s="55">
        <f>VLOOKUP(B300,'[1]Product by Part Number'!$A:$K,11,0)</f>
        <v>4</v>
      </c>
      <c r="F300" s="56">
        <f>VLOOKUP(B300,'[1]Product by Part Number'!$A:$K,4,0)</f>
        <v>4119.04</v>
      </c>
      <c r="G300" s="56">
        <f t="shared" si="10"/>
        <v>16476.16</v>
      </c>
      <c r="H300" s="57">
        <f>VLOOKUP(B300,'[1]Product by Part Number'!$A:$K,5,0)</f>
        <v>2059.52</v>
      </c>
      <c r="I300" s="88">
        <f t="shared" si="11"/>
        <v>8238.08</v>
      </c>
    </row>
    <row r="301" spans="2:9" s="53" customFormat="1" x14ac:dyDescent="0.3">
      <c r="B301" s="78" t="s">
        <v>319</v>
      </c>
      <c r="C301" s="54" t="str">
        <f>VLOOKUP(B301,'[1]Product by Part Number'!$A:$K,2,0)</f>
        <v xml:space="preserve">CAT 320E L (WBK) CAT 320E L (WBK) (2)                                          </v>
      </c>
      <c r="D301" s="54" t="str">
        <f>VLOOKUP(B301,'[1]Product by Part Number'!$A:$K,3,0)</f>
        <v>TURBOCHARGER ASSEMBLY</v>
      </c>
      <c r="E301" s="55">
        <f>VLOOKUP(B301,'[1]Product by Part Number'!$A:$K,11,0)</f>
        <v>2</v>
      </c>
      <c r="F301" s="56">
        <f>VLOOKUP(B301,'[1]Product by Part Number'!$A:$K,4,0)</f>
        <v>5964.28</v>
      </c>
      <c r="G301" s="56">
        <f t="shared" si="10"/>
        <v>11928.56</v>
      </c>
      <c r="H301" s="57">
        <f>VLOOKUP(B301,'[1]Product by Part Number'!$A:$K,5,0)</f>
        <v>2982.14</v>
      </c>
      <c r="I301" s="88">
        <f t="shared" si="11"/>
        <v>5964.28</v>
      </c>
    </row>
    <row r="302" spans="2:9" s="53" customFormat="1" x14ac:dyDescent="0.3">
      <c r="B302" s="78" t="s">
        <v>320</v>
      </c>
      <c r="C302" s="54" t="str">
        <f>VLOOKUP(B302,'[1]Product by Part Number'!$A:$K,2,0)</f>
        <v xml:space="preserve">CAT D6 (RDC)                                            </v>
      </c>
      <c r="D302" s="54" t="str">
        <f>VLOOKUP(B302,'[1]Product by Part Number'!$A:$K,3,0)</f>
        <v>INJECTOR</v>
      </c>
      <c r="E302" s="55">
        <f>VLOOKUP(B302,'[1]Product by Part Number'!$A:$K,11,0)</f>
        <v>6</v>
      </c>
      <c r="F302" s="56">
        <f>VLOOKUP(B302,'[1]Product by Part Number'!$A:$K,4,0)</f>
        <v>1423.26</v>
      </c>
      <c r="G302" s="56">
        <f t="shared" si="10"/>
        <v>8539.56</v>
      </c>
      <c r="H302" s="57">
        <f>VLOOKUP(B302,'[1]Product by Part Number'!$A:$K,5,0)</f>
        <v>711.63</v>
      </c>
      <c r="I302" s="88">
        <f t="shared" si="11"/>
        <v>4269.78</v>
      </c>
    </row>
    <row r="303" spans="2:9" s="53" customFormat="1" ht="79.8" x14ac:dyDescent="0.3">
      <c r="B303" s="78" t="s">
        <v>321</v>
      </c>
      <c r="C303" s="54" t="str">
        <f>VLOOKUP(B303,'[1]Product by Part Number'!$A:$K,2,0)</f>
        <v xml:space="preserve">CAT 329F L (ERL) CAT 329F L (ERL) (2) CAT 330F L (MBX) CAT 330F L (HCK) CAT 330F L (HCK) (2) CAT 330 (LHW) CAT 330 (LHW) (2) CAT 330 (LHW) (3) CAT 330 (LHW) (4) CAT 330 (WCH) CAT 330 (WCH) (2) CAT 330 (WCH) (3) CAT 330 (WCH) (4) CAT 330 (WCH) (5) CAT 330 (WCH) (6)                </v>
      </c>
      <c r="D303" s="54" t="str">
        <f>VLOOKUP(B303,'[1]Product by Part Number'!$A:$K,3,0)</f>
        <v>SECONDARY TUBROCHARGER ASSEMBLY</v>
      </c>
      <c r="E303" s="55">
        <f>VLOOKUP(B303,'[1]Product by Part Number'!$A:$K,11,0)</f>
        <v>15</v>
      </c>
      <c r="F303" s="56">
        <f>VLOOKUP(B303,'[1]Product by Part Number'!$A:$K,4,0)</f>
        <v>3634.22</v>
      </c>
      <c r="G303" s="56">
        <f t="shared" si="10"/>
        <v>54513.299999999996</v>
      </c>
      <c r="H303" s="57">
        <f>VLOOKUP(B303,'[1]Product by Part Number'!$A:$K,5,0)</f>
        <v>1817.11</v>
      </c>
      <c r="I303" s="88">
        <f t="shared" si="11"/>
        <v>27256.65</v>
      </c>
    </row>
    <row r="304" spans="2:9" s="53" customFormat="1" x14ac:dyDescent="0.3">
      <c r="B304" s="78" t="s">
        <v>322</v>
      </c>
      <c r="C304" s="54" t="str">
        <f>VLOOKUP(B304,'[1]Product by Part Number'!$A:$K,2,0)</f>
        <v xml:space="preserve">CAT 329E L (ZCD)                                            </v>
      </c>
      <c r="D304" s="54" t="str">
        <f>VLOOKUP(B304,'[1]Product by Part Number'!$A:$K,3,0)</f>
        <v>ENGINE OVERHAUL KIT</v>
      </c>
      <c r="E304" s="55">
        <f>VLOOKUP(B304,'[1]Product by Part Number'!$A:$K,11,0)</f>
        <v>1</v>
      </c>
      <c r="F304" s="56">
        <f>VLOOKUP(B304,'[1]Product by Part Number'!$A:$K,4,0)</f>
        <v>13595.74</v>
      </c>
      <c r="G304" s="56">
        <f t="shared" si="10"/>
        <v>13595.74</v>
      </c>
      <c r="H304" s="57">
        <f>VLOOKUP(B304,'[1]Product by Part Number'!$A:$K,5,0)</f>
        <v>6797.87</v>
      </c>
      <c r="I304" s="88">
        <f t="shared" si="11"/>
        <v>6797.87</v>
      </c>
    </row>
    <row r="305" spans="2:9" s="53" customFormat="1" ht="27" x14ac:dyDescent="0.3">
      <c r="B305" s="78" t="s">
        <v>323</v>
      </c>
      <c r="C305" s="54" t="str">
        <f>VLOOKUP(B305,'[1]Product by Part Number'!$A:$K,2,0)</f>
        <v xml:space="preserve">CAT 329F L (ERL) CAT 329F L (ERL) (2) CAT 330F L (MBX) CAT 330F L (HCK) CAT 330F L (HCK) (2)                                    </v>
      </c>
      <c r="D305" s="54" t="str">
        <f>VLOOKUP(B305,'[1]Product by Part Number'!$A:$K,3,0)</f>
        <v>ENGINE OVERHAUL KIT</v>
      </c>
      <c r="E305" s="55">
        <f>VLOOKUP(B305,'[1]Product by Part Number'!$A:$K,11,0)</f>
        <v>5</v>
      </c>
      <c r="F305" s="56">
        <f>VLOOKUP(B305,'[1]Product by Part Number'!$A:$K,4,0)</f>
        <v>13595.74</v>
      </c>
      <c r="G305" s="56">
        <f t="shared" si="10"/>
        <v>67978.7</v>
      </c>
      <c r="H305" s="57">
        <f>VLOOKUP(B305,'[1]Product by Part Number'!$A:$K,5,0)</f>
        <v>6797.87</v>
      </c>
      <c r="I305" s="88">
        <f t="shared" si="11"/>
        <v>33989.35</v>
      </c>
    </row>
    <row r="306" spans="2:9" s="53" customFormat="1" x14ac:dyDescent="0.3">
      <c r="B306" s="78" t="s">
        <v>324</v>
      </c>
      <c r="C306" s="54" t="str">
        <f>VLOOKUP(B306,'[1]Product by Part Number'!$A:$K,2,0)</f>
        <v xml:space="preserve">CAT D3 (1PJ)                                            </v>
      </c>
      <c r="D306" s="54" t="str">
        <f>VLOOKUP(B306,'[1]Product by Part Number'!$A:$K,3,0)</f>
        <v>DOWEL PIN</v>
      </c>
      <c r="E306" s="55">
        <f>VLOOKUP(B306,'[1]Product by Part Number'!$A:$K,11,0)</f>
        <v>1</v>
      </c>
      <c r="F306" s="56">
        <f>VLOOKUP(B306,'[1]Product by Part Number'!$A:$K,4,0)</f>
        <v>67.7</v>
      </c>
      <c r="G306" s="56">
        <f t="shared" si="10"/>
        <v>67.7</v>
      </c>
      <c r="H306" s="57">
        <f>VLOOKUP(B306,'[1]Product by Part Number'!$A:$K,5,0)</f>
        <v>25.73</v>
      </c>
      <c r="I306" s="88">
        <f t="shared" si="11"/>
        <v>25.73</v>
      </c>
    </row>
    <row r="307" spans="2:9" s="53" customFormat="1" x14ac:dyDescent="0.3">
      <c r="B307" s="78" t="s">
        <v>325</v>
      </c>
      <c r="C307" s="54" t="str">
        <f>VLOOKUP(B307,'[1]Product by Part Number'!$A:$K,2,0)</f>
        <v xml:space="preserve">CAT D3 (1PJ)                                            </v>
      </c>
      <c r="D307" s="54" t="str">
        <f>VLOOKUP(B307,'[1]Product by Part Number'!$A:$K,3,0)</f>
        <v>CYLINDER HEAD</v>
      </c>
      <c r="E307" s="55">
        <f>VLOOKUP(B307,'[1]Product by Part Number'!$A:$K,11,0)</f>
        <v>1</v>
      </c>
      <c r="F307" s="56">
        <f>VLOOKUP(B307,'[1]Product by Part Number'!$A:$K,4,0)</f>
        <v>6130.36</v>
      </c>
      <c r="G307" s="56">
        <f t="shared" si="10"/>
        <v>6130.36</v>
      </c>
      <c r="H307" s="57">
        <f>VLOOKUP(B307,'[1]Product by Part Number'!$A:$K,5,0)</f>
        <v>3065.18</v>
      </c>
      <c r="I307" s="88">
        <f t="shared" si="11"/>
        <v>3065.18</v>
      </c>
    </row>
    <row r="308" spans="2:9" s="53" customFormat="1" x14ac:dyDescent="0.3">
      <c r="B308" s="78" t="s">
        <v>326</v>
      </c>
      <c r="C308" s="54" t="str">
        <f>VLOOKUP(B308,'[1]Product by Part Number'!$A:$K,2,0)</f>
        <v xml:space="preserve">CAT D5 (3CR) CAT D5 (3CR) (2) CAT 561M (1KW)                                        </v>
      </c>
      <c r="D308" s="54" t="str">
        <f>VLOOKUP(B308,'[1]Product by Part Number'!$A:$K,3,0)</f>
        <v>PRIMARY AIR FILTER ELEMENT</v>
      </c>
      <c r="E308" s="55">
        <f>VLOOKUP(B308,'[1]Product by Part Number'!$A:$K,11,0)</f>
        <v>9</v>
      </c>
      <c r="F308" s="56">
        <f>VLOOKUP(B308,'[1]Product by Part Number'!$A:$K,4,0)</f>
        <v>110.04</v>
      </c>
      <c r="G308" s="56">
        <f t="shared" si="10"/>
        <v>990.36</v>
      </c>
      <c r="H308" s="57">
        <f>VLOOKUP(B308,'[1]Product by Part Number'!$A:$K,5,0)</f>
        <v>41.82</v>
      </c>
      <c r="I308" s="88">
        <f t="shared" si="11"/>
        <v>376.38</v>
      </c>
    </row>
    <row r="309" spans="2:9" s="53" customFormat="1" x14ac:dyDescent="0.3">
      <c r="B309" s="78" t="s">
        <v>327</v>
      </c>
      <c r="C309" s="54" t="str">
        <f>VLOOKUP(B309,'[1]Product by Part Number'!$A:$K,2,0)</f>
        <v xml:space="preserve">CAT D5 (3CR) CAT D5 (3CR) (2) CAT 561M (1KW)                                        </v>
      </c>
      <c r="D309" s="54" t="str">
        <f>VLOOKUP(B309,'[1]Product by Part Number'!$A:$K,3,0)</f>
        <v>SECONDARY AIR FILTER ELEMENT</v>
      </c>
      <c r="E309" s="55">
        <f>VLOOKUP(B309,'[1]Product by Part Number'!$A:$K,11,0)</f>
        <v>9</v>
      </c>
      <c r="F309" s="56">
        <f>VLOOKUP(B309,'[1]Product by Part Number'!$A:$K,4,0)</f>
        <v>81.73</v>
      </c>
      <c r="G309" s="56">
        <f t="shared" si="10"/>
        <v>735.57</v>
      </c>
      <c r="H309" s="57">
        <f>VLOOKUP(B309,'[1]Product by Part Number'!$A:$K,5,0)</f>
        <v>31.06</v>
      </c>
      <c r="I309" s="88">
        <f t="shared" si="11"/>
        <v>279.54000000000002</v>
      </c>
    </row>
    <row r="310" spans="2:9" s="53" customFormat="1" ht="40.200000000000003" x14ac:dyDescent="0.3">
      <c r="B310" s="78" t="s">
        <v>328</v>
      </c>
      <c r="C310" s="54" t="str">
        <f>VLOOKUP(B310,'[1]Product by Part Number'!$A:$K,2,0)</f>
        <v xml:space="preserve">CAT 329E L (ZCD) CAT 329F L (ERL) CAT 329F L (ERL) (2) CAT 330F L (MBX) CAT 330F L (HCK) CAT 330F L (HCK) (2)                                  </v>
      </c>
      <c r="D310" s="54" t="str">
        <f>VLOOKUP(B310,'[1]Product by Part Number'!$A:$K,3,0)</f>
        <v>PRIMARY AIR FILTER ELEMENT</v>
      </c>
      <c r="E310" s="55">
        <f>VLOOKUP(B310,'[1]Product by Part Number'!$A:$K,11,0)</f>
        <v>18</v>
      </c>
      <c r="F310" s="56">
        <f>VLOOKUP(B310,'[1]Product by Part Number'!$A:$K,4,0)</f>
        <v>165.83</v>
      </c>
      <c r="G310" s="56">
        <f t="shared" si="10"/>
        <v>2984.94</v>
      </c>
      <c r="H310" s="57">
        <f>VLOOKUP(B310,'[1]Product by Part Number'!$A:$K,5,0)</f>
        <v>63.02</v>
      </c>
      <c r="I310" s="88">
        <f t="shared" si="11"/>
        <v>1134.3599999999999</v>
      </c>
    </row>
    <row r="311" spans="2:9" s="53" customFormat="1" ht="40.200000000000003" x14ac:dyDescent="0.3">
      <c r="B311" s="78" t="s">
        <v>329</v>
      </c>
      <c r="C311" s="54" t="str">
        <f>VLOOKUP(B311,'[1]Product by Part Number'!$A:$K,2,0)</f>
        <v xml:space="preserve">CAT 329E L (ZCD) CAT 329F L (ERL) CAT 329F L (ERL) (2) CAT 330F L (MBX) CAT 330F L (HCK) CAT 330F L (HCK) (2)                                  </v>
      </c>
      <c r="D311" s="54" t="str">
        <f>VLOOKUP(B311,'[1]Product by Part Number'!$A:$K,3,0)</f>
        <v>SECONDARY AIR FILTER ELEMENT</v>
      </c>
      <c r="E311" s="55">
        <f>VLOOKUP(B311,'[1]Product by Part Number'!$A:$K,11,0)</f>
        <v>18</v>
      </c>
      <c r="F311" s="56">
        <f>VLOOKUP(B311,'[1]Product by Part Number'!$A:$K,4,0)</f>
        <v>117.3</v>
      </c>
      <c r="G311" s="56">
        <f t="shared" si="10"/>
        <v>2111.4</v>
      </c>
      <c r="H311" s="57">
        <f>VLOOKUP(B311,'[1]Product by Part Number'!$A:$K,5,0)</f>
        <v>44.57</v>
      </c>
      <c r="I311" s="88">
        <f t="shared" si="11"/>
        <v>802.26</v>
      </c>
    </row>
    <row r="312" spans="2:9" s="53" customFormat="1" ht="27" x14ac:dyDescent="0.3">
      <c r="B312" s="78" t="s">
        <v>330</v>
      </c>
      <c r="C312" s="54" t="str">
        <f>VLOOKUP(B312,'[1]Product by Part Number'!$A:$K,2,0)</f>
        <v xml:space="preserve">CAT D6N LGP (GHS) CAT D6N LGP (PBA) CAT D6N LGP (PBA) (2) CAT D6N LGP (SGG) CAT D6N LGP (SGG) (2)                                    </v>
      </c>
      <c r="D312" s="54" t="str">
        <f>VLOOKUP(B312,'[1]Product by Part Number'!$A:$K,3,0)</f>
        <v>SPROCKET SEGMENT</v>
      </c>
      <c r="E312" s="55">
        <f>VLOOKUP(B312,'[1]Product by Part Number'!$A:$K,11,0)</f>
        <v>50</v>
      </c>
      <c r="F312" s="56">
        <f>VLOOKUP(B312,'[1]Product by Part Number'!$A:$K,4,0)</f>
        <v>204.05</v>
      </c>
      <c r="G312" s="56">
        <f t="shared" si="10"/>
        <v>10202.5</v>
      </c>
      <c r="H312" s="57">
        <f>VLOOKUP(B312,'[1]Product by Part Number'!$A:$K,5,0)</f>
        <v>102.03</v>
      </c>
      <c r="I312" s="88">
        <f t="shared" si="11"/>
        <v>5101.5</v>
      </c>
    </row>
    <row r="313" spans="2:9" s="53" customFormat="1" ht="53.4" x14ac:dyDescent="0.3">
      <c r="B313" s="78" t="s">
        <v>331</v>
      </c>
      <c r="C313" s="54" t="str">
        <f>VLOOKUP(B313,'[1]Product by Part Number'!$A:$K,2,0)</f>
        <v xml:space="preserve">CAT D4 (66J) CAT D5 (3CR) CAT D5 (3CR) (2) CAT 561M (1KW) CAT 561N (CPH) CAT 561N (CPH) (2) CAT 561N (CPH) (3) CAT 561N (CPH) (4) CAT 561N (CPH) (5)                            </v>
      </c>
      <c r="D313" s="54" t="str">
        <f>VLOOKUP(B313,'[1]Product by Part Number'!$A:$K,3,0)</f>
        <v>CARRIER ROLLER</v>
      </c>
      <c r="E313" s="55">
        <f>VLOOKUP(B313,'[1]Product by Part Number'!$A:$K,11,0)</f>
        <v>18</v>
      </c>
      <c r="F313" s="56">
        <f>VLOOKUP(B313,'[1]Product by Part Number'!$A:$K,4,0)</f>
        <v>520.11</v>
      </c>
      <c r="G313" s="56">
        <f t="shared" si="10"/>
        <v>9361.98</v>
      </c>
      <c r="H313" s="57">
        <f>VLOOKUP(B313,'[1]Product by Part Number'!$A:$K,5,0)</f>
        <v>260.06</v>
      </c>
      <c r="I313" s="88">
        <f t="shared" si="11"/>
        <v>4681.08</v>
      </c>
    </row>
    <row r="314" spans="2:9" s="53" customFormat="1" x14ac:dyDescent="0.3">
      <c r="B314" s="78" t="s">
        <v>332</v>
      </c>
      <c r="C314" s="54" t="str">
        <f>VLOOKUP(B314,'[1]Product by Part Number'!$A:$K,2,0)</f>
        <v xml:space="preserve">CAT D7G (92V) CAT D7G (3ZD) CAT D7G (3ZD) (2)                                        </v>
      </c>
      <c r="D314" s="54" t="str">
        <f>VLOOKUP(B314,'[1]Product by Part Number'!$A:$K,3,0)</f>
        <v>CABIN AIR FILTER ELEMENT</v>
      </c>
      <c r="E314" s="55">
        <f>VLOOKUP(B314,'[1]Product by Part Number'!$A:$K,11,0)</f>
        <v>9</v>
      </c>
      <c r="F314" s="56">
        <f>VLOOKUP(B314,'[1]Product by Part Number'!$A:$K,4,0)</f>
        <v>121.67</v>
      </c>
      <c r="G314" s="56">
        <f t="shared" si="10"/>
        <v>1095.03</v>
      </c>
      <c r="H314" s="57">
        <f>VLOOKUP(B314,'[1]Product by Part Number'!$A:$K,5,0)</f>
        <v>46.23</v>
      </c>
      <c r="I314" s="88">
        <f t="shared" si="11"/>
        <v>416.07</v>
      </c>
    </row>
    <row r="315" spans="2:9" s="53" customFormat="1" x14ac:dyDescent="0.3">
      <c r="B315" s="78" t="s">
        <v>333</v>
      </c>
      <c r="C315" s="54" t="str">
        <f>VLOOKUP(B315,'[1]Product by Part Number'!$A:$K,2,0)</f>
        <v xml:space="preserve">CAT D3 (1PJ)                                            </v>
      </c>
      <c r="D315" s="54" t="str">
        <f>VLOOKUP(B315,'[1]Product by Part Number'!$A:$K,3,0)</f>
        <v>CARRIER ROLLER</v>
      </c>
      <c r="E315" s="55">
        <f>VLOOKUP(B315,'[1]Product by Part Number'!$A:$K,11,0)</f>
        <v>2</v>
      </c>
      <c r="F315" s="56">
        <f>VLOOKUP(B315,'[1]Product by Part Number'!$A:$K,4,0)</f>
        <v>493.88</v>
      </c>
      <c r="G315" s="56">
        <f t="shared" si="10"/>
        <v>987.76</v>
      </c>
      <c r="H315" s="57">
        <f>VLOOKUP(B315,'[1]Product by Part Number'!$A:$K,5,0)</f>
        <v>246.94</v>
      </c>
      <c r="I315" s="88">
        <f t="shared" si="11"/>
        <v>493.88</v>
      </c>
    </row>
    <row r="316" spans="2:9" s="53" customFormat="1" ht="27" x14ac:dyDescent="0.3">
      <c r="B316" s="78" t="s">
        <v>334</v>
      </c>
      <c r="C316" s="54" t="str">
        <f>VLOOKUP(B316,'[1]Product by Part Number'!$A:$K,2,0)</f>
        <v xml:space="preserve">CAT 561N (CPH) CAT 561N (CPH) (2) CAT 561N (CPH) (3) CAT 561N (CPH) (4) CAT 561N (CPH) (5)                                    </v>
      </c>
      <c r="D316" s="54" t="str">
        <f>VLOOKUP(B316,'[1]Product by Part Number'!$A:$K,3,0)</f>
        <v>TRACK SHOE</v>
      </c>
      <c r="E316" s="55">
        <f>VLOOKUP(B316,'[1]Product by Part Number'!$A:$K,11,0)</f>
        <v>440</v>
      </c>
      <c r="F316" s="56">
        <f>VLOOKUP(B316,'[1]Product by Part Number'!$A:$K,4,0)</f>
        <v>655.30999999999995</v>
      </c>
      <c r="G316" s="56">
        <f t="shared" si="10"/>
        <v>288336.39999999997</v>
      </c>
      <c r="H316" s="57">
        <f>VLOOKUP(B316,'[1]Product by Part Number'!$A:$K,5,0)</f>
        <v>327.66000000000003</v>
      </c>
      <c r="I316" s="88">
        <f t="shared" si="11"/>
        <v>144170.4</v>
      </c>
    </row>
    <row r="317" spans="2:9" s="53" customFormat="1" x14ac:dyDescent="0.3">
      <c r="B317" s="78" t="s">
        <v>335</v>
      </c>
      <c r="C317" s="54" t="str">
        <f>VLOOKUP(B317,'[1]Product by Part Number'!$A:$K,2,0)</f>
        <v xml:space="preserve">CAT D3 (1PJ)                                            </v>
      </c>
      <c r="D317" s="54" t="str">
        <f>VLOOKUP(B317,'[1]Product by Part Number'!$A:$K,3,0)</f>
        <v>TRACK SHOE MASTER</v>
      </c>
      <c r="E317" s="55">
        <f>VLOOKUP(B317,'[1]Product by Part Number'!$A:$K,11,0)</f>
        <v>2</v>
      </c>
      <c r="F317" s="56">
        <f>VLOOKUP(B317,'[1]Product by Part Number'!$A:$K,4,0)</f>
        <v>729.52</v>
      </c>
      <c r="G317" s="56">
        <f t="shared" si="10"/>
        <v>1459.04</v>
      </c>
      <c r="H317" s="57">
        <f>VLOOKUP(B317,'[1]Product by Part Number'!$A:$K,5,0)</f>
        <v>364.76</v>
      </c>
      <c r="I317" s="88">
        <f t="shared" si="11"/>
        <v>729.52</v>
      </c>
    </row>
    <row r="318" spans="2:9" s="53" customFormat="1" x14ac:dyDescent="0.3">
      <c r="B318" s="78" t="s">
        <v>336</v>
      </c>
      <c r="C318" s="54" t="str">
        <f>VLOOKUP(B318,'[1]Product by Part Number'!$A:$K,2,0)</f>
        <v xml:space="preserve">CAT D3 (1PJ)                                            </v>
      </c>
      <c r="D318" s="54" t="str">
        <f>VLOOKUP(B318,'[1]Product by Part Number'!$A:$K,3,0)</f>
        <v>TRACK SHOE SINGLE GROUSER 860MM</v>
      </c>
      <c r="E318" s="55">
        <f>VLOOKUP(B318,'[1]Product by Part Number'!$A:$K,11,0)</f>
        <v>86</v>
      </c>
      <c r="F318" s="56">
        <f>VLOOKUP(B318,'[1]Product by Part Number'!$A:$K,4,0)</f>
        <v>693.26</v>
      </c>
      <c r="G318" s="56">
        <f t="shared" si="10"/>
        <v>59620.36</v>
      </c>
      <c r="H318" s="57">
        <f>VLOOKUP(B318,'[1]Product by Part Number'!$A:$K,5,0)</f>
        <v>346.63</v>
      </c>
      <c r="I318" s="88">
        <f t="shared" si="11"/>
        <v>29810.18</v>
      </c>
    </row>
    <row r="319" spans="2:9" s="53" customFormat="1" ht="40.200000000000003" x14ac:dyDescent="0.3">
      <c r="B319" s="78" t="s">
        <v>337</v>
      </c>
      <c r="C319" s="54" t="str">
        <f>VLOOKUP(B319,'[1]Product by Part Number'!$A:$K,2,0)</f>
        <v xml:space="preserve">CAT D6N LGP (GHS) CAT D6N LGP (PBA) CAT D6N LGP (PBA) (2) CAT D6N LGP (SGG) CAT D6N LGP (SGG) (2) CAT D6T (MH7)                                  </v>
      </c>
      <c r="D319" s="54" t="str">
        <f>VLOOKUP(B319,'[1]Product by Part Number'!$A:$K,3,0)</f>
        <v>SPROCKET BOLT</v>
      </c>
      <c r="E319" s="55">
        <f>VLOOKUP(B319,'[1]Product by Part Number'!$A:$K,11,0)</f>
        <v>300</v>
      </c>
      <c r="F319" s="56">
        <f>VLOOKUP(B319,'[1]Product by Part Number'!$A:$K,4,0)</f>
        <v>3.14</v>
      </c>
      <c r="G319" s="56">
        <f t="shared" si="10"/>
        <v>942</v>
      </c>
      <c r="H319" s="57">
        <f>VLOOKUP(B319,'[1]Product by Part Number'!$A:$K,5,0)</f>
        <v>1.57</v>
      </c>
      <c r="I319" s="88">
        <f t="shared" si="11"/>
        <v>471</v>
      </c>
    </row>
    <row r="320" spans="2:9" s="53" customFormat="1" ht="53.4" x14ac:dyDescent="0.3">
      <c r="B320" s="78" t="s">
        <v>338</v>
      </c>
      <c r="C320" s="54" t="str">
        <f>VLOOKUP(B320,'[1]Product by Part Number'!$A:$K,2,0)</f>
        <v xml:space="preserve">CAT D4 (66J) CAT D6 (RDC) CAT D6N LGP (GHS) CAT D6N LGP (SGG) CAT D6N LGP (SGG) (2) CAT D6T (MH7) CAT PL61 (WGS) CAT PL61 (WGS) (2) CAT PL61 (WGS) (3)                            </v>
      </c>
      <c r="D320" s="54" t="str">
        <f>VLOOKUP(B320,'[1]Product by Part Number'!$A:$K,3,0)</f>
        <v>TRACK BOLT</v>
      </c>
      <c r="E320" s="55">
        <f>VLOOKUP(B320,'[1]Product by Part Number'!$A:$K,11,0)</f>
        <v>3088</v>
      </c>
      <c r="F320" s="56">
        <f>VLOOKUP(B320,'[1]Product by Part Number'!$A:$K,4,0)</f>
        <v>5.38</v>
      </c>
      <c r="G320" s="56">
        <f t="shared" si="10"/>
        <v>16613.439999999999</v>
      </c>
      <c r="H320" s="57">
        <f>VLOOKUP(B320,'[1]Product by Part Number'!$A:$K,5,0)</f>
        <v>2.69</v>
      </c>
      <c r="I320" s="88">
        <f t="shared" si="11"/>
        <v>8306.7199999999993</v>
      </c>
    </row>
    <row r="321" spans="2:9" s="53" customFormat="1" x14ac:dyDescent="0.3">
      <c r="B321" s="78" t="s">
        <v>339</v>
      </c>
      <c r="C321" s="54" t="str">
        <f>VLOOKUP(B321,'[1]Product by Part Number'!$A:$K,2,0)</f>
        <v xml:space="preserve">CAT D6T (MH7)                                            </v>
      </c>
      <c r="D321" s="54" t="str">
        <f>VLOOKUP(B321,'[1]Product by Part Number'!$A:$K,3,0)</f>
        <v>ROLLER BOLT</v>
      </c>
      <c r="E321" s="55">
        <f>VLOOKUP(B321,'[1]Product by Part Number'!$A:$K,11,0)</f>
        <v>64</v>
      </c>
      <c r="F321" s="56">
        <f>VLOOKUP(B321,'[1]Product by Part Number'!$A:$K,4,0)</f>
        <v>13.48</v>
      </c>
      <c r="G321" s="56">
        <f t="shared" si="10"/>
        <v>862.72</v>
      </c>
      <c r="H321" s="57">
        <f>VLOOKUP(B321,'[1]Product by Part Number'!$A:$K,5,0)</f>
        <v>6.74</v>
      </c>
      <c r="I321" s="88">
        <f t="shared" si="11"/>
        <v>431.36</v>
      </c>
    </row>
    <row r="322" spans="2:9" s="53" customFormat="1" ht="40.200000000000003" x14ac:dyDescent="0.3">
      <c r="B322" s="78" t="s">
        <v>340</v>
      </c>
      <c r="C322" s="54" t="str">
        <f>VLOOKUP(B322,'[1]Product by Part Number'!$A:$K,2,0)</f>
        <v xml:space="preserve">CAT D5 (3CR) CAT D5 (3CR) (2) CAT 561M (1KW) CAT 561N (CPH) CAT 561N (CPH) (2) CAT 561N (CPH) (3) CAT 561N (CPH) (4) CAT 561N (CPH) (5)                              </v>
      </c>
      <c r="D322" s="54" t="str">
        <f>VLOOKUP(B322,'[1]Product by Part Number'!$A:$K,3,0)</f>
        <v>FLAT WASHER</v>
      </c>
      <c r="E322" s="55">
        <f>VLOOKUP(B322,'[1]Product by Part Number'!$A:$K,11,0)</f>
        <v>320</v>
      </c>
      <c r="F322" s="56">
        <f>VLOOKUP(B322,'[1]Product by Part Number'!$A:$K,4,0)</f>
        <v>3.41</v>
      </c>
      <c r="G322" s="56">
        <f t="shared" si="10"/>
        <v>1091.2</v>
      </c>
      <c r="H322" s="57">
        <f>VLOOKUP(B322,'[1]Product by Part Number'!$A:$K,5,0)</f>
        <v>1.71</v>
      </c>
      <c r="I322" s="88">
        <f t="shared" si="11"/>
        <v>547.20000000000005</v>
      </c>
    </row>
    <row r="323" spans="2:9" s="53" customFormat="1" x14ac:dyDescent="0.3">
      <c r="B323" s="78" t="s">
        <v>341</v>
      </c>
      <c r="C323" s="54" t="str">
        <f>VLOOKUP(B323,'[1]Product by Part Number'!$A:$K,2,0)</f>
        <v xml:space="preserve">CAT D6T (MH7)                                            </v>
      </c>
      <c r="D323" s="54" t="str">
        <f>VLOOKUP(B323,'[1]Product by Part Number'!$A:$K,3,0)</f>
        <v>IDLER CAP BOLT</v>
      </c>
      <c r="E323" s="55">
        <f>VLOOKUP(B323,'[1]Product by Part Number'!$A:$K,11,0)</f>
        <v>16</v>
      </c>
      <c r="F323" s="56">
        <f>VLOOKUP(B323,'[1]Product by Part Number'!$A:$K,4,0)</f>
        <v>27.02</v>
      </c>
      <c r="G323" s="56">
        <f t="shared" si="10"/>
        <v>432.32</v>
      </c>
      <c r="H323" s="57">
        <f>VLOOKUP(B323,'[1]Product by Part Number'!$A:$K,5,0)</f>
        <v>13.51</v>
      </c>
      <c r="I323" s="88">
        <f t="shared" si="11"/>
        <v>216.16</v>
      </c>
    </row>
    <row r="324" spans="2:9" s="53" customFormat="1" x14ac:dyDescent="0.3">
      <c r="B324" s="78" t="s">
        <v>342</v>
      </c>
      <c r="C324" s="54" t="str">
        <f>VLOOKUP(B324,'[1]Product by Part Number'!$A:$K,2,0)</f>
        <v xml:space="preserve">CAT D5 (3CR) CAT D5 (3CR) (2)                                          </v>
      </c>
      <c r="D324" s="54" t="str">
        <f>VLOOKUP(B324,'[1]Product by Part Number'!$A:$K,3,0)</f>
        <v>RIPPER</v>
      </c>
      <c r="E324" s="55">
        <f>VLOOKUP(B324,'[1]Product by Part Number'!$A:$K,11,0)</f>
        <v>2</v>
      </c>
      <c r="F324" s="56">
        <f>VLOOKUP(B324,'[1]Product by Part Number'!$A:$K,4,0)</f>
        <v>144.57</v>
      </c>
      <c r="G324" s="56">
        <f t="shared" si="10"/>
        <v>289.14</v>
      </c>
      <c r="H324" s="57">
        <f>VLOOKUP(B324,'[1]Product by Part Number'!$A:$K,5,0)</f>
        <v>54.94</v>
      </c>
      <c r="I324" s="88">
        <f t="shared" si="11"/>
        <v>109.88</v>
      </c>
    </row>
    <row r="325" spans="2:9" s="53" customFormat="1" ht="27" x14ac:dyDescent="0.3">
      <c r="B325" s="78" t="s">
        <v>343</v>
      </c>
      <c r="C325" s="54" t="str">
        <f>VLOOKUP(B325,'[1]Product by Part Number'!$A:$K,2,0)</f>
        <v xml:space="preserve">CAT D6N LGP (PBA) CAT D6N LGP (PBA) (2) CAT D6N LGP (SGG) CAT D6N LGP (SGG) (2)                                      </v>
      </c>
      <c r="D325" s="54" t="str">
        <f>VLOOKUP(B325,'[1]Product by Part Number'!$A:$K,3,0)</f>
        <v>RIPPER TIP</v>
      </c>
      <c r="E325" s="55">
        <f>VLOOKUP(B325,'[1]Product by Part Number'!$A:$K,11,0)</f>
        <v>12</v>
      </c>
      <c r="F325" s="56">
        <f>VLOOKUP(B325,'[1]Product by Part Number'!$A:$K,4,0)</f>
        <v>224.12</v>
      </c>
      <c r="G325" s="56">
        <f t="shared" si="10"/>
        <v>2689.44</v>
      </c>
      <c r="H325" s="57">
        <f>VLOOKUP(B325,'[1]Product by Part Number'!$A:$K,5,0)</f>
        <v>85.17</v>
      </c>
      <c r="I325" s="88">
        <f t="shared" si="11"/>
        <v>1022.04</v>
      </c>
    </row>
    <row r="326" spans="2:9" s="53" customFormat="1" ht="27" x14ac:dyDescent="0.3">
      <c r="B326" s="78" t="s">
        <v>344</v>
      </c>
      <c r="C326" s="54" t="str">
        <f>VLOOKUP(B326,'[1]Product by Part Number'!$A:$K,2,0)</f>
        <v xml:space="preserve">CAT D6T (MH7) CAT D7G (92V) CAT D7G (3ZD) CAT D7G (3ZD) (2)                                      </v>
      </c>
      <c r="D326" s="54" t="str">
        <f>VLOOKUP(B326,'[1]Product by Part Number'!$A:$K,3,0)</f>
        <v>RIPPER TOOTH</v>
      </c>
      <c r="E326" s="55">
        <f>VLOOKUP(B326,'[1]Product by Part Number'!$A:$K,11,0)</f>
        <v>6</v>
      </c>
      <c r="F326" s="56">
        <f>VLOOKUP(B326,'[1]Product by Part Number'!$A:$K,4,0)</f>
        <v>224.15</v>
      </c>
      <c r="G326" s="56">
        <f t="shared" si="10"/>
        <v>1344.9</v>
      </c>
      <c r="H326" s="57">
        <f>VLOOKUP(B326,'[1]Product by Part Number'!$A:$K,5,0)</f>
        <v>85.18</v>
      </c>
      <c r="I326" s="88">
        <f t="shared" si="11"/>
        <v>511.08</v>
      </c>
    </row>
    <row r="327" spans="2:9" s="53" customFormat="1" x14ac:dyDescent="0.3">
      <c r="B327" s="78" t="s">
        <v>345</v>
      </c>
      <c r="C327" s="54" t="str">
        <f>VLOOKUP(B327,'[1]Product by Part Number'!$A:$K,2,0)</f>
        <v xml:space="preserve">CAT D6N LGP (PBA) CAT D6N LGP (PBA) (2)                                          </v>
      </c>
      <c r="D327" s="54" t="str">
        <f>VLOOKUP(B327,'[1]Product by Part Number'!$A:$K,3,0)</f>
        <v>TRACK BOLT</v>
      </c>
      <c r="E327" s="55">
        <f>VLOOKUP(B327,'[1]Product by Part Number'!$A:$K,11,0)</f>
        <v>720</v>
      </c>
      <c r="F327" s="56">
        <f>VLOOKUP(B327,'[1]Product by Part Number'!$A:$K,4,0)</f>
        <v>6.32</v>
      </c>
      <c r="G327" s="56">
        <f t="shared" si="10"/>
        <v>4550.4000000000005</v>
      </c>
      <c r="H327" s="57">
        <f>VLOOKUP(B327,'[1]Product by Part Number'!$A:$K,5,0)</f>
        <v>3.16</v>
      </c>
      <c r="I327" s="88">
        <f t="shared" si="11"/>
        <v>2275.1999999999998</v>
      </c>
    </row>
    <row r="328" spans="2:9" s="53" customFormat="1" ht="40.200000000000003" x14ac:dyDescent="0.3">
      <c r="B328" s="78" t="s">
        <v>346</v>
      </c>
      <c r="C328" s="54" t="str">
        <f>VLOOKUP(B328,'[1]Product by Part Number'!$A:$K,2,0)</f>
        <v xml:space="preserve">CAT 329E L (ZCD) CAT 329F L (ERL) CAT 329F L (ERL) (2) CAT 330F L (MBX) CAT 330F L (HCK) CAT 330F L (HCK) (2)                                  </v>
      </c>
      <c r="D328" s="54" t="str">
        <f>VLOOKUP(B328,'[1]Product by Part Number'!$A:$K,3,0)</f>
        <v>TRACK SHOE 800MM</v>
      </c>
      <c r="E328" s="55">
        <f>VLOOKUP(B328,'[1]Product by Part Number'!$A:$K,11,0)</f>
        <v>600</v>
      </c>
      <c r="F328" s="56">
        <f>VLOOKUP(B328,'[1]Product by Part Number'!$A:$K,4,0)</f>
        <v>230.39</v>
      </c>
      <c r="G328" s="56">
        <f t="shared" si="10"/>
        <v>138234</v>
      </c>
      <c r="H328" s="57">
        <f>VLOOKUP(B328,'[1]Product by Part Number'!$A:$K,5,0)</f>
        <v>115.2</v>
      </c>
      <c r="I328" s="88">
        <f t="shared" si="11"/>
        <v>69120</v>
      </c>
    </row>
    <row r="329" spans="2:9" s="53" customFormat="1" ht="79.8" x14ac:dyDescent="0.3">
      <c r="B329" s="78" t="s">
        <v>347</v>
      </c>
      <c r="C329" s="54" t="str">
        <f>VLOOKUP(B329,'[1]Product by Part Number'!$A:$K,2,0)</f>
        <v xml:space="preserve">CAT 329E L (ZCD) CAT 329F L (ERL) CAT 329F L (ERL) (2) CAT 330F L (MBX) CAT 330F L (HCK) CAT 330F L (HCK) (2) CAT 330 (LHW) CAT 330 (LHW) (2) CAT 330 (LHW) (3) CAT 330 (LHW) (4) CAT 330 (WCH) CAT 330 (WCH) (2) CAT 330 (WCH) (3) CAT 330 (WCH) (4) CAT 330 (WCH) (5) CAT 330 (WCH) (6)              </v>
      </c>
      <c r="D329" s="54" t="str">
        <f>VLOOKUP(B329,'[1]Product by Part Number'!$A:$K,3,0)</f>
        <v>TRACK SPROCKET</v>
      </c>
      <c r="E329" s="55">
        <f>VLOOKUP(B329,'[1]Product by Part Number'!$A:$K,11,0)</f>
        <v>32</v>
      </c>
      <c r="F329" s="56">
        <f>VLOOKUP(B329,'[1]Product by Part Number'!$A:$K,4,0)</f>
        <v>1259.02</v>
      </c>
      <c r="G329" s="56">
        <f t="shared" si="10"/>
        <v>40288.639999999999</v>
      </c>
      <c r="H329" s="57">
        <f>VLOOKUP(B329,'[1]Product by Part Number'!$A:$K,5,0)</f>
        <v>629.51</v>
      </c>
      <c r="I329" s="88">
        <f t="shared" si="11"/>
        <v>20144.32</v>
      </c>
    </row>
    <row r="330" spans="2:9" s="53" customFormat="1" x14ac:dyDescent="0.3">
      <c r="B330" s="78" t="s">
        <v>348</v>
      </c>
      <c r="C330" s="54" t="str">
        <f>VLOOKUP(B330,'[1]Product by Part Number'!$A:$K,2,0)</f>
        <v xml:space="preserve">CAT 336F L (RKB)                                            </v>
      </c>
      <c r="D330" s="54" t="str">
        <f>VLOOKUP(B330,'[1]Product by Part Number'!$A:$K,3,0)</f>
        <v>TRACK SPROCKET</v>
      </c>
      <c r="E330" s="55">
        <f>VLOOKUP(B330,'[1]Product by Part Number'!$A:$K,11,0)</f>
        <v>2</v>
      </c>
      <c r="F330" s="56">
        <f>VLOOKUP(B330,'[1]Product by Part Number'!$A:$K,4,0)</f>
        <v>1567.41</v>
      </c>
      <c r="G330" s="56">
        <f t="shared" si="10"/>
        <v>3134.82</v>
      </c>
      <c r="H330" s="57">
        <f>VLOOKUP(B330,'[1]Product by Part Number'!$A:$K,5,0)</f>
        <v>783.71</v>
      </c>
      <c r="I330" s="88">
        <f t="shared" si="11"/>
        <v>1567.42</v>
      </c>
    </row>
    <row r="331" spans="2:9" s="53" customFormat="1" x14ac:dyDescent="0.3">
      <c r="B331" s="78" t="s">
        <v>349</v>
      </c>
      <c r="C331" s="54" t="str">
        <f>VLOOKUP(B331,'[1]Product by Part Number'!$A:$K,2,0)</f>
        <v xml:space="preserve">CAT D6 (RDC)                                            </v>
      </c>
      <c r="D331" s="54" t="str">
        <f>VLOOKUP(B331,'[1]Product by Part Number'!$A:$K,3,0)</f>
        <v>MASTER SHOE</v>
      </c>
      <c r="E331" s="55">
        <f>VLOOKUP(B331,'[1]Product by Part Number'!$A:$K,11,0)</f>
        <v>2</v>
      </c>
      <c r="F331" s="56">
        <f>VLOOKUP(B331,'[1]Product by Part Number'!$A:$K,4,0)</f>
        <v>240.45</v>
      </c>
      <c r="G331" s="56">
        <f t="shared" si="10"/>
        <v>480.9</v>
      </c>
      <c r="H331" s="57">
        <f>VLOOKUP(B331,'[1]Product by Part Number'!$A:$K,5,0)</f>
        <v>120.23</v>
      </c>
      <c r="I331" s="88">
        <f t="shared" si="11"/>
        <v>240.46</v>
      </c>
    </row>
    <row r="332" spans="2:9" s="53" customFormat="1" x14ac:dyDescent="0.3">
      <c r="B332" s="78" t="s">
        <v>350</v>
      </c>
      <c r="C332" s="54" t="str">
        <f>VLOOKUP(B332,'[1]Product by Part Number'!$A:$K,2,0)</f>
        <v xml:space="preserve">CAT 336F L (RKB)                                            </v>
      </c>
      <c r="D332" s="54" t="str">
        <f>VLOOKUP(B332,'[1]Product by Part Number'!$A:$K,3,0)</f>
        <v>TRACK SHOE 850MM</v>
      </c>
      <c r="E332" s="55">
        <f>VLOOKUP(B332,'[1]Product by Part Number'!$A:$K,11,0)</f>
        <v>98</v>
      </c>
      <c r="F332" s="56">
        <f>VLOOKUP(B332,'[1]Product by Part Number'!$A:$K,4,0)</f>
        <v>260.58</v>
      </c>
      <c r="G332" s="56">
        <f t="shared" si="10"/>
        <v>25536.84</v>
      </c>
      <c r="H332" s="57">
        <f>VLOOKUP(B332,'[1]Product by Part Number'!$A:$K,5,0)</f>
        <v>130.29</v>
      </c>
      <c r="I332" s="88">
        <f t="shared" si="11"/>
        <v>12768.42</v>
      </c>
    </row>
    <row r="333" spans="2:9" s="53" customFormat="1" x14ac:dyDescent="0.3">
      <c r="B333" s="78" t="s">
        <v>351</v>
      </c>
      <c r="C333" s="54" t="str">
        <f>VLOOKUP(B333,'[1]Product by Part Number'!$A:$K,2,0)</f>
        <v xml:space="preserve">CAT D6 (RDC)                                            </v>
      </c>
      <c r="D333" s="54" t="str">
        <f>VLOOKUP(B333,'[1]Product by Part Number'!$A:$K,3,0)</f>
        <v>TRACK SHOE</v>
      </c>
      <c r="E333" s="55">
        <f>VLOOKUP(B333,'[1]Product by Part Number'!$A:$K,11,0)</f>
        <v>90</v>
      </c>
      <c r="F333" s="56">
        <f>VLOOKUP(B333,'[1]Product by Part Number'!$A:$K,4,0)</f>
        <v>185.5</v>
      </c>
      <c r="G333" s="56">
        <f t="shared" si="10"/>
        <v>16695</v>
      </c>
      <c r="H333" s="57">
        <f>VLOOKUP(B333,'[1]Product by Part Number'!$A:$K,5,0)</f>
        <v>92.75</v>
      </c>
      <c r="I333" s="88">
        <f t="shared" si="11"/>
        <v>8347.5</v>
      </c>
    </row>
    <row r="334" spans="2:9" s="53" customFormat="1" ht="53.4" x14ac:dyDescent="0.3">
      <c r="B334" s="78" t="s">
        <v>352</v>
      </c>
      <c r="C334" s="54" t="str">
        <f>VLOOKUP(B334,'[1]Product by Part Number'!$A:$K,2,0)</f>
        <v xml:space="preserve">CAT 330 (LHW) CAT 330 (LHW) (2) CAT 330 (LHW) (3) CAT 330 (LHW) (4) CAT 330 (WCH) CAT 330 (WCH) (2) CAT 330 (WCH) (3) CAT 330 (WCH) (4) CAT 330 (WCH) (5) CAT 330 (WCH) (6)                          </v>
      </c>
      <c r="D334" s="54" t="str">
        <f>VLOOKUP(B334,'[1]Product by Part Number'!$A:$K,3,0)</f>
        <v>TRACK BOLT</v>
      </c>
      <c r="E334" s="55">
        <f>VLOOKUP(B334,'[1]Product by Part Number'!$A:$K,11,0)</f>
        <v>4000</v>
      </c>
      <c r="F334" s="56">
        <f>VLOOKUP(B334,'[1]Product by Part Number'!$A:$K,4,0)</f>
        <v>8.3699999999999992</v>
      </c>
      <c r="G334" s="56">
        <f t="shared" si="10"/>
        <v>33480</v>
      </c>
      <c r="H334" s="57">
        <f>VLOOKUP(B334,'[1]Product by Part Number'!$A:$K,5,0)</f>
        <v>4.1900000000000004</v>
      </c>
      <c r="I334" s="88">
        <f t="shared" si="11"/>
        <v>16760</v>
      </c>
    </row>
    <row r="335" spans="2:9" s="53" customFormat="1" x14ac:dyDescent="0.3">
      <c r="B335" s="78" t="s">
        <v>353</v>
      </c>
      <c r="C335" s="54" t="str">
        <f>VLOOKUP(B335,'[1]Product by Part Number'!$A:$K,2,0)</f>
        <v xml:space="preserve">CAT D7G (92V) CAT D7G (3ZD) CAT D7G (3ZD) (2)                                        </v>
      </c>
      <c r="D335" s="54" t="str">
        <f>VLOOKUP(B335,'[1]Product by Part Number'!$A:$K,3,0)</f>
        <v>CAMSHAFT ASSY</v>
      </c>
      <c r="E335" s="55">
        <f>VLOOKUP(B335,'[1]Product by Part Number'!$A:$K,11,0)</f>
        <v>3</v>
      </c>
      <c r="F335" s="56">
        <f>VLOOKUP(B335,'[1]Product by Part Number'!$A:$K,4,0)</f>
        <v>3141.67</v>
      </c>
      <c r="G335" s="56">
        <f t="shared" si="10"/>
        <v>9425.01</v>
      </c>
      <c r="H335" s="57">
        <f>VLOOKUP(B335,'[1]Product by Part Number'!$A:$K,5,0)</f>
        <v>1570.84</v>
      </c>
      <c r="I335" s="88">
        <f t="shared" si="11"/>
        <v>4712.5200000000004</v>
      </c>
    </row>
    <row r="336" spans="2:9" s="53" customFormat="1" x14ac:dyDescent="0.3">
      <c r="B336" s="78" t="s">
        <v>438</v>
      </c>
      <c r="C336" s="54" t="str">
        <f>VLOOKUP(B336,'[1]Product by Part Number'!$A:$K,2,0)</f>
        <v xml:space="preserve">CAT 561 (85H) CAT 561 (92J) CAT 561 (92J) (2)                                        </v>
      </c>
      <c r="D336" s="54" t="str">
        <f>VLOOKUP(B336,'[1]Product by Part Number'!$A:$K,3,0)</f>
        <v>BOLT TRACK SHOE</v>
      </c>
      <c r="E336" s="55">
        <f>VLOOKUP(B336,'[1]Product by Part Number'!$A:$K,11,0)</f>
        <v>1086</v>
      </c>
      <c r="F336" s="56">
        <f>VLOOKUP(B336,'[1]Product by Part Number'!$A:$K,4,0)</f>
        <v>2.84</v>
      </c>
      <c r="G336" s="56">
        <f t="shared" ref="G336:G385" si="12">E336*F336</f>
        <v>3084.24</v>
      </c>
      <c r="H336" s="57">
        <f>VLOOKUP(B336,'[1]Product by Part Number'!$A:$K,5,0)</f>
        <v>1.42</v>
      </c>
      <c r="I336" s="88">
        <f t="shared" ref="I336:I385" si="13">ROUND(E336*H336,2)</f>
        <v>1542.12</v>
      </c>
    </row>
    <row r="337" spans="2:9" s="53" customFormat="1" x14ac:dyDescent="0.3">
      <c r="B337" s="78" t="s">
        <v>354</v>
      </c>
      <c r="C337" s="54" t="str">
        <f>VLOOKUP(B337,'[1]Product by Part Number'!$A:$K,2,0)</f>
        <v xml:space="preserve">CAT D7G (92V) CAT D7G (3ZD) CAT D7G (3ZD) (2)                                        </v>
      </c>
      <c r="D337" s="54" t="str">
        <f>VLOOKUP(B337,'[1]Product by Part Number'!$A:$K,3,0)</f>
        <v>TRACK BOLT</v>
      </c>
      <c r="E337" s="55">
        <f>VLOOKUP(B337,'[1]Product by Part Number'!$A:$K,11,0)</f>
        <v>888</v>
      </c>
      <c r="F337" s="56">
        <f>VLOOKUP(B337,'[1]Product by Part Number'!$A:$K,4,0)</f>
        <v>4.01</v>
      </c>
      <c r="G337" s="56">
        <f t="shared" si="12"/>
        <v>3560.8799999999997</v>
      </c>
      <c r="H337" s="57">
        <f>VLOOKUP(B337,'[1]Product by Part Number'!$A:$K,5,0)</f>
        <v>2.0099999999999998</v>
      </c>
      <c r="I337" s="88">
        <f t="shared" si="13"/>
        <v>1784.88</v>
      </c>
    </row>
    <row r="338" spans="2:9" s="53" customFormat="1" ht="119.4" x14ac:dyDescent="0.3">
      <c r="B338" s="78" t="s">
        <v>355</v>
      </c>
      <c r="C338" s="54" t="str">
        <f>VLOOKUP(B338,'[1]Product by Part Number'!$A:$K,2,0)</f>
        <v>CAT D5 (3CR) CAT D5 (3CR) (2) CAT D6N LGP (GHS) CAT D6N LGP (PBA) CAT D6N LGP (PBA) (2) CAT D6N LGP (SGG) CAT D6N LGP (SGG) (2) CAT D6T (MH7) CAT D7G (92V) CAT D7G (3ZD) CAT D7G (3ZD) (2) CAT 561 (85H) CAT 561 (92J) CAT 561 (92J) (2) CAT 561M (1KW) CAT 561N (CPH) CAT 561N (CPH) (2) CAT 561N (CPH) (3) CAT 561N (CPH) (4) CAT 561N (CPH) (5) CAT PL61 (WGS) CAT PL61 (WGS) (2) CAT PL61 (WGS) (3)</v>
      </c>
      <c r="D338" s="54" t="str">
        <f>VLOOKUP(B338,'[1]Product by Part Number'!$A:$K,3,0)</f>
        <v>SPROCKET NUT</v>
      </c>
      <c r="E338" s="55">
        <f>VLOOKUP(B338,'[1]Product by Part Number'!$A:$K,11,0)</f>
        <v>1064</v>
      </c>
      <c r="F338" s="56">
        <f>VLOOKUP(B338,'[1]Product by Part Number'!$A:$K,4,0)</f>
        <v>3.41</v>
      </c>
      <c r="G338" s="56">
        <f t="shared" si="12"/>
        <v>3628.2400000000002</v>
      </c>
      <c r="H338" s="57">
        <f>VLOOKUP(B338,'[1]Product by Part Number'!$A:$K,5,0)</f>
        <v>1.71</v>
      </c>
      <c r="I338" s="88">
        <f t="shared" si="13"/>
        <v>1819.44</v>
      </c>
    </row>
    <row r="339" spans="2:9" s="53" customFormat="1" x14ac:dyDescent="0.3">
      <c r="B339" s="78" t="s">
        <v>356</v>
      </c>
      <c r="C339" s="54" t="str">
        <f>VLOOKUP(B339,'[1]Product by Part Number'!$A:$K,2,0)</f>
        <v xml:space="preserve">CAT D3 (1PJ)                                            </v>
      </c>
      <c r="D339" s="54" t="str">
        <f>VLOOKUP(B339,'[1]Product by Part Number'!$A:$K,3,0)</f>
        <v>TRACK NUT</v>
      </c>
      <c r="E339" s="55">
        <f>VLOOKUP(B339,'[1]Product by Part Number'!$A:$K,11,0)</f>
        <v>344</v>
      </c>
      <c r="F339" s="56">
        <f>VLOOKUP(B339,'[1]Product by Part Number'!$A:$K,4,0)</f>
        <v>1.47</v>
      </c>
      <c r="G339" s="56">
        <f t="shared" si="12"/>
        <v>505.68</v>
      </c>
      <c r="H339" s="57">
        <f>VLOOKUP(B339,'[1]Product by Part Number'!$A:$K,5,0)</f>
        <v>0.74</v>
      </c>
      <c r="I339" s="88">
        <f t="shared" si="13"/>
        <v>254.56</v>
      </c>
    </row>
    <row r="340" spans="2:9" s="53" customFormat="1" x14ac:dyDescent="0.3">
      <c r="B340" s="78" t="s">
        <v>357</v>
      </c>
      <c r="C340" s="54" t="str">
        <f>VLOOKUP(B340,'[1]Product by Part Number'!$A:$K,2,0)</f>
        <v xml:space="preserve">CAT D7G (92V) CAT D7G (3ZD) CAT D7G (3ZD) (2)                                        </v>
      </c>
      <c r="D340" s="54" t="str">
        <f>VLOOKUP(B340,'[1]Product by Part Number'!$A:$K,3,0)</f>
        <v>TURBOCHARGER</v>
      </c>
      <c r="E340" s="55">
        <f>VLOOKUP(B340,'[1]Product by Part Number'!$A:$K,11,0)</f>
        <v>3</v>
      </c>
      <c r="F340" s="56">
        <f>VLOOKUP(B340,'[1]Product by Part Number'!$A:$K,4,0)</f>
        <v>6518.5</v>
      </c>
      <c r="G340" s="56">
        <f t="shared" si="12"/>
        <v>19555.5</v>
      </c>
      <c r="H340" s="57">
        <f>VLOOKUP(B340,'[1]Product by Part Number'!$A:$K,5,0)</f>
        <v>3259.25</v>
      </c>
      <c r="I340" s="88">
        <f t="shared" si="13"/>
        <v>9777.75</v>
      </c>
    </row>
    <row r="341" spans="2:9" s="53" customFormat="1" x14ac:dyDescent="0.3">
      <c r="B341" s="78" t="s">
        <v>439</v>
      </c>
      <c r="C341" s="54" t="str">
        <f>VLOOKUP(B341,'[1]Product by Part Number'!$A:$K,2,0)</f>
        <v xml:space="preserve">CAT 561 (85H) CAT 561 (92J) CAT 561 (92J) (2)                                        </v>
      </c>
      <c r="D341" s="54" t="str">
        <f>VLOOKUP(B341,'[1]Product by Part Number'!$A:$K,3,0)</f>
        <v>IDLER AS</v>
      </c>
      <c r="E341" s="55">
        <f>VLOOKUP(B341,'[1]Product by Part Number'!$A:$K,11,0)</f>
        <v>12</v>
      </c>
      <c r="F341" s="56">
        <f>VLOOKUP(B341,'[1]Product by Part Number'!$A:$K,4,0)</f>
        <v>2106.39</v>
      </c>
      <c r="G341" s="56">
        <f t="shared" si="12"/>
        <v>25276.68</v>
      </c>
      <c r="H341" s="57">
        <f>VLOOKUP(B341,'[1]Product by Part Number'!$A:$K,5,0)</f>
        <v>1053.2</v>
      </c>
      <c r="I341" s="88">
        <f t="shared" si="13"/>
        <v>12638.4</v>
      </c>
    </row>
    <row r="342" spans="2:9" s="53" customFormat="1" ht="27" x14ac:dyDescent="0.3">
      <c r="B342" s="78" t="s">
        <v>358</v>
      </c>
      <c r="C342" s="54" t="str">
        <f>VLOOKUP(B342,'[1]Product by Part Number'!$A:$K,2,0)</f>
        <v xml:space="preserve">CAT D7G (92V) CAT D7G (3ZD) CAT D7G (3ZD) (2) CAT 561 (85H) CAT 561 (92J) CAT 561 (92J) (2)                                  </v>
      </c>
      <c r="D342" s="54" t="str">
        <f>VLOOKUP(B342,'[1]Product by Part Number'!$A:$K,3,0)</f>
        <v>PRIMARY AIR FILTER ELEMENT</v>
      </c>
      <c r="E342" s="55">
        <f>VLOOKUP(B342,'[1]Product by Part Number'!$A:$K,11,0)</f>
        <v>18</v>
      </c>
      <c r="F342" s="56">
        <f>VLOOKUP(B342,'[1]Product by Part Number'!$A:$K,4,0)</f>
        <v>143.6</v>
      </c>
      <c r="G342" s="56">
        <f t="shared" si="12"/>
        <v>2584.7999999999997</v>
      </c>
      <c r="H342" s="57">
        <f>VLOOKUP(B342,'[1]Product by Part Number'!$A:$K,5,0)</f>
        <v>54.57</v>
      </c>
      <c r="I342" s="88">
        <f t="shared" si="13"/>
        <v>982.26</v>
      </c>
    </row>
    <row r="343" spans="2:9" s="53" customFormat="1" x14ac:dyDescent="0.3">
      <c r="B343" s="78" t="s">
        <v>359</v>
      </c>
      <c r="C343" s="54" t="str">
        <f>VLOOKUP(B343,'[1]Product by Part Number'!$A:$K,2,0)</f>
        <v xml:space="preserve">CAT D4 (66J)                                            </v>
      </c>
      <c r="D343" s="54" t="str">
        <f>VLOOKUP(B343,'[1]Product by Part Number'!$A:$K,3,0)</f>
        <v>PRIMARY AIR FILTER ELEMENT</v>
      </c>
      <c r="E343" s="55">
        <f>VLOOKUP(B343,'[1]Product by Part Number'!$A:$K,11,0)</f>
        <v>3</v>
      </c>
      <c r="F343" s="56">
        <f>VLOOKUP(B343,'[1]Product by Part Number'!$A:$K,4,0)</f>
        <v>125.6</v>
      </c>
      <c r="G343" s="56">
        <f t="shared" si="12"/>
        <v>376.79999999999995</v>
      </c>
      <c r="H343" s="57">
        <f>VLOOKUP(B343,'[1]Product by Part Number'!$A:$K,5,0)</f>
        <v>47.73</v>
      </c>
      <c r="I343" s="88">
        <f t="shared" si="13"/>
        <v>143.19</v>
      </c>
    </row>
    <row r="344" spans="2:9" s="53" customFormat="1" x14ac:dyDescent="0.3">
      <c r="B344" s="78" t="s">
        <v>360</v>
      </c>
      <c r="C344" s="54" t="str">
        <f>VLOOKUP(B344,'[1]Product by Part Number'!$A:$K,2,0)</f>
        <v xml:space="preserve">CAT D7G (92V) CAT D7G (3ZD) CAT D7G (3ZD) (2)                                        </v>
      </c>
      <c r="D344" s="54" t="str">
        <f>VLOOKUP(B344,'[1]Product by Part Number'!$A:$K,3,0)</f>
        <v>FUEL FILTER</v>
      </c>
      <c r="E344" s="55">
        <f>VLOOKUP(B344,'[1]Product by Part Number'!$A:$K,11,0)</f>
        <v>15</v>
      </c>
      <c r="F344" s="56">
        <f>VLOOKUP(B344,'[1]Product by Part Number'!$A:$K,4,0)</f>
        <v>43.78</v>
      </c>
      <c r="G344" s="56">
        <f t="shared" si="12"/>
        <v>656.7</v>
      </c>
      <c r="H344" s="57">
        <f>VLOOKUP(B344,'[1]Product by Part Number'!$A:$K,5,0)</f>
        <v>16.64</v>
      </c>
      <c r="I344" s="88">
        <f t="shared" si="13"/>
        <v>249.6</v>
      </c>
    </row>
    <row r="345" spans="2:9" s="53" customFormat="1" x14ac:dyDescent="0.3">
      <c r="B345" s="78" t="s">
        <v>361</v>
      </c>
      <c r="C345" s="54" t="str">
        <f>VLOOKUP(B345,'[1]Product by Part Number'!$A:$K,2,0)</f>
        <v xml:space="preserve">CAT 303.5E                                            </v>
      </c>
      <c r="D345" s="54" t="str">
        <f>VLOOKUP(B345,'[1]Product by Part Number'!$A:$K,3,0)</f>
        <v>TRACK WASHER</v>
      </c>
      <c r="E345" s="55">
        <f>VLOOKUP(B345,'[1]Product by Part Number'!$A:$K,11,0)</f>
        <v>20</v>
      </c>
      <c r="F345" s="56">
        <f>VLOOKUP(B345,'[1]Product by Part Number'!$A:$K,4,0)</f>
        <v>5.59</v>
      </c>
      <c r="G345" s="56">
        <f t="shared" si="12"/>
        <v>111.8</v>
      </c>
      <c r="H345" s="57">
        <f>VLOOKUP(B345,'[1]Product by Part Number'!$A:$K,5,0)</f>
        <v>2.8</v>
      </c>
      <c r="I345" s="88">
        <f t="shared" si="13"/>
        <v>56</v>
      </c>
    </row>
    <row r="346" spans="2:9" s="53" customFormat="1" ht="27" x14ac:dyDescent="0.3">
      <c r="B346" s="78" t="s">
        <v>362</v>
      </c>
      <c r="C346" s="54" t="str">
        <f>VLOOKUP(B346,'[1]Product by Part Number'!$A:$K,2,0)</f>
        <v xml:space="preserve">CAT D6N LGP (PBA) CAT D6N LGP (PBA) (2) CAT D6N LGP (SGG) CAT D6N LGP (SGG) (2)                                      </v>
      </c>
      <c r="D346" s="54" t="str">
        <f>VLOOKUP(B346,'[1]Product by Part Number'!$A:$K,3,0)</f>
        <v>CARRIER BOLT</v>
      </c>
      <c r="E346" s="55">
        <f>VLOOKUP(B346,'[1]Product by Part Number'!$A:$K,11,0)</f>
        <v>16</v>
      </c>
      <c r="F346" s="56">
        <f>VLOOKUP(B346,'[1]Product by Part Number'!$A:$K,4,0)</f>
        <v>31.3</v>
      </c>
      <c r="G346" s="56">
        <f t="shared" si="12"/>
        <v>500.8</v>
      </c>
      <c r="H346" s="57">
        <f>VLOOKUP(B346,'[1]Product by Part Number'!$A:$K,5,0)</f>
        <v>15.65</v>
      </c>
      <c r="I346" s="88">
        <f t="shared" si="13"/>
        <v>250.4</v>
      </c>
    </row>
    <row r="347" spans="2:9" s="53" customFormat="1" ht="40.200000000000003" x14ac:dyDescent="0.3">
      <c r="B347" s="78" t="s">
        <v>363</v>
      </c>
      <c r="C347" s="54" t="str">
        <f>VLOOKUP(B347,'[1]Product by Part Number'!$A:$K,2,0)</f>
        <v xml:space="preserve">CAT 320E L (WBK) CAT 320E L (WBK) (2) CAT 320F L (YBM) CAT 320 (HEX) CAT 320 (MYK) CAT 320 (MYK) (2)                                  </v>
      </c>
      <c r="D347" s="54" t="str">
        <f>VLOOKUP(B347,'[1]Product by Part Number'!$A:$K,3,0)</f>
        <v>CARRIER ROLLER</v>
      </c>
      <c r="E347" s="55">
        <f>VLOOKUP(B347,'[1]Product by Part Number'!$A:$K,11,0)</f>
        <v>24</v>
      </c>
      <c r="F347" s="56">
        <f>VLOOKUP(B347,'[1]Product by Part Number'!$A:$K,4,0)</f>
        <v>537.45000000000005</v>
      </c>
      <c r="G347" s="56">
        <f t="shared" si="12"/>
        <v>12898.800000000001</v>
      </c>
      <c r="H347" s="57">
        <f>VLOOKUP(B347,'[1]Product by Part Number'!$A:$K,5,0)</f>
        <v>268.73</v>
      </c>
      <c r="I347" s="88">
        <f t="shared" si="13"/>
        <v>6449.52</v>
      </c>
    </row>
    <row r="348" spans="2:9" s="53" customFormat="1" x14ac:dyDescent="0.3">
      <c r="B348" s="78" t="s">
        <v>364</v>
      </c>
      <c r="C348" s="54" t="str">
        <f>VLOOKUP(B348,'[1]Product by Part Number'!$A:$K,2,0)</f>
        <v xml:space="preserve">CAT D3 (1PJ)                                            </v>
      </c>
      <c r="D348" s="54" t="str">
        <f>VLOOKUP(B348,'[1]Product by Part Number'!$A:$K,3,0)</f>
        <v>G.E.T PIN</v>
      </c>
      <c r="E348" s="55">
        <f>VLOOKUP(B348,'[1]Product by Part Number'!$A:$K,11,0)</f>
        <v>1</v>
      </c>
      <c r="F348" s="56">
        <f>VLOOKUP(B348,'[1]Product by Part Number'!$A:$K,4,0)</f>
        <v>4.38</v>
      </c>
      <c r="G348" s="56">
        <f t="shared" si="12"/>
        <v>4.38</v>
      </c>
      <c r="H348" s="57">
        <f>VLOOKUP(B348,'[1]Product by Part Number'!$A:$K,5,0)</f>
        <v>1.66</v>
      </c>
      <c r="I348" s="88">
        <f t="shared" si="13"/>
        <v>1.66</v>
      </c>
    </row>
    <row r="349" spans="2:9" s="53" customFormat="1" x14ac:dyDescent="0.3">
      <c r="B349" s="78" t="s">
        <v>365</v>
      </c>
      <c r="C349" s="54" t="str">
        <f>VLOOKUP(B349,'[1]Product by Part Number'!$A:$K,2,0)</f>
        <v xml:space="preserve">CAT D3 (1PJ)                                            </v>
      </c>
      <c r="D349" s="54" t="str">
        <f>VLOOKUP(B349,'[1]Product by Part Number'!$A:$K,3,0)</f>
        <v>TIP PIN RETAINER</v>
      </c>
      <c r="E349" s="55">
        <f>VLOOKUP(B349,'[1]Product by Part Number'!$A:$K,11,0)</f>
        <v>1</v>
      </c>
      <c r="F349" s="56">
        <f>VLOOKUP(B349,'[1]Product by Part Number'!$A:$K,4,0)</f>
        <v>9.4499999999999993</v>
      </c>
      <c r="G349" s="56">
        <f t="shared" si="12"/>
        <v>9.4499999999999993</v>
      </c>
      <c r="H349" s="57">
        <f>VLOOKUP(B349,'[1]Product by Part Number'!$A:$K,5,0)</f>
        <v>3.59</v>
      </c>
      <c r="I349" s="88">
        <f t="shared" si="13"/>
        <v>3.59</v>
      </c>
    </row>
    <row r="350" spans="2:9" s="53" customFormat="1" ht="27" x14ac:dyDescent="0.3">
      <c r="B350" s="78" t="s">
        <v>366</v>
      </c>
      <c r="C350" s="54" t="str">
        <f>VLOOKUP(B350,'[1]Product by Part Number'!$A:$K,2,0)</f>
        <v xml:space="preserve">CAT D6N LGP (GHS) CAT D6N LGP (PBA) CAT D6N LGP (PBA) (2) CAT D6N LGP (SGG) CAT D6N LGP (SGG) (2)                                    </v>
      </c>
      <c r="D350" s="54" t="str">
        <f>VLOOKUP(B350,'[1]Product by Part Number'!$A:$K,3,0)</f>
        <v>END BIT LH</v>
      </c>
      <c r="E350" s="55">
        <f>VLOOKUP(B350,'[1]Product by Part Number'!$A:$K,11,0)</f>
        <v>5</v>
      </c>
      <c r="F350" s="56">
        <f>VLOOKUP(B350,'[1]Product by Part Number'!$A:$K,4,0)</f>
        <v>160.9</v>
      </c>
      <c r="G350" s="56">
        <f t="shared" si="12"/>
        <v>804.5</v>
      </c>
      <c r="H350" s="57">
        <f>VLOOKUP(B350,'[1]Product by Part Number'!$A:$K,5,0)</f>
        <v>61.14</v>
      </c>
      <c r="I350" s="88">
        <f t="shared" si="13"/>
        <v>305.7</v>
      </c>
    </row>
    <row r="351" spans="2:9" s="53" customFormat="1" ht="27" x14ac:dyDescent="0.3">
      <c r="B351" s="78" t="s">
        <v>367</v>
      </c>
      <c r="C351" s="54" t="str">
        <f>VLOOKUP(B351,'[1]Product by Part Number'!$A:$K,2,0)</f>
        <v xml:space="preserve">CAT D6N LGP (GHS) CAT D6N LGP (PBA) CAT D6N LGP (PBA) (2) CAT D6N LGP (SGG) CAT D6N LGP (SGG) (2)                                    </v>
      </c>
      <c r="D351" s="54" t="str">
        <f>VLOOKUP(B351,'[1]Product by Part Number'!$A:$K,3,0)</f>
        <v>END BIT RH</v>
      </c>
      <c r="E351" s="55">
        <f>VLOOKUP(B351,'[1]Product by Part Number'!$A:$K,11,0)</f>
        <v>5</v>
      </c>
      <c r="F351" s="56">
        <f>VLOOKUP(B351,'[1]Product by Part Number'!$A:$K,4,0)</f>
        <v>160.9</v>
      </c>
      <c r="G351" s="56">
        <f t="shared" si="12"/>
        <v>804.5</v>
      </c>
      <c r="H351" s="57">
        <f>VLOOKUP(B351,'[1]Product by Part Number'!$A:$K,5,0)</f>
        <v>61.14</v>
      </c>
      <c r="I351" s="88">
        <f t="shared" si="13"/>
        <v>305.7</v>
      </c>
    </row>
    <row r="352" spans="2:9" s="53" customFormat="1" ht="40.200000000000003" x14ac:dyDescent="0.3">
      <c r="B352" s="78" t="s">
        <v>368</v>
      </c>
      <c r="C352" s="54" t="str">
        <f>VLOOKUP(B352,'[1]Product by Part Number'!$A:$K,2,0)</f>
        <v xml:space="preserve">CAT 320E L (WBK) CAT 320E L (WBK) (2) CAT 320F L (YBM) CAT 320 (HEX) CAT 320 (MYK) CAT 320 (MYK) (2)                                  </v>
      </c>
      <c r="D352" s="54" t="str">
        <f>VLOOKUP(B352,'[1]Product by Part Number'!$A:$K,3,0)</f>
        <v>TRACK SPROCKET</v>
      </c>
      <c r="E352" s="55">
        <f>VLOOKUP(B352,'[1]Product by Part Number'!$A:$K,11,0)</f>
        <v>12</v>
      </c>
      <c r="F352" s="56">
        <f>VLOOKUP(B352,'[1]Product by Part Number'!$A:$K,4,0)</f>
        <v>1064.58</v>
      </c>
      <c r="G352" s="56">
        <f t="shared" si="12"/>
        <v>12774.96</v>
      </c>
      <c r="H352" s="57">
        <f>VLOOKUP(B352,'[1]Product by Part Number'!$A:$K,5,0)</f>
        <v>532.29</v>
      </c>
      <c r="I352" s="88">
        <f t="shared" si="13"/>
        <v>6387.48</v>
      </c>
    </row>
    <row r="353" spans="2:9" s="53" customFormat="1" x14ac:dyDescent="0.3">
      <c r="B353" s="78" t="s">
        <v>440</v>
      </c>
      <c r="C353" s="54" t="str">
        <f>VLOOKUP(B353,'[1]Product by Part Number'!$A:$K,2,0)</f>
        <v xml:space="preserve">CAT 561M (1KW)                                            </v>
      </c>
      <c r="D353" s="54" t="str">
        <f>VLOOKUP(B353,'[1]Product by Part Number'!$A:$K,3,0)</f>
        <v>TRACK SHOE</v>
      </c>
      <c r="E353" s="55">
        <f>VLOOKUP(B353,'[1]Product by Part Number'!$A:$K,11,0)</f>
        <v>88</v>
      </c>
      <c r="F353" s="56">
        <f>VLOOKUP(B353,'[1]Product by Part Number'!$A:$K,4,0)</f>
        <v>89.36</v>
      </c>
      <c r="G353" s="56">
        <f t="shared" si="12"/>
        <v>7863.68</v>
      </c>
      <c r="H353" s="57">
        <f>VLOOKUP(B353,'[1]Product by Part Number'!$A:$K,5,0)</f>
        <v>44.68</v>
      </c>
      <c r="I353" s="88">
        <f t="shared" si="13"/>
        <v>3931.84</v>
      </c>
    </row>
    <row r="354" spans="2:9" s="53" customFormat="1" x14ac:dyDescent="0.3">
      <c r="B354" s="78" t="s">
        <v>369</v>
      </c>
      <c r="C354" s="54" t="str">
        <f>VLOOKUP(B354,'[1]Product by Part Number'!$A:$K,2,0)</f>
        <v xml:space="preserve">CAT D3 (1PJ)                                            </v>
      </c>
      <c r="D354" s="54" t="str">
        <f>VLOOKUP(B354,'[1]Product by Part Number'!$A:$K,3,0)</f>
        <v>SPROCKET NUT</v>
      </c>
      <c r="E354" s="55">
        <f>VLOOKUP(B354,'[1]Product by Part Number'!$A:$K,11,0)</f>
        <v>50</v>
      </c>
      <c r="F354" s="56">
        <f>VLOOKUP(B354,'[1]Product by Part Number'!$A:$K,4,0)</f>
        <v>0.67</v>
      </c>
      <c r="G354" s="56">
        <f t="shared" si="12"/>
        <v>33.5</v>
      </c>
      <c r="H354" s="57">
        <f>VLOOKUP(B354,'[1]Product by Part Number'!$A:$K,5,0)</f>
        <v>0.34</v>
      </c>
      <c r="I354" s="88">
        <f t="shared" si="13"/>
        <v>17</v>
      </c>
    </row>
    <row r="355" spans="2:9" s="53" customFormat="1" ht="27" x14ac:dyDescent="0.3">
      <c r="B355" s="78" t="s">
        <v>370</v>
      </c>
      <c r="C355" s="54" t="str">
        <f>VLOOKUP(B355,'[1]Product by Part Number'!$A:$K,2,0)</f>
        <v xml:space="preserve">CAT D6N LGP (PBA) CAT D6N LGP (PBA) (2) CAT D6N LGP (SGG) CAT D6N LGP (SGG) (2) CAT D6T (MH7)                                    </v>
      </c>
      <c r="D355" s="54" t="str">
        <f>VLOOKUP(B355,'[1]Product by Part Number'!$A:$K,3,0)</f>
        <v>RIPPER PIN</v>
      </c>
      <c r="E355" s="55">
        <f>VLOOKUP(B355,'[1]Product by Part Number'!$A:$K,11,0)</f>
        <v>15</v>
      </c>
      <c r="F355" s="56">
        <f>VLOOKUP(B355,'[1]Product by Part Number'!$A:$K,4,0)</f>
        <v>164.9</v>
      </c>
      <c r="G355" s="56">
        <f t="shared" si="12"/>
        <v>2473.5</v>
      </c>
      <c r="H355" s="57">
        <f>VLOOKUP(B355,'[1]Product by Part Number'!$A:$K,5,0)</f>
        <v>62.66</v>
      </c>
      <c r="I355" s="88">
        <f t="shared" si="13"/>
        <v>939.9</v>
      </c>
    </row>
    <row r="356" spans="2:9" s="53" customFormat="1" x14ac:dyDescent="0.3">
      <c r="B356" s="78" t="s">
        <v>371</v>
      </c>
      <c r="C356" s="54" t="str">
        <f>VLOOKUP(B356,'[1]Product by Part Number'!$A:$K,2,0)</f>
        <v xml:space="preserve">CAT D3 (1PJ)                                            </v>
      </c>
      <c r="D356" s="54" t="str">
        <f>VLOOKUP(B356,'[1]Product by Part Number'!$A:$K,3,0)</f>
        <v>RIPPER SHANK</v>
      </c>
      <c r="E356" s="55">
        <f>VLOOKUP(B356,'[1]Product by Part Number'!$A:$K,11,0)</f>
        <v>1</v>
      </c>
      <c r="F356" s="56">
        <f>VLOOKUP(B356,'[1]Product by Part Number'!$A:$K,4,0)</f>
        <v>446.79</v>
      </c>
      <c r="G356" s="56">
        <f t="shared" si="12"/>
        <v>446.79</v>
      </c>
      <c r="H356" s="57">
        <f>VLOOKUP(B356,'[1]Product by Part Number'!$A:$K,5,0)</f>
        <v>169.78</v>
      </c>
      <c r="I356" s="88">
        <f t="shared" si="13"/>
        <v>169.78</v>
      </c>
    </row>
    <row r="357" spans="2:9" s="53" customFormat="1" x14ac:dyDescent="0.3">
      <c r="B357" s="78" t="s">
        <v>372</v>
      </c>
      <c r="C357" s="54" t="str">
        <f>VLOOKUP(B357,'[1]Product by Part Number'!$A:$K,2,0)</f>
        <v xml:space="preserve">CAT D7G (92V) CAT D7G (3ZD) CAT D7G (3ZD) (2)                                        </v>
      </c>
      <c r="D357" s="54" t="str">
        <f>VLOOKUP(B357,'[1]Product by Part Number'!$A:$K,3,0)</f>
        <v>CYLINDER HEAD</v>
      </c>
      <c r="E357" s="55">
        <f>VLOOKUP(B357,'[1]Product by Part Number'!$A:$K,11,0)</f>
        <v>3</v>
      </c>
      <c r="F357" s="56">
        <f>VLOOKUP(B357,'[1]Product by Part Number'!$A:$K,4,0)</f>
        <v>7409.03</v>
      </c>
      <c r="G357" s="56">
        <f t="shared" si="12"/>
        <v>22227.09</v>
      </c>
      <c r="H357" s="57">
        <f>VLOOKUP(B357,'[1]Product by Part Number'!$A:$K,5,0)</f>
        <v>3704.52</v>
      </c>
      <c r="I357" s="88">
        <f t="shared" si="13"/>
        <v>11113.56</v>
      </c>
    </row>
    <row r="358" spans="2:9" s="53" customFormat="1" x14ac:dyDescent="0.3">
      <c r="B358" s="78" t="s">
        <v>373</v>
      </c>
      <c r="C358" s="54" t="str">
        <f>VLOOKUP(B358,'[1]Product by Part Number'!$A:$K,2,0)</f>
        <v xml:space="preserve">CAT D7G (92V) CAT D7G (3ZD) CAT D7G (3ZD) (2)                                        </v>
      </c>
      <c r="D358" s="54" t="str">
        <f>VLOOKUP(B358,'[1]Product by Part Number'!$A:$K,3,0)</f>
        <v>INJECTORS</v>
      </c>
      <c r="E358" s="55">
        <f>VLOOKUP(B358,'[1]Product by Part Number'!$A:$K,11,0)</f>
        <v>18</v>
      </c>
      <c r="F358" s="56">
        <f>VLOOKUP(B358,'[1]Product by Part Number'!$A:$K,4,0)</f>
        <v>500.81</v>
      </c>
      <c r="G358" s="56">
        <f t="shared" si="12"/>
        <v>9014.58</v>
      </c>
      <c r="H358" s="57">
        <f>VLOOKUP(B358,'[1]Product by Part Number'!$A:$K,5,0)</f>
        <v>250.41</v>
      </c>
      <c r="I358" s="88">
        <f t="shared" si="13"/>
        <v>4507.38</v>
      </c>
    </row>
    <row r="359" spans="2:9" s="53" customFormat="1" x14ac:dyDescent="0.3">
      <c r="B359" s="78" t="s">
        <v>441</v>
      </c>
      <c r="C359" s="54" t="str">
        <f>VLOOKUP(B359,'[1]Product by Part Number'!$A:$K,2,0)</f>
        <v xml:space="preserve">CAT 561 (85H) CAT 561 (92J) CAT 561 (92J) (2)                                        </v>
      </c>
      <c r="D359" s="54" t="str">
        <f>VLOOKUP(B359,'[1]Product by Part Number'!$A:$K,3,0)</f>
        <v>FUEL INJECTOR</v>
      </c>
      <c r="E359" s="55">
        <f>VLOOKUP(B359,'[1]Product by Part Number'!$A:$K,11,0)</f>
        <v>18</v>
      </c>
      <c r="F359" s="56">
        <f>VLOOKUP(B359,'[1]Product by Part Number'!$A:$K,4,0)</f>
        <v>167.77</v>
      </c>
      <c r="G359" s="56">
        <f t="shared" si="12"/>
        <v>3019.86</v>
      </c>
      <c r="H359" s="57">
        <f>VLOOKUP(B359,'[1]Product by Part Number'!$A:$K,5,0)</f>
        <v>83.89</v>
      </c>
      <c r="I359" s="88">
        <f t="shared" si="13"/>
        <v>1510.02</v>
      </c>
    </row>
    <row r="360" spans="2:9" s="53" customFormat="1" x14ac:dyDescent="0.3">
      <c r="B360" s="78" t="s">
        <v>374</v>
      </c>
      <c r="C360" s="54" t="str">
        <f>VLOOKUP(B360,'[1]Product by Part Number'!$A:$K,2,0)</f>
        <v xml:space="preserve">CAT D4 (66J)                                            </v>
      </c>
      <c r="D360" s="54" t="str">
        <f>VLOOKUP(B360,'[1]Product by Part Number'!$A:$K,3,0)</f>
        <v>FUEL WATER SEPARATOR</v>
      </c>
      <c r="E360" s="55">
        <f>VLOOKUP(B360,'[1]Product by Part Number'!$A:$K,11,0)</f>
        <v>10</v>
      </c>
      <c r="F360" s="56">
        <f>VLOOKUP(B360,'[1]Product by Part Number'!$A:$K,4,0)</f>
        <v>60.68</v>
      </c>
      <c r="G360" s="56">
        <f t="shared" si="12"/>
        <v>606.79999999999995</v>
      </c>
      <c r="H360" s="57">
        <f>VLOOKUP(B360,'[1]Product by Part Number'!$A:$K,5,0)</f>
        <v>23.06</v>
      </c>
      <c r="I360" s="88">
        <f t="shared" si="13"/>
        <v>230.6</v>
      </c>
    </row>
    <row r="361" spans="2:9" s="53" customFormat="1" x14ac:dyDescent="0.3">
      <c r="B361" s="78" t="s">
        <v>375</v>
      </c>
      <c r="C361" s="54" t="str">
        <f>VLOOKUP(B361,'[1]Product by Part Number'!$A:$K,2,0)</f>
        <v xml:space="preserve">CAT D7G (92V) CAT D7G (3ZD) CAT D7G (3ZD) (2)                                        </v>
      </c>
      <c r="D361" s="54" t="str">
        <f>VLOOKUP(B361,'[1]Product by Part Number'!$A:$K,3,0)</f>
        <v>SPROCKET SEGMENT</v>
      </c>
      <c r="E361" s="55">
        <f>VLOOKUP(B361,'[1]Product by Part Number'!$A:$K,11,0)</f>
        <v>30</v>
      </c>
      <c r="F361" s="56">
        <f>VLOOKUP(B361,'[1]Product by Part Number'!$A:$K,4,0)</f>
        <v>111.66</v>
      </c>
      <c r="G361" s="56">
        <f t="shared" si="12"/>
        <v>3349.7999999999997</v>
      </c>
      <c r="H361" s="57">
        <f>VLOOKUP(B361,'[1]Product by Part Number'!$A:$K,5,0)</f>
        <v>55.83</v>
      </c>
      <c r="I361" s="88">
        <f t="shared" si="13"/>
        <v>1674.9</v>
      </c>
    </row>
    <row r="362" spans="2:9" s="53" customFormat="1" x14ac:dyDescent="0.3">
      <c r="B362" s="78" t="s">
        <v>442</v>
      </c>
      <c r="C362" s="54" t="str">
        <f>VLOOKUP(B362,'[1]Product by Part Number'!$A:$K,2,0)</f>
        <v xml:space="preserve">CAT 561 (85H) CAT 561 (92J) CAT 561 (92J) (2)                                        </v>
      </c>
      <c r="D362" s="54" t="str">
        <f>VLOOKUP(B362,'[1]Product by Part Number'!$A:$K,3,0)</f>
        <v>TURBOCHARGER</v>
      </c>
      <c r="E362" s="55">
        <f>VLOOKUP(B362,'[1]Product by Part Number'!$A:$K,11,0)</f>
        <v>3</v>
      </c>
      <c r="F362" s="56">
        <f>VLOOKUP(B362,'[1]Product by Part Number'!$A:$K,4,0)</f>
        <v>8878.77</v>
      </c>
      <c r="G362" s="56">
        <f t="shared" si="12"/>
        <v>26636.31</v>
      </c>
      <c r="H362" s="57">
        <f>VLOOKUP(B362,'[1]Product by Part Number'!$A:$K,5,0)</f>
        <v>4439.3900000000003</v>
      </c>
      <c r="I362" s="88">
        <f t="shared" si="13"/>
        <v>13318.17</v>
      </c>
    </row>
    <row r="363" spans="2:9" s="53" customFormat="1" ht="27" x14ac:dyDescent="0.3">
      <c r="B363" s="78" t="s">
        <v>376</v>
      </c>
      <c r="C363" s="54" t="str">
        <f>VLOOKUP(B363,'[1]Product by Part Number'!$A:$K,2,0)</f>
        <v xml:space="preserve">CAT D6N LGP (PBA) CAT D6N LGP (PBA) (2) CAT D6N LGP (SGG) CAT D6N LGP (SGG) (2)                                      </v>
      </c>
      <c r="D363" s="54" t="str">
        <f>VLOOKUP(B363,'[1]Product by Part Number'!$A:$K,3,0)</f>
        <v>ROLLER BOLT</v>
      </c>
      <c r="E363" s="55">
        <f>VLOOKUP(B363,'[1]Product by Part Number'!$A:$K,11,0)</f>
        <v>256</v>
      </c>
      <c r="F363" s="56">
        <f>VLOOKUP(B363,'[1]Product by Part Number'!$A:$K,4,0)</f>
        <v>8.73</v>
      </c>
      <c r="G363" s="56">
        <f t="shared" si="12"/>
        <v>2234.88</v>
      </c>
      <c r="H363" s="57">
        <f>VLOOKUP(B363,'[1]Product by Part Number'!$A:$K,5,0)</f>
        <v>4.37</v>
      </c>
      <c r="I363" s="88">
        <f t="shared" si="13"/>
        <v>1118.72</v>
      </c>
    </row>
    <row r="364" spans="2:9" s="53" customFormat="1" ht="27" x14ac:dyDescent="0.3">
      <c r="B364" s="78" t="s">
        <v>377</v>
      </c>
      <c r="C364" s="54" t="str">
        <f>VLOOKUP(B364,'[1]Product by Part Number'!$A:$K,2,0)</f>
        <v xml:space="preserve">CAT D6N LGP (SGG) CAT D6N LGP (SGG) (2) CAT 561M (1KW)                                        </v>
      </c>
      <c r="D364" s="54" t="str">
        <f>VLOOKUP(B364,'[1]Product by Part Number'!$A:$K,3,0)</f>
        <v>IDLER CAP BOLT - REAR</v>
      </c>
      <c r="E364" s="55">
        <f>VLOOKUP(B364,'[1]Product by Part Number'!$A:$K,11,0)</f>
        <v>32</v>
      </c>
      <c r="F364" s="56">
        <f>VLOOKUP(B364,'[1]Product by Part Number'!$A:$K,4,0)</f>
        <v>12.9</v>
      </c>
      <c r="G364" s="56">
        <f t="shared" si="12"/>
        <v>412.8</v>
      </c>
      <c r="H364" s="57">
        <f>VLOOKUP(B364,'[1]Product by Part Number'!$A:$K,5,0)</f>
        <v>6.45</v>
      </c>
      <c r="I364" s="88">
        <f t="shared" si="13"/>
        <v>206.4</v>
      </c>
    </row>
    <row r="365" spans="2:9" s="53" customFormat="1" x14ac:dyDescent="0.3">
      <c r="B365" s="78" t="s">
        <v>378</v>
      </c>
      <c r="C365" s="54" t="str">
        <f>VLOOKUP(B365,'[1]Product by Part Number'!$A:$K,2,0)</f>
        <v xml:space="preserve">CAT D6N LGP (SGG) CAT D6N LGP (SGG) (2)                                          </v>
      </c>
      <c r="D365" s="54" t="str">
        <f>VLOOKUP(B365,'[1]Product by Part Number'!$A:$K,3,0)</f>
        <v xml:space="preserve">IDLER CAP BOLT - FRONT </v>
      </c>
      <c r="E365" s="55">
        <f>VLOOKUP(B365,'[1]Product by Part Number'!$A:$K,11,0)</f>
        <v>16</v>
      </c>
      <c r="F365" s="56">
        <f>VLOOKUP(B365,'[1]Product by Part Number'!$A:$K,4,0)</f>
        <v>14.24</v>
      </c>
      <c r="G365" s="56">
        <f t="shared" si="12"/>
        <v>227.84</v>
      </c>
      <c r="H365" s="57">
        <f>VLOOKUP(B365,'[1]Product by Part Number'!$A:$K,5,0)</f>
        <v>7.12</v>
      </c>
      <c r="I365" s="88">
        <f t="shared" si="13"/>
        <v>113.92</v>
      </c>
    </row>
    <row r="366" spans="2:9" s="53" customFormat="1" x14ac:dyDescent="0.3">
      <c r="B366" s="78" t="s">
        <v>379</v>
      </c>
      <c r="C366" s="54" t="str">
        <f>VLOOKUP(B366,'[1]Product by Part Number'!$A:$K,2,0)</f>
        <v xml:space="preserve">CAT D6 (RDC)                                            </v>
      </c>
      <c r="D366" s="54" t="str">
        <f>VLOOKUP(B366,'[1]Product by Part Number'!$A:$K,3,0)</f>
        <v>IDLER BOLT</v>
      </c>
      <c r="E366" s="55">
        <f>VLOOKUP(B366,'[1]Product by Part Number'!$A:$K,11,0)</f>
        <v>16</v>
      </c>
      <c r="F366" s="56">
        <f>VLOOKUP(B366,'[1]Product by Part Number'!$A:$K,4,0)</f>
        <v>25.19</v>
      </c>
      <c r="G366" s="56">
        <f t="shared" si="12"/>
        <v>403.04</v>
      </c>
      <c r="H366" s="57">
        <f>VLOOKUP(B366,'[1]Product by Part Number'!$A:$K,5,0)</f>
        <v>12.6</v>
      </c>
      <c r="I366" s="88">
        <f t="shared" si="13"/>
        <v>201.6</v>
      </c>
    </row>
    <row r="367" spans="2:9" s="53" customFormat="1" ht="93" x14ac:dyDescent="0.3">
      <c r="B367" s="78" t="s">
        <v>380</v>
      </c>
      <c r="C367" s="54" t="str">
        <f>VLOOKUP(B367,'[1]Product by Part Number'!$A:$K,2,0)</f>
        <v xml:space="preserve">CAT 329E L (ZCD) CAT 329F L (ERL) CAT 329F L (ERL) (2) CAT 330F L (MBX) CAT 330F L (HCK) CAT 330F L (HCK) (2) CAT 330 (LHW) CAT 330 (LHW) (2) CAT 330 (LHW) (3) CAT 330 (LHW) (4) CAT 330 (WCH) CAT 330 (WCH) (2) CAT 330 (WCH) (3) CAT 330 (WCH) (4) CAT 330 (WCH) (5) CAT 330 (WCH) (6) CAT D6T (MH7) CAT D6T (MH7)          </v>
      </c>
      <c r="D367" s="54" t="str">
        <f>VLOOKUP(B367,'[1]Product by Part Number'!$A:$K,3,0)</f>
        <v>FLAT WASHER</v>
      </c>
      <c r="E367" s="55">
        <f>VLOOKUP(B367,'[1]Product by Part Number'!$A:$K,11,0)</f>
        <v>656</v>
      </c>
      <c r="F367" s="56">
        <f>VLOOKUP(B367,'[1]Product by Part Number'!$A:$K,4,0)</f>
        <v>2.83</v>
      </c>
      <c r="G367" s="56">
        <f t="shared" si="12"/>
        <v>1856.48</v>
      </c>
      <c r="H367" s="57">
        <f>VLOOKUP(B367,'[1]Product by Part Number'!$A:$K,5,0)</f>
        <v>1.42</v>
      </c>
      <c r="I367" s="88">
        <f t="shared" si="13"/>
        <v>931.52</v>
      </c>
    </row>
    <row r="368" spans="2:9" s="53" customFormat="1" ht="40.200000000000003" x14ac:dyDescent="0.3">
      <c r="B368" s="78" t="s">
        <v>381</v>
      </c>
      <c r="C368" s="54" t="str">
        <f>VLOOKUP(B368,'[1]Product by Part Number'!$A:$K,2,0)</f>
        <v xml:space="preserve">CAT D6 (RDC) CAT D6N LGP (PBA) CAT D6N LGP (PBA) (2) CAT D6N LGP (SGG) CAT D6N LGP (SGG) (2) CAT D6T (MH7)                                  </v>
      </c>
      <c r="D368" s="54" t="str">
        <f>VLOOKUP(B368,'[1]Product by Part Number'!$A:$K,3,0)</f>
        <v>FLAT WASHER</v>
      </c>
      <c r="E368" s="55">
        <f>VLOOKUP(B368,'[1]Product by Part Number'!$A:$K,11,0)</f>
        <v>40</v>
      </c>
      <c r="F368" s="56">
        <f>VLOOKUP(B368,'[1]Product by Part Number'!$A:$K,4,0)</f>
        <v>3.56</v>
      </c>
      <c r="G368" s="56">
        <f t="shared" si="12"/>
        <v>142.4</v>
      </c>
      <c r="H368" s="57">
        <f>VLOOKUP(B368,'[1]Product by Part Number'!$A:$K,5,0)</f>
        <v>1.78</v>
      </c>
      <c r="I368" s="88">
        <f t="shared" si="13"/>
        <v>71.2</v>
      </c>
    </row>
    <row r="369" spans="2:9" s="53" customFormat="1" ht="27" x14ac:dyDescent="0.3">
      <c r="B369" s="78" t="s">
        <v>382</v>
      </c>
      <c r="C369" s="54" t="str">
        <f>VLOOKUP(B369,'[1]Product by Part Number'!$A:$K,2,0)</f>
        <v xml:space="preserve">CAT D6N LGP (PBA) CAT D6N LGP (PBA) (2) CAT D6N LGP (SGG) CAT D6N LGP (SGG) (2)                                      </v>
      </c>
      <c r="D369" s="54" t="str">
        <f>VLOOKUP(B369,'[1]Product by Part Number'!$A:$K,3,0)</f>
        <v>HEX NUT</v>
      </c>
      <c r="E369" s="55">
        <f>VLOOKUP(B369,'[1]Product by Part Number'!$A:$K,11,0)</f>
        <v>16</v>
      </c>
      <c r="F369" s="56">
        <f>VLOOKUP(B369,'[1]Product by Part Number'!$A:$K,4,0)</f>
        <v>6.85</v>
      </c>
      <c r="G369" s="56">
        <f t="shared" si="12"/>
        <v>109.6</v>
      </c>
      <c r="H369" s="57">
        <f>VLOOKUP(B369,'[1]Product by Part Number'!$A:$K,5,0)</f>
        <v>3.43</v>
      </c>
      <c r="I369" s="88">
        <f t="shared" si="13"/>
        <v>54.88</v>
      </c>
    </row>
    <row r="370" spans="2:9" s="53" customFormat="1" x14ac:dyDescent="0.3">
      <c r="B370" s="78" t="s">
        <v>383</v>
      </c>
      <c r="C370" s="54" t="str">
        <f>VLOOKUP(B370,'[1]Product by Part Number'!$A:$K,2,0)</f>
        <v xml:space="preserve">CAT 303.5E                                            </v>
      </c>
      <c r="D370" s="54" t="str">
        <f>VLOOKUP(B370,'[1]Product by Part Number'!$A:$K,3,0)</f>
        <v>CARIER NUT</v>
      </c>
      <c r="E370" s="55">
        <f>VLOOKUP(B370,'[1]Product by Part Number'!$A:$K,11,0)</f>
        <v>4</v>
      </c>
      <c r="F370" s="56">
        <f>VLOOKUP(B370,'[1]Product by Part Number'!$A:$K,4,0)</f>
        <v>3.77</v>
      </c>
      <c r="G370" s="56">
        <f t="shared" si="12"/>
        <v>15.08</v>
      </c>
      <c r="H370" s="57">
        <f>VLOOKUP(B370,'[1]Product by Part Number'!$A:$K,5,0)</f>
        <v>1.89</v>
      </c>
      <c r="I370" s="88">
        <f t="shared" si="13"/>
        <v>7.56</v>
      </c>
    </row>
    <row r="371" spans="2:9" s="53" customFormat="1" ht="27" x14ac:dyDescent="0.3">
      <c r="B371" s="78" t="s">
        <v>384</v>
      </c>
      <c r="C371" s="54" t="str">
        <f>VLOOKUP(B371,'[1]Product by Part Number'!$A:$K,2,0)</f>
        <v xml:space="preserve">CAT D6N LGP (GHS) CAT D6N LGP (PBA) CAT D6N LGP (PBA) (2) CAT D6N LGP (SGG) CAT D6N LGP (SGG) (2)                                    </v>
      </c>
      <c r="D371" s="54" t="str">
        <f>VLOOKUP(B371,'[1]Product by Part Number'!$A:$K,3,0)</f>
        <v>HEX HEAD BOLT</v>
      </c>
      <c r="E371" s="55">
        <f>VLOOKUP(B371,'[1]Product by Part Number'!$A:$K,11,0)</f>
        <v>120</v>
      </c>
      <c r="F371" s="56">
        <f>VLOOKUP(B371,'[1]Product by Part Number'!$A:$K,4,0)</f>
        <v>2.42</v>
      </c>
      <c r="G371" s="56">
        <f t="shared" si="12"/>
        <v>290.39999999999998</v>
      </c>
      <c r="H371" s="57">
        <f>VLOOKUP(B371,'[1]Product by Part Number'!$A:$K,5,0)</f>
        <v>1.21</v>
      </c>
      <c r="I371" s="88">
        <f t="shared" si="13"/>
        <v>145.19999999999999</v>
      </c>
    </row>
    <row r="372" spans="2:9" s="53" customFormat="1" ht="27" x14ac:dyDescent="0.3">
      <c r="B372" s="78" t="s">
        <v>385</v>
      </c>
      <c r="C372" s="54" t="str">
        <f>VLOOKUP(B372,'[1]Product by Part Number'!$A:$K,2,0)</f>
        <v xml:space="preserve">CAT D6N LGP (GHS) CAT D6N LGP (PBA) CAT D6N LGP (PBA) (2) CAT D6N LGP (SGG) CAT D6N LGP (SGG) (2)                                    </v>
      </c>
      <c r="D372" s="54" t="str">
        <f>VLOOKUP(B372,'[1]Product by Part Number'!$A:$K,3,0)</f>
        <v>FLAT WASHER</v>
      </c>
      <c r="E372" s="55">
        <f>VLOOKUP(B372,'[1]Product by Part Number'!$A:$K,11,0)</f>
        <v>132</v>
      </c>
      <c r="F372" s="56">
        <f>VLOOKUP(B372,'[1]Product by Part Number'!$A:$K,4,0)</f>
        <v>2.15</v>
      </c>
      <c r="G372" s="56">
        <f t="shared" si="12"/>
        <v>283.8</v>
      </c>
      <c r="H372" s="57">
        <f>VLOOKUP(B372,'[1]Product by Part Number'!$A:$K,5,0)</f>
        <v>1.08</v>
      </c>
      <c r="I372" s="88">
        <f t="shared" si="13"/>
        <v>142.56</v>
      </c>
    </row>
    <row r="373" spans="2:9" s="53" customFormat="1" x14ac:dyDescent="0.3">
      <c r="B373" s="78" t="s">
        <v>386</v>
      </c>
      <c r="C373" s="54" t="str">
        <f>VLOOKUP(B373,'[1]Product by Part Number'!$A:$K,2,0)</f>
        <v xml:space="preserve">CAT 336F L (RKB)                                            </v>
      </c>
      <c r="D373" s="54" t="str">
        <f>VLOOKUP(B373,'[1]Product by Part Number'!$A:$K,3,0)</f>
        <v>IDLER BOLT</v>
      </c>
      <c r="E373" s="55">
        <f>VLOOKUP(B373,'[1]Product by Part Number'!$A:$K,11,0)</f>
        <v>8</v>
      </c>
      <c r="F373" s="56">
        <f>VLOOKUP(B373,'[1]Product by Part Number'!$A:$K,4,0)</f>
        <v>12.21</v>
      </c>
      <c r="G373" s="56">
        <f t="shared" si="12"/>
        <v>97.68</v>
      </c>
      <c r="H373" s="57">
        <f>VLOOKUP(B373,'[1]Product by Part Number'!$A:$K,5,0)</f>
        <v>6.11</v>
      </c>
      <c r="I373" s="88">
        <f t="shared" si="13"/>
        <v>48.88</v>
      </c>
    </row>
    <row r="374" spans="2:9" s="53" customFormat="1" x14ac:dyDescent="0.3">
      <c r="B374" s="78" t="s">
        <v>387</v>
      </c>
      <c r="C374" s="54" t="str">
        <f>VLOOKUP(B374,'[1]Product by Part Number'!$A:$K,2,0)</f>
        <v xml:space="preserve">CAT 303.5E CAT 303.5E                                          </v>
      </c>
      <c r="D374" s="54" t="str">
        <f>VLOOKUP(B374,'[1]Product by Part Number'!$A:$K,3,0)</f>
        <v>CARRIER BOLT</v>
      </c>
      <c r="E374" s="55">
        <f>VLOOKUP(B374,'[1]Product by Part Number'!$A:$K,11,0)</f>
        <v>18</v>
      </c>
      <c r="F374" s="56">
        <f>VLOOKUP(B374,'[1]Product by Part Number'!$A:$K,4,0)</f>
        <v>7.14</v>
      </c>
      <c r="G374" s="56">
        <f t="shared" si="12"/>
        <v>128.51999999999998</v>
      </c>
      <c r="H374" s="57">
        <f>VLOOKUP(B374,'[1]Product by Part Number'!$A:$K,5,0)</f>
        <v>3.57</v>
      </c>
      <c r="I374" s="88">
        <f t="shared" si="13"/>
        <v>64.260000000000005</v>
      </c>
    </row>
    <row r="375" spans="2:9" s="53" customFormat="1" x14ac:dyDescent="0.3">
      <c r="B375" s="78" t="s">
        <v>388</v>
      </c>
      <c r="C375" s="54" t="str">
        <f>VLOOKUP(B375,'[1]Product by Part Number'!$A:$K,2,0)</f>
        <v xml:space="preserve">CAT D5 (3CR) CAT D5 (3CR) (2)                                          </v>
      </c>
      <c r="D375" s="54" t="str">
        <f>VLOOKUP(B375,'[1]Product by Part Number'!$A:$K,3,0)</f>
        <v>SEAT/SUSPENSION ASSEMBLY</v>
      </c>
      <c r="E375" s="55">
        <f>VLOOKUP(B375,'[1]Product by Part Number'!$A:$K,11,0)</f>
        <v>2</v>
      </c>
      <c r="F375" s="56">
        <f>VLOOKUP(B375,'[1]Product by Part Number'!$A:$K,4,0)</f>
        <v>9424.19</v>
      </c>
      <c r="G375" s="56">
        <f t="shared" si="12"/>
        <v>18848.38</v>
      </c>
      <c r="H375" s="57">
        <f>VLOOKUP(B375,'[1]Product by Part Number'!$A:$K,5,0)</f>
        <v>4712.1000000000004</v>
      </c>
      <c r="I375" s="88">
        <f t="shared" si="13"/>
        <v>9424.2000000000007</v>
      </c>
    </row>
    <row r="376" spans="2:9" s="53" customFormat="1" x14ac:dyDescent="0.3">
      <c r="B376" s="78" t="s">
        <v>389</v>
      </c>
      <c r="C376" s="54" t="str">
        <f>VLOOKUP(B376,'[1]Product by Part Number'!$A:$K,2,0)</f>
        <v xml:space="preserve">CAT D3 (1PJ)                                            </v>
      </c>
      <c r="D376" s="54" t="str">
        <f>VLOOKUP(B376,'[1]Product by Part Number'!$A:$K,3,0)</f>
        <v>SEAT ASSEMBLY</v>
      </c>
      <c r="E376" s="55">
        <f>VLOOKUP(B376,'[1]Product by Part Number'!$A:$K,11,0)</f>
        <v>1</v>
      </c>
      <c r="F376" s="56">
        <f>VLOOKUP(B376,'[1]Product by Part Number'!$A:$K,4,0)</f>
        <v>5796.13</v>
      </c>
      <c r="G376" s="56">
        <f t="shared" si="12"/>
        <v>5796.13</v>
      </c>
      <c r="H376" s="57">
        <f>VLOOKUP(B376,'[1]Product by Part Number'!$A:$K,5,0)</f>
        <v>2898.07</v>
      </c>
      <c r="I376" s="88">
        <f t="shared" si="13"/>
        <v>2898.07</v>
      </c>
    </row>
    <row r="377" spans="2:9" s="53" customFormat="1" ht="40.200000000000003" x14ac:dyDescent="0.3">
      <c r="B377" s="78" t="s">
        <v>390</v>
      </c>
      <c r="C377" s="54" t="str">
        <f>VLOOKUP(B377,'[1]Product by Part Number'!$A:$K,2,0)</f>
        <v xml:space="preserve">CAT D5 (3CR) CAT D5 (3CR) (2) CAT 561M (1KW) CAT 561N (CPH) CAT 561N (CPH) (2) CAT 561N (CPH) (3) CAT 561N (CPH) (4) CAT 561N (CPH) (5)                              </v>
      </c>
      <c r="D377" s="54" t="str">
        <f>VLOOKUP(B377,'[1]Product by Part Number'!$A:$K,3,0)</f>
        <v>TRACK BOLT</v>
      </c>
      <c r="E377" s="55">
        <f>VLOOKUP(B377,'[1]Product by Part Number'!$A:$K,11,0)</f>
        <v>950</v>
      </c>
      <c r="F377" s="56">
        <f>VLOOKUP(B377,'[1]Product by Part Number'!$A:$K,4,0)</f>
        <v>3.12</v>
      </c>
      <c r="G377" s="56">
        <f t="shared" si="12"/>
        <v>2964</v>
      </c>
      <c r="H377" s="57">
        <f>VLOOKUP(B377,'[1]Product by Part Number'!$A:$K,5,0)</f>
        <v>1.56</v>
      </c>
      <c r="I377" s="88">
        <f t="shared" si="13"/>
        <v>1482</v>
      </c>
    </row>
    <row r="378" spans="2:9" s="53" customFormat="1" ht="40.200000000000003" x14ac:dyDescent="0.3">
      <c r="B378" s="78" t="s">
        <v>391</v>
      </c>
      <c r="C378" s="54" t="str">
        <f>VLOOKUP(B378,'[1]Product by Part Number'!$A:$K,2,0)</f>
        <v xml:space="preserve">CAT D5 (3CR) CAT D5 (3CR) (2) CAT 561M (1KW) CAT 561N (CPH) CAT 561N (CPH) (2) CAT 561N (CPH) (3) CAT 561N (CPH) (4) CAT 561N (CPH) (5)                              </v>
      </c>
      <c r="D378" s="54" t="str">
        <f>VLOOKUP(B378,'[1]Product by Part Number'!$A:$K,3,0)</f>
        <v>TRACK BOLT MASTER</v>
      </c>
      <c r="E378" s="55">
        <f>VLOOKUP(B378,'[1]Product by Part Number'!$A:$K,11,0)</f>
        <v>18</v>
      </c>
      <c r="F378" s="56">
        <f>VLOOKUP(B378,'[1]Product by Part Number'!$A:$K,4,0)</f>
        <v>5.25</v>
      </c>
      <c r="G378" s="56">
        <f t="shared" si="12"/>
        <v>94.5</v>
      </c>
      <c r="H378" s="57">
        <f>VLOOKUP(B378,'[1]Product by Part Number'!$A:$K,5,0)</f>
        <v>2.63</v>
      </c>
      <c r="I378" s="88">
        <f t="shared" si="13"/>
        <v>47.34</v>
      </c>
    </row>
    <row r="379" spans="2:9" s="53" customFormat="1" x14ac:dyDescent="0.3">
      <c r="B379" s="78" t="s">
        <v>392</v>
      </c>
      <c r="C379" s="54" t="str">
        <f>VLOOKUP(B379,'[1]Product by Part Number'!$A:$K,2,0)</f>
        <v xml:space="preserve">CAT D5 (3CR) CAT D5 (3CR) (2)                                          </v>
      </c>
      <c r="D379" s="54" t="str">
        <f>VLOOKUP(B379,'[1]Product by Part Number'!$A:$K,3,0)</f>
        <v>RIPPER SHANK</v>
      </c>
      <c r="E379" s="55">
        <f>VLOOKUP(B379,'[1]Product by Part Number'!$A:$K,11,0)</f>
        <v>2</v>
      </c>
      <c r="F379" s="56">
        <f>VLOOKUP(B379,'[1]Product by Part Number'!$A:$K,4,0)</f>
        <v>1095.81</v>
      </c>
      <c r="G379" s="56">
        <f t="shared" si="12"/>
        <v>2191.62</v>
      </c>
      <c r="H379" s="57">
        <f>VLOOKUP(B379,'[1]Product by Part Number'!$A:$K,5,0)</f>
        <v>416.41</v>
      </c>
      <c r="I379" s="88">
        <f t="shared" si="13"/>
        <v>832.82</v>
      </c>
    </row>
    <row r="380" spans="2:9" s="53" customFormat="1" ht="27" x14ac:dyDescent="0.3">
      <c r="B380" s="78" t="s">
        <v>393</v>
      </c>
      <c r="C380" s="54" t="str">
        <f>VLOOKUP(B380,'[1]Product by Part Number'!$A:$K,2,0)</f>
        <v xml:space="preserve">CAT D6N LGP (PBA) CAT D6N LGP (PBA) (2) CAT D6N LGP (SGG) CAT D6N LGP (SGG) (2)                                      </v>
      </c>
      <c r="D380" s="54" t="str">
        <f>VLOOKUP(B380,'[1]Product by Part Number'!$A:$K,3,0)</f>
        <v>RIPPER SHANK</v>
      </c>
      <c r="E380" s="55">
        <f>VLOOKUP(B380,'[1]Product by Part Number'!$A:$K,11,0)</f>
        <v>12</v>
      </c>
      <c r="F380" s="56">
        <f>VLOOKUP(B380,'[1]Product by Part Number'!$A:$K,4,0)</f>
        <v>2053.06</v>
      </c>
      <c r="G380" s="56">
        <f t="shared" si="12"/>
        <v>24636.720000000001</v>
      </c>
      <c r="H380" s="57">
        <f>VLOOKUP(B380,'[1]Product by Part Number'!$A:$K,5,0)</f>
        <v>780.16</v>
      </c>
      <c r="I380" s="88">
        <f t="shared" si="13"/>
        <v>9361.92</v>
      </c>
    </row>
    <row r="381" spans="2:9" s="53" customFormat="1" x14ac:dyDescent="0.3">
      <c r="B381" s="78" t="s">
        <v>394</v>
      </c>
      <c r="C381" s="54" t="str">
        <f>VLOOKUP(B381,'[1]Product by Part Number'!$A:$K,2,0)</f>
        <v xml:space="preserve">CAT D3 (1PJ)                                            </v>
      </c>
      <c r="D381" s="54" t="str">
        <f>VLOOKUP(B381,'[1]Product by Part Number'!$A:$K,3,0)</f>
        <v>**FUEL TANK STRAINER**</v>
      </c>
      <c r="E381" s="55">
        <f>VLOOKUP(B381,'[1]Product by Part Number'!$A:$K,11,0)</f>
        <v>5</v>
      </c>
      <c r="F381" s="56">
        <f>VLOOKUP(B381,'[1]Product by Part Number'!$A:$K,4,0)</f>
        <v>127.92</v>
      </c>
      <c r="G381" s="56">
        <f t="shared" si="12"/>
        <v>639.6</v>
      </c>
      <c r="H381" s="57">
        <f>VLOOKUP(B381,'[1]Product by Part Number'!$A:$K,5,0)</f>
        <v>48.61</v>
      </c>
      <c r="I381" s="88">
        <f t="shared" si="13"/>
        <v>243.05</v>
      </c>
    </row>
    <row r="382" spans="2:9" s="53" customFormat="1" x14ac:dyDescent="0.3">
      <c r="B382" s="78" t="s">
        <v>395</v>
      </c>
      <c r="C382" s="54" t="str">
        <f>VLOOKUP(B382,'[1]Product by Part Number'!$A:$K,2,0)</f>
        <v xml:space="preserve">CAT D6 (RDC) CAT D6T (MH7)                                          </v>
      </c>
      <c r="D382" s="54" t="str">
        <f>VLOOKUP(B382,'[1]Product by Part Number'!$A:$K,3,0)</f>
        <v>MASTER TRACK BOLT</v>
      </c>
      <c r="E382" s="55">
        <f>VLOOKUP(B382,'[1]Product by Part Number'!$A:$K,11,0)</f>
        <v>16</v>
      </c>
      <c r="F382" s="56">
        <f>VLOOKUP(B382,'[1]Product by Part Number'!$A:$K,4,0)</f>
        <v>9.9600000000000009</v>
      </c>
      <c r="G382" s="56">
        <f t="shared" si="12"/>
        <v>159.36000000000001</v>
      </c>
      <c r="H382" s="57">
        <f>VLOOKUP(B382,'[1]Product by Part Number'!$A:$K,5,0)</f>
        <v>4.9800000000000004</v>
      </c>
      <c r="I382" s="88">
        <f t="shared" si="13"/>
        <v>79.680000000000007</v>
      </c>
    </row>
    <row r="383" spans="2:9" s="53" customFormat="1" x14ac:dyDescent="0.3">
      <c r="B383" s="78" t="s">
        <v>396</v>
      </c>
      <c r="C383" s="54" t="str">
        <f>VLOOKUP(B383,'[1]Product by Part Number'!$A:$K,2,0)</f>
        <v xml:space="preserve">CAT D7G (92V) CAT D7G (3ZD) CAT D7G (3ZD) (2)                                        </v>
      </c>
      <c r="D383" s="54" t="str">
        <f>VLOOKUP(B383,'[1]Product by Part Number'!$A:$K,3,0)</f>
        <v>SECONDARY AIR FILTER ELEMENT</v>
      </c>
      <c r="E383" s="55">
        <f>VLOOKUP(B383,'[1]Product by Part Number'!$A:$K,11,0)</f>
        <v>9</v>
      </c>
      <c r="F383" s="56">
        <f>VLOOKUP(B383,'[1]Product by Part Number'!$A:$K,4,0)</f>
        <v>115.44</v>
      </c>
      <c r="G383" s="56">
        <f t="shared" si="12"/>
        <v>1038.96</v>
      </c>
      <c r="H383" s="57">
        <f>VLOOKUP(B383,'[1]Product by Part Number'!$A:$K,5,0)</f>
        <v>43.87</v>
      </c>
      <c r="I383" s="88">
        <f t="shared" si="13"/>
        <v>394.83</v>
      </c>
    </row>
    <row r="384" spans="2:9" s="53" customFormat="1" ht="27" x14ac:dyDescent="0.3">
      <c r="B384" s="78" t="s">
        <v>397</v>
      </c>
      <c r="C384" s="54" t="str">
        <f>VLOOKUP(B384,'[1]Product by Part Number'!$A:$K,2,0)</f>
        <v xml:space="preserve">CAT D6N LGP (GHS) CAT D6N LGP (PBA) CAT D6N LGP (PBA) (2) CAT D6N LGP (SGG) CAT D6N LGP (SGG) (2)                                    </v>
      </c>
      <c r="D384" s="54" t="str">
        <f>VLOOKUP(B384,'[1]Product by Part Number'!$A:$K,3,0)</f>
        <v>HYDRAULIC OIL FILTER</v>
      </c>
      <c r="E384" s="55">
        <f>VLOOKUP(B384,'[1]Product by Part Number'!$A:$K,11,0)</f>
        <v>25</v>
      </c>
      <c r="F384" s="56">
        <f>VLOOKUP(B384,'[1]Product by Part Number'!$A:$K,4,0)</f>
        <v>123.35</v>
      </c>
      <c r="G384" s="56">
        <f t="shared" si="12"/>
        <v>3083.75</v>
      </c>
      <c r="H384" s="57">
        <f>VLOOKUP(B384,'[1]Product by Part Number'!$A:$K,5,0)</f>
        <v>46.87</v>
      </c>
      <c r="I384" s="88">
        <f t="shared" si="13"/>
        <v>1171.75</v>
      </c>
    </row>
    <row r="385" spans="2:9" s="53" customFormat="1" ht="79.8" x14ac:dyDescent="0.3">
      <c r="B385" s="78" t="s">
        <v>398</v>
      </c>
      <c r="C385" s="54" t="str">
        <f>VLOOKUP(B385,'[1]Product by Part Number'!$A:$K,2,0)</f>
        <v xml:space="preserve">CAT 320E L (WBK) CAT 320E L (WBK) (2) CAT 320F L (YBM) CAT 320 (HEX) CAT 320 (MYK) CAT 320 (MYK) (2) CAT 329E L (ZCD) CAT 329F L (ERL) CAT 329F L (ERL) (2) CAT 330F L (MBX) CAT 330F L (HCK) CAT 330F L (HCK) (2) CAT D6N LGP (PBA) CAT D6N LGP (PBA) (2)                  </v>
      </c>
      <c r="D385" s="54" t="str">
        <f>VLOOKUP(B385,'[1]Product by Part Number'!$A:$K,3,0)</f>
        <v xml:space="preserve">TRACK NUT </v>
      </c>
      <c r="E385" s="55">
        <f>VLOOKUP(B385,'[1]Product by Part Number'!$A:$K,11,0)</f>
        <v>5472</v>
      </c>
      <c r="F385" s="56">
        <f>VLOOKUP(B385,'[1]Product by Part Number'!$A:$K,4,0)</f>
        <v>3.14</v>
      </c>
      <c r="G385" s="56">
        <f t="shared" si="12"/>
        <v>17182.080000000002</v>
      </c>
      <c r="H385" s="57">
        <f>VLOOKUP(B385,'[1]Product by Part Number'!$A:$K,5,0)</f>
        <v>1.57</v>
      </c>
      <c r="I385" s="88">
        <f t="shared" si="13"/>
        <v>8591.0400000000009</v>
      </c>
    </row>
    <row r="386" spans="2:9" s="53" customFormat="1" ht="40.200000000000003" x14ac:dyDescent="0.3">
      <c r="B386" s="78" t="s">
        <v>399</v>
      </c>
      <c r="C386" s="54" t="str">
        <f>VLOOKUP(B386,'[1]Product by Part Number'!$A:$K,2,0)</f>
        <v xml:space="preserve">CAT 320E L (WBK) CAT 320E L (WBK) (2) CAT 320F L (YBM) CAT 320 (HEX) CAT 320 (MYK) CAT 320 (MYK) (2)                                  </v>
      </c>
      <c r="D386" s="54" t="str">
        <f>VLOOKUP(B386,'[1]Product by Part Number'!$A:$K,3,0)</f>
        <v xml:space="preserve">TRACK BOLT </v>
      </c>
      <c r="E386" s="55">
        <f>VLOOKUP(B386,'[1]Product by Part Number'!$A:$K,11,0)</f>
        <v>2352</v>
      </c>
      <c r="F386" s="56">
        <f>VLOOKUP(B386,'[1]Product by Part Number'!$A:$K,4,0)</f>
        <v>4.25</v>
      </c>
      <c r="G386" s="56">
        <f t="shared" ref="G386:G408" si="14">E386*F386</f>
        <v>9996</v>
      </c>
      <c r="H386" s="57">
        <f>VLOOKUP(B386,'[1]Product by Part Number'!$A:$K,5,0)</f>
        <v>2.13</v>
      </c>
      <c r="I386" s="88">
        <f t="shared" ref="I386:I408" si="15">ROUND(E386*H386,2)</f>
        <v>5009.76</v>
      </c>
    </row>
    <row r="387" spans="2:9" s="53" customFormat="1" x14ac:dyDescent="0.3">
      <c r="B387" s="78" t="s">
        <v>400</v>
      </c>
      <c r="C387" s="54" t="str">
        <f>VLOOKUP(B387,'[1]Product by Part Number'!$A:$K,2,0)</f>
        <v xml:space="preserve">CAT D6T (MH7)                                            </v>
      </c>
      <c r="D387" s="54" t="str">
        <f>VLOOKUP(B387,'[1]Product by Part Number'!$A:$K,3,0)</f>
        <v>END BIT RH</v>
      </c>
      <c r="E387" s="55">
        <f>VLOOKUP(B387,'[1]Product by Part Number'!$A:$K,11,0)</f>
        <v>1</v>
      </c>
      <c r="F387" s="56">
        <f>VLOOKUP(B387,'[1]Product by Part Number'!$A:$K,4,0)</f>
        <v>219.63</v>
      </c>
      <c r="G387" s="56">
        <f t="shared" si="14"/>
        <v>219.63</v>
      </c>
      <c r="H387" s="57">
        <f>VLOOKUP(B387,'[1]Product by Part Number'!$A:$K,5,0)</f>
        <v>83.46</v>
      </c>
      <c r="I387" s="88">
        <f t="shared" si="15"/>
        <v>83.46</v>
      </c>
    </row>
    <row r="388" spans="2:9" s="53" customFormat="1" x14ac:dyDescent="0.3">
      <c r="B388" s="78" t="s">
        <v>401</v>
      </c>
      <c r="C388" s="54" t="str">
        <f>VLOOKUP(B388,'[1]Product by Part Number'!$A:$K,2,0)</f>
        <v xml:space="preserve">CAT D6T (MH7)                                            </v>
      </c>
      <c r="D388" s="54" t="str">
        <f>VLOOKUP(B388,'[1]Product by Part Number'!$A:$K,3,0)</f>
        <v>END BIT LH</v>
      </c>
      <c r="E388" s="55">
        <f>VLOOKUP(B388,'[1]Product by Part Number'!$A:$K,11,0)</f>
        <v>1</v>
      </c>
      <c r="F388" s="56">
        <f>VLOOKUP(B388,'[1]Product by Part Number'!$A:$K,4,0)</f>
        <v>219.63</v>
      </c>
      <c r="G388" s="56">
        <f t="shared" si="14"/>
        <v>219.63</v>
      </c>
      <c r="H388" s="57">
        <f>VLOOKUP(B388,'[1]Product by Part Number'!$A:$K,5,0)</f>
        <v>83.46</v>
      </c>
      <c r="I388" s="88">
        <f t="shared" si="15"/>
        <v>83.46</v>
      </c>
    </row>
    <row r="389" spans="2:9" s="53" customFormat="1" x14ac:dyDescent="0.3">
      <c r="B389" s="78" t="s">
        <v>402</v>
      </c>
      <c r="C389" s="54" t="str">
        <f>VLOOKUP(B389,'[1]Product by Part Number'!$A:$K,2,0)</f>
        <v xml:space="preserve">CAT D7G (92V) CAT D7G (3ZD) CAT D7G (3ZD) (2)                                        </v>
      </c>
      <c r="D389" s="54" t="str">
        <f>VLOOKUP(B389,'[1]Product by Part Number'!$A:$K,3,0)</f>
        <v>MASTER TRACK BOLT</v>
      </c>
      <c r="E389" s="55">
        <f>VLOOKUP(B389,'[1]Product by Part Number'!$A:$K,11,0)</f>
        <v>12</v>
      </c>
      <c r="F389" s="56">
        <f>VLOOKUP(B389,'[1]Product by Part Number'!$A:$K,4,0)</f>
        <v>15.58</v>
      </c>
      <c r="G389" s="56">
        <f t="shared" si="14"/>
        <v>186.96</v>
      </c>
      <c r="H389" s="57">
        <f>VLOOKUP(B389,'[1]Product by Part Number'!$A:$K,5,0)</f>
        <v>7.79</v>
      </c>
      <c r="I389" s="88">
        <f t="shared" si="15"/>
        <v>93.48</v>
      </c>
    </row>
    <row r="390" spans="2:9" s="53" customFormat="1" x14ac:dyDescent="0.3">
      <c r="B390" s="78" t="s">
        <v>403</v>
      </c>
      <c r="C390" s="54" t="str">
        <f>VLOOKUP(B390,'[1]Product by Part Number'!$A:$K,2,0)</f>
        <v xml:space="preserve">CAT D3 (1PJ)                                            </v>
      </c>
      <c r="D390" s="54" t="str">
        <f>VLOOKUP(B390,'[1]Product by Part Number'!$A:$K,3,0)</f>
        <v>SPROCKET BOLT</v>
      </c>
      <c r="E390" s="55">
        <f>VLOOKUP(B390,'[1]Product by Part Number'!$A:$K,11,0)</f>
        <v>50</v>
      </c>
      <c r="F390" s="56">
        <f>VLOOKUP(B390,'[1]Product by Part Number'!$A:$K,4,0)</f>
        <v>1.46</v>
      </c>
      <c r="G390" s="56">
        <f t="shared" si="14"/>
        <v>73</v>
      </c>
      <c r="H390" s="57">
        <f>VLOOKUP(B390,'[1]Product by Part Number'!$A:$K,5,0)</f>
        <v>0.73</v>
      </c>
      <c r="I390" s="88">
        <f t="shared" si="15"/>
        <v>36.5</v>
      </c>
    </row>
    <row r="391" spans="2:9" s="53" customFormat="1" ht="93" x14ac:dyDescent="0.3">
      <c r="B391" s="78" t="s">
        <v>404</v>
      </c>
      <c r="C391" s="54" t="str">
        <f>VLOOKUP(B391,'[1]Product by Part Number'!$A:$K,2,0)</f>
        <v xml:space="preserve">CAT 320F L (YBM) CAT 330 (LHW) CAT 330 (LHW) (2) CAT 330 (LHW) (3) CAT 330 (LHW) (4) CAT 330 (WCH) CAT 330 (WCH) (2) CAT 330 (WCH) (3) CAT 330 (WCH) (4) CAT 330 (WCH) (5) CAT 330 (WCH) (6) CAT 561M (1KW) CAT 561N (CPH) CAT 561N (CPH) (2) CAT 561N (CPH) (3) CAT 561N (CPH) (4) CAT 561N (CPH) (5)            </v>
      </c>
      <c r="D391" s="54" t="str">
        <f>VLOOKUP(B391,'[1]Product by Part Number'!$A:$K,3,0)</f>
        <v>12V BATTERY - 900CCA</v>
      </c>
      <c r="E391" s="55">
        <f>VLOOKUP(B391,'[1]Product by Part Number'!$A:$K,11,0)</f>
        <v>54</v>
      </c>
      <c r="F391" s="56">
        <f>VLOOKUP(B391,'[1]Product by Part Number'!$A:$K,4,0)</f>
        <v>503.86</v>
      </c>
      <c r="G391" s="56">
        <f t="shared" si="14"/>
        <v>27208.440000000002</v>
      </c>
      <c r="H391" s="57">
        <f>VLOOKUP(B391,'[1]Product by Part Number'!$A:$K,5,0)</f>
        <v>120.88</v>
      </c>
      <c r="I391" s="88">
        <f t="shared" si="15"/>
        <v>6527.52</v>
      </c>
    </row>
    <row r="392" spans="2:9" s="53" customFormat="1" ht="27" x14ac:dyDescent="0.3">
      <c r="B392" s="78" t="s">
        <v>405</v>
      </c>
      <c r="C392" s="54" t="str">
        <f>VLOOKUP(B392,'[1]Product by Part Number'!$A:$K,2,0)</f>
        <v xml:space="preserve">CAT D6N LGP (PBA) CAT D6N LGP (PBA) (2) CAT D6N LGP (SGG) CAT D6N LGP (SGG) (2)                                      </v>
      </c>
      <c r="D392" s="54" t="str">
        <f>VLOOKUP(B392,'[1]Product by Part Number'!$A:$K,3,0)</f>
        <v>FLAT WASHER</v>
      </c>
      <c r="E392" s="55">
        <f>VLOOKUP(B392,'[1]Product by Part Number'!$A:$K,11,0)</f>
        <v>256</v>
      </c>
      <c r="F392" s="56">
        <f>VLOOKUP(B392,'[1]Product by Part Number'!$A:$K,4,0)</f>
        <v>2.4700000000000002</v>
      </c>
      <c r="G392" s="56">
        <f t="shared" si="14"/>
        <v>632.32000000000005</v>
      </c>
      <c r="H392" s="57">
        <f>VLOOKUP(B392,'[1]Product by Part Number'!$A:$K,5,0)</f>
        <v>1.24</v>
      </c>
      <c r="I392" s="88">
        <f t="shared" si="15"/>
        <v>317.44</v>
      </c>
    </row>
    <row r="393" spans="2:9" s="53" customFormat="1" ht="27" x14ac:dyDescent="0.3">
      <c r="B393" s="78" t="s">
        <v>406</v>
      </c>
      <c r="C393" s="54" t="str">
        <f>VLOOKUP(B393,'[1]Product by Part Number'!$A:$K,2,0)</f>
        <v xml:space="preserve">CAT 561N (CPH) CAT 561N (CPH) (2) CAT 561N (CPH) (3) CAT 561N (CPH) (4) CAT 561N (CPH) (5)                                    </v>
      </c>
      <c r="D393" s="54" t="str">
        <f>VLOOKUP(B393,'[1]Product by Part Number'!$A:$K,3,0)</f>
        <v>GQP ENGINE OVERHAUL KIT</v>
      </c>
      <c r="E393" s="55">
        <f>VLOOKUP(B393,'[1]Product by Part Number'!$A:$K,11,0)</f>
        <v>5</v>
      </c>
      <c r="F393" s="56">
        <f>VLOOKUP(B393,'[1]Product by Part Number'!$A:$K,4,0)</f>
        <v>6826.34</v>
      </c>
      <c r="G393" s="56">
        <f t="shared" si="14"/>
        <v>34131.699999999997</v>
      </c>
      <c r="H393" s="57">
        <f>VLOOKUP(B393,'[1]Product by Part Number'!$A:$K,5,0)</f>
        <v>3413.17</v>
      </c>
      <c r="I393" s="88">
        <f t="shared" si="15"/>
        <v>17065.849999999999</v>
      </c>
    </row>
    <row r="394" spans="2:9" s="53" customFormat="1" ht="27" x14ac:dyDescent="0.3">
      <c r="B394" s="78" t="s">
        <v>407</v>
      </c>
      <c r="C394" s="54" t="str">
        <f>VLOOKUP(B394,'[1]Product by Part Number'!$A:$K,2,0)</f>
        <v xml:space="preserve">CAT PL61 (WGS) CAT PL61 (WGS) (2) CAT PL61 (WGS) (3)                                        </v>
      </c>
      <c r="D394" s="54" t="str">
        <f>VLOOKUP(B394,'[1]Product by Part Number'!$A:$K,3,0)</f>
        <v>GQP ENGINE OVERHAUL KIT</v>
      </c>
      <c r="E394" s="55">
        <f>VLOOKUP(B394,'[1]Product by Part Number'!$A:$K,11,0)</f>
        <v>3</v>
      </c>
      <c r="F394" s="56">
        <f>VLOOKUP(B394,'[1]Product by Part Number'!$A:$K,4,0)</f>
        <v>6826.34</v>
      </c>
      <c r="G394" s="56">
        <f t="shared" si="14"/>
        <v>20479.02</v>
      </c>
      <c r="H394" s="57">
        <f>VLOOKUP(B394,'[1]Product by Part Number'!$A:$K,5,0)</f>
        <v>3413.17</v>
      </c>
      <c r="I394" s="88">
        <f t="shared" si="15"/>
        <v>10239.51</v>
      </c>
    </row>
    <row r="395" spans="2:9" s="53" customFormat="1" x14ac:dyDescent="0.3">
      <c r="B395" s="78" t="s">
        <v>408</v>
      </c>
      <c r="C395" s="54" t="str">
        <f>VLOOKUP(B395,'[1]Product by Part Number'!$A:$K,2,0)</f>
        <v xml:space="preserve">CAT 303.5E                                            </v>
      </c>
      <c r="D395" s="54" t="str">
        <f>VLOOKUP(B395,'[1]Product by Part Number'!$A:$K,3,0)</f>
        <v>GQP ENGINE OVERHAUL KIT</v>
      </c>
      <c r="E395" s="55">
        <f>VLOOKUP(B395,'[1]Product by Part Number'!$A:$K,11,0)</f>
        <v>1</v>
      </c>
      <c r="F395" s="56">
        <f>VLOOKUP(B395,'[1]Product by Part Number'!$A:$K,4,0)</f>
        <v>3156.78</v>
      </c>
      <c r="G395" s="56">
        <f t="shared" si="14"/>
        <v>3156.78</v>
      </c>
      <c r="H395" s="57">
        <f>VLOOKUP(B395,'[1]Product by Part Number'!$A:$K,5,0)</f>
        <v>1578.39</v>
      </c>
      <c r="I395" s="88">
        <f t="shared" si="15"/>
        <v>1578.39</v>
      </c>
    </row>
    <row r="396" spans="2:9" s="53" customFormat="1" x14ac:dyDescent="0.3">
      <c r="B396" s="78" t="s">
        <v>409</v>
      </c>
      <c r="C396" s="54" t="str">
        <f>VLOOKUP(B396,'[1]Product by Part Number'!$A:$K,2,0)</f>
        <v xml:space="preserve">CAT 320E L (WBK) CAT 320E L (WBK) (2)                                          </v>
      </c>
      <c r="D396" s="54" t="str">
        <f>VLOOKUP(B396,'[1]Product by Part Number'!$A:$K,3,0)</f>
        <v>ENGINE OVERHAUL KIT</v>
      </c>
      <c r="E396" s="55">
        <f>VLOOKUP(B396,'[1]Product by Part Number'!$A:$K,11,0)</f>
        <v>2</v>
      </c>
      <c r="F396" s="56">
        <f>VLOOKUP(B396,'[1]Product by Part Number'!$A:$K,4,0)</f>
        <v>3792.79</v>
      </c>
      <c r="G396" s="56">
        <f t="shared" si="14"/>
        <v>7585.58</v>
      </c>
      <c r="H396" s="57">
        <f>VLOOKUP(B396,'[1]Product by Part Number'!$A:$K,5,0)</f>
        <v>1896.4</v>
      </c>
      <c r="I396" s="88">
        <f t="shared" si="15"/>
        <v>3792.8</v>
      </c>
    </row>
    <row r="397" spans="2:9" s="53" customFormat="1" x14ac:dyDescent="0.3">
      <c r="B397" s="78" t="s">
        <v>410</v>
      </c>
      <c r="C397" s="54" t="str">
        <f>VLOOKUP(B397,'[1]Product by Part Number'!$A:$K,2,0)</f>
        <v xml:space="preserve">CAT 320 (MYK) CAT 320 (MYK) (2)                                          </v>
      </c>
      <c r="D397" s="54" t="str">
        <f>VLOOKUP(B397,'[1]Product by Part Number'!$A:$K,3,0)</f>
        <v>ENGINE REBUILD KIT</v>
      </c>
      <c r="E397" s="55">
        <f>VLOOKUP(B397,'[1]Product by Part Number'!$A:$K,11,0)</f>
        <v>2</v>
      </c>
      <c r="F397" s="56">
        <f>VLOOKUP(B397,'[1]Product by Part Number'!$A:$K,4,0)</f>
        <v>2889.4</v>
      </c>
      <c r="G397" s="56">
        <f t="shared" si="14"/>
        <v>5778.8</v>
      </c>
      <c r="H397" s="57">
        <f>VLOOKUP(B397,'[1]Product by Part Number'!$A:$K,5,0)</f>
        <v>1444.7</v>
      </c>
      <c r="I397" s="88">
        <f t="shared" si="15"/>
        <v>2889.4</v>
      </c>
    </row>
    <row r="398" spans="2:9" s="53" customFormat="1" ht="27" x14ac:dyDescent="0.3">
      <c r="B398" s="78" t="s">
        <v>411</v>
      </c>
      <c r="C398" s="54" t="str">
        <f>VLOOKUP(B398,'[1]Product by Part Number'!$A:$K,2,0)</f>
        <v xml:space="preserve">CAT 561N (CPH) CAT 561N (CPH) (2) CAT 561N (CPH) (3) CAT 561N (CPH) (4) CAT 561N (CPH) (5)                                    </v>
      </c>
      <c r="D398" s="54" t="str">
        <f>VLOOKUP(B398,'[1]Product by Part Number'!$A:$K,3,0)</f>
        <v>30" GQP TRACK GROUP</v>
      </c>
      <c r="E398" s="55">
        <f>VLOOKUP(B398,'[1]Product by Part Number'!$A:$K,11,0)</f>
        <v>10</v>
      </c>
      <c r="F398" s="56">
        <f>VLOOKUP(B398,'[1]Product by Part Number'!$A:$K,4,0)</f>
        <v>12613.63</v>
      </c>
      <c r="G398" s="56">
        <f t="shared" si="14"/>
        <v>126136.29999999999</v>
      </c>
      <c r="H398" s="57">
        <f>VLOOKUP(B398,'[1]Product by Part Number'!$A:$K,5,0)</f>
        <v>6306.82</v>
      </c>
      <c r="I398" s="88">
        <f t="shared" si="15"/>
        <v>63068.2</v>
      </c>
    </row>
    <row r="399" spans="2:9" s="53" customFormat="1" x14ac:dyDescent="0.3">
      <c r="B399" s="78" t="s">
        <v>412</v>
      </c>
      <c r="C399" s="54" t="str">
        <f>VLOOKUP(B399,'[1]Product by Part Number'!$A:$K,2,0)</f>
        <v xml:space="preserve">CAT 320F L (YBM) CAT 320 (HEX)                                          </v>
      </c>
      <c r="D399" s="54" t="str">
        <f>VLOOKUP(B399,'[1]Product by Part Number'!$A:$K,3,0)</f>
        <v>C4.4B REBUILD KIT</v>
      </c>
      <c r="E399" s="55">
        <f>VLOOKUP(B399,'[1]Product by Part Number'!$A:$K,11,0)</f>
        <v>2</v>
      </c>
      <c r="F399" s="56">
        <f>VLOOKUP(B399,'[1]Product by Part Number'!$A:$K,4,0)</f>
        <v>2512.7199999999998</v>
      </c>
      <c r="G399" s="56">
        <f t="shared" si="14"/>
        <v>5025.4399999999996</v>
      </c>
      <c r="H399" s="57">
        <f>VLOOKUP(B399,'[1]Product by Part Number'!$A:$K,5,0)</f>
        <v>1256.3599999999999</v>
      </c>
      <c r="I399" s="88">
        <f t="shared" si="15"/>
        <v>2512.7199999999998</v>
      </c>
    </row>
    <row r="400" spans="2:9" s="53" customFormat="1" x14ac:dyDescent="0.3">
      <c r="B400" s="78" t="s">
        <v>413</v>
      </c>
      <c r="C400" s="54" t="str">
        <f>VLOOKUP(B400,'[1]Product by Part Number'!$A:$K,2,0)</f>
        <v xml:space="preserve">CAT D3 (1PJ)                                            </v>
      </c>
      <c r="D400" s="54" t="str">
        <f>VLOOKUP(B400,'[1]Product by Part Number'!$A:$K,3,0)</f>
        <v>GQP OVERHAUL KIT</v>
      </c>
      <c r="E400" s="55">
        <f>VLOOKUP(B400,'[1]Product by Part Number'!$A:$K,11,0)</f>
        <v>1</v>
      </c>
      <c r="F400" s="56">
        <f>VLOOKUP(B400,'[1]Product by Part Number'!$A:$K,4,0)</f>
        <v>4182.34</v>
      </c>
      <c r="G400" s="56">
        <f t="shared" si="14"/>
        <v>4182.34</v>
      </c>
      <c r="H400" s="57">
        <f>VLOOKUP(B400,'[1]Product by Part Number'!$A:$K,5,0)</f>
        <v>2091.17</v>
      </c>
      <c r="I400" s="88">
        <f t="shared" si="15"/>
        <v>2091.17</v>
      </c>
    </row>
    <row r="401" spans="2:9" s="53" customFormat="1" x14ac:dyDescent="0.3">
      <c r="B401" s="78" t="s">
        <v>414</v>
      </c>
      <c r="C401" s="54" t="str">
        <f>VLOOKUP(B401,'[1]Product by Part Number'!$A:$K,2,0)</f>
        <v xml:space="preserve">CAT D4 (66J)                                            </v>
      </c>
      <c r="D401" s="54" t="str">
        <f>VLOOKUP(B401,'[1]Product by Part Number'!$A:$K,3,0)</f>
        <v>SEAT SUSPENSION ASSEMBLY</v>
      </c>
      <c r="E401" s="55">
        <f>VLOOKUP(B401,'[1]Product by Part Number'!$A:$K,11,0)</f>
        <v>1</v>
      </c>
      <c r="F401" s="56">
        <f>VLOOKUP(B401,'[1]Product by Part Number'!$A:$K,4,0)</f>
        <v>1021.54</v>
      </c>
      <c r="G401" s="56">
        <f t="shared" si="14"/>
        <v>1021.54</v>
      </c>
      <c r="H401" s="57">
        <f>VLOOKUP(B401,'[1]Product by Part Number'!$A:$K,5,0)</f>
        <v>510.77</v>
      </c>
      <c r="I401" s="88">
        <f t="shared" si="15"/>
        <v>510.77</v>
      </c>
    </row>
    <row r="402" spans="2:9" s="53" customFormat="1" x14ac:dyDescent="0.3">
      <c r="B402" s="78" t="s">
        <v>443</v>
      </c>
      <c r="C402" s="54" t="str">
        <f>VLOOKUP(B402,'[1]Product by Part Number'!$A:$K,2,0)</f>
        <v xml:space="preserve">CAT D5 (3CR) CAT D5 (3CR) (2)                                          </v>
      </c>
      <c r="D402" s="54" t="str">
        <f>VLOOKUP(B402,'[1]Product by Part Number'!$A:$K,3,0)</f>
        <v>TRACK GROUP</v>
      </c>
      <c r="E402" s="55">
        <f>VLOOKUP(B402,'[1]Product by Part Number'!$A:$K,11,0)</f>
        <v>4</v>
      </c>
      <c r="F402" s="56">
        <f>VLOOKUP(B402,'[1]Product by Part Number'!$A:$K,4,0)</f>
        <v>0</v>
      </c>
      <c r="G402" s="56">
        <f t="shared" si="14"/>
        <v>0</v>
      </c>
      <c r="H402" s="57">
        <f>VLOOKUP(B402,'[1]Product by Part Number'!$A:$K,5,0)</f>
        <v>0</v>
      </c>
      <c r="I402" s="88">
        <f t="shared" si="15"/>
        <v>0</v>
      </c>
    </row>
    <row r="403" spans="2:9" s="53" customFormat="1" x14ac:dyDescent="0.3">
      <c r="B403" s="78" t="s">
        <v>415</v>
      </c>
      <c r="C403" s="54" t="str">
        <f>VLOOKUP(B403,'[1]Product by Part Number'!$A:$K,2,0)</f>
        <v xml:space="preserve">CAT D5 (3CR) CAT D5 (3CR) (2)                                          </v>
      </c>
      <c r="D403" s="54" t="str">
        <f>VLOOKUP(B403,'[1]Product by Part Number'!$A:$K,3,0)</f>
        <v>ANGLING BLADE ASSY</v>
      </c>
      <c r="E403" s="55">
        <f>VLOOKUP(B403,'[1]Product by Part Number'!$A:$K,11,0)</f>
        <v>2</v>
      </c>
      <c r="F403" s="56">
        <f>VLOOKUP(B403,'[1]Product by Part Number'!$A:$K,4,0)</f>
        <v>16888.900000000001</v>
      </c>
      <c r="G403" s="56">
        <f t="shared" si="14"/>
        <v>33777.800000000003</v>
      </c>
      <c r="H403" s="57">
        <f>VLOOKUP(B403,'[1]Product by Part Number'!$A:$K,5,0)</f>
        <v>6417.78</v>
      </c>
      <c r="I403" s="88">
        <f t="shared" si="15"/>
        <v>12835.56</v>
      </c>
    </row>
    <row r="404" spans="2:9" s="53" customFormat="1" x14ac:dyDescent="0.3">
      <c r="B404" s="78" t="s">
        <v>416</v>
      </c>
      <c r="C404" s="54" t="str">
        <f>VLOOKUP(B404,'[1]Product by Part Number'!$A:$K,2,0)</f>
        <v xml:space="preserve">CAT D5 (3CR) CAT D5 (3CR) (2)                                          </v>
      </c>
      <c r="D404" s="54" t="str">
        <f>VLOOKUP(B404,'[1]Product by Part Number'!$A:$K,3,0)</f>
        <v xml:space="preserve">GQP ENGINE OVERHAUL KIT </v>
      </c>
      <c r="E404" s="55">
        <f>VLOOKUP(B404,'[1]Product by Part Number'!$A:$K,11,0)</f>
        <v>2</v>
      </c>
      <c r="F404" s="56">
        <f>VLOOKUP(B404,'[1]Product by Part Number'!$A:$K,4,0)</f>
        <v>5134.55</v>
      </c>
      <c r="G404" s="56">
        <f t="shared" si="14"/>
        <v>10269.1</v>
      </c>
      <c r="H404" s="57">
        <f>VLOOKUP(B404,'[1]Product by Part Number'!$A:$K,5,0)</f>
        <v>2567.2800000000002</v>
      </c>
      <c r="I404" s="88">
        <f t="shared" si="15"/>
        <v>5134.5600000000004</v>
      </c>
    </row>
    <row r="405" spans="2:9" s="53" customFormat="1" x14ac:dyDescent="0.3">
      <c r="B405" s="78" t="s">
        <v>417</v>
      </c>
      <c r="C405" s="54" t="str">
        <f>VLOOKUP(B405,'[1]Product by Part Number'!$A:$K,2,0)</f>
        <v xml:space="preserve">CAT D6 (RDC)                                            </v>
      </c>
      <c r="D405" s="54" t="str">
        <f>VLOOKUP(B405,'[1]Product by Part Number'!$A:$K,3,0)</f>
        <v>30" GQP TRACK GROUP</v>
      </c>
      <c r="E405" s="55">
        <f>VLOOKUP(B405,'[1]Product by Part Number'!$A:$K,11,0)</f>
        <v>2</v>
      </c>
      <c r="F405" s="56">
        <f>VLOOKUP(B405,'[1]Product by Part Number'!$A:$K,4,0)</f>
        <v>10784.168</v>
      </c>
      <c r="G405" s="56">
        <f t="shared" si="14"/>
        <v>21568.335999999999</v>
      </c>
      <c r="H405" s="57">
        <f>VLOOKUP(B405,'[1]Product by Part Number'!$A:$K,5,0)</f>
        <v>5392.08</v>
      </c>
      <c r="I405" s="88">
        <f t="shared" si="15"/>
        <v>10784.16</v>
      </c>
    </row>
    <row r="406" spans="2:9" s="53" customFormat="1" x14ac:dyDescent="0.3">
      <c r="B406" s="78" t="s">
        <v>418</v>
      </c>
      <c r="C406" s="54" t="str">
        <f>VLOOKUP(B406,'[1]Product by Part Number'!$A:$K,2,0)</f>
        <v xml:space="preserve">CAT D7G (92V) CAT D7G (3ZD) CAT D7G (3ZD) (2)                                        </v>
      </c>
      <c r="D406" s="54" t="str">
        <f>VLOOKUP(B406,'[1]Product by Part Number'!$A:$K,3,0)</f>
        <v>30" GQP TRACK GROUP</v>
      </c>
      <c r="E406" s="55">
        <f>VLOOKUP(B406,'[1]Product by Part Number'!$A:$K,11,0)</f>
        <v>6</v>
      </c>
      <c r="F406" s="56">
        <f>VLOOKUP(B406,'[1]Product by Part Number'!$A:$K,4,0)</f>
        <v>8674.7200000000012</v>
      </c>
      <c r="G406" s="56">
        <f t="shared" si="14"/>
        <v>52048.320000000007</v>
      </c>
      <c r="H406" s="57">
        <f>VLOOKUP(B406,'[1]Product by Part Number'!$A:$K,5,0)</f>
        <v>4337.3599999999997</v>
      </c>
      <c r="I406" s="88">
        <f t="shared" si="15"/>
        <v>26024.16</v>
      </c>
    </row>
    <row r="407" spans="2:9" s="53" customFormat="1" x14ac:dyDescent="0.3">
      <c r="B407" s="78" t="s">
        <v>419</v>
      </c>
      <c r="C407" s="54" t="str">
        <f>VLOOKUP(B407,'[1]Product by Part Number'!$A:$K,2,0)</f>
        <v xml:space="preserve">CAT D7G (92V) CAT D7G (3ZD) CAT D7G (3ZD) (2)                                        </v>
      </c>
      <c r="D407" s="54" t="str">
        <f>VLOOKUP(B407,'[1]Product by Part Number'!$A:$K,3,0)</f>
        <v>SILVER ENGINE OVERHAUL KIT</v>
      </c>
      <c r="E407" s="55">
        <f>VLOOKUP(B407,'[1]Product by Part Number'!$A:$K,11,0)</f>
        <v>3</v>
      </c>
      <c r="F407" s="56">
        <f>VLOOKUP(B407,'[1]Product by Part Number'!$A:$K,4,0)</f>
        <v>6725.5</v>
      </c>
      <c r="G407" s="56">
        <f t="shared" si="14"/>
        <v>20176.5</v>
      </c>
      <c r="H407" s="57">
        <f>VLOOKUP(B407,'[1]Product by Part Number'!$A:$K,5,0)</f>
        <v>3362.75</v>
      </c>
      <c r="I407" s="88">
        <f t="shared" si="15"/>
        <v>10088.25</v>
      </c>
    </row>
    <row r="408" spans="2:9" s="53" customFormat="1" ht="27" x14ac:dyDescent="0.3">
      <c r="B408" s="78" t="s">
        <v>420</v>
      </c>
      <c r="C408" s="54" t="str">
        <f>VLOOKUP(B408,'[1]Product by Part Number'!$A:$K,2,0)</f>
        <v xml:space="preserve">CAT PL61 (WGS) CAT PL61 (WGS) (2) CAT PL61 (WGS) (3)                                        </v>
      </c>
      <c r="D408" s="54" t="str">
        <f>VLOOKUP(B408,'[1]Product by Part Number'!$A:$K,3,0)</f>
        <v>30" GQP TRACK GROUP</v>
      </c>
      <c r="E408" s="55">
        <f>VLOOKUP(B408,'[1]Product by Part Number'!$A:$K,11,0)</f>
        <v>6</v>
      </c>
      <c r="F408" s="56">
        <f>VLOOKUP(B408,'[1]Product by Part Number'!$A:$K,4,0)</f>
        <v>8945.7099999999991</v>
      </c>
      <c r="G408" s="56">
        <f t="shared" si="14"/>
        <v>53674.259999999995</v>
      </c>
      <c r="H408" s="57">
        <f>VLOOKUP(B408,'[1]Product by Part Number'!$A:$K,5,0)</f>
        <v>4472.8599999999997</v>
      </c>
      <c r="I408" s="88">
        <f t="shared" si="15"/>
        <v>26837.16</v>
      </c>
    </row>
    <row r="409" spans="2:9" x14ac:dyDescent="0.3">
      <c r="B409" s="182"/>
      <c r="C409" s="183"/>
      <c r="D409" s="183"/>
      <c r="E409" s="183"/>
      <c r="F409" s="184"/>
      <c r="G409" s="27"/>
      <c r="H409" s="28" t="s">
        <v>17</v>
      </c>
      <c r="I409" s="105">
        <f>SUM(I15:I408)</f>
        <v>3035670.5700000008</v>
      </c>
    </row>
    <row r="410" spans="2:9" x14ac:dyDescent="0.3">
      <c r="B410" s="90"/>
      <c r="C410" s="31"/>
      <c r="D410" s="32" t="s">
        <v>18</v>
      </c>
      <c r="E410" s="152">
        <f>SUM(G15:G408)</f>
        <v>6212899.0560000045</v>
      </c>
      <c r="F410" s="185"/>
      <c r="G410" s="33"/>
      <c r="H410" s="28" t="s">
        <v>19</v>
      </c>
      <c r="I410" s="95">
        <v>0</v>
      </c>
    </row>
    <row r="411" spans="2:9" x14ac:dyDescent="0.3">
      <c r="B411" s="90"/>
      <c r="C411" s="31"/>
      <c r="D411" s="32" t="s">
        <v>20</v>
      </c>
      <c r="E411" s="152">
        <f>SUM(I15:I408)</f>
        <v>3035670.5700000008</v>
      </c>
      <c r="F411" s="185"/>
      <c r="G411" s="33"/>
      <c r="H411" s="35" t="s">
        <v>21</v>
      </c>
      <c r="I411" s="95">
        <v>0</v>
      </c>
    </row>
    <row r="412" spans="2:9" x14ac:dyDescent="0.3">
      <c r="B412" s="90"/>
      <c r="C412" s="31"/>
      <c r="D412" s="32" t="s">
        <v>22</v>
      </c>
      <c r="E412" s="170">
        <f>E410-E411</f>
        <v>3177228.4860000038</v>
      </c>
      <c r="F412" s="191"/>
      <c r="G412" s="36"/>
      <c r="H412" s="28" t="s">
        <v>23</v>
      </c>
      <c r="I412" s="97">
        <f>SUM(I409:I411)</f>
        <v>3035670.5700000008</v>
      </c>
    </row>
    <row r="413" spans="2:9" x14ac:dyDescent="0.3">
      <c r="B413" s="90"/>
      <c r="C413" s="31"/>
      <c r="D413" s="32"/>
      <c r="E413" s="172"/>
      <c r="F413" s="192"/>
      <c r="G413" s="38"/>
      <c r="H413" s="28" t="s">
        <v>24</v>
      </c>
      <c r="I413" s="97">
        <f>I412*0.05</f>
        <v>151783.52850000004</v>
      </c>
    </row>
    <row r="414" spans="2:9" x14ac:dyDescent="0.3">
      <c r="B414" s="90"/>
      <c r="C414" s="31"/>
      <c r="D414" s="39"/>
      <c r="E414" s="39"/>
      <c r="F414" s="40"/>
      <c r="G414" s="40"/>
      <c r="H414" s="28" t="s">
        <v>25</v>
      </c>
      <c r="I414" s="95"/>
    </row>
    <row r="415" spans="2:9" ht="16.2" thickBot="1" x14ac:dyDescent="0.35">
      <c r="B415" s="164" t="s">
        <v>26</v>
      </c>
      <c r="C415" s="165"/>
      <c r="D415" s="165"/>
      <c r="E415" s="165"/>
      <c r="F415" s="190"/>
      <c r="G415" s="106"/>
      <c r="H415" s="107" t="s">
        <v>27</v>
      </c>
      <c r="I415" s="99">
        <f>SUM(I412:I414)</f>
        <v>3187454.0985000008</v>
      </c>
    </row>
    <row r="416" spans="2:9" x14ac:dyDescent="0.3">
      <c r="I416" s="47"/>
    </row>
    <row r="417" spans="9:9" x14ac:dyDescent="0.3">
      <c r="I417" s="47"/>
    </row>
    <row r="418" spans="9:9" x14ac:dyDescent="0.3">
      <c r="I418" s="47"/>
    </row>
    <row r="419" spans="9:9" x14ac:dyDescent="0.3">
      <c r="I419" s="47"/>
    </row>
    <row r="420" spans="9:9" x14ac:dyDescent="0.3">
      <c r="I420" s="47"/>
    </row>
    <row r="421" spans="9:9" x14ac:dyDescent="0.3">
      <c r="I421" s="47"/>
    </row>
    <row r="422" spans="9:9" x14ac:dyDescent="0.3">
      <c r="I422" s="47"/>
    </row>
    <row r="423" spans="9:9" x14ac:dyDescent="0.3">
      <c r="I423" s="47"/>
    </row>
    <row r="424" spans="9:9" x14ac:dyDescent="0.3">
      <c r="I424" s="47"/>
    </row>
    <row r="425" spans="9:9" x14ac:dyDescent="0.3">
      <c r="I425" s="47"/>
    </row>
    <row r="426" spans="9:9" x14ac:dyDescent="0.3">
      <c r="I426" s="47"/>
    </row>
    <row r="427" spans="9:9" x14ac:dyDescent="0.3">
      <c r="I427" s="47"/>
    </row>
    <row r="428" spans="9:9" x14ac:dyDescent="0.3">
      <c r="I428" s="47"/>
    </row>
    <row r="429" spans="9:9" x14ac:dyDescent="0.3">
      <c r="I429" s="47"/>
    </row>
  </sheetData>
  <mergeCells count="25">
    <mergeCell ref="B415:F415"/>
    <mergeCell ref="F13:I13"/>
    <mergeCell ref="B409:F409"/>
    <mergeCell ref="E410:F410"/>
    <mergeCell ref="E411:F411"/>
    <mergeCell ref="E412:F412"/>
    <mergeCell ref="E413:F413"/>
    <mergeCell ref="E11:F11"/>
    <mergeCell ref="H11:I11"/>
    <mergeCell ref="E12:F12"/>
    <mergeCell ref="H12:I12"/>
    <mergeCell ref="C11:D11"/>
    <mergeCell ref="C12:D12"/>
    <mergeCell ref="E9:F9"/>
    <mergeCell ref="H9:I9"/>
    <mergeCell ref="E10:F10"/>
    <mergeCell ref="H10:I10"/>
    <mergeCell ref="C9:D9"/>
    <mergeCell ref="C10:D10"/>
    <mergeCell ref="E1:F5"/>
    <mergeCell ref="H1:I5"/>
    <mergeCell ref="E8:F8"/>
    <mergeCell ref="H8:I8"/>
    <mergeCell ref="C7:D7"/>
    <mergeCell ref="C8:D8"/>
  </mergeCells>
  <phoneticPr fontId="16" type="noConversion"/>
  <hyperlinks>
    <hyperlink ref="H9" r:id="rId1" xr:uid="{821FCB9B-2056-49D3-B452-317CDA274C49}"/>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CA8376-DD3C-4FED-B721-B7ABE66EF7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MOQ GET Parts</vt:lpstr>
      <vt:lpstr>MOQ Operator Seats</vt:lpstr>
      <vt:lpstr>MOQ Seats</vt:lpstr>
      <vt:lpstr>MOQ Undercarriages</vt:lpstr>
      <vt:lpstr>MOQ Grand Total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Budgen</dc:creator>
  <cp:lastModifiedBy>Rushil Patel</cp:lastModifiedBy>
  <cp:lastPrinted>2024-06-05T20:54:10Z</cp:lastPrinted>
  <dcterms:created xsi:type="dcterms:W3CDTF">2024-03-27T02:49:14Z</dcterms:created>
  <dcterms:modified xsi:type="dcterms:W3CDTF">2025-09-14T20:16:33Z</dcterms:modified>
</cp:coreProperties>
</file>