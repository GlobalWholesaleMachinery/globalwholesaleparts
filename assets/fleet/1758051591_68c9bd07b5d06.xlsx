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 - Global Machinery Auctions Inc\Desktop\MOQ Workbook\MPI\"/>
    </mc:Choice>
  </mc:AlternateContent>
  <xr:revisionPtr revIDLastSave="0" documentId="13_ncr:1_{BF397664-587F-4318-ABF4-58008FF4D238}" xr6:coauthVersionLast="47" xr6:coauthVersionMax="47" xr10:uidLastSave="{00000000-0000-0000-0000-000000000000}"/>
  <bookViews>
    <workbookView xWindow="28680" yWindow="-120" windowWidth="29040" windowHeight="15720" firstSheet="9" activeTab="15" xr2:uid="{EAC116F2-D257-4308-B3E1-626B33CB1430}"/>
  </bookViews>
  <sheets>
    <sheet name="CAT PL61 (DHA)" sheetId="1" r:id="rId1"/>
    <sheet name="CAT PL61 (WGS)" sheetId="7" r:id="rId2"/>
    <sheet name="CAT D6D (06X)" sheetId="8" r:id="rId3"/>
    <sheet name="CAT D7G (DSC)" sheetId="9" r:id="rId4"/>
    <sheet name="CAT D7G (DSC) (2)" sheetId="11" r:id="rId5"/>
    <sheet name="CAT D7G (DSC) (3)" sheetId="17" r:id="rId6"/>
    <sheet name="CAT D7G (SUB)" sheetId="10" r:id="rId7"/>
    <sheet name="CAT D7G (3ZD)" sheetId="12" r:id="rId8"/>
    <sheet name="CAT 572R (DSC)" sheetId="13" r:id="rId9"/>
    <sheet name="CAT 572R (DSC) (2)" sheetId="18" r:id="rId10"/>
    <sheet name="CAT 583T (CMX)" sheetId="14" r:id="rId11"/>
    <sheet name="CAT 589 (31Z)" sheetId="15" r:id="rId12"/>
    <sheet name="CAT 594 (96V)" sheetId="16" r:id="rId13"/>
    <sheet name="CAT 594H (96V)" sheetId="19" r:id="rId14"/>
    <sheet name="CAT DK8 (893)" sheetId="20" r:id="rId15"/>
    <sheet name="CAT DK8 (950)" sheetId="21" r:id="rId16"/>
    <sheet name="JD 470GLC (1FF)" sheetId="22" r:id="rId17"/>
    <sheet name="HITACHI 470GLC (HCM)" sheetId="23" r:id="rId18"/>
    <sheet name="HITACHI ZX290LC-5 (1FF)" sheetId="24" r:id="rId19"/>
    <sheet name="HITACHI ZX290LC-5 (1FF) (2)" sheetId="26" r:id="rId20"/>
    <sheet name="HITACHI ZX290LC-5 (1FF) (3)" sheetId="27" r:id="rId2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9" i="27" l="1"/>
  <c r="F49" i="27"/>
  <c r="E49" i="27"/>
  <c r="P10" i="27" s="1"/>
  <c r="K48" i="27"/>
  <c r="J48" i="27"/>
  <c r="G48" i="27"/>
  <c r="R47" i="27"/>
  <c r="U47" i="27" s="1"/>
  <c r="L47" i="27"/>
  <c r="T47" i="27" s="1"/>
  <c r="S47" i="27" s="1"/>
  <c r="K47" i="27"/>
  <c r="V47" i="27" s="1"/>
  <c r="J47" i="27"/>
  <c r="R46" i="27"/>
  <c r="K46" i="27"/>
  <c r="V46" i="27" s="1"/>
  <c r="J46" i="27"/>
  <c r="L46" i="27" s="1"/>
  <c r="T46" i="27" s="1"/>
  <c r="S46" i="27" s="1"/>
  <c r="G46" i="27"/>
  <c r="K45" i="27"/>
  <c r="J45" i="27"/>
  <c r="G45" i="27"/>
  <c r="R44" i="27"/>
  <c r="U44" i="27" s="1"/>
  <c r="L44" i="27"/>
  <c r="T44" i="27" s="1"/>
  <c r="S44" i="27" s="1"/>
  <c r="K44" i="27"/>
  <c r="V44" i="27" s="1"/>
  <c r="J44" i="27"/>
  <c r="R43" i="27"/>
  <c r="K43" i="27"/>
  <c r="V43" i="27" s="1"/>
  <c r="J43" i="27"/>
  <c r="L43" i="27" s="1"/>
  <c r="T43" i="27" s="1"/>
  <c r="S43" i="27" s="1"/>
  <c r="G43" i="27"/>
  <c r="J42" i="27"/>
  <c r="G42" i="27"/>
  <c r="R41" i="27"/>
  <c r="U41" i="27" s="1"/>
  <c r="L41" i="27"/>
  <c r="T41" i="27" s="1"/>
  <c r="S41" i="27" s="1"/>
  <c r="K41" i="27"/>
  <c r="V41" i="27" s="1"/>
  <c r="J41" i="27"/>
  <c r="R40" i="27"/>
  <c r="K40" i="27"/>
  <c r="V40" i="27" s="1"/>
  <c r="J40" i="27"/>
  <c r="L40" i="27" s="1"/>
  <c r="T40" i="27" s="1"/>
  <c r="S40" i="27" s="1"/>
  <c r="G40" i="27"/>
  <c r="K39" i="27"/>
  <c r="J39" i="27"/>
  <c r="G39" i="27"/>
  <c r="R38" i="27"/>
  <c r="U38" i="27" s="1"/>
  <c r="L38" i="27"/>
  <c r="T38" i="27" s="1"/>
  <c r="S38" i="27" s="1"/>
  <c r="K38" i="27"/>
  <c r="V38" i="27" s="1"/>
  <c r="J38" i="27"/>
  <c r="R37" i="27"/>
  <c r="K37" i="27"/>
  <c r="V37" i="27" s="1"/>
  <c r="J37" i="27"/>
  <c r="L37" i="27" s="1"/>
  <c r="T37" i="27" s="1"/>
  <c r="S37" i="27" s="1"/>
  <c r="G37" i="27"/>
  <c r="K36" i="27"/>
  <c r="J36" i="27"/>
  <c r="G36" i="27"/>
  <c r="R35" i="27"/>
  <c r="U35" i="27" s="1"/>
  <c r="L35" i="27"/>
  <c r="T35" i="27" s="1"/>
  <c r="S35" i="27" s="1"/>
  <c r="K35" i="27"/>
  <c r="V35" i="27" s="1"/>
  <c r="J35" i="27"/>
  <c r="R34" i="27"/>
  <c r="K34" i="27"/>
  <c r="V34" i="27" s="1"/>
  <c r="J34" i="27"/>
  <c r="L34" i="27" s="1"/>
  <c r="T34" i="27" s="1"/>
  <c r="S34" i="27" s="1"/>
  <c r="G34" i="27"/>
  <c r="K33" i="27"/>
  <c r="J33" i="27"/>
  <c r="G33" i="27"/>
  <c r="R32" i="27"/>
  <c r="K32" i="27"/>
  <c r="V32" i="27" s="1"/>
  <c r="J32" i="27"/>
  <c r="R31" i="27"/>
  <c r="K31" i="27"/>
  <c r="V31" i="27" s="1"/>
  <c r="J31" i="27"/>
  <c r="G31" i="27"/>
  <c r="K30" i="27"/>
  <c r="J30" i="27"/>
  <c r="G30" i="27"/>
  <c r="R29" i="27"/>
  <c r="U29" i="27" s="1"/>
  <c r="K29" i="27"/>
  <c r="V29" i="27" s="1"/>
  <c r="J29" i="27"/>
  <c r="R28" i="27"/>
  <c r="K28" i="27"/>
  <c r="V28" i="27" s="1"/>
  <c r="J28" i="27"/>
  <c r="G28" i="27"/>
  <c r="K27" i="27"/>
  <c r="J27" i="27"/>
  <c r="G27" i="27"/>
  <c r="R26" i="27"/>
  <c r="U26" i="27" s="1"/>
  <c r="K26" i="27"/>
  <c r="V26" i="27" s="1"/>
  <c r="J26" i="27"/>
  <c r="R25" i="27"/>
  <c r="K25" i="27"/>
  <c r="V25" i="27" s="1"/>
  <c r="J25" i="27"/>
  <c r="L25" i="27" s="1"/>
  <c r="T25" i="27" s="1"/>
  <c r="S25" i="27" s="1"/>
  <c r="G25" i="27"/>
  <c r="K24" i="27"/>
  <c r="J24" i="27"/>
  <c r="G24" i="27"/>
  <c r="R23" i="27"/>
  <c r="U23" i="27" s="1"/>
  <c r="L23" i="27"/>
  <c r="T23" i="27" s="1"/>
  <c r="S23" i="27" s="1"/>
  <c r="K23" i="27"/>
  <c r="V23" i="27" s="1"/>
  <c r="J23" i="27"/>
  <c r="R22" i="27"/>
  <c r="K22" i="27"/>
  <c r="V22" i="27" s="1"/>
  <c r="J22" i="27"/>
  <c r="L22" i="27" s="1"/>
  <c r="T22" i="27" s="1"/>
  <c r="S22" i="27" s="1"/>
  <c r="G22" i="27"/>
  <c r="K21" i="27"/>
  <c r="J21" i="27"/>
  <c r="G21" i="27"/>
  <c r="R20" i="27"/>
  <c r="K20" i="27"/>
  <c r="V20" i="27" s="1"/>
  <c r="J20" i="27"/>
  <c r="R19" i="27"/>
  <c r="K19" i="27"/>
  <c r="V19" i="27" s="1"/>
  <c r="J19" i="27"/>
  <c r="G19" i="27"/>
  <c r="K18" i="27"/>
  <c r="J18" i="27"/>
  <c r="J49" i="27" s="1"/>
  <c r="G18" i="27"/>
  <c r="R17" i="27"/>
  <c r="R48" i="27" s="1"/>
  <c r="H17" i="27"/>
  <c r="H48" i="27" s="1"/>
  <c r="G17" i="27"/>
  <c r="H45" i="27" s="1"/>
  <c r="D15" i="27"/>
  <c r="G47" i="27" s="1"/>
  <c r="P8" i="27"/>
  <c r="P1" i="27"/>
  <c r="Q49" i="26"/>
  <c r="F49" i="26"/>
  <c r="E49" i="26"/>
  <c r="P10" i="26" s="1"/>
  <c r="K48" i="26"/>
  <c r="J48" i="26"/>
  <c r="G48" i="26"/>
  <c r="L47" i="26"/>
  <c r="K47" i="26"/>
  <c r="J47" i="26"/>
  <c r="R46" i="26"/>
  <c r="U46" i="26" s="1"/>
  <c r="K46" i="26"/>
  <c r="V46" i="26" s="1"/>
  <c r="J46" i="26"/>
  <c r="L46" i="26" s="1"/>
  <c r="T46" i="26" s="1"/>
  <c r="S46" i="26" s="1"/>
  <c r="G46" i="26"/>
  <c r="K45" i="26"/>
  <c r="J45" i="26"/>
  <c r="G45" i="26"/>
  <c r="K44" i="26"/>
  <c r="J44" i="26"/>
  <c r="L44" i="26" s="1"/>
  <c r="R43" i="26"/>
  <c r="U43" i="26" s="1"/>
  <c r="K43" i="26"/>
  <c r="V43" i="26" s="1"/>
  <c r="J43" i="26"/>
  <c r="L43" i="26" s="1"/>
  <c r="T43" i="26" s="1"/>
  <c r="S43" i="26" s="1"/>
  <c r="G43" i="26"/>
  <c r="J42" i="26"/>
  <c r="G42" i="26"/>
  <c r="L41" i="26"/>
  <c r="K41" i="26"/>
  <c r="J41" i="26"/>
  <c r="R40" i="26"/>
  <c r="U40" i="26" s="1"/>
  <c r="K40" i="26"/>
  <c r="V40" i="26" s="1"/>
  <c r="J40" i="26"/>
  <c r="L40" i="26" s="1"/>
  <c r="T40" i="26" s="1"/>
  <c r="S40" i="26" s="1"/>
  <c r="G40" i="26"/>
  <c r="K39" i="26"/>
  <c r="J39" i="26"/>
  <c r="G39" i="26"/>
  <c r="L38" i="26"/>
  <c r="K38" i="26"/>
  <c r="J38" i="26"/>
  <c r="R37" i="26"/>
  <c r="U37" i="26" s="1"/>
  <c r="K37" i="26"/>
  <c r="V37" i="26" s="1"/>
  <c r="J37" i="26"/>
  <c r="L37" i="26" s="1"/>
  <c r="T37" i="26" s="1"/>
  <c r="S37" i="26" s="1"/>
  <c r="G37" i="26"/>
  <c r="K36" i="26"/>
  <c r="J36" i="26"/>
  <c r="G36" i="26"/>
  <c r="L35" i="26"/>
  <c r="K35" i="26"/>
  <c r="J35" i="26"/>
  <c r="R34" i="26"/>
  <c r="U34" i="26" s="1"/>
  <c r="K34" i="26"/>
  <c r="V34" i="26" s="1"/>
  <c r="J34" i="26"/>
  <c r="L34" i="26" s="1"/>
  <c r="G34" i="26"/>
  <c r="K33" i="26"/>
  <c r="J33" i="26"/>
  <c r="G33" i="26"/>
  <c r="K32" i="26"/>
  <c r="L32" i="26" s="1"/>
  <c r="J32" i="26"/>
  <c r="R31" i="26"/>
  <c r="U31" i="26" s="1"/>
  <c r="K31" i="26"/>
  <c r="J31" i="26"/>
  <c r="L31" i="26" s="1"/>
  <c r="G31" i="26"/>
  <c r="K30" i="26"/>
  <c r="J30" i="26"/>
  <c r="G30" i="26"/>
  <c r="K29" i="26"/>
  <c r="L29" i="26" s="1"/>
  <c r="J29" i="26"/>
  <c r="H29" i="26"/>
  <c r="R28" i="26"/>
  <c r="K28" i="26"/>
  <c r="V28" i="26" s="1"/>
  <c r="J28" i="26"/>
  <c r="G28" i="26"/>
  <c r="K27" i="26"/>
  <c r="J27" i="26"/>
  <c r="G27" i="26"/>
  <c r="L26" i="26"/>
  <c r="K26" i="26"/>
  <c r="J26" i="26"/>
  <c r="R25" i="26"/>
  <c r="U25" i="26" s="1"/>
  <c r="K25" i="26"/>
  <c r="J25" i="26"/>
  <c r="G25" i="26"/>
  <c r="K24" i="26"/>
  <c r="J24" i="26"/>
  <c r="G24" i="26"/>
  <c r="L23" i="26"/>
  <c r="K23" i="26"/>
  <c r="J23" i="26"/>
  <c r="R22" i="26"/>
  <c r="K22" i="26"/>
  <c r="J22" i="26"/>
  <c r="L22" i="26" s="1"/>
  <c r="T22" i="26" s="1"/>
  <c r="S22" i="26" s="1"/>
  <c r="G22" i="26"/>
  <c r="K21" i="26"/>
  <c r="J21" i="26"/>
  <c r="G21" i="26"/>
  <c r="K20" i="26"/>
  <c r="L20" i="26" s="1"/>
  <c r="J20" i="26"/>
  <c r="R19" i="26"/>
  <c r="K19" i="26"/>
  <c r="V19" i="26" s="1"/>
  <c r="J19" i="26"/>
  <c r="G19" i="26"/>
  <c r="K18" i="26"/>
  <c r="J18" i="26"/>
  <c r="J49" i="26" s="1"/>
  <c r="G18" i="26"/>
  <c r="R17" i="26"/>
  <c r="R47" i="26" s="1"/>
  <c r="H17" i="26"/>
  <c r="G17" i="26"/>
  <c r="D15" i="26"/>
  <c r="G47" i="26" s="1"/>
  <c r="P8" i="26"/>
  <c r="P1" i="26"/>
  <c r="Q49" i="24"/>
  <c r="F49" i="24"/>
  <c r="E49" i="24"/>
  <c r="K48" i="24"/>
  <c r="J48" i="24"/>
  <c r="L48" i="24" s="1"/>
  <c r="K47" i="24"/>
  <c r="L47" i="24" s="1"/>
  <c r="T47" i="24" s="1"/>
  <c r="S47" i="24" s="1"/>
  <c r="J47" i="24"/>
  <c r="R46" i="24"/>
  <c r="L46" i="24"/>
  <c r="T46" i="24" s="1"/>
  <c r="S46" i="24" s="1"/>
  <c r="K46" i="24"/>
  <c r="V46" i="24" s="1"/>
  <c r="J46" i="24"/>
  <c r="K45" i="24"/>
  <c r="J45" i="24"/>
  <c r="L45" i="24" s="1"/>
  <c r="K44" i="24"/>
  <c r="J44" i="24"/>
  <c r="L44" i="24" s="1"/>
  <c r="R43" i="24"/>
  <c r="L43" i="24"/>
  <c r="T43" i="24" s="1"/>
  <c r="S43" i="24" s="1"/>
  <c r="K43" i="24"/>
  <c r="V43" i="24" s="1"/>
  <c r="J43" i="24"/>
  <c r="J42" i="24"/>
  <c r="K41" i="24"/>
  <c r="J41" i="24"/>
  <c r="L41" i="24" s="1"/>
  <c r="R40" i="24"/>
  <c r="L40" i="24"/>
  <c r="T40" i="24" s="1"/>
  <c r="S40" i="24" s="1"/>
  <c r="K40" i="24"/>
  <c r="V40" i="24" s="1"/>
  <c r="J40" i="24"/>
  <c r="K39" i="24"/>
  <c r="J39" i="24"/>
  <c r="L39" i="24" s="1"/>
  <c r="K38" i="24"/>
  <c r="J38" i="24"/>
  <c r="L38" i="24" s="1"/>
  <c r="R37" i="24"/>
  <c r="L37" i="24"/>
  <c r="T37" i="24" s="1"/>
  <c r="S37" i="24" s="1"/>
  <c r="K37" i="24"/>
  <c r="V37" i="24" s="1"/>
  <c r="J37" i="24"/>
  <c r="K36" i="24"/>
  <c r="J36" i="24"/>
  <c r="L36" i="24" s="1"/>
  <c r="K35" i="24"/>
  <c r="J35" i="24"/>
  <c r="L35" i="24" s="1"/>
  <c r="R34" i="24"/>
  <c r="L34" i="24"/>
  <c r="T34" i="24" s="1"/>
  <c r="S34" i="24" s="1"/>
  <c r="K34" i="24"/>
  <c r="V34" i="24" s="1"/>
  <c r="J34" i="24"/>
  <c r="K33" i="24"/>
  <c r="J33" i="24"/>
  <c r="K32" i="24"/>
  <c r="J32" i="24"/>
  <c r="L32" i="24" s="1"/>
  <c r="R31" i="24"/>
  <c r="K31" i="24"/>
  <c r="L31" i="24" s="1"/>
  <c r="T31" i="24" s="1"/>
  <c r="S31" i="24" s="1"/>
  <c r="J31" i="24"/>
  <c r="K30" i="24"/>
  <c r="J30" i="24"/>
  <c r="K29" i="24"/>
  <c r="J29" i="24"/>
  <c r="L29" i="24" s="1"/>
  <c r="R28" i="24"/>
  <c r="K28" i="24"/>
  <c r="J28" i="24"/>
  <c r="K27" i="24"/>
  <c r="J27" i="24"/>
  <c r="K26" i="24"/>
  <c r="J26" i="24"/>
  <c r="R25" i="24"/>
  <c r="K25" i="24"/>
  <c r="J25" i="24"/>
  <c r="K24" i="24"/>
  <c r="J24" i="24"/>
  <c r="K23" i="24"/>
  <c r="J23" i="24"/>
  <c r="R22" i="24"/>
  <c r="K22" i="24"/>
  <c r="L22" i="24" s="1"/>
  <c r="T22" i="24" s="1"/>
  <c r="S22" i="24" s="1"/>
  <c r="J22" i="24"/>
  <c r="K21" i="24"/>
  <c r="J21" i="24"/>
  <c r="K20" i="24"/>
  <c r="J20" i="24"/>
  <c r="L20" i="24" s="1"/>
  <c r="R19" i="24"/>
  <c r="K19" i="24"/>
  <c r="J19" i="24"/>
  <c r="K18" i="24"/>
  <c r="J18" i="24"/>
  <c r="L18" i="24" s="1"/>
  <c r="R17" i="24"/>
  <c r="R47" i="24" s="1"/>
  <c r="H17" i="24"/>
  <c r="H48" i="24" s="1"/>
  <c r="G17" i="24"/>
  <c r="H47" i="24" s="1"/>
  <c r="D15" i="24"/>
  <c r="G35" i="24" s="1"/>
  <c r="P10" i="24"/>
  <c r="P1" i="24"/>
  <c r="P8" i="24" s="1"/>
  <c r="Q49" i="23"/>
  <c r="F49" i="23"/>
  <c r="E49" i="23"/>
  <c r="P10" i="23" s="1"/>
  <c r="K48" i="23"/>
  <c r="J48" i="23"/>
  <c r="G48" i="23"/>
  <c r="K47" i="23"/>
  <c r="V47" i="23" s="1"/>
  <c r="J47" i="23"/>
  <c r="L47" i="23" s="1"/>
  <c r="R46" i="23"/>
  <c r="U46" i="23" s="1"/>
  <c r="K46" i="23"/>
  <c r="V46" i="23" s="1"/>
  <c r="J46" i="23"/>
  <c r="L46" i="23" s="1"/>
  <c r="T46" i="23" s="1"/>
  <c r="S46" i="23" s="1"/>
  <c r="G46" i="23"/>
  <c r="K45" i="23"/>
  <c r="J45" i="23"/>
  <c r="G45" i="23"/>
  <c r="K44" i="23"/>
  <c r="J44" i="23"/>
  <c r="L44" i="23" s="1"/>
  <c r="R43" i="23"/>
  <c r="U43" i="23" s="1"/>
  <c r="K43" i="23"/>
  <c r="V43" i="23" s="1"/>
  <c r="J43" i="23"/>
  <c r="L43" i="23" s="1"/>
  <c r="T43" i="23" s="1"/>
  <c r="S43" i="23" s="1"/>
  <c r="G43" i="23"/>
  <c r="J42" i="23"/>
  <c r="G42" i="23"/>
  <c r="K41" i="23"/>
  <c r="J41" i="23"/>
  <c r="L41" i="23" s="1"/>
  <c r="R40" i="23"/>
  <c r="U40" i="23" s="1"/>
  <c r="K40" i="23"/>
  <c r="V40" i="23" s="1"/>
  <c r="J40" i="23"/>
  <c r="L40" i="23" s="1"/>
  <c r="T40" i="23" s="1"/>
  <c r="S40" i="23" s="1"/>
  <c r="G40" i="23"/>
  <c r="K39" i="23"/>
  <c r="J39" i="23"/>
  <c r="G39" i="23"/>
  <c r="K38" i="23"/>
  <c r="J38" i="23"/>
  <c r="L38" i="23" s="1"/>
  <c r="R37" i="23"/>
  <c r="U37" i="23" s="1"/>
  <c r="K37" i="23"/>
  <c r="V37" i="23" s="1"/>
  <c r="J37" i="23"/>
  <c r="L37" i="23" s="1"/>
  <c r="T37" i="23" s="1"/>
  <c r="S37" i="23" s="1"/>
  <c r="G37" i="23"/>
  <c r="K36" i="23"/>
  <c r="J36" i="23"/>
  <c r="G36" i="23"/>
  <c r="K35" i="23"/>
  <c r="J35" i="23"/>
  <c r="L35" i="23" s="1"/>
  <c r="R34" i="23"/>
  <c r="U34" i="23" s="1"/>
  <c r="K34" i="23"/>
  <c r="V34" i="23" s="1"/>
  <c r="J34" i="23"/>
  <c r="L34" i="23" s="1"/>
  <c r="T34" i="23" s="1"/>
  <c r="S34" i="23" s="1"/>
  <c r="G34" i="23"/>
  <c r="K33" i="23"/>
  <c r="J33" i="23"/>
  <c r="G33" i="23"/>
  <c r="K32" i="23"/>
  <c r="J32" i="23"/>
  <c r="L32" i="23" s="1"/>
  <c r="R31" i="23"/>
  <c r="K31" i="23"/>
  <c r="V31" i="23" s="1"/>
  <c r="J31" i="23"/>
  <c r="G31" i="23"/>
  <c r="K30" i="23"/>
  <c r="J30" i="23"/>
  <c r="G30" i="23"/>
  <c r="K29" i="23"/>
  <c r="J29" i="23"/>
  <c r="R28" i="23"/>
  <c r="K28" i="23"/>
  <c r="V28" i="23" s="1"/>
  <c r="J28" i="23"/>
  <c r="G28" i="23"/>
  <c r="K27" i="23"/>
  <c r="J27" i="23"/>
  <c r="G27" i="23"/>
  <c r="K26" i="23"/>
  <c r="J26" i="23"/>
  <c r="R25" i="23"/>
  <c r="K25" i="23"/>
  <c r="J25" i="23"/>
  <c r="G25" i="23"/>
  <c r="K24" i="23"/>
  <c r="J24" i="23"/>
  <c r="G24" i="23"/>
  <c r="K23" i="23"/>
  <c r="J23" i="23"/>
  <c r="H23" i="23"/>
  <c r="R22" i="23"/>
  <c r="K22" i="23"/>
  <c r="J22" i="23"/>
  <c r="G22" i="23"/>
  <c r="K21" i="23"/>
  <c r="J21" i="23"/>
  <c r="G21" i="23"/>
  <c r="K20" i="23"/>
  <c r="J20" i="23"/>
  <c r="L20" i="23" s="1"/>
  <c r="H20" i="23"/>
  <c r="R19" i="23"/>
  <c r="K19" i="23"/>
  <c r="J19" i="23"/>
  <c r="L19" i="23" s="1"/>
  <c r="G19" i="23"/>
  <c r="K18" i="23"/>
  <c r="J18" i="23"/>
  <c r="G18" i="23"/>
  <c r="R17" i="23"/>
  <c r="R47" i="23" s="1"/>
  <c r="U47" i="23" s="1"/>
  <c r="H17" i="23"/>
  <c r="G17" i="23"/>
  <c r="D15" i="23"/>
  <c r="G47" i="23" s="1"/>
  <c r="P8" i="23"/>
  <c r="P1" i="23"/>
  <c r="Q49" i="22"/>
  <c r="F49" i="22"/>
  <c r="E49" i="22"/>
  <c r="P10" i="22" s="1"/>
  <c r="K48" i="22"/>
  <c r="J48" i="22"/>
  <c r="K47" i="22"/>
  <c r="J47" i="22"/>
  <c r="L47" i="22" s="1"/>
  <c r="R46" i="22"/>
  <c r="T46" i="22" s="1"/>
  <c r="S46" i="22" s="1"/>
  <c r="L46" i="22"/>
  <c r="K46" i="22"/>
  <c r="V46" i="22" s="1"/>
  <c r="J46" i="22"/>
  <c r="G46" i="22"/>
  <c r="K45" i="22"/>
  <c r="J45" i="22"/>
  <c r="K44" i="22"/>
  <c r="J44" i="22"/>
  <c r="L44" i="22" s="1"/>
  <c r="R43" i="22"/>
  <c r="T43" i="22" s="1"/>
  <c r="S43" i="22" s="1"/>
  <c r="L43" i="22"/>
  <c r="K43" i="22"/>
  <c r="V43" i="22" s="1"/>
  <c r="J43" i="22"/>
  <c r="G43" i="22"/>
  <c r="J42" i="22"/>
  <c r="K41" i="22"/>
  <c r="J41" i="22"/>
  <c r="L41" i="22" s="1"/>
  <c r="R40" i="22"/>
  <c r="K40" i="22"/>
  <c r="J40" i="22"/>
  <c r="G40" i="22"/>
  <c r="K39" i="22"/>
  <c r="J39" i="22"/>
  <c r="K38" i="22"/>
  <c r="J38" i="22"/>
  <c r="R37" i="22"/>
  <c r="K37" i="22"/>
  <c r="J37" i="22"/>
  <c r="G37" i="22"/>
  <c r="K36" i="22"/>
  <c r="J36" i="22"/>
  <c r="K35" i="22"/>
  <c r="J35" i="22"/>
  <c r="L35" i="22" s="1"/>
  <c r="R34" i="22"/>
  <c r="K34" i="22"/>
  <c r="J34" i="22"/>
  <c r="L34" i="22" s="1"/>
  <c r="G34" i="22"/>
  <c r="K33" i="22"/>
  <c r="J33" i="22"/>
  <c r="K32" i="22"/>
  <c r="J32" i="22"/>
  <c r="L32" i="22" s="1"/>
  <c r="R31" i="22"/>
  <c r="K31" i="22"/>
  <c r="J31" i="22"/>
  <c r="L31" i="22" s="1"/>
  <c r="G31" i="22"/>
  <c r="K30" i="22"/>
  <c r="J30" i="22"/>
  <c r="K29" i="22"/>
  <c r="J29" i="22"/>
  <c r="L29" i="22" s="1"/>
  <c r="R28" i="22"/>
  <c r="K28" i="22"/>
  <c r="J28" i="22"/>
  <c r="G28" i="22"/>
  <c r="K27" i="22"/>
  <c r="J27" i="22"/>
  <c r="K26" i="22"/>
  <c r="J26" i="22"/>
  <c r="R25" i="22"/>
  <c r="K25" i="22"/>
  <c r="J25" i="22"/>
  <c r="G25" i="22"/>
  <c r="K24" i="22"/>
  <c r="J24" i="22"/>
  <c r="K23" i="22"/>
  <c r="J23" i="22"/>
  <c r="L23" i="22" s="1"/>
  <c r="R22" i="22"/>
  <c r="K22" i="22"/>
  <c r="J22" i="22"/>
  <c r="L22" i="22" s="1"/>
  <c r="G22" i="22"/>
  <c r="K21" i="22"/>
  <c r="J21" i="22"/>
  <c r="K20" i="22"/>
  <c r="J20" i="22"/>
  <c r="H20" i="22"/>
  <c r="R19" i="22"/>
  <c r="K19" i="22"/>
  <c r="V19" i="22" s="1"/>
  <c r="J19" i="22"/>
  <c r="G19" i="22"/>
  <c r="K18" i="22"/>
  <c r="J18" i="22"/>
  <c r="R17" i="22"/>
  <c r="R36" i="22" s="1"/>
  <c r="H17" i="22"/>
  <c r="G17" i="22"/>
  <c r="D15" i="22"/>
  <c r="G47" i="22" s="1"/>
  <c r="P1" i="22"/>
  <c r="P8" i="22" s="1"/>
  <c r="Q49" i="21"/>
  <c r="F49" i="21"/>
  <c r="E49" i="21"/>
  <c r="P10" i="21" s="1"/>
  <c r="K48" i="21"/>
  <c r="J48" i="21"/>
  <c r="L48" i="21" s="1"/>
  <c r="G48" i="21"/>
  <c r="T47" i="21"/>
  <c r="S47" i="21" s="1"/>
  <c r="R47" i="21"/>
  <c r="L47" i="21"/>
  <c r="K47" i="21"/>
  <c r="V47" i="21" s="1"/>
  <c r="J47" i="21"/>
  <c r="R46" i="21"/>
  <c r="K46" i="21"/>
  <c r="V46" i="21" s="1"/>
  <c r="J46" i="21"/>
  <c r="L46" i="21" s="1"/>
  <c r="T46" i="21" s="1"/>
  <c r="S46" i="21" s="1"/>
  <c r="K45" i="21"/>
  <c r="J45" i="21"/>
  <c r="L45" i="21" s="1"/>
  <c r="G45" i="21"/>
  <c r="T44" i="21"/>
  <c r="S44" i="21" s="1"/>
  <c r="R44" i="21"/>
  <c r="L44" i="21"/>
  <c r="K44" i="21"/>
  <c r="V44" i="21" s="1"/>
  <c r="J44" i="21"/>
  <c r="R43" i="21"/>
  <c r="K43" i="21"/>
  <c r="V43" i="21" s="1"/>
  <c r="J43" i="21"/>
  <c r="L43" i="21" s="1"/>
  <c r="T43" i="21" s="1"/>
  <c r="S43" i="21" s="1"/>
  <c r="J42" i="21"/>
  <c r="G42" i="21"/>
  <c r="T41" i="21"/>
  <c r="S41" i="21" s="1"/>
  <c r="R41" i="21"/>
  <c r="L41" i="21"/>
  <c r="K41" i="21"/>
  <c r="V41" i="21" s="1"/>
  <c r="J41" i="21"/>
  <c r="R40" i="21"/>
  <c r="K40" i="21"/>
  <c r="V40" i="21" s="1"/>
  <c r="J40" i="21"/>
  <c r="L40" i="21" s="1"/>
  <c r="T40" i="21" s="1"/>
  <c r="S40" i="21" s="1"/>
  <c r="K39" i="21"/>
  <c r="J39" i="21"/>
  <c r="L39" i="21" s="1"/>
  <c r="G39" i="21"/>
  <c r="T38" i="21"/>
  <c r="S38" i="21" s="1"/>
  <c r="R38" i="21"/>
  <c r="L38" i="21"/>
  <c r="K38" i="21"/>
  <c r="V38" i="21" s="1"/>
  <c r="J38" i="21"/>
  <c r="R37" i="21"/>
  <c r="K37" i="21"/>
  <c r="V37" i="21" s="1"/>
  <c r="J37" i="21"/>
  <c r="L37" i="21" s="1"/>
  <c r="T37" i="21" s="1"/>
  <c r="S37" i="21" s="1"/>
  <c r="K36" i="21"/>
  <c r="J36" i="21"/>
  <c r="L36" i="21" s="1"/>
  <c r="G36" i="21"/>
  <c r="T35" i="21"/>
  <c r="S35" i="21" s="1"/>
  <c r="R35" i="21"/>
  <c r="L35" i="21"/>
  <c r="K35" i="21"/>
  <c r="V35" i="21" s="1"/>
  <c r="J35" i="21"/>
  <c r="R34" i="21"/>
  <c r="K34" i="21"/>
  <c r="V34" i="21" s="1"/>
  <c r="J34" i="21"/>
  <c r="L34" i="21" s="1"/>
  <c r="T34" i="21" s="1"/>
  <c r="S34" i="21" s="1"/>
  <c r="K33" i="21"/>
  <c r="J33" i="21"/>
  <c r="L33" i="21" s="1"/>
  <c r="G33" i="21"/>
  <c r="T32" i="21"/>
  <c r="S32" i="21" s="1"/>
  <c r="R32" i="21"/>
  <c r="L32" i="21"/>
  <c r="K32" i="21"/>
  <c r="V32" i="21" s="1"/>
  <c r="J32" i="21"/>
  <c r="R31" i="21"/>
  <c r="K31" i="21"/>
  <c r="J31" i="21"/>
  <c r="K30" i="21"/>
  <c r="J30" i="21"/>
  <c r="G30" i="21"/>
  <c r="R29" i="21"/>
  <c r="K29" i="21"/>
  <c r="V29" i="21" s="1"/>
  <c r="J29" i="21"/>
  <c r="R28" i="21"/>
  <c r="K28" i="21"/>
  <c r="J28" i="21"/>
  <c r="K27" i="21"/>
  <c r="J27" i="21"/>
  <c r="L27" i="21" s="1"/>
  <c r="G27" i="21"/>
  <c r="R26" i="21"/>
  <c r="K26" i="21"/>
  <c r="J26" i="21"/>
  <c r="R25" i="21"/>
  <c r="K25" i="21"/>
  <c r="J25" i="21"/>
  <c r="K24" i="21"/>
  <c r="J24" i="21"/>
  <c r="G24" i="21"/>
  <c r="R23" i="21"/>
  <c r="K23" i="21"/>
  <c r="J23" i="21"/>
  <c r="R22" i="21"/>
  <c r="K22" i="21"/>
  <c r="J22" i="21"/>
  <c r="K21" i="21"/>
  <c r="J21" i="21"/>
  <c r="G21" i="21"/>
  <c r="R20" i="21"/>
  <c r="K20" i="21"/>
  <c r="J20" i="21"/>
  <c r="R19" i="21"/>
  <c r="K19" i="21"/>
  <c r="V19" i="21" s="1"/>
  <c r="J19" i="21"/>
  <c r="K18" i="21"/>
  <c r="J18" i="21"/>
  <c r="G18" i="21"/>
  <c r="R17" i="21"/>
  <c r="R48" i="21" s="1"/>
  <c r="H17" i="21"/>
  <c r="H46" i="21" s="1"/>
  <c r="G17" i="21"/>
  <c r="H47" i="21" s="1"/>
  <c r="D15" i="21"/>
  <c r="G47" i="21" s="1"/>
  <c r="P8" i="21"/>
  <c r="P1" i="21"/>
  <c r="Q49" i="20"/>
  <c r="F49" i="20"/>
  <c r="E49" i="20"/>
  <c r="P10" i="20" s="1"/>
  <c r="V48" i="20"/>
  <c r="K48" i="20"/>
  <c r="U48" i="20" s="1"/>
  <c r="J48" i="20"/>
  <c r="G48" i="20"/>
  <c r="U47" i="20"/>
  <c r="T47" i="20"/>
  <c r="S47" i="20" s="1"/>
  <c r="R47" i="20"/>
  <c r="K47" i="20"/>
  <c r="V47" i="20" s="1"/>
  <c r="J47" i="20"/>
  <c r="L47" i="20" s="1"/>
  <c r="S46" i="20"/>
  <c r="R46" i="20"/>
  <c r="U46" i="20" s="1"/>
  <c r="K46" i="20"/>
  <c r="J46" i="20"/>
  <c r="L46" i="20" s="1"/>
  <c r="T46" i="20" s="1"/>
  <c r="G46" i="20"/>
  <c r="L45" i="20"/>
  <c r="K45" i="20"/>
  <c r="J45" i="20"/>
  <c r="G45" i="20"/>
  <c r="R44" i="20"/>
  <c r="K44" i="20"/>
  <c r="J44" i="20"/>
  <c r="L44" i="20" s="1"/>
  <c r="T44" i="20" s="1"/>
  <c r="S44" i="20" s="1"/>
  <c r="S43" i="20"/>
  <c r="R43" i="20"/>
  <c r="K43" i="20"/>
  <c r="J43" i="20"/>
  <c r="L43" i="20" s="1"/>
  <c r="T43" i="20" s="1"/>
  <c r="G43" i="20"/>
  <c r="J42" i="20"/>
  <c r="G42" i="20"/>
  <c r="U41" i="20"/>
  <c r="R41" i="20"/>
  <c r="K41" i="20"/>
  <c r="V41" i="20" s="1"/>
  <c r="J41" i="20"/>
  <c r="L41" i="20" s="1"/>
  <c r="T41" i="20" s="1"/>
  <c r="S41" i="20" s="1"/>
  <c r="U40" i="20"/>
  <c r="S40" i="20"/>
  <c r="R40" i="20"/>
  <c r="K40" i="20"/>
  <c r="V40" i="20" s="1"/>
  <c r="J40" i="20"/>
  <c r="L40" i="20" s="1"/>
  <c r="T40" i="20" s="1"/>
  <c r="G40" i="20"/>
  <c r="K39" i="20"/>
  <c r="J39" i="20"/>
  <c r="G39" i="20"/>
  <c r="U38" i="20"/>
  <c r="R38" i="20"/>
  <c r="L38" i="20"/>
  <c r="T38" i="20" s="1"/>
  <c r="S38" i="20" s="1"/>
  <c r="K38" i="20"/>
  <c r="J38" i="20"/>
  <c r="H38" i="20"/>
  <c r="R37" i="20"/>
  <c r="U37" i="20" s="1"/>
  <c r="K37" i="20"/>
  <c r="J37" i="20"/>
  <c r="L37" i="20" s="1"/>
  <c r="G37" i="20"/>
  <c r="L36" i="20"/>
  <c r="K36" i="20"/>
  <c r="J36" i="20"/>
  <c r="G36" i="20"/>
  <c r="R35" i="20"/>
  <c r="K35" i="20"/>
  <c r="J35" i="20"/>
  <c r="U35" i="20" s="1"/>
  <c r="R34" i="20"/>
  <c r="U34" i="20" s="1"/>
  <c r="K34" i="20"/>
  <c r="J34" i="20"/>
  <c r="L34" i="20" s="1"/>
  <c r="T34" i="20" s="1"/>
  <c r="S34" i="20" s="1"/>
  <c r="G34" i="20"/>
  <c r="K33" i="20"/>
  <c r="J33" i="20"/>
  <c r="G33" i="20"/>
  <c r="T32" i="20"/>
  <c r="S32" i="20" s="1"/>
  <c r="R32" i="20"/>
  <c r="L32" i="20"/>
  <c r="K32" i="20"/>
  <c r="V32" i="20" s="1"/>
  <c r="J32" i="20"/>
  <c r="U32" i="20" s="1"/>
  <c r="R31" i="20"/>
  <c r="K31" i="20"/>
  <c r="V31" i="20" s="1"/>
  <c r="J31" i="20"/>
  <c r="G31" i="20"/>
  <c r="K30" i="20"/>
  <c r="J30" i="20"/>
  <c r="G30" i="20"/>
  <c r="R29" i="20"/>
  <c r="K29" i="20"/>
  <c r="V29" i="20" s="1"/>
  <c r="J29" i="20"/>
  <c r="R28" i="20"/>
  <c r="K28" i="20"/>
  <c r="J28" i="20"/>
  <c r="G28" i="20"/>
  <c r="K27" i="20"/>
  <c r="J27" i="20"/>
  <c r="G27" i="20"/>
  <c r="R26" i="20"/>
  <c r="K26" i="20"/>
  <c r="J26" i="20"/>
  <c r="R25" i="20"/>
  <c r="K25" i="20"/>
  <c r="J25" i="20"/>
  <c r="G25" i="20"/>
  <c r="K24" i="20"/>
  <c r="J24" i="20"/>
  <c r="L24" i="20" s="1"/>
  <c r="G24" i="20"/>
  <c r="R23" i="20"/>
  <c r="K23" i="20"/>
  <c r="J23" i="20"/>
  <c r="R22" i="20"/>
  <c r="K22" i="20"/>
  <c r="V22" i="20" s="1"/>
  <c r="J22" i="20"/>
  <c r="G22" i="20"/>
  <c r="K21" i="20"/>
  <c r="J21" i="20"/>
  <c r="G21" i="20"/>
  <c r="R20" i="20"/>
  <c r="K20" i="20"/>
  <c r="U20" i="20" s="1"/>
  <c r="J20" i="20"/>
  <c r="H20" i="20"/>
  <c r="R19" i="20"/>
  <c r="K19" i="20"/>
  <c r="J19" i="20"/>
  <c r="G19" i="20"/>
  <c r="K18" i="20"/>
  <c r="L18" i="20" s="1"/>
  <c r="J18" i="20"/>
  <c r="G18" i="20"/>
  <c r="R17" i="20"/>
  <c r="R48" i="20" s="1"/>
  <c r="H17" i="20"/>
  <c r="H44" i="20" s="1"/>
  <c r="G17" i="20"/>
  <c r="H35" i="20" s="1"/>
  <c r="D15" i="20"/>
  <c r="G47" i="20" s="1"/>
  <c r="P8" i="20"/>
  <c r="P1" i="20"/>
  <c r="Q49" i="19"/>
  <c r="F49" i="19"/>
  <c r="E49" i="19"/>
  <c r="P10" i="19" s="1"/>
  <c r="K48" i="19"/>
  <c r="J48" i="19"/>
  <c r="R47" i="19"/>
  <c r="K47" i="19"/>
  <c r="V47" i="19" s="1"/>
  <c r="J47" i="19"/>
  <c r="U47" i="19" s="1"/>
  <c r="R46" i="19"/>
  <c r="K46" i="19"/>
  <c r="L46" i="19" s="1"/>
  <c r="T46" i="19" s="1"/>
  <c r="S46" i="19" s="1"/>
  <c r="J46" i="19"/>
  <c r="G46" i="19"/>
  <c r="K45" i="19"/>
  <c r="J45" i="19"/>
  <c r="R44" i="19"/>
  <c r="K44" i="19"/>
  <c r="V44" i="19" s="1"/>
  <c r="J44" i="19"/>
  <c r="L44" i="19" s="1"/>
  <c r="T44" i="19" s="1"/>
  <c r="S44" i="19" s="1"/>
  <c r="R43" i="19"/>
  <c r="K43" i="19"/>
  <c r="L43" i="19" s="1"/>
  <c r="T43" i="19" s="1"/>
  <c r="S43" i="19" s="1"/>
  <c r="J43" i="19"/>
  <c r="G43" i="19"/>
  <c r="J42" i="19"/>
  <c r="R41" i="19"/>
  <c r="K41" i="19"/>
  <c r="V41" i="19" s="1"/>
  <c r="J41" i="19"/>
  <c r="L41" i="19" s="1"/>
  <c r="T41" i="19" s="1"/>
  <c r="S41" i="19" s="1"/>
  <c r="R40" i="19"/>
  <c r="K40" i="19"/>
  <c r="L40" i="19" s="1"/>
  <c r="T40" i="19" s="1"/>
  <c r="S40" i="19" s="1"/>
  <c r="J40" i="19"/>
  <c r="G40" i="19"/>
  <c r="K39" i="19"/>
  <c r="J39" i="19"/>
  <c r="U38" i="19"/>
  <c r="R38" i="19"/>
  <c r="K38" i="19"/>
  <c r="V38" i="19" s="1"/>
  <c r="J38" i="19"/>
  <c r="L38" i="19" s="1"/>
  <c r="T38" i="19" s="1"/>
  <c r="S38" i="19" s="1"/>
  <c r="R37" i="19"/>
  <c r="K37" i="19"/>
  <c r="L37" i="19" s="1"/>
  <c r="T37" i="19" s="1"/>
  <c r="S37" i="19" s="1"/>
  <c r="J37" i="19"/>
  <c r="G37" i="19"/>
  <c r="K36" i="19"/>
  <c r="J36" i="19"/>
  <c r="R35" i="19"/>
  <c r="K35" i="19"/>
  <c r="V35" i="19" s="1"/>
  <c r="J35" i="19"/>
  <c r="L35" i="19" s="1"/>
  <c r="T35" i="19" s="1"/>
  <c r="S35" i="19" s="1"/>
  <c r="R34" i="19"/>
  <c r="K34" i="19"/>
  <c r="L34" i="19" s="1"/>
  <c r="T34" i="19" s="1"/>
  <c r="S34" i="19" s="1"/>
  <c r="J34" i="19"/>
  <c r="G34" i="19"/>
  <c r="K33" i="19"/>
  <c r="J33" i="19"/>
  <c r="R32" i="19"/>
  <c r="K32" i="19"/>
  <c r="V32" i="19" s="1"/>
  <c r="J32" i="19"/>
  <c r="R31" i="19"/>
  <c r="K31" i="19"/>
  <c r="J31" i="19"/>
  <c r="G31" i="19"/>
  <c r="K30" i="19"/>
  <c r="J30" i="19"/>
  <c r="R29" i="19"/>
  <c r="K29" i="19"/>
  <c r="J29" i="19"/>
  <c r="R28" i="19"/>
  <c r="K28" i="19"/>
  <c r="L28" i="19" s="1"/>
  <c r="T28" i="19" s="1"/>
  <c r="S28" i="19" s="1"/>
  <c r="J28" i="19"/>
  <c r="G28" i="19"/>
  <c r="K27" i="19"/>
  <c r="J27" i="19"/>
  <c r="R26" i="19"/>
  <c r="K26" i="19"/>
  <c r="J26" i="19"/>
  <c r="R25" i="19"/>
  <c r="K25" i="19"/>
  <c r="L25" i="19" s="1"/>
  <c r="T25" i="19" s="1"/>
  <c r="S25" i="19" s="1"/>
  <c r="J25" i="19"/>
  <c r="G25" i="19"/>
  <c r="K24" i="19"/>
  <c r="J24" i="19"/>
  <c r="R23" i="19"/>
  <c r="K23" i="19"/>
  <c r="V23" i="19" s="1"/>
  <c r="J23" i="19"/>
  <c r="R22" i="19"/>
  <c r="K22" i="19"/>
  <c r="L22" i="19" s="1"/>
  <c r="J22" i="19"/>
  <c r="G22" i="19"/>
  <c r="K21" i="19"/>
  <c r="J21" i="19"/>
  <c r="R20" i="19"/>
  <c r="K20" i="19"/>
  <c r="J20" i="19"/>
  <c r="R19" i="19"/>
  <c r="K19" i="19"/>
  <c r="L19" i="19" s="1"/>
  <c r="T19" i="19" s="1"/>
  <c r="S19" i="19" s="1"/>
  <c r="J19" i="19"/>
  <c r="G19" i="19"/>
  <c r="K18" i="19"/>
  <c r="J18" i="19"/>
  <c r="R17" i="19"/>
  <c r="R48" i="19" s="1"/>
  <c r="H17" i="19"/>
  <c r="H48" i="19" s="1"/>
  <c r="G17" i="19"/>
  <c r="H35" i="19" s="1"/>
  <c r="D15" i="19"/>
  <c r="G47" i="19" s="1"/>
  <c r="P1" i="19"/>
  <c r="P8" i="19" s="1"/>
  <c r="Q49" i="18"/>
  <c r="F49" i="18"/>
  <c r="E49" i="18"/>
  <c r="P10" i="18" s="1"/>
  <c r="K48" i="18"/>
  <c r="J48" i="18"/>
  <c r="G48" i="18"/>
  <c r="R47" i="18"/>
  <c r="K47" i="18"/>
  <c r="V47" i="18" s="1"/>
  <c r="J47" i="18"/>
  <c r="U47" i="18" s="1"/>
  <c r="R46" i="18"/>
  <c r="K46" i="18"/>
  <c r="V46" i="18" s="1"/>
  <c r="J46" i="18"/>
  <c r="L46" i="18" s="1"/>
  <c r="T46" i="18" s="1"/>
  <c r="S46" i="18" s="1"/>
  <c r="G46" i="18"/>
  <c r="K45" i="18"/>
  <c r="J45" i="18"/>
  <c r="G45" i="18"/>
  <c r="R44" i="18"/>
  <c r="K44" i="18"/>
  <c r="V44" i="18" s="1"/>
  <c r="J44" i="18"/>
  <c r="L44" i="18" s="1"/>
  <c r="T44" i="18" s="1"/>
  <c r="S44" i="18" s="1"/>
  <c r="R43" i="18"/>
  <c r="K43" i="18"/>
  <c r="V43" i="18" s="1"/>
  <c r="J43" i="18"/>
  <c r="L43" i="18" s="1"/>
  <c r="T43" i="18" s="1"/>
  <c r="S43" i="18" s="1"/>
  <c r="G43" i="18"/>
  <c r="J42" i="18"/>
  <c r="G42" i="18"/>
  <c r="R41" i="18"/>
  <c r="K41" i="18"/>
  <c r="V41" i="18" s="1"/>
  <c r="J41" i="18"/>
  <c r="L41" i="18" s="1"/>
  <c r="T41" i="18" s="1"/>
  <c r="S41" i="18" s="1"/>
  <c r="R40" i="18"/>
  <c r="K40" i="18"/>
  <c r="V40" i="18" s="1"/>
  <c r="J40" i="18"/>
  <c r="L40" i="18" s="1"/>
  <c r="T40" i="18" s="1"/>
  <c r="S40" i="18" s="1"/>
  <c r="G40" i="18"/>
  <c r="K39" i="18"/>
  <c r="J39" i="18"/>
  <c r="G39" i="18"/>
  <c r="R38" i="18"/>
  <c r="K38" i="18"/>
  <c r="V38" i="18" s="1"/>
  <c r="J38" i="18"/>
  <c r="L38" i="18" s="1"/>
  <c r="T38" i="18" s="1"/>
  <c r="S38" i="18" s="1"/>
  <c r="R37" i="18"/>
  <c r="K37" i="18"/>
  <c r="V37" i="18" s="1"/>
  <c r="J37" i="18"/>
  <c r="L37" i="18" s="1"/>
  <c r="T37" i="18" s="1"/>
  <c r="S37" i="18" s="1"/>
  <c r="G37" i="18"/>
  <c r="K36" i="18"/>
  <c r="J36" i="18"/>
  <c r="G36" i="18"/>
  <c r="R35" i="18"/>
  <c r="K35" i="18"/>
  <c r="V35" i="18" s="1"/>
  <c r="J35" i="18"/>
  <c r="L35" i="18" s="1"/>
  <c r="T35" i="18" s="1"/>
  <c r="S35" i="18" s="1"/>
  <c r="R34" i="18"/>
  <c r="K34" i="18"/>
  <c r="V34" i="18" s="1"/>
  <c r="J34" i="18"/>
  <c r="L34" i="18" s="1"/>
  <c r="T34" i="18" s="1"/>
  <c r="S34" i="18" s="1"/>
  <c r="G34" i="18"/>
  <c r="K33" i="18"/>
  <c r="J33" i="18"/>
  <c r="G33" i="18"/>
  <c r="R32" i="18"/>
  <c r="K32" i="18"/>
  <c r="V32" i="18" s="1"/>
  <c r="J32" i="18"/>
  <c r="U32" i="18" s="1"/>
  <c r="R31" i="18"/>
  <c r="K31" i="18"/>
  <c r="V31" i="18" s="1"/>
  <c r="J31" i="18"/>
  <c r="L31" i="18" s="1"/>
  <c r="T31" i="18" s="1"/>
  <c r="S31" i="18" s="1"/>
  <c r="G31" i="18"/>
  <c r="K30" i="18"/>
  <c r="J30" i="18"/>
  <c r="G30" i="18"/>
  <c r="U29" i="18"/>
  <c r="R29" i="18"/>
  <c r="K29" i="18"/>
  <c r="V29" i="18" s="1"/>
  <c r="J29" i="18"/>
  <c r="L29" i="18" s="1"/>
  <c r="T29" i="18" s="1"/>
  <c r="S29" i="18" s="1"/>
  <c r="R28" i="18"/>
  <c r="K28" i="18"/>
  <c r="V28" i="18" s="1"/>
  <c r="J28" i="18"/>
  <c r="L28" i="18" s="1"/>
  <c r="T28" i="18" s="1"/>
  <c r="S28" i="18" s="1"/>
  <c r="G28" i="18"/>
  <c r="K27" i="18"/>
  <c r="J27" i="18"/>
  <c r="G27" i="18"/>
  <c r="R26" i="18"/>
  <c r="K26" i="18"/>
  <c r="V26" i="18" s="1"/>
  <c r="J26" i="18"/>
  <c r="R25" i="18"/>
  <c r="K25" i="18"/>
  <c r="V25" i="18" s="1"/>
  <c r="J25" i="18"/>
  <c r="G25" i="18"/>
  <c r="K24" i="18"/>
  <c r="J24" i="18"/>
  <c r="G24" i="18"/>
  <c r="R23" i="18"/>
  <c r="K23" i="18"/>
  <c r="V23" i="18" s="1"/>
  <c r="J23" i="18"/>
  <c r="L23" i="18" s="1"/>
  <c r="T23" i="18" s="1"/>
  <c r="S23" i="18" s="1"/>
  <c r="R22" i="18"/>
  <c r="K22" i="18"/>
  <c r="V22" i="18" s="1"/>
  <c r="J22" i="18"/>
  <c r="G22" i="18"/>
  <c r="K21" i="18"/>
  <c r="J21" i="18"/>
  <c r="G21" i="18"/>
  <c r="R20" i="18"/>
  <c r="K20" i="18"/>
  <c r="V20" i="18" s="1"/>
  <c r="J20" i="18"/>
  <c r="R19" i="18"/>
  <c r="K19" i="18"/>
  <c r="V19" i="18" s="1"/>
  <c r="J19" i="18"/>
  <c r="L19" i="18" s="1"/>
  <c r="T19" i="18" s="1"/>
  <c r="S19" i="18" s="1"/>
  <c r="G19" i="18"/>
  <c r="K18" i="18"/>
  <c r="J18" i="18"/>
  <c r="J49" i="18" s="1"/>
  <c r="G18" i="18"/>
  <c r="R17" i="18"/>
  <c r="R48" i="18" s="1"/>
  <c r="H17" i="18"/>
  <c r="H48" i="18" s="1"/>
  <c r="G17" i="18"/>
  <c r="H41" i="18" s="1"/>
  <c r="D15" i="18"/>
  <c r="G47" i="18" s="1"/>
  <c r="P8" i="18"/>
  <c r="P1" i="18"/>
  <c r="Q49" i="17"/>
  <c r="F49" i="17"/>
  <c r="E49" i="17"/>
  <c r="P10" i="17" s="1"/>
  <c r="K48" i="17"/>
  <c r="J48" i="17"/>
  <c r="K47" i="17"/>
  <c r="V47" i="17" s="1"/>
  <c r="J47" i="17"/>
  <c r="L47" i="17" s="1"/>
  <c r="T47" i="17" s="1"/>
  <c r="S47" i="17" s="1"/>
  <c r="R46" i="17"/>
  <c r="L46" i="17"/>
  <c r="T46" i="17" s="1"/>
  <c r="S46" i="17" s="1"/>
  <c r="K46" i="17"/>
  <c r="V46" i="17" s="1"/>
  <c r="J46" i="17"/>
  <c r="G46" i="17"/>
  <c r="K45" i="17"/>
  <c r="J45" i="17"/>
  <c r="K44" i="17"/>
  <c r="J44" i="17"/>
  <c r="L44" i="17" s="1"/>
  <c r="R43" i="17"/>
  <c r="L43" i="17"/>
  <c r="T43" i="17" s="1"/>
  <c r="S43" i="17" s="1"/>
  <c r="K43" i="17"/>
  <c r="V43" i="17" s="1"/>
  <c r="J43" i="17"/>
  <c r="G43" i="17"/>
  <c r="J42" i="17"/>
  <c r="K41" i="17"/>
  <c r="J41" i="17"/>
  <c r="L41" i="17" s="1"/>
  <c r="R40" i="17"/>
  <c r="L40" i="17"/>
  <c r="T40" i="17" s="1"/>
  <c r="S40" i="17" s="1"/>
  <c r="K40" i="17"/>
  <c r="V40" i="17" s="1"/>
  <c r="J40" i="17"/>
  <c r="G40" i="17"/>
  <c r="K39" i="17"/>
  <c r="J39" i="17"/>
  <c r="K38" i="17"/>
  <c r="J38" i="17"/>
  <c r="L38" i="17" s="1"/>
  <c r="R37" i="17"/>
  <c r="L37" i="17"/>
  <c r="T37" i="17" s="1"/>
  <c r="S37" i="17" s="1"/>
  <c r="K37" i="17"/>
  <c r="V37" i="17" s="1"/>
  <c r="J37" i="17"/>
  <c r="G37" i="17"/>
  <c r="K36" i="17"/>
  <c r="J36" i="17"/>
  <c r="K35" i="17"/>
  <c r="J35" i="17"/>
  <c r="L35" i="17" s="1"/>
  <c r="R34" i="17"/>
  <c r="L34" i="17"/>
  <c r="T34" i="17" s="1"/>
  <c r="S34" i="17" s="1"/>
  <c r="K34" i="17"/>
  <c r="V34" i="17" s="1"/>
  <c r="J34" i="17"/>
  <c r="G34" i="17"/>
  <c r="K33" i="17"/>
  <c r="J33" i="17"/>
  <c r="K32" i="17"/>
  <c r="J32" i="17"/>
  <c r="L32" i="17" s="1"/>
  <c r="R31" i="17"/>
  <c r="L31" i="17"/>
  <c r="T31" i="17" s="1"/>
  <c r="S31" i="17" s="1"/>
  <c r="K31" i="17"/>
  <c r="V31" i="17" s="1"/>
  <c r="J31" i="17"/>
  <c r="G31" i="17"/>
  <c r="K30" i="17"/>
  <c r="J30" i="17"/>
  <c r="K29" i="17"/>
  <c r="J29" i="17"/>
  <c r="R28" i="17"/>
  <c r="L28" i="17"/>
  <c r="T28" i="17" s="1"/>
  <c r="S28" i="17" s="1"/>
  <c r="K28" i="17"/>
  <c r="V28" i="17" s="1"/>
  <c r="J28" i="17"/>
  <c r="G28" i="17"/>
  <c r="K27" i="17"/>
  <c r="J27" i="17"/>
  <c r="K26" i="17"/>
  <c r="J26" i="17"/>
  <c r="R25" i="17"/>
  <c r="L25" i="17"/>
  <c r="K25" i="17"/>
  <c r="V25" i="17" s="1"/>
  <c r="J25" i="17"/>
  <c r="G25" i="17"/>
  <c r="K24" i="17"/>
  <c r="J24" i="17"/>
  <c r="K23" i="17"/>
  <c r="J23" i="17"/>
  <c r="R22" i="17"/>
  <c r="L22" i="17"/>
  <c r="K22" i="17"/>
  <c r="V22" i="17" s="1"/>
  <c r="J22" i="17"/>
  <c r="G22" i="17"/>
  <c r="K21" i="17"/>
  <c r="J21" i="17"/>
  <c r="K20" i="17"/>
  <c r="J20" i="17"/>
  <c r="R19" i="17"/>
  <c r="L19" i="17"/>
  <c r="K19" i="17"/>
  <c r="V19" i="17" s="1"/>
  <c r="J19" i="17"/>
  <c r="G19" i="17"/>
  <c r="K18" i="17"/>
  <c r="J18" i="17"/>
  <c r="J49" i="17" s="1"/>
  <c r="R17" i="17"/>
  <c r="R47" i="17" s="1"/>
  <c r="U47" i="17" s="1"/>
  <c r="H17" i="17"/>
  <c r="H48" i="17" s="1"/>
  <c r="G17" i="17"/>
  <c r="H44" i="17" s="1"/>
  <c r="D15" i="17"/>
  <c r="G47" i="17" s="1"/>
  <c r="P1" i="17"/>
  <c r="P8" i="17" s="1"/>
  <c r="Q49" i="16"/>
  <c r="F49" i="16"/>
  <c r="E49" i="16"/>
  <c r="P10" i="16" s="1"/>
  <c r="K48" i="16"/>
  <c r="J48" i="16"/>
  <c r="K47" i="16"/>
  <c r="J47" i="16"/>
  <c r="L47" i="16" s="1"/>
  <c r="R46" i="16"/>
  <c r="K46" i="16"/>
  <c r="L46" i="16" s="1"/>
  <c r="T46" i="16" s="1"/>
  <c r="S46" i="16" s="1"/>
  <c r="J46" i="16"/>
  <c r="G46" i="16"/>
  <c r="K45" i="16"/>
  <c r="J45" i="16"/>
  <c r="U44" i="16"/>
  <c r="R44" i="16"/>
  <c r="K44" i="16"/>
  <c r="V44" i="16" s="1"/>
  <c r="J44" i="16"/>
  <c r="L44" i="16" s="1"/>
  <c r="T44" i="16" s="1"/>
  <c r="S44" i="16" s="1"/>
  <c r="R43" i="16"/>
  <c r="K43" i="16"/>
  <c r="L43" i="16" s="1"/>
  <c r="T43" i="16" s="1"/>
  <c r="S43" i="16" s="1"/>
  <c r="J43" i="16"/>
  <c r="G43" i="16"/>
  <c r="J42" i="16"/>
  <c r="R41" i="16"/>
  <c r="K41" i="16"/>
  <c r="V41" i="16" s="1"/>
  <c r="J41" i="16"/>
  <c r="U41" i="16" s="1"/>
  <c r="R40" i="16"/>
  <c r="K40" i="16"/>
  <c r="L40" i="16" s="1"/>
  <c r="T40" i="16" s="1"/>
  <c r="S40" i="16" s="1"/>
  <c r="J40" i="16"/>
  <c r="G40" i="16"/>
  <c r="K39" i="16"/>
  <c r="J39" i="16"/>
  <c r="R38" i="16"/>
  <c r="K38" i="16"/>
  <c r="V38" i="16" s="1"/>
  <c r="J38" i="16"/>
  <c r="L38" i="16" s="1"/>
  <c r="T38" i="16" s="1"/>
  <c r="S38" i="16" s="1"/>
  <c r="R37" i="16"/>
  <c r="K37" i="16"/>
  <c r="L37" i="16" s="1"/>
  <c r="T37" i="16" s="1"/>
  <c r="S37" i="16" s="1"/>
  <c r="J37" i="16"/>
  <c r="G37" i="16"/>
  <c r="K36" i="16"/>
  <c r="J36" i="16"/>
  <c r="R35" i="16"/>
  <c r="K35" i="16"/>
  <c r="V35" i="16" s="1"/>
  <c r="J35" i="16"/>
  <c r="U35" i="16" s="1"/>
  <c r="R34" i="16"/>
  <c r="K34" i="16"/>
  <c r="L34" i="16" s="1"/>
  <c r="J34" i="16"/>
  <c r="G34" i="16"/>
  <c r="K33" i="16"/>
  <c r="J33" i="16"/>
  <c r="R32" i="16"/>
  <c r="K32" i="16"/>
  <c r="J32" i="16"/>
  <c r="R31" i="16"/>
  <c r="K31" i="16"/>
  <c r="J31" i="16"/>
  <c r="G31" i="16"/>
  <c r="K30" i="16"/>
  <c r="J30" i="16"/>
  <c r="R29" i="16"/>
  <c r="K29" i="16"/>
  <c r="J29" i="16"/>
  <c r="R28" i="16"/>
  <c r="K28" i="16"/>
  <c r="L28" i="16" s="1"/>
  <c r="J28" i="16"/>
  <c r="G28" i="16"/>
  <c r="K27" i="16"/>
  <c r="J27" i="16"/>
  <c r="R26" i="16"/>
  <c r="K26" i="16"/>
  <c r="J26" i="16"/>
  <c r="R25" i="16"/>
  <c r="K25" i="16"/>
  <c r="J25" i="16"/>
  <c r="G25" i="16"/>
  <c r="K24" i="16"/>
  <c r="J24" i="16"/>
  <c r="R23" i="16"/>
  <c r="K23" i="16"/>
  <c r="J23" i="16"/>
  <c r="U23" i="16" s="1"/>
  <c r="R22" i="16"/>
  <c r="K22" i="16"/>
  <c r="L22" i="16" s="1"/>
  <c r="J22" i="16"/>
  <c r="G22" i="16"/>
  <c r="K21" i="16"/>
  <c r="J21" i="16"/>
  <c r="U20" i="16"/>
  <c r="R20" i="16"/>
  <c r="K20" i="16"/>
  <c r="J20" i="16"/>
  <c r="R19" i="16"/>
  <c r="K19" i="16"/>
  <c r="J19" i="16"/>
  <c r="G19" i="16"/>
  <c r="K18" i="16"/>
  <c r="J18" i="16"/>
  <c r="R17" i="16"/>
  <c r="R47" i="16" s="1"/>
  <c r="U47" i="16" s="1"/>
  <c r="H17" i="16"/>
  <c r="H48" i="16" s="1"/>
  <c r="G17" i="16"/>
  <c r="H44" i="16" s="1"/>
  <c r="D15" i="16"/>
  <c r="G47" i="16" s="1"/>
  <c r="P1" i="16"/>
  <c r="P8" i="16" s="1"/>
  <c r="Q49" i="15"/>
  <c r="F49" i="15"/>
  <c r="E49" i="15"/>
  <c r="P10" i="15" s="1"/>
  <c r="K48" i="15"/>
  <c r="J48" i="15"/>
  <c r="L48" i="15" s="1"/>
  <c r="G48" i="15"/>
  <c r="L47" i="15"/>
  <c r="K47" i="15"/>
  <c r="J47" i="15"/>
  <c r="R46" i="15"/>
  <c r="U46" i="15" s="1"/>
  <c r="K46" i="15"/>
  <c r="V46" i="15" s="1"/>
  <c r="J46" i="15"/>
  <c r="L46" i="15" s="1"/>
  <c r="T46" i="15" s="1"/>
  <c r="S46" i="15" s="1"/>
  <c r="K45" i="15"/>
  <c r="J45" i="15"/>
  <c r="L45" i="15" s="1"/>
  <c r="G45" i="15"/>
  <c r="L44" i="15"/>
  <c r="K44" i="15"/>
  <c r="J44" i="15"/>
  <c r="R43" i="15"/>
  <c r="U43" i="15" s="1"/>
  <c r="K43" i="15"/>
  <c r="V43" i="15" s="1"/>
  <c r="J43" i="15"/>
  <c r="L43" i="15" s="1"/>
  <c r="T43" i="15" s="1"/>
  <c r="S43" i="15" s="1"/>
  <c r="J42" i="15"/>
  <c r="G42" i="15"/>
  <c r="L41" i="15"/>
  <c r="K41" i="15"/>
  <c r="J41" i="15"/>
  <c r="R40" i="15"/>
  <c r="U40" i="15" s="1"/>
  <c r="K40" i="15"/>
  <c r="V40" i="15" s="1"/>
  <c r="J40" i="15"/>
  <c r="L40" i="15" s="1"/>
  <c r="T40" i="15" s="1"/>
  <c r="S40" i="15" s="1"/>
  <c r="K39" i="15"/>
  <c r="J39" i="15"/>
  <c r="L39" i="15" s="1"/>
  <c r="G39" i="15"/>
  <c r="L38" i="15"/>
  <c r="K38" i="15"/>
  <c r="J38" i="15"/>
  <c r="R37" i="15"/>
  <c r="U37" i="15" s="1"/>
  <c r="K37" i="15"/>
  <c r="V37" i="15" s="1"/>
  <c r="J37" i="15"/>
  <c r="L37" i="15" s="1"/>
  <c r="T37" i="15" s="1"/>
  <c r="S37" i="15" s="1"/>
  <c r="K36" i="15"/>
  <c r="J36" i="15"/>
  <c r="L36" i="15" s="1"/>
  <c r="G36" i="15"/>
  <c r="L35" i="15"/>
  <c r="K35" i="15"/>
  <c r="J35" i="15"/>
  <c r="R34" i="15"/>
  <c r="U34" i="15" s="1"/>
  <c r="K34" i="15"/>
  <c r="V34" i="15" s="1"/>
  <c r="J34" i="15"/>
  <c r="L34" i="15" s="1"/>
  <c r="T34" i="15" s="1"/>
  <c r="S34" i="15" s="1"/>
  <c r="K33" i="15"/>
  <c r="J33" i="15"/>
  <c r="L33" i="15" s="1"/>
  <c r="G33" i="15"/>
  <c r="L32" i="15"/>
  <c r="K32" i="15"/>
  <c r="J32" i="15"/>
  <c r="R31" i="15"/>
  <c r="K31" i="15"/>
  <c r="V31" i="15" s="1"/>
  <c r="J31" i="15"/>
  <c r="K30" i="15"/>
  <c r="J30" i="15"/>
  <c r="G30" i="15"/>
  <c r="K29" i="15"/>
  <c r="L29" i="15" s="1"/>
  <c r="J29" i="15"/>
  <c r="R28" i="15"/>
  <c r="K28" i="15"/>
  <c r="J28" i="15"/>
  <c r="K27" i="15"/>
  <c r="J27" i="15"/>
  <c r="L27" i="15" s="1"/>
  <c r="G27" i="15"/>
  <c r="K26" i="15"/>
  <c r="L26" i="15" s="1"/>
  <c r="J26" i="15"/>
  <c r="R25" i="15"/>
  <c r="K25" i="15"/>
  <c r="V25" i="15" s="1"/>
  <c r="J25" i="15"/>
  <c r="K24" i="15"/>
  <c r="J24" i="15"/>
  <c r="G24" i="15"/>
  <c r="K23" i="15"/>
  <c r="L23" i="15" s="1"/>
  <c r="J23" i="15"/>
  <c r="R22" i="15"/>
  <c r="K22" i="15"/>
  <c r="J22" i="15"/>
  <c r="K21" i="15"/>
  <c r="J21" i="15"/>
  <c r="G21" i="15"/>
  <c r="K20" i="15"/>
  <c r="L20" i="15" s="1"/>
  <c r="J20" i="15"/>
  <c r="R19" i="15"/>
  <c r="K19" i="15"/>
  <c r="V19" i="15" s="1"/>
  <c r="J19" i="15"/>
  <c r="K18" i="15"/>
  <c r="J18" i="15"/>
  <c r="G18" i="15"/>
  <c r="R17" i="15"/>
  <c r="R47" i="15" s="1"/>
  <c r="H17" i="15"/>
  <c r="H48" i="15" s="1"/>
  <c r="G17" i="15"/>
  <c r="H18" i="15" s="1"/>
  <c r="D15" i="15"/>
  <c r="G47" i="15" s="1"/>
  <c r="P8" i="15"/>
  <c r="P1" i="15"/>
  <c r="Q49" i="14"/>
  <c r="F49" i="14"/>
  <c r="E49" i="14"/>
  <c r="P10" i="14" s="1"/>
  <c r="K48" i="14"/>
  <c r="J48" i="14"/>
  <c r="K47" i="14"/>
  <c r="J47" i="14"/>
  <c r="L47" i="14" s="1"/>
  <c r="R46" i="14"/>
  <c r="K46" i="14"/>
  <c r="V46" i="14" s="1"/>
  <c r="J46" i="14"/>
  <c r="L46" i="14" s="1"/>
  <c r="T46" i="14" s="1"/>
  <c r="S46" i="14" s="1"/>
  <c r="G46" i="14"/>
  <c r="K45" i="14"/>
  <c r="J45" i="14"/>
  <c r="K44" i="14"/>
  <c r="J44" i="14"/>
  <c r="L44" i="14" s="1"/>
  <c r="R43" i="14"/>
  <c r="K43" i="14"/>
  <c r="V43" i="14" s="1"/>
  <c r="J43" i="14"/>
  <c r="L43" i="14" s="1"/>
  <c r="T43" i="14" s="1"/>
  <c r="S43" i="14" s="1"/>
  <c r="G43" i="14"/>
  <c r="J42" i="14"/>
  <c r="K41" i="14"/>
  <c r="J41" i="14"/>
  <c r="L41" i="14" s="1"/>
  <c r="R40" i="14"/>
  <c r="K40" i="14"/>
  <c r="V40" i="14" s="1"/>
  <c r="J40" i="14"/>
  <c r="L40" i="14" s="1"/>
  <c r="T40" i="14" s="1"/>
  <c r="S40" i="14" s="1"/>
  <c r="G40" i="14"/>
  <c r="K39" i="14"/>
  <c r="J39" i="14"/>
  <c r="K38" i="14"/>
  <c r="J38" i="14"/>
  <c r="L38" i="14" s="1"/>
  <c r="R37" i="14"/>
  <c r="K37" i="14"/>
  <c r="L37" i="14" s="1"/>
  <c r="T37" i="14" s="1"/>
  <c r="S37" i="14" s="1"/>
  <c r="J37" i="14"/>
  <c r="G37" i="14"/>
  <c r="K36" i="14"/>
  <c r="J36" i="14"/>
  <c r="K35" i="14"/>
  <c r="J35" i="14"/>
  <c r="L35" i="14" s="1"/>
  <c r="R34" i="14"/>
  <c r="K34" i="14"/>
  <c r="L34" i="14" s="1"/>
  <c r="T34" i="14" s="1"/>
  <c r="S34" i="14" s="1"/>
  <c r="J34" i="14"/>
  <c r="G34" i="14"/>
  <c r="K33" i="14"/>
  <c r="J33" i="14"/>
  <c r="K32" i="14"/>
  <c r="J32" i="14"/>
  <c r="L32" i="14" s="1"/>
  <c r="R31" i="14"/>
  <c r="K31" i="14"/>
  <c r="J31" i="14"/>
  <c r="G31" i="14"/>
  <c r="K30" i="14"/>
  <c r="J30" i="14"/>
  <c r="K29" i="14"/>
  <c r="J29" i="14"/>
  <c r="R28" i="14"/>
  <c r="K28" i="14"/>
  <c r="J28" i="14"/>
  <c r="G28" i="14"/>
  <c r="K27" i="14"/>
  <c r="J27" i="14"/>
  <c r="K26" i="14"/>
  <c r="J26" i="14"/>
  <c r="R25" i="14"/>
  <c r="K25" i="14"/>
  <c r="J25" i="14"/>
  <c r="G25" i="14"/>
  <c r="K24" i="14"/>
  <c r="J24" i="14"/>
  <c r="K23" i="14"/>
  <c r="J23" i="14"/>
  <c r="R22" i="14"/>
  <c r="K22" i="14"/>
  <c r="J22" i="14"/>
  <c r="G22" i="14"/>
  <c r="K21" i="14"/>
  <c r="J21" i="14"/>
  <c r="K20" i="14"/>
  <c r="J20" i="14"/>
  <c r="R19" i="14"/>
  <c r="K19" i="14"/>
  <c r="J19" i="14"/>
  <c r="G19" i="14"/>
  <c r="K18" i="14"/>
  <c r="J18" i="14"/>
  <c r="R17" i="14"/>
  <c r="R47" i="14" s="1"/>
  <c r="U47" i="14" s="1"/>
  <c r="H17" i="14"/>
  <c r="H48" i="14" s="1"/>
  <c r="G17" i="14"/>
  <c r="H44" i="14" s="1"/>
  <c r="D15" i="14"/>
  <c r="G47" i="14" s="1"/>
  <c r="P1" i="14"/>
  <c r="P8" i="14" s="1"/>
  <c r="Q49" i="13"/>
  <c r="F49" i="13"/>
  <c r="E49" i="13"/>
  <c r="P10" i="13" s="1"/>
  <c r="K48" i="13"/>
  <c r="J48" i="13"/>
  <c r="L48" i="13" s="1"/>
  <c r="G48" i="13"/>
  <c r="L47" i="13"/>
  <c r="K47" i="13"/>
  <c r="J47" i="13"/>
  <c r="K46" i="13"/>
  <c r="J46" i="13"/>
  <c r="L46" i="13" s="1"/>
  <c r="K45" i="13"/>
  <c r="J45" i="13"/>
  <c r="L45" i="13" s="1"/>
  <c r="H45" i="13"/>
  <c r="G45" i="13"/>
  <c r="R44" i="13"/>
  <c r="L44" i="13"/>
  <c r="T44" i="13" s="1"/>
  <c r="S44" i="13" s="1"/>
  <c r="K44" i="13"/>
  <c r="V44" i="13" s="1"/>
  <c r="J44" i="13"/>
  <c r="K43" i="13"/>
  <c r="J43" i="13"/>
  <c r="L43" i="13" s="1"/>
  <c r="J42" i="13"/>
  <c r="H42" i="13"/>
  <c r="G42" i="13"/>
  <c r="R41" i="13"/>
  <c r="L41" i="13"/>
  <c r="T41" i="13" s="1"/>
  <c r="S41" i="13" s="1"/>
  <c r="K41" i="13"/>
  <c r="V41" i="13" s="1"/>
  <c r="J41" i="13"/>
  <c r="K40" i="13"/>
  <c r="J40" i="13"/>
  <c r="L40" i="13" s="1"/>
  <c r="K39" i="13"/>
  <c r="J39" i="13"/>
  <c r="L39" i="13" s="1"/>
  <c r="H39" i="13"/>
  <c r="G39" i="13"/>
  <c r="R38" i="13"/>
  <c r="L38" i="13"/>
  <c r="T38" i="13" s="1"/>
  <c r="S38" i="13" s="1"/>
  <c r="K38" i="13"/>
  <c r="V38" i="13" s="1"/>
  <c r="J38" i="13"/>
  <c r="K37" i="13"/>
  <c r="J37" i="13"/>
  <c r="L37" i="13" s="1"/>
  <c r="K36" i="13"/>
  <c r="J36" i="13"/>
  <c r="L36" i="13" s="1"/>
  <c r="H36" i="13"/>
  <c r="G36" i="13"/>
  <c r="R35" i="13"/>
  <c r="L35" i="13"/>
  <c r="T35" i="13" s="1"/>
  <c r="S35" i="13" s="1"/>
  <c r="K35" i="13"/>
  <c r="V35" i="13" s="1"/>
  <c r="J35" i="13"/>
  <c r="K34" i="13"/>
  <c r="J34" i="13"/>
  <c r="L34" i="13" s="1"/>
  <c r="K33" i="13"/>
  <c r="J33" i="13"/>
  <c r="L33" i="13" s="1"/>
  <c r="H33" i="13"/>
  <c r="G33" i="13"/>
  <c r="R32" i="13"/>
  <c r="L32" i="13"/>
  <c r="T32" i="13" s="1"/>
  <c r="S32" i="13" s="1"/>
  <c r="K32" i="13"/>
  <c r="V32" i="13" s="1"/>
  <c r="J32" i="13"/>
  <c r="K31" i="13"/>
  <c r="J31" i="13"/>
  <c r="L31" i="13" s="1"/>
  <c r="K30" i="13"/>
  <c r="J30" i="13"/>
  <c r="H30" i="13"/>
  <c r="G30" i="13"/>
  <c r="R29" i="13"/>
  <c r="L29" i="13"/>
  <c r="T29" i="13" s="1"/>
  <c r="S29" i="13" s="1"/>
  <c r="K29" i="13"/>
  <c r="V29" i="13" s="1"/>
  <c r="J29" i="13"/>
  <c r="K28" i="13"/>
  <c r="J28" i="13"/>
  <c r="K27" i="13"/>
  <c r="J27" i="13"/>
  <c r="H27" i="13"/>
  <c r="G27" i="13"/>
  <c r="R26" i="13"/>
  <c r="K26" i="13"/>
  <c r="J26" i="13"/>
  <c r="L26" i="13" s="1"/>
  <c r="T26" i="13" s="1"/>
  <c r="S26" i="13" s="1"/>
  <c r="K25" i="13"/>
  <c r="J25" i="13"/>
  <c r="K24" i="13"/>
  <c r="J24" i="13"/>
  <c r="H24" i="13"/>
  <c r="G24" i="13"/>
  <c r="R23" i="13"/>
  <c r="K23" i="13"/>
  <c r="V23" i="13" s="1"/>
  <c r="J23" i="13"/>
  <c r="K22" i="13"/>
  <c r="J22" i="13"/>
  <c r="L22" i="13" s="1"/>
  <c r="K21" i="13"/>
  <c r="J21" i="13"/>
  <c r="H21" i="13"/>
  <c r="G21" i="13"/>
  <c r="R20" i="13"/>
  <c r="K20" i="13"/>
  <c r="V20" i="13" s="1"/>
  <c r="J20" i="13"/>
  <c r="K19" i="13"/>
  <c r="J19" i="13"/>
  <c r="K18" i="13"/>
  <c r="J18" i="13"/>
  <c r="J49" i="13" s="1"/>
  <c r="H18" i="13"/>
  <c r="G18" i="13"/>
  <c r="R17" i="13"/>
  <c r="R47" i="13" s="1"/>
  <c r="H17" i="13"/>
  <c r="H48" i="13" s="1"/>
  <c r="G17" i="13"/>
  <c r="D15" i="13"/>
  <c r="G47" i="13" s="1"/>
  <c r="P8" i="13"/>
  <c r="P1" i="13"/>
  <c r="Q49" i="12"/>
  <c r="F49" i="12"/>
  <c r="E49" i="12"/>
  <c r="P10" i="12" s="1"/>
  <c r="K48" i="12"/>
  <c r="J48" i="12"/>
  <c r="L48" i="12" s="1"/>
  <c r="G48" i="12"/>
  <c r="L47" i="12"/>
  <c r="K47" i="12"/>
  <c r="J47" i="12"/>
  <c r="R46" i="12"/>
  <c r="K46" i="12"/>
  <c r="V46" i="12" s="1"/>
  <c r="J46" i="12"/>
  <c r="L46" i="12" s="1"/>
  <c r="T46" i="12" s="1"/>
  <c r="S46" i="12" s="1"/>
  <c r="K45" i="12"/>
  <c r="J45" i="12"/>
  <c r="L45" i="12" s="1"/>
  <c r="G45" i="12"/>
  <c r="L44" i="12"/>
  <c r="K44" i="12"/>
  <c r="J44" i="12"/>
  <c r="R43" i="12"/>
  <c r="K43" i="12"/>
  <c r="V43" i="12" s="1"/>
  <c r="J43" i="12"/>
  <c r="L43" i="12" s="1"/>
  <c r="T43" i="12" s="1"/>
  <c r="S43" i="12" s="1"/>
  <c r="J42" i="12"/>
  <c r="G42" i="12"/>
  <c r="L41" i="12"/>
  <c r="K41" i="12"/>
  <c r="J41" i="12"/>
  <c r="R40" i="12"/>
  <c r="K40" i="12"/>
  <c r="V40" i="12" s="1"/>
  <c r="J40" i="12"/>
  <c r="L40" i="12" s="1"/>
  <c r="T40" i="12" s="1"/>
  <c r="S40" i="12" s="1"/>
  <c r="K39" i="12"/>
  <c r="J39" i="12"/>
  <c r="L39" i="12" s="1"/>
  <c r="G39" i="12"/>
  <c r="L38" i="12"/>
  <c r="K38" i="12"/>
  <c r="J38" i="12"/>
  <c r="R37" i="12"/>
  <c r="K37" i="12"/>
  <c r="V37" i="12" s="1"/>
  <c r="J37" i="12"/>
  <c r="L37" i="12" s="1"/>
  <c r="T37" i="12" s="1"/>
  <c r="S37" i="12" s="1"/>
  <c r="K36" i="12"/>
  <c r="J36" i="12"/>
  <c r="L36" i="12" s="1"/>
  <c r="G36" i="12"/>
  <c r="L35" i="12"/>
  <c r="K35" i="12"/>
  <c r="J35" i="12"/>
  <c r="U34" i="12"/>
  <c r="R34" i="12"/>
  <c r="K34" i="12"/>
  <c r="V34" i="12" s="1"/>
  <c r="J34" i="12"/>
  <c r="L34" i="12" s="1"/>
  <c r="T34" i="12" s="1"/>
  <c r="S34" i="12" s="1"/>
  <c r="K33" i="12"/>
  <c r="J33" i="12"/>
  <c r="L33" i="12" s="1"/>
  <c r="G33" i="12"/>
  <c r="L32" i="12"/>
  <c r="K32" i="12"/>
  <c r="J32" i="12"/>
  <c r="R31" i="12"/>
  <c r="K31" i="12"/>
  <c r="V31" i="12" s="1"/>
  <c r="J31" i="12"/>
  <c r="L31" i="12" s="1"/>
  <c r="T31" i="12" s="1"/>
  <c r="S31" i="12" s="1"/>
  <c r="K30" i="12"/>
  <c r="J30" i="12"/>
  <c r="L30" i="12" s="1"/>
  <c r="G30" i="12"/>
  <c r="K29" i="12"/>
  <c r="J29" i="12"/>
  <c r="R28" i="12"/>
  <c r="K28" i="12"/>
  <c r="V28" i="12" s="1"/>
  <c r="J28" i="12"/>
  <c r="K27" i="12"/>
  <c r="J27" i="12"/>
  <c r="L27" i="12" s="1"/>
  <c r="G27" i="12"/>
  <c r="K26" i="12"/>
  <c r="J26" i="12"/>
  <c r="L26" i="12" s="1"/>
  <c r="R25" i="12"/>
  <c r="K25" i="12"/>
  <c r="J25" i="12"/>
  <c r="L25" i="12" s="1"/>
  <c r="T25" i="12" s="1"/>
  <c r="S25" i="12" s="1"/>
  <c r="K24" i="12"/>
  <c r="J24" i="12"/>
  <c r="L24" i="12" s="1"/>
  <c r="G24" i="12"/>
  <c r="R23" i="12"/>
  <c r="K23" i="12"/>
  <c r="V23" i="12" s="1"/>
  <c r="J23" i="12"/>
  <c r="R22" i="12"/>
  <c r="K22" i="12"/>
  <c r="J22" i="12"/>
  <c r="L22" i="12" s="1"/>
  <c r="T22" i="12" s="1"/>
  <c r="S22" i="12" s="1"/>
  <c r="K21" i="12"/>
  <c r="J21" i="12"/>
  <c r="G21" i="12"/>
  <c r="R20" i="12"/>
  <c r="K20" i="12"/>
  <c r="J20" i="12"/>
  <c r="L20" i="12" s="1"/>
  <c r="T20" i="12" s="1"/>
  <c r="S20" i="12" s="1"/>
  <c r="R19" i="12"/>
  <c r="K19" i="12"/>
  <c r="V19" i="12" s="1"/>
  <c r="J19" i="12"/>
  <c r="K18" i="12"/>
  <c r="J18" i="12"/>
  <c r="G18" i="12"/>
  <c r="R17" i="12"/>
  <c r="R47" i="12" s="1"/>
  <c r="H17" i="12"/>
  <c r="H48" i="12" s="1"/>
  <c r="G17" i="12"/>
  <c r="H24" i="12" s="1"/>
  <c r="D15" i="12"/>
  <c r="G47" i="12" s="1"/>
  <c r="P8" i="12"/>
  <c r="P1" i="12"/>
  <c r="Q49" i="11"/>
  <c r="F49" i="11"/>
  <c r="E49" i="11"/>
  <c r="K48" i="11"/>
  <c r="J48" i="11"/>
  <c r="L48" i="11" s="1"/>
  <c r="G48" i="11"/>
  <c r="R47" i="11"/>
  <c r="L47" i="11"/>
  <c r="T47" i="11" s="1"/>
  <c r="S47" i="11" s="1"/>
  <c r="K47" i="11"/>
  <c r="V47" i="11" s="1"/>
  <c r="J47" i="11"/>
  <c r="R46" i="11"/>
  <c r="K46" i="11"/>
  <c r="V46" i="11" s="1"/>
  <c r="J46" i="11"/>
  <c r="L46" i="11" s="1"/>
  <c r="T46" i="11" s="1"/>
  <c r="S46" i="11" s="1"/>
  <c r="K45" i="11"/>
  <c r="J45" i="11"/>
  <c r="L45" i="11" s="1"/>
  <c r="G45" i="11"/>
  <c r="R44" i="11"/>
  <c r="L44" i="11"/>
  <c r="T44" i="11" s="1"/>
  <c r="S44" i="11" s="1"/>
  <c r="K44" i="11"/>
  <c r="V44" i="11" s="1"/>
  <c r="J44" i="11"/>
  <c r="R43" i="11"/>
  <c r="K43" i="11"/>
  <c r="V43" i="11" s="1"/>
  <c r="J43" i="11"/>
  <c r="L43" i="11" s="1"/>
  <c r="T43" i="11" s="1"/>
  <c r="S43" i="11" s="1"/>
  <c r="J42" i="11"/>
  <c r="G42" i="11"/>
  <c r="R41" i="11"/>
  <c r="L41" i="11"/>
  <c r="T41" i="11" s="1"/>
  <c r="S41" i="11" s="1"/>
  <c r="K41" i="11"/>
  <c r="V41" i="11" s="1"/>
  <c r="J41" i="11"/>
  <c r="R40" i="11"/>
  <c r="K40" i="11"/>
  <c r="V40" i="11" s="1"/>
  <c r="J40" i="11"/>
  <c r="L40" i="11" s="1"/>
  <c r="T40" i="11" s="1"/>
  <c r="S40" i="11" s="1"/>
  <c r="K39" i="11"/>
  <c r="J39" i="11"/>
  <c r="L39" i="11" s="1"/>
  <c r="G39" i="11"/>
  <c r="R38" i="11"/>
  <c r="L38" i="11"/>
  <c r="T38" i="11" s="1"/>
  <c r="S38" i="11" s="1"/>
  <c r="K38" i="11"/>
  <c r="V38" i="11" s="1"/>
  <c r="J38" i="11"/>
  <c r="R37" i="11"/>
  <c r="K37" i="11"/>
  <c r="V37" i="11" s="1"/>
  <c r="J37" i="11"/>
  <c r="L37" i="11" s="1"/>
  <c r="T37" i="11" s="1"/>
  <c r="S37" i="11" s="1"/>
  <c r="K36" i="11"/>
  <c r="J36" i="11"/>
  <c r="L36" i="11" s="1"/>
  <c r="G36" i="11"/>
  <c r="R35" i="11"/>
  <c r="L35" i="11"/>
  <c r="T35" i="11" s="1"/>
  <c r="S35" i="11" s="1"/>
  <c r="K35" i="11"/>
  <c r="V35" i="11" s="1"/>
  <c r="J35" i="11"/>
  <c r="R34" i="11"/>
  <c r="K34" i="11"/>
  <c r="V34" i="11" s="1"/>
  <c r="J34" i="11"/>
  <c r="L34" i="11" s="1"/>
  <c r="T34" i="11" s="1"/>
  <c r="S34" i="11" s="1"/>
  <c r="K33" i="11"/>
  <c r="J33" i="11"/>
  <c r="L33" i="11" s="1"/>
  <c r="G33" i="11"/>
  <c r="R32" i="11"/>
  <c r="L32" i="11"/>
  <c r="T32" i="11" s="1"/>
  <c r="S32" i="11" s="1"/>
  <c r="K32" i="11"/>
  <c r="V32" i="11" s="1"/>
  <c r="J32" i="11"/>
  <c r="U31" i="11"/>
  <c r="R31" i="11"/>
  <c r="K31" i="11"/>
  <c r="J31" i="11"/>
  <c r="L31" i="11" s="1"/>
  <c r="T31" i="11" s="1"/>
  <c r="S31" i="11" s="1"/>
  <c r="K30" i="11"/>
  <c r="J30" i="11"/>
  <c r="G30" i="11"/>
  <c r="R29" i="11"/>
  <c r="K29" i="11"/>
  <c r="L29" i="11" s="1"/>
  <c r="T29" i="11" s="1"/>
  <c r="S29" i="11" s="1"/>
  <c r="J29" i="11"/>
  <c r="R28" i="11"/>
  <c r="K28" i="11"/>
  <c r="U28" i="11" s="1"/>
  <c r="J28" i="11"/>
  <c r="L28" i="11" s="1"/>
  <c r="T28" i="11" s="1"/>
  <c r="S28" i="11" s="1"/>
  <c r="K27" i="11"/>
  <c r="J27" i="11"/>
  <c r="L27" i="11" s="1"/>
  <c r="H27" i="11"/>
  <c r="G27" i="11"/>
  <c r="R26" i="11"/>
  <c r="L26" i="11"/>
  <c r="T26" i="11" s="1"/>
  <c r="S26" i="11" s="1"/>
  <c r="K26" i="11"/>
  <c r="J26" i="11"/>
  <c r="R25" i="11"/>
  <c r="K25" i="11"/>
  <c r="U25" i="11" s="1"/>
  <c r="J25" i="11"/>
  <c r="L25" i="11" s="1"/>
  <c r="T25" i="11" s="1"/>
  <c r="S25" i="11" s="1"/>
  <c r="K24" i="11"/>
  <c r="J24" i="11"/>
  <c r="H24" i="11"/>
  <c r="G24" i="11"/>
  <c r="R23" i="11"/>
  <c r="K23" i="11"/>
  <c r="L23" i="11" s="1"/>
  <c r="T23" i="11" s="1"/>
  <c r="S23" i="11" s="1"/>
  <c r="J23" i="11"/>
  <c r="R22" i="11"/>
  <c r="K22" i="11"/>
  <c r="J22" i="11"/>
  <c r="K21" i="11"/>
  <c r="J21" i="11"/>
  <c r="H21" i="11"/>
  <c r="G21" i="11"/>
  <c r="R20" i="11"/>
  <c r="K20" i="11"/>
  <c r="V20" i="11" s="1"/>
  <c r="J20" i="11"/>
  <c r="R19" i="11"/>
  <c r="K19" i="11"/>
  <c r="J19" i="11"/>
  <c r="K18" i="11"/>
  <c r="J18" i="11"/>
  <c r="H18" i="11"/>
  <c r="G18" i="11"/>
  <c r="R17" i="11"/>
  <c r="R48" i="11" s="1"/>
  <c r="H17" i="11"/>
  <c r="H46" i="11" s="1"/>
  <c r="G17" i="11"/>
  <c r="H48" i="11" s="1"/>
  <c r="D15" i="11"/>
  <c r="G47" i="11" s="1"/>
  <c r="P10" i="11"/>
  <c r="P8" i="11"/>
  <c r="P1" i="11"/>
  <c r="Q49" i="10"/>
  <c r="F49" i="10"/>
  <c r="E49" i="10"/>
  <c r="P10" i="10" s="1"/>
  <c r="K48" i="10"/>
  <c r="J48" i="10"/>
  <c r="L48" i="10" s="1"/>
  <c r="G48" i="10"/>
  <c r="L47" i="10"/>
  <c r="K47" i="10"/>
  <c r="J47" i="10"/>
  <c r="R46" i="10"/>
  <c r="U46" i="10" s="1"/>
  <c r="K46" i="10"/>
  <c r="V46" i="10" s="1"/>
  <c r="J46" i="10"/>
  <c r="L46" i="10" s="1"/>
  <c r="T46" i="10" s="1"/>
  <c r="S46" i="10" s="1"/>
  <c r="K45" i="10"/>
  <c r="J45" i="10"/>
  <c r="L45" i="10" s="1"/>
  <c r="G45" i="10"/>
  <c r="L44" i="10"/>
  <c r="K44" i="10"/>
  <c r="J44" i="10"/>
  <c r="R43" i="10"/>
  <c r="U43" i="10" s="1"/>
  <c r="K43" i="10"/>
  <c r="V43" i="10" s="1"/>
  <c r="J43" i="10"/>
  <c r="L43" i="10" s="1"/>
  <c r="T43" i="10" s="1"/>
  <c r="S43" i="10" s="1"/>
  <c r="J42" i="10"/>
  <c r="G42" i="10"/>
  <c r="L41" i="10"/>
  <c r="K41" i="10"/>
  <c r="J41" i="10"/>
  <c r="R40" i="10"/>
  <c r="U40" i="10" s="1"/>
  <c r="K40" i="10"/>
  <c r="V40" i="10" s="1"/>
  <c r="J40" i="10"/>
  <c r="L40" i="10" s="1"/>
  <c r="T40" i="10" s="1"/>
  <c r="S40" i="10" s="1"/>
  <c r="K39" i="10"/>
  <c r="J39" i="10"/>
  <c r="L39" i="10" s="1"/>
  <c r="G39" i="10"/>
  <c r="L38" i="10"/>
  <c r="K38" i="10"/>
  <c r="J38" i="10"/>
  <c r="R37" i="10"/>
  <c r="U37" i="10" s="1"/>
  <c r="K37" i="10"/>
  <c r="V37" i="10" s="1"/>
  <c r="J37" i="10"/>
  <c r="L37" i="10" s="1"/>
  <c r="T37" i="10" s="1"/>
  <c r="S37" i="10" s="1"/>
  <c r="K36" i="10"/>
  <c r="J36" i="10"/>
  <c r="L36" i="10" s="1"/>
  <c r="G36" i="10"/>
  <c r="L35" i="10"/>
  <c r="K35" i="10"/>
  <c r="J35" i="10"/>
  <c r="R34" i="10"/>
  <c r="U34" i="10" s="1"/>
  <c r="K34" i="10"/>
  <c r="V34" i="10" s="1"/>
  <c r="J34" i="10"/>
  <c r="L34" i="10" s="1"/>
  <c r="T34" i="10" s="1"/>
  <c r="S34" i="10" s="1"/>
  <c r="K33" i="10"/>
  <c r="J33" i="10"/>
  <c r="L33" i="10" s="1"/>
  <c r="G33" i="10"/>
  <c r="L32" i="10"/>
  <c r="K32" i="10"/>
  <c r="J32" i="10"/>
  <c r="R31" i="10"/>
  <c r="U31" i="10" s="1"/>
  <c r="K31" i="10"/>
  <c r="V31" i="10" s="1"/>
  <c r="J31" i="10"/>
  <c r="L31" i="10" s="1"/>
  <c r="T31" i="10" s="1"/>
  <c r="S31" i="10" s="1"/>
  <c r="K30" i="10"/>
  <c r="J30" i="10"/>
  <c r="G30" i="10"/>
  <c r="L29" i="10"/>
  <c r="K29" i="10"/>
  <c r="J29" i="10"/>
  <c r="R28" i="10"/>
  <c r="K28" i="10"/>
  <c r="J28" i="10"/>
  <c r="K27" i="10"/>
  <c r="J27" i="10"/>
  <c r="G27" i="10"/>
  <c r="K26" i="10"/>
  <c r="J26" i="10"/>
  <c r="L26" i="10" s="1"/>
  <c r="R25" i="10"/>
  <c r="K25" i="10"/>
  <c r="J25" i="10"/>
  <c r="K24" i="10"/>
  <c r="J24" i="10"/>
  <c r="G24" i="10"/>
  <c r="K23" i="10"/>
  <c r="L23" i="10" s="1"/>
  <c r="J23" i="10"/>
  <c r="R22" i="10"/>
  <c r="K22" i="10"/>
  <c r="J22" i="10"/>
  <c r="K21" i="10"/>
  <c r="J21" i="10"/>
  <c r="G21" i="10"/>
  <c r="K20" i="10"/>
  <c r="J20" i="10"/>
  <c r="L20" i="10" s="1"/>
  <c r="R19" i="10"/>
  <c r="K19" i="10"/>
  <c r="J19" i="10"/>
  <c r="K18" i="10"/>
  <c r="J18" i="10"/>
  <c r="G18" i="10"/>
  <c r="R17" i="10"/>
  <c r="R47" i="10" s="1"/>
  <c r="H17" i="10"/>
  <c r="H48" i="10" s="1"/>
  <c r="G17" i="10"/>
  <c r="H24" i="10" s="1"/>
  <c r="D15" i="10"/>
  <c r="G47" i="10" s="1"/>
  <c r="P8" i="10"/>
  <c r="P1" i="10"/>
  <c r="Q49" i="9"/>
  <c r="F49" i="9"/>
  <c r="E49" i="9"/>
  <c r="P10" i="9" s="1"/>
  <c r="K48" i="9"/>
  <c r="J48" i="9"/>
  <c r="L48" i="9" s="1"/>
  <c r="T48" i="9" s="1"/>
  <c r="S48" i="9" s="1"/>
  <c r="G48" i="9"/>
  <c r="R47" i="9"/>
  <c r="L47" i="9"/>
  <c r="T47" i="9" s="1"/>
  <c r="S47" i="9" s="1"/>
  <c r="K47" i="9"/>
  <c r="V47" i="9" s="1"/>
  <c r="J47" i="9"/>
  <c r="R46" i="9"/>
  <c r="K46" i="9"/>
  <c r="V46" i="9" s="1"/>
  <c r="J46" i="9"/>
  <c r="L46" i="9" s="1"/>
  <c r="T46" i="9" s="1"/>
  <c r="S46" i="9" s="1"/>
  <c r="K45" i="9"/>
  <c r="J45" i="9"/>
  <c r="L45" i="9" s="1"/>
  <c r="G45" i="9"/>
  <c r="R44" i="9"/>
  <c r="L44" i="9"/>
  <c r="T44" i="9" s="1"/>
  <c r="S44" i="9" s="1"/>
  <c r="K44" i="9"/>
  <c r="V44" i="9" s="1"/>
  <c r="J44" i="9"/>
  <c r="R43" i="9"/>
  <c r="K43" i="9"/>
  <c r="V43" i="9" s="1"/>
  <c r="J43" i="9"/>
  <c r="L43" i="9" s="1"/>
  <c r="T43" i="9" s="1"/>
  <c r="S43" i="9" s="1"/>
  <c r="J42" i="9"/>
  <c r="G42" i="9"/>
  <c r="R41" i="9"/>
  <c r="L41" i="9"/>
  <c r="T41" i="9" s="1"/>
  <c r="S41" i="9" s="1"/>
  <c r="K41" i="9"/>
  <c r="V41" i="9" s="1"/>
  <c r="J41" i="9"/>
  <c r="R40" i="9"/>
  <c r="K40" i="9"/>
  <c r="V40" i="9" s="1"/>
  <c r="J40" i="9"/>
  <c r="L40" i="9" s="1"/>
  <c r="T40" i="9" s="1"/>
  <c r="S40" i="9" s="1"/>
  <c r="K39" i="9"/>
  <c r="J39" i="9"/>
  <c r="L39" i="9" s="1"/>
  <c r="G39" i="9"/>
  <c r="R38" i="9"/>
  <c r="L38" i="9"/>
  <c r="T38" i="9" s="1"/>
  <c r="S38" i="9" s="1"/>
  <c r="K38" i="9"/>
  <c r="V38" i="9" s="1"/>
  <c r="J38" i="9"/>
  <c r="U37" i="9"/>
  <c r="R37" i="9"/>
  <c r="K37" i="9"/>
  <c r="V37" i="9" s="1"/>
  <c r="J37" i="9"/>
  <c r="L37" i="9" s="1"/>
  <c r="T37" i="9" s="1"/>
  <c r="S37" i="9" s="1"/>
  <c r="K36" i="9"/>
  <c r="J36" i="9"/>
  <c r="L36" i="9" s="1"/>
  <c r="G36" i="9"/>
  <c r="R35" i="9"/>
  <c r="L35" i="9"/>
  <c r="T35" i="9" s="1"/>
  <c r="S35" i="9" s="1"/>
  <c r="K35" i="9"/>
  <c r="V35" i="9" s="1"/>
  <c r="J35" i="9"/>
  <c r="R34" i="9"/>
  <c r="K34" i="9"/>
  <c r="V34" i="9" s="1"/>
  <c r="J34" i="9"/>
  <c r="L34" i="9" s="1"/>
  <c r="T34" i="9" s="1"/>
  <c r="S34" i="9" s="1"/>
  <c r="K33" i="9"/>
  <c r="J33" i="9"/>
  <c r="L33" i="9" s="1"/>
  <c r="G33" i="9"/>
  <c r="R32" i="9"/>
  <c r="L32" i="9"/>
  <c r="T32" i="9" s="1"/>
  <c r="S32" i="9" s="1"/>
  <c r="K32" i="9"/>
  <c r="V32" i="9" s="1"/>
  <c r="J32" i="9"/>
  <c r="R31" i="9"/>
  <c r="K31" i="9"/>
  <c r="J31" i="9"/>
  <c r="K30" i="9"/>
  <c r="J30" i="9"/>
  <c r="G30" i="9"/>
  <c r="R29" i="9"/>
  <c r="K29" i="9"/>
  <c r="V29" i="9" s="1"/>
  <c r="J29" i="9"/>
  <c r="R28" i="9"/>
  <c r="K28" i="9"/>
  <c r="V28" i="9" s="1"/>
  <c r="J28" i="9"/>
  <c r="K27" i="9"/>
  <c r="J27" i="9"/>
  <c r="L27" i="9" s="1"/>
  <c r="H27" i="9"/>
  <c r="G27" i="9"/>
  <c r="R26" i="9"/>
  <c r="K26" i="9"/>
  <c r="J26" i="9"/>
  <c r="L26" i="9" s="1"/>
  <c r="T26" i="9" s="1"/>
  <c r="S26" i="9" s="1"/>
  <c r="R25" i="9"/>
  <c r="K25" i="9"/>
  <c r="J25" i="9"/>
  <c r="K24" i="9"/>
  <c r="J24" i="9"/>
  <c r="H24" i="9"/>
  <c r="G24" i="9"/>
  <c r="R23" i="9"/>
  <c r="K23" i="9"/>
  <c r="J23" i="9"/>
  <c r="R22" i="9"/>
  <c r="K22" i="9"/>
  <c r="J22" i="9"/>
  <c r="K21" i="9"/>
  <c r="J21" i="9"/>
  <c r="H21" i="9"/>
  <c r="G21" i="9"/>
  <c r="R20" i="9"/>
  <c r="K20" i="9"/>
  <c r="V20" i="9" s="1"/>
  <c r="J20" i="9"/>
  <c r="R19" i="9"/>
  <c r="K19" i="9"/>
  <c r="J19" i="9"/>
  <c r="K18" i="9"/>
  <c r="J18" i="9"/>
  <c r="H18" i="9"/>
  <c r="G18" i="9"/>
  <c r="R17" i="9"/>
  <c r="R48" i="9" s="1"/>
  <c r="H17" i="9"/>
  <c r="H46" i="9" s="1"/>
  <c r="G17" i="9"/>
  <c r="H48" i="9" s="1"/>
  <c r="D15" i="9"/>
  <c r="G47" i="9" s="1"/>
  <c r="P8" i="9"/>
  <c r="P1" i="9"/>
  <c r="Q49" i="8"/>
  <c r="F49" i="8"/>
  <c r="E49" i="8"/>
  <c r="K48" i="8"/>
  <c r="J48" i="8"/>
  <c r="L48" i="8" s="1"/>
  <c r="K47" i="8"/>
  <c r="L47" i="8" s="1"/>
  <c r="J47" i="8"/>
  <c r="R46" i="8"/>
  <c r="K46" i="8"/>
  <c r="L46" i="8" s="1"/>
  <c r="T46" i="8" s="1"/>
  <c r="S46" i="8" s="1"/>
  <c r="J46" i="8"/>
  <c r="K45" i="8"/>
  <c r="J45" i="8"/>
  <c r="L45" i="8" s="1"/>
  <c r="R44" i="8"/>
  <c r="K44" i="8"/>
  <c r="L44" i="8" s="1"/>
  <c r="T44" i="8" s="1"/>
  <c r="S44" i="8" s="1"/>
  <c r="J44" i="8"/>
  <c r="R43" i="8"/>
  <c r="K43" i="8"/>
  <c r="L43" i="8" s="1"/>
  <c r="T43" i="8" s="1"/>
  <c r="S43" i="8" s="1"/>
  <c r="J43" i="8"/>
  <c r="J42" i="8"/>
  <c r="R41" i="8"/>
  <c r="K41" i="8"/>
  <c r="V41" i="8" s="1"/>
  <c r="J41" i="8"/>
  <c r="L41" i="8" s="1"/>
  <c r="T41" i="8" s="1"/>
  <c r="S41" i="8" s="1"/>
  <c r="R40" i="8"/>
  <c r="K40" i="8"/>
  <c r="L40" i="8" s="1"/>
  <c r="T40" i="8" s="1"/>
  <c r="S40" i="8" s="1"/>
  <c r="J40" i="8"/>
  <c r="K39" i="8"/>
  <c r="J39" i="8"/>
  <c r="L39" i="8" s="1"/>
  <c r="R38" i="8"/>
  <c r="K38" i="8"/>
  <c r="L38" i="8" s="1"/>
  <c r="T38" i="8" s="1"/>
  <c r="S38" i="8" s="1"/>
  <c r="J38" i="8"/>
  <c r="R37" i="8"/>
  <c r="K37" i="8"/>
  <c r="L37" i="8" s="1"/>
  <c r="T37" i="8" s="1"/>
  <c r="S37" i="8" s="1"/>
  <c r="J37" i="8"/>
  <c r="K36" i="8"/>
  <c r="J36" i="8"/>
  <c r="L36" i="8" s="1"/>
  <c r="R35" i="8"/>
  <c r="K35" i="8"/>
  <c r="V35" i="8" s="1"/>
  <c r="J35" i="8"/>
  <c r="L35" i="8" s="1"/>
  <c r="T35" i="8" s="1"/>
  <c r="S35" i="8" s="1"/>
  <c r="R34" i="8"/>
  <c r="K34" i="8"/>
  <c r="L34" i="8" s="1"/>
  <c r="T34" i="8" s="1"/>
  <c r="S34" i="8" s="1"/>
  <c r="J34" i="8"/>
  <c r="K33" i="8"/>
  <c r="J33" i="8"/>
  <c r="L33" i="8" s="1"/>
  <c r="R32" i="8"/>
  <c r="K32" i="8"/>
  <c r="J32" i="8"/>
  <c r="L32" i="8" s="1"/>
  <c r="T32" i="8" s="1"/>
  <c r="S32" i="8" s="1"/>
  <c r="R31" i="8"/>
  <c r="K31" i="8"/>
  <c r="L31" i="8" s="1"/>
  <c r="J31" i="8"/>
  <c r="K30" i="8"/>
  <c r="J30" i="8"/>
  <c r="R29" i="8"/>
  <c r="K29" i="8"/>
  <c r="V29" i="8" s="1"/>
  <c r="J29" i="8"/>
  <c r="R28" i="8"/>
  <c r="K28" i="8"/>
  <c r="J28" i="8"/>
  <c r="K27" i="8"/>
  <c r="J27" i="8"/>
  <c r="R26" i="8"/>
  <c r="K26" i="8"/>
  <c r="J26" i="8"/>
  <c r="R25" i="8"/>
  <c r="K25" i="8"/>
  <c r="J25" i="8"/>
  <c r="K24" i="8"/>
  <c r="J24" i="8"/>
  <c r="R23" i="8"/>
  <c r="K23" i="8"/>
  <c r="J23" i="8"/>
  <c r="R22" i="8"/>
  <c r="K22" i="8"/>
  <c r="J22" i="8"/>
  <c r="K21" i="8"/>
  <c r="J21" i="8"/>
  <c r="R20" i="8"/>
  <c r="K20" i="8"/>
  <c r="V20" i="8" s="1"/>
  <c r="J20" i="8"/>
  <c r="R19" i="8"/>
  <c r="K19" i="8"/>
  <c r="J19" i="8"/>
  <c r="L19" i="8" s="1"/>
  <c r="T19" i="8" s="1"/>
  <c r="S19" i="8" s="1"/>
  <c r="K18" i="8"/>
  <c r="J18" i="8"/>
  <c r="J49" i="8" s="1"/>
  <c r="R17" i="8"/>
  <c r="R47" i="8" s="1"/>
  <c r="H17" i="8"/>
  <c r="H48" i="8" s="1"/>
  <c r="G17" i="8"/>
  <c r="H33" i="8" s="1"/>
  <c r="D15" i="8"/>
  <c r="G47" i="8" s="1"/>
  <c r="P10" i="8"/>
  <c r="P1" i="8"/>
  <c r="P8" i="8" s="1"/>
  <c r="Q49" i="7"/>
  <c r="F49" i="7"/>
  <c r="E49" i="7"/>
  <c r="K48" i="7"/>
  <c r="J48" i="7"/>
  <c r="L48" i="7" s="1"/>
  <c r="K47" i="7"/>
  <c r="L47" i="7" s="1"/>
  <c r="J47" i="7"/>
  <c r="L46" i="7"/>
  <c r="K46" i="7"/>
  <c r="J46" i="7"/>
  <c r="K45" i="7"/>
  <c r="J45" i="7"/>
  <c r="L45" i="7" s="1"/>
  <c r="K44" i="7"/>
  <c r="J44" i="7"/>
  <c r="L44" i="7" s="1"/>
  <c r="L43" i="7"/>
  <c r="K43" i="7"/>
  <c r="J43" i="7"/>
  <c r="J42" i="7"/>
  <c r="K41" i="7"/>
  <c r="J41" i="7"/>
  <c r="L41" i="7" s="1"/>
  <c r="L40" i="7"/>
  <c r="K40" i="7"/>
  <c r="J40" i="7"/>
  <c r="K39" i="7"/>
  <c r="J39" i="7"/>
  <c r="L39" i="7" s="1"/>
  <c r="K38" i="7"/>
  <c r="J38" i="7"/>
  <c r="L38" i="7" s="1"/>
  <c r="L37" i="7"/>
  <c r="K37" i="7"/>
  <c r="J37" i="7"/>
  <c r="K36" i="7"/>
  <c r="J36" i="7"/>
  <c r="L36" i="7" s="1"/>
  <c r="K35" i="7"/>
  <c r="L35" i="7" s="1"/>
  <c r="J35" i="7"/>
  <c r="L34" i="7"/>
  <c r="K34" i="7"/>
  <c r="J34" i="7"/>
  <c r="K33" i="7"/>
  <c r="J33" i="7"/>
  <c r="L33" i="7" s="1"/>
  <c r="K32" i="7"/>
  <c r="J32" i="7"/>
  <c r="K31" i="7"/>
  <c r="L31" i="7" s="1"/>
  <c r="J31" i="7"/>
  <c r="K30" i="7"/>
  <c r="J30" i="7"/>
  <c r="K29" i="7"/>
  <c r="J29" i="7"/>
  <c r="L29" i="7" s="1"/>
  <c r="K28" i="7"/>
  <c r="L28" i="7" s="1"/>
  <c r="J28" i="7"/>
  <c r="K27" i="7"/>
  <c r="J27" i="7"/>
  <c r="K26" i="7"/>
  <c r="J26" i="7"/>
  <c r="K25" i="7"/>
  <c r="J25" i="7"/>
  <c r="L25" i="7" s="1"/>
  <c r="K24" i="7"/>
  <c r="J24" i="7"/>
  <c r="K23" i="7"/>
  <c r="J23" i="7"/>
  <c r="K22" i="7"/>
  <c r="J22" i="7"/>
  <c r="K21" i="7"/>
  <c r="J21" i="7"/>
  <c r="K20" i="7"/>
  <c r="J20" i="7"/>
  <c r="K19" i="7"/>
  <c r="J19" i="7"/>
  <c r="L19" i="7" s="1"/>
  <c r="K18" i="7"/>
  <c r="J18" i="7"/>
  <c r="R17" i="7"/>
  <c r="R47" i="7" s="1"/>
  <c r="H17" i="7"/>
  <c r="H48" i="7" s="1"/>
  <c r="G17" i="7"/>
  <c r="D15" i="7"/>
  <c r="G35" i="7" s="1"/>
  <c r="P10" i="7"/>
  <c r="P1" i="7"/>
  <c r="P8" i="7" s="1"/>
  <c r="K48" i="1"/>
  <c r="K47" i="1"/>
  <c r="K46" i="1"/>
  <c r="K45" i="1"/>
  <c r="K44" i="1"/>
  <c r="K43" i="1"/>
  <c r="K41" i="1"/>
  <c r="K40" i="1"/>
  <c r="K39" i="1"/>
  <c r="K38" i="1"/>
  <c r="K37" i="1"/>
  <c r="K36" i="1"/>
  <c r="K35" i="1"/>
  <c r="K34" i="1"/>
  <c r="K33" i="1"/>
  <c r="F49" i="1"/>
  <c r="J38" i="1"/>
  <c r="J39" i="1"/>
  <c r="J40" i="1"/>
  <c r="J41" i="1"/>
  <c r="J42" i="1"/>
  <c r="J43" i="1"/>
  <c r="J44" i="1"/>
  <c r="J45" i="1"/>
  <c r="J46" i="1"/>
  <c r="J47" i="1"/>
  <c r="J4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H17" i="1"/>
  <c r="P1" i="1"/>
  <c r="P8" i="1" s="1"/>
  <c r="L22" i="15" l="1"/>
  <c r="U22" i="15"/>
  <c r="L21" i="21"/>
  <c r="L21" i="15"/>
  <c r="L19" i="27"/>
  <c r="T19" i="27" s="1"/>
  <c r="S19" i="27" s="1"/>
  <c r="U20" i="27"/>
  <c r="U28" i="27"/>
  <c r="L32" i="27"/>
  <c r="T32" i="27" s="1"/>
  <c r="S32" i="27" s="1"/>
  <c r="L20" i="27"/>
  <c r="T20" i="27" s="1"/>
  <c r="S20" i="27" s="1"/>
  <c r="L26" i="27"/>
  <c r="T26" i="27" s="1"/>
  <c r="S26" i="27" s="1"/>
  <c r="L28" i="27"/>
  <c r="T28" i="27" s="1"/>
  <c r="S28" i="27" s="1"/>
  <c r="L29" i="27"/>
  <c r="T29" i="27" s="1"/>
  <c r="S29" i="27" s="1"/>
  <c r="L31" i="27"/>
  <c r="T31" i="27" s="1"/>
  <c r="S31" i="27" s="1"/>
  <c r="U32" i="27"/>
  <c r="U19" i="26"/>
  <c r="L25" i="26"/>
  <c r="T25" i="26" s="1"/>
  <c r="S25" i="26" s="1"/>
  <c r="U28" i="26"/>
  <c r="L19" i="26"/>
  <c r="T19" i="26" s="1"/>
  <c r="S19" i="26" s="1"/>
  <c r="U22" i="26"/>
  <c r="L28" i="26"/>
  <c r="T28" i="26" s="1"/>
  <c r="S28" i="26" s="1"/>
  <c r="L33" i="24"/>
  <c r="L28" i="24"/>
  <c r="T28" i="24" s="1"/>
  <c r="S28" i="24" s="1"/>
  <c r="L27" i="24"/>
  <c r="L25" i="24"/>
  <c r="T25" i="24" s="1"/>
  <c r="S25" i="24" s="1"/>
  <c r="L19" i="24"/>
  <c r="T19" i="24" s="1"/>
  <c r="S19" i="24" s="1"/>
  <c r="L22" i="23"/>
  <c r="L28" i="22"/>
  <c r="L26" i="22"/>
  <c r="L25" i="22"/>
  <c r="L20" i="22"/>
  <c r="L20" i="21"/>
  <c r="T20" i="21" s="1"/>
  <c r="S20" i="21" s="1"/>
  <c r="L26" i="21"/>
  <c r="T26" i="21" s="1"/>
  <c r="S26" i="21" s="1"/>
  <c r="L28" i="21"/>
  <c r="T28" i="21" s="1"/>
  <c r="S28" i="21" s="1"/>
  <c r="L24" i="21"/>
  <c r="L23" i="21"/>
  <c r="T23" i="21" s="1"/>
  <c r="S23" i="21" s="1"/>
  <c r="L25" i="21"/>
  <c r="T25" i="21" s="1"/>
  <c r="S25" i="21" s="1"/>
  <c r="L31" i="21"/>
  <c r="T31" i="21" s="1"/>
  <c r="S31" i="21" s="1"/>
  <c r="U29" i="20"/>
  <c r="L27" i="20"/>
  <c r="U22" i="20"/>
  <c r="L20" i="20"/>
  <c r="T20" i="20" s="1"/>
  <c r="S20" i="20" s="1"/>
  <c r="U19" i="20"/>
  <c r="U29" i="19"/>
  <c r="L29" i="16"/>
  <c r="T29" i="16" s="1"/>
  <c r="S29" i="16" s="1"/>
  <c r="U28" i="15"/>
  <c r="L29" i="14"/>
  <c r="L20" i="14"/>
  <c r="L25" i="18"/>
  <c r="T25" i="18" s="1"/>
  <c r="S25" i="18" s="1"/>
  <c r="L20" i="18"/>
  <c r="T20" i="18" s="1"/>
  <c r="S20" i="18" s="1"/>
  <c r="L22" i="18"/>
  <c r="T22" i="18" s="1"/>
  <c r="S22" i="18" s="1"/>
  <c r="U26" i="18"/>
  <c r="L27" i="13"/>
  <c r="L23" i="13"/>
  <c r="T23" i="13" s="1"/>
  <c r="S23" i="13" s="1"/>
  <c r="L20" i="13"/>
  <c r="T20" i="13" s="1"/>
  <c r="S20" i="13" s="1"/>
  <c r="L29" i="12"/>
  <c r="L28" i="10"/>
  <c r="U28" i="10"/>
  <c r="U25" i="10"/>
  <c r="L22" i="10"/>
  <c r="T22" i="10" s="1"/>
  <c r="S22" i="10" s="1"/>
  <c r="U19" i="10"/>
  <c r="T22" i="17"/>
  <c r="S22" i="17" s="1"/>
  <c r="L23" i="17"/>
  <c r="L29" i="17"/>
  <c r="T19" i="17"/>
  <c r="S19" i="17" s="1"/>
  <c r="T25" i="17"/>
  <c r="S25" i="17" s="1"/>
  <c r="L20" i="17"/>
  <c r="L26" i="17"/>
  <c r="L22" i="11"/>
  <c r="T22" i="11" s="1"/>
  <c r="S22" i="11" s="1"/>
  <c r="L24" i="11"/>
  <c r="L25" i="9"/>
  <c r="T25" i="9" s="1"/>
  <c r="S25" i="9" s="1"/>
  <c r="L24" i="9"/>
  <c r="L23" i="9"/>
  <c r="T23" i="9" s="1"/>
  <c r="S23" i="9" s="1"/>
  <c r="L20" i="9"/>
  <c r="T20" i="9" s="1"/>
  <c r="S20" i="9" s="1"/>
  <c r="U19" i="9"/>
  <c r="L30" i="8"/>
  <c r="L27" i="8"/>
  <c r="L30" i="7"/>
  <c r="L20" i="7"/>
  <c r="J49" i="23"/>
  <c r="U18" i="27"/>
  <c r="U36" i="27"/>
  <c r="U48" i="27"/>
  <c r="U45" i="27"/>
  <c r="U37" i="27"/>
  <c r="V18" i="27"/>
  <c r="H20" i="27"/>
  <c r="V21" i="27"/>
  <c r="H23" i="27"/>
  <c r="H26" i="27"/>
  <c r="V27" i="27"/>
  <c r="H29" i="27"/>
  <c r="V30" i="27"/>
  <c r="H32" i="27"/>
  <c r="H35" i="27"/>
  <c r="V36" i="27"/>
  <c r="H38" i="27"/>
  <c r="V39" i="27"/>
  <c r="H41" i="27"/>
  <c r="H44" i="27"/>
  <c r="H47" i="27"/>
  <c r="V48" i="27"/>
  <c r="K49" i="27"/>
  <c r="U31" i="27"/>
  <c r="U40" i="27"/>
  <c r="L18" i="27"/>
  <c r="L21" i="27"/>
  <c r="L24" i="27"/>
  <c r="T24" i="27" s="1"/>
  <c r="S24" i="27" s="1"/>
  <c r="L27" i="27"/>
  <c r="T27" i="27" s="1"/>
  <c r="S27" i="27" s="1"/>
  <c r="L30" i="27"/>
  <c r="L33" i="27"/>
  <c r="L36" i="27"/>
  <c r="L39" i="27"/>
  <c r="T39" i="27" s="1"/>
  <c r="S39" i="27" s="1"/>
  <c r="L45" i="27"/>
  <c r="T45" i="27" s="1"/>
  <c r="S45" i="27" s="1"/>
  <c r="L48" i="27"/>
  <c r="T48" i="27" s="1"/>
  <c r="S48" i="27" s="1"/>
  <c r="U22" i="27"/>
  <c r="U25" i="27"/>
  <c r="R18" i="27"/>
  <c r="H19" i="27"/>
  <c r="R21" i="27"/>
  <c r="U21" i="27" s="1"/>
  <c r="H22" i="27"/>
  <c r="R24" i="27"/>
  <c r="U24" i="27" s="1"/>
  <c r="H25" i="27"/>
  <c r="R27" i="27"/>
  <c r="U27" i="27" s="1"/>
  <c r="H28" i="27"/>
  <c r="R30" i="27"/>
  <c r="U30" i="27" s="1"/>
  <c r="H31" i="27"/>
  <c r="R33" i="27"/>
  <c r="U33" i="27" s="1"/>
  <c r="H34" i="27"/>
  <c r="R36" i="27"/>
  <c r="H37" i="27"/>
  <c r="R39" i="27"/>
  <c r="U39" i="27" s="1"/>
  <c r="H40" i="27"/>
  <c r="R42" i="27"/>
  <c r="K42" i="27" s="1"/>
  <c r="H43" i="27"/>
  <c r="R45" i="27"/>
  <c r="V45" i="27" s="1"/>
  <c r="H46" i="27"/>
  <c r="U19" i="27"/>
  <c r="U34" i="27"/>
  <c r="U43" i="27"/>
  <c r="H18" i="27"/>
  <c r="H21" i="27"/>
  <c r="H24" i="27"/>
  <c r="H27" i="27"/>
  <c r="H30" i="27"/>
  <c r="H33" i="27"/>
  <c r="H36" i="27"/>
  <c r="H39" i="27"/>
  <c r="H42" i="27"/>
  <c r="U46" i="27"/>
  <c r="G20" i="27"/>
  <c r="G49" i="27" s="1"/>
  <c r="G23" i="27"/>
  <c r="G26" i="27"/>
  <c r="G29" i="27"/>
  <c r="G32" i="27"/>
  <c r="G35" i="27"/>
  <c r="G38" i="27"/>
  <c r="G41" i="27"/>
  <c r="G44" i="27"/>
  <c r="H47" i="26"/>
  <c r="H38" i="26"/>
  <c r="H44" i="26"/>
  <c r="H41" i="26"/>
  <c r="L21" i="26"/>
  <c r="H23" i="26"/>
  <c r="T31" i="26"/>
  <c r="S31" i="26" s="1"/>
  <c r="V38" i="26"/>
  <c r="H48" i="26"/>
  <c r="L24" i="26"/>
  <c r="T24" i="26" s="1"/>
  <c r="S24" i="26" s="1"/>
  <c r="H26" i="26"/>
  <c r="V31" i="26"/>
  <c r="T34" i="26"/>
  <c r="S34" i="26" s="1"/>
  <c r="T47" i="26"/>
  <c r="S47" i="26" s="1"/>
  <c r="U47" i="26"/>
  <c r="U27" i="26"/>
  <c r="L27" i="26"/>
  <c r="L30" i="26"/>
  <c r="H32" i="26"/>
  <c r="V22" i="26"/>
  <c r="L33" i="26"/>
  <c r="H35" i="26"/>
  <c r="L39" i="26"/>
  <c r="V47" i="26"/>
  <c r="L18" i="26"/>
  <c r="H20" i="26"/>
  <c r="V25" i="26"/>
  <c r="L36" i="26"/>
  <c r="V45" i="26"/>
  <c r="L45" i="26"/>
  <c r="L48" i="26"/>
  <c r="R18" i="26"/>
  <c r="H19" i="26"/>
  <c r="R21" i="26"/>
  <c r="V21" i="26" s="1"/>
  <c r="H22" i="26"/>
  <c r="R24" i="26"/>
  <c r="V24" i="26" s="1"/>
  <c r="H25" i="26"/>
  <c r="R27" i="26"/>
  <c r="V27" i="26" s="1"/>
  <c r="H28" i="26"/>
  <c r="R30" i="26"/>
  <c r="U30" i="26" s="1"/>
  <c r="H31" i="26"/>
  <c r="R33" i="26"/>
  <c r="V33" i="26" s="1"/>
  <c r="H34" i="26"/>
  <c r="R36" i="26"/>
  <c r="V36" i="26" s="1"/>
  <c r="H37" i="26"/>
  <c r="R39" i="26"/>
  <c r="U39" i="26" s="1"/>
  <c r="H40" i="26"/>
  <c r="R42" i="26"/>
  <c r="K42" i="26" s="1"/>
  <c r="K49" i="26" s="1"/>
  <c r="H43" i="26"/>
  <c r="R45" i="26"/>
  <c r="U45" i="26" s="1"/>
  <c r="H46" i="26"/>
  <c r="R48" i="26"/>
  <c r="V48" i="26" s="1"/>
  <c r="H18" i="26"/>
  <c r="R20" i="26"/>
  <c r="H21" i="26"/>
  <c r="R23" i="26"/>
  <c r="V23" i="26" s="1"/>
  <c r="H24" i="26"/>
  <c r="R26" i="26"/>
  <c r="H27" i="26"/>
  <c r="R29" i="26"/>
  <c r="V29" i="26" s="1"/>
  <c r="H30" i="26"/>
  <c r="R32" i="26"/>
  <c r="H33" i="26"/>
  <c r="R35" i="26"/>
  <c r="H36" i="26"/>
  <c r="R38" i="26"/>
  <c r="H39" i="26"/>
  <c r="R41" i="26"/>
  <c r="H42" i="26"/>
  <c r="R44" i="26"/>
  <c r="U44" i="26" s="1"/>
  <c r="H45" i="26"/>
  <c r="G20" i="26"/>
  <c r="G49" i="26" s="1"/>
  <c r="G23" i="26"/>
  <c r="G26" i="26"/>
  <c r="G29" i="26"/>
  <c r="G32" i="26"/>
  <c r="G35" i="26"/>
  <c r="G38" i="26"/>
  <c r="G41" i="26"/>
  <c r="G44" i="26"/>
  <c r="V25" i="24"/>
  <c r="L21" i="24"/>
  <c r="L23" i="24"/>
  <c r="L30" i="24"/>
  <c r="V19" i="24"/>
  <c r="V28" i="24"/>
  <c r="L24" i="24"/>
  <c r="L26" i="24"/>
  <c r="V22" i="24"/>
  <c r="V31" i="24"/>
  <c r="U25" i="23"/>
  <c r="U31" i="23"/>
  <c r="L26" i="23"/>
  <c r="L28" i="23"/>
  <c r="T28" i="23" s="1"/>
  <c r="S28" i="23" s="1"/>
  <c r="U22" i="23"/>
  <c r="U28" i="23"/>
  <c r="U19" i="23"/>
  <c r="L23" i="23"/>
  <c r="L25" i="23"/>
  <c r="T25" i="23" s="1"/>
  <c r="S25" i="23" s="1"/>
  <c r="L29" i="23"/>
  <c r="L31" i="23"/>
  <c r="T31" i="23" s="1"/>
  <c r="S31" i="23" s="1"/>
  <c r="L40" i="22"/>
  <c r="L38" i="22"/>
  <c r="L37" i="22"/>
  <c r="T37" i="22" s="1"/>
  <c r="S37" i="22" s="1"/>
  <c r="T31" i="22"/>
  <c r="S31" i="22" s="1"/>
  <c r="V40" i="22"/>
  <c r="V28" i="22"/>
  <c r="T22" i="22"/>
  <c r="S22" i="22" s="1"/>
  <c r="T28" i="22"/>
  <c r="S28" i="22" s="1"/>
  <c r="T34" i="22"/>
  <c r="S34" i="22" s="1"/>
  <c r="T40" i="22"/>
  <c r="S40" i="22" s="1"/>
  <c r="T25" i="22"/>
  <c r="S25" i="22" s="1"/>
  <c r="L19" i="22"/>
  <c r="V25" i="22"/>
  <c r="V31" i="22"/>
  <c r="V37" i="22"/>
  <c r="V22" i="22"/>
  <c r="V34" i="22"/>
  <c r="J49" i="22"/>
  <c r="T19" i="22"/>
  <c r="S19" i="22" s="1"/>
  <c r="L29" i="21"/>
  <c r="T29" i="21" s="1"/>
  <c r="S29" i="21" s="1"/>
  <c r="V23" i="21"/>
  <c r="J49" i="21"/>
  <c r="V20" i="21"/>
  <c r="V28" i="21"/>
  <c r="V31" i="21"/>
  <c r="L22" i="21"/>
  <c r="T22" i="21" s="1"/>
  <c r="S22" i="21" s="1"/>
  <c r="V25" i="21"/>
  <c r="V26" i="21"/>
  <c r="L19" i="21"/>
  <c r="T19" i="21" s="1"/>
  <c r="S19" i="21" s="1"/>
  <c r="V22" i="21"/>
  <c r="L30" i="21"/>
  <c r="L19" i="20"/>
  <c r="T19" i="20" s="1"/>
  <c r="S19" i="20" s="1"/>
  <c r="L23" i="20"/>
  <c r="T23" i="20" s="1"/>
  <c r="S23" i="20" s="1"/>
  <c r="U31" i="20"/>
  <c r="L22" i="20"/>
  <c r="T22" i="20" s="1"/>
  <c r="S22" i="20" s="1"/>
  <c r="V23" i="20"/>
  <c r="L26" i="20"/>
  <c r="T26" i="20" s="1"/>
  <c r="S26" i="20" s="1"/>
  <c r="U28" i="20"/>
  <c r="L29" i="20"/>
  <c r="T29" i="20" s="1"/>
  <c r="S29" i="20" s="1"/>
  <c r="U23" i="20"/>
  <c r="L25" i="20"/>
  <c r="T25" i="20" s="1"/>
  <c r="S25" i="20" s="1"/>
  <c r="L28" i="20"/>
  <c r="T28" i="20" s="1"/>
  <c r="S28" i="20" s="1"/>
  <c r="L31" i="20"/>
  <c r="T31" i="20" s="1"/>
  <c r="S31" i="20" s="1"/>
  <c r="J49" i="19"/>
  <c r="L20" i="19"/>
  <c r="T20" i="19" s="1"/>
  <c r="S20" i="19" s="1"/>
  <c r="L26" i="19"/>
  <c r="T26" i="19" s="1"/>
  <c r="S26" i="19" s="1"/>
  <c r="V20" i="19"/>
  <c r="T22" i="19"/>
  <c r="S22" i="19" s="1"/>
  <c r="V26" i="19"/>
  <c r="U32" i="19"/>
  <c r="V29" i="19"/>
  <c r="L31" i="19"/>
  <c r="T31" i="19" s="1"/>
  <c r="S31" i="19" s="1"/>
  <c r="L23" i="19"/>
  <c r="T23" i="19" s="1"/>
  <c r="S23" i="19" s="1"/>
  <c r="U26" i="19"/>
  <c r="V23" i="16"/>
  <c r="L25" i="16"/>
  <c r="T25" i="16" s="1"/>
  <c r="S25" i="16" s="1"/>
  <c r="V29" i="16"/>
  <c r="L31" i="16"/>
  <c r="T31" i="16" s="1"/>
  <c r="S31" i="16" s="1"/>
  <c r="J49" i="16"/>
  <c r="L20" i="16"/>
  <c r="T20" i="16" s="1"/>
  <c r="S20" i="16" s="1"/>
  <c r="L19" i="16"/>
  <c r="T19" i="16" s="1"/>
  <c r="S19" i="16" s="1"/>
  <c r="V20" i="16"/>
  <c r="U26" i="16"/>
  <c r="L32" i="16"/>
  <c r="T32" i="16" s="1"/>
  <c r="S32" i="16" s="1"/>
  <c r="T22" i="16"/>
  <c r="S22" i="16" s="1"/>
  <c r="V26" i="16"/>
  <c r="T28" i="16"/>
  <c r="S28" i="16" s="1"/>
  <c r="V32" i="16"/>
  <c r="T34" i="16"/>
  <c r="S34" i="16" s="1"/>
  <c r="V36" i="24"/>
  <c r="T44" i="24"/>
  <c r="S44" i="24" s="1"/>
  <c r="V45" i="24"/>
  <c r="T41" i="24"/>
  <c r="S41" i="24" s="1"/>
  <c r="V48" i="24"/>
  <c r="T35" i="24"/>
  <c r="S35" i="24" s="1"/>
  <c r="V44" i="24"/>
  <c r="V24" i="24"/>
  <c r="V26" i="24"/>
  <c r="G32" i="24"/>
  <c r="G41" i="24"/>
  <c r="G44" i="24"/>
  <c r="J49" i="24"/>
  <c r="H23" i="24"/>
  <c r="H41" i="24"/>
  <c r="G19" i="24"/>
  <c r="G22" i="24"/>
  <c r="G25" i="24"/>
  <c r="G28" i="24"/>
  <c r="G31" i="24"/>
  <c r="G34" i="24"/>
  <c r="U35" i="24"/>
  <c r="G37" i="24"/>
  <c r="G40" i="24"/>
  <c r="G43" i="24"/>
  <c r="U44" i="24"/>
  <c r="G46" i="24"/>
  <c r="U47" i="24"/>
  <c r="G20" i="24"/>
  <c r="G29" i="24"/>
  <c r="G38" i="24"/>
  <c r="H20" i="24"/>
  <c r="H26" i="24"/>
  <c r="H29" i="24"/>
  <c r="H35" i="24"/>
  <c r="H44" i="24"/>
  <c r="R18" i="24"/>
  <c r="T18" i="24" s="1"/>
  <c r="H19" i="24"/>
  <c r="R21" i="24"/>
  <c r="U21" i="24" s="1"/>
  <c r="H22" i="24"/>
  <c r="R24" i="24"/>
  <c r="U24" i="24" s="1"/>
  <c r="H25" i="24"/>
  <c r="R27" i="24"/>
  <c r="U27" i="24" s="1"/>
  <c r="H28" i="24"/>
  <c r="R30" i="24"/>
  <c r="U30" i="24" s="1"/>
  <c r="H31" i="24"/>
  <c r="R33" i="24"/>
  <c r="U33" i="24" s="1"/>
  <c r="H34" i="24"/>
  <c r="R36" i="24"/>
  <c r="U36" i="24" s="1"/>
  <c r="H37" i="24"/>
  <c r="R39" i="24"/>
  <c r="U39" i="24" s="1"/>
  <c r="H40" i="24"/>
  <c r="R42" i="24"/>
  <c r="K42" i="24" s="1"/>
  <c r="K49" i="24" s="1"/>
  <c r="H43" i="24"/>
  <c r="R45" i="24"/>
  <c r="U45" i="24" s="1"/>
  <c r="H46" i="24"/>
  <c r="V47" i="24"/>
  <c r="R48" i="24"/>
  <c r="U48" i="24" s="1"/>
  <c r="G23" i="24"/>
  <c r="G26" i="24"/>
  <c r="G47" i="24"/>
  <c r="H32" i="24"/>
  <c r="H38" i="24"/>
  <c r="G18" i="24"/>
  <c r="U19" i="24"/>
  <c r="G21" i="24"/>
  <c r="U22" i="24"/>
  <c r="G24" i="24"/>
  <c r="U25" i="24"/>
  <c r="G27" i="24"/>
  <c r="U28" i="24"/>
  <c r="G30" i="24"/>
  <c r="U31" i="24"/>
  <c r="G33" i="24"/>
  <c r="U34" i="24"/>
  <c r="G36" i="24"/>
  <c r="U37" i="24"/>
  <c r="G39" i="24"/>
  <c r="U40" i="24"/>
  <c r="G42" i="24"/>
  <c r="U43" i="24"/>
  <c r="G45" i="24"/>
  <c r="U46" i="24"/>
  <c r="G48" i="24"/>
  <c r="H18" i="24"/>
  <c r="R20" i="24"/>
  <c r="U20" i="24" s="1"/>
  <c r="H21" i="24"/>
  <c r="R23" i="24"/>
  <c r="T23" i="24" s="1"/>
  <c r="S23" i="24" s="1"/>
  <c r="H24" i="24"/>
  <c r="R26" i="24"/>
  <c r="H27" i="24"/>
  <c r="R29" i="24"/>
  <c r="V29" i="24" s="1"/>
  <c r="H30" i="24"/>
  <c r="R32" i="24"/>
  <c r="T32" i="24" s="1"/>
  <c r="S32" i="24" s="1"/>
  <c r="H33" i="24"/>
  <c r="R35" i="24"/>
  <c r="V35" i="24" s="1"/>
  <c r="H36" i="24"/>
  <c r="R38" i="24"/>
  <c r="U38" i="24" s="1"/>
  <c r="H39" i="24"/>
  <c r="R41" i="24"/>
  <c r="V41" i="24" s="1"/>
  <c r="H42" i="24"/>
  <c r="R44" i="24"/>
  <c r="H45" i="24"/>
  <c r="H44" i="23"/>
  <c r="H41" i="23"/>
  <c r="H38" i="23"/>
  <c r="H35" i="23"/>
  <c r="H29" i="23"/>
  <c r="H32" i="23"/>
  <c r="H26" i="23"/>
  <c r="H47" i="23"/>
  <c r="T32" i="23"/>
  <c r="S32" i="23" s="1"/>
  <c r="U48" i="23"/>
  <c r="V29" i="23"/>
  <c r="L18" i="23"/>
  <c r="L21" i="23"/>
  <c r="L24" i="23"/>
  <c r="H48" i="23"/>
  <c r="V23" i="23"/>
  <c r="U30" i="23"/>
  <c r="V41" i="23"/>
  <c r="T19" i="23"/>
  <c r="S19" i="23" s="1"/>
  <c r="T22" i="23"/>
  <c r="S22" i="23" s="1"/>
  <c r="T47" i="23"/>
  <c r="S47" i="23" s="1"/>
  <c r="U39" i="23"/>
  <c r="V19" i="23"/>
  <c r="V22" i="23"/>
  <c r="V25" i="23"/>
  <c r="V48" i="23"/>
  <c r="L27" i="23"/>
  <c r="L30" i="23"/>
  <c r="T30" i="23" s="1"/>
  <c r="S30" i="23" s="1"/>
  <c r="L33" i="23"/>
  <c r="L36" i="23"/>
  <c r="L39" i="23"/>
  <c r="T39" i="23" s="1"/>
  <c r="S39" i="23" s="1"/>
  <c r="L45" i="23"/>
  <c r="T45" i="23" s="1"/>
  <c r="S45" i="23" s="1"/>
  <c r="L48" i="23"/>
  <c r="R18" i="23"/>
  <c r="H19" i="23"/>
  <c r="R21" i="23"/>
  <c r="V21" i="23" s="1"/>
  <c r="H22" i="23"/>
  <c r="R24" i="23"/>
  <c r="V24" i="23" s="1"/>
  <c r="H25" i="23"/>
  <c r="R27" i="23"/>
  <c r="V27" i="23" s="1"/>
  <c r="H28" i="23"/>
  <c r="R30" i="23"/>
  <c r="H31" i="23"/>
  <c r="R33" i="23"/>
  <c r="U33" i="23" s="1"/>
  <c r="H34" i="23"/>
  <c r="R36" i="23"/>
  <c r="U36" i="23" s="1"/>
  <c r="H37" i="23"/>
  <c r="R39" i="23"/>
  <c r="H40" i="23"/>
  <c r="R42" i="23"/>
  <c r="K42" i="23" s="1"/>
  <c r="H43" i="23"/>
  <c r="R45" i="23"/>
  <c r="U45" i="23" s="1"/>
  <c r="H46" i="23"/>
  <c r="R48" i="23"/>
  <c r="V30" i="23"/>
  <c r="H18" i="23"/>
  <c r="R20" i="23"/>
  <c r="V20" i="23" s="1"/>
  <c r="H21" i="23"/>
  <c r="R23" i="23"/>
  <c r="H24" i="23"/>
  <c r="R26" i="23"/>
  <c r="U26" i="23" s="1"/>
  <c r="H27" i="23"/>
  <c r="R29" i="23"/>
  <c r="U29" i="23" s="1"/>
  <c r="H30" i="23"/>
  <c r="R32" i="23"/>
  <c r="U32" i="23" s="1"/>
  <c r="H33" i="23"/>
  <c r="R35" i="23"/>
  <c r="U35" i="23" s="1"/>
  <c r="H36" i="23"/>
  <c r="R38" i="23"/>
  <c r="U38" i="23" s="1"/>
  <c r="H39" i="23"/>
  <c r="R41" i="23"/>
  <c r="U41" i="23" s="1"/>
  <c r="H42" i="23"/>
  <c r="R44" i="23"/>
  <c r="U44" i="23" s="1"/>
  <c r="H45" i="23"/>
  <c r="V39" i="23"/>
  <c r="G20" i="23"/>
  <c r="G49" i="23" s="1"/>
  <c r="G23" i="23"/>
  <c r="G26" i="23"/>
  <c r="G29" i="23"/>
  <c r="G32" i="23"/>
  <c r="G35" i="23"/>
  <c r="G38" i="23"/>
  <c r="G41" i="23"/>
  <c r="G44" i="23"/>
  <c r="T41" i="22"/>
  <c r="S41" i="22" s="1"/>
  <c r="H47" i="22"/>
  <c r="H44" i="22"/>
  <c r="H41" i="22"/>
  <c r="H35" i="22"/>
  <c r="H32" i="22"/>
  <c r="H38" i="22"/>
  <c r="H26" i="22"/>
  <c r="H29" i="22"/>
  <c r="H23" i="22"/>
  <c r="H31" i="22"/>
  <c r="L24" i="22"/>
  <c r="U36" i="22"/>
  <c r="U18" i="22"/>
  <c r="K49" i="22"/>
  <c r="L18" i="22"/>
  <c r="L21" i="22"/>
  <c r="L27" i="22"/>
  <c r="L30" i="22"/>
  <c r="L45" i="22"/>
  <c r="T45" i="22" s="1"/>
  <c r="S45" i="22" s="1"/>
  <c r="R18" i="22"/>
  <c r="R39" i="22"/>
  <c r="U39" i="22" s="1"/>
  <c r="H40" i="22"/>
  <c r="H43" i="22"/>
  <c r="R45" i="22"/>
  <c r="U45" i="22" s="1"/>
  <c r="G18" i="22"/>
  <c r="U19" i="22"/>
  <c r="G21" i="22"/>
  <c r="U22" i="22"/>
  <c r="G24" i="22"/>
  <c r="U25" i="22"/>
  <c r="G27" i="22"/>
  <c r="U28" i="22"/>
  <c r="G30" i="22"/>
  <c r="U31" i="22"/>
  <c r="G33" i="22"/>
  <c r="U34" i="22"/>
  <c r="G36" i="22"/>
  <c r="U37" i="22"/>
  <c r="G39" i="22"/>
  <c r="U40" i="22"/>
  <c r="G42" i="22"/>
  <c r="U43" i="22"/>
  <c r="G45" i="22"/>
  <c r="U46" i="22"/>
  <c r="G48" i="22"/>
  <c r="L33" i="22"/>
  <c r="L39" i="22"/>
  <c r="R21" i="22"/>
  <c r="V21" i="22" s="1"/>
  <c r="H22" i="22"/>
  <c r="R27" i="22"/>
  <c r="U27" i="22" s="1"/>
  <c r="R30" i="22"/>
  <c r="V30" i="22" s="1"/>
  <c r="R33" i="22"/>
  <c r="U33" i="22" s="1"/>
  <c r="H34" i="22"/>
  <c r="H37" i="22"/>
  <c r="R42" i="22"/>
  <c r="K42" i="22" s="1"/>
  <c r="H46" i="22"/>
  <c r="R48" i="22"/>
  <c r="U48" i="22" s="1"/>
  <c r="H18" i="22"/>
  <c r="R20" i="22"/>
  <c r="V20" i="22" s="1"/>
  <c r="H21" i="22"/>
  <c r="R23" i="22"/>
  <c r="U23" i="22" s="1"/>
  <c r="H24" i="22"/>
  <c r="R26" i="22"/>
  <c r="U26" i="22" s="1"/>
  <c r="H27" i="22"/>
  <c r="R29" i="22"/>
  <c r="U29" i="22" s="1"/>
  <c r="H30" i="22"/>
  <c r="R32" i="22"/>
  <c r="U32" i="22" s="1"/>
  <c r="H33" i="22"/>
  <c r="R35" i="22"/>
  <c r="U35" i="22" s="1"/>
  <c r="H36" i="22"/>
  <c r="R38" i="22"/>
  <c r="U38" i="22" s="1"/>
  <c r="H39" i="22"/>
  <c r="R41" i="22"/>
  <c r="U41" i="22" s="1"/>
  <c r="H42" i="22"/>
  <c r="R44" i="22"/>
  <c r="U44" i="22" s="1"/>
  <c r="H45" i="22"/>
  <c r="R47" i="22"/>
  <c r="U47" i="22" s="1"/>
  <c r="H48" i="22"/>
  <c r="V36" i="22"/>
  <c r="V45" i="22"/>
  <c r="L36" i="22"/>
  <c r="T36" i="22" s="1"/>
  <c r="S36" i="22" s="1"/>
  <c r="L48" i="22"/>
  <c r="H19" i="22"/>
  <c r="R24" i="22"/>
  <c r="U24" i="22" s="1"/>
  <c r="H25" i="22"/>
  <c r="H28" i="22"/>
  <c r="G20" i="22"/>
  <c r="G23" i="22"/>
  <c r="G26" i="22"/>
  <c r="G29" i="22"/>
  <c r="G32" i="22"/>
  <c r="G35" i="22"/>
  <c r="G38" i="22"/>
  <c r="G41" i="22"/>
  <c r="G44" i="22"/>
  <c r="T48" i="21"/>
  <c r="S48" i="21" s="1"/>
  <c r="U48" i="21"/>
  <c r="U45" i="21"/>
  <c r="H41" i="21"/>
  <c r="H44" i="21"/>
  <c r="K49" i="21"/>
  <c r="L18" i="21"/>
  <c r="G19" i="21"/>
  <c r="U20" i="21"/>
  <c r="G22" i="21"/>
  <c r="U23" i="21"/>
  <c r="G25" i="21"/>
  <c r="U26" i="21"/>
  <c r="G28" i="21"/>
  <c r="U29" i="21"/>
  <c r="G31" i="21"/>
  <c r="U32" i="21"/>
  <c r="G34" i="21"/>
  <c r="U35" i="21"/>
  <c r="G37" i="21"/>
  <c r="U38" i="21"/>
  <c r="G40" i="21"/>
  <c r="U41" i="21"/>
  <c r="G43" i="21"/>
  <c r="U44" i="21"/>
  <c r="G46" i="21"/>
  <c r="U47" i="21"/>
  <c r="H32" i="21"/>
  <c r="R18" i="21"/>
  <c r="U18" i="21" s="1"/>
  <c r="H19" i="21"/>
  <c r="R21" i="21"/>
  <c r="T21" i="21" s="1"/>
  <c r="S21" i="21" s="1"/>
  <c r="H22" i="21"/>
  <c r="R24" i="21"/>
  <c r="V24" i="21" s="1"/>
  <c r="H25" i="21"/>
  <c r="R27" i="21"/>
  <c r="T27" i="21" s="1"/>
  <c r="S27" i="21" s="1"/>
  <c r="H28" i="21"/>
  <c r="R30" i="21"/>
  <c r="U30" i="21" s="1"/>
  <c r="H31" i="21"/>
  <c r="R33" i="21"/>
  <c r="T33" i="21" s="1"/>
  <c r="S33" i="21" s="1"/>
  <c r="H34" i="21"/>
  <c r="R36" i="21"/>
  <c r="T36" i="21" s="1"/>
  <c r="S36" i="21" s="1"/>
  <c r="H37" i="21"/>
  <c r="R39" i="21"/>
  <c r="U39" i="21" s="1"/>
  <c r="H40" i="21"/>
  <c r="R42" i="21"/>
  <c r="K42" i="21" s="1"/>
  <c r="H43" i="21"/>
  <c r="R45" i="21"/>
  <c r="T45" i="21" s="1"/>
  <c r="S45" i="21" s="1"/>
  <c r="V18" i="21"/>
  <c r="H20" i="21"/>
  <c r="H23" i="21"/>
  <c r="V45" i="21"/>
  <c r="V48" i="21"/>
  <c r="U19" i="21"/>
  <c r="U22" i="21"/>
  <c r="U25" i="21"/>
  <c r="U28" i="21"/>
  <c r="U31" i="21"/>
  <c r="U34" i="21"/>
  <c r="U37" i="21"/>
  <c r="U40" i="21"/>
  <c r="U43" i="21"/>
  <c r="U46" i="21"/>
  <c r="V33" i="21"/>
  <c r="H35" i="21"/>
  <c r="H18" i="21"/>
  <c r="H21" i="21"/>
  <c r="H24" i="21"/>
  <c r="H27" i="21"/>
  <c r="H30" i="21"/>
  <c r="H33" i="21"/>
  <c r="H36" i="21"/>
  <c r="H39" i="21"/>
  <c r="H42" i="21"/>
  <c r="H45" i="21"/>
  <c r="H48" i="21"/>
  <c r="H26" i="21"/>
  <c r="V27" i="21"/>
  <c r="H29" i="21"/>
  <c r="H38" i="21"/>
  <c r="G20" i="21"/>
  <c r="G23" i="21"/>
  <c r="G26" i="21"/>
  <c r="G29" i="21"/>
  <c r="G32" i="21"/>
  <c r="G35" i="21"/>
  <c r="G38" i="21"/>
  <c r="G41" i="21"/>
  <c r="G44" i="21"/>
  <c r="J49" i="20"/>
  <c r="H23" i="20"/>
  <c r="U25" i="20"/>
  <c r="L30" i="20"/>
  <c r="V34" i="20"/>
  <c r="V35" i="20"/>
  <c r="T37" i="20"/>
  <c r="S37" i="20" s="1"/>
  <c r="H41" i="20"/>
  <c r="U43" i="20"/>
  <c r="H47" i="20"/>
  <c r="V19" i="20"/>
  <c r="V20" i="20"/>
  <c r="H26" i="20"/>
  <c r="U26" i="20"/>
  <c r="L33" i="20"/>
  <c r="L35" i="20"/>
  <c r="T35" i="20" s="1"/>
  <c r="S35" i="20" s="1"/>
  <c r="U36" i="20"/>
  <c r="V37" i="20"/>
  <c r="V38" i="20"/>
  <c r="U44" i="20"/>
  <c r="T18" i="20"/>
  <c r="H29" i="20"/>
  <c r="H48" i="20"/>
  <c r="H45" i="20"/>
  <c r="H42" i="20"/>
  <c r="H39" i="20"/>
  <c r="H36" i="20"/>
  <c r="H33" i="20"/>
  <c r="H30" i="20"/>
  <c r="H27" i="20"/>
  <c r="H24" i="20"/>
  <c r="H21" i="20"/>
  <c r="H18" i="20"/>
  <c r="H46" i="20"/>
  <c r="H43" i="20"/>
  <c r="H40" i="20"/>
  <c r="H37" i="20"/>
  <c r="H34" i="20"/>
  <c r="H31" i="20"/>
  <c r="H28" i="20"/>
  <c r="H25" i="20"/>
  <c r="H22" i="20"/>
  <c r="H19" i="20"/>
  <c r="L21" i="20"/>
  <c r="T21" i="20" s="1"/>
  <c r="S21" i="20" s="1"/>
  <c r="V25" i="20"/>
  <c r="V26" i="20"/>
  <c r="H32" i="20"/>
  <c r="V33" i="20"/>
  <c r="L39" i="20"/>
  <c r="V43" i="20"/>
  <c r="V44" i="20"/>
  <c r="V46" i="20"/>
  <c r="L48" i="20"/>
  <c r="T48" i="20" s="1"/>
  <c r="S48" i="20" s="1"/>
  <c r="V28" i="20"/>
  <c r="R18" i="20"/>
  <c r="U18" i="20" s="1"/>
  <c r="R21" i="20"/>
  <c r="V21" i="20" s="1"/>
  <c r="R24" i="20"/>
  <c r="V24" i="20" s="1"/>
  <c r="R27" i="20"/>
  <c r="V27" i="20" s="1"/>
  <c r="R30" i="20"/>
  <c r="V30" i="20" s="1"/>
  <c r="R33" i="20"/>
  <c r="U33" i="20" s="1"/>
  <c r="R36" i="20"/>
  <c r="V36" i="20" s="1"/>
  <c r="R39" i="20"/>
  <c r="V39" i="20" s="1"/>
  <c r="R42" i="20"/>
  <c r="K42" i="20" s="1"/>
  <c r="R45" i="20"/>
  <c r="V45" i="20" s="1"/>
  <c r="G20" i="20"/>
  <c r="G23" i="20"/>
  <c r="G26" i="20"/>
  <c r="G29" i="20"/>
  <c r="G32" i="20"/>
  <c r="G35" i="20"/>
  <c r="G38" i="20"/>
  <c r="G41" i="20"/>
  <c r="G44" i="20"/>
  <c r="U24" i="19"/>
  <c r="U48" i="19"/>
  <c r="H23" i="19"/>
  <c r="H26" i="19"/>
  <c r="H32" i="19"/>
  <c r="U35" i="19"/>
  <c r="R18" i="19"/>
  <c r="H19" i="19"/>
  <c r="R21" i="19"/>
  <c r="V21" i="19" s="1"/>
  <c r="H22" i="19"/>
  <c r="R24" i="19"/>
  <c r="V24" i="19" s="1"/>
  <c r="H25" i="19"/>
  <c r="R27" i="19"/>
  <c r="V27" i="19" s="1"/>
  <c r="H28" i="19"/>
  <c r="R30" i="19"/>
  <c r="U30" i="19" s="1"/>
  <c r="H31" i="19"/>
  <c r="R33" i="19"/>
  <c r="U33" i="19" s="1"/>
  <c r="H34" i="19"/>
  <c r="R36" i="19"/>
  <c r="V36" i="19" s="1"/>
  <c r="H37" i="19"/>
  <c r="R39" i="19"/>
  <c r="U39" i="19" s="1"/>
  <c r="H40" i="19"/>
  <c r="R42" i="19"/>
  <c r="K42" i="19" s="1"/>
  <c r="H43" i="19"/>
  <c r="R45" i="19"/>
  <c r="U45" i="19" s="1"/>
  <c r="H46" i="19"/>
  <c r="H20" i="19"/>
  <c r="H41" i="19"/>
  <c r="H44" i="19"/>
  <c r="U20" i="19"/>
  <c r="U23" i="19"/>
  <c r="L27" i="19"/>
  <c r="L30" i="19"/>
  <c r="L39" i="19"/>
  <c r="U41" i="19"/>
  <c r="U44" i="19"/>
  <c r="L48" i="19"/>
  <c r="T48" i="19" s="1"/>
  <c r="S48" i="19" s="1"/>
  <c r="G18" i="19"/>
  <c r="U19" i="19"/>
  <c r="G21" i="19"/>
  <c r="U22" i="19"/>
  <c r="G24" i="19"/>
  <c r="U25" i="19"/>
  <c r="G27" i="19"/>
  <c r="U28" i="19"/>
  <c r="L29" i="19"/>
  <c r="T29" i="19" s="1"/>
  <c r="S29" i="19" s="1"/>
  <c r="G30" i="19"/>
  <c r="U31" i="19"/>
  <c r="L32" i="19"/>
  <c r="T32" i="19" s="1"/>
  <c r="S32" i="19" s="1"/>
  <c r="G33" i="19"/>
  <c r="U34" i="19"/>
  <c r="G36" i="19"/>
  <c r="U37" i="19"/>
  <c r="G39" i="19"/>
  <c r="U40" i="19"/>
  <c r="G42" i="19"/>
  <c r="U43" i="19"/>
  <c r="G45" i="19"/>
  <c r="U46" i="19"/>
  <c r="L47" i="19"/>
  <c r="T47" i="19" s="1"/>
  <c r="S47" i="19" s="1"/>
  <c r="G48" i="19"/>
  <c r="H38" i="19"/>
  <c r="V39" i="19"/>
  <c r="V45" i="19"/>
  <c r="H47" i="19"/>
  <c r="V48" i="19"/>
  <c r="L21" i="19"/>
  <c r="L24" i="19"/>
  <c r="H18" i="19"/>
  <c r="V19" i="19"/>
  <c r="H21" i="19"/>
  <c r="V22" i="19"/>
  <c r="H24" i="19"/>
  <c r="V25" i="19"/>
  <c r="H27" i="19"/>
  <c r="V28" i="19"/>
  <c r="H30" i="19"/>
  <c r="V31" i="19"/>
  <c r="H33" i="19"/>
  <c r="V34" i="19"/>
  <c r="H36" i="19"/>
  <c r="V37" i="19"/>
  <c r="H39" i="19"/>
  <c r="V40" i="19"/>
  <c r="H42" i="19"/>
  <c r="V43" i="19"/>
  <c r="H45" i="19"/>
  <c r="V46" i="19"/>
  <c r="H29" i="19"/>
  <c r="L18" i="19"/>
  <c r="L33" i="19"/>
  <c r="L36" i="19"/>
  <c r="T36" i="19" s="1"/>
  <c r="S36" i="19" s="1"/>
  <c r="L45" i="19"/>
  <c r="G20" i="19"/>
  <c r="G23" i="19"/>
  <c r="G26" i="19"/>
  <c r="G29" i="19"/>
  <c r="G32" i="19"/>
  <c r="G35" i="19"/>
  <c r="G38" i="19"/>
  <c r="G41" i="19"/>
  <c r="G44" i="19"/>
  <c r="U25" i="15"/>
  <c r="T22" i="15"/>
  <c r="S22" i="15" s="1"/>
  <c r="L28" i="15"/>
  <c r="T28" i="15" s="1"/>
  <c r="S28" i="15" s="1"/>
  <c r="J49" i="15"/>
  <c r="V22" i="15"/>
  <c r="L24" i="15"/>
  <c r="T24" i="15" s="1"/>
  <c r="S24" i="15" s="1"/>
  <c r="V28" i="15"/>
  <c r="L30" i="15"/>
  <c r="U31" i="15"/>
  <c r="U19" i="15"/>
  <c r="L19" i="15"/>
  <c r="T19" i="15" s="1"/>
  <c r="S19" i="15" s="1"/>
  <c r="L25" i="15"/>
  <c r="T25" i="15" s="1"/>
  <c r="S25" i="15" s="1"/>
  <c r="L31" i="15"/>
  <c r="T31" i="15" s="1"/>
  <c r="S31" i="15" s="1"/>
  <c r="L22" i="14"/>
  <c r="T22" i="14" s="1"/>
  <c r="S22" i="14" s="1"/>
  <c r="L31" i="14"/>
  <c r="T31" i="14" s="1"/>
  <c r="S31" i="14" s="1"/>
  <c r="L23" i="14"/>
  <c r="L25" i="14"/>
  <c r="T25" i="14" s="1"/>
  <c r="S25" i="14" s="1"/>
  <c r="J49" i="14"/>
  <c r="L19" i="14"/>
  <c r="T19" i="14" s="1"/>
  <c r="S19" i="14" s="1"/>
  <c r="L26" i="14"/>
  <c r="T26" i="14" s="1"/>
  <c r="S26" i="14" s="1"/>
  <c r="L28" i="14"/>
  <c r="T28" i="14" s="1"/>
  <c r="S28" i="14" s="1"/>
  <c r="U48" i="18"/>
  <c r="U30" i="18"/>
  <c r="U39" i="18"/>
  <c r="H26" i="18"/>
  <c r="L18" i="18"/>
  <c r="U20" i="18"/>
  <c r="U23" i="18"/>
  <c r="U35" i="18"/>
  <c r="L39" i="18"/>
  <c r="T39" i="18" s="1"/>
  <c r="S39" i="18" s="1"/>
  <c r="U41" i="18"/>
  <c r="R18" i="18"/>
  <c r="R49" i="18" s="1"/>
  <c r="H19" i="18"/>
  <c r="R21" i="18"/>
  <c r="U21" i="18" s="1"/>
  <c r="H22" i="18"/>
  <c r="R24" i="18"/>
  <c r="U24" i="18" s="1"/>
  <c r="H25" i="18"/>
  <c r="R27" i="18"/>
  <c r="U27" i="18" s="1"/>
  <c r="H28" i="18"/>
  <c r="R30" i="18"/>
  <c r="H31" i="18"/>
  <c r="R33" i="18"/>
  <c r="V33" i="18" s="1"/>
  <c r="H34" i="18"/>
  <c r="R36" i="18"/>
  <c r="V36" i="18" s="1"/>
  <c r="H37" i="18"/>
  <c r="R39" i="18"/>
  <c r="H40" i="18"/>
  <c r="R42" i="18"/>
  <c r="K42" i="18" s="1"/>
  <c r="H43" i="18"/>
  <c r="R45" i="18"/>
  <c r="U45" i="18" s="1"/>
  <c r="H46" i="18"/>
  <c r="H20" i="18"/>
  <c r="V21" i="18"/>
  <c r="H38" i="18"/>
  <c r="V39" i="18"/>
  <c r="V45" i="18"/>
  <c r="H47" i="18"/>
  <c r="V48" i="18"/>
  <c r="L33" i="18"/>
  <c r="T33" i="18" s="1"/>
  <c r="S33" i="18" s="1"/>
  <c r="U38" i="18"/>
  <c r="U44" i="18"/>
  <c r="U19" i="18"/>
  <c r="U22" i="18"/>
  <c r="U25" i="18"/>
  <c r="L26" i="18"/>
  <c r="T26" i="18" s="1"/>
  <c r="S26" i="18" s="1"/>
  <c r="U28" i="18"/>
  <c r="U31" i="18"/>
  <c r="L32" i="18"/>
  <c r="T32" i="18" s="1"/>
  <c r="S32" i="18" s="1"/>
  <c r="U34" i="18"/>
  <c r="U37" i="18"/>
  <c r="U40" i="18"/>
  <c r="U43" i="18"/>
  <c r="U46" i="18"/>
  <c r="L47" i="18"/>
  <c r="T47" i="18" s="1"/>
  <c r="S47" i="18" s="1"/>
  <c r="V30" i="18"/>
  <c r="H32" i="18"/>
  <c r="H35" i="18"/>
  <c r="H44" i="18"/>
  <c r="L21" i="18"/>
  <c r="T21" i="18" s="1"/>
  <c r="S21" i="18" s="1"/>
  <c r="L24" i="18"/>
  <c r="L30" i="18"/>
  <c r="T30" i="18" s="1"/>
  <c r="S30" i="18" s="1"/>
  <c r="L36" i="18"/>
  <c r="L45" i="18"/>
  <c r="T45" i="18" s="1"/>
  <c r="S45" i="18" s="1"/>
  <c r="L48" i="18"/>
  <c r="T48" i="18" s="1"/>
  <c r="S48" i="18" s="1"/>
  <c r="H18" i="18"/>
  <c r="H21" i="18"/>
  <c r="H24" i="18"/>
  <c r="H27" i="18"/>
  <c r="H30" i="18"/>
  <c r="H33" i="18"/>
  <c r="H36" i="18"/>
  <c r="H39" i="18"/>
  <c r="H42" i="18"/>
  <c r="H45" i="18"/>
  <c r="V18" i="18"/>
  <c r="H23" i="18"/>
  <c r="H29" i="18"/>
  <c r="L27" i="18"/>
  <c r="T27" i="18" s="1"/>
  <c r="S27" i="18" s="1"/>
  <c r="G20" i="18"/>
  <c r="G23" i="18"/>
  <c r="G49" i="18" s="1"/>
  <c r="G26" i="18"/>
  <c r="G29" i="18"/>
  <c r="G32" i="18"/>
  <c r="G35" i="18"/>
  <c r="G38" i="18"/>
  <c r="G41" i="18"/>
  <c r="G44" i="18"/>
  <c r="V26" i="13"/>
  <c r="L19" i="13"/>
  <c r="T19" i="13" s="1"/>
  <c r="S19" i="13" s="1"/>
  <c r="L24" i="13"/>
  <c r="L28" i="13"/>
  <c r="L21" i="13"/>
  <c r="L25" i="13"/>
  <c r="T25" i="13" s="1"/>
  <c r="S25" i="13" s="1"/>
  <c r="L30" i="13"/>
  <c r="V22" i="12"/>
  <c r="J49" i="12"/>
  <c r="U25" i="12"/>
  <c r="L19" i="12"/>
  <c r="T19" i="12" s="1"/>
  <c r="S19" i="12" s="1"/>
  <c r="L28" i="12"/>
  <c r="T28" i="12" s="1"/>
  <c r="S28" i="12" s="1"/>
  <c r="V20" i="12"/>
  <c r="L23" i="12"/>
  <c r="T23" i="12" s="1"/>
  <c r="S23" i="12" s="1"/>
  <c r="U22" i="12"/>
  <c r="L21" i="12"/>
  <c r="T21" i="12" s="1"/>
  <c r="S21" i="12" s="1"/>
  <c r="U21" i="17"/>
  <c r="U33" i="17"/>
  <c r="T35" i="17"/>
  <c r="S35" i="17" s="1"/>
  <c r="U39" i="17"/>
  <c r="V35" i="17"/>
  <c r="V41" i="17"/>
  <c r="T44" i="17"/>
  <c r="S44" i="17" s="1"/>
  <c r="U24" i="17"/>
  <c r="T26" i="17"/>
  <c r="S26" i="17" s="1"/>
  <c r="U30" i="17"/>
  <c r="V44" i="17"/>
  <c r="V20" i="17"/>
  <c r="V26" i="17"/>
  <c r="H23" i="17"/>
  <c r="V24" i="17"/>
  <c r="H26" i="17"/>
  <c r="H32" i="17"/>
  <c r="H35" i="17"/>
  <c r="H38" i="17"/>
  <c r="V39" i="17"/>
  <c r="K49" i="17"/>
  <c r="L33" i="17"/>
  <c r="L39" i="17"/>
  <c r="L48" i="17"/>
  <c r="T48" i="17" s="1"/>
  <c r="S48" i="17" s="1"/>
  <c r="R18" i="17"/>
  <c r="H19" i="17"/>
  <c r="R21" i="17"/>
  <c r="V21" i="17" s="1"/>
  <c r="H22" i="17"/>
  <c r="R24" i="17"/>
  <c r="H25" i="17"/>
  <c r="R27" i="17"/>
  <c r="U27" i="17" s="1"/>
  <c r="H28" i="17"/>
  <c r="R30" i="17"/>
  <c r="V30" i="17" s="1"/>
  <c r="H31" i="17"/>
  <c r="R33" i="17"/>
  <c r="H34" i="17"/>
  <c r="R36" i="17"/>
  <c r="U36" i="17" s="1"/>
  <c r="H37" i="17"/>
  <c r="R39" i="17"/>
  <c r="H40" i="17"/>
  <c r="R42" i="17"/>
  <c r="K42" i="17" s="1"/>
  <c r="H43" i="17"/>
  <c r="R45" i="17"/>
  <c r="V45" i="17" s="1"/>
  <c r="H46" i="17"/>
  <c r="R48" i="17"/>
  <c r="U48" i="17" s="1"/>
  <c r="H20" i="17"/>
  <c r="H29" i="17"/>
  <c r="V33" i="17"/>
  <c r="H41" i="17"/>
  <c r="H47" i="17"/>
  <c r="L36" i="17"/>
  <c r="G18" i="17"/>
  <c r="U19" i="17"/>
  <c r="G21" i="17"/>
  <c r="U22" i="17"/>
  <c r="G24" i="17"/>
  <c r="U25" i="17"/>
  <c r="G27" i="17"/>
  <c r="U28" i="17"/>
  <c r="G30" i="17"/>
  <c r="U31" i="17"/>
  <c r="G33" i="17"/>
  <c r="U34" i="17"/>
  <c r="G36" i="17"/>
  <c r="U37" i="17"/>
  <c r="G39" i="17"/>
  <c r="U40" i="17"/>
  <c r="G42" i="17"/>
  <c r="U43" i="17"/>
  <c r="G45" i="17"/>
  <c r="U46" i="17"/>
  <c r="G48" i="17"/>
  <c r="L24" i="17"/>
  <c r="H18" i="17"/>
  <c r="R20" i="17"/>
  <c r="U20" i="17" s="1"/>
  <c r="H21" i="17"/>
  <c r="R23" i="17"/>
  <c r="U23" i="17" s="1"/>
  <c r="H24" i="17"/>
  <c r="R26" i="17"/>
  <c r="U26" i="17" s="1"/>
  <c r="H27" i="17"/>
  <c r="R29" i="17"/>
  <c r="U29" i="17" s="1"/>
  <c r="H30" i="17"/>
  <c r="R32" i="17"/>
  <c r="U32" i="17" s="1"/>
  <c r="H33" i="17"/>
  <c r="R35" i="17"/>
  <c r="U35" i="17" s="1"/>
  <c r="H36" i="17"/>
  <c r="R38" i="17"/>
  <c r="U38" i="17" s="1"/>
  <c r="H39" i="17"/>
  <c r="R41" i="17"/>
  <c r="U41" i="17" s="1"/>
  <c r="H42" i="17"/>
  <c r="R44" i="17"/>
  <c r="U44" i="17" s="1"/>
  <c r="H45" i="17"/>
  <c r="V27" i="17"/>
  <c r="L18" i="17"/>
  <c r="L21" i="17"/>
  <c r="T21" i="17" s="1"/>
  <c r="S21" i="17" s="1"/>
  <c r="L27" i="17"/>
  <c r="L30" i="17"/>
  <c r="T30" i="17" s="1"/>
  <c r="S30" i="17" s="1"/>
  <c r="L45" i="17"/>
  <c r="G20" i="17"/>
  <c r="G23" i="17"/>
  <c r="G26" i="17"/>
  <c r="G29" i="17"/>
  <c r="G32" i="17"/>
  <c r="G35" i="17"/>
  <c r="G38" i="17"/>
  <c r="G41" i="17"/>
  <c r="G44" i="17"/>
  <c r="L19" i="11"/>
  <c r="T19" i="11" s="1"/>
  <c r="S19" i="11" s="1"/>
  <c r="L30" i="11"/>
  <c r="L20" i="11"/>
  <c r="T20" i="11" s="1"/>
  <c r="S20" i="11" s="1"/>
  <c r="L21" i="11"/>
  <c r="V23" i="11"/>
  <c r="V26" i="11"/>
  <c r="V29" i="11"/>
  <c r="U22" i="10"/>
  <c r="L19" i="10"/>
  <c r="T19" i="10" s="1"/>
  <c r="S19" i="10" s="1"/>
  <c r="L25" i="10"/>
  <c r="T25" i="10" s="1"/>
  <c r="S25" i="10" s="1"/>
  <c r="V19" i="10"/>
  <c r="L21" i="10"/>
  <c r="T21" i="10" s="1"/>
  <c r="S21" i="10" s="1"/>
  <c r="V25" i="10"/>
  <c r="L27" i="10"/>
  <c r="T28" i="10"/>
  <c r="S28" i="10" s="1"/>
  <c r="J49" i="10"/>
  <c r="V22" i="10"/>
  <c r="L24" i="10"/>
  <c r="V28" i="10"/>
  <c r="L30" i="10"/>
  <c r="J49" i="9"/>
  <c r="L21" i="9"/>
  <c r="V23" i="9"/>
  <c r="L28" i="9"/>
  <c r="T28" i="9" s="1"/>
  <c r="S28" i="9" s="1"/>
  <c r="L29" i="9"/>
  <c r="T29" i="9" s="1"/>
  <c r="S29" i="9" s="1"/>
  <c r="L19" i="9"/>
  <c r="T19" i="9" s="1"/>
  <c r="S19" i="9" s="1"/>
  <c r="L22" i="9"/>
  <c r="T22" i="9" s="1"/>
  <c r="S22" i="9" s="1"/>
  <c r="V25" i="9"/>
  <c r="L30" i="9"/>
  <c r="V26" i="9"/>
  <c r="V19" i="9"/>
  <c r="L23" i="8"/>
  <c r="T23" i="8" s="1"/>
  <c r="S23" i="8" s="1"/>
  <c r="V32" i="8"/>
  <c r="V19" i="8"/>
  <c r="L28" i="8"/>
  <c r="T28" i="8" s="1"/>
  <c r="S28" i="8" s="1"/>
  <c r="L25" i="8"/>
  <c r="T25" i="8" s="1"/>
  <c r="S25" i="8" s="1"/>
  <c r="L22" i="8"/>
  <c r="T22" i="8" s="1"/>
  <c r="S22" i="8" s="1"/>
  <c r="L24" i="8"/>
  <c r="L26" i="8"/>
  <c r="T26" i="8" s="1"/>
  <c r="S26" i="8" s="1"/>
  <c r="L20" i="8"/>
  <c r="T20" i="8" s="1"/>
  <c r="S20" i="8" s="1"/>
  <c r="V22" i="8"/>
  <c r="L29" i="8"/>
  <c r="T29" i="8" s="1"/>
  <c r="S29" i="8" s="1"/>
  <c r="T31" i="8"/>
  <c r="S31" i="8" s="1"/>
  <c r="L24" i="7"/>
  <c r="L22" i="7"/>
  <c r="U33" i="16"/>
  <c r="U24" i="16"/>
  <c r="U36" i="16"/>
  <c r="V47" i="16"/>
  <c r="U45" i="16"/>
  <c r="T47" i="16"/>
  <c r="S47" i="16" s="1"/>
  <c r="H23" i="16"/>
  <c r="H32" i="16"/>
  <c r="H41" i="16"/>
  <c r="H47" i="16"/>
  <c r="L18" i="16"/>
  <c r="L21" i="16"/>
  <c r="U29" i="16"/>
  <c r="U32" i="16"/>
  <c r="U38" i="16"/>
  <c r="R18" i="16"/>
  <c r="H19" i="16"/>
  <c r="R21" i="16"/>
  <c r="V21" i="16" s="1"/>
  <c r="H22" i="16"/>
  <c r="R24" i="16"/>
  <c r="V24" i="16" s="1"/>
  <c r="H25" i="16"/>
  <c r="R27" i="16"/>
  <c r="U27" i="16" s="1"/>
  <c r="H28" i="16"/>
  <c r="R30" i="16"/>
  <c r="V30" i="16" s="1"/>
  <c r="H31" i="16"/>
  <c r="R33" i="16"/>
  <c r="V33" i="16" s="1"/>
  <c r="H34" i="16"/>
  <c r="R36" i="16"/>
  <c r="V36" i="16" s="1"/>
  <c r="H37" i="16"/>
  <c r="R39" i="16"/>
  <c r="U39" i="16" s="1"/>
  <c r="H40" i="16"/>
  <c r="R42" i="16"/>
  <c r="K42" i="16" s="1"/>
  <c r="H43" i="16"/>
  <c r="R45" i="16"/>
  <c r="V45" i="16" s="1"/>
  <c r="H46" i="16"/>
  <c r="R48" i="16"/>
  <c r="V48" i="16" s="1"/>
  <c r="K49" i="16"/>
  <c r="G18" i="16"/>
  <c r="U19" i="16"/>
  <c r="G21" i="16"/>
  <c r="U22" i="16"/>
  <c r="L23" i="16"/>
  <c r="T23" i="16" s="1"/>
  <c r="S23" i="16" s="1"/>
  <c r="G24" i="16"/>
  <c r="U25" i="16"/>
  <c r="L26" i="16"/>
  <c r="T26" i="16" s="1"/>
  <c r="S26" i="16" s="1"/>
  <c r="G27" i="16"/>
  <c r="U28" i="16"/>
  <c r="G30" i="16"/>
  <c r="U31" i="16"/>
  <c r="G33" i="16"/>
  <c r="U34" i="16"/>
  <c r="L35" i="16"/>
  <c r="T35" i="16" s="1"/>
  <c r="S35" i="16" s="1"/>
  <c r="G36" i="16"/>
  <c r="U37" i="16"/>
  <c r="G39" i="16"/>
  <c r="U40" i="16"/>
  <c r="L41" i="16"/>
  <c r="T41" i="16" s="1"/>
  <c r="S41" i="16" s="1"/>
  <c r="G42" i="16"/>
  <c r="U43" i="16"/>
  <c r="G45" i="16"/>
  <c r="U46" i="16"/>
  <c r="G48" i="16"/>
  <c r="H26" i="16"/>
  <c r="V27" i="16"/>
  <c r="H29" i="16"/>
  <c r="L27" i="16"/>
  <c r="L45" i="16"/>
  <c r="T45" i="16" s="1"/>
  <c r="S45" i="16" s="1"/>
  <c r="L48" i="16"/>
  <c r="H18" i="16"/>
  <c r="V19" i="16"/>
  <c r="H21" i="16"/>
  <c r="V22" i="16"/>
  <c r="H24" i="16"/>
  <c r="V25" i="16"/>
  <c r="H27" i="16"/>
  <c r="V28" i="16"/>
  <c r="H30" i="16"/>
  <c r="V31" i="16"/>
  <c r="H33" i="16"/>
  <c r="V34" i="16"/>
  <c r="H36" i="16"/>
  <c r="V37" i="16"/>
  <c r="H39" i="16"/>
  <c r="V40" i="16"/>
  <c r="H42" i="16"/>
  <c r="V43" i="16"/>
  <c r="H45" i="16"/>
  <c r="V46" i="16"/>
  <c r="H20" i="16"/>
  <c r="H35" i="16"/>
  <c r="H38" i="16"/>
  <c r="L24" i="16"/>
  <c r="T24" i="16" s="1"/>
  <c r="S24" i="16" s="1"/>
  <c r="L30" i="16"/>
  <c r="L33" i="16"/>
  <c r="T33" i="16" s="1"/>
  <c r="S33" i="16" s="1"/>
  <c r="L36" i="16"/>
  <c r="L39" i="16"/>
  <c r="G20" i="16"/>
  <c r="G23" i="16"/>
  <c r="G26" i="16"/>
  <c r="G29" i="16"/>
  <c r="G32" i="16"/>
  <c r="G35" i="16"/>
  <c r="G38" i="16"/>
  <c r="G41" i="16"/>
  <c r="G44" i="16"/>
  <c r="V32" i="15"/>
  <c r="L42" i="15"/>
  <c r="T42" i="15" s="1"/>
  <c r="S42" i="15" s="1"/>
  <c r="V47" i="15"/>
  <c r="V23" i="15"/>
  <c r="T33" i="15"/>
  <c r="S33" i="15" s="1"/>
  <c r="V41" i="15"/>
  <c r="T47" i="15"/>
  <c r="S47" i="15" s="1"/>
  <c r="H23" i="15"/>
  <c r="H26" i="15"/>
  <c r="H29" i="15"/>
  <c r="H32" i="15"/>
  <c r="H38" i="15"/>
  <c r="V39" i="15"/>
  <c r="H47" i="15"/>
  <c r="K49" i="15"/>
  <c r="L18" i="15"/>
  <c r="G19" i="15"/>
  <c r="G22" i="15"/>
  <c r="G25" i="15"/>
  <c r="G28" i="15"/>
  <c r="G31" i="15"/>
  <c r="G34" i="15"/>
  <c r="G37" i="15"/>
  <c r="G40" i="15"/>
  <c r="G43" i="15"/>
  <c r="G46" i="15"/>
  <c r="U47" i="15"/>
  <c r="H20" i="15"/>
  <c r="V33" i="15"/>
  <c r="H35" i="15"/>
  <c r="H41" i="15"/>
  <c r="H44" i="15"/>
  <c r="R18" i="15"/>
  <c r="U18" i="15" s="1"/>
  <c r="H19" i="15"/>
  <c r="R21" i="15"/>
  <c r="U21" i="15" s="1"/>
  <c r="H22" i="15"/>
  <c r="R24" i="15"/>
  <c r="U24" i="15" s="1"/>
  <c r="H25" i="15"/>
  <c r="R27" i="15"/>
  <c r="T27" i="15" s="1"/>
  <c r="S27" i="15" s="1"/>
  <c r="H28" i="15"/>
  <c r="R30" i="15"/>
  <c r="T30" i="15" s="1"/>
  <c r="S30" i="15" s="1"/>
  <c r="H31" i="15"/>
  <c r="R33" i="15"/>
  <c r="U33" i="15" s="1"/>
  <c r="H34" i="15"/>
  <c r="R36" i="15"/>
  <c r="V36" i="15" s="1"/>
  <c r="H37" i="15"/>
  <c r="R39" i="15"/>
  <c r="T39" i="15" s="1"/>
  <c r="S39" i="15" s="1"/>
  <c r="H40" i="15"/>
  <c r="R42" i="15"/>
  <c r="K42" i="15" s="1"/>
  <c r="H43" i="15"/>
  <c r="R45" i="15"/>
  <c r="U45" i="15" s="1"/>
  <c r="H46" i="15"/>
  <c r="R48" i="15"/>
  <c r="U48" i="15" s="1"/>
  <c r="R20" i="15"/>
  <c r="T20" i="15" s="1"/>
  <c r="S20" i="15" s="1"/>
  <c r="H21" i="15"/>
  <c r="R23" i="15"/>
  <c r="T23" i="15" s="1"/>
  <c r="S23" i="15" s="1"/>
  <c r="H24" i="15"/>
  <c r="R26" i="15"/>
  <c r="T26" i="15" s="1"/>
  <c r="S26" i="15" s="1"/>
  <c r="H27" i="15"/>
  <c r="R29" i="15"/>
  <c r="T29" i="15" s="1"/>
  <c r="S29" i="15" s="1"/>
  <c r="H30" i="15"/>
  <c r="R32" i="15"/>
  <c r="T32" i="15" s="1"/>
  <c r="S32" i="15" s="1"/>
  <c r="H33" i="15"/>
  <c r="R35" i="15"/>
  <c r="T35" i="15" s="1"/>
  <c r="S35" i="15" s="1"/>
  <c r="H36" i="15"/>
  <c r="R38" i="15"/>
  <c r="T38" i="15" s="1"/>
  <c r="S38" i="15" s="1"/>
  <c r="H39" i="15"/>
  <c r="R41" i="15"/>
  <c r="T41" i="15" s="1"/>
  <c r="S41" i="15" s="1"/>
  <c r="H42" i="15"/>
  <c r="R44" i="15"/>
  <c r="V44" i="15" s="1"/>
  <c r="H45" i="15"/>
  <c r="G20" i="15"/>
  <c r="G23" i="15"/>
  <c r="G26" i="15"/>
  <c r="G29" i="15"/>
  <c r="G32" i="15"/>
  <c r="G35" i="15"/>
  <c r="G38" i="15"/>
  <c r="G41" i="15"/>
  <c r="G44" i="15"/>
  <c r="V47" i="14"/>
  <c r="U36" i="14"/>
  <c r="V38" i="14"/>
  <c r="U45" i="14"/>
  <c r="V20" i="14"/>
  <c r="V32" i="14"/>
  <c r="V44" i="14"/>
  <c r="T47" i="14"/>
  <c r="S47" i="14" s="1"/>
  <c r="H23" i="14"/>
  <c r="H41" i="14"/>
  <c r="L21" i="14"/>
  <c r="R18" i="14"/>
  <c r="U18" i="14" s="1"/>
  <c r="H19" i="14"/>
  <c r="R21" i="14"/>
  <c r="U21" i="14" s="1"/>
  <c r="H22" i="14"/>
  <c r="R24" i="14"/>
  <c r="U24" i="14" s="1"/>
  <c r="H25" i="14"/>
  <c r="R27" i="14"/>
  <c r="U27" i="14" s="1"/>
  <c r="H28" i="14"/>
  <c r="R30" i="14"/>
  <c r="U30" i="14" s="1"/>
  <c r="H31" i="14"/>
  <c r="R33" i="14"/>
  <c r="U33" i="14" s="1"/>
  <c r="H34" i="14"/>
  <c r="R36" i="14"/>
  <c r="V36" i="14" s="1"/>
  <c r="H37" i="14"/>
  <c r="R39" i="14"/>
  <c r="U39" i="14" s="1"/>
  <c r="H40" i="14"/>
  <c r="R42" i="14"/>
  <c r="K42" i="14" s="1"/>
  <c r="H43" i="14"/>
  <c r="R45" i="14"/>
  <c r="V45" i="14" s="1"/>
  <c r="H46" i="14"/>
  <c r="R48" i="14"/>
  <c r="V48" i="14" s="1"/>
  <c r="H20" i="14"/>
  <c r="V24" i="14"/>
  <c r="H29" i="14"/>
  <c r="H47" i="14"/>
  <c r="L27" i="14"/>
  <c r="L30" i="14"/>
  <c r="G18" i="14"/>
  <c r="U19" i="14"/>
  <c r="G21" i="14"/>
  <c r="U22" i="14"/>
  <c r="G24" i="14"/>
  <c r="U25" i="14"/>
  <c r="G27" i="14"/>
  <c r="U28" i="14"/>
  <c r="G30" i="14"/>
  <c r="U31" i="14"/>
  <c r="G33" i="14"/>
  <c r="U34" i="14"/>
  <c r="G36" i="14"/>
  <c r="U37" i="14"/>
  <c r="G39" i="14"/>
  <c r="U40" i="14"/>
  <c r="G42" i="14"/>
  <c r="U43" i="14"/>
  <c r="G45" i="14"/>
  <c r="U46" i="14"/>
  <c r="G48" i="14"/>
  <c r="H26" i="14"/>
  <c r="H38" i="14"/>
  <c r="L24" i="14"/>
  <c r="T24" i="14" s="1"/>
  <c r="S24" i="14" s="1"/>
  <c r="L33" i="14"/>
  <c r="T33" i="14" s="1"/>
  <c r="S33" i="14" s="1"/>
  <c r="L48" i="14"/>
  <c r="T48" i="14" s="1"/>
  <c r="S48" i="14" s="1"/>
  <c r="H18" i="14"/>
  <c r="V19" i="14"/>
  <c r="R20" i="14"/>
  <c r="U20" i="14" s="1"/>
  <c r="H21" i="14"/>
  <c r="V22" i="14"/>
  <c r="R23" i="14"/>
  <c r="U23" i="14" s="1"/>
  <c r="H24" i="14"/>
  <c r="V25" i="14"/>
  <c r="R26" i="14"/>
  <c r="U26" i="14" s="1"/>
  <c r="H27" i="14"/>
  <c r="V28" i="14"/>
  <c r="R29" i="14"/>
  <c r="U29" i="14" s="1"/>
  <c r="H30" i="14"/>
  <c r="V31" i="14"/>
  <c r="R32" i="14"/>
  <c r="U32" i="14" s="1"/>
  <c r="H33" i="14"/>
  <c r="V34" i="14"/>
  <c r="R35" i="14"/>
  <c r="U35" i="14" s="1"/>
  <c r="H36" i="14"/>
  <c r="V37" i="14"/>
  <c r="R38" i="14"/>
  <c r="U38" i="14" s="1"/>
  <c r="H39" i="14"/>
  <c r="R41" i="14"/>
  <c r="U41" i="14" s="1"/>
  <c r="H42" i="14"/>
  <c r="R44" i="14"/>
  <c r="U44" i="14" s="1"/>
  <c r="H45" i="14"/>
  <c r="H32" i="14"/>
  <c r="V33" i="14"/>
  <c r="H35" i="14"/>
  <c r="K49" i="14"/>
  <c r="L18" i="14"/>
  <c r="L36" i="14"/>
  <c r="T36" i="14" s="1"/>
  <c r="S36" i="14" s="1"/>
  <c r="L39" i="14"/>
  <c r="T39" i="14" s="1"/>
  <c r="S39" i="14" s="1"/>
  <c r="L45" i="14"/>
  <c r="G20" i="14"/>
  <c r="G23" i="14"/>
  <c r="G26" i="14"/>
  <c r="G29" i="14"/>
  <c r="G32" i="14"/>
  <c r="G35" i="14"/>
  <c r="G38" i="14"/>
  <c r="G41" i="14"/>
  <c r="G44" i="14"/>
  <c r="V24" i="13"/>
  <c r="T31" i="13"/>
  <c r="S31" i="13" s="1"/>
  <c r="T48" i="13"/>
  <c r="S48" i="13" s="1"/>
  <c r="V48" i="13"/>
  <c r="T21" i="13"/>
  <c r="S21" i="13" s="1"/>
  <c r="T39" i="13"/>
  <c r="S39" i="13" s="1"/>
  <c r="V47" i="13"/>
  <c r="T46" i="13"/>
  <c r="S46" i="13" s="1"/>
  <c r="T37" i="13"/>
  <c r="S37" i="13" s="1"/>
  <c r="V46" i="13"/>
  <c r="V21" i="13"/>
  <c r="V39" i="13"/>
  <c r="T47" i="13"/>
  <c r="S47" i="13" s="1"/>
  <c r="R19" i="13"/>
  <c r="U19" i="13" s="1"/>
  <c r="H20" i="13"/>
  <c r="R22" i="13"/>
  <c r="U22" i="13" s="1"/>
  <c r="H23" i="13"/>
  <c r="R25" i="13"/>
  <c r="U25" i="13" s="1"/>
  <c r="H26" i="13"/>
  <c r="R28" i="13"/>
  <c r="U28" i="13" s="1"/>
  <c r="H29" i="13"/>
  <c r="R31" i="13"/>
  <c r="U31" i="13" s="1"/>
  <c r="H32" i="13"/>
  <c r="R34" i="13"/>
  <c r="U34" i="13" s="1"/>
  <c r="H35" i="13"/>
  <c r="R37" i="13"/>
  <c r="U37" i="13" s="1"/>
  <c r="H38" i="13"/>
  <c r="R40" i="13"/>
  <c r="U40" i="13" s="1"/>
  <c r="H41" i="13"/>
  <c r="R43" i="13"/>
  <c r="U43" i="13" s="1"/>
  <c r="H44" i="13"/>
  <c r="R46" i="13"/>
  <c r="U46" i="13" s="1"/>
  <c r="H47" i="13"/>
  <c r="L18" i="13"/>
  <c r="G19" i="13"/>
  <c r="U20" i="13"/>
  <c r="G22" i="13"/>
  <c r="U23" i="13"/>
  <c r="G25" i="13"/>
  <c r="U26" i="13"/>
  <c r="G28" i="13"/>
  <c r="U29" i="13"/>
  <c r="G31" i="13"/>
  <c r="U32" i="13"/>
  <c r="G34" i="13"/>
  <c r="U35" i="13"/>
  <c r="G37" i="13"/>
  <c r="U38" i="13"/>
  <c r="G40" i="13"/>
  <c r="U41" i="13"/>
  <c r="G43" i="13"/>
  <c r="U44" i="13"/>
  <c r="G46" i="13"/>
  <c r="U47" i="13"/>
  <c r="R18" i="13"/>
  <c r="V18" i="13" s="1"/>
  <c r="H19" i="13"/>
  <c r="R21" i="13"/>
  <c r="U21" i="13" s="1"/>
  <c r="H22" i="13"/>
  <c r="R24" i="13"/>
  <c r="U24" i="13" s="1"/>
  <c r="H25" i="13"/>
  <c r="R27" i="13"/>
  <c r="U27" i="13" s="1"/>
  <c r="H28" i="13"/>
  <c r="R30" i="13"/>
  <c r="U30" i="13" s="1"/>
  <c r="H31" i="13"/>
  <c r="R33" i="13"/>
  <c r="U33" i="13" s="1"/>
  <c r="H34" i="13"/>
  <c r="R36" i="13"/>
  <c r="U36" i="13" s="1"/>
  <c r="H37" i="13"/>
  <c r="R39" i="13"/>
  <c r="U39" i="13" s="1"/>
  <c r="H40" i="13"/>
  <c r="R42" i="13"/>
  <c r="K42" i="13" s="1"/>
  <c r="L42" i="13" s="1"/>
  <c r="T42" i="13" s="1"/>
  <c r="S42" i="13" s="1"/>
  <c r="H43" i="13"/>
  <c r="R45" i="13"/>
  <c r="U45" i="13" s="1"/>
  <c r="H46" i="13"/>
  <c r="R48" i="13"/>
  <c r="U48" i="13" s="1"/>
  <c r="G20" i="13"/>
  <c r="G23" i="13"/>
  <c r="G26" i="13"/>
  <c r="G29" i="13"/>
  <c r="G32" i="13"/>
  <c r="G35" i="13"/>
  <c r="G38" i="13"/>
  <c r="G41" i="13"/>
  <c r="G44" i="13"/>
  <c r="T41" i="12"/>
  <c r="S41" i="12" s="1"/>
  <c r="V32" i="12"/>
  <c r="T48" i="12"/>
  <c r="S48" i="12" s="1"/>
  <c r="T32" i="12"/>
  <c r="S32" i="12" s="1"/>
  <c r="V38" i="12"/>
  <c r="U36" i="12"/>
  <c r="V47" i="12"/>
  <c r="U39" i="12"/>
  <c r="V44" i="12"/>
  <c r="V41" i="12"/>
  <c r="U45" i="12"/>
  <c r="T47" i="12"/>
  <c r="S47" i="12" s="1"/>
  <c r="H23" i="12"/>
  <c r="H26" i="12"/>
  <c r="H29" i="12"/>
  <c r="H32" i="12"/>
  <c r="H35" i="12"/>
  <c r="V36" i="12"/>
  <c r="V39" i="12"/>
  <c r="L18" i="12"/>
  <c r="G19" i="12"/>
  <c r="U20" i="12"/>
  <c r="G22" i="12"/>
  <c r="U23" i="12"/>
  <c r="G25" i="12"/>
  <c r="G28" i="12"/>
  <c r="G31" i="12"/>
  <c r="U32" i="12"/>
  <c r="G34" i="12"/>
  <c r="G37" i="12"/>
  <c r="G40" i="12"/>
  <c r="U41" i="12"/>
  <c r="G43" i="12"/>
  <c r="G46" i="12"/>
  <c r="U47" i="12"/>
  <c r="H20" i="12"/>
  <c r="V33" i="12"/>
  <c r="H38" i="12"/>
  <c r="H41" i="12"/>
  <c r="H44" i="12"/>
  <c r="H47" i="12"/>
  <c r="V48" i="12"/>
  <c r="R18" i="12"/>
  <c r="U18" i="12" s="1"/>
  <c r="H19" i="12"/>
  <c r="R21" i="12"/>
  <c r="V21" i="12" s="1"/>
  <c r="H22" i="12"/>
  <c r="R24" i="12"/>
  <c r="U24" i="12" s="1"/>
  <c r="H25" i="12"/>
  <c r="R27" i="12"/>
  <c r="T27" i="12" s="1"/>
  <c r="S27" i="12" s="1"/>
  <c r="H28" i="12"/>
  <c r="R30" i="12"/>
  <c r="V30" i="12" s="1"/>
  <c r="H31" i="12"/>
  <c r="R33" i="12"/>
  <c r="U33" i="12" s="1"/>
  <c r="H34" i="12"/>
  <c r="R36" i="12"/>
  <c r="T36" i="12" s="1"/>
  <c r="S36" i="12" s="1"/>
  <c r="H37" i="12"/>
  <c r="R39" i="12"/>
  <c r="T39" i="12" s="1"/>
  <c r="S39" i="12" s="1"/>
  <c r="H40" i="12"/>
  <c r="R42" i="12"/>
  <c r="K42" i="12" s="1"/>
  <c r="H43" i="12"/>
  <c r="R45" i="12"/>
  <c r="T45" i="12" s="1"/>
  <c r="S45" i="12" s="1"/>
  <c r="H46" i="12"/>
  <c r="R48" i="12"/>
  <c r="U48" i="12" s="1"/>
  <c r="V25" i="12"/>
  <c r="R26" i="12"/>
  <c r="T26" i="12" s="1"/>
  <c r="S26" i="12" s="1"/>
  <c r="H27" i="12"/>
  <c r="R29" i="12"/>
  <c r="V29" i="12" s="1"/>
  <c r="H30" i="12"/>
  <c r="R32" i="12"/>
  <c r="H33" i="12"/>
  <c r="R35" i="12"/>
  <c r="T35" i="12" s="1"/>
  <c r="S35" i="12" s="1"/>
  <c r="H36" i="12"/>
  <c r="R38" i="12"/>
  <c r="T38" i="12" s="1"/>
  <c r="S38" i="12" s="1"/>
  <c r="H39" i="12"/>
  <c r="R41" i="12"/>
  <c r="H42" i="12"/>
  <c r="R44" i="12"/>
  <c r="T44" i="12" s="1"/>
  <c r="S44" i="12" s="1"/>
  <c r="H45" i="12"/>
  <c r="U19" i="12"/>
  <c r="U28" i="12"/>
  <c r="U31" i="12"/>
  <c r="U37" i="12"/>
  <c r="U40" i="12"/>
  <c r="U43" i="12"/>
  <c r="U46" i="12"/>
  <c r="H18" i="12"/>
  <c r="H21" i="12"/>
  <c r="G20" i="12"/>
  <c r="G23" i="12"/>
  <c r="G26" i="12"/>
  <c r="G29" i="12"/>
  <c r="G32" i="12"/>
  <c r="G35" i="12"/>
  <c r="G38" i="12"/>
  <c r="G41" i="12"/>
  <c r="G44" i="12"/>
  <c r="T48" i="11"/>
  <c r="S48" i="11" s="1"/>
  <c r="V22" i="11"/>
  <c r="U48" i="11"/>
  <c r="J49" i="11"/>
  <c r="U19" i="11"/>
  <c r="V25" i="11"/>
  <c r="U39" i="11"/>
  <c r="V19" i="11"/>
  <c r="U30" i="11"/>
  <c r="U22" i="11"/>
  <c r="V28" i="11"/>
  <c r="V31" i="11"/>
  <c r="U36" i="11"/>
  <c r="H32" i="11"/>
  <c r="V45" i="11"/>
  <c r="H47" i="11"/>
  <c r="L18" i="11"/>
  <c r="G19" i="11"/>
  <c r="U20" i="11"/>
  <c r="G22" i="11"/>
  <c r="U23" i="11"/>
  <c r="G25" i="11"/>
  <c r="U26" i="11"/>
  <c r="G28" i="11"/>
  <c r="U29" i="11"/>
  <c r="G31" i="11"/>
  <c r="U32" i="11"/>
  <c r="G34" i="11"/>
  <c r="U35" i="11"/>
  <c r="G37" i="11"/>
  <c r="U38" i="11"/>
  <c r="G40" i="11"/>
  <c r="U41" i="11"/>
  <c r="G43" i="11"/>
  <c r="U44" i="11"/>
  <c r="G46" i="11"/>
  <c r="U47" i="11"/>
  <c r="U34" i="11"/>
  <c r="U46" i="11"/>
  <c r="H20" i="11"/>
  <c r="H23" i="11"/>
  <c r="H26" i="11"/>
  <c r="H29" i="11"/>
  <c r="H35" i="11"/>
  <c r="H38" i="11"/>
  <c r="H41" i="11"/>
  <c r="H44" i="11"/>
  <c r="V48" i="11"/>
  <c r="R18" i="11"/>
  <c r="V18" i="11" s="1"/>
  <c r="H19" i="11"/>
  <c r="R21" i="11"/>
  <c r="V21" i="11" s="1"/>
  <c r="H22" i="11"/>
  <c r="R24" i="11"/>
  <c r="U24" i="11" s="1"/>
  <c r="H25" i="11"/>
  <c r="R27" i="11"/>
  <c r="T27" i="11" s="1"/>
  <c r="S27" i="11" s="1"/>
  <c r="H28" i="11"/>
  <c r="R30" i="11"/>
  <c r="V30" i="11" s="1"/>
  <c r="H31" i="11"/>
  <c r="R33" i="11"/>
  <c r="V33" i="11" s="1"/>
  <c r="H34" i="11"/>
  <c r="R36" i="11"/>
  <c r="T36" i="11" s="1"/>
  <c r="S36" i="11" s="1"/>
  <c r="H37" i="11"/>
  <c r="R39" i="11"/>
  <c r="T39" i="11" s="1"/>
  <c r="S39" i="11" s="1"/>
  <c r="H40" i="11"/>
  <c r="R42" i="11"/>
  <c r="K42" i="11" s="1"/>
  <c r="K49" i="11" s="1"/>
  <c r="H43" i="11"/>
  <c r="R45" i="11"/>
  <c r="T45" i="11" s="1"/>
  <c r="S45" i="11" s="1"/>
  <c r="U37" i="11"/>
  <c r="U40" i="11"/>
  <c r="U43" i="11"/>
  <c r="H30" i="11"/>
  <c r="H33" i="11"/>
  <c r="H36" i="11"/>
  <c r="H39" i="11"/>
  <c r="H42" i="11"/>
  <c r="H45" i="11"/>
  <c r="G20" i="11"/>
  <c r="G23" i="11"/>
  <c r="G26" i="11"/>
  <c r="G29" i="11"/>
  <c r="G32" i="11"/>
  <c r="G35" i="11"/>
  <c r="G38" i="11"/>
  <c r="G41" i="11"/>
  <c r="G44" i="11"/>
  <c r="U24" i="10"/>
  <c r="U33" i="10"/>
  <c r="V44" i="10"/>
  <c r="T44" i="10"/>
  <c r="S44" i="10" s="1"/>
  <c r="U48" i="10"/>
  <c r="V47" i="10"/>
  <c r="V29" i="10"/>
  <c r="T39" i="10"/>
  <c r="S39" i="10" s="1"/>
  <c r="T47" i="10"/>
  <c r="S47" i="10" s="1"/>
  <c r="H23" i="10"/>
  <c r="V24" i="10"/>
  <c r="H26" i="10"/>
  <c r="H32" i="10"/>
  <c r="H47" i="10"/>
  <c r="K49" i="10"/>
  <c r="L18" i="10"/>
  <c r="G19" i="10"/>
  <c r="G22" i="10"/>
  <c r="G25" i="10"/>
  <c r="G28" i="10"/>
  <c r="U29" i="10"/>
  <c r="G31" i="10"/>
  <c r="G34" i="10"/>
  <c r="G37" i="10"/>
  <c r="U38" i="10"/>
  <c r="G40" i="10"/>
  <c r="G43" i="10"/>
  <c r="G46" i="10"/>
  <c r="U47" i="10"/>
  <c r="H20" i="10"/>
  <c r="H29" i="10"/>
  <c r="V33" i="10"/>
  <c r="H35" i="10"/>
  <c r="H38" i="10"/>
  <c r="H41" i="10"/>
  <c r="H44" i="10"/>
  <c r="V48" i="10"/>
  <c r="R18" i="10"/>
  <c r="H19" i="10"/>
  <c r="R21" i="10"/>
  <c r="U21" i="10" s="1"/>
  <c r="H22" i="10"/>
  <c r="R24" i="10"/>
  <c r="H25" i="10"/>
  <c r="R27" i="10"/>
  <c r="T27" i="10" s="1"/>
  <c r="S27" i="10" s="1"/>
  <c r="H28" i="10"/>
  <c r="R30" i="10"/>
  <c r="V30" i="10" s="1"/>
  <c r="H31" i="10"/>
  <c r="R33" i="10"/>
  <c r="T33" i="10" s="1"/>
  <c r="S33" i="10" s="1"/>
  <c r="H34" i="10"/>
  <c r="R36" i="10"/>
  <c r="V36" i="10" s="1"/>
  <c r="H37" i="10"/>
  <c r="R39" i="10"/>
  <c r="U39" i="10" s="1"/>
  <c r="H40" i="10"/>
  <c r="R42" i="10"/>
  <c r="K42" i="10" s="1"/>
  <c r="H43" i="10"/>
  <c r="R45" i="10"/>
  <c r="V45" i="10" s="1"/>
  <c r="H46" i="10"/>
  <c r="R48" i="10"/>
  <c r="T48" i="10" s="1"/>
  <c r="S48" i="10" s="1"/>
  <c r="H18" i="10"/>
  <c r="R20" i="10"/>
  <c r="T20" i="10" s="1"/>
  <c r="S20" i="10" s="1"/>
  <c r="H21" i="10"/>
  <c r="R23" i="10"/>
  <c r="T23" i="10" s="1"/>
  <c r="S23" i="10" s="1"/>
  <c r="R26" i="10"/>
  <c r="T26" i="10" s="1"/>
  <c r="S26" i="10" s="1"/>
  <c r="H27" i="10"/>
  <c r="R29" i="10"/>
  <c r="T29" i="10" s="1"/>
  <c r="S29" i="10" s="1"/>
  <c r="H30" i="10"/>
  <c r="R32" i="10"/>
  <c r="T32" i="10" s="1"/>
  <c r="S32" i="10" s="1"/>
  <c r="H33" i="10"/>
  <c r="R35" i="10"/>
  <c r="T35" i="10" s="1"/>
  <c r="S35" i="10" s="1"/>
  <c r="H36" i="10"/>
  <c r="R38" i="10"/>
  <c r="T38" i="10" s="1"/>
  <c r="S38" i="10" s="1"/>
  <c r="H39" i="10"/>
  <c r="R41" i="10"/>
  <c r="T41" i="10" s="1"/>
  <c r="S41" i="10" s="1"/>
  <c r="H42" i="10"/>
  <c r="R44" i="10"/>
  <c r="U44" i="10" s="1"/>
  <c r="H45" i="10"/>
  <c r="G20" i="10"/>
  <c r="G23" i="10"/>
  <c r="G26" i="10"/>
  <c r="G29" i="10"/>
  <c r="G32" i="10"/>
  <c r="G35" i="10"/>
  <c r="G38" i="10"/>
  <c r="G41" i="10"/>
  <c r="G44" i="10"/>
  <c r="U48" i="9"/>
  <c r="L31" i="9"/>
  <c r="T31" i="9" s="1"/>
  <c r="S31" i="9" s="1"/>
  <c r="U31" i="9"/>
  <c r="U33" i="9"/>
  <c r="V31" i="9"/>
  <c r="L42" i="9"/>
  <c r="T42" i="9" s="1"/>
  <c r="S42" i="9" s="1"/>
  <c r="U24" i="9"/>
  <c r="T33" i="9"/>
  <c r="S33" i="9" s="1"/>
  <c r="U46" i="9"/>
  <c r="V22" i="9"/>
  <c r="H23" i="9"/>
  <c r="H29" i="9"/>
  <c r="H32" i="9"/>
  <c r="V45" i="9"/>
  <c r="H47" i="9"/>
  <c r="L18" i="9"/>
  <c r="G19" i="9"/>
  <c r="U20" i="9"/>
  <c r="G22" i="9"/>
  <c r="U23" i="9"/>
  <c r="G25" i="9"/>
  <c r="U26" i="9"/>
  <c r="G28" i="9"/>
  <c r="U29" i="9"/>
  <c r="G31" i="9"/>
  <c r="U32" i="9"/>
  <c r="G34" i="9"/>
  <c r="U35" i="9"/>
  <c r="G37" i="9"/>
  <c r="U38" i="9"/>
  <c r="G40" i="9"/>
  <c r="U41" i="9"/>
  <c r="G43" i="9"/>
  <c r="U44" i="9"/>
  <c r="G46" i="9"/>
  <c r="U47" i="9"/>
  <c r="U22" i="9"/>
  <c r="U25" i="9"/>
  <c r="U28" i="9"/>
  <c r="H20" i="9"/>
  <c r="V24" i="9"/>
  <c r="H26" i="9"/>
  <c r="H35" i="9"/>
  <c r="H38" i="9"/>
  <c r="H41" i="9"/>
  <c r="H44" i="9"/>
  <c r="V48" i="9"/>
  <c r="R18" i="9"/>
  <c r="V18" i="9" s="1"/>
  <c r="H19" i="9"/>
  <c r="R21" i="9"/>
  <c r="U21" i="9" s="1"/>
  <c r="H22" i="9"/>
  <c r="R24" i="9"/>
  <c r="T24" i="9" s="1"/>
  <c r="S24" i="9" s="1"/>
  <c r="H25" i="9"/>
  <c r="R27" i="9"/>
  <c r="U27" i="9" s="1"/>
  <c r="H28" i="9"/>
  <c r="R30" i="9"/>
  <c r="U30" i="9" s="1"/>
  <c r="H31" i="9"/>
  <c r="R33" i="9"/>
  <c r="V33" i="9" s="1"/>
  <c r="H34" i="9"/>
  <c r="R36" i="9"/>
  <c r="T36" i="9" s="1"/>
  <c r="S36" i="9" s="1"/>
  <c r="H37" i="9"/>
  <c r="R39" i="9"/>
  <c r="T39" i="9" s="1"/>
  <c r="S39" i="9" s="1"/>
  <c r="H40" i="9"/>
  <c r="R42" i="9"/>
  <c r="K42" i="9" s="1"/>
  <c r="H43" i="9"/>
  <c r="R45" i="9"/>
  <c r="U45" i="9" s="1"/>
  <c r="U34" i="9"/>
  <c r="U40" i="9"/>
  <c r="U43" i="9"/>
  <c r="H30" i="9"/>
  <c r="H33" i="9"/>
  <c r="H36" i="9"/>
  <c r="H39" i="9"/>
  <c r="H42" i="9"/>
  <c r="H45" i="9"/>
  <c r="G20" i="9"/>
  <c r="G23" i="9"/>
  <c r="G26" i="9"/>
  <c r="G29" i="9"/>
  <c r="G32" i="9"/>
  <c r="G35" i="9"/>
  <c r="G38" i="9"/>
  <c r="G41" i="9"/>
  <c r="G44" i="9"/>
  <c r="T47" i="8"/>
  <c r="S47" i="8" s="1"/>
  <c r="T36" i="8"/>
  <c r="S36" i="8" s="1"/>
  <c r="U45" i="8"/>
  <c r="H32" i="8"/>
  <c r="H47" i="8"/>
  <c r="K49" i="8"/>
  <c r="L18" i="8"/>
  <c r="G19" i="8"/>
  <c r="U20" i="8"/>
  <c r="L21" i="8"/>
  <c r="G22" i="8"/>
  <c r="U23" i="8"/>
  <c r="G25" i="8"/>
  <c r="U26" i="8"/>
  <c r="G28" i="8"/>
  <c r="U29" i="8"/>
  <c r="G31" i="8"/>
  <c r="U32" i="8"/>
  <c r="G34" i="8"/>
  <c r="U35" i="8"/>
  <c r="G37" i="8"/>
  <c r="U38" i="8"/>
  <c r="G40" i="8"/>
  <c r="U41" i="8"/>
  <c r="G43" i="8"/>
  <c r="U44" i="8"/>
  <c r="G46" i="8"/>
  <c r="U47" i="8"/>
  <c r="H23" i="8"/>
  <c r="H29" i="8"/>
  <c r="H38" i="8"/>
  <c r="H41" i="8"/>
  <c r="H44" i="8"/>
  <c r="V48" i="8"/>
  <c r="R18" i="8"/>
  <c r="U18" i="8" s="1"/>
  <c r="H19" i="8"/>
  <c r="R21" i="8"/>
  <c r="U21" i="8" s="1"/>
  <c r="H22" i="8"/>
  <c r="V23" i="8"/>
  <c r="R24" i="8"/>
  <c r="U24" i="8" s="1"/>
  <c r="H25" i="8"/>
  <c r="V26" i="8"/>
  <c r="R27" i="8"/>
  <c r="U27" i="8" s="1"/>
  <c r="H28" i="8"/>
  <c r="R30" i="8"/>
  <c r="V30" i="8" s="1"/>
  <c r="H31" i="8"/>
  <c r="R33" i="8"/>
  <c r="T33" i="8" s="1"/>
  <c r="S33" i="8" s="1"/>
  <c r="H34" i="8"/>
  <c r="R36" i="8"/>
  <c r="V36" i="8" s="1"/>
  <c r="H37" i="8"/>
  <c r="V38" i="8"/>
  <c r="R39" i="8"/>
  <c r="T39" i="8" s="1"/>
  <c r="S39" i="8" s="1"/>
  <c r="H40" i="8"/>
  <c r="R42" i="8"/>
  <c r="K42" i="8" s="1"/>
  <c r="H43" i="8"/>
  <c r="V44" i="8"/>
  <c r="R45" i="8"/>
  <c r="T45" i="8" s="1"/>
  <c r="S45" i="8" s="1"/>
  <c r="H46" i="8"/>
  <c r="V47" i="8"/>
  <c r="R48" i="8"/>
  <c r="T48" i="8" s="1"/>
  <c r="S48" i="8" s="1"/>
  <c r="H26" i="8"/>
  <c r="V33" i="8"/>
  <c r="H35" i="8"/>
  <c r="G18" i="8"/>
  <c r="U19" i="8"/>
  <c r="G21" i="8"/>
  <c r="U22" i="8"/>
  <c r="G24" i="8"/>
  <c r="U25" i="8"/>
  <c r="G27" i="8"/>
  <c r="U28" i="8"/>
  <c r="G30" i="8"/>
  <c r="U31" i="8"/>
  <c r="G33" i="8"/>
  <c r="U34" i="8"/>
  <c r="G36" i="8"/>
  <c r="U37" i="8"/>
  <c r="G39" i="8"/>
  <c r="U40" i="8"/>
  <c r="G42" i="8"/>
  <c r="U43" i="8"/>
  <c r="G45" i="8"/>
  <c r="U46" i="8"/>
  <c r="G48" i="8"/>
  <c r="V18" i="8"/>
  <c r="H18" i="8"/>
  <c r="H21" i="8"/>
  <c r="V25" i="8"/>
  <c r="H27" i="8"/>
  <c r="V31" i="8"/>
  <c r="V34" i="8"/>
  <c r="H36" i="8"/>
  <c r="V37" i="8"/>
  <c r="H39" i="8"/>
  <c r="V40" i="8"/>
  <c r="H42" i="8"/>
  <c r="V43" i="8"/>
  <c r="H45" i="8"/>
  <c r="V46" i="8"/>
  <c r="H20" i="8"/>
  <c r="H24" i="8"/>
  <c r="V28" i="8"/>
  <c r="H30" i="8"/>
  <c r="G20" i="8"/>
  <c r="G23" i="8"/>
  <c r="G26" i="8"/>
  <c r="G29" i="8"/>
  <c r="G32" i="8"/>
  <c r="G35" i="8"/>
  <c r="G38" i="8"/>
  <c r="G41" i="8"/>
  <c r="G44" i="8"/>
  <c r="L27" i="7"/>
  <c r="L32" i="7"/>
  <c r="J49" i="7"/>
  <c r="L23" i="7"/>
  <c r="T23" i="7" s="1"/>
  <c r="S23" i="7" s="1"/>
  <c r="L21" i="7"/>
  <c r="L26" i="7"/>
  <c r="V43" i="7"/>
  <c r="V48" i="7"/>
  <c r="T38" i="7"/>
  <c r="S38" i="7" s="1"/>
  <c r="V20" i="7"/>
  <c r="T36" i="7"/>
  <c r="S36" i="7" s="1"/>
  <c r="V38" i="7"/>
  <c r="T41" i="7"/>
  <c r="S41" i="7" s="1"/>
  <c r="T44" i="7"/>
  <c r="S44" i="7" s="1"/>
  <c r="V36" i="7"/>
  <c r="T29" i="7"/>
  <c r="S29" i="7" s="1"/>
  <c r="V34" i="7"/>
  <c r="V39" i="7"/>
  <c r="T45" i="7"/>
  <c r="S45" i="7" s="1"/>
  <c r="T47" i="7"/>
  <c r="S47" i="7" s="1"/>
  <c r="T34" i="7"/>
  <c r="S34" i="7" s="1"/>
  <c r="V45" i="7"/>
  <c r="T48" i="7"/>
  <c r="S48" i="7" s="1"/>
  <c r="G38" i="7"/>
  <c r="G41" i="7"/>
  <c r="R19" i="7"/>
  <c r="T19" i="7" s="1"/>
  <c r="S19" i="7" s="1"/>
  <c r="H20" i="7"/>
  <c r="R22" i="7"/>
  <c r="V22" i="7" s="1"/>
  <c r="H23" i="7"/>
  <c r="R25" i="7"/>
  <c r="U25" i="7" s="1"/>
  <c r="H26" i="7"/>
  <c r="R28" i="7"/>
  <c r="V28" i="7" s="1"/>
  <c r="H29" i="7"/>
  <c r="R31" i="7"/>
  <c r="T31" i="7" s="1"/>
  <c r="S31" i="7" s="1"/>
  <c r="H32" i="7"/>
  <c r="R34" i="7"/>
  <c r="U34" i="7" s="1"/>
  <c r="H35" i="7"/>
  <c r="R37" i="7"/>
  <c r="V37" i="7" s="1"/>
  <c r="H38" i="7"/>
  <c r="R40" i="7"/>
  <c r="U40" i="7" s="1"/>
  <c r="H41" i="7"/>
  <c r="R43" i="7"/>
  <c r="U43" i="7" s="1"/>
  <c r="H44" i="7"/>
  <c r="R46" i="7"/>
  <c r="U46" i="7" s="1"/>
  <c r="H47" i="7"/>
  <c r="G20" i="7"/>
  <c r="G23" i="7"/>
  <c r="L18" i="7"/>
  <c r="G19" i="7"/>
  <c r="G22" i="7"/>
  <c r="G25" i="7"/>
  <c r="G28" i="7"/>
  <c r="G31" i="7"/>
  <c r="G34" i="7"/>
  <c r="G37" i="7"/>
  <c r="U38" i="7"/>
  <c r="G40" i="7"/>
  <c r="U41" i="7"/>
  <c r="G43" i="7"/>
  <c r="G46" i="7"/>
  <c r="U47" i="7"/>
  <c r="G32" i="7"/>
  <c r="R18" i="7"/>
  <c r="V18" i="7" s="1"/>
  <c r="H19" i="7"/>
  <c r="R21" i="7"/>
  <c r="U21" i="7" s="1"/>
  <c r="H22" i="7"/>
  <c r="R24" i="7"/>
  <c r="U24" i="7" s="1"/>
  <c r="H25" i="7"/>
  <c r="R27" i="7"/>
  <c r="U27" i="7" s="1"/>
  <c r="H28" i="7"/>
  <c r="R30" i="7"/>
  <c r="U30" i="7" s="1"/>
  <c r="H31" i="7"/>
  <c r="R33" i="7"/>
  <c r="U33" i="7" s="1"/>
  <c r="H34" i="7"/>
  <c r="V35" i="7"/>
  <c r="R36" i="7"/>
  <c r="U36" i="7" s="1"/>
  <c r="H37" i="7"/>
  <c r="R39" i="7"/>
  <c r="U39" i="7" s="1"/>
  <c r="H40" i="7"/>
  <c r="R42" i="7"/>
  <c r="K42" i="7" s="1"/>
  <c r="H43" i="7"/>
  <c r="R45" i="7"/>
  <c r="U45" i="7" s="1"/>
  <c r="H46" i="7"/>
  <c r="V47" i="7"/>
  <c r="R48" i="7"/>
  <c r="U48" i="7" s="1"/>
  <c r="G29" i="7"/>
  <c r="G44" i="7"/>
  <c r="G47" i="7"/>
  <c r="G18" i="7"/>
  <c r="U19" i="7"/>
  <c r="G21" i="7"/>
  <c r="G24" i="7"/>
  <c r="G27" i="7"/>
  <c r="U28" i="7"/>
  <c r="G30" i="7"/>
  <c r="G33" i="7"/>
  <c r="G36" i="7"/>
  <c r="U37" i="7"/>
  <c r="G39" i="7"/>
  <c r="G42" i="7"/>
  <c r="G45" i="7"/>
  <c r="G48" i="7"/>
  <c r="G26" i="7"/>
  <c r="H18" i="7"/>
  <c r="R20" i="7"/>
  <c r="T20" i="7" s="1"/>
  <c r="S20" i="7" s="1"/>
  <c r="H21" i="7"/>
  <c r="R23" i="7"/>
  <c r="V23" i="7" s="1"/>
  <c r="H24" i="7"/>
  <c r="R26" i="7"/>
  <c r="T26" i="7" s="1"/>
  <c r="S26" i="7" s="1"/>
  <c r="H27" i="7"/>
  <c r="R29" i="7"/>
  <c r="V29" i="7" s="1"/>
  <c r="H30" i="7"/>
  <c r="R32" i="7"/>
  <c r="V32" i="7" s="1"/>
  <c r="H33" i="7"/>
  <c r="R35" i="7"/>
  <c r="T35" i="7" s="1"/>
  <c r="S35" i="7" s="1"/>
  <c r="H36" i="7"/>
  <c r="R38" i="7"/>
  <c r="H39" i="7"/>
  <c r="R41" i="7"/>
  <c r="V41" i="7" s="1"/>
  <c r="H42" i="7"/>
  <c r="R44" i="7"/>
  <c r="U44" i="7" s="1"/>
  <c r="H45" i="7"/>
  <c r="R17" i="1"/>
  <c r="D15" i="1"/>
  <c r="Q49" i="1"/>
  <c r="E49" i="1"/>
  <c r="T26" i="24" l="1"/>
  <c r="S26" i="24" s="1"/>
  <c r="T24" i="10"/>
  <c r="S24" i="10" s="1"/>
  <c r="R49" i="27"/>
  <c r="T36" i="27"/>
  <c r="S36" i="27" s="1"/>
  <c r="T18" i="27"/>
  <c r="H49" i="27"/>
  <c r="P2" i="27" s="1"/>
  <c r="T33" i="27"/>
  <c r="S33" i="27" s="1"/>
  <c r="V33" i="27"/>
  <c r="V24" i="27"/>
  <c r="U42" i="27"/>
  <c r="L42" i="27"/>
  <c r="T42" i="27" s="1"/>
  <c r="S42" i="27" s="1"/>
  <c r="V42" i="27"/>
  <c r="T30" i="27"/>
  <c r="S30" i="27" s="1"/>
  <c r="T21" i="27"/>
  <c r="S21" i="27" s="1"/>
  <c r="U35" i="26"/>
  <c r="T35" i="26"/>
  <c r="S35" i="26" s="1"/>
  <c r="U26" i="26"/>
  <c r="T26" i="26"/>
  <c r="S26" i="26" s="1"/>
  <c r="T18" i="26"/>
  <c r="V39" i="26"/>
  <c r="V30" i="26"/>
  <c r="T21" i="26"/>
  <c r="S21" i="26" s="1"/>
  <c r="T36" i="26"/>
  <c r="S36" i="26" s="1"/>
  <c r="T39" i="26"/>
  <c r="S39" i="26" s="1"/>
  <c r="T44" i="26"/>
  <c r="S44" i="26" s="1"/>
  <c r="U21" i="26"/>
  <c r="T41" i="26"/>
  <c r="S41" i="26" s="1"/>
  <c r="U41" i="26"/>
  <c r="U32" i="26"/>
  <c r="T32" i="26"/>
  <c r="S32" i="26" s="1"/>
  <c r="U23" i="26"/>
  <c r="T23" i="26"/>
  <c r="S23" i="26" s="1"/>
  <c r="R49" i="26"/>
  <c r="V18" i="26"/>
  <c r="U36" i="26"/>
  <c r="U18" i="26"/>
  <c r="V26" i="26"/>
  <c r="T48" i="26"/>
  <c r="S48" i="26" s="1"/>
  <c r="V32" i="26"/>
  <c r="U24" i="26"/>
  <c r="V35" i="26"/>
  <c r="T38" i="26"/>
  <c r="S38" i="26" s="1"/>
  <c r="U38" i="26"/>
  <c r="U29" i="26"/>
  <c r="T29" i="26"/>
  <c r="S29" i="26" s="1"/>
  <c r="U20" i="26"/>
  <c r="T20" i="26"/>
  <c r="S20" i="26" s="1"/>
  <c r="U42" i="26"/>
  <c r="L42" i="26"/>
  <c r="T42" i="26" s="1"/>
  <c r="S42" i="26" s="1"/>
  <c r="V42" i="26"/>
  <c r="T45" i="26"/>
  <c r="S45" i="26" s="1"/>
  <c r="T33" i="26"/>
  <c r="S33" i="26" s="1"/>
  <c r="U48" i="26"/>
  <c r="V44" i="26"/>
  <c r="H49" i="26"/>
  <c r="P2" i="26" s="1"/>
  <c r="V41" i="26"/>
  <c r="U33" i="26"/>
  <c r="T30" i="26"/>
  <c r="S30" i="26" s="1"/>
  <c r="T27" i="26"/>
  <c r="S27" i="26" s="1"/>
  <c r="V20" i="26"/>
  <c r="U26" i="24"/>
  <c r="V27" i="24"/>
  <c r="T21" i="23"/>
  <c r="S21" i="23" s="1"/>
  <c r="V39" i="22"/>
  <c r="T35" i="22"/>
  <c r="S35" i="22" s="1"/>
  <c r="V32" i="22"/>
  <c r="V33" i="22"/>
  <c r="T32" i="22"/>
  <c r="S32" i="22" s="1"/>
  <c r="T23" i="22"/>
  <c r="S23" i="22" s="1"/>
  <c r="T39" i="22"/>
  <c r="S39" i="22" s="1"/>
  <c r="U24" i="21"/>
  <c r="G49" i="21"/>
  <c r="T24" i="21"/>
  <c r="S24" i="21" s="1"/>
  <c r="U21" i="20"/>
  <c r="G49" i="20"/>
  <c r="T33" i="19"/>
  <c r="S33" i="19" s="1"/>
  <c r="V33" i="19"/>
  <c r="T24" i="19"/>
  <c r="S24" i="19" s="1"/>
  <c r="U21" i="19"/>
  <c r="T30" i="16"/>
  <c r="S30" i="16" s="1"/>
  <c r="H49" i="16"/>
  <c r="P2" i="16" s="1"/>
  <c r="T21" i="24"/>
  <c r="S21" i="24" s="1"/>
  <c r="S18" i="24"/>
  <c r="V39" i="24"/>
  <c r="H49" i="24"/>
  <c r="P2" i="24" s="1"/>
  <c r="U18" i="24"/>
  <c r="R49" i="24"/>
  <c r="T45" i="24"/>
  <c r="S45" i="24" s="1"/>
  <c r="V32" i="24"/>
  <c r="T39" i="24"/>
  <c r="S39" i="24" s="1"/>
  <c r="T38" i="24"/>
  <c r="S38" i="24" s="1"/>
  <c r="T48" i="24"/>
  <c r="S48" i="24" s="1"/>
  <c r="V18" i="24"/>
  <c r="T33" i="24"/>
  <c r="S33" i="24" s="1"/>
  <c r="V20" i="24"/>
  <c r="U41" i="24"/>
  <c r="U32" i="24"/>
  <c r="U23" i="24"/>
  <c r="V21" i="24"/>
  <c r="T24" i="24"/>
  <c r="S24" i="24" s="1"/>
  <c r="T36" i="24"/>
  <c r="S36" i="24" s="1"/>
  <c r="V38" i="24"/>
  <c r="T27" i="24"/>
  <c r="S27" i="24" s="1"/>
  <c r="V42" i="24"/>
  <c r="U42" i="24"/>
  <c r="V33" i="24"/>
  <c r="V30" i="24"/>
  <c r="T30" i="24"/>
  <c r="S30" i="24" s="1"/>
  <c r="T29" i="24"/>
  <c r="S29" i="24" s="1"/>
  <c r="T20" i="24"/>
  <c r="S20" i="24" s="1"/>
  <c r="G49" i="24"/>
  <c r="U29" i="24"/>
  <c r="L42" i="24"/>
  <c r="V23" i="24"/>
  <c r="T35" i="23"/>
  <c r="S35" i="23" s="1"/>
  <c r="U24" i="23"/>
  <c r="V33" i="23"/>
  <c r="T29" i="23"/>
  <c r="S29" i="23" s="1"/>
  <c r="U23" i="23"/>
  <c r="T23" i="23"/>
  <c r="S23" i="23" s="1"/>
  <c r="T36" i="23"/>
  <c r="S36" i="23" s="1"/>
  <c r="V36" i="23"/>
  <c r="U27" i="23"/>
  <c r="U21" i="23"/>
  <c r="V44" i="23"/>
  <c r="U42" i="23"/>
  <c r="V42" i="23"/>
  <c r="L42" i="23"/>
  <c r="T42" i="23" s="1"/>
  <c r="S42" i="23" s="1"/>
  <c r="V45" i="23"/>
  <c r="V35" i="23"/>
  <c r="T33" i="23"/>
  <c r="S33" i="23" s="1"/>
  <c r="V38" i="23"/>
  <c r="T18" i="23"/>
  <c r="L49" i="23"/>
  <c r="P3" i="23" s="1"/>
  <c r="T38" i="23"/>
  <c r="S38" i="23" s="1"/>
  <c r="U20" i="23"/>
  <c r="T20" i="23"/>
  <c r="S20" i="23" s="1"/>
  <c r="R49" i="23"/>
  <c r="T44" i="23"/>
  <c r="S44" i="23" s="1"/>
  <c r="K49" i="23"/>
  <c r="T26" i="23"/>
  <c r="S26" i="23" s="1"/>
  <c r="H49" i="23"/>
  <c r="P2" i="23" s="1"/>
  <c r="T48" i="23"/>
  <c r="S48" i="23" s="1"/>
  <c r="T27" i="23"/>
  <c r="S27" i="23" s="1"/>
  <c r="T41" i="23"/>
  <c r="S41" i="23" s="1"/>
  <c r="V32" i="23"/>
  <c r="T24" i="23"/>
  <c r="S24" i="23" s="1"/>
  <c r="U18" i="23"/>
  <c r="V26" i="23"/>
  <c r="V18" i="23"/>
  <c r="U20" i="22"/>
  <c r="T20" i="22"/>
  <c r="S20" i="22" s="1"/>
  <c r="T30" i="22"/>
  <c r="S30" i="22" s="1"/>
  <c r="U21" i="22"/>
  <c r="U30" i="22"/>
  <c r="T29" i="22"/>
  <c r="S29" i="22" s="1"/>
  <c r="T26" i="22"/>
  <c r="S26" i="22" s="1"/>
  <c r="H49" i="22"/>
  <c r="P2" i="22" s="1"/>
  <c r="T33" i="22"/>
  <c r="S33" i="22" s="1"/>
  <c r="T27" i="22"/>
  <c r="S27" i="22" s="1"/>
  <c r="T18" i="22"/>
  <c r="L49" i="22"/>
  <c r="P3" i="22" s="1"/>
  <c r="V24" i="22"/>
  <c r="V38" i="22"/>
  <c r="V47" i="22"/>
  <c r="V41" i="22"/>
  <c r="G49" i="22"/>
  <c r="T21" i="22"/>
  <c r="S21" i="22" s="1"/>
  <c r="V48" i="22"/>
  <c r="T24" i="22"/>
  <c r="S24" i="22" s="1"/>
  <c r="T47" i="22"/>
  <c r="S47" i="22" s="1"/>
  <c r="V26" i="22"/>
  <c r="V29" i="22"/>
  <c r="V35" i="22"/>
  <c r="T48" i="22"/>
  <c r="S48" i="22" s="1"/>
  <c r="V27" i="22"/>
  <c r="U42" i="22"/>
  <c r="L42" i="22"/>
  <c r="T42" i="22" s="1"/>
  <c r="S42" i="22" s="1"/>
  <c r="V42" i="22"/>
  <c r="R49" i="22"/>
  <c r="V18" i="22"/>
  <c r="V44" i="22"/>
  <c r="T38" i="22"/>
  <c r="S38" i="22" s="1"/>
  <c r="T44" i="22"/>
  <c r="S44" i="22" s="1"/>
  <c r="V23" i="22"/>
  <c r="V30" i="21"/>
  <c r="V36" i="21"/>
  <c r="U42" i="21"/>
  <c r="V42" i="21"/>
  <c r="L42" i="21"/>
  <c r="T42" i="21" s="1"/>
  <c r="S42" i="21" s="1"/>
  <c r="U36" i="21"/>
  <c r="V39" i="21"/>
  <c r="U27" i="21"/>
  <c r="U33" i="21"/>
  <c r="T39" i="21"/>
  <c r="S39" i="21" s="1"/>
  <c r="T30" i="21"/>
  <c r="S30" i="21" s="1"/>
  <c r="H49" i="21"/>
  <c r="P2" i="21" s="1"/>
  <c r="T18" i="21"/>
  <c r="L49" i="21"/>
  <c r="P3" i="21" s="1"/>
  <c r="U21" i="21"/>
  <c r="V21" i="21"/>
  <c r="R49" i="21"/>
  <c r="T24" i="20"/>
  <c r="S24" i="20" s="1"/>
  <c r="T39" i="20"/>
  <c r="S39" i="20" s="1"/>
  <c r="U24" i="20"/>
  <c r="H49" i="20"/>
  <c r="P2" i="20" s="1"/>
  <c r="U39" i="20"/>
  <c r="T27" i="20"/>
  <c r="S27" i="20" s="1"/>
  <c r="T33" i="20"/>
  <c r="S33" i="20" s="1"/>
  <c r="T45" i="20"/>
  <c r="S45" i="20" s="1"/>
  <c r="U42" i="20"/>
  <c r="L42" i="20"/>
  <c r="T42" i="20" s="1"/>
  <c r="S42" i="20" s="1"/>
  <c r="V42" i="20"/>
  <c r="U27" i="20"/>
  <c r="K49" i="20"/>
  <c r="S18" i="20"/>
  <c r="R49" i="20"/>
  <c r="V18" i="20"/>
  <c r="L49" i="20"/>
  <c r="P3" i="20" s="1"/>
  <c r="T36" i="20"/>
  <c r="S36" i="20" s="1"/>
  <c r="T30" i="20"/>
  <c r="S30" i="20" s="1"/>
  <c r="U30" i="20"/>
  <c r="U45" i="20"/>
  <c r="H49" i="19"/>
  <c r="P2" i="19" s="1"/>
  <c r="R49" i="19"/>
  <c r="T18" i="19"/>
  <c r="T39" i="19"/>
  <c r="S39" i="19" s="1"/>
  <c r="U36" i="19"/>
  <c r="V30" i="19"/>
  <c r="T21" i="19"/>
  <c r="S21" i="19" s="1"/>
  <c r="T30" i="19"/>
  <c r="S30" i="19" s="1"/>
  <c r="U42" i="19"/>
  <c r="L42" i="19"/>
  <c r="T42" i="19" s="1"/>
  <c r="S42" i="19" s="1"/>
  <c r="V42" i="19"/>
  <c r="K49" i="19"/>
  <c r="G49" i="19"/>
  <c r="T27" i="19"/>
  <c r="S27" i="19" s="1"/>
  <c r="U27" i="19"/>
  <c r="T45" i="19"/>
  <c r="S45" i="19" s="1"/>
  <c r="V18" i="19"/>
  <c r="U18" i="19"/>
  <c r="V24" i="15"/>
  <c r="G49" i="15"/>
  <c r="V21" i="15"/>
  <c r="U30" i="15"/>
  <c r="H49" i="15"/>
  <c r="P2" i="15" s="1"/>
  <c r="V30" i="15"/>
  <c r="U27" i="15"/>
  <c r="V27" i="14"/>
  <c r="T20" i="14"/>
  <c r="S20" i="14" s="1"/>
  <c r="V27" i="18"/>
  <c r="U42" i="18"/>
  <c r="V42" i="18"/>
  <c r="L42" i="18"/>
  <c r="T42" i="18" s="1"/>
  <c r="S42" i="18" s="1"/>
  <c r="K49" i="18"/>
  <c r="T24" i="18"/>
  <c r="S24" i="18" s="1"/>
  <c r="U36" i="18"/>
  <c r="H49" i="18"/>
  <c r="P2" i="18" s="1"/>
  <c r="V24" i="18"/>
  <c r="T18" i="18"/>
  <c r="L49" i="18"/>
  <c r="P3" i="18" s="1"/>
  <c r="U18" i="18"/>
  <c r="U33" i="18"/>
  <c r="V14" i="18"/>
  <c r="P9" i="18" s="1"/>
  <c r="P7" i="18"/>
  <c r="T36" i="18"/>
  <c r="S36" i="18" s="1"/>
  <c r="G49" i="13"/>
  <c r="V25" i="13"/>
  <c r="V22" i="13"/>
  <c r="T28" i="13"/>
  <c r="S28" i="13" s="1"/>
  <c r="H49" i="13"/>
  <c r="P2" i="13" s="1"/>
  <c r="V28" i="13"/>
  <c r="G49" i="12"/>
  <c r="V27" i="12"/>
  <c r="T29" i="12"/>
  <c r="S29" i="12" s="1"/>
  <c r="U21" i="12"/>
  <c r="U27" i="12"/>
  <c r="R49" i="17"/>
  <c r="G49" i="17"/>
  <c r="T36" i="17"/>
  <c r="S36" i="17" s="1"/>
  <c r="V36" i="17"/>
  <c r="H49" i="17"/>
  <c r="P2" i="17" s="1"/>
  <c r="V48" i="17"/>
  <c r="U42" i="17"/>
  <c r="L42" i="17"/>
  <c r="T42" i="17" s="1"/>
  <c r="S42" i="17" s="1"/>
  <c r="V42" i="17"/>
  <c r="T39" i="17"/>
  <c r="S39" i="17" s="1"/>
  <c r="U45" i="17"/>
  <c r="T38" i="17"/>
  <c r="S38" i="17" s="1"/>
  <c r="T20" i="17"/>
  <c r="S20" i="17" s="1"/>
  <c r="V29" i="17"/>
  <c r="T29" i="17"/>
  <c r="S29" i="17" s="1"/>
  <c r="T27" i="17"/>
  <c r="S27" i="17" s="1"/>
  <c r="T24" i="17"/>
  <c r="S24" i="17" s="1"/>
  <c r="T33" i="17"/>
  <c r="S33" i="17" s="1"/>
  <c r="V38" i="17"/>
  <c r="U18" i="17"/>
  <c r="V23" i="17"/>
  <c r="T45" i="17"/>
  <c r="S45" i="17" s="1"/>
  <c r="V18" i="17"/>
  <c r="V32" i="17"/>
  <c r="T32" i="17"/>
  <c r="S32" i="17" s="1"/>
  <c r="T41" i="17"/>
  <c r="S41" i="17" s="1"/>
  <c r="T23" i="17"/>
  <c r="S23" i="17" s="1"/>
  <c r="T18" i="17"/>
  <c r="L49" i="17"/>
  <c r="P3" i="17" s="1"/>
  <c r="V27" i="11"/>
  <c r="G49" i="11"/>
  <c r="U27" i="11"/>
  <c r="H49" i="11"/>
  <c r="P2" i="11" s="1"/>
  <c r="T30" i="10"/>
  <c r="S30" i="10" s="1"/>
  <c r="V26" i="10"/>
  <c r="U20" i="10"/>
  <c r="V20" i="10"/>
  <c r="G49" i="10"/>
  <c r="U30" i="10"/>
  <c r="H49" i="9"/>
  <c r="P2" i="9" s="1"/>
  <c r="G49" i="9"/>
  <c r="U18" i="9"/>
  <c r="V27" i="8"/>
  <c r="T27" i="8"/>
  <c r="S27" i="8" s="1"/>
  <c r="V21" i="8"/>
  <c r="U23" i="7"/>
  <c r="T30" i="7"/>
  <c r="S30" i="7" s="1"/>
  <c r="U20" i="7"/>
  <c r="T28" i="7"/>
  <c r="S28" i="7" s="1"/>
  <c r="T21" i="7"/>
  <c r="S21" i="7" s="1"/>
  <c r="V39" i="16"/>
  <c r="U30" i="16"/>
  <c r="R49" i="16"/>
  <c r="T39" i="16"/>
  <c r="S39" i="16" s="1"/>
  <c r="T27" i="16"/>
  <c r="S27" i="16" s="1"/>
  <c r="G49" i="16"/>
  <c r="U21" i="16"/>
  <c r="U48" i="16"/>
  <c r="T21" i="16"/>
  <c r="S21" i="16" s="1"/>
  <c r="T48" i="16"/>
  <c r="S48" i="16" s="1"/>
  <c r="T18" i="16"/>
  <c r="T36" i="16"/>
  <c r="S36" i="16" s="1"/>
  <c r="U42" i="16"/>
  <c r="L42" i="16"/>
  <c r="T42" i="16" s="1"/>
  <c r="S42" i="16" s="1"/>
  <c r="V42" i="16"/>
  <c r="U18" i="16"/>
  <c r="V18" i="16"/>
  <c r="T18" i="15"/>
  <c r="L49" i="15"/>
  <c r="P3" i="15" s="1"/>
  <c r="V35" i="15"/>
  <c r="T44" i="15"/>
  <c r="S44" i="15" s="1"/>
  <c r="R49" i="15"/>
  <c r="V48" i="15"/>
  <c r="U41" i="15"/>
  <c r="U32" i="15"/>
  <c r="U23" i="15"/>
  <c r="V29" i="15"/>
  <c r="U39" i="15"/>
  <c r="V38" i="15"/>
  <c r="V20" i="15"/>
  <c r="U44" i="15"/>
  <c r="U35" i="15"/>
  <c r="U26" i="15"/>
  <c r="V26" i="15"/>
  <c r="T45" i="15"/>
  <c r="S45" i="15" s="1"/>
  <c r="U42" i="15"/>
  <c r="V42" i="15"/>
  <c r="V18" i="15"/>
  <c r="V45" i="15"/>
  <c r="V27" i="15"/>
  <c r="U36" i="15"/>
  <c r="T36" i="15"/>
  <c r="S36" i="15" s="1"/>
  <c r="T48" i="15"/>
  <c r="S48" i="15" s="1"/>
  <c r="U29" i="15"/>
  <c r="U38" i="15"/>
  <c r="U20" i="15"/>
  <c r="T21" i="15"/>
  <c r="S21" i="15" s="1"/>
  <c r="T18" i="14"/>
  <c r="V35" i="14"/>
  <c r="U48" i="14"/>
  <c r="V21" i="14"/>
  <c r="T30" i="14"/>
  <c r="S30" i="14" s="1"/>
  <c r="T21" i="14"/>
  <c r="S21" i="14" s="1"/>
  <c r="T29" i="14"/>
  <c r="S29" i="14" s="1"/>
  <c r="V23" i="14"/>
  <c r="T41" i="14"/>
  <c r="S41" i="14" s="1"/>
  <c r="T35" i="14"/>
  <c r="S35" i="14" s="1"/>
  <c r="R49" i="14"/>
  <c r="V30" i="14"/>
  <c r="T27" i="14"/>
  <c r="S27" i="14" s="1"/>
  <c r="U42" i="14"/>
  <c r="L42" i="14"/>
  <c r="T42" i="14" s="1"/>
  <c r="S42" i="14" s="1"/>
  <c r="V42" i="14"/>
  <c r="V26" i="14"/>
  <c r="T44" i="14"/>
  <c r="S44" i="14" s="1"/>
  <c r="T32" i="14"/>
  <c r="S32" i="14" s="1"/>
  <c r="G49" i="14"/>
  <c r="T45" i="14"/>
  <c r="S45" i="14" s="1"/>
  <c r="H49" i="14"/>
  <c r="P2" i="14" s="1"/>
  <c r="V18" i="14"/>
  <c r="V39" i="14"/>
  <c r="V41" i="14"/>
  <c r="V29" i="14"/>
  <c r="T23" i="14"/>
  <c r="S23" i="14" s="1"/>
  <c r="T38" i="14"/>
  <c r="S38" i="14" s="1"/>
  <c r="V45" i="13"/>
  <c r="V34" i="13"/>
  <c r="V31" i="13"/>
  <c r="T34" i="13"/>
  <c r="S34" i="13" s="1"/>
  <c r="T40" i="13"/>
  <c r="S40" i="13" s="1"/>
  <c r="V37" i="13"/>
  <c r="T18" i="13"/>
  <c r="L49" i="13"/>
  <c r="P3" i="13" s="1"/>
  <c r="P5" i="13" s="1"/>
  <c r="V36" i="13"/>
  <c r="T43" i="13"/>
  <c r="S43" i="13" s="1"/>
  <c r="V30" i="13"/>
  <c r="T24" i="13"/>
  <c r="S24" i="13" s="1"/>
  <c r="V27" i="13"/>
  <c r="T30" i="13"/>
  <c r="S30" i="13" s="1"/>
  <c r="T33" i="13"/>
  <c r="S33" i="13" s="1"/>
  <c r="T36" i="13"/>
  <c r="S36" i="13" s="1"/>
  <c r="V33" i="13"/>
  <c r="U18" i="13"/>
  <c r="R49" i="13"/>
  <c r="T27" i="13"/>
  <c r="S27" i="13" s="1"/>
  <c r="U42" i="13"/>
  <c r="V42" i="13"/>
  <c r="T45" i="13"/>
  <c r="S45" i="13" s="1"/>
  <c r="V40" i="13"/>
  <c r="V43" i="13"/>
  <c r="K49" i="13"/>
  <c r="T22" i="13"/>
  <c r="S22" i="13" s="1"/>
  <c r="V19" i="13"/>
  <c r="U42" i="12"/>
  <c r="V42" i="12"/>
  <c r="V45" i="12"/>
  <c r="U38" i="12"/>
  <c r="U29" i="12"/>
  <c r="V24" i="12"/>
  <c r="T33" i="12"/>
  <c r="S33" i="12" s="1"/>
  <c r="U30" i="12"/>
  <c r="T30" i="12"/>
  <c r="S30" i="12" s="1"/>
  <c r="H49" i="12"/>
  <c r="P2" i="12" s="1"/>
  <c r="U44" i="12"/>
  <c r="U35" i="12"/>
  <c r="U26" i="12"/>
  <c r="T18" i="12"/>
  <c r="V35" i="12"/>
  <c r="V26" i="12"/>
  <c r="T24" i="12"/>
  <c r="S24" i="12" s="1"/>
  <c r="R49" i="12"/>
  <c r="K49" i="12"/>
  <c r="V18" i="12"/>
  <c r="L42" i="12"/>
  <c r="T42" i="12" s="1"/>
  <c r="S42" i="12" s="1"/>
  <c r="T18" i="11"/>
  <c r="L49" i="11"/>
  <c r="P3" i="11" s="1"/>
  <c r="V39" i="11"/>
  <c r="T24" i="11"/>
  <c r="S24" i="11" s="1"/>
  <c r="T33" i="11"/>
  <c r="S33" i="11" s="1"/>
  <c r="U33" i="11"/>
  <c r="V24" i="11"/>
  <c r="R49" i="11"/>
  <c r="V36" i="11"/>
  <c r="U45" i="11"/>
  <c r="U18" i="11"/>
  <c r="U42" i="11"/>
  <c r="V42" i="11"/>
  <c r="U21" i="11"/>
  <c r="T21" i="11"/>
  <c r="S21" i="11" s="1"/>
  <c r="T30" i="11"/>
  <c r="S30" i="11" s="1"/>
  <c r="L42" i="11"/>
  <c r="T42" i="11" s="1"/>
  <c r="S42" i="11" s="1"/>
  <c r="H49" i="10"/>
  <c r="P2" i="10" s="1"/>
  <c r="V27" i="10"/>
  <c r="U41" i="10"/>
  <c r="U32" i="10"/>
  <c r="U23" i="10"/>
  <c r="V35" i="10"/>
  <c r="T36" i="10"/>
  <c r="S36" i="10" s="1"/>
  <c r="U36" i="10"/>
  <c r="U27" i="10"/>
  <c r="V18" i="10"/>
  <c r="R49" i="10"/>
  <c r="V38" i="10"/>
  <c r="V39" i="10"/>
  <c r="V21" i="10"/>
  <c r="T45" i="10"/>
  <c r="S45" i="10" s="1"/>
  <c r="V32" i="10"/>
  <c r="U45" i="10"/>
  <c r="U42" i="10"/>
  <c r="V42" i="10"/>
  <c r="U35" i="10"/>
  <c r="U26" i="10"/>
  <c r="T18" i="10"/>
  <c r="V41" i="10"/>
  <c r="V23" i="10"/>
  <c r="L42" i="10"/>
  <c r="T42" i="10" s="1"/>
  <c r="S42" i="10" s="1"/>
  <c r="U18" i="10"/>
  <c r="V39" i="9"/>
  <c r="V36" i="9"/>
  <c r="V30" i="9"/>
  <c r="T45" i="9"/>
  <c r="S45" i="9" s="1"/>
  <c r="U42" i="9"/>
  <c r="V42" i="9"/>
  <c r="K49" i="9"/>
  <c r="V27" i="9"/>
  <c r="T21" i="9"/>
  <c r="S21" i="9" s="1"/>
  <c r="U39" i="9"/>
  <c r="T30" i="9"/>
  <c r="S30" i="9" s="1"/>
  <c r="V21" i="9"/>
  <c r="R49" i="9"/>
  <c r="T27" i="9"/>
  <c r="S27" i="9" s="1"/>
  <c r="T18" i="9"/>
  <c r="L49" i="9"/>
  <c r="P3" i="9" s="1"/>
  <c r="P4" i="9" s="1"/>
  <c r="U36" i="9"/>
  <c r="U39" i="8"/>
  <c r="U30" i="8"/>
  <c r="T24" i="8"/>
  <c r="S24" i="8" s="1"/>
  <c r="V24" i="8"/>
  <c r="V39" i="8"/>
  <c r="T21" i="8"/>
  <c r="S21" i="8" s="1"/>
  <c r="V45" i="8"/>
  <c r="T30" i="8"/>
  <c r="S30" i="8" s="1"/>
  <c r="U48" i="8"/>
  <c r="T18" i="8"/>
  <c r="G49" i="8"/>
  <c r="U42" i="8"/>
  <c r="V42" i="8"/>
  <c r="U33" i="8"/>
  <c r="U36" i="8"/>
  <c r="H49" i="8"/>
  <c r="P2" i="8" s="1"/>
  <c r="R49" i="8"/>
  <c r="L42" i="8"/>
  <c r="T42" i="8" s="1"/>
  <c r="S42" i="8" s="1"/>
  <c r="U32" i="7"/>
  <c r="V24" i="7"/>
  <c r="V21" i="7"/>
  <c r="V30" i="7"/>
  <c r="U29" i="7"/>
  <c r="H49" i="7"/>
  <c r="P2" i="7" s="1"/>
  <c r="T25" i="7"/>
  <c r="S25" i="7" s="1"/>
  <c r="U42" i="7"/>
  <c r="V42" i="7"/>
  <c r="V44" i="7"/>
  <c r="V27" i="7"/>
  <c r="T39" i="7"/>
  <c r="S39" i="7" s="1"/>
  <c r="V46" i="7"/>
  <c r="V40" i="7"/>
  <c r="G49" i="7"/>
  <c r="U35" i="7"/>
  <c r="U26" i="7"/>
  <c r="T18" i="7"/>
  <c r="T32" i="7"/>
  <c r="S32" i="7" s="1"/>
  <c r="V26" i="7"/>
  <c r="K49" i="7"/>
  <c r="V33" i="7"/>
  <c r="T43" i="7"/>
  <c r="S43" i="7" s="1"/>
  <c r="V25" i="7"/>
  <c r="T37" i="7"/>
  <c r="S37" i="7" s="1"/>
  <c r="L42" i="7"/>
  <c r="T42" i="7" s="1"/>
  <c r="S42" i="7" s="1"/>
  <c r="T24" i="7"/>
  <c r="S24" i="7" s="1"/>
  <c r="V31" i="7"/>
  <c r="T46" i="7"/>
  <c r="S46" i="7" s="1"/>
  <c r="T40" i="7"/>
  <c r="S40" i="7" s="1"/>
  <c r="T22" i="7"/>
  <c r="S22" i="7" s="1"/>
  <c r="U31" i="7"/>
  <c r="U22" i="7"/>
  <c r="V19" i="7"/>
  <c r="T33" i="7"/>
  <c r="S33" i="7" s="1"/>
  <c r="R49" i="7"/>
  <c r="U18" i="7"/>
  <c r="T27" i="7"/>
  <c r="S27" i="7" s="1"/>
  <c r="G39" i="1"/>
  <c r="G42" i="1"/>
  <c r="G45" i="1"/>
  <c r="G48" i="1"/>
  <c r="G33" i="1"/>
  <c r="G26" i="1"/>
  <c r="K26" i="1" s="1"/>
  <c r="G20" i="1"/>
  <c r="K20" i="1" s="1"/>
  <c r="G22" i="1"/>
  <c r="K22" i="1" s="1"/>
  <c r="G32" i="1"/>
  <c r="K32" i="1" s="1"/>
  <c r="G25" i="1"/>
  <c r="K25" i="1" s="1"/>
  <c r="G19" i="1"/>
  <c r="K19" i="1" s="1"/>
  <c r="G37" i="1"/>
  <c r="G31" i="1"/>
  <c r="K31" i="1" s="1"/>
  <c r="G24" i="1"/>
  <c r="K24" i="1" s="1"/>
  <c r="G47" i="1"/>
  <c r="G35" i="1"/>
  <c r="G40" i="1"/>
  <c r="G43" i="1"/>
  <c r="G46" i="1"/>
  <c r="G29" i="1"/>
  <c r="K29" i="1" s="1"/>
  <c r="G28" i="1"/>
  <c r="K28" i="1" s="1"/>
  <c r="G27" i="1"/>
  <c r="K27" i="1" s="1"/>
  <c r="G21" i="1"/>
  <c r="K21" i="1" s="1"/>
  <c r="G36" i="1"/>
  <c r="G30" i="1"/>
  <c r="K30" i="1" s="1"/>
  <c r="G23" i="1"/>
  <c r="K23" i="1" s="1"/>
  <c r="G38" i="1"/>
  <c r="G41" i="1"/>
  <c r="G44" i="1"/>
  <c r="G34" i="1"/>
  <c r="R41" i="1"/>
  <c r="R45" i="1"/>
  <c r="R46" i="1"/>
  <c r="R44" i="1"/>
  <c r="R39" i="1"/>
  <c r="R40" i="1"/>
  <c r="R48" i="1"/>
  <c r="R42" i="1"/>
  <c r="R38" i="1"/>
  <c r="R47" i="1"/>
  <c r="R43" i="1"/>
  <c r="P10" i="1"/>
  <c r="R19" i="1"/>
  <c r="R31" i="1"/>
  <c r="R18" i="1"/>
  <c r="R34" i="1"/>
  <c r="R28" i="1"/>
  <c r="R22" i="1"/>
  <c r="R26" i="1"/>
  <c r="R30" i="1"/>
  <c r="R35" i="1"/>
  <c r="R29" i="1"/>
  <c r="R23" i="1"/>
  <c r="R33" i="1"/>
  <c r="R27" i="1"/>
  <c r="R21" i="1"/>
  <c r="R32" i="1"/>
  <c r="R20" i="1"/>
  <c r="R36" i="1"/>
  <c r="R24" i="1"/>
  <c r="R37" i="1"/>
  <c r="R25" i="1"/>
  <c r="G18" i="1"/>
  <c r="K18" i="1" s="1"/>
  <c r="P4" i="13" l="1"/>
  <c r="P5" i="9"/>
  <c r="L49" i="27"/>
  <c r="P3" i="27" s="1"/>
  <c r="T49" i="27"/>
  <c r="P6" i="27" s="1"/>
  <c r="S18" i="27"/>
  <c r="S49" i="27" s="1"/>
  <c r="V14" i="27"/>
  <c r="P9" i="27" s="1"/>
  <c r="P7" i="27"/>
  <c r="V14" i="26"/>
  <c r="P9" i="26" s="1"/>
  <c r="P7" i="26"/>
  <c r="L49" i="26"/>
  <c r="P3" i="26" s="1"/>
  <c r="P5" i="26" s="1"/>
  <c r="T49" i="26"/>
  <c r="P6" i="26" s="1"/>
  <c r="S18" i="26"/>
  <c r="S49" i="26" s="1"/>
  <c r="T42" i="24"/>
  <c r="S42" i="24" s="1"/>
  <c r="S49" i="24" s="1"/>
  <c r="L49" i="24"/>
  <c r="P3" i="24" s="1"/>
  <c r="V14" i="24"/>
  <c r="P9" i="24" s="1"/>
  <c r="P7" i="24"/>
  <c r="S9" i="24" s="1"/>
  <c r="V14" i="23"/>
  <c r="P9" i="23" s="1"/>
  <c r="P7" i="23"/>
  <c r="P4" i="23"/>
  <c r="P5" i="23"/>
  <c r="T49" i="23"/>
  <c r="P6" i="23" s="1"/>
  <c r="S18" i="23"/>
  <c r="S49" i="23" s="1"/>
  <c r="P7" i="22"/>
  <c r="V14" i="22"/>
  <c r="P9" i="22" s="1"/>
  <c r="T49" i="22"/>
  <c r="P6" i="22" s="1"/>
  <c r="S18" i="22"/>
  <c r="S49" i="22" s="1"/>
  <c r="P4" i="22"/>
  <c r="P5" i="22"/>
  <c r="T49" i="21"/>
  <c r="P6" i="21" s="1"/>
  <c r="S18" i="21"/>
  <c r="S49" i="21" s="1"/>
  <c r="P4" i="21"/>
  <c r="P5" i="21"/>
  <c r="V14" i="21"/>
  <c r="P9" i="21" s="1"/>
  <c r="P7" i="21"/>
  <c r="T49" i="20"/>
  <c r="P6" i="20" s="1"/>
  <c r="V14" i="20"/>
  <c r="P9" i="20" s="1"/>
  <c r="P7" i="20"/>
  <c r="P4" i="20"/>
  <c r="P5" i="20"/>
  <c r="S49" i="20"/>
  <c r="L49" i="19"/>
  <c r="P3" i="19" s="1"/>
  <c r="P4" i="19" s="1"/>
  <c r="T49" i="19"/>
  <c r="P6" i="19" s="1"/>
  <c r="S18" i="19"/>
  <c r="S49" i="19" s="1"/>
  <c r="V14" i="19"/>
  <c r="P9" i="19" s="1"/>
  <c r="P7" i="19"/>
  <c r="P5" i="15"/>
  <c r="P4" i="18"/>
  <c r="P5" i="18"/>
  <c r="T49" i="18"/>
  <c r="P6" i="18" s="1"/>
  <c r="S18" i="18"/>
  <c r="S49" i="18" s="1"/>
  <c r="S9" i="18"/>
  <c r="T9" i="18" s="1"/>
  <c r="V9" i="18" s="1"/>
  <c r="P4" i="17"/>
  <c r="P5" i="17"/>
  <c r="T49" i="17"/>
  <c r="P6" i="17" s="1"/>
  <c r="S18" i="17"/>
  <c r="S49" i="17" s="1"/>
  <c r="V14" i="17"/>
  <c r="P9" i="17" s="1"/>
  <c r="P7" i="17"/>
  <c r="S9" i="17" s="1"/>
  <c r="T9" i="17" s="1"/>
  <c r="V9" i="17" s="1"/>
  <c r="V14" i="16"/>
  <c r="P9" i="16" s="1"/>
  <c r="P7" i="16"/>
  <c r="L49" i="16"/>
  <c r="P3" i="16" s="1"/>
  <c r="T49" i="16"/>
  <c r="P6" i="16" s="1"/>
  <c r="S18" i="16"/>
  <c r="S49" i="16" s="1"/>
  <c r="T49" i="15"/>
  <c r="P6" i="15" s="1"/>
  <c r="S18" i="15"/>
  <c r="S49" i="15" s="1"/>
  <c r="V14" i="15"/>
  <c r="P9" i="15" s="1"/>
  <c r="P7" i="15"/>
  <c r="S9" i="15" s="1"/>
  <c r="U9" i="15" s="1"/>
  <c r="P4" i="15"/>
  <c r="V14" i="14"/>
  <c r="P9" i="14" s="1"/>
  <c r="P7" i="14"/>
  <c r="S9" i="14" s="1"/>
  <c r="L49" i="14"/>
  <c r="P3" i="14" s="1"/>
  <c r="P4" i="14" s="1"/>
  <c r="T49" i="14"/>
  <c r="P6" i="14" s="1"/>
  <c r="S18" i="14"/>
  <c r="S49" i="14" s="1"/>
  <c r="V14" i="13"/>
  <c r="P9" i="13" s="1"/>
  <c r="P7" i="13"/>
  <c r="T49" i="13"/>
  <c r="P6" i="13" s="1"/>
  <c r="S18" i="13"/>
  <c r="S49" i="13" s="1"/>
  <c r="T49" i="12"/>
  <c r="P6" i="12" s="1"/>
  <c r="S18" i="12"/>
  <c r="S49" i="12" s="1"/>
  <c r="V14" i="12"/>
  <c r="P9" i="12" s="1"/>
  <c r="P7" i="12"/>
  <c r="L49" i="12"/>
  <c r="P3" i="12" s="1"/>
  <c r="T49" i="11"/>
  <c r="P6" i="11" s="1"/>
  <c r="S18" i="11"/>
  <c r="S49" i="11" s="1"/>
  <c r="P5" i="11"/>
  <c r="V14" i="11"/>
  <c r="P9" i="11" s="1"/>
  <c r="P7" i="11"/>
  <c r="S9" i="11" s="1"/>
  <c r="U9" i="11" s="1"/>
  <c r="P4" i="11"/>
  <c r="L49" i="10"/>
  <c r="P3" i="10" s="1"/>
  <c r="P4" i="10" s="1"/>
  <c r="V14" i="10"/>
  <c r="P9" i="10" s="1"/>
  <c r="P7" i="10"/>
  <c r="S9" i="10" s="1"/>
  <c r="T49" i="10"/>
  <c r="P6" i="10" s="1"/>
  <c r="S18" i="10"/>
  <c r="S49" i="10" s="1"/>
  <c r="T49" i="9"/>
  <c r="P6" i="9" s="1"/>
  <c r="S18" i="9"/>
  <c r="S49" i="9" s="1"/>
  <c r="V14" i="9"/>
  <c r="P9" i="9" s="1"/>
  <c r="P7" i="9"/>
  <c r="T49" i="8"/>
  <c r="P6" i="8" s="1"/>
  <c r="S18" i="8"/>
  <c r="S49" i="8" s="1"/>
  <c r="V14" i="8"/>
  <c r="P9" i="8" s="1"/>
  <c r="P7" i="8"/>
  <c r="L49" i="8"/>
  <c r="P3" i="8" s="1"/>
  <c r="P5" i="8" s="1"/>
  <c r="V14" i="7"/>
  <c r="P9" i="7" s="1"/>
  <c r="P7" i="7"/>
  <c r="S9" i="7" s="1"/>
  <c r="L49" i="7"/>
  <c r="P3" i="7" s="1"/>
  <c r="T49" i="7"/>
  <c r="P6" i="7" s="1"/>
  <c r="S18" i="7"/>
  <c r="S49" i="7" s="1"/>
  <c r="K42" i="1"/>
  <c r="L41" i="1"/>
  <c r="T41" i="1" s="1"/>
  <c r="L38" i="1"/>
  <c r="T38" i="1" s="1"/>
  <c r="U47" i="1"/>
  <c r="L29" i="1"/>
  <c r="T29" i="1" s="1"/>
  <c r="L43" i="1"/>
  <c r="T43" i="1" s="1"/>
  <c r="L40" i="1"/>
  <c r="T40" i="1" s="1"/>
  <c r="L46" i="1"/>
  <c r="T46" i="1" s="1"/>
  <c r="L39" i="1"/>
  <c r="T39" i="1" s="1"/>
  <c r="L48" i="1"/>
  <c r="T48" i="1" s="1"/>
  <c r="L45" i="1"/>
  <c r="T45" i="1" s="1"/>
  <c r="U39" i="1"/>
  <c r="V39" i="1"/>
  <c r="U43" i="1"/>
  <c r="V43" i="1"/>
  <c r="V46" i="1"/>
  <c r="U46" i="1"/>
  <c r="U45" i="1"/>
  <c r="V45" i="1"/>
  <c r="U48" i="1"/>
  <c r="V48" i="1"/>
  <c r="V40" i="1"/>
  <c r="U40" i="1"/>
  <c r="J18" i="1"/>
  <c r="L18" i="1" s="1"/>
  <c r="T18" i="1" s="1"/>
  <c r="P5" i="19" l="1"/>
  <c r="S9" i="23"/>
  <c r="U9" i="23" s="1"/>
  <c r="P5" i="27"/>
  <c r="S9" i="27"/>
  <c r="U9" i="27" s="1"/>
  <c r="P4" i="27"/>
  <c r="P4" i="26"/>
  <c r="S9" i="26"/>
  <c r="U9" i="26" s="1"/>
  <c r="S9" i="22"/>
  <c r="S9" i="21"/>
  <c r="T49" i="24"/>
  <c r="P6" i="24" s="1"/>
  <c r="T9" i="24"/>
  <c r="V9" i="24" s="1"/>
  <c r="U9" i="24"/>
  <c r="P5" i="24"/>
  <c r="P4" i="24"/>
  <c r="S9" i="20"/>
  <c r="S9" i="19"/>
  <c r="U9" i="19" s="1"/>
  <c r="U9" i="18"/>
  <c r="S9" i="13"/>
  <c r="U9" i="17"/>
  <c r="P5" i="10"/>
  <c r="P4" i="16"/>
  <c r="P5" i="16"/>
  <c r="S9" i="16"/>
  <c r="T9" i="16" s="1"/>
  <c r="V9" i="16" s="1"/>
  <c r="T9" i="15"/>
  <c r="V9" i="15" s="1"/>
  <c r="U9" i="14"/>
  <c r="T9" i="14"/>
  <c r="V9" i="14" s="1"/>
  <c r="P5" i="14"/>
  <c r="S9" i="12"/>
  <c r="U9" i="12" s="1"/>
  <c r="P5" i="12"/>
  <c r="P4" i="12"/>
  <c r="T9" i="11"/>
  <c r="V9" i="11" s="1"/>
  <c r="U9" i="10"/>
  <c r="T9" i="10"/>
  <c r="V9" i="10" s="1"/>
  <c r="S9" i="9"/>
  <c r="T9" i="8"/>
  <c r="V9" i="8" s="1"/>
  <c r="P4" i="8"/>
  <c r="S9" i="8"/>
  <c r="U9" i="8" s="1"/>
  <c r="U9" i="7"/>
  <c r="T9" i="7"/>
  <c r="V9" i="7" s="1"/>
  <c r="P5" i="7"/>
  <c r="P4" i="7"/>
  <c r="V42" i="1"/>
  <c r="U42" i="1"/>
  <c r="L42" i="1"/>
  <c r="T42" i="1" s="1"/>
  <c r="V41" i="1"/>
  <c r="U41" i="1"/>
  <c r="L44" i="1"/>
  <c r="T44" i="1" s="1"/>
  <c r="V44" i="1"/>
  <c r="U44" i="1"/>
  <c r="V47" i="1"/>
  <c r="V38" i="1"/>
  <c r="U38" i="1"/>
  <c r="L47" i="1"/>
  <c r="T47" i="1" s="1"/>
  <c r="U18" i="1"/>
  <c r="V18" i="1"/>
  <c r="V19" i="1"/>
  <c r="U19" i="1"/>
  <c r="L19" i="1"/>
  <c r="T19" i="1" s="1"/>
  <c r="G49" i="1"/>
  <c r="U9" i="16" l="1"/>
  <c r="T9" i="23"/>
  <c r="V9" i="23" s="1"/>
  <c r="T9" i="27"/>
  <c r="V9" i="27" s="1"/>
  <c r="T9" i="26"/>
  <c r="V9" i="26" s="1"/>
  <c r="U9" i="22"/>
  <c r="T9" i="22"/>
  <c r="V9" i="22" s="1"/>
  <c r="U9" i="21"/>
  <c r="T9" i="21"/>
  <c r="V9" i="21" s="1"/>
  <c r="T9" i="20"/>
  <c r="V9" i="20" s="1"/>
  <c r="U9" i="20"/>
  <c r="T9" i="19"/>
  <c r="V9" i="19" s="1"/>
  <c r="T9" i="13"/>
  <c r="V9" i="13" s="1"/>
  <c r="U9" i="13"/>
  <c r="T9" i="12"/>
  <c r="V9" i="12" s="1"/>
  <c r="U9" i="9"/>
  <c r="T9" i="9"/>
  <c r="V9" i="9" s="1"/>
  <c r="U20" i="1"/>
  <c r="V20" i="1"/>
  <c r="L20" i="1"/>
  <c r="T20" i="1" s="1"/>
  <c r="G17" i="1"/>
  <c r="H29" i="1" l="1"/>
  <c r="H42" i="1"/>
  <c r="H43" i="1"/>
  <c r="H47" i="1"/>
  <c r="H48" i="1"/>
  <c r="H46" i="1"/>
  <c r="H45" i="1"/>
  <c r="H40" i="1"/>
  <c r="H38" i="1"/>
  <c r="H44" i="1"/>
  <c r="H39" i="1"/>
  <c r="H41" i="1"/>
  <c r="H19" i="1"/>
  <c r="H33" i="1"/>
  <c r="H25" i="1"/>
  <c r="H36" i="1"/>
  <c r="H23" i="1"/>
  <c r="H35" i="1"/>
  <c r="H26" i="1"/>
  <c r="H37" i="1"/>
  <c r="H30" i="1"/>
  <c r="H32" i="1"/>
  <c r="H20" i="1"/>
  <c r="S20" i="1" s="1"/>
  <c r="H34" i="1"/>
  <c r="H22" i="1"/>
  <c r="H27" i="1"/>
  <c r="H24" i="1"/>
  <c r="H28" i="1"/>
  <c r="H21" i="1"/>
  <c r="H31" i="1"/>
  <c r="V21" i="1"/>
  <c r="U21" i="1"/>
  <c r="L21" i="1"/>
  <c r="T21" i="1" s="1"/>
  <c r="H18" i="1"/>
  <c r="S38" i="1" l="1"/>
  <c r="S42" i="1"/>
  <c r="S48" i="1"/>
  <c r="S43" i="1"/>
  <c r="S41" i="1"/>
  <c r="S46" i="1"/>
  <c r="S39" i="1"/>
  <c r="S44" i="1"/>
  <c r="S47" i="1"/>
  <c r="S40" i="1"/>
  <c r="S45" i="1"/>
  <c r="S18" i="1"/>
  <c r="S19" i="1"/>
  <c r="S21" i="1"/>
  <c r="V22" i="1"/>
  <c r="U22" i="1"/>
  <c r="L22" i="1"/>
  <c r="H49" i="1"/>
  <c r="T22" i="1" l="1"/>
  <c r="S22" i="1" s="1"/>
  <c r="P2" i="1"/>
  <c r="V23" i="1"/>
  <c r="U23" i="1"/>
  <c r="L23" i="1"/>
  <c r="R49" i="1"/>
  <c r="P7" i="1" s="1"/>
  <c r="T23" i="1" l="1"/>
  <c r="S23" i="1" s="1"/>
  <c r="U24" i="1"/>
  <c r="V24" i="1"/>
  <c r="L24" i="1"/>
  <c r="V14" i="1"/>
  <c r="T24" i="1" l="1"/>
  <c r="S24" i="1" s="1"/>
  <c r="V25" i="1"/>
  <c r="U25" i="1"/>
  <c r="L25" i="1"/>
  <c r="P9" i="1"/>
  <c r="S9" i="1" s="1"/>
  <c r="T25" i="1" l="1"/>
  <c r="S25" i="1" s="1"/>
  <c r="U26" i="1"/>
  <c r="V26" i="1"/>
  <c r="L26" i="1"/>
  <c r="J49" i="1"/>
  <c r="T26" i="1" l="1"/>
  <c r="S26" i="1" s="1"/>
  <c r="U27" i="1"/>
  <c r="V27" i="1"/>
  <c r="L27" i="1"/>
  <c r="T27" i="1" l="1"/>
  <c r="S27" i="1" s="1"/>
  <c r="U28" i="1"/>
  <c r="V28" i="1"/>
  <c r="L28" i="1"/>
  <c r="T28" i="1" l="1"/>
  <c r="S28" i="1" s="1"/>
  <c r="V29" i="1"/>
  <c r="U29" i="1"/>
  <c r="S29" i="1"/>
  <c r="U30" i="1" l="1"/>
  <c r="V30" i="1"/>
  <c r="L30" i="1"/>
  <c r="T30" i="1" l="1"/>
  <c r="S30" i="1" s="1"/>
  <c r="V31" i="1"/>
  <c r="U31" i="1"/>
  <c r="L31" i="1"/>
  <c r="T31" i="1" l="1"/>
  <c r="S31" i="1" s="1"/>
  <c r="U32" i="1"/>
  <c r="V32" i="1"/>
  <c r="L32" i="1"/>
  <c r="T32" i="1" l="1"/>
  <c r="S32" i="1" s="1"/>
  <c r="U33" i="1"/>
  <c r="V33" i="1"/>
  <c r="L33" i="1"/>
  <c r="T33" i="1" l="1"/>
  <c r="S33" i="1" s="1"/>
  <c r="V34" i="1"/>
  <c r="U34" i="1"/>
  <c r="L34" i="1"/>
  <c r="T34" i="1" l="1"/>
  <c r="S34" i="1" s="1"/>
  <c r="U35" i="1"/>
  <c r="V35" i="1"/>
  <c r="L35" i="1"/>
  <c r="T35" i="1" l="1"/>
  <c r="S35" i="1" s="1"/>
  <c r="U36" i="1"/>
  <c r="V36" i="1"/>
  <c r="L36" i="1"/>
  <c r="T36" i="1" l="1"/>
  <c r="S36" i="1" s="1"/>
  <c r="V37" i="1"/>
  <c r="U37" i="1"/>
  <c r="L37" i="1"/>
  <c r="T37" i="1" l="1"/>
  <c r="S37" i="1" s="1"/>
  <c r="K49" i="1" l="1"/>
  <c r="L49" i="1" l="1"/>
  <c r="S49" i="1"/>
  <c r="T49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<sst xmlns="http://schemas.openxmlformats.org/spreadsheetml/2006/main" count="3529" uniqueCount="258">
  <si>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</si>
  <si>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</si>
  <si>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</si>
  <si>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</si>
  <si>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</si>
  <si>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</si>
  <si>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</si>
  <si>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</si>
  <si>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</si>
  <si>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</si>
  <si>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</si>
  <si>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</si>
  <si>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</si>
  <si>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</si>
  <si>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</si>
  <si>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</si>
  <si>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</si>
  <si>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</si>
  <si>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</si>
  <si>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</si>
  <si>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</si>
  <si>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</si>
  <si>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</si>
  <si>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</si>
  <si>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</si>
  <si>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</si>
  <si>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</si>
  <si>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</si>
  <si>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</si>
  <si>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</si>
  <si>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</si>
  <si>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</si>
  <si>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</si>
  <si>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</si>
  <si>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</si>
  <si>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</si>
  <si>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</si>
  <si>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</si>
  <si>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</si>
  <si>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</si>
  <si>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</si>
  <si>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</si>
  <si>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</si>
  <si>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</si>
  <si>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</si>
  <si>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</si>
  <si>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</si>
  <si>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</si>
  <si>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</si>
  <si>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</si>
  <si>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</si>
  <si>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</si>
  <si>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</si>
  <si>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</si>
  <si>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</si>
  <si>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</si>
  <si>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</si>
  <si>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</si>
  <si>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</si>
  <si>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</si>
  <si>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</si>
  <si>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</si>
  <si>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</si>
  <si>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</si>
  <si>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</si>
  <si>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</si>
  <si>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</si>
  <si>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</si>
  <si>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</si>
  <si>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</si>
  <si>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</si>
  <si>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</si>
  <si>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</si>
  <si>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</si>
  <si>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</si>
  <si>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</si>
  <si>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</si>
  <si>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</si>
  <si>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</si>
  <si>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</si>
  <si>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</si>
  <si>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</si>
  <si>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</si>
  <si>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</si>
  <si>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</si>
  <si>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</si>
  <si>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FREIGHT TOTAL ORDER</t>
  </si>
  <si>
    <t>OEM NAME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</si>
  <si>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</si>
  <si>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</si>
  <si>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</si>
  <si>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</si>
  <si>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</si>
  <si>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</si>
  <si>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PL-501</t>
  </si>
  <si>
    <t>PL61</t>
  </si>
  <si>
    <t>DHA00501</t>
  </si>
  <si>
    <t>462-1171</t>
  </si>
  <si>
    <t>ENGINE OIL FILTER</t>
  </si>
  <si>
    <t>326-1644</t>
  </si>
  <si>
    <t xml:space="preserve">FUEL WATER SEPARATOR </t>
  </si>
  <si>
    <t>252-5001</t>
  </si>
  <si>
    <t>PRIMARY AIR FILTER ELEMENT</t>
  </si>
  <si>
    <t>252-5002</t>
  </si>
  <si>
    <t>SECONDARY AIR FILTER ELEMENT</t>
  </si>
  <si>
    <t>209-8217</t>
  </si>
  <si>
    <t>CABIN AIR FILTER ELEMENT</t>
  </si>
  <si>
    <t>1G-8878</t>
  </si>
  <si>
    <t>HYDRAULIC OIL FILTER (POWER TRAIN)</t>
  </si>
  <si>
    <t>319-0844</t>
  </si>
  <si>
    <t>FUEL FILTER</t>
  </si>
  <si>
    <t>306-9199</t>
  </si>
  <si>
    <t>9X-3404</t>
  </si>
  <si>
    <t xml:space="preserve">12V BATTERY </t>
  </si>
  <si>
    <t>320-9380</t>
  </si>
  <si>
    <t xml:space="preserve">FUEL INJECTOR NOZZLE </t>
  </si>
  <si>
    <t>376-4075</t>
  </si>
  <si>
    <t>CRANKSHAFT</t>
  </si>
  <si>
    <t>347-1132</t>
  </si>
  <si>
    <t>CAMSHAFT</t>
  </si>
  <si>
    <t>315-9810</t>
  </si>
  <si>
    <t>TURBOCHARGER</t>
  </si>
  <si>
    <t>PL61_MS_MTO_22"_40LINK</t>
  </si>
  <si>
    <t>GQP PL61 Complete UC KIT</t>
  </si>
  <si>
    <t>PL-506</t>
  </si>
  <si>
    <t>WGS00506</t>
  </si>
  <si>
    <t>PL-896</t>
  </si>
  <si>
    <t>CAT/MIDWESTERN</t>
  </si>
  <si>
    <t>D6D M562</t>
  </si>
  <si>
    <t>06X01896</t>
  </si>
  <si>
    <t>08Z26547</t>
  </si>
  <si>
    <t>1R-0716</t>
  </si>
  <si>
    <t>326-1642</t>
  </si>
  <si>
    <t>6I-0273</t>
  </si>
  <si>
    <t>6I-0274</t>
  </si>
  <si>
    <t>1R-0749</t>
  </si>
  <si>
    <t>328-3655</t>
  </si>
  <si>
    <t>153-5710</t>
  </si>
  <si>
    <t>317-5278</t>
  </si>
  <si>
    <t>326-4278</t>
  </si>
  <si>
    <t>171-3063</t>
  </si>
  <si>
    <t>167-9666</t>
  </si>
  <si>
    <t>572R_MS_MTO_26"_43LINK</t>
  </si>
  <si>
    <t>GQP 572R Complete UC KIT</t>
  </si>
  <si>
    <t>PL-321</t>
  </si>
  <si>
    <t>D7G M572C</t>
  </si>
  <si>
    <t>DSC00321</t>
  </si>
  <si>
    <t>PL-337</t>
  </si>
  <si>
    <t>SUB2HZ00337</t>
  </si>
  <si>
    <t>PL-363</t>
  </si>
  <si>
    <t>DSC00363</t>
  </si>
  <si>
    <t>PL-405</t>
  </si>
  <si>
    <t>DSC00405</t>
  </si>
  <si>
    <t>PL-854</t>
  </si>
  <si>
    <t>CAT/ MIDWESTERN</t>
  </si>
  <si>
    <t>3ZD00854</t>
  </si>
  <si>
    <t>PL-322</t>
  </si>
  <si>
    <t>572R</t>
  </si>
  <si>
    <t>DSC00322</t>
  </si>
  <si>
    <t>PL-369</t>
  </si>
  <si>
    <t>DSC00369</t>
  </si>
  <si>
    <t>7W-5495</t>
  </si>
  <si>
    <t>Air Filter - Primary</t>
  </si>
  <si>
    <t>1P-7360</t>
  </si>
  <si>
    <t>Air Filter - Secondary</t>
  </si>
  <si>
    <t>9M-2341</t>
  </si>
  <si>
    <t>Fuel Filter - Primary</t>
  </si>
  <si>
    <t>1R-0750</t>
  </si>
  <si>
    <t>Fuel Filter - Secondary</t>
  </si>
  <si>
    <t>2P-4005</t>
  </si>
  <si>
    <t>Engine Oil Filter</t>
  </si>
  <si>
    <t>1R-0741</t>
  </si>
  <si>
    <t>Hydraulic Filter</t>
  </si>
  <si>
    <t>4J-6064</t>
  </si>
  <si>
    <t>Transmission Filter</t>
  </si>
  <si>
    <t>4H-2978</t>
  </si>
  <si>
    <t>6P-1319</t>
  </si>
  <si>
    <t>Cab - Fresh Air</t>
  </si>
  <si>
    <t>6P-6664</t>
  </si>
  <si>
    <t>Cab - Recirculate</t>
  </si>
  <si>
    <t>153-5720</t>
  </si>
  <si>
    <t>Battery</t>
  </si>
  <si>
    <t>8N-5510</t>
  </si>
  <si>
    <t>Turbocharger</t>
  </si>
  <si>
    <t>583_GD_MTO_22"_41LINK</t>
  </si>
  <si>
    <t>GQP 583T Complete UC KIT</t>
  </si>
  <si>
    <t>PL-286</t>
  </si>
  <si>
    <t>583T</t>
  </si>
  <si>
    <t>CMX00286</t>
  </si>
  <si>
    <t>31Z00398</t>
  </si>
  <si>
    <t>1P-8483</t>
  </si>
  <si>
    <t>1P-8482</t>
  </si>
  <si>
    <t>1R-0728</t>
  </si>
  <si>
    <t>HYDRAULIC FILTER</t>
  </si>
  <si>
    <t>8N-1831</t>
  </si>
  <si>
    <t>2P-2800</t>
  </si>
  <si>
    <t>4H-9983</t>
  </si>
  <si>
    <t>7N-2495</t>
  </si>
  <si>
    <t>PL-555</t>
  </si>
  <si>
    <t>96V00555</t>
  </si>
  <si>
    <t>PL-627</t>
  </si>
  <si>
    <t>CAT/SUPERIOR</t>
  </si>
  <si>
    <t>594H-CPX</t>
  </si>
  <si>
    <t>96V00627</t>
  </si>
  <si>
    <t>PL-893</t>
  </si>
  <si>
    <t>DK8 M583C</t>
  </si>
  <si>
    <t>77V12893</t>
  </si>
  <si>
    <t>PL-950</t>
  </si>
  <si>
    <t>77V13950</t>
  </si>
  <si>
    <t>FINAL FUEL FILTER</t>
  </si>
  <si>
    <t>AT539501</t>
  </si>
  <si>
    <t>AT539500</t>
  </si>
  <si>
    <t>AT308575</t>
  </si>
  <si>
    <t>PRIMARY AIR FILTER</t>
  </si>
  <si>
    <t>TT220747</t>
  </si>
  <si>
    <t>SECONDARY AIR FILTER</t>
  </si>
  <si>
    <t>4S00686</t>
  </si>
  <si>
    <t>CAB AIR FILTER</t>
  </si>
  <si>
    <t>FYA00001490R</t>
  </si>
  <si>
    <t>INJECTOR</t>
  </si>
  <si>
    <t>TY23020B</t>
  </si>
  <si>
    <t>BATTERY 12V 1400 CCA</t>
  </si>
  <si>
    <t>BH-176</t>
  </si>
  <si>
    <t>JOHN DEERE</t>
  </si>
  <si>
    <t>470GLC</t>
  </si>
  <si>
    <t>1FF470PAJPF000176</t>
  </si>
  <si>
    <t>BH-880</t>
  </si>
  <si>
    <t>HCMJAA70C00030880</t>
  </si>
  <si>
    <t>RE67901</t>
  </si>
  <si>
    <t>T191321</t>
  </si>
  <si>
    <t>AT323638</t>
  </si>
  <si>
    <t>RE509036</t>
  </si>
  <si>
    <t>AT186554</t>
  </si>
  <si>
    <t>HYDRAULIC FILTER PILOT</t>
  </si>
  <si>
    <t>4S00640R</t>
  </si>
  <si>
    <t>4S00683R</t>
  </si>
  <si>
    <t>RE515785</t>
  </si>
  <si>
    <t>RE507149</t>
  </si>
  <si>
    <t>RE507948</t>
  </si>
  <si>
    <t>TY23020</t>
  </si>
  <si>
    <t>AT131090</t>
  </si>
  <si>
    <t>CUTTING EDGE</t>
  </si>
  <si>
    <t>BH-441</t>
  </si>
  <si>
    <t>ZX290LC-5</t>
  </si>
  <si>
    <t>1FFDDB70CEE830441</t>
  </si>
  <si>
    <t>BH-479</t>
  </si>
  <si>
    <t>1FFDDB70FE830479</t>
  </si>
  <si>
    <t>BH-516</t>
  </si>
  <si>
    <t>-</t>
  </si>
  <si>
    <t>1FFDDB70CHE830516</t>
  </si>
  <si>
    <t>ZX290LC_MTO_31.5"_48LINK</t>
  </si>
  <si>
    <t>GQP ZX290LC Complete UC KIT</t>
  </si>
  <si>
    <t>GQP 470GLC Complete UC KIT</t>
  </si>
  <si>
    <t>470GLC_MTO_35.4"_53LINK</t>
  </si>
  <si>
    <t>D9G/H_MS_MTO_40"_42LINK</t>
  </si>
  <si>
    <t>GQP D9G/H Complete UC KIT</t>
  </si>
  <si>
    <t>SE501669</t>
  </si>
  <si>
    <t>RE504836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</si>
</sst>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[$-409]mmmm\ d\,\ yyyy;@"/>
    <numFmt numFmtId="166" formatCode="&quot;$&quot;#,##0.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64">
    <xf numFmtId="0" fontId="0" fillId="0" borderId="0" xfId="0"/>
    <xf numFmtId="0" fontId="2" fillId="3" borderId="1" xfId="0" applyFont="1" applyFill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1" xfId="0" applyFont="1" applyBorder="1" applyAlignment="1" applyProtection="1">
      <alignment horizontal="left"/>
      <protection locked="0"/>
    </xf>
    <xf numFmtId="0" fontId="2" fillId="3" borderId="3" xfId="0" applyFont="1" applyFill="1" applyBorder="1" applyAlignment="1" applyProtection="1">
      <alignment horizontal="left"/>
      <protection locked="0"/>
    </xf>
    <xf numFmtId="0" fontId="2" fillId="0" borderId="7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164" fontId="6" fillId="0" borderId="2" xfId="1" applyFont="1" applyFill="1" applyBorder="1" applyProtection="1">
      <protection locked="0"/>
    </xf>
    <xf numFmtId="164" fontId="6" fillId="0" borderId="2" xfId="1" applyFont="1" applyFill="1" applyBorder="1" applyProtection="1"/>
    <xf numFmtId="164" fontId="6" fillId="0" borderId="7" xfId="1" applyFont="1" applyFill="1" applyBorder="1" applyProtection="1"/>
    <xf numFmtId="164" fontId="6" fillId="5" borderId="13" xfId="1" applyFont="1" applyFill="1" applyBorder="1" applyProtection="1"/>
    <xf numFmtId="9" fontId="6" fillId="0" borderId="3" xfId="2" applyFont="1" applyBorder="1" applyProtection="1">
      <protection locked="0"/>
    </xf>
    <xf numFmtId="164" fontId="6" fillId="0" borderId="1" xfId="1" applyFont="1" applyFill="1" applyBorder="1" applyProtection="1">
      <protection locked="0"/>
    </xf>
    <xf numFmtId="164" fontId="6" fillId="0" borderId="1" xfId="1" applyFont="1" applyFill="1" applyBorder="1" applyProtection="1"/>
    <xf numFmtId="164" fontId="6" fillId="3" borderId="1" xfId="1" applyFont="1" applyFill="1" applyBorder="1" applyProtection="1">
      <protection locked="0"/>
    </xf>
    <xf numFmtId="9" fontId="6" fillId="3" borderId="3" xfId="2" applyFont="1" applyFill="1" applyBorder="1" applyProtection="1">
      <protection locked="0"/>
    </xf>
    <xf numFmtId="0" fontId="2" fillId="3" borderId="13" xfId="0" applyFont="1" applyFill="1" applyBorder="1" applyProtection="1">
      <protection locked="0"/>
    </xf>
    <xf numFmtId="0" fontId="5" fillId="3" borderId="13" xfId="3" applyFill="1" applyBorder="1" applyAlignment="1" applyProtection="1">
      <protection locked="0"/>
    </xf>
    <xf numFmtId="0" fontId="14" fillId="0" borderId="4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" fillId="3" borderId="0" xfId="0" applyFont="1" applyFill="1" applyProtection="1">
      <protection locked="0"/>
    </xf>
    <xf numFmtId="0" fontId="12" fillId="0" borderId="17" xfId="0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2" fillId="1" borderId="0" xfId="0" applyFont="1" applyFill="1" applyProtection="1"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0" fontId="6" fillId="0" borderId="0" xfId="2" applyNumberFormat="1" applyFont="1" applyBorder="1" applyProtection="1">
      <protection locked="0"/>
    </xf>
    <xf numFmtId="10" fontId="6" fillId="3" borderId="0" xfId="2" applyNumberFormat="1" applyFont="1" applyFill="1" applyBorder="1" applyProtection="1">
      <protection locked="0"/>
    </xf>
    <xf numFmtId="10" fontId="6" fillId="0" borderId="1" xfId="2" applyNumberFormat="1" applyFont="1" applyBorder="1" applyProtection="1"/>
    <xf numFmtId="1" fontId="15" fillId="3" borderId="3" xfId="3" applyNumberFormat="1" applyFont="1" applyFill="1" applyBorder="1" applyAlignment="1" applyProtection="1">
      <alignment horizontal="left"/>
      <protection locked="0"/>
    </xf>
    <xf numFmtId="0" fontId="6" fillId="3" borderId="3" xfId="3" applyFont="1" applyFill="1" applyBorder="1" applyAlignment="1" applyProtection="1">
      <alignment horizontal="left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165" fontId="2" fillId="3" borderId="7" xfId="0" applyNumberFormat="1" applyFont="1" applyFill="1" applyBorder="1" applyAlignment="1" applyProtection="1">
      <alignment horizontal="left"/>
      <protection locked="0"/>
    </xf>
    <xf numFmtId="0" fontId="6" fillId="3" borderId="7" xfId="0" applyFont="1" applyFill="1" applyBorder="1" applyAlignment="1" applyProtection="1">
      <alignment horizontal="center"/>
      <protection locked="0"/>
    </xf>
    <xf numFmtId="165" fontId="2" fillId="3" borderId="13" xfId="0" applyNumberFormat="1" applyFont="1" applyFill="1" applyBorder="1" applyProtection="1">
      <protection locked="0"/>
    </xf>
    <xf numFmtId="9" fontId="6" fillId="0" borderId="7" xfId="2" applyFont="1" applyBorder="1" applyProtection="1">
      <protection locked="0"/>
    </xf>
    <xf numFmtId="0" fontId="9" fillId="3" borderId="9" xfId="0" applyFont="1" applyFill="1" applyBorder="1" applyAlignment="1" applyProtection="1">
      <alignment horizontal="center" vertical="center" wrapText="1"/>
      <protection locked="0"/>
    </xf>
    <xf numFmtId="164" fontId="6" fillId="10" borderId="2" xfId="1" applyFont="1" applyFill="1" applyBorder="1" applyProtection="1"/>
    <xf numFmtId="164" fontId="6" fillId="10" borderId="7" xfId="1" applyFont="1" applyFill="1" applyBorder="1" applyProtection="1"/>
    <xf numFmtId="164" fontId="6" fillId="10" borderId="1" xfId="1" applyFont="1" applyFill="1" applyBorder="1" applyProtection="1"/>
    <xf numFmtId="10" fontId="6" fillId="10" borderId="1" xfId="2" applyNumberFormat="1" applyFont="1" applyFill="1" applyBorder="1" applyProtection="1"/>
    <xf numFmtId="164" fontId="6" fillId="6" borderId="13" xfId="1" applyFont="1" applyFill="1" applyBorder="1" applyProtection="1"/>
    <xf numFmtId="9" fontId="6" fillId="11" borderId="0" xfId="2" applyFont="1" applyFill="1" applyBorder="1" applyAlignment="1" applyProtection="1">
      <alignment horizontal="center"/>
    </xf>
    <xf numFmtId="0" fontId="9" fillId="3" borderId="22" xfId="0" applyFont="1" applyFill="1" applyBorder="1" applyAlignment="1" applyProtection="1">
      <alignment horizontal="center"/>
      <protection locked="0"/>
    </xf>
    <xf numFmtId="164" fontId="3" fillId="3" borderId="33" xfId="1" applyFont="1" applyFill="1" applyBorder="1" applyAlignment="1" applyProtection="1">
      <alignment horizontal="center" vertical="center"/>
      <protection locked="0"/>
    </xf>
    <xf numFmtId="10" fontId="4" fillId="3" borderId="33" xfId="2" applyNumberFormat="1" applyFont="1" applyFill="1" applyBorder="1" applyAlignment="1" applyProtection="1">
      <alignment horizontal="center" vertical="center"/>
      <protection locked="0"/>
    </xf>
    <xf numFmtId="0" fontId="5" fillId="6" borderId="0" xfId="3" applyFill="1" applyBorder="1" applyAlignment="1" applyProtection="1"/>
    <xf numFmtId="9" fontId="8" fillId="0" borderId="0" xfId="2" applyFont="1" applyFill="1" applyBorder="1" applyAlignment="1" applyProtection="1"/>
    <xf numFmtId="0" fontId="7" fillId="6" borderId="0" xfId="3" applyFont="1" applyFill="1" applyBorder="1" applyAlignment="1" applyProtection="1"/>
    <xf numFmtId="10" fontId="6" fillId="6" borderId="0" xfId="2" applyNumberFormat="1" applyFont="1" applyFill="1" applyBorder="1" applyProtection="1"/>
    <xf numFmtId="9" fontId="6" fillId="5" borderId="13" xfId="2" applyFont="1" applyFill="1" applyBorder="1" applyProtection="1"/>
    <xf numFmtId="164" fontId="6" fillId="12" borderId="1" xfId="1" applyFont="1" applyFill="1" applyBorder="1" applyProtection="1"/>
    <xf numFmtId="3" fontId="6" fillId="0" borderId="2" xfId="0" applyNumberFormat="1" applyFont="1" applyBorder="1" applyAlignment="1" applyProtection="1">
      <alignment horizontal="center"/>
      <protection locked="0"/>
    </xf>
    <xf numFmtId="3" fontId="6" fillId="3" borderId="1" xfId="0" applyNumberFormat="1" applyFont="1" applyFill="1" applyBorder="1" applyAlignment="1" applyProtection="1">
      <alignment horizontal="center"/>
      <protection locked="0"/>
    </xf>
    <xf numFmtId="0" fontId="2" fillId="6" borderId="0" xfId="0" applyFont="1" applyFill="1"/>
    <xf numFmtId="0" fontId="2" fillId="6" borderId="0" xfId="0" applyFont="1" applyFill="1" applyAlignment="1">
      <alignment wrapText="1"/>
    </xf>
    <xf numFmtId="0" fontId="2" fillId="6" borderId="1" xfId="0" applyFont="1" applyFill="1" applyBorder="1"/>
    <xf numFmtId="0" fontId="2" fillId="0" borderId="0" xfId="0" applyFont="1"/>
    <xf numFmtId="0" fontId="3" fillId="6" borderId="0" xfId="0" applyFont="1" applyFill="1"/>
    <xf numFmtId="0" fontId="10" fillId="0" borderId="0" xfId="0" applyFont="1" applyAlignment="1">
      <alignment vertical="center"/>
    </xf>
    <xf numFmtId="0" fontId="6" fillId="0" borderId="0" xfId="0" applyFont="1"/>
    <xf numFmtId="165" fontId="2" fillId="6" borderId="0" xfId="0" applyNumberFormat="1" applyFont="1" applyFill="1"/>
    <xf numFmtId="166" fontId="8" fillId="0" borderId="0" xfId="0" applyNumberFormat="1" applyFont="1"/>
    <xf numFmtId="166" fontId="9" fillId="6" borderId="0" xfId="0" applyNumberFormat="1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6" fillId="0" borderId="0" xfId="0" applyNumberFormat="1" applyFont="1"/>
    <xf numFmtId="44" fontId="6" fillId="0" borderId="0" xfId="0" applyNumberFormat="1" applyFont="1"/>
    <xf numFmtId="3" fontId="6" fillId="0" borderId="0" xfId="0" applyNumberFormat="1" applyFont="1"/>
    <xf numFmtId="10" fontId="4" fillId="6" borderId="1" xfId="0" applyNumberFormat="1" applyFont="1" applyFill="1" applyBorder="1" applyAlignment="1">
      <alignment horizontal="center"/>
    </xf>
    <xf numFmtId="0" fontId="2" fillId="10" borderId="5" xfId="0" applyFont="1" applyFill="1" applyBorder="1"/>
    <xf numFmtId="0" fontId="4" fillId="10" borderId="5" xfId="0" applyFont="1" applyFill="1" applyBorder="1"/>
    <xf numFmtId="3" fontId="3" fillId="10" borderId="1" xfId="0" applyNumberFormat="1" applyFont="1" applyFill="1" applyBorder="1"/>
    <xf numFmtId="164" fontId="3" fillId="10" borderId="1" xfId="1" applyFont="1" applyFill="1" applyBorder="1" applyAlignment="1" applyProtection="1">
      <alignment horizontal="center"/>
    </xf>
    <xf numFmtId="164" fontId="3" fillId="10" borderId="1" xfId="0" applyNumberFormat="1" applyFont="1" applyFill="1" applyBorder="1" applyAlignment="1">
      <alignment horizontal="right"/>
    </xf>
    <xf numFmtId="164" fontId="3" fillId="10" borderId="1" xfId="0" applyNumberFormat="1" applyFont="1" applyFill="1" applyBorder="1"/>
    <xf numFmtId="164" fontId="25" fillId="6" borderId="1" xfId="0" applyNumberFormat="1" applyFont="1" applyFill="1" applyBorder="1"/>
    <xf numFmtId="3" fontId="3" fillId="10" borderId="1" xfId="0" applyNumberFormat="1" applyFont="1" applyFill="1" applyBorder="1" applyAlignment="1">
      <alignment horizontal="center"/>
    </xf>
    <xf numFmtId="164" fontId="9" fillId="6" borderId="1" xfId="0" applyNumberFormat="1" applyFont="1" applyFill="1" applyBorder="1"/>
    <xf numFmtId="10" fontId="3" fillId="10" borderId="1" xfId="0" applyNumberFormat="1" applyFont="1" applyFill="1" applyBorder="1" applyAlignment="1">
      <alignment horizontal="center"/>
    </xf>
    <xf numFmtId="10" fontId="4" fillId="10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4" fontId="2" fillId="0" borderId="0" xfId="0" applyNumberFormat="1" applyFont="1"/>
    <xf numFmtId="3" fontId="6" fillId="10" borderId="2" xfId="0" applyNumberFormat="1" applyFont="1" applyFill="1" applyBorder="1" applyAlignment="1">
      <alignment horizontal="center"/>
    </xf>
    <xf numFmtId="3" fontId="6" fillId="0" borderId="2" xfId="0" applyNumberFormat="1" applyFont="1" applyBorder="1" applyAlignment="1">
      <alignment horizontal="center"/>
    </xf>
    <xf numFmtId="0" fontId="12" fillId="5" borderId="14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22" fillId="9" borderId="30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center" vertical="center" wrapText="1"/>
    </xf>
    <xf numFmtId="0" fontId="20" fillId="9" borderId="20" xfId="0" applyFont="1" applyFill="1" applyBorder="1" applyAlignment="1">
      <alignment horizontal="center" vertical="center" wrapText="1"/>
    </xf>
    <xf numFmtId="164" fontId="8" fillId="10" borderId="32" xfId="0" applyNumberFormat="1" applyFont="1" applyFill="1" applyBorder="1" applyAlignment="1">
      <alignment vertical="center"/>
    </xf>
    <xf numFmtId="0" fontId="11" fillId="4" borderId="3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6" fillId="9" borderId="2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/>
    </xf>
    <xf numFmtId="0" fontId="9" fillId="4" borderId="34" xfId="0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/>
    </xf>
    <xf numFmtId="0" fontId="16" fillId="2" borderId="18" xfId="0" applyFont="1" applyFill="1" applyBorder="1" applyAlignment="1">
      <alignment horizontal="center" vertical="center"/>
    </xf>
    <xf numFmtId="0" fontId="16" fillId="2" borderId="3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left"/>
    </xf>
    <xf numFmtId="0" fontId="8" fillId="11" borderId="0" xfId="0" applyFont="1" applyFill="1" applyAlignment="1">
      <alignment horizontal="center"/>
    </xf>
    <xf numFmtId="0" fontId="9" fillId="11" borderId="0" xfId="0" applyFont="1" applyFill="1" applyAlignment="1">
      <alignment horizontal="right"/>
    </xf>
    <xf numFmtId="0" fontId="2" fillId="11" borderId="0" xfId="0" applyFont="1" applyFill="1"/>
    <xf numFmtId="0" fontId="3" fillId="11" borderId="6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3" fillId="4" borderId="3" xfId="0" applyFont="1" applyFill="1" applyBorder="1" applyAlignment="1">
      <alignment horizontal="right"/>
    </xf>
    <xf numFmtId="0" fontId="3" fillId="4" borderId="1" xfId="0" applyFont="1" applyFill="1" applyBorder="1" applyAlignment="1">
      <alignment horizontal="right"/>
    </xf>
    <xf numFmtId="2" fontId="13" fillId="0" borderId="1" xfId="0" applyNumberFormat="1" applyFont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3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/>
    </xf>
    <xf numFmtId="0" fontId="11" fillId="5" borderId="13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6" fillId="0" borderId="64" xfId="0" applyFont="1" applyBorder="1" applyAlignment="1" applyProtection="1">
      <alignment horizontal="center"/>
      <protection locked="0"/>
    </xf>
    <xf numFmtId="0" fontId="6" fillId="3" borderId="65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4" fillId="10" borderId="66" xfId="0" applyFont="1" applyFill="1" applyBorder="1" applyAlignment="1">
      <alignment horizontal="right"/>
    </xf>
    <xf numFmtId="164" fontId="6" fillId="10" borderId="2" xfId="1" applyFont="1" applyFill="1" applyBorder="1" applyProtection="1">
      <protection locked="0"/>
    </xf>
    <xf numFmtId="0" fontId="17" fillId="8" borderId="24" xfId="0" applyFont="1" applyFill="1" applyBorder="1" applyAlignment="1">
      <alignment horizontal="center"/>
    </xf>
    <xf numFmtId="0" fontId="17" fillId="8" borderId="63" xfId="0" applyFont="1" applyFill="1" applyBorder="1" applyAlignment="1">
      <alignment horizontal="center"/>
    </xf>
    <xf numFmtId="0" fontId="17" fillId="8" borderId="57" xfId="0" applyFont="1" applyFill="1" applyBorder="1" applyAlignment="1">
      <alignment horizontal="center"/>
    </xf>
    <xf numFmtId="0" fontId="17" fillId="8" borderId="28" xfId="0" applyFont="1" applyFill="1" applyBorder="1" applyAlignment="1">
      <alignment horizontal="center"/>
    </xf>
    <xf numFmtId="0" fontId="16" fillId="9" borderId="37" xfId="0" applyFont="1" applyFill="1" applyBorder="1" applyAlignment="1">
      <alignment horizontal="center" vertical="center"/>
    </xf>
    <xf numFmtId="0" fontId="16" fillId="9" borderId="38" xfId="0" applyFont="1" applyFill="1" applyBorder="1" applyAlignment="1">
      <alignment horizontal="center" vertical="center"/>
    </xf>
    <xf numFmtId="166" fontId="8" fillId="0" borderId="48" xfId="0" applyNumberFormat="1" applyFont="1" applyBorder="1" applyAlignment="1">
      <alignment horizontal="center"/>
    </xf>
    <xf numFmtId="166" fontId="8" fillId="0" borderId="46" xfId="0" applyNumberFormat="1" applyFont="1" applyBorder="1" applyAlignment="1">
      <alignment horizontal="center"/>
    </xf>
    <xf numFmtId="166" fontId="8" fillId="0" borderId="5" xfId="0" applyNumberFormat="1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18" fillId="9" borderId="10" xfId="0" applyFont="1" applyFill="1" applyBorder="1" applyAlignment="1">
      <alignment horizontal="center" vertical="center"/>
    </xf>
    <xf numFmtId="0" fontId="18" fillId="9" borderId="6" xfId="0" applyFont="1" applyFill="1" applyBorder="1" applyAlignment="1">
      <alignment horizontal="center" vertical="center"/>
    </xf>
    <xf numFmtId="0" fontId="18" fillId="9" borderId="40" xfId="0" applyFont="1" applyFill="1" applyBorder="1" applyAlignment="1">
      <alignment horizontal="center" vertical="center"/>
    </xf>
    <xf numFmtId="0" fontId="18" fillId="9" borderId="12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8" fillId="9" borderId="41" xfId="0" applyFont="1" applyFill="1" applyBorder="1" applyAlignment="1">
      <alignment horizontal="center" vertical="center"/>
    </xf>
    <xf numFmtId="0" fontId="20" fillId="9" borderId="42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30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center"/>
    </xf>
    <xf numFmtId="3" fontId="3" fillId="0" borderId="4" xfId="0" applyNumberFormat="1" applyFont="1" applyBorder="1" applyAlignment="1">
      <alignment horizontal="center"/>
    </xf>
    <xf numFmtId="0" fontId="17" fillId="8" borderId="22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/>
    </xf>
    <xf numFmtId="166" fontId="3" fillId="0" borderId="4" xfId="0" applyNumberFormat="1" applyFont="1" applyBorder="1" applyAlignment="1">
      <alignment horizontal="center"/>
    </xf>
    <xf numFmtId="166" fontId="3" fillId="7" borderId="60" xfId="0" applyNumberFormat="1" applyFont="1" applyFill="1" applyBorder="1" applyAlignment="1">
      <alignment horizontal="center" vertical="center"/>
    </xf>
    <xf numFmtId="166" fontId="3" fillId="7" borderId="2" xfId="0" applyNumberFormat="1" applyFont="1" applyFill="1" applyBorder="1" applyAlignment="1">
      <alignment horizontal="center" vertical="center"/>
    </xf>
    <xf numFmtId="9" fontId="4" fillId="0" borderId="60" xfId="2" applyFont="1" applyBorder="1" applyAlignment="1" applyProtection="1">
      <alignment horizontal="center" vertical="center"/>
    </xf>
    <xf numFmtId="9" fontId="4" fillId="0" borderId="2" xfId="2" applyFont="1" applyBorder="1" applyAlignment="1" applyProtection="1">
      <alignment horizontal="center" vertical="center"/>
    </xf>
    <xf numFmtId="0" fontId="2" fillId="3" borderId="12" xfId="0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3" fillId="3" borderId="47" xfId="0" applyFont="1" applyFill="1" applyBorder="1" applyAlignment="1" applyProtection="1">
      <alignment horizontal="left"/>
      <protection locked="0"/>
    </xf>
    <xf numFmtId="0" fontId="3" fillId="3" borderId="46" xfId="0" applyFont="1" applyFill="1" applyBorder="1" applyAlignment="1" applyProtection="1">
      <alignment horizontal="left"/>
      <protection locked="0"/>
    </xf>
    <xf numFmtId="0" fontId="16" fillId="9" borderId="51" xfId="0" applyFont="1" applyFill="1" applyBorder="1" applyAlignment="1">
      <alignment horizontal="center" vertical="center" wrapText="1"/>
    </xf>
    <xf numFmtId="0" fontId="16" fillId="9" borderId="50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 applyProtection="1">
      <alignment horizontal="center" vertical="center" wrapText="1"/>
      <protection locked="0"/>
    </xf>
    <xf numFmtId="0" fontId="9" fillId="3" borderId="46" xfId="0" applyFont="1" applyFill="1" applyBorder="1" applyAlignment="1" applyProtection="1">
      <alignment horizontal="center" vertical="center" wrapText="1"/>
      <protection locked="0"/>
    </xf>
    <xf numFmtId="0" fontId="19" fillId="9" borderId="10" xfId="0" applyFont="1" applyFill="1" applyBorder="1" applyAlignment="1">
      <alignment horizontal="center" vertical="center" wrapText="1"/>
    </xf>
    <xf numFmtId="0" fontId="19" fillId="9" borderId="6" xfId="0" applyFont="1" applyFill="1" applyBorder="1" applyAlignment="1">
      <alignment horizontal="center" vertical="center" wrapText="1"/>
    </xf>
    <xf numFmtId="0" fontId="19" fillId="9" borderId="11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0" xfId="0" applyFont="1" applyFill="1" applyAlignment="1">
      <alignment horizontal="center" vertical="center" wrapText="1"/>
    </xf>
    <xf numFmtId="0" fontId="19" fillId="9" borderId="8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9" xfId="0" applyFont="1" applyFill="1" applyBorder="1" applyAlignment="1">
      <alignment horizontal="center" vertical="center" wrapText="1"/>
    </xf>
    <xf numFmtId="0" fontId="19" fillId="9" borderId="52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right" vertical="center"/>
    </xf>
    <xf numFmtId="0" fontId="11" fillId="4" borderId="28" xfId="0" applyFont="1" applyFill="1" applyBorder="1" applyAlignment="1">
      <alignment horizontal="right" vertical="center"/>
    </xf>
    <xf numFmtId="0" fontId="17" fillId="9" borderId="54" xfId="0" applyFont="1" applyFill="1" applyBorder="1" applyAlignment="1">
      <alignment horizontal="center" vertical="center" wrapText="1"/>
    </xf>
    <xf numFmtId="0" fontId="17" fillId="9" borderId="55" xfId="0" applyFont="1" applyFill="1" applyBorder="1" applyAlignment="1">
      <alignment horizontal="center" vertical="center" wrapText="1"/>
    </xf>
    <xf numFmtId="0" fontId="17" fillId="9" borderId="42" xfId="0" applyFont="1" applyFill="1" applyBorder="1" applyAlignment="1">
      <alignment horizontal="center" vertical="center" wrapText="1"/>
    </xf>
    <xf numFmtId="0" fontId="17" fillId="9" borderId="30" xfId="0" applyFont="1" applyFill="1" applyBorder="1" applyAlignment="1">
      <alignment horizontal="center" vertical="center" wrapText="1"/>
    </xf>
    <xf numFmtId="0" fontId="18" fillId="9" borderId="45" xfId="0" applyFont="1" applyFill="1" applyBorder="1" applyAlignment="1">
      <alignment horizontal="center" vertical="center"/>
    </xf>
    <xf numFmtId="0" fontId="18" fillId="9" borderId="48" xfId="0" applyFont="1" applyFill="1" applyBorder="1" applyAlignment="1">
      <alignment horizontal="center" vertical="center"/>
    </xf>
    <xf numFmtId="0" fontId="18" fillId="9" borderId="46" xfId="0" applyFont="1" applyFill="1" applyBorder="1" applyAlignment="1">
      <alignment horizontal="center" vertical="center"/>
    </xf>
    <xf numFmtId="0" fontId="16" fillId="9" borderId="26" xfId="0" applyFont="1" applyFill="1" applyBorder="1" applyAlignment="1">
      <alignment horizontal="center" vertical="center" wrapText="1"/>
    </xf>
    <xf numFmtId="0" fontId="16" fillId="9" borderId="29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 applyProtection="1">
      <alignment horizontal="center" vertical="center"/>
      <protection locked="0"/>
    </xf>
    <xf numFmtId="0" fontId="13" fillId="3" borderId="5" xfId="0" applyFont="1" applyFill="1" applyBorder="1" applyAlignment="1" applyProtection="1">
      <alignment horizontal="center" vertical="center"/>
      <protection locked="0"/>
    </xf>
    <xf numFmtId="0" fontId="13" fillId="3" borderId="4" xfId="0" applyFont="1" applyFill="1" applyBorder="1" applyAlignment="1" applyProtection="1">
      <alignment horizontal="center" vertical="center"/>
      <protection locked="0"/>
    </xf>
    <xf numFmtId="0" fontId="24" fillId="9" borderId="8" xfId="0" applyFont="1" applyFill="1" applyBorder="1" applyAlignment="1">
      <alignment horizontal="center" vertical="center" wrapText="1"/>
    </xf>
    <xf numFmtId="0" fontId="24" fillId="9" borderId="52" xfId="0" applyFont="1" applyFill="1" applyBorder="1" applyAlignment="1">
      <alignment horizontal="center" vertical="center" wrapText="1"/>
    </xf>
    <xf numFmtId="9" fontId="10" fillId="3" borderId="24" xfId="2" applyFont="1" applyFill="1" applyBorder="1" applyAlignment="1" applyProtection="1">
      <alignment horizontal="center" vertical="center" wrapText="1"/>
      <protection locked="0"/>
    </xf>
    <xf numFmtId="9" fontId="10" fillId="3" borderId="63" xfId="2" applyFont="1" applyFill="1" applyBorder="1" applyAlignment="1" applyProtection="1">
      <alignment horizontal="center" vertical="center" wrapText="1"/>
      <protection locked="0"/>
    </xf>
    <xf numFmtId="9" fontId="10" fillId="3" borderId="67" xfId="2" applyFont="1" applyFill="1" applyBorder="1" applyAlignment="1" applyProtection="1">
      <alignment horizontal="center" vertical="center" wrapText="1"/>
      <protection locked="0"/>
    </xf>
    <xf numFmtId="9" fontId="10" fillId="3" borderId="68" xfId="2" applyFont="1" applyFill="1" applyBorder="1" applyAlignment="1" applyProtection="1">
      <alignment horizontal="center" vertical="center" wrapText="1"/>
      <protection locked="0"/>
    </xf>
    <xf numFmtId="9" fontId="10" fillId="3" borderId="0" xfId="2" applyFont="1" applyFill="1" applyBorder="1" applyAlignment="1" applyProtection="1">
      <alignment horizontal="center" vertical="center" wrapText="1"/>
      <protection locked="0"/>
    </xf>
    <xf numFmtId="9" fontId="10" fillId="3" borderId="8" xfId="2" applyFont="1" applyFill="1" applyBorder="1" applyAlignment="1" applyProtection="1">
      <alignment horizontal="center" vertical="center" wrapText="1"/>
      <protection locked="0"/>
    </xf>
    <xf numFmtId="0" fontId="3" fillId="13" borderId="47" xfId="0" applyFont="1" applyFill="1" applyBorder="1" applyAlignment="1">
      <alignment horizontal="center"/>
    </xf>
    <xf numFmtId="0" fontId="3" fillId="13" borderId="46" xfId="0" applyFont="1" applyFill="1" applyBorder="1" applyAlignment="1">
      <alignment horizontal="center"/>
    </xf>
    <xf numFmtId="0" fontId="9" fillId="0" borderId="47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3" borderId="4" xfId="0" applyFont="1" applyFill="1" applyBorder="1" applyAlignment="1" applyProtection="1">
      <alignment horizontal="left"/>
      <protection locked="0"/>
    </xf>
    <xf numFmtId="0" fontId="9" fillId="13" borderId="15" xfId="0" applyFont="1" applyFill="1" applyBorder="1" applyAlignment="1">
      <alignment horizontal="center" vertical="center"/>
    </xf>
    <xf numFmtId="0" fontId="9" fillId="13" borderId="59" xfId="0" applyFont="1" applyFill="1" applyBorder="1" applyAlignment="1">
      <alignment horizontal="center" vertical="center"/>
    </xf>
    <xf numFmtId="0" fontId="9" fillId="13" borderId="16" xfId="0" applyFont="1" applyFill="1" applyBorder="1" applyAlignment="1">
      <alignment horizontal="center" vertical="center"/>
    </xf>
    <xf numFmtId="166" fontId="9" fillId="0" borderId="59" xfId="0" applyNumberFormat="1" applyFont="1" applyBorder="1" applyAlignment="1">
      <alignment horizontal="center" vertical="center"/>
    </xf>
    <xf numFmtId="166" fontId="9" fillId="0" borderId="16" xfId="0" applyNumberFormat="1" applyFont="1" applyBorder="1" applyAlignment="1">
      <alignment horizontal="center" vertical="center"/>
    </xf>
    <xf numFmtId="9" fontId="8" fillId="0" borderId="44" xfId="2" applyFont="1" applyFill="1" applyBorder="1" applyAlignment="1" applyProtection="1">
      <alignment horizontal="center"/>
    </xf>
    <xf numFmtId="9" fontId="8" fillId="0" borderId="31" xfId="2" applyFont="1" applyFill="1" applyBorder="1" applyAlignment="1" applyProtection="1">
      <alignment horizontal="center"/>
    </xf>
    <xf numFmtId="0" fontId="3" fillId="13" borderId="61" xfId="0" applyFont="1" applyFill="1" applyBorder="1" applyAlignment="1">
      <alignment horizontal="center"/>
    </xf>
    <xf numFmtId="0" fontId="3" fillId="13" borderId="62" xfId="0" applyFont="1" applyFill="1" applyBorder="1" applyAlignment="1">
      <alignment horizontal="center"/>
    </xf>
    <xf numFmtId="0" fontId="3" fillId="3" borderId="61" xfId="0" applyFont="1" applyFill="1" applyBorder="1" applyAlignment="1" applyProtection="1">
      <alignment horizontal="left"/>
      <protection locked="0"/>
    </xf>
    <xf numFmtId="0" fontId="3" fillId="3" borderId="62" xfId="0" applyFont="1" applyFill="1" applyBorder="1" applyAlignment="1" applyProtection="1">
      <alignment horizontal="left"/>
      <protection locked="0"/>
    </xf>
    <xf numFmtId="166" fontId="9" fillId="0" borderId="5" xfId="0" applyNumberFormat="1" applyFont="1" applyBorder="1" applyAlignment="1">
      <alignment horizontal="center" vertical="center"/>
    </xf>
    <xf numFmtId="166" fontId="9" fillId="0" borderId="4" xfId="0" applyNumberFormat="1" applyFont="1" applyBorder="1" applyAlignment="1">
      <alignment horizontal="center" vertical="center"/>
    </xf>
    <xf numFmtId="0" fontId="9" fillId="13" borderId="47" xfId="0" applyFont="1" applyFill="1" applyBorder="1" applyAlignment="1">
      <alignment horizontal="center"/>
    </xf>
    <xf numFmtId="0" fontId="9" fillId="13" borderId="48" xfId="0" applyFont="1" applyFill="1" applyBorder="1" applyAlignment="1">
      <alignment horizontal="center"/>
    </xf>
    <xf numFmtId="0" fontId="9" fillId="13" borderId="46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9" fillId="13" borderId="4" xfId="0" applyFont="1" applyFill="1" applyBorder="1" applyAlignment="1">
      <alignment horizontal="center"/>
    </xf>
    <xf numFmtId="0" fontId="9" fillId="13" borderId="43" xfId="0" applyFont="1" applyFill="1" applyBorder="1" applyAlignment="1">
      <alignment horizontal="center"/>
    </xf>
    <xf numFmtId="0" fontId="9" fillId="13" borderId="44" xfId="0" applyFont="1" applyFill="1" applyBorder="1" applyAlignment="1">
      <alignment horizontal="center"/>
    </xf>
    <xf numFmtId="0" fontId="9" fillId="13" borderId="3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right"/>
    </xf>
    <xf numFmtId="0" fontId="9" fillId="4" borderId="5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right"/>
    </xf>
    <xf numFmtId="0" fontId="6" fillId="3" borderId="3" xfId="0" applyFont="1" applyFill="1" applyBorder="1" applyAlignment="1" applyProtection="1">
      <alignment horizontal="left"/>
      <protection locked="0"/>
    </xf>
    <xf numFmtId="0" fontId="6" fillId="3" borderId="4" xfId="0" applyFont="1" applyFill="1" applyBorder="1" applyAlignment="1" applyProtection="1">
      <alignment horizontal="left"/>
      <protection locked="0"/>
    </xf>
    <xf numFmtId="0" fontId="17" fillId="8" borderId="18" xfId="0" applyFont="1" applyFill="1" applyBorder="1" applyAlignment="1">
      <alignment horizontal="center"/>
    </xf>
    <xf numFmtId="0" fontId="9" fillId="4" borderId="47" xfId="0" applyFont="1" applyFill="1" applyBorder="1" applyAlignment="1">
      <alignment horizontal="right"/>
    </xf>
    <xf numFmtId="0" fontId="9" fillId="4" borderId="48" xfId="0" applyFont="1" applyFill="1" applyBorder="1" applyAlignment="1">
      <alignment horizontal="right"/>
    </xf>
    <xf numFmtId="0" fontId="9" fillId="4" borderId="46" xfId="0" applyFont="1" applyFill="1" applyBorder="1" applyAlignment="1">
      <alignment horizontal="right"/>
    </xf>
    <xf numFmtId="0" fontId="6" fillId="3" borderId="47" xfId="0" applyFont="1" applyFill="1" applyBorder="1" applyAlignment="1" applyProtection="1">
      <alignment horizontal="left"/>
      <protection locked="0"/>
    </xf>
    <xf numFmtId="0" fontId="6" fillId="3" borderId="46" xfId="0" applyFont="1" applyFill="1" applyBorder="1" applyAlignment="1" applyProtection="1">
      <alignment horizontal="left"/>
      <protection locked="0"/>
    </xf>
    <xf numFmtId="0" fontId="16" fillId="9" borderId="23" xfId="0" applyFont="1" applyFill="1" applyBorder="1" applyAlignment="1">
      <alignment horizontal="center" vertical="center" wrapText="1"/>
    </xf>
    <xf numFmtId="0" fontId="16" fillId="9" borderId="19" xfId="0" applyFont="1" applyFill="1" applyBorder="1" applyAlignment="1">
      <alignment horizontal="center" vertical="center" wrapText="1"/>
    </xf>
    <xf numFmtId="0" fontId="16" fillId="9" borderId="25" xfId="0" applyFont="1" applyFill="1" applyBorder="1" applyAlignment="1">
      <alignment horizontal="center" vertical="center" wrapText="1"/>
    </xf>
    <xf numFmtId="0" fontId="21" fillId="2" borderId="19" xfId="0" applyFont="1" applyFill="1" applyBorder="1" applyAlignment="1">
      <alignment horizontal="center"/>
    </xf>
    <xf numFmtId="0" fontId="21" fillId="2" borderId="26" xfId="0" applyFont="1" applyFill="1" applyBorder="1" applyAlignment="1">
      <alignment horizontal="center"/>
    </xf>
    <xf numFmtId="0" fontId="21" fillId="2" borderId="18" xfId="0" applyFont="1" applyFill="1" applyBorder="1" applyAlignment="1">
      <alignment horizontal="center"/>
    </xf>
    <xf numFmtId="0" fontId="21" fillId="2" borderId="22" xfId="0" applyFont="1" applyFill="1" applyBorder="1" applyAlignment="1">
      <alignment horizontal="center"/>
    </xf>
    <xf numFmtId="0" fontId="17" fillId="9" borderId="10" xfId="0" applyFont="1" applyFill="1" applyBorder="1" applyAlignment="1">
      <alignment horizontal="center" vertical="center" wrapText="1"/>
    </xf>
    <xf numFmtId="0" fontId="17" fillId="9" borderId="40" xfId="0" applyFont="1" applyFill="1" applyBorder="1" applyAlignment="1">
      <alignment horizontal="center" vertical="center" wrapText="1"/>
    </xf>
    <xf numFmtId="0" fontId="17" fillId="9" borderId="12" xfId="0" applyFont="1" applyFill="1" applyBorder="1" applyAlignment="1">
      <alignment horizontal="center" vertical="center" wrapText="1"/>
    </xf>
    <xf numFmtId="0" fontId="17" fillId="9" borderId="41" xfId="0" applyFont="1" applyFill="1" applyBorder="1" applyAlignment="1">
      <alignment horizontal="center" vertical="center" wrapText="1"/>
    </xf>
    <xf numFmtId="0" fontId="18" fillId="9" borderId="58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center" vertical="center"/>
    </xf>
    <xf numFmtId="0" fontId="18" fillId="9" borderId="27" xfId="0" applyFont="1" applyFill="1" applyBorder="1" applyAlignment="1">
      <alignment horizontal="center" vertical="center"/>
    </xf>
    <xf numFmtId="0" fontId="18" fillId="9" borderId="39" xfId="0" applyFont="1" applyFill="1" applyBorder="1" applyAlignment="1">
      <alignment horizontal="center" vertical="center"/>
    </xf>
    <xf numFmtId="0" fontId="18" fillId="9" borderId="52" xfId="0" applyFont="1" applyFill="1" applyBorder="1" applyAlignment="1">
      <alignment horizontal="center" vertical="center"/>
    </xf>
    <xf numFmtId="0" fontId="20" fillId="9" borderId="49" xfId="0" applyFont="1" applyFill="1" applyBorder="1" applyAlignment="1">
      <alignment horizontal="center" vertical="center" wrapText="1"/>
    </xf>
    <xf numFmtId="0" fontId="20" fillId="9" borderId="50" xfId="0" applyFont="1" applyFill="1" applyBorder="1" applyAlignment="1">
      <alignment horizontal="center" vertical="center" wrapText="1"/>
    </xf>
    <xf numFmtId="0" fontId="16" fillId="9" borderId="53" xfId="0" applyFont="1" applyFill="1" applyBorder="1" applyAlignment="1">
      <alignment horizontal="center" vertical="center" wrapText="1"/>
    </xf>
    <xf numFmtId="0" fontId="16" fillId="9" borderId="20" xfId="0" applyFont="1" applyFill="1" applyBorder="1" applyAlignment="1">
      <alignment horizontal="center" vertical="center" wrapText="1"/>
    </xf>
    <xf numFmtId="0" fontId="17" fillId="8" borderId="56" xfId="0" applyFont="1" applyFill="1" applyBorder="1" applyAlignment="1">
      <alignment horizontal="center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8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D0BAEF-88A4-44CF-8391-CC698B3C9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504300-54FC-4F0A-A1B6-69F59E0FF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21256-FFCD-4A22-BAB3-66C512745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49BDB-7F10-4D67-ACA6-12D0ADA41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329214-C61D-4BED-B652-439B12177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000AE6-7D7E-4D4C-9443-D0470A202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D11032-A583-4F31-AB67-8B393F1CA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D239C-99B5-442A-92F1-DB8E2B6B8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B0156-ED92-41EE-8B1A-DEEAA8B79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388F5E-AD36-4565-806A-685AA7C39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EE1618-ABF0-48AF-AA92-93FD84ADA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92411-6BA1-4547-B59C-987D3EDF4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99C1B8-5FC0-4F8D-A6B3-AB8B8A212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317E2-4468-4C63-9902-79FF7BB55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47ECA-B8A1-4409-A39C-898796484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3E64B4-241E-4C71-A25B-64ED833C7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FD2A70-AC68-4F27-A1C6-8A5437C6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0402E-08D7-4B10-9CE5-18D486161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E0F965-82D0-4F60-B7A7-B9AF38AA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134410-1EED-4AB7-93E6-7D43E934C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51"/>
  <sheetViews>
    <sheetView topLeftCell="A3" zoomScale="85" zoomScaleNormal="85" workbookViewId="0">
      <selection activeCell="M39" sqref="M3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94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77520.69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43033.65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34487.040000000001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95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0.44487529716260266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96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43033.65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43033.65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20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97</v>
      </c>
      <c r="C18" s="5" t="s">
        <v>98</v>
      </c>
      <c r="D18" s="125">
        <v>500</v>
      </c>
      <c r="E18" s="53">
        <v>1</v>
      </c>
      <c r="F18" s="8">
        <v>35.25</v>
      </c>
      <c r="G18" s="9">
        <f>ROUND(IF($F$17="USD $", F18*$E$15,F18*$D$15),2)</f>
        <v>24.31</v>
      </c>
      <c r="H18" s="10">
        <f>ROUND(IF($H$17=$G$17,E18*G18,E18*F18),2)</f>
        <v>35.25</v>
      </c>
      <c r="I18" s="11"/>
      <c r="J18" s="89">
        <f t="shared" ref="J18" si="0">E18</f>
        <v>1</v>
      </c>
      <c r="K18" s="9">
        <f>IFERROR(IF(M18="OEM DISC %",ROUND(IF($K$17=$F$17,F18*(1-N18),G18*(1-N18)),2),IF(M18="MARKUP %",ROUND(R18/J18*(1+N18),2))),0)</f>
        <v>17.63</v>
      </c>
      <c r="L18" s="9">
        <f>ROUND((J18*K18),2)</f>
        <v>17.63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17.63</v>
      </c>
      <c r="T18" s="14">
        <f>ROUND(L18-R18,2)</f>
        <v>17.63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99</v>
      </c>
      <c r="C19" s="4" t="s">
        <v>100</v>
      </c>
      <c r="D19" s="126">
        <v>500</v>
      </c>
      <c r="E19" s="54">
        <v>1</v>
      </c>
      <c r="F19" s="15">
        <v>82.65</v>
      </c>
      <c r="G19" s="38">
        <f t="shared" ref="G19:G37" si="1">ROUND(IF($F$17="USD $", F19*$E$15,F19*$D$15),2)</f>
        <v>57</v>
      </c>
      <c r="H19" s="39">
        <f t="shared" ref="H19:H37" si="2">ROUND(IF($H$17=$G$17,E19*G19,E19*F19),2)</f>
        <v>82.65</v>
      </c>
      <c r="I19" s="42"/>
      <c r="J19" s="88">
        <f t="shared" ref="J19:J37" si="3">E19</f>
        <v>1</v>
      </c>
      <c r="K19" s="38">
        <f t="shared" ref="K19:K48" si="4">IFERROR(IF(M19="OEM DISC %",ROUND(IF($K$17=$F$17,F19*(1-N19),G19*(1-N19)),2),IF(M19="MARKUP %",ROUND(R19/J19*(1+N19),2))),0)</f>
        <v>41.33</v>
      </c>
      <c r="L19" s="38">
        <f t="shared" ref="L19:L37" si="5">ROUND((J19*K19),2)</f>
        <v>41.33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37" si="6">IFERROR(ROUND(T19/E19,2),0)</f>
        <v>41.33</v>
      </c>
      <c r="T19" s="52">
        <f t="shared" ref="T19:T48" si="7">ROUND(L19-R19,2)</f>
        <v>41.33</v>
      </c>
      <c r="U19" s="41">
        <f t="shared" ref="U19:U37" si="8">IFERROR(((K19-(R19/J19))/(R19/J19)),0)</f>
        <v>0</v>
      </c>
      <c r="V19" s="41">
        <f t="shared" ref="V19:V37" si="9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101</v>
      </c>
      <c r="C20" s="6" t="s">
        <v>102</v>
      </c>
      <c r="D20" s="127">
        <v>500</v>
      </c>
      <c r="E20" s="53">
        <v>1</v>
      </c>
      <c r="F20" s="8">
        <v>214.1</v>
      </c>
      <c r="G20" s="9">
        <f t="shared" si="1"/>
        <v>147.66</v>
      </c>
      <c r="H20" s="10">
        <f t="shared" si="2"/>
        <v>214.1</v>
      </c>
      <c r="I20" s="42"/>
      <c r="J20" s="89">
        <f t="shared" si="3"/>
        <v>1</v>
      </c>
      <c r="K20" s="9">
        <f t="shared" si="4"/>
        <v>139.16999999999999</v>
      </c>
      <c r="L20" s="9">
        <f t="shared" si="5"/>
        <v>139.16999999999999</v>
      </c>
      <c r="M20" s="8" t="s">
        <v>92</v>
      </c>
      <c r="N20" s="12">
        <v>0.35</v>
      </c>
      <c r="O20" s="51"/>
      <c r="P20" s="3"/>
      <c r="Q20" s="13"/>
      <c r="R20" s="14">
        <f t="shared" ref="R20:R37" si="10">ROUND(IF($R$17=$Q$17,Q20,IF($R$17="USD $",Q20*$D$15,Q20*$E$15))*E20,2)</f>
        <v>0</v>
      </c>
      <c r="S20" s="14">
        <f t="shared" si="6"/>
        <v>139.16999999999999</v>
      </c>
      <c r="T20" s="14">
        <f t="shared" si="7"/>
        <v>139.16999999999999</v>
      </c>
      <c r="U20" s="29">
        <f t="shared" si="8"/>
        <v>0</v>
      </c>
      <c r="V20" s="29">
        <f t="shared" si="9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103</v>
      </c>
      <c r="C21" s="4" t="s">
        <v>104</v>
      </c>
      <c r="D21" s="126">
        <v>500</v>
      </c>
      <c r="E21" s="54">
        <v>1</v>
      </c>
      <c r="F21" s="15">
        <v>147.41</v>
      </c>
      <c r="G21" s="38">
        <f t="shared" si="1"/>
        <v>101.66</v>
      </c>
      <c r="H21" s="39">
        <f t="shared" si="2"/>
        <v>147.41</v>
      </c>
      <c r="I21" s="42"/>
      <c r="J21" s="88">
        <f t="shared" si="3"/>
        <v>1</v>
      </c>
      <c r="K21" s="38">
        <f t="shared" si="4"/>
        <v>95.82</v>
      </c>
      <c r="L21" s="38">
        <f t="shared" si="5"/>
        <v>95.82</v>
      </c>
      <c r="M21" s="129" t="s">
        <v>92</v>
      </c>
      <c r="N21" s="16">
        <v>0.35</v>
      </c>
      <c r="O21" s="51"/>
      <c r="P21" s="1"/>
      <c r="Q21" s="15"/>
      <c r="R21" s="40">
        <f t="shared" si="10"/>
        <v>0</v>
      </c>
      <c r="S21" s="52">
        <f t="shared" si="6"/>
        <v>95.82</v>
      </c>
      <c r="T21" s="52">
        <f t="shared" si="7"/>
        <v>95.82</v>
      </c>
      <c r="U21" s="41">
        <f t="shared" si="8"/>
        <v>0</v>
      </c>
      <c r="V21" s="41">
        <f t="shared" si="9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105</v>
      </c>
      <c r="C22" s="6" t="s">
        <v>106</v>
      </c>
      <c r="D22" s="127" t="s">
        <v>50</v>
      </c>
      <c r="E22" s="53">
        <v>1</v>
      </c>
      <c r="F22" s="8">
        <v>82.23</v>
      </c>
      <c r="G22" s="9">
        <f t="shared" si="1"/>
        <v>56.71</v>
      </c>
      <c r="H22" s="10">
        <f t="shared" si="2"/>
        <v>82.23</v>
      </c>
      <c r="I22" s="42"/>
      <c r="J22" s="89">
        <f t="shared" si="3"/>
        <v>1</v>
      </c>
      <c r="K22" s="9">
        <f t="shared" si="4"/>
        <v>53.45</v>
      </c>
      <c r="L22" s="9">
        <f t="shared" si="5"/>
        <v>53.45</v>
      </c>
      <c r="M22" s="8" t="s">
        <v>92</v>
      </c>
      <c r="N22" s="12">
        <v>0.35</v>
      </c>
      <c r="O22" s="51"/>
      <c r="P22" s="3"/>
      <c r="Q22" s="13"/>
      <c r="R22" s="14">
        <f t="shared" si="10"/>
        <v>0</v>
      </c>
      <c r="S22" s="14">
        <f t="shared" si="6"/>
        <v>53.45</v>
      </c>
      <c r="T22" s="14">
        <f t="shared" si="7"/>
        <v>53.45</v>
      </c>
      <c r="U22" s="29">
        <f t="shared" si="8"/>
        <v>0</v>
      </c>
      <c r="V22" s="29">
        <f t="shared" si="9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107</v>
      </c>
      <c r="C23" s="4" t="s">
        <v>108</v>
      </c>
      <c r="D23" s="126">
        <v>1000</v>
      </c>
      <c r="E23" s="54">
        <v>1</v>
      </c>
      <c r="F23" s="15">
        <v>145.28</v>
      </c>
      <c r="G23" s="38">
        <f t="shared" si="1"/>
        <v>100.19</v>
      </c>
      <c r="H23" s="39">
        <f t="shared" si="2"/>
        <v>145.28</v>
      </c>
      <c r="I23" s="42"/>
      <c r="J23" s="88">
        <f t="shared" si="3"/>
        <v>1</v>
      </c>
      <c r="K23" s="38">
        <f t="shared" si="4"/>
        <v>72.64</v>
      </c>
      <c r="L23" s="38">
        <f t="shared" si="5"/>
        <v>72.64</v>
      </c>
      <c r="M23" s="129" t="s">
        <v>92</v>
      </c>
      <c r="N23" s="16">
        <v>0.5</v>
      </c>
      <c r="O23" s="51"/>
      <c r="P23" s="1"/>
      <c r="Q23" s="15"/>
      <c r="R23" s="40">
        <f t="shared" si="10"/>
        <v>0</v>
      </c>
      <c r="S23" s="52">
        <f t="shared" si="6"/>
        <v>72.64</v>
      </c>
      <c r="T23" s="52">
        <f t="shared" si="7"/>
        <v>72.64</v>
      </c>
      <c r="U23" s="41">
        <f t="shared" si="8"/>
        <v>0</v>
      </c>
      <c r="V23" s="41">
        <f t="shared" si="9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109</v>
      </c>
      <c r="C24" s="6" t="s">
        <v>110</v>
      </c>
      <c r="D24" s="127">
        <v>500</v>
      </c>
      <c r="E24" s="53">
        <v>1</v>
      </c>
      <c r="F24" s="8">
        <v>73.08</v>
      </c>
      <c r="G24" s="9">
        <f t="shared" si="1"/>
        <v>50.4</v>
      </c>
      <c r="H24" s="10">
        <f t="shared" si="2"/>
        <v>73.08</v>
      </c>
      <c r="I24" s="42"/>
      <c r="J24" s="89">
        <f t="shared" si="3"/>
        <v>1</v>
      </c>
      <c r="K24" s="9">
        <f t="shared" si="4"/>
        <v>36.54</v>
      </c>
      <c r="L24" s="9">
        <f t="shared" si="5"/>
        <v>36.54</v>
      </c>
      <c r="M24" s="8" t="s">
        <v>92</v>
      </c>
      <c r="N24" s="12">
        <v>0.5</v>
      </c>
      <c r="O24" s="51"/>
      <c r="P24" s="3"/>
      <c r="Q24" s="13"/>
      <c r="R24" s="14">
        <f t="shared" si="10"/>
        <v>0</v>
      </c>
      <c r="S24" s="14">
        <f t="shared" si="6"/>
        <v>36.54</v>
      </c>
      <c r="T24" s="14">
        <f t="shared" si="7"/>
        <v>36.54</v>
      </c>
      <c r="U24" s="29">
        <f t="shared" si="8"/>
        <v>0</v>
      </c>
      <c r="V24" s="29">
        <f t="shared" si="9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111</v>
      </c>
      <c r="C25" s="4" t="s">
        <v>110</v>
      </c>
      <c r="D25" s="126">
        <v>500</v>
      </c>
      <c r="E25" s="54">
        <v>1</v>
      </c>
      <c r="F25" s="15">
        <v>72.95</v>
      </c>
      <c r="G25" s="38">
        <f t="shared" si="1"/>
        <v>50.31</v>
      </c>
      <c r="H25" s="39">
        <f t="shared" si="2"/>
        <v>72.95</v>
      </c>
      <c r="I25" s="42"/>
      <c r="J25" s="88">
        <f t="shared" si="3"/>
        <v>1</v>
      </c>
      <c r="K25" s="38">
        <f t="shared" si="4"/>
        <v>36.479999999999997</v>
      </c>
      <c r="L25" s="38">
        <f t="shared" si="5"/>
        <v>36.479999999999997</v>
      </c>
      <c r="M25" s="129" t="s">
        <v>92</v>
      </c>
      <c r="N25" s="16">
        <v>0.5</v>
      </c>
      <c r="O25" s="51"/>
      <c r="P25" s="1"/>
      <c r="Q25" s="15"/>
      <c r="R25" s="40">
        <f t="shared" si="10"/>
        <v>0</v>
      </c>
      <c r="S25" s="52">
        <f t="shared" si="6"/>
        <v>36.479999999999997</v>
      </c>
      <c r="T25" s="52">
        <f t="shared" si="7"/>
        <v>36.479999999999997</v>
      </c>
      <c r="U25" s="41">
        <f t="shared" si="8"/>
        <v>0</v>
      </c>
      <c r="V25" s="41">
        <f t="shared" si="9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112</v>
      </c>
      <c r="C26" s="6" t="s">
        <v>113</v>
      </c>
      <c r="D26" s="127" t="s">
        <v>50</v>
      </c>
      <c r="E26" s="53">
        <v>2</v>
      </c>
      <c r="F26" s="8">
        <v>486.48</v>
      </c>
      <c r="G26" s="9">
        <f t="shared" si="1"/>
        <v>335.5</v>
      </c>
      <c r="H26" s="10">
        <f t="shared" si="2"/>
        <v>972.96</v>
      </c>
      <c r="I26" s="42"/>
      <c r="J26" s="89">
        <f t="shared" si="3"/>
        <v>2</v>
      </c>
      <c r="K26" s="9">
        <f t="shared" si="4"/>
        <v>243.24</v>
      </c>
      <c r="L26" s="9">
        <f t="shared" si="5"/>
        <v>486.48</v>
      </c>
      <c r="M26" s="8" t="s">
        <v>92</v>
      </c>
      <c r="N26" s="12">
        <v>0.5</v>
      </c>
      <c r="O26" s="51"/>
      <c r="P26" s="3"/>
      <c r="Q26" s="13"/>
      <c r="R26" s="14">
        <f t="shared" si="10"/>
        <v>0</v>
      </c>
      <c r="S26" s="14">
        <f t="shared" si="6"/>
        <v>243.24</v>
      </c>
      <c r="T26" s="14">
        <f t="shared" si="7"/>
        <v>486.48</v>
      </c>
      <c r="U26" s="29">
        <f t="shared" si="8"/>
        <v>0</v>
      </c>
      <c r="V26" s="29">
        <f t="shared" si="9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114</v>
      </c>
      <c r="C27" s="4" t="s">
        <v>115</v>
      </c>
      <c r="D27" s="126" t="s">
        <v>50</v>
      </c>
      <c r="E27" s="54">
        <v>6</v>
      </c>
      <c r="F27" s="15">
        <v>1234.93</v>
      </c>
      <c r="G27" s="38">
        <f t="shared" si="1"/>
        <v>851.68</v>
      </c>
      <c r="H27" s="39">
        <f t="shared" si="2"/>
        <v>7409.58</v>
      </c>
      <c r="I27" s="42"/>
      <c r="J27" s="88">
        <f t="shared" si="3"/>
        <v>6</v>
      </c>
      <c r="K27" s="38">
        <f t="shared" si="4"/>
        <v>864.45</v>
      </c>
      <c r="L27" s="38">
        <f t="shared" si="5"/>
        <v>5186.7</v>
      </c>
      <c r="M27" s="129" t="s">
        <v>92</v>
      </c>
      <c r="N27" s="16">
        <v>0.3</v>
      </c>
      <c r="O27" s="51"/>
      <c r="P27" s="1"/>
      <c r="Q27" s="15"/>
      <c r="R27" s="40">
        <f t="shared" si="10"/>
        <v>0</v>
      </c>
      <c r="S27" s="52">
        <f t="shared" si="6"/>
        <v>864.45</v>
      </c>
      <c r="T27" s="52">
        <f t="shared" si="7"/>
        <v>5186.7</v>
      </c>
      <c r="U27" s="41">
        <f t="shared" si="8"/>
        <v>0</v>
      </c>
      <c r="V27" s="41">
        <f t="shared" si="9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116</v>
      </c>
      <c r="C28" s="6" t="s">
        <v>117</v>
      </c>
      <c r="D28" s="127" t="s">
        <v>50</v>
      </c>
      <c r="E28" s="53">
        <v>1</v>
      </c>
      <c r="F28" s="8">
        <v>6363.17</v>
      </c>
      <c r="G28" s="9">
        <f t="shared" si="1"/>
        <v>4388.3900000000003</v>
      </c>
      <c r="H28" s="10">
        <f t="shared" si="2"/>
        <v>6363.17</v>
      </c>
      <c r="I28" s="42"/>
      <c r="J28" s="89">
        <f t="shared" si="3"/>
        <v>1</v>
      </c>
      <c r="K28" s="9">
        <f t="shared" si="4"/>
        <v>3181.59</v>
      </c>
      <c r="L28" s="9">
        <f t="shared" si="5"/>
        <v>3181.59</v>
      </c>
      <c r="M28" s="8" t="s">
        <v>92</v>
      </c>
      <c r="N28" s="12">
        <v>0.5</v>
      </c>
      <c r="O28" s="51"/>
      <c r="P28" s="3"/>
      <c r="Q28" s="13"/>
      <c r="R28" s="14">
        <f t="shared" si="10"/>
        <v>0</v>
      </c>
      <c r="S28" s="14">
        <f t="shared" si="6"/>
        <v>3181.59</v>
      </c>
      <c r="T28" s="14">
        <f t="shared" si="7"/>
        <v>3181.59</v>
      </c>
      <c r="U28" s="29">
        <f t="shared" si="8"/>
        <v>0</v>
      </c>
      <c r="V28" s="29">
        <f t="shared" si="9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118</v>
      </c>
      <c r="C29" s="4" t="s">
        <v>119</v>
      </c>
      <c r="D29" s="126" t="s">
        <v>50</v>
      </c>
      <c r="E29" s="54">
        <v>1</v>
      </c>
      <c r="F29" s="15">
        <v>744.17</v>
      </c>
      <c r="G29" s="38">
        <f>ROUND(IF($F$17="USD $", F29*$E$15,F29*$D$15),2)</f>
        <v>513.22</v>
      </c>
      <c r="H29" s="39">
        <f>ROUND(IF($H$17=$G$17,E29*G29,E29*F29),2)</f>
        <v>744.17</v>
      </c>
      <c r="I29" s="42"/>
      <c r="J29" s="88">
        <f t="shared" si="3"/>
        <v>1</v>
      </c>
      <c r="K29" s="38">
        <f t="shared" si="4"/>
        <v>372.09</v>
      </c>
      <c r="L29" s="38">
        <f>ROUND((J29*K29),2)</f>
        <v>372.09</v>
      </c>
      <c r="M29" s="129" t="s">
        <v>92</v>
      </c>
      <c r="N29" s="16">
        <v>0.5</v>
      </c>
      <c r="O29" s="51"/>
      <c r="P29" s="1"/>
      <c r="Q29" s="15"/>
      <c r="R29" s="40">
        <f t="shared" si="10"/>
        <v>0</v>
      </c>
      <c r="S29" s="52">
        <f t="shared" si="6"/>
        <v>372.09</v>
      </c>
      <c r="T29" s="52">
        <f t="shared" si="7"/>
        <v>372.09</v>
      </c>
      <c r="U29" s="41">
        <f t="shared" si="8"/>
        <v>0</v>
      </c>
      <c r="V29" s="41">
        <f t="shared" si="9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120</v>
      </c>
      <c r="C30" s="6" t="s">
        <v>121</v>
      </c>
      <c r="D30" s="127" t="s">
        <v>50</v>
      </c>
      <c r="E30" s="53">
        <v>1</v>
      </c>
      <c r="F30" s="8">
        <v>6681.88</v>
      </c>
      <c r="G30" s="9">
        <f t="shared" si="1"/>
        <v>4608.1899999999996</v>
      </c>
      <c r="H30" s="10">
        <f t="shared" si="2"/>
        <v>6681.88</v>
      </c>
      <c r="I30" s="42"/>
      <c r="J30" s="89">
        <f t="shared" si="3"/>
        <v>1</v>
      </c>
      <c r="K30" s="9">
        <f t="shared" si="4"/>
        <v>3340.94</v>
      </c>
      <c r="L30" s="9">
        <f t="shared" si="5"/>
        <v>3340.94</v>
      </c>
      <c r="M30" s="8" t="s">
        <v>92</v>
      </c>
      <c r="N30" s="12">
        <v>0.5</v>
      </c>
      <c r="O30" s="51"/>
      <c r="P30" s="3"/>
      <c r="Q30" s="13"/>
      <c r="R30" s="14">
        <f t="shared" si="10"/>
        <v>0</v>
      </c>
      <c r="S30" s="14">
        <f t="shared" si="6"/>
        <v>3340.94</v>
      </c>
      <c r="T30" s="14">
        <f t="shared" si="7"/>
        <v>3340.94</v>
      </c>
      <c r="U30" s="29">
        <f t="shared" si="8"/>
        <v>0</v>
      </c>
      <c r="V30" s="29">
        <f t="shared" si="9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3"/>
        <v>0</v>
      </c>
      <c r="K31" s="38">
        <f t="shared" si="4"/>
        <v>0</v>
      </c>
      <c r="L31" s="38">
        <f t="shared" si="5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6"/>
        <v>0</v>
      </c>
      <c r="T31" s="52">
        <f t="shared" si="7"/>
        <v>0</v>
      </c>
      <c r="U31" s="41">
        <f t="shared" si="8"/>
        <v>0</v>
      </c>
      <c r="V31" s="41">
        <f t="shared" si="9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 t="s">
        <v>122</v>
      </c>
      <c r="C32" s="6" t="s">
        <v>123</v>
      </c>
      <c r="D32" s="127" t="s">
        <v>50</v>
      </c>
      <c r="E32" s="53">
        <v>1</v>
      </c>
      <c r="F32" s="8">
        <v>54495.98000000001</v>
      </c>
      <c r="G32" s="9">
        <f t="shared" si="1"/>
        <v>37583.43</v>
      </c>
      <c r="H32" s="10">
        <f t="shared" si="2"/>
        <v>54495.98</v>
      </c>
      <c r="I32" s="42"/>
      <c r="J32" s="89">
        <f t="shared" si="3"/>
        <v>1</v>
      </c>
      <c r="K32" s="9">
        <f t="shared" si="4"/>
        <v>29972.79</v>
      </c>
      <c r="L32" s="9">
        <f t="shared" si="5"/>
        <v>29972.79</v>
      </c>
      <c r="M32" s="8" t="s">
        <v>92</v>
      </c>
      <c r="N32" s="12">
        <v>0.45</v>
      </c>
      <c r="O32" s="51"/>
      <c r="P32" s="3"/>
      <c r="Q32" s="13"/>
      <c r="R32" s="14">
        <f t="shared" si="10"/>
        <v>0</v>
      </c>
      <c r="S32" s="14">
        <f t="shared" si="6"/>
        <v>29972.79</v>
      </c>
      <c r="T32" s="14">
        <f t="shared" si="7"/>
        <v>29972.79</v>
      </c>
      <c r="U32" s="29">
        <f t="shared" si="8"/>
        <v>0</v>
      </c>
      <c r="V32" s="29">
        <f t="shared" si="9"/>
        <v>1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3"/>
        <v>0</v>
      </c>
      <c r="K33" s="38">
        <f t="shared" si="4"/>
        <v>0</v>
      </c>
      <c r="L33" s="38">
        <f t="shared" si="5"/>
        <v>0</v>
      </c>
      <c r="M33" s="129" t="s">
        <v>92</v>
      </c>
      <c r="N33" s="16"/>
      <c r="O33" s="51"/>
      <c r="P33" s="1"/>
      <c r="Q33" s="15"/>
      <c r="R33" s="40">
        <f t="shared" si="10"/>
        <v>0</v>
      </c>
      <c r="S33" s="52">
        <f t="shared" si="6"/>
        <v>0</v>
      </c>
      <c r="T33" s="52">
        <f t="shared" si="7"/>
        <v>0</v>
      </c>
      <c r="U33" s="41">
        <f t="shared" si="8"/>
        <v>0</v>
      </c>
      <c r="V33" s="41">
        <f t="shared" si="9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3"/>
        <v>0</v>
      </c>
      <c r="K34" s="9">
        <f t="shared" si="4"/>
        <v>0</v>
      </c>
      <c r="L34" s="9">
        <f t="shared" si="5"/>
        <v>0</v>
      </c>
      <c r="M34" s="8" t="s">
        <v>92</v>
      </c>
      <c r="N34" s="12"/>
      <c r="O34" s="51"/>
      <c r="P34" s="3"/>
      <c r="Q34" s="13"/>
      <c r="R34" s="14">
        <f t="shared" si="10"/>
        <v>0</v>
      </c>
      <c r="S34" s="14">
        <f t="shared" si="6"/>
        <v>0</v>
      </c>
      <c r="T34" s="14">
        <f t="shared" si="7"/>
        <v>0</v>
      </c>
      <c r="U34" s="29">
        <f t="shared" si="8"/>
        <v>0</v>
      </c>
      <c r="V34" s="29">
        <f t="shared" si="9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3"/>
        <v>0</v>
      </c>
      <c r="K35" s="38">
        <f t="shared" si="4"/>
        <v>0</v>
      </c>
      <c r="L35" s="38">
        <f t="shared" si="5"/>
        <v>0</v>
      </c>
      <c r="M35" s="129" t="s">
        <v>92</v>
      </c>
      <c r="N35" s="16"/>
      <c r="O35" s="51"/>
      <c r="P35" s="1"/>
      <c r="Q35" s="15"/>
      <c r="R35" s="40">
        <f t="shared" si="10"/>
        <v>0</v>
      </c>
      <c r="S35" s="52">
        <f t="shared" si="6"/>
        <v>0</v>
      </c>
      <c r="T35" s="52">
        <f t="shared" si="7"/>
        <v>0</v>
      </c>
      <c r="U35" s="41">
        <f t="shared" si="8"/>
        <v>0</v>
      </c>
      <c r="V35" s="41">
        <f t="shared" si="9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3"/>
        <v>0</v>
      </c>
      <c r="K36" s="9">
        <f t="shared" si="4"/>
        <v>0</v>
      </c>
      <c r="L36" s="9">
        <f t="shared" si="5"/>
        <v>0</v>
      </c>
      <c r="M36" s="8" t="s">
        <v>92</v>
      </c>
      <c r="N36" s="12"/>
      <c r="O36" s="51"/>
      <c r="P36" s="3"/>
      <c r="Q36" s="13"/>
      <c r="R36" s="14">
        <f t="shared" si="10"/>
        <v>0</v>
      </c>
      <c r="S36" s="14">
        <f t="shared" si="6"/>
        <v>0</v>
      </c>
      <c r="T36" s="14">
        <f t="shared" si="7"/>
        <v>0</v>
      </c>
      <c r="U36" s="29">
        <f t="shared" si="8"/>
        <v>0</v>
      </c>
      <c r="V36" s="29">
        <f t="shared" si="9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3"/>
        <v>0</v>
      </c>
      <c r="K37" s="38">
        <f t="shared" si="4"/>
        <v>0</v>
      </c>
      <c r="L37" s="38">
        <f t="shared" si="5"/>
        <v>0</v>
      </c>
      <c r="M37" s="129" t="s">
        <v>92</v>
      </c>
      <c r="N37" s="16"/>
      <c r="O37" s="51"/>
      <c r="P37" s="1"/>
      <c r="Q37" s="15"/>
      <c r="R37" s="40">
        <f t="shared" si="10"/>
        <v>0</v>
      </c>
      <c r="S37" s="52">
        <f t="shared" si="6"/>
        <v>0</v>
      </c>
      <c r="T37" s="52">
        <f t="shared" si="7"/>
        <v>0</v>
      </c>
      <c r="U37" s="41">
        <f t="shared" si="8"/>
        <v>0</v>
      </c>
      <c r="V37" s="41">
        <f t="shared" si="9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ref="G38:G48" si="11">ROUND(IF($F$17="USD $", F38*$E$15,F38*$D$15),2)</f>
        <v>0</v>
      </c>
      <c r="H38" s="10">
        <f t="shared" ref="H38:H48" si="12">ROUND(IF($H$17=$G$17,E38*G38,E38*F38),2)</f>
        <v>0</v>
      </c>
      <c r="I38" s="42"/>
      <c r="J38" s="89">
        <f t="shared" ref="J38:J48" si="13">E38</f>
        <v>0</v>
      </c>
      <c r="K38" s="9">
        <f t="shared" si="4"/>
        <v>0</v>
      </c>
      <c r="L38" s="9">
        <f t="shared" ref="L38:L48" si="14">ROUND((J38*K38),2)</f>
        <v>0</v>
      </c>
      <c r="M38" s="8" t="s">
        <v>92</v>
      </c>
      <c r="N38" s="12"/>
      <c r="O38" s="51"/>
      <c r="P38" s="3"/>
      <c r="Q38" s="13"/>
      <c r="R38" s="14">
        <f t="shared" ref="R38:R48" si="15">ROUND(IF($R$17=$Q$17,Q38,IF($R$17="USD $",Q38*$D$15,Q38*$E$15))*E38,2)</f>
        <v>0</v>
      </c>
      <c r="S38" s="14">
        <f t="shared" ref="S38:S48" si="16">IFERROR(ROUND(T38/E38,2),0)</f>
        <v>0</v>
      </c>
      <c r="T38" s="14">
        <f t="shared" si="7"/>
        <v>0</v>
      </c>
      <c r="U38" s="29">
        <f t="shared" ref="U38:U48" si="17">IFERROR(((K38-(R38/J38))/(R38/J38)),0)</f>
        <v>0</v>
      </c>
      <c r="V38" s="29">
        <f t="shared" ref="V38:V48" si="18">IFERROR(((K38-(R38/J38))/K38),0)</f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1"/>
        <v>0</v>
      </c>
      <c r="H39" s="39">
        <f t="shared" si="12"/>
        <v>0</v>
      </c>
      <c r="I39" s="42"/>
      <c r="J39" s="88">
        <f t="shared" si="13"/>
        <v>0</v>
      </c>
      <c r="K39" s="38">
        <f t="shared" si="4"/>
        <v>0</v>
      </c>
      <c r="L39" s="38">
        <f t="shared" si="14"/>
        <v>0</v>
      </c>
      <c r="M39" s="129" t="s">
        <v>92</v>
      </c>
      <c r="N39" s="16"/>
      <c r="O39" s="51"/>
      <c r="P39" s="1"/>
      <c r="Q39" s="15"/>
      <c r="R39" s="40">
        <f t="shared" si="15"/>
        <v>0</v>
      </c>
      <c r="S39" s="52">
        <f t="shared" si="16"/>
        <v>0</v>
      </c>
      <c r="T39" s="52">
        <f t="shared" si="7"/>
        <v>0</v>
      </c>
      <c r="U39" s="41">
        <f t="shared" si="17"/>
        <v>0</v>
      </c>
      <c r="V39" s="41">
        <f t="shared" si="1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1"/>
        <v>0</v>
      </c>
      <c r="H40" s="10">
        <f t="shared" si="12"/>
        <v>0</v>
      </c>
      <c r="I40" s="42"/>
      <c r="J40" s="89">
        <f t="shared" si="13"/>
        <v>0</v>
      </c>
      <c r="K40" s="9">
        <f t="shared" si="4"/>
        <v>0</v>
      </c>
      <c r="L40" s="9">
        <f t="shared" si="14"/>
        <v>0</v>
      </c>
      <c r="M40" s="8" t="s">
        <v>92</v>
      </c>
      <c r="N40" s="12"/>
      <c r="O40" s="51"/>
      <c r="P40" s="3"/>
      <c r="Q40" s="13"/>
      <c r="R40" s="14">
        <f t="shared" si="15"/>
        <v>0</v>
      </c>
      <c r="S40" s="14">
        <f t="shared" si="16"/>
        <v>0</v>
      </c>
      <c r="T40" s="14">
        <f t="shared" si="7"/>
        <v>0</v>
      </c>
      <c r="U40" s="29">
        <f t="shared" si="17"/>
        <v>0</v>
      </c>
      <c r="V40" s="29">
        <f t="shared" si="1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1"/>
        <v>0</v>
      </c>
      <c r="H41" s="39">
        <f t="shared" si="12"/>
        <v>0</v>
      </c>
      <c r="I41" s="42"/>
      <c r="J41" s="88">
        <f t="shared" si="13"/>
        <v>0</v>
      </c>
      <c r="K41" s="38">
        <f t="shared" si="4"/>
        <v>0</v>
      </c>
      <c r="L41" s="38">
        <f t="shared" si="14"/>
        <v>0</v>
      </c>
      <c r="M41" s="129" t="s">
        <v>92</v>
      </c>
      <c r="N41" s="16"/>
      <c r="O41" s="51"/>
      <c r="P41" s="1"/>
      <c r="Q41" s="15"/>
      <c r="R41" s="40">
        <f t="shared" si="15"/>
        <v>0</v>
      </c>
      <c r="S41" s="52">
        <f t="shared" si="16"/>
        <v>0</v>
      </c>
      <c r="T41" s="52">
        <f t="shared" si="7"/>
        <v>0</v>
      </c>
      <c r="U41" s="41">
        <f t="shared" si="17"/>
        <v>0</v>
      </c>
      <c r="V41" s="41">
        <f t="shared" si="1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1"/>
        <v>0</v>
      </c>
      <c r="H42" s="10">
        <f t="shared" si="12"/>
        <v>0</v>
      </c>
      <c r="I42" s="42"/>
      <c r="J42" s="89">
        <f t="shared" si="13"/>
        <v>0</v>
      </c>
      <c r="K42" s="9">
        <f t="shared" si="4"/>
        <v>0</v>
      </c>
      <c r="L42" s="9">
        <f t="shared" si="14"/>
        <v>0</v>
      </c>
      <c r="M42" s="8" t="s">
        <v>92</v>
      </c>
      <c r="N42" s="12"/>
      <c r="O42" s="51"/>
      <c r="P42" s="3"/>
      <c r="Q42" s="13"/>
      <c r="R42" s="14">
        <f t="shared" si="15"/>
        <v>0</v>
      </c>
      <c r="S42" s="14">
        <f t="shared" si="16"/>
        <v>0</v>
      </c>
      <c r="T42" s="14">
        <f t="shared" si="7"/>
        <v>0</v>
      </c>
      <c r="U42" s="29">
        <f t="shared" si="17"/>
        <v>0</v>
      </c>
      <c r="V42" s="29">
        <f t="shared" si="1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1"/>
        <v>0</v>
      </c>
      <c r="H43" s="39">
        <f t="shared" si="12"/>
        <v>0</v>
      </c>
      <c r="I43" s="42"/>
      <c r="J43" s="88">
        <f t="shared" si="13"/>
        <v>0</v>
      </c>
      <c r="K43" s="38">
        <f t="shared" si="4"/>
        <v>0</v>
      </c>
      <c r="L43" s="38">
        <f t="shared" si="14"/>
        <v>0</v>
      </c>
      <c r="M43" s="129" t="s">
        <v>92</v>
      </c>
      <c r="N43" s="16"/>
      <c r="O43" s="51"/>
      <c r="P43" s="1"/>
      <c r="Q43" s="15"/>
      <c r="R43" s="40">
        <f t="shared" si="15"/>
        <v>0</v>
      </c>
      <c r="S43" s="52">
        <f t="shared" si="16"/>
        <v>0</v>
      </c>
      <c r="T43" s="52">
        <f t="shared" si="7"/>
        <v>0</v>
      </c>
      <c r="U43" s="41">
        <f t="shared" si="17"/>
        <v>0</v>
      </c>
      <c r="V43" s="41">
        <f t="shared" si="1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1"/>
        <v>0</v>
      </c>
      <c r="H44" s="10">
        <f t="shared" si="12"/>
        <v>0</v>
      </c>
      <c r="I44" s="42"/>
      <c r="J44" s="89">
        <f t="shared" si="13"/>
        <v>0</v>
      </c>
      <c r="K44" s="9">
        <f t="shared" si="4"/>
        <v>0</v>
      </c>
      <c r="L44" s="9">
        <f t="shared" si="14"/>
        <v>0</v>
      </c>
      <c r="M44" s="8" t="s">
        <v>92</v>
      </c>
      <c r="N44" s="12"/>
      <c r="O44" s="51"/>
      <c r="P44" s="3"/>
      <c r="Q44" s="13"/>
      <c r="R44" s="14">
        <f t="shared" si="15"/>
        <v>0</v>
      </c>
      <c r="S44" s="14">
        <f t="shared" si="16"/>
        <v>0</v>
      </c>
      <c r="T44" s="14">
        <f t="shared" si="7"/>
        <v>0</v>
      </c>
      <c r="U44" s="29">
        <f t="shared" si="17"/>
        <v>0</v>
      </c>
      <c r="V44" s="29">
        <f t="shared" si="1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1"/>
        <v>0</v>
      </c>
      <c r="H45" s="39">
        <f t="shared" si="12"/>
        <v>0</v>
      </c>
      <c r="I45" s="42"/>
      <c r="J45" s="88">
        <f t="shared" si="13"/>
        <v>0</v>
      </c>
      <c r="K45" s="38">
        <f t="shared" si="4"/>
        <v>0</v>
      </c>
      <c r="L45" s="38">
        <f t="shared" si="14"/>
        <v>0</v>
      </c>
      <c r="M45" s="129" t="s">
        <v>92</v>
      </c>
      <c r="N45" s="16"/>
      <c r="O45" s="51"/>
      <c r="P45" s="1"/>
      <c r="Q45" s="15"/>
      <c r="R45" s="40">
        <f t="shared" si="15"/>
        <v>0</v>
      </c>
      <c r="S45" s="52">
        <f t="shared" si="16"/>
        <v>0</v>
      </c>
      <c r="T45" s="52">
        <f t="shared" si="7"/>
        <v>0</v>
      </c>
      <c r="U45" s="41">
        <f t="shared" si="17"/>
        <v>0</v>
      </c>
      <c r="V45" s="41">
        <f t="shared" si="1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1"/>
        <v>0</v>
      </c>
      <c r="H46" s="10">
        <f t="shared" si="12"/>
        <v>0</v>
      </c>
      <c r="I46" s="42"/>
      <c r="J46" s="89">
        <f t="shared" si="13"/>
        <v>0</v>
      </c>
      <c r="K46" s="9">
        <f t="shared" si="4"/>
        <v>0</v>
      </c>
      <c r="L46" s="9">
        <f t="shared" si="14"/>
        <v>0</v>
      </c>
      <c r="M46" s="8" t="s">
        <v>92</v>
      </c>
      <c r="N46" s="12"/>
      <c r="O46" s="51"/>
      <c r="P46" s="3"/>
      <c r="Q46" s="13"/>
      <c r="R46" s="14">
        <f t="shared" si="15"/>
        <v>0</v>
      </c>
      <c r="S46" s="14">
        <f t="shared" si="16"/>
        <v>0</v>
      </c>
      <c r="T46" s="14">
        <f t="shared" si="7"/>
        <v>0</v>
      </c>
      <c r="U46" s="29">
        <f t="shared" si="17"/>
        <v>0</v>
      </c>
      <c r="V46" s="29">
        <f t="shared" si="1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1"/>
        <v>0</v>
      </c>
      <c r="H47" s="39">
        <f t="shared" si="12"/>
        <v>0</v>
      </c>
      <c r="I47" s="42"/>
      <c r="J47" s="88">
        <f t="shared" si="13"/>
        <v>0</v>
      </c>
      <c r="K47" s="38">
        <f t="shared" si="4"/>
        <v>0</v>
      </c>
      <c r="L47" s="38">
        <f t="shared" si="14"/>
        <v>0</v>
      </c>
      <c r="M47" s="129" t="s">
        <v>92</v>
      </c>
      <c r="N47" s="16"/>
      <c r="O47" s="51"/>
      <c r="P47" s="1"/>
      <c r="Q47" s="15"/>
      <c r="R47" s="40">
        <f t="shared" si="15"/>
        <v>0</v>
      </c>
      <c r="S47" s="52">
        <f t="shared" si="16"/>
        <v>0</v>
      </c>
      <c r="T47" s="52">
        <f t="shared" si="7"/>
        <v>0</v>
      </c>
      <c r="U47" s="41">
        <f t="shared" si="17"/>
        <v>0</v>
      </c>
      <c r="V47" s="41">
        <f t="shared" si="1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1"/>
        <v>0</v>
      </c>
      <c r="H48" s="10">
        <f t="shared" si="12"/>
        <v>0</v>
      </c>
      <c r="I48" s="42"/>
      <c r="J48" s="89">
        <f t="shared" si="13"/>
        <v>0</v>
      </c>
      <c r="K48" s="9">
        <f t="shared" si="4"/>
        <v>0</v>
      </c>
      <c r="L48" s="9">
        <f t="shared" si="14"/>
        <v>0</v>
      </c>
      <c r="M48" s="8" t="s">
        <v>92</v>
      </c>
      <c r="N48" s="12"/>
      <c r="O48" s="51"/>
      <c r="P48" s="3"/>
      <c r="Q48" s="13"/>
      <c r="R48" s="14">
        <f t="shared" si="15"/>
        <v>0</v>
      </c>
      <c r="S48" s="14">
        <f t="shared" si="16"/>
        <v>0</v>
      </c>
      <c r="T48" s="14">
        <f t="shared" si="7"/>
        <v>0</v>
      </c>
      <c r="U48" s="29">
        <f t="shared" si="17"/>
        <v>0</v>
      </c>
      <c r="V48" s="29">
        <f t="shared" si="1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20</v>
      </c>
      <c r="F49" s="78">
        <f>SUM(F18:F48)</f>
        <v>70859.560000000012</v>
      </c>
      <c r="G49" s="79">
        <f>SUM(G18:G48)</f>
        <v>48868.65</v>
      </c>
      <c r="H49" s="80">
        <f>SUM(H18:H48)</f>
        <v>77520.69</v>
      </c>
      <c r="I49" s="81"/>
      <c r="J49" s="82">
        <f>SUM(J18:J48)</f>
        <v>20</v>
      </c>
      <c r="K49" s="79">
        <f>SUM(K18:K48)</f>
        <v>38468.160000000003</v>
      </c>
      <c r="L49" s="80">
        <f>SUM(L18:L48)</f>
        <v>43033.65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38468.160000000003</v>
      </c>
      <c r="T49" s="80">
        <f>SUM(T18:T48)</f>
        <v>43033.65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D6:E6"/>
    <mergeCell ref="D7:E7"/>
    <mergeCell ref="D8:E8"/>
    <mergeCell ref="D9:E9"/>
    <mergeCell ref="D1:G1"/>
    <mergeCell ref="D2:E2"/>
    <mergeCell ref="D3:E3"/>
    <mergeCell ref="D4:E4"/>
    <mergeCell ref="D5:E5"/>
    <mergeCell ref="B16:B17"/>
    <mergeCell ref="C16:C17"/>
    <mergeCell ref="B11:C15"/>
    <mergeCell ref="D11:E13"/>
    <mergeCell ref="F9:G9"/>
    <mergeCell ref="F11:H12"/>
    <mergeCell ref="D16:D17"/>
    <mergeCell ref="E16:E17"/>
    <mergeCell ref="B1:C1"/>
    <mergeCell ref="H1:K1"/>
    <mergeCell ref="H2:J2"/>
    <mergeCell ref="H3:J3"/>
    <mergeCell ref="H4:J4"/>
    <mergeCell ref="F2:G2"/>
    <mergeCell ref="F3:G3"/>
    <mergeCell ref="F4:G4"/>
    <mergeCell ref="H5:J5"/>
    <mergeCell ref="H8:J8"/>
    <mergeCell ref="F7:G7"/>
    <mergeCell ref="F8:G8"/>
    <mergeCell ref="F5:G5"/>
    <mergeCell ref="F6:G6"/>
    <mergeCell ref="H6:J6"/>
    <mergeCell ref="H7:J7"/>
    <mergeCell ref="L2:N2"/>
    <mergeCell ref="L3:N3"/>
    <mergeCell ref="L4:N4"/>
    <mergeCell ref="L5:N5"/>
    <mergeCell ref="L7:N7"/>
    <mergeCell ref="R17:V17"/>
    <mergeCell ref="U3:V3"/>
    <mergeCell ref="U4:V4"/>
    <mergeCell ref="U5:V5"/>
    <mergeCell ref="L6:N6"/>
    <mergeCell ref="P6:R6"/>
    <mergeCell ref="U6:V6"/>
    <mergeCell ref="P4:R4"/>
    <mergeCell ref="P5:R5"/>
    <mergeCell ref="L8:N8"/>
    <mergeCell ref="S7:T7"/>
    <mergeCell ref="U7:V7"/>
    <mergeCell ref="P8:R8"/>
    <mergeCell ref="P9:R9"/>
    <mergeCell ref="U9:U10"/>
    <mergeCell ref="S9:S10"/>
    <mergeCell ref="S2:T2"/>
    <mergeCell ref="S3:T3"/>
    <mergeCell ref="S4:T4"/>
    <mergeCell ref="S5:T5"/>
    <mergeCell ref="S6:T6"/>
    <mergeCell ref="J16:J17"/>
    <mergeCell ref="K17:L17"/>
    <mergeCell ref="J11:N13"/>
    <mergeCell ref="F13:G13"/>
    <mergeCell ref="J14:K15"/>
    <mergeCell ref="F14:H14"/>
    <mergeCell ref="F16:G16"/>
    <mergeCell ref="F15:H15"/>
    <mergeCell ref="N16:N17"/>
    <mergeCell ref="L14:N15"/>
    <mergeCell ref="M16:M17"/>
    <mergeCell ref="L1:O1"/>
    <mergeCell ref="P1:R1"/>
    <mergeCell ref="P16:P17"/>
    <mergeCell ref="P2:R2"/>
    <mergeCell ref="P3:R3"/>
    <mergeCell ref="P11:V13"/>
    <mergeCell ref="P15:V15"/>
    <mergeCell ref="L10:N10"/>
    <mergeCell ref="P10:R10"/>
    <mergeCell ref="S1:W1"/>
    <mergeCell ref="L9:N9"/>
    <mergeCell ref="P7:R7"/>
    <mergeCell ref="T9:T10"/>
    <mergeCell ref="V9:V10"/>
    <mergeCell ref="W9:W10"/>
    <mergeCell ref="U2:V2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F17 K17 Q17 Q14" xr:uid="{7A36D0C8-9975-4034-AE25-318B2B3B5475}">
      <formula1>$Y$11:$Y$12</formula1>
    </dataValidation>
    <dataValidation type="list" allowBlank="1" showInputMessage="1" showErrorMessage="1" sqref="H13" xr:uid="{50112C63-9C33-4382-8338-CD71779F6AD1}">
      <formula1>$Y$13:$Y$14</formula1>
    </dataValidation>
    <dataValidation type="list" allowBlank="1" showInputMessage="1" showErrorMessage="1" sqref="I13" xr:uid="{86BA3DCB-9D4A-4389-97AF-BBDA8E33DF2C}">
      <formula1>$K$9:$K$9</formula1>
    </dataValidation>
    <dataValidation type="list" showInputMessage="1" showErrorMessage="1" sqref="D18:D48" xr:uid="{E782CD85-4032-40AD-9140-9B6A8B6C0855}">
      <formula1>$Z$18:$Z$29</formula1>
    </dataValidation>
    <dataValidation type="list" allowBlank="1" showInputMessage="1" showErrorMessage="1" sqref="M18:M48" xr:uid="{F89FC2C3-3303-49A6-9065-796C25EB6F0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2AE36-7F03-4448-9809-FD651607E4E6}">
  <sheetPr>
    <pageSetUpPr fitToPage="1"/>
  </sheetPr>
  <dimension ref="A1:AB51"/>
  <sheetViews>
    <sheetView topLeftCell="A3" zoomScale="85" zoomScaleNormal="85" workbookViewId="0">
      <selection activeCell="N33" sqref="N33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124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77520.69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43033.65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34487.040000000001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95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0.44487529716260266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125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43033.65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43033.65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20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97</v>
      </c>
      <c r="C18" s="5" t="s">
        <v>98</v>
      </c>
      <c r="D18" s="125">
        <v>500</v>
      </c>
      <c r="E18" s="53">
        <v>1</v>
      </c>
      <c r="F18" s="8">
        <v>35.25</v>
      </c>
      <c r="G18" s="9">
        <f>ROUND(IF($F$17="USD $", F18*$E$15,F18*$D$15),2)</f>
        <v>24.31</v>
      </c>
      <c r="H18" s="10">
        <f>ROUND(IF($H$17=$G$17,E18*G18,E18*F18),2)</f>
        <v>35.25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17.63</v>
      </c>
      <c r="L18" s="9">
        <f>ROUND((J18*K18),2)</f>
        <v>17.63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17.63</v>
      </c>
      <c r="T18" s="14">
        <f>ROUND(L18-R18,2)</f>
        <v>17.63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99</v>
      </c>
      <c r="C19" s="4" t="s">
        <v>100</v>
      </c>
      <c r="D19" s="126">
        <v>500</v>
      </c>
      <c r="E19" s="54">
        <v>1</v>
      </c>
      <c r="F19" s="15">
        <v>82.65</v>
      </c>
      <c r="G19" s="38">
        <f t="shared" ref="G19:G48" si="1">ROUND(IF($F$17="USD $", F19*$E$15,F19*$D$15),2)</f>
        <v>57</v>
      </c>
      <c r="H19" s="39">
        <f t="shared" ref="H19:H48" si="2">ROUND(IF($H$17=$G$17,E19*G19,E19*F19),2)</f>
        <v>82.65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41.33</v>
      </c>
      <c r="L19" s="38">
        <f t="shared" ref="L19:L48" si="4">ROUND((J19*K19),2)</f>
        <v>41.33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41.33</v>
      </c>
      <c r="T19" s="52">
        <f t="shared" ref="T19:T48" si="6">ROUND(L19-R19,2)</f>
        <v>41.33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101</v>
      </c>
      <c r="C20" s="6" t="s">
        <v>102</v>
      </c>
      <c r="D20" s="127">
        <v>500</v>
      </c>
      <c r="E20" s="53">
        <v>1</v>
      </c>
      <c r="F20" s="8">
        <v>214.1</v>
      </c>
      <c r="G20" s="9">
        <f t="shared" si="1"/>
        <v>147.66</v>
      </c>
      <c r="H20" s="10">
        <f t="shared" si="2"/>
        <v>214.1</v>
      </c>
      <c r="I20" s="42"/>
      <c r="J20" s="89">
        <f t="shared" si="0"/>
        <v>1</v>
      </c>
      <c r="K20" s="9">
        <f t="shared" si="3"/>
        <v>139.16999999999999</v>
      </c>
      <c r="L20" s="9">
        <f t="shared" si="4"/>
        <v>139.16999999999999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139.16999999999999</v>
      </c>
      <c r="T20" s="14">
        <f t="shared" si="6"/>
        <v>139.16999999999999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103</v>
      </c>
      <c r="C21" s="4" t="s">
        <v>104</v>
      </c>
      <c r="D21" s="126">
        <v>500</v>
      </c>
      <c r="E21" s="54">
        <v>1</v>
      </c>
      <c r="F21" s="15">
        <v>147.41</v>
      </c>
      <c r="G21" s="38">
        <f t="shared" si="1"/>
        <v>101.66</v>
      </c>
      <c r="H21" s="39">
        <f t="shared" si="2"/>
        <v>147.41</v>
      </c>
      <c r="I21" s="42"/>
      <c r="J21" s="88">
        <f t="shared" si="0"/>
        <v>1</v>
      </c>
      <c r="K21" s="38">
        <f t="shared" si="3"/>
        <v>95.82</v>
      </c>
      <c r="L21" s="38">
        <f t="shared" si="4"/>
        <v>95.82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95.82</v>
      </c>
      <c r="T21" s="52">
        <f t="shared" si="6"/>
        <v>95.82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105</v>
      </c>
      <c r="C22" s="6" t="s">
        <v>106</v>
      </c>
      <c r="D22" s="127" t="s">
        <v>50</v>
      </c>
      <c r="E22" s="53">
        <v>1</v>
      </c>
      <c r="F22" s="8">
        <v>82.23</v>
      </c>
      <c r="G22" s="9">
        <f t="shared" si="1"/>
        <v>56.71</v>
      </c>
      <c r="H22" s="10">
        <f t="shared" si="2"/>
        <v>82.23</v>
      </c>
      <c r="I22" s="42"/>
      <c r="J22" s="89">
        <f t="shared" si="0"/>
        <v>1</v>
      </c>
      <c r="K22" s="9">
        <f t="shared" si="3"/>
        <v>53.45</v>
      </c>
      <c r="L22" s="9">
        <f t="shared" si="4"/>
        <v>53.45</v>
      </c>
      <c r="M22" s="8" t="s">
        <v>92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53.45</v>
      </c>
      <c r="T22" s="14">
        <f t="shared" si="6"/>
        <v>53.45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107</v>
      </c>
      <c r="C23" s="4" t="s">
        <v>108</v>
      </c>
      <c r="D23" s="126">
        <v>1000</v>
      </c>
      <c r="E23" s="54">
        <v>1</v>
      </c>
      <c r="F23" s="15">
        <v>145.28</v>
      </c>
      <c r="G23" s="38">
        <f t="shared" si="1"/>
        <v>100.19</v>
      </c>
      <c r="H23" s="39">
        <f t="shared" si="2"/>
        <v>145.28</v>
      </c>
      <c r="I23" s="42"/>
      <c r="J23" s="88">
        <f t="shared" si="0"/>
        <v>1</v>
      </c>
      <c r="K23" s="38">
        <f t="shared" si="3"/>
        <v>72.64</v>
      </c>
      <c r="L23" s="38">
        <f t="shared" si="4"/>
        <v>72.64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72.64</v>
      </c>
      <c r="T23" s="52">
        <f t="shared" si="6"/>
        <v>72.64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109</v>
      </c>
      <c r="C24" s="6" t="s">
        <v>110</v>
      </c>
      <c r="D24" s="127">
        <v>500</v>
      </c>
      <c r="E24" s="53">
        <v>1</v>
      </c>
      <c r="F24" s="8">
        <v>73.08</v>
      </c>
      <c r="G24" s="9">
        <f t="shared" si="1"/>
        <v>50.4</v>
      </c>
      <c r="H24" s="10">
        <f t="shared" si="2"/>
        <v>73.08</v>
      </c>
      <c r="I24" s="42"/>
      <c r="J24" s="89">
        <f t="shared" si="0"/>
        <v>1</v>
      </c>
      <c r="K24" s="9">
        <f t="shared" si="3"/>
        <v>36.54</v>
      </c>
      <c r="L24" s="9">
        <f t="shared" si="4"/>
        <v>36.54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36.54</v>
      </c>
      <c r="T24" s="14">
        <f t="shared" si="6"/>
        <v>36.54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111</v>
      </c>
      <c r="C25" s="4" t="s">
        <v>110</v>
      </c>
      <c r="D25" s="126">
        <v>500</v>
      </c>
      <c r="E25" s="54">
        <v>1</v>
      </c>
      <c r="F25" s="15">
        <v>72.95</v>
      </c>
      <c r="G25" s="38">
        <f t="shared" si="1"/>
        <v>50.31</v>
      </c>
      <c r="H25" s="39">
        <f t="shared" si="2"/>
        <v>72.95</v>
      </c>
      <c r="I25" s="42"/>
      <c r="J25" s="88">
        <f t="shared" si="0"/>
        <v>1</v>
      </c>
      <c r="K25" s="38">
        <f t="shared" si="3"/>
        <v>36.479999999999997</v>
      </c>
      <c r="L25" s="38">
        <f t="shared" si="4"/>
        <v>36.479999999999997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36.479999999999997</v>
      </c>
      <c r="T25" s="52">
        <f t="shared" si="6"/>
        <v>36.479999999999997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112</v>
      </c>
      <c r="C26" s="6" t="s">
        <v>113</v>
      </c>
      <c r="D26" s="127" t="s">
        <v>50</v>
      </c>
      <c r="E26" s="53">
        <v>2</v>
      </c>
      <c r="F26" s="8">
        <v>486.48</v>
      </c>
      <c r="G26" s="9">
        <f t="shared" si="1"/>
        <v>335.5</v>
      </c>
      <c r="H26" s="10">
        <f t="shared" si="2"/>
        <v>972.96</v>
      </c>
      <c r="I26" s="42"/>
      <c r="J26" s="89">
        <f t="shared" si="0"/>
        <v>2</v>
      </c>
      <c r="K26" s="9">
        <f t="shared" si="3"/>
        <v>243.24</v>
      </c>
      <c r="L26" s="9">
        <f t="shared" si="4"/>
        <v>486.48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243.24</v>
      </c>
      <c r="T26" s="14">
        <f t="shared" si="6"/>
        <v>486.48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114</v>
      </c>
      <c r="C27" s="4" t="s">
        <v>115</v>
      </c>
      <c r="D27" s="126" t="s">
        <v>50</v>
      </c>
      <c r="E27" s="54">
        <v>6</v>
      </c>
      <c r="F27" s="15">
        <v>1234.93</v>
      </c>
      <c r="G27" s="38">
        <f t="shared" si="1"/>
        <v>851.68</v>
      </c>
      <c r="H27" s="39">
        <f t="shared" si="2"/>
        <v>7409.58</v>
      </c>
      <c r="I27" s="42"/>
      <c r="J27" s="88">
        <f t="shared" si="0"/>
        <v>6</v>
      </c>
      <c r="K27" s="38">
        <f t="shared" si="3"/>
        <v>864.45</v>
      </c>
      <c r="L27" s="38">
        <f t="shared" si="4"/>
        <v>5186.7</v>
      </c>
      <c r="M27" s="129" t="s">
        <v>92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864.45</v>
      </c>
      <c r="T27" s="52">
        <f t="shared" si="6"/>
        <v>5186.7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116</v>
      </c>
      <c r="C28" s="6" t="s">
        <v>117</v>
      </c>
      <c r="D28" s="127" t="s">
        <v>50</v>
      </c>
      <c r="E28" s="53">
        <v>1</v>
      </c>
      <c r="F28" s="8">
        <v>6363.17</v>
      </c>
      <c r="G28" s="9">
        <f t="shared" si="1"/>
        <v>4388.3900000000003</v>
      </c>
      <c r="H28" s="10">
        <f t="shared" si="2"/>
        <v>6363.17</v>
      </c>
      <c r="I28" s="42"/>
      <c r="J28" s="89">
        <f t="shared" si="0"/>
        <v>1</v>
      </c>
      <c r="K28" s="9">
        <f t="shared" si="3"/>
        <v>3181.59</v>
      </c>
      <c r="L28" s="9">
        <f t="shared" si="4"/>
        <v>3181.59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3181.59</v>
      </c>
      <c r="T28" s="14">
        <f t="shared" si="6"/>
        <v>3181.59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118</v>
      </c>
      <c r="C29" s="4" t="s">
        <v>119</v>
      </c>
      <c r="D29" s="126" t="s">
        <v>50</v>
      </c>
      <c r="E29" s="54">
        <v>1</v>
      </c>
      <c r="F29" s="15">
        <v>744.17</v>
      </c>
      <c r="G29" s="38">
        <f>ROUND(IF($F$17="USD $", F29*$E$15,F29*$D$15),2)</f>
        <v>513.22</v>
      </c>
      <c r="H29" s="39">
        <f>ROUND(IF($H$17=$G$17,E29*G29,E29*F29),2)</f>
        <v>744.17</v>
      </c>
      <c r="I29" s="42"/>
      <c r="J29" s="88">
        <f t="shared" si="0"/>
        <v>1</v>
      </c>
      <c r="K29" s="38">
        <f t="shared" si="3"/>
        <v>372.09</v>
      </c>
      <c r="L29" s="38">
        <f>ROUND((J29*K29),2)</f>
        <v>372.09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372.09</v>
      </c>
      <c r="T29" s="52">
        <f t="shared" si="6"/>
        <v>372.09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120</v>
      </c>
      <c r="C30" s="6" t="s">
        <v>121</v>
      </c>
      <c r="D30" s="127" t="s">
        <v>50</v>
      </c>
      <c r="E30" s="53">
        <v>1</v>
      </c>
      <c r="F30" s="8">
        <v>6681.88</v>
      </c>
      <c r="G30" s="9">
        <f t="shared" si="1"/>
        <v>4608.1899999999996</v>
      </c>
      <c r="H30" s="10">
        <f t="shared" si="2"/>
        <v>6681.88</v>
      </c>
      <c r="I30" s="42"/>
      <c r="J30" s="89">
        <f t="shared" si="0"/>
        <v>1</v>
      </c>
      <c r="K30" s="9">
        <f t="shared" si="3"/>
        <v>3340.94</v>
      </c>
      <c r="L30" s="9">
        <f t="shared" si="4"/>
        <v>3340.94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3340.94</v>
      </c>
      <c r="T30" s="14">
        <f t="shared" si="6"/>
        <v>3340.94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 t="s">
        <v>122</v>
      </c>
      <c r="C32" s="6" t="s">
        <v>123</v>
      </c>
      <c r="D32" s="127" t="s">
        <v>50</v>
      </c>
      <c r="E32" s="53">
        <v>1</v>
      </c>
      <c r="F32" s="8">
        <v>54495.98000000001</v>
      </c>
      <c r="G32" s="9">
        <f t="shared" si="1"/>
        <v>37583.43</v>
      </c>
      <c r="H32" s="10">
        <f t="shared" si="2"/>
        <v>54495.98</v>
      </c>
      <c r="I32" s="42"/>
      <c r="J32" s="89">
        <f t="shared" si="0"/>
        <v>1</v>
      </c>
      <c r="K32" s="9">
        <f t="shared" si="3"/>
        <v>29972.79</v>
      </c>
      <c r="L32" s="9">
        <f t="shared" si="4"/>
        <v>29972.79</v>
      </c>
      <c r="M32" s="8" t="s">
        <v>92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29972.79</v>
      </c>
      <c r="T32" s="14">
        <f t="shared" si="6"/>
        <v>29972.79</v>
      </c>
      <c r="U32" s="29">
        <f t="shared" si="7"/>
        <v>0</v>
      </c>
      <c r="V32" s="29">
        <f t="shared" si="8"/>
        <v>1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20</v>
      </c>
      <c r="F49" s="78">
        <f>SUM(F18:F48)</f>
        <v>70859.560000000012</v>
      </c>
      <c r="G49" s="79">
        <f>SUM(G18:G48)</f>
        <v>48868.65</v>
      </c>
      <c r="H49" s="80">
        <f>SUM(H18:H48)</f>
        <v>77520.69</v>
      </c>
      <c r="I49" s="81"/>
      <c r="J49" s="82">
        <f>SUM(J18:J48)</f>
        <v>20</v>
      </c>
      <c r="K49" s="79">
        <f>SUM(K18:K48)</f>
        <v>38468.160000000003</v>
      </c>
      <c r="L49" s="80">
        <f>SUM(L18:L48)</f>
        <v>43033.65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38468.160000000003</v>
      </c>
      <c r="T49" s="80">
        <f>SUM(T18:T48)</f>
        <v>43033.65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count="5">
    <dataValidation type="list" allowBlank="1" showInputMessage="1" showErrorMessage="1" sqref="M18:M48" xr:uid="{C1403078-3E1B-4E7B-970E-A975C59AC5CB}">
      <formula1>$Y$31:$Y$32</formula1>
    </dataValidation>
    <dataValidation type="list" showInputMessage="1" showErrorMessage="1" sqref="D18:D48" xr:uid="{E0167917-81C1-4067-B94B-7FD1CAA17766}">
      <formula1>$Z$18:$Z$29</formula1>
    </dataValidation>
    <dataValidation type="list" allowBlank="1" showInputMessage="1" showErrorMessage="1" sqref="I13" xr:uid="{F98F9C76-C246-4732-8C20-30661A8F6E40}">
      <formula1>$K$9:$K$9</formula1>
    </dataValidation>
    <dataValidation type="list" allowBlank="1" showInputMessage="1" showErrorMessage="1" sqref="H13" xr:uid="{78EB2176-0298-46D8-8442-85DB78B64619}">
      <formula1>$Y$13:$Y$14</formula1>
    </dataValidation>
    <dataValidation type="list" allowBlank="1" showInputMessage="1" showErrorMessage="1" sqref="F17 K17 Q17 Q14" xr:uid="{40B82014-8BED-4BAC-A906-1E8AC35AA7B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4FF9-C4A6-4CAD-92A5-8A568BF74690}">
  <sheetPr>
    <pageSetUpPr fitToPage="1"/>
  </sheetPr>
  <dimension ref="A1:AB51"/>
  <sheetViews>
    <sheetView topLeftCell="A6" zoomScale="85" zoomScaleNormal="85" workbookViewId="0">
      <selection activeCell="N33" sqref="N33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126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77520.69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>
        <v>1985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43033.65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127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34487.040000000001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128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0.44487529716260266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129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43033.65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 t="s">
        <v>130</v>
      </c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43033.65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20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97</v>
      </c>
      <c r="C18" s="5" t="s">
        <v>98</v>
      </c>
      <c r="D18" s="125">
        <v>500</v>
      </c>
      <c r="E18" s="53">
        <v>1</v>
      </c>
      <c r="F18" s="8">
        <v>35.25</v>
      </c>
      <c r="G18" s="9">
        <f>ROUND(IF($F$17="USD $", F18*$E$15,F18*$D$15),2)</f>
        <v>24.31</v>
      </c>
      <c r="H18" s="10">
        <f>ROUND(IF($H$17=$G$17,E18*G18,E18*F18),2)</f>
        <v>35.25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17.63</v>
      </c>
      <c r="L18" s="9">
        <f>ROUND((J18*K18),2)</f>
        <v>17.63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17.63</v>
      </c>
      <c r="T18" s="14">
        <f>ROUND(L18-R18,2)</f>
        <v>17.63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99</v>
      </c>
      <c r="C19" s="4" t="s">
        <v>100</v>
      </c>
      <c r="D19" s="126">
        <v>500</v>
      </c>
      <c r="E19" s="54">
        <v>1</v>
      </c>
      <c r="F19" s="15">
        <v>82.65</v>
      </c>
      <c r="G19" s="38">
        <f t="shared" ref="G19:G48" si="1">ROUND(IF($F$17="USD $", F19*$E$15,F19*$D$15),2)</f>
        <v>57</v>
      </c>
      <c r="H19" s="39">
        <f t="shared" ref="H19:H48" si="2">ROUND(IF($H$17=$G$17,E19*G19,E19*F19),2)</f>
        <v>82.65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41.33</v>
      </c>
      <c r="L19" s="38">
        <f t="shared" ref="L19:L48" si="4">ROUND((J19*K19),2)</f>
        <v>41.33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41.33</v>
      </c>
      <c r="T19" s="52">
        <f t="shared" ref="T19:T48" si="6">ROUND(L19-R19,2)</f>
        <v>41.33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101</v>
      </c>
      <c r="C20" s="6" t="s">
        <v>102</v>
      </c>
      <c r="D20" s="127">
        <v>500</v>
      </c>
      <c r="E20" s="53">
        <v>1</v>
      </c>
      <c r="F20" s="8">
        <v>214.1</v>
      </c>
      <c r="G20" s="9">
        <f t="shared" si="1"/>
        <v>147.66</v>
      </c>
      <c r="H20" s="10">
        <f t="shared" si="2"/>
        <v>214.1</v>
      </c>
      <c r="I20" s="42"/>
      <c r="J20" s="89">
        <f t="shared" si="0"/>
        <v>1</v>
      </c>
      <c r="K20" s="9">
        <f t="shared" si="3"/>
        <v>139.16999999999999</v>
      </c>
      <c r="L20" s="9">
        <f t="shared" si="4"/>
        <v>139.16999999999999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139.16999999999999</v>
      </c>
      <c r="T20" s="14">
        <f t="shared" si="6"/>
        <v>139.16999999999999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103</v>
      </c>
      <c r="C21" s="4" t="s">
        <v>104</v>
      </c>
      <c r="D21" s="126">
        <v>500</v>
      </c>
      <c r="E21" s="54">
        <v>1</v>
      </c>
      <c r="F21" s="15">
        <v>147.41</v>
      </c>
      <c r="G21" s="38">
        <f t="shared" si="1"/>
        <v>101.66</v>
      </c>
      <c r="H21" s="39">
        <f t="shared" si="2"/>
        <v>147.41</v>
      </c>
      <c r="I21" s="42"/>
      <c r="J21" s="88">
        <f t="shared" si="0"/>
        <v>1</v>
      </c>
      <c r="K21" s="38">
        <f t="shared" si="3"/>
        <v>95.82</v>
      </c>
      <c r="L21" s="38">
        <f t="shared" si="4"/>
        <v>95.82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95.82</v>
      </c>
      <c r="T21" s="52">
        <f t="shared" si="6"/>
        <v>95.82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105</v>
      </c>
      <c r="C22" s="6" t="s">
        <v>106</v>
      </c>
      <c r="D22" s="127" t="s">
        <v>50</v>
      </c>
      <c r="E22" s="53">
        <v>1</v>
      </c>
      <c r="F22" s="8">
        <v>82.23</v>
      </c>
      <c r="G22" s="9">
        <f t="shared" si="1"/>
        <v>56.71</v>
      </c>
      <c r="H22" s="10">
        <f t="shared" si="2"/>
        <v>82.23</v>
      </c>
      <c r="I22" s="42"/>
      <c r="J22" s="89">
        <f t="shared" si="0"/>
        <v>1</v>
      </c>
      <c r="K22" s="9">
        <f t="shared" si="3"/>
        <v>53.45</v>
      </c>
      <c r="L22" s="9">
        <f t="shared" si="4"/>
        <v>53.45</v>
      </c>
      <c r="M22" s="8" t="s">
        <v>92</v>
      </c>
      <c r="N22" s="12">
        <v>0.35</v>
      </c>
      <c r="O22" s="51"/>
      <c r="P22" s="3"/>
      <c r="Q22" s="13"/>
      <c r="R22" s="14">
        <f t="shared" si="9"/>
        <v>0</v>
      </c>
      <c r="S22" s="14">
        <f t="shared" si="5"/>
        <v>53.45</v>
      </c>
      <c r="T22" s="14">
        <f t="shared" si="6"/>
        <v>53.45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107</v>
      </c>
      <c r="C23" s="4" t="s">
        <v>108</v>
      </c>
      <c r="D23" s="126">
        <v>1000</v>
      </c>
      <c r="E23" s="54">
        <v>1</v>
      </c>
      <c r="F23" s="15">
        <v>145.28</v>
      </c>
      <c r="G23" s="38">
        <f t="shared" si="1"/>
        <v>100.19</v>
      </c>
      <c r="H23" s="39">
        <f t="shared" si="2"/>
        <v>145.28</v>
      </c>
      <c r="I23" s="42"/>
      <c r="J23" s="88">
        <f t="shared" si="0"/>
        <v>1</v>
      </c>
      <c r="K23" s="38">
        <f t="shared" si="3"/>
        <v>72.64</v>
      </c>
      <c r="L23" s="38">
        <f t="shared" si="4"/>
        <v>72.64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72.64</v>
      </c>
      <c r="T23" s="52">
        <f t="shared" si="6"/>
        <v>72.64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109</v>
      </c>
      <c r="C24" s="6" t="s">
        <v>110</v>
      </c>
      <c r="D24" s="127">
        <v>500</v>
      </c>
      <c r="E24" s="53">
        <v>1</v>
      </c>
      <c r="F24" s="8">
        <v>73.08</v>
      </c>
      <c r="G24" s="9">
        <f t="shared" si="1"/>
        <v>50.4</v>
      </c>
      <c r="H24" s="10">
        <f t="shared" si="2"/>
        <v>73.08</v>
      </c>
      <c r="I24" s="42"/>
      <c r="J24" s="89">
        <f t="shared" si="0"/>
        <v>1</v>
      </c>
      <c r="K24" s="9">
        <f t="shared" si="3"/>
        <v>36.54</v>
      </c>
      <c r="L24" s="9">
        <f t="shared" si="4"/>
        <v>36.54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36.54</v>
      </c>
      <c r="T24" s="14">
        <f t="shared" si="6"/>
        <v>36.54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111</v>
      </c>
      <c r="C25" s="4" t="s">
        <v>110</v>
      </c>
      <c r="D25" s="126">
        <v>500</v>
      </c>
      <c r="E25" s="54">
        <v>1</v>
      </c>
      <c r="F25" s="15">
        <v>72.95</v>
      </c>
      <c r="G25" s="38">
        <f t="shared" si="1"/>
        <v>50.31</v>
      </c>
      <c r="H25" s="39">
        <f t="shared" si="2"/>
        <v>72.95</v>
      </c>
      <c r="I25" s="42"/>
      <c r="J25" s="88">
        <f t="shared" si="0"/>
        <v>1</v>
      </c>
      <c r="K25" s="38">
        <f t="shared" si="3"/>
        <v>36.479999999999997</v>
      </c>
      <c r="L25" s="38">
        <f t="shared" si="4"/>
        <v>36.479999999999997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36.479999999999997</v>
      </c>
      <c r="T25" s="52">
        <f t="shared" si="6"/>
        <v>36.479999999999997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112</v>
      </c>
      <c r="C26" s="6" t="s">
        <v>113</v>
      </c>
      <c r="D26" s="127" t="s">
        <v>50</v>
      </c>
      <c r="E26" s="53">
        <v>2</v>
      </c>
      <c r="F26" s="8">
        <v>486.48</v>
      </c>
      <c r="G26" s="9">
        <f t="shared" si="1"/>
        <v>335.5</v>
      </c>
      <c r="H26" s="10">
        <f t="shared" si="2"/>
        <v>972.96</v>
      </c>
      <c r="I26" s="42"/>
      <c r="J26" s="89">
        <f t="shared" si="0"/>
        <v>2</v>
      </c>
      <c r="K26" s="9">
        <f t="shared" si="3"/>
        <v>243.24</v>
      </c>
      <c r="L26" s="9">
        <f t="shared" si="4"/>
        <v>486.48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243.24</v>
      </c>
      <c r="T26" s="14">
        <f t="shared" si="6"/>
        <v>486.48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114</v>
      </c>
      <c r="C27" s="4" t="s">
        <v>115</v>
      </c>
      <c r="D27" s="126" t="s">
        <v>50</v>
      </c>
      <c r="E27" s="54">
        <v>6</v>
      </c>
      <c r="F27" s="15">
        <v>1234.93</v>
      </c>
      <c r="G27" s="38">
        <f t="shared" si="1"/>
        <v>851.68</v>
      </c>
      <c r="H27" s="39">
        <f t="shared" si="2"/>
        <v>7409.58</v>
      </c>
      <c r="I27" s="42"/>
      <c r="J27" s="88">
        <f t="shared" si="0"/>
        <v>6</v>
      </c>
      <c r="K27" s="38">
        <f t="shared" si="3"/>
        <v>864.45</v>
      </c>
      <c r="L27" s="38">
        <f t="shared" si="4"/>
        <v>5186.7</v>
      </c>
      <c r="M27" s="129" t="s">
        <v>92</v>
      </c>
      <c r="N27" s="16">
        <v>0.3</v>
      </c>
      <c r="O27" s="51"/>
      <c r="P27" s="1"/>
      <c r="Q27" s="15"/>
      <c r="R27" s="40">
        <f t="shared" si="9"/>
        <v>0</v>
      </c>
      <c r="S27" s="52">
        <f t="shared" si="5"/>
        <v>864.45</v>
      </c>
      <c r="T27" s="52">
        <f t="shared" si="6"/>
        <v>5186.7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116</v>
      </c>
      <c r="C28" s="6" t="s">
        <v>117</v>
      </c>
      <c r="D28" s="127" t="s">
        <v>50</v>
      </c>
      <c r="E28" s="53">
        <v>1</v>
      </c>
      <c r="F28" s="8">
        <v>6363.17</v>
      </c>
      <c r="G28" s="9">
        <f t="shared" si="1"/>
        <v>4388.3900000000003</v>
      </c>
      <c r="H28" s="10">
        <f t="shared" si="2"/>
        <v>6363.17</v>
      </c>
      <c r="I28" s="42"/>
      <c r="J28" s="89">
        <f t="shared" si="0"/>
        <v>1</v>
      </c>
      <c r="K28" s="9">
        <f t="shared" si="3"/>
        <v>3181.59</v>
      </c>
      <c r="L28" s="9">
        <f t="shared" si="4"/>
        <v>3181.59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3181.59</v>
      </c>
      <c r="T28" s="14">
        <f t="shared" si="6"/>
        <v>3181.59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118</v>
      </c>
      <c r="C29" s="4" t="s">
        <v>119</v>
      </c>
      <c r="D29" s="126" t="s">
        <v>50</v>
      </c>
      <c r="E29" s="54">
        <v>1</v>
      </c>
      <c r="F29" s="15">
        <v>744.17</v>
      </c>
      <c r="G29" s="38">
        <f>ROUND(IF($F$17="USD $", F29*$E$15,F29*$D$15),2)</f>
        <v>513.22</v>
      </c>
      <c r="H29" s="39">
        <f>ROUND(IF($H$17=$G$17,E29*G29,E29*F29),2)</f>
        <v>744.17</v>
      </c>
      <c r="I29" s="42"/>
      <c r="J29" s="88">
        <f t="shared" si="0"/>
        <v>1</v>
      </c>
      <c r="K29" s="38">
        <f t="shared" si="3"/>
        <v>372.09</v>
      </c>
      <c r="L29" s="38">
        <f>ROUND((J29*K29),2)</f>
        <v>372.09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372.09</v>
      </c>
      <c r="T29" s="52">
        <f t="shared" si="6"/>
        <v>372.09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120</v>
      </c>
      <c r="C30" s="6" t="s">
        <v>121</v>
      </c>
      <c r="D30" s="127" t="s">
        <v>50</v>
      </c>
      <c r="E30" s="53">
        <v>1</v>
      </c>
      <c r="F30" s="8">
        <v>6681.88</v>
      </c>
      <c r="G30" s="9">
        <f t="shared" si="1"/>
        <v>4608.1899999999996</v>
      </c>
      <c r="H30" s="10">
        <f t="shared" si="2"/>
        <v>6681.88</v>
      </c>
      <c r="I30" s="42"/>
      <c r="J30" s="89">
        <f t="shared" si="0"/>
        <v>1</v>
      </c>
      <c r="K30" s="9">
        <f t="shared" si="3"/>
        <v>3340.94</v>
      </c>
      <c r="L30" s="9">
        <f t="shared" si="4"/>
        <v>3340.94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3340.94</v>
      </c>
      <c r="T30" s="14">
        <f t="shared" si="6"/>
        <v>3340.94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>
        <v>0</v>
      </c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 t="s">
        <v>122</v>
      </c>
      <c r="C32" s="6" t="s">
        <v>123</v>
      </c>
      <c r="D32" s="127" t="s">
        <v>50</v>
      </c>
      <c r="E32" s="53">
        <v>1</v>
      </c>
      <c r="F32" s="8">
        <v>54495.98000000001</v>
      </c>
      <c r="G32" s="9">
        <f t="shared" si="1"/>
        <v>37583.43</v>
      </c>
      <c r="H32" s="10">
        <f t="shared" si="2"/>
        <v>54495.98</v>
      </c>
      <c r="I32" s="42"/>
      <c r="J32" s="89">
        <f t="shared" si="0"/>
        <v>1</v>
      </c>
      <c r="K32" s="9">
        <f t="shared" si="3"/>
        <v>29972.79</v>
      </c>
      <c r="L32" s="9">
        <f t="shared" si="4"/>
        <v>29972.79</v>
      </c>
      <c r="M32" s="8" t="s">
        <v>92</v>
      </c>
      <c r="N32" s="12">
        <v>0.45</v>
      </c>
      <c r="O32" s="51"/>
      <c r="P32" s="3"/>
      <c r="Q32" s="13"/>
      <c r="R32" s="14">
        <f t="shared" si="9"/>
        <v>0</v>
      </c>
      <c r="S32" s="14">
        <f t="shared" si="5"/>
        <v>29972.79</v>
      </c>
      <c r="T32" s="14">
        <f t="shared" si="6"/>
        <v>29972.79</v>
      </c>
      <c r="U32" s="29">
        <f t="shared" si="7"/>
        <v>0</v>
      </c>
      <c r="V32" s="29">
        <f t="shared" si="8"/>
        <v>1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20</v>
      </c>
      <c r="F49" s="78">
        <f>SUM(F18:F48)</f>
        <v>70859.560000000012</v>
      </c>
      <c r="G49" s="79">
        <f>SUM(G18:G48)</f>
        <v>48868.65</v>
      </c>
      <c r="H49" s="80">
        <f>SUM(H18:H48)</f>
        <v>77520.69</v>
      </c>
      <c r="I49" s="81"/>
      <c r="J49" s="82">
        <f>SUM(J18:J48)</f>
        <v>20</v>
      </c>
      <c r="K49" s="79">
        <f>SUM(K18:K48)</f>
        <v>38468.160000000003</v>
      </c>
      <c r="L49" s="80">
        <f>SUM(L18:L48)</f>
        <v>43033.65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38468.160000000003</v>
      </c>
      <c r="T49" s="80">
        <f>SUM(T18:T48)</f>
        <v>43033.65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F17 K17 Q17 Q14" xr:uid="{D3464E2D-3CBF-474E-B2E1-21E99B4DD178}">
      <formula1>$Y$11:$Y$12</formula1>
    </dataValidation>
    <dataValidation type="list" allowBlank="1" showInputMessage="1" showErrorMessage="1" sqref="H13" xr:uid="{5075CF05-66A8-4A6C-A478-D87D8B3AF7C6}">
      <formula1>$Y$13:$Y$14</formula1>
    </dataValidation>
    <dataValidation type="list" allowBlank="1" showInputMessage="1" showErrorMessage="1" sqref="I13" xr:uid="{F88D8870-7088-4B4A-896A-8B33B61E6BE4}">
      <formula1>$K$9:$K$9</formula1>
    </dataValidation>
    <dataValidation type="list" showInputMessage="1" showErrorMessage="1" sqref="D18:D48" xr:uid="{4E1CA8FA-7E1B-4630-BF7F-811DFF76CA79}">
      <formula1>$Z$18:$Z$29</formula1>
    </dataValidation>
    <dataValidation type="list" allowBlank="1" showInputMessage="1" showErrorMessage="1" sqref="M18:M48" xr:uid="{6A7E7A13-9BC4-43F9-95DC-411A4A9295C3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82BA8-43D3-48C5-9505-B691C4C0F98A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144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127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145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146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131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132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133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134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135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136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137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138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139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140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141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142</v>
      </c>
      <c r="C30" s="6" t="s">
        <v>143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M18:M48" xr:uid="{3B958538-66EB-4BF3-BA57-BC3FC70A3C11}">
      <formula1>$Y$31:$Y$32</formula1>
    </dataValidation>
    <dataValidation type="list" showInputMessage="1" showErrorMessage="1" sqref="D18:D48" xr:uid="{904F5F04-D218-4B8A-84A0-A5BE37A8C45D}">
      <formula1>$Z$18:$Z$29</formula1>
    </dataValidation>
    <dataValidation type="list" allowBlank="1" showInputMessage="1" showErrorMessage="1" sqref="I13" xr:uid="{29AB865E-030F-4C4C-8C49-E87E112BEA1B}">
      <formula1>$K$9:$K$9</formula1>
    </dataValidation>
    <dataValidation type="list" allowBlank="1" showInputMessage="1" showErrorMessage="1" sqref="H13" xr:uid="{B816DDF9-20DB-4159-81B3-74EA009074FB}">
      <formula1>$Y$13:$Y$14</formula1>
    </dataValidation>
    <dataValidation type="list" allowBlank="1" showInputMessage="1" showErrorMessage="1" sqref="F17 K17 Q17 Q14" xr:uid="{5D1BDE1E-F4FA-476A-A0BA-FF6979784F8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41B37-80DB-46B4-9D3C-7ED06B9F3A0C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149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>
        <v>2016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127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145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150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131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132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133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134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135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136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137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138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139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140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141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142</v>
      </c>
      <c r="C30" s="6" t="s">
        <v>143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M18:M48" xr:uid="{7D7AEC8C-19EC-4DBA-91E8-B5A3F2DB3EFC}">
      <formula1>$Y$31:$Y$32</formula1>
    </dataValidation>
    <dataValidation type="list" showInputMessage="1" showErrorMessage="1" sqref="D18:D48" xr:uid="{ED0925C4-F01D-4AEC-A1DA-F5906097EE2C}">
      <formula1>$Z$18:$Z$29</formula1>
    </dataValidation>
    <dataValidation type="list" allowBlank="1" showInputMessage="1" showErrorMessage="1" sqref="I13" xr:uid="{7C046355-810D-49F3-A6D6-D8BEBCC1DFDB}">
      <formula1>$K$9:$K$9</formula1>
    </dataValidation>
    <dataValidation type="list" allowBlank="1" showInputMessage="1" showErrorMessage="1" sqref="H13" xr:uid="{B76A185B-B276-46A0-B588-9BC65BD7DA60}">
      <formula1>$Y$13:$Y$14</formula1>
    </dataValidation>
    <dataValidation type="list" allowBlank="1" showInputMessage="1" showErrorMessage="1" sqref="F17 K17 Q17 Q14" xr:uid="{94C3A2D8-040B-4A9F-8C18-CC9BCAD6ED07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0EEA-5A75-4716-A992-D134BEBA2055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151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127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145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152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131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132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133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134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135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136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137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138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139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140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141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142</v>
      </c>
      <c r="C30" s="6" t="s">
        <v>143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F17 K17 Q17 Q14" xr:uid="{1A89A9D4-87DD-4EBE-848D-35987997FE60}">
      <formula1>$Y$11:$Y$12</formula1>
    </dataValidation>
    <dataValidation type="list" allowBlank="1" showInputMessage="1" showErrorMessage="1" sqref="H13" xr:uid="{598634A4-3AB5-4716-8D92-DB01E089C27B}">
      <formula1>$Y$13:$Y$14</formula1>
    </dataValidation>
    <dataValidation type="list" allowBlank="1" showInputMessage="1" showErrorMessage="1" sqref="I13" xr:uid="{C28D45F0-5150-4643-A897-F8973C34B3C9}">
      <formula1>$K$9:$K$9</formula1>
    </dataValidation>
    <dataValidation type="list" showInputMessage="1" showErrorMessage="1" sqref="D18:D48" xr:uid="{888D62BC-736B-48BD-9C09-73CD9D1D9FD9}">
      <formula1>$Z$18:$Z$29</formula1>
    </dataValidation>
    <dataValidation type="list" allowBlank="1" showInputMessage="1" showErrorMessage="1" sqref="M18:M48" xr:uid="{6985C5DF-1ECE-4401-A633-46ABAF0318E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2A1C6-1BF0-4C0C-BBD8-BDDCA48130E8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147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127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145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148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131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132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133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134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135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136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137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138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139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140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141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142</v>
      </c>
      <c r="C30" s="6" t="s">
        <v>143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F17 K17 Q17 Q14" xr:uid="{2A1557D5-E552-4BEC-A431-BAC7E959C68A}">
      <formula1>$Y$11:$Y$12</formula1>
    </dataValidation>
    <dataValidation type="list" allowBlank="1" showInputMessage="1" showErrorMessage="1" sqref="H13" xr:uid="{C6ED1629-6E1F-4682-83A6-EB01B2BC14D7}">
      <formula1>$Y$13:$Y$14</formula1>
    </dataValidation>
    <dataValidation type="list" allowBlank="1" showInputMessage="1" showErrorMessage="1" sqref="I13" xr:uid="{E7523324-7BA7-4C6E-BF85-177BB982102B}">
      <formula1>$K$9:$K$9</formula1>
    </dataValidation>
    <dataValidation type="list" showInputMessage="1" showErrorMessage="1" sqref="D18:D48" xr:uid="{9B1E7D48-8EAD-4147-9BB9-26F03FADBCA9}">
      <formula1>$Z$18:$Z$29</formula1>
    </dataValidation>
    <dataValidation type="list" allowBlank="1" showInputMessage="1" showErrorMessage="1" sqref="M18:M48" xr:uid="{2758A510-BB6E-495A-AE89-037FC68462A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29F1-0B0F-4193-B152-FA5B117E693B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153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>
        <v>1988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154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145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155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131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132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133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134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135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136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137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138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139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140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141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142</v>
      </c>
      <c r="C30" s="6" t="s">
        <v>143</v>
      </c>
      <c r="D30" s="127" t="s">
        <v>50</v>
      </c>
      <c r="E30" s="53">
        <v>1</v>
      </c>
      <c r="F30" s="8">
        <v>98900.34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135828.32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count="5">
    <dataValidation type="list" allowBlank="1" showInputMessage="1" showErrorMessage="1" sqref="F17 K17 Q17 Q14" xr:uid="{FB1FAD96-4AEF-4948-BBB9-176BD32FEA9D}">
      <formula1>$Y$11:$Y$12</formula1>
    </dataValidation>
    <dataValidation type="list" allowBlank="1" showInputMessage="1" showErrorMessage="1" sqref="H13" xr:uid="{8BD6CBEB-A068-45AB-A57D-5C2169FC11DE}">
      <formula1>$Y$13:$Y$14</formula1>
    </dataValidation>
    <dataValidation type="list" allowBlank="1" showInputMessage="1" showErrorMessage="1" sqref="I13" xr:uid="{15FA72D9-0749-44D1-A74D-83B013ADFEA4}">
      <formula1>$K$9:$K$9</formula1>
    </dataValidation>
    <dataValidation type="list" showInputMessage="1" showErrorMessage="1" sqref="D18:D48" xr:uid="{503F37CA-92FE-4517-95EA-E42A78149E16}">
      <formula1>$Z$18:$Z$29</formula1>
    </dataValidation>
    <dataValidation type="list" allowBlank="1" showInputMessage="1" showErrorMessage="1" sqref="M18:M48" xr:uid="{FB7515E6-610C-48EA-82D7-181DC45FD9A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0B3B-20FE-4685-8185-01A662E6FD67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156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157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158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131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132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133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134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135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136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137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138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139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140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141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142</v>
      </c>
      <c r="C30" s="6" t="s">
        <v>143</v>
      </c>
      <c r="D30" s="127" t="s">
        <v>50</v>
      </c>
      <c r="E30" s="53">
        <v>1</v>
      </c>
      <c r="F30" s="8">
        <v>98900.339999999982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135828.31999999998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5">
    <dataValidation type="list" allowBlank="1" showInputMessage="1" showErrorMessage="1" sqref="M18:M48" xr:uid="{3B63FE06-3736-47C4-9EE9-2EC9317DBBD1}">
      <formula1>$Y$31:$Y$32</formula1>
    </dataValidation>
    <dataValidation type="list" showInputMessage="1" showErrorMessage="1" sqref="D18:D48" xr:uid="{2AC5978F-B2C6-4F48-9BEC-A7D4E9992D81}">
      <formula1>$Z$18:$Z$29</formula1>
    </dataValidation>
    <dataValidation type="list" allowBlank="1" showInputMessage="1" showErrorMessage="1" sqref="I13" xr:uid="{52F3A7B6-3DDB-49F8-9665-C9E98BFE5F15}">
      <formula1>$K$9:$K$9</formula1>
    </dataValidation>
    <dataValidation type="list" allowBlank="1" showInputMessage="1" showErrorMessage="1" sqref="H13" xr:uid="{C66590F3-74D7-4BCD-A072-F9FB5244130C}">
      <formula1>$Y$13:$Y$14</formula1>
    </dataValidation>
    <dataValidation type="list" allowBlank="1" showInputMessage="1" showErrorMessage="1" sqref="F17 K17 Q17 Q14" xr:uid="{7FE99203-539B-4C80-B2BA-0991417ED90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A9D31-6077-4FFC-8193-1432B85116F0}">
  <sheetPr>
    <pageSetUpPr fitToPage="1"/>
  </sheetPr>
  <dimension ref="A1:AB51"/>
  <sheetViews>
    <sheetView zoomScale="85" zoomScaleNormal="85" workbookViewId="0">
      <selection activeCell="N18" sqref="N18:N3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159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146023.14000000001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80255.05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65768.090000000011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157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0.45039498534273409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160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80255.05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80255.05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131</v>
      </c>
      <c r="C18" s="5" t="s">
        <v>98</v>
      </c>
      <c r="D18" s="125">
        <v>250</v>
      </c>
      <c r="E18" s="53">
        <v>1</v>
      </c>
      <c r="F18" s="8">
        <v>59.49</v>
      </c>
      <c r="G18" s="9">
        <f>ROUND(IF($F$17="USD $", F18*$E$15,F18*$D$15),2)</f>
        <v>41.03</v>
      </c>
      <c r="H18" s="10">
        <f>ROUND(IF($H$17=$G$17,E18*G18,E18*F18),2)</f>
        <v>59.49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29.75</v>
      </c>
      <c r="L18" s="9">
        <f>ROUND((J18*K18),2)</f>
        <v>29.75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29.75</v>
      </c>
      <c r="T18" s="14">
        <f>ROUND(L18-R18,2)</f>
        <v>29.75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132</v>
      </c>
      <c r="C19" s="4" t="s">
        <v>100</v>
      </c>
      <c r="D19" s="126">
        <v>250</v>
      </c>
      <c r="E19" s="54">
        <v>1</v>
      </c>
      <c r="F19" s="15">
        <v>76.680000000000007</v>
      </c>
      <c r="G19" s="38">
        <f t="shared" ref="G19:G48" si="1">ROUND(IF($F$17="USD $", F19*$E$15,F19*$D$15),2)</f>
        <v>52.88</v>
      </c>
      <c r="H19" s="39">
        <f t="shared" ref="H19:H48" si="2">ROUND(IF($H$17=$G$17,E19*G19,E19*F19),2)</f>
        <v>76.680000000000007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38.340000000000003</v>
      </c>
      <c r="L19" s="38">
        <f t="shared" ref="L19:L48" si="4">ROUND((J19*K19),2)</f>
        <v>38.340000000000003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38.340000000000003</v>
      </c>
      <c r="T19" s="52">
        <f t="shared" ref="T19:T48" si="6">ROUND(L19-R19,2)</f>
        <v>38.340000000000003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133</v>
      </c>
      <c r="C20" s="6" t="s">
        <v>102</v>
      </c>
      <c r="D20" s="127">
        <v>250</v>
      </c>
      <c r="E20" s="53">
        <v>1</v>
      </c>
      <c r="F20" s="8">
        <v>150.1</v>
      </c>
      <c r="G20" s="9">
        <f t="shared" si="1"/>
        <v>103.52</v>
      </c>
      <c r="H20" s="10">
        <f t="shared" si="2"/>
        <v>150.1</v>
      </c>
      <c r="I20" s="42"/>
      <c r="J20" s="89">
        <f t="shared" si="0"/>
        <v>1</v>
      </c>
      <c r="K20" s="9">
        <f t="shared" si="3"/>
        <v>97.57</v>
      </c>
      <c r="L20" s="9">
        <f t="shared" si="4"/>
        <v>97.57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97.57</v>
      </c>
      <c r="T20" s="14">
        <f t="shared" si="6"/>
        <v>97.57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134</v>
      </c>
      <c r="C21" s="4" t="s">
        <v>104</v>
      </c>
      <c r="D21" s="126">
        <v>250</v>
      </c>
      <c r="E21" s="54">
        <v>1</v>
      </c>
      <c r="F21" s="15">
        <v>114.79</v>
      </c>
      <c r="G21" s="38">
        <f t="shared" si="1"/>
        <v>79.17</v>
      </c>
      <c r="H21" s="39">
        <f t="shared" si="2"/>
        <v>114.79</v>
      </c>
      <c r="I21" s="42"/>
      <c r="J21" s="88">
        <f t="shared" si="0"/>
        <v>1</v>
      </c>
      <c r="K21" s="38">
        <f t="shared" si="3"/>
        <v>74.61</v>
      </c>
      <c r="L21" s="38">
        <f t="shared" si="4"/>
        <v>74.61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74.61</v>
      </c>
      <c r="T21" s="52">
        <f t="shared" si="6"/>
        <v>74.61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135</v>
      </c>
      <c r="C22" s="6" t="s">
        <v>110</v>
      </c>
      <c r="D22" s="127">
        <v>250</v>
      </c>
      <c r="E22" s="53">
        <v>1</v>
      </c>
      <c r="F22" s="8">
        <v>49.75</v>
      </c>
      <c r="G22" s="9">
        <f t="shared" si="1"/>
        <v>34.31</v>
      </c>
      <c r="H22" s="10">
        <f t="shared" si="2"/>
        <v>49.75</v>
      </c>
      <c r="I22" s="42"/>
      <c r="J22" s="89">
        <f t="shared" si="0"/>
        <v>1</v>
      </c>
      <c r="K22" s="9">
        <f t="shared" si="3"/>
        <v>24.88</v>
      </c>
      <c r="L22" s="9">
        <f t="shared" si="4"/>
        <v>24.88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24.88</v>
      </c>
      <c r="T22" s="14">
        <f t="shared" si="6"/>
        <v>24.88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136</v>
      </c>
      <c r="C23" s="4" t="s">
        <v>108</v>
      </c>
      <c r="D23" s="126">
        <v>500</v>
      </c>
      <c r="E23" s="54">
        <v>1</v>
      </c>
      <c r="F23" s="15">
        <v>197.31</v>
      </c>
      <c r="G23" s="38">
        <f t="shared" si="1"/>
        <v>136.08000000000001</v>
      </c>
      <c r="H23" s="39">
        <f t="shared" si="2"/>
        <v>197.31</v>
      </c>
      <c r="I23" s="42"/>
      <c r="J23" s="88">
        <f t="shared" si="0"/>
        <v>1</v>
      </c>
      <c r="K23" s="38">
        <f t="shared" si="3"/>
        <v>98.66</v>
      </c>
      <c r="L23" s="38">
        <f t="shared" si="4"/>
        <v>98.66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98.66</v>
      </c>
      <c r="T23" s="52">
        <f t="shared" si="6"/>
        <v>98.66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137</v>
      </c>
      <c r="C24" s="6" t="s">
        <v>113</v>
      </c>
      <c r="D24" s="127" t="s">
        <v>50</v>
      </c>
      <c r="E24" s="53">
        <v>2</v>
      </c>
      <c r="F24" s="8">
        <v>783.62</v>
      </c>
      <c r="G24" s="9">
        <f t="shared" si="1"/>
        <v>540.42999999999995</v>
      </c>
      <c r="H24" s="10">
        <f t="shared" si="2"/>
        <v>1567.24</v>
      </c>
      <c r="I24" s="42"/>
      <c r="J24" s="89">
        <f t="shared" si="0"/>
        <v>2</v>
      </c>
      <c r="K24" s="9">
        <f t="shared" si="3"/>
        <v>391.81</v>
      </c>
      <c r="L24" s="9">
        <f t="shared" si="4"/>
        <v>783.62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391.81</v>
      </c>
      <c r="T24" s="14">
        <f t="shared" si="6"/>
        <v>783.62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138</v>
      </c>
      <c r="C25" s="4" t="s">
        <v>115</v>
      </c>
      <c r="D25" s="126" t="s">
        <v>50</v>
      </c>
      <c r="E25" s="54">
        <v>6</v>
      </c>
      <c r="F25" s="15">
        <v>1882.24</v>
      </c>
      <c r="G25" s="38">
        <f t="shared" si="1"/>
        <v>1298.0999999999999</v>
      </c>
      <c r="H25" s="39">
        <f t="shared" si="2"/>
        <v>11293.44</v>
      </c>
      <c r="I25" s="42"/>
      <c r="J25" s="88">
        <f t="shared" si="0"/>
        <v>6</v>
      </c>
      <c r="K25" s="38">
        <f t="shared" si="3"/>
        <v>1317.57</v>
      </c>
      <c r="L25" s="38">
        <f t="shared" si="4"/>
        <v>7905.42</v>
      </c>
      <c r="M25" s="129" t="s">
        <v>92</v>
      </c>
      <c r="N25" s="16">
        <v>0.3</v>
      </c>
      <c r="O25" s="51"/>
      <c r="P25" s="1"/>
      <c r="Q25" s="15"/>
      <c r="R25" s="40">
        <f t="shared" si="9"/>
        <v>0</v>
      </c>
      <c r="S25" s="52">
        <f t="shared" si="5"/>
        <v>1317.57</v>
      </c>
      <c r="T25" s="52">
        <f t="shared" si="6"/>
        <v>7905.42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139</v>
      </c>
      <c r="C26" s="6" t="s">
        <v>117</v>
      </c>
      <c r="D26" s="127" t="s">
        <v>50</v>
      </c>
      <c r="E26" s="53">
        <v>1</v>
      </c>
      <c r="F26" s="8">
        <v>20109.560000000001</v>
      </c>
      <c r="G26" s="9">
        <f t="shared" si="1"/>
        <v>13868.66</v>
      </c>
      <c r="H26" s="10">
        <f t="shared" si="2"/>
        <v>20109.560000000001</v>
      </c>
      <c r="I26" s="42"/>
      <c r="J26" s="89">
        <f t="shared" si="0"/>
        <v>1</v>
      </c>
      <c r="K26" s="9">
        <f t="shared" si="3"/>
        <v>10054.780000000001</v>
      </c>
      <c r="L26" s="9">
        <f t="shared" si="4"/>
        <v>10054.780000000001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10054.780000000001</v>
      </c>
      <c r="T26" s="14">
        <f t="shared" si="6"/>
        <v>10054.780000000001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140</v>
      </c>
      <c r="C27" s="4" t="s">
        <v>119</v>
      </c>
      <c r="D27" s="126" t="s">
        <v>50</v>
      </c>
      <c r="E27" s="54">
        <v>1</v>
      </c>
      <c r="F27" s="15">
        <v>6723.47</v>
      </c>
      <c r="G27" s="38">
        <f t="shared" si="1"/>
        <v>4636.88</v>
      </c>
      <c r="H27" s="39">
        <f t="shared" si="2"/>
        <v>6723.47</v>
      </c>
      <c r="I27" s="42"/>
      <c r="J27" s="88">
        <f t="shared" si="0"/>
        <v>1</v>
      </c>
      <c r="K27" s="38">
        <f t="shared" si="3"/>
        <v>3361.74</v>
      </c>
      <c r="L27" s="38">
        <f t="shared" si="4"/>
        <v>3361.74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3361.74</v>
      </c>
      <c r="T27" s="52">
        <f t="shared" si="6"/>
        <v>3361.74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141</v>
      </c>
      <c r="C28" s="6" t="s">
        <v>121</v>
      </c>
      <c r="D28" s="127" t="s">
        <v>50</v>
      </c>
      <c r="E28" s="53">
        <v>1</v>
      </c>
      <c r="F28" s="8">
        <v>6780.97</v>
      </c>
      <c r="G28" s="9">
        <f t="shared" si="1"/>
        <v>4676.53</v>
      </c>
      <c r="H28" s="10">
        <f t="shared" si="2"/>
        <v>6780.97</v>
      </c>
      <c r="I28" s="42"/>
      <c r="J28" s="89">
        <f t="shared" si="0"/>
        <v>1</v>
      </c>
      <c r="K28" s="9">
        <f t="shared" si="3"/>
        <v>3390.49</v>
      </c>
      <c r="L28" s="9">
        <f t="shared" si="4"/>
        <v>3390.49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3390.49</v>
      </c>
      <c r="T28" s="14">
        <f t="shared" si="6"/>
        <v>3390.49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/>
      <c r="C29" s="4"/>
      <c r="D29" s="126"/>
      <c r="E29" s="54"/>
      <c r="F29" s="15">
        <v>0</v>
      </c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29" t="s">
        <v>92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142</v>
      </c>
      <c r="C30" s="6" t="s">
        <v>143</v>
      </c>
      <c r="D30" s="127" t="s">
        <v>50</v>
      </c>
      <c r="E30" s="53">
        <v>1</v>
      </c>
      <c r="F30" s="8">
        <v>98900.339999999982</v>
      </c>
      <c r="G30" s="9">
        <f t="shared" si="1"/>
        <v>68207.13</v>
      </c>
      <c r="H30" s="10">
        <f t="shared" si="2"/>
        <v>98900.34</v>
      </c>
      <c r="I30" s="42"/>
      <c r="J30" s="89">
        <f t="shared" si="0"/>
        <v>1</v>
      </c>
      <c r="K30" s="9">
        <f t="shared" si="3"/>
        <v>54395.19</v>
      </c>
      <c r="L30" s="9">
        <f t="shared" si="4"/>
        <v>54395.19</v>
      </c>
      <c r="M30" s="8" t="s">
        <v>92</v>
      </c>
      <c r="N30" s="12">
        <v>0.45</v>
      </c>
      <c r="O30" s="51"/>
      <c r="P30" s="3"/>
      <c r="Q30" s="13"/>
      <c r="R30" s="14">
        <f t="shared" si="9"/>
        <v>0</v>
      </c>
      <c r="S30" s="14">
        <f t="shared" si="5"/>
        <v>54395.19</v>
      </c>
      <c r="T30" s="14">
        <f t="shared" si="6"/>
        <v>54395.19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6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29" t="s">
        <v>92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135828.31999999998</v>
      </c>
      <c r="G49" s="79">
        <f>SUM(G18:G48)</f>
        <v>93674.72</v>
      </c>
      <c r="H49" s="80">
        <f>SUM(H18:H48)</f>
        <v>146023.14000000001</v>
      </c>
      <c r="I49" s="81"/>
      <c r="J49" s="82">
        <f>SUM(J18:J48)</f>
        <v>18</v>
      </c>
      <c r="K49" s="79">
        <f>SUM(K18:K48)</f>
        <v>73275.39</v>
      </c>
      <c r="L49" s="80">
        <f>SUM(L18:L48)</f>
        <v>80255.05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73275.39</v>
      </c>
      <c r="T49" s="80">
        <f>SUM(T18:T48)</f>
        <v>80255.05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5">
    <dataValidation type="list" allowBlank="1" showInputMessage="1" showErrorMessage="1" sqref="F17 K17 Q17 Q14" xr:uid="{89BE1F1C-E0E8-40F8-BA24-FDC06ACB870F}">
      <formula1>$Y$11:$Y$12</formula1>
    </dataValidation>
    <dataValidation type="list" allowBlank="1" showInputMessage="1" showErrorMessage="1" sqref="H13" xr:uid="{D2D345F6-6783-45D0-9E70-F627F4E20BD9}">
      <formula1>$Y$13:$Y$14</formula1>
    </dataValidation>
    <dataValidation type="list" allowBlank="1" showInputMessage="1" showErrorMessage="1" sqref="I13" xr:uid="{0FAAFD74-E956-4BDE-8461-1051CF97769C}">
      <formula1>$K$9:$K$9</formula1>
    </dataValidation>
    <dataValidation type="list" showInputMessage="1" showErrorMessage="1" sqref="D18:D48" xr:uid="{A04CF77C-C915-4C4E-98B1-0FCBF7E68ADE}">
      <formula1>$Z$18:$Z$29</formula1>
    </dataValidation>
    <dataValidation type="list" allowBlank="1" showInputMessage="1" showErrorMessage="1" sqref="M18:M48" xr:uid="{A952C91D-4C0A-4F74-9AA5-F2540C71DE13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7DB32-CF92-40B6-8FBF-EDF2883C4641}">
  <sheetPr>
    <pageSetUpPr fitToPage="1"/>
  </sheetPr>
  <dimension ref="A1:AB51"/>
  <sheetViews>
    <sheetView zoomScale="85" zoomScaleNormal="85" workbookViewId="0">
      <selection activeCell="F19" sqref="F1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186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101780.31000000001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55449.47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127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46330.840000000011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187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0.45520435141138799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188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55449.47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55449.47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161</v>
      </c>
      <c r="C18" s="5" t="s">
        <v>162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163</v>
      </c>
      <c r="C19" s="4" t="s">
        <v>164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165</v>
      </c>
      <c r="C20" s="6" t="s">
        <v>166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167</v>
      </c>
      <c r="C21" s="4" t="s">
        <v>168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169</v>
      </c>
      <c r="C22" s="6" t="s">
        <v>170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171</v>
      </c>
      <c r="C23" s="4" t="s">
        <v>172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173</v>
      </c>
      <c r="C24" s="6" t="s">
        <v>174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175</v>
      </c>
      <c r="C25" s="4" t="s">
        <v>172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176</v>
      </c>
      <c r="C26" s="6" t="s">
        <v>177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178</v>
      </c>
      <c r="C27" s="4" t="s">
        <v>179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180</v>
      </c>
      <c r="C28" s="6" t="s">
        <v>181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182</v>
      </c>
      <c r="C29" s="4" t="s">
        <v>183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184</v>
      </c>
      <c r="C31" s="4" t="s">
        <v>185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allowBlank="1" showInputMessage="1" showErrorMessage="1" sqref="F17 K17 Q17 Q14" xr:uid="{5EFB72B3-92D2-4A9B-BA5E-DA139AFE6F06}">
      <formula1>$Y$11:$Y$12</formula1>
    </dataValidation>
    <dataValidation type="list" allowBlank="1" showInputMessage="1" showErrorMessage="1" sqref="H13" xr:uid="{EB8B54FF-91E9-4459-9FFB-57DC0C9CF9D9}">
      <formula1>$Y$13:$Y$14</formula1>
    </dataValidation>
    <dataValidation type="list" allowBlank="1" showInputMessage="1" showErrorMessage="1" sqref="I13" xr:uid="{B4FF6A49-8F1D-4EBB-8A2F-B47F5E6BDC54}">
      <formula1>$K$9:$K$9</formula1>
    </dataValidation>
    <dataValidation type="list" showInputMessage="1" showErrorMessage="1" sqref="D18:D48" xr:uid="{5516FD34-AAFC-4212-93D1-F10B6B3AB9AE}">
      <formula1>$Z$18:$Z$29</formula1>
    </dataValidation>
    <dataValidation type="list" allowBlank="1" showInputMessage="1" showErrorMessage="1" sqref="M18:M48" xr:uid="{CAF044A9-116A-43AE-A1F8-BC00B7BDDAA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030D-D015-4535-8778-9860ECD185F8}">
  <sheetPr>
    <pageSetUpPr fitToPage="1"/>
  </sheetPr>
  <dimension ref="A1:AB51"/>
  <sheetViews>
    <sheetView topLeftCell="A3" zoomScale="85" zoomScaleNormal="85" workbookViewId="0">
      <selection activeCell="F19" sqref="F1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186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101780.31000000001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55449.47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127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46330.840000000011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>
        <v>589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0.45520435141138799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189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55449.47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55449.47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161</v>
      </c>
      <c r="C18" s="5" t="s">
        <v>162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163</v>
      </c>
      <c r="C19" s="4" t="s">
        <v>164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165</v>
      </c>
      <c r="C20" s="6" t="s">
        <v>166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167</v>
      </c>
      <c r="C21" s="4" t="s">
        <v>168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169</v>
      </c>
      <c r="C22" s="6" t="s">
        <v>170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171</v>
      </c>
      <c r="C23" s="4" t="s">
        <v>172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173</v>
      </c>
      <c r="C24" s="6" t="s">
        <v>174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175</v>
      </c>
      <c r="C25" s="4" t="s">
        <v>172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176</v>
      </c>
      <c r="C26" s="6" t="s">
        <v>177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178</v>
      </c>
      <c r="C27" s="4" t="s">
        <v>179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180</v>
      </c>
      <c r="C28" s="6" t="s">
        <v>181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182</v>
      </c>
      <c r="C29" s="4" t="s">
        <v>183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184</v>
      </c>
      <c r="C31" s="4" t="s">
        <v>185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5">
    <dataValidation type="list" allowBlank="1" showInputMessage="1" showErrorMessage="1" sqref="M18:M48" xr:uid="{2CD0855B-3A6B-42BF-9951-9D081F211965}">
      <formula1>$Y$31:$Y$32</formula1>
    </dataValidation>
    <dataValidation type="list" showInputMessage="1" showErrorMessage="1" sqref="D18:D48" xr:uid="{08717EB8-7B8C-4CEE-95A0-F9940402ADE7}">
      <formula1>$Z$18:$Z$29</formula1>
    </dataValidation>
    <dataValidation type="list" allowBlank="1" showInputMessage="1" showErrorMessage="1" sqref="I13" xr:uid="{8CD58E2D-DD06-44AA-A93D-26B8B9BED852}">
      <formula1>$K$9:$K$9</formula1>
    </dataValidation>
    <dataValidation type="list" allowBlank="1" showInputMessage="1" showErrorMessage="1" sqref="H13" xr:uid="{D010C316-89B0-43D1-865B-BCCF4812B8EF}">
      <formula1>$Y$13:$Y$14</formula1>
    </dataValidation>
    <dataValidation type="list" allowBlank="1" showInputMessage="1" showErrorMessage="1" sqref="F17 K17 Q17 Q14" xr:uid="{F4FA15C3-4364-46E4-A1CA-A1FA87B0676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25D5-33D8-4EE0-89BB-018C898F9E2F}">
  <sheetPr>
    <pageSetUpPr fitToPage="1"/>
  </sheetPr>
  <dimension ref="A1:AB51"/>
  <sheetViews>
    <sheetView zoomScale="85" zoomScaleNormal="85" workbookViewId="0">
      <selection activeCell="M25" sqref="M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198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341829.93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184438.7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51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157391.22999999998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>
        <v>594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0.46043724140832248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199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184438.7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184438.7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21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169</v>
      </c>
      <c r="C18" s="5" t="s">
        <v>98</v>
      </c>
      <c r="D18" s="125">
        <v>250</v>
      </c>
      <c r="E18" s="53">
        <v>1</v>
      </c>
      <c r="F18" s="8">
        <v>33.119999999999997</v>
      </c>
      <c r="G18" s="9">
        <f>ROUND(IF($F$17="USD $", F18*$E$15,F18*$D$15),2)</f>
        <v>22.84</v>
      </c>
      <c r="H18" s="10">
        <f>ROUND(IF($H$17=$G$17,E18*G18,E18*F18),2)</f>
        <v>33.119999999999997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16.559999999999999</v>
      </c>
      <c r="L18" s="9">
        <f>ROUND((J18*K18),2)</f>
        <v>16.559999999999999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16.559999999999999</v>
      </c>
      <c r="T18" s="14">
        <f>ROUND(L18-R18,2)</f>
        <v>16.559999999999999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190</v>
      </c>
      <c r="C19" s="4" t="s">
        <v>102</v>
      </c>
      <c r="D19" s="126">
        <v>250</v>
      </c>
      <c r="E19" s="54">
        <v>1</v>
      </c>
      <c r="F19" s="15">
        <v>121.8</v>
      </c>
      <c r="G19" s="38">
        <f t="shared" ref="G19:G48" si="1">ROUND(IF($F$17="USD $", F19*$E$15,F19*$D$15),2)</f>
        <v>84</v>
      </c>
      <c r="H19" s="39">
        <f t="shared" ref="H19:H48" si="2">ROUND(IF($H$17=$G$17,E19*G19,E19*F19),2)</f>
        <v>121.8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79.17</v>
      </c>
      <c r="L19" s="38">
        <f t="shared" ref="L19:L48" si="4">ROUND((J19*K19),2)</f>
        <v>79.17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79.17</v>
      </c>
      <c r="T19" s="52">
        <f t="shared" ref="T19:T48" si="6">ROUND(L19-R19,2)</f>
        <v>79.17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104</v>
      </c>
      <c r="D20" s="127">
        <v>250</v>
      </c>
      <c r="E20" s="53">
        <v>1</v>
      </c>
      <c r="F20" s="8">
        <v>222</v>
      </c>
      <c r="G20" s="9">
        <f t="shared" si="1"/>
        <v>153.1</v>
      </c>
      <c r="H20" s="10">
        <f t="shared" si="2"/>
        <v>222</v>
      </c>
      <c r="I20" s="42"/>
      <c r="J20" s="89">
        <f t="shared" si="0"/>
        <v>1</v>
      </c>
      <c r="K20" s="9">
        <f t="shared" si="3"/>
        <v>144.30000000000001</v>
      </c>
      <c r="L20" s="9">
        <f t="shared" si="4"/>
        <v>144.30000000000001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144.30000000000001</v>
      </c>
      <c r="T20" s="14">
        <f t="shared" si="6"/>
        <v>144.30000000000001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167</v>
      </c>
      <c r="C21" s="4" t="s">
        <v>110</v>
      </c>
      <c r="D21" s="126">
        <v>250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165</v>
      </c>
      <c r="C22" s="6" t="s">
        <v>110</v>
      </c>
      <c r="D22" s="127">
        <v>250</v>
      </c>
      <c r="E22" s="53">
        <v>1</v>
      </c>
      <c r="F22" s="8">
        <v>20.63</v>
      </c>
      <c r="G22" s="9">
        <f t="shared" si="1"/>
        <v>14.23</v>
      </c>
      <c r="H22" s="10">
        <f t="shared" si="2"/>
        <v>20.63</v>
      </c>
      <c r="I22" s="42"/>
      <c r="J22" s="89">
        <f t="shared" si="0"/>
        <v>1</v>
      </c>
      <c r="K22" s="9">
        <f t="shared" si="3"/>
        <v>10.32</v>
      </c>
      <c r="L22" s="9">
        <f t="shared" si="4"/>
        <v>10.32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10.32</v>
      </c>
      <c r="T22" s="14">
        <f t="shared" si="6"/>
        <v>10.32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192</v>
      </c>
      <c r="C23" s="4" t="s">
        <v>193</v>
      </c>
      <c r="D23" s="126">
        <v>500</v>
      </c>
      <c r="E23" s="54">
        <v>1</v>
      </c>
      <c r="F23" s="15">
        <v>47.98</v>
      </c>
      <c r="G23" s="38">
        <f t="shared" si="1"/>
        <v>33.090000000000003</v>
      </c>
      <c r="H23" s="39">
        <f t="shared" si="2"/>
        <v>47.98</v>
      </c>
      <c r="I23" s="42"/>
      <c r="J23" s="88">
        <f t="shared" si="0"/>
        <v>1</v>
      </c>
      <c r="K23" s="38">
        <f t="shared" si="3"/>
        <v>23.99</v>
      </c>
      <c r="L23" s="38">
        <f t="shared" si="4"/>
        <v>23.99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23.99</v>
      </c>
      <c r="T23" s="52">
        <f t="shared" si="6"/>
        <v>23.99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171</v>
      </c>
      <c r="C24" s="6" t="s">
        <v>193</v>
      </c>
      <c r="D24" s="127">
        <v>500</v>
      </c>
      <c r="E24" s="53">
        <v>2</v>
      </c>
      <c r="F24" s="8">
        <v>38.31</v>
      </c>
      <c r="G24" s="9">
        <f t="shared" si="1"/>
        <v>26.42</v>
      </c>
      <c r="H24" s="10">
        <f t="shared" si="2"/>
        <v>76.62</v>
      </c>
      <c r="I24" s="42"/>
      <c r="J24" s="89">
        <f t="shared" si="0"/>
        <v>2</v>
      </c>
      <c r="K24" s="9">
        <f t="shared" si="3"/>
        <v>19.16</v>
      </c>
      <c r="L24" s="9">
        <f t="shared" si="4"/>
        <v>38.32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19.16</v>
      </c>
      <c r="T24" s="14">
        <f t="shared" si="6"/>
        <v>38.32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180</v>
      </c>
      <c r="C25" s="4" t="s">
        <v>113</v>
      </c>
      <c r="D25" s="126" t="s">
        <v>50</v>
      </c>
      <c r="E25" s="54">
        <v>2</v>
      </c>
      <c r="F25" s="15">
        <v>822.89</v>
      </c>
      <c r="G25" s="38">
        <f t="shared" si="1"/>
        <v>567.51</v>
      </c>
      <c r="H25" s="39">
        <f t="shared" si="2"/>
        <v>1645.78</v>
      </c>
      <c r="I25" s="42"/>
      <c r="J25" s="88">
        <f t="shared" si="0"/>
        <v>2</v>
      </c>
      <c r="K25" s="38">
        <f t="shared" si="3"/>
        <v>411.45</v>
      </c>
      <c r="L25" s="38">
        <f t="shared" si="4"/>
        <v>822.9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411.45</v>
      </c>
      <c r="T25" s="52">
        <f t="shared" si="6"/>
        <v>822.9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194</v>
      </c>
      <c r="C26" s="6" t="s">
        <v>115</v>
      </c>
      <c r="D26" s="127" t="s">
        <v>50</v>
      </c>
      <c r="E26" s="53">
        <v>6</v>
      </c>
      <c r="F26" s="8">
        <v>154.75</v>
      </c>
      <c r="G26" s="9">
        <f t="shared" si="1"/>
        <v>106.72</v>
      </c>
      <c r="H26" s="10">
        <f t="shared" si="2"/>
        <v>928.5</v>
      </c>
      <c r="I26" s="42"/>
      <c r="J26" s="89">
        <f t="shared" si="0"/>
        <v>6</v>
      </c>
      <c r="K26" s="9">
        <f t="shared" si="3"/>
        <v>108.33</v>
      </c>
      <c r="L26" s="9">
        <f t="shared" si="4"/>
        <v>649.98</v>
      </c>
      <c r="M26" s="8" t="s">
        <v>92</v>
      </c>
      <c r="N26" s="12">
        <v>0.3</v>
      </c>
      <c r="O26" s="51"/>
      <c r="P26" s="3"/>
      <c r="Q26" s="13"/>
      <c r="R26" s="14">
        <f t="shared" si="9"/>
        <v>0</v>
      </c>
      <c r="S26" s="14">
        <f t="shared" si="5"/>
        <v>108.33</v>
      </c>
      <c r="T26" s="14">
        <f t="shared" si="6"/>
        <v>649.98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195</v>
      </c>
      <c r="C27" s="4" t="s">
        <v>117</v>
      </c>
      <c r="D27" s="126" t="s">
        <v>50</v>
      </c>
      <c r="E27" s="54">
        <v>1</v>
      </c>
      <c r="F27" s="15">
        <v>57259.02</v>
      </c>
      <c r="G27" s="38">
        <f t="shared" si="1"/>
        <v>39488.980000000003</v>
      </c>
      <c r="H27" s="39">
        <f t="shared" si="2"/>
        <v>57259.02</v>
      </c>
      <c r="I27" s="42"/>
      <c r="J27" s="88">
        <f t="shared" si="0"/>
        <v>1</v>
      </c>
      <c r="K27" s="38">
        <f t="shared" si="3"/>
        <v>28629.51</v>
      </c>
      <c r="L27" s="38">
        <f t="shared" si="4"/>
        <v>28629.51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28629.51</v>
      </c>
      <c r="T27" s="52">
        <f t="shared" si="6"/>
        <v>28629.51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119</v>
      </c>
      <c r="D28" s="127" t="s">
        <v>50</v>
      </c>
      <c r="E28" s="53">
        <v>1</v>
      </c>
      <c r="F28" s="8">
        <v>6442.44</v>
      </c>
      <c r="G28" s="9">
        <f t="shared" si="1"/>
        <v>4443.0600000000004</v>
      </c>
      <c r="H28" s="10">
        <f t="shared" si="2"/>
        <v>6442.44</v>
      </c>
      <c r="I28" s="42"/>
      <c r="J28" s="89">
        <f t="shared" si="0"/>
        <v>1</v>
      </c>
      <c r="K28" s="9">
        <f t="shared" si="3"/>
        <v>3221.22</v>
      </c>
      <c r="L28" s="9">
        <f t="shared" si="4"/>
        <v>3221.22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3221.22</v>
      </c>
      <c r="T28" s="14">
        <f t="shared" si="6"/>
        <v>3221.22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197</v>
      </c>
      <c r="C29" s="4" t="s">
        <v>121</v>
      </c>
      <c r="D29" s="126" t="s">
        <v>50</v>
      </c>
      <c r="E29" s="54">
        <v>1</v>
      </c>
      <c r="F29" s="15">
        <v>9221.34</v>
      </c>
      <c r="G29" s="38">
        <f>ROUND(IF($F$17="USD $", F29*$E$15,F29*$D$15),2)</f>
        <v>6359.54</v>
      </c>
      <c r="H29" s="39">
        <f>ROUND(IF($H$17=$G$17,E29*G29,E29*F29),2)</f>
        <v>9221.34</v>
      </c>
      <c r="I29" s="42"/>
      <c r="J29" s="88">
        <f t="shared" si="0"/>
        <v>1</v>
      </c>
      <c r="K29" s="38">
        <f t="shared" si="3"/>
        <v>4610.67</v>
      </c>
      <c r="L29" s="38">
        <f>ROUND((J29*K29),2)</f>
        <v>4610.67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4610.67</v>
      </c>
      <c r="T29" s="52">
        <f t="shared" si="6"/>
        <v>4610.67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/>
      <c r="C30" s="6"/>
      <c r="D30" s="127"/>
      <c r="E30" s="53"/>
      <c r="F30" s="8">
        <v>0</v>
      </c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254</v>
      </c>
      <c r="C31" s="4" t="s">
        <v>255</v>
      </c>
      <c r="D31" s="126" t="s">
        <v>50</v>
      </c>
      <c r="E31" s="54">
        <v>1</v>
      </c>
      <c r="F31" s="15">
        <v>265728.26</v>
      </c>
      <c r="G31" s="38">
        <f t="shared" si="1"/>
        <v>183260.87</v>
      </c>
      <c r="H31" s="39">
        <f t="shared" si="2"/>
        <v>265728.26</v>
      </c>
      <c r="I31" s="42"/>
      <c r="J31" s="88">
        <f t="shared" si="0"/>
        <v>1</v>
      </c>
      <c r="K31" s="38">
        <f t="shared" si="3"/>
        <v>146150.54</v>
      </c>
      <c r="L31" s="38">
        <f t="shared" si="4"/>
        <v>146150.54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146150.54</v>
      </c>
      <c r="T31" s="52">
        <f t="shared" si="6"/>
        <v>146150.54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340153.76</v>
      </c>
      <c r="G49" s="79">
        <f>SUM(G18:G48)</f>
        <v>234588.79</v>
      </c>
      <c r="H49" s="80">
        <f>SUM(H18:H48)</f>
        <v>341829.93</v>
      </c>
      <c r="I49" s="81"/>
      <c r="J49" s="82">
        <f>SUM(J18:J48)</f>
        <v>21</v>
      </c>
      <c r="K49" s="79">
        <f>SUM(K18:K48)</f>
        <v>183445.83000000002</v>
      </c>
      <c r="L49" s="80">
        <f>SUM(L18:L48)</f>
        <v>184438.7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183445.83000000002</v>
      </c>
      <c r="T49" s="80">
        <f>SUM(T18:T48)</f>
        <v>184438.7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F17 K17 Q17 Q14" xr:uid="{67DBF61F-6259-4E62-ABEA-28951AEAE54A}">
      <formula1>$Y$11:$Y$12</formula1>
    </dataValidation>
    <dataValidation type="list" allowBlank="1" showInputMessage="1" showErrorMessage="1" sqref="H13" xr:uid="{235553DE-179F-4F2C-921C-0672530EF877}">
      <formula1>$Y$13:$Y$14</formula1>
    </dataValidation>
    <dataValidation type="list" allowBlank="1" showInputMessage="1" showErrorMessage="1" sqref="I13" xr:uid="{19C6EE0F-BD1F-452D-8394-208716B6438B}">
      <formula1>$K$9:$K$9</formula1>
    </dataValidation>
    <dataValidation type="list" showInputMessage="1" showErrorMessage="1" sqref="D18:D48" xr:uid="{ED9064C3-E492-4E9C-98BB-448F65E94AA0}">
      <formula1>$Z$18:$Z$29</formula1>
    </dataValidation>
    <dataValidation type="list" allowBlank="1" showInputMessage="1" showErrorMessage="1" sqref="M18:M48" xr:uid="{840F5EC3-C4D4-4784-93AD-F4B6856E4467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5462C-BD46-4CEB-B679-9AE5F16654E5}">
  <sheetPr>
    <pageSetUpPr fitToPage="1"/>
  </sheetPr>
  <dimension ref="A1:AB51"/>
  <sheetViews>
    <sheetView zoomScale="85" zoomScaleNormal="85" workbookViewId="0">
      <selection activeCell="M25" sqref="M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200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341829.93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>
        <v>1981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184438.7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201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157391.22999999998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202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0.46043724140832248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203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184438.7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184438.7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21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169</v>
      </c>
      <c r="C18" s="5" t="s">
        <v>98</v>
      </c>
      <c r="D18" s="125">
        <v>250</v>
      </c>
      <c r="E18" s="53">
        <v>1</v>
      </c>
      <c r="F18" s="8">
        <v>33.119999999999997</v>
      </c>
      <c r="G18" s="9">
        <f>ROUND(IF($F$17="USD $", F18*$E$15,F18*$D$15),2)</f>
        <v>22.84</v>
      </c>
      <c r="H18" s="10">
        <f>ROUND(IF($H$17=$G$17,E18*G18,E18*F18),2)</f>
        <v>33.119999999999997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16.559999999999999</v>
      </c>
      <c r="L18" s="9">
        <f>ROUND((J18*K18),2)</f>
        <v>16.559999999999999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16.559999999999999</v>
      </c>
      <c r="T18" s="14">
        <f>ROUND(L18-R18,2)</f>
        <v>16.559999999999999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190</v>
      </c>
      <c r="C19" s="4" t="s">
        <v>102</v>
      </c>
      <c r="D19" s="126">
        <v>250</v>
      </c>
      <c r="E19" s="54">
        <v>1</v>
      </c>
      <c r="F19" s="15">
        <v>121.8</v>
      </c>
      <c r="G19" s="38">
        <f t="shared" ref="G19:G48" si="1">ROUND(IF($F$17="USD $", F19*$E$15,F19*$D$15),2)</f>
        <v>84</v>
      </c>
      <c r="H19" s="39">
        <f t="shared" ref="H19:H48" si="2">ROUND(IF($H$17=$G$17,E19*G19,E19*F19),2)</f>
        <v>121.8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79.17</v>
      </c>
      <c r="L19" s="38">
        <f t="shared" ref="L19:L48" si="4">ROUND((J19*K19),2)</f>
        <v>79.17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79.17</v>
      </c>
      <c r="T19" s="52">
        <f t="shared" ref="T19:T48" si="6">ROUND(L19-R19,2)</f>
        <v>79.17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104</v>
      </c>
      <c r="D20" s="127">
        <v>250</v>
      </c>
      <c r="E20" s="53">
        <v>1</v>
      </c>
      <c r="F20" s="8">
        <v>222</v>
      </c>
      <c r="G20" s="9">
        <f t="shared" si="1"/>
        <v>153.1</v>
      </c>
      <c r="H20" s="10">
        <f t="shared" si="2"/>
        <v>222</v>
      </c>
      <c r="I20" s="42"/>
      <c r="J20" s="89">
        <f t="shared" si="0"/>
        <v>1</v>
      </c>
      <c r="K20" s="9">
        <f t="shared" si="3"/>
        <v>144.30000000000001</v>
      </c>
      <c r="L20" s="9">
        <f t="shared" si="4"/>
        <v>144.30000000000001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144.30000000000001</v>
      </c>
      <c r="T20" s="14">
        <f t="shared" si="6"/>
        <v>144.30000000000001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167</v>
      </c>
      <c r="C21" s="4" t="s">
        <v>110</v>
      </c>
      <c r="D21" s="126">
        <v>250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165</v>
      </c>
      <c r="C22" s="6" t="s">
        <v>110</v>
      </c>
      <c r="D22" s="127">
        <v>250</v>
      </c>
      <c r="E22" s="53">
        <v>1</v>
      </c>
      <c r="F22" s="8">
        <v>20.63</v>
      </c>
      <c r="G22" s="9">
        <f t="shared" si="1"/>
        <v>14.23</v>
      </c>
      <c r="H22" s="10">
        <f t="shared" si="2"/>
        <v>20.63</v>
      </c>
      <c r="I22" s="42"/>
      <c r="J22" s="89">
        <f t="shared" si="0"/>
        <v>1</v>
      </c>
      <c r="K22" s="9">
        <f t="shared" si="3"/>
        <v>10.32</v>
      </c>
      <c r="L22" s="9">
        <f t="shared" si="4"/>
        <v>10.32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10.32</v>
      </c>
      <c r="T22" s="14">
        <f t="shared" si="6"/>
        <v>10.32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192</v>
      </c>
      <c r="C23" s="4" t="s">
        <v>193</v>
      </c>
      <c r="D23" s="126">
        <v>500</v>
      </c>
      <c r="E23" s="54">
        <v>1</v>
      </c>
      <c r="F23" s="15">
        <v>47.98</v>
      </c>
      <c r="G23" s="38">
        <f t="shared" si="1"/>
        <v>33.090000000000003</v>
      </c>
      <c r="H23" s="39">
        <f t="shared" si="2"/>
        <v>47.98</v>
      </c>
      <c r="I23" s="42"/>
      <c r="J23" s="88">
        <f t="shared" si="0"/>
        <v>1</v>
      </c>
      <c r="K23" s="38">
        <f t="shared" si="3"/>
        <v>23.99</v>
      </c>
      <c r="L23" s="38">
        <f t="shared" si="4"/>
        <v>23.99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23.99</v>
      </c>
      <c r="T23" s="52">
        <f t="shared" si="6"/>
        <v>23.99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171</v>
      </c>
      <c r="C24" s="6" t="s">
        <v>193</v>
      </c>
      <c r="D24" s="127">
        <v>500</v>
      </c>
      <c r="E24" s="53">
        <v>2</v>
      </c>
      <c r="F24" s="8">
        <v>38.31</v>
      </c>
      <c r="G24" s="9">
        <f t="shared" si="1"/>
        <v>26.42</v>
      </c>
      <c r="H24" s="10">
        <f t="shared" si="2"/>
        <v>76.62</v>
      </c>
      <c r="I24" s="42"/>
      <c r="J24" s="89">
        <f t="shared" si="0"/>
        <v>2</v>
      </c>
      <c r="K24" s="9">
        <f t="shared" si="3"/>
        <v>19.16</v>
      </c>
      <c r="L24" s="9">
        <f t="shared" si="4"/>
        <v>38.32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19.16</v>
      </c>
      <c r="T24" s="14">
        <f t="shared" si="6"/>
        <v>38.32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180</v>
      </c>
      <c r="C25" s="4" t="s">
        <v>113</v>
      </c>
      <c r="D25" s="126" t="s">
        <v>50</v>
      </c>
      <c r="E25" s="54">
        <v>2</v>
      </c>
      <c r="F25" s="15">
        <v>822.89</v>
      </c>
      <c r="G25" s="38">
        <f t="shared" si="1"/>
        <v>567.51</v>
      </c>
      <c r="H25" s="39">
        <f t="shared" si="2"/>
        <v>1645.78</v>
      </c>
      <c r="I25" s="42"/>
      <c r="J25" s="88">
        <f t="shared" si="0"/>
        <v>2</v>
      </c>
      <c r="K25" s="38">
        <f t="shared" si="3"/>
        <v>411.45</v>
      </c>
      <c r="L25" s="38">
        <f t="shared" si="4"/>
        <v>822.9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411.45</v>
      </c>
      <c r="T25" s="52">
        <f t="shared" si="6"/>
        <v>822.9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194</v>
      </c>
      <c r="C26" s="6" t="s">
        <v>115</v>
      </c>
      <c r="D26" s="127" t="s">
        <v>50</v>
      </c>
      <c r="E26" s="53">
        <v>6</v>
      </c>
      <c r="F26" s="8">
        <v>154.75</v>
      </c>
      <c r="G26" s="9">
        <f t="shared" si="1"/>
        <v>106.72</v>
      </c>
      <c r="H26" s="10">
        <f t="shared" si="2"/>
        <v>928.5</v>
      </c>
      <c r="I26" s="42"/>
      <c r="J26" s="89">
        <f t="shared" si="0"/>
        <v>6</v>
      </c>
      <c r="K26" s="9">
        <f t="shared" si="3"/>
        <v>108.33</v>
      </c>
      <c r="L26" s="9">
        <f t="shared" si="4"/>
        <v>649.98</v>
      </c>
      <c r="M26" s="8" t="s">
        <v>92</v>
      </c>
      <c r="N26" s="12">
        <v>0.3</v>
      </c>
      <c r="O26" s="51"/>
      <c r="P26" s="3"/>
      <c r="Q26" s="13"/>
      <c r="R26" s="14">
        <f t="shared" si="9"/>
        <v>0</v>
      </c>
      <c r="S26" s="14">
        <f t="shared" si="5"/>
        <v>108.33</v>
      </c>
      <c r="T26" s="14">
        <f t="shared" si="6"/>
        <v>649.98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195</v>
      </c>
      <c r="C27" s="4" t="s">
        <v>117</v>
      </c>
      <c r="D27" s="126" t="s">
        <v>50</v>
      </c>
      <c r="E27" s="54">
        <v>1</v>
      </c>
      <c r="F27" s="15">
        <v>57259.02</v>
      </c>
      <c r="G27" s="38">
        <f t="shared" si="1"/>
        <v>39488.980000000003</v>
      </c>
      <c r="H27" s="39">
        <f t="shared" si="2"/>
        <v>57259.02</v>
      </c>
      <c r="I27" s="42"/>
      <c r="J27" s="88">
        <f t="shared" si="0"/>
        <v>1</v>
      </c>
      <c r="K27" s="38">
        <f t="shared" si="3"/>
        <v>28629.51</v>
      </c>
      <c r="L27" s="38">
        <f t="shared" si="4"/>
        <v>28629.51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28629.51</v>
      </c>
      <c r="T27" s="52">
        <f t="shared" si="6"/>
        <v>28629.51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196</v>
      </c>
      <c r="C28" s="6" t="s">
        <v>119</v>
      </c>
      <c r="D28" s="127" t="s">
        <v>50</v>
      </c>
      <c r="E28" s="53">
        <v>1</v>
      </c>
      <c r="F28" s="8">
        <v>6442.44</v>
      </c>
      <c r="G28" s="9">
        <f t="shared" si="1"/>
        <v>4443.0600000000004</v>
      </c>
      <c r="H28" s="10">
        <f t="shared" si="2"/>
        <v>6442.44</v>
      </c>
      <c r="I28" s="42"/>
      <c r="J28" s="89">
        <f t="shared" si="0"/>
        <v>1</v>
      </c>
      <c r="K28" s="9">
        <f t="shared" si="3"/>
        <v>3221.22</v>
      </c>
      <c r="L28" s="9">
        <f t="shared" si="4"/>
        <v>3221.22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3221.22</v>
      </c>
      <c r="T28" s="14">
        <f t="shared" si="6"/>
        <v>3221.22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197</v>
      </c>
      <c r="C29" s="4" t="s">
        <v>121</v>
      </c>
      <c r="D29" s="126" t="s">
        <v>50</v>
      </c>
      <c r="E29" s="54">
        <v>1</v>
      </c>
      <c r="F29" s="15">
        <v>9221.34</v>
      </c>
      <c r="G29" s="38">
        <f>ROUND(IF($F$17="USD $", F29*$E$15,F29*$D$15),2)</f>
        <v>6359.54</v>
      </c>
      <c r="H29" s="39">
        <f>ROUND(IF($H$17=$G$17,E29*G29,E29*F29),2)</f>
        <v>9221.34</v>
      </c>
      <c r="I29" s="42"/>
      <c r="J29" s="88">
        <f t="shared" si="0"/>
        <v>1</v>
      </c>
      <c r="K29" s="38">
        <f t="shared" si="3"/>
        <v>4610.67</v>
      </c>
      <c r="L29" s="38">
        <f>ROUND((J29*K29),2)</f>
        <v>4610.67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4610.67</v>
      </c>
      <c r="T29" s="52">
        <f t="shared" si="6"/>
        <v>4610.67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/>
      <c r="C30" s="6"/>
      <c r="D30" s="127"/>
      <c r="E30" s="53"/>
      <c r="F30" s="8">
        <v>0</v>
      </c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254</v>
      </c>
      <c r="C31" s="4" t="s">
        <v>255</v>
      </c>
      <c r="D31" s="126" t="s">
        <v>50</v>
      </c>
      <c r="E31" s="54">
        <v>1</v>
      </c>
      <c r="F31" s="15">
        <v>265728.26</v>
      </c>
      <c r="G31" s="38">
        <f t="shared" si="1"/>
        <v>183260.87</v>
      </c>
      <c r="H31" s="39">
        <f t="shared" si="2"/>
        <v>265728.26</v>
      </c>
      <c r="I31" s="42"/>
      <c r="J31" s="88">
        <f t="shared" si="0"/>
        <v>1</v>
      </c>
      <c r="K31" s="38">
        <f t="shared" si="3"/>
        <v>146150.54</v>
      </c>
      <c r="L31" s="38">
        <f t="shared" si="4"/>
        <v>146150.54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146150.54</v>
      </c>
      <c r="T31" s="52">
        <f t="shared" si="6"/>
        <v>146150.54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340153.76</v>
      </c>
      <c r="G49" s="79">
        <f>SUM(G18:G48)</f>
        <v>234588.79</v>
      </c>
      <c r="H49" s="80">
        <f>SUM(H18:H48)</f>
        <v>341829.93</v>
      </c>
      <c r="I49" s="81"/>
      <c r="J49" s="82">
        <f>SUM(J18:J48)</f>
        <v>21</v>
      </c>
      <c r="K49" s="79">
        <f>SUM(K18:K48)</f>
        <v>183445.83000000002</v>
      </c>
      <c r="L49" s="80">
        <f>SUM(L18:L48)</f>
        <v>184438.7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183445.83000000002</v>
      </c>
      <c r="T49" s="80">
        <f>SUM(T18:T48)</f>
        <v>184438.7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allowBlank="1" showInputMessage="1" showErrorMessage="1" sqref="M18:M48" xr:uid="{86EA0663-B533-41F5-9BB2-DEE6F8AF7F9F}">
      <formula1>$Y$31:$Y$32</formula1>
    </dataValidation>
    <dataValidation type="list" showInputMessage="1" showErrorMessage="1" sqref="D18:D48" xr:uid="{B142AFF6-2AEC-4259-94F1-1328DDB7962D}">
      <formula1>$Z$18:$Z$29</formula1>
    </dataValidation>
    <dataValidation type="list" allowBlank="1" showInputMessage="1" showErrorMessage="1" sqref="I13" xr:uid="{848C4630-C40B-4F46-9F09-B7DDCC2D07B4}">
      <formula1>$K$9:$K$9</formula1>
    </dataValidation>
    <dataValidation type="list" allowBlank="1" showInputMessage="1" showErrorMessage="1" sqref="H13" xr:uid="{CDC16CAF-6F61-4DDE-9CC7-1C1F3061C58A}">
      <formula1>$Y$13:$Y$14</formula1>
    </dataValidation>
    <dataValidation type="list" allowBlank="1" showInputMessage="1" showErrorMessage="1" sqref="F17 K17 Q17 Q14" xr:uid="{92033100-F570-4754-B583-33BDB24D219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3311-5F29-4D7A-B25D-95BF4CF466A6}">
  <sheetPr>
    <pageSetUpPr fitToPage="1"/>
  </sheetPr>
  <dimension ref="A1:AB51"/>
  <sheetViews>
    <sheetView zoomScale="85" zoomScaleNormal="85" workbookViewId="0">
      <selection activeCell="F19" sqref="F1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204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101780.31000000001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>
        <v>1980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55449.47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154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46330.840000000011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205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0.45520435141138799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206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55449.47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55449.47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161</v>
      </c>
      <c r="C18" s="5" t="s">
        <v>162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163</v>
      </c>
      <c r="C19" s="4" t="s">
        <v>164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165</v>
      </c>
      <c r="C20" s="6" t="s">
        <v>166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167</v>
      </c>
      <c r="C21" s="4" t="s">
        <v>168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169</v>
      </c>
      <c r="C22" s="6" t="s">
        <v>170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171</v>
      </c>
      <c r="C23" s="4" t="s">
        <v>172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173</v>
      </c>
      <c r="C24" s="6" t="s">
        <v>174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175</v>
      </c>
      <c r="C25" s="4" t="s">
        <v>172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176</v>
      </c>
      <c r="C26" s="6" t="s">
        <v>177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178</v>
      </c>
      <c r="C27" s="4" t="s">
        <v>179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180</v>
      </c>
      <c r="C28" s="6" t="s">
        <v>181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182</v>
      </c>
      <c r="C29" s="4" t="s">
        <v>183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184</v>
      </c>
      <c r="C31" s="4" t="s">
        <v>185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5">
    <dataValidation type="list" allowBlank="1" showInputMessage="1" showErrorMessage="1" sqref="F17 K17 Q17 Q14" xr:uid="{E30E11B8-C170-4E52-87CA-B04C2D32C200}">
      <formula1>$Y$11:$Y$12</formula1>
    </dataValidation>
    <dataValidation type="list" allowBlank="1" showInputMessage="1" showErrorMessage="1" sqref="H13" xr:uid="{006AB430-366B-4560-A613-50B3985544F7}">
      <formula1>$Y$13:$Y$14</formula1>
    </dataValidation>
    <dataValidation type="list" allowBlank="1" showInputMessage="1" showErrorMessage="1" sqref="I13" xr:uid="{757D37D4-00F7-4530-AE77-1072EE90A71A}">
      <formula1>$K$9:$K$9</formula1>
    </dataValidation>
    <dataValidation type="list" showInputMessage="1" showErrorMessage="1" sqref="D18:D48" xr:uid="{20145CBA-326C-4004-B3EA-A37BBE686C77}">
      <formula1>$Z$18:$Z$29</formula1>
    </dataValidation>
    <dataValidation type="list" allowBlank="1" showInputMessage="1" showErrorMessage="1" sqref="M18:M48" xr:uid="{F43B284D-FC6C-41DB-84A3-70B5911DB0E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7B35-A5E1-4AAD-B1F2-2C9044545A60}">
  <sheetPr>
    <pageSetUpPr fitToPage="1"/>
  </sheetPr>
  <dimension ref="A1:AB51"/>
  <sheetViews>
    <sheetView tabSelected="1" zoomScale="85" zoomScaleNormal="85" workbookViewId="0">
      <selection activeCell="F19" sqref="F1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207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101780.31000000001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>
        <v>1979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55449.47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154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46330.840000000011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205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0.45520435141138799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208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55449.47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55449.47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18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161</v>
      </c>
      <c r="C18" s="5" t="s">
        <v>162</v>
      </c>
      <c r="D18" s="125">
        <v>500</v>
      </c>
      <c r="E18" s="53">
        <v>1</v>
      </c>
      <c r="F18" s="8">
        <v>105.91</v>
      </c>
      <c r="G18" s="9">
        <f>ROUND(IF($F$17="USD $", F18*$E$15,F18*$D$15),2)</f>
        <v>73.040000000000006</v>
      </c>
      <c r="H18" s="10">
        <f>ROUND(IF($H$17=$G$17,E18*G18,E18*F18),2)</f>
        <v>105.91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68.84</v>
      </c>
      <c r="L18" s="9">
        <f>ROUND((J18*K18),2)</f>
        <v>68.84</v>
      </c>
      <c r="M18" s="8" t="s">
        <v>92</v>
      </c>
      <c r="N18" s="36">
        <v>0.35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68.84</v>
      </c>
      <c r="T18" s="14">
        <f>ROUND(L18-R18,2)</f>
        <v>68.84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163</v>
      </c>
      <c r="C19" s="4" t="s">
        <v>164</v>
      </c>
      <c r="D19" s="126">
        <v>500</v>
      </c>
      <c r="E19" s="54">
        <v>1</v>
      </c>
      <c r="F19" s="15">
        <v>167.36</v>
      </c>
      <c r="G19" s="38">
        <f t="shared" ref="G19:G48" si="1">ROUND(IF($F$17="USD $", F19*$E$15,F19*$D$15),2)</f>
        <v>115.42</v>
      </c>
      <c r="H19" s="39">
        <f t="shared" ref="H19:H48" si="2">ROUND(IF($H$17=$G$17,E19*G19,E19*F19),2)</f>
        <v>167.36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108.78</v>
      </c>
      <c r="L19" s="38">
        <f t="shared" ref="L19:L48" si="4">ROUND((J19*K19),2)</f>
        <v>108.78</v>
      </c>
      <c r="M19" s="129" t="s">
        <v>92</v>
      </c>
      <c r="N19" s="16">
        <v>0.35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108.78</v>
      </c>
      <c r="T19" s="52">
        <f t="shared" ref="T19:T48" si="6">ROUND(L19-R19,2)</f>
        <v>108.78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165</v>
      </c>
      <c r="C20" s="6" t="s">
        <v>166</v>
      </c>
      <c r="D20" s="127">
        <v>500</v>
      </c>
      <c r="E20" s="53">
        <v>1</v>
      </c>
      <c r="F20" s="8">
        <v>20.63</v>
      </c>
      <c r="G20" s="9">
        <f t="shared" si="1"/>
        <v>14.23</v>
      </c>
      <c r="H20" s="10">
        <f t="shared" si="2"/>
        <v>20.63</v>
      </c>
      <c r="I20" s="42"/>
      <c r="J20" s="89">
        <f t="shared" si="0"/>
        <v>1</v>
      </c>
      <c r="K20" s="9">
        <f t="shared" si="3"/>
        <v>10.32</v>
      </c>
      <c r="L20" s="9">
        <f t="shared" si="4"/>
        <v>10.32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10.32</v>
      </c>
      <c r="T20" s="14">
        <f t="shared" si="6"/>
        <v>10.32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167</v>
      </c>
      <c r="C21" s="4" t="s">
        <v>168</v>
      </c>
      <c r="D21" s="126">
        <v>500</v>
      </c>
      <c r="E21" s="54">
        <v>2</v>
      </c>
      <c r="F21" s="15">
        <v>41.22</v>
      </c>
      <c r="G21" s="38">
        <f t="shared" si="1"/>
        <v>28.43</v>
      </c>
      <c r="H21" s="39">
        <f t="shared" si="2"/>
        <v>82.44</v>
      </c>
      <c r="I21" s="42"/>
      <c r="J21" s="88">
        <f t="shared" si="0"/>
        <v>2</v>
      </c>
      <c r="K21" s="38">
        <f t="shared" si="3"/>
        <v>20.61</v>
      </c>
      <c r="L21" s="38">
        <f t="shared" si="4"/>
        <v>41.22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20.61</v>
      </c>
      <c r="T21" s="52">
        <f t="shared" si="6"/>
        <v>41.22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169</v>
      </c>
      <c r="C22" s="6" t="s">
        <v>170</v>
      </c>
      <c r="D22" s="127">
        <v>250</v>
      </c>
      <c r="E22" s="53">
        <v>1</v>
      </c>
      <c r="F22" s="8">
        <v>33.119999999999997</v>
      </c>
      <c r="G22" s="9">
        <f t="shared" si="1"/>
        <v>22.84</v>
      </c>
      <c r="H22" s="10">
        <f t="shared" si="2"/>
        <v>33.119999999999997</v>
      </c>
      <c r="I22" s="42"/>
      <c r="J22" s="89">
        <f t="shared" si="0"/>
        <v>1</v>
      </c>
      <c r="K22" s="9">
        <f t="shared" si="3"/>
        <v>16.559999999999999</v>
      </c>
      <c r="L22" s="9">
        <f t="shared" si="4"/>
        <v>16.559999999999999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16.559999999999999</v>
      </c>
      <c r="T22" s="14">
        <f t="shared" si="6"/>
        <v>16.559999999999999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171</v>
      </c>
      <c r="C23" s="4" t="s">
        <v>172</v>
      </c>
      <c r="D23" s="126">
        <v>500</v>
      </c>
      <c r="E23" s="54">
        <v>1</v>
      </c>
      <c r="F23" s="15">
        <v>38.31</v>
      </c>
      <c r="G23" s="38">
        <f t="shared" si="1"/>
        <v>26.42</v>
      </c>
      <c r="H23" s="39">
        <f t="shared" si="2"/>
        <v>38.31</v>
      </c>
      <c r="I23" s="42"/>
      <c r="J23" s="88">
        <f t="shared" si="0"/>
        <v>1</v>
      </c>
      <c r="K23" s="38">
        <f t="shared" si="3"/>
        <v>19.16</v>
      </c>
      <c r="L23" s="38">
        <f t="shared" si="4"/>
        <v>19.16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19.16</v>
      </c>
      <c r="T23" s="52">
        <f t="shared" si="6"/>
        <v>19.16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173</v>
      </c>
      <c r="C24" s="6" t="s">
        <v>174</v>
      </c>
      <c r="D24" s="127">
        <v>500</v>
      </c>
      <c r="E24" s="53">
        <v>2</v>
      </c>
      <c r="F24" s="8">
        <v>25.04</v>
      </c>
      <c r="G24" s="9">
        <f t="shared" si="1"/>
        <v>17.27</v>
      </c>
      <c r="H24" s="10">
        <f t="shared" si="2"/>
        <v>50.08</v>
      </c>
      <c r="I24" s="42"/>
      <c r="J24" s="89">
        <f t="shared" si="0"/>
        <v>2</v>
      </c>
      <c r="K24" s="9">
        <f t="shared" si="3"/>
        <v>12.52</v>
      </c>
      <c r="L24" s="9">
        <f t="shared" si="4"/>
        <v>25.04</v>
      </c>
      <c r="M24" s="8" t="s">
        <v>92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12.52</v>
      </c>
      <c r="T24" s="14">
        <f t="shared" si="6"/>
        <v>25.04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175</v>
      </c>
      <c r="C25" s="4" t="s">
        <v>172</v>
      </c>
      <c r="D25" s="126">
        <v>500</v>
      </c>
      <c r="E25" s="54">
        <v>1</v>
      </c>
      <c r="F25" s="15">
        <v>234.01</v>
      </c>
      <c r="G25" s="38">
        <f t="shared" si="1"/>
        <v>161.38999999999999</v>
      </c>
      <c r="H25" s="39">
        <f t="shared" si="2"/>
        <v>234.01</v>
      </c>
      <c r="I25" s="42"/>
      <c r="J25" s="88">
        <f t="shared" si="0"/>
        <v>1</v>
      </c>
      <c r="K25" s="38">
        <f t="shared" si="3"/>
        <v>117.01</v>
      </c>
      <c r="L25" s="38">
        <f t="shared" si="4"/>
        <v>117.01</v>
      </c>
      <c r="M25" s="129" t="s">
        <v>92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117.01</v>
      </c>
      <c r="T25" s="52">
        <f t="shared" si="6"/>
        <v>117.01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176</v>
      </c>
      <c r="C26" s="6" t="s">
        <v>177</v>
      </c>
      <c r="D26" s="127">
        <v>1000</v>
      </c>
      <c r="E26" s="53">
        <v>2</v>
      </c>
      <c r="F26" s="8">
        <v>47.71</v>
      </c>
      <c r="G26" s="9">
        <f t="shared" si="1"/>
        <v>32.9</v>
      </c>
      <c r="H26" s="10">
        <f t="shared" si="2"/>
        <v>95.42</v>
      </c>
      <c r="I26" s="42"/>
      <c r="J26" s="89">
        <f t="shared" si="0"/>
        <v>2</v>
      </c>
      <c r="K26" s="9">
        <f t="shared" si="3"/>
        <v>31.01</v>
      </c>
      <c r="L26" s="9">
        <f t="shared" si="4"/>
        <v>62.02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31.01</v>
      </c>
      <c r="T26" s="14">
        <f t="shared" si="6"/>
        <v>62.02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178</v>
      </c>
      <c r="C27" s="4" t="s">
        <v>179</v>
      </c>
      <c r="D27" s="126">
        <v>1000</v>
      </c>
      <c r="E27" s="54">
        <v>2</v>
      </c>
      <c r="F27" s="15">
        <v>95.06</v>
      </c>
      <c r="G27" s="38">
        <f t="shared" si="1"/>
        <v>65.56</v>
      </c>
      <c r="H27" s="39">
        <f t="shared" si="2"/>
        <v>190.12</v>
      </c>
      <c r="I27" s="42"/>
      <c r="J27" s="88">
        <f t="shared" si="0"/>
        <v>2</v>
      </c>
      <c r="K27" s="38">
        <f t="shared" si="3"/>
        <v>61.79</v>
      </c>
      <c r="L27" s="38">
        <f t="shared" si="4"/>
        <v>123.58</v>
      </c>
      <c r="M27" s="129" t="s">
        <v>92</v>
      </c>
      <c r="N27" s="16">
        <v>0.35</v>
      </c>
      <c r="O27" s="51"/>
      <c r="P27" s="1"/>
      <c r="Q27" s="15"/>
      <c r="R27" s="40">
        <f t="shared" si="9"/>
        <v>0</v>
      </c>
      <c r="S27" s="52">
        <f t="shared" si="5"/>
        <v>61.79</v>
      </c>
      <c r="T27" s="52">
        <f t="shared" si="6"/>
        <v>123.58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180</v>
      </c>
      <c r="C28" s="6" t="s">
        <v>181</v>
      </c>
      <c r="D28" s="127" t="s">
        <v>50</v>
      </c>
      <c r="E28" s="53">
        <v>2</v>
      </c>
      <c r="F28" s="8">
        <v>822.89</v>
      </c>
      <c r="G28" s="9">
        <f t="shared" si="1"/>
        <v>567.51</v>
      </c>
      <c r="H28" s="10">
        <f t="shared" si="2"/>
        <v>1645.78</v>
      </c>
      <c r="I28" s="42"/>
      <c r="J28" s="89">
        <f t="shared" si="0"/>
        <v>2</v>
      </c>
      <c r="K28" s="9">
        <f t="shared" si="3"/>
        <v>411.45</v>
      </c>
      <c r="L28" s="9">
        <f t="shared" si="4"/>
        <v>822.9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411.45</v>
      </c>
      <c r="T28" s="14">
        <f t="shared" si="6"/>
        <v>822.9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182</v>
      </c>
      <c r="C29" s="4" t="s">
        <v>183</v>
      </c>
      <c r="D29" s="126" t="s">
        <v>50</v>
      </c>
      <c r="E29" s="54">
        <v>1</v>
      </c>
      <c r="F29" s="15">
        <v>9607.81</v>
      </c>
      <c r="G29" s="38">
        <f>ROUND(IF($F$17="USD $", F29*$E$15,F29*$D$15),2)</f>
        <v>6626.08</v>
      </c>
      <c r="H29" s="39">
        <f>ROUND(IF($H$17=$G$17,E29*G29,E29*F29),2)</f>
        <v>9607.81</v>
      </c>
      <c r="I29" s="42"/>
      <c r="J29" s="88">
        <f t="shared" si="0"/>
        <v>1</v>
      </c>
      <c r="K29" s="38">
        <f t="shared" si="3"/>
        <v>4803.91</v>
      </c>
      <c r="L29" s="38">
        <f>ROUND((J29*K29),2)</f>
        <v>4803.91</v>
      </c>
      <c r="M29" s="129" t="s">
        <v>92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4803.91</v>
      </c>
      <c r="T29" s="52">
        <f t="shared" si="6"/>
        <v>4803.91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/>
      <c r="C30" s="6"/>
      <c r="D30" s="127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92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184</v>
      </c>
      <c r="C31" s="4" t="s">
        <v>185</v>
      </c>
      <c r="D31" s="126" t="s">
        <v>50</v>
      </c>
      <c r="E31" s="54">
        <v>1</v>
      </c>
      <c r="F31" s="15">
        <v>89509.32</v>
      </c>
      <c r="G31" s="38">
        <f t="shared" si="1"/>
        <v>61730.57</v>
      </c>
      <c r="H31" s="39">
        <f t="shared" si="2"/>
        <v>89509.32</v>
      </c>
      <c r="I31" s="42"/>
      <c r="J31" s="88">
        <f t="shared" si="0"/>
        <v>1</v>
      </c>
      <c r="K31" s="38">
        <f t="shared" si="3"/>
        <v>49230.13</v>
      </c>
      <c r="L31" s="38">
        <f t="shared" si="4"/>
        <v>49230.13</v>
      </c>
      <c r="M31" s="129" t="s">
        <v>92</v>
      </c>
      <c r="N31" s="16">
        <v>0.45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49230.13</v>
      </c>
      <c r="T31" s="52">
        <f t="shared" si="6"/>
        <v>49230.13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/>
      <c r="C33" s="4"/>
      <c r="D33" s="126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29" t="s">
        <v>92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18</v>
      </c>
      <c r="F49" s="78">
        <f>SUM(F18:F48)</f>
        <v>100748.39000000001</v>
      </c>
      <c r="G49" s="79">
        <f>SUM(G18:G48)</f>
        <v>69481.66</v>
      </c>
      <c r="H49" s="80">
        <f>SUM(H18:H48)</f>
        <v>101780.31000000001</v>
      </c>
      <c r="I49" s="81"/>
      <c r="J49" s="82">
        <f>SUM(J18:J48)</f>
        <v>18</v>
      </c>
      <c r="K49" s="79">
        <f>SUM(K18:K48)</f>
        <v>54912.09</v>
      </c>
      <c r="L49" s="80">
        <f>SUM(L18:L48)</f>
        <v>55449.47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54912.09</v>
      </c>
      <c r="T49" s="80">
        <f>SUM(T18:T48)</f>
        <v>55449.47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allowBlank="1" showInputMessage="1" showErrorMessage="1" sqref="M18:M48" xr:uid="{B3CD4BED-4447-4223-AE86-D6C7F3924FDD}">
      <formula1>$Y$31:$Y$32</formula1>
    </dataValidation>
    <dataValidation type="list" showInputMessage="1" showErrorMessage="1" sqref="D18:D48" xr:uid="{1B0CD06A-BA5E-48BA-A141-11B559430847}">
      <formula1>$Z$18:$Z$29</formula1>
    </dataValidation>
    <dataValidation type="list" allowBlank="1" showInputMessage="1" showErrorMessage="1" sqref="I13" xr:uid="{1D570AA6-B261-4BC4-9D18-74D6C3D9E579}">
      <formula1>$K$9:$K$9</formula1>
    </dataValidation>
    <dataValidation type="list" allowBlank="1" showInputMessage="1" showErrorMessage="1" sqref="H13" xr:uid="{1653E651-4028-4B4A-A2B8-480472760F91}">
      <formula1>$Y$13:$Y$14</formula1>
    </dataValidation>
    <dataValidation type="list" allowBlank="1" showInputMessage="1" showErrorMessage="1" sqref="F17 K17 Q17 Q14" xr:uid="{DFDA4548-8A21-41F8-8EEA-5DF2E7D715EA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0B630-A3A5-424B-BCBC-C080FBB3C56E}">
  <sheetPr>
    <pageSetUpPr fitToPage="1"/>
  </sheetPr>
  <dimension ref="A1:AB51"/>
  <sheetViews>
    <sheetView zoomScale="85" zoomScaleNormal="85" workbookViewId="0">
      <selection activeCell="N34" sqref="N34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222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136538.97999999998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/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59202.17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223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77336.809999999983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224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0.56640828868063897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225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59202.17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59202.17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24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8983020750</v>
      </c>
      <c r="C18" s="5" t="s">
        <v>98</v>
      </c>
      <c r="D18" s="125">
        <v>500</v>
      </c>
      <c r="E18" s="53">
        <v>2</v>
      </c>
      <c r="F18" s="8">
        <v>107.07419999999999</v>
      </c>
      <c r="G18" s="9">
        <f>ROUND(IF($F$17="USD $", F18*$E$15,F18*$D$15),2)</f>
        <v>73.84</v>
      </c>
      <c r="H18" s="10">
        <f>ROUND(IF($H$17=$G$17,E18*G18,E18*F18),2)</f>
        <v>214.15</v>
      </c>
      <c r="I18" s="11"/>
      <c r="J18" s="89">
        <f t="shared" ref="J18:J48" si="0">E18</f>
        <v>2</v>
      </c>
      <c r="K18" s="9">
        <f>IFERROR(IF(M18="OEM DISC %",ROUND(IF($K$17=$F$17,F18*(1-N18),G18*(1-N18)),2),IF(M18="MARKUP %",ROUND(R18/J18*(1+N18),2))),0)</f>
        <v>53.54</v>
      </c>
      <c r="L18" s="9">
        <f>ROUND((J18*K18),2)</f>
        <v>107.08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53.54</v>
      </c>
      <c r="T18" s="14">
        <f>ROUND(L18-R18,2)</f>
        <v>107.08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8981527381</v>
      </c>
      <c r="C19" s="4" t="s">
        <v>209</v>
      </c>
      <c r="D19" s="126">
        <v>500</v>
      </c>
      <c r="E19" s="54">
        <v>2</v>
      </c>
      <c r="F19" s="15">
        <v>80.867999999999995</v>
      </c>
      <c r="G19" s="38">
        <f t="shared" ref="G19:G48" si="1">ROUND(IF($F$17="USD $", F19*$E$15,F19*$D$15),2)</f>
        <v>55.77</v>
      </c>
      <c r="H19" s="39">
        <f t="shared" ref="H19:H48" si="2">ROUND(IF($H$17=$G$17,E19*G19,E19*F19),2)</f>
        <v>161.74</v>
      </c>
      <c r="I19" s="42"/>
      <c r="J19" s="88">
        <f t="shared" si="0"/>
        <v>2</v>
      </c>
      <c r="K19" s="38">
        <f t="shared" ref="K19:K48" si="3">IFERROR(IF(M19="OEM DISC %",ROUND(IF($K$17=$F$17,F19*(1-N19),G19*(1-N19)),2),IF(M19="MARKUP %",ROUND(R19/J19*(1+N19),2))),0)</f>
        <v>40.43</v>
      </c>
      <c r="L19" s="38">
        <f t="shared" ref="L19:L48" si="4">ROUND((J19*K19),2)</f>
        <v>80.86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40.43</v>
      </c>
      <c r="T19" s="52">
        <f t="shared" ref="T19:T48" si="6">ROUND(L19-R19,2)</f>
        <v>80.86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210</v>
      </c>
      <c r="C20" s="6" t="s">
        <v>110</v>
      </c>
      <c r="D20" s="127">
        <v>500</v>
      </c>
      <c r="E20" s="53">
        <v>2</v>
      </c>
      <c r="F20" s="8">
        <v>39.964799999999997</v>
      </c>
      <c r="G20" s="9">
        <f t="shared" si="1"/>
        <v>27.56</v>
      </c>
      <c r="H20" s="10">
        <f t="shared" si="2"/>
        <v>79.930000000000007</v>
      </c>
      <c r="I20" s="42"/>
      <c r="J20" s="89">
        <f t="shared" si="0"/>
        <v>2</v>
      </c>
      <c r="K20" s="9">
        <f t="shared" si="3"/>
        <v>19.98</v>
      </c>
      <c r="L20" s="9">
        <f t="shared" si="4"/>
        <v>39.96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19.98</v>
      </c>
      <c r="T20" s="14">
        <f t="shared" si="6"/>
        <v>39.96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211</v>
      </c>
      <c r="C21" s="4" t="s">
        <v>193</v>
      </c>
      <c r="D21" s="126">
        <v>500</v>
      </c>
      <c r="E21" s="54">
        <v>1</v>
      </c>
      <c r="F21" s="15">
        <v>49.252199999999995</v>
      </c>
      <c r="G21" s="38">
        <f t="shared" si="1"/>
        <v>33.97</v>
      </c>
      <c r="H21" s="39">
        <f t="shared" si="2"/>
        <v>49.25</v>
      </c>
      <c r="I21" s="42"/>
      <c r="J21" s="88">
        <f t="shared" si="0"/>
        <v>1</v>
      </c>
      <c r="K21" s="38">
        <f t="shared" si="3"/>
        <v>24.63</v>
      </c>
      <c r="L21" s="38">
        <f t="shared" si="4"/>
        <v>24.63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24.63</v>
      </c>
      <c r="T21" s="52">
        <f t="shared" si="6"/>
        <v>24.63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>
        <v>4630525</v>
      </c>
      <c r="C22" s="6" t="s">
        <v>193</v>
      </c>
      <c r="D22" s="127">
        <v>1000</v>
      </c>
      <c r="E22" s="53">
        <v>1</v>
      </c>
      <c r="F22" s="8">
        <v>96.144599999999997</v>
      </c>
      <c r="G22" s="9">
        <f t="shared" si="1"/>
        <v>66.31</v>
      </c>
      <c r="H22" s="10">
        <f t="shared" si="2"/>
        <v>96.14</v>
      </c>
      <c r="I22" s="42"/>
      <c r="J22" s="89">
        <f t="shared" si="0"/>
        <v>1</v>
      </c>
      <c r="K22" s="9">
        <f t="shared" si="3"/>
        <v>48.07</v>
      </c>
      <c r="L22" s="9">
        <f t="shared" si="4"/>
        <v>48.07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48.07</v>
      </c>
      <c r="T22" s="14">
        <f t="shared" si="6"/>
        <v>48.07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212</v>
      </c>
      <c r="C23" s="4" t="s">
        <v>213</v>
      </c>
      <c r="D23" s="126">
        <v>1000</v>
      </c>
      <c r="E23" s="54">
        <v>1</v>
      </c>
      <c r="F23" s="15">
        <v>221.559</v>
      </c>
      <c r="G23" s="38">
        <f t="shared" si="1"/>
        <v>152.80000000000001</v>
      </c>
      <c r="H23" s="39">
        <f t="shared" si="2"/>
        <v>221.56</v>
      </c>
      <c r="I23" s="42"/>
      <c r="J23" s="88">
        <f t="shared" si="0"/>
        <v>1</v>
      </c>
      <c r="K23" s="38">
        <f t="shared" si="3"/>
        <v>144.01</v>
      </c>
      <c r="L23" s="38">
        <f t="shared" si="4"/>
        <v>144.01</v>
      </c>
      <c r="M23" s="129" t="s">
        <v>92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144.01</v>
      </c>
      <c r="T23" s="52">
        <f t="shared" si="6"/>
        <v>144.01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214</v>
      </c>
      <c r="C24" s="6" t="s">
        <v>215</v>
      </c>
      <c r="D24" s="127">
        <v>1000</v>
      </c>
      <c r="E24" s="53">
        <v>1</v>
      </c>
      <c r="F24" s="8">
        <v>119.32859999999999</v>
      </c>
      <c r="G24" s="9">
        <f t="shared" si="1"/>
        <v>82.3</v>
      </c>
      <c r="H24" s="10">
        <f t="shared" si="2"/>
        <v>119.33</v>
      </c>
      <c r="I24" s="42"/>
      <c r="J24" s="89">
        <f t="shared" si="0"/>
        <v>1</v>
      </c>
      <c r="K24" s="9">
        <f t="shared" si="3"/>
        <v>77.56</v>
      </c>
      <c r="L24" s="9">
        <f t="shared" si="4"/>
        <v>77.56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77.56</v>
      </c>
      <c r="T24" s="14">
        <f t="shared" si="6"/>
        <v>77.56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216</v>
      </c>
      <c r="C25" s="4" t="s">
        <v>217</v>
      </c>
      <c r="D25" s="126" t="s">
        <v>50</v>
      </c>
      <c r="E25" s="54">
        <v>1</v>
      </c>
      <c r="F25" s="15">
        <v>134.99159999999998</v>
      </c>
      <c r="G25" s="38">
        <f t="shared" si="1"/>
        <v>93.1</v>
      </c>
      <c r="H25" s="39">
        <f t="shared" si="2"/>
        <v>134.99</v>
      </c>
      <c r="I25" s="42"/>
      <c r="J25" s="88">
        <f t="shared" si="0"/>
        <v>1</v>
      </c>
      <c r="K25" s="38">
        <f t="shared" si="3"/>
        <v>87.74</v>
      </c>
      <c r="L25" s="38">
        <f t="shared" si="4"/>
        <v>87.74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87.74</v>
      </c>
      <c r="T25" s="52">
        <f t="shared" si="6"/>
        <v>87.74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218</v>
      </c>
      <c r="C26" s="6" t="s">
        <v>217</v>
      </c>
      <c r="D26" s="127" t="s">
        <v>50</v>
      </c>
      <c r="E26" s="53">
        <v>1</v>
      </c>
      <c r="F26" s="8">
        <v>57.228599999999993</v>
      </c>
      <c r="G26" s="9">
        <f t="shared" si="1"/>
        <v>39.47</v>
      </c>
      <c r="H26" s="10">
        <f t="shared" si="2"/>
        <v>57.23</v>
      </c>
      <c r="I26" s="42"/>
      <c r="J26" s="89">
        <f t="shared" si="0"/>
        <v>1</v>
      </c>
      <c r="K26" s="9">
        <f t="shared" si="3"/>
        <v>37.200000000000003</v>
      </c>
      <c r="L26" s="9">
        <f t="shared" si="4"/>
        <v>37.200000000000003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37.200000000000003</v>
      </c>
      <c r="T26" s="14">
        <f t="shared" si="6"/>
        <v>37.200000000000003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>
        <v>8976030500</v>
      </c>
      <c r="C27" s="4" t="s">
        <v>119</v>
      </c>
      <c r="D27" s="126" t="s">
        <v>50</v>
      </c>
      <c r="E27" s="54">
        <v>1</v>
      </c>
      <c r="F27" s="15">
        <v>2918.9897999999998</v>
      </c>
      <c r="G27" s="38">
        <f t="shared" si="1"/>
        <v>2013.1</v>
      </c>
      <c r="H27" s="39">
        <f t="shared" si="2"/>
        <v>2918.99</v>
      </c>
      <c r="I27" s="42"/>
      <c r="J27" s="88">
        <f t="shared" si="0"/>
        <v>1</v>
      </c>
      <c r="K27" s="38">
        <f t="shared" si="3"/>
        <v>1459.49</v>
      </c>
      <c r="L27" s="38">
        <f t="shared" si="4"/>
        <v>1459.49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1459.49</v>
      </c>
      <c r="T27" s="52">
        <f t="shared" si="6"/>
        <v>1459.49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>
        <v>8984814630</v>
      </c>
      <c r="C28" s="6" t="s">
        <v>117</v>
      </c>
      <c r="D28" s="127" t="s">
        <v>50</v>
      </c>
      <c r="E28" s="53">
        <v>1</v>
      </c>
      <c r="F28" s="8">
        <v>12606.244799999999</v>
      </c>
      <c r="G28" s="9">
        <f t="shared" si="1"/>
        <v>8693.9599999999991</v>
      </c>
      <c r="H28" s="10">
        <f t="shared" si="2"/>
        <v>12606.24</v>
      </c>
      <c r="I28" s="42"/>
      <c r="J28" s="89">
        <f t="shared" si="0"/>
        <v>1</v>
      </c>
      <c r="K28" s="9">
        <f t="shared" si="3"/>
        <v>6303.12</v>
      </c>
      <c r="L28" s="9">
        <f t="shared" si="4"/>
        <v>6303.12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6303.12</v>
      </c>
      <c r="T28" s="14">
        <f t="shared" si="6"/>
        <v>6303.12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>
        <v>8976227194</v>
      </c>
      <c r="C29" s="4" t="s">
        <v>219</v>
      </c>
      <c r="D29" s="126" t="s">
        <v>50</v>
      </c>
      <c r="E29" s="54">
        <v>6</v>
      </c>
      <c r="F29" s="15">
        <v>1263.7487999999998</v>
      </c>
      <c r="G29" s="38">
        <f>ROUND(IF($F$17="USD $", F29*$E$15,F29*$D$15),2)</f>
        <v>871.55</v>
      </c>
      <c r="H29" s="39">
        <f>ROUND(IF($H$17=$G$17,E29*G29,E29*F29),2)</f>
        <v>7582.49</v>
      </c>
      <c r="I29" s="42"/>
      <c r="J29" s="88">
        <f t="shared" si="0"/>
        <v>6</v>
      </c>
      <c r="K29" s="38">
        <f t="shared" si="3"/>
        <v>884.62</v>
      </c>
      <c r="L29" s="38">
        <f>ROUND((J29*K29),2)</f>
        <v>5307.72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884.62</v>
      </c>
      <c r="T29" s="52">
        <f t="shared" si="6"/>
        <v>5307.72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>
        <v>8983698700</v>
      </c>
      <c r="C30" s="6" t="s">
        <v>121</v>
      </c>
      <c r="D30" s="127" t="s">
        <v>50</v>
      </c>
      <c r="E30" s="53">
        <v>1</v>
      </c>
      <c r="F30" s="8">
        <v>4709.6639999999998</v>
      </c>
      <c r="G30" s="9">
        <f t="shared" si="1"/>
        <v>3248.04</v>
      </c>
      <c r="H30" s="10">
        <f t="shared" si="2"/>
        <v>4709.66</v>
      </c>
      <c r="I30" s="42"/>
      <c r="J30" s="89">
        <f t="shared" si="0"/>
        <v>1</v>
      </c>
      <c r="K30" s="9">
        <f t="shared" si="3"/>
        <v>2354.83</v>
      </c>
      <c r="L30" s="9">
        <f t="shared" si="4"/>
        <v>2354.83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2354.83</v>
      </c>
      <c r="T30" s="14">
        <f t="shared" si="6"/>
        <v>2354.83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220</v>
      </c>
      <c r="C31" s="4" t="s">
        <v>221</v>
      </c>
      <c r="D31" s="126" t="s">
        <v>50</v>
      </c>
      <c r="E31" s="54">
        <v>2</v>
      </c>
      <c r="F31" s="15">
        <v>474.87180000000001</v>
      </c>
      <c r="G31" s="38">
        <f t="shared" si="1"/>
        <v>327.5</v>
      </c>
      <c r="H31" s="39">
        <f t="shared" si="2"/>
        <v>949.74</v>
      </c>
      <c r="I31" s="42"/>
      <c r="J31" s="88">
        <f t="shared" si="0"/>
        <v>2</v>
      </c>
      <c r="K31" s="38">
        <f t="shared" si="3"/>
        <v>237.44</v>
      </c>
      <c r="L31" s="38">
        <f t="shared" si="4"/>
        <v>474.88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237.44</v>
      </c>
      <c r="T31" s="52">
        <f t="shared" si="6"/>
        <v>474.88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>
        <v>0</v>
      </c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 t="s">
        <v>253</v>
      </c>
      <c r="C33" s="4" t="s">
        <v>252</v>
      </c>
      <c r="D33" s="126" t="s">
        <v>50</v>
      </c>
      <c r="E33" s="54">
        <v>1</v>
      </c>
      <c r="F33" s="15">
        <v>106637.54</v>
      </c>
      <c r="G33" s="38">
        <f t="shared" si="1"/>
        <v>73543.13</v>
      </c>
      <c r="H33" s="39">
        <f t="shared" si="2"/>
        <v>106637.54</v>
      </c>
      <c r="I33" s="42"/>
      <c r="J33" s="88">
        <f t="shared" si="0"/>
        <v>1</v>
      </c>
      <c r="K33" s="38">
        <f t="shared" si="3"/>
        <v>42655.02</v>
      </c>
      <c r="L33" s="38">
        <f t="shared" si="4"/>
        <v>42655.02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42655.02</v>
      </c>
      <c r="T33" s="52">
        <f t="shared" si="6"/>
        <v>42655.02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24</v>
      </c>
      <c r="F49" s="78">
        <f>SUM(F18:F48)</f>
        <v>129517.4708</v>
      </c>
      <c r="G49" s="79">
        <f>SUM(G18:G48)</f>
        <v>89322.400000000009</v>
      </c>
      <c r="H49" s="80">
        <f>SUM(H18:H48)</f>
        <v>136538.97999999998</v>
      </c>
      <c r="I49" s="81"/>
      <c r="J49" s="82">
        <f>SUM(J18:J48)</f>
        <v>24</v>
      </c>
      <c r="K49" s="79">
        <f>SUM(K18:K48)</f>
        <v>54427.68</v>
      </c>
      <c r="L49" s="80">
        <f>SUM(L18:L48)</f>
        <v>59202.17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54427.68</v>
      </c>
      <c r="T49" s="80">
        <f>SUM(T18:T48)</f>
        <v>59202.17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F17 K17 Q17 Q14" xr:uid="{CE7B8985-33A5-44FB-8F1D-1CB5C026DF86}">
      <formula1>$Y$11:$Y$12</formula1>
    </dataValidation>
    <dataValidation type="list" allowBlank="1" showInputMessage="1" showErrorMessage="1" sqref="H13" xr:uid="{10E51805-6DA7-47B9-90D1-0330D46A6CF7}">
      <formula1>$Y$13:$Y$14</formula1>
    </dataValidation>
    <dataValidation type="list" allowBlank="1" showInputMessage="1" showErrorMessage="1" sqref="I13" xr:uid="{EAF11524-71CB-40A7-AB4A-848BA3B39521}">
      <formula1>$K$9:$K$9</formula1>
    </dataValidation>
    <dataValidation type="list" showInputMessage="1" showErrorMessage="1" sqref="D18:D48" xr:uid="{98952C97-E24F-43B0-BF3F-C4E6E9121CD1}">
      <formula1>$Z$18:$Z$29</formula1>
    </dataValidation>
    <dataValidation type="list" allowBlank="1" showInputMessage="1" showErrorMessage="1" sqref="M18:M48" xr:uid="{D0BB1C74-CD2B-4112-B484-FD69DB4F9B56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E4EA-5E2C-41F0-A4FF-828CF1CE2F4C}">
  <sheetPr>
    <pageSetUpPr fitToPage="1"/>
  </sheetPr>
  <dimension ref="A1:AB51"/>
  <sheetViews>
    <sheetView zoomScale="85" zoomScaleNormal="85" workbookViewId="0">
      <selection activeCell="N34" sqref="N34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226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136538.97999999998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>
        <v>2017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59202.17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223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77336.809999999983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224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0.56640828868063897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227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59202.17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59202.17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24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>
        <v>8983020750</v>
      </c>
      <c r="C18" s="5" t="s">
        <v>98</v>
      </c>
      <c r="D18" s="125">
        <v>500</v>
      </c>
      <c r="E18" s="53">
        <v>2</v>
      </c>
      <c r="F18" s="8">
        <v>107.07419999999999</v>
      </c>
      <c r="G18" s="9">
        <f>ROUND(IF($F$17="USD $", F18*$E$15,F18*$D$15),2)</f>
        <v>73.84</v>
      </c>
      <c r="H18" s="10">
        <f>ROUND(IF($H$17=$G$17,E18*G18,E18*F18),2)</f>
        <v>214.15</v>
      </c>
      <c r="I18" s="11"/>
      <c r="J18" s="89">
        <f t="shared" ref="J18:J48" si="0">E18</f>
        <v>2</v>
      </c>
      <c r="K18" s="9">
        <f>IFERROR(IF(M18="OEM DISC %",ROUND(IF($K$17=$F$17,F18*(1-N18),G18*(1-N18)),2),IF(M18="MARKUP %",ROUND(R18/J18*(1+N18),2))),0)</f>
        <v>53.54</v>
      </c>
      <c r="L18" s="9">
        <f>ROUND((J18*K18),2)</f>
        <v>107.08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53.54</v>
      </c>
      <c r="T18" s="14">
        <f>ROUND(L18-R18,2)</f>
        <v>107.08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>
        <v>8981527381</v>
      </c>
      <c r="C19" s="4" t="s">
        <v>209</v>
      </c>
      <c r="D19" s="126">
        <v>500</v>
      </c>
      <c r="E19" s="54">
        <v>2</v>
      </c>
      <c r="F19" s="15">
        <v>80.867999999999995</v>
      </c>
      <c r="G19" s="38">
        <f t="shared" ref="G19:G48" si="1">ROUND(IF($F$17="USD $", F19*$E$15,F19*$D$15),2)</f>
        <v>55.77</v>
      </c>
      <c r="H19" s="39">
        <f t="shared" ref="H19:H48" si="2">ROUND(IF($H$17=$G$17,E19*G19,E19*F19),2)</f>
        <v>161.74</v>
      </c>
      <c r="I19" s="42"/>
      <c r="J19" s="88">
        <f t="shared" si="0"/>
        <v>2</v>
      </c>
      <c r="K19" s="38">
        <f t="shared" ref="K19:K48" si="3">IFERROR(IF(M19="OEM DISC %",ROUND(IF($K$17=$F$17,F19*(1-N19),G19*(1-N19)),2),IF(M19="MARKUP %",ROUND(R19/J19*(1+N19),2))),0)</f>
        <v>40.43</v>
      </c>
      <c r="L19" s="38">
        <f t="shared" ref="L19:L48" si="4">ROUND((J19*K19),2)</f>
        <v>80.86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40.43</v>
      </c>
      <c r="T19" s="52">
        <f t="shared" ref="T19:T48" si="6">ROUND(L19-R19,2)</f>
        <v>80.86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210</v>
      </c>
      <c r="C20" s="6" t="s">
        <v>110</v>
      </c>
      <c r="D20" s="127">
        <v>500</v>
      </c>
      <c r="E20" s="53">
        <v>2</v>
      </c>
      <c r="F20" s="8">
        <v>39.964799999999997</v>
      </c>
      <c r="G20" s="9">
        <f t="shared" si="1"/>
        <v>27.56</v>
      </c>
      <c r="H20" s="10">
        <f t="shared" si="2"/>
        <v>79.930000000000007</v>
      </c>
      <c r="I20" s="42"/>
      <c r="J20" s="89">
        <f t="shared" si="0"/>
        <v>2</v>
      </c>
      <c r="K20" s="9">
        <f t="shared" si="3"/>
        <v>19.98</v>
      </c>
      <c r="L20" s="9">
        <f t="shared" si="4"/>
        <v>39.96</v>
      </c>
      <c r="M20" s="8" t="s">
        <v>92</v>
      </c>
      <c r="N20" s="12">
        <v>0.5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19.98</v>
      </c>
      <c r="T20" s="14">
        <f t="shared" si="6"/>
        <v>39.96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211</v>
      </c>
      <c r="C21" s="4" t="s">
        <v>193</v>
      </c>
      <c r="D21" s="126">
        <v>500</v>
      </c>
      <c r="E21" s="54">
        <v>1</v>
      </c>
      <c r="F21" s="15">
        <v>49.252199999999995</v>
      </c>
      <c r="G21" s="38">
        <f t="shared" si="1"/>
        <v>33.97</v>
      </c>
      <c r="H21" s="39">
        <f t="shared" si="2"/>
        <v>49.25</v>
      </c>
      <c r="I21" s="42"/>
      <c r="J21" s="88">
        <f t="shared" si="0"/>
        <v>1</v>
      </c>
      <c r="K21" s="38">
        <f t="shared" si="3"/>
        <v>24.63</v>
      </c>
      <c r="L21" s="38">
        <f t="shared" si="4"/>
        <v>24.63</v>
      </c>
      <c r="M21" s="129" t="s">
        <v>92</v>
      </c>
      <c r="N21" s="16">
        <v>0.5</v>
      </c>
      <c r="O21" s="51"/>
      <c r="P21" s="1"/>
      <c r="Q21" s="15"/>
      <c r="R21" s="40">
        <f t="shared" si="9"/>
        <v>0</v>
      </c>
      <c r="S21" s="52">
        <f t="shared" si="5"/>
        <v>24.63</v>
      </c>
      <c r="T21" s="52">
        <f t="shared" si="6"/>
        <v>24.63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>
        <v>4630525</v>
      </c>
      <c r="C22" s="6" t="s">
        <v>193</v>
      </c>
      <c r="D22" s="127">
        <v>1000</v>
      </c>
      <c r="E22" s="53">
        <v>1</v>
      </c>
      <c r="F22" s="8">
        <v>96.144599999999997</v>
      </c>
      <c r="G22" s="9">
        <f t="shared" si="1"/>
        <v>66.31</v>
      </c>
      <c r="H22" s="10">
        <f t="shared" si="2"/>
        <v>96.14</v>
      </c>
      <c r="I22" s="42"/>
      <c r="J22" s="89">
        <f t="shared" si="0"/>
        <v>1</v>
      </c>
      <c r="K22" s="9">
        <f t="shared" si="3"/>
        <v>48.07</v>
      </c>
      <c r="L22" s="9">
        <f t="shared" si="4"/>
        <v>48.07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48.07</v>
      </c>
      <c r="T22" s="14">
        <f t="shared" si="6"/>
        <v>48.07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212</v>
      </c>
      <c r="C23" s="4" t="s">
        <v>213</v>
      </c>
      <c r="D23" s="126">
        <v>1000</v>
      </c>
      <c r="E23" s="54">
        <v>1</v>
      </c>
      <c r="F23" s="15">
        <v>221.559</v>
      </c>
      <c r="G23" s="38">
        <f t="shared" si="1"/>
        <v>152.80000000000001</v>
      </c>
      <c r="H23" s="39">
        <f t="shared" si="2"/>
        <v>221.56</v>
      </c>
      <c r="I23" s="42"/>
      <c r="J23" s="88">
        <f t="shared" si="0"/>
        <v>1</v>
      </c>
      <c r="K23" s="38">
        <f t="shared" si="3"/>
        <v>144.01</v>
      </c>
      <c r="L23" s="38">
        <f t="shared" si="4"/>
        <v>144.01</v>
      </c>
      <c r="M23" s="129" t="s">
        <v>92</v>
      </c>
      <c r="N23" s="16">
        <v>0.35</v>
      </c>
      <c r="O23" s="51"/>
      <c r="P23" s="1"/>
      <c r="Q23" s="15"/>
      <c r="R23" s="40">
        <f t="shared" si="9"/>
        <v>0</v>
      </c>
      <c r="S23" s="52">
        <f t="shared" si="5"/>
        <v>144.01</v>
      </c>
      <c r="T23" s="52">
        <f t="shared" si="6"/>
        <v>144.01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214</v>
      </c>
      <c r="C24" s="6" t="s">
        <v>215</v>
      </c>
      <c r="D24" s="127">
        <v>1000</v>
      </c>
      <c r="E24" s="53">
        <v>1</v>
      </c>
      <c r="F24" s="8">
        <v>119.32859999999999</v>
      </c>
      <c r="G24" s="9">
        <f t="shared" si="1"/>
        <v>82.3</v>
      </c>
      <c r="H24" s="10">
        <f t="shared" si="2"/>
        <v>119.33</v>
      </c>
      <c r="I24" s="42"/>
      <c r="J24" s="89">
        <f t="shared" si="0"/>
        <v>1</v>
      </c>
      <c r="K24" s="9">
        <f t="shared" si="3"/>
        <v>77.56</v>
      </c>
      <c r="L24" s="9">
        <f t="shared" si="4"/>
        <v>77.56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77.56</v>
      </c>
      <c r="T24" s="14">
        <f t="shared" si="6"/>
        <v>77.56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216</v>
      </c>
      <c r="C25" s="4" t="s">
        <v>217</v>
      </c>
      <c r="D25" s="126" t="s">
        <v>50</v>
      </c>
      <c r="E25" s="54">
        <v>1</v>
      </c>
      <c r="F25" s="15">
        <v>134.99159999999998</v>
      </c>
      <c r="G25" s="38">
        <f t="shared" si="1"/>
        <v>93.1</v>
      </c>
      <c r="H25" s="39">
        <f t="shared" si="2"/>
        <v>134.99</v>
      </c>
      <c r="I25" s="42"/>
      <c r="J25" s="88">
        <f t="shared" si="0"/>
        <v>1</v>
      </c>
      <c r="K25" s="38">
        <f t="shared" si="3"/>
        <v>87.74</v>
      </c>
      <c r="L25" s="38">
        <f t="shared" si="4"/>
        <v>87.74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87.74</v>
      </c>
      <c r="T25" s="52">
        <f t="shared" si="6"/>
        <v>87.74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218</v>
      </c>
      <c r="C26" s="6" t="s">
        <v>217</v>
      </c>
      <c r="D26" s="127" t="s">
        <v>50</v>
      </c>
      <c r="E26" s="53">
        <v>1</v>
      </c>
      <c r="F26" s="8">
        <v>57.228599999999993</v>
      </c>
      <c r="G26" s="9">
        <f t="shared" si="1"/>
        <v>39.47</v>
      </c>
      <c r="H26" s="10">
        <f t="shared" si="2"/>
        <v>57.23</v>
      </c>
      <c r="I26" s="42"/>
      <c r="J26" s="89">
        <f t="shared" si="0"/>
        <v>1</v>
      </c>
      <c r="K26" s="9">
        <f t="shared" si="3"/>
        <v>37.200000000000003</v>
      </c>
      <c r="L26" s="9">
        <f t="shared" si="4"/>
        <v>37.200000000000003</v>
      </c>
      <c r="M26" s="8" t="s">
        <v>92</v>
      </c>
      <c r="N26" s="12">
        <v>0.35</v>
      </c>
      <c r="O26" s="51"/>
      <c r="P26" s="3"/>
      <c r="Q26" s="13"/>
      <c r="R26" s="14">
        <f t="shared" si="9"/>
        <v>0</v>
      </c>
      <c r="S26" s="14">
        <f t="shared" si="5"/>
        <v>37.200000000000003</v>
      </c>
      <c r="T26" s="14">
        <f t="shared" si="6"/>
        <v>37.200000000000003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>
        <v>8976030500</v>
      </c>
      <c r="C27" s="4" t="s">
        <v>119</v>
      </c>
      <c r="D27" s="126" t="s">
        <v>50</v>
      </c>
      <c r="E27" s="54">
        <v>1</v>
      </c>
      <c r="F27" s="15">
        <v>2918.9897999999998</v>
      </c>
      <c r="G27" s="38">
        <f t="shared" si="1"/>
        <v>2013.1</v>
      </c>
      <c r="H27" s="39">
        <f t="shared" si="2"/>
        <v>2918.99</v>
      </c>
      <c r="I27" s="42"/>
      <c r="J27" s="88">
        <f t="shared" si="0"/>
        <v>1</v>
      </c>
      <c r="K27" s="38">
        <f t="shared" si="3"/>
        <v>1459.49</v>
      </c>
      <c r="L27" s="38">
        <f t="shared" si="4"/>
        <v>1459.49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1459.49</v>
      </c>
      <c r="T27" s="52">
        <f t="shared" si="6"/>
        <v>1459.49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>
        <v>8984814630</v>
      </c>
      <c r="C28" s="6" t="s">
        <v>117</v>
      </c>
      <c r="D28" s="127" t="s">
        <v>50</v>
      </c>
      <c r="E28" s="53">
        <v>1</v>
      </c>
      <c r="F28" s="8">
        <v>12606.244799999999</v>
      </c>
      <c r="G28" s="9">
        <f t="shared" si="1"/>
        <v>8693.9599999999991</v>
      </c>
      <c r="H28" s="10">
        <f t="shared" si="2"/>
        <v>12606.24</v>
      </c>
      <c r="I28" s="42"/>
      <c r="J28" s="89">
        <f t="shared" si="0"/>
        <v>1</v>
      </c>
      <c r="K28" s="9">
        <f t="shared" si="3"/>
        <v>6303.12</v>
      </c>
      <c r="L28" s="9">
        <f t="shared" si="4"/>
        <v>6303.12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6303.12</v>
      </c>
      <c r="T28" s="14">
        <f t="shared" si="6"/>
        <v>6303.12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>
        <v>8976227194</v>
      </c>
      <c r="C29" s="4" t="s">
        <v>219</v>
      </c>
      <c r="D29" s="126" t="s">
        <v>50</v>
      </c>
      <c r="E29" s="54">
        <v>6</v>
      </c>
      <c r="F29" s="15">
        <v>1263.7487999999998</v>
      </c>
      <c r="G29" s="38">
        <f>ROUND(IF($F$17="USD $", F29*$E$15,F29*$D$15),2)</f>
        <v>871.55</v>
      </c>
      <c r="H29" s="39">
        <f>ROUND(IF($H$17=$G$17,E29*G29,E29*F29),2)</f>
        <v>7582.49</v>
      </c>
      <c r="I29" s="42"/>
      <c r="J29" s="88">
        <f t="shared" si="0"/>
        <v>6</v>
      </c>
      <c r="K29" s="38">
        <f t="shared" si="3"/>
        <v>884.62</v>
      </c>
      <c r="L29" s="38">
        <f>ROUND((J29*K29),2)</f>
        <v>5307.72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884.62</v>
      </c>
      <c r="T29" s="52">
        <f t="shared" si="6"/>
        <v>5307.72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>
        <v>8983698700</v>
      </c>
      <c r="C30" s="6" t="s">
        <v>121</v>
      </c>
      <c r="D30" s="127" t="s">
        <v>50</v>
      </c>
      <c r="E30" s="53">
        <v>1</v>
      </c>
      <c r="F30" s="8">
        <v>4709.6639999999998</v>
      </c>
      <c r="G30" s="9">
        <f t="shared" si="1"/>
        <v>3248.04</v>
      </c>
      <c r="H30" s="10">
        <f t="shared" si="2"/>
        <v>4709.66</v>
      </c>
      <c r="I30" s="42"/>
      <c r="J30" s="89">
        <f t="shared" si="0"/>
        <v>1</v>
      </c>
      <c r="K30" s="9">
        <f t="shared" si="3"/>
        <v>2354.83</v>
      </c>
      <c r="L30" s="9">
        <f t="shared" si="4"/>
        <v>2354.83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2354.83</v>
      </c>
      <c r="T30" s="14">
        <f t="shared" si="6"/>
        <v>2354.83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220</v>
      </c>
      <c r="C31" s="4" t="s">
        <v>221</v>
      </c>
      <c r="D31" s="126" t="s">
        <v>50</v>
      </c>
      <c r="E31" s="54">
        <v>2</v>
      </c>
      <c r="F31" s="15">
        <v>474.87180000000001</v>
      </c>
      <c r="G31" s="38">
        <f t="shared" si="1"/>
        <v>327.5</v>
      </c>
      <c r="H31" s="39">
        <f t="shared" si="2"/>
        <v>949.74</v>
      </c>
      <c r="I31" s="42"/>
      <c r="J31" s="88">
        <f t="shared" si="0"/>
        <v>2</v>
      </c>
      <c r="K31" s="38">
        <f t="shared" si="3"/>
        <v>237.44</v>
      </c>
      <c r="L31" s="38">
        <f t="shared" si="4"/>
        <v>474.88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237.44</v>
      </c>
      <c r="T31" s="52">
        <f t="shared" si="6"/>
        <v>474.88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 t="s">
        <v>253</v>
      </c>
      <c r="C33" s="4" t="s">
        <v>252</v>
      </c>
      <c r="D33" s="126" t="s">
        <v>50</v>
      </c>
      <c r="E33" s="54">
        <v>1</v>
      </c>
      <c r="F33" s="15">
        <v>106637.54</v>
      </c>
      <c r="G33" s="38">
        <f t="shared" si="1"/>
        <v>73543.13</v>
      </c>
      <c r="H33" s="39">
        <f t="shared" si="2"/>
        <v>106637.54</v>
      </c>
      <c r="I33" s="42"/>
      <c r="J33" s="88">
        <f t="shared" si="0"/>
        <v>1</v>
      </c>
      <c r="K33" s="38">
        <f t="shared" si="3"/>
        <v>42655.02</v>
      </c>
      <c r="L33" s="38">
        <f t="shared" si="4"/>
        <v>42655.02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42655.02</v>
      </c>
      <c r="T33" s="52">
        <f t="shared" si="6"/>
        <v>42655.02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24</v>
      </c>
      <c r="F49" s="78">
        <f>SUM(F18:F48)</f>
        <v>129517.4708</v>
      </c>
      <c r="G49" s="79">
        <f>SUM(G18:G48)</f>
        <v>89322.400000000009</v>
      </c>
      <c r="H49" s="80">
        <f>SUM(H18:H48)</f>
        <v>136538.97999999998</v>
      </c>
      <c r="I49" s="81"/>
      <c r="J49" s="82">
        <f>SUM(J18:J48)</f>
        <v>24</v>
      </c>
      <c r="K49" s="79">
        <f>SUM(K18:K48)</f>
        <v>54427.68</v>
      </c>
      <c r="L49" s="80">
        <f>SUM(L18:L48)</f>
        <v>59202.17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54427.68</v>
      </c>
      <c r="T49" s="80">
        <f>SUM(T18:T48)</f>
        <v>59202.17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M18:M48" xr:uid="{00995FDF-051A-44D1-9233-A368CDFE34FF}">
      <formula1>$Y$31:$Y$32</formula1>
    </dataValidation>
    <dataValidation type="list" showInputMessage="1" showErrorMessage="1" sqref="D18:D48" xr:uid="{3F272301-1A2F-4C54-8B99-C5C678BF1B2A}">
      <formula1>$Z$18:$Z$29</formula1>
    </dataValidation>
    <dataValidation type="list" allowBlank="1" showInputMessage="1" showErrorMessage="1" sqref="I13" xr:uid="{F748B7F0-D173-4A3E-9E5B-7FAFA6680DE6}">
      <formula1>$K$9:$K$9</formula1>
    </dataValidation>
    <dataValidation type="list" allowBlank="1" showInputMessage="1" showErrorMessage="1" sqref="H13" xr:uid="{40F2A219-CB50-44D4-AA56-E539DF66D181}">
      <formula1>$Y$13:$Y$14</formula1>
    </dataValidation>
    <dataValidation type="list" allowBlank="1" showInputMessage="1" showErrorMessage="1" sqref="F17 K17 Q17 Q14" xr:uid="{C4696B09-02E8-4541-8605-F66EFCAF2F0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5137-E59F-493C-A6CF-B93F7B5D3C3F}">
  <sheetPr>
    <pageSetUpPr fitToPage="1"/>
  </sheetPr>
  <dimension ref="A1:AB51"/>
  <sheetViews>
    <sheetView topLeftCell="A12" zoomScale="85" zoomScaleNormal="85" workbookViewId="0">
      <selection activeCell="B19" sqref="B1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242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87762.99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>
        <v>2015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36791.949999999997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223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50971.040000000008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243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0.58078057732536237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244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36791.949999999997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36791.949999999997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21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257</v>
      </c>
      <c r="C18" s="5" t="s">
        <v>98</v>
      </c>
      <c r="D18" s="125">
        <v>500</v>
      </c>
      <c r="E18" s="53">
        <v>1</v>
      </c>
      <c r="F18" s="8">
        <v>27.544799999999999</v>
      </c>
      <c r="G18" s="9">
        <f>ROUND(IF($F$17="USD $", F18*$E$15,F18*$D$15),2)</f>
        <v>19</v>
      </c>
      <c r="H18" s="10">
        <f>ROUND(IF($H$17=$G$17,E18*G18,E18*F18),2)</f>
        <v>27.54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228</v>
      </c>
      <c r="C19" s="4" t="s">
        <v>110</v>
      </c>
      <c r="D19" s="126">
        <v>500</v>
      </c>
      <c r="E19" s="54">
        <v>1</v>
      </c>
      <c r="F19" s="15">
        <v>41.110199999999999</v>
      </c>
      <c r="G19" s="38">
        <f t="shared" ref="G19:G48" si="1">ROUND(IF($F$17="USD $", F19*$E$15,F19*$D$15),2)</f>
        <v>28.35</v>
      </c>
      <c r="H19" s="39">
        <f t="shared" ref="H19:H48" si="2">ROUND(IF($H$17=$G$17,E19*G19,E19*F19),2)</f>
        <v>41.11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20.56</v>
      </c>
      <c r="L19" s="38">
        <f t="shared" ref="L19:L48" si="4">ROUND((J19*K19),2)</f>
        <v>20.56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20.56</v>
      </c>
      <c r="T19" s="52">
        <f t="shared" ref="T19:T48" si="6">ROUND(L19-R19,2)</f>
        <v>20.56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229</v>
      </c>
      <c r="C20" s="6" t="s">
        <v>213</v>
      </c>
      <c r="D20" s="127">
        <v>1000</v>
      </c>
      <c r="E20" s="53">
        <v>1</v>
      </c>
      <c r="F20" s="8">
        <v>236.93219999999997</v>
      </c>
      <c r="G20" s="9">
        <f t="shared" si="1"/>
        <v>163.4</v>
      </c>
      <c r="H20" s="10">
        <f t="shared" si="2"/>
        <v>236.93</v>
      </c>
      <c r="I20" s="42"/>
      <c r="J20" s="89">
        <f t="shared" si="0"/>
        <v>1</v>
      </c>
      <c r="K20" s="9">
        <f t="shared" si="3"/>
        <v>154.01</v>
      </c>
      <c r="L20" s="9">
        <f t="shared" si="4"/>
        <v>154.01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154.01</v>
      </c>
      <c r="T20" s="14">
        <f t="shared" si="6"/>
        <v>154.01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230</v>
      </c>
      <c r="C21" s="4" t="s">
        <v>215</v>
      </c>
      <c r="D21" s="126">
        <v>1000</v>
      </c>
      <c r="E21" s="54">
        <v>1</v>
      </c>
      <c r="F21" s="15">
        <v>93.398399999999995</v>
      </c>
      <c r="G21" s="38">
        <f t="shared" si="1"/>
        <v>64.41</v>
      </c>
      <c r="H21" s="39">
        <f t="shared" si="2"/>
        <v>93.4</v>
      </c>
      <c r="I21" s="42"/>
      <c r="J21" s="88">
        <f t="shared" si="0"/>
        <v>1</v>
      </c>
      <c r="K21" s="38">
        <f t="shared" si="3"/>
        <v>60.71</v>
      </c>
      <c r="L21" s="38">
        <f t="shared" si="4"/>
        <v>60.71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60.71</v>
      </c>
      <c r="T21" s="52">
        <f t="shared" si="6"/>
        <v>60.71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231</v>
      </c>
      <c r="C22" s="6" t="s">
        <v>110</v>
      </c>
      <c r="D22" s="127">
        <v>500</v>
      </c>
      <c r="E22" s="53">
        <v>1</v>
      </c>
      <c r="F22" s="8">
        <v>47.306399999999996</v>
      </c>
      <c r="G22" s="9">
        <f t="shared" si="1"/>
        <v>32.630000000000003</v>
      </c>
      <c r="H22" s="10">
        <f t="shared" si="2"/>
        <v>47.31</v>
      </c>
      <c r="I22" s="42"/>
      <c r="J22" s="89">
        <f t="shared" si="0"/>
        <v>1</v>
      </c>
      <c r="K22" s="9">
        <f t="shared" si="3"/>
        <v>23.65</v>
      </c>
      <c r="L22" s="9">
        <f t="shared" si="4"/>
        <v>23.65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23.65</v>
      </c>
      <c r="T22" s="14">
        <f t="shared" si="6"/>
        <v>23.65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232</v>
      </c>
      <c r="C23" s="4" t="s">
        <v>233</v>
      </c>
      <c r="D23" s="126">
        <v>1000</v>
      </c>
      <c r="E23" s="54">
        <v>1</v>
      </c>
      <c r="F23" s="15">
        <v>70.76639999999999</v>
      </c>
      <c r="G23" s="38">
        <f t="shared" si="1"/>
        <v>48.8</v>
      </c>
      <c r="H23" s="39">
        <f t="shared" si="2"/>
        <v>70.77</v>
      </c>
      <c r="I23" s="42"/>
      <c r="J23" s="88">
        <f t="shared" si="0"/>
        <v>1</v>
      </c>
      <c r="K23" s="38">
        <f t="shared" si="3"/>
        <v>35.380000000000003</v>
      </c>
      <c r="L23" s="38">
        <f t="shared" si="4"/>
        <v>35.380000000000003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35.380000000000003</v>
      </c>
      <c r="T23" s="52">
        <f t="shared" si="6"/>
        <v>35.380000000000003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234</v>
      </c>
      <c r="C24" s="6" t="s">
        <v>217</v>
      </c>
      <c r="D24" s="127" t="s">
        <v>50</v>
      </c>
      <c r="E24" s="53">
        <v>1</v>
      </c>
      <c r="F24" s="8">
        <v>151.97939999999997</v>
      </c>
      <c r="G24" s="9">
        <f t="shared" si="1"/>
        <v>104.81</v>
      </c>
      <c r="H24" s="10">
        <f t="shared" si="2"/>
        <v>151.97999999999999</v>
      </c>
      <c r="I24" s="42"/>
      <c r="J24" s="89">
        <f t="shared" si="0"/>
        <v>1</v>
      </c>
      <c r="K24" s="9">
        <f t="shared" si="3"/>
        <v>98.79</v>
      </c>
      <c r="L24" s="9">
        <f t="shared" si="4"/>
        <v>98.79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98.79</v>
      </c>
      <c r="T24" s="14">
        <f t="shared" si="6"/>
        <v>98.79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235</v>
      </c>
      <c r="C25" s="4" t="s">
        <v>217</v>
      </c>
      <c r="D25" s="126" t="s">
        <v>50</v>
      </c>
      <c r="E25" s="54">
        <v>1</v>
      </c>
      <c r="F25" s="15">
        <v>123.9378</v>
      </c>
      <c r="G25" s="38">
        <f t="shared" si="1"/>
        <v>85.47</v>
      </c>
      <c r="H25" s="39">
        <f t="shared" si="2"/>
        <v>123.94</v>
      </c>
      <c r="I25" s="42"/>
      <c r="J25" s="88">
        <f t="shared" si="0"/>
        <v>1</v>
      </c>
      <c r="K25" s="38">
        <f t="shared" si="3"/>
        <v>80.56</v>
      </c>
      <c r="L25" s="38">
        <f t="shared" si="4"/>
        <v>80.56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80.56</v>
      </c>
      <c r="T25" s="52">
        <f t="shared" si="6"/>
        <v>80.56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256</v>
      </c>
      <c r="C26" s="6" t="s">
        <v>121</v>
      </c>
      <c r="D26" s="127" t="s">
        <v>50</v>
      </c>
      <c r="E26" s="53">
        <v>1</v>
      </c>
      <c r="F26" s="8">
        <v>2168.3801999999996</v>
      </c>
      <c r="G26" s="9">
        <f t="shared" si="1"/>
        <v>1495.43</v>
      </c>
      <c r="H26" s="10">
        <f t="shared" si="2"/>
        <v>2168.38</v>
      </c>
      <c r="I26" s="42"/>
      <c r="J26" s="89">
        <f t="shared" si="0"/>
        <v>1</v>
      </c>
      <c r="K26" s="9">
        <f t="shared" si="3"/>
        <v>1084.19</v>
      </c>
      <c r="L26" s="9">
        <f t="shared" si="4"/>
        <v>1084.19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1084.19</v>
      </c>
      <c r="T26" s="14">
        <f t="shared" si="6"/>
        <v>1084.19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236</v>
      </c>
      <c r="C27" s="4" t="s">
        <v>117</v>
      </c>
      <c r="D27" s="126" t="s">
        <v>50</v>
      </c>
      <c r="E27" s="54">
        <v>1</v>
      </c>
      <c r="F27" s="15">
        <v>5593.070999999999</v>
      </c>
      <c r="G27" s="38">
        <f t="shared" si="1"/>
        <v>3857.29</v>
      </c>
      <c r="H27" s="39">
        <f t="shared" si="2"/>
        <v>5593.07</v>
      </c>
      <c r="I27" s="42"/>
      <c r="J27" s="88">
        <f t="shared" si="0"/>
        <v>1</v>
      </c>
      <c r="K27" s="38">
        <f t="shared" si="3"/>
        <v>2796.54</v>
      </c>
      <c r="L27" s="38">
        <f t="shared" si="4"/>
        <v>2796.54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2796.54</v>
      </c>
      <c r="T27" s="52">
        <f t="shared" si="6"/>
        <v>2796.54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237</v>
      </c>
      <c r="C28" s="6" t="s">
        <v>119</v>
      </c>
      <c r="D28" s="127" t="s">
        <v>50</v>
      </c>
      <c r="E28" s="53">
        <v>1</v>
      </c>
      <c r="F28" s="8">
        <v>798.04019999999991</v>
      </c>
      <c r="G28" s="9">
        <f t="shared" si="1"/>
        <v>550.37</v>
      </c>
      <c r="H28" s="10">
        <f t="shared" si="2"/>
        <v>798.04</v>
      </c>
      <c r="I28" s="42"/>
      <c r="J28" s="89">
        <f t="shared" si="0"/>
        <v>1</v>
      </c>
      <c r="K28" s="9">
        <f t="shared" si="3"/>
        <v>399.02</v>
      </c>
      <c r="L28" s="9">
        <f t="shared" si="4"/>
        <v>399.02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399.02</v>
      </c>
      <c r="T28" s="14">
        <f t="shared" si="6"/>
        <v>399.02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238</v>
      </c>
      <c r="C29" s="4" t="s">
        <v>219</v>
      </c>
      <c r="D29" s="126" t="s">
        <v>50</v>
      </c>
      <c r="E29" s="54">
        <v>6</v>
      </c>
      <c r="F29" s="15">
        <v>228.54179999999999</v>
      </c>
      <c r="G29" s="38">
        <f>ROUND(IF($F$17="USD $", F29*$E$15,F29*$D$15),2)</f>
        <v>157.62</v>
      </c>
      <c r="H29" s="39">
        <f>ROUND(IF($H$17=$G$17,E29*G29,E29*F29),2)</f>
        <v>1371.25</v>
      </c>
      <c r="I29" s="42"/>
      <c r="J29" s="88">
        <f t="shared" si="0"/>
        <v>6</v>
      </c>
      <c r="K29" s="38">
        <f t="shared" si="3"/>
        <v>159.97999999999999</v>
      </c>
      <c r="L29" s="38">
        <f>ROUND((J29*K29),2)</f>
        <v>959.88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159.97999999999999</v>
      </c>
      <c r="T29" s="52">
        <f t="shared" si="6"/>
        <v>959.88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239</v>
      </c>
      <c r="C30" s="6" t="s">
        <v>221</v>
      </c>
      <c r="D30" s="127" t="s">
        <v>50</v>
      </c>
      <c r="E30" s="53">
        <v>2</v>
      </c>
      <c r="F30" s="8">
        <v>575.41859999999997</v>
      </c>
      <c r="G30" s="9">
        <f t="shared" si="1"/>
        <v>396.84</v>
      </c>
      <c r="H30" s="10">
        <f t="shared" si="2"/>
        <v>1150.8399999999999</v>
      </c>
      <c r="I30" s="42"/>
      <c r="J30" s="89">
        <f t="shared" si="0"/>
        <v>2</v>
      </c>
      <c r="K30" s="9">
        <f t="shared" si="3"/>
        <v>287.70999999999998</v>
      </c>
      <c r="L30" s="9">
        <f t="shared" si="4"/>
        <v>575.41999999999996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287.70999999999998</v>
      </c>
      <c r="T30" s="14">
        <f t="shared" si="6"/>
        <v>575.41999999999996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240</v>
      </c>
      <c r="C31" s="4" t="s">
        <v>241</v>
      </c>
      <c r="D31" s="126" t="s">
        <v>50</v>
      </c>
      <c r="E31" s="54">
        <v>1</v>
      </c>
      <c r="F31" s="15">
        <v>1340.9736</v>
      </c>
      <c r="G31" s="38">
        <f t="shared" si="1"/>
        <v>924.81</v>
      </c>
      <c r="H31" s="39">
        <f t="shared" si="2"/>
        <v>1340.97</v>
      </c>
      <c r="I31" s="42"/>
      <c r="J31" s="88">
        <f t="shared" si="0"/>
        <v>1</v>
      </c>
      <c r="K31" s="38">
        <f t="shared" si="3"/>
        <v>670.49</v>
      </c>
      <c r="L31" s="38">
        <f t="shared" si="4"/>
        <v>670.49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670.49</v>
      </c>
      <c r="T31" s="52">
        <f t="shared" si="6"/>
        <v>670.49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 t="s">
        <v>250</v>
      </c>
      <c r="C33" s="4" t="s">
        <v>251</v>
      </c>
      <c r="D33" s="126" t="s">
        <v>50</v>
      </c>
      <c r="E33" s="54">
        <v>1</v>
      </c>
      <c r="F33" s="15">
        <v>74547.460000000006</v>
      </c>
      <c r="G33" s="38">
        <f t="shared" si="1"/>
        <v>51412.04</v>
      </c>
      <c r="H33" s="39">
        <f t="shared" si="2"/>
        <v>74547.460000000006</v>
      </c>
      <c r="I33" s="42"/>
      <c r="J33" s="88">
        <f t="shared" si="0"/>
        <v>1</v>
      </c>
      <c r="K33" s="38">
        <f t="shared" si="3"/>
        <v>29818.98</v>
      </c>
      <c r="L33" s="38">
        <f t="shared" si="4"/>
        <v>29818.98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29818.98</v>
      </c>
      <c r="T33" s="52">
        <f t="shared" si="6"/>
        <v>29818.98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86044.861000000004</v>
      </c>
      <c r="G49" s="79">
        <f>SUM(G18:G48)</f>
        <v>59341.270000000004</v>
      </c>
      <c r="H49" s="80">
        <f>SUM(H18:H48)</f>
        <v>87762.99</v>
      </c>
      <c r="I49" s="81"/>
      <c r="J49" s="82">
        <f>SUM(J18:J48)</f>
        <v>21</v>
      </c>
      <c r="K49" s="79">
        <f>SUM(K18:K48)</f>
        <v>35704.339999999997</v>
      </c>
      <c r="L49" s="80">
        <f>SUM(L18:L48)</f>
        <v>36791.949999999997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35704.339999999997</v>
      </c>
      <c r="T49" s="80">
        <f>SUM(T18:T48)</f>
        <v>36791.949999999997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F17 K17 Q17 Q14" xr:uid="{561C626A-DC69-4613-B0EF-AC2DFD133E1E}">
      <formula1>$Y$11:$Y$12</formula1>
    </dataValidation>
    <dataValidation type="list" allowBlank="1" showInputMessage="1" showErrorMessage="1" sqref="H13" xr:uid="{480345BD-56BA-4221-9EC9-0919F367354D}">
      <formula1>$Y$13:$Y$14</formula1>
    </dataValidation>
    <dataValidation type="list" allowBlank="1" showInputMessage="1" showErrorMessage="1" sqref="I13" xr:uid="{8C1C2C43-31E6-4BD7-B240-E321AFB03F73}">
      <formula1>$K$9:$K$9</formula1>
    </dataValidation>
    <dataValidation type="list" showInputMessage="1" showErrorMessage="1" sqref="D18:D48" xr:uid="{E188F287-9F36-4F79-8F80-16D7B0D79278}">
      <formula1>$Z$18:$Z$29</formula1>
    </dataValidation>
    <dataValidation type="list" allowBlank="1" showInputMessage="1" showErrorMessage="1" sqref="M18:M48" xr:uid="{B717D65E-5165-4649-8029-90ED67E3A3D4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093C-4E6B-4D24-9D49-F35F43949EB5}">
  <sheetPr>
    <pageSetUpPr fitToPage="1"/>
  </sheetPr>
  <dimension ref="A1:AB51"/>
  <sheetViews>
    <sheetView topLeftCell="A3" zoomScale="85" zoomScaleNormal="85" workbookViewId="0">
      <selection activeCell="B19" sqref="B1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245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87762.99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>
        <v>2015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36791.949999999997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223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50971.040000000008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243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0.58078057732536237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246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36791.949999999997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36791.949999999997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21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257</v>
      </c>
      <c r="C18" s="5" t="s">
        <v>98</v>
      </c>
      <c r="D18" s="125">
        <v>500</v>
      </c>
      <c r="E18" s="53">
        <v>1</v>
      </c>
      <c r="F18" s="8">
        <v>27.544799999999999</v>
      </c>
      <c r="G18" s="9">
        <f>ROUND(IF($F$17="USD $", F18*$E$15,F18*$D$15),2)</f>
        <v>19</v>
      </c>
      <c r="H18" s="10">
        <f>ROUND(IF($H$17=$G$17,E18*G18,E18*F18),2)</f>
        <v>27.54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228</v>
      </c>
      <c r="C19" s="4" t="s">
        <v>110</v>
      </c>
      <c r="D19" s="126">
        <v>500</v>
      </c>
      <c r="E19" s="54">
        <v>1</v>
      </c>
      <c r="F19" s="15">
        <v>41.110199999999999</v>
      </c>
      <c r="G19" s="38">
        <f t="shared" ref="G19:G48" si="1">ROUND(IF($F$17="USD $", F19*$E$15,F19*$D$15),2)</f>
        <v>28.35</v>
      </c>
      <c r="H19" s="39">
        <f t="shared" ref="H19:H48" si="2">ROUND(IF($H$17=$G$17,E19*G19,E19*F19),2)</f>
        <v>41.11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20.56</v>
      </c>
      <c r="L19" s="38">
        <f t="shared" ref="L19:L48" si="4">ROUND((J19*K19),2)</f>
        <v>20.56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20.56</v>
      </c>
      <c r="T19" s="52">
        <f t="shared" ref="T19:T48" si="6">ROUND(L19-R19,2)</f>
        <v>20.56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229</v>
      </c>
      <c r="C20" s="6" t="s">
        <v>213</v>
      </c>
      <c r="D20" s="127">
        <v>1000</v>
      </c>
      <c r="E20" s="53">
        <v>1</v>
      </c>
      <c r="F20" s="8">
        <v>236.93219999999997</v>
      </c>
      <c r="G20" s="9">
        <f t="shared" si="1"/>
        <v>163.4</v>
      </c>
      <c r="H20" s="10">
        <f t="shared" si="2"/>
        <v>236.93</v>
      </c>
      <c r="I20" s="42"/>
      <c r="J20" s="89">
        <f t="shared" si="0"/>
        <v>1</v>
      </c>
      <c r="K20" s="9">
        <f t="shared" si="3"/>
        <v>154.01</v>
      </c>
      <c r="L20" s="9">
        <f t="shared" si="4"/>
        <v>154.01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154.01</v>
      </c>
      <c r="T20" s="14">
        <f t="shared" si="6"/>
        <v>154.01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230</v>
      </c>
      <c r="C21" s="4" t="s">
        <v>215</v>
      </c>
      <c r="D21" s="126">
        <v>1000</v>
      </c>
      <c r="E21" s="54">
        <v>1</v>
      </c>
      <c r="F21" s="15">
        <v>93.398399999999995</v>
      </c>
      <c r="G21" s="38">
        <f t="shared" si="1"/>
        <v>64.41</v>
      </c>
      <c r="H21" s="39">
        <f t="shared" si="2"/>
        <v>93.4</v>
      </c>
      <c r="I21" s="42"/>
      <c r="J21" s="88">
        <f t="shared" si="0"/>
        <v>1</v>
      </c>
      <c r="K21" s="38">
        <f t="shared" si="3"/>
        <v>60.71</v>
      </c>
      <c r="L21" s="38">
        <f t="shared" si="4"/>
        <v>60.71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60.71</v>
      </c>
      <c r="T21" s="52">
        <f t="shared" si="6"/>
        <v>60.71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231</v>
      </c>
      <c r="C22" s="6" t="s">
        <v>110</v>
      </c>
      <c r="D22" s="127">
        <v>500</v>
      </c>
      <c r="E22" s="53">
        <v>1</v>
      </c>
      <c r="F22" s="8">
        <v>47.306399999999996</v>
      </c>
      <c r="G22" s="9">
        <f t="shared" si="1"/>
        <v>32.630000000000003</v>
      </c>
      <c r="H22" s="10">
        <f t="shared" si="2"/>
        <v>47.31</v>
      </c>
      <c r="I22" s="42"/>
      <c r="J22" s="89">
        <f t="shared" si="0"/>
        <v>1</v>
      </c>
      <c r="K22" s="9">
        <f t="shared" si="3"/>
        <v>23.65</v>
      </c>
      <c r="L22" s="9">
        <f t="shared" si="4"/>
        <v>23.65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23.65</v>
      </c>
      <c r="T22" s="14">
        <f t="shared" si="6"/>
        <v>23.65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232</v>
      </c>
      <c r="C23" s="4" t="s">
        <v>233</v>
      </c>
      <c r="D23" s="126">
        <v>1000</v>
      </c>
      <c r="E23" s="54">
        <v>1</v>
      </c>
      <c r="F23" s="15">
        <v>70.76639999999999</v>
      </c>
      <c r="G23" s="38">
        <f t="shared" si="1"/>
        <v>48.8</v>
      </c>
      <c r="H23" s="39">
        <f t="shared" si="2"/>
        <v>70.77</v>
      </c>
      <c r="I23" s="42"/>
      <c r="J23" s="88">
        <f t="shared" si="0"/>
        <v>1</v>
      </c>
      <c r="K23" s="38">
        <f t="shared" si="3"/>
        <v>35.380000000000003</v>
      </c>
      <c r="L23" s="38">
        <f t="shared" si="4"/>
        <v>35.380000000000003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35.380000000000003</v>
      </c>
      <c r="T23" s="52">
        <f t="shared" si="6"/>
        <v>35.380000000000003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234</v>
      </c>
      <c r="C24" s="6" t="s">
        <v>217</v>
      </c>
      <c r="D24" s="127" t="s">
        <v>50</v>
      </c>
      <c r="E24" s="53">
        <v>1</v>
      </c>
      <c r="F24" s="8">
        <v>151.97939999999997</v>
      </c>
      <c r="G24" s="9">
        <f t="shared" si="1"/>
        <v>104.81</v>
      </c>
      <c r="H24" s="10">
        <f t="shared" si="2"/>
        <v>151.97999999999999</v>
      </c>
      <c r="I24" s="42"/>
      <c r="J24" s="89">
        <f t="shared" si="0"/>
        <v>1</v>
      </c>
      <c r="K24" s="9">
        <f t="shared" si="3"/>
        <v>98.79</v>
      </c>
      <c r="L24" s="9">
        <f t="shared" si="4"/>
        <v>98.79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98.79</v>
      </c>
      <c r="T24" s="14">
        <f t="shared" si="6"/>
        <v>98.79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235</v>
      </c>
      <c r="C25" s="4" t="s">
        <v>217</v>
      </c>
      <c r="D25" s="126" t="s">
        <v>50</v>
      </c>
      <c r="E25" s="54">
        <v>1</v>
      </c>
      <c r="F25" s="15">
        <v>123.9378</v>
      </c>
      <c r="G25" s="38">
        <f t="shared" si="1"/>
        <v>85.47</v>
      </c>
      <c r="H25" s="39">
        <f t="shared" si="2"/>
        <v>123.94</v>
      </c>
      <c r="I25" s="42"/>
      <c r="J25" s="88">
        <f t="shared" si="0"/>
        <v>1</v>
      </c>
      <c r="K25" s="38">
        <f t="shared" si="3"/>
        <v>80.56</v>
      </c>
      <c r="L25" s="38">
        <f t="shared" si="4"/>
        <v>80.56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80.56</v>
      </c>
      <c r="T25" s="52">
        <f t="shared" si="6"/>
        <v>80.56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256</v>
      </c>
      <c r="C26" s="6" t="s">
        <v>121</v>
      </c>
      <c r="D26" s="127" t="s">
        <v>50</v>
      </c>
      <c r="E26" s="53">
        <v>1</v>
      </c>
      <c r="F26" s="8">
        <v>2168.3801999999996</v>
      </c>
      <c r="G26" s="9">
        <f t="shared" si="1"/>
        <v>1495.43</v>
      </c>
      <c r="H26" s="10">
        <f t="shared" si="2"/>
        <v>2168.38</v>
      </c>
      <c r="I26" s="42"/>
      <c r="J26" s="89">
        <f t="shared" si="0"/>
        <v>1</v>
      </c>
      <c r="K26" s="9">
        <f t="shared" si="3"/>
        <v>1084.19</v>
      </c>
      <c r="L26" s="9">
        <f t="shared" si="4"/>
        <v>1084.19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1084.19</v>
      </c>
      <c r="T26" s="14">
        <f t="shared" si="6"/>
        <v>1084.19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236</v>
      </c>
      <c r="C27" s="4" t="s">
        <v>117</v>
      </c>
      <c r="D27" s="126" t="s">
        <v>50</v>
      </c>
      <c r="E27" s="54">
        <v>1</v>
      </c>
      <c r="F27" s="15">
        <v>5593.070999999999</v>
      </c>
      <c r="G27" s="38">
        <f t="shared" si="1"/>
        <v>3857.29</v>
      </c>
      <c r="H27" s="39">
        <f t="shared" si="2"/>
        <v>5593.07</v>
      </c>
      <c r="I27" s="42"/>
      <c r="J27" s="88">
        <f t="shared" si="0"/>
        <v>1</v>
      </c>
      <c r="K27" s="38">
        <f t="shared" si="3"/>
        <v>2796.54</v>
      </c>
      <c r="L27" s="38">
        <f t="shared" si="4"/>
        <v>2796.54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2796.54</v>
      </c>
      <c r="T27" s="52">
        <f t="shared" si="6"/>
        <v>2796.54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237</v>
      </c>
      <c r="C28" s="6" t="s">
        <v>119</v>
      </c>
      <c r="D28" s="127" t="s">
        <v>50</v>
      </c>
      <c r="E28" s="53">
        <v>1</v>
      </c>
      <c r="F28" s="8">
        <v>798.04019999999991</v>
      </c>
      <c r="G28" s="9">
        <f t="shared" si="1"/>
        <v>550.37</v>
      </c>
      <c r="H28" s="10">
        <f t="shared" si="2"/>
        <v>798.04</v>
      </c>
      <c r="I28" s="42"/>
      <c r="J28" s="89">
        <f t="shared" si="0"/>
        <v>1</v>
      </c>
      <c r="K28" s="9">
        <f t="shared" si="3"/>
        <v>399.02</v>
      </c>
      <c r="L28" s="9">
        <f t="shared" si="4"/>
        <v>399.02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399.02</v>
      </c>
      <c r="T28" s="14">
        <f t="shared" si="6"/>
        <v>399.02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238</v>
      </c>
      <c r="C29" s="4" t="s">
        <v>219</v>
      </c>
      <c r="D29" s="126" t="s">
        <v>50</v>
      </c>
      <c r="E29" s="54">
        <v>6</v>
      </c>
      <c r="F29" s="15">
        <v>228.54179999999999</v>
      </c>
      <c r="G29" s="38">
        <f>ROUND(IF($F$17="USD $", F29*$E$15,F29*$D$15),2)</f>
        <v>157.62</v>
      </c>
      <c r="H29" s="39">
        <f>ROUND(IF($H$17=$G$17,E29*G29,E29*F29),2)</f>
        <v>1371.25</v>
      </c>
      <c r="I29" s="42"/>
      <c r="J29" s="88">
        <f t="shared" si="0"/>
        <v>6</v>
      </c>
      <c r="K29" s="38">
        <f t="shared" si="3"/>
        <v>159.97999999999999</v>
      </c>
      <c r="L29" s="38">
        <f>ROUND((J29*K29),2)</f>
        <v>959.88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159.97999999999999</v>
      </c>
      <c r="T29" s="52">
        <f t="shared" si="6"/>
        <v>959.88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239</v>
      </c>
      <c r="C30" s="6" t="s">
        <v>221</v>
      </c>
      <c r="D30" s="127" t="s">
        <v>50</v>
      </c>
      <c r="E30" s="53">
        <v>2</v>
      </c>
      <c r="F30" s="8">
        <v>575.41859999999997</v>
      </c>
      <c r="G30" s="9">
        <f t="shared" si="1"/>
        <v>396.84</v>
      </c>
      <c r="H30" s="10">
        <f t="shared" si="2"/>
        <v>1150.8399999999999</v>
      </c>
      <c r="I30" s="42"/>
      <c r="J30" s="89">
        <f t="shared" si="0"/>
        <v>2</v>
      </c>
      <c r="K30" s="9">
        <f t="shared" si="3"/>
        <v>287.70999999999998</v>
      </c>
      <c r="L30" s="9">
        <f t="shared" si="4"/>
        <v>575.41999999999996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287.70999999999998</v>
      </c>
      <c r="T30" s="14">
        <f t="shared" si="6"/>
        <v>575.41999999999996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240</v>
      </c>
      <c r="C31" s="4" t="s">
        <v>241</v>
      </c>
      <c r="D31" s="126" t="s">
        <v>50</v>
      </c>
      <c r="E31" s="54">
        <v>1</v>
      </c>
      <c r="F31" s="15">
        <v>1340.9736</v>
      </c>
      <c r="G31" s="38">
        <f t="shared" si="1"/>
        <v>924.81</v>
      </c>
      <c r="H31" s="39">
        <f t="shared" si="2"/>
        <v>1340.97</v>
      </c>
      <c r="I31" s="42"/>
      <c r="J31" s="88">
        <f t="shared" si="0"/>
        <v>1</v>
      </c>
      <c r="K31" s="38">
        <f t="shared" si="3"/>
        <v>670.49</v>
      </c>
      <c r="L31" s="38">
        <f t="shared" si="4"/>
        <v>670.49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670.49</v>
      </c>
      <c r="T31" s="52">
        <f t="shared" si="6"/>
        <v>670.49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 t="s">
        <v>250</v>
      </c>
      <c r="C33" s="4" t="s">
        <v>251</v>
      </c>
      <c r="D33" s="126" t="s">
        <v>50</v>
      </c>
      <c r="E33" s="54">
        <v>1</v>
      </c>
      <c r="F33" s="15">
        <v>74547.460000000006</v>
      </c>
      <c r="G33" s="38">
        <f t="shared" si="1"/>
        <v>51412.04</v>
      </c>
      <c r="H33" s="39">
        <f t="shared" si="2"/>
        <v>74547.460000000006</v>
      </c>
      <c r="I33" s="42"/>
      <c r="J33" s="88">
        <f t="shared" si="0"/>
        <v>1</v>
      </c>
      <c r="K33" s="38">
        <f t="shared" si="3"/>
        <v>29818.98</v>
      </c>
      <c r="L33" s="38">
        <f t="shared" si="4"/>
        <v>29818.98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29818.98</v>
      </c>
      <c r="T33" s="52">
        <f t="shared" si="6"/>
        <v>29818.98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86044.861000000004</v>
      </c>
      <c r="G49" s="79">
        <f>SUM(G18:G48)</f>
        <v>59341.270000000004</v>
      </c>
      <c r="H49" s="80">
        <f>SUM(H18:H48)</f>
        <v>87762.99</v>
      </c>
      <c r="I49" s="81"/>
      <c r="J49" s="82">
        <f>SUM(J18:J48)</f>
        <v>21</v>
      </c>
      <c r="K49" s="79">
        <f>SUM(K18:K48)</f>
        <v>35704.339999999997</v>
      </c>
      <c r="L49" s="80">
        <f>SUM(L18:L48)</f>
        <v>36791.949999999997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35704.339999999997</v>
      </c>
      <c r="T49" s="80">
        <f>SUM(T18:T48)</f>
        <v>36791.949999999997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M18:M48" xr:uid="{FF92C292-E775-4D08-9140-182267FEA787}">
      <formula1>$Y$31:$Y$32</formula1>
    </dataValidation>
    <dataValidation type="list" showInputMessage="1" showErrorMessage="1" sqref="D18:D48" xr:uid="{1299B6D5-B8EC-4DD6-BD2F-27F28E3CD831}">
      <formula1>$Z$18:$Z$29</formula1>
    </dataValidation>
    <dataValidation type="list" allowBlank="1" showInputMessage="1" showErrorMessage="1" sqref="I13" xr:uid="{377F728C-2589-4C82-8735-EA27AFBA221E}">
      <formula1>$K$9:$K$9</formula1>
    </dataValidation>
    <dataValidation type="list" allowBlank="1" showInputMessage="1" showErrorMessage="1" sqref="H13" xr:uid="{9D1C1C08-9CB9-4807-9A08-A60475140E45}">
      <formula1>$Y$13:$Y$14</formula1>
    </dataValidation>
    <dataValidation type="list" allowBlank="1" showInputMessage="1" showErrorMessage="1" sqref="F17 K17 Q17 Q14" xr:uid="{7796C93A-3017-4B8C-BC9F-56C11933F65E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B9F1D-7DE4-4461-83A5-72ED762C7FB4}">
  <sheetPr>
    <pageSetUpPr fitToPage="1"/>
  </sheetPr>
  <dimension ref="A1:AB51"/>
  <sheetViews>
    <sheetView zoomScale="85" zoomScaleNormal="85" workbookViewId="0">
      <selection activeCell="B19" sqref="B1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237" t="s">
        <v>41</v>
      </c>
      <c r="C1" s="154"/>
      <c r="D1" s="263" t="s">
        <v>17</v>
      </c>
      <c r="E1" s="132"/>
      <c r="F1" s="132"/>
      <c r="G1" s="133"/>
      <c r="H1" s="154" t="s">
        <v>21</v>
      </c>
      <c r="I1" s="132"/>
      <c r="J1" s="132"/>
      <c r="K1" s="133"/>
      <c r="L1" s="130" t="s">
        <v>25</v>
      </c>
      <c r="M1" s="131"/>
      <c r="N1" s="131"/>
      <c r="O1" s="131"/>
      <c r="P1" s="132" t="str">
        <f>K17</f>
        <v>CAD $</v>
      </c>
      <c r="Q1" s="132"/>
      <c r="R1" s="133"/>
      <c r="S1" s="154" t="s">
        <v>77</v>
      </c>
      <c r="T1" s="132"/>
      <c r="U1" s="132"/>
      <c r="V1" s="132"/>
      <c r="W1" s="133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/>
      <c r="D2" s="238" t="s">
        <v>40</v>
      </c>
      <c r="E2" s="240"/>
      <c r="F2" s="241" t="s">
        <v>247</v>
      </c>
      <c r="G2" s="242"/>
      <c r="H2" s="238" t="s">
        <v>20</v>
      </c>
      <c r="I2" s="239"/>
      <c r="J2" s="240"/>
      <c r="K2" s="34"/>
      <c r="L2" s="223" t="s">
        <v>18</v>
      </c>
      <c r="M2" s="224"/>
      <c r="N2" s="225"/>
      <c r="O2" s="120"/>
      <c r="P2" s="136">
        <f>H49</f>
        <v>87762.99</v>
      </c>
      <c r="Q2" s="136"/>
      <c r="R2" s="137"/>
      <c r="S2" s="203" t="s">
        <v>22</v>
      </c>
      <c r="T2" s="204"/>
      <c r="U2" s="166"/>
      <c r="V2" s="167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/>
      <c r="D3" s="232" t="s">
        <v>13</v>
      </c>
      <c r="E3" s="234"/>
      <c r="F3" s="235">
        <v>2018</v>
      </c>
      <c r="G3" s="236"/>
      <c r="H3" s="232" t="s">
        <v>19</v>
      </c>
      <c r="I3" s="233"/>
      <c r="J3" s="234"/>
      <c r="K3" s="32"/>
      <c r="L3" s="226" t="s">
        <v>23</v>
      </c>
      <c r="M3" s="227"/>
      <c r="N3" s="228"/>
      <c r="O3" s="120"/>
      <c r="P3" s="138">
        <f>L49</f>
        <v>36791.949999999997</v>
      </c>
      <c r="Q3" s="138"/>
      <c r="R3" s="139"/>
      <c r="S3" s="149" t="s">
        <v>61</v>
      </c>
      <c r="T3" s="151"/>
      <c r="U3" s="208"/>
      <c r="V3" s="209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83</v>
      </c>
      <c r="C4" s="4"/>
      <c r="D4" s="232" t="s">
        <v>14</v>
      </c>
      <c r="E4" s="234"/>
      <c r="F4" s="235" t="s">
        <v>223</v>
      </c>
      <c r="G4" s="236"/>
      <c r="H4" s="232" t="s">
        <v>27</v>
      </c>
      <c r="I4" s="233"/>
      <c r="J4" s="234"/>
      <c r="K4" s="32"/>
      <c r="L4" s="226" t="s">
        <v>26</v>
      </c>
      <c r="M4" s="227"/>
      <c r="N4" s="228"/>
      <c r="O4" s="120"/>
      <c r="P4" s="138">
        <f>P2-P3</f>
        <v>50971.040000000008</v>
      </c>
      <c r="Q4" s="138"/>
      <c r="R4" s="139"/>
      <c r="S4" s="149" t="s">
        <v>62</v>
      </c>
      <c r="T4" s="151"/>
      <c r="U4" s="208"/>
      <c r="V4" s="209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84</v>
      </c>
      <c r="C5" s="4"/>
      <c r="D5" s="232" t="s">
        <v>15</v>
      </c>
      <c r="E5" s="234"/>
      <c r="F5" s="235" t="s">
        <v>248</v>
      </c>
      <c r="G5" s="236"/>
      <c r="H5" s="232" t="s">
        <v>28</v>
      </c>
      <c r="I5" s="233"/>
      <c r="J5" s="234"/>
      <c r="K5" s="32"/>
      <c r="L5" s="229" t="s">
        <v>24</v>
      </c>
      <c r="M5" s="230"/>
      <c r="N5" s="231"/>
      <c r="O5" s="120"/>
      <c r="P5" s="215">
        <f>IFERROR((P2-P3)/P2,"")</f>
        <v>0.58078057732536237</v>
      </c>
      <c r="Q5" s="215"/>
      <c r="R5" s="216"/>
      <c r="S5" s="149" t="s">
        <v>63</v>
      </c>
      <c r="T5" s="151"/>
      <c r="U5" s="208"/>
      <c r="V5" s="209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85</v>
      </c>
      <c r="C6" s="30"/>
      <c r="D6" s="232" t="s">
        <v>16</v>
      </c>
      <c r="E6" s="234"/>
      <c r="F6" s="235" t="s">
        <v>249</v>
      </c>
      <c r="G6" s="236"/>
      <c r="H6" s="232" t="s">
        <v>29</v>
      </c>
      <c r="I6" s="233"/>
      <c r="J6" s="234"/>
      <c r="K6" s="32"/>
      <c r="L6" s="210" t="s">
        <v>70</v>
      </c>
      <c r="M6" s="211"/>
      <c r="N6" s="212"/>
      <c r="O6" s="120"/>
      <c r="P6" s="213">
        <f>T49</f>
        <v>36791.949999999997</v>
      </c>
      <c r="Q6" s="213"/>
      <c r="R6" s="214"/>
      <c r="S6" s="149" t="s">
        <v>59</v>
      </c>
      <c r="T6" s="151"/>
      <c r="U6" s="208"/>
      <c r="V6" s="209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/>
      <c r="D7" s="232" t="s">
        <v>56</v>
      </c>
      <c r="E7" s="234"/>
      <c r="F7" s="235"/>
      <c r="G7" s="236"/>
      <c r="H7" s="232" t="s">
        <v>30</v>
      </c>
      <c r="I7" s="233"/>
      <c r="J7" s="234"/>
      <c r="K7" s="32"/>
      <c r="L7" s="155" t="s">
        <v>79</v>
      </c>
      <c r="M7" s="156"/>
      <c r="N7" s="157"/>
      <c r="O7" s="120"/>
      <c r="P7" s="158">
        <f>R49</f>
        <v>0</v>
      </c>
      <c r="Q7" s="158"/>
      <c r="R7" s="159"/>
      <c r="S7" s="217" t="s">
        <v>60</v>
      </c>
      <c r="T7" s="218"/>
      <c r="U7" s="219"/>
      <c r="V7" s="220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232" t="s">
        <v>31</v>
      </c>
      <c r="E8" s="234"/>
      <c r="F8" s="235"/>
      <c r="G8" s="236"/>
      <c r="H8" s="232" t="s">
        <v>39</v>
      </c>
      <c r="I8" s="233"/>
      <c r="J8" s="234"/>
      <c r="K8" s="32"/>
      <c r="L8" s="155" t="s">
        <v>71</v>
      </c>
      <c r="M8" s="156"/>
      <c r="N8" s="157"/>
      <c r="O8" s="120"/>
      <c r="P8" s="158">
        <f>IF(P1=Q14,R14,IF(Q14="CAD $",R14*D15,IF(Q14="USD $",R14*E15,0)))</f>
        <v>0</v>
      </c>
      <c r="Q8" s="158"/>
      <c r="R8" s="159"/>
      <c r="S8" s="108" t="s">
        <v>66</v>
      </c>
      <c r="T8" s="109" t="s">
        <v>67</v>
      </c>
      <c r="U8" s="109" t="s">
        <v>72</v>
      </c>
      <c r="V8" s="110" t="s">
        <v>68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232" t="s">
        <v>57</v>
      </c>
      <c r="E9" s="234"/>
      <c r="F9" s="235"/>
      <c r="G9" s="236"/>
      <c r="H9" s="111"/>
      <c r="I9" s="112"/>
      <c r="J9" s="112"/>
      <c r="K9" s="43"/>
      <c r="L9" s="155" t="s">
        <v>69</v>
      </c>
      <c r="M9" s="156"/>
      <c r="N9" s="157"/>
      <c r="O9" s="120"/>
      <c r="P9" s="221">
        <f>V14</f>
        <v>0</v>
      </c>
      <c r="Q9" s="221"/>
      <c r="R9" s="222"/>
      <c r="S9" s="160">
        <f>P7+P8+P9</f>
        <v>0</v>
      </c>
      <c r="T9" s="160">
        <f>P3-S9</f>
        <v>36791.949999999997</v>
      </c>
      <c r="U9" s="162">
        <f>IFERROR(((P3-S9)/S9),0)</f>
        <v>0</v>
      </c>
      <c r="V9" s="162">
        <f>IFERROR(T9/P3,0)</f>
        <v>1</v>
      </c>
      <c r="W9" s="164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149" t="s">
        <v>82</v>
      </c>
      <c r="M10" s="150"/>
      <c r="N10" s="151"/>
      <c r="O10" s="120"/>
      <c r="P10" s="152">
        <f>E49</f>
        <v>21</v>
      </c>
      <c r="Q10" s="152"/>
      <c r="R10" s="153"/>
      <c r="S10" s="161"/>
      <c r="T10" s="161"/>
      <c r="U10" s="163"/>
      <c r="V10" s="163"/>
      <c r="W10" s="165"/>
      <c r="X10" s="64"/>
      <c r="Y10" s="61"/>
      <c r="Z10" s="61"/>
      <c r="AA10" s="61"/>
      <c r="AB10" s="61"/>
    </row>
    <row r="11" spans="1:28" ht="15" customHeight="1" x14ac:dyDescent="0.25">
      <c r="A11" s="55"/>
      <c r="B11" s="246"/>
      <c r="C11" s="247"/>
      <c r="D11" s="250" t="s">
        <v>36</v>
      </c>
      <c r="E11" s="251"/>
      <c r="F11" s="254" t="s">
        <v>18</v>
      </c>
      <c r="G11" s="141"/>
      <c r="H11" s="255"/>
      <c r="I11" s="90"/>
      <c r="J11" s="172" t="s">
        <v>43</v>
      </c>
      <c r="K11" s="173"/>
      <c r="L11" s="173"/>
      <c r="M11" s="173"/>
      <c r="N11" s="174"/>
      <c r="O11" s="120"/>
      <c r="P11" s="140" t="s">
        <v>42</v>
      </c>
      <c r="Q11" s="141"/>
      <c r="R11" s="141"/>
      <c r="S11" s="141"/>
      <c r="T11" s="141"/>
      <c r="U11" s="141"/>
      <c r="V11" s="142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248"/>
      <c r="C12" s="249"/>
      <c r="D12" s="252"/>
      <c r="E12" s="253"/>
      <c r="F12" s="256"/>
      <c r="G12" s="257"/>
      <c r="H12" s="258"/>
      <c r="I12" s="91"/>
      <c r="J12" s="175"/>
      <c r="K12" s="176"/>
      <c r="L12" s="176"/>
      <c r="M12" s="176"/>
      <c r="N12" s="177"/>
      <c r="O12" s="121"/>
      <c r="P12" s="143"/>
      <c r="Q12" s="144"/>
      <c r="R12" s="144"/>
      <c r="S12" s="144"/>
      <c r="T12" s="144"/>
      <c r="U12" s="144"/>
      <c r="V12" s="145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248"/>
      <c r="C13" s="249"/>
      <c r="D13" s="185"/>
      <c r="E13" s="186"/>
      <c r="F13" s="181" t="s">
        <v>81</v>
      </c>
      <c r="G13" s="182"/>
      <c r="H13" s="44" t="s">
        <v>32</v>
      </c>
      <c r="I13" s="92"/>
      <c r="J13" s="178"/>
      <c r="K13" s="179"/>
      <c r="L13" s="179"/>
      <c r="M13" s="179"/>
      <c r="N13" s="180"/>
      <c r="O13" s="121"/>
      <c r="P13" s="143"/>
      <c r="Q13" s="144"/>
      <c r="R13" s="144"/>
      <c r="S13" s="144"/>
      <c r="T13" s="144"/>
      <c r="U13" s="144"/>
      <c r="V13" s="145"/>
      <c r="W13" s="24"/>
      <c r="X13" s="65"/>
      <c r="Y13" s="61" t="s">
        <v>32</v>
      </c>
      <c r="Z13" s="61"/>
      <c r="AA13" s="61"/>
      <c r="AB13" s="61"/>
    </row>
    <row r="14" spans="1:28" ht="30" customHeight="1" x14ac:dyDescent="0.25">
      <c r="A14" s="55"/>
      <c r="B14" s="248"/>
      <c r="C14" s="249"/>
      <c r="D14" s="106" t="s">
        <v>34</v>
      </c>
      <c r="E14" s="107" t="s">
        <v>35</v>
      </c>
      <c r="F14" s="187" t="s">
        <v>87</v>
      </c>
      <c r="G14" s="188"/>
      <c r="H14" s="189"/>
      <c r="I14" s="93"/>
      <c r="J14" s="183" t="s">
        <v>88</v>
      </c>
      <c r="K14" s="184"/>
      <c r="L14" s="197" t="s">
        <v>89</v>
      </c>
      <c r="M14" s="198"/>
      <c r="N14" s="199"/>
      <c r="O14" s="122"/>
      <c r="P14" s="101" t="s">
        <v>86</v>
      </c>
      <c r="Q14" s="37" t="s">
        <v>8</v>
      </c>
      <c r="R14" s="45"/>
      <c r="S14" s="101" t="s">
        <v>80</v>
      </c>
      <c r="T14" s="46">
        <v>2.5000000000000001E-2</v>
      </c>
      <c r="U14" s="101" t="s">
        <v>65</v>
      </c>
      <c r="V14" s="100">
        <f>ROUND(R49*T14,2)</f>
        <v>0</v>
      </c>
      <c r="W14" s="25"/>
      <c r="X14" s="65"/>
      <c r="Y14" s="61" t="s">
        <v>33</v>
      </c>
      <c r="Z14" s="61"/>
      <c r="AA14" s="61"/>
      <c r="AB14" s="61"/>
    </row>
    <row r="15" spans="1:28" ht="15" customHeight="1" x14ac:dyDescent="0.25">
      <c r="A15" s="55"/>
      <c r="B15" s="248"/>
      <c r="C15" s="249"/>
      <c r="D15" s="119">
        <f>1/E15</f>
        <v>0.68965517241379315</v>
      </c>
      <c r="E15" s="7">
        <v>1.45</v>
      </c>
      <c r="F15" s="192"/>
      <c r="G15" s="193"/>
      <c r="H15" s="194"/>
      <c r="I15" s="94"/>
      <c r="J15" s="185"/>
      <c r="K15" s="186"/>
      <c r="L15" s="200"/>
      <c r="M15" s="201"/>
      <c r="N15" s="202"/>
      <c r="O15" s="122"/>
      <c r="P15" s="146" t="s">
        <v>78</v>
      </c>
      <c r="Q15" s="147"/>
      <c r="R15" s="147"/>
      <c r="S15" s="147"/>
      <c r="T15" s="147"/>
      <c r="U15" s="147"/>
      <c r="V15" s="148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243" t="s">
        <v>0</v>
      </c>
      <c r="C16" s="245" t="s">
        <v>1</v>
      </c>
      <c r="D16" s="259" t="s">
        <v>37</v>
      </c>
      <c r="E16" s="261" t="s">
        <v>2</v>
      </c>
      <c r="F16" s="190" t="s">
        <v>3</v>
      </c>
      <c r="G16" s="191"/>
      <c r="H16" s="104" t="s">
        <v>9</v>
      </c>
      <c r="I16" s="95"/>
      <c r="J16" s="168" t="s">
        <v>2</v>
      </c>
      <c r="K16" s="102" t="s">
        <v>6</v>
      </c>
      <c r="L16" s="99" t="s">
        <v>4</v>
      </c>
      <c r="M16" s="195" t="s">
        <v>90</v>
      </c>
      <c r="N16" s="195" t="s">
        <v>91</v>
      </c>
      <c r="O16" s="123"/>
      <c r="P16" s="134" t="s">
        <v>5</v>
      </c>
      <c r="Q16" s="97" t="s">
        <v>73</v>
      </c>
      <c r="R16" s="97" t="s">
        <v>75</v>
      </c>
      <c r="S16" s="98" t="s">
        <v>74</v>
      </c>
      <c r="T16" s="98" t="s">
        <v>76</v>
      </c>
      <c r="U16" s="99" t="s">
        <v>64</v>
      </c>
      <c r="V16" s="99" t="s">
        <v>58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244"/>
      <c r="C17" s="190"/>
      <c r="D17" s="260"/>
      <c r="E17" s="262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169"/>
      <c r="K17" s="170" t="s">
        <v>7</v>
      </c>
      <c r="L17" s="171"/>
      <c r="M17" s="196"/>
      <c r="N17" s="196"/>
      <c r="O17" s="124"/>
      <c r="P17" s="135"/>
      <c r="Q17" s="37" t="s">
        <v>8</v>
      </c>
      <c r="R17" s="205" t="str">
        <f>K17</f>
        <v>CAD $</v>
      </c>
      <c r="S17" s="206"/>
      <c r="T17" s="206"/>
      <c r="U17" s="206"/>
      <c r="V17" s="207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257</v>
      </c>
      <c r="C18" s="5" t="s">
        <v>98</v>
      </c>
      <c r="D18" s="125">
        <v>500</v>
      </c>
      <c r="E18" s="53">
        <v>1</v>
      </c>
      <c r="F18" s="8">
        <v>27.544799999999999</v>
      </c>
      <c r="G18" s="9">
        <f>ROUND(IF($F$17="USD $", F18*$E$15,F18*$D$15),2)</f>
        <v>19</v>
      </c>
      <c r="H18" s="10">
        <f>ROUND(IF($H$17=$G$17,E18*G18,E18*F18),2)</f>
        <v>27.54</v>
      </c>
      <c r="I18" s="11"/>
      <c r="J18" s="89">
        <f t="shared" ref="J18:J48" si="0">E18</f>
        <v>1</v>
      </c>
      <c r="K18" s="9">
        <f>IFERROR(IF(M18="OEM DISC %",ROUND(IF($K$17=$F$17,F18*(1-N18),G18*(1-N18)),2),IF(M18="MARKUP %",ROUND(R18/J18*(1+N18),2))),0)</f>
        <v>13.77</v>
      </c>
      <c r="L18" s="9">
        <f>ROUND((J18*K18),2)</f>
        <v>13.77</v>
      </c>
      <c r="M18" s="8" t="s">
        <v>92</v>
      </c>
      <c r="N18" s="36">
        <v>0.5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13.77</v>
      </c>
      <c r="T18" s="14">
        <f>ROUND(L18-R18,2)</f>
        <v>13.77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228</v>
      </c>
      <c r="C19" s="4" t="s">
        <v>110</v>
      </c>
      <c r="D19" s="126">
        <v>500</v>
      </c>
      <c r="E19" s="54">
        <v>1</v>
      </c>
      <c r="F19" s="15">
        <v>41.110199999999999</v>
      </c>
      <c r="G19" s="38">
        <f t="shared" ref="G19:G48" si="1">ROUND(IF($F$17="USD $", F19*$E$15,F19*$D$15),2)</f>
        <v>28.35</v>
      </c>
      <c r="H19" s="39">
        <f t="shared" ref="H19:H48" si="2">ROUND(IF($H$17=$G$17,E19*G19,E19*F19),2)</f>
        <v>41.11</v>
      </c>
      <c r="I19" s="42"/>
      <c r="J19" s="88">
        <f t="shared" si="0"/>
        <v>1</v>
      </c>
      <c r="K19" s="38">
        <f t="shared" ref="K19:K48" si="3">IFERROR(IF(M19="OEM DISC %",ROUND(IF($K$17=$F$17,F19*(1-N19),G19*(1-N19)),2),IF(M19="MARKUP %",ROUND(R19/J19*(1+N19),2))),0)</f>
        <v>20.56</v>
      </c>
      <c r="L19" s="38">
        <f t="shared" ref="L19:L48" si="4">ROUND((J19*K19),2)</f>
        <v>20.56</v>
      </c>
      <c r="M19" s="129" t="s">
        <v>92</v>
      </c>
      <c r="N19" s="16">
        <v>0.5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48" si="5">IFERROR(ROUND(T19/E19,2),0)</f>
        <v>20.56</v>
      </c>
      <c r="T19" s="52">
        <f t="shared" ref="T19:T48" si="6">ROUND(L19-R19,2)</f>
        <v>20.56</v>
      </c>
      <c r="U19" s="41">
        <f t="shared" ref="U19:U48" si="7">IFERROR(((K19-(R19/J19))/(R19/J19)),0)</f>
        <v>0</v>
      </c>
      <c r="V19" s="41">
        <f t="shared" ref="V19:V48" si="8">IFERROR(((K19-(R19/J19))/K19),0)</f>
        <v>1</v>
      </c>
      <c r="W19" s="28"/>
      <c r="X19" s="50"/>
      <c r="Y19" s="61" t="s">
        <v>44</v>
      </c>
      <c r="Z19" s="61">
        <v>500</v>
      </c>
      <c r="AA19" s="61"/>
      <c r="AB19" s="61"/>
    </row>
    <row r="20" spans="1:28" x14ac:dyDescent="0.25">
      <c r="A20" s="55"/>
      <c r="B20" s="2" t="s">
        <v>229</v>
      </c>
      <c r="C20" s="6" t="s">
        <v>213</v>
      </c>
      <c r="D20" s="127">
        <v>1000</v>
      </c>
      <c r="E20" s="53">
        <v>1</v>
      </c>
      <c r="F20" s="8">
        <v>236.93219999999997</v>
      </c>
      <c r="G20" s="9">
        <f t="shared" si="1"/>
        <v>163.4</v>
      </c>
      <c r="H20" s="10">
        <f t="shared" si="2"/>
        <v>236.93</v>
      </c>
      <c r="I20" s="42"/>
      <c r="J20" s="89">
        <f t="shared" si="0"/>
        <v>1</v>
      </c>
      <c r="K20" s="9">
        <f t="shared" si="3"/>
        <v>154.01</v>
      </c>
      <c r="L20" s="9">
        <f t="shared" si="4"/>
        <v>154.01</v>
      </c>
      <c r="M20" s="8" t="s">
        <v>92</v>
      </c>
      <c r="N20" s="12">
        <v>0.35</v>
      </c>
      <c r="O20" s="51"/>
      <c r="P20" s="3"/>
      <c r="Q20" s="13"/>
      <c r="R20" s="14">
        <f t="shared" ref="R20:R48" si="9">ROUND(IF($R$17=$Q$17,Q20,IF($R$17="USD $",Q20*$D$15,Q20*$E$15))*E20,2)</f>
        <v>0</v>
      </c>
      <c r="S20" s="14">
        <f t="shared" si="5"/>
        <v>154.01</v>
      </c>
      <c r="T20" s="14">
        <f t="shared" si="6"/>
        <v>154.01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45</v>
      </c>
      <c r="Z20" s="61">
        <v>750</v>
      </c>
      <c r="AA20" s="61"/>
      <c r="AB20" s="61"/>
    </row>
    <row r="21" spans="1:28" x14ac:dyDescent="0.25">
      <c r="A21" s="55"/>
      <c r="B21" s="1" t="s">
        <v>230</v>
      </c>
      <c r="C21" s="4" t="s">
        <v>215</v>
      </c>
      <c r="D21" s="126">
        <v>1000</v>
      </c>
      <c r="E21" s="54">
        <v>1</v>
      </c>
      <c r="F21" s="15">
        <v>93.398399999999995</v>
      </c>
      <c r="G21" s="38">
        <f t="shared" si="1"/>
        <v>64.41</v>
      </c>
      <c r="H21" s="39">
        <f t="shared" si="2"/>
        <v>93.4</v>
      </c>
      <c r="I21" s="42"/>
      <c r="J21" s="88">
        <f t="shared" si="0"/>
        <v>1</v>
      </c>
      <c r="K21" s="38">
        <f t="shared" si="3"/>
        <v>60.71</v>
      </c>
      <c r="L21" s="38">
        <f t="shared" si="4"/>
        <v>60.71</v>
      </c>
      <c r="M21" s="129" t="s">
        <v>92</v>
      </c>
      <c r="N21" s="16">
        <v>0.35</v>
      </c>
      <c r="O21" s="51"/>
      <c r="P21" s="1"/>
      <c r="Q21" s="15"/>
      <c r="R21" s="40">
        <f t="shared" si="9"/>
        <v>0</v>
      </c>
      <c r="S21" s="52">
        <f t="shared" si="5"/>
        <v>60.71</v>
      </c>
      <c r="T21" s="52">
        <f t="shared" si="6"/>
        <v>60.71</v>
      </c>
      <c r="U21" s="41">
        <f t="shared" si="7"/>
        <v>0</v>
      </c>
      <c r="V21" s="41">
        <f t="shared" si="8"/>
        <v>1</v>
      </c>
      <c r="W21" s="28"/>
      <c r="X21" s="50"/>
      <c r="Y21" s="61" t="s">
        <v>46</v>
      </c>
      <c r="Z21" s="61">
        <v>1000</v>
      </c>
      <c r="AA21" s="61"/>
      <c r="AB21" s="61"/>
    </row>
    <row r="22" spans="1:28" x14ac:dyDescent="0.25">
      <c r="A22" s="55"/>
      <c r="B22" s="2" t="s">
        <v>231</v>
      </c>
      <c r="C22" s="6" t="s">
        <v>110</v>
      </c>
      <c r="D22" s="127">
        <v>500</v>
      </c>
      <c r="E22" s="53">
        <v>1</v>
      </c>
      <c r="F22" s="8">
        <v>47.306399999999996</v>
      </c>
      <c r="G22" s="9">
        <f t="shared" si="1"/>
        <v>32.630000000000003</v>
      </c>
      <c r="H22" s="10">
        <f t="shared" si="2"/>
        <v>47.31</v>
      </c>
      <c r="I22" s="42"/>
      <c r="J22" s="89">
        <f t="shared" si="0"/>
        <v>1</v>
      </c>
      <c r="K22" s="9">
        <f t="shared" si="3"/>
        <v>23.65</v>
      </c>
      <c r="L22" s="9">
        <f t="shared" si="4"/>
        <v>23.65</v>
      </c>
      <c r="M22" s="8" t="s">
        <v>92</v>
      </c>
      <c r="N22" s="12">
        <v>0.5</v>
      </c>
      <c r="O22" s="51"/>
      <c r="P22" s="3"/>
      <c r="Q22" s="13"/>
      <c r="R22" s="14">
        <f t="shared" si="9"/>
        <v>0</v>
      </c>
      <c r="S22" s="14">
        <f t="shared" si="5"/>
        <v>23.65</v>
      </c>
      <c r="T22" s="14">
        <f t="shared" si="6"/>
        <v>23.65</v>
      </c>
      <c r="U22" s="29">
        <f t="shared" si="7"/>
        <v>0</v>
      </c>
      <c r="V22" s="29">
        <f t="shared" si="8"/>
        <v>1</v>
      </c>
      <c r="W22" s="27"/>
      <c r="X22" s="50"/>
      <c r="Y22" s="61" t="s">
        <v>51</v>
      </c>
      <c r="Z22" s="61">
        <v>1200</v>
      </c>
      <c r="AA22" s="61"/>
      <c r="AB22" s="61"/>
    </row>
    <row r="23" spans="1:28" x14ac:dyDescent="0.25">
      <c r="A23" s="55"/>
      <c r="B23" s="1" t="s">
        <v>232</v>
      </c>
      <c r="C23" s="4" t="s">
        <v>233</v>
      </c>
      <c r="D23" s="126">
        <v>1000</v>
      </c>
      <c r="E23" s="54">
        <v>1</v>
      </c>
      <c r="F23" s="15">
        <v>70.76639999999999</v>
      </c>
      <c r="G23" s="38">
        <f t="shared" si="1"/>
        <v>48.8</v>
      </c>
      <c r="H23" s="39">
        <f t="shared" si="2"/>
        <v>70.77</v>
      </c>
      <c r="I23" s="42"/>
      <c r="J23" s="88">
        <f t="shared" si="0"/>
        <v>1</v>
      </c>
      <c r="K23" s="38">
        <f t="shared" si="3"/>
        <v>35.380000000000003</v>
      </c>
      <c r="L23" s="38">
        <f t="shared" si="4"/>
        <v>35.380000000000003</v>
      </c>
      <c r="M23" s="129" t="s">
        <v>92</v>
      </c>
      <c r="N23" s="16">
        <v>0.5</v>
      </c>
      <c r="O23" s="51"/>
      <c r="P23" s="1"/>
      <c r="Q23" s="15"/>
      <c r="R23" s="40">
        <f t="shared" si="9"/>
        <v>0</v>
      </c>
      <c r="S23" s="52">
        <f t="shared" si="5"/>
        <v>35.380000000000003</v>
      </c>
      <c r="T23" s="52">
        <f t="shared" si="6"/>
        <v>35.380000000000003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47</v>
      </c>
      <c r="Z23" s="61">
        <v>2000</v>
      </c>
      <c r="AA23" s="61"/>
      <c r="AB23" s="61"/>
    </row>
    <row r="24" spans="1:28" x14ac:dyDescent="0.25">
      <c r="A24" s="55"/>
      <c r="B24" s="2" t="s">
        <v>234</v>
      </c>
      <c r="C24" s="6" t="s">
        <v>217</v>
      </c>
      <c r="D24" s="127" t="s">
        <v>50</v>
      </c>
      <c r="E24" s="53">
        <v>1</v>
      </c>
      <c r="F24" s="8">
        <v>151.97939999999997</v>
      </c>
      <c r="G24" s="9">
        <f t="shared" si="1"/>
        <v>104.81</v>
      </c>
      <c r="H24" s="10">
        <f t="shared" si="2"/>
        <v>151.97999999999999</v>
      </c>
      <c r="I24" s="42"/>
      <c r="J24" s="89">
        <f t="shared" si="0"/>
        <v>1</v>
      </c>
      <c r="K24" s="9">
        <f t="shared" si="3"/>
        <v>98.79</v>
      </c>
      <c r="L24" s="9">
        <f t="shared" si="4"/>
        <v>98.79</v>
      </c>
      <c r="M24" s="8" t="s">
        <v>92</v>
      </c>
      <c r="N24" s="12">
        <v>0.35</v>
      </c>
      <c r="O24" s="51"/>
      <c r="P24" s="3"/>
      <c r="Q24" s="13"/>
      <c r="R24" s="14">
        <f t="shared" si="9"/>
        <v>0</v>
      </c>
      <c r="S24" s="14">
        <f t="shared" si="5"/>
        <v>98.79</v>
      </c>
      <c r="T24" s="14">
        <f t="shared" si="6"/>
        <v>98.79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52</v>
      </c>
      <c r="Z24" s="61">
        <v>4000</v>
      </c>
      <c r="AA24" s="61"/>
      <c r="AB24" s="61"/>
    </row>
    <row r="25" spans="1:28" x14ac:dyDescent="0.25">
      <c r="A25" s="55"/>
      <c r="B25" s="1" t="s">
        <v>235</v>
      </c>
      <c r="C25" s="4" t="s">
        <v>217</v>
      </c>
      <c r="D25" s="126" t="s">
        <v>50</v>
      </c>
      <c r="E25" s="54">
        <v>1</v>
      </c>
      <c r="F25" s="15">
        <v>123.9378</v>
      </c>
      <c r="G25" s="38">
        <f t="shared" si="1"/>
        <v>85.47</v>
      </c>
      <c r="H25" s="39">
        <f t="shared" si="2"/>
        <v>123.94</v>
      </c>
      <c r="I25" s="42"/>
      <c r="J25" s="88">
        <f t="shared" si="0"/>
        <v>1</v>
      </c>
      <c r="K25" s="38">
        <f t="shared" si="3"/>
        <v>80.56</v>
      </c>
      <c r="L25" s="38">
        <f t="shared" si="4"/>
        <v>80.56</v>
      </c>
      <c r="M25" s="129" t="s">
        <v>92</v>
      </c>
      <c r="N25" s="16">
        <v>0.35</v>
      </c>
      <c r="O25" s="51"/>
      <c r="P25" s="1"/>
      <c r="Q25" s="15"/>
      <c r="R25" s="40">
        <f t="shared" si="9"/>
        <v>0</v>
      </c>
      <c r="S25" s="52">
        <f t="shared" si="5"/>
        <v>80.56</v>
      </c>
      <c r="T25" s="52">
        <f t="shared" si="6"/>
        <v>80.56</v>
      </c>
      <c r="U25" s="41">
        <f t="shared" si="7"/>
        <v>0</v>
      </c>
      <c r="V25" s="41">
        <f t="shared" si="8"/>
        <v>1</v>
      </c>
      <c r="W25" s="28"/>
      <c r="X25" s="50"/>
      <c r="Y25" s="61" t="s">
        <v>48</v>
      </c>
      <c r="Z25" s="61">
        <v>6000</v>
      </c>
      <c r="AA25" s="61"/>
      <c r="AB25" s="61"/>
    </row>
    <row r="26" spans="1:28" x14ac:dyDescent="0.25">
      <c r="A26" s="55"/>
      <c r="B26" s="2" t="s">
        <v>256</v>
      </c>
      <c r="C26" s="6" t="s">
        <v>121</v>
      </c>
      <c r="D26" s="127" t="s">
        <v>50</v>
      </c>
      <c r="E26" s="53">
        <v>1</v>
      </c>
      <c r="F26" s="8">
        <v>2168.3801999999996</v>
      </c>
      <c r="G26" s="9">
        <f t="shared" si="1"/>
        <v>1495.43</v>
      </c>
      <c r="H26" s="10">
        <f t="shared" si="2"/>
        <v>2168.38</v>
      </c>
      <c r="I26" s="42"/>
      <c r="J26" s="89">
        <f t="shared" si="0"/>
        <v>1</v>
      </c>
      <c r="K26" s="9">
        <f t="shared" si="3"/>
        <v>1084.19</v>
      </c>
      <c r="L26" s="9">
        <f t="shared" si="4"/>
        <v>1084.19</v>
      </c>
      <c r="M26" s="8" t="s">
        <v>92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1084.19</v>
      </c>
      <c r="T26" s="14">
        <f t="shared" si="6"/>
        <v>1084.19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49</v>
      </c>
      <c r="Z26" s="61">
        <v>8000</v>
      </c>
      <c r="AA26" s="61"/>
      <c r="AB26" s="61"/>
    </row>
    <row r="27" spans="1:28" x14ac:dyDescent="0.25">
      <c r="A27" s="55"/>
      <c r="B27" s="1" t="s">
        <v>236</v>
      </c>
      <c r="C27" s="4" t="s">
        <v>117</v>
      </c>
      <c r="D27" s="126" t="s">
        <v>50</v>
      </c>
      <c r="E27" s="54">
        <v>1</v>
      </c>
      <c r="F27" s="15">
        <v>5593.070999999999</v>
      </c>
      <c r="G27" s="38">
        <f t="shared" si="1"/>
        <v>3857.29</v>
      </c>
      <c r="H27" s="39">
        <f t="shared" si="2"/>
        <v>5593.07</v>
      </c>
      <c r="I27" s="42"/>
      <c r="J27" s="88">
        <f t="shared" si="0"/>
        <v>1</v>
      </c>
      <c r="K27" s="38">
        <f t="shared" si="3"/>
        <v>2796.54</v>
      </c>
      <c r="L27" s="38">
        <f t="shared" si="4"/>
        <v>2796.54</v>
      </c>
      <c r="M27" s="129" t="s">
        <v>92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2796.54</v>
      </c>
      <c r="T27" s="52">
        <f t="shared" si="6"/>
        <v>2796.54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53</v>
      </c>
      <c r="Z27" s="73">
        <v>10000</v>
      </c>
      <c r="AA27" s="61"/>
      <c r="AB27" s="61"/>
    </row>
    <row r="28" spans="1:28" x14ac:dyDescent="0.25">
      <c r="A28" s="55"/>
      <c r="B28" s="2" t="s">
        <v>237</v>
      </c>
      <c r="C28" s="6" t="s">
        <v>119</v>
      </c>
      <c r="D28" s="127" t="s">
        <v>50</v>
      </c>
      <c r="E28" s="53">
        <v>1</v>
      </c>
      <c r="F28" s="8">
        <v>798.04019999999991</v>
      </c>
      <c r="G28" s="9">
        <f t="shared" si="1"/>
        <v>550.37</v>
      </c>
      <c r="H28" s="10">
        <f t="shared" si="2"/>
        <v>798.04</v>
      </c>
      <c r="I28" s="42"/>
      <c r="J28" s="89">
        <f t="shared" si="0"/>
        <v>1</v>
      </c>
      <c r="K28" s="9">
        <f t="shared" si="3"/>
        <v>399.02</v>
      </c>
      <c r="L28" s="9">
        <f t="shared" si="4"/>
        <v>399.02</v>
      </c>
      <c r="M28" s="8" t="s">
        <v>92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399.02</v>
      </c>
      <c r="T28" s="14">
        <f t="shared" si="6"/>
        <v>399.02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54</v>
      </c>
      <c r="Z28" s="61" t="s">
        <v>50</v>
      </c>
      <c r="AA28" s="61"/>
      <c r="AB28" s="61"/>
    </row>
    <row r="29" spans="1:28" x14ac:dyDescent="0.25">
      <c r="A29" s="55"/>
      <c r="B29" s="1" t="s">
        <v>238</v>
      </c>
      <c r="C29" s="4" t="s">
        <v>219</v>
      </c>
      <c r="D29" s="126" t="s">
        <v>50</v>
      </c>
      <c r="E29" s="54">
        <v>6</v>
      </c>
      <c r="F29" s="15">
        <v>228.54179999999999</v>
      </c>
      <c r="G29" s="38">
        <f>ROUND(IF($F$17="USD $", F29*$E$15,F29*$D$15),2)</f>
        <v>157.62</v>
      </c>
      <c r="H29" s="39">
        <f>ROUND(IF($H$17=$G$17,E29*G29,E29*F29),2)</f>
        <v>1371.25</v>
      </c>
      <c r="I29" s="42"/>
      <c r="J29" s="88">
        <f t="shared" si="0"/>
        <v>6</v>
      </c>
      <c r="K29" s="38">
        <f t="shared" si="3"/>
        <v>159.97999999999999</v>
      </c>
      <c r="L29" s="38">
        <f>ROUND((J29*K29),2)</f>
        <v>959.88</v>
      </c>
      <c r="M29" s="129" t="s">
        <v>92</v>
      </c>
      <c r="N29" s="16">
        <v>0.3</v>
      </c>
      <c r="O29" s="51"/>
      <c r="P29" s="1"/>
      <c r="Q29" s="15"/>
      <c r="R29" s="40">
        <f t="shared" si="9"/>
        <v>0</v>
      </c>
      <c r="S29" s="52">
        <f t="shared" si="5"/>
        <v>159.97999999999999</v>
      </c>
      <c r="T29" s="52">
        <f t="shared" si="6"/>
        <v>959.88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55</v>
      </c>
      <c r="Z29" s="61"/>
      <c r="AA29" s="61"/>
      <c r="AB29" s="61"/>
    </row>
    <row r="30" spans="1:28" x14ac:dyDescent="0.25">
      <c r="A30" s="55"/>
      <c r="B30" s="2" t="s">
        <v>239</v>
      </c>
      <c r="C30" s="6" t="s">
        <v>221</v>
      </c>
      <c r="D30" s="127" t="s">
        <v>50</v>
      </c>
      <c r="E30" s="53">
        <v>2</v>
      </c>
      <c r="F30" s="8">
        <v>575.41859999999997</v>
      </c>
      <c r="G30" s="9">
        <f t="shared" si="1"/>
        <v>396.84</v>
      </c>
      <c r="H30" s="10">
        <f t="shared" si="2"/>
        <v>1150.8399999999999</v>
      </c>
      <c r="I30" s="42"/>
      <c r="J30" s="89">
        <f t="shared" si="0"/>
        <v>2</v>
      </c>
      <c r="K30" s="9">
        <f t="shared" si="3"/>
        <v>287.70999999999998</v>
      </c>
      <c r="L30" s="9">
        <f t="shared" si="4"/>
        <v>575.41999999999996</v>
      </c>
      <c r="M30" s="8" t="s">
        <v>92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287.70999999999998</v>
      </c>
      <c r="T30" s="14">
        <f t="shared" si="6"/>
        <v>575.41999999999996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240</v>
      </c>
      <c r="C31" s="4" t="s">
        <v>241</v>
      </c>
      <c r="D31" s="126" t="s">
        <v>50</v>
      </c>
      <c r="E31" s="54">
        <v>1</v>
      </c>
      <c r="F31" s="15">
        <v>1340.9736</v>
      </c>
      <c r="G31" s="38">
        <f t="shared" si="1"/>
        <v>924.81</v>
      </c>
      <c r="H31" s="39">
        <f t="shared" si="2"/>
        <v>1340.97</v>
      </c>
      <c r="I31" s="42"/>
      <c r="J31" s="88">
        <f t="shared" si="0"/>
        <v>1</v>
      </c>
      <c r="K31" s="38">
        <f t="shared" si="3"/>
        <v>670.49</v>
      </c>
      <c r="L31" s="38">
        <f t="shared" si="4"/>
        <v>670.49</v>
      </c>
      <c r="M31" s="129" t="s">
        <v>92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670.49</v>
      </c>
      <c r="T31" s="52">
        <f t="shared" si="6"/>
        <v>670.49</v>
      </c>
      <c r="U31" s="41">
        <f t="shared" si="7"/>
        <v>0</v>
      </c>
      <c r="V31" s="41">
        <f t="shared" si="8"/>
        <v>1</v>
      </c>
      <c r="W31" s="28"/>
      <c r="X31" s="50"/>
      <c r="Y31" s="61" t="s">
        <v>92</v>
      </c>
      <c r="Z31" s="61"/>
      <c r="AA31" s="61"/>
      <c r="AB31" s="61"/>
    </row>
    <row r="32" spans="1:28" x14ac:dyDescent="0.25">
      <c r="A32" s="55"/>
      <c r="B32" s="2"/>
      <c r="C32" s="6"/>
      <c r="D32" s="127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92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93</v>
      </c>
      <c r="Z32" s="61"/>
      <c r="AA32" s="61"/>
      <c r="AB32" s="61"/>
    </row>
    <row r="33" spans="1:28" x14ac:dyDescent="0.25">
      <c r="A33" s="55"/>
      <c r="B33" s="1" t="s">
        <v>250</v>
      </c>
      <c r="C33" s="4" t="s">
        <v>251</v>
      </c>
      <c r="D33" s="126" t="s">
        <v>50</v>
      </c>
      <c r="E33" s="54">
        <v>1</v>
      </c>
      <c r="F33" s="15">
        <v>74547.460000000006</v>
      </c>
      <c r="G33" s="38">
        <f t="shared" si="1"/>
        <v>51412.04</v>
      </c>
      <c r="H33" s="39">
        <f t="shared" si="2"/>
        <v>74547.460000000006</v>
      </c>
      <c r="I33" s="42"/>
      <c r="J33" s="88">
        <f t="shared" si="0"/>
        <v>1</v>
      </c>
      <c r="K33" s="38">
        <f t="shared" si="3"/>
        <v>29818.98</v>
      </c>
      <c r="L33" s="38">
        <f t="shared" si="4"/>
        <v>29818.98</v>
      </c>
      <c r="M33" s="129" t="s">
        <v>92</v>
      </c>
      <c r="N33" s="16">
        <v>0.6</v>
      </c>
      <c r="O33" s="51"/>
      <c r="P33" s="1"/>
      <c r="Q33" s="15"/>
      <c r="R33" s="40">
        <f t="shared" si="9"/>
        <v>0</v>
      </c>
      <c r="S33" s="52">
        <f t="shared" si="5"/>
        <v>29818.98</v>
      </c>
      <c r="T33" s="52">
        <f t="shared" si="6"/>
        <v>29818.98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27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92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6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29" t="s">
        <v>92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27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92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6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29" t="s">
        <v>92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27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92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6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29" t="s">
        <v>92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27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92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6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29" t="s">
        <v>92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27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93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6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29" t="s">
        <v>92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27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92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6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29" t="s">
        <v>92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27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92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6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29" t="s">
        <v>92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27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92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4" ht="20.25" customHeight="1" x14ac:dyDescent="0.25">
      <c r="A49" s="57"/>
      <c r="B49" s="75"/>
      <c r="C49" s="75"/>
      <c r="D49" s="128" t="s">
        <v>38</v>
      </c>
      <c r="E49" s="77">
        <f>SUM(E18:E48)</f>
        <v>21</v>
      </c>
      <c r="F49" s="78">
        <f>SUM(F18:F48)</f>
        <v>86044.861000000004</v>
      </c>
      <c r="G49" s="79">
        <f>SUM(G18:G48)</f>
        <v>59341.270000000004</v>
      </c>
      <c r="H49" s="80">
        <f>SUM(H18:H48)</f>
        <v>87762.99</v>
      </c>
      <c r="I49" s="81"/>
      <c r="J49" s="82">
        <f>SUM(J18:J48)</f>
        <v>21</v>
      </c>
      <c r="K49" s="79">
        <f>SUM(K18:K48)</f>
        <v>35704.339999999997</v>
      </c>
      <c r="L49" s="80">
        <f>SUM(L18:L48)</f>
        <v>36791.949999999997</v>
      </c>
      <c r="M49" s="80"/>
      <c r="N49" s="80"/>
      <c r="O49" s="83"/>
      <c r="P49" s="76"/>
      <c r="Q49" s="79">
        <f>SUM(Q18:Q48)</f>
        <v>0</v>
      </c>
      <c r="R49" s="79">
        <f>SUM(R18:R48)</f>
        <v>0</v>
      </c>
      <c r="S49" s="80">
        <f>SUM(S18:S48)</f>
        <v>35704.339999999997</v>
      </c>
      <c r="T49" s="80">
        <f>SUM(T18:T48)</f>
        <v>36791.949999999997</v>
      </c>
      <c r="U49" s="84"/>
      <c r="V49" s="84"/>
      <c r="W49" s="85"/>
      <c r="X49" s="74"/>
    </row>
    <row r="51" spans="1:24" ht="15" customHeight="1" x14ac:dyDescent="0.25">
      <c r="U51" s="87"/>
    </row>
  </sheetData>
  <sheetProtection algorithmName="SHA-512" hashValue="RqU7x84F13CXEgJVNSvsdpyMt+Ve4Ly0ZbKUT9ERKRn93M4X9CNY34DWxIhHASim/3Gswlq7CJS8t2KzVUk6tA==" saltValue="nxysM9UR8Xc7+TAPB//OUQ==" spinCount="100000" sheet="1" selectLockedCells="1"/>
  <mergeCells count="86"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  <mergeCell ref="P11:V13"/>
    <mergeCell ref="F13:G13"/>
    <mergeCell ref="F14:H14"/>
    <mergeCell ref="J14:K15"/>
    <mergeCell ref="L14:N15"/>
    <mergeCell ref="F15:H15"/>
    <mergeCell ref="S9:S10"/>
    <mergeCell ref="T9:T10"/>
    <mergeCell ref="U9:U10"/>
    <mergeCell ref="V9:V10"/>
    <mergeCell ref="W9:W10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S1:W1"/>
    <mergeCell ref="B1:C1"/>
    <mergeCell ref="D1:G1"/>
    <mergeCell ref="H1:K1"/>
    <mergeCell ref="L1:O1"/>
    <mergeCell ref="P1:R1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F17 K17 Q17 Q14" xr:uid="{0F01A1E8-A06C-44B8-85EA-5BF69B2E83A7}">
      <formula1>$Y$11:$Y$12</formula1>
    </dataValidation>
    <dataValidation type="list" allowBlank="1" showInputMessage="1" showErrorMessage="1" sqref="H13" xr:uid="{60A9FCC6-0621-4157-B9FC-3A1CA23A3FF7}">
      <formula1>$Y$13:$Y$14</formula1>
    </dataValidation>
    <dataValidation type="list" allowBlank="1" showInputMessage="1" showErrorMessage="1" sqref="I13" xr:uid="{04C9E39B-4C96-4AD2-B22A-BE5B0413A0C8}">
      <formula1>$K$9:$K$9</formula1>
    </dataValidation>
    <dataValidation type="list" showInputMessage="1" showErrorMessage="1" sqref="D18:D48" xr:uid="{05067C2A-B170-484F-A1A2-F0C8935591C3}">
      <formula1>$Z$18:$Z$29</formula1>
    </dataValidation>
    <dataValidation type="list" allowBlank="1" showInputMessage="1" showErrorMessage="1" sqref="M18:M48" xr:uid="{94DD45DF-CC6E-46A6-BC09-9A1F49D7AE4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CAT PL61 (DHA)</vt:lpstr>
      <vt:lpstr>CAT PL61 (WGS)</vt:lpstr>
      <vt:lpstr>CAT D6D (06X)</vt:lpstr>
      <vt:lpstr>CAT D7G (DSC)</vt:lpstr>
      <vt:lpstr>CAT D7G (DSC) (2)</vt:lpstr>
      <vt:lpstr>CAT D7G (DSC) (3)</vt:lpstr>
      <vt:lpstr>CAT D7G (SUB)</vt:lpstr>
      <vt:lpstr>CAT D7G (3ZD)</vt:lpstr>
      <vt:lpstr>CAT 572R (DSC)</vt:lpstr>
      <vt:lpstr>CAT 572R (DSC) (2)</vt:lpstr>
      <vt:lpstr>CAT 583T (CMX)</vt:lpstr>
      <vt:lpstr>CAT 589 (31Z)</vt:lpstr>
      <vt:lpstr>CAT 594 (96V)</vt:lpstr>
      <vt:lpstr>CAT 594H (96V)</vt:lpstr>
      <vt:lpstr>CAT DK8 (893)</vt:lpstr>
      <vt:lpstr>CAT DK8 (950)</vt:lpstr>
      <vt:lpstr>JD 470GLC (1FF)</vt:lpstr>
      <vt:lpstr>HITACHI 470GLC (HCM)</vt:lpstr>
      <vt:lpstr>HITACHI ZX290LC-5 (1FF)</vt:lpstr>
      <vt:lpstr>HITACHI ZX290LC-5 (1FF) (2)</vt:lpstr>
      <vt:lpstr>HITACHI ZX290LC-5 (1FF)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procurement globalmachineryauctions.com</cp:lastModifiedBy>
  <cp:lastPrinted>2024-08-01T22:01:56Z</cp:lastPrinted>
  <dcterms:created xsi:type="dcterms:W3CDTF">2024-03-27T02:49:14Z</dcterms:created>
  <dcterms:modified xsi:type="dcterms:W3CDTF">2025-09-15T21:02:05Z</dcterms:modified>
</cp:coreProperties>
</file>