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EED3FF65-8A3C-4A6D-BF15-6129A0EEAD7E}" xr6:coauthVersionLast="47" xr6:coauthVersionMax="47" xr10:uidLastSave="{00000000-0000-0000-0000-000000000000}"/>
  <bookViews>
    <workbookView xWindow="-108" yWindow="-108" windowWidth="23256" windowHeight="12456" firstSheet="18" activeTab="20" xr2:uid="{EAC116F2-D257-4308-B3E1-626B33CB1430}"/>
  </bookViews>
  <sheets>
    <sheet name="CAT PL61 (DHA)" sheetId="1" r:id="rId1"/>
    <sheet name="CAT PL61 (WGS)" sheetId="7" r:id="rId2"/>
    <sheet name="CAT D6D (06X)" sheetId="8" r:id="rId3"/>
    <sheet name="CAT D7G (DSC)" sheetId="9" r:id="rId4"/>
    <sheet name="CAT D7G (DSC) (2)" sheetId="11" r:id="rId5"/>
    <sheet name="CAT D7G (DSC) (3)" sheetId="17" r:id="rId6"/>
    <sheet name="CAT D7G (SUB)" sheetId="10" r:id="rId7"/>
    <sheet name="CAT D7G (3ZD)" sheetId="12" r:id="rId8"/>
    <sheet name="CAT 572R (DSC)" sheetId="13" r:id="rId9"/>
    <sheet name="CAT 572R (DSC) (2)" sheetId="18" r:id="rId10"/>
    <sheet name="CAT 583T (CMX)" sheetId="14" r:id="rId11"/>
    <sheet name="CAT 589 (31Z)" sheetId="15" r:id="rId12"/>
    <sheet name="CAT 594 (96V)" sheetId="16" r:id="rId13"/>
    <sheet name="CAT 594H (96V)" sheetId="19" r:id="rId14"/>
    <sheet name="CAT DK8 (893)" sheetId="20" r:id="rId15"/>
    <sheet name="CAT DK8 (950)" sheetId="21" r:id="rId16"/>
    <sheet name="JD 470GLC (1FF)" sheetId="22" r:id="rId17"/>
    <sheet name="HITACHI 470GLC (HCM)" sheetId="23" r:id="rId18"/>
    <sheet name="HITACHI ZX290LC-5 (1FF)" sheetId="24" r:id="rId19"/>
    <sheet name="HITACHI ZX290LC-5 (1FF) (2)" sheetId="26" r:id="rId20"/>
    <sheet name="HITACHI ZX290LC-5 (1FF) (3)" sheetId="2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" i="27" l="1"/>
  <c r="F49" i="27"/>
  <c r="E49" i="27"/>
  <c r="P10" i="27" s="1"/>
  <c r="K48" i="27"/>
  <c r="J48" i="27"/>
  <c r="G48" i="27"/>
  <c r="R47" i="27"/>
  <c r="U47" i="27" s="1"/>
  <c r="L47" i="27"/>
  <c r="T47" i="27" s="1"/>
  <c r="S47" i="27" s="1"/>
  <c r="K47" i="27"/>
  <c r="V47" i="27" s="1"/>
  <c r="J47" i="27"/>
  <c r="R46" i="27"/>
  <c r="K46" i="27"/>
  <c r="V46" i="27" s="1"/>
  <c r="J46" i="27"/>
  <c r="L46" i="27" s="1"/>
  <c r="T46" i="27" s="1"/>
  <c r="S46" i="27" s="1"/>
  <c r="G46" i="27"/>
  <c r="K45" i="27"/>
  <c r="J45" i="27"/>
  <c r="G45" i="27"/>
  <c r="R44" i="27"/>
  <c r="U44" i="27" s="1"/>
  <c r="L44" i="27"/>
  <c r="T44" i="27" s="1"/>
  <c r="S44" i="27" s="1"/>
  <c r="K44" i="27"/>
  <c r="V44" i="27" s="1"/>
  <c r="J44" i="27"/>
  <c r="R43" i="27"/>
  <c r="K43" i="27"/>
  <c r="V43" i="27" s="1"/>
  <c r="J43" i="27"/>
  <c r="L43" i="27" s="1"/>
  <c r="T43" i="27" s="1"/>
  <c r="S43" i="27" s="1"/>
  <c r="G43" i="27"/>
  <c r="J42" i="27"/>
  <c r="G42" i="27"/>
  <c r="R41" i="27"/>
  <c r="U41" i="27" s="1"/>
  <c r="L41" i="27"/>
  <c r="T41" i="27" s="1"/>
  <c r="S41" i="27" s="1"/>
  <c r="K41" i="27"/>
  <c r="V41" i="27" s="1"/>
  <c r="J41" i="27"/>
  <c r="R40" i="27"/>
  <c r="K40" i="27"/>
  <c r="V40" i="27" s="1"/>
  <c r="J40" i="27"/>
  <c r="L40" i="27" s="1"/>
  <c r="T40" i="27" s="1"/>
  <c r="S40" i="27" s="1"/>
  <c r="G40" i="27"/>
  <c r="K39" i="27"/>
  <c r="J39" i="27"/>
  <c r="G39" i="27"/>
  <c r="R38" i="27"/>
  <c r="U38" i="27" s="1"/>
  <c r="L38" i="27"/>
  <c r="T38" i="27" s="1"/>
  <c r="S38" i="27" s="1"/>
  <c r="K38" i="27"/>
  <c r="V38" i="27" s="1"/>
  <c r="J38" i="27"/>
  <c r="R37" i="27"/>
  <c r="K37" i="27"/>
  <c r="V37" i="27" s="1"/>
  <c r="J37" i="27"/>
  <c r="L37" i="27" s="1"/>
  <c r="T37" i="27" s="1"/>
  <c r="S37" i="27" s="1"/>
  <c r="G37" i="27"/>
  <c r="K36" i="27"/>
  <c r="J36" i="27"/>
  <c r="G36" i="27"/>
  <c r="R35" i="27"/>
  <c r="U35" i="27" s="1"/>
  <c r="L35" i="27"/>
  <c r="T35" i="27" s="1"/>
  <c r="S35" i="27" s="1"/>
  <c r="K35" i="27"/>
  <c r="V35" i="27" s="1"/>
  <c r="J35" i="27"/>
  <c r="R34" i="27"/>
  <c r="K34" i="27"/>
  <c r="V34" i="27" s="1"/>
  <c r="J34" i="27"/>
  <c r="L34" i="27" s="1"/>
  <c r="T34" i="27" s="1"/>
  <c r="S34" i="27" s="1"/>
  <c r="G34" i="27"/>
  <c r="K33" i="27"/>
  <c r="J33" i="27"/>
  <c r="G33" i="27"/>
  <c r="R32" i="27"/>
  <c r="K32" i="27"/>
  <c r="V32" i="27" s="1"/>
  <c r="J32" i="27"/>
  <c r="R31" i="27"/>
  <c r="K31" i="27"/>
  <c r="V31" i="27" s="1"/>
  <c r="J31" i="27"/>
  <c r="G31" i="27"/>
  <c r="K30" i="27"/>
  <c r="J30" i="27"/>
  <c r="G30" i="27"/>
  <c r="R29" i="27"/>
  <c r="U29" i="27" s="1"/>
  <c r="K29" i="27"/>
  <c r="V29" i="27" s="1"/>
  <c r="J29" i="27"/>
  <c r="R28" i="27"/>
  <c r="K28" i="27"/>
  <c r="V28" i="27" s="1"/>
  <c r="J28" i="27"/>
  <c r="G28" i="27"/>
  <c r="K27" i="27"/>
  <c r="J27" i="27"/>
  <c r="G27" i="27"/>
  <c r="R26" i="27"/>
  <c r="U26" i="27" s="1"/>
  <c r="K26" i="27"/>
  <c r="V26" i="27" s="1"/>
  <c r="J26" i="27"/>
  <c r="R25" i="27"/>
  <c r="K25" i="27"/>
  <c r="V25" i="27" s="1"/>
  <c r="J25" i="27"/>
  <c r="L25" i="27" s="1"/>
  <c r="T25" i="27" s="1"/>
  <c r="S25" i="27" s="1"/>
  <c r="G25" i="27"/>
  <c r="K24" i="27"/>
  <c r="J24" i="27"/>
  <c r="G24" i="27"/>
  <c r="R23" i="27"/>
  <c r="U23" i="27" s="1"/>
  <c r="L23" i="27"/>
  <c r="T23" i="27" s="1"/>
  <c r="S23" i="27" s="1"/>
  <c r="K23" i="27"/>
  <c r="V23" i="27" s="1"/>
  <c r="J23" i="27"/>
  <c r="R22" i="27"/>
  <c r="K22" i="27"/>
  <c r="V22" i="27" s="1"/>
  <c r="J22" i="27"/>
  <c r="L22" i="27" s="1"/>
  <c r="T22" i="27" s="1"/>
  <c r="S22" i="27" s="1"/>
  <c r="G22" i="27"/>
  <c r="K21" i="27"/>
  <c r="J21" i="27"/>
  <c r="G21" i="27"/>
  <c r="R20" i="27"/>
  <c r="K20" i="27"/>
  <c r="V20" i="27" s="1"/>
  <c r="J20" i="27"/>
  <c r="R19" i="27"/>
  <c r="K19" i="27"/>
  <c r="V19" i="27" s="1"/>
  <c r="J19" i="27"/>
  <c r="G19" i="27"/>
  <c r="K18" i="27"/>
  <c r="J18" i="27"/>
  <c r="J49" i="27" s="1"/>
  <c r="G18" i="27"/>
  <c r="R17" i="27"/>
  <c r="R48" i="27" s="1"/>
  <c r="H17" i="27"/>
  <c r="H48" i="27" s="1"/>
  <c r="G17" i="27"/>
  <c r="H45" i="27" s="1"/>
  <c r="D15" i="27"/>
  <c r="G47" i="27" s="1"/>
  <c r="P8" i="27"/>
  <c r="P1" i="27"/>
  <c r="Q49" i="26"/>
  <c r="F49" i="26"/>
  <c r="E49" i="26"/>
  <c r="P10" i="26" s="1"/>
  <c r="K48" i="26"/>
  <c r="J48" i="26"/>
  <c r="G48" i="26"/>
  <c r="L47" i="26"/>
  <c r="K47" i="26"/>
  <c r="J47" i="26"/>
  <c r="R46" i="26"/>
  <c r="U46" i="26" s="1"/>
  <c r="K46" i="26"/>
  <c r="V46" i="26" s="1"/>
  <c r="J46" i="26"/>
  <c r="L46" i="26" s="1"/>
  <c r="T46" i="26" s="1"/>
  <c r="S46" i="26" s="1"/>
  <c r="G46" i="26"/>
  <c r="K45" i="26"/>
  <c r="J45" i="26"/>
  <c r="G45" i="26"/>
  <c r="K44" i="26"/>
  <c r="J44" i="26"/>
  <c r="L44" i="26" s="1"/>
  <c r="R43" i="26"/>
  <c r="U43" i="26" s="1"/>
  <c r="K43" i="26"/>
  <c r="V43" i="26" s="1"/>
  <c r="J43" i="26"/>
  <c r="L43" i="26" s="1"/>
  <c r="T43" i="26" s="1"/>
  <c r="S43" i="26" s="1"/>
  <c r="G43" i="26"/>
  <c r="J42" i="26"/>
  <c r="G42" i="26"/>
  <c r="L41" i="26"/>
  <c r="K41" i="26"/>
  <c r="J41" i="26"/>
  <c r="R40" i="26"/>
  <c r="U40" i="26" s="1"/>
  <c r="K40" i="26"/>
  <c r="V40" i="26" s="1"/>
  <c r="J40" i="26"/>
  <c r="L40" i="26" s="1"/>
  <c r="T40" i="26" s="1"/>
  <c r="S40" i="26" s="1"/>
  <c r="G40" i="26"/>
  <c r="K39" i="26"/>
  <c r="J39" i="26"/>
  <c r="G39" i="26"/>
  <c r="L38" i="26"/>
  <c r="K38" i="26"/>
  <c r="J38" i="26"/>
  <c r="R37" i="26"/>
  <c r="U37" i="26" s="1"/>
  <c r="K37" i="26"/>
  <c r="V37" i="26" s="1"/>
  <c r="J37" i="26"/>
  <c r="L37" i="26" s="1"/>
  <c r="T37" i="26" s="1"/>
  <c r="S37" i="26" s="1"/>
  <c r="G37" i="26"/>
  <c r="K36" i="26"/>
  <c r="J36" i="26"/>
  <c r="G36" i="26"/>
  <c r="L35" i="26"/>
  <c r="K35" i="26"/>
  <c r="J35" i="26"/>
  <c r="R34" i="26"/>
  <c r="U34" i="26" s="1"/>
  <c r="K34" i="26"/>
  <c r="V34" i="26" s="1"/>
  <c r="J34" i="26"/>
  <c r="L34" i="26" s="1"/>
  <c r="G34" i="26"/>
  <c r="K33" i="26"/>
  <c r="J33" i="26"/>
  <c r="G33" i="26"/>
  <c r="K32" i="26"/>
  <c r="L32" i="26" s="1"/>
  <c r="J32" i="26"/>
  <c r="R31" i="26"/>
  <c r="U31" i="26" s="1"/>
  <c r="K31" i="26"/>
  <c r="J31" i="26"/>
  <c r="L31" i="26" s="1"/>
  <c r="G31" i="26"/>
  <c r="K30" i="26"/>
  <c r="J30" i="26"/>
  <c r="G30" i="26"/>
  <c r="K29" i="26"/>
  <c r="L29" i="26" s="1"/>
  <c r="J29" i="26"/>
  <c r="H29" i="26"/>
  <c r="R28" i="26"/>
  <c r="K28" i="26"/>
  <c r="V28" i="26" s="1"/>
  <c r="J28" i="26"/>
  <c r="G28" i="26"/>
  <c r="K27" i="26"/>
  <c r="J27" i="26"/>
  <c r="G27" i="26"/>
  <c r="L26" i="26"/>
  <c r="K26" i="26"/>
  <c r="J26" i="26"/>
  <c r="R25" i="26"/>
  <c r="U25" i="26" s="1"/>
  <c r="K25" i="26"/>
  <c r="J25" i="26"/>
  <c r="G25" i="26"/>
  <c r="K24" i="26"/>
  <c r="J24" i="26"/>
  <c r="G24" i="26"/>
  <c r="L23" i="26"/>
  <c r="K23" i="26"/>
  <c r="J23" i="26"/>
  <c r="R22" i="26"/>
  <c r="K22" i="26"/>
  <c r="J22" i="26"/>
  <c r="L22" i="26" s="1"/>
  <c r="T22" i="26" s="1"/>
  <c r="S22" i="26" s="1"/>
  <c r="G22" i="26"/>
  <c r="K21" i="26"/>
  <c r="J21" i="26"/>
  <c r="G21" i="26"/>
  <c r="K20" i="26"/>
  <c r="L20" i="26" s="1"/>
  <c r="J20" i="26"/>
  <c r="R19" i="26"/>
  <c r="K19" i="26"/>
  <c r="V19" i="26" s="1"/>
  <c r="J19" i="26"/>
  <c r="G19" i="26"/>
  <c r="K18" i="26"/>
  <c r="J18" i="26"/>
  <c r="J49" i="26" s="1"/>
  <c r="G18" i="26"/>
  <c r="R17" i="26"/>
  <c r="R47" i="26" s="1"/>
  <c r="H17" i="26"/>
  <c r="G17" i="26"/>
  <c r="D15" i="26"/>
  <c r="G47" i="26" s="1"/>
  <c r="P8" i="26"/>
  <c r="P1" i="26"/>
  <c r="Q49" i="24"/>
  <c r="F49" i="24"/>
  <c r="E49" i="24"/>
  <c r="K48" i="24"/>
  <c r="J48" i="24"/>
  <c r="L48" i="24" s="1"/>
  <c r="K47" i="24"/>
  <c r="L47" i="24" s="1"/>
  <c r="T47" i="24" s="1"/>
  <c r="S47" i="24" s="1"/>
  <c r="J47" i="24"/>
  <c r="R46" i="24"/>
  <c r="L46" i="24"/>
  <c r="T46" i="24" s="1"/>
  <c r="S46" i="24" s="1"/>
  <c r="K46" i="24"/>
  <c r="V46" i="24" s="1"/>
  <c r="J46" i="24"/>
  <c r="K45" i="24"/>
  <c r="J45" i="24"/>
  <c r="L45" i="24" s="1"/>
  <c r="K44" i="24"/>
  <c r="J44" i="24"/>
  <c r="L44" i="24" s="1"/>
  <c r="R43" i="24"/>
  <c r="L43" i="24"/>
  <c r="T43" i="24" s="1"/>
  <c r="S43" i="24" s="1"/>
  <c r="K43" i="24"/>
  <c r="V43" i="24" s="1"/>
  <c r="J43" i="24"/>
  <c r="J42" i="24"/>
  <c r="K41" i="24"/>
  <c r="J41" i="24"/>
  <c r="L41" i="24" s="1"/>
  <c r="R40" i="24"/>
  <c r="L40" i="24"/>
  <c r="T40" i="24" s="1"/>
  <c r="S40" i="24" s="1"/>
  <c r="K40" i="24"/>
  <c r="V40" i="24" s="1"/>
  <c r="J40" i="24"/>
  <c r="K39" i="24"/>
  <c r="J39" i="24"/>
  <c r="L39" i="24" s="1"/>
  <c r="K38" i="24"/>
  <c r="J38" i="24"/>
  <c r="L38" i="24" s="1"/>
  <c r="R37" i="24"/>
  <c r="L37" i="24"/>
  <c r="T37" i="24" s="1"/>
  <c r="S37" i="24" s="1"/>
  <c r="K37" i="24"/>
  <c r="V37" i="24" s="1"/>
  <c r="J37" i="24"/>
  <c r="K36" i="24"/>
  <c r="J36" i="24"/>
  <c r="L36" i="24" s="1"/>
  <c r="K35" i="24"/>
  <c r="J35" i="24"/>
  <c r="L35" i="24" s="1"/>
  <c r="R34" i="24"/>
  <c r="L34" i="24"/>
  <c r="T34" i="24" s="1"/>
  <c r="S34" i="24" s="1"/>
  <c r="K34" i="24"/>
  <c r="V34" i="24" s="1"/>
  <c r="J34" i="24"/>
  <c r="K33" i="24"/>
  <c r="J33" i="24"/>
  <c r="K32" i="24"/>
  <c r="J32" i="24"/>
  <c r="L32" i="24" s="1"/>
  <c r="R31" i="24"/>
  <c r="K31" i="24"/>
  <c r="L31" i="24" s="1"/>
  <c r="T31" i="24" s="1"/>
  <c r="S31" i="24" s="1"/>
  <c r="J31" i="24"/>
  <c r="K30" i="24"/>
  <c r="J30" i="24"/>
  <c r="K29" i="24"/>
  <c r="J29" i="24"/>
  <c r="L29" i="24" s="1"/>
  <c r="R28" i="24"/>
  <c r="K28" i="24"/>
  <c r="J28" i="24"/>
  <c r="K27" i="24"/>
  <c r="J27" i="24"/>
  <c r="K26" i="24"/>
  <c r="J26" i="24"/>
  <c r="R25" i="24"/>
  <c r="K25" i="24"/>
  <c r="J25" i="24"/>
  <c r="K24" i="24"/>
  <c r="J24" i="24"/>
  <c r="K23" i="24"/>
  <c r="J23" i="24"/>
  <c r="R22" i="24"/>
  <c r="K22" i="24"/>
  <c r="L22" i="24" s="1"/>
  <c r="T22" i="24" s="1"/>
  <c r="S22" i="24" s="1"/>
  <c r="J22" i="24"/>
  <c r="K21" i="24"/>
  <c r="J21" i="24"/>
  <c r="K20" i="24"/>
  <c r="J20" i="24"/>
  <c r="L20" i="24" s="1"/>
  <c r="R19" i="24"/>
  <c r="K19" i="24"/>
  <c r="J19" i="24"/>
  <c r="K18" i="24"/>
  <c r="J18" i="24"/>
  <c r="L18" i="24" s="1"/>
  <c r="R17" i="24"/>
  <c r="R47" i="24" s="1"/>
  <c r="H17" i="24"/>
  <c r="H48" i="24" s="1"/>
  <c r="G17" i="24"/>
  <c r="H47" i="24" s="1"/>
  <c r="D15" i="24"/>
  <c r="G35" i="24" s="1"/>
  <c r="P10" i="24"/>
  <c r="P1" i="24"/>
  <c r="P8" i="24" s="1"/>
  <c r="Q49" i="23"/>
  <c r="F49" i="23"/>
  <c r="E49" i="23"/>
  <c r="P10" i="23" s="1"/>
  <c r="K48" i="23"/>
  <c r="J48" i="23"/>
  <c r="G48" i="23"/>
  <c r="K47" i="23"/>
  <c r="V47" i="23" s="1"/>
  <c r="J47" i="23"/>
  <c r="L47" i="23" s="1"/>
  <c r="R46" i="23"/>
  <c r="U46" i="23" s="1"/>
  <c r="K46" i="23"/>
  <c r="V46" i="23" s="1"/>
  <c r="J46" i="23"/>
  <c r="L46" i="23" s="1"/>
  <c r="T46" i="23" s="1"/>
  <c r="S46" i="23" s="1"/>
  <c r="G46" i="23"/>
  <c r="K45" i="23"/>
  <c r="J45" i="23"/>
  <c r="G45" i="23"/>
  <c r="K44" i="23"/>
  <c r="J44" i="23"/>
  <c r="L44" i="23" s="1"/>
  <c r="R43" i="23"/>
  <c r="U43" i="23" s="1"/>
  <c r="K43" i="23"/>
  <c r="V43" i="23" s="1"/>
  <c r="J43" i="23"/>
  <c r="L43" i="23" s="1"/>
  <c r="T43" i="23" s="1"/>
  <c r="S43" i="23" s="1"/>
  <c r="G43" i="23"/>
  <c r="J42" i="23"/>
  <c r="G42" i="23"/>
  <c r="K41" i="23"/>
  <c r="J41" i="23"/>
  <c r="L41" i="23" s="1"/>
  <c r="R40" i="23"/>
  <c r="U40" i="23" s="1"/>
  <c r="K40" i="23"/>
  <c r="V40" i="23" s="1"/>
  <c r="J40" i="23"/>
  <c r="L40" i="23" s="1"/>
  <c r="T40" i="23" s="1"/>
  <c r="S40" i="23" s="1"/>
  <c r="G40" i="23"/>
  <c r="K39" i="23"/>
  <c r="J39" i="23"/>
  <c r="G39" i="23"/>
  <c r="K38" i="23"/>
  <c r="J38" i="23"/>
  <c r="L38" i="23" s="1"/>
  <c r="R37" i="23"/>
  <c r="U37" i="23" s="1"/>
  <c r="K37" i="23"/>
  <c r="V37" i="23" s="1"/>
  <c r="J37" i="23"/>
  <c r="L37" i="23" s="1"/>
  <c r="T37" i="23" s="1"/>
  <c r="S37" i="23" s="1"/>
  <c r="G37" i="23"/>
  <c r="K36" i="23"/>
  <c r="J36" i="23"/>
  <c r="G36" i="23"/>
  <c r="K35" i="23"/>
  <c r="J35" i="23"/>
  <c r="L35" i="23" s="1"/>
  <c r="R34" i="23"/>
  <c r="U34" i="23" s="1"/>
  <c r="K34" i="23"/>
  <c r="V34" i="23" s="1"/>
  <c r="J34" i="23"/>
  <c r="L34" i="23" s="1"/>
  <c r="T34" i="23" s="1"/>
  <c r="S34" i="23" s="1"/>
  <c r="G34" i="23"/>
  <c r="K33" i="23"/>
  <c r="J33" i="23"/>
  <c r="G33" i="23"/>
  <c r="K32" i="23"/>
  <c r="J32" i="23"/>
  <c r="L32" i="23" s="1"/>
  <c r="R31" i="23"/>
  <c r="K31" i="23"/>
  <c r="V31" i="23" s="1"/>
  <c r="J31" i="23"/>
  <c r="G31" i="23"/>
  <c r="K30" i="23"/>
  <c r="J30" i="23"/>
  <c r="G30" i="23"/>
  <c r="K29" i="23"/>
  <c r="J29" i="23"/>
  <c r="R28" i="23"/>
  <c r="K28" i="23"/>
  <c r="V28" i="23" s="1"/>
  <c r="J28" i="23"/>
  <c r="G28" i="23"/>
  <c r="K27" i="23"/>
  <c r="J27" i="23"/>
  <c r="G27" i="23"/>
  <c r="K26" i="23"/>
  <c r="J26" i="23"/>
  <c r="R25" i="23"/>
  <c r="K25" i="23"/>
  <c r="J25" i="23"/>
  <c r="G25" i="23"/>
  <c r="K24" i="23"/>
  <c r="J24" i="23"/>
  <c r="G24" i="23"/>
  <c r="K23" i="23"/>
  <c r="J23" i="23"/>
  <c r="H23" i="23"/>
  <c r="R22" i="23"/>
  <c r="K22" i="23"/>
  <c r="J22" i="23"/>
  <c r="G22" i="23"/>
  <c r="K21" i="23"/>
  <c r="J21" i="23"/>
  <c r="G21" i="23"/>
  <c r="K20" i="23"/>
  <c r="J20" i="23"/>
  <c r="L20" i="23" s="1"/>
  <c r="H20" i="23"/>
  <c r="R19" i="23"/>
  <c r="K19" i="23"/>
  <c r="J19" i="23"/>
  <c r="L19" i="23" s="1"/>
  <c r="G19" i="23"/>
  <c r="K18" i="23"/>
  <c r="J18" i="23"/>
  <c r="G18" i="23"/>
  <c r="R17" i="23"/>
  <c r="R47" i="23" s="1"/>
  <c r="U47" i="23" s="1"/>
  <c r="H17" i="23"/>
  <c r="G17" i="23"/>
  <c r="D15" i="23"/>
  <c r="G47" i="23" s="1"/>
  <c r="P8" i="23"/>
  <c r="P1" i="23"/>
  <c r="Q49" i="22"/>
  <c r="F49" i="22"/>
  <c r="E49" i="22"/>
  <c r="P10" i="22" s="1"/>
  <c r="K48" i="22"/>
  <c r="J48" i="22"/>
  <c r="K47" i="22"/>
  <c r="J47" i="22"/>
  <c r="L47" i="22" s="1"/>
  <c r="R46" i="22"/>
  <c r="T46" i="22" s="1"/>
  <c r="S46" i="22" s="1"/>
  <c r="L46" i="22"/>
  <c r="K46" i="22"/>
  <c r="V46" i="22" s="1"/>
  <c r="J46" i="22"/>
  <c r="G46" i="22"/>
  <c r="K45" i="22"/>
  <c r="J45" i="22"/>
  <c r="K44" i="22"/>
  <c r="J44" i="22"/>
  <c r="L44" i="22" s="1"/>
  <c r="R43" i="22"/>
  <c r="T43" i="22" s="1"/>
  <c r="S43" i="22" s="1"/>
  <c r="L43" i="22"/>
  <c r="K43" i="22"/>
  <c r="V43" i="22" s="1"/>
  <c r="J43" i="22"/>
  <c r="G43" i="22"/>
  <c r="J42" i="22"/>
  <c r="K41" i="22"/>
  <c r="J41" i="22"/>
  <c r="L41" i="22" s="1"/>
  <c r="R40" i="22"/>
  <c r="K40" i="22"/>
  <c r="J40" i="22"/>
  <c r="G40" i="22"/>
  <c r="K39" i="22"/>
  <c r="J39" i="22"/>
  <c r="K38" i="22"/>
  <c r="J38" i="22"/>
  <c r="R37" i="22"/>
  <c r="K37" i="22"/>
  <c r="J37" i="22"/>
  <c r="G37" i="22"/>
  <c r="K36" i="22"/>
  <c r="J36" i="22"/>
  <c r="K35" i="22"/>
  <c r="J35" i="22"/>
  <c r="L35" i="22" s="1"/>
  <c r="R34" i="22"/>
  <c r="K34" i="22"/>
  <c r="J34" i="22"/>
  <c r="L34" i="22" s="1"/>
  <c r="G34" i="22"/>
  <c r="K33" i="22"/>
  <c r="J33" i="22"/>
  <c r="K32" i="22"/>
  <c r="J32" i="22"/>
  <c r="L32" i="22" s="1"/>
  <c r="R31" i="22"/>
  <c r="K31" i="22"/>
  <c r="J31" i="22"/>
  <c r="L31" i="22" s="1"/>
  <c r="G31" i="22"/>
  <c r="K30" i="22"/>
  <c r="J30" i="22"/>
  <c r="K29" i="22"/>
  <c r="J29" i="22"/>
  <c r="L29" i="22" s="1"/>
  <c r="R28" i="22"/>
  <c r="K28" i="22"/>
  <c r="J28" i="22"/>
  <c r="G28" i="22"/>
  <c r="K27" i="22"/>
  <c r="J27" i="22"/>
  <c r="K26" i="22"/>
  <c r="J26" i="22"/>
  <c r="R25" i="22"/>
  <c r="K25" i="22"/>
  <c r="J25" i="22"/>
  <c r="G25" i="22"/>
  <c r="K24" i="22"/>
  <c r="J24" i="22"/>
  <c r="K23" i="22"/>
  <c r="J23" i="22"/>
  <c r="L23" i="22" s="1"/>
  <c r="R22" i="22"/>
  <c r="K22" i="22"/>
  <c r="J22" i="22"/>
  <c r="L22" i="22" s="1"/>
  <c r="G22" i="22"/>
  <c r="K21" i="22"/>
  <c r="J21" i="22"/>
  <c r="K20" i="22"/>
  <c r="J20" i="22"/>
  <c r="H20" i="22"/>
  <c r="R19" i="22"/>
  <c r="K19" i="22"/>
  <c r="V19" i="22" s="1"/>
  <c r="J19" i="22"/>
  <c r="G19" i="22"/>
  <c r="K18" i="22"/>
  <c r="J18" i="22"/>
  <c r="R17" i="22"/>
  <c r="R36" i="22" s="1"/>
  <c r="H17" i="22"/>
  <c r="G17" i="22"/>
  <c r="D15" i="22"/>
  <c r="G47" i="22" s="1"/>
  <c r="P1" i="22"/>
  <c r="P8" i="22" s="1"/>
  <c r="Q49" i="21"/>
  <c r="F49" i="21"/>
  <c r="E49" i="21"/>
  <c r="P10" i="21" s="1"/>
  <c r="K48" i="21"/>
  <c r="J48" i="21"/>
  <c r="L48" i="21" s="1"/>
  <c r="G48" i="21"/>
  <c r="T47" i="21"/>
  <c r="S47" i="21" s="1"/>
  <c r="R47" i="21"/>
  <c r="L47" i="21"/>
  <c r="K47" i="21"/>
  <c r="V47" i="21" s="1"/>
  <c r="J47" i="21"/>
  <c r="R46" i="21"/>
  <c r="K46" i="21"/>
  <c r="V46" i="21" s="1"/>
  <c r="J46" i="21"/>
  <c r="L46" i="21" s="1"/>
  <c r="T46" i="21" s="1"/>
  <c r="S46" i="21" s="1"/>
  <c r="K45" i="21"/>
  <c r="J45" i="21"/>
  <c r="L45" i="21" s="1"/>
  <c r="G45" i="21"/>
  <c r="T44" i="21"/>
  <c r="S44" i="21" s="1"/>
  <c r="R44" i="21"/>
  <c r="L44" i="21"/>
  <c r="K44" i="21"/>
  <c r="V44" i="21" s="1"/>
  <c r="J44" i="21"/>
  <c r="R43" i="21"/>
  <c r="K43" i="21"/>
  <c r="V43" i="21" s="1"/>
  <c r="J43" i="21"/>
  <c r="L43" i="21" s="1"/>
  <c r="T43" i="21" s="1"/>
  <c r="S43" i="21" s="1"/>
  <c r="J42" i="21"/>
  <c r="G42" i="21"/>
  <c r="T41" i="21"/>
  <c r="S41" i="21" s="1"/>
  <c r="R41" i="21"/>
  <c r="L41" i="21"/>
  <c r="K41" i="21"/>
  <c r="V41" i="21" s="1"/>
  <c r="J41" i="21"/>
  <c r="R40" i="21"/>
  <c r="K40" i="21"/>
  <c r="V40" i="21" s="1"/>
  <c r="J40" i="21"/>
  <c r="L40" i="21" s="1"/>
  <c r="T40" i="21" s="1"/>
  <c r="S40" i="21" s="1"/>
  <c r="K39" i="21"/>
  <c r="J39" i="21"/>
  <c r="L39" i="21" s="1"/>
  <c r="G39" i="21"/>
  <c r="T38" i="21"/>
  <c r="S38" i="21" s="1"/>
  <c r="R38" i="21"/>
  <c r="L38" i="21"/>
  <c r="K38" i="21"/>
  <c r="V38" i="21" s="1"/>
  <c r="J38" i="21"/>
  <c r="R37" i="21"/>
  <c r="K37" i="21"/>
  <c r="V37" i="21" s="1"/>
  <c r="J37" i="21"/>
  <c r="L37" i="21" s="1"/>
  <c r="T37" i="21" s="1"/>
  <c r="S37" i="21" s="1"/>
  <c r="K36" i="21"/>
  <c r="J36" i="21"/>
  <c r="L36" i="21" s="1"/>
  <c r="G36" i="21"/>
  <c r="T35" i="21"/>
  <c r="S35" i="21" s="1"/>
  <c r="R35" i="21"/>
  <c r="L35" i="21"/>
  <c r="K35" i="21"/>
  <c r="V35" i="21" s="1"/>
  <c r="J35" i="21"/>
  <c r="R34" i="21"/>
  <c r="K34" i="21"/>
  <c r="V34" i="21" s="1"/>
  <c r="J34" i="21"/>
  <c r="L34" i="21" s="1"/>
  <c r="T34" i="21" s="1"/>
  <c r="S34" i="21" s="1"/>
  <c r="K33" i="21"/>
  <c r="J33" i="21"/>
  <c r="L33" i="21" s="1"/>
  <c r="G33" i="21"/>
  <c r="T32" i="21"/>
  <c r="S32" i="21" s="1"/>
  <c r="R32" i="21"/>
  <c r="L32" i="21"/>
  <c r="K32" i="21"/>
  <c r="V32" i="21" s="1"/>
  <c r="J32" i="21"/>
  <c r="R31" i="21"/>
  <c r="K31" i="21"/>
  <c r="J31" i="21"/>
  <c r="K30" i="21"/>
  <c r="J30" i="21"/>
  <c r="G30" i="21"/>
  <c r="R29" i="21"/>
  <c r="K29" i="21"/>
  <c r="V29" i="21" s="1"/>
  <c r="J29" i="21"/>
  <c r="R28" i="21"/>
  <c r="K28" i="21"/>
  <c r="J28" i="21"/>
  <c r="K27" i="21"/>
  <c r="J27" i="21"/>
  <c r="L27" i="21" s="1"/>
  <c r="G27" i="21"/>
  <c r="R26" i="21"/>
  <c r="K26" i="21"/>
  <c r="J26" i="21"/>
  <c r="R25" i="21"/>
  <c r="K25" i="21"/>
  <c r="J25" i="21"/>
  <c r="K24" i="21"/>
  <c r="J24" i="21"/>
  <c r="G24" i="21"/>
  <c r="R23" i="21"/>
  <c r="K23" i="21"/>
  <c r="J23" i="21"/>
  <c r="R22" i="21"/>
  <c r="K22" i="21"/>
  <c r="J22" i="21"/>
  <c r="K21" i="21"/>
  <c r="J21" i="21"/>
  <c r="G21" i="21"/>
  <c r="R20" i="21"/>
  <c r="K20" i="21"/>
  <c r="J20" i="21"/>
  <c r="R19" i="21"/>
  <c r="K19" i="21"/>
  <c r="V19" i="21" s="1"/>
  <c r="J19" i="21"/>
  <c r="K18" i="21"/>
  <c r="J18" i="21"/>
  <c r="G18" i="21"/>
  <c r="R17" i="21"/>
  <c r="R48" i="21" s="1"/>
  <c r="H17" i="21"/>
  <c r="H46" i="21" s="1"/>
  <c r="G17" i="21"/>
  <c r="H47" i="21" s="1"/>
  <c r="D15" i="21"/>
  <c r="G47" i="21" s="1"/>
  <c r="P8" i="21"/>
  <c r="P1" i="21"/>
  <c r="Q49" i="20"/>
  <c r="F49" i="20"/>
  <c r="E49" i="20"/>
  <c r="P10" i="20" s="1"/>
  <c r="V48" i="20"/>
  <c r="K48" i="20"/>
  <c r="U48" i="20" s="1"/>
  <c r="J48" i="20"/>
  <c r="G48" i="20"/>
  <c r="U47" i="20"/>
  <c r="T47" i="20"/>
  <c r="S47" i="20" s="1"/>
  <c r="R47" i="20"/>
  <c r="K47" i="20"/>
  <c r="V47" i="20" s="1"/>
  <c r="J47" i="20"/>
  <c r="L47" i="20" s="1"/>
  <c r="S46" i="20"/>
  <c r="R46" i="20"/>
  <c r="U46" i="20" s="1"/>
  <c r="K46" i="20"/>
  <c r="J46" i="20"/>
  <c r="L46" i="20" s="1"/>
  <c r="T46" i="20" s="1"/>
  <c r="G46" i="20"/>
  <c r="L45" i="20"/>
  <c r="K45" i="20"/>
  <c r="J45" i="20"/>
  <c r="G45" i="20"/>
  <c r="R44" i="20"/>
  <c r="K44" i="20"/>
  <c r="J44" i="20"/>
  <c r="L44" i="20" s="1"/>
  <c r="T44" i="20" s="1"/>
  <c r="S44" i="20" s="1"/>
  <c r="S43" i="20"/>
  <c r="R43" i="20"/>
  <c r="K43" i="20"/>
  <c r="J43" i="20"/>
  <c r="L43" i="20" s="1"/>
  <c r="T43" i="20" s="1"/>
  <c r="G43" i="20"/>
  <c r="J42" i="20"/>
  <c r="G42" i="20"/>
  <c r="U41" i="20"/>
  <c r="R41" i="20"/>
  <c r="K41" i="20"/>
  <c r="V41" i="20" s="1"/>
  <c r="J41" i="20"/>
  <c r="L41" i="20" s="1"/>
  <c r="T41" i="20" s="1"/>
  <c r="S41" i="20" s="1"/>
  <c r="U40" i="20"/>
  <c r="S40" i="20"/>
  <c r="R40" i="20"/>
  <c r="K40" i="20"/>
  <c r="V40" i="20" s="1"/>
  <c r="J40" i="20"/>
  <c r="L40" i="20" s="1"/>
  <c r="T40" i="20" s="1"/>
  <c r="G40" i="20"/>
  <c r="K39" i="20"/>
  <c r="J39" i="20"/>
  <c r="G39" i="20"/>
  <c r="U38" i="20"/>
  <c r="R38" i="20"/>
  <c r="L38" i="20"/>
  <c r="T38" i="20" s="1"/>
  <c r="S38" i="20" s="1"/>
  <c r="K38" i="20"/>
  <c r="J38" i="20"/>
  <c r="H38" i="20"/>
  <c r="R37" i="20"/>
  <c r="U37" i="20" s="1"/>
  <c r="K37" i="20"/>
  <c r="J37" i="20"/>
  <c r="L37" i="20" s="1"/>
  <c r="G37" i="20"/>
  <c r="L36" i="20"/>
  <c r="K36" i="20"/>
  <c r="J36" i="20"/>
  <c r="G36" i="20"/>
  <c r="R35" i="20"/>
  <c r="K35" i="20"/>
  <c r="J35" i="20"/>
  <c r="U35" i="20" s="1"/>
  <c r="R34" i="20"/>
  <c r="U34" i="20" s="1"/>
  <c r="K34" i="20"/>
  <c r="J34" i="20"/>
  <c r="L34" i="20" s="1"/>
  <c r="T34" i="20" s="1"/>
  <c r="S34" i="20" s="1"/>
  <c r="G34" i="20"/>
  <c r="K33" i="20"/>
  <c r="J33" i="20"/>
  <c r="G33" i="20"/>
  <c r="T32" i="20"/>
  <c r="S32" i="20" s="1"/>
  <c r="R32" i="20"/>
  <c r="L32" i="20"/>
  <c r="K32" i="20"/>
  <c r="V32" i="20" s="1"/>
  <c r="J32" i="20"/>
  <c r="U32" i="20" s="1"/>
  <c r="R31" i="20"/>
  <c r="K31" i="20"/>
  <c r="V31" i="20" s="1"/>
  <c r="J31" i="20"/>
  <c r="G31" i="20"/>
  <c r="K30" i="20"/>
  <c r="J30" i="20"/>
  <c r="G30" i="20"/>
  <c r="R29" i="20"/>
  <c r="K29" i="20"/>
  <c r="V29" i="20" s="1"/>
  <c r="J29" i="20"/>
  <c r="R28" i="20"/>
  <c r="K28" i="20"/>
  <c r="J28" i="20"/>
  <c r="G28" i="20"/>
  <c r="K27" i="20"/>
  <c r="J27" i="20"/>
  <c r="G27" i="20"/>
  <c r="R26" i="20"/>
  <c r="K26" i="20"/>
  <c r="J26" i="20"/>
  <c r="R25" i="20"/>
  <c r="K25" i="20"/>
  <c r="J25" i="20"/>
  <c r="G25" i="20"/>
  <c r="K24" i="20"/>
  <c r="J24" i="20"/>
  <c r="L24" i="20" s="1"/>
  <c r="G24" i="20"/>
  <c r="R23" i="20"/>
  <c r="K23" i="20"/>
  <c r="J23" i="20"/>
  <c r="R22" i="20"/>
  <c r="K22" i="20"/>
  <c r="V22" i="20" s="1"/>
  <c r="J22" i="20"/>
  <c r="G22" i="20"/>
  <c r="K21" i="20"/>
  <c r="J21" i="20"/>
  <c r="G21" i="20"/>
  <c r="R20" i="20"/>
  <c r="K20" i="20"/>
  <c r="U20" i="20" s="1"/>
  <c r="J20" i="20"/>
  <c r="H20" i="20"/>
  <c r="R19" i="20"/>
  <c r="K19" i="20"/>
  <c r="J19" i="20"/>
  <c r="G19" i="20"/>
  <c r="K18" i="20"/>
  <c r="L18" i="20" s="1"/>
  <c r="J18" i="20"/>
  <c r="G18" i="20"/>
  <c r="R17" i="20"/>
  <c r="R48" i="20" s="1"/>
  <c r="H17" i="20"/>
  <c r="H44" i="20" s="1"/>
  <c r="G17" i="20"/>
  <c r="H35" i="20" s="1"/>
  <c r="D15" i="20"/>
  <c r="G47" i="20" s="1"/>
  <c r="P8" i="20"/>
  <c r="P1" i="20"/>
  <c r="Q49" i="19"/>
  <c r="F49" i="19"/>
  <c r="E49" i="19"/>
  <c r="P10" i="19" s="1"/>
  <c r="K48" i="19"/>
  <c r="J48" i="19"/>
  <c r="R47" i="19"/>
  <c r="K47" i="19"/>
  <c r="V47" i="19" s="1"/>
  <c r="J47" i="19"/>
  <c r="U47" i="19" s="1"/>
  <c r="R46" i="19"/>
  <c r="K46" i="19"/>
  <c r="L46" i="19" s="1"/>
  <c r="T46" i="19" s="1"/>
  <c r="S46" i="19" s="1"/>
  <c r="J46" i="19"/>
  <c r="G46" i="19"/>
  <c r="K45" i="19"/>
  <c r="J45" i="19"/>
  <c r="R44" i="19"/>
  <c r="K44" i="19"/>
  <c r="V44" i="19" s="1"/>
  <c r="J44" i="19"/>
  <c r="L44" i="19" s="1"/>
  <c r="T44" i="19" s="1"/>
  <c r="S44" i="19" s="1"/>
  <c r="R43" i="19"/>
  <c r="K43" i="19"/>
  <c r="L43" i="19" s="1"/>
  <c r="T43" i="19" s="1"/>
  <c r="S43" i="19" s="1"/>
  <c r="J43" i="19"/>
  <c r="G43" i="19"/>
  <c r="J42" i="19"/>
  <c r="R41" i="19"/>
  <c r="K41" i="19"/>
  <c r="V41" i="19" s="1"/>
  <c r="J41" i="19"/>
  <c r="L41" i="19" s="1"/>
  <c r="T41" i="19" s="1"/>
  <c r="S41" i="19" s="1"/>
  <c r="R40" i="19"/>
  <c r="K40" i="19"/>
  <c r="L40" i="19" s="1"/>
  <c r="T40" i="19" s="1"/>
  <c r="S40" i="19" s="1"/>
  <c r="J40" i="19"/>
  <c r="G40" i="19"/>
  <c r="K39" i="19"/>
  <c r="J39" i="19"/>
  <c r="U38" i="19"/>
  <c r="R38" i="19"/>
  <c r="K38" i="19"/>
  <c r="V38" i="19" s="1"/>
  <c r="J38" i="19"/>
  <c r="L38" i="19" s="1"/>
  <c r="T38" i="19" s="1"/>
  <c r="S38" i="19" s="1"/>
  <c r="R37" i="19"/>
  <c r="K37" i="19"/>
  <c r="L37" i="19" s="1"/>
  <c r="T37" i="19" s="1"/>
  <c r="S37" i="19" s="1"/>
  <c r="J37" i="19"/>
  <c r="G37" i="19"/>
  <c r="K36" i="19"/>
  <c r="J36" i="19"/>
  <c r="R35" i="19"/>
  <c r="K35" i="19"/>
  <c r="V35" i="19" s="1"/>
  <c r="J35" i="19"/>
  <c r="L35" i="19" s="1"/>
  <c r="T35" i="19" s="1"/>
  <c r="S35" i="19" s="1"/>
  <c r="R34" i="19"/>
  <c r="K34" i="19"/>
  <c r="L34" i="19" s="1"/>
  <c r="T34" i="19" s="1"/>
  <c r="S34" i="19" s="1"/>
  <c r="J34" i="19"/>
  <c r="G34" i="19"/>
  <c r="K33" i="19"/>
  <c r="J33" i="19"/>
  <c r="R32" i="19"/>
  <c r="K32" i="19"/>
  <c r="V32" i="19" s="1"/>
  <c r="J32" i="19"/>
  <c r="R31" i="19"/>
  <c r="K31" i="19"/>
  <c r="J31" i="19"/>
  <c r="G31" i="19"/>
  <c r="K30" i="19"/>
  <c r="J30" i="19"/>
  <c r="R29" i="19"/>
  <c r="K29" i="19"/>
  <c r="J29" i="19"/>
  <c r="R28" i="19"/>
  <c r="K28" i="19"/>
  <c r="L28" i="19" s="1"/>
  <c r="T28" i="19" s="1"/>
  <c r="S28" i="19" s="1"/>
  <c r="J28" i="19"/>
  <c r="G28" i="19"/>
  <c r="K27" i="19"/>
  <c r="J27" i="19"/>
  <c r="R26" i="19"/>
  <c r="K26" i="19"/>
  <c r="J26" i="19"/>
  <c r="R25" i="19"/>
  <c r="K25" i="19"/>
  <c r="L25" i="19" s="1"/>
  <c r="T25" i="19" s="1"/>
  <c r="S25" i="19" s="1"/>
  <c r="J25" i="19"/>
  <c r="G25" i="19"/>
  <c r="K24" i="19"/>
  <c r="J24" i="19"/>
  <c r="R23" i="19"/>
  <c r="K23" i="19"/>
  <c r="V23" i="19" s="1"/>
  <c r="J23" i="19"/>
  <c r="R22" i="19"/>
  <c r="K22" i="19"/>
  <c r="L22" i="19" s="1"/>
  <c r="J22" i="19"/>
  <c r="G22" i="19"/>
  <c r="K21" i="19"/>
  <c r="J21" i="19"/>
  <c r="R20" i="19"/>
  <c r="K20" i="19"/>
  <c r="J20" i="19"/>
  <c r="R19" i="19"/>
  <c r="K19" i="19"/>
  <c r="L19" i="19" s="1"/>
  <c r="T19" i="19" s="1"/>
  <c r="S19" i="19" s="1"/>
  <c r="J19" i="19"/>
  <c r="G19" i="19"/>
  <c r="K18" i="19"/>
  <c r="J18" i="19"/>
  <c r="R17" i="19"/>
  <c r="R48" i="19" s="1"/>
  <c r="H17" i="19"/>
  <c r="H48" i="19" s="1"/>
  <c r="G17" i="19"/>
  <c r="H35" i="19" s="1"/>
  <c r="D15" i="19"/>
  <c r="G47" i="19" s="1"/>
  <c r="P1" i="19"/>
  <c r="P8" i="19" s="1"/>
  <c r="Q49" i="18"/>
  <c r="F49" i="18"/>
  <c r="E49" i="18"/>
  <c r="P10" i="18" s="1"/>
  <c r="K48" i="18"/>
  <c r="J48" i="18"/>
  <c r="G48" i="18"/>
  <c r="R47" i="18"/>
  <c r="K47" i="18"/>
  <c r="V47" i="18" s="1"/>
  <c r="J47" i="18"/>
  <c r="U47" i="18" s="1"/>
  <c r="R46" i="18"/>
  <c r="K46" i="18"/>
  <c r="V46" i="18" s="1"/>
  <c r="J46" i="18"/>
  <c r="L46" i="18" s="1"/>
  <c r="T46" i="18" s="1"/>
  <c r="S46" i="18" s="1"/>
  <c r="G46" i="18"/>
  <c r="K45" i="18"/>
  <c r="J45" i="18"/>
  <c r="G45" i="18"/>
  <c r="R44" i="18"/>
  <c r="K44" i="18"/>
  <c r="V44" i="18" s="1"/>
  <c r="J44" i="18"/>
  <c r="L44" i="18" s="1"/>
  <c r="T44" i="18" s="1"/>
  <c r="S44" i="18" s="1"/>
  <c r="R43" i="18"/>
  <c r="K43" i="18"/>
  <c r="V43" i="18" s="1"/>
  <c r="J43" i="18"/>
  <c r="L43" i="18" s="1"/>
  <c r="T43" i="18" s="1"/>
  <c r="S43" i="18" s="1"/>
  <c r="G43" i="18"/>
  <c r="J42" i="18"/>
  <c r="G42" i="18"/>
  <c r="R41" i="18"/>
  <c r="K41" i="18"/>
  <c r="V41" i="18" s="1"/>
  <c r="J41" i="18"/>
  <c r="L41" i="18" s="1"/>
  <c r="T41" i="18" s="1"/>
  <c r="S41" i="18" s="1"/>
  <c r="R40" i="18"/>
  <c r="K40" i="18"/>
  <c r="V40" i="18" s="1"/>
  <c r="J40" i="18"/>
  <c r="L40" i="18" s="1"/>
  <c r="T40" i="18" s="1"/>
  <c r="S40" i="18" s="1"/>
  <c r="G40" i="18"/>
  <c r="K39" i="18"/>
  <c r="J39" i="18"/>
  <c r="G39" i="18"/>
  <c r="R38" i="18"/>
  <c r="K38" i="18"/>
  <c r="V38" i="18" s="1"/>
  <c r="J38" i="18"/>
  <c r="L38" i="18" s="1"/>
  <c r="T38" i="18" s="1"/>
  <c r="S38" i="18" s="1"/>
  <c r="R37" i="18"/>
  <c r="K37" i="18"/>
  <c r="V37" i="18" s="1"/>
  <c r="J37" i="18"/>
  <c r="L37" i="18" s="1"/>
  <c r="T37" i="18" s="1"/>
  <c r="S37" i="18" s="1"/>
  <c r="G37" i="18"/>
  <c r="K36" i="18"/>
  <c r="J36" i="18"/>
  <c r="G36" i="18"/>
  <c r="R35" i="18"/>
  <c r="K35" i="18"/>
  <c r="V35" i="18" s="1"/>
  <c r="J35" i="18"/>
  <c r="L35" i="18" s="1"/>
  <c r="T35" i="18" s="1"/>
  <c r="S35" i="18" s="1"/>
  <c r="R34" i="18"/>
  <c r="K34" i="18"/>
  <c r="V34" i="18" s="1"/>
  <c r="J34" i="18"/>
  <c r="L34" i="18" s="1"/>
  <c r="T34" i="18" s="1"/>
  <c r="S34" i="18" s="1"/>
  <c r="G34" i="18"/>
  <c r="K33" i="18"/>
  <c r="J33" i="18"/>
  <c r="G33" i="18"/>
  <c r="R32" i="18"/>
  <c r="K32" i="18"/>
  <c r="V32" i="18" s="1"/>
  <c r="J32" i="18"/>
  <c r="U32" i="18" s="1"/>
  <c r="R31" i="18"/>
  <c r="K31" i="18"/>
  <c r="V31" i="18" s="1"/>
  <c r="J31" i="18"/>
  <c r="L31" i="18" s="1"/>
  <c r="T31" i="18" s="1"/>
  <c r="S31" i="18" s="1"/>
  <c r="G31" i="18"/>
  <c r="K30" i="18"/>
  <c r="J30" i="18"/>
  <c r="G30" i="18"/>
  <c r="U29" i="18"/>
  <c r="R29" i="18"/>
  <c r="K29" i="18"/>
  <c r="V29" i="18" s="1"/>
  <c r="J29" i="18"/>
  <c r="L29" i="18" s="1"/>
  <c r="T29" i="18" s="1"/>
  <c r="S29" i="18" s="1"/>
  <c r="R28" i="18"/>
  <c r="K28" i="18"/>
  <c r="V28" i="18" s="1"/>
  <c r="J28" i="18"/>
  <c r="L28" i="18" s="1"/>
  <c r="T28" i="18" s="1"/>
  <c r="S28" i="18" s="1"/>
  <c r="G28" i="18"/>
  <c r="K27" i="18"/>
  <c r="J27" i="18"/>
  <c r="G27" i="18"/>
  <c r="R26" i="18"/>
  <c r="K26" i="18"/>
  <c r="V26" i="18" s="1"/>
  <c r="J26" i="18"/>
  <c r="R25" i="18"/>
  <c r="K25" i="18"/>
  <c r="V25" i="18" s="1"/>
  <c r="J25" i="18"/>
  <c r="G25" i="18"/>
  <c r="K24" i="18"/>
  <c r="J24" i="18"/>
  <c r="G24" i="18"/>
  <c r="R23" i="18"/>
  <c r="K23" i="18"/>
  <c r="V23" i="18" s="1"/>
  <c r="J23" i="18"/>
  <c r="L23" i="18" s="1"/>
  <c r="T23" i="18" s="1"/>
  <c r="S23" i="18" s="1"/>
  <c r="R22" i="18"/>
  <c r="K22" i="18"/>
  <c r="V22" i="18" s="1"/>
  <c r="J22" i="18"/>
  <c r="G22" i="18"/>
  <c r="K21" i="18"/>
  <c r="J21" i="18"/>
  <c r="G21" i="18"/>
  <c r="R20" i="18"/>
  <c r="K20" i="18"/>
  <c r="V20" i="18" s="1"/>
  <c r="J20" i="18"/>
  <c r="R19" i="18"/>
  <c r="K19" i="18"/>
  <c r="V19" i="18" s="1"/>
  <c r="J19" i="18"/>
  <c r="L19" i="18" s="1"/>
  <c r="T19" i="18" s="1"/>
  <c r="S19" i="18" s="1"/>
  <c r="G19" i="18"/>
  <c r="K18" i="18"/>
  <c r="J18" i="18"/>
  <c r="J49" i="18" s="1"/>
  <c r="G18" i="18"/>
  <c r="R17" i="18"/>
  <c r="R48" i="18" s="1"/>
  <c r="H17" i="18"/>
  <c r="H48" i="18" s="1"/>
  <c r="G17" i="18"/>
  <c r="H41" i="18" s="1"/>
  <c r="D15" i="18"/>
  <c r="G47" i="18" s="1"/>
  <c r="P8" i="18"/>
  <c r="P1" i="18"/>
  <c r="Q49" i="17"/>
  <c r="F49" i="17"/>
  <c r="E49" i="17"/>
  <c r="P10" i="17" s="1"/>
  <c r="K48" i="17"/>
  <c r="J48" i="17"/>
  <c r="K47" i="17"/>
  <c r="V47" i="17" s="1"/>
  <c r="J47" i="17"/>
  <c r="L47" i="17" s="1"/>
  <c r="T47" i="17" s="1"/>
  <c r="S47" i="17" s="1"/>
  <c r="R46" i="17"/>
  <c r="L46" i="17"/>
  <c r="T46" i="17" s="1"/>
  <c r="S46" i="17" s="1"/>
  <c r="K46" i="17"/>
  <c r="V46" i="17" s="1"/>
  <c r="J46" i="17"/>
  <c r="G46" i="17"/>
  <c r="K45" i="17"/>
  <c r="J45" i="17"/>
  <c r="K44" i="17"/>
  <c r="J44" i="17"/>
  <c r="L44" i="17" s="1"/>
  <c r="R43" i="17"/>
  <c r="L43" i="17"/>
  <c r="T43" i="17" s="1"/>
  <c r="S43" i="17" s="1"/>
  <c r="K43" i="17"/>
  <c r="V43" i="17" s="1"/>
  <c r="J43" i="17"/>
  <c r="G43" i="17"/>
  <c r="J42" i="17"/>
  <c r="K41" i="17"/>
  <c r="J41" i="17"/>
  <c r="L41" i="17" s="1"/>
  <c r="R40" i="17"/>
  <c r="L40" i="17"/>
  <c r="T40" i="17" s="1"/>
  <c r="S40" i="17" s="1"/>
  <c r="K40" i="17"/>
  <c r="V40" i="17" s="1"/>
  <c r="J40" i="17"/>
  <c r="G40" i="17"/>
  <c r="K39" i="17"/>
  <c r="J39" i="17"/>
  <c r="K38" i="17"/>
  <c r="J38" i="17"/>
  <c r="L38" i="17" s="1"/>
  <c r="R37" i="17"/>
  <c r="L37" i="17"/>
  <c r="T37" i="17" s="1"/>
  <c r="S37" i="17" s="1"/>
  <c r="K37" i="17"/>
  <c r="V37" i="17" s="1"/>
  <c r="J37" i="17"/>
  <c r="G37" i="17"/>
  <c r="K36" i="17"/>
  <c r="J36" i="17"/>
  <c r="K35" i="17"/>
  <c r="J35" i="17"/>
  <c r="L35" i="17" s="1"/>
  <c r="R34" i="17"/>
  <c r="L34" i="17"/>
  <c r="T34" i="17" s="1"/>
  <c r="S34" i="17" s="1"/>
  <c r="K34" i="17"/>
  <c r="V34" i="17" s="1"/>
  <c r="J34" i="17"/>
  <c r="G34" i="17"/>
  <c r="K33" i="17"/>
  <c r="J33" i="17"/>
  <c r="K32" i="17"/>
  <c r="J32" i="17"/>
  <c r="L32" i="17" s="1"/>
  <c r="R31" i="17"/>
  <c r="L31" i="17"/>
  <c r="T31" i="17" s="1"/>
  <c r="S31" i="17" s="1"/>
  <c r="K31" i="17"/>
  <c r="V31" i="17" s="1"/>
  <c r="J31" i="17"/>
  <c r="G31" i="17"/>
  <c r="K30" i="17"/>
  <c r="J30" i="17"/>
  <c r="K29" i="17"/>
  <c r="J29" i="17"/>
  <c r="R28" i="17"/>
  <c r="L28" i="17"/>
  <c r="T28" i="17" s="1"/>
  <c r="S28" i="17" s="1"/>
  <c r="K28" i="17"/>
  <c r="V28" i="17" s="1"/>
  <c r="J28" i="17"/>
  <c r="G28" i="17"/>
  <c r="K27" i="17"/>
  <c r="J27" i="17"/>
  <c r="K26" i="17"/>
  <c r="J26" i="17"/>
  <c r="R25" i="17"/>
  <c r="L25" i="17"/>
  <c r="K25" i="17"/>
  <c r="V25" i="17" s="1"/>
  <c r="J25" i="17"/>
  <c r="G25" i="17"/>
  <c r="K24" i="17"/>
  <c r="J24" i="17"/>
  <c r="K23" i="17"/>
  <c r="J23" i="17"/>
  <c r="R22" i="17"/>
  <c r="L22" i="17"/>
  <c r="K22" i="17"/>
  <c r="V22" i="17" s="1"/>
  <c r="J22" i="17"/>
  <c r="G22" i="17"/>
  <c r="K21" i="17"/>
  <c r="J21" i="17"/>
  <c r="K20" i="17"/>
  <c r="J20" i="17"/>
  <c r="R19" i="17"/>
  <c r="L19" i="17"/>
  <c r="K19" i="17"/>
  <c r="V19" i="17" s="1"/>
  <c r="J19" i="17"/>
  <c r="G19" i="17"/>
  <c r="K18" i="17"/>
  <c r="J18" i="17"/>
  <c r="J49" i="17" s="1"/>
  <c r="R17" i="17"/>
  <c r="R47" i="17" s="1"/>
  <c r="U47" i="17" s="1"/>
  <c r="H17" i="17"/>
  <c r="H48" i="17" s="1"/>
  <c r="G17" i="17"/>
  <c r="H44" i="17" s="1"/>
  <c r="D15" i="17"/>
  <c r="G47" i="17" s="1"/>
  <c r="P1" i="17"/>
  <c r="P8" i="17" s="1"/>
  <c r="Q49" i="16"/>
  <c r="F49" i="16"/>
  <c r="E49" i="16"/>
  <c r="P10" i="16" s="1"/>
  <c r="K48" i="16"/>
  <c r="J48" i="16"/>
  <c r="K47" i="16"/>
  <c r="J47" i="16"/>
  <c r="L47" i="16" s="1"/>
  <c r="R46" i="16"/>
  <c r="K46" i="16"/>
  <c r="L46" i="16" s="1"/>
  <c r="T46" i="16" s="1"/>
  <c r="S46" i="16" s="1"/>
  <c r="J46" i="16"/>
  <c r="G46" i="16"/>
  <c r="K45" i="16"/>
  <c r="J45" i="16"/>
  <c r="U44" i="16"/>
  <c r="R44" i="16"/>
  <c r="K44" i="16"/>
  <c r="V44" i="16" s="1"/>
  <c r="J44" i="16"/>
  <c r="L44" i="16" s="1"/>
  <c r="T44" i="16" s="1"/>
  <c r="S44" i="16" s="1"/>
  <c r="R43" i="16"/>
  <c r="K43" i="16"/>
  <c r="L43" i="16" s="1"/>
  <c r="T43" i="16" s="1"/>
  <c r="S43" i="16" s="1"/>
  <c r="J43" i="16"/>
  <c r="G43" i="16"/>
  <c r="J42" i="16"/>
  <c r="R41" i="16"/>
  <c r="K41" i="16"/>
  <c r="V41" i="16" s="1"/>
  <c r="J41" i="16"/>
  <c r="U41" i="16" s="1"/>
  <c r="R40" i="16"/>
  <c r="K40" i="16"/>
  <c r="L40" i="16" s="1"/>
  <c r="T40" i="16" s="1"/>
  <c r="S40" i="16" s="1"/>
  <c r="J40" i="16"/>
  <c r="G40" i="16"/>
  <c r="K39" i="16"/>
  <c r="J39" i="16"/>
  <c r="R38" i="16"/>
  <c r="K38" i="16"/>
  <c r="V38" i="16" s="1"/>
  <c r="J38" i="16"/>
  <c r="L38" i="16" s="1"/>
  <c r="T38" i="16" s="1"/>
  <c r="S38" i="16" s="1"/>
  <c r="R37" i="16"/>
  <c r="K37" i="16"/>
  <c r="L37" i="16" s="1"/>
  <c r="T37" i="16" s="1"/>
  <c r="S37" i="16" s="1"/>
  <c r="J37" i="16"/>
  <c r="G37" i="16"/>
  <c r="K36" i="16"/>
  <c r="J36" i="16"/>
  <c r="R35" i="16"/>
  <c r="K35" i="16"/>
  <c r="V35" i="16" s="1"/>
  <c r="J35" i="16"/>
  <c r="U35" i="16" s="1"/>
  <c r="R34" i="16"/>
  <c r="K34" i="16"/>
  <c r="L34" i="16" s="1"/>
  <c r="J34" i="16"/>
  <c r="G34" i="16"/>
  <c r="K33" i="16"/>
  <c r="J33" i="16"/>
  <c r="R32" i="16"/>
  <c r="K32" i="16"/>
  <c r="J32" i="16"/>
  <c r="R31" i="16"/>
  <c r="K31" i="16"/>
  <c r="J31" i="16"/>
  <c r="G31" i="16"/>
  <c r="K30" i="16"/>
  <c r="J30" i="16"/>
  <c r="R29" i="16"/>
  <c r="K29" i="16"/>
  <c r="J29" i="16"/>
  <c r="R28" i="16"/>
  <c r="K28" i="16"/>
  <c r="L28" i="16" s="1"/>
  <c r="J28" i="16"/>
  <c r="G28" i="16"/>
  <c r="K27" i="16"/>
  <c r="J27" i="16"/>
  <c r="R26" i="16"/>
  <c r="K26" i="16"/>
  <c r="J26" i="16"/>
  <c r="R25" i="16"/>
  <c r="K25" i="16"/>
  <c r="J25" i="16"/>
  <c r="G25" i="16"/>
  <c r="K24" i="16"/>
  <c r="J24" i="16"/>
  <c r="R23" i="16"/>
  <c r="K23" i="16"/>
  <c r="J23" i="16"/>
  <c r="U23" i="16" s="1"/>
  <c r="R22" i="16"/>
  <c r="K22" i="16"/>
  <c r="L22" i="16" s="1"/>
  <c r="J22" i="16"/>
  <c r="G22" i="16"/>
  <c r="K21" i="16"/>
  <c r="J21" i="16"/>
  <c r="U20" i="16"/>
  <c r="R20" i="16"/>
  <c r="K20" i="16"/>
  <c r="J20" i="16"/>
  <c r="R19" i="16"/>
  <c r="K19" i="16"/>
  <c r="J19" i="16"/>
  <c r="G19" i="16"/>
  <c r="K18" i="16"/>
  <c r="J18" i="16"/>
  <c r="R17" i="16"/>
  <c r="R47" i="16" s="1"/>
  <c r="U47" i="16" s="1"/>
  <c r="H17" i="16"/>
  <c r="H48" i="16" s="1"/>
  <c r="G17" i="16"/>
  <c r="H44" i="16" s="1"/>
  <c r="D15" i="16"/>
  <c r="G47" i="16" s="1"/>
  <c r="P1" i="16"/>
  <c r="P8" i="16" s="1"/>
  <c r="Q49" i="15"/>
  <c r="F49" i="15"/>
  <c r="E49" i="15"/>
  <c r="P10" i="15" s="1"/>
  <c r="K48" i="15"/>
  <c r="J48" i="15"/>
  <c r="L48" i="15" s="1"/>
  <c r="G48" i="15"/>
  <c r="L47" i="15"/>
  <c r="K47" i="15"/>
  <c r="J47" i="15"/>
  <c r="R46" i="15"/>
  <c r="U46" i="15" s="1"/>
  <c r="K46" i="15"/>
  <c r="V46" i="15" s="1"/>
  <c r="J46" i="15"/>
  <c r="L46" i="15" s="1"/>
  <c r="T46" i="15" s="1"/>
  <c r="S46" i="15" s="1"/>
  <c r="K45" i="15"/>
  <c r="J45" i="15"/>
  <c r="L45" i="15" s="1"/>
  <c r="G45" i="15"/>
  <c r="L44" i="15"/>
  <c r="K44" i="15"/>
  <c r="J44" i="15"/>
  <c r="R43" i="15"/>
  <c r="U43" i="15" s="1"/>
  <c r="K43" i="15"/>
  <c r="V43" i="15" s="1"/>
  <c r="J43" i="15"/>
  <c r="L43" i="15" s="1"/>
  <c r="T43" i="15" s="1"/>
  <c r="S43" i="15" s="1"/>
  <c r="J42" i="15"/>
  <c r="G42" i="15"/>
  <c r="L41" i="15"/>
  <c r="K41" i="15"/>
  <c r="J41" i="15"/>
  <c r="R40" i="15"/>
  <c r="U40" i="15" s="1"/>
  <c r="K40" i="15"/>
  <c r="V40" i="15" s="1"/>
  <c r="J40" i="15"/>
  <c r="L40" i="15" s="1"/>
  <c r="T40" i="15" s="1"/>
  <c r="S40" i="15" s="1"/>
  <c r="K39" i="15"/>
  <c r="J39" i="15"/>
  <c r="L39" i="15" s="1"/>
  <c r="G39" i="15"/>
  <c r="L38" i="15"/>
  <c r="K38" i="15"/>
  <c r="J38" i="15"/>
  <c r="R37" i="15"/>
  <c r="U37" i="15" s="1"/>
  <c r="K37" i="15"/>
  <c r="V37" i="15" s="1"/>
  <c r="J37" i="15"/>
  <c r="L37" i="15" s="1"/>
  <c r="T37" i="15" s="1"/>
  <c r="S37" i="15" s="1"/>
  <c r="K36" i="15"/>
  <c r="J36" i="15"/>
  <c r="L36" i="15" s="1"/>
  <c r="G36" i="15"/>
  <c r="L35" i="15"/>
  <c r="K35" i="15"/>
  <c r="J35" i="15"/>
  <c r="R34" i="15"/>
  <c r="U34" i="15" s="1"/>
  <c r="K34" i="15"/>
  <c r="V34" i="15" s="1"/>
  <c r="J34" i="15"/>
  <c r="L34" i="15" s="1"/>
  <c r="T34" i="15" s="1"/>
  <c r="S34" i="15" s="1"/>
  <c r="K33" i="15"/>
  <c r="J33" i="15"/>
  <c r="L33" i="15" s="1"/>
  <c r="G33" i="15"/>
  <c r="L32" i="15"/>
  <c r="K32" i="15"/>
  <c r="J32" i="15"/>
  <c r="R31" i="15"/>
  <c r="K31" i="15"/>
  <c r="V31" i="15" s="1"/>
  <c r="J31" i="15"/>
  <c r="K30" i="15"/>
  <c r="J30" i="15"/>
  <c r="G30" i="15"/>
  <c r="K29" i="15"/>
  <c r="L29" i="15" s="1"/>
  <c r="J29" i="15"/>
  <c r="R28" i="15"/>
  <c r="K28" i="15"/>
  <c r="J28" i="15"/>
  <c r="K27" i="15"/>
  <c r="J27" i="15"/>
  <c r="L27" i="15" s="1"/>
  <c r="G27" i="15"/>
  <c r="K26" i="15"/>
  <c r="L26" i="15" s="1"/>
  <c r="J26" i="15"/>
  <c r="R25" i="15"/>
  <c r="K25" i="15"/>
  <c r="V25" i="15" s="1"/>
  <c r="J25" i="15"/>
  <c r="K24" i="15"/>
  <c r="J24" i="15"/>
  <c r="G24" i="15"/>
  <c r="K23" i="15"/>
  <c r="L23" i="15" s="1"/>
  <c r="J23" i="15"/>
  <c r="R22" i="15"/>
  <c r="K22" i="15"/>
  <c r="J22" i="15"/>
  <c r="K21" i="15"/>
  <c r="J21" i="15"/>
  <c r="G21" i="15"/>
  <c r="K20" i="15"/>
  <c r="L20" i="15" s="1"/>
  <c r="J20" i="15"/>
  <c r="R19" i="15"/>
  <c r="K19" i="15"/>
  <c r="V19" i="15" s="1"/>
  <c r="J19" i="15"/>
  <c r="K18" i="15"/>
  <c r="J18" i="15"/>
  <c r="G18" i="15"/>
  <c r="R17" i="15"/>
  <c r="R47" i="15" s="1"/>
  <c r="H17" i="15"/>
  <c r="H48" i="15" s="1"/>
  <c r="G17" i="15"/>
  <c r="H18" i="15" s="1"/>
  <c r="D15" i="15"/>
  <c r="G47" i="15" s="1"/>
  <c r="P8" i="15"/>
  <c r="P1" i="15"/>
  <c r="Q49" i="14"/>
  <c r="F49" i="14"/>
  <c r="E49" i="14"/>
  <c r="P10" i="14" s="1"/>
  <c r="K48" i="14"/>
  <c r="J48" i="14"/>
  <c r="K47" i="14"/>
  <c r="J47" i="14"/>
  <c r="L47" i="14" s="1"/>
  <c r="R46" i="14"/>
  <c r="K46" i="14"/>
  <c r="V46" i="14" s="1"/>
  <c r="J46" i="14"/>
  <c r="L46" i="14" s="1"/>
  <c r="T46" i="14" s="1"/>
  <c r="S46" i="14" s="1"/>
  <c r="G46" i="14"/>
  <c r="K45" i="14"/>
  <c r="J45" i="14"/>
  <c r="K44" i="14"/>
  <c r="J44" i="14"/>
  <c r="L44" i="14" s="1"/>
  <c r="R43" i="14"/>
  <c r="K43" i="14"/>
  <c r="V43" i="14" s="1"/>
  <c r="J43" i="14"/>
  <c r="L43" i="14" s="1"/>
  <c r="T43" i="14" s="1"/>
  <c r="S43" i="14" s="1"/>
  <c r="G43" i="14"/>
  <c r="J42" i="14"/>
  <c r="K41" i="14"/>
  <c r="J41" i="14"/>
  <c r="L41" i="14" s="1"/>
  <c r="R40" i="14"/>
  <c r="K40" i="14"/>
  <c r="V40" i="14" s="1"/>
  <c r="J40" i="14"/>
  <c r="L40" i="14" s="1"/>
  <c r="T40" i="14" s="1"/>
  <c r="S40" i="14" s="1"/>
  <c r="G40" i="14"/>
  <c r="K39" i="14"/>
  <c r="J39" i="14"/>
  <c r="K38" i="14"/>
  <c r="J38" i="14"/>
  <c r="L38" i="14" s="1"/>
  <c r="R37" i="14"/>
  <c r="K37" i="14"/>
  <c r="L37" i="14" s="1"/>
  <c r="T37" i="14" s="1"/>
  <c r="S37" i="14" s="1"/>
  <c r="J37" i="14"/>
  <c r="G37" i="14"/>
  <c r="K36" i="14"/>
  <c r="J36" i="14"/>
  <c r="K35" i="14"/>
  <c r="J35" i="14"/>
  <c r="L35" i="14" s="1"/>
  <c r="R34" i="14"/>
  <c r="K34" i="14"/>
  <c r="L34" i="14" s="1"/>
  <c r="T34" i="14" s="1"/>
  <c r="S34" i="14" s="1"/>
  <c r="J34" i="14"/>
  <c r="G34" i="14"/>
  <c r="K33" i="14"/>
  <c r="J33" i="14"/>
  <c r="K32" i="14"/>
  <c r="J32" i="14"/>
  <c r="L32" i="14" s="1"/>
  <c r="R31" i="14"/>
  <c r="K31" i="14"/>
  <c r="J31" i="14"/>
  <c r="G31" i="14"/>
  <c r="K30" i="14"/>
  <c r="J30" i="14"/>
  <c r="K29" i="14"/>
  <c r="J29" i="14"/>
  <c r="R28" i="14"/>
  <c r="K28" i="14"/>
  <c r="J28" i="14"/>
  <c r="G28" i="14"/>
  <c r="K27" i="14"/>
  <c r="J27" i="14"/>
  <c r="K26" i="14"/>
  <c r="J26" i="14"/>
  <c r="R25" i="14"/>
  <c r="K25" i="14"/>
  <c r="J25" i="14"/>
  <c r="G25" i="14"/>
  <c r="K24" i="14"/>
  <c r="J24" i="14"/>
  <c r="K23" i="14"/>
  <c r="J23" i="14"/>
  <c r="R22" i="14"/>
  <c r="K22" i="14"/>
  <c r="J22" i="14"/>
  <c r="G22" i="14"/>
  <c r="K21" i="14"/>
  <c r="J21" i="14"/>
  <c r="K20" i="14"/>
  <c r="J20" i="14"/>
  <c r="R19" i="14"/>
  <c r="K19" i="14"/>
  <c r="J19" i="14"/>
  <c r="G19" i="14"/>
  <c r="K18" i="14"/>
  <c r="J18" i="14"/>
  <c r="R17" i="14"/>
  <c r="R47" i="14" s="1"/>
  <c r="U47" i="14" s="1"/>
  <c r="H17" i="14"/>
  <c r="H48" i="14" s="1"/>
  <c r="G17" i="14"/>
  <c r="H44" i="14" s="1"/>
  <c r="D15" i="14"/>
  <c r="G47" i="14" s="1"/>
  <c r="P1" i="14"/>
  <c r="P8" i="14" s="1"/>
  <c r="Q49" i="13"/>
  <c r="F49" i="13"/>
  <c r="E49" i="13"/>
  <c r="P10" i="13" s="1"/>
  <c r="K48" i="13"/>
  <c r="J48" i="13"/>
  <c r="L48" i="13" s="1"/>
  <c r="G48" i="13"/>
  <c r="L47" i="13"/>
  <c r="K47" i="13"/>
  <c r="J47" i="13"/>
  <c r="K46" i="13"/>
  <c r="J46" i="13"/>
  <c r="L46" i="13" s="1"/>
  <c r="K45" i="13"/>
  <c r="J45" i="13"/>
  <c r="L45" i="13" s="1"/>
  <c r="H45" i="13"/>
  <c r="G45" i="13"/>
  <c r="R44" i="13"/>
  <c r="L44" i="13"/>
  <c r="T44" i="13" s="1"/>
  <c r="S44" i="13" s="1"/>
  <c r="K44" i="13"/>
  <c r="V44" i="13" s="1"/>
  <c r="J44" i="13"/>
  <c r="K43" i="13"/>
  <c r="J43" i="13"/>
  <c r="L43" i="13" s="1"/>
  <c r="J42" i="13"/>
  <c r="H42" i="13"/>
  <c r="G42" i="13"/>
  <c r="R41" i="13"/>
  <c r="L41" i="13"/>
  <c r="T41" i="13" s="1"/>
  <c r="S41" i="13" s="1"/>
  <c r="K41" i="13"/>
  <c r="V41" i="13" s="1"/>
  <c r="J41" i="13"/>
  <c r="K40" i="13"/>
  <c r="J40" i="13"/>
  <c r="L40" i="13" s="1"/>
  <c r="K39" i="13"/>
  <c r="J39" i="13"/>
  <c r="L39" i="13" s="1"/>
  <c r="H39" i="13"/>
  <c r="G39" i="13"/>
  <c r="R38" i="13"/>
  <c r="L38" i="13"/>
  <c r="T38" i="13" s="1"/>
  <c r="S38" i="13" s="1"/>
  <c r="K38" i="13"/>
  <c r="V38" i="13" s="1"/>
  <c r="J38" i="13"/>
  <c r="K37" i="13"/>
  <c r="J37" i="13"/>
  <c r="L37" i="13" s="1"/>
  <c r="K36" i="13"/>
  <c r="J36" i="13"/>
  <c r="L36" i="13" s="1"/>
  <c r="H36" i="13"/>
  <c r="G36" i="13"/>
  <c r="R35" i="13"/>
  <c r="L35" i="13"/>
  <c r="T35" i="13" s="1"/>
  <c r="S35" i="13" s="1"/>
  <c r="K35" i="13"/>
  <c r="V35" i="13" s="1"/>
  <c r="J35" i="13"/>
  <c r="K34" i="13"/>
  <c r="J34" i="13"/>
  <c r="L34" i="13" s="1"/>
  <c r="K33" i="13"/>
  <c r="J33" i="13"/>
  <c r="L33" i="13" s="1"/>
  <c r="H33" i="13"/>
  <c r="G33" i="13"/>
  <c r="R32" i="13"/>
  <c r="L32" i="13"/>
  <c r="T32" i="13" s="1"/>
  <c r="S32" i="13" s="1"/>
  <c r="K32" i="13"/>
  <c r="V32" i="13" s="1"/>
  <c r="J32" i="13"/>
  <c r="K31" i="13"/>
  <c r="J31" i="13"/>
  <c r="L31" i="13" s="1"/>
  <c r="K30" i="13"/>
  <c r="J30" i="13"/>
  <c r="H30" i="13"/>
  <c r="G30" i="13"/>
  <c r="R29" i="13"/>
  <c r="L29" i="13"/>
  <c r="T29" i="13" s="1"/>
  <c r="S29" i="13" s="1"/>
  <c r="K29" i="13"/>
  <c r="V29" i="13" s="1"/>
  <c r="J29" i="13"/>
  <c r="K28" i="13"/>
  <c r="J28" i="13"/>
  <c r="K27" i="13"/>
  <c r="J27" i="13"/>
  <c r="H27" i="13"/>
  <c r="G27" i="13"/>
  <c r="R26" i="13"/>
  <c r="K26" i="13"/>
  <c r="J26" i="13"/>
  <c r="L26" i="13" s="1"/>
  <c r="T26" i="13" s="1"/>
  <c r="S26" i="13" s="1"/>
  <c r="K25" i="13"/>
  <c r="J25" i="13"/>
  <c r="K24" i="13"/>
  <c r="J24" i="13"/>
  <c r="H24" i="13"/>
  <c r="G24" i="13"/>
  <c r="R23" i="13"/>
  <c r="K23" i="13"/>
  <c r="V23" i="13" s="1"/>
  <c r="J23" i="13"/>
  <c r="K22" i="13"/>
  <c r="J22" i="13"/>
  <c r="L22" i="13" s="1"/>
  <c r="K21" i="13"/>
  <c r="J21" i="13"/>
  <c r="H21" i="13"/>
  <c r="G21" i="13"/>
  <c r="R20" i="13"/>
  <c r="K20" i="13"/>
  <c r="V20" i="13" s="1"/>
  <c r="J20" i="13"/>
  <c r="K19" i="13"/>
  <c r="J19" i="13"/>
  <c r="K18" i="13"/>
  <c r="J18" i="13"/>
  <c r="J49" i="13" s="1"/>
  <c r="H18" i="13"/>
  <c r="G18" i="13"/>
  <c r="R17" i="13"/>
  <c r="R47" i="13" s="1"/>
  <c r="H17" i="13"/>
  <c r="H48" i="13" s="1"/>
  <c r="G17" i="13"/>
  <c r="D15" i="13"/>
  <c r="G47" i="13" s="1"/>
  <c r="P8" i="13"/>
  <c r="P1" i="13"/>
  <c r="Q49" i="12"/>
  <c r="F49" i="12"/>
  <c r="E49" i="12"/>
  <c r="P10" i="12" s="1"/>
  <c r="K48" i="12"/>
  <c r="J48" i="12"/>
  <c r="L48" i="12" s="1"/>
  <c r="G48" i="12"/>
  <c r="L47" i="12"/>
  <c r="K47" i="12"/>
  <c r="J47" i="12"/>
  <c r="R46" i="12"/>
  <c r="K46" i="12"/>
  <c r="V46" i="12" s="1"/>
  <c r="J46" i="12"/>
  <c r="L46" i="12" s="1"/>
  <c r="T46" i="12" s="1"/>
  <c r="S46" i="12" s="1"/>
  <c r="K45" i="12"/>
  <c r="J45" i="12"/>
  <c r="L45" i="12" s="1"/>
  <c r="G45" i="12"/>
  <c r="L44" i="12"/>
  <c r="K44" i="12"/>
  <c r="J44" i="12"/>
  <c r="R43" i="12"/>
  <c r="K43" i="12"/>
  <c r="V43" i="12" s="1"/>
  <c r="J43" i="12"/>
  <c r="L43" i="12" s="1"/>
  <c r="T43" i="12" s="1"/>
  <c r="S43" i="12" s="1"/>
  <c r="J42" i="12"/>
  <c r="G42" i="12"/>
  <c r="L41" i="12"/>
  <c r="K41" i="12"/>
  <c r="J41" i="12"/>
  <c r="R40" i="12"/>
  <c r="K40" i="12"/>
  <c r="V40" i="12" s="1"/>
  <c r="J40" i="12"/>
  <c r="L40" i="12" s="1"/>
  <c r="T40" i="12" s="1"/>
  <c r="S40" i="12" s="1"/>
  <c r="K39" i="12"/>
  <c r="J39" i="12"/>
  <c r="L39" i="12" s="1"/>
  <c r="G39" i="12"/>
  <c r="L38" i="12"/>
  <c r="K38" i="12"/>
  <c r="J38" i="12"/>
  <c r="R37" i="12"/>
  <c r="K37" i="12"/>
  <c r="V37" i="12" s="1"/>
  <c r="J37" i="12"/>
  <c r="L37" i="12" s="1"/>
  <c r="T37" i="12" s="1"/>
  <c r="S37" i="12" s="1"/>
  <c r="K36" i="12"/>
  <c r="J36" i="12"/>
  <c r="L36" i="12" s="1"/>
  <c r="G36" i="12"/>
  <c r="L35" i="12"/>
  <c r="K35" i="12"/>
  <c r="J35" i="12"/>
  <c r="U34" i="12"/>
  <c r="R34" i="12"/>
  <c r="K34" i="12"/>
  <c r="V34" i="12" s="1"/>
  <c r="J34" i="12"/>
  <c r="L34" i="12" s="1"/>
  <c r="T34" i="12" s="1"/>
  <c r="S34" i="12" s="1"/>
  <c r="K33" i="12"/>
  <c r="J33" i="12"/>
  <c r="L33" i="12" s="1"/>
  <c r="G33" i="12"/>
  <c r="L32" i="12"/>
  <c r="K32" i="12"/>
  <c r="J32" i="12"/>
  <c r="R31" i="12"/>
  <c r="K31" i="12"/>
  <c r="V31" i="12" s="1"/>
  <c r="J31" i="12"/>
  <c r="L31" i="12" s="1"/>
  <c r="T31" i="12" s="1"/>
  <c r="S31" i="12" s="1"/>
  <c r="K30" i="12"/>
  <c r="J30" i="12"/>
  <c r="L30" i="12" s="1"/>
  <c r="G30" i="12"/>
  <c r="K29" i="12"/>
  <c r="J29" i="12"/>
  <c r="R28" i="12"/>
  <c r="K28" i="12"/>
  <c r="V28" i="12" s="1"/>
  <c r="J28" i="12"/>
  <c r="K27" i="12"/>
  <c r="J27" i="12"/>
  <c r="L27" i="12" s="1"/>
  <c r="G27" i="12"/>
  <c r="K26" i="12"/>
  <c r="J26" i="12"/>
  <c r="L26" i="12" s="1"/>
  <c r="R25" i="12"/>
  <c r="K25" i="12"/>
  <c r="J25" i="12"/>
  <c r="L25" i="12" s="1"/>
  <c r="T25" i="12" s="1"/>
  <c r="S25" i="12" s="1"/>
  <c r="K24" i="12"/>
  <c r="J24" i="12"/>
  <c r="L24" i="12" s="1"/>
  <c r="G24" i="12"/>
  <c r="R23" i="12"/>
  <c r="K23" i="12"/>
  <c r="V23" i="12" s="1"/>
  <c r="J23" i="12"/>
  <c r="R22" i="12"/>
  <c r="K22" i="12"/>
  <c r="J22" i="12"/>
  <c r="L22" i="12" s="1"/>
  <c r="T22" i="12" s="1"/>
  <c r="S22" i="12" s="1"/>
  <c r="K21" i="12"/>
  <c r="J21" i="12"/>
  <c r="G21" i="12"/>
  <c r="R20" i="12"/>
  <c r="K20" i="12"/>
  <c r="J20" i="12"/>
  <c r="L20" i="12" s="1"/>
  <c r="T20" i="12" s="1"/>
  <c r="S20" i="12" s="1"/>
  <c r="R19" i="12"/>
  <c r="K19" i="12"/>
  <c r="V19" i="12" s="1"/>
  <c r="J19" i="12"/>
  <c r="K18" i="12"/>
  <c r="J18" i="12"/>
  <c r="G18" i="12"/>
  <c r="R17" i="12"/>
  <c r="R47" i="12" s="1"/>
  <c r="H17" i="12"/>
  <c r="H48" i="12" s="1"/>
  <c r="G17" i="12"/>
  <c r="H24" i="12" s="1"/>
  <c r="D15" i="12"/>
  <c r="G47" i="12" s="1"/>
  <c r="P8" i="12"/>
  <c r="P1" i="12"/>
  <c r="Q49" i="11"/>
  <c r="F49" i="11"/>
  <c r="E49" i="11"/>
  <c r="K48" i="11"/>
  <c r="J48" i="11"/>
  <c r="L48" i="11" s="1"/>
  <c r="G48" i="11"/>
  <c r="R47" i="11"/>
  <c r="L47" i="11"/>
  <c r="T47" i="11" s="1"/>
  <c r="S47" i="11" s="1"/>
  <c r="K47" i="11"/>
  <c r="V47" i="11" s="1"/>
  <c r="J47" i="11"/>
  <c r="R46" i="11"/>
  <c r="K46" i="11"/>
  <c r="V46" i="11" s="1"/>
  <c r="J46" i="11"/>
  <c r="L46" i="11" s="1"/>
  <c r="T46" i="11" s="1"/>
  <c r="S46" i="11" s="1"/>
  <c r="K45" i="11"/>
  <c r="J45" i="11"/>
  <c r="L45" i="11" s="1"/>
  <c r="G45" i="11"/>
  <c r="R44" i="11"/>
  <c r="L44" i="11"/>
  <c r="T44" i="11" s="1"/>
  <c r="S44" i="11" s="1"/>
  <c r="K44" i="11"/>
  <c r="V44" i="11" s="1"/>
  <c r="J44" i="11"/>
  <c r="R43" i="11"/>
  <c r="K43" i="11"/>
  <c r="V43" i="11" s="1"/>
  <c r="J43" i="11"/>
  <c r="L43" i="11" s="1"/>
  <c r="T43" i="11" s="1"/>
  <c r="S43" i="11" s="1"/>
  <c r="J42" i="11"/>
  <c r="G42" i="11"/>
  <c r="R41" i="11"/>
  <c r="L41" i="11"/>
  <c r="T41" i="11" s="1"/>
  <c r="S41" i="11" s="1"/>
  <c r="K41" i="11"/>
  <c r="V41" i="11" s="1"/>
  <c r="J41" i="11"/>
  <c r="R40" i="11"/>
  <c r="K40" i="11"/>
  <c r="V40" i="11" s="1"/>
  <c r="J40" i="11"/>
  <c r="L40" i="11" s="1"/>
  <c r="T40" i="11" s="1"/>
  <c r="S40" i="11" s="1"/>
  <c r="K39" i="11"/>
  <c r="J39" i="11"/>
  <c r="L39" i="11" s="1"/>
  <c r="G39" i="11"/>
  <c r="R38" i="11"/>
  <c r="L38" i="11"/>
  <c r="T38" i="11" s="1"/>
  <c r="S38" i="11" s="1"/>
  <c r="K38" i="11"/>
  <c r="V38" i="11" s="1"/>
  <c r="J38" i="11"/>
  <c r="R37" i="11"/>
  <c r="K37" i="11"/>
  <c r="V37" i="11" s="1"/>
  <c r="J37" i="11"/>
  <c r="L37" i="11" s="1"/>
  <c r="T37" i="11" s="1"/>
  <c r="S37" i="11" s="1"/>
  <c r="K36" i="11"/>
  <c r="J36" i="11"/>
  <c r="L36" i="11" s="1"/>
  <c r="G36" i="11"/>
  <c r="R35" i="11"/>
  <c r="L35" i="11"/>
  <c r="T35" i="11" s="1"/>
  <c r="S35" i="11" s="1"/>
  <c r="K35" i="11"/>
  <c r="V35" i="11" s="1"/>
  <c r="J35" i="11"/>
  <c r="R34" i="11"/>
  <c r="K34" i="11"/>
  <c r="V34" i="11" s="1"/>
  <c r="J34" i="11"/>
  <c r="L34" i="11" s="1"/>
  <c r="T34" i="11" s="1"/>
  <c r="S34" i="11" s="1"/>
  <c r="K33" i="11"/>
  <c r="J33" i="11"/>
  <c r="L33" i="11" s="1"/>
  <c r="G33" i="11"/>
  <c r="R32" i="11"/>
  <c r="L32" i="11"/>
  <c r="T32" i="11" s="1"/>
  <c r="S32" i="11" s="1"/>
  <c r="K32" i="11"/>
  <c r="V32" i="11" s="1"/>
  <c r="J32" i="11"/>
  <c r="U31" i="11"/>
  <c r="R31" i="11"/>
  <c r="K31" i="11"/>
  <c r="J31" i="11"/>
  <c r="L31" i="11" s="1"/>
  <c r="T31" i="11" s="1"/>
  <c r="S31" i="11" s="1"/>
  <c r="K30" i="11"/>
  <c r="J30" i="11"/>
  <c r="G30" i="11"/>
  <c r="R29" i="11"/>
  <c r="K29" i="11"/>
  <c r="L29" i="11" s="1"/>
  <c r="T29" i="11" s="1"/>
  <c r="S29" i="11" s="1"/>
  <c r="J29" i="11"/>
  <c r="R28" i="11"/>
  <c r="K28" i="11"/>
  <c r="U28" i="11" s="1"/>
  <c r="J28" i="11"/>
  <c r="L28" i="11" s="1"/>
  <c r="T28" i="11" s="1"/>
  <c r="S28" i="11" s="1"/>
  <c r="K27" i="11"/>
  <c r="J27" i="11"/>
  <c r="L27" i="11" s="1"/>
  <c r="H27" i="11"/>
  <c r="G27" i="11"/>
  <c r="R26" i="11"/>
  <c r="L26" i="11"/>
  <c r="T26" i="11" s="1"/>
  <c r="S26" i="11" s="1"/>
  <c r="K26" i="11"/>
  <c r="J26" i="11"/>
  <c r="R25" i="11"/>
  <c r="K25" i="11"/>
  <c r="U25" i="11" s="1"/>
  <c r="J25" i="11"/>
  <c r="L25" i="11" s="1"/>
  <c r="T25" i="11" s="1"/>
  <c r="S25" i="11" s="1"/>
  <c r="K24" i="11"/>
  <c r="J24" i="11"/>
  <c r="H24" i="11"/>
  <c r="G24" i="11"/>
  <c r="R23" i="11"/>
  <c r="K23" i="11"/>
  <c r="L23" i="11" s="1"/>
  <c r="T23" i="11" s="1"/>
  <c r="S23" i="11" s="1"/>
  <c r="J23" i="11"/>
  <c r="R22" i="11"/>
  <c r="K22" i="11"/>
  <c r="J22" i="11"/>
  <c r="K21" i="11"/>
  <c r="J21" i="11"/>
  <c r="H21" i="11"/>
  <c r="G21" i="11"/>
  <c r="R20" i="11"/>
  <c r="K20" i="11"/>
  <c r="V20" i="11" s="1"/>
  <c r="J20" i="11"/>
  <c r="R19" i="11"/>
  <c r="K19" i="11"/>
  <c r="J19" i="11"/>
  <c r="K18" i="11"/>
  <c r="J18" i="11"/>
  <c r="H18" i="11"/>
  <c r="G18" i="11"/>
  <c r="R17" i="11"/>
  <c r="R48" i="11" s="1"/>
  <c r="H17" i="11"/>
  <c r="H46" i="11" s="1"/>
  <c r="G17" i="11"/>
  <c r="H48" i="11" s="1"/>
  <c r="D15" i="11"/>
  <c r="G47" i="11" s="1"/>
  <c r="P10" i="11"/>
  <c r="P8" i="11"/>
  <c r="P1" i="11"/>
  <c r="Q49" i="10"/>
  <c r="F49" i="10"/>
  <c r="E49" i="10"/>
  <c r="P10" i="10" s="1"/>
  <c r="K48" i="10"/>
  <c r="J48" i="10"/>
  <c r="L48" i="10" s="1"/>
  <c r="G48" i="10"/>
  <c r="L47" i="10"/>
  <c r="K47" i="10"/>
  <c r="J47" i="10"/>
  <c r="R46" i="10"/>
  <c r="U46" i="10" s="1"/>
  <c r="K46" i="10"/>
  <c r="V46" i="10" s="1"/>
  <c r="J46" i="10"/>
  <c r="L46" i="10" s="1"/>
  <c r="T46" i="10" s="1"/>
  <c r="S46" i="10" s="1"/>
  <c r="K45" i="10"/>
  <c r="J45" i="10"/>
  <c r="L45" i="10" s="1"/>
  <c r="G45" i="10"/>
  <c r="L44" i="10"/>
  <c r="K44" i="10"/>
  <c r="J44" i="10"/>
  <c r="R43" i="10"/>
  <c r="U43" i="10" s="1"/>
  <c r="K43" i="10"/>
  <c r="V43" i="10" s="1"/>
  <c r="J43" i="10"/>
  <c r="L43" i="10" s="1"/>
  <c r="T43" i="10" s="1"/>
  <c r="S43" i="10" s="1"/>
  <c r="J42" i="10"/>
  <c r="G42" i="10"/>
  <c r="L41" i="10"/>
  <c r="K41" i="10"/>
  <c r="J41" i="10"/>
  <c r="R40" i="10"/>
  <c r="U40" i="10" s="1"/>
  <c r="K40" i="10"/>
  <c r="V40" i="10" s="1"/>
  <c r="J40" i="10"/>
  <c r="L40" i="10" s="1"/>
  <c r="T40" i="10" s="1"/>
  <c r="S40" i="10" s="1"/>
  <c r="K39" i="10"/>
  <c r="J39" i="10"/>
  <c r="L39" i="10" s="1"/>
  <c r="G39" i="10"/>
  <c r="L38" i="10"/>
  <c r="K38" i="10"/>
  <c r="J38" i="10"/>
  <c r="R37" i="10"/>
  <c r="U37" i="10" s="1"/>
  <c r="K37" i="10"/>
  <c r="V37" i="10" s="1"/>
  <c r="J37" i="10"/>
  <c r="L37" i="10" s="1"/>
  <c r="T37" i="10" s="1"/>
  <c r="S37" i="10" s="1"/>
  <c r="K36" i="10"/>
  <c r="J36" i="10"/>
  <c r="L36" i="10" s="1"/>
  <c r="G36" i="10"/>
  <c r="L35" i="10"/>
  <c r="K35" i="10"/>
  <c r="J35" i="10"/>
  <c r="R34" i="10"/>
  <c r="U34" i="10" s="1"/>
  <c r="K34" i="10"/>
  <c r="V34" i="10" s="1"/>
  <c r="J34" i="10"/>
  <c r="L34" i="10" s="1"/>
  <c r="T34" i="10" s="1"/>
  <c r="S34" i="10" s="1"/>
  <c r="K33" i="10"/>
  <c r="J33" i="10"/>
  <c r="L33" i="10" s="1"/>
  <c r="G33" i="10"/>
  <c r="L32" i="10"/>
  <c r="K32" i="10"/>
  <c r="J32" i="10"/>
  <c r="R31" i="10"/>
  <c r="U31" i="10" s="1"/>
  <c r="K31" i="10"/>
  <c r="V31" i="10" s="1"/>
  <c r="J31" i="10"/>
  <c r="L31" i="10" s="1"/>
  <c r="T31" i="10" s="1"/>
  <c r="S31" i="10" s="1"/>
  <c r="K30" i="10"/>
  <c r="J30" i="10"/>
  <c r="G30" i="10"/>
  <c r="L29" i="10"/>
  <c r="K29" i="10"/>
  <c r="J29" i="10"/>
  <c r="R28" i="10"/>
  <c r="K28" i="10"/>
  <c r="J28" i="10"/>
  <c r="K27" i="10"/>
  <c r="J27" i="10"/>
  <c r="G27" i="10"/>
  <c r="K26" i="10"/>
  <c r="J26" i="10"/>
  <c r="L26" i="10" s="1"/>
  <c r="R25" i="10"/>
  <c r="K25" i="10"/>
  <c r="J25" i="10"/>
  <c r="K24" i="10"/>
  <c r="J24" i="10"/>
  <c r="G24" i="10"/>
  <c r="K23" i="10"/>
  <c r="L23" i="10" s="1"/>
  <c r="J23" i="10"/>
  <c r="R22" i="10"/>
  <c r="K22" i="10"/>
  <c r="J22" i="10"/>
  <c r="K21" i="10"/>
  <c r="J21" i="10"/>
  <c r="G21" i="10"/>
  <c r="K20" i="10"/>
  <c r="J20" i="10"/>
  <c r="L20" i="10" s="1"/>
  <c r="R19" i="10"/>
  <c r="K19" i="10"/>
  <c r="J19" i="10"/>
  <c r="K18" i="10"/>
  <c r="J18" i="10"/>
  <c r="G18" i="10"/>
  <c r="R17" i="10"/>
  <c r="R47" i="10" s="1"/>
  <c r="H17" i="10"/>
  <c r="H48" i="10" s="1"/>
  <c r="G17" i="10"/>
  <c r="H24" i="10" s="1"/>
  <c r="D15" i="10"/>
  <c r="G47" i="10" s="1"/>
  <c r="P8" i="10"/>
  <c r="P1" i="10"/>
  <c r="Q49" i="9"/>
  <c r="F49" i="9"/>
  <c r="E49" i="9"/>
  <c r="P10" i="9" s="1"/>
  <c r="K48" i="9"/>
  <c r="J48" i="9"/>
  <c r="L48" i="9" s="1"/>
  <c r="T48" i="9" s="1"/>
  <c r="S48" i="9" s="1"/>
  <c r="G48" i="9"/>
  <c r="R47" i="9"/>
  <c r="L47" i="9"/>
  <c r="T47" i="9" s="1"/>
  <c r="S47" i="9" s="1"/>
  <c r="K47" i="9"/>
  <c r="V47" i="9" s="1"/>
  <c r="J47" i="9"/>
  <c r="R46" i="9"/>
  <c r="K46" i="9"/>
  <c r="V46" i="9" s="1"/>
  <c r="J46" i="9"/>
  <c r="L46" i="9" s="1"/>
  <c r="T46" i="9" s="1"/>
  <c r="S46" i="9" s="1"/>
  <c r="K45" i="9"/>
  <c r="J45" i="9"/>
  <c r="L45" i="9" s="1"/>
  <c r="G45" i="9"/>
  <c r="R44" i="9"/>
  <c r="L44" i="9"/>
  <c r="T44" i="9" s="1"/>
  <c r="S44" i="9" s="1"/>
  <c r="K44" i="9"/>
  <c r="V44" i="9" s="1"/>
  <c r="J44" i="9"/>
  <c r="R43" i="9"/>
  <c r="K43" i="9"/>
  <c r="V43" i="9" s="1"/>
  <c r="J43" i="9"/>
  <c r="L43" i="9" s="1"/>
  <c r="T43" i="9" s="1"/>
  <c r="S43" i="9" s="1"/>
  <c r="J42" i="9"/>
  <c r="G42" i="9"/>
  <c r="R41" i="9"/>
  <c r="L41" i="9"/>
  <c r="T41" i="9" s="1"/>
  <c r="S41" i="9" s="1"/>
  <c r="K41" i="9"/>
  <c r="V41" i="9" s="1"/>
  <c r="J41" i="9"/>
  <c r="R40" i="9"/>
  <c r="K40" i="9"/>
  <c r="V40" i="9" s="1"/>
  <c r="J40" i="9"/>
  <c r="L40" i="9" s="1"/>
  <c r="T40" i="9" s="1"/>
  <c r="S40" i="9" s="1"/>
  <c r="K39" i="9"/>
  <c r="J39" i="9"/>
  <c r="L39" i="9" s="1"/>
  <c r="G39" i="9"/>
  <c r="R38" i="9"/>
  <c r="L38" i="9"/>
  <c r="T38" i="9" s="1"/>
  <c r="S38" i="9" s="1"/>
  <c r="K38" i="9"/>
  <c r="V38" i="9" s="1"/>
  <c r="J38" i="9"/>
  <c r="U37" i="9"/>
  <c r="R37" i="9"/>
  <c r="K37" i="9"/>
  <c r="V37" i="9" s="1"/>
  <c r="J37" i="9"/>
  <c r="L37" i="9" s="1"/>
  <c r="T37" i="9" s="1"/>
  <c r="S37" i="9" s="1"/>
  <c r="K36" i="9"/>
  <c r="J36" i="9"/>
  <c r="L36" i="9" s="1"/>
  <c r="G36" i="9"/>
  <c r="R35" i="9"/>
  <c r="L35" i="9"/>
  <c r="T35" i="9" s="1"/>
  <c r="S35" i="9" s="1"/>
  <c r="K35" i="9"/>
  <c r="V35" i="9" s="1"/>
  <c r="J35" i="9"/>
  <c r="R34" i="9"/>
  <c r="K34" i="9"/>
  <c r="V34" i="9" s="1"/>
  <c r="J34" i="9"/>
  <c r="L34" i="9" s="1"/>
  <c r="T34" i="9" s="1"/>
  <c r="S34" i="9" s="1"/>
  <c r="K33" i="9"/>
  <c r="J33" i="9"/>
  <c r="L33" i="9" s="1"/>
  <c r="G33" i="9"/>
  <c r="R32" i="9"/>
  <c r="L32" i="9"/>
  <c r="T32" i="9" s="1"/>
  <c r="S32" i="9" s="1"/>
  <c r="K32" i="9"/>
  <c r="V32" i="9" s="1"/>
  <c r="J32" i="9"/>
  <c r="R31" i="9"/>
  <c r="K31" i="9"/>
  <c r="J31" i="9"/>
  <c r="K30" i="9"/>
  <c r="J30" i="9"/>
  <c r="G30" i="9"/>
  <c r="R29" i="9"/>
  <c r="K29" i="9"/>
  <c r="V29" i="9" s="1"/>
  <c r="J29" i="9"/>
  <c r="R28" i="9"/>
  <c r="K28" i="9"/>
  <c r="V28" i="9" s="1"/>
  <c r="J28" i="9"/>
  <c r="K27" i="9"/>
  <c r="J27" i="9"/>
  <c r="L27" i="9" s="1"/>
  <c r="H27" i="9"/>
  <c r="G27" i="9"/>
  <c r="R26" i="9"/>
  <c r="K26" i="9"/>
  <c r="J26" i="9"/>
  <c r="L26" i="9" s="1"/>
  <c r="T26" i="9" s="1"/>
  <c r="S26" i="9" s="1"/>
  <c r="R25" i="9"/>
  <c r="K25" i="9"/>
  <c r="J25" i="9"/>
  <c r="K24" i="9"/>
  <c r="J24" i="9"/>
  <c r="H24" i="9"/>
  <c r="G24" i="9"/>
  <c r="R23" i="9"/>
  <c r="K23" i="9"/>
  <c r="J23" i="9"/>
  <c r="R22" i="9"/>
  <c r="K22" i="9"/>
  <c r="J22" i="9"/>
  <c r="K21" i="9"/>
  <c r="J21" i="9"/>
  <c r="H21" i="9"/>
  <c r="G21" i="9"/>
  <c r="R20" i="9"/>
  <c r="K20" i="9"/>
  <c r="V20" i="9" s="1"/>
  <c r="J20" i="9"/>
  <c r="R19" i="9"/>
  <c r="K19" i="9"/>
  <c r="J19" i="9"/>
  <c r="K18" i="9"/>
  <c r="J18" i="9"/>
  <c r="H18" i="9"/>
  <c r="G18" i="9"/>
  <c r="R17" i="9"/>
  <c r="R48" i="9" s="1"/>
  <c r="H17" i="9"/>
  <c r="H46" i="9" s="1"/>
  <c r="G17" i="9"/>
  <c r="H48" i="9" s="1"/>
  <c r="D15" i="9"/>
  <c r="G47" i="9" s="1"/>
  <c r="P8" i="9"/>
  <c r="P1" i="9"/>
  <c r="Q49" i="8"/>
  <c r="F49" i="8"/>
  <c r="E49" i="8"/>
  <c r="K48" i="8"/>
  <c r="J48" i="8"/>
  <c r="L48" i="8" s="1"/>
  <c r="K47" i="8"/>
  <c r="L47" i="8" s="1"/>
  <c r="J47" i="8"/>
  <c r="R46" i="8"/>
  <c r="K46" i="8"/>
  <c r="L46" i="8" s="1"/>
  <c r="T46" i="8" s="1"/>
  <c r="S46" i="8" s="1"/>
  <c r="J46" i="8"/>
  <c r="K45" i="8"/>
  <c r="J45" i="8"/>
  <c r="L45" i="8" s="1"/>
  <c r="R44" i="8"/>
  <c r="K44" i="8"/>
  <c r="L44" i="8" s="1"/>
  <c r="T44" i="8" s="1"/>
  <c r="S44" i="8" s="1"/>
  <c r="J44" i="8"/>
  <c r="R43" i="8"/>
  <c r="K43" i="8"/>
  <c r="L43" i="8" s="1"/>
  <c r="T43" i="8" s="1"/>
  <c r="S43" i="8" s="1"/>
  <c r="J43" i="8"/>
  <c r="J42" i="8"/>
  <c r="R41" i="8"/>
  <c r="K41" i="8"/>
  <c r="V41" i="8" s="1"/>
  <c r="J41" i="8"/>
  <c r="L41" i="8" s="1"/>
  <c r="T41" i="8" s="1"/>
  <c r="S41" i="8" s="1"/>
  <c r="R40" i="8"/>
  <c r="K40" i="8"/>
  <c r="L40" i="8" s="1"/>
  <c r="T40" i="8" s="1"/>
  <c r="S40" i="8" s="1"/>
  <c r="J40" i="8"/>
  <c r="K39" i="8"/>
  <c r="J39" i="8"/>
  <c r="L39" i="8" s="1"/>
  <c r="R38" i="8"/>
  <c r="K38" i="8"/>
  <c r="L38" i="8" s="1"/>
  <c r="T38" i="8" s="1"/>
  <c r="S38" i="8" s="1"/>
  <c r="J38" i="8"/>
  <c r="R37" i="8"/>
  <c r="K37" i="8"/>
  <c r="L37" i="8" s="1"/>
  <c r="T37" i="8" s="1"/>
  <c r="S37" i="8" s="1"/>
  <c r="J37" i="8"/>
  <c r="K36" i="8"/>
  <c r="J36" i="8"/>
  <c r="L36" i="8" s="1"/>
  <c r="R35" i="8"/>
  <c r="K35" i="8"/>
  <c r="V35" i="8" s="1"/>
  <c r="J35" i="8"/>
  <c r="L35" i="8" s="1"/>
  <c r="T35" i="8" s="1"/>
  <c r="S35" i="8" s="1"/>
  <c r="R34" i="8"/>
  <c r="K34" i="8"/>
  <c r="L34" i="8" s="1"/>
  <c r="T34" i="8" s="1"/>
  <c r="S34" i="8" s="1"/>
  <c r="J34" i="8"/>
  <c r="K33" i="8"/>
  <c r="J33" i="8"/>
  <c r="L33" i="8" s="1"/>
  <c r="R32" i="8"/>
  <c r="K32" i="8"/>
  <c r="J32" i="8"/>
  <c r="L32" i="8" s="1"/>
  <c r="T32" i="8" s="1"/>
  <c r="S32" i="8" s="1"/>
  <c r="R31" i="8"/>
  <c r="K31" i="8"/>
  <c r="L31" i="8" s="1"/>
  <c r="J31" i="8"/>
  <c r="K30" i="8"/>
  <c r="J30" i="8"/>
  <c r="R29" i="8"/>
  <c r="K29" i="8"/>
  <c r="V29" i="8" s="1"/>
  <c r="J29" i="8"/>
  <c r="R28" i="8"/>
  <c r="K28" i="8"/>
  <c r="J28" i="8"/>
  <c r="K27" i="8"/>
  <c r="J27" i="8"/>
  <c r="R26" i="8"/>
  <c r="K26" i="8"/>
  <c r="J26" i="8"/>
  <c r="R25" i="8"/>
  <c r="K25" i="8"/>
  <c r="J25" i="8"/>
  <c r="K24" i="8"/>
  <c r="J24" i="8"/>
  <c r="R23" i="8"/>
  <c r="K23" i="8"/>
  <c r="J23" i="8"/>
  <c r="R22" i="8"/>
  <c r="K22" i="8"/>
  <c r="J22" i="8"/>
  <c r="K21" i="8"/>
  <c r="J21" i="8"/>
  <c r="R20" i="8"/>
  <c r="K20" i="8"/>
  <c r="V20" i="8" s="1"/>
  <c r="J20" i="8"/>
  <c r="R19" i="8"/>
  <c r="K19" i="8"/>
  <c r="J19" i="8"/>
  <c r="L19" i="8" s="1"/>
  <c r="T19" i="8" s="1"/>
  <c r="S19" i="8" s="1"/>
  <c r="K18" i="8"/>
  <c r="J18" i="8"/>
  <c r="J49" i="8" s="1"/>
  <c r="R17" i="8"/>
  <c r="R47" i="8" s="1"/>
  <c r="H17" i="8"/>
  <c r="H48" i="8" s="1"/>
  <c r="G17" i="8"/>
  <c r="H33" i="8" s="1"/>
  <c r="D15" i="8"/>
  <c r="G47" i="8" s="1"/>
  <c r="P10" i="8"/>
  <c r="P1" i="8"/>
  <c r="P8" i="8" s="1"/>
  <c r="Q49" i="7"/>
  <c r="F49" i="7"/>
  <c r="E49" i="7"/>
  <c r="K48" i="7"/>
  <c r="J48" i="7"/>
  <c r="L48" i="7" s="1"/>
  <c r="K47" i="7"/>
  <c r="L47" i="7" s="1"/>
  <c r="J47" i="7"/>
  <c r="L46" i="7"/>
  <c r="K46" i="7"/>
  <c r="J46" i="7"/>
  <c r="K45" i="7"/>
  <c r="J45" i="7"/>
  <c r="L45" i="7" s="1"/>
  <c r="K44" i="7"/>
  <c r="J44" i="7"/>
  <c r="L44" i="7" s="1"/>
  <c r="L43" i="7"/>
  <c r="K43" i="7"/>
  <c r="J43" i="7"/>
  <c r="J42" i="7"/>
  <c r="K41" i="7"/>
  <c r="J41" i="7"/>
  <c r="L41" i="7" s="1"/>
  <c r="L40" i="7"/>
  <c r="K40" i="7"/>
  <c r="J40" i="7"/>
  <c r="K39" i="7"/>
  <c r="J39" i="7"/>
  <c r="L39" i="7" s="1"/>
  <c r="K38" i="7"/>
  <c r="J38" i="7"/>
  <c r="L38" i="7" s="1"/>
  <c r="L37" i="7"/>
  <c r="K37" i="7"/>
  <c r="J37" i="7"/>
  <c r="K36" i="7"/>
  <c r="J36" i="7"/>
  <c r="L36" i="7" s="1"/>
  <c r="K35" i="7"/>
  <c r="L35" i="7" s="1"/>
  <c r="J35" i="7"/>
  <c r="L34" i="7"/>
  <c r="K34" i="7"/>
  <c r="J34" i="7"/>
  <c r="K33" i="7"/>
  <c r="J33" i="7"/>
  <c r="L33" i="7" s="1"/>
  <c r="K32" i="7"/>
  <c r="J32" i="7"/>
  <c r="K31" i="7"/>
  <c r="L31" i="7" s="1"/>
  <c r="J31" i="7"/>
  <c r="K30" i="7"/>
  <c r="J30" i="7"/>
  <c r="K29" i="7"/>
  <c r="J29" i="7"/>
  <c r="L29" i="7" s="1"/>
  <c r="K28" i="7"/>
  <c r="L28" i="7" s="1"/>
  <c r="J28" i="7"/>
  <c r="K27" i="7"/>
  <c r="J27" i="7"/>
  <c r="K26" i="7"/>
  <c r="J26" i="7"/>
  <c r="K25" i="7"/>
  <c r="J25" i="7"/>
  <c r="L25" i="7" s="1"/>
  <c r="K24" i="7"/>
  <c r="J24" i="7"/>
  <c r="K23" i="7"/>
  <c r="J23" i="7"/>
  <c r="K22" i="7"/>
  <c r="J22" i="7"/>
  <c r="K21" i="7"/>
  <c r="J21" i="7"/>
  <c r="K20" i="7"/>
  <c r="J20" i="7"/>
  <c r="K19" i="7"/>
  <c r="J19" i="7"/>
  <c r="L19" i="7" s="1"/>
  <c r="K18" i="7"/>
  <c r="J18" i="7"/>
  <c r="R17" i="7"/>
  <c r="R47" i="7" s="1"/>
  <c r="H17" i="7"/>
  <c r="H48" i="7" s="1"/>
  <c r="G17" i="7"/>
  <c r="D15" i="7"/>
  <c r="G35" i="7" s="1"/>
  <c r="P10" i="7"/>
  <c r="P1" i="7"/>
  <c r="P8" i="7" s="1"/>
  <c r="K48" i="1"/>
  <c r="K47" i="1"/>
  <c r="K46" i="1"/>
  <c r="K45" i="1"/>
  <c r="K44" i="1"/>
  <c r="K43" i="1"/>
  <c r="K41" i="1"/>
  <c r="K40" i="1"/>
  <c r="K39" i="1"/>
  <c r="K38" i="1"/>
  <c r="K37" i="1"/>
  <c r="K36" i="1"/>
  <c r="K35" i="1"/>
  <c r="K34" i="1"/>
  <c r="K33" i="1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22" i="15" l="1"/>
  <c r="U22" i="15"/>
  <c r="L21" i="21"/>
  <c r="L21" i="15"/>
  <c r="L19" i="27"/>
  <c r="T19" i="27" s="1"/>
  <c r="S19" i="27" s="1"/>
  <c r="U20" i="27"/>
  <c r="U28" i="27"/>
  <c r="L32" i="27"/>
  <c r="T32" i="27" s="1"/>
  <c r="S32" i="27" s="1"/>
  <c r="L20" i="27"/>
  <c r="T20" i="27" s="1"/>
  <c r="S20" i="27" s="1"/>
  <c r="L26" i="27"/>
  <c r="T26" i="27" s="1"/>
  <c r="S26" i="27" s="1"/>
  <c r="L28" i="27"/>
  <c r="T28" i="27" s="1"/>
  <c r="S28" i="27" s="1"/>
  <c r="L29" i="27"/>
  <c r="T29" i="27" s="1"/>
  <c r="S29" i="27" s="1"/>
  <c r="L31" i="27"/>
  <c r="T31" i="27" s="1"/>
  <c r="S31" i="27" s="1"/>
  <c r="U32" i="27"/>
  <c r="U19" i="26"/>
  <c r="L25" i="26"/>
  <c r="T25" i="26" s="1"/>
  <c r="S25" i="26" s="1"/>
  <c r="U28" i="26"/>
  <c r="L19" i="26"/>
  <c r="T19" i="26" s="1"/>
  <c r="S19" i="26" s="1"/>
  <c r="U22" i="26"/>
  <c r="L28" i="26"/>
  <c r="T28" i="26" s="1"/>
  <c r="S28" i="26" s="1"/>
  <c r="L33" i="24"/>
  <c r="L28" i="24"/>
  <c r="T28" i="24" s="1"/>
  <c r="S28" i="24" s="1"/>
  <c r="L27" i="24"/>
  <c r="L25" i="24"/>
  <c r="T25" i="24" s="1"/>
  <c r="S25" i="24" s="1"/>
  <c r="L19" i="24"/>
  <c r="T19" i="24" s="1"/>
  <c r="S19" i="24" s="1"/>
  <c r="L22" i="23"/>
  <c r="L28" i="22"/>
  <c r="L26" i="22"/>
  <c r="L25" i="22"/>
  <c r="L20" i="22"/>
  <c r="L20" i="21"/>
  <c r="T20" i="21" s="1"/>
  <c r="S20" i="21" s="1"/>
  <c r="L26" i="21"/>
  <c r="T26" i="21" s="1"/>
  <c r="S26" i="21" s="1"/>
  <c r="L28" i="21"/>
  <c r="T28" i="21" s="1"/>
  <c r="S28" i="21" s="1"/>
  <c r="L24" i="21"/>
  <c r="L23" i="21"/>
  <c r="T23" i="21" s="1"/>
  <c r="S23" i="21" s="1"/>
  <c r="L25" i="21"/>
  <c r="T25" i="21" s="1"/>
  <c r="S25" i="21" s="1"/>
  <c r="L31" i="21"/>
  <c r="T31" i="21" s="1"/>
  <c r="S31" i="21" s="1"/>
  <c r="U29" i="20"/>
  <c r="L27" i="20"/>
  <c r="U22" i="20"/>
  <c r="L20" i="20"/>
  <c r="T20" i="20" s="1"/>
  <c r="S20" i="20" s="1"/>
  <c r="U19" i="20"/>
  <c r="U29" i="19"/>
  <c r="L29" i="16"/>
  <c r="T29" i="16" s="1"/>
  <c r="S29" i="16" s="1"/>
  <c r="U28" i="15"/>
  <c r="L29" i="14"/>
  <c r="L20" i="14"/>
  <c r="L25" i="18"/>
  <c r="T25" i="18" s="1"/>
  <c r="S25" i="18" s="1"/>
  <c r="L20" i="18"/>
  <c r="T20" i="18" s="1"/>
  <c r="S20" i="18" s="1"/>
  <c r="L22" i="18"/>
  <c r="T22" i="18" s="1"/>
  <c r="S22" i="18" s="1"/>
  <c r="U26" i="18"/>
  <c r="L27" i="13"/>
  <c r="L23" i="13"/>
  <c r="T23" i="13" s="1"/>
  <c r="S23" i="13" s="1"/>
  <c r="L20" i="13"/>
  <c r="T20" i="13" s="1"/>
  <c r="S20" i="13" s="1"/>
  <c r="L29" i="12"/>
  <c r="L28" i="10"/>
  <c r="U28" i="10"/>
  <c r="U25" i="10"/>
  <c r="L22" i="10"/>
  <c r="T22" i="10" s="1"/>
  <c r="S22" i="10" s="1"/>
  <c r="U19" i="10"/>
  <c r="T22" i="17"/>
  <c r="S22" i="17" s="1"/>
  <c r="L23" i="17"/>
  <c r="L29" i="17"/>
  <c r="T19" i="17"/>
  <c r="S19" i="17" s="1"/>
  <c r="T25" i="17"/>
  <c r="S25" i="17" s="1"/>
  <c r="L20" i="17"/>
  <c r="L26" i="17"/>
  <c r="L22" i="11"/>
  <c r="T22" i="11" s="1"/>
  <c r="S22" i="11" s="1"/>
  <c r="L24" i="11"/>
  <c r="L25" i="9"/>
  <c r="T25" i="9" s="1"/>
  <c r="S25" i="9" s="1"/>
  <c r="L24" i="9"/>
  <c r="L23" i="9"/>
  <c r="T23" i="9" s="1"/>
  <c r="S23" i="9" s="1"/>
  <c r="L20" i="9"/>
  <c r="T20" i="9" s="1"/>
  <c r="S20" i="9" s="1"/>
  <c r="U19" i="9"/>
  <c r="L30" i="8"/>
  <c r="L27" i="8"/>
  <c r="L30" i="7"/>
  <c r="L20" i="7"/>
  <c r="J49" i="23"/>
  <c r="U18" i="27"/>
  <c r="U36" i="27"/>
  <c r="U48" i="27"/>
  <c r="U45" i="27"/>
  <c r="U37" i="27"/>
  <c r="V18" i="27"/>
  <c r="H20" i="27"/>
  <c r="V21" i="27"/>
  <c r="H23" i="27"/>
  <c r="H26" i="27"/>
  <c r="V27" i="27"/>
  <c r="H29" i="27"/>
  <c r="V30" i="27"/>
  <c r="H32" i="27"/>
  <c r="H35" i="27"/>
  <c r="V36" i="27"/>
  <c r="H38" i="27"/>
  <c r="V39" i="27"/>
  <c r="H41" i="27"/>
  <c r="H44" i="27"/>
  <c r="H47" i="27"/>
  <c r="V48" i="27"/>
  <c r="K49" i="27"/>
  <c r="U31" i="27"/>
  <c r="U40" i="27"/>
  <c r="L18" i="27"/>
  <c r="L21" i="27"/>
  <c r="L24" i="27"/>
  <c r="T24" i="27" s="1"/>
  <c r="S24" i="27" s="1"/>
  <c r="L27" i="27"/>
  <c r="T27" i="27" s="1"/>
  <c r="S27" i="27" s="1"/>
  <c r="L30" i="27"/>
  <c r="L33" i="27"/>
  <c r="L36" i="27"/>
  <c r="L39" i="27"/>
  <c r="T39" i="27" s="1"/>
  <c r="S39" i="27" s="1"/>
  <c r="L45" i="27"/>
  <c r="T45" i="27" s="1"/>
  <c r="S45" i="27" s="1"/>
  <c r="L48" i="27"/>
  <c r="T48" i="27" s="1"/>
  <c r="S48" i="27" s="1"/>
  <c r="U22" i="27"/>
  <c r="U25" i="27"/>
  <c r="R18" i="27"/>
  <c r="H19" i="27"/>
  <c r="R21" i="27"/>
  <c r="U21" i="27" s="1"/>
  <c r="H22" i="27"/>
  <c r="R24" i="27"/>
  <c r="U24" i="27" s="1"/>
  <c r="H25" i="27"/>
  <c r="R27" i="27"/>
  <c r="U27" i="27" s="1"/>
  <c r="H28" i="27"/>
  <c r="R30" i="27"/>
  <c r="U30" i="27" s="1"/>
  <c r="H31" i="27"/>
  <c r="R33" i="27"/>
  <c r="U33" i="27" s="1"/>
  <c r="H34" i="27"/>
  <c r="R36" i="27"/>
  <c r="H37" i="27"/>
  <c r="R39" i="27"/>
  <c r="U39" i="27" s="1"/>
  <c r="H40" i="27"/>
  <c r="R42" i="27"/>
  <c r="K42" i="27" s="1"/>
  <c r="H43" i="27"/>
  <c r="R45" i="27"/>
  <c r="V45" i="27" s="1"/>
  <c r="H46" i="27"/>
  <c r="U19" i="27"/>
  <c r="U34" i="27"/>
  <c r="U43" i="27"/>
  <c r="H18" i="27"/>
  <c r="H21" i="27"/>
  <c r="H24" i="27"/>
  <c r="H27" i="27"/>
  <c r="H30" i="27"/>
  <c r="H33" i="27"/>
  <c r="H36" i="27"/>
  <c r="H39" i="27"/>
  <c r="H42" i="27"/>
  <c r="U46" i="27"/>
  <c r="G20" i="27"/>
  <c r="G49" i="27" s="1"/>
  <c r="G23" i="27"/>
  <c r="G26" i="27"/>
  <c r="G29" i="27"/>
  <c r="G32" i="27"/>
  <c r="G35" i="27"/>
  <c r="G38" i="27"/>
  <c r="G41" i="27"/>
  <c r="G44" i="27"/>
  <c r="H47" i="26"/>
  <c r="H38" i="26"/>
  <c r="H44" i="26"/>
  <c r="H41" i="26"/>
  <c r="L21" i="26"/>
  <c r="H23" i="26"/>
  <c r="T31" i="26"/>
  <c r="S31" i="26" s="1"/>
  <c r="V38" i="26"/>
  <c r="H48" i="26"/>
  <c r="L24" i="26"/>
  <c r="T24" i="26" s="1"/>
  <c r="S24" i="26" s="1"/>
  <c r="H26" i="26"/>
  <c r="V31" i="26"/>
  <c r="T34" i="26"/>
  <c r="S34" i="26" s="1"/>
  <c r="T47" i="26"/>
  <c r="S47" i="26" s="1"/>
  <c r="U47" i="26"/>
  <c r="U27" i="26"/>
  <c r="L27" i="26"/>
  <c r="L30" i="26"/>
  <c r="H32" i="26"/>
  <c r="V22" i="26"/>
  <c r="L33" i="26"/>
  <c r="H35" i="26"/>
  <c r="L39" i="26"/>
  <c r="V47" i="26"/>
  <c r="L18" i="26"/>
  <c r="H20" i="26"/>
  <c r="V25" i="26"/>
  <c r="L36" i="26"/>
  <c r="V45" i="26"/>
  <c r="L45" i="26"/>
  <c r="L48" i="26"/>
  <c r="R18" i="26"/>
  <c r="H19" i="26"/>
  <c r="R21" i="26"/>
  <c r="V21" i="26" s="1"/>
  <c r="H22" i="26"/>
  <c r="R24" i="26"/>
  <c r="V24" i="26" s="1"/>
  <c r="H25" i="26"/>
  <c r="R27" i="26"/>
  <c r="V27" i="26" s="1"/>
  <c r="H28" i="26"/>
  <c r="R30" i="26"/>
  <c r="U30" i="26" s="1"/>
  <c r="H31" i="26"/>
  <c r="R33" i="26"/>
  <c r="V33" i="26" s="1"/>
  <c r="H34" i="26"/>
  <c r="R36" i="26"/>
  <c r="V36" i="26" s="1"/>
  <c r="H37" i="26"/>
  <c r="R39" i="26"/>
  <c r="U39" i="26" s="1"/>
  <c r="H40" i="26"/>
  <c r="R42" i="26"/>
  <c r="K42" i="26" s="1"/>
  <c r="K49" i="26" s="1"/>
  <c r="H43" i="26"/>
  <c r="R45" i="26"/>
  <c r="U45" i="26" s="1"/>
  <c r="H46" i="26"/>
  <c r="R48" i="26"/>
  <c r="V48" i="26" s="1"/>
  <c r="H18" i="26"/>
  <c r="R20" i="26"/>
  <c r="H21" i="26"/>
  <c r="R23" i="26"/>
  <c r="V23" i="26" s="1"/>
  <c r="H24" i="26"/>
  <c r="R26" i="26"/>
  <c r="H27" i="26"/>
  <c r="R29" i="26"/>
  <c r="V29" i="26" s="1"/>
  <c r="H30" i="26"/>
  <c r="R32" i="26"/>
  <c r="H33" i="26"/>
  <c r="R35" i="26"/>
  <c r="H36" i="26"/>
  <c r="R38" i="26"/>
  <c r="H39" i="26"/>
  <c r="R41" i="26"/>
  <c r="H42" i="26"/>
  <c r="R44" i="26"/>
  <c r="U44" i="26" s="1"/>
  <c r="H45" i="26"/>
  <c r="G20" i="26"/>
  <c r="G49" i="26" s="1"/>
  <c r="G23" i="26"/>
  <c r="G26" i="26"/>
  <c r="G29" i="26"/>
  <c r="G32" i="26"/>
  <c r="G35" i="26"/>
  <c r="G38" i="26"/>
  <c r="G41" i="26"/>
  <c r="G44" i="26"/>
  <c r="V25" i="24"/>
  <c r="L21" i="24"/>
  <c r="L23" i="24"/>
  <c r="L30" i="24"/>
  <c r="V19" i="24"/>
  <c r="V28" i="24"/>
  <c r="L24" i="24"/>
  <c r="L26" i="24"/>
  <c r="V22" i="24"/>
  <c r="V31" i="24"/>
  <c r="U25" i="23"/>
  <c r="U31" i="23"/>
  <c r="L26" i="23"/>
  <c r="L28" i="23"/>
  <c r="T28" i="23" s="1"/>
  <c r="S28" i="23" s="1"/>
  <c r="U22" i="23"/>
  <c r="U28" i="23"/>
  <c r="U19" i="23"/>
  <c r="L23" i="23"/>
  <c r="L25" i="23"/>
  <c r="T25" i="23" s="1"/>
  <c r="S25" i="23" s="1"/>
  <c r="L29" i="23"/>
  <c r="L31" i="23"/>
  <c r="T31" i="23" s="1"/>
  <c r="S31" i="23" s="1"/>
  <c r="L40" i="22"/>
  <c r="L38" i="22"/>
  <c r="L37" i="22"/>
  <c r="T37" i="22" s="1"/>
  <c r="S37" i="22" s="1"/>
  <c r="T31" i="22"/>
  <c r="S31" i="22" s="1"/>
  <c r="V40" i="22"/>
  <c r="V28" i="22"/>
  <c r="T22" i="22"/>
  <c r="S22" i="22" s="1"/>
  <c r="T28" i="22"/>
  <c r="S28" i="22" s="1"/>
  <c r="T34" i="22"/>
  <c r="S34" i="22" s="1"/>
  <c r="T40" i="22"/>
  <c r="S40" i="22" s="1"/>
  <c r="T25" i="22"/>
  <c r="S25" i="22" s="1"/>
  <c r="L19" i="22"/>
  <c r="V25" i="22"/>
  <c r="V31" i="22"/>
  <c r="V37" i="22"/>
  <c r="V22" i="22"/>
  <c r="V34" i="22"/>
  <c r="J49" i="22"/>
  <c r="T19" i="22"/>
  <c r="S19" i="22" s="1"/>
  <c r="L29" i="21"/>
  <c r="T29" i="21" s="1"/>
  <c r="S29" i="21" s="1"/>
  <c r="V23" i="21"/>
  <c r="J49" i="21"/>
  <c r="V20" i="21"/>
  <c r="V28" i="21"/>
  <c r="V31" i="21"/>
  <c r="L22" i="21"/>
  <c r="T22" i="21" s="1"/>
  <c r="S22" i="21" s="1"/>
  <c r="V25" i="21"/>
  <c r="V26" i="21"/>
  <c r="L19" i="21"/>
  <c r="T19" i="21" s="1"/>
  <c r="S19" i="21" s="1"/>
  <c r="V22" i="21"/>
  <c r="L30" i="21"/>
  <c r="L19" i="20"/>
  <c r="T19" i="20" s="1"/>
  <c r="S19" i="20" s="1"/>
  <c r="L23" i="20"/>
  <c r="T23" i="20" s="1"/>
  <c r="S23" i="20" s="1"/>
  <c r="U31" i="20"/>
  <c r="L22" i="20"/>
  <c r="T22" i="20" s="1"/>
  <c r="S22" i="20" s="1"/>
  <c r="V23" i="20"/>
  <c r="L26" i="20"/>
  <c r="T26" i="20" s="1"/>
  <c r="S26" i="20" s="1"/>
  <c r="U28" i="20"/>
  <c r="L29" i="20"/>
  <c r="T29" i="20" s="1"/>
  <c r="S29" i="20" s="1"/>
  <c r="U23" i="20"/>
  <c r="L25" i="20"/>
  <c r="T25" i="20" s="1"/>
  <c r="S25" i="20" s="1"/>
  <c r="L28" i="20"/>
  <c r="T28" i="20" s="1"/>
  <c r="S28" i="20" s="1"/>
  <c r="L31" i="20"/>
  <c r="T31" i="20" s="1"/>
  <c r="S31" i="20" s="1"/>
  <c r="J49" i="19"/>
  <c r="L20" i="19"/>
  <c r="T20" i="19" s="1"/>
  <c r="S20" i="19" s="1"/>
  <c r="L26" i="19"/>
  <c r="T26" i="19" s="1"/>
  <c r="S26" i="19" s="1"/>
  <c r="V20" i="19"/>
  <c r="T22" i="19"/>
  <c r="S22" i="19" s="1"/>
  <c r="V26" i="19"/>
  <c r="U32" i="19"/>
  <c r="V29" i="19"/>
  <c r="L31" i="19"/>
  <c r="T31" i="19" s="1"/>
  <c r="S31" i="19" s="1"/>
  <c r="L23" i="19"/>
  <c r="T23" i="19" s="1"/>
  <c r="S23" i="19" s="1"/>
  <c r="U26" i="19"/>
  <c r="V23" i="16"/>
  <c r="L25" i="16"/>
  <c r="T25" i="16" s="1"/>
  <c r="S25" i="16" s="1"/>
  <c r="V29" i="16"/>
  <c r="L31" i="16"/>
  <c r="T31" i="16" s="1"/>
  <c r="S31" i="16" s="1"/>
  <c r="J49" i="16"/>
  <c r="L20" i="16"/>
  <c r="T20" i="16" s="1"/>
  <c r="S20" i="16" s="1"/>
  <c r="L19" i="16"/>
  <c r="T19" i="16" s="1"/>
  <c r="S19" i="16" s="1"/>
  <c r="V20" i="16"/>
  <c r="U26" i="16"/>
  <c r="L32" i="16"/>
  <c r="T32" i="16" s="1"/>
  <c r="S32" i="16" s="1"/>
  <c r="T22" i="16"/>
  <c r="S22" i="16" s="1"/>
  <c r="V26" i="16"/>
  <c r="T28" i="16"/>
  <c r="S28" i="16" s="1"/>
  <c r="V32" i="16"/>
  <c r="T34" i="16"/>
  <c r="S34" i="16" s="1"/>
  <c r="V36" i="24"/>
  <c r="T44" i="24"/>
  <c r="S44" i="24" s="1"/>
  <c r="V45" i="24"/>
  <c r="T41" i="24"/>
  <c r="S41" i="24" s="1"/>
  <c r="V48" i="24"/>
  <c r="T35" i="24"/>
  <c r="S35" i="24" s="1"/>
  <c r="V44" i="24"/>
  <c r="V24" i="24"/>
  <c r="V26" i="24"/>
  <c r="G32" i="24"/>
  <c r="G41" i="24"/>
  <c r="G44" i="24"/>
  <c r="J49" i="24"/>
  <c r="H23" i="24"/>
  <c r="H41" i="24"/>
  <c r="G19" i="24"/>
  <c r="G22" i="24"/>
  <c r="G25" i="24"/>
  <c r="G28" i="24"/>
  <c r="G31" i="24"/>
  <c r="G34" i="24"/>
  <c r="U35" i="24"/>
  <c r="G37" i="24"/>
  <c r="G40" i="24"/>
  <c r="G43" i="24"/>
  <c r="U44" i="24"/>
  <c r="G46" i="24"/>
  <c r="U47" i="24"/>
  <c r="G20" i="24"/>
  <c r="G29" i="24"/>
  <c r="G38" i="24"/>
  <c r="H20" i="24"/>
  <c r="H26" i="24"/>
  <c r="H29" i="24"/>
  <c r="H35" i="24"/>
  <c r="H44" i="24"/>
  <c r="R18" i="24"/>
  <c r="T18" i="24" s="1"/>
  <c r="H19" i="24"/>
  <c r="R21" i="24"/>
  <c r="U21" i="24" s="1"/>
  <c r="H22" i="24"/>
  <c r="R24" i="24"/>
  <c r="U24" i="24" s="1"/>
  <c r="H25" i="24"/>
  <c r="R27" i="24"/>
  <c r="U27" i="24" s="1"/>
  <c r="H28" i="24"/>
  <c r="R30" i="24"/>
  <c r="U30" i="24" s="1"/>
  <c r="H31" i="24"/>
  <c r="R33" i="24"/>
  <c r="U33" i="24" s="1"/>
  <c r="H34" i="24"/>
  <c r="R36" i="24"/>
  <c r="U36" i="24" s="1"/>
  <c r="H37" i="24"/>
  <c r="R39" i="24"/>
  <c r="U39" i="24" s="1"/>
  <c r="H40" i="24"/>
  <c r="R42" i="24"/>
  <c r="K42" i="24" s="1"/>
  <c r="K49" i="24" s="1"/>
  <c r="H43" i="24"/>
  <c r="R45" i="24"/>
  <c r="U45" i="24" s="1"/>
  <c r="H46" i="24"/>
  <c r="V47" i="24"/>
  <c r="R48" i="24"/>
  <c r="U48" i="24" s="1"/>
  <c r="G23" i="24"/>
  <c r="G26" i="24"/>
  <c r="G47" i="24"/>
  <c r="H32" i="24"/>
  <c r="H38" i="24"/>
  <c r="G18" i="24"/>
  <c r="U19" i="24"/>
  <c r="G21" i="24"/>
  <c r="U22" i="24"/>
  <c r="G24" i="24"/>
  <c r="U25" i="24"/>
  <c r="G27" i="24"/>
  <c r="U28" i="24"/>
  <c r="G30" i="24"/>
  <c r="U31" i="24"/>
  <c r="G33" i="24"/>
  <c r="U34" i="24"/>
  <c r="G36" i="24"/>
  <c r="U37" i="24"/>
  <c r="G39" i="24"/>
  <c r="U40" i="24"/>
  <c r="G42" i="24"/>
  <c r="U43" i="24"/>
  <c r="G45" i="24"/>
  <c r="U46" i="24"/>
  <c r="G48" i="24"/>
  <c r="H18" i="24"/>
  <c r="R20" i="24"/>
  <c r="U20" i="24" s="1"/>
  <c r="H21" i="24"/>
  <c r="R23" i="24"/>
  <c r="T23" i="24" s="1"/>
  <c r="S23" i="24" s="1"/>
  <c r="H24" i="24"/>
  <c r="R26" i="24"/>
  <c r="H27" i="24"/>
  <c r="R29" i="24"/>
  <c r="V29" i="24" s="1"/>
  <c r="H30" i="24"/>
  <c r="R32" i="24"/>
  <c r="T32" i="24" s="1"/>
  <c r="S32" i="24" s="1"/>
  <c r="H33" i="24"/>
  <c r="R35" i="24"/>
  <c r="V35" i="24" s="1"/>
  <c r="H36" i="24"/>
  <c r="R38" i="24"/>
  <c r="U38" i="24" s="1"/>
  <c r="H39" i="24"/>
  <c r="R41" i="24"/>
  <c r="V41" i="24" s="1"/>
  <c r="H42" i="24"/>
  <c r="R44" i="24"/>
  <c r="H45" i="24"/>
  <c r="H44" i="23"/>
  <c r="H41" i="23"/>
  <c r="H38" i="23"/>
  <c r="H35" i="23"/>
  <c r="H29" i="23"/>
  <c r="H32" i="23"/>
  <c r="H26" i="23"/>
  <c r="H47" i="23"/>
  <c r="T32" i="23"/>
  <c r="S32" i="23" s="1"/>
  <c r="U48" i="23"/>
  <c r="V29" i="23"/>
  <c r="L18" i="23"/>
  <c r="L21" i="23"/>
  <c r="L24" i="23"/>
  <c r="H48" i="23"/>
  <c r="V23" i="23"/>
  <c r="U30" i="23"/>
  <c r="V41" i="23"/>
  <c r="T19" i="23"/>
  <c r="S19" i="23" s="1"/>
  <c r="T22" i="23"/>
  <c r="S22" i="23" s="1"/>
  <c r="T47" i="23"/>
  <c r="S47" i="23" s="1"/>
  <c r="U39" i="23"/>
  <c r="V19" i="23"/>
  <c r="V22" i="23"/>
  <c r="V25" i="23"/>
  <c r="V48" i="23"/>
  <c r="L27" i="23"/>
  <c r="L30" i="23"/>
  <c r="T30" i="23" s="1"/>
  <c r="S30" i="23" s="1"/>
  <c r="L33" i="23"/>
  <c r="L36" i="23"/>
  <c r="L39" i="23"/>
  <c r="T39" i="23" s="1"/>
  <c r="S39" i="23" s="1"/>
  <c r="L45" i="23"/>
  <c r="T45" i="23" s="1"/>
  <c r="S45" i="23" s="1"/>
  <c r="L48" i="23"/>
  <c r="R18" i="23"/>
  <c r="H19" i="23"/>
  <c r="R21" i="23"/>
  <c r="V21" i="23" s="1"/>
  <c r="H22" i="23"/>
  <c r="R24" i="23"/>
  <c r="V24" i="23" s="1"/>
  <c r="H25" i="23"/>
  <c r="R27" i="23"/>
  <c r="V27" i="23" s="1"/>
  <c r="H28" i="23"/>
  <c r="R30" i="23"/>
  <c r="H31" i="23"/>
  <c r="R33" i="23"/>
  <c r="U33" i="23" s="1"/>
  <c r="H34" i="23"/>
  <c r="R36" i="23"/>
  <c r="U36" i="23" s="1"/>
  <c r="H37" i="23"/>
  <c r="R39" i="23"/>
  <c r="H40" i="23"/>
  <c r="R42" i="23"/>
  <c r="K42" i="23" s="1"/>
  <c r="H43" i="23"/>
  <c r="R45" i="23"/>
  <c r="U45" i="23" s="1"/>
  <c r="H46" i="23"/>
  <c r="R48" i="23"/>
  <c r="V30" i="23"/>
  <c r="H18" i="23"/>
  <c r="R20" i="23"/>
  <c r="V20" i="23" s="1"/>
  <c r="H21" i="23"/>
  <c r="R23" i="23"/>
  <c r="H24" i="23"/>
  <c r="R26" i="23"/>
  <c r="U26" i="23" s="1"/>
  <c r="H27" i="23"/>
  <c r="R29" i="23"/>
  <c r="U29" i="23" s="1"/>
  <c r="H30" i="23"/>
  <c r="R32" i="23"/>
  <c r="U32" i="23" s="1"/>
  <c r="H33" i="23"/>
  <c r="R35" i="23"/>
  <c r="U35" i="23" s="1"/>
  <c r="H36" i="23"/>
  <c r="R38" i="23"/>
  <c r="U38" i="23" s="1"/>
  <c r="H39" i="23"/>
  <c r="R41" i="23"/>
  <c r="U41" i="23" s="1"/>
  <c r="H42" i="23"/>
  <c r="R44" i="23"/>
  <c r="U44" i="23" s="1"/>
  <c r="H45" i="23"/>
  <c r="V39" i="23"/>
  <c r="G20" i="23"/>
  <c r="G49" i="23" s="1"/>
  <c r="G23" i="23"/>
  <c r="G26" i="23"/>
  <c r="G29" i="23"/>
  <c r="G32" i="23"/>
  <c r="G35" i="23"/>
  <c r="G38" i="23"/>
  <c r="G41" i="23"/>
  <c r="G44" i="23"/>
  <c r="T41" i="22"/>
  <c r="S41" i="22" s="1"/>
  <c r="H47" i="22"/>
  <c r="H44" i="22"/>
  <c r="H41" i="22"/>
  <c r="H35" i="22"/>
  <c r="H32" i="22"/>
  <c r="H38" i="22"/>
  <c r="H26" i="22"/>
  <c r="H29" i="22"/>
  <c r="H23" i="22"/>
  <c r="H31" i="22"/>
  <c r="L24" i="22"/>
  <c r="U36" i="22"/>
  <c r="U18" i="22"/>
  <c r="K49" i="22"/>
  <c r="L18" i="22"/>
  <c r="L21" i="22"/>
  <c r="L27" i="22"/>
  <c r="L30" i="22"/>
  <c r="L45" i="22"/>
  <c r="T45" i="22" s="1"/>
  <c r="S45" i="22" s="1"/>
  <c r="R18" i="22"/>
  <c r="R39" i="22"/>
  <c r="U39" i="22" s="1"/>
  <c r="H40" i="22"/>
  <c r="H43" i="22"/>
  <c r="R45" i="22"/>
  <c r="U45" i="22" s="1"/>
  <c r="G18" i="22"/>
  <c r="U19" i="22"/>
  <c r="G21" i="22"/>
  <c r="U22" i="22"/>
  <c r="G24" i="22"/>
  <c r="U25" i="22"/>
  <c r="G27" i="22"/>
  <c r="U28" i="22"/>
  <c r="G30" i="22"/>
  <c r="U31" i="22"/>
  <c r="G33" i="22"/>
  <c r="U34" i="22"/>
  <c r="G36" i="22"/>
  <c r="U37" i="22"/>
  <c r="G39" i="22"/>
  <c r="U40" i="22"/>
  <c r="G42" i="22"/>
  <c r="U43" i="22"/>
  <c r="G45" i="22"/>
  <c r="U46" i="22"/>
  <c r="G48" i="22"/>
  <c r="L33" i="22"/>
  <c r="L39" i="22"/>
  <c r="R21" i="22"/>
  <c r="V21" i="22" s="1"/>
  <c r="H22" i="22"/>
  <c r="R27" i="22"/>
  <c r="U27" i="22" s="1"/>
  <c r="R30" i="22"/>
  <c r="V30" i="22" s="1"/>
  <c r="R33" i="22"/>
  <c r="U33" i="22" s="1"/>
  <c r="H34" i="22"/>
  <c r="H37" i="22"/>
  <c r="R42" i="22"/>
  <c r="K42" i="22" s="1"/>
  <c r="H46" i="22"/>
  <c r="R48" i="22"/>
  <c r="U48" i="22" s="1"/>
  <c r="H18" i="22"/>
  <c r="R20" i="22"/>
  <c r="V20" i="22" s="1"/>
  <c r="H21" i="22"/>
  <c r="R23" i="22"/>
  <c r="U23" i="22" s="1"/>
  <c r="H24" i="22"/>
  <c r="R26" i="22"/>
  <c r="U26" i="22" s="1"/>
  <c r="H27" i="22"/>
  <c r="R29" i="22"/>
  <c r="U29" i="22" s="1"/>
  <c r="H30" i="22"/>
  <c r="R32" i="22"/>
  <c r="U32" i="22" s="1"/>
  <c r="H33" i="22"/>
  <c r="R35" i="22"/>
  <c r="U35" i="22" s="1"/>
  <c r="H36" i="22"/>
  <c r="R38" i="22"/>
  <c r="U38" i="22" s="1"/>
  <c r="H39" i="22"/>
  <c r="R41" i="22"/>
  <c r="U41" i="22" s="1"/>
  <c r="H42" i="22"/>
  <c r="R44" i="22"/>
  <c r="U44" i="22" s="1"/>
  <c r="H45" i="22"/>
  <c r="R47" i="22"/>
  <c r="U47" i="22" s="1"/>
  <c r="H48" i="22"/>
  <c r="V36" i="22"/>
  <c r="V45" i="22"/>
  <c r="L36" i="22"/>
  <c r="T36" i="22" s="1"/>
  <c r="S36" i="22" s="1"/>
  <c r="L48" i="22"/>
  <c r="H19" i="22"/>
  <c r="R24" i="22"/>
  <c r="U24" i="22" s="1"/>
  <c r="H25" i="22"/>
  <c r="H28" i="22"/>
  <c r="G20" i="22"/>
  <c r="G23" i="22"/>
  <c r="G26" i="22"/>
  <c r="G29" i="22"/>
  <c r="G32" i="22"/>
  <c r="G35" i="22"/>
  <c r="G38" i="22"/>
  <c r="G41" i="22"/>
  <c r="G44" i="22"/>
  <c r="T48" i="21"/>
  <c r="S48" i="21" s="1"/>
  <c r="U48" i="21"/>
  <c r="U45" i="21"/>
  <c r="H41" i="21"/>
  <c r="H44" i="21"/>
  <c r="K49" i="21"/>
  <c r="L18" i="21"/>
  <c r="G19" i="21"/>
  <c r="U20" i="21"/>
  <c r="G22" i="21"/>
  <c r="U23" i="21"/>
  <c r="G25" i="21"/>
  <c r="U26" i="21"/>
  <c r="G28" i="21"/>
  <c r="U29" i="21"/>
  <c r="G31" i="21"/>
  <c r="U32" i="21"/>
  <c r="G34" i="21"/>
  <c r="U35" i="21"/>
  <c r="G37" i="21"/>
  <c r="U38" i="21"/>
  <c r="G40" i="21"/>
  <c r="U41" i="21"/>
  <c r="G43" i="21"/>
  <c r="U44" i="21"/>
  <c r="G46" i="21"/>
  <c r="U47" i="21"/>
  <c r="H32" i="21"/>
  <c r="R18" i="21"/>
  <c r="U18" i="21" s="1"/>
  <c r="H19" i="21"/>
  <c r="R21" i="21"/>
  <c r="T21" i="21" s="1"/>
  <c r="S21" i="21" s="1"/>
  <c r="H22" i="21"/>
  <c r="R24" i="21"/>
  <c r="V24" i="21" s="1"/>
  <c r="H25" i="21"/>
  <c r="R27" i="21"/>
  <c r="T27" i="21" s="1"/>
  <c r="S27" i="21" s="1"/>
  <c r="H28" i="21"/>
  <c r="R30" i="21"/>
  <c r="U30" i="21" s="1"/>
  <c r="H31" i="21"/>
  <c r="R33" i="21"/>
  <c r="T33" i="21" s="1"/>
  <c r="S33" i="21" s="1"/>
  <c r="H34" i="21"/>
  <c r="R36" i="21"/>
  <c r="T36" i="21" s="1"/>
  <c r="S36" i="21" s="1"/>
  <c r="H37" i="21"/>
  <c r="R39" i="21"/>
  <c r="U39" i="21" s="1"/>
  <c r="H40" i="21"/>
  <c r="R42" i="21"/>
  <c r="K42" i="21" s="1"/>
  <c r="H43" i="21"/>
  <c r="R45" i="21"/>
  <c r="T45" i="21" s="1"/>
  <c r="S45" i="21" s="1"/>
  <c r="V18" i="21"/>
  <c r="H20" i="21"/>
  <c r="H23" i="21"/>
  <c r="V45" i="21"/>
  <c r="V48" i="21"/>
  <c r="U19" i="21"/>
  <c r="U22" i="21"/>
  <c r="U25" i="21"/>
  <c r="U28" i="21"/>
  <c r="U31" i="21"/>
  <c r="U34" i="21"/>
  <c r="U37" i="21"/>
  <c r="U40" i="21"/>
  <c r="U43" i="21"/>
  <c r="U46" i="21"/>
  <c r="V33" i="21"/>
  <c r="H35" i="21"/>
  <c r="H18" i="21"/>
  <c r="H21" i="21"/>
  <c r="H24" i="21"/>
  <c r="H27" i="21"/>
  <c r="H30" i="21"/>
  <c r="H33" i="21"/>
  <c r="H36" i="21"/>
  <c r="H39" i="21"/>
  <c r="H42" i="21"/>
  <c r="H45" i="21"/>
  <c r="H48" i="21"/>
  <c r="H26" i="21"/>
  <c r="V27" i="21"/>
  <c r="H29" i="21"/>
  <c r="H38" i="21"/>
  <c r="G20" i="21"/>
  <c r="G23" i="21"/>
  <c r="G26" i="21"/>
  <c r="G29" i="21"/>
  <c r="G32" i="21"/>
  <c r="G35" i="21"/>
  <c r="G38" i="21"/>
  <c r="G41" i="21"/>
  <c r="G44" i="21"/>
  <c r="J49" i="20"/>
  <c r="H23" i="20"/>
  <c r="U25" i="20"/>
  <c r="L30" i="20"/>
  <c r="V34" i="20"/>
  <c r="V35" i="20"/>
  <c r="T37" i="20"/>
  <c r="S37" i="20" s="1"/>
  <c r="H41" i="20"/>
  <c r="U43" i="20"/>
  <c r="H47" i="20"/>
  <c r="V19" i="20"/>
  <c r="V20" i="20"/>
  <c r="H26" i="20"/>
  <c r="U26" i="20"/>
  <c r="L33" i="20"/>
  <c r="L35" i="20"/>
  <c r="T35" i="20" s="1"/>
  <c r="S35" i="20" s="1"/>
  <c r="U36" i="20"/>
  <c r="V37" i="20"/>
  <c r="V38" i="20"/>
  <c r="U44" i="20"/>
  <c r="T18" i="20"/>
  <c r="H29" i="20"/>
  <c r="H48" i="20"/>
  <c r="H45" i="20"/>
  <c r="H42" i="20"/>
  <c r="H39" i="20"/>
  <c r="H36" i="20"/>
  <c r="H33" i="20"/>
  <c r="H30" i="20"/>
  <c r="H27" i="20"/>
  <c r="H24" i="20"/>
  <c r="H21" i="20"/>
  <c r="H18" i="20"/>
  <c r="H46" i="20"/>
  <c r="H43" i="20"/>
  <c r="H40" i="20"/>
  <c r="H37" i="20"/>
  <c r="H34" i="20"/>
  <c r="H31" i="20"/>
  <c r="H28" i="20"/>
  <c r="H25" i="20"/>
  <c r="H22" i="20"/>
  <c r="H19" i="20"/>
  <c r="L21" i="20"/>
  <c r="T21" i="20" s="1"/>
  <c r="S21" i="20" s="1"/>
  <c r="V25" i="20"/>
  <c r="V26" i="20"/>
  <c r="H32" i="20"/>
  <c r="V33" i="20"/>
  <c r="L39" i="20"/>
  <c r="V43" i="20"/>
  <c r="V44" i="20"/>
  <c r="V46" i="20"/>
  <c r="L48" i="20"/>
  <c r="T48" i="20" s="1"/>
  <c r="S48" i="20" s="1"/>
  <c r="V28" i="20"/>
  <c r="R18" i="20"/>
  <c r="U18" i="20" s="1"/>
  <c r="R21" i="20"/>
  <c r="V21" i="20" s="1"/>
  <c r="R24" i="20"/>
  <c r="V24" i="20" s="1"/>
  <c r="R27" i="20"/>
  <c r="V27" i="20" s="1"/>
  <c r="R30" i="20"/>
  <c r="V30" i="20" s="1"/>
  <c r="R33" i="20"/>
  <c r="U33" i="20" s="1"/>
  <c r="R36" i="20"/>
  <c r="V36" i="20" s="1"/>
  <c r="R39" i="20"/>
  <c r="V39" i="20" s="1"/>
  <c r="R42" i="20"/>
  <c r="K42" i="20" s="1"/>
  <c r="R45" i="20"/>
  <c r="V45" i="20" s="1"/>
  <c r="G20" i="20"/>
  <c r="G23" i="20"/>
  <c r="G26" i="20"/>
  <c r="G29" i="20"/>
  <c r="G32" i="20"/>
  <c r="G35" i="20"/>
  <c r="G38" i="20"/>
  <c r="G41" i="20"/>
  <c r="G44" i="20"/>
  <c r="U24" i="19"/>
  <c r="U48" i="19"/>
  <c r="H23" i="19"/>
  <c r="H26" i="19"/>
  <c r="H32" i="19"/>
  <c r="U35" i="19"/>
  <c r="R18" i="19"/>
  <c r="H19" i="19"/>
  <c r="R21" i="19"/>
  <c r="V21" i="19" s="1"/>
  <c r="H22" i="19"/>
  <c r="R24" i="19"/>
  <c r="V24" i="19" s="1"/>
  <c r="H25" i="19"/>
  <c r="R27" i="19"/>
  <c r="V27" i="19" s="1"/>
  <c r="H28" i="19"/>
  <c r="R30" i="19"/>
  <c r="U30" i="19" s="1"/>
  <c r="H31" i="19"/>
  <c r="R33" i="19"/>
  <c r="U33" i="19" s="1"/>
  <c r="H34" i="19"/>
  <c r="R36" i="19"/>
  <c r="V36" i="19" s="1"/>
  <c r="H37" i="19"/>
  <c r="R39" i="19"/>
  <c r="U39" i="19" s="1"/>
  <c r="H40" i="19"/>
  <c r="R42" i="19"/>
  <c r="K42" i="19" s="1"/>
  <c r="H43" i="19"/>
  <c r="R45" i="19"/>
  <c r="U45" i="19" s="1"/>
  <c r="H46" i="19"/>
  <c r="H20" i="19"/>
  <c r="H41" i="19"/>
  <c r="H44" i="19"/>
  <c r="U20" i="19"/>
  <c r="U23" i="19"/>
  <c r="L27" i="19"/>
  <c r="L30" i="19"/>
  <c r="L39" i="19"/>
  <c r="U41" i="19"/>
  <c r="U44" i="19"/>
  <c r="L48" i="19"/>
  <c r="T48" i="19" s="1"/>
  <c r="S48" i="19" s="1"/>
  <c r="G18" i="19"/>
  <c r="U19" i="19"/>
  <c r="G21" i="19"/>
  <c r="U22" i="19"/>
  <c r="G24" i="19"/>
  <c r="U25" i="19"/>
  <c r="G27" i="19"/>
  <c r="U28" i="19"/>
  <c r="L29" i="19"/>
  <c r="T29" i="19" s="1"/>
  <c r="S29" i="19" s="1"/>
  <c r="G30" i="19"/>
  <c r="U31" i="19"/>
  <c r="L32" i="19"/>
  <c r="T32" i="19" s="1"/>
  <c r="S32" i="19" s="1"/>
  <c r="G33" i="19"/>
  <c r="U34" i="19"/>
  <c r="G36" i="19"/>
  <c r="U37" i="19"/>
  <c r="G39" i="19"/>
  <c r="U40" i="19"/>
  <c r="G42" i="19"/>
  <c r="U43" i="19"/>
  <c r="G45" i="19"/>
  <c r="U46" i="19"/>
  <c r="L47" i="19"/>
  <c r="T47" i="19" s="1"/>
  <c r="S47" i="19" s="1"/>
  <c r="G48" i="19"/>
  <c r="H38" i="19"/>
  <c r="V39" i="19"/>
  <c r="V45" i="19"/>
  <c r="H47" i="19"/>
  <c r="V48" i="19"/>
  <c r="L21" i="19"/>
  <c r="L24" i="19"/>
  <c r="H18" i="19"/>
  <c r="V19" i="19"/>
  <c r="H21" i="19"/>
  <c r="V22" i="19"/>
  <c r="H24" i="19"/>
  <c r="V25" i="19"/>
  <c r="H27" i="19"/>
  <c r="V28" i="19"/>
  <c r="H30" i="19"/>
  <c r="V31" i="19"/>
  <c r="H33" i="19"/>
  <c r="V34" i="19"/>
  <c r="H36" i="19"/>
  <c r="V37" i="19"/>
  <c r="H39" i="19"/>
  <c r="V40" i="19"/>
  <c r="H42" i="19"/>
  <c r="V43" i="19"/>
  <c r="H45" i="19"/>
  <c r="V46" i="19"/>
  <c r="H29" i="19"/>
  <c r="L18" i="19"/>
  <c r="L33" i="19"/>
  <c r="L36" i="19"/>
  <c r="T36" i="19" s="1"/>
  <c r="S36" i="19" s="1"/>
  <c r="L45" i="19"/>
  <c r="G20" i="19"/>
  <c r="G23" i="19"/>
  <c r="G26" i="19"/>
  <c r="G29" i="19"/>
  <c r="G32" i="19"/>
  <c r="G35" i="19"/>
  <c r="G38" i="19"/>
  <c r="G41" i="19"/>
  <c r="G44" i="19"/>
  <c r="U25" i="15"/>
  <c r="T22" i="15"/>
  <c r="S22" i="15" s="1"/>
  <c r="L28" i="15"/>
  <c r="T28" i="15" s="1"/>
  <c r="S28" i="15" s="1"/>
  <c r="J49" i="15"/>
  <c r="V22" i="15"/>
  <c r="L24" i="15"/>
  <c r="T24" i="15" s="1"/>
  <c r="S24" i="15" s="1"/>
  <c r="V28" i="15"/>
  <c r="L30" i="15"/>
  <c r="U31" i="15"/>
  <c r="U19" i="15"/>
  <c r="L19" i="15"/>
  <c r="T19" i="15" s="1"/>
  <c r="S19" i="15" s="1"/>
  <c r="L25" i="15"/>
  <c r="T25" i="15" s="1"/>
  <c r="S25" i="15" s="1"/>
  <c r="L31" i="15"/>
  <c r="T31" i="15" s="1"/>
  <c r="S31" i="15" s="1"/>
  <c r="L22" i="14"/>
  <c r="T22" i="14" s="1"/>
  <c r="S22" i="14" s="1"/>
  <c r="L31" i="14"/>
  <c r="T31" i="14" s="1"/>
  <c r="S31" i="14" s="1"/>
  <c r="L23" i="14"/>
  <c r="L25" i="14"/>
  <c r="T25" i="14" s="1"/>
  <c r="S25" i="14" s="1"/>
  <c r="J49" i="14"/>
  <c r="L19" i="14"/>
  <c r="T19" i="14" s="1"/>
  <c r="S19" i="14" s="1"/>
  <c r="L26" i="14"/>
  <c r="T26" i="14" s="1"/>
  <c r="S26" i="14" s="1"/>
  <c r="L28" i="14"/>
  <c r="T28" i="14" s="1"/>
  <c r="S28" i="14" s="1"/>
  <c r="U48" i="18"/>
  <c r="U30" i="18"/>
  <c r="U39" i="18"/>
  <c r="H26" i="18"/>
  <c r="L18" i="18"/>
  <c r="U20" i="18"/>
  <c r="U23" i="18"/>
  <c r="U35" i="18"/>
  <c r="L39" i="18"/>
  <c r="T39" i="18" s="1"/>
  <c r="S39" i="18" s="1"/>
  <c r="U41" i="18"/>
  <c r="R18" i="18"/>
  <c r="R49" i="18" s="1"/>
  <c r="H19" i="18"/>
  <c r="R21" i="18"/>
  <c r="U21" i="18" s="1"/>
  <c r="H22" i="18"/>
  <c r="R24" i="18"/>
  <c r="U24" i="18" s="1"/>
  <c r="H25" i="18"/>
  <c r="R27" i="18"/>
  <c r="U27" i="18" s="1"/>
  <c r="H28" i="18"/>
  <c r="R30" i="18"/>
  <c r="H31" i="18"/>
  <c r="R33" i="18"/>
  <c r="V33" i="18" s="1"/>
  <c r="H34" i="18"/>
  <c r="R36" i="18"/>
  <c r="V36" i="18" s="1"/>
  <c r="H37" i="18"/>
  <c r="R39" i="18"/>
  <c r="H40" i="18"/>
  <c r="R42" i="18"/>
  <c r="K42" i="18" s="1"/>
  <c r="H43" i="18"/>
  <c r="R45" i="18"/>
  <c r="U45" i="18" s="1"/>
  <c r="H46" i="18"/>
  <c r="H20" i="18"/>
  <c r="V21" i="18"/>
  <c r="H38" i="18"/>
  <c r="V39" i="18"/>
  <c r="V45" i="18"/>
  <c r="H47" i="18"/>
  <c r="V48" i="18"/>
  <c r="L33" i="18"/>
  <c r="T33" i="18" s="1"/>
  <c r="S33" i="18" s="1"/>
  <c r="U38" i="18"/>
  <c r="U44" i="18"/>
  <c r="U19" i="18"/>
  <c r="U22" i="18"/>
  <c r="U25" i="18"/>
  <c r="L26" i="18"/>
  <c r="T26" i="18" s="1"/>
  <c r="S26" i="18" s="1"/>
  <c r="U28" i="18"/>
  <c r="U31" i="18"/>
  <c r="L32" i="18"/>
  <c r="T32" i="18" s="1"/>
  <c r="S32" i="18" s="1"/>
  <c r="U34" i="18"/>
  <c r="U37" i="18"/>
  <c r="U40" i="18"/>
  <c r="U43" i="18"/>
  <c r="U46" i="18"/>
  <c r="L47" i="18"/>
  <c r="T47" i="18" s="1"/>
  <c r="S47" i="18" s="1"/>
  <c r="V30" i="18"/>
  <c r="H32" i="18"/>
  <c r="H35" i="18"/>
  <c r="H44" i="18"/>
  <c r="L21" i="18"/>
  <c r="T21" i="18" s="1"/>
  <c r="S21" i="18" s="1"/>
  <c r="L24" i="18"/>
  <c r="L30" i="18"/>
  <c r="T30" i="18" s="1"/>
  <c r="S30" i="18" s="1"/>
  <c r="L36" i="18"/>
  <c r="L45" i="18"/>
  <c r="T45" i="18" s="1"/>
  <c r="S45" i="18" s="1"/>
  <c r="L48" i="18"/>
  <c r="T48" i="18" s="1"/>
  <c r="S48" i="18" s="1"/>
  <c r="H18" i="18"/>
  <c r="H21" i="18"/>
  <c r="H24" i="18"/>
  <c r="H27" i="18"/>
  <c r="H30" i="18"/>
  <c r="H33" i="18"/>
  <c r="H36" i="18"/>
  <c r="H39" i="18"/>
  <c r="H42" i="18"/>
  <c r="H45" i="18"/>
  <c r="V18" i="18"/>
  <c r="H23" i="18"/>
  <c r="H29" i="18"/>
  <c r="L27" i="18"/>
  <c r="T27" i="18" s="1"/>
  <c r="S27" i="18" s="1"/>
  <c r="G20" i="18"/>
  <c r="G23" i="18"/>
  <c r="G49" i="18" s="1"/>
  <c r="G26" i="18"/>
  <c r="G29" i="18"/>
  <c r="G32" i="18"/>
  <c r="G35" i="18"/>
  <c r="G38" i="18"/>
  <c r="G41" i="18"/>
  <c r="G44" i="18"/>
  <c r="V26" i="13"/>
  <c r="L19" i="13"/>
  <c r="T19" i="13" s="1"/>
  <c r="S19" i="13" s="1"/>
  <c r="L24" i="13"/>
  <c r="L28" i="13"/>
  <c r="L21" i="13"/>
  <c r="L25" i="13"/>
  <c r="T25" i="13" s="1"/>
  <c r="S25" i="13" s="1"/>
  <c r="L30" i="13"/>
  <c r="V22" i="12"/>
  <c r="J49" i="12"/>
  <c r="U25" i="12"/>
  <c r="L19" i="12"/>
  <c r="T19" i="12" s="1"/>
  <c r="S19" i="12" s="1"/>
  <c r="L28" i="12"/>
  <c r="T28" i="12" s="1"/>
  <c r="S28" i="12" s="1"/>
  <c r="V20" i="12"/>
  <c r="L23" i="12"/>
  <c r="T23" i="12" s="1"/>
  <c r="S23" i="12" s="1"/>
  <c r="U22" i="12"/>
  <c r="L21" i="12"/>
  <c r="T21" i="12" s="1"/>
  <c r="S21" i="12" s="1"/>
  <c r="U21" i="17"/>
  <c r="U33" i="17"/>
  <c r="T35" i="17"/>
  <c r="S35" i="17" s="1"/>
  <c r="U39" i="17"/>
  <c r="V35" i="17"/>
  <c r="V41" i="17"/>
  <c r="T44" i="17"/>
  <c r="S44" i="17" s="1"/>
  <c r="U24" i="17"/>
  <c r="T26" i="17"/>
  <c r="S26" i="17" s="1"/>
  <c r="U30" i="17"/>
  <c r="V44" i="17"/>
  <c r="V20" i="17"/>
  <c r="V26" i="17"/>
  <c r="H23" i="17"/>
  <c r="V24" i="17"/>
  <c r="H26" i="17"/>
  <c r="H32" i="17"/>
  <c r="H35" i="17"/>
  <c r="H38" i="17"/>
  <c r="V39" i="17"/>
  <c r="K49" i="17"/>
  <c r="L33" i="17"/>
  <c r="L39" i="17"/>
  <c r="L48" i="17"/>
  <c r="T48" i="17" s="1"/>
  <c r="S48" i="17" s="1"/>
  <c r="R18" i="17"/>
  <c r="H19" i="17"/>
  <c r="R21" i="17"/>
  <c r="V21" i="17" s="1"/>
  <c r="H22" i="17"/>
  <c r="R24" i="17"/>
  <c r="H25" i="17"/>
  <c r="R27" i="17"/>
  <c r="U27" i="17" s="1"/>
  <c r="H28" i="17"/>
  <c r="R30" i="17"/>
  <c r="V30" i="17" s="1"/>
  <c r="H31" i="17"/>
  <c r="R33" i="17"/>
  <c r="H34" i="17"/>
  <c r="R36" i="17"/>
  <c r="U36" i="17" s="1"/>
  <c r="H37" i="17"/>
  <c r="R39" i="17"/>
  <c r="H40" i="17"/>
  <c r="R42" i="17"/>
  <c r="K42" i="17" s="1"/>
  <c r="H43" i="17"/>
  <c r="R45" i="17"/>
  <c r="V45" i="17" s="1"/>
  <c r="H46" i="17"/>
  <c r="R48" i="17"/>
  <c r="U48" i="17" s="1"/>
  <c r="H20" i="17"/>
  <c r="H29" i="17"/>
  <c r="V33" i="17"/>
  <c r="H41" i="17"/>
  <c r="H47" i="17"/>
  <c r="L36" i="17"/>
  <c r="G18" i="17"/>
  <c r="U19" i="17"/>
  <c r="G21" i="17"/>
  <c r="U22" i="17"/>
  <c r="G24" i="17"/>
  <c r="U25" i="17"/>
  <c r="G27" i="17"/>
  <c r="U28" i="17"/>
  <c r="G30" i="17"/>
  <c r="U31" i="17"/>
  <c r="G33" i="17"/>
  <c r="U34" i="17"/>
  <c r="G36" i="17"/>
  <c r="U37" i="17"/>
  <c r="G39" i="17"/>
  <c r="U40" i="17"/>
  <c r="G42" i="17"/>
  <c r="U43" i="17"/>
  <c r="G45" i="17"/>
  <c r="U46" i="17"/>
  <c r="G48" i="17"/>
  <c r="L24" i="17"/>
  <c r="H18" i="17"/>
  <c r="R20" i="17"/>
  <c r="U20" i="17" s="1"/>
  <c r="H21" i="17"/>
  <c r="R23" i="17"/>
  <c r="U23" i="17" s="1"/>
  <c r="H24" i="17"/>
  <c r="R26" i="17"/>
  <c r="U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V27" i="17"/>
  <c r="L18" i="17"/>
  <c r="L21" i="17"/>
  <c r="T21" i="17" s="1"/>
  <c r="S21" i="17" s="1"/>
  <c r="L27" i="17"/>
  <c r="L30" i="17"/>
  <c r="T30" i="17" s="1"/>
  <c r="S30" i="17" s="1"/>
  <c r="L45" i="17"/>
  <c r="G20" i="17"/>
  <c r="G23" i="17"/>
  <c r="G26" i="17"/>
  <c r="G29" i="17"/>
  <c r="G32" i="17"/>
  <c r="G35" i="17"/>
  <c r="G38" i="17"/>
  <c r="G41" i="17"/>
  <c r="G44" i="17"/>
  <c r="L19" i="11"/>
  <c r="T19" i="11" s="1"/>
  <c r="S19" i="11" s="1"/>
  <c r="L30" i="11"/>
  <c r="L20" i="11"/>
  <c r="T20" i="11" s="1"/>
  <c r="S20" i="11" s="1"/>
  <c r="L21" i="11"/>
  <c r="V23" i="11"/>
  <c r="V26" i="11"/>
  <c r="V29" i="11"/>
  <c r="U22" i="10"/>
  <c r="L19" i="10"/>
  <c r="T19" i="10" s="1"/>
  <c r="S19" i="10" s="1"/>
  <c r="L25" i="10"/>
  <c r="T25" i="10" s="1"/>
  <c r="S25" i="10" s="1"/>
  <c r="V19" i="10"/>
  <c r="L21" i="10"/>
  <c r="T21" i="10" s="1"/>
  <c r="S21" i="10" s="1"/>
  <c r="V25" i="10"/>
  <c r="L27" i="10"/>
  <c r="T28" i="10"/>
  <c r="S28" i="10" s="1"/>
  <c r="J49" i="10"/>
  <c r="V22" i="10"/>
  <c r="L24" i="10"/>
  <c r="V28" i="10"/>
  <c r="L30" i="10"/>
  <c r="J49" i="9"/>
  <c r="L21" i="9"/>
  <c r="V23" i="9"/>
  <c r="L28" i="9"/>
  <c r="T28" i="9" s="1"/>
  <c r="S28" i="9" s="1"/>
  <c r="L29" i="9"/>
  <c r="T29" i="9" s="1"/>
  <c r="S29" i="9" s="1"/>
  <c r="L19" i="9"/>
  <c r="T19" i="9" s="1"/>
  <c r="S19" i="9" s="1"/>
  <c r="L22" i="9"/>
  <c r="T22" i="9" s="1"/>
  <c r="S22" i="9" s="1"/>
  <c r="V25" i="9"/>
  <c r="L30" i="9"/>
  <c r="V26" i="9"/>
  <c r="V19" i="9"/>
  <c r="L23" i="8"/>
  <c r="T23" i="8" s="1"/>
  <c r="S23" i="8" s="1"/>
  <c r="V32" i="8"/>
  <c r="V19" i="8"/>
  <c r="L28" i="8"/>
  <c r="T28" i="8" s="1"/>
  <c r="S28" i="8" s="1"/>
  <c r="L25" i="8"/>
  <c r="T25" i="8" s="1"/>
  <c r="S25" i="8" s="1"/>
  <c r="L22" i="8"/>
  <c r="T22" i="8" s="1"/>
  <c r="S22" i="8" s="1"/>
  <c r="L24" i="8"/>
  <c r="L26" i="8"/>
  <c r="T26" i="8" s="1"/>
  <c r="S26" i="8" s="1"/>
  <c r="L20" i="8"/>
  <c r="T20" i="8" s="1"/>
  <c r="S20" i="8" s="1"/>
  <c r="V22" i="8"/>
  <c r="L29" i="8"/>
  <c r="T29" i="8" s="1"/>
  <c r="S29" i="8" s="1"/>
  <c r="T31" i="8"/>
  <c r="S31" i="8" s="1"/>
  <c r="L24" i="7"/>
  <c r="L22" i="7"/>
  <c r="U33" i="16"/>
  <c r="U24" i="16"/>
  <c r="U36" i="16"/>
  <c r="V47" i="16"/>
  <c r="U45" i="16"/>
  <c r="T47" i="16"/>
  <c r="S47" i="16" s="1"/>
  <c r="H23" i="16"/>
  <c r="H32" i="16"/>
  <c r="H41" i="16"/>
  <c r="H47" i="16"/>
  <c r="L18" i="16"/>
  <c r="L21" i="16"/>
  <c r="U29" i="16"/>
  <c r="U32" i="16"/>
  <c r="U38" i="16"/>
  <c r="R18" i="16"/>
  <c r="H19" i="16"/>
  <c r="R21" i="16"/>
  <c r="V21" i="16" s="1"/>
  <c r="H22" i="16"/>
  <c r="R24" i="16"/>
  <c r="V24" i="16" s="1"/>
  <c r="H25" i="16"/>
  <c r="R27" i="16"/>
  <c r="U27" i="16" s="1"/>
  <c r="H28" i="16"/>
  <c r="R30" i="16"/>
  <c r="V30" i="16" s="1"/>
  <c r="H31" i="16"/>
  <c r="R33" i="16"/>
  <c r="V33" i="16" s="1"/>
  <c r="H34" i="16"/>
  <c r="R36" i="16"/>
  <c r="V36" i="16" s="1"/>
  <c r="H37" i="16"/>
  <c r="R39" i="16"/>
  <c r="U39" i="16" s="1"/>
  <c r="H40" i="16"/>
  <c r="R42" i="16"/>
  <c r="K42" i="16" s="1"/>
  <c r="H43" i="16"/>
  <c r="R45" i="16"/>
  <c r="V45" i="16" s="1"/>
  <c r="H46" i="16"/>
  <c r="R48" i="16"/>
  <c r="V48" i="16" s="1"/>
  <c r="K49" i="16"/>
  <c r="G18" i="16"/>
  <c r="U19" i="16"/>
  <c r="G21" i="16"/>
  <c r="U22" i="16"/>
  <c r="L23" i="16"/>
  <c r="T23" i="16" s="1"/>
  <c r="S23" i="16" s="1"/>
  <c r="G24" i="16"/>
  <c r="U25" i="16"/>
  <c r="L26" i="16"/>
  <c r="T26" i="16" s="1"/>
  <c r="S26" i="16" s="1"/>
  <c r="G27" i="16"/>
  <c r="U28" i="16"/>
  <c r="G30" i="16"/>
  <c r="U31" i="16"/>
  <c r="G33" i="16"/>
  <c r="U34" i="16"/>
  <c r="L35" i="16"/>
  <c r="T35" i="16" s="1"/>
  <c r="S35" i="16" s="1"/>
  <c r="G36" i="16"/>
  <c r="U37" i="16"/>
  <c r="G39" i="16"/>
  <c r="U40" i="16"/>
  <c r="L41" i="16"/>
  <c r="T41" i="16" s="1"/>
  <c r="S41" i="16" s="1"/>
  <c r="G42" i="16"/>
  <c r="U43" i="16"/>
  <c r="G45" i="16"/>
  <c r="U46" i="16"/>
  <c r="G48" i="16"/>
  <c r="H26" i="16"/>
  <c r="V27" i="16"/>
  <c r="H29" i="16"/>
  <c r="L27" i="16"/>
  <c r="L45" i="16"/>
  <c r="T45" i="16" s="1"/>
  <c r="S45" i="16" s="1"/>
  <c r="L48" i="16"/>
  <c r="H18" i="16"/>
  <c r="V19" i="16"/>
  <c r="H21" i="16"/>
  <c r="V22" i="16"/>
  <c r="H24" i="16"/>
  <c r="V25" i="16"/>
  <c r="H27" i="16"/>
  <c r="V28" i="16"/>
  <c r="H30" i="16"/>
  <c r="V31" i="16"/>
  <c r="H33" i="16"/>
  <c r="V34" i="16"/>
  <c r="H36" i="16"/>
  <c r="V37" i="16"/>
  <c r="H39" i="16"/>
  <c r="V40" i="16"/>
  <c r="H42" i="16"/>
  <c r="V43" i="16"/>
  <c r="H45" i="16"/>
  <c r="V46" i="16"/>
  <c r="H20" i="16"/>
  <c r="H35" i="16"/>
  <c r="H38" i="16"/>
  <c r="L24" i="16"/>
  <c r="T24" i="16" s="1"/>
  <c r="S24" i="16" s="1"/>
  <c r="L30" i="16"/>
  <c r="L33" i="16"/>
  <c r="T33" i="16" s="1"/>
  <c r="S33" i="16" s="1"/>
  <c r="L36" i="16"/>
  <c r="L39" i="16"/>
  <c r="G20" i="16"/>
  <c r="G23" i="16"/>
  <c r="G26" i="16"/>
  <c r="G29" i="16"/>
  <c r="G32" i="16"/>
  <c r="G35" i="16"/>
  <c r="G38" i="16"/>
  <c r="G41" i="16"/>
  <c r="G44" i="16"/>
  <c r="V32" i="15"/>
  <c r="L42" i="15"/>
  <c r="T42" i="15" s="1"/>
  <c r="S42" i="15" s="1"/>
  <c r="V47" i="15"/>
  <c r="V23" i="15"/>
  <c r="T33" i="15"/>
  <c r="S33" i="15" s="1"/>
  <c r="V41" i="15"/>
  <c r="T47" i="15"/>
  <c r="S47" i="15" s="1"/>
  <c r="H23" i="15"/>
  <c r="H26" i="15"/>
  <c r="H29" i="15"/>
  <c r="H32" i="15"/>
  <c r="H38" i="15"/>
  <c r="V39" i="15"/>
  <c r="H47" i="15"/>
  <c r="K49" i="15"/>
  <c r="L18" i="15"/>
  <c r="G19" i="15"/>
  <c r="G22" i="15"/>
  <c r="G25" i="15"/>
  <c r="G28" i="15"/>
  <c r="G31" i="15"/>
  <c r="G34" i="15"/>
  <c r="G37" i="15"/>
  <c r="G40" i="15"/>
  <c r="G43" i="15"/>
  <c r="G46" i="15"/>
  <c r="U47" i="15"/>
  <c r="H20" i="15"/>
  <c r="V33" i="15"/>
  <c r="H35" i="15"/>
  <c r="H41" i="15"/>
  <c r="H44" i="15"/>
  <c r="R18" i="15"/>
  <c r="U18" i="15" s="1"/>
  <c r="H19" i="15"/>
  <c r="R21" i="15"/>
  <c r="U21" i="15" s="1"/>
  <c r="H22" i="15"/>
  <c r="R24" i="15"/>
  <c r="U24" i="15" s="1"/>
  <c r="H25" i="15"/>
  <c r="R27" i="15"/>
  <c r="T27" i="15" s="1"/>
  <c r="S27" i="15" s="1"/>
  <c r="H28" i="15"/>
  <c r="R30" i="15"/>
  <c r="T30" i="15" s="1"/>
  <c r="S30" i="15" s="1"/>
  <c r="H31" i="15"/>
  <c r="R33" i="15"/>
  <c r="U33" i="15" s="1"/>
  <c r="H34" i="15"/>
  <c r="R36" i="15"/>
  <c r="V36" i="15" s="1"/>
  <c r="H37" i="15"/>
  <c r="R39" i="15"/>
  <c r="T39" i="15" s="1"/>
  <c r="S39" i="15" s="1"/>
  <c r="H40" i="15"/>
  <c r="R42" i="15"/>
  <c r="K42" i="15" s="1"/>
  <c r="H43" i="15"/>
  <c r="R45" i="15"/>
  <c r="U45" i="15" s="1"/>
  <c r="H46" i="15"/>
  <c r="R48" i="15"/>
  <c r="U48" i="15" s="1"/>
  <c r="R20" i="15"/>
  <c r="T20" i="15" s="1"/>
  <c r="S20" i="15" s="1"/>
  <c r="H21" i="15"/>
  <c r="R23" i="15"/>
  <c r="T23" i="15" s="1"/>
  <c r="S23" i="15" s="1"/>
  <c r="H24" i="15"/>
  <c r="R26" i="15"/>
  <c r="T26" i="15" s="1"/>
  <c r="S26" i="15" s="1"/>
  <c r="H27" i="15"/>
  <c r="R29" i="15"/>
  <c r="T29" i="15" s="1"/>
  <c r="S29" i="15" s="1"/>
  <c r="H30" i="15"/>
  <c r="R32" i="15"/>
  <c r="T32" i="15" s="1"/>
  <c r="S32" i="15" s="1"/>
  <c r="H33" i="15"/>
  <c r="R35" i="15"/>
  <c r="T35" i="15" s="1"/>
  <c r="S35" i="15" s="1"/>
  <c r="H36" i="15"/>
  <c r="R38" i="15"/>
  <c r="T38" i="15" s="1"/>
  <c r="S38" i="15" s="1"/>
  <c r="H39" i="15"/>
  <c r="R41" i="15"/>
  <c r="T41" i="15" s="1"/>
  <c r="S41" i="15" s="1"/>
  <c r="H42" i="15"/>
  <c r="R44" i="15"/>
  <c r="V44" i="15" s="1"/>
  <c r="H45" i="15"/>
  <c r="G20" i="15"/>
  <c r="G23" i="15"/>
  <c r="G26" i="15"/>
  <c r="G29" i="15"/>
  <c r="G32" i="15"/>
  <c r="G35" i="15"/>
  <c r="G38" i="15"/>
  <c r="G41" i="15"/>
  <c r="G44" i="15"/>
  <c r="V47" i="14"/>
  <c r="U36" i="14"/>
  <c r="V38" i="14"/>
  <c r="U45" i="14"/>
  <c r="V20" i="14"/>
  <c r="V32" i="14"/>
  <c r="V44" i="14"/>
  <c r="T47" i="14"/>
  <c r="S47" i="14" s="1"/>
  <c r="H23" i="14"/>
  <c r="H41" i="14"/>
  <c r="L21" i="14"/>
  <c r="R18" i="14"/>
  <c r="U18" i="14" s="1"/>
  <c r="H19" i="14"/>
  <c r="R21" i="14"/>
  <c r="U21" i="14" s="1"/>
  <c r="H22" i="14"/>
  <c r="R24" i="14"/>
  <c r="U24" i="14" s="1"/>
  <c r="H25" i="14"/>
  <c r="R27" i="14"/>
  <c r="U27" i="14" s="1"/>
  <c r="H28" i="14"/>
  <c r="R30" i="14"/>
  <c r="U30" i="14" s="1"/>
  <c r="H31" i="14"/>
  <c r="R33" i="14"/>
  <c r="U33" i="14" s="1"/>
  <c r="H34" i="14"/>
  <c r="R36" i="14"/>
  <c r="V36" i="14" s="1"/>
  <c r="H37" i="14"/>
  <c r="R39" i="14"/>
  <c r="U39" i="14" s="1"/>
  <c r="H40" i="14"/>
  <c r="R42" i="14"/>
  <c r="K42" i="14" s="1"/>
  <c r="H43" i="14"/>
  <c r="R45" i="14"/>
  <c r="V45" i="14" s="1"/>
  <c r="H46" i="14"/>
  <c r="R48" i="14"/>
  <c r="V48" i="14" s="1"/>
  <c r="H20" i="14"/>
  <c r="V24" i="14"/>
  <c r="H29" i="14"/>
  <c r="H47" i="14"/>
  <c r="L27" i="14"/>
  <c r="L30" i="14"/>
  <c r="G18" i="14"/>
  <c r="U19" i="14"/>
  <c r="G21" i="14"/>
  <c r="U22" i="14"/>
  <c r="G24" i="14"/>
  <c r="U25" i="14"/>
  <c r="G27" i="14"/>
  <c r="U28" i="14"/>
  <c r="G30" i="14"/>
  <c r="U31" i="14"/>
  <c r="G33" i="14"/>
  <c r="U34" i="14"/>
  <c r="G36" i="14"/>
  <c r="U37" i="14"/>
  <c r="G39" i="14"/>
  <c r="U40" i="14"/>
  <c r="G42" i="14"/>
  <c r="U43" i="14"/>
  <c r="G45" i="14"/>
  <c r="U46" i="14"/>
  <c r="G48" i="14"/>
  <c r="H26" i="14"/>
  <c r="H38" i="14"/>
  <c r="L24" i="14"/>
  <c r="T24" i="14" s="1"/>
  <c r="S24" i="14" s="1"/>
  <c r="L33" i="14"/>
  <c r="T33" i="14" s="1"/>
  <c r="S33" i="14" s="1"/>
  <c r="L48" i="14"/>
  <c r="T48" i="14" s="1"/>
  <c r="S48" i="14" s="1"/>
  <c r="H18" i="14"/>
  <c r="V19" i="14"/>
  <c r="R20" i="14"/>
  <c r="U20" i="14" s="1"/>
  <c r="H21" i="14"/>
  <c r="V22" i="14"/>
  <c r="R23" i="14"/>
  <c r="U23" i="14" s="1"/>
  <c r="H24" i="14"/>
  <c r="V25" i="14"/>
  <c r="R26" i="14"/>
  <c r="U26" i="14" s="1"/>
  <c r="H27" i="14"/>
  <c r="V28" i="14"/>
  <c r="R29" i="14"/>
  <c r="U29" i="14" s="1"/>
  <c r="H30" i="14"/>
  <c r="V31" i="14"/>
  <c r="R32" i="14"/>
  <c r="U32" i="14" s="1"/>
  <c r="H33" i="14"/>
  <c r="V34" i="14"/>
  <c r="R35" i="14"/>
  <c r="U35" i="14" s="1"/>
  <c r="H36" i="14"/>
  <c r="V37" i="14"/>
  <c r="R38" i="14"/>
  <c r="U38" i="14" s="1"/>
  <c r="H39" i="14"/>
  <c r="R41" i="14"/>
  <c r="U41" i="14" s="1"/>
  <c r="H42" i="14"/>
  <c r="R44" i="14"/>
  <c r="U44" i="14" s="1"/>
  <c r="H45" i="14"/>
  <c r="H32" i="14"/>
  <c r="V33" i="14"/>
  <c r="H35" i="14"/>
  <c r="K49" i="14"/>
  <c r="L18" i="14"/>
  <c r="L36" i="14"/>
  <c r="T36" i="14" s="1"/>
  <c r="S36" i="14" s="1"/>
  <c r="L39" i="14"/>
  <c r="T39" i="14" s="1"/>
  <c r="S39" i="14" s="1"/>
  <c r="L45" i="14"/>
  <c r="G20" i="14"/>
  <c r="G23" i="14"/>
  <c r="G26" i="14"/>
  <c r="G29" i="14"/>
  <c r="G32" i="14"/>
  <c r="G35" i="14"/>
  <c r="G38" i="14"/>
  <c r="G41" i="14"/>
  <c r="G44" i="14"/>
  <c r="V24" i="13"/>
  <c r="T31" i="13"/>
  <c r="S31" i="13" s="1"/>
  <c r="T48" i="13"/>
  <c r="S48" i="13" s="1"/>
  <c r="V48" i="13"/>
  <c r="T21" i="13"/>
  <c r="S21" i="13" s="1"/>
  <c r="T39" i="13"/>
  <c r="S39" i="13" s="1"/>
  <c r="V47" i="13"/>
  <c r="T46" i="13"/>
  <c r="S46" i="13" s="1"/>
  <c r="T37" i="13"/>
  <c r="S37" i="13" s="1"/>
  <c r="V46" i="13"/>
  <c r="V21" i="13"/>
  <c r="V39" i="13"/>
  <c r="T47" i="13"/>
  <c r="S47" i="13" s="1"/>
  <c r="R19" i="13"/>
  <c r="U19" i="13" s="1"/>
  <c r="H20" i="13"/>
  <c r="R22" i="13"/>
  <c r="U22" i="13" s="1"/>
  <c r="H23" i="13"/>
  <c r="R25" i="13"/>
  <c r="U25" i="13" s="1"/>
  <c r="H26" i="13"/>
  <c r="R28" i="13"/>
  <c r="U28" i="13" s="1"/>
  <c r="H29" i="13"/>
  <c r="R31" i="13"/>
  <c r="U31" i="13" s="1"/>
  <c r="H32" i="13"/>
  <c r="R34" i="13"/>
  <c r="U34" i="13" s="1"/>
  <c r="H35" i="13"/>
  <c r="R37" i="13"/>
  <c r="U37" i="13" s="1"/>
  <c r="H38" i="13"/>
  <c r="R40" i="13"/>
  <c r="U40" i="13" s="1"/>
  <c r="H41" i="13"/>
  <c r="R43" i="13"/>
  <c r="U43" i="13" s="1"/>
  <c r="H44" i="13"/>
  <c r="R46" i="13"/>
  <c r="U46" i="13" s="1"/>
  <c r="H47" i="13"/>
  <c r="L18" i="13"/>
  <c r="G19" i="13"/>
  <c r="U20" i="13"/>
  <c r="G22" i="13"/>
  <c r="U23" i="13"/>
  <c r="G25" i="13"/>
  <c r="U26" i="13"/>
  <c r="G28" i="13"/>
  <c r="U29" i="13"/>
  <c r="G31" i="13"/>
  <c r="U32" i="13"/>
  <c r="G34" i="13"/>
  <c r="U35" i="13"/>
  <c r="G37" i="13"/>
  <c r="U38" i="13"/>
  <c r="G40" i="13"/>
  <c r="U41" i="13"/>
  <c r="G43" i="13"/>
  <c r="U44" i="13"/>
  <c r="G46" i="13"/>
  <c r="U47" i="13"/>
  <c r="R18" i="13"/>
  <c r="V18" i="13" s="1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U33" i="13" s="1"/>
  <c r="H34" i="13"/>
  <c r="R36" i="13"/>
  <c r="U36" i="13" s="1"/>
  <c r="H37" i="13"/>
  <c r="R39" i="13"/>
  <c r="U39" i="13" s="1"/>
  <c r="H40" i="13"/>
  <c r="R42" i="13"/>
  <c r="K42" i="13" s="1"/>
  <c r="L42" i="13" s="1"/>
  <c r="T42" i="13" s="1"/>
  <c r="S42" i="13" s="1"/>
  <c r="H43" i="13"/>
  <c r="R45" i="13"/>
  <c r="U45" i="13" s="1"/>
  <c r="H46" i="13"/>
  <c r="R48" i="13"/>
  <c r="U48" i="13" s="1"/>
  <c r="G20" i="13"/>
  <c r="G23" i="13"/>
  <c r="G26" i="13"/>
  <c r="G29" i="13"/>
  <c r="G32" i="13"/>
  <c r="G35" i="13"/>
  <c r="G38" i="13"/>
  <c r="G41" i="13"/>
  <c r="G44" i="13"/>
  <c r="T41" i="12"/>
  <c r="S41" i="12" s="1"/>
  <c r="V32" i="12"/>
  <c r="T48" i="12"/>
  <c r="S48" i="12" s="1"/>
  <c r="T32" i="12"/>
  <c r="S32" i="12" s="1"/>
  <c r="V38" i="12"/>
  <c r="U36" i="12"/>
  <c r="V47" i="12"/>
  <c r="U39" i="12"/>
  <c r="V44" i="12"/>
  <c r="V41" i="12"/>
  <c r="U45" i="12"/>
  <c r="T47" i="12"/>
  <c r="S47" i="12" s="1"/>
  <c r="H23" i="12"/>
  <c r="H26" i="12"/>
  <c r="H29" i="12"/>
  <c r="H32" i="12"/>
  <c r="H35" i="12"/>
  <c r="V36" i="12"/>
  <c r="V39" i="12"/>
  <c r="L18" i="12"/>
  <c r="G19" i="12"/>
  <c r="U20" i="12"/>
  <c r="G22" i="12"/>
  <c r="U23" i="12"/>
  <c r="G25" i="12"/>
  <c r="G28" i="12"/>
  <c r="G31" i="12"/>
  <c r="U32" i="12"/>
  <c r="G34" i="12"/>
  <c r="G37" i="12"/>
  <c r="G40" i="12"/>
  <c r="U41" i="12"/>
  <c r="G43" i="12"/>
  <c r="G46" i="12"/>
  <c r="U47" i="12"/>
  <c r="H20" i="12"/>
  <c r="V33" i="12"/>
  <c r="H38" i="12"/>
  <c r="H41" i="12"/>
  <c r="H44" i="12"/>
  <c r="H47" i="12"/>
  <c r="V48" i="12"/>
  <c r="R18" i="12"/>
  <c r="U18" i="12" s="1"/>
  <c r="H19" i="12"/>
  <c r="R21" i="12"/>
  <c r="V21" i="12" s="1"/>
  <c r="H22" i="12"/>
  <c r="R24" i="12"/>
  <c r="U24" i="12" s="1"/>
  <c r="H25" i="12"/>
  <c r="R27" i="12"/>
  <c r="T27" i="12" s="1"/>
  <c r="S27" i="12" s="1"/>
  <c r="H28" i="12"/>
  <c r="R30" i="12"/>
  <c r="V30" i="12" s="1"/>
  <c r="H31" i="12"/>
  <c r="R33" i="12"/>
  <c r="U33" i="12" s="1"/>
  <c r="H34" i="12"/>
  <c r="R36" i="12"/>
  <c r="T36" i="12" s="1"/>
  <c r="S36" i="12" s="1"/>
  <c r="H37" i="12"/>
  <c r="R39" i="12"/>
  <c r="T39" i="12" s="1"/>
  <c r="S39" i="12" s="1"/>
  <c r="H40" i="12"/>
  <c r="R42" i="12"/>
  <c r="K42" i="12" s="1"/>
  <c r="H43" i="12"/>
  <c r="R45" i="12"/>
  <c r="T45" i="12" s="1"/>
  <c r="S45" i="12" s="1"/>
  <c r="H46" i="12"/>
  <c r="R48" i="12"/>
  <c r="U48" i="12" s="1"/>
  <c r="V25" i="12"/>
  <c r="R26" i="12"/>
  <c r="T26" i="12" s="1"/>
  <c r="S26" i="12" s="1"/>
  <c r="H27" i="12"/>
  <c r="R29" i="12"/>
  <c r="V29" i="12" s="1"/>
  <c r="H30" i="12"/>
  <c r="R32" i="12"/>
  <c r="H33" i="12"/>
  <c r="R35" i="12"/>
  <c r="T35" i="12" s="1"/>
  <c r="S35" i="12" s="1"/>
  <c r="H36" i="12"/>
  <c r="R38" i="12"/>
  <c r="T38" i="12" s="1"/>
  <c r="S38" i="12" s="1"/>
  <c r="H39" i="12"/>
  <c r="R41" i="12"/>
  <c r="H42" i="12"/>
  <c r="R44" i="12"/>
  <c r="T44" i="12" s="1"/>
  <c r="S44" i="12" s="1"/>
  <c r="H45" i="12"/>
  <c r="U19" i="12"/>
  <c r="U28" i="12"/>
  <c r="U31" i="12"/>
  <c r="U37" i="12"/>
  <c r="U40" i="12"/>
  <c r="U43" i="12"/>
  <c r="U46" i="12"/>
  <c r="H18" i="12"/>
  <c r="H21" i="12"/>
  <c r="G20" i="12"/>
  <c r="G23" i="12"/>
  <c r="G26" i="12"/>
  <c r="G29" i="12"/>
  <c r="G32" i="12"/>
  <c r="G35" i="12"/>
  <c r="G38" i="12"/>
  <c r="G41" i="12"/>
  <c r="G44" i="12"/>
  <c r="T48" i="11"/>
  <c r="S48" i="11" s="1"/>
  <c r="V22" i="11"/>
  <c r="U48" i="11"/>
  <c r="J49" i="11"/>
  <c r="U19" i="11"/>
  <c r="V25" i="11"/>
  <c r="U39" i="11"/>
  <c r="V19" i="11"/>
  <c r="U30" i="11"/>
  <c r="U22" i="11"/>
  <c r="V28" i="11"/>
  <c r="V31" i="11"/>
  <c r="U36" i="11"/>
  <c r="H32" i="11"/>
  <c r="V45" i="11"/>
  <c r="H47" i="11"/>
  <c r="L18" i="11"/>
  <c r="G19" i="11"/>
  <c r="U20" i="11"/>
  <c r="G22" i="11"/>
  <c r="U23" i="11"/>
  <c r="G25" i="11"/>
  <c r="U26" i="11"/>
  <c r="G28" i="11"/>
  <c r="U29" i="11"/>
  <c r="G31" i="11"/>
  <c r="U32" i="11"/>
  <c r="G34" i="11"/>
  <c r="U35" i="11"/>
  <c r="G37" i="11"/>
  <c r="U38" i="11"/>
  <c r="G40" i="11"/>
  <c r="U41" i="11"/>
  <c r="G43" i="11"/>
  <c r="U44" i="11"/>
  <c r="G46" i="11"/>
  <c r="U47" i="11"/>
  <c r="U34" i="11"/>
  <c r="U46" i="11"/>
  <c r="H20" i="11"/>
  <c r="H23" i="11"/>
  <c r="H26" i="11"/>
  <c r="H29" i="11"/>
  <c r="H35" i="11"/>
  <c r="H38" i="11"/>
  <c r="H41" i="11"/>
  <c r="H44" i="11"/>
  <c r="V48" i="11"/>
  <c r="R18" i="11"/>
  <c r="V18" i="11" s="1"/>
  <c r="H19" i="11"/>
  <c r="R21" i="11"/>
  <c r="V21" i="11" s="1"/>
  <c r="H22" i="11"/>
  <c r="R24" i="11"/>
  <c r="U24" i="11" s="1"/>
  <c r="H25" i="11"/>
  <c r="R27" i="11"/>
  <c r="T27" i="11" s="1"/>
  <c r="S27" i="11" s="1"/>
  <c r="H28" i="11"/>
  <c r="R30" i="11"/>
  <c r="V30" i="11" s="1"/>
  <c r="H31" i="11"/>
  <c r="R33" i="11"/>
  <c r="V33" i="11" s="1"/>
  <c r="H34" i="11"/>
  <c r="R36" i="11"/>
  <c r="T36" i="11" s="1"/>
  <c r="S36" i="11" s="1"/>
  <c r="H37" i="11"/>
  <c r="R39" i="11"/>
  <c r="T39" i="11" s="1"/>
  <c r="S39" i="11" s="1"/>
  <c r="H40" i="11"/>
  <c r="R42" i="11"/>
  <c r="K42" i="11" s="1"/>
  <c r="K49" i="11" s="1"/>
  <c r="H43" i="11"/>
  <c r="R45" i="11"/>
  <c r="T45" i="11" s="1"/>
  <c r="S45" i="11" s="1"/>
  <c r="U37" i="11"/>
  <c r="U40" i="11"/>
  <c r="U43" i="11"/>
  <c r="H30" i="11"/>
  <c r="H33" i="11"/>
  <c r="H36" i="11"/>
  <c r="H39" i="11"/>
  <c r="H42" i="11"/>
  <c r="H45" i="11"/>
  <c r="G20" i="11"/>
  <c r="G23" i="11"/>
  <c r="G26" i="11"/>
  <c r="G29" i="11"/>
  <c r="G32" i="11"/>
  <c r="G35" i="11"/>
  <c r="G38" i="11"/>
  <c r="G41" i="11"/>
  <c r="G44" i="11"/>
  <c r="U24" i="10"/>
  <c r="U33" i="10"/>
  <c r="V44" i="10"/>
  <c r="T44" i="10"/>
  <c r="S44" i="10" s="1"/>
  <c r="U48" i="10"/>
  <c r="V47" i="10"/>
  <c r="V29" i="10"/>
  <c r="T39" i="10"/>
  <c r="S39" i="10" s="1"/>
  <c r="T47" i="10"/>
  <c r="S47" i="10" s="1"/>
  <c r="H23" i="10"/>
  <c r="V24" i="10"/>
  <c r="H26" i="10"/>
  <c r="H32" i="10"/>
  <c r="H47" i="10"/>
  <c r="K49" i="10"/>
  <c r="L18" i="10"/>
  <c r="G19" i="10"/>
  <c r="G22" i="10"/>
  <c r="G25" i="10"/>
  <c r="G28" i="10"/>
  <c r="U29" i="10"/>
  <c r="G31" i="10"/>
  <c r="G34" i="10"/>
  <c r="G37" i="10"/>
  <c r="U38" i="10"/>
  <c r="G40" i="10"/>
  <c r="G43" i="10"/>
  <c r="G46" i="10"/>
  <c r="U47" i="10"/>
  <c r="H20" i="10"/>
  <c r="H29" i="10"/>
  <c r="V33" i="10"/>
  <c r="H35" i="10"/>
  <c r="H38" i="10"/>
  <c r="H41" i="10"/>
  <c r="H44" i="10"/>
  <c r="V48" i="10"/>
  <c r="R18" i="10"/>
  <c r="H19" i="10"/>
  <c r="R21" i="10"/>
  <c r="U21" i="10" s="1"/>
  <c r="H22" i="10"/>
  <c r="R24" i="10"/>
  <c r="H25" i="10"/>
  <c r="R27" i="10"/>
  <c r="T27" i="10" s="1"/>
  <c r="S27" i="10" s="1"/>
  <c r="H28" i="10"/>
  <c r="R30" i="10"/>
  <c r="V30" i="10" s="1"/>
  <c r="H31" i="10"/>
  <c r="R33" i="10"/>
  <c r="T33" i="10" s="1"/>
  <c r="S33" i="10" s="1"/>
  <c r="H34" i="10"/>
  <c r="R36" i="10"/>
  <c r="V36" i="10" s="1"/>
  <c r="H37" i="10"/>
  <c r="R39" i="10"/>
  <c r="U39" i="10" s="1"/>
  <c r="H40" i="10"/>
  <c r="R42" i="10"/>
  <c r="K42" i="10" s="1"/>
  <c r="H43" i="10"/>
  <c r="R45" i="10"/>
  <c r="V45" i="10" s="1"/>
  <c r="H46" i="10"/>
  <c r="R48" i="10"/>
  <c r="T48" i="10" s="1"/>
  <c r="S48" i="10" s="1"/>
  <c r="H18" i="10"/>
  <c r="R20" i="10"/>
  <c r="T20" i="10" s="1"/>
  <c r="S20" i="10" s="1"/>
  <c r="H21" i="10"/>
  <c r="R23" i="10"/>
  <c r="T23" i="10" s="1"/>
  <c r="S23" i="10" s="1"/>
  <c r="R26" i="10"/>
  <c r="T26" i="10" s="1"/>
  <c r="S26" i="10" s="1"/>
  <c r="H27" i="10"/>
  <c r="R29" i="10"/>
  <c r="T29" i="10" s="1"/>
  <c r="S29" i="10" s="1"/>
  <c r="H30" i="10"/>
  <c r="R32" i="10"/>
  <c r="T32" i="10" s="1"/>
  <c r="S32" i="10" s="1"/>
  <c r="H33" i="10"/>
  <c r="R35" i="10"/>
  <c r="T35" i="10" s="1"/>
  <c r="S35" i="10" s="1"/>
  <c r="H36" i="10"/>
  <c r="R38" i="10"/>
  <c r="T38" i="10" s="1"/>
  <c r="S38" i="10" s="1"/>
  <c r="H39" i="10"/>
  <c r="R41" i="10"/>
  <c r="T41" i="10" s="1"/>
  <c r="S41" i="10" s="1"/>
  <c r="H42" i="10"/>
  <c r="R44" i="10"/>
  <c r="U44" i="10" s="1"/>
  <c r="H45" i="10"/>
  <c r="G20" i="10"/>
  <c r="G23" i="10"/>
  <c r="G26" i="10"/>
  <c r="G29" i="10"/>
  <c r="G32" i="10"/>
  <c r="G35" i="10"/>
  <c r="G38" i="10"/>
  <c r="G41" i="10"/>
  <c r="G44" i="10"/>
  <c r="U48" i="9"/>
  <c r="L31" i="9"/>
  <c r="T31" i="9" s="1"/>
  <c r="S31" i="9" s="1"/>
  <c r="U31" i="9"/>
  <c r="U33" i="9"/>
  <c r="V31" i="9"/>
  <c r="L42" i="9"/>
  <c r="T42" i="9" s="1"/>
  <c r="S42" i="9" s="1"/>
  <c r="U24" i="9"/>
  <c r="T33" i="9"/>
  <c r="S33" i="9" s="1"/>
  <c r="U46" i="9"/>
  <c r="V22" i="9"/>
  <c r="H23" i="9"/>
  <c r="H29" i="9"/>
  <c r="H32" i="9"/>
  <c r="V45" i="9"/>
  <c r="H47" i="9"/>
  <c r="L18" i="9"/>
  <c r="G19" i="9"/>
  <c r="U20" i="9"/>
  <c r="G22" i="9"/>
  <c r="U23" i="9"/>
  <c r="G25" i="9"/>
  <c r="U26" i="9"/>
  <c r="G28" i="9"/>
  <c r="U29" i="9"/>
  <c r="G31" i="9"/>
  <c r="U32" i="9"/>
  <c r="G34" i="9"/>
  <c r="U35" i="9"/>
  <c r="G37" i="9"/>
  <c r="U38" i="9"/>
  <c r="G40" i="9"/>
  <c r="U41" i="9"/>
  <c r="G43" i="9"/>
  <c r="U44" i="9"/>
  <c r="G46" i="9"/>
  <c r="U47" i="9"/>
  <c r="U22" i="9"/>
  <c r="U25" i="9"/>
  <c r="U28" i="9"/>
  <c r="H20" i="9"/>
  <c r="V24" i="9"/>
  <c r="H26" i="9"/>
  <c r="H35" i="9"/>
  <c r="H38" i="9"/>
  <c r="H41" i="9"/>
  <c r="H44" i="9"/>
  <c r="V48" i="9"/>
  <c r="R18" i="9"/>
  <c r="V18" i="9" s="1"/>
  <c r="H19" i="9"/>
  <c r="R21" i="9"/>
  <c r="U21" i="9" s="1"/>
  <c r="H22" i="9"/>
  <c r="R24" i="9"/>
  <c r="T24" i="9" s="1"/>
  <c r="S24" i="9" s="1"/>
  <c r="H25" i="9"/>
  <c r="R27" i="9"/>
  <c r="U27" i="9" s="1"/>
  <c r="H28" i="9"/>
  <c r="R30" i="9"/>
  <c r="U30" i="9" s="1"/>
  <c r="H31" i="9"/>
  <c r="R33" i="9"/>
  <c r="V33" i="9" s="1"/>
  <c r="H34" i="9"/>
  <c r="R36" i="9"/>
  <c r="T36" i="9" s="1"/>
  <c r="S36" i="9" s="1"/>
  <c r="H37" i="9"/>
  <c r="R39" i="9"/>
  <c r="T39" i="9" s="1"/>
  <c r="S39" i="9" s="1"/>
  <c r="H40" i="9"/>
  <c r="R42" i="9"/>
  <c r="K42" i="9" s="1"/>
  <c r="H43" i="9"/>
  <c r="R45" i="9"/>
  <c r="U45" i="9" s="1"/>
  <c r="U34" i="9"/>
  <c r="U40" i="9"/>
  <c r="U43" i="9"/>
  <c r="H30" i="9"/>
  <c r="H33" i="9"/>
  <c r="H36" i="9"/>
  <c r="H39" i="9"/>
  <c r="H42" i="9"/>
  <c r="H45" i="9"/>
  <c r="G20" i="9"/>
  <c r="G23" i="9"/>
  <c r="G26" i="9"/>
  <c r="G29" i="9"/>
  <c r="G32" i="9"/>
  <c r="G35" i="9"/>
  <c r="G38" i="9"/>
  <c r="G41" i="9"/>
  <c r="G44" i="9"/>
  <c r="T47" i="8"/>
  <c r="S47" i="8" s="1"/>
  <c r="T36" i="8"/>
  <c r="S36" i="8" s="1"/>
  <c r="U45" i="8"/>
  <c r="H32" i="8"/>
  <c r="H47" i="8"/>
  <c r="K49" i="8"/>
  <c r="L18" i="8"/>
  <c r="G19" i="8"/>
  <c r="U20" i="8"/>
  <c r="L21" i="8"/>
  <c r="G22" i="8"/>
  <c r="U23" i="8"/>
  <c r="G25" i="8"/>
  <c r="U26" i="8"/>
  <c r="G28" i="8"/>
  <c r="U29" i="8"/>
  <c r="G31" i="8"/>
  <c r="U32" i="8"/>
  <c r="G34" i="8"/>
  <c r="U35" i="8"/>
  <c r="G37" i="8"/>
  <c r="U38" i="8"/>
  <c r="G40" i="8"/>
  <c r="U41" i="8"/>
  <c r="G43" i="8"/>
  <c r="U44" i="8"/>
  <c r="G46" i="8"/>
  <c r="U47" i="8"/>
  <c r="H23" i="8"/>
  <c r="H29" i="8"/>
  <c r="H38" i="8"/>
  <c r="H41" i="8"/>
  <c r="H44" i="8"/>
  <c r="V48" i="8"/>
  <c r="R18" i="8"/>
  <c r="U18" i="8" s="1"/>
  <c r="H19" i="8"/>
  <c r="R21" i="8"/>
  <c r="U21" i="8" s="1"/>
  <c r="H22" i="8"/>
  <c r="V23" i="8"/>
  <c r="R24" i="8"/>
  <c r="U24" i="8" s="1"/>
  <c r="H25" i="8"/>
  <c r="V26" i="8"/>
  <c r="R27" i="8"/>
  <c r="U27" i="8" s="1"/>
  <c r="H28" i="8"/>
  <c r="R30" i="8"/>
  <c r="V30" i="8" s="1"/>
  <c r="H31" i="8"/>
  <c r="R33" i="8"/>
  <c r="T33" i="8" s="1"/>
  <c r="S33" i="8" s="1"/>
  <c r="H34" i="8"/>
  <c r="R36" i="8"/>
  <c r="V36" i="8" s="1"/>
  <c r="H37" i="8"/>
  <c r="V38" i="8"/>
  <c r="R39" i="8"/>
  <c r="T39" i="8" s="1"/>
  <c r="S39" i="8" s="1"/>
  <c r="H40" i="8"/>
  <c r="R42" i="8"/>
  <c r="K42" i="8" s="1"/>
  <c r="H43" i="8"/>
  <c r="V44" i="8"/>
  <c r="R45" i="8"/>
  <c r="T45" i="8" s="1"/>
  <c r="S45" i="8" s="1"/>
  <c r="H46" i="8"/>
  <c r="V47" i="8"/>
  <c r="R48" i="8"/>
  <c r="T48" i="8" s="1"/>
  <c r="S48" i="8" s="1"/>
  <c r="H26" i="8"/>
  <c r="V33" i="8"/>
  <c r="H35" i="8"/>
  <c r="G18" i="8"/>
  <c r="U19" i="8"/>
  <c r="G21" i="8"/>
  <c r="U22" i="8"/>
  <c r="G24" i="8"/>
  <c r="U25" i="8"/>
  <c r="G27" i="8"/>
  <c r="U28" i="8"/>
  <c r="G30" i="8"/>
  <c r="U31" i="8"/>
  <c r="G33" i="8"/>
  <c r="U34" i="8"/>
  <c r="G36" i="8"/>
  <c r="U37" i="8"/>
  <c r="G39" i="8"/>
  <c r="U40" i="8"/>
  <c r="G42" i="8"/>
  <c r="U43" i="8"/>
  <c r="G45" i="8"/>
  <c r="U46" i="8"/>
  <c r="G48" i="8"/>
  <c r="V18" i="8"/>
  <c r="H18" i="8"/>
  <c r="H21" i="8"/>
  <c r="V25" i="8"/>
  <c r="H27" i="8"/>
  <c r="V31" i="8"/>
  <c r="V34" i="8"/>
  <c r="H36" i="8"/>
  <c r="V37" i="8"/>
  <c r="H39" i="8"/>
  <c r="V40" i="8"/>
  <c r="H42" i="8"/>
  <c r="V43" i="8"/>
  <c r="H45" i="8"/>
  <c r="V46" i="8"/>
  <c r="H20" i="8"/>
  <c r="H24" i="8"/>
  <c r="V28" i="8"/>
  <c r="H30" i="8"/>
  <c r="G20" i="8"/>
  <c r="G23" i="8"/>
  <c r="G26" i="8"/>
  <c r="G29" i="8"/>
  <c r="G32" i="8"/>
  <c r="G35" i="8"/>
  <c r="G38" i="8"/>
  <c r="G41" i="8"/>
  <c r="G44" i="8"/>
  <c r="L27" i="7"/>
  <c r="L32" i="7"/>
  <c r="J49" i="7"/>
  <c r="L23" i="7"/>
  <c r="T23" i="7" s="1"/>
  <c r="S23" i="7" s="1"/>
  <c r="L21" i="7"/>
  <c r="L26" i="7"/>
  <c r="V43" i="7"/>
  <c r="V48" i="7"/>
  <c r="T38" i="7"/>
  <c r="S38" i="7" s="1"/>
  <c r="V20" i="7"/>
  <c r="T36" i="7"/>
  <c r="S36" i="7" s="1"/>
  <c r="V38" i="7"/>
  <c r="T41" i="7"/>
  <c r="S41" i="7" s="1"/>
  <c r="T44" i="7"/>
  <c r="S44" i="7" s="1"/>
  <c r="V36" i="7"/>
  <c r="T29" i="7"/>
  <c r="S29" i="7" s="1"/>
  <c r="V34" i="7"/>
  <c r="V39" i="7"/>
  <c r="T45" i="7"/>
  <c r="S45" i="7" s="1"/>
  <c r="T47" i="7"/>
  <c r="S47" i="7" s="1"/>
  <c r="T34" i="7"/>
  <c r="S34" i="7" s="1"/>
  <c r="V45" i="7"/>
  <c r="T48" i="7"/>
  <c r="S48" i="7" s="1"/>
  <c r="G38" i="7"/>
  <c r="G41" i="7"/>
  <c r="R19" i="7"/>
  <c r="T19" i="7" s="1"/>
  <c r="S19" i="7" s="1"/>
  <c r="H20" i="7"/>
  <c r="R22" i="7"/>
  <c r="V22" i="7" s="1"/>
  <c r="H23" i="7"/>
  <c r="R25" i="7"/>
  <c r="U25" i="7" s="1"/>
  <c r="H26" i="7"/>
  <c r="R28" i="7"/>
  <c r="V28" i="7" s="1"/>
  <c r="H29" i="7"/>
  <c r="R31" i="7"/>
  <c r="T31" i="7" s="1"/>
  <c r="S31" i="7" s="1"/>
  <c r="H32" i="7"/>
  <c r="R34" i="7"/>
  <c r="U34" i="7" s="1"/>
  <c r="H35" i="7"/>
  <c r="R37" i="7"/>
  <c r="V37" i="7" s="1"/>
  <c r="H38" i="7"/>
  <c r="R40" i="7"/>
  <c r="U40" i="7" s="1"/>
  <c r="H41" i="7"/>
  <c r="R43" i="7"/>
  <c r="U43" i="7" s="1"/>
  <c r="H44" i="7"/>
  <c r="R46" i="7"/>
  <c r="U46" i="7" s="1"/>
  <c r="H47" i="7"/>
  <c r="G20" i="7"/>
  <c r="G23" i="7"/>
  <c r="L18" i="7"/>
  <c r="G19" i="7"/>
  <c r="G22" i="7"/>
  <c r="G25" i="7"/>
  <c r="G28" i="7"/>
  <c r="G31" i="7"/>
  <c r="G34" i="7"/>
  <c r="G37" i="7"/>
  <c r="U38" i="7"/>
  <c r="G40" i="7"/>
  <c r="U41" i="7"/>
  <c r="G43" i="7"/>
  <c r="G46" i="7"/>
  <c r="U47" i="7"/>
  <c r="G32" i="7"/>
  <c r="R18" i="7"/>
  <c r="V18" i="7" s="1"/>
  <c r="H19" i="7"/>
  <c r="R21" i="7"/>
  <c r="U21" i="7" s="1"/>
  <c r="H22" i="7"/>
  <c r="R24" i="7"/>
  <c r="U24" i="7" s="1"/>
  <c r="H25" i="7"/>
  <c r="R27" i="7"/>
  <c r="U27" i="7" s="1"/>
  <c r="H28" i="7"/>
  <c r="R30" i="7"/>
  <c r="U30" i="7" s="1"/>
  <c r="H31" i="7"/>
  <c r="R33" i="7"/>
  <c r="U33" i="7" s="1"/>
  <c r="H34" i="7"/>
  <c r="V35" i="7"/>
  <c r="R36" i="7"/>
  <c r="U36" i="7" s="1"/>
  <c r="H37" i="7"/>
  <c r="R39" i="7"/>
  <c r="U39" i="7" s="1"/>
  <c r="H40" i="7"/>
  <c r="R42" i="7"/>
  <c r="K42" i="7" s="1"/>
  <c r="H43" i="7"/>
  <c r="R45" i="7"/>
  <c r="U45" i="7" s="1"/>
  <c r="H46" i="7"/>
  <c r="V47" i="7"/>
  <c r="R48" i="7"/>
  <c r="U48" i="7" s="1"/>
  <c r="G29" i="7"/>
  <c r="G44" i="7"/>
  <c r="G47" i="7"/>
  <c r="G18" i="7"/>
  <c r="U19" i="7"/>
  <c r="G21" i="7"/>
  <c r="G24" i="7"/>
  <c r="G27" i="7"/>
  <c r="U28" i="7"/>
  <c r="G30" i="7"/>
  <c r="G33" i="7"/>
  <c r="G36" i="7"/>
  <c r="U37" i="7"/>
  <c r="G39" i="7"/>
  <c r="G42" i="7"/>
  <c r="G45" i="7"/>
  <c r="G48" i="7"/>
  <c r="G26" i="7"/>
  <c r="H18" i="7"/>
  <c r="R20" i="7"/>
  <c r="T20" i="7" s="1"/>
  <c r="S20" i="7" s="1"/>
  <c r="H21" i="7"/>
  <c r="R23" i="7"/>
  <c r="V23" i="7" s="1"/>
  <c r="H24" i="7"/>
  <c r="R26" i="7"/>
  <c r="T26" i="7" s="1"/>
  <c r="S26" i="7" s="1"/>
  <c r="H27" i="7"/>
  <c r="R29" i="7"/>
  <c r="V29" i="7" s="1"/>
  <c r="H30" i="7"/>
  <c r="R32" i="7"/>
  <c r="V32" i="7" s="1"/>
  <c r="H33" i="7"/>
  <c r="R35" i="7"/>
  <c r="T35" i="7" s="1"/>
  <c r="S35" i="7" s="1"/>
  <c r="H36" i="7"/>
  <c r="R38" i="7"/>
  <c r="H39" i="7"/>
  <c r="R41" i="7"/>
  <c r="V41" i="7" s="1"/>
  <c r="H42" i="7"/>
  <c r="R44" i="7"/>
  <c r="U44" i="7" s="1"/>
  <c r="H45" i="7"/>
  <c r="R17" i="1"/>
  <c r="D15" i="1"/>
  <c r="Q49" i="1"/>
  <c r="E49" i="1"/>
  <c r="T26" i="24" l="1"/>
  <c r="S26" i="24" s="1"/>
  <c r="T24" i="10"/>
  <c r="S24" i="10" s="1"/>
  <c r="R49" i="27"/>
  <c r="T36" i="27"/>
  <c r="S36" i="27" s="1"/>
  <c r="T18" i="27"/>
  <c r="H49" i="27"/>
  <c r="P2" i="27" s="1"/>
  <c r="T33" i="27"/>
  <c r="S33" i="27" s="1"/>
  <c r="V33" i="27"/>
  <c r="V24" i="27"/>
  <c r="U42" i="27"/>
  <c r="L42" i="27"/>
  <c r="T42" i="27" s="1"/>
  <c r="S42" i="27" s="1"/>
  <c r="V42" i="27"/>
  <c r="T30" i="27"/>
  <c r="S30" i="27" s="1"/>
  <c r="T21" i="27"/>
  <c r="S21" i="27" s="1"/>
  <c r="U35" i="26"/>
  <c r="T35" i="26"/>
  <c r="S35" i="26" s="1"/>
  <c r="U26" i="26"/>
  <c r="T26" i="26"/>
  <c r="S26" i="26" s="1"/>
  <c r="T18" i="26"/>
  <c r="V39" i="26"/>
  <c r="V30" i="26"/>
  <c r="T21" i="26"/>
  <c r="S21" i="26" s="1"/>
  <c r="T36" i="26"/>
  <c r="S36" i="26" s="1"/>
  <c r="T39" i="26"/>
  <c r="S39" i="26" s="1"/>
  <c r="T44" i="26"/>
  <c r="S44" i="26" s="1"/>
  <c r="U21" i="26"/>
  <c r="T41" i="26"/>
  <c r="S41" i="26" s="1"/>
  <c r="U41" i="26"/>
  <c r="U32" i="26"/>
  <c r="T32" i="26"/>
  <c r="S32" i="26" s="1"/>
  <c r="U23" i="26"/>
  <c r="T23" i="26"/>
  <c r="S23" i="26" s="1"/>
  <c r="R49" i="26"/>
  <c r="V18" i="26"/>
  <c r="U36" i="26"/>
  <c r="U18" i="26"/>
  <c r="V26" i="26"/>
  <c r="T48" i="26"/>
  <c r="S48" i="26" s="1"/>
  <c r="V32" i="26"/>
  <c r="U24" i="26"/>
  <c r="V35" i="26"/>
  <c r="T38" i="26"/>
  <c r="S38" i="26" s="1"/>
  <c r="U38" i="26"/>
  <c r="U29" i="26"/>
  <c r="T29" i="26"/>
  <c r="S29" i="26" s="1"/>
  <c r="U20" i="26"/>
  <c r="T20" i="26"/>
  <c r="S20" i="26" s="1"/>
  <c r="U42" i="26"/>
  <c r="L42" i="26"/>
  <c r="T42" i="26" s="1"/>
  <c r="S42" i="26" s="1"/>
  <c r="V42" i="26"/>
  <c r="T45" i="26"/>
  <c r="S45" i="26" s="1"/>
  <c r="T33" i="26"/>
  <c r="S33" i="26" s="1"/>
  <c r="U48" i="26"/>
  <c r="V44" i="26"/>
  <c r="H49" i="26"/>
  <c r="P2" i="26" s="1"/>
  <c r="V41" i="26"/>
  <c r="U33" i="26"/>
  <c r="T30" i="26"/>
  <c r="S30" i="26" s="1"/>
  <c r="T27" i="26"/>
  <c r="S27" i="26" s="1"/>
  <c r="V20" i="26"/>
  <c r="U26" i="24"/>
  <c r="V27" i="24"/>
  <c r="T21" i="23"/>
  <c r="S21" i="23" s="1"/>
  <c r="V39" i="22"/>
  <c r="T35" i="22"/>
  <c r="S35" i="22" s="1"/>
  <c r="V32" i="22"/>
  <c r="V33" i="22"/>
  <c r="T32" i="22"/>
  <c r="S32" i="22" s="1"/>
  <c r="T23" i="22"/>
  <c r="S23" i="22" s="1"/>
  <c r="T39" i="22"/>
  <c r="S39" i="22" s="1"/>
  <c r="U24" i="21"/>
  <c r="G49" i="21"/>
  <c r="T24" i="21"/>
  <c r="S24" i="21" s="1"/>
  <c r="U21" i="20"/>
  <c r="G49" i="20"/>
  <c r="T33" i="19"/>
  <c r="S33" i="19" s="1"/>
  <c r="V33" i="19"/>
  <c r="T24" i="19"/>
  <c r="S24" i="19" s="1"/>
  <c r="U21" i="19"/>
  <c r="T30" i="16"/>
  <c r="S30" i="16" s="1"/>
  <c r="H49" i="16"/>
  <c r="P2" i="16" s="1"/>
  <c r="T21" i="24"/>
  <c r="S21" i="24" s="1"/>
  <c r="S18" i="24"/>
  <c r="V39" i="24"/>
  <c r="H49" i="24"/>
  <c r="P2" i="24" s="1"/>
  <c r="U18" i="24"/>
  <c r="R49" i="24"/>
  <c r="T45" i="24"/>
  <c r="S45" i="24" s="1"/>
  <c r="V32" i="24"/>
  <c r="T39" i="24"/>
  <c r="S39" i="24" s="1"/>
  <c r="T38" i="24"/>
  <c r="S38" i="24" s="1"/>
  <c r="T48" i="24"/>
  <c r="S48" i="24" s="1"/>
  <c r="V18" i="24"/>
  <c r="T33" i="24"/>
  <c r="S33" i="24" s="1"/>
  <c r="V20" i="24"/>
  <c r="U41" i="24"/>
  <c r="U32" i="24"/>
  <c r="U23" i="24"/>
  <c r="V21" i="24"/>
  <c r="T24" i="24"/>
  <c r="S24" i="24" s="1"/>
  <c r="T36" i="24"/>
  <c r="S36" i="24" s="1"/>
  <c r="V38" i="24"/>
  <c r="T27" i="24"/>
  <c r="S27" i="24" s="1"/>
  <c r="V42" i="24"/>
  <c r="U42" i="24"/>
  <c r="V33" i="24"/>
  <c r="V30" i="24"/>
  <c r="T30" i="24"/>
  <c r="S30" i="24" s="1"/>
  <c r="T29" i="24"/>
  <c r="S29" i="24" s="1"/>
  <c r="T20" i="24"/>
  <c r="S20" i="24" s="1"/>
  <c r="G49" i="24"/>
  <c r="U29" i="24"/>
  <c r="L42" i="24"/>
  <c r="V23" i="24"/>
  <c r="T35" i="23"/>
  <c r="S35" i="23" s="1"/>
  <c r="U24" i="23"/>
  <c r="V33" i="23"/>
  <c r="T29" i="23"/>
  <c r="S29" i="23" s="1"/>
  <c r="U23" i="23"/>
  <c r="T23" i="23"/>
  <c r="S23" i="23" s="1"/>
  <c r="T36" i="23"/>
  <c r="S36" i="23" s="1"/>
  <c r="V36" i="23"/>
  <c r="U27" i="23"/>
  <c r="U21" i="23"/>
  <c r="V44" i="23"/>
  <c r="U42" i="23"/>
  <c r="V42" i="23"/>
  <c r="L42" i="23"/>
  <c r="T42" i="23" s="1"/>
  <c r="S42" i="23" s="1"/>
  <c r="V45" i="23"/>
  <c r="V35" i="23"/>
  <c r="T33" i="23"/>
  <c r="S33" i="23" s="1"/>
  <c r="V38" i="23"/>
  <c r="T18" i="23"/>
  <c r="L49" i="23"/>
  <c r="P3" i="23" s="1"/>
  <c r="T38" i="23"/>
  <c r="S38" i="23" s="1"/>
  <c r="U20" i="23"/>
  <c r="T20" i="23"/>
  <c r="S20" i="23" s="1"/>
  <c r="R49" i="23"/>
  <c r="T44" i="23"/>
  <c r="S44" i="23" s="1"/>
  <c r="K49" i="23"/>
  <c r="T26" i="23"/>
  <c r="S26" i="23" s="1"/>
  <c r="H49" i="23"/>
  <c r="P2" i="23" s="1"/>
  <c r="T48" i="23"/>
  <c r="S48" i="23" s="1"/>
  <c r="T27" i="23"/>
  <c r="S27" i="23" s="1"/>
  <c r="T41" i="23"/>
  <c r="S41" i="23" s="1"/>
  <c r="V32" i="23"/>
  <c r="T24" i="23"/>
  <c r="S24" i="23" s="1"/>
  <c r="U18" i="23"/>
  <c r="V26" i="23"/>
  <c r="V18" i="23"/>
  <c r="U20" i="22"/>
  <c r="T20" i="22"/>
  <c r="S20" i="22" s="1"/>
  <c r="T30" i="22"/>
  <c r="S30" i="22" s="1"/>
  <c r="U21" i="22"/>
  <c r="U30" i="22"/>
  <c r="T29" i="22"/>
  <c r="S29" i="22" s="1"/>
  <c r="T26" i="22"/>
  <c r="S26" i="22" s="1"/>
  <c r="H49" i="22"/>
  <c r="P2" i="22" s="1"/>
  <c r="T33" i="22"/>
  <c r="S33" i="22" s="1"/>
  <c r="T27" i="22"/>
  <c r="S27" i="22" s="1"/>
  <c r="T18" i="22"/>
  <c r="L49" i="22"/>
  <c r="P3" i="22" s="1"/>
  <c r="V24" i="22"/>
  <c r="V38" i="22"/>
  <c r="V47" i="22"/>
  <c r="V41" i="22"/>
  <c r="G49" i="22"/>
  <c r="T21" i="22"/>
  <c r="S21" i="22" s="1"/>
  <c r="V48" i="22"/>
  <c r="T24" i="22"/>
  <c r="S24" i="22" s="1"/>
  <c r="T47" i="22"/>
  <c r="S47" i="22" s="1"/>
  <c r="V26" i="22"/>
  <c r="V29" i="22"/>
  <c r="V35" i="22"/>
  <c r="T48" i="22"/>
  <c r="S48" i="22" s="1"/>
  <c r="V27" i="22"/>
  <c r="U42" i="22"/>
  <c r="L42" i="22"/>
  <c r="T42" i="22" s="1"/>
  <c r="S42" i="22" s="1"/>
  <c r="V42" i="22"/>
  <c r="R49" i="22"/>
  <c r="V18" i="22"/>
  <c r="V44" i="22"/>
  <c r="T38" i="22"/>
  <c r="S38" i="22" s="1"/>
  <c r="T44" i="22"/>
  <c r="S44" i="22" s="1"/>
  <c r="V23" i="22"/>
  <c r="V30" i="21"/>
  <c r="V36" i="21"/>
  <c r="U42" i="21"/>
  <c r="V42" i="21"/>
  <c r="L42" i="21"/>
  <c r="T42" i="21" s="1"/>
  <c r="S42" i="21" s="1"/>
  <c r="U36" i="21"/>
  <c r="V39" i="21"/>
  <c r="U27" i="21"/>
  <c r="U33" i="21"/>
  <c r="T39" i="21"/>
  <c r="S39" i="21" s="1"/>
  <c r="T30" i="21"/>
  <c r="S30" i="21" s="1"/>
  <c r="H49" i="21"/>
  <c r="P2" i="21" s="1"/>
  <c r="T18" i="21"/>
  <c r="L49" i="21"/>
  <c r="P3" i="21" s="1"/>
  <c r="U21" i="21"/>
  <c r="V21" i="21"/>
  <c r="R49" i="21"/>
  <c r="T24" i="20"/>
  <c r="S24" i="20" s="1"/>
  <c r="T39" i="20"/>
  <c r="S39" i="20" s="1"/>
  <c r="U24" i="20"/>
  <c r="H49" i="20"/>
  <c r="P2" i="20" s="1"/>
  <c r="U39" i="20"/>
  <c r="T27" i="20"/>
  <c r="S27" i="20" s="1"/>
  <c r="T33" i="20"/>
  <c r="S33" i="20" s="1"/>
  <c r="T45" i="20"/>
  <c r="S45" i="20" s="1"/>
  <c r="U42" i="20"/>
  <c r="L42" i="20"/>
  <c r="T42" i="20" s="1"/>
  <c r="S42" i="20" s="1"/>
  <c r="V42" i="20"/>
  <c r="U27" i="20"/>
  <c r="K49" i="20"/>
  <c r="S18" i="20"/>
  <c r="R49" i="20"/>
  <c r="V18" i="20"/>
  <c r="L49" i="20"/>
  <c r="P3" i="20" s="1"/>
  <c r="T36" i="20"/>
  <c r="S36" i="20" s="1"/>
  <c r="T30" i="20"/>
  <c r="S30" i="20" s="1"/>
  <c r="U30" i="20"/>
  <c r="U45" i="20"/>
  <c r="H49" i="19"/>
  <c r="P2" i="19" s="1"/>
  <c r="R49" i="19"/>
  <c r="T18" i="19"/>
  <c r="T39" i="19"/>
  <c r="S39" i="19" s="1"/>
  <c r="U36" i="19"/>
  <c r="V30" i="19"/>
  <c r="T21" i="19"/>
  <c r="S21" i="19" s="1"/>
  <c r="T30" i="19"/>
  <c r="S30" i="19" s="1"/>
  <c r="U42" i="19"/>
  <c r="L42" i="19"/>
  <c r="T42" i="19" s="1"/>
  <c r="S42" i="19" s="1"/>
  <c r="V42" i="19"/>
  <c r="K49" i="19"/>
  <c r="G49" i="19"/>
  <c r="T27" i="19"/>
  <c r="S27" i="19" s="1"/>
  <c r="U27" i="19"/>
  <c r="T45" i="19"/>
  <c r="S45" i="19" s="1"/>
  <c r="V18" i="19"/>
  <c r="U18" i="19"/>
  <c r="V24" i="15"/>
  <c r="G49" i="15"/>
  <c r="V21" i="15"/>
  <c r="U30" i="15"/>
  <c r="H49" i="15"/>
  <c r="P2" i="15" s="1"/>
  <c r="V30" i="15"/>
  <c r="U27" i="15"/>
  <c r="V27" i="14"/>
  <c r="T20" i="14"/>
  <c r="S20" i="14" s="1"/>
  <c r="V27" i="18"/>
  <c r="U42" i="18"/>
  <c r="V42" i="18"/>
  <c r="L42" i="18"/>
  <c r="T42" i="18" s="1"/>
  <c r="S42" i="18" s="1"/>
  <c r="K49" i="18"/>
  <c r="T24" i="18"/>
  <c r="S24" i="18" s="1"/>
  <c r="U36" i="18"/>
  <c r="H49" i="18"/>
  <c r="P2" i="18" s="1"/>
  <c r="V24" i="18"/>
  <c r="T18" i="18"/>
  <c r="L49" i="18"/>
  <c r="P3" i="18" s="1"/>
  <c r="U18" i="18"/>
  <c r="U33" i="18"/>
  <c r="V14" i="18"/>
  <c r="P9" i="18" s="1"/>
  <c r="P7" i="18"/>
  <c r="T36" i="18"/>
  <c r="S36" i="18" s="1"/>
  <c r="G49" i="13"/>
  <c r="V25" i="13"/>
  <c r="V22" i="13"/>
  <c r="T28" i="13"/>
  <c r="S28" i="13" s="1"/>
  <c r="H49" i="13"/>
  <c r="P2" i="13" s="1"/>
  <c r="V28" i="13"/>
  <c r="G49" i="12"/>
  <c r="V27" i="12"/>
  <c r="T29" i="12"/>
  <c r="S29" i="12" s="1"/>
  <c r="U21" i="12"/>
  <c r="U27" i="12"/>
  <c r="R49" i="17"/>
  <c r="G49" i="17"/>
  <c r="T36" i="17"/>
  <c r="S36" i="17" s="1"/>
  <c r="V36" i="17"/>
  <c r="H49" i="17"/>
  <c r="P2" i="17" s="1"/>
  <c r="V48" i="17"/>
  <c r="U42" i="17"/>
  <c r="L42" i="17"/>
  <c r="T42" i="17" s="1"/>
  <c r="S42" i="17" s="1"/>
  <c r="V42" i="17"/>
  <c r="T39" i="17"/>
  <c r="S39" i="17" s="1"/>
  <c r="U45" i="17"/>
  <c r="T38" i="17"/>
  <c r="S38" i="17" s="1"/>
  <c r="T20" i="17"/>
  <c r="S20" i="17" s="1"/>
  <c r="V29" i="17"/>
  <c r="T29" i="17"/>
  <c r="S29" i="17" s="1"/>
  <c r="T27" i="17"/>
  <c r="S27" i="17" s="1"/>
  <c r="T24" i="17"/>
  <c r="S24" i="17" s="1"/>
  <c r="T33" i="17"/>
  <c r="S33" i="17" s="1"/>
  <c r="V38" i="17"/>
  <c r="U18" i="17"/>
  <c r="V23" i="17"/>
  <c r="T45" i="17"/>
  <c r="S45" i="17" s="1"/>
  <c r="V18" i="17"/>
  <c r="V32" i="17"/>
  <c r="T32" i="17"/>
  <c r="S32" i="17" s="1"/>
  <c r="T41" i="17"/>
  <c r="S41" i="17" s="1"/>
  <c r="T23" i="17"/>
  <c r="S23" i="17" s="1"/>
  <c r="T18" i="17"/>
  <c r="L49" i="17"/>
  <c r="P3" i="17" s="1"/>
  <c r="V27" i="11"/>
  <c r="G49" i="11"/>
  <c r="U27" i="11"/>
  <c r="H49" i="11"/>
  <c r="P2" i="11" s="1"/>
  <c r="T30" i="10"/>
  <c r="S30" i="10" s="1"/>
  <c r="V26" i="10"/>
  <c r="U20" i="10"/>
  <c r="V20" i="10"/>
  <c r="G49" i="10"/>
  <c r="U30" i="10"/>
  <c r="H49" i="9"/>
  <c r="P2" i="9" s="1"/>
  <c r="G49" i="9"/>
  <c r="U18" i="9"/>
  <c r="V27" i="8"/>
  <c r="T27" i="8"/>
  <c r="S27" i="8" s="1"/>
  <c r="V21" i="8"/>
  <c r="U23" i="7"/>
  <c r="T30" i="7"/>
  <c r="S30" i="7" s="1"/>
  <c r="U20" i="7"/>
  <c r="T28" i="7"/>
  <c r="S28" i="7" s="1"/>
  <c r="T21" i="7"/>
  <c r="S21" i="7" s="1"/>
  <c r="V39" i="16"/>
  <c r="U30" i="16"/>
  <c r="R49" i="16"/>
  <c r="T39" i="16"/>
  <c r="S39" i="16" s="1"/>
  <c r="T27" i="16"/>
  <c r="S27" i="16" s="1"/>
  <c r="G49" i="16"/>
  <c r="U21" i="16"/>
  <c r="U48" i="16"/>
  <c r="T21" i="16"/>
  <c r="S21" i="16" s="1"/>
  <c r="T48" i="16"/>
  <c r="S48" i="16" s="1"/>
  <c r="T18" i="16"/>
  <c r="T36" i="16"/>
  <c r="S36" i="16" s="1"/>
  <c r="U42" i="16"/>
  <c r="L42" i="16"/>
  <c r="T42" i="16" s="1"/>
  <c r="S42" i="16" s="1"/>
  <c r="V42" i="16"/>
  <c r="U18" i="16"/>
  <c r="V18" i="16"/>
  <c r="T18" i="15"/>
  <c r="L49" i="15"/>
  <c r="P3" i="15" s="1"/>
  <c r="V35" i="15"/>
  <c r="T44" i="15"/>
  <c r="S44" i="15" s="1"/>
  <c r="R49" i="15"/>
  <c r="V48" i="15"/>
  <c r="U41" i="15"/>
  <c r="U32" i="15"/>
  <c r="U23" i="15"/>
  <c r="V29" i="15"/>
  <c r="U39" i="15"/>
  <c r="V38" i="15"/>
  <c r="V20" i="15"/>
  <c r="U44" i="15"/>
  <c r="U35" i="15"/>
  <c r="U26" i="15"/>
  <c r="V26" i="15"/>
  <c r="T45" i="15"/>
  <c r="S45" i="15" s="1"/>
  <c r="U42" i="15"/>
  <c r="V42" i="15"/>
  <c r="V18" i="15"/>
  <c r="V45" i="15"/>
  <c r="V27" i="15"/>
  <c r="U36" i="15"/>
  <c r="T36" i="15"/>
  <c r="S36" i="15" s="1"/>
  <c r="T48" i="15"/>
  <c r="S48" i="15" s="1"/>
  <c r="U29" i="15"/>
  <c r="U38" i="15"/>
  <c r="U20" i="15"/>
  <c r="T21" i="15"/>
  <c r="S21" i="15" s="1"/>
  <c r="T18" i="14"/>
  <c r="V35" i="14"/>
  <c r="U48" i="14"/>
  <c r="V21" i="14"/>
  <c r="T30" i="14"/>
  <c r="S30" i="14" s="1"/>
  <c r="T21" i="14"/>
  <c r="S21" i="14" s="1"/>
  <c r="T29" i="14"/>
  <c r="S29" i="14" s="1"/>
  <c r="V23" i="14"/>
  <c r="T41" i="14"/>
  <c r="S41" i="14" s="1"/>
  <c r="T35" i="14"/>
  <c r="S35" i="14" s="1"/>
  <c r="R49" i="14"/>
  <c r="V30" i="14"/>
  <c r="T27" i="14"/>
  <c r="S27" i="14" s="1"/>
  <c r="U42" i="14"/>
  <c r="L42" i="14"/>
  <c r="T42" i="14" s="1"/>
  <c r="S42" i="14" s="1"/>
  <c r="V42" i="14"/>
  <c r="V26" i="14"/>
  <c r="T44" i="14"/>
  <c r="S44" i="14" s="1"/>
  <c r="T32" i="14"/>
  <c r="S32" i="14" s="1"/>
  <c r="G49" i="14"/>
  <c r="T45" i="14"/>
  <c r="S45" i="14" s="1"/>
  <c r="H49" i="14"/>
  <c r="P2" i="14" s="1"/>
  <c r="V18" i="14"/>
  <c r="V39" i="14"/>
  <c r="V41" i="14"/>
  <c r="V29" i="14"/>
  <c r="T23" i="14"/>
  <c r="S23" i="14" s="1"/>
  <c r="T38" i="14"/>
  <c r="S38" i="14" s="1"/>
  <c r="V45" i="13"/>
  <c r="V34" i="13"/>
  <c r="V31" i="13"/>
  <c r="T34" i="13"/>
  <c r="S34" i="13" s="1"/>
  <c r="T40" i="13"/>
  <c r="S40" i="13" s="1"/>
  <c r="V37" i="13"/>
  <c r="T18" i="13"/>
  <c r="L49" i="13"/>
  <c r="P3" i="13" s="1"/>
  <c r="P5" i="13" s="1"/>
  <c r="V36" i="13"/>
  <c r="T43" i="13"/>
  <c r="S43" i="13" s="1"/>
  <c r="V30" i="13"/>
  <c r="T24" i="13"/>
  <c r="S24" i="13" s="1"/>
  <c r="V27" i="13"/>
  <c r="T30" i="13"/>
  <c r="S30" i="13" s="1"/>
  <c r="T33" i="13"/>
  <c r="S33" i="13" s="1"/>
  <c r="T36" i="13"/>
  <c r="S36" i="13" s="1"/>
  <c r="V33" i="13"/>
  <c r="U18" i="13"/>
  <c r="R49" i="13"/>
  <c r="T27" i="13"/>
  <c r="S27" i="13" s="1"/>
  <c r="U42" i="13"/>
  <c r="V42" i="13"/>
  <c r="T45" i="13"/>
  <c r="S45" i="13" s="1"/>
  <c r="V40" i="13"/>
  <c r="V43" i="13"/>
  <c r="K49" i="13"/>
  <c r="T22" i="13"/>
  <c r="S22" i="13" s="1"/>
  <c r="V19" i="13"/>
  <c r="U42" i="12"/>
  <c r="V42" i="12"/>
  <c r="V45" i="12"/>
  <c r="U38" i="12"/>
  <c r="U29" i="12"/>
  <c r="V24" i="12"/>
  <c r="T33" i="12"/>
  <c r="S33" i="12" s="1"/>
  <c r="U30" i="12"/>
  <c r="T30" i="12"/>
  <c r="S30" i="12" s="1"/>
  <c r="H49" i="12"/>
  <c r="P2" i="12" s="1"/>
  <c r="U44" i="12"/>
  <c r="U35" i="12"/>
  <c r="U26" i="12"/>
  <c r="T18" i="12"/>
  <c r="V35" i="12"/>
  <c r="V26" i="12"/>
  <c r="T24" i="12"/>
  <c r="S24" i="12" s="1"/>
  <c r="R49" i="12"/>
  <c r="K49" i="12"/>
  <c r="V18" i="12"/>
  <c r="L42" i="12"/>
  <c r="T42" i="12" s="1"/>
  <c r="S42" i="12" s="1"/>
  <c r="T18" i="11"/>
  <c r="L49" i="11"/>
  <c r="P3" i="11" s="1"/>
  <c r="V39" i="11"/>
  <c r="T24" i="11"/>
  <c r="S24" i="11" s="1"/>
  <c r="T33" i="11"/>
  <c r="S33" i="11" s="1"/>
  <c r="U33" i="11"/>
  <c r="V24" i="11"/>
  <c r="R49" i="11"/>
  <c r="V36" i="11"/>
  <c r="U45" i="11"/>
  <c r="U18" i="11"/>
  <c r="U42" i="11"/>
  <c r="V42" i="11"/>
  <c r="U21" i="11"/>
  <c r="T21" i="11"/>
  <c r="S21" i="11" s="1"/>
  <c r="T30" i="11"/>
  <c r="S30" i="11" s="1"/>
  <c r="L42" i="11"/>
  <c r="T42" i="11" s="1"/>
  <c r="S42" i="11" s="1"/>
  <c r="H49" i="10"/>
  <c r="P2" i="10" s="1"/>
  <c r="V27" i="10"/>
  <c r="U41" i="10"/>
  <c r="U32" i="10"/>
  <c r="U23" i="10"/>
  <c r="V35" i="10"/>
  <c r="T36" i="10"/>
  <c r="S36" i="10" s="1"/>
  <c r="U36" i="10"/>
  <c r="U27" i="10"/>
  <c r="V18" i="10"/>
  <c r="R49" i="10"/>
  <c r="V38" i="10"/>
  <c r="V39" i="10"/>
  <c r="V21" i="10"/>
  <c r="T45" i="10"/>
  <c r="S45" i="10" s="1"/>
  <c r="V32" i="10"/>
  <c r="U45" i="10"/>
  <c r="U42" i="10"/>
  <c r="V42" i="10"/>
  <c r="U35" i="10"/>
  <c r="U26" i="10"/>
  <c r="T18" i="10"/>
  <c r="V41" i="10"/>
  <c r="V23" i="10"/>
  <c r="L42" i="10"/>
  <c r="T42" i="10" s="1"/>
  <c r="S42" i="10" s="1"/>
  <c r="U18" i="10"/>
  <c r="V39" i="9"/>
  <c r="V36" i="9"/>
  <c r="V30" i="9"/>
  <c r="T45" i="9"/>
  <c r="S45" i="9" s="1"/>
  <c r="U42" i="9"/>
  <c r="V42" i="9"/>
  <c r="K49" i="9"/>
  <c r="V27" i="9"/>
  <c r="T21" i="9"/>
  <c r="S21" i="9" s="1"/>
  <c r="U39" i="9"/>
  <c r="T30" i="9"/>
  <c r="S30" i="9" s="1"/>
  <c r="V21" i="9"/>
  <c r="R49" i="9"/>
  <c r="T27" i="9"/>
  <c r="S27" i="9" s="1"/>
  <c r="T18" i="9"/>
  <c r="L49" i="9"/>
  <c r="P3" i="9" s="1"/>
  <c r="P4" i="9" s="1"/>
  <c r="U36" i="9"/>
  <c r="U39" i="8"/>
  <c r="U30" i="8"/>
  <c r="T24" i="8"/>
  <c r="S24" i="8" s="1"/>
  <c r="V24" i="8"/>
  <c r="V39" i="8"/>
  <c r="T21" i="8"/>
  <c r="S21" i="8" s="1"/>
  <c r="V45" i="8"/>
  <c r="T30" i="8"/>
  <c r="S30" i="8" s="1"/>
  <c r="U48" i="8"/>
  <c r="T18" i="8"/>
  <c r="G49" i="8"/>
  <c r="U42" i="8"/>
  <c r="V42" i="8"/>
  <c r="U33" i="8"/>
  <c r="U36" i="8"/>
  <c r="H49" i="8"/>
  <c r="P2" i="8" s="1"/>
  <c r="R49" i="8"/>
  <c r="L42" i="8"/>
  <c r="T42" i="8" s="1"/>
  <c r="S42" i="8" s="1"/>
  <c r="U32" i="7"/>
  <c r="V24" i="7"/>
  <c r="V21" i="7"/>
  <c r="V30" i="7"/>
  <c r="U29" i="7"/>
  <c r="H49" i="7"/>
  <c r="P2" i="7" s="1"/>
  <c r="T25" i="7"/>
  <c r="S25" i="7" s="1"/>
  <c r="U42" i="7"/>
  <c r="V42" i="7"/>
  <c r="V44" i="7"/>
  <c r="V27" i="7"/>
  <c r="T39" i="7"/>
  <c r="S39" i="7" s="1"/>
  <c r="V46" i="7"/>
  <c r="V40" i="7"/>
  <c r="G49" i="7"/>
  <c r="U35" i="7"/>
  <c r="U26" i="7"/>
  <c r="T18" i="7"/>
  <c r="T32" i="7"/>
  <c r="S32" i="7" s="1"/>
  <c r="V26" i="7"/>
  <c r="K49" i="7"/>
  <c r="V33" i="7"/>
  <c r="T43" i="7"/>
  <c r="S43" i="7" s="1"/>
  <c r="V25" i="7"/>
  <c r="T37" i="7"/>
  <c r="S37" i="7" s="1"/>
  <c r="L42" i="7"/>
  <c r="T42" i="7" s="1"/>
  <c r="S42" i="7" s="1"/>
  <c r="T24" i="7"/>
  <c r="S24" i="7" s="1"/>
  <c r="V31" i="7"/>
  <c r="T46" i="7"/>
  <c r="S46" i="7" s="1"/>
  <c r="T40" i="7"/>
  <c r="S40" i="7" s="1"/>
  <c r="T22" i="7"/>
  <c r="S22" i="7" s="1"/>
  <c r="U31" i="7"/>
  <c r="U22" i="7"/>
  <c r="V19" i="7"/>
  <c r="T33" i="7"/>
  <c r="S33" i="7" s="1"/>
  <c r="R49" i="7"/>
  <c r="U18" i="7"/>
  <c r="T27" i="7"/>
  <c r="S27" i="7" s="1"/>
  <c r="G39" i="1"/>
  <c r="G42" i="1"/>
  <c r="G45" i="1"/>
  <c r="G48" i="1"/>
  <c r="G33" i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G31" i="1"/>
  <c r="K31" i="1" s="1"/>
  <c r="G24" i="1"/>
  <c r="K24" i="1" s="1"/>
  <c r="G47" i="1"/>
  <c r="G35" i="1"/>
  <c r="G40" i="1"/>
  <c r="G43" i="1"/>
  <c r="G46" i="1"/>
  <c r="G29" i="1"/>
  <c r="K29" i="1" s="1"/>
  <c r="G28" i="1"/>
  <c r="K28" i="1" s="1"/>
  <c r="G27" i="1"/>
  <c r="K27" i="1" s="1"/>
  <c r="G21" i="1"/>
  <c r="K21" i="1" s="1"/>
  <c r="G36" i="1"/>
  <c r="G30" i="1"/>
  <c r="K30" i="1" s="1"/>
  <c r="G23" i="1"/>
  <c r="K23" i="1" s="1"/>
  <c r="G38" i="1"/>
  <c r="G41" i="1"/>
  <c r="G44" i="1"/>
  <c r="G34" i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P4" i="13" l="1"/>
  <c r="P5" i="9"/>
  <c r="L49" i="27"/>
  <c r="P3" i="27" s="1"/>
  <c r="T49" i="27"/>
  <c r="P6" i="27" s="1"/>
  <c r="S18" i="27"/>
  <c r="S49" i="27" s="1"/>
  <c r="V14" i="27"/>
  <c r="P9" i="27" s="1"/>
  <c r="P7" i="27"/>
  <c r="V14" i="26"/>
  <c r="P9" i="26" s="1"/>
  <c r="P7" i="26"/>
  <c r="L49" i="26"/>
  <c r="P3" i="26" s="1"/>
  <c r="P5" i="26" s="1"/>
  <c r="T49" i="26"/>
  <c r="P6" i="26" s="1"/>
  <c r="S18" i="26"/>
  <c r="S49" i="26" s="1"/>
  <c r="T42" i="24"/>
  <c r="S42" i="24" s="1"/>
  <c r="S49" i="24" s="1"/>
  <c r="L49" i="24"/>
  <c r="P3" i="24" s="1"/>
  <c r="V14" i="24"/>
  <c r="P9" i="24" s="1"/>
  <c r="P7" i="24"/>
  <c r="S9" i="24" s="1"/>
  <c r="V14" i="23"/>
  <c r="P9" i="23" s="1"/>
  <c r="P7" i="23"/>
  <c r="P4" i="23"/>
  <c r="P5" i="23"/>
  <c r="T49" i="23"/>
  <c r="P6" i="23" s="1"/>
  <c r="S18" i="23"/>
  <c r="S49" i="23" s="1"/>
  <c r="P7" i="22"/>
  <c r="V14" i="22"/>
  <c r="P9" i="22" s="1"/>
  <c r="T49" i="22"/>
  <c r="P6" i="22" s="1"/>
  <c r="S18" i="22"/>
  <c r="S49" i="22" s="1"/>
  <c r="P4" i="22"/>
  <c r="P5" i="22"/>
  <c r="T49" i="21"/>
  <c r="P6" i="21" s="1"/>
  <c r="S18" i="21"/>
  <c r="S49" i="21" s="1"/>
  <c r="P4" i="21"/>
  <c r="P5" i="21"/>
  <c r="V14" i="21"/>
  <c r="P9" i="21" s="1"/>
  <c r="P7" i="21"/>
  <c r="T49" i="20"/>
  <c r="P6" i="20" s="1"/>
  <c r="V14" i="20"/>
  <c r="P9" i="20" s="1"/>
  <c r="P7" i="20"/>
  <c r="P4" i="20"/>
  <c r="P5" i="20"/>
  <c r="S49" i="20"/>
  <c r="L49" i="19"/>
  <c r="P3" i="19" s="1"/>
  <c r="P4" i="19" s="1"/>
  <c r="T49" i="19"/>
  <c r="P6" i="19" s="1"/>
  <c r="S18" i="19"/>
  <c r="S49" i="19" s="1"/>
  <c r="V14" i="19"/>
  <c r="P9" i="19" s="1"/>
  <c r="P7" i="19"/>
  <c r="P5" i="15"/>
  <c r="P4" i="18"/>
  <c r="P5" i="18"/>
  <c r="T49" i="18"/>
  <c r="P6" i="18" s="1"/>
  <c r="S18" i="18"/>
  <c r="S49" i="18" s="1"/>
  <c r="S9" i="18"/>
  <c r="T9" i="18" s="1"/>
  <c r="V9" i="18" s="1"/>
  <c r="P4" i="17"/>
  <c r="P5" i="17"/>
  <c r="T49" i="17"/>
  <c r="P6" i="17" s="1"/>
  <c r="S18" i="17"/>
  <c r="S49" i="17" s="1"/>
  <c r="V14" i="17"/>
  <c r="P9" i="17" s="1"/>
  <c r="P7" i="17"/>
  <c r="S9" i="17" s="1"/>
  <c r="T9" i="17" s="1"/>
  <c r="V9" i="17" s="1"/>
  <c r="V14" i="16"/>
  <c r="P9" i="16" s="1"/>
  <c r="P7" i="16"/>
  <c r="L49" i="16"/>
  <c r="P3" i="16" s="1"/>
  <c r="T49" i="16"/>
  <c r="P6" i="16" s="1"/>
  <c r="S18" i="16"/>
  <c r="S49" i="16" s="1"/>
  <c r="T49" i="15"/>
  <c r="P6" i="15" s="1"/>
  <c r="S18" i="15"/>
  <c r="S49" i="15" s="1"/>
  <c r="V14" i="15"/>
  <c r="P9" i="15" s="1"/>
  <c r="P7" i="15"/>
  <c r="S9" i="15" s="1"/>
  <c r="U9" i="15" s="1"/>
  <c r="P4" i="15"/>
  <c r="V14" i="14"/>
  <c r="P9" i="14" s="1"/>
  <c r="P7" i="14"/>
  <c r="S9" i="14" s="1"/>
  <c r="L49" i="14"/>
  <c r="P3" i="14" s="1"/>
  <c r="P4" i="14" s="1"/>
  <c r="T49" i="14"/>
  <c r="P6" i="14" s="1"/>
  <c r="S18" i="14"/>
  <c r="S49" i="14" s="1"/>
  <c r="V14" i="13"/>
  <c r="P9" i="13" s="1"/>
  <c r="P7" i="13"/>
  <c r="T49" i="13"/>
  <c r="P6" i="13" s="1"/>
  <c r="S18" i="13"/>
  <c r="S49" i="13" s="1"/>
  <c r="T49" i="12"/>
  <c r="P6" i="12" s="1"/>
  <c r="S18" i="12"/>
  <c r="S49" i="12" s="1"/>
  <c r="V14" i="12"/>
  <c r="P9" i="12" s="1"/>
  <c r="P7" i="12"/>
  <c r="L49" i="12"/>
  <c r="P3" i="12" s="1"/>
  <c r="T49" i="11"/>
  <c r="P6" i="11" s="1"/>
  <c r="S18" i="11"/>
  <c r="S49" i="11" s="1"/>
  <c r="P5" i="11"/>
  <c r="V14" i="11"/>
  <c r="P9" i="11" s="1"/>
  <c r="P7" i="11"/>
  <c r="S9" i="11" s="1"/>
  <c r="U9" i="11" s="1"/>
  <c r="P4" i="11"/>
  <c r="L49" i="10"/>
  <c r="P3" i="10" s="1"/>
  <c r="P4" i="10" s="1"/>
  <c r="V14" i="10"/>
  <c r="P9" i="10" s="1"/>
  <c r="P7" i="10"/>
  <c r="S9" i="10" s="1"/>
  <c r="T49" i="10"/>
  <c r="P6" i="10" s="1"/>
  <c r="S18" i="10"/>
  <c r="S49" i="10" s="1"/>
  <c r="T49" i="9"/>
  <c r="P6" i="9" s="1"/>
  <c r="S18" i="9"/>
  <c r="S49" i="9" s="1"/>
  <c r="V14" i="9"/>
  <c r="P9" i="9" s="1"/>
  <c r="P7" i="9"/>
  <c r="T49" i="8"/>
  <c r="P6" i="8" s="1"/>
  <c r="S18" i="8"/>
  <c r="S49" i="8" s="1"/>
  <c r="V14" i="8"/>
  <c r="P9" i="8" s="1"/>
  <c r="P7" i="8"/>
  <c r="L49" i="8"/>
  <c r="P3" i="8" s="1"/>
  <c r="P5" i="8" s="1"/>
  <c r="V14" i="7"/>
  <c r="P9" i="7" s="1"/>
  <c r="P7" i="7"/>
  <c r="S9" i="7" s="1"/>
  <c r="L49" i="7"/>
  <c r="P3" i="7" s="1"/>
  <c r="T49" i="7"/>
  <c r="P6" i="7" s="1"/>
  <c r="S18" i="7"/>
  <c r="S49" i="7" s="1"/>
  <c r="K42" i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L18" i="1" s="1"/>
  <c r="T18" i="1" s="1"/>
  <c r="P5" i="19" l="1"/>
  <c r="S9" i="23"/>
  <c r="U9" i="23" s="1"/>
  <c r="P5" i="27"/>
  <c r="S9" i="27"/>
  <c r="U9" i="27" s="1"/>
  <c r="P4" i="27"/>
  <c r="P4" i="26"/>
  <c r="S9" i="26"/>
  <c r="U9" i="26" s="1"/>
  <c r="S9" i="22"/>
  <c r="S9" i="21"/>
  <c r="T49" i="24"/>
  <c r="P6" i="24" s="1"/>
  <c r="T9" i="24"/>
  <c r="V9" i="24" s="1"/>
  <c r="U9" i="24"/>
  <c r="P5" i="24"/>
  <c r="P4" i="24"/>
  <c r="S9" i="20"/>
  <c r="S9" i="19"/>
  <c r="U9" i="19" s="1"/>
  <c r="U9" i="18"/>
  <c r="S9" i="13"/>
  <c r="U9" i="17"/>
  <c r="P5" i="10"/>
  <c r="P4" i="16"/>
  <c r="P5" i="16"/>
  <c r="S9" i="16"/>
  <c r="T9" i="16" s="1"/>
  <c r="V9" i="16" s="1"/>
  <c r="T9" i="15"/>
  <c r="V9" i="15" s="1"/>
  <c r="U9" i="14"/>
  <c r="T9" i="14"/>
  <c r="V9" i="14" s="1"/>
  <c r="P5" i="14"/>
  <c r="S9" i="12"/>
  <c r="U9" i="12" s="1"/>
  <c r="P5" i="12"/>
  <c r="P4" i="12"/>
  <c r="T9" i="11"/>
  <c r="V9" i="11" s="1"/>
  <c r="U9" i="10"/>
  <c r="T9" i="10"/>
  <c r="V9" i="10" s="1"/>
  <c r="S9" i="9"/>
  <c r="T9" i="8"/>
  <c r="V9" i="8" s="1"/>
  <c r="P4" i="8"/>
  <c r="S9" i="8"/>
  <c r="U9" i="8" s="1"/>
  <c r="U9" i="7"/>
  <c r="T9" i="7"/>
  <c r="V9" i="7" s="1"/>
  <c r="P5" i="7"/>
  <c r="P4" i="7"/>
  <c r="V42" i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U18" i="1"/>
  <c r="V18" i="1"/>
  <c r="V19" i="1"/>
  <c r="U19" i="1"/>
  <c r="L19" i="1"/>
  <c r="T19" i="1" s="1"/>
  <c r="G49" i="1"/>
  <c r="U9" i="16" l="1"/>
  <c r="T9" i="23"/>
  <c r="V9" i="23" s="1"/>
  <c r="T9" i="27"/>
  <c r="V9" i="27" s="1"/>
  <c r="T9" i="26"/>
  <c r="V9" i="26" s="1"/>
  <c r="U9" i="22"/>
  <c r="T9" i="22"/>
  <c r="V9" i="22" s="1"/>
  <c r="U9" i="21"/>
  <c r="T9" i="21"/>
  <c r="V9" i="21" s="1"/>
  <c r="T9" i="20"/>
  <c r="V9" i="20" s="1"/>
  <c r="U9" i="20"/>
  <c r="T9" i="19"/>
  <c r="V9" i="19" s="1"/>
  <c r="T9" i="13"/>
  <c r="V9" i="13" s="1"/>
  <c r="U9" i="13"/>
  <c r="T9" i="12"/>
  <c r="V9" i="12" s="1"/>
  <c r="U9" i="9"/>
  <c r="T9" i="9"/>
  <c r="V9" i="9" s="1"/>
  <c r="U20" i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<sst xmlns="http://schemas.openxmlformats.org/spreadsheetml/2006/main" count="3529" uniqueCount="254">
  <si>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</si>
  <si>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</si>
  <si>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</si>
  <si>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</si>
  <si>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</si>
  <si>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</si>
  <si>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</si>
  <si>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</si>
  <si>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</si>
  <si>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</si>
  <si>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</si>
  <si>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</si>
  <si>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</si>
  <si>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</si>
  <si>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</si>
  <si>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</si>
  <si>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</si>
  <si>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</si>
  <si>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</si>
  <si>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</si>
  <si>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</si>
  <si>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</si>
  <si>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</si>
  <si>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</si>
  <si>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</si>
  <si>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</si>
  <si>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</si>
  <si>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</si>
  <si>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</si>
  <si>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</si>
  <si>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</si>
  <si>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</si>
  <si>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</si>
  <si>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</si>
  <si>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</si>
  <si>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</si>
  <si>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</si>
  <si>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</si>
  <si>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</si>
  <si>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</si>
  <si>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</si>
  <si>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</si>
  <si>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</si>
  <si>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</si>
  <si>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</si>
  <si>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</si>
  <si>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</si>
  <si>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</si>
  <si>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</si>
  <si>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</si>
  <si>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</si>
  <si>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</si>
  <si>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</si>
  <si>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</si>
  <si>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</si>
  <si>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</si>
  <si>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</si>
  <si>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</si>
  <si>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</si>
  <si>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</si>
  <si>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</si>
  <si>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</si>
  <si>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</si>
  <si>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</si>
  <si>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</si>
  <si>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</si>
  <si>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</si>
  <si>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</si>
  <si>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</si>
  <si>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</si>
  <si>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</si>
  <si>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</si>
  <si>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</si>
  <si>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</si>
  <si>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</si>
  <si>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</si>
  <si>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</si>
  <si>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</si>
  <si>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</si>
  <si>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</si>
  <si>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</si>
  <si>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</si>
  <si>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</si>
  <si>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</si>
  <si>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</si>
  <si>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</si>
  <si>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FREIGHT TOTAL ORDER</t>
  </si>
  <si>
    <t>OEM NAME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</si>
  <si>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</si>
  <si>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</si>
  <si>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</si>
  <si>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</si>
  <si>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</si>
  <si>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</si>
  <si>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PL-501</t>
  </si>
  <si>
    <t>PL61</t>
  </si>
  <si>
    <t>DHA00501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</si>
  <si>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</si>
  <si>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</si>
  <si>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</si>
  <si>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</si>
  <si>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</si>
  <si>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</si>
  <si>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</si>
  <si>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</si>
  <si>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</si>
  <si>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</si>
  <si>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</si>
  <si>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</si>
  <si>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</si>
  <si>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</si>
  <si>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</si>
  <si>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</si>
  <si>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</si>
  <si>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</si>
  <si>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</si>
  <si>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</si>
  <si>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</si>
  <si>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</si>
  <si>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</si>
  <si>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</si>
  <si>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</si>
  <si>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PL61_MS_MTO_22"_40LINK</t>
  </si>
  <si>
    <t>GQP PL61 Complete UC KIT</t>
  </si>
  <si>
    <t>PL-506</t>
  </si>
  <si>
    <t>WGS00506</t>
  </si>
  <si>
    <t>PL-896</t>
  </si>
  <si>
    <t>D6D M562</t>
  </si>
  <si>
    <t>06X01896</t>
  </si>
  <si>
    <t>08Z26547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</si>
  <si>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</si>
  <si>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</si>
  <si>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</si>
  <si>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</si>
  <si>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</si>
  <si>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</si>
  <si>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</si>
  <si>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</si>
  <si>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</si>
  <si>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</si>
  <si>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</si>
  <si>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572R_MS_MTO_26"_43LINK</t>
  </si>
  <si>
    <t>GQP 572R Complete UC KIT</t>
  </si>
  <si>
    <t>PL-321</t>
  </si>
  <si>
    <t>D7G M572C</t>
  </si>
  <si>
    <t>DSC00321</t>
  </si>
  <si>
    <t>PL-337</t>
  </si>
  <si>
    <t>SUB2HZ00337</t>
  </si>
  <si>
    <t>PL-363</t>
  </si>
  <si>
    <t>DSC00363</t>
  </si>
  <si>
    <t>PL-405</t>
  </si>
  <si>
    <t>DSC00405</t>
  </si>
  <si>
    <t>PL-854</t>
  </si>
  <si>
    <t>3ZD00854</t>
  </si>
  <si>
    <t>PL-322</t>
  </si>
  <si>
    <t>572R</t>
  </si>
  <si>
    <t>DSC00322</t>
  </si>
  <si>
    <t>PL-369</t>
  </si>
  <si>
    <t>DSC00369</t>
  </si>
  <si>
    <t>7W-5495</t>
  </si>
  <si>
    <t>Air Filter - Primary</t>
  </si>
  <si>
    <t>1P-7360</t>
  </si>
  <si>
    <t>Air Filter - Secondary</t>
  </si>
  <si>
    <t>9M-2341</t>
  </si>
  <si>
    <t>Fuel Filter - Primary</t>
  </si>
  <si>
    <t>1R-0750</t>
  </si>
  <si>
    <t>Fuel Filter - Secondary</t>
  </si>
  <si>
    <t>2P-4005</t>
  </si>
  <si>
    <t>Engine Oil Filter</t>
  </si>
  <si>
    <t>1R-0741</t>
  </si>
  <si>
    <t>Hydraulic Filter</t>
  </si>
  <si>
    <t>4J-6064</t>
  </si>
  <si>
    <t>Transmission Filter</t>
  </si>
  <si>
    <t>4H-2978</t>
  </si>
  <si>
    <t>6P-1319</t>
  </si>
  <si>
    <t>Cab - Fresh Air</t>
  </si>
  <si>
    <t>6P-6664</t>
  </si>
  <si>
    <t>Cab - Recirculate</t>
  </si>
  <si>
    <t>153-5720</t>
  </si>
  <si>
    <t>Battery</t>
  </si>
  <si>
    <t>8N-5510</t>
  </si>
  <si>
    <t>Turbocharger</t>
  </si>
  <si>
    <t>583_GD_MTO_22"_41LINK</t>
  </si>
  <si>
    <t>GQP 583T Complete UC KIT</t>
  </si>
  <si>
    <t>PL-286</t>
  </si>
  <si>
    <t>583T</t>
  </si>
  <si>
    <t>CMX00286</t>
  </si>
  <si>
    <t>31Z00398</t>
  </si>
  <si>
    <t>1P-8483</t>
  </si>
  <si>
    <t>1P-8482</t>
  </si>
  <si>
    <t>1R-0728</t>
  </si>
  <si>
    <t>HYDRAULIC FILTER</t>
  </si>
  <si>
    <t>8N-1831</t>
  </si>
  <si>
    <t>2P-2800</t>
  </si>
  <si>
    <t>4H-9983</t>
  </si>
  <si>
    <t>7N-2495</t>
  </si>
  <si>
    <t>PL-555</t>
  </si>
  <si>
    <t>96V00555</t>
  </si>
  <si>
    <t>PL-627</t>
  </si>
  <si>
    <t>594H-CPX</t>
  </si>
  <si>
    <t>96V00627</t>
  </si>
  <si>
    <t>PL-893</t>
  </si>
  <si>
    <t>DK8 M583C</t>
  </si>
  <si>
    <t>77V12893</t>
  </si>
  <si>
    <t>PL-950</t>
  </si>
  <si>
    <t>77V13950</t>
  </si>
  <si>
    <t>FINAL FUEL FILTER</t>
  </si>
  <si>
    <t>AT539501</t>
  </si>
  <si>
    <t>AT539500</t>
  </si>
  <si>
    <t>AT308575</t>
  </si>
  <si>
    <t>PRIMARY AIR FILTER</t>
  </si>
  <si>
    <t>TT220747</t>
  </si>
  <si>
    <t>SECONDARY AIR FILTER</t>
  </si>
  <si>
    <t>4S00686</t>
  </si>
  <si>
    <t>CAB AIR FILTER</t>
  </si>
  <si>
    <t>FYA00001490R</t>
  </si>
  <si>
    <t>INJECTOR</t>
  </si>
  <si>
    <t>TY23020B</t>
  </si>
  <si>
    <t>BATTERY 12V 1400 CCA</t>
  </si>
  <si>
    <t>BH-176</t>
  </si>
  <si>
    <t>JOHN DEERE</t>
  </si>
  <si>
    <t>470GLC</t>
  </si>
  <si>
    <t>1FF470PAJPF000176</t>
  </si>
  <si>
    <t>BH-880</t>
  </si>
  <si>
    <t>HCMJAA70C00030880</t>
  </si>
  <si>
    <t>RE67901</t>
  </si>
  <si>
    <t>T191321</t>
  </si>
  <si>
    <t>AT323638</t>
  </si>
  <si>
    <t>RE509036</t>
  </si>
  <si>
    <t>AT186554</t>
  </si>
  <si>
    <t>HYDRAULIC FILTER PILOT</t>
  </si>
  <si>
    <t>4S00640R</t>
  </si>
  <si>
    <t>4S00683R</t>
  </si>
  <si>
    <t>RE515785</t>
  </si>
  <si>
    <t>RE507149</t>
  </si>
  <si>
    <t>RE507948</t>
  </si>
  <si>
    <t>TY23020</t>
  </si>
  <si>
    <t>AT131090</t>
  </si>
  <si>
    <t>CUTTING EDGE</t>
  </si>
  <si>
    <t>BH-441</t>
  </si>
  <si>
    <t>ZX290LC-5</t>
  </si>
  <si>
    <t>1FFDDB70CEE830441</t>
  </si>
  <si>
    <t>BH-479</t>
  </si>
  <si>
    <t>1FFDDB70FE830479</t>
  </si>
  <si>
    <t>BH-516</t>
  </si>
  <si>
    <t>1FFDDB70CHE830516</t>
  </si>
  <si>
    <t>ZX290LC_MTO_31.5"_48LINK</t>
  </si>
  <si>
    <t>GQP ZX290LC Complete UC KIT</t>
  </si>
  <si>
    <t>GQP 470GLC Complete UC KIT</t>
  </si>
  <si>
    <t>470GLC_MTO_35.4"_53LINK</t>
  </si>
  <si>
    <t>D9G/H_MS_MTO_40"_42LINK</t>
  </si>
  <si>
    <t>GQP D9G/H Complete UC KIT</t>
  </si>
  <si>
    <t>SE501669</t>
  </si>
  <si>
    <t>RE504836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</si>
</sst>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165" fontId="6" fillId="0" borderId="2" xfId="1" applyFont="1" applyFill="1" applyBorder="1" applyProtection="1">
      <protection locked="0"/>
    </xf>
    <xf numFmtId="165" fontId="6" fillId="0" borderId="2" xfId="1" applyFont="1" applyFill="1" applyBorder="1" applyProtection="1"/>
    <xf numFmtId="165" fontId="6" fillId="0" borderId="7" xfId="1" applyFont="1" applyFill="1" applyBorder="1" applyProtection="1"/>
    <xf numFmtId="165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165" fontId="6" fillId="0" borderId="1" xfId="1" applyFont="1" applyFill="1" applyBorder="1" applyProtection="1">
      <protection locked="0"/>
    </xf>
    <xf numFmtId="165" fontId="6" fillId="0" borderId="1" xfId="1" applyFont="1" applyFill="1" applyBorder="1" applyProtection="1"/>
    <xf numFmtId="165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6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6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165" fontId="6" fillId="10" borderId="2" xfId="1" applyFont="1" applyFill="1" applyBorder="1" applyProtection="1"/>
    <xf numFmtId="165" fontId="6" fillId="10" borderId="7" xfId="1" applyFont="1" applyFill="1" applyBorder="1" applyProtection="1"/>
    <xf numFmtId="165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165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165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165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6" fontId="2" fillId="6" borderId="0" xfId="0" applyNumberFormat="1" applyFont="1" applyFill="1"/>
    <xf numFmtId="167" fontId="8" fillId="0" borderId="0" xfId="0" applyNumberFormat="1" applyFont="1"/>
    <xf numFmtId="167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165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165" fontId="3" fillId="10" borderId="1" xfId="1" applyFont="1" applyFill="1" applyBorder="1" applyAlignment="1" applyProtection="1">
      <alignment horizontal="center"/>
    </xf>
    <xf numFmtId="165" fontId="3" fillId="10" borderId="1" xfId="0" applyNumberFormat="1" applyFont="1" applyFill="1" applyBorder="1" applyAlignment="1">
      <alignment horizontal="right"/>
    </xf>
    <xf numFmtId="165" fontId="3" fillId="10" borderId="1" xfId="0" applyNumberFormat="1" applyFont="1" applyFill="1" applyBorder="1"/>
    <xf numFmtId="165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165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165" fontId="6" fillId="10" borderId="2" xfId="1" applyFont="1" applyFill="1" applyBorder="1" applyProtection="1">
      <protection locked="0"/>
    </xf>
    <xf numFmtId="0" fontId="9" fillId="4" borderId="3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17" fillId="8" borderId="56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9" fillId="4" borderId="47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18" fillId="9" borderId="58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/>
    </xf>
    <xf numFmtId="0" fontId="9" fillId="4" borderId="48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7" fontId="9" fillId="0" borderId="59" xfId="0" applyNumberFormat="1" applyFont="1" applyBorder="1" applyAlignment="1">
      <alignment horizontal="center" vertical="center"/>
    </xf>
    <xf numFmtId="167" fontId="9" fillId="0" borderId="16" xfId="0" applyNumberFormat="1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center"/>
    </xf>
    <xf numFmtId="167" fontId="8" fillId="0" borderId="4" xfId="0" applyNumberFormat="1" applyFont="1" applyBorder="1" applyAlignment="1">
      <alignment horizont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167" fontId="3" fillId="0" borderId="5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167" fontId="3" fillId="7" borderId="60" xfId="0" applyNumberFormat="1" applyFont="1" applyFill="1" applyBorder="1" applyAlignment="1">
      <alignment horizontal="center" vertical="center"/>
    </xf>
    <xf numFmtId="167" fontId="3" fillId="7" borderId="2" xfId="0" applyNumberFormat="1" applyFont="1" applyFill="1" applyBorder="1" applyAlignment="1">
      <alignment horizontal="center" vertical="center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167" fontId="8" fillId="0" borderId="48" xfId="0" applyNumberFormat="1" applyFont="1" applyBorder="1" applyAlignment="1">
      <alignment horizontal="center"/>
    </xf>
    <xf numFmtId="167" fontId="8" fillId="0" borderId="46" xfId="0" applyNumberFormat="1" applyFont="1" applyBorder="1" applyAlignment="1">
      <alignment horizontal="center"/>
    </xf>
    <xf numFmtId="0" fontId="18" fillId="9" borderId="10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8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0BAEF-88A4-44CF-8391-CC698B3C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04300-54FC-4F0A-A1B6-69F59E0F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21256-FFCD-4A22-BAB3-66C51274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49BDB-7F10-4D67-ACA6-12D0ADA4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29214-C61D-4BED-B652-439B1217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00AE6-7D7E-4D4C-9443-D0470A202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11032-A583-4F31-AB67-8B393F1C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D239C-99B5-442A-92F1-DB8E2B6B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B0156-ED92-41EE-8B1A-DEEAA8B7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88F5E-AD36-4565-806A-685AA7C3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E1618-ABF0-48AF-AA92-93FD84AD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92411-6BA1-4547-B59C-987D3EDF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9C1B8-5FC0-4F8D-A6B3-AB8B8A21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317E2-4468-4C63-9902-79FF7BB5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7ECA-B8A1-4409-A39C-89879648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E64B4-241E-4C71-A25B-64ED833C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D2A70-AC68-4F27-A1C6-8A5437C6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0402E-08D7-4B10-9CE5-18D48616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0F965-82D0-4F60-B7A7-B9AF38AA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34410-1EED-4AB7-93E6-7D43E934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zoomScale="85" zoomScaleNormal="85" workbookViewId="0">
      <selection activeCell="M39" sqref="M3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94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77520.69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43033.65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34487.040000000001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95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0.44487529716260266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96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43033.65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43033.65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20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37" si="1">ROUND(IF($F$17="USD $", F19*$E$15,F19*$D$15),2)</f>
        <v>57</v>
      </c>
      <c r="H19" s="39">
        <f t="shared" ref="H19:H37" si="2">ROUND(IF($H$17=$G$17,E19*G19,E19*F19),2)</f>
        <v>82.65</v>
      </c>
      <c r="I19" s="42"/>
      <c r="J19" s="88">
        <f t="shared" ref="J19:J37" si="3">E19</f>
        <v>1</v>
      </c>
      <c r="K19" s="38">
        <f t="shared" ref="K19:K48" si="4">IFERROR(IF(M19="OEM DISC %",ROUND(IF($K$17=$F$17,F19*(1-N19),G19*(1-N19)),2),IF(M19="MARKUP %",ROUND(R19/J19*(1+N19),2))),0)</f>
        <v>41.33</v>
      </c>
      <c r="L19" s="38">
        <f t="shared" ref="L19:L37" si="5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41.33</v>
      </c>
      <c r="T19" s="52">
        <f t="shared" ref="T19:T48" si="7">ROUND(L19-R19,2)</f>
        <v>41.33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3"/>
        <v>1</v>
      </c>
      <c r="K20" s="9">
        <f t="shared" si="4"/>
        <v>139.16999999999999</v>
      </c>
      <c r="L20" s="9">
        <f t="shared" si="5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139.16999999999999</v>
      </c>
      <c r="T20" s="14">
        <f t="shared" si="7"/>
        <v>139.16999999999999</v>
      </c>
      <c r="U20" s="29">
        <f t="shared" si="8"/>
        <v>0</v>
      </c>
      <c r="V20" s="29">
        <f t="shared" si="9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3"/>
        <v>1</v>
      </c>
      <c r="K21" s="38">
        <f t="shared" si="4"/>
        <v>95.82</v>
      </c>
      <c r="L21" s="38">
        <f t="shared" si="5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10"/>
        <v>0</v>
      </c>
      <c r="S21" s="52">
        <f t="shared" si="6"/>
        <v>95.82</v>
      </c>
      <c r="T21" s="52">
        <f t="shared" si="7"/>
        <v>95.82</v>
      </c>
      <c r="U21" s="41">
        <f t="shared" si="8"/>
        <v>0</v>
      </c>
      <c r="V21" s="41">
        <f t="shared" si="9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3"/>
        <v>1</v>
      </c>
      <c r="K22" s="9">
        <f t="shared" si="4"/>
        <v>53.45</v>
      </c>
      <c r="L22" s="9">
        <f t="shared" si="5"/>
        <v>53.45</v>
      </c>
      <c r="M22" s="8" t="s">
        <v>92</v>
      </c>
      <c r="N22" s="12">
        <v>0.35</v>
      </c>
      <c r="O22" s="51"/>
      <c r="P22" s="3"/>
      <c r="Q22" s="13"/>
      <c r="R22" s="14">
        <f t="shared" si="10"/>
        <v>0</v>
      </c>
      <c r="S22" s="14">
        <f t="shared" si="6"/>
        <v>53.45</v>
      </c>
      <c r="T22" s="14">
        <f t="shared" si="7"/>
        <v>53.45</v>
      </c>
      <c r="U22" s="29">
        <f t="shared" si="8"/>
        <v>0</v>
      </c>
      <c r="V22" s="29">
        <f t="shared" si="9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3"/>
        <v>1</v>
      </c>
      <c r="K23" s="38">
        <f t="shared" si="4"/>
        <v>72.64</v>
      </c>
      <c r="L23" s="38">
        <f t="shared" si="5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10"/>
        <v>0</v>
      </c>
      <c r="S23" s="52">
        <f t="shared" si="6"/>
        <v>72.64</v>
      </c>
      <c r="T23" s="52">
        <f t="shared" si="7"/>
        <v>72.64</v>
      </c>
      <c r="U23" s="41">
        <f t="shared" si="8"/>
        <v>0</v>
      </c>
      <c r="V23" s="41">
        <f t="shared" si="9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3"/>
        <v>1</v>
      </c>
      <c r="K24" s="9">
        <f t="shared" si="4"/>
        <v>36.54</v>
      </c>
      <c r="L24" s="9">
        <f t="shared" si="5"/>
        <v>36.54</v>
      </c>
      <c r="M24" s="8" t="s">
        <v>92</v>
      </c>
      <c r="N24" s="12">
        <v>0.5</v>
      </c>
      <c r="O24" s="51"/>
      <c r="P24" s="3"/>
      <c r="Q24" s="13"/>
      <c r="R24" s="14">
        <f t="shared" si="10"/>
        <v>0</v>
      </c>
      <c r="S24" s="14">
        <f t="shared" si="6"/>
        <v>36.54</v>
      </c>
      <c r="T24" s="14">
        <f t="shared" si="7"/>
        <v>36.54</v>
      </c>
      <c r="U24" s="29">
        <f t="shared" si="8"/>
        <v>0</v>
      </c>
      <c r="V24" s="29">
        <f t="shared" si="9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3"/>
        <v>1</v>
      </c>
      <c r="K25" s="38">
        <f t="shared" si="4"/>
        <v>36.479999999999997</v>
      </c>
      <c r="L25" s="38">
        <f t="shared" si="5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36.479999999999997</v>
      </c>
      <c r="T25" s="52">
        <f t="shared" si="7"/>
        <v>36.479999999999997</v>
      </c>
      <c r="U25" s="41">
        <f t="shared" si="8"/>
        <v>0</v>
      </c>
      <c r="V25" s="41">
        <f t="shared" si="9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3"/>
        <v>2</v>
      </c>
      <c r="K26" s="9">
        <f t="shared" si="4"/>
        <v>243.24</v>
      </c>
      <c r="L26" s="9">
        <f t="shared" si="5"/>
        <v>486.48</v>
      </c>
      <c r="M26" s="8" t="s">
        <v>92</v>
      </c>
      <c r="N26" s="12">
        <v>0.5</v>
      </c>
      <c r="O26" s="51"/>
      <c r="P26" s="3"/>
      <c r="Q26" s="13"/>
      <c r="R26" s="14">
        <f t="shared" si="10"/>
        <v>0</v>
      </c>
      <c r="S26" s="14">
        <f t="shared" si="6"/>
        <v>243.24</v>
      </c>
      <c r="T26" s="14">
        <f t="shared" si="7"/>
        <v>486.48</v>
      </c>
      <c r="U26" s="29">
        <f t="shared" si="8"/>
        <v>0</v>
      </c>
      <c r="V26" s="29">
        <f t="shared" si="9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3"/>
        <v>6</v>
      </c>
      <c r="K27" s="38">
        <f t="shared" si="4"/>
        <v>864.45</v>
      </c>
      <c r="L27" s="38">
        <f t="shared" si="5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10"/>
        <v>0</v>
      </c>
      <c r="S27" s="52">
        <f t="shared" si="6"/>
        <v>864.45</v>
      </c>
      <c r="T27" s="52">
        <f t="shared" si="7"/>
        <v>5186.7</v>
      </c>
      <c r="U27" s="41">
        <f t="shared" si="8"/>
        <v>0</v>
      </c>
      <c r="V27" s="41">
        <f t="shared" si="9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3"/>
        <v>1</v>
      </c>
      <c r="K28" s="9">
        <f t="shared" si="4"/>
        <v>3181.59</v>
      </c>
      <c r="L28" s="9">
        <f t="shared" si="5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3181.59</v>
      </c>
      <c r="T28" s="14">
        <f t="shared" si="7"/>
        <v>3181.59</v>
      </c>
      <c r="U28" s="29">
        <f t="shared" si="8"/>
        <v>0</v>
      </c>
      <c r="V28" s="29">
        <f t="shared" si="9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3"/>
        <v>1</v>
      </c>
      <c r="K29" s="38">
        <f t="shared" si="4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10"/>
        <v>0</v>
      </c>
      <c r="S29" s="52">
        <f t="shared" si="6"/>
        <v>372.09</v>
      </c>
      <c r="T29" s="52">
        <f t="shared" si="7"/>
        <v>372.09</v>
      </c>
      <c r="U29" s="41">
        <f t="shared" si="8"/>
        <v>0</v>
      </c>
      <c r="V29" s="41">
        <f t="shared" si="9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3"/>
        <v>1</v>
      </c>
      <c r="K30" s="9">
        <f t="shared" si="4"/>
        <v>3340.94</v>
      </c>
      <c r="L30" s="9">
        <f t="shared" si="5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10"/>
        <v>0</v>
      </c>
      <c r="S30" s="14">
        <f t="shared" si="6"/>
        <v>3340.94</v>
      </c>
      <c r="T30" s="14">
        <f t="shared" si="7"/>
        <v>3340.94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3"/>
        <v>0</v>
      </c>
      <c r="K31" s="38">
        <f t="shared" si="4"/>
        <v>0</v>
      </c>
      <c r="L31" s="38">
        <f t="shared" si="5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0</v>
      </c>
      <c r="T31" s="52">
        <f t="shared" si="7"/>
        <v>0</v>
      </c>
      <c r="U31" s="41">
        <f t="shared" si="8"/>
        <v>0</v>
      </c>
      <c r="V31" s="41">
        <f t="shared" si="9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3"/>
        <v>1</v>
      </c>
      <c r="K32" s="9">
        <f t="shared" si="4"/>
        <v>29972.79</v>
      </c>
      <c r="L32" s="9">
        <f t="shared" si="5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10"/>
        <v>0</v>
      </c>
      <c r="S32" s="14">
        <f t="shared" si="6"/>
        <v>29972.79</v>
      </c>
      <c r="T32" s="14">
        <f t="shared" si="7"/>
        <v>29972.79</v>
      </c>
      <c r="U32" s="29">
        <f t="shared" si="8"/>
        <v>0</v>
      </c>
      <c r="V32" s="29">
        <f t="shared" si="9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3"/>
        <v>0</v>
      </c>
      <c r="K33" s="38">
        <f t="shared" si="4"/>
        <v>0</v>
      </c>
      <c r="L33" s="38">
        <f t="shared" si="5"/>
        <v>0</v>
      </c>
      <c r="M33" s="129" t="s">
        <v>92</v>
      </c>
      <c r="N33" s="16"/>
      <c r="O33" s="51"/>
      <c r="P33" s="1"/>
      <c r="Q33" s="15"/>
      <c r="R33" s="40">
        <f t="shared" si="10"/>
        <v>0</v>
      </c>
      <c r="S33" s="52">
        <f t="shared" si="6"/>
        <v>0</v>
      </c>
      <c r="T33" s="52">
        <f t="shared" si="7"/>
        <v>0</v>
      </c>
      <c r="U33" s="41">
        <f t="shared" si="8"/>
        <v>0</v>
      </c>
      <c r="V33" s="41">
        <f t="shared" si="9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3"/>
        <v>0</v>
      </c>
      <c r="K34" s="9">
        <f t="shared" si="4"/>
        <v>0</v>
      </c>
      <c r="L34" s="9">
        <f t="shared" si="5"/>
        <v>0</v>
      </c>
      <c r="M34" s="8" t="s">
        <v>92</v>
      </c>
      <c r="N34" s="12"/>
      <c r="O34" s="51"/>
      <c r="P34" s="3"/>
      <c r="Q34" s="13"/>
      <c r="R34" s="14">
        <f t="shared" si="10"/>
        <v>0</v>
      </c>
      <c r="S34" s="14">
        <f t="shared" si="6"/>
        <v>0</v>
      </c>
      <c r="T34" s="14">
        <f t="shared" si="7"/>
        <v>0</v>
      </c>
      <c r="U34" s="29">
        <f t="shared" si="8"/>
        <v>0</v>
      </c>
      <c r="V34" s="29">
        <f t="shared" si="9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3"/>
        <v>0</v>
      </c>
      <c r="K35" s="38">
        <f t="shared" si="4"/>
        <v>0</v>
      </c>
      <c r="L35" s="38">
        <f t="shared" si="5"/>
        <v>0</v>
      </c>
      <c r="M35" s="129" t="s">
        <v>92</v>
      </c>
      <c r="N35" s="16"/>
      <c r="O35" s="51"/>
      <c r="P35" s="1"/>
      <c r="Q35" s="15"/>
      <c r="R35" s="40">
        <f t="shared" si="10"/>
        <v>0</v>
      </c>
      <c r="S35" s="52">
        <f t="shared" si="6"/>
        <v>0</v>
      </c>
      <c r="T35" s="52">
        <f t="shared" si="7"/>
        <v>0</v>
      </c>
      <c r="U35" s="41">
        <f t="shared" si="8"/>
        <v>0</v>
      </c>
      <c r="V35" s="41">
        <f t="shared" si="9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92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3"/>
        <v>0</v>
      </c>
      <c r="K37" s="38">
        <f t="shared" si="4"/>
        <v>0</v>
      </c>
      <c r="L37" s="38">
        <f t="shared" si="5"/>
        <v>0</v>
      </c>
      <c r="M37" s="129" t="s">
        <v>92</v>
      </c>
      <c r="N37" s="16"/>
      <c r="O37" s="51"/>
      <c r="P37" s="1"/>
      <c r="Q37" s="15"/>
      <c r="R37" s="40">
        <f t="shared" si="10"/>
        <v>0</v>
      </c>
      <c r="S37" s="52">
        <f t="shared" si="6"/>
        <v>0</v>
      </c>
      <c r="T37" s="52">
        <f t="shared" si="7"/>
        <v>0</v>
      </c>
      <c r="U37" s="41">
        <f t="shared" si="8"/>
        <v>0</v>
      </c>
      <c r="V37" s="41">
        <f t="shared" si="9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ref="G38:G48" si="11">ROUND(IF($F$17="USD $", F38*$E$15,F38*$D$15),2)</f>
        <v>0</v>
      </c>
      <c r="H38" s="10">
        <f t="shared" ref="H38:H48" si="12">ROUND(IF($H$17=$G$17,E38*G38,E38*F38),2)</f>
        <v>0</v>
      </c>
      <c r="I38" s="42"/>
      <c r="J38" s="89">
        <f t="shared" ref="J38:J48" si="13">E38</f>
        <v>0</v>
      </c>
      <c r="K38" s="9">
        <f t="shared" si="4"/>
        <v>0</v>
      </c>
      <c r="L38" s="9">
        <f t="shared" ref="L38:L48" si="14">ROUND((J38*K38),2)</f>
        <v>0</v>
      </c>
      <c r="M38" s="8" t="s">
        <v>92</v>
      </c>
      <c r="N38" s="12"/>
      <c r="O38" s="51"/>
      <c r="P38" s="3"/>
      <c r="Q38" s="13"/>
      <c r="R38" s="14">
        <f t="shared" ref="R38:R48" si="15">ROUND(IF($R$17=$Q$17,Q38,IF($R$17="USD $",Q38*$D$15,Q38*$E$15))*E38,2)</f>
        <v>0</v>
      </c>
      <c r="S38" s="14">
        <f t="shared" ref="S38:S48" si="16">IFERROR(ROUND(T38/E38,2),0)</f>
        <v>0</v>
      </c>
      <c r="T38" s="14">
        <f t="shared" si="7"/>
        <v>0</v>
      </c>
      <c r="U38" s="29">
        <f t="shared" ref="U38:U48" si="17">IFERROR(((K38-(R38/J38))/(R38/J38)),0)</f>
        <v>0</v>
      </c>
      <c r="V38" s="29">
        <f t="shared" ref="V38:V48" si="18">IFERROR(((K38-(R38/J38))/K38),0)</f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1"/>
        <v>0</v>
      </c>
      <c r="H39" s="39">
        <f t="shared" si="12"/>
        <v>0</v>
      </c>
      <c r="I39" s="42"/>
      <c r="J39" s="88">
        <f t="shared" si="13"/>
        <v>0</v>
      </c>
      <c r="K39" s="38">
        <f t="shared" si="4"/>
        <v>0</v>
      </c>
      <c r="L39" s="38">
        <f t="shared" si="14"/>
        <v>0</v>
      </c>
      <c r="M39" s="129" t="s">
        <v>92</v>
      </c>
      <c r="N39" s="16"/>
      <c r="O39" s="51"/>
      <c r="P39" s="1"/>
      <c r="Q39" s="15"/>
      <c r="R39" s="40">
        <f t="shared" si="15"/>
        <v>0</v>
      </c>
      <c r="S39" s="52">
        <f t="shared" si="16"/>
        <v>0</v>
      </c>
      <c r="T39" s="52">
        <f t="shared" si="7"/>
        <v>0</v>
      </c>
      <c r="U39" s="41">
        <f t="shared" si="17"/>
        <v>0</v>
      </c>
      <c r="V39" s="41">
        <f t="shared" si="1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1"/>
        <v>0</v>
      </c>
      <c r="H40" s="10">
        <f t="shared" si="12"/>
        <v>0</v>
      </c>
      <c r="I40" s="42"/>
      <c r="J40" s="89">
        <f t="shared" si="13"/>
        <v>0</v>
      </c>
      <c r="K40" s="9">
        <f t="shared" si="4"/>
        <v>0</v>
      </c>
      <c r="L40" s="9">
        <f t="shared" si="14"/>
        <v>0</v>
      </c>
      <c r="M40" s="8" t="s">
        <v>92</v>
      </c>
      <c r="N40" s="12"/>
      <c r="O40" s="51"/>
      <c r="P40" s="3"/>
      <c r="Q40" s="13"/>
      <c r="R40" s="14">
        <f t="shared" si="15"/>
        <v>0</v>
      </c>
      <c r="S40" s="14">
        <f t="shared" si="16"/>
        <v>0</v>
      </c>
      <c r="T40" s="14">
        <f t="shared" si="7"/>
        <v>0</v>
      </c>
      <c r="U40" s="29">
        <f t="shared" si="17"/>
        <v>0</v>
      </c>
      <c r="V40" s="29">
        <f t="shared" si="1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29" t="s">
        <v>92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1"/>
        <v>0</v>
      </c>
      <c r="H42" s="10">
        <f t="shared" si="12"/>
        <v>0</v>
      </c>
      <c r="I42" s="42"/>
      <c r="J42" s="89">
        <f t="shared" si="13"/>
        <v>0</v>
      </c>
      <c r="K42" s="9">
        <f t="shared" si="4"/>
        <v>0</v>
      </c>
      <c r="L42" s="9">
        <f t="shared" si="14"/>
        <v>0</v>
      </c>
      <c r="M42" s="8" t="s">
        <v>92</v>
      </c>
      <c r="N42" s="12"/>
      <c r="O42" s="51"/>
      <c r="P42" s="3"/>
      <c r="Q42" s="13"/>
      <c r="R42" s="14">
        <f t="shared" si="15"/>
        <v>0</v>
      </c>
      <c r="S42" s="14">
        <f t="shared" si="16"/>
        <v>0</v>
      </c>
      <c r="T42" s="14">
        <f t="shared" si="7"/>
        <v>0</v>
      </c>
      <c r="U42" s="29">
        <f t="shared" si="17"/>
        <v>0</v>
      </c>
      <c r="V42" s="29">
        <f t="shared" si="1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29" t="s">
        <v>92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92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1"/>
        <v>0</v>
      </c>
      <c r="H45" s="39">
        <f t="shared" si="12"/>
        <v>0</v>
      </c>
      <c r="I45" s="42"/>
      <c r="J45" s="88">
        <f t="shared" si="13"/>
        <v>0</v>
      </c>
      <c r="K45" s="38">
        <f t="shared" si="4"/>
        <v>0</v>
      </c>
      <c r="L45" s="38">
        <f t="shared" si="14"/>
        <v>0</v>
      </c>
      <c r="M45" s="129" t="s">
        <v>92</v>
      </c>
      <c r="N45" s="16"/>
      <c r="O45" s="51"/>
      <c r="P45" s="1"/>
      <c r="Q45" s="15"/>
      <c r="R45" s="40">
        <f t="shared" si="15"/>
        <v>0</v>
      </c>
      <c r="S45" s="52">
        <f t="shared" si="16"/>
        <v>0</v>
      </c>
      <c r="T45" s="52">
        <f t="shared" si="7"/>
        <v>0</v>
      </c>
      <c r="U45" s="41">
        <f t="shared" si="17"/>
        <v>0</v>
      </c>
      <c r="V45" s="41">
        <f t="shared" si="1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1"/>
        <v>0</v>
      </c>
      <c r="H46" s="10">
        <f t="shared" si="12"/>
        <v>0</v>
      </c>
      <c r="I46" s="42"/>
      <c r="J46" s="89">
        <f t="shared" si="13"/>
        <v>0</v>
      </c>
      <c r="K46" s="9">
        <f t="shared" si="4"/>
        <v>0</v>
      </c>
      <c r="L46" s="9">
        <f t="shared" si="14"/>
        <v>0</v>
      </c>
      <c r="M46" s="8" t="s">
        <v>92</v>
      </c>
      <c r="N46" s="12"/>
      <c r="O46" s="51"/>
      <c r="P46" s="3"/>
      <c r="Q46" s="13"/>
      <c r="R46" s="14">
        <f t="shared" si="15"/>
        <v>0</v>
      </c>
      <c r="S46" s="14">
        <f t="shared" si="16"/>
        <v>0</v>
      </c>
      <c r="T46" s="14">
        <f t="shared" si="7"/>
        <v>0</v>
      </c>
      <c r="U46" s="29">
        <f t="shared" si="17"/>
        <v>0</v>
      </c>
      <c r="V46" s="29">
        <f t="shared" si="1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1"/>
        <v>0</v>
      </c>
      <c r="H47" s="39">
        <f t="shared" si="12"/>
        <v>0</v>
      </c>
      <c r="I47" s="42"/>
      <c r="J47" s="88">
        <f t="shared" si="13"/>
        <v>0</v>
      </c>
      <c r="K47" s="38">
        <f t="shared" si="4"/>
        <v>0</v>
      </c>
      <c r="L47" s="38">
        <f t="shared" si="14"/>
        <v>0</v>
      </c>
      <c r="M47" s="129" t="s">
        <v>92</v>
      </c>
      <c r="N47" s="16"/>
      <c r="O47" s="51"/>
      <c r="P47" s="1"/>
      <c r="Q47" s="15"/>
      <c r="R47" s="40">
        <f t="shared" si="15"/>
        <v>0</v>
      </c>
      <c r="S47" s="52">
        <f t="shared" si="16"/>
        <v>0</v>
      </c>
      <c r="T47" s="52">
        <f t="shared" si="7"/>
        <v>0</v>
      </c>
      <c r="U47" s="41">
        <f t="shared" si="17"/>
        <v>0</v>
      </c>
      <c r="V47" s="41">
        <f t="shared" si="1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1"/>
        <v>0</v>
      </c>
      <c r="H48" s="10">
        <f t="shared" si="12"/>
        <v>0</v>
      </c>
      <c r="I48" s="42"/>
      <c r="J48" s="89">
        <f t="shared" si="13"/>
        <v>0</v>
      </c>
      <c r="K48" s="9">
        <f t="shared" si="4"/>
        <v>0</v>
      </c>
      <c r="L48" s="9">
        <f t="shared" si="14"/>
        <v>0</v>
      </c>
      <c r="M48" s="8" t="s">
        <v>92</v>
      </c>
      <c r="N48" s="12"/>
      <c r="O48" s="51"/>
      <c r="P48" s="3"/>
      <c r="Q48" s="13"/>
      <c r="R48" s="14">
        <f t="shared" si="15"/>
        <v>0</v>
      </c>
      <c r="S48" s="14">
        <f t="shared" si="16"/>
        <v>0</v>
      </c>
      <c r="T48" s="14">
        <f t="shared" si="7"/>
        <v>0</v>
      </c>
      <c r="U48" s="29">
        <f t="shared" si="17"/>
        <v>0</v>
      </c>
      <c r="V48" s="29">
        <f t="shared" si="1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S2:T2"/>
    <mergeCell ref="S3:T3"/>
    <mergeCell ref="S4:T4"/>
    <mergeCell ref="S5:T5"/>
    <mergeCell ref="S6:T6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L2:N2"/>
    <mergeCell ref="L3:N3"/>
    <mergeCell ref="L4:N4"/>
    <mergeCell ref="L5:N5"/>
    <mergeCell ref="L7:N7"/>
    <mergeCell ref="H5:J5"/>
    <mergeCell ref="H8:J8"/>
    <mergeCell ref="F7:G7"/>
    <mergeCell ref="F8:G8"/>
    <mergeCell ref="F5:G5"/>
    <mergeCell ref="F6:G6"/>
    <mergeCell ref="H6:J6"/>
    <mergeCell ref="H7:J7"/>
    <mergeCell ref="B1:C1"/>
    <mergeCell ref="H1:K1"/>
    <mergeCell ref="H2:J2"/>
    <mergeCell ref="H3:J3"/>
    <mergeCell ref="H4:J4"/>
    <mergeCell ref="F2:G2"/>
    <mergeCell ref="F3:G3"/>
    <mergeCell ref="F4:G4"/>
    <mergeCell ref="B16:B17"/>
    <mergeCell ref="C16:C17"/>
    <mergeCell ref="B11:C15"/>
    <mergeCell ref="D11:E13"/>
    <mergeCell ref="F9:G9"/>
    <mergeCell ref="F11:H12"/>
    <mergeCell ref="D16:D17"/>
    <mergeCell ref="E16:E17"/>
    <mergeCell ref="D6:E6"/>
    <mergeCell ref="D7:E7"/>
    <mergeCell ref="D8:E8"/>
    <mergeCell ref="D9:E9"/>
    <mergeCell ref="D1:G1"/>
    <mergeCell ref="D2:E2"/>
    <mergeCell ref="D3:E3"/>
    <mergeCell ref="D4:E4"/>
    <mergeCell ref="D5:E5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E36-7F03-4448-9809-FD651607E4E6}">
  <sheetPr>
    <pageSetUpPr fitToPage="1"/>
  </sheetPr>
  <dimension ref="A1:AB51"/>
  <sheetViews>
    <sheetView zoomScale="85" zoomScaleNormal="85" workbookViewId="0">
      <selection activeCell="N33" sqref="N3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124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77520.69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43033.65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34487.040000000001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95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0.44487529716260266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125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43033.65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43033.65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20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M18:M48" xr:uid="{C1403078-3E1B-4E7B-970E-A975C59AC5CB}">
      <formula1>$Y$31:$Y$32</formula1>
    </dataValidation>
    <dataValidation type="list" showInputMessage="1" showErrorMessage="1" sqref="D18:D48" xr:uid="{E0167917-81C1-4067-B94B-7FD1CAA17766}">
      <formula1>$Z$18:$Z$29</formula1>
    </dataValidation>
    <dataValidation type="list" allowBlank="1" showInputMessage="1" showErrorMessage="1" sqref="I13" xr:uid="{F98F9C76-C246-4732-8C20-30661A8F6E40}">
      <formula1>$K$9:$K$9</formula1>
    </dataValidation>
    <dataValidation type="list" allowBlank="1" showInputMessage="1" showErrorMessage="1" sqref="H13" xr:uid="{78EB2176-0298-46D8-8442-85DB78B64619}">
      <formula1>$Y$13:$Y$14</formula1>
    </dataValidation>
    <dataValidation type="list" allowBlank="1" showInputMessage="1" showErrorMessage="1" sqref="F17 K17 Q17 Q14" xr:uid="{40B82014-8BED-4BAC-A906-1E8AC35AA7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FF9-C4A6-4CAD-92A5-8A568BF74690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126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77520.69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1985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43033.65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34487.040000000001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127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0.44487529716260266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128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43033.65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 t="s">
        <v>129</v>
      </c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43033.65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20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F17 K17 Q17 Q14" xr:uid="{D3464E2D-3CBF-474E-B2E1-21E99B4DD178}">
      <formula1>$Y$11:$Y$12</formula1>
    </dataValidation>
    <dataValidation type="list" allowBlank="1" showInputMessage="1" showErrorMessage="1" sqref="H13" xr:uid="{5075CF05-66A8-4A6C-A478-D87D8B3AF7C6}">
      <formula1>$Y$13:$Y$14</formula1>
    </dataValidation>
    <dataValidation type="list" allowBlank="1" showInputMessage="1" showErrorMessage="1" sqref="I13" xr:uid="{F88D8870-7088-4B4A-896A-8B33B61E6BE4}">
      <formula1>$K$9:$K$9</formula1>
    </dataValidation>
    <dataValidation type="list" showInputMessage="1" showErrorMessage="1" sqref="D18:D48" xr:uid="{4E1CA8FA-7E1B-4630-BF7F-811DFF76CA79}">
      <formula1>$Z$18:$Z$29</formula1>
    </dataValidation>
    <dataValidation type="list" allowBlank="1" showInputMessage="1" showErrorMessage="1" sqref="M18:M48" xr:uid="{6A7E7A13-9BC4-43F9-95DC-411A4A9295C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2BA8-43D3-48C5-9505-B691C4C0F98A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143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144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145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48" xr:uid="{3B958538-66EB-4BF3-BA57-BC3FC70A3C11}">
      <formula1>$Y$31:$Y$32</formula1>
    </dataValidation>
    <dataValidation type="list" showInputMessage="1" showErrorMessage="1" sqref="D18:D48" xr:uid="{904F5F04-D218-4B8A-84A0-A5BE37A8C45D}">
      <formula1>$Z$18:$Z$29</formula1>
    </dataValidation>
    <dataValidation type="list" allowBlank="1" showInputMessage="1" showErrorMessage="1" sqref="I13" xr:uid="{29AB865E-030F-4C4C-8C49-E87E112BEA1B}">
      <formula1>$K$9:$K$9</formula1>
    </dataValidation>
    <dataValidation type="list" allowBlank="1" showInputMessage="1" showErrorMessage="1" sqref="H13" xr:uid="{B816DDF9-20DB-4159-81B3-74EA009074FB}">
      <formula1>$Y$13:$Y$14</formula1>
    </dataValidation>
    <dataValidation type="list" allowBlank="1" showInputMessage="1" showErrorMessage="1" sqref="F17 K17 Q17 Q14" xr:uid="{5D1BDE1E-F4FA-476A-A0BA-FF6979784F8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B37-80DB-46B4-9D3C-7ED06B9F3A0C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148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2016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144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149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M18:M48" xr:uid="{7D7AEC8C-19EC-4DBA-91E8-B5A3F2DB3EFC}">
      <formula1>$Y$31:$Y$32</formula1>
    </dataValidation>
    <dataValidation type="list" showInputMessage="1" showErrorMessage="1" sqref="D18:D48" xr:uid="{ED0925C4-F01D-4AEC-A1DA-F5906097EE2C}">
      <formula1>$Z$18:$Z$29</formula1>
    </dataValidation>
    <dataValidation type="list" allowBlank="1" showInputMessage="1" showErrorMessage="1" sqref="I13" xr:uid="{7C046355-810D-49F3-A6D6-D8BEBCC1DFDB}">
      <formula1>$K$9:$K$9</formula1>
    </dataValidation>
    <dataValidation type="list" allowBlank="1" showInputMessage="1" showErrorMessage="1" sqref="H13" xr:uid="{B76A185B-B276-46A0-B588-9BC65BD7DA60}">
      <formula1>$Y$13:$Y$14</formula1>
    </dataValidation>
    <dataValidation type="list" allowBlank="1" showInputMessage="1" showErrorMessage="1" sqref="F17 K17 Q17 Q14" xr:uid="{94C3A2D8-040B-4A9F-8C18-CC9BCAD6ED0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0EEA-5A75-4716-A992-D134BEBA2055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150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144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151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F17 K17 Q17 Q14" xr:uid="{1A89A9D4-87DD-4EBE-848D-35987997FE60}">
      <formula1>$Y$11:$Y$12</formula1>
    </dataValidation>
    <dataValidation type="list" allowBlank="1" showInputMessage="1" showErrorMessage="1" sqref="H13" xr:uid="{598634A4-3AB5-4716-8D92-DB01E089C27B}">
      <formula1>$Y$13:$Y$14</formula1>
    </dataValidation>
    <dataValidation type="list" allowBlank="1" showInputMessage="1" showErrorMessage="1" sqref="I13" xr:uid="{C28D45F0-5150-4643-A897-F8973C34B3C9}">
      <formula1>$K$9:$K$9</formula1>
    </dataValidation>
    <dataValidation type="list" showInputMessage="1" showErrorMessage="1" sqref="D18:D48" xr:uid="{888D62BC-736B-48BD-9C09-73CD9D1D9FD9}">
      <formula1>$Z$18:$Z$29</formula1>
    </dataValidation>
    <dataValidation type="list" allowBlank="1" showInputMessage="1" showErrorMessage="1" sqref="M18:M48" xr:uid="{6985C5DF-1ECE-4401-A633-46ABAF0318E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A1C6-1BF0-4C0C-BBD8-BDDCA48130E8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146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144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147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F17 K17 Q17 Q14" xr:uid="{2A1557D5-E552-4BEC-A431-BAC7E959C68A}">
      <formula1>$Y$11:$Y$12</formula1>
    </dataValidation>
    <dataValidation type="list" allowBlank="1" showInputMessage="1" showErrorMessage="1" sqref="H13" xr:uid="{C6ED1629-6E1F-4682-83A6-EB01B2BC14D7}">
      <formula1>$Y$13:$Y$14</formula1>
    </dataValidation>
    <dataValidation type="list" allowBlank="1" showInputMessage="1" showErrorMessage="1" sqref="I13" xr:uid="{E7523324-7BA7-4C6E-BF85-177BB982102B}">
      <formula1>$K$9:$K$9</formula1>
    </dataValidation>
    <dataValidation type="list" showInputMessage="1" showErrorMessage="1" sqref="D18:D48" xr:uid="{9B1E7D48-8EAD-4147-9BB9-26F03FADBCA9}">
      <formula1>$Z$18:$Z$29</formula1>
    </dataValidation>
    <dataValidation type="list" allowBlank="1" showInputMessage="1" showErrorMessage="1" sqref="M18:M48" xr:uid="{2758A510-BB6E-495A-AE89-037FC68462A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29F1-0B0F-4193-B152-FA5B117E693B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152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1988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144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153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FB1FAD96-4AEF-4948-BBB9-176BD32FEA9D}">
      <formula1>$Y$11:$Y$12</formula1>
    </dataValidation>
    <dataValidation type="list" allowBlank="1" showInputMessage="1" showErrorMessage="1" sqref="H13" xr:uid="{8BD6CBEB-A068-45AB-A57D-5C2169FC11DE}">
      <formula1>$Y$13:$Y$14</formula1>
    </dataValidation>
    <dataValidation type="list" allowBlank="1" showInputMessage="1" showErrorMessage="1" sqref="I13" xr:uid="{15FA72D9-0749-44D1-A74D-83B013ADFEA4}">
      <formula1>$K$9:$K$9</formula1>
    </dataValidation>
    <dataValidation type="list" showInputMessage="1" showErrorMessage="1" sqref="D18:D48" xr:uid="{503F37CA-92FE-4517-95EA-E42A78149E16}">
      <formula1>$Z$18:$Z$29</formula1>
    </dataValidation>
    <dataValidation type="list" allowBlank="1" showInputMessage="1" showErrorMessage="1" sqref="M18:M48" xr:uid="{FB7515E6-610C-48EA-82D7-181DC45FD9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0B3B-20FE-4685-8185-01A662E6FD67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154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155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156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48" xr:uid="{3B63FE06-3736-47C4-9EE9-2EC9317DBBD1}">
      <formula1>$Y$31:$Y$32</formula1>
    </dataValidation>
    <dataValidation type="list" showInputMessage="1" showErrorMessage="1" sqref="D18:D48" xr:uid="{2AC5978F-B2C6-4F48-9BEC-A7D4E9992D81}">
      <formula1>$Z$18:$Z$29</formula1>
    </dataValidation>
    <dataValidation type="list" allowBlank="1" showInputMessage="1" showErrorMessage="1" sqref="I13" xr:uid="{52F3A7B6-3DDB-49F8-9665-C9E98BFE5F15}">
      <formula1>$K$9:$K$9</formula1>
    </dataValidation>
    <dataValidation type="list" allowBlank="1" showInputMessage="1" showErrorMessage="1" sqref="H13" xr:uid="{C66590F3-74D7-4BCD-A072-F9FB5244130C}">
      <formula1>$Y$13:$Y$14</formula1>
    </dataValidation>
    <dataValidation type="list" allowBlank="1" showInputMessage="1" showErrorMessage="1" sqref="F17 K17 Q17 Q14" xr:uid="{7FE99203-539B-4C80-B2BA-0991417ED90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D31-6077-4FFC-8193-1432B85116F0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157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146023.14000000001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80255.05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65768.090000000011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155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0.45039498534273409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158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80255.05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80255.05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89BE1F1C-E0E8-40F8-BA24-FDC06ACB870F}">
      <formula1>$Y$11:$Y$12</formula1>
    </dataValidation>
    <dataValidation type="list" allowBlank="1" showInputMessage="1" showErrorMessage="1" sqref="H13" xr:uid="{D2D345F6-6783-45D0-9E70-F627F4E20BD9}">
      <formula1>$Y$13:$Y$14</formula1>
    </dataValidation>
    <dataValidation type="list" allowBlank="1" showInputMessage="1" showErrorMessage="1" sqref="I13" xr:uid="{0FAAFD74-E956-4BDE-8461-1051CF97769C}">
      <formula1>$K$9:$K$9</formula1>
    </dataValidation>
    <dataValidation type="list" showInputMessage="1" showErrorMessage="1" sqref="D18:D48" xr:uid="{A04CF77C-C915-4C4E-98B1-0FCBF7E68ADE}">
      <formula1>$Z$18:$Z$29</formula1>
    </dataValidation>
    <dataValidation type="list" allowBlank="1" showInputMessage="1" showErrorMessage="1" sqref="M18:M48" xr:uid="{A952C91D-4C0A-4F74-9AA5-F2540C71DE1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DB32-CF92-40B6-8FBF-EDF2883C4641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184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101780.31000000001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55449.47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46330.840000000011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185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0.45520435141138799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186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55449.47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55449.47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F17 K17 Q17 Q14" xr:uid="{5EFB72B3-92D2-4A9B-BA5E-DA139AFE6F06}">
      <formula1>$Y$11:$Y$12</formula1>
    </dataValidation>
    <dataValidation type="list" allowBlank="1" showInputMessage="1" showErrorMessage="1" sqref="H13" xr:uid="{EB8B54FF-91E9-4459-9FFB-57DC0C9CF9D9}">
      <formula1>$Y$13:$Y$14</formula1>
    </dataValidation>
    <dataValidation type="list" allowBlank="1" showInputMessage="1" showErrorMessage="1" sqref="I13" xr:uid="{B4FF6A49-8F1D-4EBB-8A2F-B47F5E6BDC54}">
      <formula1>$K$9:$K$9</formula1>
    </dataValidation>
    <dataValidation type="list" showInputMessage="1" showErrorMessage="1" sqref="D18:D48" xr:uid="{5516FD34-AAFC-4212-93D1-F10B6B3AB9AE}">
      <formula1>$Z$18:$Z$29</formula1>
    </dataValidation>
    <dataValidation type="list" allowBlank="1" showInputMessage="1" showErrorMessage="1" sqref="M18:M48" xr:uid="{CAF044A9-116A-43AE-A1F8-BC00B7BDDA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30D-D015-4535-8778-9860ECD185F8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184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101780.31000000001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55449.47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46330.840000000011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>
        <v>589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0.45520435141138799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187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55449.47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55449.47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M18:M48" xr:uid="{2CD0855B-3A6B-42BF-9951-9D081F211965}">
      <formula1>$Y$31:$Y$32</formula1>
    </dataValidation>
    <dataValidation type="list" showInputMessage="1" showErrorMessage="1" sqref="D18:D48" xr:uid="{08717EB8-7B8C-4CEE-95A0-F9940402ADE7}">
      <formula1>$Z$18:$Z$29</formula1>
    </dataValidation>
    <dataValidation type="list" allowBlank="1" showInputMessage="1" showErrorMessage="1" sqref="I13" xr:uid="{8CD58E2D-DD06-44AA-A93D-26B8B9BED852}">
      <formula1>$K$9:$K$9</formula1>
    </dataValidation>
    <dataValidation type="list" allowBlank="1" showInputMessage="1" showErrorMessage="1" sqref="H13" xr:uid="{D010C316-89B0-43D1-865B-BCCF4812B8EF}">
      <formula1>$Y$13:$Y$14</formula1>
    </dataValidation>
    <dataValidation type="list" allowBlank="1" showInputMessage="1" showErrorMessage="1" sqref="F17 K17 Q17 Q14" xr:uid="{F4FA15C3-4364-46E4-A1CA-A1FA87B0676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25D5-33D8-4EE0-89BB-018C898F9E2F}">
  <sheetPr>
    <pageSetUpPr fitToPage="1"/>
  </sheetPr>
  <dimension ref="A1:AB51"/>
  <sheetViews>
    <sheetView zoomScale="85" zoomScaleNormal="85" workbookViewId="0">
      <selection activeCell="M25" sqref="M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196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341829.93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184438.7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157391.22999999998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>
        <v>594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0.46043724140832248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197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184438.7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184438.7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21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167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188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163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190</v>
      </c>
      <c r="C23" s="4" t="s">
        <v>191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169</v>
      </c>
      <c r="C24" s="6" t="s">
        <v>191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178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192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193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194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195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250</v>
      </c>
      <c r="C31" s="4" t="s">
        <v>251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F17 K17 Q17 Q14" xr:uid="{67DBF61F-6259-4E62-ABEA-28951AEAE54A}">
      <formula1>$Y$11:$Y$12</formula1>
    </dataValidation>
    <dataValidation type="list" allowBlank="1" showInputMessage="1" showErrorMessage="1" sqref="H13" xr:uid="{235553DE-179F-4F2C-921C-0672530EF877}">
      <formula1>$Y$13:$Y$14</formula1>
    </dataValidation>
    <dataValidation type="list" allowBlank="1" showInputMessage="1" showErrorMessage="1" sqref="I13" xr:uid="{19C6EE0F-BD1F-452D-8394-208716B6438B}">
      <formula1>$K$9:$K$9</formula1>
    </dataValidation>
    <dataValidation type="list" showInputMessage="1" showErrorMessage="1" sqref="D18:D48" xr:uid="{ED9064C3-E492-4E9C-98BB-448F65E94AA0}">
      <formula1>$Z$18:$Z$29</formula1>
    </dataValidation>
    <dataValidation type="list" allowBlank="1" showInputMessage="1" showErrorMessage="1" sqref="M18:M48" xr:uid="{840F5EC3-C4D4-4784-93AD-F4B6856E4467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62C-BD46-4CEB-B679-9AE5F16654E5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198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341829.93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1981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184438.7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157391.22999999998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199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0.46043724140832248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200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184438.7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184438.7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21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167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188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163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190</v>
      </c>
      <c r="C23" s="4" t="s">
        <v>191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169</v>
      </c>
      <c r="C24" s="6" t="s">
        <v>191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178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192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193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194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195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250</v>
      </c>
      <c r="C31" s="4" t="s">
        <v>251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M18:M48" xr:uid="{86EA0663-B533-41F5-9BB2-DEE6F8AF7F9F}">
      <formula1>$Y$31:$Y$32</formula1>
    </dataValidation>
    <dataValidation type="list" showInputMessage="1" showErrorMessage="1" sqref="D18:D48" xr:uid="{B142AFF6-2AEC-4259-94F1-1328DDB7962D}">
      <formula1>$Z$18:$Z$29</formula1>
    </dataValidation>
    <dataValidation type="list" allowBlank="1" showInputMessage="1" showErrorMessage="1" sqref="I13" xr:uid="{848C4630-C40B-4F46-9F09-B7DDCC2D07B4}">
      <formula1>$K$9:$K$9</formula1>
    </dataValidation>
    <dataValidation type="list" allowBlank="1" showInputMessage="1" showErrorMessage="1" sqref="H13" xr:uid="{CDC16CAF-6F61-4DDE-9CC7-1C1F3061C58A}">
      <formula1>$Y$13:$Y$14</formula1>
    </dataValidation>
    <dataValidation type="list" allowBlank="1" showInputMessage="1" showErrorMessage="1" sqref="F17 K17 Q17 Q14" xr:uid="{92033100-F570-4754-B583-33BDB24D219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3311-5F29-4D7A-B25D-95BF4CF466A6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201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101780.31000000001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1980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55449.47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46330.840000000011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202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0.45520435141138799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203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55449.47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55449.47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F17 K17 Q17 Q14" xr:uid="{E30E11B8-C170-4E52-87CA-B04C2D32C200}">
      <formula1>$Y$11:$Y$12</formula1>
    </dataValidation>
    <dataValidation type="list" allowBlank="1" showInputMessage="1" showErrorMessage="1" sqref="H13" xr:uid="{006AB430-366B-4560-A613-50B3985544F7}">
      <formula1>$Y$13:$Y$14</formula1>
    </dataValidation>
    <dataValidation type="list" allowBlank="1" showInputMessage="1" showErrorMessage="1" sqref="I13" xr:uid="{757D37D4-00F7-4530-AE77-1072EE90A71A}">
      <formula1>$K$9:$K$9</formula1>
    </dataValidation>
    <dataValidation type="list" showInputMessage="1" showErrorMessage="1" sqref="D18:D48" xr:uid="{20145CBA-326C-4004-B3EA-A37BBE686C77}">
      <formula1>$Z$18:$Z$29</formula1>
    </dataValidation>
    <dataValidation type="list" allowBlank="1" showInputMessage="1" showErrorMessage="1" sqref="M18:M48" xr:uid="{F43B284D-FC6C-41DB-84A3-70B5911DB0E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7B35-A5E1-4AAD-B1F2-2C9044545A60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204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101780.31000000001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1979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55449.47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46330.840000000011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202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0.45520435141138799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205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55449.47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55449.47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18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48" xr:uid="{B3CD4BED-4447-4223-AE86-D6C7F3924FDD}">
      <formula1>$Y$31:$Y$32</formula1>
    </dataValidation>
    <dataValidation type="list" showInputMessage="1" showErrorMessage="1" sqref="D18:D48" xr:uid="{1B0CD06A-BA5E-48BA-A141-11B559430847}">
      <formula1>$Z$18:$Z$29</formula1>
    </dataValidation>
    <dataValidation type="list" allowBlank="1" showInputMessage="1" showErrorMessage="1" sqref="I13" xr:uid="{1D570AA6-B261-4BC4-9D18-74D6C3D9E579}">
      <formula1>$K$9:$K$9</formula1>
    </dataValidation>
    <dataValidation type="list" allowBlank="1" showInputMessage="1" showErrorMessage="1" sqref="H13" xr:uid="{1653E651-4028-4B4A-A2B8-480472760F91}">
      <formula1>$Y$13:$Y$14</formula1>
    </dataValidation>
    <dataValidation type="list" allowBlank="1" showInputMessage="1" showErrorMessage="1" sqref="F17 K17 Q17 Q14" xr:uid="{DFDA4548-8A21-41F8-8EEA-5DF2E7D715E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630-A3A5-424B-BCBC-C080FBB3C56E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219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136538.97999999998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59202.17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220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77336.809999999983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221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0.56640828868063897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222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59202.17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59202.17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24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>
        <v>8981527381</v>
      </c>
      <c r="C19" s="4" t="s">
        <v>206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207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208</v>
      </c>
      <c r="C21" s="4" t="s">
        <v>191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>
        <v>4630525</v>
      </c>
      <c r="C22" s="6" t="s">
        <v>191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209</v>
      </c>
      <c r="C23" s="4" t="s">
        <v>210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211</v>
      </c>
      <c r="C24" s="6" t="s">
        <v>212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213</v>
      </c>
      <c r="C25" s="4" t="s">
        <v>214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215</v>
      </c>
      <c r="C26" s="6" t="s">
        <v>214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>
        <v>8976227194</v>
      </c>
      <c r="C29" s="4" t="s">
        <v>216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217</v>
      </c>
      <c r="C31" s="4" t="s">
        <v>218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>
        <v>0</v>
      </c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249</v>
      </c>
      <c r="C33" s="4" t="s">
        <v>248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F17 K17 Q17 Q14" xr:uid="{CE7B8985-33A5-44FB-8F1D-1CB5C026DF86}">
      <formula1>$Y$11:$Y$12</formula1>
    </dataValidation>
    <dataValidation type="list" allowBlank="1" showInputMessage="1" showErrorMessage="1" sqref="H13" xr:uid="{10E51805-6DA7-47B9-90D1-0330D46A6CF7}">
      <formula1>$Y$13:$Y$14</formula1>
    </dataValidation>
    <dataValidation type="list" allowBlank="1" showInputMessage="1" showErrorMessage="1" sqref="I13" xr:uid="{EAF11524-71CB-40A7-AB4A-848BA3B39521}">
      <formula1>$K$9:$K$9</formula1>
    </dataValidation>
    <dataValidation type="list" showInputMessage="1" showErrorMessage="1" sqref="D18:D48" xr:uid="{98952C97-E24F-43B0-BF3F-C4E6E9121CD1}">
      <formula1>$Z$18:$Z$29</formula1>
    </dataValidation>
    <dataValidation type="list" allowBlank="1" showInputMessage="1" showErrorMessage="1" sqref="M18:M48" xr:uid="{D0BB1C74-CD2B-4112-B484-FD69DB4F9B56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4EA-5E2C-41F0-A4FF-828CF1CE2F4C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223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136538.97999999998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2017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59202.17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220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77336.809999999983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221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0.56640828868063897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224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59202.17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59202.17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24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>
        <v>8981527381</v>
      </c>
      <c r="C19" s="4" t="s">
        <v>206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207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208</v>
      </c>
      <c r="C21" s="4" t="s">
        <v>191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>
        <v>4630525</v>
      </c>
      <c r="C22" s="6" t="s">
        <v>191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209</v>
      </c>
      <c r="C23" s="4" t="s">
        <v>210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211</v>
      </c>
      <c r="C24" s="6" t="s">
        <v>212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213</v>
      </c>
      <c r="C25" s="4" t="s">
        <v>214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215</v>
      </c>
      <c r="C26" s="6" t="s">
        <v>214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>
        <v>8976227194</v>
      </c>
      <c r="C29" s="4" t="s">
        <v>216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217</v>
      </c>
      <c r="C31" s="4" t="s">
        <v>218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249</v>
      </c>
      <c r="C33" s="4" t="s">
        <v>248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48" xr:uid="{00995FDF-051A-44D1-9233-A368CDFE34FF}">
      <formula1>$Y$31:$Y$32</formula1>
    </dataValidation>
    <dataValidation type="list" showInputMessage="1" showErrorMessage="1" sqref="D18:D48" xr:uid="{3F272301-1A2F-4C54-8B99-C5C678BF1B2A}">
      <formula1>$Z$18:$Z$29</formula1>
    </dataValidation>
    <dataValidation type="list" allowBlank="1" showInputMessage="1" showErrorMessage="1" sqref="I13" xr:uid="{F748B7F0-D173-4A3E-9E5B-7FAFA6680DE6}">
      <formula1>$K$9:$K$9</formula1>
    </dataValidation>
    <dataValidation type="list" allowBlank="1" showInputMessage="1" showErrorMessage="1" sqref="H13" xr:uid="{40F2A219-CB50-44D4-AA56-E539DF66D181}">
      <formula1>$Y$13:$Y$14</formula1>
    </dataValidation>
    <dataValidation type="list" allowBlank="1" showInputMessage="1" showErrorMessage="1" sqref="F17 K17 Q17 Q14" xr:uid="{C4696B09-02E8-4541-8605-F66EFCAF2F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5137-E59F-493C-A6CF-B93F7B5D3C3F}">
  <sheetPr>
    <pageSetUpPr fitToPage="1"/>
  </sheetPr>
  <dimension ref="A1:AB51"/>
  <sheetViews>
    <sheetView zoomScale="85" zoomScaleNormal="85" workbookViewId="0">
      <selection activeCell="B19" sqref="B1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239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87762.99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2015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36791.949999999997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220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50971.040000000008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240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0.58078057732536237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241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36791.949999999997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36791.949999999997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21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561C626A-DC69-4613-B0EF-AC2DFD133E1E}">
      <formula1>$Y$11:$Y$12</formula1>
    </dataValidation>
    <dataValidation type="list" allowBlank="1" showInputMessage="1" showErrorMessage="1" sqref="H13" xr:uid="{480345BD-56BA-4221-9EC9-0919F367354D}">
      <formula1>$Y$13:$Y$14</formula1>
    </dataValidation>
    <dataValidation type="list" allowBlank="1" showInputMessage="1" showErrorMessage="1" sqref="I13" xr:uid="{8C1C2C43-31E6-4BD7-B240-E321AFB03F73}">
      <formula1>$K$9:$K$9</formula1>
    </dataValidation>
    <dataValidation type="list" showInputMessage="1" showErrorMessage="1" sqref="D18:D48" xr:uid="{E188F287-9F36-4F79-8F80-16D7B0D79278}">
      <formula1>$Z$18:$Z$29</formula1>
    </dataValidation>
    <dataValidation type="list" allowBlank="1" showInputMessage="1" showErrorMessage="1" sqref="M18:M48" xr:uid="{B717D65E-5165-4649-8029-90ED67E3A3D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093C-4E6B-4D24-9D49-F35F43949EB5}">
  <sheetPr>
    <pageSetUpPr fitToPage="1"/>
  </sheetPr>
  <dimension ref="A1:AB51"/>
  <sheetViews>
    <sheetView zoomScale="85" zoomScaleNormal="85" workbookViewId="0">
      <selection activeCell="F5" sqref="F5:G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242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87762.99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2015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36791.949999999997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220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50971.040000000008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240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0.58078057732536237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243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36791.949999999997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36791.949999999997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21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48" xr:uid="{FF92C292-E775-4D08-9140-182267FEA787}">
      <formula1>$Y$31:$Y$32</formula1>
    </dataValidation>
    <dataValidation type="list" showInputMessage="1" showErrorMessage="1" sqref="D18:D48" xr:uid="{1299B6D5-B8EC-4DD6-BD2F-27F28E3CD831}">
      <formula1>$Z$18:$Z$29</formula1>
    </dataValidation>
    <dataValidation type="list" allowBlank="1" showInputMessage="1" showErrorMessage="1" sqref="I13" xr:uid="{377F728C-2589-4C82-8735-EA27AFBA221E}">
      <formula1>$K$9:$K$9</formula1>
    </dataValidation>
    <dataValidation type="list" allowBlank="1" showInputMessage="1" showErrorMessage="1" sqref="H13" xr:uid="{9D1C1C08-9CB9-4807-9A08-A60475140E45}">
      <formula1>$Y$13:$Y$14</formula1>
    </dataValidation>
    <dataValidation type="list" allowBlank="1" showInputMessage="1" showErrorMessage="1" sqref="F17 K17 Q17 Q14" xr:uid="{7796C93A-3017-4B8C-BC9F-56C11933F65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9F1D-7DE4-4461-83A5-72ED762C7FB4}">
  <sheetPr>
    <pageSetUpPr fitToPage="1"/>
  </sheetPr>
  <dimension ref="A1:AB51"/>
  <sheetViews>
    <sheetView tabSelected="1" zoomScale="85" zoomScaleNormal="85" workbookViewId="0">
      <selection activeCell="F7" sqref="F7:G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244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87762.99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>
        <v>2018</v>
      </c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36791.949999999997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220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50971.040000000008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240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0.58078057732536237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245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36791.949999999997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36791.949999999997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21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0F01A1E8-A06C-44B8-85EA-5BF69B2E83A7}">
      <formula1>$Y$11:$Y$12</formula1>
    </dataValidation>
    <dataValidation type="list" allowBlank="1" showInputMessage="1" showErrorMessage="1" sqref="H13" xr:uid="{60A9FCC6-0621-4157-B9FC-3A1CA23A3FF7}">
      <formula1>$Y$13:$Y$14</formula1>
    </dataValidation>
    <dataValidation type="list" allowBlank="1" showInputMessage="1" showErrorMessage="1" sqref="I13" xr:uid="{04C9E39B-4C96-4AD2-B22A-BE5B0413A0C8}">
      <formula1>$K$9:$K$9</formula1>
    </dataValidation>
    <dataValidation type="list" showInputMessage="1" showErrorMessage="1" sqref="D18:D48" xr:uid="{05067C2A-B170-484F-A1A2-F0C8935591C3}">
      <formula1>$Z$18:$Z$29</formula1>
    </dataValidation>
    <dataValidation type="list" allowBlank="1" showInputMessage="1" showErrorMessage="1" sqref="M18:M48" xr:uid="{94DD45DF-CC6E-46A6-BC09-9A1F49D7AE4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CAT PL61 (DHA)</vt:lpstr>
      <vt:lpstr>CAT PL61 (WGS)</vt:lpstr>
      <vt:lpstr>CAT D6D (06X)</vt:lpstr>
      <vt:lpstr>CAT D7G (DSC)</vt:lpstr>
      <vt:lpstr>CAT D7G (DSC) (2)</vt:lpstr>
      <vt:lpstr>CAT D7G (DSC) (3)</vt:lpstr>
      <vt:lpstr>CAT D7G (SUB)</vt:lpstr>
      <vt:lpstr>CAT D7G (3ZD)</vt:lpstr>
      <vt:lpstr>CAT 572R (DSC)</vt:lpstr>
      <vt:lpstr>CAT 572R (DSC) (2)</vt:lpstr>
      <vt:lpstr>CAT 583T (CMX)</vt:lpstr>
      <vt:lpstr>CAT 589 (31Z)</vt:lpstr>
      <vt:lpstr>CAT 594 (96V)</vt:lpstr>
      <vt:lpstr>CAT 594H (96V)</vt:lpstr>
      <vt:lpstr>CAT DK8 (893)</vt:lpstr>
      <vt:lpstr>CAT DK8 (950)</vt:lpstr>
      <vt:lpstr>JD 470GLC (1FF)</vt:lpstr>
      <vt:lpstr>HITACHI 470GLC (HCM)</vt:lpstr>
      <vt:lpstr>HITACHI ZX290LC-5 (1FF)</vt:lpstr>
      <vt:lpstr>HITACHI ZX290LC-5 (1FF) (2)</vt:lpstr>
      <vt:lpstr>HITACHI ZX290LC-5 (1FF)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2025-09-16T21:40:35Z</dcterms:modified>
</cp:coreProperties>
</file>